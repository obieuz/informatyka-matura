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8PP\"/>
    </mc:Choice>
  </mc:AlternateContent>
  <xr:revisionPtr revIDLastSave="0" documentId="13_ncr:1_{11452184-CCCC-4670-9619-E6E36D38D9F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" sheetId="3" r:id="rId1"/>
    <sheet name="2" sheetId="4" r:id="rId2"/>
    <sheet name="3" sheetId="5" r:id="rId3"/>
    <sheet name="4" sheetId="2" r:id="rId4"/>
    <sheet name="dane" sheetId="8" r:id="rId5"/>
  </sheets>
  <definedNames>
    <definedName name="ExternalData_1" localSheetId="0" hidden="1">'1'!$A$1:$D$2269</definedName>
    <definedName name="ExternalData_1" localSheetId="1" hidden="1">'2'!$A$1:$D$2269</definedName>
    <definedName name="ExternalData_1" localSheetId="2" hidden="1">'3'!$A$1:$D$2269</definedName>
    <definedName name="ExternalData_1" localSheetId="3" hidden="1">'4'!$A$1:$D$2269</definedName>
    <definedName name="ExternalData_1" localSheetId="4" hidden="1">dane!$A$1:$D$2269</definedName>
  </definedNames>
  <calcPr calcId="191029"/>
  <pivotCaches>
    <pivotCache cacheId="3" r:id="rId6"/>
    <pivotCache cacheId="12" r:id="rId7"/>
    <pivotCache cacheId="36" r:id="rId8"/>
    <pivotCache cacheId="4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G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L2" i="2"/>
  <c r="K2" i="2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N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BBBC8-CB0B-4C1B-903F-07E89997FA2D}" keepAlive="1" name="Zapytanie — makulatura" description="Połączenie z zapytaniem „makulatura” w skoroszycie." type="5" refreshedVersion="8" background="1" saveData="1">
    <dbPr connection="Provider=Microsoft.Mashup.OleDb.1;Data Source=$Workbook$;Location=makulatura;Extended Properties=&quot;&quot;" command="SELECT * FROM [makulatura]"/>
  </connection>
  <connection id="2" xr16:uid="{AEBDEB7A-5255-4A60-A147-ADF2F1EA812A}" keepAlive="1" name="Zapytanie — makulatura (2)" description="Połączenie z zapytaniem „makulatura (2)” w skoroszycie." type="5" refreshedVersion="8" background="1" saveData="1">
    <dbPr connection="Provider=Microsoft.Mashup.OleDb.1;Data Source=$Workbook$;Location=&quot;makulatura (2)&quot;;Extended Properties=&quot;&quot;" command="SELECT * FROM [makulatura (2)]"/>
  </connection>
  <connection id="3" xr16:uid="{EF6B8537-E6E4-4052-8DAC-97FDF1522459}" keepAlive="1" name="Zapytanie — makulatura (3)" description="Połączenie z zapytaniem „makulatura (3)” w skoroszycie." type="5" refreshedVersion="8" background="1" saveData="1">
    <dbPr connection="Provider=Microsoft.Mashup.OleDb.1;Data Source=$Workbook$;Location=&quot;makulatura (3)&quot;;Extended Properties=&quot;&quot;" command="SELECT * FROM [makulatura (3)]"/>
  </connection>
  <connection id="4" xr16:uid="{BE6C93D6-9709-4E50-9D04-7A897D435B64}" keepAlive="1" name="Zapytanie — makulatura (4)" description="Połączenie z zapytaniem „makulatura (4)” w skoroszycie." type="5" refreshedVersion="8" background="1" saveData="1">
    <dbPr connection="Provider=Microsoft.Mashup.OleDb.1;Data Source=$Workbook$;Location=&quot;makulatura (4)&quot;;Extended Properties=&quot;&quot;" command="SELECT * FROM [makulatura (4)]"/>
  </connection>
  <connection id="5" xr16:uid="{7F303701-B689-428E-AE71-A67B290AF4C8}" keepAlive="1" name="Zapytanie — makulatura (5)" description="Połączenie z zapytaniem „makulatura (5)” w skoroszycie." type="5" refreshedVersion="8" background="1" saveData="1">
    <dbPr connection="Provider=Microsoft.Mashup.OleDb.1;Data Source=$Workbook$;Location=&quot;makulatura (5)&quot;;Extended Properties=&quot;&quot;" command="SELECT * FROM [makulatura (5)]"/>
  </connection>
  <connection id="6" xr16:uid="{2C3BB53B-F40F-4AC5-9D08-C95AC749F782}" keepAlive="1" name="Zapytanie — makulatura (6)" description="Połączenie z zapytaniem „makulatura (6)” w skoroszycie." type="5" refreshedVersion="8" background="1" saveData="1">
    <dbPr connection="Provider=Microsoft.Mashup.OleDb.1;Data Source=$Workbook$;Location=&quot;makulatura (6)&quot;;Extended Properties=&quot;&quot;" command="SELECT * FROM [makulatura (6)]"/>
  </connection>
</connections>
</file>

<file path=xl/sharedStrings.xml><?xml version="1.0" encoding="utf-8"?>
<sst xmlns="http://schemas.openxmlformats.org/spreadsheetml/2006/main" count="23322" uniqueCount="1320">
  <si>
    <t>Data_dostarczenia</t>
  </si>
  <si>
    <t>Imie</t>
  </si>
  <si>
    <t>Nazwisko</t>
  </si>
  <si>
    <t>Liczba_kilogramow</t>
  </si>
  <si>
    <t>Agnieszka</t>
  </si>
  <si>
    <t>Polak</t>
  </si>
  <si>
    <t>Klaudia</t>
  </si>
  <si>
    <t>Myk</t>
  </si>
  <si>
    <t>Agata</t>
  </si>
  <si>
    <t>Kwiatkowska</t>
  </si>
  <si>
    <t>Katarzyna</t>
  </si>
  <si>
    <t>Zmokly</t>
  </si>
  <si>
    <t>Maja</t>
  </si>
  <si>
    <t>Kulkowska</t>
  </si>
  <si>
    <t>Patryk</t>
  </si>
  <si>
    <t>Giemza</t>
  </si>
  <si>
    <t>Balbina</t>
  </si>
  <si>
    <t>Boryczko</t>
  </si>
  <si>
    <t>Filip</t>
  </si>
  <si>
    <t>Spychala</t>
  </si>
  <si>
    <t>Borys</t>
  </si>
  <si>
    <t>Myszor</t>
  </si>
  <si>
    <t>Mala</t>
  </si>
  <si>
    <t>Alicja</t>
  </si>
  <si>
    <t>Gadek</t>
  </si>
  <si>
    <t>Leon</t>
  </si>
  <si>
    <t>Szybki</t>
  </si>
  <si>
    <t>Jerzy</t>
  </si>
  <si>
    <t>Polanicki</t>
  </si>
  <si>
    <t>Spanowski</t>
  </si>
  <si>
    <t>Maciej</t>
  </si>
  <si>
    <t>Lyszcz</t>
  </si>
  <si>
    <t>Daria</t>
  </si>
  <si>
    <t>Zagrobna</t>
  </si>
  <si>
    <t>Julia</t>
  </si>
  <si>
    <t>Rutkiewicz</t>
  </si>
  <si>
    <t>Piotr</t>
  </si>
  <si>
    <t>Bialaszewski</t>
  </si>
  <si>
    <t>Lipka</t>
  </si>
  <si>
    <t>Jakub</t>
  </si>
  <si>
    <t>Jedruszek</t>
  </si>
  <si>
    <t>Marta</t>
  </si>
  <si>
    <t>Opolska</t>
  </si>
  <si>
    <t>Andrzej</t>
  </si>
  <si>
    <t>Moldawiec</t>
  </si>
  <si>
    <t>Zuzanna</t>
  </si>
  <si>
    <t>Malicki</t>
  </si>
  <si>
    <t>Marek</t>
  </si>
  <si>
    <t>Bednarski</t>
  </si>
  <si>
    <t>Sebastian</t>
  </si>
  <si>
    <t>Powoj</t>
  </si>
  <si>
    <t>Barbara</t>
  </si>
  <si>
    <t>Podobinska</t>
  </si>
  <si>
    <t>Wieslawa</t>
  </si>
  <si>
    <t>Koniec</t>
  </si>
  <si>
    <t>Anna</t>
  </si>
  <si>
    <t>Kosowicz</t>
  </si>
  <si>
    <t>Patrycja</t>
  </si>
  <si>
    <t>Glowinska</t>
  </si>
  <si>
    <t>Laura</t>
  </si>
  <si>
    <t>Chmielewska</t>
  </si>
  <si>
    <t>Malwina</t>
  </si>
  <si>
    <t>Korzeniowska</t>
  </si>
  <si>
    <t>Adrian</t>
  </si>
  <si>
    <t>Zawisza</t>
  </si>
  <si>
    <t>Michal</t>
  </si>
  <si>
    <t>Kirwiel</t>
  </si>
  <si>
    <t>Bartosz</t>
  </si>
  <si>
    <t>Protasow</t>
  </si>
  <si>
    <t>Adam</t>
  </si>
  <si>
    <t>Wata</t>
  </si>
  <si>
    <t>Augustowski</t>
  </si>
  <si>
    <t>Teodor</t>
  </si>
  <si>
    <t>Fornal</t>
  </si>
  <si>
    <t>Strack</t>
  </si>
  <si>
    <t>Hanna</t>
  </si>
  <si>
    <t>Stanislawska</t>
  </si>
  <si>
    <t>Hubert</t>
  </si>
  <si>
    <t>Smyk</t>
  </si>
  <si>
    <t>Adelajda</t>
  </si>
  <si>
    <t>Zylinska</t>
  </si>
  <si>
    <t>Karol</t>
  </si>
  <si>
    <t>Felisiak</t>
  </si>
  <si>
    <t>Jan</t>
  </si>
  <si>
    <t>Gacek</t>
  </si>
  <si>
    <t>Nowaczynski</t>
  </si>
  <si>
    <t>Kowalski</t>
  </si>
  <si>
    <t>Ewa</t>
  </si>
  <si>
    <t>Stoch</t>
  </si>
  <si>
    <t>Machalski</t>
  </si>
  <si>
    <t>Reclaw</t>
  </si>
  <si>
    <t>Sznuk</t>
  </si>
  <si>
    <t>Paulina</t>
  </si>
  <si>
    <t>Szklarska</t>
  </si>
  <si>
    <t>Czajkowski</t>
  </si>
  <si>
    <t>Dominik</t>
  </si>
  <si>
    <t>Szczucki</t>
  </si>
  <si>
    <t>Mateusz</t>
  </si>
  <si>
    <t>Karpowicz</t>
  </si>
  <si>
    <t>Sandra</t>
  </si>
  <si>
    <t>Filarska</t>
  </si>
  <si>
    <t>Maria</t>
  </si>
  <si>
    <t>Borowska</t>
  </si>
  <si>
    <t>Potocki</t>
  </si>
  <si>
    <t>Dziuk</t>
  </si>
  <si>
    <t>Dulski</t>
  </si>
  <si>
    <t>Lena</t>
  </si>
  <si>
    <t>Mazurkiewicz</t>
  </si>
  <si>
    <t>Susel</t>
  </si>
  <si>
    <t>Siemiatkowski</t>
  </si>
  <si>
    <t>Inny</t>
  </si>
  <si>
    <t>Rembisz</t>
  </si>
  <si>
    <t>Seweryn</t>
  </si>
  <si>
    <t>Krakowski</t>
  </si>
  <si>
    <t>Jaroslaw</t>
  </si>
  <si>
    <t>Bicz</t>
  </si>
  <si>
    <t>Nowicki</t>
  </si>
  <si>
    <t>Edward</t>
  </si>
  <si>
    <t>Snopek</t>
  </si>
  <si>
    <t>Kamil</t>
  </si>
  <si>
    <t>Naderka</t>
  </si>
  <si>
    <t>Justyna</t>
  </si>
  <si>
    <t>Pozarzycka</t>
  </si>
  <si>
    <t>Biedal</t>
  </si>
  <si>
    <t>Tysz</t>
  </si>
  <si>
    <t>Minska</t>
  </si>
  <si>
    <t>Wieslaw</t>
  </si>
  <si>
    <t>Kasza</t>
  </si>
  <si>
    <t>Wojciech</t>
  </si>
  <si>
    <t>Katowicki</t>
  </si>
  <si>
    <t>Sardo</t>
  </si>
  <si>
    <t>Ewelina</t>
  </si>
  <si>
    <t>Gorecka</t>
  </si>
  <si>
    <t>Dominika</t>
  </si>
  <si>
    <t>Nowakowska</t>
  </si>
  <si>
    <t>Augustowska</t>
  </si>
  <si>
    <t>Kaczorowski</t>
  </si>
  <si>
    <t>Stanislaw</t>
  </si>
  <si>
    <t>Derek</t>
  </si>
  <si>
    <t>Mariola</t>
  </si>
  <si>
    <t>Las</t>
  </si>
  <si>
    <t>Joanna</t>
  </si>
  <si>
    <t>Baranska</t>
  </si>
  <si>
    <t>Przemyslaw</t>
  </si>
  <si>
    <t>Aleksander</t>
  </si>
  <si>
    <t>Wojciechowski</t>
  </si>
  <si>
    <t>Price</t>
  </si>
  <si>
    <t>Mariusz</t>
  </si>
  <si>
    <t>Brydzinski</t>
  </si>
  <si>
    <t>Bikot</t>
  </si>
  <si>
    <t>Krzysztof</t>
  </si>
  <si>
    <t>Konieckiewicz</t>
  </si>
  <si>
    <t>Natalia</t>
  </si>
  <si>
    <t>Belicka</t>
  </si>
  <si>
    <t>Wojna</t>
  </si>
  <si>
    <t>Jacek</t>
  </si>
  <si>
    <t>Ciosinski</t>
  </si>
  <si>
    <t>Jolanta</t>
  </si>
  <si>
    <t>Ręczmin</t>
  </si>
  <si>
    <t>Norek</t>
  </si>
  <si>
    <t>Stuhr</t>
  </si>
  <si>
    <t>Anita</t>
  </si>
  <si>
    <t>Pawelczyk</t>
  </si>
  <si>
    <t>Chmiel</t>
  </si>
  <si>
    <t>Waniek</t>
  </si>
  <si>
    <t>Milek</t>
  </si>
  <si>
    <t>Flis</t>
  </si>
  <si>
    <t>Wanda</t>
  </si>
  <si>
    <t>Sadza</t>
  </si>
  <si>
    <t>Aleks</t>
  </si>
  <si>
    <t>Wojcik</t>
  </si>
  <si>
    <t>Zofia</t>
  </si>
  <si>
    <t>Janczy</t>
  </si>
  <si>
    <t>Kopiec</t>
  </si>
  <si>
    <t>Dorota</t>
  </si>
  <si>
    <t>Adamus</t>
  </si>
  <si>
    <t>Kinga</t>
  </si>
  <si>
    <t>Kleszcz</t>
  </si>
  <si>
    <t>Malgorzata</t>
  </si>
  <si>
    <t>Wiecek</t>
  </si>
  <si>
    <t>Felus</t>
  </si>
  <si>
    <t>Uklej</t>
  </si>
  <si>
    <t>Kielecka</t>
  </si>
  <si>
    <t>Zdunek</t>
  </si>
  <si>
    <t>Trzebiatowska</t>
  </si>
  <si>
    <t>Laskowski</t>
  </si>
  <si>
    <t>Szypulski</t>
  </si>
  <si>
    <t>Drozd</t>
  </si>
  <si>
    <t>Kowalczyk</t>
  </si>
  <si>
    <t>Weronika</t>
  </si>
  <si>
    <t>Zdroj</t>
  </si>
  <si>
    <t>Biczysko</t>
  </si>
  <si>
    <t>Nowakowski</t>
  </si>
  <si>
    <t>Karolina</t>
  </si>
  <si>
    <t>Welc</t>
  </si>
  <si>
    <t>Emilia</t>
  </si>
  <si>
    <t>Mroczek</t>
  </si>
  <si>
    <t>Antos</t>
  </si>
  <si>
    <t>Sabina</t>
  </si>
  <si>
    <t>Wilk</t>
  </si>
  <si>
    <t>Madejski</t>
  </si>
  <si>
    <t>Marcin</t>
  </si>
  <si>
    <t>Wrobel</t>
  </si>
  <si>
    <t>Igor</t>
  </si>
  <si>
    <t>Ryngwelski</t>
  </si>
  <si>
    <t>Lenski</t>
  </si>
  <si>
    <t>Pawel</t>
  </si>
  <si>
    <t>Krawczynska</t>
  </si>
  <si>
    <t>Grzegorz</t>
  </si>
  <si>
    <t>Domek</t>
  </si>
  <si>
    <t>Gora</t>
  </si>
  <si>
    <t>Micun</t>
  </si>
  <si>
    <t>Galas</t>
  </si>
  <si>
    <t>Steinborn</t>
  </si>
  <si>
    <t>Woloszyn</t>
  </si>
  <si>
    <t>Wrona</t>
  </si>
  <si>
    <t>Pudelski</t>
  </si>
  <si>
    <t>Witold</t>
  </si>
  <si>
    <t>Sempa</t>
  </si>
  <si>
    <t>Beata</t>
  </si>
  <si>
    <t>Lubelska</t>
  </si>
  <si>
    <t>Marzena</t>
  </si>
  <si>
    <t>Jagielska</t>
  </si>
  <si>
    <t>Adamska</t>
  </si>
  <si>
    <t>Janik</t>
  </si>
  <si>
    <t>Izabella</t>
  </si>
  <si>
    <t>Jelen</t>
  </si>
  <si>
    <t>Nowak</t>
  </si>
  <si>
    <t>Karpacka</t>
  </si>
  <si>
    <t>Dzierzak</t>
  </si>
  <si>
    <t>Wolicki</t>
  </si>
  <si>
    <t>Yuksek</t>
  </si>
  <si>
    <t>Monika</t>
  </si>
  <si>
    <t>Piterka</t>
  </si>
  <si>
    <t>Magdalena</t>
  </si>
  <si>
    <t>Okraska</t>
  </si>
  <si>
    <t>Edgar</t>
  </si>
  <si>
    <t>Wyszomirski</t>
  </si>
  <si>
    <t>Robak</t>
  </si>
  <si>
    <t>Olszewski</t>
  </si>
  <si>
    <t>Miszkin</t>
  </si>
  <si>
    <t>Czyzynski</t>
  </si>
  <si>
    <t>Karlowski</t>
  </si>
  <si>
    <t>Sofia</t>
  </si>
  <si>
    <t>Adela</t>
  </si>
  <si>
    <t>Waruszewska</t>
  </si>
  <si>
    <t>Inez</t>
  </si>
  <si>
    <t>Nahaj</t>
  </si>
  <si>
    <t>Zenon</t>
  </si>
  <si>
    <t>Bartek</t>
  </si>
  <si>
    <t>Wroblewski</t>
  </si>
  <si>
    <t>Nowicka</t>
  </si>
  <si>
    <t>Irena</t>
  </si>
  <si>
    <t>Banasiewicz</t>
  </si>
  <si>
    <t>Fles</t>
  </si>
  <si>
    <t>Czerwinska</t>
  </si>
  <si>
    <t>Leoniuk</t>
  </si>
  <si>
    <t>Miklis</t>
  </si>
  <si>
    <t>Figurski</t>
  </si>
  <si>
    <t>Aderek</t>
  </si>
  <si>
    <t>Pilc</t>
  </si>
  <si>
    <t>Damian</t>
  </si>
  <si>
    <t>Pilis</t>
  </si>
  <si>
    <t>Gatek</t>
  </si>
  <si>
    <t>Modlinska</t>
  </si>
  <si>
    <t>Janowska</t>
  </si>
  <si>
    <t>Wip</t>
  </si>
  <si>
    <t>Henryk</t>
  </si>
  <si>
    <t>Polarek</t>
  </si>
  <si>
    <t>Marcel</t>
  </si>
  <si>
    <t>Labuda</t>
  </si>
  <si>
    <t>Olgierd</t>
  </si>
  <si>
    <t>Baranek</t>
  </si>
  <si>
    <t>Luiza</t>
  </si>
  <si>
    <t>Makowska</t>
  </si>
  <si>
    <t>Andrea</t>
  </si>
  <si>
    <t>Witkowska</t>
  </si>
  <si>
    <t>Marzec</t>
  </si>
  <si>
    <t>Janusz</t>
  </si>
  <si>
    <t>Artowski</t>
  </si>
  <si>
    <t>Kamila</t>
  </si>
  <si>
    <t>Wolan</t>
  </si>
  <si>
    <t>Inka</t>
  </si>
  <si>
    <t>Sochacka</t>
  </si>
  <si>
    <t>Alina</t>
  </si>
  <si>
    <t>Warta</t>
  </si>
  <si>
    <t>Zega</t>
  </si>
  <si>
    <t>Siminski</t>
  </si>
  <si>
    <t>Piotrowska</t>
  </si>
  <si>
    <t>Bracik</t>
  </si>
  <si>
    <t>Michalina</t>
  </si>
  <si>
    <t>Klebba</t>
  </si>
  <si>
    <t>Zygmunt</t>
  </si>
  <si>
    <t>Kowalczuk</t>
  </si>
  <si>
    <t>Ropiak</t>
  </si>
  <si>
    <t>Kania</t>
  </si>
  <si>
    <t>Macherzynski</t>
  </si>
  <si>
    <t>Czyz</t>
  </si>
  <si>
    <t>Wilecki</t>
  </si>
  <si>
    <t>Zbigniew</t>
  </si>
  <si>
    <t>Paderewski</t>
  </si>
  <si>
    <t>Tusinski</t>
  </si>
  <si>
    <t>Wloczkow</t>
  </si>
  <si>
    <t>Cyprian</t>
  </si>
  <si>
    <t>Swierszcz</t>
  </si>
  <si>
    <t>Tych</t>
  </si>
  <si>
    <t>Kaleta</t>
  </si>
  <si>
    <t>Konrad</t>
  </si>
  <si>
    <t>Lipowski</t>
  </si>
  <si>
    <t>Filipowicz</t>
  </si>
  <si>
    <t>Antoni</t>
  </si>
  <si>
    <t>Pawlus</t>
  </si>
  <si>
    <t>Tadeusz</t>
  </si>
  <si>
    <t>Dwa</t>
  </si>
  <si>
    <t>Lukasz</t>
  </si>
  <si>
    <t>Kopecki</t>
  </si>
  <si>
    <t>Mierny</t>
  </si>
  <si>
    <t>Bohdan</t>
  </si>
  <si>
    <t>Gigant</t>
  </si>
  <si>
    <t>Wolny</t>
  </si>
  <si>
    <t>Olaf</t>
  </si>
  <si>
    <t>Hrywniak</t>
  </si>
  <si>
    <t>Zdrojewska</t>
  </si>
  <si>
    <t>Kornel</t>
  </si>
  <si>
    <t>Mierzejewski</t>
  </si>
  <si>
    <t>Jagielski</t>
  </si>
  <si>
    <t>Tomaszewska</t>
  </si>
  <si>
    <t>Anastazja</t>
  </si>
  <si>
    <t>Wierzbicka</t>
  </si>
  <si>
    <t>Martyna</t>
  </si>
  <si>
    <t>Marmelowska</t>
  </si>
  <si>
    <t>Krystyna</t>
  </si>
  <si>
    <t>Furmaniak</t>
  </si>
  <si>
    <t>Malec</t>
  </si>
  <si>
    <t>Witkowski</t>
  </si>
  <si>
    <t>Winiarska</t>
  </si>
  <si>
    <t>Janowski</t>
  </si>
  <si>
    <t>Zbych</t>
  </si>
  <si>
    <t>Salanowska</t>
  </si>
  <si>
    <t>Nadia</t>
  </si>
  <si>
    <t>Jędrzejczak</t>
  </si>
  <si>
    <t>Milena</t>
  </si>
  <si>
    <t>Karolewska</t>
  </si>
  <si>
    <t>Izabela</t>
  </si>
  <si>
    <t>Skrzydlak</t>
  </si>
  <si>
    <t>Kaczorowska</t>
  </si>
  <si>
    <t>Maksymilian</t>
  </si>
  <si>
    <t>Piwko</t>
  </si>
  <si>
    <t>Gajek</t>
  </si>
  <si>
    <t>Ludziejewski</t>
  </si>
  <si>
    <t>Zdunski</t>
  </si>
  <si>
    <t>Wiera</t>
  </si>
  <si>
    <t>Ilona</t>
  </si>
  <si>
    <t>Zmurko</t>
  </si>
  <si>
    <t>Strehlke</t>
  </si>
  <si>
    <t>Janina</t>
  </si>
  <si>
    <t>Podlaska</t>
  </si>
  <si>
    <t>Tabaka</t>
  </si>
  <si>
    <t>Bury</t>
  </si>
  <si>
    <t>Aleksandra</t>
  </si>
  <si>
    <t>Donata</t>
  </si>
  <si>
    <t>Lidia</t>
  </si>
  <si>
    <t>Goluchowska</t>
  </si>
  <si>
    <t>Gorska</t>
  </si>
  <si>
    <t>Ottka</t>
  </si>
  <si>
    <t>Arleta</t>
  </si>
  <si>
    <t>Pawlik</t>
  </si>
  <si>
    <t>Szymon</t>
  </si>
  <si>
    <t>Mrozniak</t>
  </si>
  <si>
    <t>Wrak</t>
  </si>
  <si>
    <t>Rybinski</t>
  </si>
  <si>
    <t>Marszalek</t>
  </si>
  <si>
    <t>Ryszarda</t>
  </si>
  <si>
    <t>Januszek</t>
  </si>
  <si>
    <t>Bruno</t>
  </si>
  <si>
    <t>Tomaszewski</t>
  </si>
  <si>
    <t>Kozlowska</t>
  </si>
  <si>
    <t>Kopacz</t>
  </si>
  <si>
    <t>Placzek</t>
  </si>
  <si>
    <t>Burza</t>
  </si>
  <si>
    <t>Krawczyk</t>
  </si>
  <si>
    <t>Winiarski</t>
  </si>
  <si>
    <t>Matusik</t>
  </si>
  <si>
    <t>Zak</t>
  </si>
  <si>
    <t>Pieczatowski</t>
  </si>
  <si>
    <t>Bolkowski</t>
  </si>
  <si>
    <t>Kaminska</t>
  </si>
  <si>
    <t>Machol</t>
  </si>
  <si>
    <t>Kalisz</t>
  </si>
  <si>
    <t>Krawiec</t>
  </si>
  <si>
    <t>Pasternak</t>
  </si>
  <si>
    <t>Porydzaj</t>
  </si>
  <si>
    <t>Stanulewicz</t>
  </si>
  <si>
    <t>Kacper</t>
  </si>
  <si>
    <t>Niec</t>
  </si>
  <si>
    <t>Tomasz</t>
  </si>
  <si>
    <t>Boruta</t>
  </si>
  <si>
    <t>Milion</t>
  </si>
  <si>
    <t>Nikolajew</t>
  </si>
  <si>
    <t>Dzban</t>
  </si>
  <si>
    <t>Rembiewski</t>
  </si>
  <si>
    <t>Szczepanska</t>
  </si>
  <si>
    <t>Marcelina</t>
  </si>
  <si>
    <t>Serwicka</t>
  </si>
  <si>
    <t>Polkowicki</t>
  </si>
  <si>
    <t>Nowaczkiewicz</t>
  </si>
  <si>
    <t>Mikos</t>
  </si>
  <si>
    <t>Diana</t>
  </si>
  <si>
    <t>Michalska</t>
  </si>
  <si>
    <t>Wiktor</t>
  </si>
  <si>
    <t>Lubelski</t>
  </si>
  <si>
    <t>Wozniak</t>
  </si>
  <si>
    <t>Matylda</t>
  </si>
  <si>
    <t>Kluziak</t>
  </si>
  <si>
    <t>Chojnacki</t>
  </si>
  <si>
    <t>Gumowska</t>
  </si>
  <si>
    <t>Kazimierz</t>
  </si>
  <si>
    <t>Bartosik</t>
  </si>
  <si>
    <t>Rzeszowska</t>
  </si>
  <si>
    <t>Okla</t>
  </si>
  <si>
    <t>Renata</t>
  </si>
  <si>
    <t>Pawlak</t>
  </si>
  <si>
    <t>Glac</t>
  </si>
  <si>
    <t>Dzielna</t>
  </si>
  <si>
    <t>Tarnowska</t>
  </si>
  <si>
    <t>Lukaszewska</t>
  </si>
  <si>
    <t>Szmitko</t>
  </si>
  <si>
    <t>Julian</t>
  </si>
  <si>
    <t>Lisowski</t>
  </si>
  <si>
    <t>Grzeszcz</t>
  </si>
  <si>
    <t>Geszczynski</t>
  </si>
  <si>
    <t>Kwas</t>
  </si>
  <si>
    <t>Tasz</t>
  </si>
  <si>
    <t>Gizinski</t>
  </si>
  <si>
    <t>Przestrzelski</t>
  </si>
  <si>
    <t>Kopacki</t>
  </si>
  <si>
    <t>Holmes</t>
  </si>
  <si>
    <t>Wiktoria</t>
  </si>
  <si>
    <t>Albert</t>
  </si>
  <si>
    <t>Pleszewski</t>
  </si>
  <si>
    <t>Madej</t>
  </si>
  <si>
    <t>Baran</t>
  </si>
  <si>
    <t>Nikodem</t>
  </si>
  <si>
    <t>Jama</t>
  </si>
  <si>
    <t>Babiarz</t>
  </si>
  <si>
    <t>Wolska</t>
  </si>
  <si>
    <t>Pawiec</t>
  </si>
  <si>
    <t>Janas</t>
  </si>
  <si>
    <t>Sibiga</t>
  </si>
  <si>
    <t>Ryszard</t>
  </si>
  <si>
    <t>Niedziela</t>
  </si>
  <si>
    <t>Bialkowska</t>
  </si>
  <si>
    <t>Kornatowski</t>
  </si>
  <si>
    <t>Angelika</t>
  </si>
  <si>
    <t>Walaszek</t>
  </si>
  <si>
    <t>Pistek</t>
  </si>
  <si>
    <t>Klimas</t>
  </si>
  <si>
    <t>Krynicki</t>
  </si>
  <si>
    <t>Wizniewski</t>
  </si>
  <si>
    <t>Zaczyk</t>
  </si>
  <si>
    <t>Mazgaj</t>
  </si>
  <si>
    <t>Borkowski</t>
  </si>
  <si>
    <t>Wloch</t>
  </si>
  <si>
    <t>Bugaj</t>
  </si>
  <si>
    <t>Mrowczynski</t>
  </si>
  <si>
    <t>Zybert</t>
  </si>
  <si>
    <t>Kot</t>
  </si>
  <si>
    <t>Hajdi</t>
  </si>
  <si>
    <t>Broukin</t>
  </si>
  <si>
    <t>Karcz</t>
  </si>
  <si>
    <t>Marasek</t>
  </si>
  <si>
    <t>Chorzowski</t>
  </si>
  <si>
    <t>Goslawska</t>
  </si>
  <si>
    <t>Janiec</t>
  </si>
  <si>
    <t>Duszota</t>
  </si>
  <si>
    <t>Wojtowicz</t>
  </si>
  <si>
    <t>Iwona</t>
  </si>
  <si>
    <t>Lato</t>
  </si>
  <si>
    <t>Gocyla</t>
  </si>
  <si>
    <t>Eugenia</t>
  </si>
  <si>
    <t>Pieta</t>
  </si>
  <si>
    <t>Saska</t>
  </si>
  <si>
    <t>Maciag</t>
  </si>
  <si>
    <t>Pawelska</t>
  </si>
  <si>
    <t>Roman</t>
  </si>
  <si>
    <t>Grodecki</t>
  </si>
  <si>
    <t>Trawinska</t>
  </si>
  <si>
    <t>Lis</t>
  </si>
  <si>
    <t>Pawleczek</t>
  </si>
  <si>
    <t>Bujak</t>
  </si>
  <si>
    <t>Mozart</t>
  </si>
  <si>
    <t>Zgoda</t>
  </si>
  <si>
    <t>Dab</t>
  </si>
  <si>
    <t>Wnuk</t>
  </si>
  <si>
    <t>Radoslaw</t>
  </si>
  <si>
    <t>Sowinska</t>
  </si>
  <si>
    <t>Walasz</t>
  </si>
  <si>
    <t>Kaczynska</t>
  </si>
  <si>
    <t>Bogdan</t>
  </si>
  <si>
    <t>Szwec</t>
  </si>
  <si>
    <t>Stankiewicz</t>
  </si>
  <si>
    <t>Sobota</t>
  </si>
  <si>
    <t>Jablonski</t>
  </si>
  <si>
    <t>Ewaryst</t>
  </si>
  <si>
    <t>Galazka</t>
  </si>
  <si>
    <t>Wierzbicki</t>
  </si>
  <si>
    <t>Trojanowska</t>
  </si>
  <si>
    <t>Nawwrot</t>
  </si>
  <si>
    <t>Dawid</t>
  </si>
  <si>
    <t>Szreder</t>
  </si>
  <si>
    <t>Widawski</t>
  </si>
  <si>
    <t>Knap</t>
  </si>
  <si>
    <t>Banaszczyk</t>
  </si>
  <si>
    <t>Gumowski</t>
  </si>
  <si>
    <t>Ignacy</t>
  </si>
  <si>
    <t>Sarnowski</t>
  </si>
  <si>
    <t>Bach</t>
  </si>
  <si>
    <t>Szyszko</t>
  </si>
  <si>
    <t>Nancki</t>
  </si>
  <si>
    <t>Waldemar</t>
  </si>
  <si>
    <t>Fornalik</t>
  </si>
  <si>
    <t>Bernard</t>
  </si>
  <si>
    <t>Kilarski</t>
  </si>
  <si>
    <t>Protazy</t>
  </si>
  <si>
    <t>Warszawski</t>
  </si>
  <si>
    <t>Koc</t>
  </si>
  <si>
    <t>Trojan</t>
  </si>
  <si>
    <t>Suszyn</t>
  </si>
  <si>
    <t>Lech</t>
  </si>
  <si>
    <t>Hajdug</t>
  </si>
  <si>
    <t>Baka</t>
  </si>
  <si>
    <t>Wcislo</t>
  </si>
  <si>
    <t>Kurowska</t>
  </si>
  <si>
    <t>Walec</t>
  </si>
  <si>
    <t>Olkuska</t>
  </si>
  <si>
    <t>Czarnecki</t>
  </si>
  <si>
    <t>Morus</t>
  </si>
  <si>
    <t>Jasiak</t>
  </si>
  <si>
    <t>Julianna</t>
  </si>
  <si>
    <t>Procinska</t>
  </si>
  <si>
    <t>Jakubowski</t>
  </si>
  <si>
    <t>Leslaw</t>
  </si>
  <si>
    <t>Kupis</t>
  </si>
  <si>
    <t>Mirowska</t>
  </si>
  <si>
    <t>Bartlomiej</t>
  </si>
  <si>
    <t>Kolacz</t>
  </si>
  <si>
    <t>Adamczyk</t>
  </si>
  <si>
    <t>Pawelec</t>
  </si>
  <si>
    <t>Hazubski</t>
  </si>
  <si>
    <t>Leman</t>
  </si>
  <si>
    <t>Oleksiak</t>
  </si>
  <si>
    <t>Parasiewicz</t>
  </si>
  <si>
    <t>Chojnacka</t>
  </si>
  <si>
    <t>Marian</t>
  </si>
  <si>
    <t>Bukalski</t>
  </si>
  <si>
    <t>Bok</t>
  </si>
  <si>
    <t>Plecien</t>
  </si>
  <si>
    <t>Sadowska</t>
  </si>
  <si>
    <t>Pawik</t>
  </si>
  <si>
    <t>Goc</t>
  </si>
  <si>
    <t>Adamski</t>
  </si>
  <si>
    <t>Jarek</t>
  </si>
  <si>
    <t>Broszkow</t>
  </si>
  <si>
    <t>kaczorek</t>
  </si>
  <si>
    <t>Zaremba</t>
  </si>
  <si>
    <t>Jurewicz</t>
  </si>
  <si>
    <t>Dorian</t>
  </si>
  <si>
    <t>Szczepkowski</t>
  </si>
  <si>
    <t>Lukowski</t>
  </si>
  <si>
    <t>Zbieg</t>
  </si>
  <si>
    <t>Zdun</t>
  </si>
  <si>
    <t>Tycz</t>
  </si>
  <si>
    <t>Biedka</t>
  </si>
  <si>
    <t>Srubka</t>
  </si>
  <si>
    <t>Urszula</t>
  </si>
  <si>
    <t>Borek</t>
  </si>
  <si>
    <t>Mikolaj</t>
  </si>
  <si>
    <t>Beniuszys</t>
  </si>
  <si>
    <t>Mrowiec</t>
  </si>
  <si>
    <t>Koszlaga</t>
  </si>
  <si>
    <t>Knapik</t>
  </si>
  <si>
    <t>Tomczyk</t>
  </si>
  <si>
    <t>Trzebnicki</t>
  </si>
  <si>
    <t>Jurczyk</t>
  </si>
  <si>
    <t>Wichrowski</t>
  </si>
  <si>
    <t>Bajewski</t>
  </si>
  <si>
    <t>Radziszewski</t>
  </si>
  <si>
    <t>Zbik</t>
  </si>
  <si>
    <t>Zurek</t>
  </si>
  <si>
    <t>Roksana</t>
  </si>
  <si>
    <t>Frankowska</t>
  </si>
  <si>
    <t>Kildanowski</t>
  </si>
  <si>
    <t>Walentowicz</t>
  </si>
  <si>
    <t>Olga</t>
  </si>
  <si>
    <t>Paluszkiewicz</t>
  </si>
  <si>
    <t>Perez</t>
  </si>
  <si>
    <t>Pieterson</t>
  </si>
  <si>
    <t>Strupiechowski</t>
  </si>
  <si>
    <t>Kurasik</t>
  </si>
  <si>
    <t>Tutaj</t>
  </si>
  <si>
    <t>Wysocka</t>
  </si>
  <si>
    <t>Koncewicz</t>
  </si>
  <si>
    <t>Mrozik</t>
  </si>
  <si>
    <t>Bonifacy</t>
  </si>
  <si>
    <t>Wymyslowska</t>
  </si>
  <si>
    <t>Lademann</t>
  </si>
  <si>
    <t>Mnich</t>
  </si>
  <si>
    <t>Engel</t>
  </si>
  <si>
    <t>Wamka</t>
  </si>
  <si>
    <t>Radomski</t>
  </si>
  <si>
    <t>Orlicki</t>
  </si>
  <si>
    <t>Kaminski</t>
  </si>
  <si>
    <t>Senger</t>
  </si>
  <si>
    <t>Domzala</t>
  </si>
  <si>
    <t>Wiosna</t>
  </si>
  <si>
    <t>Madawik</t>
  </si>
  <si>
    <t>Madejska</t>
  </si>
  <si>
    <t>Cieslik</t>
  </si>
  <si>
    <t>Magda</t>
  </si>
  <si>
    <t>Makowicz</t>
  </si>
  <si>
    <t>Wlodarska</t>
  </si>
  <si>
    <t>Kiel</t>
  </si>
  <si>
    <t>Anczyk</t>
  </si>
  <si>
    <t>Marlena</t>
  </si>
  <si>
    <t>Mazar</t>
  </si>
  <si>
    <t>Zender</t>
  </si>
  <si>
    <t>Mirska</t>
  </si>
  <si>
    <t>Kos</t>
  </si>
  <si>
    <t>Lutczyk</t>
  </si>
  <si>
    <t>Aniec</t>
  </si>
  <si>
    <t>Sulejski</t>
  </si>
  <si>
    <t>Polaczek</t>
  </si>
  <si>
    <t>Gabriela</t>
  </si>
  <si>
    <t>Malinowska</t>
  </si>
  <si>
    <t>Kepa</t>
  </si>
  <si>
    <t>Lucja</t>
  </si>
  <si>
    <t>Zych</t>
  </si>
  <si>
    <t>Zajac</t>
  </si>
  <si>
    <t>Baranowska</t>
  </si>
  <si>
    <t>Czyzewski</t>
  </si>
  <si>
    <t>Amelia</t>
  </si>
  <si>
    <t>Sobieski</t>
  </si>
  <si>
    <t>Majewska</t>
  </si>
  <si>
    <t>Markowski</t>
  </si>
  <si>
    <t>Kornik</t>
  </si>
  <si>
    <t>Barak</t>
  </si>
  <si>
    <t>Adamowicz</t>
  </si>
  <si>
    <t>Oleszkiewicz</t>
  </si>
  <si>
    <t>Hubicki</t>
  </si>
  <si>
    <t>Traugut</t>
  </si>
  <si>
    <t>Bigaj</t>
  </si>
  <si>
    <t>Adamiak</t>
  </si>
  <si>
    <t>Duszynska</t>
  </si>
  <si>
    <t>Kopytko</t>
  </si>
  <si>
    <t>Mleczko</t>
  </si>
  <si>
    <t>Wicher</t>
  </si>
  <si>
    <t>Berezniewicz</t>
  </si>
  <si>
    <t>Przytula</t>
  </si>
  <si>
    <t>Pietraszczyk</t>
  </si>
  <si>
    <t>Kilecka</t>
  </si>
  <si>
    <t>Gibas</t>
  </si>
  <si>
    <t>Koronski</t>
  </si>
  <si>
    <t>Riegel</t>
  </si>
  <si>
    <t>Kornelia</t>
  </si>
  <si>
    <t>Baranowski</t>
  </si>
  <si>
    <t>Lupa</t>
  </si>
  <si>
    <t>Kraska</t>
  </si>
  <si>
    <t>Lange</t>
  </si>
  <si>
    <t>Kwidczynska</t>
  </si>
  <si>
    <t>Lewita</t>
  </si>
  <si>
    <t>Debicki</t>
  </si>
  <si>
    <t>Wydrzynski</t>
  </si>
  <si>
    <t>Tytus</t>
  </si>
  <si>
    <t>Sulejman</t>
  </si>
  <si>
    <t>Kieloch</t>
  </si>
  <si>
    <t>Draszczyk</t>
  </si>
  <si>
    <t>Kukulski</t>
  </si>
  <si>
    <t>Kulakowski</t>
  </si>
  <si>
    <t>Tytan</t>
  </si>
  <si>
    <t>Samulczyk</t>
  </si>
  <si>
    <t>Wodecki</t>
  </si>
  <si>
    <t>Stefan</t>
  </si>
  <si>
    <t>Bajer</t>
  </si>
  <si>
    <t>Szklarski</t>
  </si>
  <si>
    <t>Wojcicki</t>
  </si>
  <si>
    <t>Dabrowski</t>
  </si>
  <si>
    <t>Pioro</t>
  </si>
  <si>
    <t>Ogorek</t>
  </si>
  <si>
    <t>Helena</t>
  </si>
  <si>
    <t>Stachurska</t>
  </si>
  <si>
    <t>Kolodziejczyk</t>
  </si>
  <si>
    <t>Jopek</t>
  </si>
  <si>
    <t>Spoko</t>
  </si>
  <si>
    <t>Famura</t>
  </si>
  <si>
    <t>Sobol</t>
  </si>
  <si>
    <t>Wojciechowska</t>
  </si>
  <si>
    <t>Mroz</t>
  </si>
  <si>
    <t>Jackowski</t>
  </si>
  <si>
    <t>Kwiatkowski</t>
  </si>
  <si>
    <t>Pisowlodzki</t>
  </si>
  <si>
    <t>Karnia</t>
  </si>
  <si>
    <t>Orlicka</t>
  </si>
  <si>
    <t>miesiąc</t>
  </si>
  <si>
    <t>Suma końcowa</t>
  </si>
  <si>
    <t>Suma z Liczba_kilogramow</t>
  </si>
  <si>
    <t>Łączna ilość kilogramów</t>
  </si>
  <si>
    <t>Numer miesiąca</t>
  </si>
  <si>
    <t>Imie i Nazwisko</t>
  </si>
  <si>
    <t>Adam Borkowski</t>
  </si>
  <si>
    <t>Adam Czarnecki</t>
  </si>
  <si>
    <t>Adam Madejski</t>
  </si>
  <si>
    <t>Adam Susel</t>
  </si>
  <si>
    <t>Adam Wata</t>
  </si>
  <si>
    <t>Adam Zega</t>
  </si>
  <si>
    <t>Adam Zmurko</t>
  </si>
  <si>
    <t>Adam Zurek</t>
  </si>
  <si>
    <t>Adela Waruszewska</t>
  </si>
  <si>
    <t>Adelajda Zylinska</t>
  </si>
  <si>
    <t>Adrian Baran</t>
  </si>
  <si>
    <t>Adrian Dulski</t>
  </si>
  <si>
    <t>Adrian Wozniak</t>
  </si>
  <si>
    <t>Adrian Wydrzynski</t>
  </si>
  <si>
    <t>Adrian Yuksek</t>
  </si>
  <si>
    <t>Adrian Zawisza</t>
  </si>
  <si>
    <t>Agata Kolacz</t>
  </si>
  <si>
    <t>Agata Kwiatkowska</t>
  </si>
  <si>
    <t>Agata Zdrojewska</t>
  </si>
  <si>
    <t>Agata Zgoda</t>
  </si>
  <si>
    <t>Agnieszka Antos</t>
  </si>
  <si>
    <t>Agnieszka Bujak</t>
  </si>
  <si>
    <t>Agnieszka Kaminska</t>
  </si>
  <si>
    <t>Agnieszka Krawczynska</t>
  </si>
  <si>
    <t>Agnieszka Mala</t>
  </si>
  <si>
    <t>Agnieszka Matusik</t>
  </si>
  <si>
    <t>Agnieszka Polak</t>
  </si>
  <si>
    <t>Albert Pleszewski</t>
  </si>
  <si>
    <t>Aleks Wojcicki</t>
  </si>
  <si>
    <t>Aleks Wojcik</t>
  </si>
  <si>
    <t>Aleksander Koc</t>
  </si>
  <si>
    <t>Aleksander Pasternak</t>
  </si>
  <si>
    <t>Aleksander Wojciechowski</t>
  </si>
  <si>
    <t>Aleksandra Donata</t>
  </si>
  <si>
    <t>Aleksandra Kwas</t>
  </si>
  <si>
    <t>Alicja Chmiel</t>
  </si>
  <si>
    <t>Alicja Gadek</t>
  </si>
  <si>
    <t>Alicja Walentowicz</t>
  </si>
  <si>
    <t>Alicja Wojciechowska</t>
  </si>
  <si>
    <t>Alicja Wymyslowska</t>
  </si>
  <si>
    <t>Alina Warta</t>
  </si>
  <si>
    <t>Amelia Wicher</t>
  </si>
  <si>
    <t>Amelia Wilk</t>
  </si>
  <si>
    <t>Anastazja Borowska</t>
  </si>
  <si>
    <t>Anastazja Wamka</t>
  </si>
  <si>
    <t>Andrea Witkowska</t>
  </si>
  <si>
    <t>Andrzej Augustowski</t>
  </si>
  <si>
    <t>Andrzej Moldawiec</t>
  </si>
  <si>
    <t>Andrzej Nawwrot</t>
  </si>
  <si>
    <t>Andrzej Tysz</t>
  </si>
  <si>
    <t>Andrzej Zbieg</t>
  </si>
  <si>
    <t>Angelika Walaszek</t>
  </si>
  <si>
    <t>Anita Kaczorowska</t>
  </si>
  <si>
    <t>Anita Pawelczyk</t>
  </si>
  <si>
    <t>Anita Tych</t>
  </si>
  <si>
    <t>Anita Woloszyn</t>
  </si>
  <si>
    <t>Anna Adamska</t>
  </si>
  <si>
    <t>Anna Babiarz</t>
  </si>
  <si>
    <t>Anna Dab</t>
  </si>
  <si>
    <t>Anna Janowska</t>
  </si>
  <si>
    <t>Anna Jopek</t>
  </si>
  <si>
    <t>Anna Klimas</t>
  </si>
  <si>
    <t>Anna Kosowicz</t>
  </si>
  <si>
    <t>Anna Kot</t>
  </si>
  <si>
    <t>Anna Kraska</t>
  </si>
  <si>
    <t>Anna Minska</t>
  </si>
  <si>
    <t>Anna Tomaszewska</t>
  </si>
  <si>
    <t>Anna Trojanowska</t>
  </si>
  <si>
    <t>Anna Trzebiatowska</t>
  </si>
  <si>
    <t>Anna Tycz</t>
  </si>
  <si>
    <t>Anna Wilk</t>
  </si>
  <si>
    <t>Anna Wnuk</t>
  </si>
  <si>
    <t>Anna Zaczyk</t>
  </si>
  <si>
    <t>Anna Zender</t>
  </si>
  <si>
    <t>Antoni Pawlus</t>
  </si>
  <si>
    <t>Antoni Pisowlodzki</t>
  </si>
  <si>
    <t>Antoni Sobieski</t>
  </si>
  <si>
    <t>Antoni Wierzbicki</t>
  </si>
  <si>
    <t>Antoni Wizniewski</t>
  </si>
  <si>
    <t>Arleta Pawlik</t>
  </si>
  <si>
    <t>Balbina Boryczko</t>
  </si>
  <si>
    <t>Balbina Madej</t>
  </si>
  <si>
    <t>Balbina Majewska</t>
  </si>
  <si>
    <t>Barbara Bury</t>
  </si>
  <si>
    <t>Barbara Karcz</t>
  </si>
  <si>
    <t>Barbara Kiel</t>
  </si>
  <si>
    <t>Barbara Kilarski</t>
  </si>
  <si>
    <t>Barbara Podobinska</t>
  </si>
  <si>
    <t>Bartlomiej Wojciechowski</t>
  </si>
  <si>
    <t>Bartosz Debicki</t>
  </si>
  <si>
    <t>Bartosz Mazgaj</t>
  </si>
  <si>
    <t>Bartosz Protasow</t>
  </si>
  <si>
    <t>Bartosz Tusinski</t>
  </si>
  <si>
    <t>Beata Fles</t>
  </si>
  <si>
    <t>Beata Lubelska</t>
  </si>
  <si>
    <t>Beata Mirowska</t>
  </si>
  <si>
    <t>Bernard Lubelski</t>
  </si>
  <si>
    <t>Bernard Madej</t>
  </si>
  <si>
    <t>Bogdan Inny</t>
  </si>
  <si>
    <t>Bohdan Gigant</t>
  </si>
  <si>
    <t>Bonifacy Pleszewski</t>
  </si>
  <si>
    <t>Borys Biedal</t>
  </si>
  <si>
    <t>Borys Myszor</t>
  </si>
  <si>
    <t>Borys Winiarski</t>
  </si>
  <si>
    <t>Bruno Tomaszewski</t>
  </si>
  <si>
    <t>Bruno Tomczyk</t>
  </si>
  <si>
    <t>Cyprian Swierszcz</t>
  </si>
  <si>
    <t>Damian Pilis</t>
  </si>
  <si>
    <t>Daria Mikos</t>
  </si>
  <si>
    <t>Daria Pawiec</t>
  </si>
  <si>
    <t>Daria Witkowska</t>
  </si>
  <si>
    <t>Daria Zagrobna</t>
  </si>
  <si>
    <t>Dawid Szreder</t>
  </si>
  <si>
    <t>Diana Michalska</t>
  </si>
  <si>
    <t>Dominik Szczucki</t>
  </si>
  <si>
    <t>Dominik Szmitko</t>
  </si>
  <si>
    <t>Dominika Duszynska</t>
  </si>
  <si>
    <t>Dominika Madejska</t>
  </si>
  <si>
    <t>Dominika Mierny</t>
  </si>
  <si>
    <t>Dominika Nowakowska</t>
  </si>
  <si>
    <t>Dominika Piotrowska</t>
  </si>
  <si>
    <t>Dominika Szwec</t>
  </si>
  <si>
    <t>Dominika Wierzbicka</t>
  </si>
  <si>
    <t>Dorian Szczepkowski</t>
  </si>
  <si>
    <t>Dorota Adamus</t>
  </si>
  <si>
    <t>Dorota Gumowska</t>
  </si>
  <si>
    <t>Dorota Tarnowska</t>
  </si>
  <si>
    <t>Dorota Zdun</t>
  </si>
  <si>
    <t>Edgar Wyszomirski</t>
  </si>
  <si>
    <t>Edward Snopek</t>
  </si>
  <si>
    <t>Edward Zdunek</t>
  </si>
  <si>
    <t>Emilia Janik</t>
  </si>
  <si>
    <t>Emilia Mroczek</t>
  </si>
  <si>
    <t>Emilia Szczepanska</t>
  </si>
  <si>
    <t>Eugenia Pieta</t>
  </si>
  <si>
    <t>Ewa Aderek</t>
  </si>
  <si>
    <t>Ewa Augustowska</t>
  </si>
  <si>
    <t>Ewa Czerwinska</t>
  </si>
  <si>
    <t>Ewa Milion</t>
  </si>
  <si>
    <t>Ewa Nowicka</t>
  </si>
  <si>
    <t>Ewa Spoko</t>
  </si>
  <si>
    <t>Ewa Stoch</t>
  </si>
  <si>
    <t>Ewa Tarnowska</t>
  </si>
  <si>
    <t>Ewa Tysz</t>
  </si>
  <si>
    <t>Ewa Wojna</t>
  </si>
  <si>
    <t>Ewa Zak</t>
  </si>
  <si>
    <t>Ewaryst Zdunek</t>
  </si>
  <si>
    <t>Ewelina Bialkowska</t>
  </si>
  <si>
    <t>Ewelina Gorecka</t>
  </si>
  <si>
    <t>Ewelina Goslawska</t>
  </si>
  <si>
    <t>Ewelina Mirska</t>
  </si>
  <si>
    <t>Filip Sobol</t>
  </si>
  <si>
    <t>Filip Spanowski</t>
  </si>
  <si>
    <t>Filip Spychala</t>
  </si>
  <si>
    <t>Filip Stanulewicz</t>
  </si>
  <si>
    <t>Filip Strack</t>
  </si>
  <si>
    <t>Filip Strehlke</t>
  </si>
  <si>
    <t>Filip Strupiechowski</t>
  </si>
  <si>
    <t>Gabriela Malinowska</t>
  </si>
  <si>
    <t>Gabriela Oleszkiewicz</t>
  </si>
  <si>
    <t>Grzegorz Domek</t>
  </si>
  <si>
    <t>Grzegorz Jackowski</t>
  </si>
  <si>
    <t>Grzegorz Kaminski</t>
  </si>
  <si>
    <t>Grzegorz Wojtowicz</t>
  </si>
  <si>
    <t>Hanna Malicki</t>
  </si>
  <si>
    <t>Hanna Modlinska</t>
  </si>
  <si>
    <t>Hanna Stanislawska</t>
  </si>
  <si>
    <t>Hanna Stankiewicz</t>
  </si>
  <si>
    <t>Hanna Steinborn</t>
  </si>
  <si>
    <t>Helena Stachurska</t>
  </si>
  <si>
    <t>Henryk Polarek</t>
  </si>
  <si>
    <t>Henryk Siminski</t>
  </si>
  <si>
    <t>Hubert Borek</t>
  </si>
  <si>
    <t>Hubert Nowaczynski</t>
  </si>
  <si>
    <t>Hubert Pieczatowski</t>
  </si>
  <si>
    <t>Hubert Smyk</t>
  </si>
  <si>
    <t>Ignacy Sarnowski</t>
  </si>
  <si>
    <t>Igor Rybinski</t>
  </si>
  <si>
    <t>Igor Ryngwelski</t>
  </si>
  <si>
    <t>Ilona Gorska</t>
  </si>
  <si>
    <t>Ilona Lukaszewska</t>
  </si>
  <si>
    <t>Ilona Nowak</t>
  </si>
  <si>
    <t>Inez Nahaj</t>
  </si>
  <si>
    <t>Inka Sochacka</t>
  </si>
  <si>
    <t>Irena Banasiewicz</t>
  </si>
  <si>
    <t>Irena Piotrowska</t>
  </si>
  <si>
    <t>Iwona Anczyk</t>
  </si>
  <si>
    <t>Iwona Lato</t>
  </si>
  <si>
    <t>Iwona Wlodarska</t>
  </si>
  <si>
    <t>Izabela Draszczyk</t>
  </si>
  <si>
    <t>Izabela Skrzydlak</t>
  </si>
  <si>
    <t>Izabela Sobota</t>
  </si>
  <si>
    <t>Izabella Jelen</t>
  </si>
  <si>
    <t>Jacek Bigaj</t>
  </si>
  <si>
    <t>Jacek Chojnacki</t>
  </si>
  <si>
    <t>Jacek Ciosinski</t>
  </si>
  <si>
    <t>Jacek Pieczatowski</t>
  </si>
  <si>
    <t>Jacek Szypulski</t>
  </si>
  <si>
    <t>Jakub Bracik</t>
  </si>
  <si>
    <t>Jakub Holmes</t>
  </si>
  <si>
    <t>Jakub Jedruszek</t>
  </si>
  <si>
    <t>Jakub Marszalek</t>
  </si>
  <si>
    <t>Jakub Porydzaj</t>
  </si>
  <si>
    <t>Jakub Potocki</t>
  </si>
  <si>
    <t>Jakub Przestrzelski</t>
  </si>
  <si>
    <t>Jakub Przytula</t>
  </si>
  <si>
    <t>Jakub Radomski</t>
  </si>
  <si>
    <t>Jakub Radziszewski</t>
  </si>
  <si>
    <t>Jakub Rembiewski</t>
  </si>
  <si>
    <t>Jakub Rembisz</t>
  </si>
  <si>
    <t>Jakub Ręczmin</t>
  </si>
  <si>
    <t>Jakub Ropiak</t>
  </si>
  <si>
    <t>Jakub Waniek</t>
  </si>
  <si>
    <t>Jan Adamowicz</t>
  </si>
  <si>
    <t>Jan Bikot</t>
  </si>
  <si>
    <t>Jan Gacek</t>
  </si>
  <si>
    <t>Jan Gumowski</t>
  </si>
  <si>
    <t>Jan Inny</t>
  </si>
  <si>
    <t>Jan Jarek</t>
  </si>
  <si>
    <t>Jan Kaczorowski</t>
  </si>
  <si>
    <t>Jan Kildanowski</t>
  </si>
  <si>
    <t>Jan Kwiatkowski</t>
  </si>
  <si>
    <t>Jan Madawik</t>
  </si>
  <si>
    <t>Jan Marasek</t>
  </si>
  <si>
    <t>Jan Nancki</t>
  </si>
  <si>
    <t>Jan Pawelec</t>
  </si>
  <si>
    <t>Jan Pieterson</t>
  </si>
  <si>
    <t>Jan Pietraszczyk</t>
  </si>
  <si>
    <t>Jan Pistek</t>
  </si>
  <si>
    <t>Jan Sznuk</t>
  </si>
  <si>
    <t>Jan Zaczyk</t>
  </si>
  <si>
    <t>Jan Zajac</t>
  </si>
  <si>
    <t>Jan Zdunski</t>
  </si>
  <si>
    <t>Janina Kaczynska</t>
  </si>
  <si>
    <t>Janina Podlaska</t>
  </si>
  <si>
    <t>Janusz Artowski</t>
  </si>
  <si>
    <t>Janusz Baka</t>
  </si>
  <si>
    <t>Janusz Wrobel</t>
  </si>
  <si>
    <t>Jaroslaw Bicz</t>
  </si>
  <si>
    <t>Jaroslaw Kopiec</t>
  </si>
  <si>
    <t>Jaroslaw Kopytko</t>
  </si>
  <si>
    <t>Jerzy Czajkowski</t>
  </si>
  <si>
    <t>Jerzy Pawiec</t>
  </si>
  <si>
    <t>Jerzy Polanicki</t>
  </si>
  <si>
    <t>Jerzy Szklarski</t>
  </si>
  <si>
    <t>Joanna Banaszczyk</t>
  </si>
  <si>
    <t>Joanna Baranska</t>
  </si>
  <si>
    <t>Joanna Janas</t>
  </si>
  <si>
    <t>Joanna Kopacki</t>
  </si>
  <si>
    <t>Joanna Oleksiak</t>
  </si>
  <si>
    <t>Joanna Ottka</t>
  </si>
  <si>
    <t>Joanna Pilc</t>
  </si>
  <si>
    <t>Joanna Senger</t>
  </si>
  <si>
    <t>Joanna Sibiga</t>
  </si>
  <si>
    <t>Joanna Traugut</t>
  </si>
  <si>
    <t>Joanna Wrobel</t>
  </si>
  <si>
    <t>Joanna Zygmunt</t>
  </si>
  <si>
    <t>Jolanta Bicz</t>
  </si>
  <si>
    <t>Julia Kielecka</t>
  </si>
  <si>
    <t>Julia Reclaw</t>
  </si>
  <si>
    <t>Julia Riegel</t>
  </si>
  <si>
    <t>Julia Rutkiewicz</t>
  </si>
  <si>
    <t>Julia Sadowska</t>
  </si>
  <si>
    <t>Julia Salanowska</t>
  </si>
  <si>
    <t>Julia Samulczyk</t>
  </si>
  <si>
    <t>Julia Saska</t>
  </si>
  <si>
    <t>Julia Stuhr</t>
  </si>
  <si>
    <t>Julia Wolska</t>
  </si>
  <si>
    <t>Julia Zaremba</t>
  </si>
  <si>
    <t>Julian Lisowski</t>
  </si>
  <si>
    <t>Julian Pawik</t>
  </si>
  <si>
    <t>Julian Snopek</t>
  </si>
  <si>
    <t>Julianna Procinska</t>
  </si>
  <si>
    <t>Justyna Mnich</t>
  </si>
  <si>
    <t>Justyna Pozarzycka</t>
  </si>
  <si>
    <t>Justyna Wysocka</t>
  </si>
  <si>
    <t>Kacper Kowalski</t>
  </si>
  <si>
    <t>Kacper Niec</t>
  </si>
  <si>
    <t>Kacper Nikolajew</t>
  </si>
  <si>
    <t>Kacper Nowak</t>
  </si>
  <si>
    <t>Kacper Okla</t>
  </si>
  <si>
    <t>Kacper Pioro</t>
  </si>
  <si>
    <t>Kacper Trzebnicki</t>
  </si>
  <si>
    <t>Kamil Krawczyk</t>
  </si>
  <si>
    <t>Kamil Ludziejewski</t>
  </si>
  <si>
    <t>Kamil Naderka</t>
  </si>
  <si>
    <t>Kamil Pudelski</t>
  </si>
  <si>
    <t>Kamil Szyszko</t>
  </si>
  <si>
    <t>Kamil Waniek</t>
  </si>
  <si>
    <t>Kamil Wolny</t>
  </si>
  <si>
    <t>Kamila Bialkowska</t>
  </si>
  <si>
    <t>Kamila Janas</t>
  </si>
  <si>
    <t>Kamila Knapik</t>
  </si>
  <si>
    <t>Kamila Kot</t>
  </si>
  <si>
    <t>Kamila Wolan</t>
  </si>
  <si>
    <t>Karol Dziuk</t>
  </si>
  <si>
    <t>Karol Felisiak</t>
  </si>
  <si>
    <t>Karol Hubicki</t>
  </si>
  <si>
    <t>Karol Milek</t>
  </si>
  <si>
    <t>Karol Pawleczek</t>
  </si>
  <si>
    <t>Karol Walasz</t>
  </si>
  <si>
    <t>Karol Wichrowski</t>
  </si>
  <si>
    <t>Karol Wojciechowski</t>
  </si>
  <si>
    <t>Karolina Bok</t>
  </si>
  <si>
    <t>Karolina Karpacka</t>
  </si>
  <si>
    <t>Karolina Mikos</t>
  </si>
  <si>
    <t>Karolina Nowak</t>
  </si>
  <si>
    <t>Karolina Pawelska</t>
  </si>
  <si>
    <t>Karolina Perez</t>
  </si>
  <si>
    <t>Karolina Stuhr</t>
  </si>
  <si>
    <t>Karolina Welc</t>
  </si>
  <si>
    <t>Karolina Wrak</t>
  </si>
  <si>
    <t>Karolina Wrona</t>
  </si>
  <si>
    <t>Katarzyna Aniec</t>
  </si>
  <si>
    <t>Katarzyna Dzielna</t>
  </si>
  <si>
    <t>Katarzyna Galazka</t>
  </si>
  <si>
    <t>Katarzyna Karnia</t>
  </si>
  <si>
    <t>Katarzyna Wip</t>
  </si>
  <si>
    <t>Katarzyna Zmokly</t>
  </si>
  <si>
    <t>Kazimierz Bartosik</t>
  </si>
  <si>
    <t>Kazimierz Biedka</t>
  </si>
  <si>
    <t>Kinga Famura</t>
  </si>
  <si>
    <t>Kinga Kleszcz</t>
  </si>
  <si>
    <t>Kinga Trawinska</t>
  </si>
  <si>
    <t>Klaudia Myk</t>
  </si>
  <si>
    <t>Konrad Jagielski</t>
  </si>
  <si>
    <t>Konrad Lipowski</t>
  </si>
  <si>
    <t>Kornel Mierzejewski</t>
  </si>
  <si>
    <t>Kornelia Nowakowska</t>
  </si>
  <si>
    <t>Krystyna Szybki</t>
  </si>
  <si>
    <t>Krzysztof Czyz</t>
  </si>
  <si>
    <t>Krzysztof Dwa</t>
  </si>
  <si>
    <t>Krzysztof Figurski</t>
  </si>
  <si>
    <t>Krzysztof Koncewicz</t>
  </si>
  <si>
    <t>Krzysztof Konieckiewicz</t>
  </si>
  <si>
    <t>Krzysztof Kukulski</t>
  </si>
  <si>
    <t>Krzysztof Las</t>
  </si>
  <si>
    <t>Krzysztof Madejski</t>
  </si>
  <si>
    <t>Krzysztof Micun</t>
  </si>
  <si>
    <t>Krzysztof Plecien</t>
  </si>
  <si>
    <t>Krzysztof Sobieski</t>
  </si>
  <si>
    <t>Krzysztof Wilecki</t>
  </si>
  <si>
    <t>Krzysztof Wloch</t>
  </si>
  <si>
    <t>Laura Chmielewska</t>
  </si>
  <si>
    <t>Lech Lisowski</t>
  </si>
  <si>
    <t>Lena Marzec</t>
  </si>
  <si>
    <t>Lena Mazurkiewicz</t>
  </si>
  <si>
    <t>Lena Miszkin</t>
  </si>
  <si>
    <t>Lena Mrozik</t>
  </si>
  <si>
    <t>Leon Price</t>
  </si>
  <si>
    <t>Leon Szybki</t>
  </si>
  <si>
    <t>Leslaw Kupis</t>
  </si>
  <si>
    <t>Lidia Goluchowska</t>
  </si>
  <si>
    <t>Lidia Tarnowska</t>
  </si>
  <si>
    <t>Lucja Zych</t>
  </si>
  <si>
    <t>Luiza Makowska</t>
  </si>
  <si>
    <t>Lukasz Czarnecki</t>
  </si>
  <si>
    <t>Lukasz Gacek</t>
  </si>
  <si>
    <t>Lukasz Kopecki</t>
  </si>
  <si>
    <t>Lukasz Kot</t>
  </si>
  <si>
    <t>Lukasz Niedziela</t>
  </si>
  <si>
    <t>Lukasz Pawlik</t>
  </si>
  <si>
    <t>Maciej Bugaj</t>
  </si>
  <si>
    <t>Maciej Czyzynski</t>
  </si>
  <si>
    <t>Maciej Kopacz</t>
  </si>
  <si>
    <t>Maciej Kowalski</t>
  </si>
  <si>
    <t>Maciej Laskowski</t>
  </si>
  <si>
    <t>Maciej Lukowski</t>
  </si>
  <si>
    <t>Maciej Lutczyk</t>
  </si>
  <si>
    <t>Maciej Lyszcz</t>
  </si>
  <si>
    <t>Maciej Machalski</t>
  </si>
  <si>
    <t>Maciej Machol</t>
  </si>
  <si>
    <t>Maciej Nowak</t>
  </si>
  <si>
    <t>Maciej Siemiatkowski</t>
  </si>
  <si>
    <t>Maciej Tasz</t>
  </si>
  <si>
    <t>Maciej Wodecki</t>
  </si>
  <si>
    <t>Magda Makowicz</t>
  </si>
  <si>
    <t>Magdalena Bach</t>
  </si>
  <si>
    <t>Magdalena Nowak</t>
  </si>
  <si>
    <t>Magdalena Okraska</t>
  </si>
  <si>
    <t>Maja Kaminska</t>
  </si>
  <si>
    <t>Maja Kulkowska</t>
  </si>
  <si>
    <t>Maja Kurowska</t>
  </si>
  <si>
    <t>Maja Kwidczynska</t>
  </si>
  <si>
    <t>Maja Lange</t>
  </si>
  <si>
    <t>Maja Leman</t>
  </si>
  <si>
    <t>Maja Lipka</t>
  </si>
  <si>
    <t>Maksymilian Lewita</t>
  </si>
  <si>
    <t>Maksymilian Lupa</t>
  </si>
  <si>
    <t>Maksymilian Piwko</t>
  </si>
  <si>
    <t>Malgorzata Karlowski</t>
  </si>
  <si>
    <t>Malgorzata Kozlowska</t>
  </si>
  <si>
    <t>Malgorzata Malec</t>
  </si>
  <si>
    <t>Malgorzata Wiecek</t>
  </si>
  <si>
    <t>Malgorzata Winiarska</t>
  </si>
  <si>
    <t>Malwina Korzeniowska</t>
  </si>
  <si>
    <t>Marcel Labuda</t>
  </si>
  <si>
    <t>Marcel Lademann</t>
  </si>
  <si>
    <t>Marcelina Serwicka</t>
  </si>
  <si>
    <t>Marcin Gizinski</t>
  </si>
  <si>
    <t>Marcin Kurasik</t>
  </si>
  <si>
    <t>Marcin Markowski</t>
  </si>
  <si>
    <t>Marcin Tabaka</t>
  </si>
  <si>
    <t>Marcin Wrobel</t>
  </si>
  <si>
    <t>Marek Bednarski</t>
  </si>
  <si>
    <t>Marek Chorzowski</t>
  </si>
  <si>
    <t>Marek Janowski</t>
  </si>
  <si>
    <t>Marek Leoniuk</t>
  </si>
  <si>
    <t>Marek Nowakowski</t>
  </si>
  <si>
    <t>Marek Sulejski</t>
  </si>
  <si>
    <t>Marek Sznuk</t>
  </si>
  <si>
    <t>Marek Witkowski</t>
  </si>
  <si>
    <t>Marek Wolicki</t>
  </si>
  <si>
    <t>Marek Zybert</t>
  </si>
  <si>
    <t>Maria Adamska</t>
  </si>
  <si>
    <t>Maria Borowska</t>
  </si>
  <si>
    <t>Maria Drozd</t>
  </si>
  <si>
    <t>Maria Galas</t>
  </si>
  <si>
    <t>Maria Gatek</t>
  </si>
  <si>
    <t>Maria Kowalczuk</t>
  </si>
  <si>
    <t>Maria Kowalczyk</t>
  </si>
  <si>
    <t>Maria Opolska</t>
  </si>
  <si>
    <t>Maria Orlicka</t>
  </si>
  <si>
    <t>Maria Orlicki</t>
  </si>
  <si>
    <t>Marian Bukalski</t>
  </si>
  <si>
    <t>Mariola Las</t>
  </si>
  <si>
    <t>Mariola Mleczko</t>
  </si>
  <si>
    <t>Mariusz Brydzinski</t>
  </si>
  <si>
    <t>Mariusz Kornik</t>
  </si>
  <si>
    <t>Mariusz Mrowiec</t>
  </si>
  <si>
    <t>Mariusz Suszyn</t>
  </si>
  <si>
    <t>Marlena Mazar</t>
  </si>
  <si>
    <t>Marta Kolodziejczyk</t>
  </si>
  <si>
    <t>Marta Opolska</t>
  </si>
  <si>
    <t>Marta Robak</t>
  </si>
  <si>
    <t>Marta Wiosna</t>
  </si>
  <si>
    <t>Marta Wloczkow</t>
  </si>
  <si>
    <t>Martyna Marmelowska</t>
  </si>
  <si>
    <t>Marzena Gajek</t>
  </si>
  <si>
    <t>Marzena Jagielska</t>
  </si>
  <si>
    <t>Marzena Parasiewicz</t>
  </si>
  <si>
    <t>Mateusz Filipowicz</t>
  </si>
  <si>
    <t>Mateusz Hajdug</t>
  </si>
  <si>
    <t>Mateusz Kaczorowski</t>
  </si>
  <si>
    <t>Mateusz Karpowicz</t>
  </si>
  <si>
    <t>Mateusz Kornatowski</t>
  </si>
  <si>
    <t>Mateusz Koszlaga</t>
  </si>
  <si>
    <t>Mateusz Kowalczyk</t>
  </si>
  <si>
    <t>Mateusz Krawczyk</t>
  </si>
  <si>
    <t>Mateusz Krynicki</t>
  </si>
  <si>
    <t>Mateusz Mrowczynski</t>
  </si>
  <si>
    <t>Mateusz Polak</t>
  </si>
  <si>
    <t>Mateusz Sardo</t>
  </si>
  <si>
    <t>Mateusz Uklej</t>
  </si>
  <si>
    <t>Matylda Kluziak</t>
  </si>
  <si>
    <t>Michal Gora</t>
  </si>
  <si>
    <t>Michal Jan</t>
  </si>
  <si>
    <t>Michal Kieloch</t>
  </si>
  <si>
    <t>Michal Kirwiel</t>
  </si>
  <si>
    <t>Michal Lenski</t>
  </si>
  <si>
    <t>Michal Norek</t>
  </si>
  <si>
    <t>Michal Nowicki</t>
  </si>
  <si>
    <t>Michal Polaczek</t>
  </si>
  <si>
    <t>Michalina Klebba</t>
  </si>
  <si>
    <t>Mikolaj Beniuszys</t>
  </si>
  <si>
    <t>Milena Karolewska</t>
  </si>
  <si>
    <t>Monika Bialkowska</t>
  </si>
  <si>
    <t>Monika Kos</t>
  </si>
  <si>
    <t>Monika Lis</t>
  </si>
  <si>
    <t>Monika Nowaczkiewicz</t>
  </si>
  <si>
    <t>Monika Piterka</t>
  </si>
  <si>
    <t>Monika Placzek</t>
  </si>
  <si>
    <t>Monika Srubka</t>
  </si>
  <si>
    <t>Monika Trojan</t>
  </si>
  <si>
    <t>Morus Jasiak</t>
  </si>
  <si>
    <t>Nadia Jędrzejczak</t>
  </si>
  <si>
    <t>Nadia Jurczyk</t>
  </si>
  <si>
    <t>Nadia Jurewicz</t>
  </si>
  <si>
    <t>Natalia Belicka</t>
  </si>
  <si>
    <t>Natalia Boryczko</t>
  </si>
  <si>
    <t>Natalia Knap</t>
  </si>
  <si>
    <t>Natalia Miklis</t>
  </si>
  <si>
    <t>Natalia Mroz</t>
  </si>
  <si>
    <t>Natalia Olkuska</t>
  </si>
  <si>
    <t>Natalia Wolny</t>
  </si>
  <si>
    <t>Nikodem Jablonski</t>
  </si>
  <si>
    <t>Nikodem Jakubowski</t>
  </si>
  <si>
    <t>Nikodem Jama</t>
  </si>
  <si>
    <t>Olaf Hrywniak</t>
  </si>
  <si>
    <t>Olga Kilecka</t>
  </si>
  <si>
    <t>Olga Paluszkiewicz</t>
  </si>
  <si>
    <t>Olgierd Baranek</t>
  </si>
  <si>
    <t>Olgierd Hazubski</t>
  </si>
  <si>
    <t>Patrycja Augustowska</t>
  </si>
  <si>
    <t>Patrycja Dzban</t>
  </si>
  <si>
    <t>Patrycja Glowinska</t>
  </si>
  <si>
    <t>Patrycja Grzeszcz</t>
  </si>
  <si>
    <t>Patrycja Rzeszowska</t>
  </si>
  <si>
    <t>Patrycja Wcislo</t>
  </si>
  <si>
    <t>Patryk Geszczynski</t>
  </si>
  <si>
    <t>Patryk Gibas</t>
  </si>
  <si>
    <t>Patryk Giemza</t>
  </si>
  <si>
    <t>Patryk Glac</t>
  </si>
  <si>
    <t>Paulina Baranowska</t>
  </si>
  <si>
    <t>Paulina Szklarska</t>
  </si>
  <si>
    <t>Pawel Bolkowski</t>
  </si>
  <si>
    <t>Pawel Furmaniak</t>
  </si>
  <si>
    <t>Pawel kaczorek</t>
  </si>
  <si>
    <t>Pawel Macherzynski</t>
  </si>
  <si>
    <t>Pawel Nowak</t>
  </si>
  <si>
    <t>Pawel Nowakowski</t>
  </si>
  <si>
    <t>Piotr Adamski</t>
  </si>
  <si>
    <t>Piotr Bialaszewski</t>
  </si>
  <si>
    <t>Piotr Duszota</t>
  </si>
  <si>
    <t>Piotr Dzierzak</t>
  </si>
  <si>
    <t>Piotr Felus</t>
  </si>
  <si>
    <t>Piotr Flis</t>
  </si>
  <si>
    <t>Piotr Kaleta</t>
  </si>
  <si>
    <t>Piotr Kania</t>
  </si>
  <si>
    <t>Piotr Mozart</t>
  </si>
  <si>
    <t>Piotr Polkowicki</t>
  </si>
  <si>
    <t>Piotr Walec</t>
  </si>
  <si>
    <t>Protazy Warszawski</t>
  </si>
  <si>
    <t>Przemyslaw Bajewski</t>
  </si>
  <si>
    <t>Przemyslaw Marek</t>
  </si>
  <si>
    <t>Przemyslaw Widawski</t>
  </si>
  <si>
    <t>Radoslaw Sowinska</t>
  </si>
  <si>
    <t>Renata Kepa</t>
  </si>
  <si>
    <t>Renata Pawlak</t>
  </si>
  <si>
    <t>Roksana Frankowska</t>
  </si>
  <si>
    <t>Roman Grodecki</t>
  </si>
  <si>
    <t>Ryszard Baranowski</t>
  </si>
  <si>
    <t>Ryszard Domzala</t>
  </si>
  <si>
    <t>Ryszard Matusik</t>
  </si>
  <si>
    <t>Ryszarda Januszek</t>
  </si>
  <si>
    <t>Sabina Wilk</t>
  </si>
  <si>
    <t>Sandra Filarska</t>
  </si>
  <si>
    <t>Sebastian Powoj</t>
  </si>
  <si>
    <t>Seweryn Krakowski</t>
  </si>
  <si>
    <t>Sofia Felisiak</t>
  </si>
  <si>
    <t>Stanislaw Burza</t>
  </si>
  <si>
    <t>Stanislaw Cieslik</t>
  </si>
  <si>
    <t>Stanislaw Dabrowski</t>
  </si>
  <si>
    <t>Stanislaw Derek</t>
  </si>
  <si>
    <t>Stanislaw Janiec</t>
  </si>
  <si>
    <t>Stefan Bajer</t>
  </si>
  <si>
    <t>Szymon Mrozniak</t>
  </si>
  <si>
    <t>Szymon Polak</t>
  </si>
  <si>
    <t>Szymon Wozniak</t>
  </si>
  <si>
    <t>Tadeusz Stoch</t>
  </si>
  <si>
    <t>Teodor Fornal</t>
  </si>
  <si>
    <t>Teodor Nowak</t>
  </si>
  <si>
    <t>Teodor Olszewski</t>
  </si>
  <si>
    <t>Tomasz Borkowski</t>
  </si>
  <si>
    <t>Tomasz Boruta</t>
  </si>
  <si>
    <t>Tomasz Hajdi</t>
  </si>
  <si>
    <t>Tomasz Ogorek</t>
  </si>
  <si>
    <t>Tomasz Tutaj</t>
  </si>
  <si>
    <t>Tomasz Tytan</t>
  </si>
  <si>
    <t>Tomasz Zbik</t>
  </si>
  <si>
    <t>Tytus Sulejman</t>
  </si>
  <si>
    <t>Urszula Engel</t>
  </si>
  <si>
    <t>Urszula Pawlak</t>
  </si>
  <si>
    <t>Waldemar Fornalik</t>
  </si>
  <si>
    <t>Waldemar Koronski</t>
  </si>
  <si>
    <t>Wanda Chojnacka</t>
  </si>
  <si>
    <t>Wanda Sadza</t>
  </si>
  <si>
    <t>Weronika Zdroj</t>
  </si>
  <si>
    <t>Wiera Nowak</t>
  </si>
  <si>
    <t>Wieslaw Kasza</t>
  </si>
  <si>
    <t>Wieslawa Biczysko</t>
  </si>
  <si>
    <t>Wieslawa Koniec</t>
  </si>
  <si>
    <t>Wieslawa Krawiec</t>
  </si>
  <si>
    <t>Wieslawa Nowak</t>
  </si>
  <si>
    <t>Wiktor Berezniewicz</t>
  </si>
  <si>
    <t>Wiktor Lubelski</t>
  </si>
  <si>
    <t>Wiktoria Wilk</t>
  </si>
  <si>
    <t>Witold Sempa</t>
  </si>
  <si>
    <t>Wojciech Czyzewski</t>
  </si>
  <si>
    <t>Wojciech Filipowicz</t>
  </si>
  <si>
    <t>Wojciech Goc</t>
  </si>
  <si>
    <t>Wojciech Gocyla</t>
  </si>
  <si>
    <t>Wojciech Katowicki</t>
  </si>
  <si>
    <t>Wojciech Kulakowski</t>
  </si>
  <si>
    <t>Wojciech Maja</t>
  </si>
  <si>
    <t>Wojciech Wroblewski</t>
  </si>
  <si>
    <t>Zbigniew Maciag</t>
  </si>
  <si>
    <t>Zbigniew Paderewski</t>
  </si>
  <si>
    <t>Zenon Bartek</t>
  </si>
  <si>
    <t>Zenon Zbych</t>
  </si>
  <si>
    <t>Zofia Adamiak</t>
  </si>
  <si>
    <t>Zofia Barak</t>
  </si>
  <si>
    <t>Zofia Broszkow</t>
  </si>
  <si>
    <t>Zofia Broukin</t>
  </si>
  <si>
    <t>Zofia Janczy</t>
  </si>
  <si>
    <t>Zofia Polak</t>
  </si>
  <si>
    <t>Zuzanna Adamczyk</t>
  </si>
  <si>
    <t>Zuzanna Kalisz</t>
  </si>
  <si>
    <t>Zuzanna Malicki</t>
  </si>
  <si>
    <t>Imię i Nazwisko</t>
  </si>
  <si>
    <t>dzień tygodnia</t>
  </si>
  <si>
    <t>Numer dnia</t>
  </si>
  <si>
    <t>czy ostatnia z dnia</t>
  </si>
  <si>
    <t>Suma z czy ostatnia z dnia</t>
  </si>
  <si>
    <t>TYDZIEŃ</t>
  </si>
  <si>
    <t>REALNA SUMA</t>
  </si>
  <si>
    <t>numer wierszu</t>
  </si>
  <si>
    <t>CZY WEŹMIE 1200KG</t>
  </si>
  <si>
    <t>ILE RAZY WEŻMIE 1200KG</t>
  </si>
  <si>
    <t>pierwszy raz pojedzie z 1200kg</t>
  </si>
  <si>
    <t>numer tyg</t>
  </si>
  <si>
    <t>Kolumna1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</si>
</sst>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 applyAlignment="1">
      <alignment horizontal="left"/>
    </xf>
    <xf numFmtId="14" fontId="0" fillId="2" borderId="0" xfId="0" applyNumberFormat="1" applyFill="1"/>
  </cellXfs>
  <cellStyles count="1">
    <cellStyle name="Normalny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[Zadanie6.xlsx]1!Tabela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kilogramów zebranej makulatory</a:t>
            </a:r>
            <a:r>
              <a:rPr lang="pl-PL" baseline="0"/>
              <a:t> w poszczególnych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'1'!$H$2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'1'!$G$3:$G$15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'1'!$H$3:$H$15</c:f>
              <c:numCache>
                <c:formatCode>General</c:formatCode>
                <c:ptCount val="12"/>
                <c:pt idx="0">
                  <c:v>5343</c:v>
                </c:pt>
                <c:pt idx="1">
                  <c:v>4966</c:v>
                </c:pt>
                <c:pt idx="2">
                  <c:v>4895</c:v>
                </c:pt>
                <c:pt idx="3">
                  <c:v>3446</c:v>
                </c:pt>
                <c:pt idx="4">
                  <c:v>3222</c:v>
                </c:pt>
                <c:pt idx="5">
                  <c:v>2984</c:v>
                </c:pt>
                <c:pt idx="6">
                  <c:v>3262</c:v>
                </c:pt>
                <c:pt idx="7">
                  <c:v>4128</c:v>
                </c:pt>
                <c:pt idx="8">
                  <c:v>4826</c:v>
                </c:pt>
                <c:pt idx="9">
                  <c:v>4558</c:v>
                </c:pt>
                <c:pt idx="10">
                  <c:v>5502</c:v>
                </c:pt>
                <c:pt idx="11">
                  <c:v>3771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D-44C8-991E-CBA0E06E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829423"/>
        <c:axId val="646832303"/>
      </c:barChart>
      <c:catAx>
        <c:axId val="64682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 miesiąca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6832303"/>
        <c:crosses val="autoZero"/>
        <c:auto val="1"/>
        <c:lblAlgn val="ctr"/>
        <c:lblOffset val="100"/>
        <c:noMultiLvlLbl val="0"/>
      </c:catAx>
      <c:valAx>
        <c:axId val="6468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kilogramów zebranej makulatury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682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17</xdr:row>
      <xdr:rowOff>14286</xdr:rowOff>
    </xdr:from>
    <xdr:to>
      <xdr:col>16</xdr:col>
      <xdr:colOff>323849</xdr:colOff>
      <xdr:row>45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67FB89F-D4D2-D8F2-F0B0-E93E0E2E6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50263310182" createdVersion="8" refreshedVersion="8" minRefreshableVersion="3" recordCount="2268" xr:uid="{EBCDB3D4-5E1C-409B-BF3F-D81E6EED1BCF}">
  <cacheSource type="worksheet">
    <worksheetSource name="makulatura3"/>
  </cacheSource>
  <cacheFields count="5">
    <cacheField name="Data_dostarczenia" numFmtId="14">
      <sharedItems containsSemiMixedTypes="0" containsNonDate="0" containsDate="1" containsString="0" minDate="2017-01-02T00:00:00" maxDate="2017-12-30T00:00:00"/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5478587963" createdVersion="8" refreshedVersion="8" minRefreshableVersion="3" recordCount="2268" xr:uid="{B1E42192-ECE5-404D-AB0C-36B5848F630E}">
  <cacheSource type="worksheet">
    <worksheetSource name="makulatura4"/>
  </cacheSource>
  <cacheFields count="5">
    <cacheField name="Data_dostarczenia" numFmtId="14">
      <sharedItems containsSemiMixedTypes="0" containsNonDate="0" containsDate="1" containsString="0" minDate="2017-01-02T00:00:00" maxDate="2017-12-30T00:00:00"/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  <cacheField name="Imie i Nazwisko" numFmtId="0">
      <sharedItems count="599">
        <s v="Agnieszka Polak"/>
        <s v="Klaudia Myk"/>
        <s v="Agata Kwiatkowska"/>
        <s v="Katarzyna Zmokly"/>
        <s v="Maja Kulkowska"/>
        <s v="Patryk Giemza"/>
        <s v="Balbina Boryczko"/>
        <s v="Filip Spychala"/>
        <s v="Borys Myszor"/>
        <s v="Agnieszka Mala"/>
        <s v="Alicja Gadek"/>
        <s v="Leon Szybki"/>
        <s v="Jerzy Polanicki"/>
        <s v="Filip Spanowski"/>
        <s v="Maciej Lyszcz"/>
        <s v="Daria Zagrobna"/>
        <s v="Julia Rutkiewicz"/>
        <s v="Piotr Bialaszewski"/>
        <s v="Maja Lipka"/>
        <s v="Jakub Jedruszek"/>
        <s v="Marta Opolska"/>
        <s v="Andrzej Moldawiec"/>
        <s v="Zuzanna Malicki"/>
        <s v="Marek Bednarski"/>
        <s v="Sebastian Powoj"/>
        <s v="Barbara Podobinska"/>
        <s v="Wieslawa Koniec"/>
        <s v="Anna Kosowicz"/>
        <s v="Patrycja Glowinska"/>
        <s v="Laura Chmielewska"/>
        <s v="Malwina Korzeniowska"/>
        <s v="Adrian Zawisza"/>
        <s v="Michal Kirwiel"/>
        <s v="Bartosz Protasow"/>
        <s v="Adam Wata"/>
        <s v="Andrzej Augustowski"/>
        <s v="Teodor Fornal"/>
        <s v="Filip Strack"/>
        <s v="Hanna Stanislawska"/>
        <s v="Hubert Smyk"/>
        <s v="Adelajda Zylinska"/>
        <s v="Karol Felisiak"/>
        <s v="Jan Gacek"/>
        <s v="Hubert Nowaczynski"/>
        <s v="Maciej Kowalski"/>
        <s v="Ewa Stoch"/>
        <s v="Maciej Machalski"/>
        <s v="Julia Reclaw"/>
        <s v="Marek Sznuk"/>
        <s v="Paulina Szklarska"/>
        <s v="Jerzy Czajkowski"/>
        <s v="Dominik Szczucki"/>
        <s v="Mateusz Karpowicz"/>
        <s v="Sandra Filarska"/>
        <s v="Maria Borowska"/>
        <s v="Jakub Potocki"/>
        <s v="Karol Dziuk"/>
        <s v="Adrian Dulski"/>
        <s v="Lena Mazurkiewicz"/>
        <s v="Adam Susel"/>
        <s v="Maciej Siemiatkowski"/>
        <s v="Jan Inny"/>
        <s v="Jakub Rembisz"/>
        <s v="Seweryn Krakowski"/>
        <s v="Jaroslaw Bicz"/>
        <s v="Michal Nowicki"/>
        <s v="Edward Snopek"/>
        <s v="Kamil Naderka"/>
        <s v="Justyna Pozarzycka"/>
        <s v="Borys Biedal"/>
        <s v="Ewa Tysz"/>
        <s v="Anna Minska"/>
        <s v="Wieslaw Kasza"/>
        <s v="Wojciech Katowicki"/>
        <s v="Mateusz Sardo"/>
        <s v="Ewelina Gorecka"/>
        <s v="Dominika Nowakowska"/>
        <s v="Patrycja Augustowska"/>
        <s v="Jan Kaczorowski"/>
        <s v="Stanislaw Derek"/>
        <s v="Mariola Las"/>
        <s v="Joanna Baranska"/>
        <s v="Przemyslaw Marek"/>
        <s v="Aleksander Wojciechowski"/>
        <s v="Leon Price"/>
        <s v="Mariusz Brydzinski"/>
        <s v="Jan Bikot"/>
        <s v="Krzysztof Konieckiewicz"/>
        <s v="Natalia Belicka"/>
        <s v="Ewa Wojna"/>
        <s v="Jacek Ciosinski"/>
        <s v="Jolanta Bicz"/>
        <s v="Jakub Ręczmin"/>
        <s v="Michal Norek"/>
        <s v="Julia Stuhr"/>
        <s v="Anita Pawelczyk"/>
        <s v="Alicja Chmiel"/>
        <s v="Jakub Waniek"/>
        <s v="Karol Milek"/>
        <s v="Piotr Flis"/>
        <s v="Wanda Sadza"/>
        <s v="Aleks Wojcik"/>
        <s v="Zofia Janczy"/>
        <s v="Jaroslaw Kopiec"/>
        <s v="Dorota Adamus"/>
        <s v="Kinga Kleszcz"/>
        <s v="Malgorzata Wiecek"/>
        <s v="Piotr Felus"/>
        <s v="Mateusz Uklej"/>
        <s v="Julia Kielecka"/>
        <s v="Edward Zdunek"/>
        <s v="Anna Trzebiatowska"/>
        <s v="Maciej Laskowski"/>
        <s v="Jacek Szypulski"/>
        <s v="Maria Drozd"/>
        <s v="Mateusz Kowalczyk"/>
        <s v="Weronika Zdroj"/>
        <s v="Wieslawa Biczysko"/>
        <s v="Marek Nowakowski"/>
        <s v="Karolina Welc"/>
        <s v="Emilia Mroczek"/>
        <s v="Agnieszka Antos"/>
        <s v="Sabina Wilk"/>
        <s v="Krzysztof Madejski"/>
        <s v="Marcin Wrobel"/>
        <s v="Igor Ryngwelski"/>
        <s v="Michal Lenski"/>
        <s v="Pawel Nowakowski"/>
        <s v="Agnieszka Krawczynska"/>
        <s v="Grzegorz Domek"/>
        <s v="Michal Gora"/>
        <s v="Krzysztof Micun"/>
        <s v="Maria Galas"/>
        <s v="Hanna Steinborn"/>
        <s v="Anita Woloszyn"/>
        <s v="Karolina Wrona"/>
        <s v="Kamil Pudelski"/>
        <s v="Witold Sempa"/>
        <s v="Beata Lubelska"/>
        <s v="Marzena Jagielska"/>
        <s v="Maria Adamska"/>
        <s v="Emilia Janik"/>
        <s v="Izabella Jelen"/>
        <s v="Karolina Nowak"/>
        <s v="Karolina Karpacka"/>
        <s v="Piotr Dzierzak"/>
        <s v="Marek Wolicki"/>
        <s v="Adrian Yuksek"/>
        <s v="Monika Piterka"/>
        <s v="Magdalena Okraska"/>
        <s v="Edgar Wyszomirski"/>
        <s v="Marta Robak"/>
        <s v="Teodor Olszewski"/>
        <s v="Lena Miszkin"/>
        <s v="Maciej Czyzynski"/>
        <s v="Malgorzata Karlowski"/>
        <s v="Sofia Felisiak"/>
        <s v="Adela Waruszewska"/>
        <s v="Inez Nahaj"/>
        <s v="Zenon Bartek"/>
        <s v="Wojciech Wroblewski"/>
        <s v="Ewa Nowicka"/>
        <s v="Irena Banasiewicz"/>
        <s v="Beata Fles"/>
        <s v="Ewa Czerwinska"/>
        <s v="Marek Leoniuk"/>
        <s v="Anna Wilk"/>
        <s v="Natalia Miklis"/>
        <s v="Krzysztof Figurski"/>
        <s v="Ewa Aderek"/>
        <s v="Joanna Pilc"/>
        <s v="Damian Pilis"/>
        <s v="Maria Gatek"/>
        <s v="Hanna Modlinska"/>
        <s v="Anna Janowska"/>
        <s v="Katarzyna Wip"/>
        <s v="Henryk Polarek"/>
        <s v="Marcel Labuda"/>
        <s v="Olgierd Baranek"/>
        <s v="Luiza Makowska"/>
        <s v="Andrea Witkowska"/>
        <s v="Lena Marzec"/>
        <s v="Janusz Artowski"/>
        <s v="Kamila Wolan"/>
        <s v="Inka Sochacka"/>
        <s v="Alina Warta"/>
        <s v="Adam Zega"/>
        <s v="Henryk Siminski"/>
        <s v="Irena Piotrowska"/>
        <s v="Jakub Bracik"/>
        <s v="Pawel Nowak"/>
        <s v="Michalina Klebba"/>
        <s v="Joanna Zygmunt"/>
        <s v="Maria Kowalczuk"/>
        <s v="Jakub Ropiak"/>
        <s v="Piotr Kania"/>
        <s v="Pawel Macherzynski"/>
        <s v="Krzysztof Czyz"/>
        <s v="Krzysztof Wilecki"/>
        <s v="Zbigniew Paderewski"/>
        <s v="Bartosz Tusinski"/>
        <s v="Marta Wloczkow"/>
        <s v="Cyprian Swierszcz"/>
        <s v="Anita Tych"/>
        <s v="Piotr Kaleta"/>
        <s v="Konrad Lipowski"/>
        <s v="Wojciech Filipowicz"/>
        <s v="Antoni Pawlus"/>
        <s v="Tadeusz Stoch"/>
        <s v="Krzysztof Dwa"/>
        <s v="Lukasz Kopecki"/>
        <s v="Dominika Mierny"/>
        <s v="Bohdan Gigant"/>
        <s v="Natalia Wolny"/>
        <s v="Olaf Hrywniak"/>
        <s v="Agata Zdrojewska"/>
        <s v="Kornel Mierzejewski"/>
        <s v="Konrad Jagielski"/>
        <s v="Anna Tomaszewska"/>
        <s v="Anastazja Borowska"/>
        <s v="Dominika Wierzbicka"/>
        <s v="Martyna Marmelowska"/>
        <s v="Krystyna Szybki"/>
        <s v="Pawel Furmaniak"/>
        <s v="Malgorzata Malec"/>
        <s v="Marek Witkowski"/>
        <s v="Malgorzata Winiarska"/>
        <s v="Marek Janowski"/>
        <s v="Zenon Zbych"/>
        <s v="Julia Salanowska"/>
        <s v="Nadia Jędrzejczak"/>
        <s v="Milena Karolewska"/>
        <s v="Izabela Skrzydlak"/>
        <s v="Anita Kaczorowska"/>
        <s v="Maksymilian Piwko"/>
        <s v="Marzena Gajek"/>
        <s v="Kamil Ludziejewski"/>
        <s v="Mateusz Polak"/>
        <s v="Jan Zdunski"/>
        <s v="Wiera Nowak"/>
        <s v="Dominika Piotrowska"/>
        <s v="Ilona Nowak"/>
        <s v="Adam Zmurko"/>
        <s v="Filip Strehlke"/>
        <s v="Janina Podlaska"/>
        <s v="Marcin Tabaka"/>
        <s v="Barbara Bury"/>
        <s v="Aleksandra Donata"/>
        <s v="Lidia Goluchowska"/>
        <s v="Ilona Gorska"/>
        <s v="Joanna Ottka"/>
        <s v="Arleta Pawlik"/>
        <s v="Szymon Mrozniak"/>
        <s v="Karolina Wrak"/>
        <s v="Igor Rybinski"/>
        <s v="Jakub Marszalek"/>
        <s v="Ryszarda Januszek"/>
        <s v="Bruno Tomaszewski"/>
        <s v="Malgorzata Kozlowska"/>
        <s v="Maciej Kopacz"/>
        <s v="Monika Placzek"/>
        <s v="Stanislaw Burza"/>
        <s v="Mateusz Krawczyk"/>
        <s v="Borys Winiarski"/>
        <s v="Agnieszka Matusik"/>
        <s v="Szymon Polak"/>
        <s v="Wojciech Maja"/>
        <s v="Ewa Zak"/>
        <s v="Hubert Pieczatowski"/>
        <s v="Pawel Bolkowski"/>
        <s v="Agnieszka Kaminska"/>
        <s v="Maciej Machol"/>
        <s v="Krzysztof Las"/>
        <s v="Jan Sznuk"/>
        <s v="Zuzanna Kalisz"/>
        <s v="Wieslawa Krawiec"/>
        <s v="Aleksander Pasternak"/>
        <s v="Jakub Porydzaj"/>
        <s v="Filip Stanulewicz"/>
        <s v="Kacper Niec"/>
        <s v="Tomasz Boruta"/>
        <s v="Ewa Milion"/>
        <s v="Kacper Nikolajew"/>
        <s v="Patrycja Dzban"/>
        <s v="Jakub Rembiewski"/>
        <s v="Emilia Szczepanska"/>
        <s v="Marcelina Serwicka"/>
        <s v="Piotr Polkowicki"/>
        <s v="Monika Nowaczkiewicz"/>
        <s v="Daria Mikos"/>
        <s v="Diana Michalska"/>
        <s v="Wiktor Lubelski"/>
        <s v="Szymon Wozniak"/>
        <s v="Matylda Kluziak"/>
        <s v="Jacek Chojnacki"/>
        <s v="Dorota Gumowska"/>
        <s v="Kazimierz Bartosik"/>
        <s v="Patrycja Rzeszowska"/>
        <s v="Kacper Okla"/>
        <s v="Mateusz Kaczorowski"/>
        <s v="Renata Pawlak"/>
        <s v="Patryk Glac"/>
        <s v="Katarzyna Dzielna"/>
        <s v="Ewa Tarnowska"/>
        <s v="Ilona Lukaszewska"/>
        <s v="Dominik Szmitko"/>
        <s v="Julian Lisowski"/>
        <s v="Patrycja Grzeszcz"/>
        <s v="Patryk Geszczynski"/>
        <s v="Aleksandra Kwas"/>
        <s v="Maciej Tasz"/>
        <s v="Karol Wojciechowski"/>
        <s v="Marcin Gizinski"/>
        <s v="Jakub Przestrzelski"/>
        <s v="Joanna Kopacki"/>
        <s v="Jakub Holmes"/>
        <s v="Wiktoria Wilk"/>
        <s v="Albert Pleszewski"/>
        <s v="Maria Opolska"/>
        <s v="Balbina Madej"/>
        <s v="Maria Kowalczyk"/>
        <s v="Adrian Baran"/>
        <s v="Nikodem Jama"/>
        <s v="Anna Babiarz"/>
        <s v="Julia Wolska"/>
        <s v="Daria Pawiec"/>
        <s v="Joanna Janas"/>
        <s v="Joanna Sibiga"/>
        <s v="Ryszard Matusik"/>
        <s v="Lukasz Niedziela"/>
        <s v="Kamila Bialkowska"/>
        <s v="Joanna Wrobel"/>
        <s v="Mateusz Kornatowski"/>
        <s v="Mateusz Filipowicz"/>
        <s v="Angelika Walaszek"/>
        <s v="Jan Pistek"/>
        <s v="Anna Klimas"/>
        <s v="Mateusz Krynicki"/>
        <s v="Antoni Wizniewski"/>
        <s v="Anna Zaczyk"/>
        <s v="Bartosz Mazgaj"/>
        <s v="Adam Borkowski"/>
        <s v="Krzysztof Wloch"/>
        <s v="Maciej Bugaj"/>
        <s v="Mateusz Mrowczynski"/>
        <s v="Marek Zybert"/>
        <s v="Lukasz Kot"/>
        <s v="Tomasz Hajdi"/>
        <s v="Zofia Broukin"/>
        <s v="Barbara Karcz"/>
        <s v="Jan Marasek"/>
        <s v="Karolina Mikos"/>
        <s v="Marek Chorzowski"/>
        <s v="Ewelina Goslawska"/>
        <s v="Ewa Augustowska"/>
        <s v="Stanislaw Janiec"/>
        <s v="Piotr Duszota"/>
        <s v="Grzegorz Wojtowicz"/>
        <s v="Iwona Lato"/>
        <s v="Maja Kaminska"/>
        <s v="Wojciech Gocyla"/>
        <s v="Eugenia Pieta"/>
        <s v="Julia Saska"/>
        <s v="Zbigniew Maciag"/>
        <s v="Karolina Pawelska"/>
        <s v="Roman Grodecki"/>
        <s v="Kinga Trawinska"/>
        <s v="Monika Lis"/>
        <s v="Karol Pawleczek"/>
        <s v="Agnieszka Bujak"/>
        <s v="Piotr Mozart"/>
        <s v="Agata Zgoda"/>
        <s v="Anna Dab"/>
        <s v="Anna Wnuk"/>
        <s v="Radoslaw Sowinska"/>
        <s v="Karol Walasz"/>
        <s v="Janina Kaczynska"/>
        <s v="Bogdan Inny"/>
        <s v="Dominika Szwec"/>
        <s v="Hanna Stankiewicz"/>
        <s v="Izabela Sobota"/>
        <s v="Nikodem Jablonski"/>
        <s v="Ewaryst Zdunek"/>
        <s v="Katarzyna Galazka"/>
        <s v="Antoni Wierzbicki"/>
        <s v="Anna Trojanowska"/>
        <s v="Andrzej Nawwrot"/>
        <s v="Maciej Nowak"/>
        <s v="Dawid Szreder"/>
        <s v="Przemyslaw Widawski"/>
        <s v="Kamil Krawczyk"/>
        <s v="Natalia Knap"/>
        <s v="Joanna Banaszczyk"/>
        <s v="Jan Gumowski"/>
        <s v="Ignacy Sarnowski"/>
        <s v="Magdalena Bach"/>
        <s v="Kamil Wolny"/>
        <s v="Kamil Szyszko"/>
        <s v="Jan Nancki"/>
        <s v="Waldemar Fornalik"/>
        <s v="Bernard Lubelski"/>
        <s v="Lukasz Pawlik"/>
        <s v="Barbara Kilarski"/>
        <s v="Protazy Warszawski"/>
        <s v="Aleksander Koc"/>
        <s v="Andrzej Tysz"/>
        <s v="Monika Trojan"/>
        <s v="Mariusz Suszyn"/>
        <s v="Lech Lisowski"/>
        <s v="Mateusz Hajdug"/>
        <s v="Janusz Baka"/>
        <s v="Janusz Wrobel"/>
        <s v="Patrycja Wcislo"/>
        <s v="Maja Kurowska"/>
        <s v="Piotr Walec"/>
        <s v="Wieslawa Nowak"/>
        <s v="Natalia Olkuska"/>
        <s v="Lukasz Czarnecki"/>
        <s v="Morus Jasiak"/>
        <s v="Julianna Procinska"/>
        <s v="Adrian Wozniak"/>
        <s v="Nikodem Jakubowski"/>
        <s v="Leslaw Kupis"/>
        <s v="Beata Mirowska"/>
        <s v="Bartlomiej Wojciechowski"/>
        <s v="Agata Kolacz"/>
        <s v="Zuzanna Adamczyk"/>
        <s v="Jan Pawelec"/>
        <s v="Hanna Malicki"/>
        <s v="Olgierd Hazubski"/>
        <s v="Maja Leman"/>
        <s v="Joanna Oleksiak"/>
        <s v="Marzena Parasiewicz"/>
        <s v="Wanda Chojnacka"/>
        <s v="Marian Bukalski"/>
        <s v="Karolina Bok"/>
        <s v="Ewelina Bialkowska"/>
        <s v="Krzysztof Plecien"/>
        <s v="Julia Sadowska"/>
        <s v="Julian Pawik"/>
        <s v="Wojciech Goc"/>
        <s v="Piotr Adamski"/>
        <s v="Jan Jarek"/>
        <s v="Zofia Broszkow"/>
        <s v="Pawel kaczorek"/>
        <s v="Julia Zaremba"/>
        <s v="Nadia Jurewicz"/>
        <s v="Dorian Szczepkowski"/>
        <s v="Maciej Lukowski"/>
        <s v="Andrzej Zbieg"/>
        <s v="Dorota Zdun"/>
        <s v="Anna Tycz"/>
        <s v="Kazimierz Biedka"/>
        <s v="Monika Srubka"/>
        <s v="Lidia Tarnowska"/>
        <s v="Urszula Pawlak"/>
        <s v="Hubert Borek"/>
        <s v="Karolina Stuhr"/>
        <s v="Kamila Kot"/>
        <s v="Tomasz Borkowski"/>
        <s v="Mikolaj Beniuszys"/>
        <s v="Mariusz Mrowiec"/>
        <s v="Mateusz Koszlaga"/>
        <s v="Kamila Knapik"/>
        <s v="Adam Madejski"/>
        <s v="Bruno Tomczyk"/>
        <s v="Kacper Trzebnicki"/>
        <s v="Nadia Jurczyk"/>
        <s v="Karol Wichrowski"/>
        <s v="Anna Kot"/>
        <s v="Przemyslaw Bajewski"/>
        <s v="Jakub Radziszewski"/>
        <s v="Jan Zaczyk"/>
        <s v="Teodor Nowak"/>
        <s v="Tomasz Zbik"/>
        <s v="Adam Zurek"/>
        <s v="Roksana Frankowska"/>
        <s v="Jan Kildanowski"/>
        <s v="Monika Bialkowska"/>
        <s v="Alicja Walentowicz"/>
        <s v="Olga Paluszkiewicz"/>
        <s v="Karolina Perez"/>
        <s v="Michal Jan"/>
        <s v="Jan Pieterson"/>
        <s v="Filip Strupiechowski"/>
        <s v="Marcin Kurasik"/>
        <s v="Tomasz Tutaj"/>
        <s v="Zofia Polak"/>
        <s v="Justyna Wysocka"/>
        <s v="Krzysztof Koncewicz"/>
        <s v="Lena Mrozik"/>
        <s v="Bonifacy Pleszewski"/>
        <s v="Alicja Wymyslowska"/>
        <s v="Marcel Lademann"/>
        <s v="Justyna Mnich"/>
        <s v="Urszula Engel"/>
        <s v="Anastazja Wamka"/>
        <s v="Natalia Boryczko"/>
        <s v="Jakub Radomski"/>
        <s v="Maria Orlicki"/>
        <s v="Grzegorz Kaminski"/>
        <s v="Joanna Senger"/>
        <s v="Ryszard Domzala"/>
        <s v="Marta Wiosna"/>
        <s v="Jan Madawik"/>
        <s v="Dominika Madejska"/>
        <s v="Stanislaw Cieslik"/>
        <s v="Magda Makowicz"/>
        <s v="Iwona Wlodarska"/>
        <s v="Barbara Kiel"/>
        <s v="Iwona Anczyk"/>
        <s v="Marlena Mazar"/>
        <s v="Anna Zender"/>
        <s v="Ewelina Mirska"/>
        <s v="Monika Kos"/>
        <s v="Maciej Lutczyk"/>
        <s v="Katarzyna Aniec"/>
        <s v="Marek Sulejski"/>
        <s v="Magdalena Nowak"/>
        <s v="Michal Polaczek"/>
        <s v="Jacek Pieczatowski"/>
        <s v="Gabriela Malinowska"/>
        <s v="Renata Kepa"/>
        <s v="Lucja Zych"/>
        <s v="Jan Zajac"/>
        <s v="Paulina Baranowska"/>
        <s v="Wojciech Czyzewski"/>
        <s v="Amelia Wilk"/>
        <s v="Krzysztof Sobieski"/>
        <s v="Balbina Majewska"/>
        <s v="Marcin Markowski"/>
        <s v="Julian Snopek"/>
        <s v="Daria Witkowska"/>
        <s v="Mariusz Kornik"/>
        <s v="Zofia Barak"/>
        <s v="Jan Adamowicz"/>
        <s v="Gabriela Oleszkiewicz"/>
        <s v="Karol Hubicki"/>
        <s v="Joanna Traugut"/>
        <s v="Jacek Bigaj"/>
        <s v="Zofia Adamiak"/>
        <s v="Dominika Duszynska"/>
        <s v="Jaroslaw Kopytko"/>
        <s v="Kamila Janas"/>
        <s v="Mariola Mleczko"/>
        <s v="Amelia Wicher"/>
        <s v="Wiktor Berezniewicz"/>
        <s v="Antoni Sobieski"/>
        <s v="Jakub Przytula"/>
        <s v="Jan Pietraszczyk"/>
        <s v="Olga Kilecka"/>
        <s v="Patryk Gibas"/>
        <s v="Waldemar Koronski"/>
        <s v="Julia Riegel"/>
        <s v="Kornelia Nowakowska"/>
        <s v="Anna Adamska"/>
        <s v="Ryszard Baranowski"/>
        <s v="Dorota Tarnowska"/>
        <s v="Maksymilian Lupa"/>
        <s v="Anna Kraska"/>
        <s v="Maja Lange"/>
        <s v="Maja Kwidczynska"/>
        <s v="Kamil Waniek"/>
        <s v="Maksymilian Lewita"/>
        <s v="Bartosz Debicki"/>
        <s v="Adrian Wydrzynski"/>
        <s v="Tytus Sulejman"/>
        <s v="Michal Kieloch"/>
        <s v="Izabela Draszczyk"/>
        <s v="Krzysztof Kukulski"/>
        <s v="Wojciech Kulakowski"/>
        <s v="Tomasz Tytan"/>
        <s v="Julia Samulczyk"/>
        <s v="Maciej Wodecki"/>
        <s v="Stefan Bajer"/>
        <s v="Jerzy Szklarski"/>
        <s v="Aleks Wojcicki"/>
        <s v="Stanislaw Dabrowski"/>
        <s v="Kacper Pioro"/>
        <s v="Tomasz Ogorek"/>
        <s v="Helena Stachurska"/>
        <s v="Marta Kolodziejczyk"/>
        <s v="Anna Jopek"/>
        <s v="Ewa Spoko"/>
        <s v="Kacper Kowalski"/>
        <s v="Kinga Famura"/>
        <s v="Filip Sobol"/>
        <s v="Adam Czarnecki"/>
        <s v="Bernard Madej"/>
        <s v="Alicja Wojciechowska"/>
        <s v="Natalia Mroz"/>
        <s v="Kacper Nowak"/>
        <s v="Grzegorz Jackowski"/>
        <s v="Jan Kwiatkowski"/>
        <s v="Antoni Pisowlodzki"/>
        <s v="Katarzyna Karnia"/>
        <s v="Lukasz Gacek"/>
        <s v="Jerzy Pawiec"/>
        <s v="Maria Orlic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64303240742" createdVersion="8" refreshedVersion="8" minRefreshableVersion="3" recordCount="2268" xr:uid="{EF243283-082B-403E-A87B-207E8F188BFC}">
  <cacheSource type="worksheet">
    <worksheetSource name="makulatura5"/>
  </cacheSource>
  <cacheFields count="8">
    <cacheField name="Data_dostarczenia" numFmtId="14">
      <sharedItems containsSemiMixedTypes="0" containsNonDate="0" containsDate="1" containsString="0" minDate="2017-01-02T00:00:00" maxDate="2017-12-30T00:00:00" count="258"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</sharedItems>
      <fieldGroup par="7"/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  <cacheField name="dzień tygodnia" numFmtId="0">
      <sharedItems containsSemiMixedTypes="0" containsString="0" containsNumber="1" containsInteger="1" minValue="1" maxValue="6" count="6">
        <n v="1"/>
        <n v="2"/>
        <n v="3"/>
        <n v="4"/>
        <n v="5"/>
        <n v="6" u="1"/>
      </sharedItems>
    </cacheField>
    <cacheField name="czy ostatnia z dnia" numFmtId="0">
      <sharedItems containsSemiMixedTypes="0" containsString="0" containsNumber="1" containsInteger="1" minValue="0" maxValue="1"/>
    </cacheField>
    <cacheField name="Dni (Data_dostarczenia)" numFmtId="0" databaseField="0">
      <fieldGroup base="0">
        <rangePr groupBy="days" startDate="2017-01-02T00:00:00" endDate="2017-12-30T00:00:00"/>
        <groupItems count="368">
          <s v="&lt;02.01.2017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0.12.2017"/>
        </groupItems>
      </fieldGroup>
    </cacheField>
    <cacheField name="Miesiące (Data_dostarczenia)" numFmtId="0" databaseField="0">
      <fieldGroup base="0">
        <rangePr groupBy="months" startDate="2017-01-02T00:00:00" endDate="2017-12-30T00:00:00"/>
        <groupItems count="14">
          <s v="&lt;02.01.2017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89161574072" createdVersion="8" refreshedVersion="8" minRefreshableVersion="3" recordCount="2268" xr:uid="{17BD9048-FE8A-493F-8916-5BAF86DA9996}">
  <cacheSource type="worksheet">
    <worksheetSource name="makulatura"/>
  </cacheSource>
  <cacheFields count="5">
    <cacheField name="Data_dostarczenia" numFmtId="14">
      <sharedItems containsSemiMixedTypes="0" containsNonDate="0" containsDate="1" containsString="0" minDate="2017-01-02T00:00:00" maxDate="2017-12-30T00:00:00"/>
    </cacheField>
    <cacheField name="Imie" numFmtId="0">
      <sharedItems/>
    </cacheField>
    <cacheField name="Nazwisko" numFmtId="0">
      <sharedItems/>
    </cacheField>
    <cacheField name="Liczba_kilogramow" numFmtId="0">
      <sharedItems containsSemiMixedTypes="0" containsString="0" containsNumber="1" containsInteger="1" minValue="2" maxValue="56"/>
    </cacheField>
    <cacheField name="TYDZIEŃ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">
  <r>
    <d v="2017-01-02T00:00:00"/>
    <s v="Agnieszka"/>
    <s v="Polak"/>
    <n v="2"/>
    <x v="0"/>
  </r>
  <r>
    <d v="2017-01-02T00:00:00"/>
    <s v="Klaudia"/>
    <s v="Myk"/>
    <n v="51"/>
    <x v="0"/>
  </r>
  <r>
    <d v="2017-01-02T00:00:00"/>
    <s v="Agata"/>
    <s v="Kwiatkowska"/>
    <n v="41"/>
    <x v="0"/>
  </r>
  <r>
    <d v="2017-01-02T00:00:00"/>
    <s v="Katarzyna"/>
    <s v="Zmokly"/>
    <n v="7"/>
    <x v="0"/>
  </r>
  <r>
    <d v="2017-01-02T00:00:00"/>
    <s v="Maja"/>
    <s v="Kulkowska"/>
    <n v="46"/>
    <x v="0"/>
  </r>
  <r>
    <d v="2017-01-02T00:00:00"/>
    <s v="Patryk"/>
    <s v="Giemza"/>
    <n v="12"/>
    <x v="0"/>
  </r>
  <r>
    <d v="2017-01-02T00:00:00"/>
    <s v="Balbina"/>
    <s v="Boryczko"/>
    <n v="54"/>
    <x v="0"/>
  </r>
  <r>
    <d v="2017-01-02T00:00:00"/>
    <s v="Filip"/>
    <s v="Spychala"/>
    <n v="55"/>
    <x v="0"/>
  </r>
  <r>
    <d v="2017-01-02T00:00:00"/>
    <s v="Borys"/>
    <s v="Myszor"/>
    <n v="45"/>
    <x v="0"/>
  </r>
  <r>
    <d v="2017-01-02T00:00:00"/>
    <s v="Agnieszka"/>
    <s v="Mala"/>
    <n v="3"/>
    <x v="0"/>
  </r>
  <r>
    <d v="2017-01-03T00:00:00"/>
    <s v="Alicja"/>
    <s v="Gadek"/>
    <n v="6"/>
    <x v="0"/>
  </r>
  <r>
    <d v="2017-01-03T00:00:00"/>
    <s v="Leon"/>
    <s v="Szybki"/>
    <n v="23"/>
    <x v="0"/>
  </r>
  <r>
    <d v="2017-01-03T00:00:00"/>
    <s v="Jerzy"/>
    <s v="Polanicki"/>
    <n v="53"/>
    <x v="0"/>
  </r>
  <r>
    <d v="2017-01-03T00:00:00"/>
    <s v="Filip"/>
    <s v="Spanowski"/>
    <n v="15"/>
    <x v="0"/>
  </r>
  <r>
    <d v="2017-01-03T00:00:00"/>
    <s v="Maciej"/>
    <s v="Lyszcz"/>
    <n v="44"/>
    <x v="0"/>
  </r>
  <r>
    <d v="2017-01-03T00:00:00"/>
    <s v="Daria"/>
    <s v="Zagrobna"/>
    <n v="14"/>
    <x v="0"/>
  </r>
  <r>
    <d v="2017-01-03T00:00:00"/>
    <s v="Julia"/>
    <s v="Rutkiewicz"/>
    <n v="26"/>
    <x v="0"/>
  </r>
  <r>
    <d v="2017-01-03T00:00:00"/>
    <s v="Piotr"/>
    <s v="Bialaszewski"/>
    <n v="19"/>
    <x v="0"/>
  </r>
  <r>
    <d v="2017-01-03T00:00:00"/>
    <s v="Maja"/>
    <s v="Lipka"/>
    <n v="14"/>
    <x v="0"/>
  </r>
  <r>
    <d v="2017-01-04T00:00:00"/>
    <s v="Jakub"/>
    <s v="Jedruszek"/>
    <n v="56"/>
    <x v="0"/>
  </r>
  <r>
    <d v="2017-01-04T00:00:00"/>
    <s v="Marta"/>
    <s v="Opolska"/>
    <n v="20"/>
    <x v="0"/>
  </r>
  <r>
    <d v="2017-01-04T00:00:00"/>
    <s v="Andrzej"/>
    <s v="Moldawiec"/>
    <n v="28"/>
    <x v="0"/>
  </r>
  <r>
    <d v="2017-01-04T00:00:00"/>
    <s v="Zuzanna"/>
    <s v="Malicki"/>
    <n v="24"/>
    <x v="0"/>
  </r>
  <r>
    <d v="2017-01-04T00:00:00"/>
    <s v="Marek"/>
    <s v="Bednarski"/>
    <n v="21"/>
    <x v="0"/>
  </r>
  <r>
    <d v="2017-01-04T00:00:00"/>
    <s v="Sebastian"/>
    <s v="Powoj"/>
    <n v="16"/>
    <x v="0"/>
  </r>
  <r>
    <d v="2017-01-04T00:00:00"/>
    <s v="Barbara"/>
    <s v="Podobinska"/>
    <n v="8"/>
    <x v="0"/>
  </r>
  <r>
    <d v="2017-01-04T00:00:00"/>
    <s v="Wieslawa"/>
    <s v="Koniec"/>
    <n v="41"/>
    <x v="0"/>
  </r>
  <r>
    <d v="2017-01-04T00:00:00"/>
    <s v="Anna"/>
    <s v="Kosowicz"/>
    <n v="9"/>
    <x v="0"/>
  </r>
  <r>
    <d v="2017-01-05T00:00:00"/>
    <s v="Patrycja"/>
    <s v="Glowinska"/>
    <n v="19"/>
    <x v="0"/>
  </r>
  <r>
    <d v="2017-01-05T00:00:00"/>
    <s v="Laura"/>
    <s v="Chmielewska"/>
    <n v="33"/>
    <x v="0"/>
  </r>
  <r>
    <d v="2017-01-05T00:00:00"/>
    <s v="Malwina"/>
    <s v="Korzeniowska"/>
    <n v="29"/>
    <x v="0"/>
  </r>
  <r>
    <d v="2017-01-05T00:00:00"/>
    <s v="Adrian"/>
    <s v="Zawisza"/>
    <n v="27"/>
    <x v="0"/>
  </r>
  <r>
    <d v="2017-01-05T00:00:00"/>
    <s v="Michal"/>
    <s v="Kirwiel"/>
    <n v="23"/>
    <x v="0"/>
  </r>
  <r>
    <d v="2017-01-05T00:00:00"/>
    <s v="Bartosz"/>
    <s v="Protasow"/>
    <n v="50"/>
    <x v="0"/>
  </r>
  <r>
    <d v="2017-01-05T00:00:00"/>
    <s v="Adam"/>
    <s v="Wata"/>
    <n v="15"/>
    <x v="0"/>
  </r>
  <r>
    <d v="2017-01-05T00:00:00"/>
    <s v="Andrzej"/>
    <s v="Augustowski"/>
    <n v="18"/>
    <x v="0"/>
  </r>
  <r>
    <d v="2017-01-05T00:00:00"/>
    <s v="Teodor"/>
    <s v="Fornal"/>
    <n v="2"/>
    <x v="0"/>
  </r>
  <r>
    <d v="2017-01-06T00:00:00"/>
    <s v="Bartosz"/>
    <s v="Protasow"/>
    <n v="23"/>
    <x v="0"/>
  </r>
  <r>
    <d v="2017-01-06T00:00:00"/>
    <s v="Filip"/>
    <s v="Strack"/>
    <n v="22"/>
    <x v="0"/>
  </r>
  <r>
    <d v="2017-01-06T00:00:00"/>
    <s v="Hanna"/>
    <s v="Stanislawska"/>
    <n v="17"/>
    <x v="0"/>
  </r>
  <r>
    <d v="2017-01-06T00:00:00"/>
    <s v="Maja"/>
    <s v="Lipka"/>
    <n v="19"/>
    <x v="0"/>
  </r>
  <r>
    <d v="2017-01-06T00:00:00"/>
    <s v="Hubert"/>
    <s v="Smyk"/>
    <n v="43"/>
    <x v="0"/>
  </r>
  <r>
    <d v="2017-01-06T00:00:00"/>
    <s v="Adelajda"/>
    <s v="Zylinska"/>
    <n v="22"/>
    <x v="0"/>
  </r>
  <r>
    <d v="2017-01-06T00:00:00"/>
    <s v="Karol"/>
    <s v="Felisiak"/>
    <n v="29"/>
    <x v="0"/>
  </r>
  <r>
    <d v="2017-01-06T00:00:00"/>
    <s v="Jan"/>
    <s v="Gacek"/>
    <n v="26"/>
    <x v="0"/>
  </r>
  <r>
    <d v="2017-01-06T00:00:00"/>
    <s v="Hubert"/>
    <s v="Nowaczynski"/>
    <n v="53"/>
    <x v="0"/>
  </r>
  <r>
    <d v="2017-01-09T00:00:00"/>
    <s v="Maciej"/>
    <s v="Kowalski"/>
    <n v="20"/>
    <x v="0"/>
  </r>
  <r>
    <d v="2017-01-09T00:00:00"/>
    <s v="Ewa"/>
    <s v="Stoch"/>
    <n v="26"/>
    <x v="0"/>
  </r>
  <r>
    <d v="2017-01-09T00:00:00"/>
    <s v="Maciej"/>
    <s v="Machalski"/>
    <n v="36"/>
    <x v="0"/>
  </r>
  <r>
    <d v="2017-01-09T00:00:00"/>
    <s v="Julia"/>
    <s v="Reclaw"/>
    <n v="11"/>
    <x v="0"/>
  </r>
  <r>
    <d v="2017-01-09T00:00:00"/>
    <s v="Marek"/>
    <s v="Sznuk"/>
    <n v="52"/>
    <x v="0"/>
  </r>
  <r>
    <d v="2017-01-09T00:00:00"/>
    <s v="Paulina"/>
    <s v="Szklarska"/>
    <n v="11"/>
    <x v="0"/>
  </r>
  <r>
    <d v="2017-01-09T00:00:00"/>
    <s v="Jerzy"/>
    <s v="Czajkowski"/>
    <n v="11"/>
    <x v="0"/>
  </r>
  <r>
    <d v="2017-01-09T00:00:00"/>
    <s v="Jerzy"/>
    <s v="Czajkowski"/>
    <n v="10"/>
    <x v="0"/>
  </r>
  <r>
    <d v="2017-01-09T00:00:00"/>
    <s v="Dominik"/>
    <s v="Szczucki"/>
    <n v="8"/>
    <x v="0"/>
  </r>
  <r>
    <d v="2017-01-10T00:00:00"/>
    <s v="Andrzej"/>
    <s v="Moldawiec"/>
    <n v="13"/>
    <x v="0"/>
  </r>
  <r>
    <d v="2017-01-10T00:00:00"/>
    <s v="Mateusz"/>
    <s v="Karpowicz"/>
    <n v="16"/>
    <x v="0"/>
  </r>
  <r>
    <d v="2017-01-10T00:00:00"/>
    <s v="Sandra"/>
    <s v="Filarska"/>
    <n v="46"/>
    <x v="0"/>
  </r>
  <r>
    <d v="2017-01-10T00:00:00"/>
    <s v="Maria"/>
    <s v="Borowska"/>
    <n v="41"/>
    <x v="0"/>
  </r>
  <r>
    <d v="2017-01-10T00:00:00"/>
    <s v="Jakub"/>
    <s v="Potocki"/>
    <n v="26"/>
    <x v="0"/>
  </r>
  <r>
    <d v="2017-01-10T00:00:00"/>
    <s v="Karol"/>
    <s v="Dziuk"/>
    <n v="22"/>
    <x v="0"/>
  </r>
  <r>
    <d v="2017-01-10T00:00:00"/>
    <s v="Adrian"/>
    <s v="Dulski"/>
    <n v="6"/>
    <x v="0"/>
  </r>
  <r>
    <d v="2017-01-10T00:00:00"/>
    <s v="Lena"/>
    <s v="Mazurkiewicz"/>
    <n v="24"/>
    <x v="0"/>
  </r>
  <r>
    <d v="2017-01-10T00:00:00"/>
    <s v="Andrzej"/>
    <s v="Augustowski"/>
    <n v="11"/>
    <x v="0"/>
  </r>
  <r>
    <d v="2017-01-11T00:00:00"/>
    <s v="Sebastian"/>
    <s v="Powoj"/>
    <n v="16"/>
    <x v="0"/>
  </r>
  <r>
    <d v="2017-01-11T00:00:00"/>
    <s v="Adam"/>
    <s v="Susel"/>
    <n v="8"/>
    <x v="0"/>
  </r>
  <r>
    <d v="2017-01-11T00:00:00"/>
    <s v="Maciej"/>
    <s v="Siemiatkowski"/>
    <n v="27"/>
    <x v="0"/>
  </r>
  <r>
    <d v="2017-01-11T00:00:00"/>
    <s v="Jan"/>
    <s v="Inny"/>
    <n v="9"/>
    <x v="0"/>
  </r>
  <r>
    <d v="2017-01-11T00:00:00"/>
    <s v="Jakub"/>
    <s v="Rembisz"/>
    <n v="32"/>
    <x v="0"/>
  </r>
  <r>
    <d v="2017-01-11T00:00:00"/>
    <s v="Seweryn"/>
    <s v="Krakowski"/>
    <n v="55"/>
    <x v="0"/>
  </r>
  <r>
    <d v="2017-01-11T00:00:00"/>
    <s v="Hubert"/>
    <s v="Nowaczynski"/>
    <n v="18"/>
    <x v="0"/>
  </r>
  <r>
    <d v="2017-01-11T00:00:00"/>
    <s v="Jaroslaw"/>
    <s v="Bicz"/>
    <n v="46"/>
    <x v="0"/>
  </r>
  <r>
    <d v="2017-01-11T00:00:00"/>
    <s v="Michal"/>
    <s v="Nowicki"/>
    <n v="17"/>
    <x v="0"/>
  </r>
  <r>
    <d v="2017-01-12T00:00:00"/>
    <s v="Edward"/>
    <s v="Snopek"/>
    <n v="43"/>
    <x v="0"/>
  </r>
  <r>
    <d v="2017-01-12T00:00:00"/>
    <s v="Kamil"/>
    <s v="Naderka"/>
    <n v="17"/>
    <x v="0"/>
  </r>
  <r>
    <d v="2017-01-12T00:00:00"/>
    <s v="Justyna"/>
    <s v="Pozarzycka"/>
    <n v="21"/>
    <x v="0"/>
  </r>
  <r>
    <d v="2017-01-12T00:00:00"/>
    <s v="Borys"/>
    <s v="Biedal"/>
    <n v="27"/>
    <x v="0"/>
  </r>
  <r>
    <d v="2017-01-12T00:00:00"/>
    <s v="Ewa"/>
    <s v="Tysz"/>
    <n v="22"/>
    <x v="0"/>
  </r>
  <r>
    <d v="2017-01-12T00:00:00"/>
    <s v="Anna"/>
    <s v="Minska"/>
    <n v="46"/>
    <x v="0"/>
  </r>
  <r>
    <d v="2017-01-12T00:00:00"/>
    <s v="Adelajda"/>
    <s v="Zylinska"/>
    <n v="15"/>
    <x v="0"/>
  </r>
  <r>
    <d v="2017-01-12T00:00:00"/>
    <s v="Wieslaw"/>
    <s v="Kasza"/>
    <n v="30"/>
    <x v="0"/>
  </r>
  <r>
    <d v="2017-01-12T00:00:00"/>
    <s v="Wojciech"/>
    <s v="Katowicki"/>
    <n v="31"/>
    <x v="0"/>
  </r>
  <r>
    <d v="2017-01-13T00:00:00"/>
    <s v="Kamil"/>
    <s v="Naderka"/>
    <n v="5"/>
    <x v="0"/>
  </r>
  <r>
    <d v="2017-01-13T00:00:00"/>
    <s v="Mateusz"/>
    <s v="Sardo"/>
    <n v="26"/>
    <x v="0"/>
  </r>
  <r>
    <d v="2017-01-13T00:00:00"/>
    <s v="Ewelina"/>
    <s v="Gorecka"/>
    <n v="10"/>
    <x v="0"/>
  </r>
  <r>
    <d v="2017-01-13T00:00:00"/>
    <s v="Dominika"/>
    <s v="Nowakowska"/>
    <n v="29"/>
    <x v="0"/>
  </r>
  <r>
    <d v="2017-01-13T00:00:00"/>
    <s v="Patrycja"/>
    <s v="Augustowska"/>
    <n v="40"/>
    <x v="0"/>
  </r>
  <r>
    <d v="2017-01-13T00:00:00"/>
    <s v="Jan"/>
    <s v="Kaczorowski"/>
    <n v="21"/>
    <x v="0"/>
  </r>
  <r>
    <d v="2017-01-13T00:00:00"/>
    <s v="Stanislaw"/>
    <s v="Derek"/>
    <n v="14"/>
    <x v="0"/>
  </r>
  <r>
    <d v="2017-01-13T00:00:00"/>
    <s v="Mariola"/>
    <s v="Las"/>
    <n v="26"/>
    <x v="0"/>
  </r>
  <r>
    <d v="2017-01-13T00:00:00"/>
    <s v="Joanna"/>
    <s v="Baranska"/>
    <n v="8"/>
    <x v="0"/>
  </r>
  <r>
    <d v="2017-01-16T00:00:00"/>
    <s v="Przemyslaw"/>
    <s v="Marek"/>
    <n v="56"/>
    <x v="0"/>
  </r>
  <r>
    <d v="2017-01-16T00:00:00"/>
    <s v="Maria"/>
    <s v="Borowska"/>
    <n v="3"/>
    <x v="0"/>
  </r>
  <r>
    <d v="2017-01-16T00:00:00"/>
    <s v="Aleksander"/>
    <s v="Wojciechowski"/>
    <n v="47"/>
    <x v="0"/>
  </r>
  <r>
    <d v="2017-01-16T00:00:00"/>
    <s v="Leon"/>
    <s v="Price"/>
    <n v="19"/>
    <x v="0"/>
  </r>
  <r>
    <d v="2017-01-16T00:00:00"/>
    <s v="Mariusz"/>
    <s v="Brydzinski"/>
    <n v="14"/>
    <x v="0"/>
  </r>
  <r>
    <d v="2017-01-16T00:00:00"/>
    <s v="Jan"/>
    <s v="Bikot"/>
    <n v="47"/>
    <x v="0"/>
  </r>
  <r>
    <d v="2017-01-16T00:00:00"/>
    <s v="Krzysztof"/>
    <s v="Konieckiewicz"/>
    <n v="13"/>
    <x v="0"/>
  </r>
  <r>
    <d v="2017-01-16T00:00:00"/>
    <s v="Natalia"/>
    <s v="Belicka"/>
    <n v="27"/>
    <x v="0"/>
  </r>
  <r>
    <d v="2017-01-16T00:00:00"/>
    <s v="Ewa"/>
    <s v="Wojna"/>
    <n v="23"/>
    <x v="0"/>
  </r>
  <r>
    <d v="2017-01-17T00:00:00"/>
    <s v="Jacek"/>
    <s v="Ciosinski"/>
    <n v="39"/>
    <x v="0"/>
  </r>
  <r>
    <d v="2017-01-17T00:00:00"/>
    <s v="Jolanta"/>
    <s v="Bicz"/>
    <n v="19"/>
    <x v="0"/>
  </r>
  <r>
    <d v="2017-01-17T00:00:00"/>
    <s v="Jakub"/>
    <s v="Ręczmin"/>
    <n v="17"/>
    <x v="0"/>
  </r>
  <r>
    <d v="2017-01-17T00:00:00"/>
    <s v="Michal"/>
    <s v="Norek"/>
    <n v="30"/>
    <x v="0"/>
  </r>
  <r>
    <d v="2017-01-17T00:00:00"/>
    <s v="Julia"/>
    <s v="Stuhr"/>
    <n v="22"/>
    <x v="0"/>
  </r>
  <r>
    <d v="2017-01-17T00:00:00"/>
    <s v="Anita"/>
    <s v="Pawelczyk"/>
    <n v="8"/>
    <x v="0"/>
  </r>
  <r>
    <d v="2017-01-17T00:00:00"/>
    <s v="Alicja"/>
    <s v="Chmiel"/>
    <n v="20"/>
    <x v="0"/>
  </r>
  <r>
    <d v="2017-01-17T00:00:00"/>
    <s v="Jakub"/>
    <s v="Jedruszek"/>
    <n v="20"/>
    <x v="0"/>
  </r>
  <r>
    <d v="2017-01-17T00:00:00"/>
    <s v="Jakub"/>
    <s v="Waniek"/>
    <n v="29"/>
    <x v="0"/>
  </r>
  <r>
    <d v="2017-01-18T00:00:00"/>
    <s v="Karol"/>
    <s v="Milek"/>
    <n v="42"/>
    <x v="0"/>
  </r>
  <r>
    <d v="2017-01-18T00:00:00"/>
    <s v="Piotr"/>
    <s v="Flis"/>
    <n v="4"/>
    <x v="0"/>
  </r>
  <r>
    <d v="2017-01-18T00:00:00"/>
    <s v="Wanda"/>
    <s v="Sadza"/>
    <n v="3"/>
    <x v="0"/>
  </r>
  <r>
    <d v="2017-01-18T00:00:00"/>
    <s v="Aleks"/>
    <s v="Wojcik"/>
    <n v="39"/>
    <x v="0"/>
  </r>
  <r>
    <d v="2017-01-18T00:00:00"/>
    <s v="Zofia"/>
    <s v="Janczy"/>
    <n v="51"/>
    <x v="0"/>
  </r>
  <r>
    <d v="2017-01-18T00:00:00"/>
    <s v="Jaroslaw"/>
    <s v="Kopiec"/>
    <n v="8"/>
    <x v="0"/>
  </r>
  <r>
    <d v="2017-01-18T00:00:00"/>
    <s v="Dorota"/>
    <s v="Adamus"/>
    <n v="22"/>
    <x v="0"/>
  </r>
  <r>
    <d v="2017-01-18T00:00:00"/>
    <s v="Kinga"/>
    <s v="Kleszcz"/>
    <n v="15"/>
    <x v="0"/>
  </r>
  <r>
    <d v="2017-01-18T00:00:00"/>
    <s v="Malgorzata"/>
    <s v="Wiecek"/>
    <n v="10"/>
    <x v="0"/>
  </r>
  <r>
    <d v="2017-01-19T00:00:00"/>
    <s v="Piotr"/>
    <s v="Felus"/>
    <n v="21"/>
    <x v="0"/>
  </r>
  <r>
    <d v="2017-01-19T00:00:00"/>
    <s v="Mateusz"/>
    <s v="Uklej"/>
    <n v="34"/>
    <x v="0"/>
  </r>
  <r>
    <d v="2017-01-19T00:00:00"/>
    <s v="Julia"/>
    <s v="Kielecka"/>
    <n v="43"/>
    <x v="0"/>
  </r>
  <r>
    <d v="2017-01-19T00:00:00"/>
    <s v="Jaroslaw"/>
    <s v="Kopiec"/>
    <n v="24"/>
    <x v="0"/>
  </r>
  <r>
    <d v="2017-01-19T00:00:00"/>
    <s v="Edward"/>
    <s v="Zdunek"/>
    <n v="29"/>
    <x v="0"/>
  </r>
  <r>
    <d v="2017-01-19T00:00:00"/>
    <s v="Anna"/>
    <s v="Trzebiatowska"/>
    <n v="5"/>
    <x v="0"/>
  </r>
  <r>
    <d v="2017-01-19T00:00:00"/>
    <s v="Marta"/>
    <s v="Opolska"/>
    <n v="54"/>
    <x v="0"/>
  </r>
  <r>
    <d v="2017-01-19T00:00:00"/>
    <s v="Maciej"/>
    <s v="Laskowski"/>
    <n v="29"/>
    <x v="0"/>
  </r>
  <r>
    <d v="2017-01-19T00:00:00"/>
    <s v="Jacek"/>
    <s v="Szypulski"/>
    <n v="4"/>
    <x v="0"/>
  </r>
  <r>
    <d v="2017-01-20T00:00:00"/>
    <s v="Maria"/>
    <s v="Drozd"/>
    <n v="12"/>
    <x v="0"/>
  </r>
  <r>
    <d v="2017-01-20T00:00:00"/>
    <s v="Mateusz"/>
    <s v="Uklej"/>
    <n v="14"/>
    <x v="0"/>
  </r>
  <r>
    <d v="2017-01-20T00:00:00"/>
    <s v="Mateusz"/>
    <s v="Kowalczyk"/>
    <n v="46"/>
    <x v="0"/>
  </r>
  <r>
    <d v="2017-01-20T00:00:00"/>
    <s v="Weronika"/>
    <s v="Zdroj"/>
    <n v="13"/>
    <x v="0"/>
  </r>
  <r>
    <d v="2017-01-20T00:00:00"/>
    <s v="Wieslawa"/>
    <s v="Biczysko"/>
    <n v="15"/>
    <x v="0"/>
  </r>
  <r>
    <d v="2017-01-20T00:00:00"/>
    <s v="Marek"/>
    <s v="Nowakowski"/>
    <n v="38"/>
    <x v="0"/>
  </r>
  <r>
    <d v="2017-01-20T00:00:00"/>
    <s v="Karolina"/>
    <s v="Welc"/>
    <n v="27"/>
    <x v="0"/>
  </r>
  <r>
    <d v="2017-01-20T00:00:00"/>
    <s v="Ewa"/>
    <s v="Stoch"/>
    <n v="49"/>
    <x v="0"/>
  </r>
  <r>
    <d v="2017-01-20T00:00:00"/>
    <s v="Barbara"/>
    <s v="Podobinska"/>
    <n v="17"/>
    <x v="0"/>
  </r>
  <r>
    <d v="2017-01-23T00:00:00"/>
    <s v="Emilia"/>
    <s v="Mroczek"/>
    <n v="10"/>
    <x v="0"/>
  </r>
  <r>
    <d v="2017-01-23T00:00:00"/>
    <s v="Maria"/>
    <s v="Drozd"/>
    <n v="12"/>
    <x v="0"/>
  </r>
  <r>
    <d v="2017-01-23T00:00:00"/>
    <s v="Agnieszka"/>
    <s v="Antos"/>
    <n v="42"/>
    <x v="0"/>
  </r>
  <r>
    <d v="2017-01-23T00:00:00"/>
    <s v="Sabina"/>
    <s v="Wilk"/>
    <n v="25"/>
    <x v="0"/>
  </r>
  <r>
    <d v="2017-01-23T00:00:00"/>
    <s v="Edward"/>
    <s v="Snopek"/>
    <n v="47"/>
    <x v="0"/>
  </r>
  <r>
    <d v="2017-01-23T00:00:00"/>
    <s v="Krzysztof"/>
    <s v="Madejski"/>
    <n v="14"/>
    <x v="0"/>
  </r>
  <r>
    <d v="2017-01-23T00:00:00"/>
    <s v="Marcin"/>
    <s v="Wrobel"/>
    <n v="6"/>
    <x v="0"/>
  </r>
  <r>
    <d v="2017-01-23T00:00:00"/>
    <s v="Igor"/>
    <s v="Ryngwelski"/>
    <n v="55"/>
    <x v="0"/>
  </r>
  <r>
    <d v="2017-01-23T00:00:00"/>
    <s v="Michal"/>
    <s v="Lenski"/>
    <n v="22"/>
    <x v="0"/>
  </r>
  <r>
    <d v="2017-01-24T00:00:00"/>
    <s v="Pawel"/>
    <s v="Nowakowski"/>
    <n v="45"/>
    <x v="0"/>
  </r>
  <r>
    <d v="2017-01-24T00:00:00"/>
    <s v="Agnieszka"/>
    <s v="Krawczynska"/>
    <n v="20"/>
    <x v="0"/>
  </r>
  <r>
    <d v="2017-01-24T00:00:00"/>
    <s v="Grzegorz"/>
    <s v="Domek"/>
    <n v="52"/>
    <x v="0"/>
  </r>
  <r>
    <d v="2017-01-24T00:00:00"/>
    <s v="Michal"/>
    <s v="Gora"/>
    <n v="47"/>
    <x v="0"/>
  </r>
  <r>
    <d v="2017-01-24T00:00:00"/>
    <s v="Krzysztof"/>
    <s v="Micun"/>
    <n v="13"/>
    <x v="0"/>
  </r>
  <r>
    <d v="2017-01-24T00:00:00"/>
    <s v="Maria"/>
    <s v="Galas"/>
    <n v="23"/>
    <x v="0"/>
  </r>
  <r>
    <d v="2017-01-24T00:00:00"/>
    <s v="Jerzy"/>
    <s v="Polanicki"/>
    <n v="11"/>
    <x v="0"/>
  </r>
  <r>
    <d v="2017-01-24T00:00:00"/>
    <s v="Joanna"/>
    <s v="Baranska"/>
    <n v="35"/>
    <x v="0"/>
  </r>
  <r>
    <d v="2017-01-24T00:00:00"/>
    <s v="Hanna"/>
    <s v="Steinborn"/>
    <n v="42"/>
    <x v="0"/>
  </r>
  <r>
    <d v="2017-01-25T00:00:00"/>
    <s v="Anita"/>
    <s v="Woloszyn"/>
    <n v="15"/>
    <x v="0"/>
  </r>
  <r>
    <d v="2017-01-25T00:00:00"/>
    <s v="Karolina"/>
    <s v="Wrona"/>
    <n v="9"/>
    <x v="0"/>
  </r>
  <r>
    <d v="2017-01-25T00:00:00"/>
    <s v="Kamil"/>
    <s v="Pudelski"/>
    <n v="33"/>
    <x v="0"/>
  </r>
  <r>
    <d v="2017-01-25T00:00:00"/>
    <s v="Jerzy"/>
    <s v="Czajkowski"/>
    <n v="17"/>
    <x v="0"/>
  </r>
  <r>
    <d v="2017-01-25T00:00:00"/>
    <s v="Dominik"/>
    <s v="Szczucki"/>
    <n v="11"/>
    <x v="0"/>
  </r>
  <r>
    <d v="2017-01-25T00:00:00"/>
    <s v="Witold"/>
    <s v="Sempa"/>
    <n v="19"/>
    <x v="0"/>
  </r>
  <r>
    <d v="2017-01-25T00:00:00"/>
    <s v="Daria"/>
    <s v="Zagrobna"/>
    <n v="14"/>
    <x v="0"/>
  </r>
  <r>
    <d v="2017-01-25T00:00:00"/>
    <s v="Alicja"/>
    <s v="Chmiel"/>
    <n v="6"/>
    <x v="0"/>
  </r>
  <r>
    <d v="2017-01-25T00:00:00"/>
    <s v="Malwina"/>
    <s v="Korzeniowska"/>
    <n v="47"/>
    <x v="0"/>
  </r>
  <r>
    <d v="2017-01-25T00:00:00"/>
    <s v="Beata"/>
    <s v="Lubelska"/>
    <n v="4"/>
    <x v="0"/>
  </r>
  <r>
    <d v="2017-01-25T00:00:00"/>
    <s v="Marzena"/>
    <s v="Jagielska"/>
    <n v="45"/>
    <x v="0"/>
  </r>
  <r>
    <d v="2017-01-26T00:00:00"/>
    <s v="Patryk"/>
    <s v="Giemza"/>
    <n v="39"/>
    <x v="0"/>
  </r>
  <r>
    <d v="2017-01-26T00:00:00"/>
    <s v="Maria"/>
    <s v="Adamska"/>
    <n v="34"/>
    <x v="0"/>
  </r>
  <r>
    <d v="2017-01-26T00:00:00"/>
    <s v="Emilia"/>
    <s v="Janik"/>
    <n v="9"/>
    <x v="0"/>
  </r>
  <r>
    <d v="2017-01-26T00:00:00"/>
    <s v="Izabella"/>
    <s v="Jelen"/>
    <n v="23"/>
    <x v="0"/>
  </r>
  <r>
    <d v="2017-01-26T00:00:00"/>
    <s v="Julia"/>
    <s v="Stuhr"/>
    <n v="3"/>
    <x v="0"/>
  </r>
  <r>
    <d v="2017-01-26T00:00:00"/>
    <s v="Karolina"/>
    <s v="Nowak"/>
    <n v="13"/>
    <x v="0"/>
  </r>
  <r>
    <d v="2017-01-26T00:00:00"/>
    <s v="Karolina"/>
    <s v="Karpacka"/>
    <n v="16"/>
    <x v="0"/>
  </r>
  <r>
    <d v="2017-01-26T00:00:00"/>
    <s v="Piotr"/>
    <s v="Dzierzak"/>
    <n v="19"/>
    <x v="0"/>
  </r>
  <r>
    <d v="2017-01-26T00:00:00"/>
    <s v="Marek"/>
    <s v="Wolicki"/>
    <n v="49"/>
    <x v="0"/>
  </r>
  <r>
    <d v="2017-01-26T00:00:00"/>
    <s v="Adrian"/>
    <s v="Yuksek"/>
    <n v="45"/>
    <x v="0"/>
  </r>
  <r>
    <d v="2017-01-26T00:00:00"/>
    <s v="Monika"/>
    <s v="Piterka"/>
    <n v="14"/>
    <x v="0"/>
  </r>
  <r>
    <d v="2017-01-27T00:00:00"/>
    <s v="Jan"/>
    <s v="Inny"/>
    <n v="23"/>
    <x v="0"/>
  </r>
  <r>
    <d v="2017-01-27T00:00:00"/>
    <s v="Magdalena"/>
    <s v="Okraska"/>
    <n v="42"/>
    <x v="0"/>
  </r>
  <r>
    <d v="2017-01-27T00:00:00"/>
    <s v="Edgar"/>
    <s v="Wyszomirski"/>
    <n v="30"/>
    <x v="0"/>
  </r>
  <r>
    <d v="2017-01-27T00:00:00"/>
    <s v="Marta"/>
    <s v="Robak"/>
    <n v="42"/>
    <x v="0"/>
  </r>
  <r>
    <d v="2017-01-27T00:00:00"/>
    <s v="Maja"/>
    <s v="Lipka"/>
    <n v="29"/>
    <x v="0"/>
  </r>
  <r>
    <d v="2017-01-27T00:00:00"/>
    <s v="Teodor"/>
    <s v="Olszewski"/>
    <n v="6"/>
    <x v="0"/>
  </r>
  <r>
    <d v="2017-01-27T00:00:00"/>
    <s v="Lena"/>
    <s v="Miszkin"/>
    <n v="17"/>
    <x v="0"/>
  </r>
  <r>
    <d v="2017-01-27T00:00:00"/>
    <s v="Maciej"/>
    <s v="Czyzynski"/>
    <n v="41"/>
    <x v="0"/>
  </r>
  <r>
    <d v="2017-01-27T00:00:00"/>
    <s v="Malgorzata"/>
    <s v="Karlowski"/>
    <n v="23"/>
    <x v="0"/>
  </r>
  <r>
    <d v="2017-01-27T00:00:00"/>
    <s v="Wieslawa"/>
    <s v="Biczysko"/>
    <n v="4"/>
    <x v="0"/>
  </r>
  <r>
    <d v="2017-01-27T00:00:00"/>
    <s v="Sofia"/>
    <s v="Felisiak"/>
    <n v="52"/>
    <x v="0"/>
  </r>
  <r>
    <d v="2017-01-30T00:00:00"/>
    <s v="Laura"/>
    <s v="Chmielewska"/>
    <n v="7"/>
    <x v="0"/>
  </r>
  <r>
    <d v="2017-01-30T00:00:00"/>
    <s v="Filip"/>
    <s v="Strack"/>
    <n v="33"/>
    <x v="0"/>
  </r>
  <r>
    <d v="2017-01-30T00:00:00"/>
    <s v="Adela"/>
    <s v="Waruszewska"/>
    <n v="55"/>
    <x v="0"/>
  </r>
  <r>
    <d v="2017-01-30T00:00:00"/>
    <s v="Inez"/>
    <s v="Nahaj"/>
    <n v="13"/>
    <x v="0"/>
  </r>
  <r>
    <d v="2017-01-30T00:00:00"/>
    <s v="Zenon"/>
    <s v="Bartek"/>
    <n v="2"/>
    <x v="0"/>
  </r>
  <r>
    <d v="2017-01-30T00:00:00"/>
    <s v="Karol"/>
    <s v="Felisiak"/>
    <n v="19"/>
    <x v="0"/>
  </r>
  <r>
    <d v="2017-01-30T00:00:00"/>
    <s v="Wojciech"/>
    <s v="Wroblewski"/>
    <n v="28"/>
    <x v="0"/>
  </r>
  <r>
    <d v="2017-01-30T00:00:00"/>
    <s v="Ewa"/>
    <s v="Nowicka"/>
    <n v="43"/>
    <x v="0"/>
  </r>
  <r>
    <d v="2017-01-30T00:00:00"/>
    <s v="Irena"/>
    <s v="Banasiewicz"/>
    <n v="20"/>
    <x v="0"/>
  </r>
  <r>
    <d v="2017-01-30T00:00:00"/>
    <s v="Beata"/>
    <s v="Fles"/>
    <n v="22"/>
    <x v="0"/>
  </r>
  <r>
    <d v="2017-01-30T00:00:00"/>
    <s v="Ewa"/>
    <s v="Czerwinska"/>
    <n v="9"/>
    <x v="0"/>
  </r>
  <r>
    <d v="2017-01-31T00:00:00"/>
    <s v="Maja"/>
    <s v="Kulkowska"/>
    <n v="26"/>
    <x v="0"/>
  </r>
  <r>
    <d v="2017-01-31T00:00:00"/>
    <s v="Marek"/>
    <s v="Leoniuk"/>
    <n v="38"/>
    <x v="0"/>
  </r>
  <r>
    <d v="2017-01-31T00:00:00"/>
    <s v="Anna"/>
    <s v="Wilk"/>
    <n v="40"/>
    <x v="0"/>
  </r>
  <r>
    <d v="2017-01-31T00:00:00"/>
    <s v="Natalia"/>
    <s v="Miklis"/>
    <n v="56"/>
    <x v="0"/>
  </r>
  <r>
    <d v="2017-01-31T00:00:00"/>
    <s v="Krzysztof"/>
    <s v="Figurski"/>
    <n v="18"/>
    <x v="0"/>
  </r>
  <r>
    <d v="2017-01-31T00:00:00"/>
    <s v="Maria"/>
    <s v="Borowska"/>
    <n v="14"/>
    <x v="0"/>
  </r>
  <r>
    <d v="2017-01-31T00:00:00"/>
    <s v="Ewa"/>
    <s v="Aderek"/>
    <n v="16"/>
    <x v="0"/>
  </r>
  <r>
    <d v="2017-01-31T00:00:00"/>
    <s v="Joanna"/>
    <s v="Pilc"/>
    <n v="41"/>
    <x v="0"/>
  </r>
  <r>
    <d v="2017-01-31T00:00:00"/>
    <s v="Damian"/>
    <s v="Pilis"/>
    <n v="52"/>
    <x v="0"/>
  </r>
  <r>
    <d v="2017-01-31T00:00:00"/>
    <s v="Maria"/>
    <s v="Gatek"/>
    <n v="50"/>
    <x v="0"/>
  </r>
  <r>
    <d v="2017-01-31T00:00:00"/>
    <s v="Hanna"/>
    <s v="Modlinska"/>
    <n v="34"/>
    <x v="0"/>
  </r>
  <r>
    <d v="2017-02-01T00:00:00"/>
    <s v="Anna"/>
    <s v="Janowska"/>
    <n v="17"/>
    <x v="1"/>
  </r>
  <r>
    <d v="2017-02-01T00:00:00"/>
    <s v="Katarzyna"/>
    <s v="Wip"/>
    <n v="3"/>
    <x v="1"/>
  </r>
  <r>
    <d v="2017-02-01T00:00:00"/>
    <s v="Henryk"/>
    <s v="Polarek"/>
    <n v="3"/>
    <x v="1"/>
  </r>
  <r>
    <d v="2017-02-01T00:00:00"/>
    <s v="Anita"/>
    <s v="Woloszyn"/>
    <n v="26"/>
    <x v="1"/>
  </r>
  <r>
    <d v="2017-02-01T00:00:00"/>
    <s v="Malwina"/>
    <s v="Korzeniowska"/>
    <n v="3"/>
    <x v="1"/>
  </r>
  <r>
    <d v="2017-02-01T00:00:00"/>
    <s v="Marcel"/>
    <s v="Labuda"/>
    <n v="20"/>
    <x v="1"/>
  </r>
  <r>
    <d v="2017-02-01T00:00:00"/>
    <s v="Olgierd"/>
    <s v="Baranek"/>
    <n v="23"/>
    <x v="1"/>
  </r>
  <r>
    <d v="2017-02-01T00:00:00"/>
    <s v="Luiza"/>
    <s v="Makowska"/>
    <n v="24"/>
    <x v="1"/>
  </r>
  <r>
    <d v="2017-02-01T00:00:00"/>
    <s v="Andrea"/>
    <s v="Witkowska"/>
    <n v="17"/>
    <x v="1"/>
  </r>
  <r>
    <d v="2017-02-01T00:00:00"/>
    <s v="Lena"/>
    <s v="Marzec"/>
    <n v="6"/>
    <x v="1"/>
  </r>
  <r>
    <d v="2017-02-01T00:00:00"/>
    <s v="Janusz"/>
    <s v="Artowski"/>
    <n v="47"/>
    <x v="1"/>
  </r>
  <r>
    <d v="2017-02-02T00:00:00"/>
    <s v="Kamila"/>
    <s v="Wolan"/>
    <n v="25"/>
    <x v="1"/>
  </r>
  <r>
    <d v="2017-02-02T00:00:00"/>
    <s v="Inka"/>
    <s v="Sochacka"/>
    <n v="20"/>
    <x v="1"/>
  </r>
  <r>
    <d v="2017-02-02T00:00:00"/>
    <s v="Alina"/>
    <s v="Warta"/>
    <n v="6"/>
    <x v="1"/>
  </r>
  <r>
    <d v="2017-02-02T00:00:00"/>
    <s v="Adam"/>
    <s v="Zega"/>
    <n v="16"/>
    <x v="1"/>
  </r>
  <r>
    <d v="2017-02-02T00:00:00"/>
    <s v="Henryk"/>
    <s v="Siminski"/>
    <n v="16"/>
    <x v="1"/>
  </r>
  <r>
    <d v="2017-02-02T00:00:00"/>
    <s v="Irena"/>
    <s v="Piotrowska"/>
    <n v="8"/>
    <x v="1"/>
  </r>
  <r>
    <d v="2017-02-02T00:00:00"/>
    <s v="Malgorzata"/>
    <s v="Karlowski"/>
    <n v="17"/>
    <x v="1"/>
  </r>
  <r>
    <d v="2017-02-02T00:00:00"/>
    <s v="Jakub"/>
    <s v="Bracik"/>
    <n v="8"/>
    <x v="1"/>
  </r>
  <r>
    <d v="2017-02-02T00:00:00"/>
    <s v="Maciej"/>
    <s v="Lyszcz"/>
    <n v="29"/>
    <x v="1"/>
  </r>
  <r>
    <d v="2017-02-02T00:00:00"/>
    <s v="Pawel"/>
    <s v="Nowak"/>
    <n v="43"/>
    <x v="1"/>
  </r>
  <r>
    <d v="2017-02-02T00:00:00"/>
    <s v="Michalina"/>
    <s v="Klebba"/>
    <n v="17"/>
    <x v="1"/>
  </r>
  <r>
    <d v="2017-02-03T00:00:00"/>
    <s v="Bartosz"/>
    <s v="Protasow"/>
    <n v="29"/>
    <x v="1"/>
  </r>
  <r>
    <d v="2017-02-03T00:00:00"/>
    <s v="Edward"/>
    <s v="Zdunek"/>
    <n v="7"/>
    <x v="1"/>
  </r>
  <r>
    <d v="2017-02-03T00:00:00"/>
    <s v="Joanna"/>
    <s v="Zygmunt"/>
    <n v="16"/>
    <x v="1"/>
  </r>
  <r>
    <d v="2017-02-03T00:00:00"/>
    <s v="Krzysztof"/>
    <s v="Figurski"/>
    <n v="3"/>
    <x v="1"/>
  </r>
  <r>
    <d v="2017-02-03T00:00:00"/>
    <s v="Maja"/>
    <s v="Kulkowska"/>
    <n v="26"/>
    <x v="1"/>
  </r>
  <r>
    <d v="2017-02-03T00:00:00"/>
    <s v="Maria"/>
    <s v="Kowalczuk"/>
    <n v="5"/>
    <x v="1"/>
  </r>
  <r>
    <d v="2017-02-03T00:00:00"/>
    <s v="Jakub"/>
    <s v="Ropiak"/>
    <n v="16"/>
    <x v="1"/>
  </r>
  <r>
    <d v="2017-02-03T00:00:00"/>
    <s v="Piotr"/>
    <s v="Kania"/>
    <n v="19"/>
    <x v="1"/>
  </r>
  <r>
    <d v="2017-02-03T00:00:00"/>
    <s v="Witold"/>
    <s v="Sempa"/>
    <n v="13"/>
    <x v="1"/>
  </r>
  <r>
    <d v="2017-02-03T00:00:00"/>
    <s v="Pawel"/>
    <s v="Macherzynski"/>
    <n v="8"/>
    <x v="1"/>
  </r>
  <r>
    <d v="2017-02-03T00:00:00"/>
    <s v="Krzysztof"/>
    <s v="Czyz"/>
    <n v="13"/>
    <x v="1"/>
  </r>
  <r>
    <d v="2017-02-06T00:00:00"/>
    <s v="Krzysztof"/>
    <s v="Wilecki"/>
    <n v="25"/>
    <x v="1"/>
  </r>
  <r>
    <d v="2017-02-06T00:00:00"/>
    <s v="Zbigniew"/>
    <s v="Paderewski"/>
    <n v="25"/>
    <x v="1"/>
  </r>
  <r>
    <d v="2017-02-06T00:00:00"/>
    <s v="Bartosz"/>
    <s v="Tusinski"/>
    <n v="56"/>
    <x v="1"/>
  </r>
  <r>
    <d v="2017-02-06T00:00:00"/>
    <s v="Sabina"/>
    <s v="Wilk"/>
    <n v="3"/>
    <x v="1"/>
  </r>
  <r>
    <d v="2017-02-06T00:00:00"/>
    <s v="Marta"/>
    <s v="Wloczkow"/>
    <n v="18"/>
    <x v="1"/>
  </r>
  <r>
    <d v="2017-02-06T00:00:00"/>
    <s v="Bartosz"/>
    <s v="Tusinski"/>
    <n v="14"/>
    <x v="1"/>
  </r>
  <r>
    <d v="2017-02-06T00:00:00"/>
    <s v="Cyprian"/>
    <s v="Swierszcz"/>
    <n v="5"/>
    <x v="1"/>
  </r>
  <r>
    <d v="2017-02-06T00:00:00"/>
    <s v="Anita"/>
    <s v="Tych"/>
    <n v="3"/>
    <x v="1"/>
  </r>
  <r>
    <d v="2017-02-06T00:00:00"/>
    <s v="Piotr"/>
    <s v="Kaleta"/>
    <n v="27"/>
    <x v="1"/>
  </r>
  <r>
    <d v="2017-02-06T00:00:00"/>
    <s v="Konrad"/>
    <s v="Lipowski"/>
    <n v="28"/>
    <x v="1"/>
  </r>
  <r>
    <d v="2017-02-06T00:00:00"/>
    <s v="Wojciech"/>
    <s v="Filipowicz"/>
    <n v="2"/>
    <x v="1"/>
  </r>
  <r>
    <d v="2017-02-07T00:00:00"/>
    <s v="Marcel"/>
    <s v="Labuda"/>
    <n v="29"/>
    <x v="1"/>
  </r>
  <r>
    <d v="2017-02-07T00:00:00"/>
    <s v="Antoni"/>
    <s v="Pawlus"/>
    <n v="54"/>
    <x v="1"/>
  </r>
  <r>
    <d v="2017-02-07T00:00:00"/>
    <s v="Tadeusz"/>
    <s v="Stoch"/>
    <n v="4"/>
    <x v="1"/>
  </r>
  <r>
    <d v="2017-02-07T00:00:00"/>
    <s v="Krzysztof"/>
    <s v="Dwa"/>
    <n v="29"/>
    <x v="1"/>
  </r>
  <r>
    <d v="2017-02-07T00:00:00"/>
    <s v="Lukasz"/>
    <s v="Kopecki"/>
    <n v="22"/>
    <x v="1"/>
  </r>
  <r>
    <d v="2017-02-07T00:00:00"/>
    <s v="Krzysztof"/>
    <s v="Dwa"/>
    <n v="6"/>
    <x v="1"/>
  </r>
  <r>
    <d v="2017-02-07T00:00:00"/>
    <s v="Aleks"/>
    <s v="Wojcik"/>
    <n v="7"/>
    <x v="1"/>
  </r>
  <r>
    <d v="2017-02-07T00:00:00"/>
    <s v="Dominika"/>
    <s v="Mierny"/>
    <n v="21"/>
    <x v="1"/>
  </r>
  <r>
    <d v="2017-02-07T00:00:00"/>
    <s v="Jakub"/>
    <s v="Waniek"/>
    <n v="19"/>
    <x v="1"/>
  </r>
  <r>
    <d v="2017-02-07T00:00:00"/>
    <s v="Bohdan"/>
    <s v="Gigant"/>
    <n v="8"/>
    <x v="1"/>
  </r>
  <r>
    <d v="2017-02-07T00:00:00"/>
    <s v="Jakub"/>
    <s v="Jedruszek"/>
    <n v="2"/>
    <x v="1"/>
  </r>
  <r>
    <d v="2017-02-08T00:00:00"/>
    <s v="Henryk"/>
    <s v="Siminski"/>
    <n v="45"/>
    <x v="1"/>
  </r>
  <r>
    <d v="2017-02-08T00:00:00"/>
    <s v="Natalia"/>
    <s v="Wolny"/>
    <n v="3"/>
    <x v="1"/>
  </r>
  <r>
    <d v="2017-02-08T00:00:00"/>
    <s v="Olaf"/>
    <s v="Hrywniak"/>
    <n v="36"/>
    <x v="1"/>
  </r>
  <r>
    <d v="2017-02-08T00:00:00"/>
    <s v="Natalia"/>
    <s v="Wolny"/>
    <n v="9"/>
    <x v="1"/>
  </r>
  <r>
    <d v="2017-02-08T00:00:00"/>
    <s v="Agata"/>
    <s v="Zdrojewska"/>
    <n v="24"/>
    <x v="1"/>
  </r>
  <r>
    <d v="2017-02-08T00:00:00"/>
    <s v="Barbara"/>
    <s v="Podobinska"/>
    <n v="5"/>
    <x v="1"/>
  </r>
  <r>
    <d v="2017-02-08T00:00:00"/>
    <s v="Kornel"/>
    <s v="Mierzejewski"/>
    <n v="22"/>
    <x v="1"/>
  </r>
  <r>
    <d v="2017-02-08T00:00:00"/>
    <s v="Konrad"/>
    <s v="Jagielski"/>
    <n v="9"/>
    <x v="1"/>
  </r>
  <r>
    <d v="2017-02-08T00:00:00"/>
    <s v="Anna"/>
    <s v="Tomaszewska"/>
    <n v="6"/>
    <x v="1"/>
  </r>
  <r>
    <d v="2017-02-08T00:00:00"/>
    <s v="Anastazja"/>
    <s v="Borowska"/>
    <n v="9"/>
    <x v="1"/>
  </r>
  <r>
    <d v="2017-02-08T00:00:00"/>
    <s v="Dominika"/>
    <s v="Wierzbicka"/>
    <n v="19"/>
    <x v="1"/>
  </r>
  <r>
    <d v="2017-02-09T00:00:00"/>
    <s v="Martyna"/>
    <s v="Marmelowska"/>
    <n v="14"/>
    <x v="1"/>
  </r>
  <r>
    <d v="2017-02-09T00:00:00"/>
    <s v="Krystyna"/>
    <s v="Szybki"/>
    <n v="44"/>
    <x v="1"/>
  </r>
  <r>
    <d v="2017-02-09T00:00:00"/>
    <s v="Pawel"/>
    <s v="Furmaniak"/>
    <n v="38"/>
    <x v="1"/>
  </r>
  <r>
    <d v="2017-02-09T00:00:00"/>
    <s v="Malgorzata"/>
    <s v="Malec"/>
    <n v="18"/>
    <x v="1"/>
  </r>
  <r>
    <d v="2017-02-09T00:00:00"/>
    <s v="Marek"/>
    <s v="Leoniuk"/>
    <n v="51"/>
    <x v="1"/>
  </r>
  <r>
    <d v="2017-02-09T00:00:00"/>
    <s v="Marek"/>
    <s v="Witkowski"/>
    <n v="10"/>
    <x v="1"/>
  </r>
  <r>
    <d v="2017-02-09T00:00:00"/>
    <s v="Malgorzata"/>
    <s v="Winiarska"/>
    <n v="47"/>
    <x v="1"/>
  </r>
  <r>
    <d v="2017-02-09T00:00:00"/>
    <s v="Marek"/>
    <s v="Janowski"/>
    <n v="54"/>
    <x v="1"/>
  </r>
  <r>
    <d v="2017-02-09T00:00:00"/>
    <s v="Ewa"/>
    <s v="Stoch"/>
    <n v="32"/>
    <x v="1"/>
  </r>
  <r>
    <d v="2017-02-09T00:00:00"/>
    <s v="Zenon"/>
    <s v="Zbych"/>
    <n v="16"/>
    <x v="1"/>
  </r>
  <r>
    <d v="2017-02-09T00:00:00"/>
    <s v="Julia"/>
    <s v="Salanowska"/>
    <n v="18"/>
    <x v="1"/>
  </r>
  <r>
    <d v="2017-02-10T00:00:00"/>
    <s v="Nadia"/>
    <s v="Jędrzejczak"/>
    <n v="38"/>
    <x v="1"/>
  </r>
  <r>
    <d v="2017-02-10T00:00:00"/>
    <s v="Milena"/>
    <s v="Karolewska"/>
    <n v="7"/>
    <x v="1"/>
  </r>
  <r>
    <d v="2017-02-10T00:00:00"/>
    <s v="Izabela"/>
    <s v="Skrzydlak"/>
    <n v="16"/>
    <x v="1"/>
  </r>
  <r>
    <d v="2017-02-10T00:00:00"/>
    <s v="Anita"/>
    <s v="Kaczorowska"/>
    <n v="42"/>
    <x v="1"/>
  </r>
  <r>
    <d v="2017-02-10T00:00:00"/>
    <s v="Maksymilian"/>
    <s v="Piwko"/>
    <n v="27"/>
    <x v="1"/>
  </r>
  <r>
    <d v="2017-02-10T00:00:00"/>
    <s v="Maciej"/>
    <s v="Laskowski"/>
    <n v="19"/>
    <x v="1"/>
  </r>
  <r>
    <d v="2017-02-10T00:00:00"/>
    <s v="Henryk"/>
    <s v="Polarek"/>
    <n v="37"/>
    <x v="1"/>
  </r>
  <r>
    <d v="2017-02-10T00:00:00"/>
    <s v="Marzena"/>
    <s v="Gajek"/>
    <n v="49"/>
    <x v="1"/>
  </r>
  <r>
    <d v="2017-02-10T00:00:00"/>
    <s v="Kamil"/>
    <s v="Ludziejewski"/>
    <n v="38"/>
    <x v="1"/>
  </r>
  <r>
    <d v="2017-02-10T00:00:00"/>
    <s v="Adelajda"/>
    <s v="Zylinska"/>
    <n v="8"/>
    <x v="1"/>
  </r>
  <r>
    <d v="2017-02-10T00:00:00"/>
    <s v="Lena"/>
    <s v="Miszkin"/>
    <n v="9"/>
    <x v="1"/>
  </r>
  <r>
    <d v="2017-02-13T00:00:00"/>
    <s v="Janusz"/>
    <s v="Artowski"/>
    <n v="48"/>
    <x v="1"/>
  </r>
  <r>
    <d v="2017-02-13T00:00:00"/>
    <s v="Kamila"/>
    <s v="Wolan"/>
    <n v="19"/>
    <x v="1"/>
  </r>
  <r>
    <d v="2017-02-13T00:00:00"/>
    <s v="Mateusz"/>
    <s v="Polak"/>
    <n v="5"/>
    <x v="1"/>
  </r>
  <r>
    <d v="2017-02-13T00:00:00"/>
    <s v="Jan"/>
    <s v="Zdunski"/>
    <n v="25"/>
    <x v="1"/>
  </r>
  <r>
    <d v="2017-02-13T00:00:00"/>
    <s v="Zenon"/>
    <s v="Bartek"/>
    <n v="21"/>
    <x v="1"/>
  </r>
  <r>
    <d v="2017-02-13T00:00:00"/>
    <s v="Wiera"/>
    <s v="Nowak"/>
    <n v="6"/>
    <x v="1"/>
  </r>
  <r>
    <d v="2017-02-13T00:00:00"/>
    <s v="Dominika"/>
    <s v="Piotrowska"/>
    <n v="4"/>
    <x v="1"/>
  </r>
  <r>
    <d v="2017-02-13T00:00:00"/>
    <s v="Ilona"/>
    <s v="Nowak"/>
    <n v="9"/>
    <x v="1"/>
  </r>
  <r>
    <d v="2017-02-13T00:00:00"/>
    <s v="Karol"/>
    <s v="Felisiak"/>
    <n v="10"/>
    <x v="1"/>
  </r>
  <r>
    <d v="2017-02-13T00:00:00"/>
    <s v="Dominika"/>
    <s v="Mierny"/>
    <n v="26"/>
    <x v="1"/>
  </r>
  <r>
    <d v="2017-02-13T00:00:00"/>
    <s v="Maciej"/>
    <s v="Laskowski"/>
    <n v="26"/>
    <x v="1"/>
  </r>
  <r>
    <d v="2017-02-14T00:00:00"/>
    <s v="Adam"/>
    <s v="Zmurko"/>
    <n v="42"/>
    <x v="1"/>
  </r>
  <r>
    <d v="2017-02-14T00:00:00"/>
    <s v="Krystyna"/>
    <s v="Szybki"/>
    <n v="8"/>
    <x v="1"/>
  </r>
  <r>
    <d v="2017-02-14T00:00:00"/>
    <s v="Filip"/>
    <s v="Strehlke"/>
    <n v="8"/>
    <x v="1"/>
  </r>
  <r>
    <d v="2017-02-14T00:00:00"/>
    <s v="Janina"/>
    <s v="Podlaska"/>
    <n v="45"/>
    <x v="1"/>
  </r>
  <r>
    <d v="2017-02-14T00:00:00"/>
    <s v="Marcin"/>
    <s v="Tabaka"/>
    <n v="41"/>
    <x v="1"/>
  </r>
  <r>
    <d v="2017-02-14T00:00:00"/>
    <s v="Barbara"/>
    <s v="Bury"/>
    <n v="5"/>
    <x v="1"/>
  </r>
  <r>
    <d v="2017-02-14T00:00:00"/>
    <s v="Aleksandra"/>
    <s v="Donata"/>
    <n v="54"/>
    <x v="1"/>
  </r>
  <r>
    <d v="2017-02-14T00:00:00"/>
    <s v="Maria"/>
    <s v="Gatek"/>
    <n v="6"/>
    <x v="1"/>
  </r>
  <r>
    <d v="2017-02-14T00:00:00"/>
    <s v="Lidia"/>
    <s v="Goluchowska"/>
    <n v="3"/>
    <x v="1"/>
  </r>
  <r>
    <d v="2017-02-14T00:00:00"/>
    <s v="Mateusz"/>
    <s v="Sardo"/>
    <n v="49"/>
    <x v="1"/>
  </r>
  <r>
    <d v="2017-02-14T00:00:00"/>
    <s v="Jakub"/>
    <s v="Waniek"/>
    <n v="19"/>
    <x v="1"/>
  </r>
  <r>
    <d v="2017-02-15T00:00:00"/>
    <s v="Marek"/>
    <s v="Wolicki"/>
    <n v="29"/>
    <x v="1"/>
  </r>
  <r>
    <d v="2017-02-15T00:00:00"/>
    <s v="Ilona"/>
    <s v="Gorska"/>
    <n v="14"/>
    <x v="1"/>
  </r>
  <r>
    <d v="2017-02-15T00:00:00"/>
    <s v="Joanna"/>
    <s v="Ottka"/>
    <n v="12"/>
    <x v="1"/>
  </r>
  <r>
    <d v="2017-02-15T00:00:00"/>
    <s v="Arleta"/>
    <s v="Pawlik"/>
    <n v="4"/>
    <x v="1"/>
  </r>
  <r>
    <d v="2017-02-15T00:00:00"/>
    <s v="Malgorzata"/>
    <s v="Karlowski"/>
    <n v="14"/>
    <x v="1"/>
  </r>
  <r>
    <d v="2017-02-15T00:00:00"/>
    <s v="Szymon"/>
    <s v="Mrozniak"/>
    <n v="12"/>
    <x v="1"/>
  </r>
  <r>
    <d v="2017-02-15T00:00:00"/>
    <s v="Karolina"/>
    <s v="Wrak"/>
    <n v="52"/>
    <x v="1"/>
  </r>
  <r>
    <d v="2017-02-15T00:00:00"/>
    <s v="Igor"/>
    <s v="Rybinski"/>
    <n v="9"/>
    <x v="1"/>
  </r>
  <r>
    <d v="2017-02-15T00:00:00"/>
    <s v="Jakub"/>
    <s v="Marszalek"/>
    <n v="13"/>
    <x v="1"/>
  </r>
  <r>
    <d v="2017-02-15T00:00:00"/>
    <s v="Ryszarda"/>
    <s v="Januszek"/>
    <n v="29"/>
    <x v="1"/>
  </r>
  <r>
    <d v="2017-02-15T00:00:00"/>
    <s v="Bruno"/>
    <s v="Tomaszewski"/>
    <n v="18"/>
    <x v="1"/>
  </r>
  <r>
    <d v="2017-02-16T00:00:00"/>
    <s v="Karolina"/>
    <s v="Wrona"/>
    <n v="17"/>
    <x v="1"/>
  </r>
  <r>
    <d v="2017-02-16T00:00:00"/>
    <s v="Malgorzata"/>
    <s v="Kozlowska"/>
    <n v="9"/>
    <x v="1"/>
  </r>
  <r>
    <d v="2017-02-16T00:00:00"/>
    <s v="Jan"/>
    <s v="Kaczorowski"/>
    <n v="20"/>
    <x v="1"/>
  </r>
  <r>
    <d v="2017-02-16T00:00:00"/>
    <s v="Maciej"/>
    <s v="Kopacz"/>
    <n v="50"/>
    <x v="1"/>
  </r>
  <r>
    <d v="2017-02-16T00:00:00"/>
    <s v="Monika"/>
    <s v="Placzek"/>
    <n v="9"/>
    <x v="1"/>
  </r>
  <r>
    <d v="2017-02-16T00:00:00"/>
    <s v="Jan"/>
    <s v="Zdunski"/>
    <n v="4"/>
    <x v="1"/>
  </r>
  <r>
    <d v="2017-02-16T00:00:00"/>
    <s v="Jakub"/>
    <s v="Ręczmin"/>
    <n v="41"/>
    <x v="1"/>
  </r>
  <r>
    <d v="2017-02-16T00:00:00"/>
    <s v="Agata"/>
    <s v="Zdrojewska"/>
    <n v="11"/>
    <x v="1"/>
  </r>
  <r>
    <d v="2017-02-16T00:00:00"/>
    <s v="Natalia"/>
    <s v="Belicka"/>
    <n v="22"/>
    <x v="1"/>
  </r>
  <r>
    <d v="2017-02-16T00:00:00"/>
    <s v="Andrzej"/>
    <s v="Augustowski"/>
    <n v="23"/>
    <x v="1"/>
  </r>
  <r>
    <d v="2017-02-16T00:00:00"/>
    <s v="Stanislaw"/>
    <s v="Burza"/>
    <n v="33"/>
    <x v="1"/>
  </r>
  <r>
    <d v="2017-02-17T00:00:00"/>
    <s v="Mateusz"/>
    <s v="Krawczyk"/>
    <n v="14"/>
    <x v="1"/>
  </r>
  <r>
    <d v="2017-02-17T00:00:00"/>
    <s v="Borys"/>
    <s v="Winiarski"/>
    <n v="28"/>
    <x v="1"/>
  </r>
  <r>
    <d v="2017-02-17T00:00:00"/>
    <s v="Agnieszka"/>
    <s v="Matusik"/>
    <n v="12"/>
    <x v="1"/>
  </r>
  <r>
    <d v="2017-02-17T00:00:00"/>
    <s v="Jacek"/>
    <s v="Szypulski"/>
    <n v="55"/>
    <x v="1"/>
  </r>
  <r>
    <d v="2017-02-17T00:00:00"/>
    <s v="Lena"/>
    <s v="Mazurkiewicz"/>
    <n v="27"/>
    <x v="1"/>
  </r>
  <r>
    <d v="2017-02-17T00:00:00"/>
    <s v="Szymon"/>
    <s v="Polak"/>
    <n v="12"/>
    <x v="1"/>
  </r>
  <r>
    <d v="2017-02-17T00:00:00"/>
    <s v="Wojciech"/>
    <s v="Maja"/>
    <n v="50"/>
    <x v="1"/>
  </r>
  <r>
    <d v="2017-02-17T00:00:00"/>
    <s v="Milena"/>
    <s v="Karolewska"/>
    <n v="23"/>
    <x v="1"/>
  </r>
  <r>
    <d v="2017-02-17T00:00:00"/>
    <s v="Ewa"/>
    <s v="Zak"/>
    <n v="24"/>
    <x v="1"/>
  </r>
  <r>
    <d v="2017-02-17T00:00:00"/>
    <s v="Hubert"/>
    <s v="Pieczatowski"/>
    <n v="29"/>
    <x v="1"/>
  </r>
  <r>
    <d v="2017-02-17T00:00:00"/>
    <s v="Kamil"/>
    <s v="Ludziejewski"/>
    <n v="25"/>
    <x v="1"/>
  </r>
  <r>
    <d v="2017-02-20T00:00:00"/>
    <s v="Pawel"/>
    <s v="Bolkowski"/>
    <n v="17"/>
    <x v="1"/>
  </r>
  <r>
    <d v="2017-02-20T00:00:00"/>
    <s v="Agnieszka"/>
    <s v="Kaminska"/>
    <n v="5"/>
    <x v="1"/>
  </r>
  <r>
    <d v="2017-02-20T00:00:00"/>
    <s v="Mateusz"/>
    <s v="Kowalczyk"/>
    <n v="12"/>
    <x v="1"/>
  </r>
  <r>
    <d v="2017-02-20T00:00:00"/>
    <s v="Sabina"/>
    <s v="Wilk"/>
    <n v="31"/>
    <x v="1"/>
  </r>
  <r>
    <d v="2017-02-20T00:00:00"/>
    <s v="Maciej"/>
    <s v="Machol"/>
    <n v="7"/>
    <x v="1"/>
  </r>
  <r>
    <d v="2017-02-20T00:00:00"/>
    <s v="Krzysztof"/>
    <s v="Las"/>
    <n v="26"/>
    <x v="1"/>
  </r>
  <r>
    <d v="2017-02-20T00:00:00"/>
    <s v="Jan"/>
    <s v="Sznuk"/>
    <n v="28"/>
    <x v="1"/>
  </r>
  <r>
    <d v="2017-02-20T00:00:00"/>
    <s v="Zuzanna"/>
    <s v="Malicki"/>
    <n v="19"/>
    <x v="1"/>
  </r>
  <r>
    <d v="2017-02-20T00:00:00"/>
    <s v="Agata"/>
    <s v="Zdrojewska"/>
    <n v="3"/>
    <x v="1"/>
  </r>
  <r>
    <d v="2017-02-20T00:00:00"/>
    <s v="Adam"/>
    <s v="Susel"/>
    <n v="12"/>
    <x v="1"/>
  </r>
  <r>
    <d v="2017-02-20T00:00:00"/>
    <s v="Zuzanna"/>
    <s v="Kalisz"/>
    <n v="11"/>
    <x v="1"/>
  </r>
  <r>
    <d v="2017-02-21T00:00:00"/>
    <s v="Kamila"/>
    <s v="Wolan"/>
    <n v="29"/>
    <x v="1"/>
  </r>
  <r>
    <d v="2017-02-21T00:00:00"/>
    <s v="Wieslawa"/>
    <s v="Krawiec"/>
    <n v="4"/>
    <x v="1"/>
  </r>
  <r>
    <d v="2017-02-21T00:00:00"/>
    <s v="Aleksander"/>
    <s v="Pasternak"/>
    <n v="2"/>
    <x v="1"/>
  </r>
  <r>
    <d v="2017-02-21T00:00:00"/>
    <s v="Jakub"/>
    <s v="Porydzaj"/>
    <n v="45"/>
    <x v="1"/>
  </r>
  <r>
    <d v="2017-02-21T00:00:00"/>
    <s v="Filip"/>
    <s v="Stanulewicz"/>
    <n v="46"/>
    <x v="1"/>
  </r>
  <r>
    <d v="2017-02-21T00:00:00"/>
    <s v="Kacper"/>
    <s v="Niec"/>
    <n v="21"/>
    <x v="1"/>
  </r>
  <r>
    <d v="2017-02-21T00:00:00"/>
    <s v="Tomasz"/>
    <s v="Boruta"/>
    <n v="24"/>
    <x v="1"/>
  </r>
  <r>
    <d v="2017-02-21T00:00:00"/>
    <s v="Ewa"/>
    <s v="Milion"/>
    <n v="53"/>
    <x v="1"/>
  </r>
  <r>
    <d v="2017-02-21T00:00:00"/>
    <s v="Kacper"/>
    <s v="Nikolajew"/>
    <n v="45"/>
    <x v="1"/>
  </r>
  <r>
    <d v="2017-02-21T00:00:00"/>
    <s v="Patrycja"/>
    <s v="Dzban"/>
    <n v="56"/>
    <x v="1"/>
  </r>
  <r>
    <d v="2017-02-21T00:00:00"/>
    <s v="Mateusz"/>
    <s v="Uklej"/>
    <n v="28"/>
    <x v="1"/>
  </r>
  <r>
    <d v="2017-02-22T00:00:00"/>
    <s v="Aleksander"/>
    <s v="Pasternak"/>
    <n v="45"/>
    <x v="1"/>
  </r>
  <r>
    <d v="2017-02-22T00:00:00"/>
    <s v="Jakub"/>
    <s v="Rembiewski"/>
    <n v="43"/>
    <x v="1"/>
  </r>
  <r>
    <d v="2017-02-22T00:00:00"/>
    <s v="Ewa"/>
    <s v="Tysz"/>
    <n v="6"/>
    <x v="1"/>
  </r>
  <r>
    <d v="2017-02-22T00:00:00"/>
    <s v="Emilia"/>
    <s v="Szczepanska"/>
    <n v="5"/>
    <x v="1"/>
  </r>
  <r>
    <d v="2017-02-22T00:00:00"/>
    <s v="Marcelina"/>
    <s v="Serwicka"/>
    <n v="47"/>
    <x v="1"/>
  </r>
  <r>
    <d v="2017-02-22T00:00:00"/>
    <s v="Piotr"/>
    <s v="Polkowicki"/>
    <n v="6"/>
    <x v="1"/>
  </r>
  <r>
    <d v="2017-02-22T00:00:00"/>
    <s v="Edward"/>
    <s v="Zdunek"/>
    <n v="55"/>
    <x v="1"/>
  </r>
  <r>
    <d v="2017-02-22T00:00:00"/>
    <s v="Alicja"/>
    <s v="Gadek"/>
    <n v="37"/>
    <x v="1"/>
  </r>
  <r>
    <d v="2017-02-22T00:00:00"/>
    <s v="Wojciech"/>
    <s v="Filipowicz"/>
    <n v="10"/>
    <x v="1"/>
  </r>
  <r>
    <d v="2017-02-22T00:00:00"/>
    <s v="Jerzy"/>
    <s v="Czajkowski"/>
    <n v="39"/>
    <x v="1"/>
  </r>
  <r>
    <d v="2017-02-22T00:00:00"/>
    <s v="Monika"/>
    <s v="Nowaczkiewicz"/>
    <n v="23"/>
    <x v="1"/>
  </r>
  <r>
    <d v="2017-02-23T00:00:00"/>
    <s v="Marta"/>
    <s v="Robak"/>
    <n v="19"/>
    <x v="1"/>
  </r>
  <r>
    <d v="2017-02-23T00:00:00"/>
    <s v="Ewa"/>
    <s v="Zak"/>
    <n v="28"/>
    <x v="1"/>
  </r>
  <r>
    <d v="2017-02-23T00:00:00"/>
    <s v="Wojciech"/>
    <s v="Katowicki"/>
    <n v="2"/>
    <x v="1"/>
  </r>
  <r>
    <d v="2017-02-23T00:00:00"/>
    <s v="Marek"/>
    <s v="Bednarski"/>
    <n v="6"/>
    <x v="1"/>
  </r>
  <r>
    <d v="2017-02-23T00:00:00"/>
    <s v="Daria"/>
    <s v="Mikos"/>
    <n v="26"/>
    <x v="1"/>
  </r>
  <r>
    <d v="2017-02-23T00:00:00"/>
    <s v="Diana"/>
    <s v="Michalska"/>
    <n v="55"/>
    <x v="1"/>
  </r>
  <r>
    <d v="2017-02-23T00:00:00"/>
    <s v="Wiktor"/>
    <s v="Lubelski"/>
    <n v="52"/>
    <x v="1"/>
  </r>
  <r>
    <d v="2017-02-23T00:00:00"/>
    <s v="Szymon"/>
    <s v="Wozniak"/>
    <n v="55"/>
    <x v="1"/>
  </r>
  <r>
    <d v="2017-02-23T00:00:00"/>
    <s v="Matylda"/>
    <s v="Kluziak"/>
    <n v="15"/>
    <x v="1"/>
  </r>
  <r>
    <d v="2017-02-23T00:00:00"/>
    <s v="Jacek"/>
    <s v="Chojnacki"/>
    <n v="44"/>
    <x v="1"/>
  </r>
  <r>
    <d v="2017-02-23T00:00:00"/>
    <s v="Marta"/>
    <s v="Opolska"/>
    <n v="28"/>
    <x v="1"/>
  </r>
  <r>
    <d v="2017-02-24T00:00:00"/>
    <s v="Dorota"/>
    <s v="Gumowska"/>
    <n v="19"/>
    <x v="1"/>
  </r>
  <r>
    <d v="2017-02-24T00:00:00"/>
    <s v="Karolina"/>
    <s v="Wrona"/>
    <n v="20"/>
    <x v="1"/>
  </r>
  <r>
    <d v="2017-02-24T00:00:00"/>
    <s v="Kazimierz"/>
    <s v="Bartosik"/>
    <n v="24"/>
    <x v="1"/>
  </r>
  <r>
    <d v="2017-02-24T00:00:00"/>
    <s v="Julia"/>
    <s v="Kielecka"/>
    <n v="8"/>
    <x v="1"/>
  </r>
  <r>
    <d v="2017-02-24T00:00:00"/>
    <s v="Patrycja"/>
    <s v="Rzeszowska"/>
    <n v="8"/>
    <x v="1"/>
  </r>
  <r>
    <d v="2017-02-24T00:00:00"/>
    <s v="Andrea"/>
    <s v="Witkowska"/>
    <n v="18"/>
    <x v="1"/>
  </r>
  <r>
    <d v="2017-02-24T00:00:00"/>
    <s v="Bartosz"/>
    <s v="Protasow"/>
    <n v="26"/>
    <x v="1"/>
  </r>
  <r>
    <d v="2017-02-24T00:00:00"/>
    <s v="Hubert"/>
    <s v="Pieczatowski"/>
    <n v="5"/>
    <x v="1"/>
  </r>
  <r>
    <d v="2017-02-24T00:00:00"/>
    <s v="Beata"/>
    <s v="Lubelska"/>
    <n v="39"/>
    <x v="1"/>
  </r>
  <r>
    <d v="2017-02-24T00:00:00"/>
    <s v="Patrycja"/>
    <s v="Rzeszowska"/>
    <n v="13"/>
    <x v="1"/>
  </r>
  <r>
    <d v="2017-02-24T00:00:00"/>
    <s v="Bohdan"/>
    <s v="Gigant"/>
    <n v="52"/>
    <x v="1"/>
  </r>
  <r>
    <d v="2017-02-27T00:00:00"/>
    <s v="Kacper"/>
    <s v="Okla"/>
    <n v="21"/>
    <x v="1"/>
  </r>
  <r>
    <d v="2017-02-27T00:00:00"/>
    <s v="Mateusz"/>
    <s v="Kaczorowski"/>
    <n v="50"/>
    <x v="1"/>
  </r>
  <r>
    <d v="2017-02-27T00:00:00"/>
    <s v="Adrian"/>
    <s v="Yuksek"/>
    <n v="17"/>
    <x v="1"/>
  </r>
  <r>
    <d v="2017-02-27T00:00:00"/>
    <s v="Renata"/>
    <s v="Pawlak"/>
    <n v="45"/>
    <x v="1"/>
  </r>
  <r>
    <d v="2017-02-27T00:00:00"/>
    <s v="Krzysztof"/>
    <s v="Micun"/>
    <n v="10"/>
    <x v="1"/>
  </r>
  <r>
    <d v="2017-02-27T00:00:00"/>
    <s v="Patryk"/>
    <s v="Glac"/>
    <n v="24"/>
    <x v="1"/>
  </r>
  <r>
    <d v="2017-02-27T00:00:00"/>
    <s v="Julia"/>
    <s v="Salanowska"/>
    <n v="7"/>
    <x v="1"/>
  </r>
  <r>
    <d v="2017-02-27T00:00:00"/>
    <s v="Katarzyna"/>
    <s v="Dzielna"/>
    <n v="30"/>
    <x v="1"/>
  </r>
  <r>
    <d v="2017-02-27T00:00:00"/>
    <s v="Ewa"/>
    <s v="Tarnowska"/>
    <n v="41"/>
    <x v="1"/>
  </r>
  <r>
    <d v="2017-02-27T00:00:00"/>
    <s v="Zuzanna"/>
    <s v="Kalisz"/>
    <n v="22"/>
    <x v="1"/>
  </r>
  <r>
    <d v="2017-02-27T00:00:00"/>
    <s v="Ilona"/>
    <s v="Lukaszewska"/>
    <n v="18"/>
    <x v="1"/>
  </r>
  <r>
    <d v="2017-02-28T00:00:00"/>
    <s v="Jan"/>
    <s v="Gacek"/>
    <n v="9"/>
    <x v="1"/>
  </r>
  <r>
    <d v="2017-02-28T00:00:00"/>
    <s v="Wieslawa"/>
    <s v="Koniec"/>
    <n v="19"/>
    <x v="1"/>
  </r>
  <r>
    <d v="2017-02-28T00:00:00"/>
    <s v="Maciej"/>
    <s v="Lyszcz"/>
    <n v="16"/>
    <x v="1"/>
  </r>
  <r>
    <d v="2017-02-28T00:00:00"/>
    <s v="Dominik"/>
    <s v="Szmitko"/>
    <n v="27"/>
    <x v="1"/>
  </r>
  <r>
    <d v="2017-02-28T00:00:00"/>
    <s v="Julian"/>
    <s v="Lisowski"/>
    <n v="13"/>
    <x v="1"/>
  </r>
  <r>
    <d v="2017-02-28T00:00:00"/>
    <s v="Irena"/>
    <s v="Banasiewicz"/>
    <n v="44"/>
    <x v="1"/>
  </r>
  <r>
    <d v="2017-02-28T00:00:00"/>
    <s v="Mariusz"/>
    <s v="Brydzinski"/>
    <n v="16"/>
    <x v="1"/>
  </r>
  <r>
    <d v="2017-02-28T00:00:00"/>
    <s v="Adela"/>
    <s v="Waruszewska"/>
    <n v="13"/>
    <x v="1"/>
  </r>
  <r>
    <d v="2017-02-28T00:00:00"/>
    <s v="Patrycja"/>
    <s v="Grzeszcz"/>
    <n v="42"/>
    <x v="1"/>
  </r>
  <r>
    <d v="2017-02-28T00:00:00"/>
    <s v="Witold"/>
    <s v="Sempa"/>
    <n v="28"/>
    <x v="1"/>
  </r>
  <r>
    <d v="2017-02-28T00:00:00"/>
    <s v="Patryk"/>
    <s v="Geszczynski"/>
    <n v="54"/>
    <x v="1"/>
  </r>
  <r>
    <d v="2017-03-01T00:00:00"/>
    <s v="Aleksandra"/>
    <s v="Kwas"/>
    <n v="40"/>
    <x v="2"/>
  </r>
  <r>
    <d v="2017-03-01T00:00:00"/>
    <s v="Maciej"/>
    <s v="Tasz"/>
    <n v="19"/>
    <x v="2"/>
  </r>
  <r>
    <d v="2017-03-01T00:00:00"/>
    <s v="Mariusz"/>
    <s v="Brydzinski"/>
    <n v="18"/>
    <x v="2"/>
  </r>
  <r>
    <d v="2017-03-01T00:00:00"/>
    <s v="Kacper"/>
    <s v="Niec"/>
    <n v="24"/>
    <x v="2"/>
  </r>
  <r>
    <d v="2017-03-01T00:00:00"/>
    <s v="Karol"/>
    <s v="Wojciechowski"/>
    <n v="25"/>
    <x v="2"/>
  </r>
  <r>
    <d v="2017-03-01T00:00:00"/>
    <s v="Marcin"/>
    <s v="Gizinski"/>
    <n v="7"/>
    <x v="2"/>
  </r>
  <r>
    <d v="2017-03-01T00:00:00"/>
    <s v="Julia"/>
    <s v="Stuhr"/>
    <n v="52"/>
    <x v="2"/>
  </r>
  <r>
    <d v="2017-03-01T00:00:00"/>
    <s v="Maciej"/>
    <s v="Czyzynski"/>
    <n v="23"/>
    <x v="2"/>
  </r>
  <r>
    <d v="2017-03-01T00:00:00"/>
    <s v="Witold"/>
    <s v="Sempa"/>
    <n v="45"/>
    <x v="2"/>
  </r>
  <r>
    <d v="2017-03-01T00:00:00"/>
    <s v="Patryk"/>
    <s v="Glac"/>
    <n v="12"/>
    <x v="2"/>
  </r>
  <r>
    <d v="2017-03-01T00:00:00"/>
    <s v="Jakub"/>
    <s v="Przestrzelski"/>
    <n v="25"/>
    <x v="2"/>
  </r>
  <r>
    <d v="2017-03-02T00:00:00"/>
    <s v="Joanna"/>
    <s v="Kopacki"/>
    <n v="4"/>
    <x v="2"/>
  </r>
  <r>
    <d v="2017-03-02T00:00:00"/>
    <s v="Jakub"/>
    <s v="Holmes"/>
    <n v="10"/>
    <x v="2"/>
  </r>
  <r>
    <d v="2017-03-02T00:00:00"/>
    <s v="Hubert"/>
    <s v="Pieczatowski"/>
    <n v="23"/>
    <x v="2"/>
  </r>
  <r>
    <d v="2017-03-02T00:00:00"/>
    <s v="Wiktoria"/>
    <s v="Wilk"/>
    <n v="56"/>
    <x v="2"/>
  </r>
  <r>
    <d v="2017-03-02T00:00:00"/>
    <s v="Filip"/>
    <s v="Strack"/>
    <n v="38"/>
    <x v="2"/>
  </r>
  <r>
    <d v="2017-03-02T00:00:00"/>
    <s v="Albert"/>
    <s v="Pleszewski"/>
    <n v="27"/>
    <x v="2"/>
  </r>
  <r>
    <d v="2017-03-02T00:00:00"/>
    <s v="Pawel"/>
    <s v="Furmaniak"/>
    <n v="28"/>
    <x v="2"/>
  </r>
  <r>
    <d v="2017-03-02T00:00:00"/>
    <s v="Piotr"/>
    <s v="Kaleta"/>
    <n v="8"/>
    <x v="2"/>
  </r>
  <r>
    <d v="2017-03-02T00:00:00"/>
    <s v="Maria"/>
    <s v="Opolska"/>
    <n v="39"/>
    <x v="2"/>
  </r>
  <r>
    <d v="2017-03-02T00:00:00"/>
    <s v="Balbina"/>
    <s v="Madej"/>
    <n v="4"/>
    <x v="2"/>
  </r>
  <r>
    <d v="2017-03-02T00:00:00"/>
    <s v="Seweryn"/>
    <s v="Krakowski"/>
    <n v="56"/>
    <x v="2"/>
  </r>
  <r>
    <d v="2017-03-03T00:00:00"/>
    <s v="Maria"/>
    <s v="Kowalczyk"/>
    <n v="33"/>
    <x v="2"/>
  </r>
  <r>
    <d v="2017-03-03T00:00:00"/>
    <s v="Adrian"/>
    <s v="Baran"/>
    <n v="53"/>
    <x v="2"/>
  </r>
  <r>
    <d v="2017-03-03T00:00:00"/>
    <s v="Nikodem"/>
    <s v="Jama"/>
    <n v="26"/>
    <x v="2"/>
  </r>
  <r>
    <d v="2017-03-03T00:00:00"/>
    <s v="Anna"/>
    <s v="Babiarz"/>
    <n v="27"/>
    <x v="2"/>
  </r>
  <r>
    <d v="2017-03-03T00:00:00"/>
    <s v="Julia"/>
    <s v="Wolska"/>
    <n v="49"/>
    <x v="2"/>
  </r>
  <r>
    <d v="2017-03-03T00:00:00"/>
    <s v="Daria"/>
    <s v="Pawiec"/>
    <n v="20"/>
    <x v="2"/>
  </r>
  <r>
    <d v="2017-03-03T00:00:00"/>
    <s v="Ilona"/>
    <s v="Lukaszewska"/>
    <n v="7"/>
    <x v="2"/>
  </r>
  <r>
    <d v="2017-03-03T00:00:00"/>
    <s v="Joanna"/>
    <s v="Janas"/>
    <n v="3"/>
    <x v="2"/>
  </r>
  <r>
    <d v="2017-03-03T00:00:00"/>
    <s v="Joanna"/>
    <s v="Sibiga"/>
    <n v="47"/>
    <x v="2"/>
  </r>
  <r>
    <d v="2017-03-03T00:00:00"/>
    <s v="Krzysztof"/>
    <s v="Las"/>
    <n v="48"/>
    <x v="2"/>
  </r>
  <r>
    <d v="2017-03-03T00:00:00"/>
    <s v="Ryszard"/>
    <s v="Matusik"/>
    <n v="24"/>
    <x v="2"/>
  </r>
  <r>
    <d v="2017-03-06T00:00:00"/>
    <s v="Marek"/>
    <s v="Sznuk"/>
    <n v="33"/>
    <x v="2"/>
  </r>
  <r>
    <d v="2017-03-06T00:00:00"/>
    <s v="Anna"/>
    <s v="Babiarz"/>
    <n v="20"/>
    <x v="2"/>
  </r>
  <r>
    <d v="2017-03-06T00:00:00"/>
    <s v="Daria"/>
    <s v="Zagrobna"/>
    <n v="35"/>
    <x v="2"/>
  </r>
  <r>
    <d v="2017-03-06T00:00:00"/>
    <s v="Lukasz"/>
    <s v="Niedziela"/>
    <n v="10"/>
    <x v="2"/>
  </r>
  <r>
    <d v="2017-03-06T00:00:00"/>
    <s v="Borys"/>
    <s v="Biedal"/>
    <n v="43"/>
    <x v="2"/>
  </r>
  <r>
    <d v="2017-03-06T00:00:00"/>
    <s v="Kamila"/>
    <s v="Bialkowska"/>
    <n v="15"/>
    <x v="2"/>
  </r>
  <r>
    <d v="2017-03-06T00:00:00"/>
    <s v="Ilona"/>
    <s v="Gorska"/>
    <n v="8"/>
    <x v="2"/>
  </r>
  <r>
    <d v="2017-03-06T00:00:00"/>
    <s v="Karol"/>
    <s v="Dziuk"/>
    <n v="20"/>
    <x v="2"/>
  </r>
  <r>
    <d v="2017-03-06T00:00:00"/>
    <s v="Michal"/>
    <s v="Nowicki"/>
    <n v="35"/>
    <x v="2"/>
  </r>
  <r>
    <d v="2017-03-06T00:00:00"/>
    <s v="Henryk"/>
    <s v="Siminski"/>
    <n v="26"/>
    <x v="2"/>
  </r>
  <r>
    <d v="2017-03-06T00:00:00"/>
    <s v="Teodor"/>
    <s v="Olszewski"/>
    <n v="39"/>
    <x v="2"/>
  </r>
  <r>
    <d v="2017-03-07T00:00:00"/>
    <s v="Mateusz"/>
    <s v="Karpowicz"/>
    <n v="52"/>
    <x v="2"/>
  </r>
  <r>
    <d v="2017-03-07T00:00:00"/>
    <s v="Karolina"/>
    <s v="Wrona"/>
    <n v="13"/>
    <x v="2"/>
  </r>
  <r>
    <d v="2017-03-07T00:00:00"/>
    <s v="Jan"/>
    <s v="Kaczorowski"/>
    <n v="16"/>
    <x v="2"/>
  </r>
  <r>
    <d v="2017-03-07T00:00:00"/>
    <s v="Joanna"/>
    <s v="Wrobel"/>
    <n v="17"/>
    <x v="2"/>
  </r>
  <r>
    <d v="2017-03-07T00:00:00"/>
    <s v="Sofia"/>
    <s v="Felisiak"/>
    <n v="7"/>
    <x v="2"/>
  </r>
  <r>
    <d v="2017-03-07T00:00:00"/>
    <s v="Daria"/>
    <s v="Pawiec"/>
    <n v="48"/>
    <x v="2"/>
  </r>
  <r>
    <d v="2017-03-07T00:00:00"/>
    <s v="Mateusz"/>
    <s v="Kornatowski"/>
    <n v="20"/>
    <x v="2"/>
  </r>
  <r>
    <d v="2017-03-07T00:00:00"/>
    <s v="Mateusz"/>
    <s v="Filipowicz"/>
    <n v="3"/>
    <x v="2"/>
  </r>
  <r>
    <d v="2017-03-07T00:00:00"/>
    <s v="Ewa"/>
    <s v="Aderek"/>
    <n v="22"/>
    <x v="2"/>
  </r>
  <r>
    <d v="2017-03-08T00:00:00"/>
    <s v="Ewa"/>
    <s v="Milion"/>
    <n v="14"/>
    <x v="2"/>
  </r>
  <r>
    <d v="2017-03-08T00:00:00"/>
    <s v="Jacek"/>
    <s v="Szypulski"/>
    <n v="17"/>
    <x v="2"/>
  </r>
  <r>
    <d v="2017-03-08T00:00:00"/>
    <s v="Maciej"/>
    <s v="Machalski"/>
    <n v="3"/>
    <x v="2"/>
  </r>
  <r>
    <d v="2017-03-08T00:00:00"/>
    <s v="Angelika"/>
    <s v="Walaszek"/>
    <n v="10"/>
    <x v="2"/>
  </r>
  <r>
    <d v="2017-03-08T00:00:00"/>
    <s v="Malgorzata"/>
    <s v="Karlowski"/>
    <n v="14"/>
    <x v="2"/>
  </r>
  <r>
    <d v="2017-03-08T00:00:00"/>
    <s v="Kacper"/>
    <s v="Nikolajew"/>
    <n v="3"/>
    <x v="2"/>
  </r>
  <r>
    <d v="2017-03-08T00:00:00"/>
    <s v="Joanna"/>
    <s v="Ottka"/>
    <n v="22"/>
    <x v="2"/>
  </r>
  <r>
    <d v="2017-03-08T00:00:00"/>
    <s v="Jan"/>
    <s v="Pistek"/>
    <n v="11"/>
    <x v="2"/>
  </r>
  <r>
    <d v="2017-03-08T00:00:00"/>
    <s v="Daria"/>
    <s v="Mikos"/>
    <n v="7"/>
    <x v="2"/>
  </r>
  <r>
    <d v="2017-03-09T00:00:00"/>
    <s v="Ewa"/>
    <s v="Stoch"/>
    <n v="13"/>
    <x v="2"/>
  </r>
  <r>
    <d v="2017-03-09T00:00:00"/>
    <s v="Anna"/>
    <s v="Klimas"/>
    <n v="47"/>
    <x v="2"/>
  </r>
  <r>
    <d v="2017-03-09T00:00:00"/>
    <s v="Jacek"/>
    <s v="Ciosinski"/>
    <n v="22"/>
    <x v="2"/>
  </r>
  <r>
    <d v="2017-03-09T00:00:00"/>
    <s v="Mateusz"/>
    <s v="Krynicki"/>
    <n v="10"/>
    <x v="2"/>
  </r>
  <r>
    <d v="2017-03-09T00:00:00"/>
    <s v="Antoni"/>
    <s v="Wizniewski"/>
    <n v="38"/>
    <x v="2"/>
  </r>
  <r>
    <d v="2017-03-09T00:00:00"/>
    <s v="Anna"/>
    <s v="Zaczyk"/>
    <n v="48"/>
    <x v="2"/>
  </r>
  <r>
    <d v="2017-03-09T00:00:00"/>
    <s v="Bartosz"/>
    <s v="Mazgaj"/>
    <n v="9"/>
    <x v="2"/>
  </r>
  <r>
    <d v="2017-03-09T00:00:00"/>
    <s v="Maria"/>
    <s v="Galas"/>
    <n v="6"/>
    <x v="2"/>
  </r>
  <r>
    <d v="2017-03-09T00:00:00"/>
    <s v="Emilia"/>
    <s v="Mroczek"/>
    <n v="13"/>
    <x v="2"/>
  </r>
  <r>
    <d v="2017-03-10T00:00:00"/>
    <s v="Mateusz"/>
    <s v="Uklej"/>
    <n v="30"/>
    <x v="2"/>
  </r>
  <r>
    <d v="2017-03-10T00:00:00"/>
    <s v="Adam"/>
    <s v="Borkowski"/>
    <n v="3"/>
    <x v="2"/>
  </r>
  <r>
    <d v="2017-03-10T00:00:00"/>
    <s v="Maja"/>
    <s v="Lipka"/>
    <n v="8"/>
    <x v="2"/>
  </r>
  <r>
    <d v="2017-03-10T00:00:00"/>
    <s v="Malgorzata"/>
    <s v="Karlowski"/>
    <n v="12"/>
    <x v="2"/>
  </r>
  <r>
    <d v="2017-03-10T00:00:00"/>
    <s v="Balbina"/>
    <s v="Madej"/>
    <n v="14"/>
    <x v="2"/>
  </r>
  <r>
    <d v="2017-03-10T00:00:00"/>
    <s v="Angelika"/>
    <s v="Walaszek"/>
    <n v="4"/>
    <x v="2"/>
  </r>
  <r>
    <d v="2017-03-10T00:00:00"/>
    <s v="Sandra"/>
    <s v="Filarska"/>
    <n v="5"/>
    <x v="2"/>
  </r>
  <r>
    <d v="2017-03-10T00:00:00"/>
    <s v="Krzysztof"/>
    <s v="Wloch"/>
    <n v="13"/>
    <x v="2"/>
  </r>
  <r>
    <d v="2017-03-10T00:00:00"/>
    <s v="Maciej"/>
    <s v="Bugaj"/>
    <n v="9"/>
    <x v="2"/>
  </r>
  <r>
    <d v="2017-03-13T00:00:00"/>
    <s v="Mateusz"/>
    <s v="Mrowczynski"/>
    <n v="14"/>
    <x v="2"/>
  </r>
  <r>
    <d v="2017-03-13T00:00:00"/>
    <s v="Marek"/>
    <s v="Zybert"/>
    <n v="19"/>
    <x v="2"/>
  </r>
  <r>
    <d v="2017-03-13T00:00:00"/>
    <s v="Inka"/>
    <s v="Sochacka"/>
    <n v="21"/>
    <x v="2"/>
  </r>
  <r>
    <d v="2017-03-13T00:00:00"/>
    <s v="Joanna"/>
    <s v="Zygmunt"/>
    <n v="5"/>
    <x v="2"/>
  </r>
  <r>
    <d v="2017-03-13T00:00:00"/>
    <s v="Lukasz"/>
    <s v="Kot"/>
    <n v="18"/>
    <x v="2"/>
  </r>
  <r>
    <d v="2017-03-13T00:00:00"/>
    <s v="Anna"/>
    <s v="Kosowicz"/>
    <n v="4"/>
    <x v="2"/>
  </r>
  <r>
    <d v="2017-03-13T00:00:00"/>
    <s v="Tomasz"/>
    <s v="Hajdi"/>
    <n v="34"/>
    <x v="2"/>
  </r>
  <r>
    <d v="2017-03-13T00:00:00"/>
    <s v="Piotr"/>
    <s v="Bialaszewski"/>
    <n v="7"/>
    <x v="2"/>
  </r>
  <r>
    <d v="2017-03-13T00:00:00"/>
    <s v="Zofia"/>
    <s v="Broukin"/>
    <n v="41"/>
    <x v="2"/>
  </r>
  <r>
    <d v="2017-03-14T00:00:00"/>
    <s v="Marta"/>
    <s v="Opolska"/>
    <n v="10"/>
    <x v="2"/>
  </r>
  <r>
    <d v="2017-03-14T00:00:00"/>
    <s v="Ewa"/>
    <s v="Tysz"/>
    <n v="42"/>
    <x v="2"/>
  </r>
  <r>
    <d v="2017-03-14T00:00:00"/>
    <s v="Malgorzata"/>
    <s v="Winiarska"/>
    <n v="10"/>
    <x v="2"/>
  </r>
  <r>
    <d v="2017-03-14T00:00:00"/>
    <s v="Barbara"/>
    <s v="Karcz"/>
    <n v="4"/>
    <x v="2"/>
  </r>
  <r>
    <d v="2017-03-14T00:00:00"/>
    <s v="Nikodem"/>
    <s v="Jama"/>
    <n v="17"/>
    <x v="2"/>
  </r>
  <r>
    <d v="2017-03-14T00:00:00"/>
    <s v="Justyna"/>
    <s v="Pozarzycka"/>
    <n v="29"/>
    <x v="2"/>
  </r>
  <r>
    <d v="2017-03-14T00:00:00"/>
    <s v="Jan"/>
    <s v="Marasek"/>
    <n v="6"/>
    <x v="2"/>
  </r>
  <r>
    <d v="2017-03-14T00:00:00"/>
    <s v="Agata"/>
    <s v="Kwiatkowska"/>
    <n v="12"/>
    <x v="2"/>
  </r>
  <r>
    <d v="2017-03-14T00:00:00"/>
    <s v="Karolina"/>
    <s v="Mikos"/>
    <n v="14"/>
    <x v="2"/>
  </r>
  <r>
    <d v="2017-03-15T00:00:00"/>
    <s v="Marek"/>
    <s v="Chorzowski"/>
    <n v="28"/>
    <x v="2"/>
  </r>
  <r>
    <d v="2017-03-15T00:00:00"/>
    <s v="Ewelina"/>
    <s v="Goslawska"/>
    <n v="19"/>
    <x v="2"/>
  </r>
  <r>
    <d v="2017-03-15T00:00:00"/>
    <s v="Ewa"/>
    <s v="Augustowska"/>
    <n v="30"/>
    <x v="2"/>
  </r>
  <r>
    <d v="2017-03-15T00:00:00"/>
    <s v="Stanislaw"/>
    <s v="Janiec"/>
    <n v="54"/>
    <x v="2"/>
  </r>
  <r>
    <d v="2017-03-15T00:00:00"/>
    <s v="Ewelina"/>
    <s v="Gorecka"/>
    <n v="21"/>
    <x v="2"/>
  </r>
  <r>
    <d v="2017-03-15T00:00:00"/>
    <s v="Agnieszka"/>
    <s v="Kaminska"/>
    <n v="10"/>
    <x v="2"/>
  </r>
  <r>
    <d v="2017-03-15T00:00:00"/>
    <s v="Mateusz"/>
    <s v="Mrowczynski"/>
    <n v="25"/>
    <x v="2"/>
  </r>
  <r>
    <d v="2017-03-15T00:00:00"/>
    <s v="Piotr"/>
    <s v="Kania"/>
    <n v="5"/>
    <x v="2"/>
  </r>
  <r>
    <d v="2017-03-15T00:00:00"/>
    <s v="Maciej"/>
    <s v="Siemiatkowski"/>
    <n v="12"/>
    <x v="2"/>
  </r>
  <r>
    <d v="2017-03-16T00:00:00"/>
    <s v="Krzysztof"/>
    <s v="Dwa"/>
    <n v="24"/>
    <x v="2"/>
  </r>
  <r>
    <d v="2017-03-16T00:00:00"/>
    <s v="Lena"/>
    <s v="Miszkin"/>
    <n v="11"/>
    <x v="2"/>
  </r>
  <r>
    <d v="2017-03-16T00:00:00"/>
    <s v="Piotr"/>
    <s v="Duszota"/>
    <n v="37"/>
    <x v="2"/>
  </r>
  <r>
    <d v="2017-03-16T00:00:00"/>
    <s v="Malgorzata"/>
    <s v="Malec"/>
    <n v="26"/>
    <x v="2"/>
  </r>
  <r>
    <d v="2017-03-16T00:00:00"/>
    <s v="Grzegorz"/>
    <s v="Wojtowicz"/>
    <n v="3"/>
    <x v="2"/>
  </r>
  <r>
    <d v="2017-03-16T00:00:00"/>
    <s v="Iwona"/>
    <s v="Lato"/>
    <n v="52"/>
    <x v="2"/>
  </r>
  <r>
    <d v="2017-03-16T00:00:00"/>
    <s v="Katarzyna"/>
    <s v="Wip"/>
    <n v="24"/>
    <x v="2"/>
  </r>
  <r>
    <d v="2017-03-16T00:00:00"/>
    <s v="Maja"/>
    <s v="Kaminska"/>
    <n v="43"/>
    <x v="2"/>
  </r>
  <r>
    <d v="2017-03-16T00:00:00"/>
    <s v="Wojciech"/>
    <s v="Gocyla"/>
    <n v="54"/>
    <x v="2"/>
  </r>
  <r>
    <d v="2017-03-16T00:00:00"/>
    <s v="Kamil"/>
    <s v="Naderka"/>
    <n v="42"/>
    <x v="2"/>
  </r>
  <r>
    <d v="2017-03-17T00:00:00"/>
    <s v="Eugenia"/>
    <s v="Pieta"/>
    <n v="10"/>
    <x v="2"/>
  </r>
  <r>
    <d v="2017-03-17T00:00:00"/>
    <s v="Monika"/>
    <s v="Nowaczkiewicz"/>
    <n v="40"/>
    <x v="2"/>
  </r>
  <r>
    <d v="2017-03-17T00:00:00"/>
    <s v="Julia"/>
    <s v="Saska"/>
    <n v="16"/>
    <x v="2"/>
  </r>
  <r>
    <d v="2017-03-17T00:00:00"/>
    <s v="Zbigniew"/>
    <s v="Maciag"/>
    <n v="27"/>
    <x v="2"/>
  </r>
  <r>
    <d v="2017-03-17T00:00:00"/>
    <s v="Agata"/>
    <s v="Kwiatkowska"/>
    <n v="14"/>
    <x v="2"/>
  </r>
  <r>
    <d v="2017-03-17T00:00:00"/>
    <s v="Ewelina"/>
    <s v="Gorecka"/>
    <n v="5"/>
    <x v="2"/>
  </r>
  <r>
    <d v="2017-03-17T00:00:00"/>
    <s v="Maria"/>
    <s v="Gatek"/>
    <n v="23"/>
    <x v="2"/>
  </r>
  <r>
    <d v="2017-03-17T00:00:00"/>
    <s v="Bartosz"/>
    <s v="Mazgaj"/>
    <n v="17"/>
    <x v="2"/>
  </r>
  <r>
    <d v="2017-03-17T00:00:00"/>
    <s v="Karolina"/>
    <s v="Pawelska"/>
    <n v="54"/>
    <x v="2"/>
  </r>
  <r>
    <d v="2017-03-17T00:00:00"/>
    <s v="Roman"/>
    <s v="Grodecki"/>
    <n v="24"/>
    <x v="2"/>
  </r>
  <r>
    <d v="2017-03-20T00:00:00"/>
    <s v="Kinga"/>
    <s v="Trawinska"/>
    <n v="19"/>
    <x v="2"/>
  </r>
  <r>
    <d v="2017-03-20T00:00:00"/>
    <s v="Monika"/>
    <s v="Lis"/>
    <n v="17"/>
    <x v="2"/>
  </r>
  <r>
    <d v="2017-03-20T00:00:00"/>
    <s v="Karol"/>
    <s v="Pawleczek"/>
    <n v="20"/>
    <x v="2"/>
  </r>
  <r>
    <d v="2017-03-20T00:00:00"/>
    <s v="Karolina"/>
    <s v="Welc"/>
    <n v="42"/>
    <x v="2"/>
  </r>
  <r>
    <d v="2017-03-20T00:00:00"/>
    <s v="Piotr"/>
    <s v="Bialaszewski"/>
    <n v="14"/>
    <x v="2"/>
  </r>
  <r>
    <d v="2017-03-20T00:00:00"/>
    <s v="Agnieszka"/>
    <s v="Bujak"/>
    <n v="10"/>
    <x v="2"/>
  </r>
  <r>
    <d v="2017-03-20T00:00:00"/>
    <s v="Piotr"/>
    <s v="Mozart"/>
    <n v="24"/>
    <x v="2"/>
  </r>
  <r>
    <d v="2017-03-20T00:00:00"/>
    <s v="Mateusz"/>
    <s v="Filipowicz"/>
    <n v="10"/>
    <x v="2"/>
  </r>
  <r>
    <d v="2017-03-20T00:00:00"/>
    <s v="Lukasz"/>
    <s v="Kopecki"/>
    <n v="17"/>
    <x v="2"/>
  </r>
  <r>
    <d v="2017-03-20T00:00:00"/>
    <s v="Agata"/>
    <s v="Zgoda"/>
    <n v="4"/>
    <x v="2"/>
  </r>
  <r>
    <d v="2017-03-21T00:00:00"/>
    <s v="Anna"/>
    <s v="Dab"/>
    <n v="30"/>
    <x v="2"/>
  </r>
  <r>
    <d v="2017-03-21T00:00:00"/>
    <s v="Bruno"/>
    <s v="Tomaszewski"/>
    <n v="13"/>
    <x v="2"/>
  </r>
  <r>
    <d v="2017-03-21T00:00:00"/>
    <s v="Pawel"/>
    <s v="Furmaniak"/>
    <n v="8"/>
    <x v="2"/>
  </r>
  <r>
    <d v="2017-03-21T00:00:00"/>
    <s v="Anna"/>
    <s v="Wnuk"/>
    <n v="21"/>
    <x v="2"/>
  </r>
  <r>
    <d v="2017-03-21T00:00:00"/>
    <s v="Radoslaw"/>
    <s v="Sowinska"/>
    <n v="7"/>
    <x v="2"/>
  </r>
  <r>
    <d v="2017-03-21T00:00:00"/>
    <s v="Mateusz"/>
    <s v="Kowalczyk"/>
    <n v="13"/>
    <x v="2"/>
  </r>
  <r>
    <d v="2017-03-21T00:00:00"/>
    <s v="Karol"/>
    <s v="Walasz"/>
    <n v="19"/>
    <x v="2"/>
  </r>
  <r>
    <d v="2017-03-21T00:00:00"/>
    <s v="Wojciech"/>
    <s v="Filipowicz"/>
    <n v="47"/>
    <x v="2"/>
  </r>
  <r>
    <d v="2017-03-21T00:00:00"/>
    <s v="Janina"/>
    <s v="Podlaska"/>
    <n v="15"/>
    <x v="2"/>
  </r>
  <r>
    <d v="2017-03-21T00:00:00"/>
    <s v="Janina"/>
    <s v="Kaczynska"/>
    <n v="50"/>
    <x v="2"/>
  </r>
  <r>
    <d v="2017-03-22T00:00:00"/>
    <s v="Bogdan"/>
    <s v="Inny"/>
    <n v="10"/>
    <x v="2"/>
  </r>
  <r>
    <d v="2017-03-22T00:00:00"/>
    <s v="Henryk"/>
    <s v="Polarek"/>
    <n v="21"/>
    <x v="2"/>
  </r>
  <r>
    <d v="2017-03-22T00:00:00"/>
    <s v="Dominika"/>
    <s v="Szwec"/>
    <n v="7"/>
    <x v="2"/>
  </r>
  <r>
    <d v="2017-03-22T00:00:00"/>
    <s v="Marek"/>
    <s v="Witkowski"/>
    <n v="13"/>
    <x v="2"/>
  </r>
  <r>
    <d v="2017-03-22T00:00:00"/>
    <s v="Filip"/>
    <s v="Spychala"/>
    <n v="27"/>
    <x v="2"/>
  </r>
  <r>
    <d v="2017-03-22T00:00:00"/>
    <s v="Hanna"/>
    <s v="Stankiewicz"/>
    <n v="23"/>
    <x v="2"/>
  </r>
  <r>
    <d v="2017-03-22T00:00:00"/>
    <s v="Filip"/>
    <s v="Spychala"/>
    <n v="18"/>
    <x v="2"/>
  </r>
  <r>
    <d v="2017-03-22T00:00:00"/>
    <s v="Malgorzata"/>
    <s v="Kozlowska"/>
    <n v="16"/>
    <x v="2"/>
  </r>
  <r>
    <d v="2017-03-22T00:00:00"/>
    <s v="Jan"/>
    <s v="Zdunski"/>
    <n v="21"/>
    <x v="2"/>
  </r>
  <r>
    <d v="2017-03-22T00:00:00"/>
    <s v="Kacper"/>
    <s v="Okla"/>
    <n v="17"/>
    <x v="2"/>
  </r>
  <r>
    <d v="2017-03-23T00:00:00"/>
    <s v="Maciej"/>
    <s v="Machalski"/>
    <n v="21"/>
    <x v="2"/>
  </r>
  <r>
    <d v="2017-03-23T00:00:00"/>
    <s v="Izabela"/>
    <s v="Sobota"/>
    <n v="19"/>
    <x v="2"/>
  </r>
  <r>
    <d v="2017-03-23T00:00:00"/>
    <s v="Kacper"/>
    <s v="Nikolajew"/>
    <n v="24"/>
    <x v="2"/>
  </r>
  <r>
    <d v="2017-03-23T00:00:00"/>
    <s v="Nikodem"/>
    <s v="Jablonski"/>
    <n v="16"/>
    <x v="2"/>
  </r>
  <r>
    <d v="2017-03-23T00:00:00"/>
    <s v="Ewaryst"/>
    <s v="Zdunek"/>
    <n v="8"/>
    <x v="2"/>
  </r>
  <r>
    <d v="2017-03-23T00:00:00"/>
    <s v="Monika"/>
    <s v="Piterka"/>
    <n v="27"/>
    <x v="2"/>
  </r>
  <r>
    <d v="2017-03-23T00:00:00"/>
    <s v="Kacper"/>
    <s v="Niec"/>
    <n v="25"/>
    <x v="2"/>
  </r>
  <r>
    <d v="2017-03-23T00:00:00"/>
    <s v="Piotr"/>
    <s v="Kania"/>
    <n v="10"/>
    <x v="2"/>
  </r>
  <r>
    <d v="2017-03-23T00:00:00"/>
    <s v="Katarzyna"/>
    <s v="Galazka"/>
    <n v="11"/>
    <x v="2"/>
  </r>
  <r>
    <d v="2017-03-23T00:00:00"/>
    <s v="Antoni"/>
    <s v="Wierzbicki"/>
    <n v="3"/>
    <x v="2"/>
  </r>
  <r>
    <d v="2017-03-24T00:00:00"/>
    <s v="Agnieszka"/>
    <s v="Bujak"/>
    <n v="15"/>
    <x v="2"/>
  </r>
  <r>
    <d v="2017-03-24T00:00:00"/>
    <s v="Ewa"/>
    <s v="Tysz"/>
    <n v="14"/>
    <x v="2"/>
  </r>
  <r>
    <d v="2017-03-24T00:00:00"/>
    <s v="Anna"/>
    <s v="Trojanowska"/>
    <n v="37"/>
    <x v="2"/>
  </r>
  <r>
    <d v="2017-03-24T00:00:00"/>
    <s v="Andrzej"/>
    <s v="Nawwrot"/>
    <n v="22"/>
    <x v="2"/>
  </r>
  <r>
    <d v="2017-03-24T00:00:00"/>
    <s v="Bartosz"/>
    <s v="Tusinski"/>
    <n v="5"/>
    <x v="2"/>
  </r>
  <r>
    <d v="2017-03-24T00:00:00"/>
    <s v="Maciej"/>
    <s v="Nowak"/>
    <n v="29"/>
    <x v="2"/>
  </r>
  <r>
    <d v="2017-03-24T00:00:00"/>
    <s v="Daria"/>
    <s v="Zagrobna"/>
    <n v="25"/>
    <x v="2"/>
  </r>
  <r>
    <d v="2017-03-24T00:00:00"/>
    <s v="Maria"/>
    <s v="Adamska"/>
    <n v="52"/>
    <x v="2"/>
  </r>
  <r>
    <d v="2017-03-24T00:00:00"/>
    <s v="Dawid"/>
    <s v="Szreder"/>
    <n v="2"/>
    <x v="2"/>
  </r>
  <r>
    <d v="2017-03-24T00:00:00"/>
    <s v="Hanna"/>
    <s v="Stanislawska"/>
    <n v="27"/>
    <x v="2"/>
  </r>
  <r>
    <d v="2017-03-27T00:00:00"/>
    <s v="Justyna"/>
    <s v="Pozarzycka"/>
    <n v="43"/>
    <x v="2"/>
  </r>
  <r>
    <d v="2017-03-27T00:00:00"/>
    <s v="Aleks"/>
    <s v="Wojcik"/>
    <n v="23"/>
    <x v="2"/>
  </r>
  <r>
    <d v="2017-03-27T00:00:00"/>
    <s v="Lidia"/>
    <s v="Goluchowska"/>
    <n v="19"/>
    <x v="2"/>
  </r>
  <r>
    <d v="2017-03-27T00:00:00"/>
    <s v="Balbina"/>
    <s v="Madej"/>
    <n v="36"/>
    <x v="2"/>
  </r>
  <r>
    <d v="2017-03-27T00:00:00"/>
    <s v="Patrycja"/>
    <s v="Rzeszowska"/>
    <n v="26"/>
    <x v="2"/>
  </r>
  <r>
    <d v="2017-03-27T00:00:00"/>
    <s v="Przemyslaw"/>
    <s v="Widawski"/>
    <n v="24"/>
    <x v="2"/>
  </r>
  <r>
    <d v="2017-03-27T00:00:00"/>
    <s v="Kamil"/>
    <s v="Krawczyk"/>
    <n v="5"/>
    <x v="2"/>
  </r>
  <r>
    <d v="2017-03-27T00:00:00"/>
    <s v="Jakub"/>
    <s v="Porydzaj"/>
    <n v="53"/>
    <x v="2"/>
  </r>
  <r>
    <d v="2017-03-27T00:00:00"/>
    <s v="Katarzyna"/>
    <s v="Galazka"/>
    <n v="18"/>
    <x v="2"/>
  </r>
  <r>
    <d v="2017-03-27T00:00:00"/>
    <s v="Piotr"/>
    <s v="Mozart"/>
    <n v="15"/>
    <x v="2"/>
  </r>
  <r>
    <d v="2017-03-28T00:00:00"/>
    <s v="Natalia"/>
    <s v="Knap"/>
    <n v="20"/>
    <x v="2"/>
  </r>
  <r>
    <d v="2017-03-28T00:00:00"/>
    <s v="Joanna"/>
    <s v="Banaszczyk"/>
    <n v="34"/>
    <x v="2"/>
  </r>
  <r>
    <d v="2017-03-28T00:00:00"/>
    <s v="Adrian"/>
    <s v="Zawisza"/>
    <n v="35"/>
    <x v="2"/>
  </r>
  <r>
    <d v="2017-03-28T00:00:00"/>
    <s v="Jan"/>
    <s v="Gumowski"/>
    <n v="29"/>
    <x v="2"/>
  </r>
  <r>
    <d v="2017-03-28T00:00:00"/>
    <s v="Nikodem"/>
    <s v="Jablonski"/>
    <n v="7"/>
    <x v="2"/>
  </r>
  <r>
    <d v="2017-03-28T00:00:00"/>
    <s v="Marta"/>
    <s v="Robak"/>
    <n v="10"/>
    <x v="2"/>
  </r>
  <r>
    <d v="2017-03-28T00:00:00"/>
    <s v="Ignacy"/>
    <s v="Sarnowski"/>
    <n v="14"/>
    <x v="2"/>
  </r>
  <r>
    <d v="2017-03-28T00:00:00"/>
    <s v="Magdalena"/>
    <s v="Bach"/>
    <n v="23"/>
    <x v="2"/>
  </r>
  <r>
    <d v="2017-03-28T00:00:00"/>
    <s v="Monika"/>
    <s v="Lis"/>
    <n v="26"/>
    <x v="2"/>
  </r>
  <r>
    <d v="2017-03-28T00:00:00"/>
    <s v="Kamila"/>
    <s v="Wolan"/>
    <n v="2"/>
    <x v="2"/>
  </r>
  <r>
    <d v="2017-03-29T00:00:00"/>
    <s v="Kamil"/>
    <s v="Wolny"/>
    <n v="36"/>
    <x v="2"/>
  </r>
  <r>
    <d v="2017-03-29T00:00:00"/>
    <s v="Kamil"/>
    <s v="Szyszko"/>
    <n v="18"/>
    <x v="2"/>
  </r>
  <r>
    <d v="2017-03-29T00:00:00"/>
    <s v="Jan"/>
    <s v="Nancki"/>
    <n v="23"/>
    <x v="2"/>
  </r>
  <r>
    <d v="2017-03-29T00:00:00"/>
    <s v="Przemyslaw"/>
    <s v="Widawski"/>
    <n v="20"/>
    <x v="2"/>
  </r>
  <r>
    <d v="2017-03-29T00:00:00"/>
    <s v="Karolina"/>
    <s v="Wrak"/>
    <n v="16"/>
    <x v="2"/>
  </r>
  <r>
    <d v="2017-03-29T00:00:00"/>
    <s v="Waldemar"/>
    <s v="Fornalik"/>
    <n v="7"/>
    <x v="2"/>
  </r>
  <r>
    <d v="2017-03-29T00:00:00"/>
    <s v="Bernard"/>
    <s v="Lubelski"/>
    <n v="47"/>
    <x v="2"/>
  </r>
  <r>
    <d v="2017-03-29T00:00:00"/>
    <s v="Lukasz"/>
    <s v="Pawlik"/>
    <n v="9"/>
    <x v="2"/>
  </r>
  <r>
    <d v="2017-03-29T00:00:00"/>
    <s v="Barbara"/>
    <s v="Kilarski"/>
    <n v="11"/>
    <x v="2"/>
  </r>
  <r>
    <d v="2017-03-29T00:00:00"/>
    <s v="Protazy"/>
    <s v="Warszawski"/>
    <n v="12"/>
    <x v="2"/>
  </r>
  <r>
    <d v="2017-03-30T00:00:00"/>
    <s v="Aleksander"/>
    <s v="Koc"/>
    <n v="2"/>
    <x v="2"/>
  </r>
  <r>
    <d v="2017-03-30T00:00:00"/>
    <s v="Kamila"/>
    <s v="Wolan"/>
    <n v="23"/>
    <x v="2"/>
  </r>
  <r>
    <d v="2017-03-30T00:00:00"/>
    <s v="Alicja"/>
    <s v="Gadek"/>
    <n v="52"/>
    <x v="2"/>
  </r>
  <r>
    <d v="2017-03-30T00:00:00"/>
    <s v="Karol"/>
    <s v="Wojciechowski"/>
    <n v="10"/>
    <x v="2"/>
  </r>
  <r>
    <d v="2017-03-30T00:00:00"/>
    <s v="Andrzej"/>
    <s v="Tysz"/>
    <n v="47"/>
    <x v="2"/>
  </r>
  <r>
    <d v="2017-03-30T00:00:00"/>
    <s v="Ewaryst"/>
    <s v="Zdunek"/>
    <n v="20"/>
    <x v="2"/>
  </r>
  <r>
    <d v="2017-03-30T00:00:00"/>
    <s v="Maciej"/>
    <s v="Czyzynski"/>
    <n v="3"/>
    <x v="2"/>
  </r>
  <r>
    <d v="2017-03-30T00:00:00"/>
    <s v="Monika"/>
    <s v="Trojan"/>
    <n v="9"/>
    <x v="2"/>
  </r>
  <r>
    <d v="2017-03-30T00:00:00"/>
    <s v="Mariusz"/>
    <s v="Suszyn"/>
    <n v="22"/>
    <x v="2"/>
  </r>
  <r>
    <d v="2017-03-30T00:00:00"/>
    <s v="Anna"/>
    <s v="Tomaszewska"/>
    <n v="9"/>
    <x v="2"/>
  </r>
  <r>
    <d v="2017-03-31T00:00:00"/>
    <s v="Marek"/>
    <s v="Witkowski"/>
    <n v="30"/>
    <x v="2"/>
  </r>
  <r>
    <d v="2017-03-31T00:00:00"/>
    <s v="Lech"/>
    <s v="Lisowski"/>
    <n v="18"/>
    <x v="2"/>
  </r>
  <r>
    <d v="2017-03-31T00:00:00"/>
    <s v="Maciej"/>
    <s v="Kowalski"/>
    <n v="55"/>
    <x v="2"/>
  </r>
  <r>
    <d v="2017-03-31T00:00:00"/>
    <s v="Borys"/>
    <s v="Winiarski"/>
    <n v="17"/>
    <x v="2"/>
  </r>
  <r>
    <d v="2017-03-31T00:00:00"/>
    <s v="Mateusz"/>
    <s v="Hajdug"/>
    <n v="30"/>
    <x v="2"/>
  </r>
  <r>
    <d v="2017-03-31T00:00:00"/>
    <s v="Dawid"/>
    <s v="Szreder"/>
    <n v="4"/>
    <x v="2"/>
  </r>
  <r>
    <d v="2017-03-31T00:00:00"/>
    <s v="Lidia"/>
    <s v="Goluchowska"/>
    <n v="21"/>
    <x v="2"/>
  </r>
  <r>
    <d v="2017-03-31T00:00:00"/>
    <s v="Klaudia"/>
    <s v="Myk"/>
    <n v="7"/>
    <x v="2"/>
  </r>
  <r>
    <d v="2017-03-31T00:00:00"/>
    <s v="Jakub"/>
    <s v="Jedruszek"/>
    <n v="20"/>
    <x v="2"/>
  </r>
  <r>
    <d v="2017-03-31T00:00:00"/>
    <s v="Milena"/>
    <s v="Karolewska"/>
    <n v="6"/>
    <x v="2"/>
  </r>
  <r>
    <d v="2017-04-03T00:00:00"/>
    <s v="Janusz"/>
    <s v="Baka"/>
    <n v="12"/>
    <x v="3"/>
  </r>
  <r>
    <d v="2017-04-03T00:00:00"/>
    <s v="Marta"/>
    <s v="Robak"/>
    <n v="29"/>
    <x v="3"/>
  </r>
  <r>
    <d v="2017-04-03T00:00:00"/>
    <s v="Janusz"/>
    <s v="Wrobel"/>
    <n v="2"/>
    <x v="3"/>
  </r>
  <r>
    <d v="2017-04-03T00:00:00"/>
    <s v="Adam"/>
    <s v="Zmurko"/>
    <n v="27"/>
    <x v="3"/>
  </r>
  <r>
    <d v="2017-04-03T00:00:00"/>
    <s v="Patrycja"/>
    <s v="Wcislo"/>
    <n v="9"/>
    <x v="3"/>
  </r>
  <r>
    <d v="2017-04-03T00:00:00"/>
    <s v="Joanna"/>
    <s v="Wrobel"/>
    <n v="25"/>
    <x v="3"/>
  </r>
  <r>
    <d v="2017-04-03T00:00:00"/>
    <s v="Maja"/>
    <s v="Kurowska"/>
    <n v="45"/>
    <x v="3"/>
  </r>
  <r>
    <d v="2017-04-03T00:00:00"/>
    <s v="Piotr"/>
    <s v="Walec"/>
    <n v="12"/>
    <x v="3"/>
  </r>
  <r>
    <d v="2017-04-03T00:00:00"/>
    <s v="Izabella"/>
    <s v="Jelen"/>
    <n v="44"/>
    <x v="3"/>
  </r>
  <r>
    <d v="2017-04-03T00:00:00"/>
    <s v="Wieslawa"/>
    <s v="Nowak"/>
    <n v="18"/>
    <x v="3"/>
  </r>
  <r>
    <d v="2017-04-04T00:00:00"/>
    <s v="Natalia"/>
    <s v="Olkuska"/>
    <n v="16"/>
    <x v="3"/>
  </r>
  <r>
    <d v="2017-04-04T00:00:00"/>
    <s v="Witold"/>
    <s v="Sempa"/>
    <n v="18"/>
    <x v="3"/>
  </r>
  <r>
    <d v="2017-04-04T00:00:00"/>
    <s v="Wiktoria"/>
    <s v="Wilk"/>
    <n v="6"/>
    <x v="3"/>
  </r>
  <r>
    <d v="2017-04-04T00:00:00"/>
    <s v="Inez"/>
    <s v="Nahaj"/>
    <n v="17"/>
    <x v="3"/>
  </r>
  <r>
    <d v="2017-04-04T00:00:00"/>
    <s v="Anna"/>
    <s v="Janowska"/>
    <n v="18"/>
    <x v="3"/>
  </r>
  <r>
    <d v="2017-04-04T00:00:00"/>
    <s v="Magdalena"/>
    <s v="Bach"/>
    <n v="4"/>
    <x v="3"/>
  </r>
  <r>
    <d v="2017-04-04T00:00:00"/>
    <s v="Agata"/>
    <s v="Kwiatkowska"/>
    <n v="13"/>
    <x v="3"/>
  </r>
  <r>
    <d v="2017-04-04T00:00:00"/>
    <s v="Marta"/>
    <s v="Wloczkow"/>
    <n v="52"/>
    <x v="3"/>
  </r>
  <r>
    <d v="2017-04-04T00:00:00"/>
    <s v="Jan"/>
    <s v="Marasek"/>
    <n v="10"/>
    <x v="3"/>
  </r>
  <r>
    <d v="2017-04-04T00:00:00"/>
    <s v="Marek"/>
    <s v="Bednarski"/>
    <n v="33"/>
    <x v="3"/>
  </r>
  <r>
    <d v="2017-04-05T00:00:00"/>
    <s v="Dominik"/>
    <s v="Szczucki"/>
    <n v="6"/>
    <x v="3"/>
  </r>
  <r>
    <d v="2017-04-05T00:00:00"/>
    <s v="Ewa"/>
    <s v="Czerwinska"/>
    <n v="21"/>
    <x v="3"/>
  </r>
  <r>
    <d v="2017-04-05T00:00:00"/>
    <s v="Zuzanna"/>
    <s v="Malicki"/>
    <n v="2"/>
    <x v="3"/>
  </r>
  <r>
    <d v="2017-04-05T00:00:00"/>
    <s v="Barbara"/>
    <s v="Karcz"/>
    <n v="16"/>
    <x v="3"/>
  </r>
  <r>
    <d v="2017-04-05T00:00:00"/>
    <s v="Lukasz"/>
    <s v="Kot"/>
    <n v="23"/>
    <x v="3"/>
  </r>
  <r>
    <d v="2017-04-05T00:00:00"/>
    <s v="Lukasz"/>
    <s v="Czarnecki"/>
    <n v="50"/>
    <x v="3"/>
  </r>
  <r>
    <d v="2017-04-05T00:00:00"/>
    <s v="Andrzej"/>
    <s v="Augustowski"/>
    <n v="26"/>
    <x v="3"/>
  </r>
  <r>
    <d v="2017-04-05T00:00:00"/>
    <s v="Morus"/>
    <s v="Jasiak"/>
    <n v="42"/>
    <x v="3"/>
  </r>
  <r>
    <d v="2017-04-05T00:00:00"/>
    <s v="Julianna"/>
    <s v="Procinska"/>
    <n v="39"/>
    <x v="3"/>
  </r>
  <r>
    <d v="2017-04-06T00:00:00"/>
    <s v="Maciej"/>
    <s v="Tasz"/>
    <n v="17"/>
    <x v="3"/>
  </r>
  <r>
    <d v="2017-04-06T00:00:00"/>
    <s v="Agnieszka"/>
    <s v="Kaminska"/>
    <n v="10"/>
    <x v="3"/>
  </r>
  <r>
    <d v="2017-04-06T00:00:00"/>
    <s v="Dawid"/>
    <s v="Szreder"/>
    <n v="13"/>
    <x v="3"/>
  </r>
  <r>
    <d v="2017-04-06T00:00:00"/>
    <s v="Protazy"/>
    <s v="Warszawski"/>
    <n v="7"/>
    <x v="3"/>
  </r>
  <r>
    <d v="2017-04-06T00:00:00"/>
    <s v="Wojciech"/>
    <s v="Katowicki"/>
    <n v="32"/>
    <x v="3"/>
  </r>
  <r>
    <d v="2017-04-06T00:00:00"/>
    <s v="Wieslawa"/>
    <s v="Krawiec"/>
    <n v="16"/>
    <x v="3"/>
  </r>
  <r>
    <d v="2017-04-06T00:00:00"/>
    <s v="Adrian"/>
    <s v="Wozniak"/>
    <n v="38"/>
    <x v="3"/>
  </r>
  <r>
    <d v="2017-04-06T00:00:00"/>
    <s v="Anita"/>
    <s v="Woloszyn"/>
    <n v="10"/>
    <x v="3"/>
  </r>
  <r>
    <d v="2017-04-07T00:00:00"/>
    <s v="Nikodem"/>
    <s v="Jakubowski"/>
    <n v="19"/>
    <x v="3"/>
  </r>
  <r>
    <d v="2017-04-07T00:00:00"/>
    <s v="Zofia"/>
    <s v="Broukin"/>
    <n v="17"/>
    <x v="3"/>
  </r>
  <r>
    <d v="2017-04-07T00:00:00"/>
    <s v="Adelajda"/>
    <s v="Zylinska"/>
    <n v="2"/>
    <x v="3"/>
  </r>
  <r>
    <d v="2017-04-07T00:00:00"/>
    <s v="Leslaw"/>
    <s v="Kupis"/>
    <n v="15"/>
    <x v="3"/>
  </r>
  <r>
    <d v="2017-04-07T00:00:00"/>
    <s v="Adela"/>
    <s v="Waruszewska"/>
    <n v="12"/>
    <x v="3"/>
  </r>
  <r>
    <d v="2017-04-07T00:00:00"/>
    <s v="Pawel"/>
    <s v="Furmaniak"/>
    <n v="25"/>
    <x v="3"/>
  </r>
  <r>
    <d v="2017-04-07T00:00:00"/>
    <s v="Krzysztof"/>
    <s v="Figurski"/>
    <n v="6"/>
    <x v="3"/>
  </r>
  <r>
    <d v="2017-04-07T00:00:00"/>
    <s v="Anita"/>
    <s v="Pawelczyk"/>
    <n v="19"/>
    <x v="3"/>
  </r>
  <r>
    <d v="2017-04-10T00:00:00"/>
    <s v="Ilona"/>
    <s v="Gorska"/>
    <n v="15"/>
    <x v="3"/>
  </r>
  <r>
    <d v="2017-04-10T00:00:00"/>
    <s v="Beata"/>
    <s v="Mirowska"/>
    <n v="9"/>
    <x v="3"/>
  </r>
  <r>
    <d v="2017-04-10T00:00:00"/>
    <s v="Bartlomiej"/>
    <s v="Wojciechowski"/>
    <n v="35"/>
    <x v="3"/>
  </r>
  <r>
    <d v="2017-04-10T00:00:00"/>
    <s v="Agata"/>
    <s v="Kolacz"/>
    <n v="44"/>
    <x v="3"/>
  </r>
  <r>
    <d v="2017-04-10T00:00:00"/>
    <s v="Jan"/>
    <s v="Gacek"/>
    <n v="36"/>
    <x v="3"/>
  </r>
  <r>
    <d v="2017-04-10T00:00:00"/>
    <s v="Zuzanna"/>
    <s v="Adamczyk"/>
    <n v="53"/>
    <x v="3"/>
  </r>
  <r>
    <d v="2017-04-10T00:00:00"/>
    <s v="Jan"/>
    <s v="Pawelec"/>
    <n v="12"/>
    <x v="3"/>
  </r>
  <r>
    <d v="2017-04-10T00:00:00"/>
    <s v="Joanna"/>
    <s v="Wrobel"/>
    <n v="29"/>
    <x v="3"/>
  </r>
  <r>
    <d v="2017-04-11T00:00:00"/>
    <s v="Piotr"/>
    <s v="Polkowicki"/>
    <n v="9"/>
    <x v="3"/>
  </r>
  <r>
    <d v="2017-04-11T00:00:00"/>
    <s v="Agata"/>
    <s v="Zdrojewska"/>
    <n v="29"/>
    <x v="3"/>
  </r>
  <r>
    <d v="2017-04-11T00:00:00"/>
    <s v="Hanna"/>
    <s v="Malicki"/>
    <n v="6"/>
    <x v="3"/>
  </r>
  <r>
    <d v="2017-04-11T00:00:00"/>
    <s v="Weronika"/>
    <s v="Zdroj"/>
    <n v="12"/>
    <x v="3"/>
  </r>
  <r>
    <d v="2017-04-11T00:00:00"/>
    <s v="Jan"/>
    <s v="Sznuk"/>
    <n v="23"/>
    <x v="3"/>
  </r>
  <r>
    <d v="2017-04-11T00:00:00"/>
    <s v="Bogdan"/>
    <s v="Inny"/>
    <n v="21"/>
    <x v="3"/>
  </r>
  <r>
    <d v="2017-04-11T00:00:00"/>
    <s v="Olgierd"/>
    <s v="Hazubski"/>
    <n v="16"/>
    <x v="3"/>
  </r>
  <r>
    <d v="2017-04-11T00:00:00"/>
    <s v="Arleta"/>
    <s v="Pawlik"/>
    <n v="21"/>
    <x v="3"/>
  </r>
  <r>
    <d v="2017-04-12T00:00:00"/>
    <s v="Inez"/>
    <s v="Nahaj"/>
    <n v="25"/>
    <x v="3"/>
  </r>
  <r>
    <d v="2017-04-12T00:00:00"/>
    <s v="Roman"/>
    <s v="Grodecki"/>
    <n v="4"/>
    <x v="3"/>
  </r>
  <r>
    <d v="2017-04-12T00:00:00"/>
    <s v="Wieslawa"/>
    <s v="Biczysko"/>
    <n v="19"/>
    <x v="3"/>
  </r>
  <r>
    <d v="2017-04-12T00:00:00"/>
    <s v="Paulina"/>
    <s v="Szklarska"/>
    <n v="17"/>
    <x v="3"/>
  </r>
  <r>
    <d v="2017-04-12T00:00:00"/>
    <s v="Maja"/>
    <s v="Leman"/>
    <n v="9"/>
    <x v="3"/>
  </r>
  <r>
    <d v="2017-04-12T00:00:00"/>
    <s v="Martyna"/>
    <s v="Marmelowska"/>
    <n v="8"/>
    <x v="3"/>
  </r>
  <r>
    <d v="2017-04-12T00:00:00"/>
    <s v="Monika"/>
    <s v="Placzek"/>
    <n v="11"/>
    <x v="3"/>
  </r>
  <r>
    <d v="2017-04-12T00:00:00"/>
    <s v="Adela"/>
    <s v="Waruszewska"/>
    <n v="26"/>
    <x v="3"/>
  </r>
  <r>
    <d v="2017-04-12T00:00:00"/>
    <s v="Joanna"/>
    <s v="Oleksiak"/>
    <n v="23"/>
    <x v="3"/>
  </r>
  <r>
    <d v="2017-04-13T00:00:00"/>
    <s v="Igor"/>
    <s v="Rybinski"/>
    <n v="55"/>
    <x v="3"/>
  </r>
  <r>
    <d v="2017-04-13T00:00:00"/>
    <s v="Zofia"/>
    <s v="Janczy"/>
    <n v="38"/>
    <x v="3"/>
  </r>
  <r>
    <d v="2017-04-13T00:00:00"/>
    <s v="Mateusz"/>
    <s v="Filipowicz"/>
    <n v="9"/>
    <x v="3"/>
  </r>
  <r>
    <d v="2017-04-13T00:00:00"/>
    <s v="Marzena"/>
    <s v="Parasiewicz"/>
    <n v="34"/>
    <x v="3"/>
  </r>
  <r>
    <d v="2017-04-13T00:00:00"/>
    <s v="Monika"/>
    <s v="Lis"/>
    <n v="14"/>
    <x v="3"/>
  </r>
  <r>
    <d v="2017-04-13T00:00:00"/>
    <s v="Adam"/>
    <s v="Wata"/>
    <n v="5"/>
    <x v="3"/>
  </r>
  <r>
    <d v="2017-04-13T00:00:00"/>
    <s v="Marta"/>
    <s v="Wloczkow"/>
    <n v="2"/>
    <x v="3"/>
  </r>
  <r>
    <d v="2017-04-13T00:00:00"/>
    <s v="Aleksander"/>
    <s v="Wojciechowski"/>
    <n v="20"/>
    <x v="3"/>
  </r>
  <r>
    <d v="2017-04-13T00:00:00"/>
    <s v="Filip"/>
    <s v="Spychala"/>
    <n v="6"/>
    <x v="3"/>
  </r>
  <r>
    <d v="2017-04-13T00:00:00"/>
    <s v="Jan"/>
    <s v="Kaczorowski"/>
    <n v="22"/>
    <x v="3"/>
  </r>
  <r>
    <d v="2017-04-13T00:00:00"/>
    <s v="Aleks"/>
    <s v="Wojcik"/>
    <n v="26"/>
    <x v="3"/>
  </r>
  <r>
    <d v="2017-04-13T00:00:00"/>
    <s v="Adam"/>
    <s v="Zega"/>
    <n v="27"/>
    <x v="3"/>
  </r>
  <r>
    <d v="2017-04-13T00:00:00"/>
    <s v="Joanna"/>
    <s v="Wrobel"/>
    <n v="26"/>
    <x v="3"/>
  </r>
  <r>
    <d v="2017-04-13T00:00:00"/>
    <s v="Andrzej"/>
    <s v="Nawwrot"/>
    <n v="29"/>
    <x v="3"/>
  </r>
  <r>
    <d v="2017-04-13T00:00:00"/>
    <s v="Lena"/>
    <s v="Marzec"/>
    <n v="10"/>
    <x v="3"/>
  </r>
  <r>
    <d v="2017-04-14T00:00:00"/>
    <s v="Wanda"/>
    <s v="Chojnacka"/>
    <n v="37"/>
    <x v="3"/>
  </r>
  <r>
    <d v="2017-04-14T00:00:00"/>
    <s v="Monika"/>
    <s v="Nowaczkiewicz"/>
    <n v="7"/>
    <x v="3"/>
  </r>
  <r>
    <d v="2017-04-14T00:00:00"/>
    <s v="Maria"/>
    <s v="Kowalczuk"/>
    <n v="44"/>
    <x v="3"/>
  </r>
  <r>
    <d v="2017-04-14T00:00:00"/>
    <s v="Szymon"/>
    <s v="Mrozniak"/>
    <n v="11"/>
    <x v="3"/>
  </r>
  <r>
    <d v="2017-04-14T00:00:00"/>
    <s v="Marian"/>
    <s v="Bukalski"/>
    <n v="25"/>
    <x v="3"/>
  </r>
  <r>
    <d v="2017-04-14T00:00:00"/>
    <s v="Matylda"/>
    <s v="Kluziak"/>
    <n v="18"/>
    <x v="3"/>
  </r>
  <r>
    <d v="2017-04-17T00:00:00"/>
    <s v="Lech"/>
    <s v="Lisowski"/>
    <n v="44"/>
    <x v="3"/>
  </r>
  <r>
    <d v="2017-04-17T00:00:00"/>
    <s v="Kamil"/>
    <s v="Wolny"/>
    <n v="26"/>
    <x v="3"/>
  </r>
  <r>
    <d v="2017-04-17T00:00:00"/>
    <s v="Karolina"/>
    <s v="Bok"/>
    <n v="7"/>
    <x v="3"/>
  </r>
  <r>
    <d v="2017-04-17T00:00:00"/>
    <s v="Andrzej"/>
    <s v="Augustowski"/>
    <n v="41"/>
    <x v="3"/>
  </r>
  <r>
    <d v="2017-04-17T00:00:00"/>
    <s v="Monika"/>
    <s v="Trojan"/>
    <n v="46"/>
    <x v="3"/>
  </r>
  <r>
    <d v="2017-04-17T00:00:00"/>
    <s v="Filip"/>
    <s v="Stanulewicz"/>
    <n v="52"/>
    <x v="3"/>
  </r>
  <r>
    <d v="2017-04-18T00:00:00"/>
    <s v="Maja"/>
    <s v="Kaminska"/>
    <n v="6"/>
    <x v="3"/>
  </r>
  <r>
    <d v="2017-04-18T00:00:00"/>
    <s v="Barbara"/>
    <s v="Bury"/>
    <n v="23"/>
    <x v="3"/>
  </r>
  <r>
    <d v="2017-04-18T00:00:00"/>
    <s v="Andrea"/>
    <s v="Witkowska"/>
    <n v="22"/>
    <x v="3"/>
  </r>
  <r>
    <d v="2017-04-18T00:00:00"/>
    <s v="Ewelina"/>
    <s v="Bialkowska"/>
    <n v="21"/>
    <x v="3"/>
  </r>
  <r>
    <d v="2017-04-18T00:00:00"/>
    <s v="Maciej"/>
    <s v="Machol"/>
    <n v="29"/>
    <x v="3"/>
  </r>
  <r>
    <d v="2017-04-18T00:00:00"/>
    <s v="Krzysztof"/>
    <s v="Plecien"/>
    <n v="21"/>
    <x v="3"/>
  </r>
  <r>
    <d v="2017-04-19T00:00:00"/>
    <s v="Roman"/>
    <s v="Grodecki"/>
    <n v="3"/>
    <x v="3"/>
  </r>
  <r>
    <d v="2017-04-19T00:00:00"/>
    <s v="Julia"/>
    <s v="Sadowska"/>
    <n v="29"/>
    <x v="3"/>
  </r>
  <r>
    <d v="2017-04-19T00:00:00"/>
    <s v="Julian"/>
    <s v="Pawik"/>
    <n v="56"/>
    <x v="3"/>
  </r>
  <r>
    <d v="2017-04-19T00:00:00"/>
    <s v="Marcin"/>
    <s v="Wrobel"/>
    <n v="15"/>
    <x v="3"/>
  </r>
  <r>
    <d v="2017-04-19T00:00:00"/>
    <s v="Karolina"/>
    <s v="Welc"/>
    <n v="12"/>
    <x v="3"/>
  </r>
  <r>
    <d v="2017-04-19T00:00:00"/>
    <s v="Anna"/>
    <s v="Kosowicz"/>
    <n v="19"/>
    <x v="3"/>
  </r>
  <r>
    <d v="2017-04-20T00:00:00"/>
    <s v="Kazimierz"/>
    <s v="Bartosik"/>
    <n v="14"/>
    <x v="3"/>
  </r>
  <r>
    <d v="2017-04-20T00:00:00"/>
    <s v="Magdalena"/>
    <s v="Bach"/>
    <n v="42"/>
    <x v="3"/>
  </r>
  <r>
    <d v="2017-04-20T00:00:00"/>
    <s v="Wojciech"/>
    <s v="Goc"/>
    <n v="10"/>
    <x v="3"/>
  </r>
  <r>
    <d v="2017-04-20T00:00:00"/>
    <s v="Anna"/>
    <s v="Trzebiatowska"/>
    <n v="20"/>
    <x v="3"/>
  </r>
  <r>
    <d v="2017-04-20T00:00:00"/>
    <s v="Lidia"/>
    <s v="Goluchowska"/>
    <n v="51"/>
    <x v="3"/>
  </r>
  <r>
    <d v="2017-04-20T00:00:00"/>
    <s v="Piotr"/>
    <s v="Adamski"/>
    <n v="35"/>
    <x v="3"/>
  </r>
  <r>
    <d v="2017-04-21T00:00:00"/>
    <s v="Jan"/>
    <s v="Jarek"/>
    <n v="45"/>
    <x v="3"/>
  </r>
  <r>
    <d v="2017-04-21T00:00:00"/>
    <s v="Ewa"/>
    <s v="Czerwinska"/>
    <n v="29"/>
    <x v="3"/>
  </r>
  <r>
    <d v="2017-04-21T00:00:00"/>
    <s v="Andrzej"/>
    <s v="Nawwrot"/>
    <n v="5"/>
    <x v="3"/>
  </r>
  <r>
    <d v="2017-04-21T00:00:00"/>
    <s v="Agnieszka"/>
    <s v="Antos"/>
    <n v="16"/>
    <x v="3"/>
  </r>
  <r>
    <d v="2017-04-21T00:00:00"/>
    <s v="Ilona"/>
    <s v="Gorska"/>
    <n v="25"/>
    <x v="3"/>
  </r>
  <r>
    <d v="2017-04-21T00:00:00"/>
    <s v="Zofia"/>
    <s v="Broszkow"/>
    <n v="38"/>
    <x v="3"/>
  </r>
  <r>
    <d v="2017-04-24T00:00:00"/>
    <s v="Malgorzata"/>
    <s v="Wiecek"/>
    <n v="33"/>
    <x v="3"/>
  </r>
  <r>
    <d v="2017-04-24T00:00:00"/>
    <s v="Pawel"/>
    <s v="kaczorek"/>
    <n v="48"/>
    <x v="3"/>
  </r>
  <r>
    <d v="2017-04-24T00:00:00"/>
    <s v="Marcin"/>
    <s v="Gizinski"/>
    <n v="14"/>
    <x v="3"/>
  </r>
  <r>
    <d v="2017-04-24T00:00:00"/>
    <s v="Andrea"/>
    <s v="Witkowska"/>
    <n v="13"/>
    <x v="3"/>
  </r>
  <r>
    <d v="2017-04-24T00:00:00"/>
    <s v="Julia"/>
    <s v="Zaremba"/>
    <n v="24"/>
    <x v="3"/>
  </r>
  <r>
    <d v="2017-04-24T00:00:00"/>
    <s v="Maria"/>
    <s v="Borowska"/>
    <n v="23"/>
    <x v="3"/>
  </r>
  <r>
    <d v="2017-04-25T00:00:00"/>
    <s v="Krzysztof"/>
    <s v="Czyz"/>
    <n v="23"/>
    <x v="3"/>
  </r>
  <r>
    <d v="2017-04-25T00:00:00"/>
    <s v="Nadia"/>
    <s v="Jurewicz"/>
    <n v="32"/>
    <x v="3"/>
  </r>
  <r>
    <d v="2017-04-25T00:00:00"/>
    <s v="Dorian"/>
    <s v="Szczepkowski"/>
    <n v="34"/>
    <x v="3"/>
  </r>
  <r>
    <d v="2017-04-25T00:00:00"/>
    <s v="Maciej"/>
    <s v="Machol"/>
    <n v="48"/>
    <x v="3"/>
  </r>
  <r>
    <d v="2017-04-25T00:00:00"/>
    <s v="Maciej"/>
    <s v="Lukowski"/>
    <n v="26"/>
    <x v="3"/>
  </r>
  <r>
    <d v="2017-04-25T00:00:00"/>
    <s v="Lukasz"/>
    <s v="Kopecki"/>
    <n v="11"/>
    <x v="3"/>
  </r>
  <r>
    <d v="2017-04-26T00:00:00"/>
    <s v="Hanna"/>
    <s v="Modlinska"/>
    <n v="23"/>
    <x v="3"/>
  </r>
  <r>
    <d v="2017-04-26T00:00:00"/>
    <s v="Natalia"/>
    <s v="Belicka"/>
    <n v="50"/>
    <x v="3"/>
  </r>
  <r>
    <d v="2017-04-26T00:00:00"/>
    <s v="Julia"/>
    <s v="Zaremba"/>
    <n v="14"/>
    <x v="3"/>
  </r>
  <r>
    <d v="2017-04-26T00:00:00"/>
    <s v="Bruno"/>
    <s v="Tomaszewski"/>
    <n v="12"/>
    <x v="3"/>
  </r>
  <r>
    <d v="2017-04-26T00:00:00"/>
    <s v="Anna"/>
    <s v="Klimas"/>
    <n v="39"/>
    <x v="3"/>
  </r>
  <r>
    <d v="2017-04-26T00:00:00"/>
    <s v="Andrzej"/>
    <s v="Zbieg"/>
    <n v="20"/>
    <x v="3"/>
  </r>
  <r>
    <d v="2017-04-27T00:00:00"/>
    <s v="Dorota"/>
    <s v="Zdun"/>
    <n v="51"/>
    <x v="3"/>
  </r>
  <r>
    <d v="2017-04-27T00:00:00"/>
    <s v="Anna"/>
    <s v="Tycz"/>
    <n v="47"/>
    <x v="3"/>
  </r>
  <r>
    <d v="2017-04-27T00:00:00"/>
    <s v="Dominik"/>
    <s v="Szmitko"/>
    <n v="29"/>
    <x v="3"/>
  </r>
  <r>
    <d v="2017-04-27T00:00:00"/>
    <s v="Bernard"/>
    <s v="Lubelski"/>
    <n v="34"/>
    <x v="3"/>
  </r>
  <r>
    <d v="2017-04-27T00:00:00"/>
    <s v="Kazimierz"/>
    <s v="Biedka"/>
    <n v="12"/>
    <x v="3"/>
  </r>
  <r>
    <d v="2017-04-27T00:00:00"/>
    <s v="Edward"/>
    <s v="Zdunek"/>
    <n v="6"/>
    <x v="3"/>
  </r>
  <r>
    <d v="2017-04-28T00:00:00"/>
    <s v="Monika"/>
    <s v="Srubka"/>
    <n v="5"/>
    <x v="3"/>
  </r>
  <r>
    <d v="2017-04-28T00:00:00"/>
    <s v="Zofia"/>
    <s v="Broszkow"/>
    <n v="13"/>
    <x v="3"/>
  </r>
  <r>
    <d v="2017-04-28T00:00:00"/>
    <s v="Lidia"/>
    <s v="Tarnowska"/>
    <n v="18"/>
    <x v="3"/>
  </r>
  <r>
    <d v="2017-04-28T00:00:00"/>
    <s v="Urszula"/>
    <s v="Pawlak"/>
    <n v="7"/>
    <x v="3"/>
  </r>
  <r>
    <d v="2017-04-28T00:00:00"/>
    <s v="Hubert"/>
    <s v="Borek"/>
    <n v="28"/>
    <x v="3"/>
  </r>
  <r>
    <d v="2017-04-28T00:00:00"/>
    <s v="Anna"/>
    <s v="Trzebiatowska"/>
    <n v="37"/>
    <x v="3"/>
  </r>
  <r>
    <d v="2017-05-01T00:00:00"/>
    <s v="Ilona"/>
    <s v="Nowak"/>
    <n v="23"/>
    <x v="4"/>
  </r>
  <r>
    <d v="2017-05-01T00:00:00"/>
    <s v="Mateusz"/>
    <s v="Kowalczyk"/>
    <n v="26"/>
    <x v="4"/>
  </r>
  <r>
    <d v="2017-05-01T00:00:00"/>
    <s v="Julia"/>
    <s v="Salanowska"/>
    <n v="11"/>
    <x v="4"/>
  </r>
  <r>
    <d v="2017-05-01T00:00:00"/>
    <s v="Albert"/>
    <s v="Pleszewski"/>
    <n v="25"/>
    <x v="4"/>
  </r>
  <r>
    <d v="2017-05-01T00:00:00"/>
    <s v="Piotr"/>
    <s v="Felus"/>
    <n v="3"/>
    <x v="4"/>
  </r>
  <r>
    <d v="2017-05-01T00:00:00"/>
    <s v="Ewa"/>
    <s v="Zak"/>
    <n v="30"/>
    <x v="4"/>
  </r>
  <r>
    <d v="2017-05-02T00:00:00"/>
    <s v="Urszula"/>
    <s v="Pawlak"/>
    <n v="12"/>
    <x v="4"/>
  </r>
  <r>
    <d v="2017-05-02T00:00:00"/>
    <s v="Maria"/>
    <s v="Galas"/>
    <n v="27"/>
    <x v="4"/>
  </r>
  <r>
    <d v="2017-05-02T00:00:00"/>
    <s v="Witold"/>
    <s v="Sempa"/>
    <n v="16"/>
    <x v="4"/>
  </r>
  <r>
    <d v="2017-05-02T00:00:00"/>
    <s v="Sebastian"/>
    <s v="Powoj"/>
    <n v="38"/>
    <x v="4"/>
  </r>
  <r>
    <d v="2017-05-02T00:00:00"/>
    <s v="Karolina"/>
    <s v="Stuhr"/>
    <n v="35"/>
    <x v="4"/>
  </r>
  <r>
    <d v="2017-05-02T00:00:00"/>
    <s v="Mateusz"/>
    <s v="Filipowicz"/>
    <n v="16"/>
    <x v="4"/>
  </r>
  <r>
    <d v="2017-05-03T00:00:00"/>
    <s v="Katarzyna"/>
    <s v="Wip"/>
    <n v="6"/>
    <x v="4"/>
  </r>
  <r>
    <d v="2017-05-03T00:00:00"/>
    <s v="Witold"/>
    <s v="Sempa"/>
    <n v="23"/>
    <x v="4"/>
  </r>
  <r>
    <d v="2017-05-03T00:00:00"/>
    <s v="Kamila"/>
    <s v="Kot"/>
    <n v="22"/>
    <x v="4"/>
  </r>
  <r>
    <d v="2017-05-03T00:00:00"/>
    <s v="Hubert"/>
    <s v="Nowaczynski"/>
    <n v="5"/>
    <x v="4"/>
  </r>
  <r>
    <d v="2017-05-03T00:00:00"/>
    <s v="Pawel"/>
    <s v="Furmaniak"/>
    <n v="2"/>
    <x v="4"/>
  </r>
  <r>
    <d v="2017-05-03T00:00:00"/>
    <s v="Paulina"/>
    <s v="Szklarska"/>
    <n v="29"/>
    <x v="4"/>
  </r>
  <r>
    <d v="2017-05-04T00:00:00"/>
    <s v="Mateusz"/>
    <s v="Uklej"/>
    <n v="19"/>
    <x v="4"/>
  </r>
  <r>
    <d v="2017-05-04T00:00:00"/>
    <s v="Dominika"/>
    <s v="Szwec"/>
    <n v="23"/>
    <x v="4"/>
  </r>
  <r>
    <d v="2017-05-04T00:00:00"/>
    <s v="Nikodem"/>
    <s v="Jakubowski"/>
    <n v="27"/>
    <x v="4"/>
  </r>
  <r>
    <d v="2017-05-04T00:00:00"/>
    <s v="Zbigniew"/>
    <s v="Maciag"/>
    <n v="53"/>
    <x v="4"/>
  </r>
  <r>
    <d v="2017-05-04T00:00:00"/>
    <s v="Ewa"/>
    <s v="Tysz"/>
    <n v="35"/>
    <x v="4"/>
  </r>
  <r>
    <d v="2017-05-04T00:00:00"/>
    <s v="Maciej"/>
    <s v="Czyzynski"/>
    <n v="3"/>
    <x v="4"/>
  </r>
  <r>
    <d v="2017-05-05T00:00:00"/>
    <s v="Joanna"/>
    <s v="Ottka"/>
    <n v="15"/>
    <x v="4"/>
  </r>
  <r>
    <d v="2017-05-05T00:00:00"/>
    <s v="Anna"/>
    <s v="Tomaszewska"/>
    <n v="3"/>
    <x v="4"/>
  </r>
  <r>
    <d v="2017-05-05T00:00:00"/>
    <s v="Szymon"/>
    <s v="Mrozniak"/>
    <n v="2"/>
    <x v="4"/>
  </r>
  <r>
    <d v="2017-05-05T00:00:00"/>
    <s v="Joanna"/>
    <s v="Oleksiak"/>
    <n v="28"/>
    <x v="4"/>
  </r>
  <r>
    <d v="2017-05-05T00:00:00"/>
    <s v="Tomasz"/>
    <s v="Borkowski"/>
    <n v="23"/>
    <x v="4"/>
  </r>
  <r>
    <d v="2017-05-05T00:00:00"/>
    <s v="Jakub"/>
    <s v="Waniek"/>
    <n v="20"/>
    <x v="4"/>
  </r>
  <r>
    <d v="2017-05-08T00:00:00"/>
    <s v="Karolina"/>
    <s v="Stuhr"/>
    <n v="35"/>
    <x v="4"/>
  </r>
  <r>
    <d v="2017-05-08T00:00:00"/>
    <s v="Pawel"/>
    <s v="kaczorek"/>
    <n v="45"/>
    <x v="4"/>
  </r>
  <r>
    <d v="2017-05-08T00:00:00"/>
    <s v="Waldemar"/>
    <s v="Fornalik"/>
    <n v="39"/>
    <x v="4"/>
  </r>
  <r>
    <d v="2017-05-08T00:00:00"/>
    <s v="Julia"/>
    <s v="Zaremba"/>
    <n v="13"/>
    <x v="4"/>
  </r>
  <r>
    <d v="2017-05-08T00:00:00"/>
    <s v="Ewa"/>
    <s v="Wojna"/>
    <n v="2"/>
    <x v="4"/>
  </r>
  <r>
    <d v="2017-05-08T00:00:00"/>
    <s v="Emilia"/>
    <s v="Mroczek"/>
    <n v="38"/>
    <x v="4"/>
  </r>
  <r>
    <d v="2017-05-09T00:00:00"/>
    <s v="Anita"/>
    <s v="Kaczorowska"/>
    <n v="48"/>
    <x v="4"/>
  </r>
  <r>
    <d v="2017-05-09T00:00:00"/>
    <s v="Barbara"/>
    <s v="Karcz"/>
    <n v="41"/>
    <x v="4"/>
  </r>
  <r>
    <d v="2017-05-09T00:00:00"/>
    <s v="Maria"/>
    <s v="Borowska"/>
    <n v="6"/>
    <x v="4"/>
  </r>
  <r>
    <d v="2017-05-09T00:00:00"/>
    <s v="Szymon"/>
    <s v="Wozniak"/>
    <n v="14"/>
    <x v="4"/>
  </r>
  <r>
    <d v="2017-05-09T00:00:00"/>
    <s v="Mikolaj"/>
    <s v="Beniuszys"/>
    <n v="35"/>
    <x v="4"/>
  </r>
  <r>
    <d v="2017-05-09T00:00:00"/>
    <s v="Mariusz"/>
    <s v="Mrowiec"/>
    <n v="26"/>
    <x v="4"/>
  </r>
  <r>
    <d v="2017-05-10T00:00:00"/>
    <s v="Jan"/>
    <s v="Gacek"/>
    <n v="49"/>
    <x v="4"/>
  </r>
  <r>
    <d v="2017-05-10T00:00:00"/>
    <s v="Kamila"/>
    <s v="Wolan"/>
    <n v="22"/>
    <x v="4"/>
  </r>
  <r>
    <d v="2017-05-10T00:00:00"/>
    <s v="Mateusz"/>
    <s v="Koszlaga"/>
    <n v="56"/>
    <x v="4"/>
  </r>
  <r>
    <d v="2017-05-10T00:00:00"/>
    <s v="Szymon"/>
    <s v="Mrozniak"/>
    <n v="6"/>
    <x v="4"/>
  </r>
  <r>
    <d v="2017-05-10T00:00:00"/>
    <s v="Monika"/>
    <s v="Placzek"/>
    <n v="13"/>
    <x v="4"/>
  </r>
  <r>
    <d v="2017-05-10T00:00:00"/>
    <s v="Urszula"/>
    <s v="Pawlak"/>
    <n v="3"/>
    <x v="4"/>
  </r>
  <r>
    <d v="2017-05-11T00:00:00"/>
    <s v="Marek"/>
    <s v="Janowski"/>
    <n v="7"/>
    <x v="4"/>
  </r>
  <r>
    <d v="2017-05-11T00:00:00"/>
    <s v="Jan"/>
    <s v="Kaczorowski"/>
    <n v="29"/>
    <x v="4"/>
  </r>
  <r>
    <d v="2017-05-11T00:00:00"/>
    <s v="Zuzanna"/>
    <s v="Kalisz"/>
    <n v="53"/>
    <x v="4"/>
  </r>
  <r>
    <d v="2017-05-11T00:00:00"/>
    <s v="Balbina"/>
    <s v="Madej"/>
    <n v="52"/>
    <x v="4"/>
  </r>
  <r>
    <d v="2017-05-11T00:00:00"/>
    <s v="Kamila"/>
    <s v="Knapik"/>
    <n v="26"/>
    <x v="4"/>
  </r>
  <r>
    <d v="2017-05-11T00:00:00"/>
    <s v="Maria"/>
    <s v="Kowalczuk"/>
    <n v="28"/>
    <x v="4"/>
  </r>
  <r>
    <d v="2017-05-12T00:00:00"/>
    <s v="Adam"/>
    <s v="Madejski"/>
    <n v="12"/>
    <x v="4"/>
  </r>
  <r>
    <d v="2017-05-12T00:00:00"/>
    <s v="Anita"/>
    <s v="Woloszyn"/>
    <n v="10"/>
    <x v="4"/>
  </r>
  <r>
    <d v="2017-05-12T00:00:00"/>
    <s v="Teodor"/>
    <s v="Fornal"/>
    <n v="10"/>
    <x v="4"/>
  </r>
  <r>
    <d v="2017-05-12T00:00:00"/>
    <s v="Kamil"/>
    <s v="Krawczyk"/>
    <n v="54"/>
    <x v="4"/>
  </r>
  <r>
    <d v="2017-05-12T00:00:00"/>
    <s v="Bruno"/>
    <s v="Tomczyk"/>
    <n v="19"/>
    <x v="4"/>
  </r>
  <r>
    <d v="2017-05-12T00:00:00"/>
    <s v="Natalia"/>
    <s v="Miklis"/>
    <n v="53"/>
    <x v="4"/>
  </r>
  <r>
    <d v="2017-05-15T00:00:00"/>
    <s v="Marek"/>
    <s v="Witkowski"/>
    <n v="18"/>
    <x v="4"/>
  </r>
  <r>
    <d v="2017-05-15T00:00:00"/>
    <s v="Kacper"/>
    <s v="Trzebnicki"/>
    <n v="27"/>
    <x v="4"/>
  </r>
  <r>
    <d v="2017-05-15T00:00:00"/>
    <s v="Eugenia"/>
    <s v="Pieta"/>
    <n v="26"/>
    <x v="4"/>
  </r>
  <r>
    <d v="2017-05-15T00:00:00"/>
    <s v="Nadia"/>
    <s v="Jurczyk"/>
    <n v="52"/>
    <x v="4"/>
  </r>
  <r>
    <d v="2017-05-15T00:00:00"/>
    <s v="Karol"/>
    <s v="Dziuk"/>
    <n v="10"/>
    <x v="4"/>
  </r>
  <r>
    <d v="2017-05-15T00:00:00"/>
    <s v="Julia"/>
    <s v="Sadowska"/>
    <n v="5"/>
    <x v="4"/>
  </r>
  <r>
    <d v="2017-05-16T00:00:00"/>
    <s v="Karol"/>
    <s v="Wichrowski"/>
    <n v="38"/>
    <x v="4"/>
  </r>
  <r>
    <d v="2017-05-16T00:00:00"/>
    <s v="Anna"/>
    <s v="Kot"/>
    <n v="20"/>
    <x v="4"/>
  </r>
  <r>
    <d v="2017-05-16T00:00:00"/>
    <s v="Hubert"/>
    <s v="Smyk"/>
    <n v="2"/>
    <x v="4"/>
  </r>
  <r>
    <d v="2017-05-16T00:00:00"/>
    <s v="Jan"/>
    <s v="Sznuk"/>
    <n v="25"/>
    <x v="4"/>
  </r>
  <r>
    <d v="2017-05-16T00:00:00"/>
    <s v="Maria"/>
    <s v="Kowalczyk"/>
    <n v="13"/>
    <x v="4"/>
  </r>
  <r>
    <d v="2017-05-16T00:00:00"/>
    <s v="Marcelina"/>
    <s v="Serwicka"/>
    <n v="54"/>
    <x v="4"/>
  </r>
  <r>
    <d v="2017-05-17T00:00:00"/>
    <s v="Ryszarda"/>
    <s v="Januszek"/>
    <n v="27"/>
    <x v="4"/>
  </r>
  <r>
    <d v="2017-05-17T00:00:00"/>
    <s v="Filip"/>
    <s v="Spanowski"/>
    <n v="15"/>
    <x v="4"/>
  </r>
  <r>
    <d v="2017-05-17T00:00:00"/>
    <s v="Agnieszka"/>
    <s v="Bujak"/>
    <n v="19"/>
    <x v="4"/>
  </r>
  <r>
    <d v="2017-05-17T00:00:00"/>
    <s v="Adam"/>
    <s v="Zega"/>
    <n v="22"/>
    <x v="4"/>
  </r>
  <r>
    <d v="2017-05-17T00:00:00"/>
    <s v="Przemyslaw"/>
    <s v="Bajewski"/>
    <n v="12"/>
    <x v="4"/>
  </r>
  <r>
    <d v="2017-05-17T00:00:00"/>
    <s v="Eugenia"/>
    <s v="Pieta"/>
    <n v="6"/>
    <x v="4"/>
  </r>
  <r>
    <d v="2017-05-18T00:00:00"/>
    <s v="Izabela"/>
    <s v="Skrzydlak"/>
    <n v="27"/>
    <x v="4"/>
  </r>
  <r>
    <d v="2017-05-18T00:00:00"/>
    <s v="Stanislaw"/>
    <s v="Burza"/>
    <n v="6"/>
    <x v="4"/>
  </r>
  <r>
    <d v="2017-05-18T00:00:00"/>
    <s v="Roman"/>
    <s v="Grodecki"/>
    <n v="6"/>
    <x v="4"/>
  </r>
  <r>
    <d v="2017-05-18T00:00:00"/>
    <s v="Jakub"/>
    <s v="Radziszewski"/>
    <n v="4"/>
    <x v="4"/>
  </r>
  <r>
    <d v="2017-05-18T00:00:00"/>
    <s v="Marcin"/>
    <s v="Gizinski"/>
    <n v="28"/>
    <x v="4"/>
  </r>
  <r>
    <d v="2017-05-18T00:00:00"/>
    <s v="Przemyslaw"/>
    <s v="Bajewski"/>
    <n v="48"/>
    <x v="4"/>
  </r>
  <r>
    <d v="2017-05-19T00:00:00"/>
    <s v="Adam"/>
    <s v="Borkowski"/>
    <n v="40"/>
    <x v="4"/>
  </r>
  <r>
    <d v="2017-05-19T00:00:00"/>
    <s v="Maria"/>
    <s v="Drozd"/>
    <n v="17"/>
    <x v="4"/>
  </r>
  <r>
    <d v="2017-05-19T00:00:00"/>
    <s v="Igor"/>
    <s v="Rybinski"/>
    <n v="22"/>
    <x v="4"/>
  </r>
  <r>
    <d v="2017-05-19T00:00:00"/>
    <s v="Dorota"/>
    <s v="Adamus"/>
    <n v="2"/>
    <x v="4"/>
  </r>
  <r>
    <d v="2017-05-19T00:00:00"/>
    <s v="Maciej"/>
    <s v="Lyszcz"/>
    <n v="5"/>
    <x v="4"/>
  </r>
  <r>
    <d v="2017-05-19T00:00:00"/>
    <s v="Kamila"/>
    <s v="Bialkowska"/>
    <n v="25"/>
    <x v="4"/>
  </r>
  <r>
    <d v="2017-05-22T00:00:00"/>
    <s v="Wanda"/>
    <s v="Chojnacka"/>
    <n v="21"/>
    <x v="4"/>
  </r>
  <r>
    <d v="2017-05-22T00:00:00"/>
    <s v="Maciej"/>
    <s v="Tasz"/>
    <n v="31"/>
    <x v="4"/>
  </r>
  <r>
    <d v="2017-05-22T00:00:00"/>
    <s v="Hanna"/>
    <s v="Steinborn"/>
    <n v="21"/>
    <x v="4"/>
  </r>
  <r>
    <d v="2017-05-22T00:00:00"/>
    <s v="Monika"/>
    <s v="Srubka"/>
    <n v="19"/>
    <x v="4"/>
  </r>
  <r>
    <d v="2017-05-22T00:00:00"/>
    <s v="Patrycja"/>
    <s v="Glowinska"/>
    <n v="6"/>
    <x v="4"/>
  </r>
  <r>
    <d v="2017-05-22T00:00:00"/>
    <s v="Krzysztof"/>
    <s v="Las"/>
    <n v="24"/>
    <x v="4"/>
  </r>
  <r>
    <d v="2017-05-23T00:00:00"/>
    <s v="Izabela"/>
    <s v="Skrzydlak"/>
    <n v="54"/>
    <x v="4"/>
  </r>
  <r>
    <d v="2017-05-23T00:00:00"/>
    <s v="Wieslawa"/>
    <s v="Koniec"/>
    <n v="18"/>
    <x v="4"/>
  </r>
  <r>
    <d v="2017-05-23T00:00:00"/>
    <s v="Izabela"/>
    <s v="Sobota"/>
    <n v="8"/>
    <x v="4"/>
  </r>
  <r>
    <d v="2017-05-23T00:00:00"/>
    <s v="Sofia"/>
    <s v="Felisiak"/>
    <n v="4"/>
    <x v="4"/>
  </r>
  <r>
    <d v="2017-05-23T00:00:00"/>
    <s v="Wieslawa"/>
    <s v="Nowak"/>
    <n v="16"/>
    <x v="4"/>
  </r>
  <r>
    <d v="2017-05-23T00:00:00"/>
    <s v="Julia"/>
    <s v="Sadowska"/>
    <n v="6"/>
    <x v="4"/>
  </r>
  <r>
    <d v="2017-05-24T00:00:00"/>
    <s v="Andrzej"/>
    <s v="Tysz"/>
    <n v="54"/>
    <x v="4"/>
  </r>
  <r>
    <d v="2017-05-24T00:00:00"/>
    <s v="Jan"/>
    <s v="Zaczyk"/>
    <n v="35"/>
    <x v="4"/>
  </r>
  <r>
    <d v="2017-05-24T00:00:00"/>
    <s v="Magdalena"/>
    <s v="Okraska"/>
    <n v="23"/>
    <x v="4"/>
  </r>
  <r>
    <d v="2017-05-24T00:00:00"/>
    <s v="Teodor"/>
    <s v="Nowak"/>
    <n v="52"/>
    <x v="4"/>
  </r>
  <r>
    <d v="2017-05-24T00:00:00"/>
    <s v="Szymon"/>
    <s v="Wozniak"/>
    <n v="26"/>
    <x v="4"/>
  </r>
  <r>
    <d v="2017-05-24T00:00:00"/>
    <s v="Izabela"/>
    <s v="Sobota"/>
    <n v="26"/>
    <x v="4"/>
  </r>
  <r>
    <d v="2017-05-25T00:00:00"/>
    <s v="Mateusz"/>
    <s v="Krynicki"/>
    <n v="2"/>
    <x v="4"/>
  </r>
  <r>
    <d v="2017-05-25T00:00:00"/>
    <s v="Barbara"/>
    <s v="Karcz"/>
    <n v="31"/>
    <x v="4"/>
  </r>
  <r>
    <d v="2017-05-25T00:00:00"/>
    <s v="Borys"/>
    <s v="Myszor"/>
    <n v="38"/>
    <x v="4"/>
  </r>
  <r>
    <d v="2017-05-25T00:00:00"/>
    <s v="Agnieszka"/>
    <s v="Kaminska"/>
    <n v="8"/>
    <x v="4"/>
  </r>
  <r>
    <d v="2017-05-25T00:00:00"/>
    <s v="Piotr"/>
    <s v="Kania"/>
    <n v="53"/>
    <x v="4"/>
  </r>
  <r>
    <d v="2017-05-25T00:00:00"/>
    <s v="Roman"/>
    <s v="Grodecki"/>
    <n v="6"/>
    <x v="4"/>
  </r>
  <r>
    <d v="2017-05-26T00:00:00"/>
    <s v="Teodor"/>
    <s v="Fornal"/>
    <n v="55"/>
    <x v="4"/>
  </r>
  <r>
    <d v="2017-05-26T00:00:00"/>
    <s v="Tomasz"/>
    <s v="Zbik"/>
    <n v="15"/>
    <x v="4"/>
  </r>
  <r>
    <d v="2017-05-26T00:00:00"/>
    <s v="Jacek"/>
    <s v="Chojnacki"/>
    <n v="25"/>
    <x v="4"/>
  </r>
  <r>
    <d v="2017-05-26T00:00:00"/>
    <s v="Adam"/>
    <s v="Zurek"/>
    <n v="39"/>
    <x v="4"/>
  </r>
  <r>
    <d v="2017-05-26T00:00:00"/>
    <s v="Marcin"/>
    <s v="Tabaka"/>
    <n v="25"/>
    <x v="4"/>
  </r>
  <r>
    <d v="2017-05-26T00:00:00"/>
    <s v="Anna"/>
    <s v="Janowska"/>
    <n v="22"/>
    <x v="4"/>
  </r>
  <r>
    <d v="2017-05-29T00:00:00"/>
    <s v="Roksana"/>
    <s v="Frankowska"/>
    <n v="22"/>
    <x v="4"/>
  </r>
  <r>
    <d v="2017-05-29T00:00:00"/>
    <s v="Krzysztof"/>
    <s v="Madejski"/>
    <n v="2"/>
    <x v="4"/>
  </r>
  <r>
    <d v="2017-05-29T00:00:00"/>
    <s v="Maria"/>
    <s v="Kowalczuk"/>
    <n v="8"/>
    <x v="4"/>
  </r>
  <r>
    <d v="2017-05-29T00:00:00"/>
    <s v="Jan"/>
    <s v="Kildanowski"/>
    <n v="50"/>
    <x v="4"/>
  </r>
  <r>
    <d v="2017-05-29T00:00:00"/>
    <s v="Dominik"/>
    <s v="Szczucki"/>
    <n v="17"/>
    <x v="4"/>
  </r>
  <r>
    <d v="2017-05-29T00:00:00"/>
    <s v="Michal"/>
    <s v="Kirwiel"/>
    <n v="9"/>
    <x v="4"/>
  </r>
  <r>
    <d v="2017-05-30T00:00:00"/>
    <s v="Konrad"/>
    <s v="Jagielski"/>
    <n v="52"/>
    <x v="4"/>
  </r>
  <r>
    <d v="2017-05-30T00:00:00"/>
    <s v="Monika"/>
    <s v="Bialkowska"/>
    <n v="18"/>
    <x v="4"/>
  </r>
  <r>
    <d v="2017-05-30T00:00:00"/>
    <s v="Alicja"/>
    <s v="Walentowicz"/>
    <n v="17"/>
    <x v="4"/>
  </r>
  <r>
    <d v="2017-05-30T00:00:00"/>
    <s v="Zbigniew"/>
    <s v="Paderewski"/>
    <n v="52"/>
    <x v="4"/>
  </r>
  <r>
    <d v="2017-05-30T00:00:00"/>
    <s v="Michal"/>
    <s v="Nowicki"/>
    <n v="13"/>
    <x v="4"/>
  </r>
  <r>
    <d v="2017-05-30T00:00:00"/>
    <s v="Leon"/>
    <s v="Szybki"/>
    <n v="10"/>
    <x v="4"/>
  </r>
  <r>
    <d v="2017-05-31T00:00:00"/>
    <s v="Olga"/>
    <s v="Paluszkiewicz"/>
    <n v="18"/>
    <x v="4"/>
  </r>
  <r>
    <d v="2017-05-31T00:00:00"/>
    <s v="Bartosz"/>
    <s v="Tusinski"/>
    <n v="16"/>
    <x v="4"/>
  </r>
  <r>
    <d v="2017-05-31T00:00:00"/>
    <s v="Karolina"/>
    <s v="Perez"/>
    <n v="8"/>
    <x v="4"/>
  </r>
  <r>
    <d v="2017-05-31T00:00:00"/>
    <s v="Maciej"/>
    <s v="Czyzynski"/>
    <n v="26"/>
    <x v="4"/>
  </r>
  <r>
    <d v="2017-05-31T00:00:00"/>
    <s v="Maja"/>
    <s v="Kurowska"/>
    <n v="53"/>
    <x v="4"/>
  </r>
  <r>
    <d v="2017-05-31T00:00:00"/>
    <s v="Hubert"/>
    <s v="Borek"/>
    <n v="3"/>
    <x v="4"/>
  </r>
  <r>
    <d v="2017-06-01T00:00:00"/>
    <s v="Michal"/>
    <s v="Jan"/>
    <n v="36"/>
    <x v="5"/>
  </r>
  <r>
    <d v="2017-06-01T00:00:00"/>
    <s v="Igor"/>
    <s v="Rybinski"/>
    <n v="17"/>
    <x v="5"/>
  </r>
  <r>
    <d v="2017-06-01T00:00:00"/>
    <s v="Adrian"/>
    <s v="Dulski"/>
    <n v="14"/>
    <x v="5"/>
  </r>
  <r>
    <d v="2017-06-01T00:00:00"/>
    <s v="Julia"/>
    <s v="Sadowska"/>
    <n v="54"/>
    <x v="5"/>
  </r>
  <r>
    <d v="2017-06-01T00:00:00"/>
    <s v="Maja"/>
    <s v="Kaminska"/>
    <n v="22"/>
    <x v="5"/>
  </r>
  <r>
    <d v="2017-06-01T00:00:00"/>
    <s v="Nadia"/>
    <s v="Jurewicz"/>
    <n v="33"/>
    <x v="5"/>
  </r>
  <r>
    <d v="2017-06-02T00:00:00"/>
    <s v="Maria"/>
    <s v="Drozd"/>
    <n v="22"/>
    <x v="5"/>
  </r>
  <r>
    <d v="2017-06-02T00:00:00"/>
    <s v="Szymon"/>
    <s v="Mrozniak"/>
    <n v="2"/>
    <x v="5"/>
  </r>
  <r>
    <d v="2017-06-02T00:00:00"/>
    <s v="Inez"/>
    <s v="Nahaj"/>
    <n v="8"/>
    <x v="5"/>
  </r>
  <r>
    <d v="2017-06-02T00:00:00"/>
    <s v="Jan"/>
    <s v="Pieterson"/>
    <n v="5"/>
    <x v="5"/>
  </r>
  <r>
    <d v="2017-06-02T00:00:00"/>
    <s v="Adrian"/>
    <s v="Baran"/>
    <n v="25"/>
    <x v="5"/>
  </r>
  <r>
    <d v="2017-06-02T00:00:00"/>
    <s v="Przemyslaw"/>
    <s v="Bajewski"/>
    <n v="18"/>
    <x v="5"/>
  </r>
  <r>
    <d v="2017-06-05T00:00:00"/>
    <s v="Ewelina"/>
    <s v="Bialkowska"/>
    <n v="8"/>
    <x v="5"/>
  </r>
  <r>
    <d v="2017-06-05T00:00:00"/>
    <s v="Lena"/>
    <s v="Mazurkiewicz"/>
    <n v="20"/>
    <x v="5"/>
  </r>
  <r>
    <d v="2017-06-05T00:00:00"/>
    <s v="Patrycja"/>
    <s v="Dzban"/>
    <n v="23"/>
    <x v="5"/>
  </r>
  <r>
    <d v="2017-06-05T00:00:00"/>
    <s v="Leon"/>
    <s v="Szybki"/>
    <n v="52"/>
    <x v="5"/>
  </r>
  <r>
    <d v="2017-06-05T00:00:00"/>
    <s v="Michal"/>
    <s v="Gora"/>
    <n v="14"/>
    <x v="5"/>
  </r>
  <r>
    <d v="2017-06-05T00:00:00"/>
    <s v="Agata"/>
    <s v="Kolacz"/>
    <n v="27"/>
    <x v="5"/>
  </r>
  <r>
    <d v="2017-06-06T00:00:00"/>
    <s v="Marek"/>
    <s v="Bednarski"/>
    <n v="21"/>
    <x v="5"/>
  </r>
  <r>
    <d v="2017-06-06T00:00:00"/>
    <s v="Alicja"/>
    <s v="Gadek"/>
    <n v="28"/>
    <x v="5"/>
  </r>
  <r>
    <d v="2017-06-06T00:00:00"/>
    <s v="Filip"/>
    <s v="Strupiechowski"/>
    <n v="50"/>
    <x v="5"/>
  </r>
  <r>
    <d v="2017-06-06T00:00:00"/>
    <s v="Hubert"/>
    <s v="Smyk"/>
    <n v="5"/>
    <x v="5"/>
  </r>
  <r>
    <d v="2017-06-06T00:00:00"/>
    <s v="Marcin"/>
    <s v="Kurasik"/>
    <n v="7"/>
    <x v="5"/>
  </r>
  <r>
    <d v="2017-06-06T00:00:00"/>
    <s v="Tomasz"/>
    <s v="Tutaj"/>
    <n v="11"/>
    <x v="5"/>
  </r>
  <r>
    <d v="2017-06-07T00:00:00"/>
    <s v="Maria"/>
    <s v="Drozd"/>
    <n v="17"/>
    <x v="5"/>
  </r>
  <r>
    <d v="2017-06-07T00:00:00"/>
    <s v="Kamil"/>
    <s v="Naderka"/>
    <n v="12"/>
    <x v="5"/>
  </r>
  <r>
    <d v="2017-06-07T00:00:00"/>
    <s v="Zofia"/>
    <s v="Polak"/>
    <n v="49"/>
    <x v="5"/>
  </r>
  <r>
    <d v="2017-06-07T00:00:00"/>
    <s v="Marta"/>
    <s v="Opolska"/>
    <n v="6"/>
    <x v="5"/>
  </r>
  <r>
    <d v="2017-06-07T00:00:00"/>
    <s v="Agata"/>
    <s v="Kwiatkowska"/>
    <n v="13"/>
    <x v="5"/>
  </r>
  <r>
    <d v="2017-06-07T00:00:00"/>
    <s v="Justyna"/>
    <s v="Wysocka"/>
    <n v="40"/>
    <x v="5"/>
  </r>
  <r>
    <d v="2017-06-08T00:00:00"/>
    <s v="Krzysztof"/>
    <s v="Koncewicz"/>
    <n v="26"/>
    <x v="5"/>
  </r>
  <r>
    <d v="2017-06-08T00:00:00"/>
    <s v="Lena"/>
    <s v="Mrozik"/>
    <n v="16"/>
    <x v="5"/>
  </r>
  <r>
    <d v="2017-06-08T00:00:00"/>
    <s v="Kazimierz"/>
    <s v="Biedka"/>
    <n v="36"/>
    <x v="5"/>
  </r>
  <r>
    <d v="2017-06-08T00:00:00"/>
    <s v="Pawel"/>
    <s v="Nowakowski"/>
    <n v="8"/>
    <x v="5"/>
  </r>
  <r>
    <d v="2017-06-08T00:00:00"/>
    <s v="Piotr"/>
    <s v="Kaleta"/>
    <n v="7"/>
    <x v="5"/>
  </r>
  <r>
    <d v="2017-06-08T00:00:00"/>
    <s v="Monika"/>
    <s v="Srubka"/>
    <n v="25"/>
    <x v="5"/>
  </r>
  <r>
    <d v="2017-06-09T00:00:00"/>
    <s v="Bonifacy"/>
    <s v="Pleszewski"/>
    <n v="43"/>
    <x v="5"/>
  </r>
  <r>
    <d v="2017-06-09T00:00:00"/>
    <s v="Jakub"/>
    <s v="Waniek"/>
    <n v="23"/>
    <x v="5"/>
  </r>
  <r>
    <d v="2017-06-09T00:00:00"/>
    <s v="Sofia"/>
    <s v="Felisiak"/>
    <n v="5"/>
    <x v="5"/>
  </r>
  <r>
    <d v="2017-06-09T00:00:00"/>
    <s v="Monika"/>
    <s v="Placzek"/>
    <n v="2"/>
    <x v="5"/>
  </r>
  <r>
    <d v="2017-06-09T00:00:00"/>
    <s v="Malgorzata"/>
    <s v="Winiarska"/>
    <n v="5"/>
    <x v="5"/>
  </r>
  <r>
    <d v="2017-06-09T00:00:00"/>
    <s v="Alicja"/>
    <s v="Wymyslowska"/>
    <n v="50"/>
    <x v="5"/>
  </r>
  <r>
    <d v="2017-06-12T00:00:00"/>
    <s v="Leon"/>
    <s v="Price"/>
    <n v="11"/>
    <x v="5"/>
  </r>
  <r>
    <d v="2017-06-12T00:00:00"/>
    <s v="Maciej"/>
    <s v="Siemiatkowski"/>
    <n v="18"/>
    <x v="5"/>
  </r>
  <r>
    <d v="2017-06-12T00:00:00"/>
    <s v="Mateusz"/>
    <s v="Uklej"/>
    <n v="24"/>
    <x v="5"/>
  </r>
  <r>
    <d v="2017-06-12T00:00:00"/>
    <s v="Agnieszka"/>
    <s v="Matusik"/>
    <n v="20"/>
    <x v="5"/>
  </r>
  <r>
    <d v="2017-06-12T00:00:00"/>
    <s v="Henryk"/>
    <s v="Siminski"/>
    <n v="55"/>
    <x v="5"/>
  </r>
  <r>
    <d v="2017-06-12T00:00:00"/>
    <s v="Marcel"/>
    <s v="Lademann"/>
    <n v="52"/>
    <x v="5"/>
  </r>
  <r>
    <d v="2017-06-13T00:00:00"/>
    <s v="Justyna"/>
    <s v="Mnich"/>
    <n v="41"/>
    <x v="5"/>
  </r>
  <r>
    <d v="2017-06-13T00:00:00"/>
    <s v="Ewa"/>
    <s v="Czerwinska"/>
    <n v="27"/>
    <x v="5"/>
  </r>
  <r>
    <d v="2017-06-13T00:00:00"/>
    <s v="Piotr"/>
    <s v="Polkowicki"/>
    <n v="12"/>
    <x v="5"/>
  </r>
  <r>
    <d v="2017-06-13T00:00:00"/>
    <s v="Mateusz"/>
    <s v="Mrowczynski"/>
    <n v="23"/>
    <x v="5"/>
  </r>
  <r>
    <d v="2017-06-13T00:00:00"/>
    <s v="Anastazja"/>
    <s v="Borowska"/>
    <n v="4"/>
    <x v="5"/>
  </r>
  <r>
    <d v="2017-06-13T00:00:00"/>
    <s v="Hubert"/>
    <s v="Pieczatowski"/>
    <n v="27"/>
    <x v="5"/>
  </r>
  <r>
    <d v="2017-06-14T00:00:00"/>
    <s v="Teodor"/>
    <s v="Fornal"/>
    <n v="36"/>
    <x v="5"/>
  </r>
  <r>
    <d v="2017-06-14T00:00:00"/>
    <s v="Barbara"/>
    <s v="Kilarski"/>
    <n v="20"/>
    <x v="5"/>
  </r>
  <r>
    <d v="2017-06-14T00:00:00"/>
    <s v="Nikodem"/>
    <s v="Jablonski"/>
    <n v="26"/>
    <x v="5"/>
  </r>
  <r>
    <d v="2017-06-14T00:00:00"/>
    <s v="Nikodem"/>
    <s v="Jakubowski"/>
    <n v="8"/>
    <x v="5"/>
  </r>
  <r>
    <d v="2017-06-14T00:00:00"/>
    <s v="Joanna"/>
    <s v="Sibiga"/>
    <n v="6"/>
    <x v="5"/>
  </r>
  <r>
    <d v="2017-06-14T00:00:00"/>
    <s v="Monika"/>
    <s v="Srubka"/>
    <n v="5"/>
    <x v="5"/>
  </r>
  <r>
    <d v="2017-06-15T00:00:00"/>
    <s v="Jakub"/>
    <s v="Porydzaj"/>
    <n v="8"/>
    <x v="5"/>
  </r>
  <r>
    <d v="2017-06-15T00:00:00"/>
    <s v="Krzysztof"/>
    <s v="Las"/>
    <n v="4"/>
    <x v="5"/>
  </r>
  <r>
    <d v="2017-06-15T00:00:00"/>
    <s v="Emilia"/>
    <s v="Szczepanska"/>
    <n v="31"/>
    <x v="5"/>
  </r>
  <r>
    <d v="2017-06-15T00:00:00"/>
    <s v="Patrycja"/>
    <s v="Rzeszowska"/>
    <n v="36"/>
    <x v="5"/>
  </r>
  <r>
    <d v="2017-06-15T00:00:00"/>
    <s v="Olgierd"/>
    <s v="Hazubski"/>
    <n v="3"/>
    <x v="5"/>
  </r>
  <r>
    <d v="2017-06-15T00:00:00"/>
    <s v="Jan"/>
    <s v="Nancki"/>
    <n v="31"/>
    <x v="5"/>
  </r>
  <r>
    <d v="2017-06-16T00:00:00"/>
    <s v="Anna"/>
    <s v="Trzebiatowska"/>
    <n v="3"/>
    <x v="5"/>
  </r>
  <r>
    <d v="2017-06-16T00:00:00"/>
    <s v="Urszula"/>
    <s v="Engel"/>
    <n v="2"/>
    <x v="5"/>
  </r>
  <r>
    <d v="2017-06-16T00:00:00"/>
    <s v="Przemyslaw"/>
    <s v="Widawski"/>
    <n v="53"/>
    <x v="5"/>
  </r>
  <r>
    <d v="2017-06-16T00:00:00"/>
    <s v="Anastazja"/>
    <s v="Wamka"/>
    <n v="7"/>
    <x v="5"/>
  </r>
  <r>
    <d v="2017-06-16T00:00:00"/>
    <s v="Mariola"/>
    <s v="Las"/>
    <n v="27"/>
    <x v="5"/>
  </r>
  <r>
    <d v="2017-06-16T00:00:00"/>
    <s v="Agnieszka"/>
    <s v="Bujak"/>
    <n v="29"/>
    <x v="5"/>
  </r>
  <r>
    <d v="2017-06-19T00:00:00"/>
    <s v="Leon"/>
    <s v="Szybki"/>
    <n v="19"/>
    <x v="5"/>
  </r>
  <r>
    <d v="2017-06-19T00:00:00"/>
    <s v="Natalia"/>
    <s v="Boryczko"/>
    <n v="15"/>
    <x v="5"/>
  </r>
  <r>
    <d v="2017-06-19T00:00:00"/>
    <s v="Wojciech"/>
    <s v="Gocyla"/>
    <n v="24"/>
    <x v="5"/>
  </r>
  <r>
    <d v="2017-06-19T00:00:00"/>
    <s v="Ewa"/>
    <s v="Czerwinska"/>
    <n v="50"/>
    <x v="5"/>
  </r>
  <r>
    <d v="2017-06-19T00:00:00"/>
    <s v="Piotr"/>
    <s v="Flis"/>
    <n v="18"/>
    <x v="5"/>
  </r>
  <r>
    <d v="2017-06-19T00:00:00"/>
    <s v="Jakub"/>
    <s v="Radomski"/>
    <n v="36"/>
    <x v="5"/>
  </r>
  <r>
    <d v="2017-06-20T00:00:00"/>
    <s v="Ilona"/>
    <s v="Lukaszewska"/>
    <n v="13"/>
    <x v="5"/>
  </r>
  <r>
    <d v="2017-06-20T00:00:00"/>
    <s v="Maria"/>
    <s v="Orlicki"/>
    <n v="29"/>
    <x v="5"/>
  </r>
  <r>
    <d v="2017-06-20T00:00:00"/>
    <s v="Matylda"/>
    <s v="Kluziak"/>
    <n v="47"/>
    <x v="5"/>
  </r>
  <r>
    <d v="2017-06-20T00:00:00"/>
    <s v="Bartosz"/>
    <s v="Mazgaj"/>
    <n v="17"/>
    <x v="5"/>
  </r>
  <r>
    <d v="2017-06-20T00:00:00"/>
    <s v="Jacek"/>
    <s v="Szypulski"/>
    <n v="9"/>
    <x v="5"/>
  </r>
  <r>
    <d v="2017-06-20T00:00:00"/>
    <s v="Mariola"/>
    <s v="Las"/>
    <n v="8"/>
    <x v="5"/>
  </r>
  <r>
    <d v="2017-06-21T00:00:00"/>
    <s v="Tomasz"/>
    <s v="Tutaj"/>
    <n v="4"/>
    <x v="5"/>
  </r>
  <r>
    <d v="2017-06-21T00:00:00"/>
    <s v="Lukasz"/>
    <s v="Kot"/>
    <n v="53"/>
    <x v="5"/>
  </r>
  <r>
    <d v="2017-06-21T00:00:00"/>
    <s v="Martyna"/>
    <s v="Marmelowska"/>
    <n v="29"/>
    <x v="5"/>
  </r>
  <r>
    <d v="2017-06-21T00:00:00"/>
    <s v="Adam"/>
    <s v="Wata"/>
    <n v="52"/>
    <x v="5"/>
  </r>
  <r>
    <d v="2017-06-21T00:00:00"/>
    <s v="Tomasz"/>
    <s v="Tutaj"/>
    <n v="8"/>
    <x v="5"/>
  </r>
  <r>
    <d v="2017-06-21T00:00:00"/>
    <s v="Ewa"/>
    <s v="Wojna"/>
    <n v="32"/>
    <x v="5"/>
  </r>
  <r>
    <d v="2017-06-22T00:00:00"/>
    <s v="Grzegorz"/>
    <s v="Kaminski"/>
    <n v="11"/>
    <x v="5"/>
  </r>
  <r>
    <d v="2017-06-22T00:00:00"/>
    <s v="Tomasz"/>
    <s v="Hajdi"/>
    <n v="35"/>
    <x v="5"/>
  </r>
  <r>
    <d v="2017-06-22T00:00:00"/>
    <s v="Joanna"/>
    <s v="Senger"/>
    <n v="4"/>
    <x v="5"/>
  </r>
  <r>
    <d v="2017-06-22T00:00:00"/>
    <s v="Joanna"/>
    <s v="Kopacki"/>
    <n v="18"/>
    <x v="5"/>
  </r>
  <r>
    <d v="2017-06-22T00:00:00"/>
    <s v="Jan"/>
    <s v="Kildanowski"/>
    <n v="5"/>
    <x v="5"/>
  </r>
  <r>
    <d v="2017-06-22T00:00:00"/>
    <s v="Maciej"/>
    <s v="Tasz"/>
    <n v="32"/>
    <x v="5"/>
  </r>
  <r>
    <d v="2017-06-23T00:00:00"/>
    <s v="Anita"/>
    <s v="Kaczorowska"/>
    <n v="18"/>
    <x v="5"/>
  </r>
  <r>
    <d v="2017-06-23T00:00:00"/>
    <s v="Daria"/>
    <s v="Mikos"/>
    <n v="19"/>
    <x v="5"/>
  </r>
  <r>
    <d v="2017-06-23T00:00:00"/>
    <s v="Anita"/>
    <s v="Pawelczyk"/>
    <n v="8"/>
    <x v="5"/>
  </r>
  <r>
    <d v="2017-06-23T00:00:00"/>
    <s v="Ryszard"/>
    <s v="Domzala"/>
    <n v="16"/>
    <x v="5"/>
  </r>
  <r>
    <d v="2017-06-23T00:00:00"/>
    <s v="Marta"/>
    <s v="Wiosna"/>
    <n v="39"/>
    <x v="5"/>
  </r>
  <r>
    <d v="2017-06-23T00:00:00"/>
    <s v="Maria"/>
    <s v="Orlicki"/>
    <n v="45"/>
    <x v="5"/>
  </r>
  <r>
    <d v="2017-06-26T00:00:00"/>
    <s v="Joanna"/>
    <s v="Kopacki"/>
    <n v="46"/>
    <x v="5"/>
  </r>
  <r>
    <d v="2017-06-26T00:00:00"/>
    <s v="Jan"/>
    <s v="Sznuk"/>
    <n v="26"/>
    <x v="5"/>
  </r>
  <r>
    <d v="2017-06-26T00:00:00"/>
    <s v="Wiera"/>
    <s v="Nowak"/>
    <n v="53"/>
    <x v="5"/>
  </r>
  <r>
    <d v="2017-06-26T00:00:00"/>
    <s v="Ewaryst"/>
    <s v="Zdunek"/>
    <n v="26"/>
    <x v="5"/>
  </r>
  <r>
    <d v="2017-06-26T00:00:00"/>
    <s v="Agnieszka"/>
    <s v="Polak"/>
    <n v="16"/>
    <x v="5"/>
  </r>
  <r>
    <d v="2017-06-26T00:00:00"/>
    <s v="Jan"/>
    <s v="Madawik"/>
    <n v="10"/>
    <x v="5"/>
  </r>
  <r>
    <d v="2017-06-27T00:00:00"/>
    <s v="Anita"/>
    <s v="Woloszyn"/>
    <n v="23"/>
    <x v="5"/>
  </r>
  <r>
    <d v="2017-06-27T00:00:00"/>
    <s v="Daria"/>
    <s v="Zagrobna"/>
    <n v="22"/>
    <x v="5"/>
  </r>
  <r>
    <d v="2017-06-27T00:00:00"/>
    <s v="Marta"/>
    <s v="Wloczkow"/>
    <n v="29"/>
    <x v="5"/>
  </r>
  <r>
    <d v="2017-06-27T00:00:00"/>
    <s v="Krzysztof"/>
    <s v="Konieckiewicz"/>
    <n v="26"/>
    <x v="5"/>
  </r>
  <r>
    <d v="2017-06-27T00:00:00"/>
    <s v="Barbara"/>
    <s v="Bury"/>
    <n v="9"/>
    <x v="5"/>
  </r>
  <r>
    <d v="2017-06-27T00:00:00"/>
    <s v="Karol"/>
    <s v="Dziuk"/>
    <n v="20"/>
    <x v="5"/>
  </r>
  <r>
    <d v="2017-06-28T00:00:00"/>
    <s v="Wojciech"/>
    <s v="Wroblewski"/>
    <n v="7"/>
    <x v="5"/>
  </r>
  <r>
    <d v="2017-06-28T00:00:00"/>
    <s v="Kinga"/>
    <s v="Trawinska"/>
    <n v="27"/>
    <x v="5"/>
  </r>
  <r>
    <d v="2017-06-28T00:00:00"/>
    <s v="Kamil"/>
    <s v="Naderka"/>
    <n v="35"/>
    <x v="5"/>
  </r>
  <r>
    <d v="2017-06-28T00:00:00"/>
    <s v="Tomasz"/>
    <s v="Tutaj"/>
    <n v="15"/>
    <x v="5"/>
  </r>
  <r>
    <d v="2017-06-28T00:00:00"/>
    <s v="Jan"/>
    <s v="Pieterson"/>
    <n v="29"/>
    <x v="5"/>
  </r>
  <r>
    <d v="2017-06-28T00:00:00"/>
    <s v="Dominika"/>
    <s v="Madejska"/>
    <n v="42"/>
    <x v="5"/>
  </r>
  <r>
    <d v="2017-06-29T00:00:00"/>
    <s v="Kamila"/>
    <s v="Bialkowska"/>
    <n v="9"/>
    <x v="5"/>
  </r>
  <r>
    <d v="2017-06-29T00:00:00"/>
    <s v="Stanislaw"/>
    <s v="Cieslik"/>
    <n v="50"/>
    <x v="5"/>
  </r>
  <r>
    <d v="2017-06-29T00:00:00"/>
    <s v="Dominik"/>
    <s v="Szmitko"/>
    <n v="6"/>
    <x v="5"/>
  </r>
  <r>
    <d v="2017-06-29T00:00:00"/>
    <s v="Ewa"/>
    <s v="Zak"/>
    <n v="18"/>
    <x v="5"/>
  </r>
  <r>
    <d v="2017-06-29T00:00:00"/>
    <s v="Jan"/>
    <s v="Madawik"/>
    <n v="28"/>
    <x v="5"/>
  </r>
  <r>
    <d v="2017-06-29T00:00:00"/>
    <s v="Jan"/>
    <s v="Pistek"/>
    <n v="7"/>
    <x v="5"/>
  </r>
  <r>
    <d v="2017-06-30T00:00:00"/>
    <s v="Magda"/>
    <s v="Makowicz"/>
    <n v="28"/>
    <x v="5"/>
  </r>
  <r>
    <d v="2017-06-30T00:00:00"/>
    <s v="Dominik"/>
    <s v="Szczucki"/>
    <n v="27"/>
    <x v="5"/>
  </r>
  <r>
    <d v="2017-06-30T00:00:00"/>
    <s v="Piotr"/>
    <s v="Flis"/>
    <n v="19"/>
    <x v="5"/>
  </r>
  <r>
    <d v="2017-06-30T00:00:00"/>
    <s v="Hubert"/>
    <s v="Pieczatowski"/>
    <n v="19"/>
    <x v="5"/>
  </r>
  <r>
    <d v="2017-06-30T00:00:00"/>
    <s v="Julia"/>
    <s v="Rutkiewicz"/>
    <n v="18"/>
    <x v="5"/>
  </r>
  <r>
    <d v="2017-06-30T00:00:00"/>
    <s v="Joanna"/>
    <s v="Ottka"/>
    <n v="27"/>
    <x v="5"/>
  </r>
  <r>
    <d v="2017-07-03T00:00:00"/>
    <s v="Nadia"/>
    <s v="Jurewicz"/>
    <n v="21"/>
    <x v="6"/>
  </r>
  <r>
    <d v="2017-07-03T00:00:00"/>
    <s v="Lena"/>
    <s v="Marzec"/>
    <n v="14"/>
    <x v="6"/>
  </r>
  <r>
    <d v="2017-07-03T00:00:00"/>
    <s v="Mariusz"/>
    <s v="Suszyn"/>
    <n v="34"/>
    <x v="6"/>
  </r>
  <r>
    <d v="2017-07-03T00:00:00"/>
    <s v="Mateusz"/>
    <s v="Mrowczynski"/>
    <n v="29"/>
    <x v="6"/>
  </r>
  <r>
    <d v="2017-07-03T00:00:00"/>
    <s v="Wieslaw"/>
    <s v="Kasza"/>
    <n v="37"/>
    <x v="6"/>
  </r>
  <r>
    <d v="2017-07-03T00:00:00"/>
    <s v="Jakub"/>
    <s v="Porydzaj"/>
    <n v="28"/>
    <x v="6"/>
  </r>
  <r>
    <d v="2017-07-04T00:00:00"/>
    <s v="Magdalena"/>
    <s v="Bach"/>
    <n v="8"/>
    <x v="6"/>
  </r>
  <r>
    <d v="2017-07-04T00:00:00"/>
    <s v="Patryk"/>
    <s v="Geszczynski"/>
    <n v="16"/>
    <x v="6"/>
  </r>
  <r>
    <d v="2017-07-04T00:00:00"/>
    <s v="Mariola"/>
    <s v="Las"/>
    <n v="7"/>
    <x v="6"/>
  </r>
  <r>
    <d v="2017-07-04T00:00:00"/>
    <s v="Zofia"/>
    <s v="Broszkow"/>
    <n v="29"/>
    <x v="6"/>
  </r>
  <r>
    <d v="2017-07-04T00:00:00"/>
    <s v="Marek"/>
    <s v="Witkowski"/>
    <n v="4"/>
    <x v="6"/>
  </r>
  <r>
    <d v="2017-07-04T00:00:00"/>
    <s v="Karol"/>
    <s v="Pawleczek"/>
    <n v="3"/>
    <x v="6"/>
  </r>
  <r>
    <d v="2017-07-05T00:00:00"/>
    <s v="Renata"/>
    <s v="Pawlak"/>
    <n v="35"/>
    <x v="6"/>
  </r>
  <r>
    <d v="2017-07-05T00:00:00"/>
    <s v="Natalia"/>
    <s v="Olkuska"/>
    <n v="24"/>
    <x v="6"/>
  </r>
  <r>
    <d v="2017-07-05T00:00:00"/>
    <s v="Piotr"/>
    <s v="Felus"/>
    <n v="39"/>
    <x v="6"/>
  </r>
  <r>
    <d v="2017-07-05T00:00:00"/>
    <s v="Marcel"/>
    <s v="Labuda"/>
    <n v="56"/>
    <x v="6"/>
  </r>
  <r>
    <d v="2017-07-05T00:00:00"/>
    <s v="Iwona"/>
    <s v="Wlodarska"/>
    <n v="54"/>
    <x v="6"/>
  </r>
  <r>
    <d v="2017-07-05T00:00:00"/>
    <s v="Andrzej"/>
    <s v="Moldawiec"/>
    <n v="12"/>
    <x v="6"/>
  </r>
  <r>
    <d v="2017-07-06T00:00:00"/>
    <s v="Milena"/>
    <s v="Karolewska"/>
    <n v="7"/>
    <x v="6"/>
  </r>
  <r>
    <d v="2017-07-06T00:00:00"/>
    <s v="Malgorzata"/>
    <s v="Winiarska"/>
    <n v="11"/>
    <x v="6"/>
  </r>
  <r>
    <d v="2017-07-06T00:00:00"/>
    <s v="Maciej"/>
    <s v="Tasz"/>
    <n v="7"/>
    <x v="6"/>
  </r>
  <r>
    <d v="2017-07-06T00:00:00"/>
    <s v="Karolina"/>
    <s v="Welc"/>
    <n v="28"/>
    <x v="6"/>
  </r>
  <r>
    <d v="2017-07-06T00:00:00"/>
    <s v="Patryk"/>
    <s v="Geszczynski"/>
    <n v="20"/>
    <x v="6"/>
  </r>
  <r>
    <d v="2017-07-06T00:00:00"/>
    <s v="Przemyslaw"/>
    <s v="Widawski"/>
    <n v="11"/>
    <x v="6"/>
  </r>
  <r>
    <d v="2017-07-07T00:00:00"/>
    <s v="Barbara"/>
    <s v="Kiel"/>
    <n v="55"/>
    <x v="6"/>
  </r>
  <r>
    <d v="2017-07-07T00:00:00"/>
    <s v="Mateusz"/>
    <s v="Mrowczynski"/>
    <n v="41"/>
    <x v="6"/>
  </r>
  <r>
    <d v="2017-07-07T00:00:00"/>
    <s v="Iwona"/>
    <s v="Anczyk"/>
    <n v="21"/>
    <x v="6"/>
  </r>
  <r>
    <d v="2017-07-07T00:00:00"/>
    <s v="Nadia"/>
    <s v="Jurczyk"/>
    <n v="33"/>
    <x v="6"/>
  </r>
  <r>
    <d v="2017-07-07T00:00:00"/>
    <s v="Filip"/>
    <s v="Strupiechowski"/>
    <n v="7"/>
    <x v="6"/>
  </r>
  <r>
    <d v="2017-07-07T00:00:00"/>
    <s v="Zuzanna"/>
    <s v="Kalisz"/>
    <n v="15"/>
    <x v="6"/>
  </r>
  <r>
    <d v="2017-07-10T00:00:00"/>
    <s v="Joanna"/>
    <s v="Pilc"/>
    <n v="39"/>
    <x v="6"/>
  </r>
  <r>
    <d v="2017-07-10T00:00:00"/>
    <s v="Eugenia"/>
    <s v="Pieta"/>
    <n v="20"/>
    <x v="6"/>
  </r>
  <r>
    <d v="2017-07-10T00:00:00"/>
    <s v="Jan"/>
    <s v="Pistek"/>
    <n v="11"/>
    <x v="6"/>
  </r>
  <r>
    <d v="2017-07-10T00:00:00"/>
    <s v="Marlena"/>
    <s v="Mazar"/>
    <n v="55"/>
    <x v="6"/>
  </r>
  <r>
    <d v="2017-07-10T00:00:00"/>
    <s v="Adam"/>
    <s v="Zurek"/>
    <n v="36"/>
    <x v="6"/>
  </r>
  <r>
    <d v="2017-07-10T00:00:00"/>
    <s v="Borys"/>
    <s v="Winiarski"/>
    <n v="19"/>
    <x v="6"/>
  </r>
  <r>
    <d v="2017-07-11T00:00:00"/>
    <s v="Kazimierz"/>
    <s v="Bartosik"/>
    <n v="15"/>
    <x v="6"/>
  </r>
  <r>
    <d v="2017-07-11T00:00:00"/>
    <s v="Ewelina"/>
    <s v="Gorecka"/>
    <n v="11"/>
    <x v="6"/>
  </r>
  <r>
    <d v="2017-07-11T00:00:00"/>
    <s v="Julia"/>
    <s v="Rutkiewicz"/>
    <n v="30"/>
    <x v="6"/>
  </r>
  <r>
    <d v="2017-07-11T00:00:00"/>
    <s v="Janusz"/>
    <s v="Wrobel"/>
    <n v="6"/>
    <x v="6"/>
  </r>
  <r>
    <d v="2017-07-11T00:00:00"/>
    <s v="Jan"/>
    <s v="Pistek"/>
    <n v="16"/>
    <x v="6"/>
  </r>
  <r>
    <d v="2017-07-11T00:00:00"/>
    <s v="Barbara"/>
    <s v="Kilarski"/>
    <n v="26"/>
    <x v="6"/>
  </r>
  <r>
    <d v="2017-07-12T00:00:00"/>
    <s v="Anna"/>
    <s v="Wnuk"/>
    <n v="48"/>
    <x v="6"/>
  </r>
  <r>
    <d v="2017-07-12T00:00:00"/>
    <s v="Maria"/>
    <s v="Gatek"/>
    <n v="24"/>
    <x v="6"/>
  </r>
  <r>
    <d v="2017-07-12T00:00:00"/>
    <s v="Anna"/>
    <s v="Zender"/>
    <n v="9"/>
    <x v="6"/>
  </r>
  <r>
    <d v="2017-07-12T00:00:00"/>
    <s v="Michal"/>
    <s v="Norek"/>
    <n v="55"/>
    <x v="6"/>
  </r>
  <r>
    <d v="2017-07-12T00:00:00"/>
    <s v="Krystyna"/>
    <s v="Szybki"/>
    <n v="51"/>
    <x v="6"/>
  </r>
  <r>
    <d v="2017-07-12T00:00:00"/>
    <s v="Marta"/>
    <s v="Opolska"/>
    <n v="10"/>
    <x v="6"/>
  </r>
  <r>
    <d v="2017-07-13T00:00:00"/>
    <s v="Jacek"/>
    <s v="Ciosinski"/>
    <n v="15"/>
    <x v="6"/>
  </r>
  <r>
    <d v="2017-07-13T00:00:00"/>
    <s v="Ewelina"/>
    <s v="Mirska"/>
    <n v="26"/>
    <x v="6"/>
  </r>
  <r>
    <d v="2017-07-13T00:00:00"/>
    <s v="Leslaw"/>
    <s v="Kupis"/>
    <n v="21"/>
    <x v="6"/>
  </r>
  <r>
    <d v="2017-07-13T00:00:00"/>
    <s v="Michalina"/>
    <s v="Klebba"/>
    <n v="4"/>
    <x v="6"/>
  </r>
  <r>
    <d v="2017-07-13T00:00:00"/>
    <s v="Adrian"/>
    <s v="Wozniak"/>
    <n v="43"/>
    <x v="6"/>
  </r>
  <r>
    <d v="2017-07-13T00:00:00"/>
    <s v="Joanna"/>
    <s v="Wrobel"/>
    <n v="7"/>
    <x v="6"/>
  </r>
  <r>
    <d v="2017-07-13T00:00:00"/>
    <s v="Maria"/>
    <s v="Gatek"/>
    <n v="44"/>
    <x v="6"/>
  </r>
  <r>
    <d v="2017-07-14T00:00:00"/>
    <s v="Mateusz"/>
    <s v="Hajdug"/>
    <n v="19"/>
    <x v="6"/>
  </r>
  <r>
    <d v="2017-07-14T00:00:00"/>
    <s v="Monika"/>
    <s v="Kos"/>
    <n v="29"/>
    <x v="6"/>
  </r>
  <r>
    <d v="2017-07-14T00:00:00"/>
    <s v="Anita"/>
    <s v="Tych"/>
    <n v="33"/>
    <x v="6"/>
  </r>
  <r>
    <d v="2017-07-14T00:00:00"/>
    <s v="Michal"/>
    <s v="Nowicki"/>
    <n v="2"/>
    <x v="6"/>
  </r>
  <r>
    <d v="2017-07-14T00:00:00"/>
    <s v="Joanna"/>
    <s v="Zygmunt"/>
    <n v="15"/>
    <x v="6"/>
  </r>
  <r>
    <d v="2017-07-14T00:00:00"/>
    <s v="Jerzy"/>
    <s v="Polanicki"/>
    <n v="30"/>
    <x v="6"/>
  </r>
  <r>
    <d v="2017-07-14T00:00:00"/>
    <s v="Jakub"/>
    <s v="Rembiewski"/>
    <n v="5"/>
    <x v="6"/>
  </r>
  <r>
    <d v="2017-07-17T00:00:00"/>
    <s v="Mateusz"/>
    <s v="Mrowczynski"/>
    <n v="14"/>
    <x v="6"/>
  </r>
  <r>
    <d v="2017-07-17T00:00:00"/>
    <s v="Maciej"/>
    <s v="Lutczyk"/>
    <n v="8"/>
    <x v="6"/>
  </r>
  <r>
    <d v="2017-07-17T00:00:00"/>
    <s v="Karol"/>
    <s v="Dziuk"/>
    <n v="44"/>
    <x v="6"/>
  </r>
  <r>
    <d v="2017-07-17T00:00:00"/>
    <s v="Iwona"/>
    <s v="Lato"/>
    <n v="50"/>
    <x v="6"/>
  </r>
  <r>
    <d v="2017-07-17T00:00:00"/>
    <s v="Jan"/>
    <s v="Sznuk"/>
    <n v="15"/>
    <x v="6"/>
  </r>
  <r>
    <d v="2017-07-17T00:00:00"/>
    <s v="Kacper"/>
    <s v="Trzebnicki"/>
    <n v="46"/>
    <x v="6"/>
  </r>
  <r>
    <d v="2017-07-17T00:00:00"/>
    <s v="Julia"/>
    <s v="Salanowska"/>
    <n v="5"/>
    <x v="6"/>
  </r>
  <r>
    <d v="2017-07-18T00:00:00"/>
    <s v="Diana"/>
    <s v="Michalska"/>
    <n v="27"/>
    <x v="6"/>
  </r>
  <r>
    <d v="2017-07-18T00:00:00"/>
    <s v="Katarzyna"/>
    <s v="Wip"/>
    <n v="25"/>
    <x v="6"/>
  </r>
  <r>
    <d v="2017-07-18T00:00:00"/>
    <s v="Maria"/>
    <s v="Orlicki"/>
    <n v="22"/>
    <x v="6"/>
  </r>
  <r>
    <d v="2017-07-18T00:00:00"/>
    <s v="Izabela"/>
    <s v="Skrzydlak"/>
    <n v="3"/>
    <x v="6"/>
  </r>
  <r>
    <d v="2017-07-18T00:00:00"/>
    <s v="Maksymilian"/>
    <s v="Piwko"/>
    <n v="28"/>
    <x v="6"/>
  </r>
  <r>
    <d v="2017-07-18T00:00:00"/>
    <s v="Maciej"/>
    <s v="Czyzynski"/>
    <n v="8"/>
    <x v="6"/>
  </r>
  <r>
    <d v="2017-07-18T00:00:00"/>
    <s v="Tomasz"/>
    <s v="Hajdi"/>
    <n v="8"/>
    <x v="6"/>
  </r>
  <r>
    <d v="2017-07-19T00:00:00"/>
    <s v="Lena"/>
    <s v="Mazurkiewicz"/>
    <n v="18"/>
    <x v="6"/>
  </r>
  <r>
    <d v="2017-07-19T00:00:00"/>
    <s v="Marcin"/>
    <s v="Kurasik"/>
    <n v="27"/>
    <x v="6"/>
  </r>
  <r>
    <d v="2017-07-19T00:00:00"/>
    <s v="Janusz"/>
    <s v="Baka"/>
    <n v="23"/>
    <x v="6"/>
  </r>
  <r>
    <d v="2017-07-19T00:00:00"/>
    <s v="Maja"/>
    <s v="Kulkowska"/>
    <n v="46"/>
    <x v="6"/>
  </r>
  <r>
    <d v="2017-07-19T00:00:00"/>
    <s v="Krzysztof"/>
    <s v="Madejski"/>
    <n v="16"/>
    <x v="6"/>
  </r>
  <r>
    <d v="2017-07-19T00:00:00"/>
    <s v="Jakub"/>
    <s v="Bracik"/>
    <n v="27"/>
    <x v="6"/>
  </r>
  <r>
    <d v="2017-07-19T00:00:00"/>
    <s v="Jan"/>
    <s v="Pawelec"/>
    <n v="12"/>
    <x v="6"/>
  </r>
  <r>
    <d v="2017-07-20T00:00:00"/>
    <s v="Krzysztof"/>
    <s v="Plecien"/>
    <n v="21"/>
    <x v="6"/>
  </r>
  <r>
    <d v="2017-07-20T00:00:00"/>
    <s v="Diana"/>
    <s v="Michalska"/>
    <n v="45"/>
    <x v="6"/>
  </r>
  <r>
    <d v="2017-07-20T00:00:00"/>
    <s v="Krzysztof"/>
    <s v="Madejski"/>
    <n v="22"/>
    <x v="6"/>
  </r>
  <r>
    <d v="2017-07-20T00:00:00"/>
    <s v="Daria"/>
    <s v="Mikos"/>
    <n v="40"/>
    <x v="6"/>
  </r>
  <r>
    <d v="2017-07-20T00:00:00"/>
    <s v="Janusz"/>
    <s v="Baka"/>
    <n v="10"/>
    <x v="6"/>
  </r>
  <r>
    <d v="2017-07-20T00:00:00"/>
    <s v="Michal"/>
    <s v="Nowicki"/>
    <n v="33"/>
    <x v="6"/>
  </r>
  <r>
    <d v="2017-07-20T00:00:00"/>
    <s v="Patrycja"/>
    <s v="Glowinska"/>
    <n v="15"/>
    <x v="6"/>
  </r>
  <r>
    <d v="2017-07-21T00:00:00"/>
    <s v="Inka"/>
    <s v="Sochacka"/>
    <n v="12"/>
    <x v="6"/>
  </r>
  <r>
    <d v="2017-07-21T00:00:00"/>
    <s v="Adam"/>
    <s v="Wata"/>
    <n v="32"/>
    <x v="6"/>
  </r>
  <r>
    <d v="2017-07-21T00:00:00"/>
    <s v="Monika"/>
    <s v="Nowaczkiewicz"/>
    <n v="10"/>
    <x v="6"/>
  </r>
  <r>
    <d v="2017-07-21T00:00:00"/>
    <s v="Adam"/>
    <s v="Wata"/>
    <n v="5"/>
    <x v="6"/>
  </r>
  <r>
    <d v="2017-07-21T00:00:00"/>
    <s v="Nikodem"/>
    <s v="Jakubowski"/>
    <n v="28"/>
    <x v="6"/>
  </r>
  <r>
    <d v="2017-07-21T00:00:00"/>
    <s v="Aleksander"/>
    <s v="Pasternak"/>
    <n v="11"/>
    <x v="6"/>
  </r>
  <r>
    <d v="2017-07-21T00:00:00"/>
    <s v="Roksana"/>
    <s v="Frankowska"/>
    <n v="11"/>
    <x v="6"/>
  </r>
  <r>
    <d v="2017-07-24T00:00:00"/>
    <s v="Jakub"/>
    <s v="Porydzaj"/>
    <n v="28"/>
    <x v="6"/>
  </r>
  <r>
    <d v="2017-07-24T00:00:00"/>
    <s v="Maksymilian"/>
    <s v="Piwko"/>
    <n v="13"/>
    <x v="6"/>
  </r>
  <r>
    <d v="2017-07-24T00:00:00"/>
    <s v="Katarzyna"/>
    <s v="Aniec"/>
    <n v="22"/>
    <x v="6"/>
  </r>
  <r>
    <d v="2017-07-24T00:00:00"/>
    <s v="Marek"/>
    <s v="Sulejski"/>
    <n v="19"/>
    <x v="6"/>
  </r>
  <r>
    <d v="2017-07-24T00:00:00"/>
    <s v="Jolanta"/>
    <s v="Bicz"/>
    <n v="46"/>
    <x v="6"/>
  </r>
  <r>
    <d v="2017-07-24T00:00:00"/>
    <s v="Igor"/>
    <s v="Ryngwelski"/>
    <n v="17"/>
    <x v="6"/>
  </r>
  <r>
    <d v="2017-07-24T00:00:00"/>
    <s v="Maria"/>
    <s v="Galas"/>
    <n v="27"/>
    <x v="6"/>
  </r>
  <r>
    <d v="2017-07-25T00:00:00"/>
    <s v="Dominika"/>
    <s v="Szwec"/>
    <n v="3"/>
    <x v="6"/>
  </r>
  <r>
    <d v="2017-07-25T00:00:00"/>
    <s v="Kacper"/>
    <s v="Niec"/>
    <n v="11"/>
    <x v="6"/>
  </r>
  <r>
    <d v="2017-07-25T00:00:00"/>
    <s v="Kinga"/>
    <s v="Kleszcz"/>
    <n v="17"/>
    <x v="6"/>
  </r>
  <r>
    <d v="2017-07-25T00:00:00"/>
    <s v="Witold"/>
    <s v="Sempa"/>
    <n v="16"/>
    <x v="6"/>
  </r>
  <r>
    <d v="2017-07-25T00:00:00"/>
    <s v="Jakub"/>
    <s v="Jedruszek"/>
    <n v="25"/>
    <x v="6"/>
  </r>
  <r>
    <d v="2017-07-25T00:00:00"/>
    <s v="Olgierd"/>
    <s v="Baranek"/>
    <n v="43"/>
    <x v="6"/>
  </r>
  <r>
    <d v="2017-07-25T00:00:00"/>
    <s v="Grzegorz"/>
    <s v="Domek"/>
    <n v="5"/>
    <x v="6"/>
  </r>
  <r>
    <d v="2017-07-26T00:00:00"/>
    <s v="Izabela"/>
    <s v="Skrzydlak"/>
    <n v="21"/>
    <x v="6"/>
  </r>
  <r>
    <d v="2017-07-26T00:00:00"/>
    <s v="Irena"/>
    <s v="Banasiewicz"/>
    <n v="48"/>
    <x v="6"/>
  </r>
  <r>
    <d v="2017-07-26T00:00:00"/>
    <s v="Mateusz"/>
    <s v="Hajdug"/>
    <n v="29"/>
    <x v="6"/>
  </r>
  <r>
    <d v="2017-07-26T00:00:00"/>
    <s v="Luiza"/>
    <s v="Makowska"/>
    <n v="23"/>
    <x v="6"/>
  </r>
  <r>
    <d v="2017-07-26T00:00:00"/>
    <s v="Dominika"/>
    <s v="Madejska"/>
    <n v="52"/>
    <x v="6"/>
  </r>
  <r>
    <d v="2017-07-26T00:00:00"/>
    <s v="Ewa"/>
    <s v="Tysz"/>
    <n v="6"/>
    <x v="6"/>
  </r>
  <r>
    <d v="2017-07-26T00:00:00"/>
    <s v="Kacper"/>
    <s v="Okla"/>
    <n v="29"/>
    <x v="6"/>
  </r>
  <r>
    <d v="2017-07-27T00:00:00"/>
    <s v="Radoslaw"/>
    <s v="Sowinska"/>
    <n v="26"/>
    <x v="6"/>
  </r>
  <r>
    <d v="2017-07-27T00:00:00"/>
    <s v="Monika"/>
    <s v="Srubka"/>
    <n v="13"/>
    <x v="6"/>
  </r>
  <r>
    <d v="2017-07-27T00:00:00"/>
    <s v="Ewa"/>
    <s v="Milion"/>
    <n v="28"/>
    <x v="6"/>
  </r>
  <r>
    <d v="2017-07-27T00:00:00"/>
    <s v="Kazimierz"/>
    <s v="Biedka"/>
    <n v="3"/>
    <x v="6"/>
  </r>
  <r>
    <d v="2017-07-27T00:00:00"/>
    <s v="Nikodem"/>
    <s v="Jama"/>
    <n v="42"/>
    <x v="6"/>
  </r>
  <r>
    <d v="2017-07-27T00:00:00"/>
    <s v="Justyna"/>
    <s v="Pozarzycka"/>
    <n v="15"/>
    <x v="6"/>
  </r>
  <r>
    <d v="2017-07-27T00:00:00"/>
    <s v="Magdalena"/>
    <s v="Nowak"/>
    <n v="3"/>
    <x v="6"/>
  </r>
  <r>
    <d v="2017-07-28T00:00:00"/>
    <s v="Katarzyna"/>
    <s v="Zmokly"/>
    <n v="17"/>
    <x v="6"/>
  </r>
  <r>
    <d v="2017-07-28T00:00:00"/>
    <s v="Borys"/>
    <s v="Winiarski"/>
    <n v="18"/>
    <x v="6"/>
  </r>
  <r>
    <d v="2017-07-28T00:00:00"/>
    <s v="Daria"/>
    <s v="Zagrobna"/>
    <n v="23"/>
    <x v="6"/>
  </r>
  <r>
    <d v="2017-07-28T00:00:00"/>
    <s v="Bruno"/>
    <s v="Tomczyk"/>
    <n v="34"/>
    <x v="6"/>
  </r>
  <r>
    <d v="2017-07-28T00:00:00"/>
    <s v="Dominika"/>
    <s v="Madejska"/>
    <n v="16"/>
    <x v="6"/>
  </r>
  <r>
    <d v="2017-07-28T00:00:00"/>
    <s v="Michalina"/>
    <s v="Klebba"/>
    <n v="29"/>
    <x v="6"/>
  </r>
  <r>
    <d v="2017-07-28T00:00:00"/>
    <s v="Bartosz"/>
    <s v="Tusinski"/>
    <n v="14"/>
    <x v="6"/>
  </r>
  <r>
    <d v="2017-07-31T00:00:00"/>
    <s v="Malgorzata"/>
    <s v="Karlowski"/>
    <n v="2"/>
    <x v="6"/>
  </r>
  <r>
    <d v="2017-07-31T00:00:00"/>
    <s v="Julia"/>
    <s v="Zaremba"/>
    <n v="55"/>
    <x v="6"/>
  </r>
  <r>
    <d v="2017-07-31T00:00:00"/>
    <s v="Marcin"/>
    <s v="Tabaka"/>
    <n v="20"/>
    <x v="6"/>
  </r>
  <r>
    <d v="2017-07-31T00:00:00"/>
    <s v="Katarzyna"/>
    <s v="Dzielna"/>
    <n v="40"/>
    <x v="6"/>
  </r>
  <r>
    <d v="2017-07-31T00:00:00"/>
    <s v="Piotr"/>
    <s v="Kaleta"/>
    <n v="13"/>
    <x v="6"/>
  </r>
  <r>
    <d v="2017-07-31T00:00:00"/>
    <s v="Jan"/>
    <s v="Gumowski"/>
    <n v="53"/>
    <x v="6"/>
  </r>
  <r>
    <d v="2017-07-31T00:00:00"/>
    <s v="Michal"/>
    <s v="Polaczek"/>
    <n v="51"/>
    <x v="6"/>
  </r>
  <r>
    <d v="2017-08-01T00:00:00"/>
    <s v="Marek"/>
    <s v="Janowski"/>
    <n v="17"/>
    <x v="7"/>
  </r>
  <r>
    <d v="2017-08-01T00:00:00"/>
    <s v="Jakub"/>
    <s v="Holmes"/>
    <n v="10"/>
    <x v="7"/>
  </r>
  <r>
    <d v="2017-08-01T00:00:00"/>
    <s v="Emilia"/>
    <s v="Szczepanska"/>
    <n v="24"/>
    <x v="7"/>
  </r>
  <r>
    <d v="2017-08-01T00:00:00"/>
    <s v="Jacek"/>
    <s v="Ciosinski"/>
    <n v="11"/>
    <x v="7"/>
  </r>
  <r>
    <d v="2017-08-01T00:00:00"/>
    <s v="Piotr"/>
    <s v="Mozart"/>
    <n v="18"/>
    <x v="7"/>
  </r>
  <r>
    <d v="2017-08-01T00:00:00"/>
    <s v="Henryk"/>
    <s v="Siminski"/>
    <n v="12"/>
    <x v="7"/>
  </r>
  <r>
    <d v="2017-08-01T00:00:00"/>
    <s v="Tomasz"/>
    <s v="Tutaj"/>
    <n v="8"/>
    <x v="7"/>
  </r>
  <r>
    <d v="2017-08-02T00:00:00"/>
    <s v="Jacek"/>
    <s v="Pieczatowski"/>
    <n v="36"/>
    <x v="7"/>
  </r>
  <r>
    <d v="2017-08-02T00:00:00"/>
    <s v="Patrycja"/>
    <s v="Augustowska"/>
    <n v="24"/>
    <x v="7"/>
  </r>
  <r>
    <d v="2017-08-02T00:00:00"/>
    <s v="Michalina"/>
    <s v="Klebba"/>
    <n v="13"/>
    <x v="7"/>
  </r>
  <r>
    <d v="2017-08-02T00:00:00"/>
    <s v="Wojciech"/>
    <s v="Goc"/>
    <n v="51"/>
    <x v="7"/>
  </r>
  <r>
    <d v="2017-08-02T00:00:00"/>
    <s v="Aleks"/>
    <s v="Wojcik"/>
    <n v="31"/>
    <x v="7"/>
  </r>
  <r>
    <d v="2017-08-02T00:00:00"/>
    <s v="Adam"/>
    <s v="Susel"/>
    <n v="17"/>
    <x v="7"/>
  </r>
  <r>
    <d v="2017-08-02T00:00:00"/>
    <s v="Tomasz"/>
    <s v="Zbik"/>
    <n v="6"/>
    <x v="7"/>
  </r>
  <r>
    <d v="2017-08-03T00:00:00"/>
    <s v="Zenon"/>
    <s v="Bartek"/>
    <n v="47"/>
    <x v="7"/>
  </r>
  <r>
    <d v="2017-08-03T00:00:00"/>
    <s v="Gabriela"/>
    <s v="Malinowska"/>
    <n v="52"/>
    <x v="7"/>
  </r>
  <r>
    <d v="2017-08-03T00:00:00"/>
    <s v="Tomasz"/>
    <s v="Hajdi"/>
    <n v="10"/>
    <x v="7"/>
  </r>
  <r>
    <d v="2017-08-03T00:00:00"/>
    <s v="Agnieszka"/>
    <s v="Bujak"/>
    <n v="3"/>
    <x v="7"/>
  </r>
  <r>
    <d v="2017-08-03T00:00:00"/>
    <s v="Renata"/>
    <s v="Kepa"/>
    <n v="10"/>
    <x v="7"/>
  </r>
  <r>
    <d v="2017-08-03T00:00:00"/>
    <s v="Lucja"/>
    <s v="Zych"/>
    <n v="15"/>
    <x v="7"/>
  </r>
  <r>
    <d v="2017-08-03T00:00:00"/>
    <s v="Malgorzata"/>
    <s v="Winiarska"/>
    <n v="26"/>
    <x v="7"/>
  </r>
  <r>
    <d v="2017-08-04T00:00:00"/>
    <s v="Jan"/>
    <s v="Zajac"/>
    <n v="41"/>
    <x v="7"/>
  </r>
  <r>
    <d v="2017-08-04T00:00:00"/>
    <s v="Zuzanna"/>
    <s v="Kalisz"/>
    <n v="20"/>
    <x v="7"/>
  </r>
  <r>
    <d v="2017-08-04T00:00:00"/>
    <s v="Maria"/>
    <s v="Kowalczyk"/>
    <n v="9"/>
    <x v="7"/>
  </r>
  <r>
    <d v="2017-08-04T00:00:00"/>
    <s v="Paulina"/>
    <s v="Baranowska"/>
    <n v="14"/>
    <x v="7"/>
  </r>
  <r>
    <d v="2017-08-04T00:00:00"/>
    <s v="Mariusz"/>
    <s v="Mrowiec"/>
    <n v="14"/>
    <x v="7"/>
  </r>
  <r>
    <d v="2017-08-04T00:00:00"/>
    <s v="Michal"/>
    <s v="Jan"/>
    <n v="16"/>
    <x v="7"/>
  </r>
  <r>
    <d v="2017-08-04T00:00:00"/>
    <s v="Szymon"/>
    <s v="Polak"/>
    <n v="54"/>
    <x v="7"/>
  </r>
  <r>
    <d v="2017-08-07T00:00:00"/>
    <s v="Alicja"/>
    <s v="Walentowicz"/>
    <n v="11"/>
    <x v="7"/>
  </r>
  <r>
    <d v="2017-08-07T00:00:00"/>
    <s v="Nadia"/>
    <s v="Jędrzejczak"/>
    <n v="6"/>
    <x v="7"/>
  </r>
  <r>
    <d v="2017-08-07T00:00:00"/>
    <s v="Jan"/>
    <s v="Pieterson"/>
    <n v="19"/>
    <x v="7"/>
  </r>
  <r>
    <d v="2017-08-07T00:00:00"/>
    <s v="Lukasz"/>
    <s v="Kot"/>
    <n v="13"/>
    <x v="7"/>
  </r>
  <r>
    <d v="2017-08-07T00:00:00"/>
    <s v="Andrzej"/>
    <s v="Nawwrot"/>
    <n v="35"/>
    <x v="7"/>
  </r>
  <r>
    <d v="2017-08-07T00:00:00"/>
    <s v="Jan"/>
    <s v="Gumowski"/>
    <n v="14"/>
    <x v="7"/>
  </r>
  <r>
    <d v="2017-08-07T00:00:00"/>
    <s v="Lena"/>
    <s v="Marzec"/>
    <n v="7"/>
    <x v="7"/>
  </r>
  <r>
    <d v="2017-08-08T00:00:00"/>
    <s v="Joanna"/>
    <s v="Janas"/>
    <n v="54"/>
    <x v="7"/>
  </r>
  <r>
    <d v="2017-08-08T00:00:00"/>
    <s v="Agnieszka"/>
    <s v="Polak"/>
    <n v="11"/>
    <x v="7"/>
  </r>
  <r>
    <d v="2017-08-08T00:00:00"/>
    <s v="Jan"/>
    <s v="Kildanowski"/>
    <n v="8"/>
    <x v="7"/>
  </r>
  <r>
    <d v="2017-08-08T00:00:00"/>
    <s v="Matylda"/>
    <s v="Kluziak"/>
    <n v="3"/>
    <x v="7"/>
  </r>
  <r>
    <d v="2017-08-08T00:00:00"/>
    <s v="Lukasz"/>
    <s v="Czarnecki"/>
    <n v="2"/>
    <x v="7"/>
  </r>
  <r>
    <d v="2017-08-08T00:00:00"/>
    <s v="Karol"/>
    <s v="Milek"/>
    <n v="25"/>
    <x v="7"/>
  </r>
  <r>
    <d v="2017-08-08T00:00:00"/>
    <s v="Matylda"/>
    <s v="Kluziak"/>
    <n v="44"/>
    <x v="7"/>
  </r>
  <r>
    <d v="2017-08-09T00:00:00"/>
    <s v="Marian"/>
    <s v="Bukalski"/>
    <n v="13"/>
    <x v="7"/>
  </r>
  <r>
    <d v="2017-08-09T00:00:00"/>
    <s v="Karol"/>
    <s v="Wichrowski"/>
    <n v="44"/>
    <x v="7"/>
  </r>
  <r>
    <d v="2017-08-09T00:00:00"/>
    <s v="Monika"/>
    <s v="Bialkowska"/>
    <n v="21"/>
    <x v="7"/>
  </r>
  <r>
    <d v="2017-08-09T00:00:00"/>
    <s v="Ewa"/>
    <s v="Czerwinska"/>
    <n v="4"/>
    <x v="7"/>
  </r>
  <r>
    <d v="2017-08-09T00:00:00"/>
    <s v="Wojciech"/>
    <s v="Czyzewski"/>
    <n v="6"/>
    <x v="7"/>
  </r>
  <r>
    <d v="2017-08-09T00:00:00"/>
    <s v="Karol"/>
    <s v="Felisiak"/>
    <n v="17"/>
    <x v="7"/>
  </r>
  <r>
    <d v="2017-08-09T00:00:00"/>
    <s v="Patryk"/>
    <s v="Geszczynski"/>
    <n v="12"/>
    <x v="7"/>
  </r>
  <r>
    <d v="2017-08-10T00:00:00"/>
    <s v="Joanna"/>
    <s v="Kopacki"/>
    <n v="21"/>
    <x v="7"/>
  </r>
  <r>
    <d v="2017-08-10T00:00:00"/>
    <s v="Amelia"/>
    <s v="Wilk"/>
    <n v="12"/>
    <x v="7"/>
  </r>
  <r>
    <d v="2017-08-10T00:00:00"/>
    <s v="Adrian"/>
    <s v="Yuksek"/>
    <n v="54"/>
    <x v="7"/>
  </r>
  <r>
    <d v="2017-08-10T00:00:00"/>
    <s v="Krzysztof"/>
    <s v="Sobieski"/>
    <n v="11"/>
    <x v="7"/>
  </r>
  <r>
    <d v="2017-08-10T00:00:00"/>
    <s v="Jakub"/>
    <s v="Radomski"/>
    <n v="47"/>
    <x v="7"/>
  </r>
  <r>
    <d v="2017-08-10T00:00:00"/>
    <s v="Hubert"/>
    <s v="Pieczatowski"/>
    <n v="55"/>
    <x v="7"/>
  </r>
  <r>
    <d v="2017-08-10T00:00:00"/>
    <s v="Patryk"/>
    <s v="Glac"/>
    <n v="24"/>
    <x v="7"/>
  </r>
  <r>
    <d v="2017-08-11T00:00:00"/>
    <s v="Balbina"/>
    <s v="Majewska"/>
    <n v="3"/>
    <x v="7"/>
  </r>
  <r>
    <d v="2017-08-11T00:00:00"/>
    <s v="Jakub"/>
    <s v="Bracik"/>
    <n v="15"/>
    <x v="7"/>
  </r>
  <r>
    <d v="2017-08-11T00:00:00"/>
    <s v="Marcin"/>
    <s v="Markowski"/>
    <n v="15"/>
    <x v="7"/>
  </r>
  <r>
    <d v="2017-08-11T00:00:00"/>
    <s v="Julia"/>
    <s v="Rutkiewicz"/>
    <n v="27"/>
    <x v="7"/>
  </r>
  <r>
    <d v="2017-08-11T00:00:00"/>
    <s v="Anna"/>
    <s v="Wnuk"/>
    <n v="31"/>
    <x v="7"/>
  </r>
  <r>
    <d v="2017-08-11T00:00:00"/>
    <s v="Krzysztof"/>
    <s v="Las"/>
    <n v="7"/>
    <x v="7"/>
  </r>
  <r>
    <d v="2017-08-11T00:00:00"/>
    <s v="Julian"/>
    <s v="Snopek"/>
    <n v="20"/>
    <x v="7"/>
  </r>
  <r>
    <d v="2017-08-11T00:00:00"/>
    <s v="Piotr"/>
    <s v="Walec"/>
    <n v="30"/>
    <x v="7"/>
  </r>
  <r>
    <d v="2017-08-14T00:00:00"/>
    <s v="Leon"/>
    <s v="Price"/>
    <n v="22"/>
    <x v="7"/>
  </r>
  <r>
    <d v="2017-08-14T00:00:00"/>
    <s v="Daria"/>
    <s v="Witkowska"/>
    <n v="44"/>
    <x v="7"/>
  </r>
  <r>
    <d v="2017-08-14T00:00:00"/>
    <s v="Barbara"/>
    <s v="Bury"/>
    <n v="5"/>
    <x v="7"/>
  </r>
  <r>
    <d v="2017-08-14T00:00:00"/>
    <s v="Zuzanna"/>
    <s v="Kalisz"/>
    <n v="3"/>
    <x v="7"/>
  </r>
  <r>
    <d v="2017-08-14T00:00:00"/>
    <s v="Wojciech"/>
    <s v="Maja"/>
    <n v="6"/>
    <x v="7"/>
  </r>
  <r>
    <d v="2017-08-14T00:00:00"/>
    <s v="Maciej"/>
    <s v="Laskowski"/>
    <n v="12"/>
    <x v="7"/>
  </r>
  <r>
    <d v="2017-08-14T00:00:00"/>
    <s v="Jacek"/>
    <s v="Ciosinski"/>
    <n v="5"/>
    <x v="7"/>
  </r>
  <r>
    <d v="2017-08-14T00:00:00"/>
    <s v="Mariusz"/>
    <s v="Kornik"/>
    <n v="6"/>
    <x v="7"/>
  </r>
  <r>
    <d v="2017-08-15T00:00:00"/>
    <s v="Maciej"/>
    <s v="Machalski"/>
    <n v="29"/>
    <x v="7"/>
  </r>
  <r>
    <d v="2017-08-15T00:00:00"/>
    <s v="Anna"/>
    <s v="Tomaszewska"/>
    <n v="46"/>
    <x v="7"/>
  </r>
  <r>
    <d v="2017-08-15T00:00:00"/>
    <s v="Zofia"/>
    <s v="Barak"/>
    <n v="20"/>
    <x v="7"/>
  </r>
  <r>
    <d v="2017-08-15T00:00:00"/>
    <s v="Marek"/>
    <s v="Chorzowski"/>
    <n v="28"/>
    <x v="7"/>
  </r>
  <r>
    <d v="2017-08-15T00:00:00"/>
    <s v="Urszula"/>
    <s v="Pawlak"/>
    <n v="5"/>
    <x v="7"/>
  </r>
  <r>
    <d v="2017-08-15T00:00:00"/>
    <s v="Ewa"/>
    <s v="Zak"/>
    <n v="12"/>
    <x v="7"/>
  </r>
  <r>
    <d v="2017-08-15T00:00:00"/>
    <s v="Patrycja"/>
    <s v="Dzban"/>
    <n v="29"/>
    <x v="7"/>
  </r>
  <r>
    <d v="2017-08-15T00:00:00"/>
    <s v="Marta"/>
    <s v="Wloczkow"/>
    <n v="14"/>
    <x v="7"/>
  </r>
  <r>
    <d v="2017-08-16T00:00:00"/>
    <s v="Iwona"/>
    <s v="Anczyk"/>
    <n v="29"/>
    <x v="7"/>
  </r>
  <r>
    <d v="2017-08-16T00:00:00"/>
    <s v="Grzegorz"/>
    <s v="Domek"/>
    <n v="15"/>
    <x v="7"/>
  </r>
  <r>
    <d v="2017-08-16T00:00:00"/>
    <s v="Piotr"/>
    <s v="Adamski"/>
    <n v="35"/>
    <x v="7"/>
  </r>
  <r>
    <d v="2017-08-16T00:00:00"/>
    <s v="Aleks"/>
    <s v="Wojcik"/>
    <n v="28"/>
    <x v="7"/>
  </r>
  <r>
    <d v="2017-08-16T00:00:00"/>
    <s v="Zenon"/>
    <s v="Bartek"/>
    <n v="3"/>
    <x v="7"/>
  </r>
  <r>
    <d v="2017-08-16T00:00:00"/>
    <s v="Lena"/>
    <s v="Miszkin"/>
    <n v="49"/>
    <x v="7"/>
  </r>
  <r>
    <d v="2017-08-16T00:00:00"/>
    <s v="Diana"/>
    <s v="Michalska"/>
    <n v="21"/>
    <x v="7"/>
  </r>
  <r>
    <d v="2017-08-16T00:00:00"/>
    <s v="Jan"/>
    <s v="Adamowicz"/>
    <n v="43"/>
    <x v="7"/>
  </r>
  <r>
    <d v="2017-08-17T00:00:00"/>
    <s v="Wojciech"/>
    <s v="Maja"/>
    <n v="6"/>
    <x v="7"/>
  </r>
  <r>
    <d v="2017-08-17T00:00:00"/>
    <s v="Piotr"/>
    <s v="Felus"/>
    <n v="10"/>
    <x v="7"/>
  </r>
  <r>
    <d v="2017-08-17T00:00:00"/>
    <s v="Mateusz"/>
    <s v="Kowalczyk"/>
    <n v="7"/>
    <x v="7"/>
  </r>
  <r>
    <d v="2017-08-17T00:00:00"/>
    <s v="Alicja"/>
    <s v="Chmiel"/>
    <n v="7"/>
    <x v="7"/>
  </r>
  <r>
    <d v="2017-08-17T00:00:00"/>
    <s v="Natalia"/>
    <s v="Wolny"/>
    <n v="22"/>
    <x v="7"/>
  </r>
  <r>
    <d v="2017-08-17T00:00:00"/>
    <s v="Zofia"/>
    <s v="Broszkow"/>
    <n v="36"/>
    <x v="7"/>
  </r>
  <r>
    <d v="2017-08-17T00:00:00"/>
    <s v="Pawel"/>
    <s v="Nowakowski"/>
    <n v="13"/>
    <x v="7"/>
  </r>
  <r>
    <d v="2017-08-17T00:00:00"/>
    <s v="Jacek"/>
    <s v="Ciosinski"/>
    <n v="14"/>
    <x v="7"/>
  </r>
  <r>
    <d v="2017-08-18T00:00:00"/>
    <s v="Krzysztof"/>
    <s v="Wloch"/>
    <n v="6"/>
    <x v="7"/>
  </r>
  <r>
    <d v="2017-08-18T00:00:00"/>
    <s v="Karolina"/>
    <s v="Karpacka"/>
    <n v="11"/>
    <x v="7"/>
  </r>
  <r>
    <d v="2017-08-18T00:00:00"/>
    <s v="Mariusz"/>
    <s v="Kornik"/>
    <n v="22"/>
    <x v="7"/>
  </r>
  <r>
    <d v="2017-08-18T00:00:00"/>
    <s v="Marek"/>
    <s v="Bednarski"/>
    <n v="56"/>
    <x v="7"/>
  </r>
  <r>
    <d v="2017-08-18T00:00:00"/>
    <s v="Anna"/>
    <s v="Zaczyk"/>
    <n v="55"/>
    <x v="7"/>
  </r>
  <r>
    <d v="2017-08-18T00:00:00"/>
    <s v="Kinga"/>
    <s v="Kleszcz"/>
    <n v="45"/>
    <x v="7"/>
  </r>
  <r>
    <d v="2017-08-18T00:00:00"/>
    <s v="Adrian"/>
    <s v="Yuksek"/>
    <n v="12"/>
    <x v="7"/>
  </r>
  <r>
    <d v="2017-08-18T00:00:00"/>
    <s v="Karol"/>
    <s v="Felisiak"/>
    <n v="20"/>
    <x v="7"/>
  </r>
  <r>
    <d v="2017-08-21T00:00:00"/>
    <s v="Ignacy"/>
    <s v="Sarnowski"/>
    <n v="8"/>
    <x v="7"/>
  </r>
  <r>
    <d v="2017-08-21T00:00:00"/>
    <s v="Piotr"/>
    <s v="Dzierzak"/>
    <n v="33"/>
    <x v="7"/>
  </r>
  <r>
    <d v="2017-08-21T00:00:00"/>
    <s v="Marta"/>
    <s v="Wloczkow"/>
    <n v="9"/>
    <x v="7"/>
  </r>
  <r>
    <d v="2017-08-21T00:00:00"/>
    <s v="Protazy"/>
    <s v="Warszawski"/>
    <n v="52"/>
    <x v="7"/>
  </r>
  <r>
    <d v="2017-08-21T00:00:00"/>
    <s v="Monika"/>
    <s v="Kos"/>
    <n v="48"/>
    <x v="7"/>
  </r>
  <r>
    <d v="2017-08-21T00:00:00"/>
    <s v="Gabriela"/>
    <s v="Oleszkiewicz"/>
    <n v="40"/>
    <x v="7"/>
  </r>
  <r>
    <d v="2017-08-21T00:00:00"/>
    <s v="Karol"/>
    <s v="Hubicki"/>
    <n v="52"/>
    <x v="7"/>
  </r>
  <r>
    <d v="2017-08-21T00:00:00"/>
    <s v="Paulina"/>
    <s v="Baranowska"/>
    <n v="34"/>
    <x v="7"/>
  </r>
  <r>
    <d v="2017-08-22T00:00:00"/>
    <s v="Kazimierz"/>
    <s v="Biedka"/>
    <n v="2"/>
    <x v="7"/>
  </r>
  <r>
    <d v="2017-08-22T00:00:00"/>
    <s v="Julia"/>
    <s v="Rutkiewicz"/>
    <n v="9"/>
    <x v="7"/>
  </r>
  <r>
    <d v="2017-08-22T00:00:00"/>
    <s v="Mateusz"/>
    <s v="Krawczyk"/>
    <n v="24"/>
    <x v="7"/>
  </r>
  <r>
    <d v="2017-08-22T00:00:00"/>
    <s v="Anastazja"/>
    <s v="Borowska"/>
    <n v="28"/>
    <x v="7"/>
  </r>
  <r>
    <d v="2017-08-22T00:00:00"/>
    <s v="Sofia"/>
    <s v="Felisiak"/>
    <n v="16"/>
    <x v="7"/>
  </r>
  <r>
    <d v="2017-08-22T00:00:00"/>
    <s v="Emilia"/>
    <s v="Szczepanska"/>
    <n v="19"/>
    <x v="7"/>
  </r>
  <r>
    <d v="2017-08-22T00:00:00"/>
    <s v="Maciej"/>
    <s v="Laskowski"/>
    <n v="26"/>
    <x v="7"/>
  </r>
  <r>
    <d v="2017-08-22T00:00:00"/>
    <s v="Maciej"/>
    <s v="Machol"/>
    <n v="29"/>
    <x v="7"/>
  </r>
  <r>
    <d v="2017-08-23T00:00:00"/>
    <s v="Joanna"/>
    <s v="Traugut"/>
    <n v="51"/>
    <x v="7"/>
  </r>
  <r>
    <d v="2017-08-23T00:00:00"/>
    <s v="Wieslawa"/>
    <s v="Koniec"/>
    <n v="25"/>
    <x v="7"/>
  </r>
  <r>
    <d v="2017-08-23T00:00:00"/>
    <s v="Alicja"/>
    <s v="Wymyslowska"/>
    <n v="33"/>
    <x v="7"/>
  </r>
  <r>
    <d v="2017-08-23T00:00:00"/>
    <s v="Henryk"/>
    <s v="Polarek"/>
    <n v="18"/>
    <x v="7"/>
  </r>
  <r>
    <d v="2017-08-23T00:00:00"/>
    <s v="Paulina"/>
    <s v="Baranowska"/>
    <n v="19"/>
    <x v="7"/>
  </r>
  <r>
    <d v="2017-08-23T00:00:00"/>
    <s v="Maciej"/>
    <s v="Machalski"/>
    <n v="42"/>
    <x v="7"/>
  </r>
  <r>
    <d v="2017-08-23T00:00:00"/>
    <s v="Maciej"/>
    <s v="Machol"/>
    <n v="15"/>
    <x v="7"/>
  </r>
  <r>
    <d v="2017-08-23T00:00:00"/>
    <s v="Lidia"/>
    <s v="Tarnowska"/>
    <n v="15"/>
    <x v="7"/>
  </r>
  <r>
    <d v="2017-08-24T00:00:00"/>
    <s v="Dorota"/>
    <s v="Adamus"/>
    <n v="3"/>
    <x v="7"/>
  </r>
  <r>
    <d v="2017-08-24T00:00:00"/>
    <s v="Alina"/>
    <s v="Warta"/>
    <n v="13"/>
    <x v="7"/>
  </r>
  <r>
    <d v="2017-08-24T00:00:00"/>
    <s v="Kacper"/>
    <s v="Nikolajew"/>
    <n v="27"/>
    <x v="7"/>
  </r>
  <r>
    <d v="2017-08-24T00:00:00"/>
    <s v="Jacek"/>
    <s v="Bigaj"/>
    <n v="18"/>
    <x v="7"/>
  </r>
  <r>
    <d v="2017-08-24T00:00:00"/>
    <s v="Zofia"/>
    <s v="Adamiak"/>
    <n v="42"/>
    <x v="7"/>
  </r>
  <r>
    <d v="2017-08-24T00:00:00"/>
    <s v="Kamila"/>
    <s v="Wolan"/>
    <n v="9"/>
    <x v="7"/>
  </r>
  <r>
    <d v="2017-08-24T00:00:00"/>
    <s v="Jan"/>
    <s v="Gumowski"/>
    <n v="22"/>
    <x v="7"/>
  </r>
  <r>
    <d v="2017-08-24T00:00:00"/>
    <s v="Julia"/>
    <s v="Saska"/>
    <n v="47"/>
    <x v="7"/>
  </r>
  <r>
    <d v="2017-08-25T00:00:00"/>
    <s v="Gabriela"/>
    <s v="Oleszkiewicz"/>
    <n v="55"/>
    <x v="7"/>
  </r>
  <r>
    <d v="2017-08-25T00:00:00"/>
    <s v="Marta"/>
    <s v="Robak"/>
    <n v="9"/>
    <x v="7"/>
  </r>
  <r>
    <d v="2017-08-25T00:00:00"/>
    <s v="Maja"/>
    <s v="Kulkowska"/>
    <n v="27"/>
    <x v="7"/>
  </r>
  <r>
    <d v="2017-08-25T00:00:00"/>
    <s v="Ewelina"/>
    <s v="Bialkowska"/>
    <n v="11"/>
    <x v="7"/>
  </r>
  <r>
    <d v="2017-08-25T00:00:00"/>
    <s v="Jakub"/>
    <s v="Bracik"/>
    <n v="42"/>
    <x v="7"/>
  </r>
  <r>
    <d v="2017-08-25T00:00:00"/>
    <s v="Dominika"/>
    <s v="Duszynska"/>
    <n v="8"/>
    <x v="7"/>
  </r>
  <r>
    <d v="2017-08-25T00:00:00"/>
    <s v="Adela"/>
    <s v="Waruszewska"/>
    <n v="39"/>
    <x v="7"/>
  </r>
  <r>
    <d v="2017-08-25T00:00:00"/>
    <s v="Karolina"/>
    <s v="Mikos"/>
    <n v="26"/>
    <x v="7"/>
  </r>
  <r>
    <d v="2017-08-28T00:00:00"/>
    <s v="Daria"/>
    <s v="Zagrobna"/>
    <n v="28"/>
    <x v="7"/>
  </r>
  <r>
    <d v="2017-08-28T00:00:00"/>
    <s v="Jaroslaw"/>
    <s v="Kopytko"/>
    <n v="40"/>
    <x v="7"/>
  </r>
  <r>
    <d v="2017-08-28T00:00:00"/>
    <s v="Igor"/>
    <s v="Rybinski"/>
    <n v="17"/>
    <x v="7"/>
  </r>
  <r>
    <d v="2017-08-28T00:00:00"/>
    <s v="Zbigniew"/>
    <s v="Maciag"/>
    <n v="2"/>
    <x v="7"/>
  </r>
  <r>
    <d v="2017-08-28T00:00:00"/>
    <s v="Lena"/>
    <s v="Marzec"/>
    <n v="22"/>
    <x v="7"/>
  </r>
  <r>
    <d v="2017-08-28T00:00:00"/>
    <s v="Jakub"/>
    <s v="Bracik"/>
    <n v="18"/>
    <x v="7"/>
  </r>
  <r>
    <d v="2017-08-28T00:00:00"/>
    <s v="Jan"/>
    <s v="Jarek"/>
    <n v="35"/>
    <x v="7"/>
  </r>
  <r>
    <d v="2017-08-28T00:00:00"/>
    <s v="Malgorzata"/>
    <s v="Winiarska"/>
    <n v="7"/>
    <x v="7"/>
  </r>
  <r>
    <d v="2017-08-28T00:00:00"/>
    <s v="Kamila"/>
    <s v="Janas"/>
    <n v="12"/>
    <x v="7"/>
  </r>
  <r>
    <d v="2017-08-28T00:00:00"/>
    <s v="Mariola"/>
    <s v="Mleczko"/>
    <n v="32"/>
    <x v="7"/>
  </r>
  <r>
    <d v="2017-08-29T00:00:00"/>
    <s v="Zuzanna"/>
    <s v="Kalisz"/>
    <n v="22"/>
    <x v="7"/>
  </r>
  <r>
    <d v="2017-08-29T00:00:00"/>
    <s v="Mateusz"/>
    <s v="Koszlaga"/>
    <n v="25"/>
    <x v="7"/>
  </r>
  <r>
    <d v="2017-08-29T00:00:00"/>
    <s v="Amelia"/>
    <s v="Wicher"/>
    <n v="25"/>
    <x v="7"/>
  </r>
  <r>
    <d v="2017-08-29T00:00:00"/>
    <s v="Wiktor"/>
    <s v="Berezniewicz"/>
    <n v="6"/>
    <x v="7"/>
  </r>
  <r>
    <d v="2017-08-29T00:00:00"/>
    <s v="Antoni"/>
    <s v="Sobieski"/>
    <n v="50"/>
    <x v="7"/>
  </r>
  <r>
    <d v="2017-08-29T00:00:00"/>
    <s v="Hubert"/>
    <s v="Smyk"/>
    <n v="16"/>
    <x v="7"/>
  </r>
  <r>
    <d v="2017-08-29T00:00:00"/>
    <s v="Marcin"/>
    <s v="Tabaka"/>
    <n v="23"/>
    <x v="7"/>
  </r>
  <r>
    <d v="2017-08-29T00:00:00"/>
    <s v="Jan"/>
    <s v="Madawik"/>
    <n v="7"/>
    <x v="7"/>
  </r>
  <r>
    <d v="2017-08-29T00:00:00"/>
    <s v="Kazimierz"/>
    <s v="Bartosik"/>
    <n v="6"/>
    <x v="7"/>
  </r>
  <r>
    <d v="2017-08-29T00:00:00"/>
    <s v="Pawel"/>
    <s v="Nowakowski"/>
    <n v="44"/>
    <x v="7"/>
  </r>
  <r>
    <d v="2017-08-30T00:00:00"/>
    <s v="Barbara"/>
    <s v="Kiel"/>
    <n v="33"/>
    <x v="7"/>
  </r>
  <r>
    <d v="2017-08-30T00:00:00"/>
    <s v="Andrzej"/>
    <s v="Nawwrot"/>
    <n v="26"/>
    <x v="7"/>
  </r>
  <r>
    <d v="2017-08-30T00:00:00"/>
    <s v="Jakub"/>
    <s v="Radomski"/>
    <n v="18"/>
    <x v="7"/>
  </r>
  <r>
    <d v="2017-08-30T00:00:00"/>
    <s v="Balbina"/>
    <s v="Madej"/>
    <n v="5"/>
    <x v="7"/>
  </r>
  <r>
    <d v="2017-08-30T00:00:00"/>
    <s v="Krzysztof"/>
    <s v="Plecien"/>
    <n v="4"/>
    <x v="7"/>
  </r>
  <r>
    <d v="2017-08-30T00:00:00"/>
    <s v="Julia"/>
    <s v="Kielecka"/>
    <n v="4"/>
    <x v="7"/>
  </r>
  <r>
    <d v="2017-08-30T00:00:00"/>
    <s v="Jakub"/>
    <s v="Holmes"/>
    <n v="43"/>
    <x v="7"/>
  </r>
  <r>
    <d v="2017-08-30T00:00:00"/>
    <s v="Hanna"/>
    <s v="Stankiewicz"/>
    <n v="48"/>
    <x v="7"/>
  </r>
  <r>
    <d v="2017-08-30T00:00:00"/>
    <s v="Luiza"/>
    <s v="Makowska"/>
    <n v="12"/>
    <x v="7"/>
  </r>
  <r>
    <d v="2017-08-30T00:00:00"/>
    <s v="Ewaryst"/>
    <s v="Zdunek"/>
    <n v="21"/>
    <x v="7"/>
  </r>
  <r>
    <d v="2017-08-31T00:00:00"/>
    <s v="Jakub"/>
    <s v="Przytula"/>
    <n v="21"/>
    <x v="7"/>
  </r>
  <r>
    <d v="2017-08-31T00:00:00"/>
    <s v="Piotr"/>
    <s v="Kaleta"/>
    <n v="2"/>
    <x v="7"/>
  </r>
  <r>
    <d v="2017-08-31T00:00:00"/>
    <s v="Jan"/>
    <s v="Pietraszczyk"/>
    <n v="14"/>
    <x v="7"/>
  </r>
  <r>
    <d v="2017-08-31T00:00:00"/>
    <s v="Bartosz"/>
    <s v="Tusinski"/>
    <n v="26"/>
    <x v="7"/>
  </r>
  <r>
    <d v="2017-08-31T00:00:00"/>
    <s v="Mateusz"/>
    <s v="Filipowicz"/>
    <n v="44"/>
    <x v="7"/>
  </r>
  <r>
    <d v="2017-08-31T00:00:00"/>
    <s v="Dominika"/>
    <s v="Szwec"/>
    <n v="31"/>
    <x v="7"/>
  </r>
  <r>
    <d v="2017-08-31T00:00:00"/>
    <s v="Adrian"/>
    <s v="Yuksek"/>
    <n v="29"/>
    <x v="7"/>
  </r>
  <r>
    <d v="2017-08-31T00:00:00"/>
    <s v="Jakub"/>
    <s v="Holmes"/>
    <n v="13"/>
    <x v="7"/>
  </r>
  <r>
    <d v="2017-08-31T00:00:00"/>
    <s v="Olga"/>
    <s v="Kilecka"/>
    <n v="28"/>
    <x v="7"/>
  </r>
  <r>
    <d v="2017-08-31T00:00:00"/>
    <s v="Alicja"/>
    <s v="Chmiel"/>
    <n v="23"/>
    <x v="7"/>
  </r>
  <r>
    <d v="2017-09-01T00:00:00"/>
    <s v="Patrycja"/>
    <s v="Glowinska"/>
    <n v="5"/>
    <x v="8"/>
  </r>
  <r>
    <d v="2017-09-01T00:00:00"/>
    <s v="Patryk"/>
    <s v="Gibas"/>
    <n v="16"/>
    <x v="8"/>
  </r>
  <r>
    <d v="2017-09-01T00:00:00"/>
    <s v="Anastazja"/>
    <s v="Borowska"/>
    <n v="21"/>
    <x v="8"/>
  </r>
  <r>
    <d v="2017-09-01T00:00:00"/>
    <s v="Olga"/>
    <s v="Kilecka"/>
    <n v="46"/>
    <x v="8"/>
  </r>
  <r>
    <d v="2017-09-01T00:00:00"/>
    <s v="Mikolaj"/>
    <s v="Beniuszys"/>
    <n v="39"/>
    <x v="8"/>
  </r>
  <r>
    <d v="2017-09-01T00:00:00"/>
    <s v="Malgorzata"/>
    <s v="Malec"/>
    <n v="18"/>
    <x v="8"/>
  </r>
  <r>
    <d v="2017-09-01T00:00:00"/>
    <s v="Waldemar"/>
    <s v="Koronski"/>
    <n v="47"/>
    <x v="8"/>
  </r>
  <r>
    <d v="2017-09-01T00:00:00"/>
    <s v="Wojciech"/>
    <s v="Katowicki"/>
    <n v="23"/>
    <x v="8"/>
  </r>
  <r>
    <d v="2017-09-01T00:00:00"/>
    <s v="Patryk"/>
    <s v="Glac"/>
    <n v="27"/>
    <x v="8"/>
  </r>
  <r>
    <d v="2017-09-01T00:00:00"/>
    <s v="Borys"/>
    <s v="Biedal"/>
    <n v="25"/>
    <x v="8"/>
  </r>
  <r>
    <d v="2017-09-04T00:00:00"/>
    <s v="Marcel"/>
    <s v="Lademann"/>
    <n v="23"/>
    <x v="8"/>
  </r>
  <r>
    <d v="2017-09-04T00:00:00"/>
    <s v="Ignacy"/>
    <s v="Sarnowski"/>
    <n v="25"/>
    <x v="8"/>
  </r>
  <r>
    <d v="2017-09-04T00:00:00"/>
    <s v="Jakub"/>
    <s v="Przytula"/>
    <n v="16"/>
    <x v="8"/>
  </r>
  <r>
    <d v="2017-09-04T00:00:00"/>
    <s v="Adam"/>
    <s v="Borkowski"/>
    <n v="29"/>
    <x v="8"/>
  </r>
  <r>
    <d v="2017-09-04T00:00:00"/>
    <s v="Martyna"/>
    <s v="Marmelowska"/>
    <n v="23"/>
    <x v="8"/>
  </r>
  <r>
    <d v="2017-09-04T00:00:00"/>
    <s v="Marek"/>
    <s v="Bednarski"/>
    <n v="25"/>
    <x v="8"/>
  </r>
  <r>
    <d v="2017-09-04T00:00:00"/>
    <s v="Janusz"/>
    <s v="Wrobel"/>
    <n v="14"/>
    <x v="8"/>
  </r>
  <r>
    <d v="2017-09-04T00:00:00"/>
    <s v="Jaroslaw"/>
    <s v="Kopiec"/>
    <n v="20"/>
    <x v="8"/>
  </r>
  <r>
    <d v="2017-09-04T00:00:00"/>
    <s v="Izabela"/>
    <s v="Skrzydlak"/>
    <n v="12"/>
    <x v="8"/>
  </r>
  <r>
    <d v="2017-09-04T00:00:00"/>
    <s v="Mateusz"/>
    <s v="Hajdug"/>
    <n v="2"/>
    <x v="8"/>
  </r>
  <r>
    <d v="2017-09-05T00:00:00"/>
    <s v="Julia"/>
    <s v="Riegel"/>
    <n v="53"/>
    <x v="8"/>
  </r>
  <r>
    <d v="2017-09-05T00:00:00"/>
    <s v="Kamila"/>
    <s v="Kot"/>
    <n v="20"/>
    <x v="8"/>
  </r>
  <r>
    <d v="2017-09-05T00:00:00"/>
    <s v="Eugenia"/>
    <s v="Pieta"/>
    <n v="4"/>
    <x v="8"/>
  </r>
  <r>
    <d v="2017-09-05T00:00:00"/>
    <s v="Joanna"/>
    <s v="Zygmunt"/>
    <n v="5"/>
    <x v="8"/>
  </r>
  <r>
    <d v="2017-09-05T00:00:00"/>
    <s v="Julia"/>
    <s v="Kielecka"/>
    <n v="36"/>
    <x v="8"/>
  </r>
  <r>
    <d v="2017-09-05T00:00:00"/>
    <s v="Nikodem"/>
    <s v="Jakubowski"/>
    <n v="23"/>
    <x v="8"/>
  </r>
  <r>
    <d v="2017-09-05T00:00:00"/>
    <s v="Stanislaw"/>
    <s v="Derek"/>
    <n v="6"/>
    <x v="8"/>
  </r>
  <r>
    <d v="2017-09-05T00:00:00"/>
    <s v="Dominika"/>
    <s v="Duszynska"/>
    <n v="43"/>
    <x v="8"/>
  </r>
  <r>
    <d v="2017-09-05T00:00:00"/>
    <s v="Teodor"/>
    <s v="Olszewski"/>
    <n v="11"/>
    <x v="8"/>
  </r>
  <r>
    <d v="2017-09-05T00:00:00"/>
    <s v="Adrian"/>
    <s v="Zawisza"/>
    <n v="9"/>
    <x v="8"/>
  </r>
  <r>
    <d v="2017-09-06T00:00:00"/>
    <s v="Krzysztof"/>
    <s v="Konieckiewicz"/>
    <n v="15"/>
    <x v="8"/>
  </r>
  <r>
    <d v="2017-09-06T00:00:00"/>
    <s v="Irena"/>
    <s v="Banasiewicz"/>
    <n v="2"/>
    <x v="8"/>
  </r>
  <r>
    <d v="2017-09-06T00:00:00"/>
    <s v="Zofia"/>
    <s v="Broszkow"/>
    <n v="10"/>
    <x v="8"/>
  </r>
  <r>
    <d v="2017-09-06T00:00:00"/>
    <s v="Janina"/>
    <s v="Kaczynska"/>
    <n v="55"/>
    <x v="8"/>
  </r>
  <r>
    <d v="2017-09-06T00:00:00"/>
    <s v="Kornelia"/>
    <s v="Nowakowska"/>
    <n v="45"/>
    <x v="8"/>
  </r>
  <r>
    <d v="2017-09-06T00:00:00"/>
    <s v="Karolina"/>
    <s v="Nowak"/>
    <n v="5"/>
    <x v="8"/>
  </r>
  <r>
    <d v="2017-09-06T00:00:00"/>
    <s v="Joanna"/>
    <s v="Ottka"/>
    <n v="22"/>
    <x v="8"/>
  </r>
  <r>
    <d v="2017-09-06T00:00:00"/>
    <s v="Krzysztof"/>
    <s v="Madejski"/>
    <n v="20"/>
    <x v="8"/>
  </r>
  <r>
    <d v="2017-09-06T00:00:00"/>
    <s v="Roman"/>
    <s v="Grodecki"/>
    <n v="27"/>
    <x v="8"/>
  </r>
  <r>
    <d v="2017-09-06T00:00:00"/>
    <s v="Stanislaw"/>
    <s v="Derek"/>
    <n v="6"/>
    <x v="8"/>
  </r>
  <r>
    <d v="2017-09-07T00:00:00"/>
    <s v="Krzysztof"/>
    <s v="Madejski"/>
    <n v="29"/>
    <x v="8"/>
  </r>
  <r>
    <d v="2017-09-07T00:00:00"/>
    <s v="Mateusz"/>
    <s v="Kornatowski"/>
    <n v="15"/>
    <x v="8"/>
  </r>
  <r>
    <d v="2017-09-07T00:00:00"/>
    <s v="Szymon"/>
    <s v="Polak"/>
    <n v="5"/>
    <x v="8"/>
  </r>
  <r>
    <d v="2017-09-07T00:00:00"/>
    <s v="Iwona"/>
    <s v="Wlodarska"/>
    <n v="34"/>
    <x v="8"/>
  </r>
  <r>
    <d v="2017-09-07T00:00:00"/>
    <s v="Anna"/>
    <s v="Adamska"/>
    <n v="30"/>
    <x v="8"/>
  </r>
  <r>
    <d v="2017-09-07T00:00:00"/>
    <s v="Szymon"/>
    <s v="Mrozniak"/>
    <n v="3"/>
    <x v="8"/>
  </r>
  <r>
    <d v="2017-09-07T00:00:00"/>
    <s v="Maciej"/>
    <s v="Lutczyk"/>
    <n v="34"/>
    <x v="8"/>
  </r>
  <r>
    <d v="2017-09-07T00:00:00"/>
    <s v="Wojciech"/>
    <s v="Filipowicz"/>
    <n v="7"/>
    <x v="8"/>
  </r>
  <r>
    <d v="2017-09-07T00:00:00"/>
    <s v="Igor"/>
    <s v="Rybinski"/>
    <n v="17"/>
    <x v="8"/>
  </r>
  <r>
    <d v="2017-09-07T00:00:00"/>
    <s v="Jakub"/>
    <s v="Przytula"/>
    <n v="26"/>
    <x v="8"/>
  </r>
  <r>
    <d v="2017-09-08T00:00:00"/>
    <s v="Maciej"/>
    <s v="Laskowski"/>
    <n v="20"/>
    <x v="8"/>
  </r>
  <r>
    <d v="2017-09-08T00:00:00"/>
    <s v="Jan"/>
    <s v="Pieterson"/>
    <n v="24"/>
    <x v="8"/>
  </r>
  <r>
    <d v="2017-09-08T00:00:00"/>
    <s v="Maria"/>
    <s v="Kowalczuk"/>
    <n v="21"/>
    <x v="8"/>
  </r>
  <r>
    <d v="2017-09-08T00:00:00"/>
    <s v="Ryszard"/>
    <s v="Baranowski"/>
    <n v="3"/>
    <x v="8"/>
  </r>
  <r>
    <d v="2017-09-08T00:00:00"/>
    <s v="Luiza"/>
    <s v="Makowska"/>
    <n v="9"/>
    <x v="8"/>
  </r>
  <r>
    <d v="2017-09-08T00:00:00"/>
    <s v="Krzysztof"/>
    <s v="Wilecki"/>
    <n v="46"/>
    <x v="8"/>
  </r>
  <r>
    <d v="2017-09-08T00:00:00"/>
    <s v="Grzegorz"/>
    <s v="Domek"/>
    <n v="16"/>
    <x v="8"/>
  </r>
  <r>
    <d v="2017-09-08T00:00:00"/>
    <s v="Filip"/>
    <s v="Stanulewicz"/>
    <n v="24"/>
    <x v="8"/>
  </r>
  <r>
    <d v="2017-09-08T00:00:00"/>
    <s v="Malgorzata"/>
    <s v="Karlowski"/>
    <n v="23"/>
    <x v="8"/>
  </r>
  <r>
    <d v="2017-09-08T00:00:00"/>
    <s v="Grzegorz"/>
    <s v="Domek"/>
    <n v="18"/>
    <x v="8"/>
  </r>
  <r>
    <d v="2017-09-11T00:00:00"/>
    <s v="Malgorzata"/>
    <s v="Malec"/>
    <n v="29"/>
    <x v="8"/>
  </r>
  <r>
    <d v="2017-09-11T00:00:00"/>
    <s v="Karol"/>
    <s v="Milek"/>
    <n v="24"/>
    <x v="8"/>
  </r>
  <r>
    <d v="2017-09-11T00:00:00"/>
    <s v="Krzysztof"/>
    <s v="Wloch"/>
    <n v="36"/>
    <x v="8"/>
  </r>
  <r>
    <d v="2017-09-11T00:00:00"/>
    <s v="Marian"/>
    <s v="Bukalski"/>
    <n v="6"/>
    <x v="8"/>
  </r>
  <r>
    <d v="2017-09-11T00:00:00"/>
    <s v="Lidia"/>
    <s v="Goluchowska"/>
    <n v="29"/>
    <x v="8"/>
  </r>
  <r>
    <d v="2017-09-11T00:00:00"/>
    <s v="Krzysztof"/>
    <s v="Dwa"/>
    <n v="15"/>
    <x v="8"/>
  </r>
  <r>
    <d v="2017-09-11T00:00:00"/>
    <s v="Adrian"/>
    <s v="Yuksek"/>
    <n v="8"/>
    <x v="8"/>
  </r>
  <r>
    <d v="2017-09-11T00:00:00"/>
    <s v="Krzysztof"/>
    <s v="Micun"/>
    <n v="47"/>
    <x v="8"/>
  </r>
  <r>
    <d v="2017-09-11T00:00:00"/>
    <s v="Kamila"/>
    <s v="Wolan"/>
    <n v="23"/>
    <x v="8"/>
  </r>
  <r>
    <d v="2017-09-11T00:00:00"/>
    <s v="Barbara"/>
    <s v="Podobinska"/>
    <n v="5"/>
    <x v="8"/>
  </r>
  <r>
    <d v="2017-09-11T00:00:00"/>
    <s v="Piotr"/>
    <s v="Kaleta"/>
    <n v="31"/>
    <x v="8"/>
  </r>
  <r>
    <d v="2017-09-11T00:00:00"/>
    <s v="Maria"/>
    <s v="Kowalczyk"/>
    <n v="28"/>
    <x v="8"/>
  </r>
  <r>
    <d v="2017-09-11T00:00:00"/>
    <s v="Weronika"/>
    <s v="Zdroj"/>
    <n v="11"/>
    <x v="8"/>
  </r>
  <r>
    <d v="2017-09-11T00:00:00"/>
    <s v="Karol"/>
    <s v="Dziuk"/>
    <n v="26"/>
    <x v="8"/>
  </r>
  <r>
    <d v="2017-09-12T00:00:00"/>
    <s v="Ignacy"/>
    <s v="Sarnowski"/>
    <n v="46"/>
    <x v="8"/>
  </r>
  <r>
    <d v="2017-09-12T00:00:00"/>
    <s v="Janusz"/>
    <s v="Baka"/>
    <n v="36"/>
    <x v="8"/>
  </r>
  <r>
    <d v="2017-09-12T00:00:00"/>
    <s v="Ilona"/>
    <s v="Nowak"/>
    <n v="21"/>
    <x v="8"/>
  </r>
  <r>
    <d v="2017-09-12T00:00:00"/>
    <s v="Piotr"/>
    <s v="Bialaszewski"/>
    <n v="15"/>
    <x v="8"/>
  </r>
  <r>
    <d v="2017-09-12T00:00:00"/>
    <s v="Ryszard"/>
    <s v="Domzala"/>
    <n v="16"/>
    <x v="8"/>
  </r>
  <r>
    <d v="2017-09-12T00:00:00"/>
    <s v="Karol"/>
    <s v="Wojciechowski"/>
    <n v="26"/>
    <x v="8"/>
  </r>
  <r>
    <d v="2017-09-12T00:00:00"/>
    <s v="Sofia"/>
    <s v="Felisiak"/>
    <n v="14"/>
    <x v="8"/>
  </r>
  <r>
    <d v="2017-09-12T00:00:00"/>
    <s v="Michalina"/>
    <s v="Klebba"/>
    <n v="20"/>
    <x v="8"/>
  </r>
  <r>
    <d v="2017-09-12T00:00:00"/>
    <s v="Bartosz"/>
    <s v="Mazgaj"/>
    <n v="20"/>
    <x v="8"/>
  </r>
  <r>
    <d v="2017-09-12T00:00:00"/>
    <s v="Julia"/>
    <s v="Stuhr"/>
    <n v="22"/>
    <x v="8"/>
  </r>
  <r>
    <d v="2017-09-12T00:00:00"/>
    <s v="Dominika"/>
    <s v="Mierny"/>
    <n v="16"/>
    <x v="8"/>
  </r>
  <r>
    <d v="2017-09-12T00:00:00"/>
    <s v="Barbara"/>
    <s v="Kilarski"/>
    <n v="17"/>
    <x v="8"/>
  </r>
  <r>
    <d v="2017-09-12T00:00:00"/>
    <s v="Dorota"/>
    <s v="Tarnowska"/>
    <n v="41"/>
    <x v="8"/>
  </r>
  <r>
    <d v="2017-09-12T00:00:00"/>
    <s v="Albert"/>
    <s v="Pleszewski"/>
    <n v="3"/>
    <x v="8"/>
  </r>
  <r>
    <d v="2017-09-13T00:00:00"/>
    <s v="Ewelina"/>
    <s v="Goslawska"/>
    <n v="20"/>
    <x v="8"/>
  </r>
  <r>
    <d v="2017-09-13T00:00:00"/>
    <s v="Maja"/>
    <s v="Kaminska"/>
    <n v="7"/>
    <x v="8"/>
  </r>
  <r>
    <d v="2017-09-13T00:00:00"/>
    <s v="Anna"/>
    <s v="Kot"/>
    <n v="41"/>
    <x v="8"/>
  </r>
  <r>
    <d v="2017-09-13T00:00:00"/>
    <s v="Katarzyna"/>
    <s v="Wip"/>
    <n v="4"/>
    <x v="8"/>
  </r>
  <r>
    <d v="2017-09-13T00:00:00"/>
    <s v="Marcel"/>
    <s v="Labuda"/>
    <n v="31"/>
    <x v="8"/>
  </r>
  <r>
    <d v="2017-09-13T00:00:00"/>
    <s v="Maksymilian"/>
    <s v="Lupa"/>
    <n v="6"/>
    <x v="8"/>
  </r>
  <r>
    <d v="2017-09-13T00:00:00"/>
    <s v="Maria"/>
    <s v="Borowska"/>
    <n v="12"/>
    <x v="8"/>
  </r>
  <r>
    <d v="2017-09-13T00:00:00"/>
    <s v="Anna"/>
    <s v="Kraska"/>
    <n v="5"/>
    <x v="8"/>
  </r>
  <r>
    <d v="2017-09-13T00:00:00"/>
    <s v="Marzena"/>
    <s v="Parasiewicz"/>
    <n v="5"/>
    <x v="8"/>
  </r>
  <r>
    <d v="2017-09-13T00:00:00"/>
    <s v="Maja"/>
    <s v="Lange"/>
    <n v="19"/>
    <x v="8"/>
  </r>
  <r>
    <d v="2017-09-13T00:00:00"/>
    <s v="Wieslawa"/>
    <s v="Biczysko"/>
    <n v="8"/>
    <x v="8"/>
  </r>
  <r>
    <d v="2017-09-13T00:00:00"/>
    <s v="Arleta"/>
    <s v="Pawlik"/>
    <n v="8"/>
    <x v="8"/>
  </r>
  <r>
    <d v="2017-09-13T00:00:00"/>
    <s v="Agnieszka"/>
    <s v="Matusik"/>
    <n v="56"/>
    <x v="8"/>
  </r>
  <r>
    <d v="2017-09-13T00:00:00"/>
    <s v="Jakub"/>
    <s v="Waniek"/>
    <n v="8"/>
    <x v="8"/>
  </r>
  <r>
    <d v="2017-09-14T00:00:00"/>
    <s v="Jan"/>
    <s v="Pietraszczyk"/>
    <n v="25"/>
    <x v="8"/>
  </r>
  <r>
    <d v="2017-09-14T00:00:00"/>
    <s v="Barbara"/>
    <s v="Podobinska"/>
    <n v="23"/>
    <x v="8"/>
  </r>
  <r>
    <d v="2017-09-14T00:00:00"/>
    <s v="Maja"/>
    <s v="Kwidczynska"/>
    <n v="33"/>
    <x v="8"/>
  </r>
  <r>
    <d v="2017-09-14T00:00:00"/>
    <s v="Wojciech"/>
    <s v="Maja"/>
    <n v="15"/>
    <x v="8"/>
  </r>
  <r>
    <d v="2017-09-14T00:00:00"/>
    <s v="Joanna"/>
    <s v="Zygmunt"/>
    <n v="16"/>
    <x v="8"/>
  </r>
  <r>
    <d v="2017-09-14T00:00:00"/>
    <s v="Kamil"/>
    <s v="Waniek"/>
    <n v="29"/>
    <x v="8"/>
  </r>
  <r>
    <d v="2017-09-14T00:00:00"/>
    <s v="Irena"/>
    <s v="Banasiewicz"/>
    <n v="2"/>
    <x v="8"/>
  </r>
  <r>
    <d v="2017-09-14T00:00:00"/>
    <s v="Grzegorz"/>
    <s v="Wojtowicz"/>
    <n v="15"/>
    <x v="8"/>
  </r>
  <r>
    <d v="2017-09-14T00:00:00"/>
    <s v="Pawel"/>
    <s v="Nowak"/>
    <n v="17"/>
    <x v="8"/>
  </r>
  <r>
    <d v="2017-09-14T00:00:00"/>
    <s v="Piotr"/>
    <s v="Flis"/>
    <n v="54"/>
    <x v="8"/>
  </r>
  <r>
    <d v="2017-09-14T00:00:00"/>
    <s v="Weronika"/>
    <s v="Zdroj"/>
    <n v="38"/>
    <x v="8"/>
  </r>
  <r>
    <d v="2017-09-14T00:00:00"/>
    <s v="Krzysztof"/>
    <s v="Madejski"/>
    <n v="9"/>
    <x v="8"/>
  </r>
  <r>
    <d v="2017-09-14T00:00:00"/>
    <s v="Adrian"/>
    <s v="Zawisza"/>
    <n v="3"/>
    <x v="8"/>
  </r>
  <r>
    <d v="2017-09-14T00:00:00"/>
    <s v="Adam"/>
    <s v="Susel"/>
    <n v="17"/>
    <x v="8"/>
  </r>
  <r>
    <d v="2017-09-15T00:00:00"/>
    <s v="Zenon"/>
    <s v="Zbych"/>
    <n v="12"/>
    <x v="8"/>
  </r>
  <r>
    <d v="2017-09-15T00:00:00"/>
    <s v="Patrycja"/>
    <s v="Dzban"/>
    <n v="28"/>
    <x v="8"/>
  </r>
  <r>
    <d v="2017-09-15T00:00:00"/>
    <s v="Wojciech"/>
    <s v="Filipowicz"/>
    <n v="4"/>
    <x v="8"/>
  </r>
  <r>
    <d v="2017-09-15T00:00:00"/>
    <s v="Maksymilian"/>
    <s v="Lewita"/>
    <n v="5"/>
    <x v="8"/>
  </r>
  <r>
    <d v="2017-09-15T00:00:00"/>
    <s v="Bartosz"/>
    <s v="Debicki"/>
    <n v="30"/>
    <x v="8"/>
  </r>
  <r>
    <d v="2017-09-15T00:00:00"/>
    <s v="Anna"/>
    <s v="Tomaszewska"/>
    <n v="40"/>
    <x v="8"/>
  </r>
  <r>
    <d v="2017-09-15T00:00:00"/>
    <s v="Karolina"/>
    <s v="Karpacka"/>
    <n v="10"/>
    <x v="8"/>
  </r>
  <r>
    <d v="2017-09-15T00:00:00"/>
    <s v="Maksymilian"/>
    <s v="Piwko"/>
    <n v="20"/>
    <x v="8"/>
  </r>
  <r>
    <d v="2017-09-15T00:00:00"/>
    <s v="Krzysztof"/>
    <s v="Dwa"/>
    <n v="12"/>
    <x v="8"/>
  </r>
  <r>
    <d v="2017-09-15T00:00:00"/>
    <s v="Marcin"/>
    <s v="Tabaka"/>
    <n v="9"/>
    <x v="8"/>
  </r>
  <r>
    <d v="2017-09-15T00:00:00"/>
    <s v="Monika"/>
    <s v="Lis"/>
    <n v="46"/>
    <x v="8"/>
  </r>
  <r>
    <d v="2017-09-15T00:00:00"/>
    <s v="Magdalena"/>
    <s v="Bach"/>
    <n v="30"/>
    <x v="8"/>
  </r>
  <r>
    <d v="2017-09-15T00:00:00"/>
    <s v="Wieslawa"/>
    <s v="Nowak"/>
    <n v="25"/>
    <x v="8"/>
  </r>
  <r>
    <d v="2017-09-15T00:00:00"/>
    <s v="Anna"/>
    <s v="Janowska"/>
    <n v="25"/>
    <x v="8"/>
  </r>
  <r>
    <d v="2017-09-18T00:00:00"/>
    <s v="Jacek"/>
    <s v="Szypulski"/>
    <n v="15"/>
    <x v="8"/>
  </r>
  <r>
    <d v="2017-09-18T00:00:00"/>
    <s v="Natalia"/>
    <s v="Olkuska"/>
    <n v="8"/>
    <x v="8"/>
  </r>
  <r>
    <d v="2017-09-18T00:00:00"/>
    <s v="Monika"/>
    <s v="Bialkowska"/>
    <n v="8"/>
    <x v="8"/>
  </r>
  <r>
    <d v="2017-09-18T00:00:00"/>
    <s v="Jan"/>
    <s v="Pistek"/>
    <n v="20"/>
    <x v="8"/>
  </r>
  <r>
    <d v="2017-09-18T00:00:00"/>
    <s v="Borys"/>
    <s v="Biedal"/>
    <n v="53"/>
    <x v="8"/>
  </r>
  <r>
    <d v="2017-09-18T00:00:00"/>
    <s v="Kamila"/>
    <s v="Kot"/>
    <n v="50"/>
    <x v="8"/>
  </r>
  <r>
    <d v="2017-09-18T00:00:00"/>
    <s v="Adrian"/>
    <s v="Wydrzynski"/>
    <n v="52"/>
    <x v="8"/>
  </r>
  <r>
    <d v="2017-09-18T00:00:00"/>
    <s v="Joanna"/>
    <s v="Traugut"/>
    <n v="12"/>
    <x v="8"/>
  </r>
  <r>
    <d v="2017-09-18T00:00:00"/>
    <s v="Karol"/>
    <s v="Walasz"/>
    <n v="14"/>
    <x v="8"/>
  </r>
  <r>
    <d v="2017-09-18T00:00:00"/>
    <s v="Ewa"/>
    <s v="Czerwinska"/>
    <n v="12"/>
    <x v="8"/>
  </r>
  <r>
    <d v="2017-09-18T00:00:00"/>
    <s v="Jerzy"/>
    <s v="Polanicki"/>
    <n v="27"/>
    <x v="8"/>
  </r>
  <r>
    <d v="2017-09-18T00:00:00"/>
    <s v="Magdalena"/>
    <s v="Bach"/>
    <n v="25"/>
    <x v="8"/>
  </r>
  <r>
    <d v="2017-09-19T00:00:00"/>
    <s v="Radoslaw"/>
    <s v="Sowinska"/>
    <n v="29"/>
    <x v="8"/>
  </r>
  <r>
    <d v="2017-09-19T00:00:00"/>
    <s v="Milena"/>
    <s v="Karolewska"/>
    <n v="54"/>
    <x v="8"/>
  </r>
  <r>
    <d v="2017-09-19T00:00:00"/>
    <s v="Mateusz"/>
    <s v="Kornatowski"/>
    <n v="10"/>
    <x v="8"/>
  </r>
  <r>
    <d v="2017-09-19T00:00:00"/>
    <s v="Maciej"/>
    <s v="Bugaj"/>
    <n v="28"/>
    <x v="8"/>
  </r>
  <r>
    <d v="2017-09-19T00:00:00"/>
    <s v="Olgierd"/>
    <s v="Baranek"/>
    <n v="7"/>
    <x v="8"/>
  </r>
  <r>
    <d v="2017-09-19T00:00:00"/>
    <s v="Jan"/>
    <s v="Adamowicz"/>
    <n v="18"/>
    <x v="8"/>
  </r>
  <r>
    <d v="2017-09-19T00:00:00"/>
    <s v="Joanna"/>
    <s v="Senger"/>
    <n v="10"/>
    <x v="8"/>
  </r>
  <r>
    <d v="2017-09-19T00:00:00"/>
    <s v="Jerzy"/>
    <s v="Czajkowski"/>
    <n v="24"/>
    <x v="8"/>
  </r>
  <r>
    <d v="2017-09-19T00:00:00"/>
    <s v="Filip"/>
    <s v="Stanulewicz"/>
    <n v="19"/>
    <x v="8"/>
  </r>
  <r>
    <d v="2017-09-19T00:00:00"/>
    <s v="Beata"/>
    <s v="Mirowska"/>
    <n v="28"/>
    <x v="8"/>
  </r>
  <r>
    <d v="2017-09-19T00:00:00"/>
    <s v="Krzysztof"/>
    <s v="Wilecki"/>
    <n v="5"/>
    <x v="8"/>
  </r>
  <r>
    <d v="2017-09-19T00:00:00"/>
    <s v="Lukasz"/>
    <s v="Kopecki"/>
    <n v="17"/>
    <x v="8"/>
  </r>
  <r>
    <d v="2017-09-20T00:00:00"/>
    <s v="Bartosz"/>
    <s v="Mazgaj"/>
    <n v="53"/>
    <x v="8"/>
  </r>
  <r>
    <d v="2017-09-20T00:00:00"/>
    <s v="Witold"/>
    <s v="Sempa"/>
    <n v="5"/>
    <x v="8"/>
  </r>
  <r>
    <d v="2017-09-20T00:00:00"/>
    <s v="Tytus"/>
    <s v="Sulejman"/>
    <n v="35"/>
    <x v="8"/>
  </r>
  <r>
    <d v="2017-09-20T00:00:00"/>
    <s v="Maja"/>
    <s v="Lipka"/>
    <n v="17"/>
    <x v="8"/>
  </r>
  <r>
    <d v="2017-09-20T00:00:00"/>
    <s v="Bartosz"/>
    <s v="Protasow"/>
    <n v="12"/>
    <x v="8"/>
  </r>
  <r>
    <d v="2017-09-20T00:00:00"/>
    <s v="Karol"/>
    <s v="Dziuk"/>
    <n v="28"/>
    <x v="8"/>
  </r>
  <r>
    <d v="2017-09-20T00:00:00"/>
    <s v="Anna"/>
    <s v="Dab"/>
    <n v="47"/>
    <x v="8"/>
  </r>
  <r>
    <d v="2017-09-20T00:00:00"/>
    <s v="Adam"/>
    <s v="Borkowski"/>
    <n v="5"/>
    <x v="8"/>
  </r>
  <r>
    <d v="2017-09-21T00:00:00"/>
    <s v="Jan"/>
    <s v="Pieterson"/>
    <n v="7"/>
    <x v="8"/>
  </r>
  <r>
    <d v="2017-09-21T00:00:00"/>
    <s v="Michal"/>
    <s v="Kieloch"/>
    <n v="52"/>
    <x v="8"/>
  </r>
  <r>
    <d v="2017-09-21T00:00:00"/>
    <s v="Maja"/>
    <s v="Leman"/>
    <n v="50"/>
    <x v="8"/>
  </r>
  <r>
    <d v="2017-09-21T00:00:00"/>
    <s v="Julia"/>
    <s v="Kielecka"/>
    <n v="10"/>
    <x v="8"/>
  </r>
  <r>
    <d v="2017-09-21T00:00:00"/>
    <s v="Albert"/>
    <s v="Pleszewski"/>
    <n v="5"/>
    <x v="8"/>
  </r>
  <r>
    <d v="2017-09-21T00:00:00"/>
    <s v="Karol"/>
    <s v="Wichrowski"/>
    <n v="17"/>
    <x v="8"/>
  </r>
  <r>
    <d v="2017-09-21T00:00:00"/>
    <s v="Maja"/>
    <s v="Kaminska"/>
    <n v="24"/>
    <x v="8"/>
  </r>
  <r>
    <d v="2017-09-21T00:00:00"/>
    <s v="Wiktor"/>
    <s v="Berezniewicz"/>
    <n v="50"/>
    <x v="8"/>
  </r>
  <r>
    <d v="2017-09-22T00:00:00"/>
    <s v="Maria"/>
    <s v="Kowalczyk"/>
    <n v="9"/>
    <x v="8"/>
  </r>
  <r>
    <d v="2017-09-22T00:00:00"/>
    <s v="Jan"/>
    <s v="Jarek"/>
    <n v="6"/>
    <x v="8"/>
  </r>
  <r>
    <d v="2017-09-22T00:00:00"/>
    <s v="Monika"/>
    <s v="Nowaczkiewicz"/>
    <n v="24"/>
    <x v="8"/>
  </r>
  <r>
    <d v="2017-09-22T00:00:00"/>
    <s v="Dominik"/>
    <s v="Szmitko"/>
    <n v="15"/>
    <x v="8"/>
  </r>
  <r>
    <d v="2017-09-22T00:00:00"/>
    <s v="Krzysztof"/>
    <s v="Figurski"/>
    <n v="16"/>
    <x v="8"/>
  </r>
  <r>
    <d v="2017-09-22T00:00:00"/>
    <s v="Anna"/>
    <s v="Wnuk"/>
    <n v="10"/>
    <x v="8"/>
  </r>
  <r>
    <d v="2017-09-22T00:00:00"/>
    <s v="Konrad"/>
    <s v="Jagielski"/>
    <n v="32"/>
    <x v="8"/>
  </r>
  <r>
    <d v="2017-09-22T00:00:00"/>
    <s v="Barbara"/>
    <s v="Karcz"/>
    <n v="24"/>
    <x v="8"/>
  </r>
  <r>
    <d v="2017-09-25T00:00:00"/>
    <s v="Malgorzata"/>
    <s v="Karlowski"/>
    <n v="34"/>
    <x v="8"/>
  </r>
  <r>
    <d v="2017-09-25T00:00:00"/>
    <s v="Marek"/>
    <s v="Leoniuk"/>
    <n v="28"/>
    <x v="8"/>
  </r>
  <r>
    <d v="2017-09-25T00:00:00"/>
    <s v="Anna"/>
    <s v="Trojanowska"/>
    <n v="18"/>
    <x v="8"/>
  </r>
  <r>
    <d v="2017-09-25T00:00:00"/>
    <s v="Izabela"/>
    <s v="Draszczyk"/>
    <n v="19"/>
    <x v="8"/>
  </r>
  <r>
    <d v="2017-09-25T00:00:00"/>
    <s v="Lukasz"/>
    <s v="Kot"/>
    <n v="7"/>
    <x v="8"/>
  </r>
  <r>
    <d v="2017-09-25T00:00:00"/>
    <s v="Beata"/>
    <s v="Mirowska"/>
    <n v="29"/>
    <x v="8"/>
  </r>
  <r>
    <d v="2017-09-25T00:00:00"/>
    <s v="Krzysztof"/>
    <s v="Kukulski"/>
    <n v="56"/>
    <x v="8"/>
  </r>
  <r>
    <d v="2017-09-25T00:00:00"/>
    <s v="Magdalena"/>
    <s v="Nowak"/>
    <n v="11"/>
    <x v="8"/>
  </r>
  <r>
    <d v="2017-09-26T00:00:00"/>
    <s v="Antoni"/>
    <s v="Sobieski"/>
    <n v="33"/>
    <x v="8"/>
  </r>
  <r>
    <d v="2017-09-26T00:00:00"/>
    <s v="Patrycja"/>
    <s v="Dzban"/>
    <n v="5"/>
    <x v="8"/>
  </r>
  <r>
    <d v="2017-09-26T00:00:00"/>
    <s v="Emilia"/>
    <s v="Mroczek"/>
    <n v="25"/>
    <x v="8"/>
  </r>
  <r>
    <d v="2017-09-26T00:00:00"/>
    <s v="Ilona"/>
    <s v="Lukaszewska"/>
    <n v="10"/>
    <x v="8"/>
  </r>
  <r>
    <d v="2017-09-26T00:00:00"/>
    <s v="Ewelina"/>
    <s v="Bialkowska"/>
    <n v="18"/>
    <x v="8"/>
  </r>
  <r>
    <d v="2017-09-26T00:00:00"/>
    <s v="Julia"/>
    <s v="Sadowska"/>
    <n v="26"/>
    <x v="8"/>
  </r>
  <r>
    <d v="2017-09-26T00:00:00"/>
    <s v="Janusz"/>
    <s v="Baka"/>
    <n v="12"/>
    <x v="8"/>
  </r>
  <r>
    <d v="2017-09-26T00:00:00"/>
    <s v="Teodor"/>
    <s v="Nowak"/>
    <n v="22"/>
    <x v="8"/>
  </r>
  <r>
    <d v="2017-09-27T00:00:00"/>
    <s v="Pawel"/>
    <s v="Bolkowski"/>
    <n v="19"/>
    <x v="8"/>
  </r>
  <r>
    <d v="2017-09-27T00:00:00"/>
    <s v="Maciej"/>
    <s v="Bugaj"/>
    <n v="5"/>
    <x v="8"/>
  </r>
  <r>
    <d v="2017-09-27T00:00:00"/>
    <s v="Krzysztof"/>
    <s v="Wloch"/>
    <n v="7"/>
    <x v="8"/>
  </r>
  <r>
    <d v="2017-09-27T00:00:00"/>
    <s v="Agnieszka"/>
    <s v="Matusik"/>
    <n v="28"/>
    <x v="8"/>
  </r>
  <r>
    <d v="2017-09-27T00:00:00"/>
    <s v="Wojciech"/>
    <s v="Kulakowski"/>
    <n v="53"/>
    <x v="8"/>
  </r>
  <r>
    <d v="2017-09-27T00:00:00"/>
    <s v="Mariusz"/>
    <s v="Mrowiec"/>
    <n v="28"/>
    <x v="8"/>
  </r>
  <r>
    <d v="2017-09-27T00:00:00"/>
    <s v="Radoslaw"/>
    <s v="Sowinska"/>
    <n v="17"/>
    <x v="8"/>
  </r>
  <r>
    <d v="2017-09-27T00:00:00"/>
    <s v="Joanna"/>
    <s v="Kopacki"/>
    <n v="20"/>
    <x v="8"/>
  </r>
  <r>
    <d v="2017-09-28T00:00:00"/>
    <s v="Patrycja"/>
    <s v="Rzeszowska"/>
    <n v="50"/>
    <x v="8"/>
  </r>
  <r>
    <d v="2017-09-28T00:00:00"/>
    <s v="Stanislaw"/>
    <s v="Derek"/>
    <n v="15"/>
    <x v="8"/>
  </r>
  <r>
    <d v="2017-09-28T00:00:00"/>
    <s v="Karol"/>
    <s v="Wojciechowski"/>
    <n v="27"/>
    <x v="8"/>
  </r>
  <r>
    <d v="2017-09-28T00:00:00"/>
    <s v="Mateusz"/>
    <s v="Kowalczyk"/>
    <n v="2"/>
    <x v="8"/>
  </r>
  <r>
    <d v="2017-09-28T00:00:00"/>
    <s v="Kamil"/>
    <s v="Naderka"/>
    <n v="17"/>
    <x v="8"/>
  </r>
  <r>
    <d v="2017-09-28T00:00:00"/>
    <s v="Angelika"/>
    <s v="Walaszek"/>
    <n v="53"/>
    <x v="8"/>
  </r>
  <r>
    <d v="2017-09-28T00:00:00"/>
    <s v="Jan"/>
    <s v="Adamowicz"/>
    <n v="30"/>
    <x v="8"/>
  </r>
  <r>
    <d v="2017-09-28T00:00:00"/>
    <s v="Karolina"/>
    <s v="Pawelska"/>
    <n v="7"/>
    <x v="8"/>
  </r>
  <r>
    <d v="2017-09-29T00:00:00"/>
    <s v="Jan"/>
    <s v="Zdunski"/>
    <n v="15"/>
    <x v="8"/>
  </r>
  <r>
    <d v="2017-09-29T00:00:00"/>
    <s v="Natalia"/>
    <s v="Knap"/>
    <n v="55"/>
    <x v="8"/>
  </r>
  <r>
    <d v="2017-09-29T00:00:00"/>
    <s v="Radoslaw"/>
    <s v="Sowinska"/>
    <n v="39"/>
    <x v="8"/>
  </r>
  <r>
    <d v="2017-09-29T00:00:00"/>
    <s v="Krzysztof"/>
    <s v="Czyz"/>
    <n v="18"/>
    <x v="8"/>
  </r>
  <r>
    <d v="2017-09-29T00:00:00"/>
    <s v="Alicja"/>
    <s v="Walentowicz"/>
    <n v="9"/>
    <x v="8"/>
  </r>
  <r>
    <d v="2017-09-29T00:00:00"/>
    <s v="Tomasz"/>
    <s v="Tytan"/>
    <n v="55"/>
    <x v="8"/>
  </r>
  <r>
    <d v="2017-09-29T00:00:00"/>
    <s v="Janusz"/>
    <s v="Baka"/>
    <n v="24"/>
    <x v="8"/>
  </r>
  <r>
    <d v="2017-09-29T00:00:00"/>
    <s v="Janusz"/>
    <s v="Wrobel"/>
    <n v="52"/>
    <x v="8"/>
  </r>
  <r>
    <d v="2017-10-02T00:00:00"/>
    <s v="Tomasz"/>
    <s v="Borkowski"/>
    <n v="42"/>
    <x v="9"/>
  </r>
  <r>
    <d v="2017-10-02T00:00:00"/>
    <s v="Lukasz"/>
    <s v="Niedziela"/>
    <n v="16"/>
    <x v="9"/>
  </r>
  <r>
    <d v="2017-10-02T00:00:00"/>
    <s v="Julia"/>
    <s v="Samulczyk"/>
    <n v="43"/>
    <x v="9"/>
  </r>
  <r>
    <d v="2017-10-02T00:00:00"/>
    <s v="Alicja"/>
    <s v="Chmiel"/>
    <n v="55"/>
    <x v="9"/>
  </r>
  <r>
    <d v="2017-10-02T00:00:00"/>
    <s v="Pawel"/>
    <s v="Macherzynski"/>
    <n v="45"/>
    <x v="9"/>
  </r>
  <r>
    <d v="2017-10-02T00:00:00"/>
    <s v="Konrad"/>
    <s v="Lipowski"/>
    <n v="25"/>
    <x v="9"/>
  </r>
  <r>
    <d v="2017-10-03T00:00:00"/>
    <s v="Dominika"/>
    <s v="Szwec"/>
    <n v="28"/>
    <x v="9"/>
  </r>
  <r>
    <d v="2017-10-03T00:00:00"/>
    <s v="Ryszarda"/>
    <s v="Januszek"/>
    <n v="14"/>
    <x v="9"/>
  </r>
  <r>
    <d v="2017-10-03T00:00:00"/>
    <s v="Irena"/>
    <s v="Piotrowska"/>
    <n v="26"/>
    <x v="9"/>
  </r>
  <r>
    <d v="2017-10-03T00:00:00"/>
    <s v="Marta"/>
    <s v="Robak"/>
    <n v="21"/>
    <x v="9"/>
  </r>
  <r>
    <d v="2017-10-03T00:00:00"/>
    <s v="Piotr"/>
    <s v="Polkowicki"/>
    <n v="14"/>
    <x v="9"/>
  </r>
  <r>
    <d v="2017-10-03T00:00:00"/>
    <s v="Laura"/>
    <s v="Chmielewska"/>
    <n v="36"/>
    <x v="9"/>
  </r>
  <r>
    <d v="2017-10-04T00:00:00"/>
    <s v="Andrzej"/>
    <s v="Tysz"/>
    <n v="3"/>
    <x v="9"/>
  </r>
  <r>
    <d v="2017-10-04T00:00:00"/>
    <s v="Angelika"/>
    <s v="Walaszek"/>
    <n v="11"/>
    <x v="9"/>
  </r>
  <r>
    <d v="2017-10-04T00:00:00"/>
    <s v="Mariusz"/>
    <s v="Brydzinski"/>
    <n v="49"/>
    <x v="9"/>
  </r>
  <r>
    <d v="2017-10-04T00:00:00"/>
    <s v="Nadia"/>
    <s v="Jurewicz"/>
    <n v="16"/>
    <x v="9"/>
  </r>
  <r>
    <d v="2017-10-04T00:00:00"/>
    <s v="Andrzej"/>
    <s v="Zbieg"/>
    <n v="26"/>
    <x v="9"/>
  </r>
  <r>
    <d v="2017-10-04T00:00:00"/>
    <s v="Piotr"/>
    <s v="Dzierzak"/>
    <n v="50"/>
    <x v="9"/>
  </r>
  <r>
    <d v="2017-10-05T00:00:00"/>
    <s v="Jacek"/>
    <s v="Chojnacki"/>
    <n v="19"/>
    <x v="9"/>
  </r>
  <r>
    <d v="2017-10-05T00:00:00"/>
    <s v="Anita"/>
    <s v="Woloszyn"/>
    <n v="27"/>
    <x v="9"/>
  </r>
  <r>
    <d v="2017-10-05T00:00:00"/>
    <s v="Krzysztof"/>
    <s v="Konieckiewicz"/>
    <n v="2"/>
    <x v="9"/>
  </r>
  <r>
    <d v="2017-10-05T00:00:00"/>
    <s v="Ignacy"/>
    <s v="Sarnowski"/>
    <n v="15"/>
    <x v="9"/>
  </r>
  <r>
    <d v="2017-10-05T00:00:00"/>
    <s v="Jan"/>
    <s v="Sznuk"/>
    <n v="3"/>
    <x v="9"/>
  </r>
  <r>
    <d v="2017-10-05T00:00:00"/>
    <s v="Anita"/>
    <s v="Tych"/>
    <n v="56"/>
    <x v="9"/>
  </r>
  <r>
    <d v="2017-10-06T00:00:00"/>
    <s v="Daria"/>
    <s v="Witkowska"/>
    <n v="36"/>
    <x v="9"/>
  </r>
  <r>
    <d v="2017-10-06T00:00:00"/>
    <s v="Lidia"/>
    <s v="Tarnowska"/>
    <n v="32"/>
    <x v="9"/>
  </r>
  <r>
    <d v="2017-10-06T00:00:00"/>
    <s v="Kamila"/>
    <s v="Kot"/>
    <n v="50"/>
    <x v="9"/>
  </r>
  <r>
    <d v="2017-10-06T00:00:00"/>
    <s v="Krystyna"/>
    <s v="Szybki"/>
    <n v="26"/>
    <x v="9"/>
  </r>
  <r>
    <d v="2017-10-06T00:00:00"/>
    <s v="Maciej"/>
    <s v="Wodecki"/>
    <n v="13"/>
    <x v="9"/>
  </r>
  <r>
    <d v="2017-10-06T00:00:00"/>
    <s v="Marta"/>
    <s v="Wiosna"/>
    <n v="2"/>
    <x v="9"/>
  </r>
  <r>
    <d v="2017-10-09T00:00:00"/>
    <s v="Lena"/>
    <s v="Mazurkiewicz"/>
    <n v="11"/>
    <x v="9"/>
  </r>
  <r>
    <d v="2017-10-09T00:00:00"/>
    <s v="Jan"/>
    <s v="Madawik"/>
    <n v="19"/>
    <x v="9"/>
  </r>
  <r>
    <d v="2017-10-09T00:00:00"/>
    <s v="Aleksandra"/>
    <s v="Donata"/>
    <n v="23"/>
    <x v="9"/>
  </r>
  <r>
    <d v="2017-10-09T00:00:00"/>
    <s v="Adam"/>
    <s v="Madejski"/>
    <n v="22"/>
    <x v="9"/>
  </r>
  <r>
    <d v="2017-10-09T00:00:00"/>
    <s v="Dominik"/>
    <s v="Szmitko"/>
    <n v="19"/>
    <x v="9"/>
  </r>
  <r>
    <d v="2017-10-09T00:00:00"/>
    <s v="Jan"/>
    <s v="Zajac"/>
    <n v="5"/>
    <x v="9"/>
  </r>
  <r>
    <d v="2017-10-10T00:00:00"/>
    <s v="Pawel"/>
    <s v="Furmaniak"/>
    <n v="10"/>
    <x v="9"/>
  </r>
  <r>
    <d v="2017-10-10T00:00:00"/>
    <s v="Krzysztof"/>
    <s v="Wilecki"/>
    <n v="13"/>
    <x v="9"/>
  </r>
  <r>
    <d v="2017-10-10T00:00:00"/>
    <s v="Nadia"/>
    <s v="Jurewicz"/>
    <n v="12"/>
    <x v="9"/>
  </r>
  <r>
    <d v="2017-10-10T00:00:00"/>
    <s v="Karol"/>
    <s v="Wichrowski"/>
    <n v="25"/>
    <x v="9"/>
  </r>
  <r>
    <d v="2017-10-10T00:00:00"/>
    <s v="Anna"/>
    <s v="Adamska"/>
    <n v="25"/>
    <x v="9"/>
  </r>
  <r>
    <d v="2017-10-10T00:00:00"/>
    <s v="Inka"/>
    <s v="Sochacka"/>
    <n v="9"/>
    <x v="9"/>
  </r>
  <r>
    <d v="2017-10-11T00:00:00"/>
    <s v="Karol"/>
    <s v="Dziuk"/>
    <n v="17"/>
    <x v="9"/>
  </r>
  <r>
    <d v="2017-10-11T00:00:00"/>
    <s v="Stefan"/>
    <s v="Bajer"/>
    <n v="26"/>
    <x v="9"/>
  </r>
  <r>
    <d v="2017-10-11T00:00:00"/>
    <s v="Mateusz"/>
    <s v="Kaczorowski"/>
    <n v="44"/>
    <x v="9"/>
  </r>
  <r>
    <d v="2017-10-11T00:00:00"/>
    <s v="Adam"/>
    <s v="Susel"/>
    <n v="31"/>
    <x v="9"/>
  </r>
  <r>
    <d v="2017-10-11T00:00:00"/>
    <s v="Marian"/>
    <s v="Bukalski"/>
    <n v="6"/>
    <x v="9"/>
  </r>
  <r>
    <d v="2017-10-11T00:00:00"/>
    <s v="Jerzy"/>
    <s v="Szklarski"/>
    <n v="14"/>
    <x v="9"/>
  </r>
  <r>
    <d v="2017-10-12T00:00:00"/>
    <s v="Protazy"/>
    <s v="Warszawski"/>
    <n v="5"/>
    <x v="9"/>
  </r>
  <r>
    <d v="2017-10-12T00:00:00"/>
    <s v="Lukasz"/>
    <s v="Kot"/>
    <n v="21"/>
    <x v="9"/>
  </r>
  <r>
    <d v="2017-10-12T00:00:00"/>
    <s v="Filip"/>
    <s v="Strupiechowski"/>
    <n v="4"/>
    <x v="9"/>
  </r>
  <r>
    <d v="2017-10-12T00:00:00"/>
    <s v="Barbara"/>
    <s v="Bury"/>
    <n v="51"/>
    <x v="9"/>
  </r>
  <r>
    <d v="2017-10-12T00:00:00"/>
    <s v="Henryk"/>
    <s v="Polarek"/>
    <n v="27"/>
    <x v="9"/>
  </r>
  <r>
    <d v="2017-10-12T00:00:00"/>
    <s v="Roksana"/>
    <s v="Frankowska"/>
    <n v="15"/>
    <x v="9"/>
  </r>
  <r>
    <d v="2017-10-13T00:00:00"/>
    <s v="Agnieszka"/>
    <s v="Bujak"/>
    <n v="15"/>
    <x v="9"/>
  </r>
  <r>
    <d v="2017-10-13T00:00:00"/>
    <s v="Jaroslaw"/>
    <s v="Kopiec"/>
    <n v="13"/>
    <x v="9"/>
  </r>
  <r>
    <d v="2017-10-13T00:00:00"/>
    <s v="Joanna"/>
    <s v="Wrobel"/>
    <n v="22"/>
    <x v="9"/>
  </r>
  <r>
    <d v="2017-10-13T00:00:00"/>
    <s v="Krzysztof"/>
    <s v="Konieckiewicz"/>
    <n v="16"/>
    <x v="9"/>
  </r>
  <r>
    <d v="2017-10-13T00:00:00"/>
    <s v="Anna"/>
    <s v="Tomaszewska"/>
    <n v="9"/>
    <x v="9"/>
  </r>
  <r>
    <d v="2017-10-13T00:00:00"/>
    <s v="Mariusz"/>
    <s v="Mrowiec"/>
    <n v="8"/>
    <x v="9"/>
  </r>
  <r>
    <d v="2017-10-16T00:00:00"/>
    <s v="Maria"/>
    <s v="Gatek"/>
    <n v="5"/>
    <x v="9"/>
  </r>
  <r>
    <d v="2017-10-16T00:00:00"/>
    <s v="Agnieszka"/>
    <s v="Mala"/>
    <n v="10"/>
    <x v="9"/>
  </r>
  <r>
    <d v="2017-10-16T00:00:00"/>
    <s v="Jerzy"/>
    <s v="Czajkowski"/>
    <n v="29"/>
    <x v="9"/>
  </r>
  <r>
    <d v="2017-10-16T00:00:00"/>
    <s v="Anna"/>
    <s v="Tycz"/>
    <n v="20"/>
    <x v="9"/>
  </r>
  <r>
    <d v="2017-10-16T00:00:00"/>
    <s v="Piotr"/>
    <s v="Flis"/>
    <n v="11"/>
    <x v="9"/>
  </r>
  <r>
    <d v="2017-10-16T00:00:00"/>
    <s v="Lukasz"/>
    <s v="Czarnecki"/>
    <n v="45"/>
    <x v="9"/>
  </r>
  <r>
    <d v="2017-10-16T00:00:00"/>
    <s v="Ryszarda"/>
    <s v="Januszek"/>
    <n v="9"/>
    <x v="9"/>
  </r>
  <r>
    <d v="2017-10-16T00:00:00"/>
    <s v="Aleks"/>
    <s v="Wojcicki"/>
    <n v="15"/>
    <x v="9"/>
  </r>
  <r>
    <d v="2017-10-16T00:00:00"/>
    <s v="Stanislaw"/>
    <s v="Dabrowski"/>
    <n v="6"/>
    <x v="9"/>
  </r>
  <r>
    <d v="2017-10-16T00:00:00"/>
    <s v="Joanna"/>
    <s v="Janas"/>
    <n v="13"/>
    <x v="9"/>
  </r>
  <r>
    <d v="2017-10-16T00:00:00"/>
    <s v="Monika"/>
    <s v="Lis"/>
    <n v="7"/>
    <x v="9"/>
  </r>
  <r>
    <d v="2017-10-16T00:00:00"/>
    <s v="Karol"/>
    <s v="Walasz"/>
    <n v="34"/>
    <x v="9"/>
  </r>
  <r>
    <d v="2017-10-16T00:00:00"/>
    <s v="Kinga"/>
    <s v="Trawinska"/>
    <n v="4"/>
    <x v="9"/>
  </r>
  <r>
    <d v="2017-10-16T00:00:00"/>
    <s v="Adam"/>
    <s v="Susel"/>
    <n v="17"/>
    <x v="9"/>
  </r>
  <r>
    <d v="2017-10-17T00:00:00"/>
    <s v="Bruno"/>
    <s v="Tomaszewski"/>
    <n v="5"/>
    <x v="9"/>
  </r>
  <r>
    <d v="2017-10-17T00:00:00"/>
    <s v="Maciej"/>
    <s v="Wodecki"/>
    <n v="9"/>
    <x v="9"/>
  </r>
  <r>
    <d v="2017-10-17T00:00:00"/>
    <s v="Alicja"/>
    <s v="Gadek"/>
    <n v="12"/>
    <x v="9"/>
  </r>
  <r>
    <d v="2017-10-17T00:00:00"/>
    <s v="Anna"/>
    <s v="Zender"/>
    <n v="22"/>
    <x v="9"/>
  </r>
  <r>
    <d v="2017-10-17T00:00:00"/>
    <s v="Kacper"/>
    <s v="Niec"/>
    <n v="4"/>
    <x v="9"/>
  </r>
  <r>
    <d v="2017-10-17T00:00:00"/>
    <s v="Ilona"/>
    <s v="Lukaszewska"/>
    <n v="12"/>
    <x v="9"/>
  </r>
  <r>
    <d v="2017-10-17T00:00:00"/>
    <s v="Anna"/>
    <s v="Wnuk"/>
    <n v="5"/>
    <x v="9"/>
  </r>
  <r>
    <d v="2017-10-17T00:00:00"/>
    <s v="Kornelia"/>
    <s v="Nowakowska"/>
    <n v="9"/>
    <x v="9"/>
  </r>
  <r>
    <d v="2017-10-17T00:00:00"/>
    <s v="Maciej"/>
    <s v="Machalski"/>
    <n v="8"/>
    <x v="9"/>
  </r>
  <r>
    <d v="2017-10-17T00:00:00"/>
    <s v="Leon"/>
    <s v="Szybki"/>
    <n v="25"/>
    <x v="9"/>
  </r>
  <r>
    <d v="2017-10-17T00:00:00"/>
    <s v="Adam"/>
    <s v="Zega"/>
    <n v="2"/>
    <x v="9"/>
  </r>
  <r>
    <d v="2017-10-17T00:00:00"/>
    <s v="Jan"/>
    <s v="Jarek"/>
    <n v="22"/>
    <x v="9"/>
  </r>
  <r>
    <d v="2017-10-17T00:00:00"/>
    <s v="Adam"/>
    <s v="Madejski"/>
    <n v="23"/>
    <x v="9"/>
  </r>
  <r>
    <d v="2017-10-17T00:00:00"/>
    <s v="Zofia"/>
    <s v="Barak"/>
    <n v="14"/>
    <x v="9"/>
  </r>
  <r>
    <d v="2017-10-17T00:00:00"/>
    <s v="Jakub"/>
    <s v="Radomski"/>
    <n v="7"/>
    <x v="9"/>
  </r>
  <r>
    <d v="2017-10-18T00:00:00"/>
    <s v="Joanna"/>
    <s v="Oleksiak"/>
    <n v="37"/>
    <x v="9"/>
  </r>
  <r>
    <d v="2017-10-18T00:00:00"/>
    <s v="Julia"/>
    <s v="Samulczyk"/>
    <n v="18"/>
    <x v="9"/>
  </r>
  <r>
    <d v="2017-10-18T00:00:00"/>
    <s v="Tomasz"/>
    <s v="Hajdi"/>
    <n v="7"/>
    <x v="9"/>
  </r>
  <r>
    <d v="2017-10-18T00:00:00"/>
    <s v="Ewaryst"/>
    <s v="Zdunek"/>
    <n v="24"/>
    <x v="9"/>
  </r>
  <r>
    <d v="2017-10-18T00:00:00"/>
    <s v="Andrzej"/>
    <s v="Augustowski"/>
    <n v="2"/>
    <x v="9"/>
  </r>
  <r>
    <d v="2017-10-18T00:00:00"/>
    <s v="Joanna"/>
    <s v="Kopacki"/>
    <n v="16"/>
    <x v="9"/>
  </r>
  <r>
    <d v="2017-10-18T00:00:00"/>
    <s v="Ryszarda"/>
    <s v="Januszek"/>
    <n v="11"/>
    <x v="9"/>
  </r>
  <r>
    <d v="2017-10-18T00:00:00"/>
    <s v="Wiera"/>
    <s v="Nowak"/>
    <n v="27"/>
    <x v="9"/>
  </r>
  <r>
    <d v="2017-10-18T00:00:00"/>
    <s v="Marta"/>
    <s v="Wiosna"/>
    <n v="27"/>
    <x v="9"/>
  </r>
  <r>
    <d v="2017-10-18T00:00:00"/>
    <s v="Krzysztof"/>
    <s v="Kukulski"/>
    <n v="42"/>
    <x v="9"/>
  </r>
  <r>
    <d v="2017-10-18T00:00:00"/>
    <s v="Bruno"/>
    <s v="Tomaszewski"/>
    <n v="10"/>
    <x v="9"/>
  </r>
  <r>
    <d v="2017-10-18T00:00:00"/>
    <s v="Monika"/>
    <s v="Trojan"/>
    <n v="28"/>
    <x v="9"/>
  </r>
  <r>
    <d v="2017-10-18T00:00:00"/>
    <s v="Antoni"/>
    <s v="Wierzbicki"/>
    <n v="13"/>
    <x v="9"/>
  </r>
  <r>
    <d v="2017-10-18T00:00:00"/>
    <s v="Edward"/>
    <s v="Snopek"/>
    <n v="29"/>
    <x v="9"/>
  </r>
  <r>
    <d v="2017-10-18T00:00:00"/>
    <s v="Grzegorz"/>
    <s v="Kaminski"/>
    <n v="46"/>
    <x v="9"/>
  </r>
  <r>
    <d v="2017-10-19T00:00:00"/>
    <s v="Borys"/>
    <s v="Winiarski"/>
    <n v="5"/>
    <x v="9"/>
  </r>
  <r>
    <d v="2017-10-19T00:00:00"/>
    <s v="Bruno"/>
    <s v="Tomczyk"/>
    <n v="35"/>
    <x v="9"/>
  </r>
  <r>
    <d v="2017-10-19T00:00:00"/>
    <s v="Anna"/>
    <s v="Trzebiatowska"/>
    <n v="5"/>
    <x v="9"/>
  </r>
  <r>
    <d v="2017-10-19T00:00:00"/>
    <s v="Kacper"/>
    <s v="Pioro"/>
    <n v="35"/>
    <x v="9"/>
  </r>
  <r>
    <d v="2017-10-19T00:00:00"/>
    <s v="Maria"/>
    <s v="Galas"/>
    <n v="8"/>
    <x v="9"/>
  </r>
  <r>
    <d v="2017-10-19T00:00:00"/>
    <s v="Izabela"/>
    <s v="Sobota"/>
    <n v="44"/>
    <x v="9"/>
  </r>
  <r>
    <d v="2017-10-19T00:00:00"/>
    <s v="Izabela"/>
    <s v="Sobota"/>
    <n v="34"/>
    <x v="9"/>
  </r>
  <r>
    <d v="2017-10-19T00:00:00"/>
    <s v="Antoni"/>
    <s v="Pawlus"/>
    <n v="6"/>
    <x v="9"/>
  </r>
  <r>
    <d v="2017-10-19T00:00:00"/>
    <s v="Mariusz"/>
    <s v="Kornik"/>
    <n v="16"/>
    <x v="9"/>
  </r>
  <r>
    <d v="2017-10-19T00:00:00"/>
    <s v="Michal"/>
    <s v="Lenski"/>
    <n v="32"/>
    <x v="9"/>
  </r>
  <r>
    <d v="2017-10-19T00:00:00"/>
    <s v="Julia"/>
    <s v="Wolska"/>
    <n v="35"/>
    <x v="9"/>
  </r>
  <r>
    <d v="2017-10-19T00:00:00"/>
    <s v="Bartosz"/>
    <s v="Tusinski"/>
    <n v="9"/>
    <x v="9"/>
  </r>
  <r>
    <d v="2017-10-19T00:00:00"/>
    <s v="Antoni"/>
    <s v="Wizniewski"/>
    <n v="29"/>
    <x v="9"/>
  </r>
  <r>
    <d v="2017-10-19T00:00:00"/>
    <s v="Dorota"/>
    <s v="Zdun"/>
    <n v="51"/>
    <x v="9"/>
  </r>
  <r>
    <d v="2017-10-20T00:00:00"/>
    <s v="Przemyslaw"/>
    <s v="Widawski"/>
    <n v="14"/>
    <x v="9"/>
  </r>
  <r>
    <d v="2017-10-20T00:00:00"/>
    <s v="Krzysztof"/>
    <s v="Madejski"/>
    <n v="6"/>
    <x v="9"/>
  </r>
  <r>
    <d v="2017-10-20T00:00:00"/>
    <s v="Nikodem"/>
    <s v="Jakubowski"/>
    <n v="7"/>
    <x v="9"/>
  </r>
  <r>
    <d v="2017-10-20T00:00:00"/>
    <s v="Krzysztof"/>
    <s v="Plecien"/>
    <n v="23"/>
    <x v="9"/>
  </r>
  <r>
    <d v="2017-10-20T00:00:00"/>
    <s v="Mateusz"/>
    <s v="Kowalczyk"/>
    <n v="19"/>
    <x v="9"/>
  </r>
  <r>
    <d v="2017-10-20T00:00:00"/>
    <s v="Borys"/>
    <s v="Winiarski"/>
    <n v="9"/>
    <x v="9"/>
  </r>
  <r>
    <d v="2017-10-20T00:00:00"/>
    <s v="Lucja"/>
    <s v="Zych"/>
    <n v="24"/>
    <x v="9"/>
  </r>
  <r>
    <d v="2017-10-20T00:00:00"/>
    <s v="Lidia"/>
    <s v="Goluchowska"/>
    <n v="22"/>
    <x v="9"/>
  </r>
  <r>
    <d v="2017-10-20T00:00:00"/>
    <s v="Maria"/>
    <s v="Kowalczyk"/>
    <n v="22"/>
    <x v="9"/>
  </r>
  <r>
    <d v="2017-10-20T00:00:00"/>
    <s v="Tomasz"/>
    <s v="Ogorek"/>
    <n v="31"/>
    <x v="9"/>
  </r>
  <r>
    <d v="2017-10-20T00:00:00"/>
    <s v="Wojciech"/>
    <s v="Maja"/>
    <n v="4"/>
    <x v="9"/>
  </r>
  <r>
    <d v="2017-10-20T00:00:00"/>
    <s v="Wieslawa"/>
    <s v="Nowak"/>
    <n v="2"/>
    <x v="9"/>
  </r>
  <r>
    <d v="2017-10-20T00:00:00"/>
    <s v="Karolina"/>
    <s v="Bok"/>
    <n v="25"/>
    <x v="9"/>
  </r>
  <r>
    <d v="2017-10-20T00:00:00"/>
    <s v="Tadeusz"/>
    <s v="Stoch"/>
    <n v="17"/>
    <x v="9"/>
  </r>
  <r>
    <d v="2017-10-20T00:00:00"/>
    <s v="Natalia"/>
    <s v="Boryczko"/>
    <n v="6"/>
    <x v="9"/>
  </r>
  <r>
    <d v="2017-10-20T00:00:00"/>
    <s v="Aleksander"/>
    <s v="Pasternak"/>
    <n v="21"/>
    <x v="9"/>
  </r>
  <r>
    <d v="2017-10-20T00:00:00"/>
    <s v="Krzysztof"/>
    <s v="Micun"/>
    <n v="26"/>
    <x v="9"/>
  </r>
  <r>
    <d v="2017-10-23T00:00:00"/>
    <s v="Julian"/>
    <s v="Snopek"/>
    <n v="41"/>
    <x v="9"/>
  </r>
  <r>
    <d v="2017-10-23T00:00:00"/>
    <s v="Julia"/>
    <s v="Zaremba"/>
    <n v="28"/>
    <x v="9"/>
  </r>
  <r>
    <d v="2017-10-23T00:00:00"/>
    <s v="Stanislaw"/>
    <s v="Cieslik"/>
    <n v="11"/>
    <x v="9"/>
  </r>
  <r>
    <d v="2017-10-23T00:00:00"/>
    <s v="Marta"/>
    <s v="Opolska"/>
    <n v="27"/>
    <x v="9"/>
  </r>
  <r>
    <d v="2017-10-23T00:00:00"/>
    <s v="Krzysztof"/>
    <s v="Madejski"/>
    <n v="14"/>
    <x v="9"/>
  </r>
  <r>
    <d v="2017-10-23T00:00:00"/>
    <s v="Ryszard"/>
    <s v="Matusik"/>
    <n v="37"/>
    <x v="9"/>
  </r>
  <r>
    <d v="2017-10-23T00:00:00"/>
    <s v="Marzena"/>
    <s v="Gajek"/>
    <n v="49"/>
    <x v="9"/>
  </r>
  <r>
    <d v="2017-10-23T00:00:00"/>
    <s v="Wieslaw"/>
    <s v="Kasza"/>
    <n v="12"/>
    <x v="9"/>
  </r>
  <r>
    <d v="2017-10-23T00:00:00"/>
    <s v="Helena"/>
    <s v="Stachurska"/>
    <n v="16"/>
    <x v="9"/>
  </r>
  <r>
    <d v="2017-10-23T00:00:00"/>
    <s v="Julia"/>
    <s v="Sadowska"/>
    <n v="20"/>
    <x v="9"/>
  </r>
  <r>
    <d v="2017-10-23T00:00:00"/>
    <s v="Maria"/>
    <s v="Orlicki"/>
    <n v="19"/>
    <x v="9"/>
  </r>
  <r>
    <d v="2017-10-23T00:00:00"/>
    <s v="Milena"/>
    <s v="Karolewska"/>
    <n v="17"/>
    <x v="9"/>
  </r>
  <r>
    <d v="2017-10-23T00:00:00"/>
    <s v="Julian"/>
    <s v="Snopek"/>
    <n v="24"/>
    <x v="9"/>
  </r>
  <r>
    <d v="2017-10-23T00:00:00"/>
    <s v="Bartosz"/>
    <s v="Protasow"/>
    <n v="28"/>
    <x v="9"/>
  </r>
  <r>
    <d v="2017-10-23T00:00:00"/>
    <s v="Adam"/>
    <s v="Zega"/>
    <n v="14"/>
    <x v="9"/>
  </r>
  <r>
    <d v="2017-10-23T00:00:00"/>
    <s v="Malgorzata"/>
    <s v="Winiarska"/>
    <n v="47"/>
    <x v="9"/>
  </r>
  <r>
    <d v="2017-10-23T00:00:00"/>
    <s v="Krzysztof"/>
    <s v="Las"/>
    <n v="6"/>
    <x v="9"/>
  </r>
  <r>
    <d v="2017-10-24T00:00:00"/>
    <s v="Morus"/>
    <s v="Jasiak"/>
    <n v="20"/>
    <x v="9"/>
  </r>
  <r>
    <d v="2017-10-24T00:00:00"/>
    <s v="Kamila"/>
    <s v="Janas"/>
    <n v="9"/>
    <x v="9"/>
  </r>
  <r>
    <d v="2017-10-24T00:00:00"/>
    <s v="Ewa"/>
    <s v="Nowicka"/>
    <n v="43"/>
    <x v="9"/>
  </r>
  <r>
    <d v="2017-10-24T00:00:00"/>
    <s v="Adrian"/>
    <s v="Wydrzynski"/>
    <n v="50"/>
    <x v="9"/>
  </r>
  <r>
    <d v="2017-10-24T00:00:00"/>
    <s v="Jan"/>
    <s v="Gumowski"/>
    <n v="13"/>
    <x v="9"/>
  </r>
  <r>
    <d v="2017-10-24T00:00:00"/>
    <s v="Jerzy"/>
    <s v="Szklarski"/>
    <n v="30"/>
    <x v="9"/>
  </r>
  <r>
    <d v="2017-10-24T00:00:00"/>
    <s v="Michalina"/>
    <s v="Klebba"/>
    <n v="7"/>
    <x v="9"/>
  </r>
  <r>
    <d v="2017-10-24T00:00:00"/>
    <s v="Krzysztof"/>
    <s v="Koncewicz"/>
    <n v="52"/>
    <x v="9"/>
  </r>
  <r>
    <d v="2017-10-24T00:00:00"/>
    <s v="Jan"/>
    <s v="Pistek"/>
    <n v="7"/>
    <x v="9"/>
  </r>
  <r>
    <d v="2017-10-24T00:00:00"/>
    <s v="Dorota"/>
    <s v="Gumowska"/>
    <n v="6"/>
    <x v="9"/>
  </r>
  <r>
    <d v="2017-10-24T00:00:00"/>
    <s v="Maciej"/>
    <s v="Wodecki"/>
    <n v="4"/>
    <x v="9"/>
  </r>
  <r>
    <d v="2017-10-24T00:00:00"/>
    <s v="Bartosz"/>
    <s v="Debicki"/>
    <n v="56"/>
    <x v="9"/>
  </r>
  <r>
    <d v="2017-10-24T00:00:00"/>
    <s v="Lena"/>
    <s v="Marzec"/>
    <n v="54"/>
    <x v="9"/>
  </r>
  <r>
    <d v="2017-10-24T00:00:00"/>
    <s v="Tomasz"/>
    <s v="Zbik"/>
    <n v="10"/>
    <x v="9"/>
  </r>
  <r>
    <d v="2017-10-24T00:00:00"/>
    <s v="Ewa"/>
    <s v="Stoch"/>
    <n v="4"/>
    <x v="9"/>
  </r>
  <r>
    <d v="2017-10-24T00:00:00"/>
    <s v="Edward"/>
    <s v="Snopek"/>
    <n v="27"/>
    <x v="9"/>
  </r>
  <r>
    <d v="2017-10-24T00:00:00"/>
    <s v="Krzysztof"/>
    <s v="Wilecki"/>
    <n v="10"/>
    <x v="9"/>
  </r>
  <r>
    <d v="2017-10-25T00:00:00"/>
    <s v="Jaroslaw"/>
    <s v="Kopytko"/>
    <n v="11"/>
    <x v="9"/>
  </r>
  <r>
    <d v="2017-10-25T00:00:00"/>
    <s v="Filip"/>
    <s v="Strehlke"/>
    <n v="46"/>
    <x v="9"/>
  </r>
  <r>
    <d v="2017-10-25T00:00:00"/>
    <s v="Filip"/>
    <s v="Strupiechowski"/>
    <n v="28"/>
    <x v="9"/>
  </r>
  <r>
    <d v="2017-10-25T00:00:00"/>
    <s v="Wieslawa"/>
    <s v="Biczysko"/>
    <n v="21"/>
    <x v="9"/>
  </r>
  <r>
    <d v="2017-10-25T00:00:00"/>
    <s v="Filip"/>
    <s v="Stanulewicz"/>
    <n v="2"/>
    <x v="9"/>
  </r>
  <r>
    <d v="2017-10-25T00:00:00"/>
    <s v="Bonifacy"/>
    <s v="Pleszewski"/>
    <n v="15"/>
    <x v="9"/>
  </r>
  <r>
    <d v="2017-10-25T00:00:00"/>
    <s v="Natalia"/>
    <s v="Belicka"/>
    <n v="34"/>
    <x v="9"/>
  </r>
  <r>
    <d v="2017-10-25T00:00:00"/>
    <s v="Anna"/>
    <s v="Zender"/>
    <n v="52"/>
    <x v="9"/>
  </r>
  <r>
    <d v="2017-10-25T00:00:00"/>
    <s v="Karolina"/>
    <s v="Karpacka"/>
    <n v="49"/>
    <x v="9"/>
  </r>
  <r>
    <d v="2017-10-25T00:00:00"/>
    <s v="Kacper"/>
    <s v="Nikolajew"/>
    <n v="4"/>
    <x v="9"/>
  </r>
  <r>
    <d v="2017-10-25T00:00:00"/>
    <s v="Ewelina"/>
    <s v="Bialkowska"/>
    <n v="17"/>
    <x v="9"/>
  </r>
  <r>
    <d v="2017-10-25T00:00:00"/>
    <s v="Urszula"/>
    <s v="Engel"/>
    <n v="8"/>
    <x v="9"/>
  </r>
  <r>
    <d v="2017-10-25T00:00:00"/>
    <s v="Agata"/>
    <s v="Zdrojewska"/>
    <n v="39"/>
    <x v="9"/>
  </r>
  <r>
    <d v="2017-10-25T00:00:00"/>
    <s v="Marcin"/>
    <s v="Gizinski"/>
    <n v="32"/>
    <x v="9"/>
  </r>
  <r>
    <d v="2017-10-25T00:00:00"/>
    <s v="Patrycja"/>
    <s v="Grzeszcz"/>
    <n v="12"/>
    <x v="9"/>
  </r>
  <r>
    <d v="2017-10-25T00:00:00"/>
    <s v="Marta"/>
    <s v="Kolodziejczyk"/>
    <n v="10"/>
    <x v="9"/>
  </r>
  <r>
    <d v="2017-10-26T00:00:00"/>
    <s v="Malgorzata"/>
    <s v="Wiecek"/>
    <n v="9"/>
    <x v="9"/>
  </r>
  <r>
    <d v="2017-10-26T00:00:00"/>
    <s v="Ewa"/>
    <s v="Milion"/>
    <n v="26"/>
    <x v="9"/>
  </r>
  <r>
    <d v="2017-10-26T00:00:00"/>
    <s v="Anna"/>
    <s v="Jopek"/>
    <n v="25"/>
    <x v="9"/>
  </r>
  <r>
    <d v="2017-10-26T00:00:00"/>
    <s v="Joanna"/>
    <s v="Baranska"/>
    <n v="2"/>
    <x v="9"/>
  </r>
  <r>
    <d v="2017-10-26T00:00:00"/>
    <s v="Maria"/>
    <s v="Kowalczuk"/>
    <n v="23"/>
    <x v="9"/>
  </r>
  <r>
    <d v="2017-10-26T00:00:00"/>
    <s v="Balbina"/>
    <s v="Madej"/>
    <n v="27"/>
    <x v="9"/>
  </r>
  <r>
    <d v="2017-10-27T00:00:00"/>
    <s v="Edgar"/>
    <s v="Wyszomirski"/>
    <n v="12"/>
    <x v="9"/>
  </r>
  <r>
    <d v="2017-10-27T00:00:00"/>
    <s v="Karol"/>
    <s v="Wojciechowski"/>
    <n v="22"/>
    <x v="9"/>
  </r>
  <r>
    <d v="2017-10-27T00:00:00"/>
    <s v="Wieslawa"/>
    <s v="Biczysko"/>
    <n v="22"/>
    <x v="9"/>
  </r>
  <r>
    <d v="2017-10-27T00:00:00"/>
    <s v="Maciej"/>
    <s v="Kopacz"/>
    <n v="13"/>
    <x v="9"/>
  </r>
  <r>
    <d v="2017-10-27T00:00:00"/>
    <s v="Kazimierz"/>
    <s v="Bartosik"/>
    <n v="8"/>
    <x v="9"/>
  </r>
  <r>
    <d v="2017-10-27T00:00:00"/>
    <s v="Ewa"/>
    <s v="Spoko"/>
    <n v="29"/>
    <x v="9"/>
  </r>
  <r>
    <d v="2017-10-30T00:00:00"/>
    <s v="Kacper"/>
    <s v="Kowalski"/>
    <n v="22"/>
    <x v="9"/>
  </r>
  <r>
    <d v="2017-10-30T00:00:00"/>
    <s v="Barbara"/>
    <s v="Kilarski"/>
    <n v="16"/>
    <x v="9"/>
  </r>
  <r>
    <d v="2017-10-30T00:00:00"/>
    <s v="Kamil"/>
    <s v="Pudelski"/>
    <n v="56"/>
    <x v="9"/>
  </r>
  <r>
    <d v="2017-10-30T00:00:00"/>
    <s v="Przemyslaw"/>
    <s v="Marek"/>
    <n v="3"/>
    <x v="9"/>
  </r>
  <r>
    <d v="2017-10-30T00:00:00"/>
    <s v="Kinga"/>
    <s v="Famura"/>
    <n v="46"/>
    <x v="9"/>
  </r>
  <r>
    <d v="2017-10-30T00:00:00"/>
    <s v="Ilona"/>
    <s v="Gorska"/>
    <n v="28"/>
    <x v="9"/>
  </r>
  <r>
    <d v="2017-10-31T00:00:00"/>
    <s v="Filip"/>
    <s v="Strupiechowski"/>
    <n v="42"/>
    <x v="9"/>
  </r>
  <r>
    <d v="2017-10-31T00:00:00"/>
    <s v="Ewa"/>
    <s v="Milion"/>
    <n v="7"/>
    <x v="9"/>
  </r>
  <r>
    <d v="2017-10-31T00:00:00"/>
    <s v="Dominika"/>
    <s v="Nowakowska"/>
    <n v="18"/>
    <x v="9"/>
  </r>
  <r>
    <d v="2017-10-31T00:00:00"/>
    <s v="Krzysztof"/>
    <s v="Dwa"/>
    <n v="16"/>
    <x v="9"/>
  </r>
  <r>
    <d v="2017-10-31T00:00:00"/>
    <s v="Marcin"/>
    <s v="Tabaka"/>
    <n v="12"/>
    <x v="9"/>
  </r>
  <r>
    <d v="2017-10-31T00:00:00"/>
    <s v="Mariusz"/>
    <s v="Kornik"/>
    <n v="4"/>
    <x v="9"/>
  </r>
  <r>
    <d v="2017-10-31T00:00:00"/>
    <s v="Stefan"/>
    <s v="Bajer"/>
    <n v="36"/>
    <x v="9"/>
  </r>
  <r>
    <d v="2017-10-31T00:00:00"/>
    <s v="Marcin"/>
    <s v="Gizinski"/>
    <n v="22"/>
    <x v="9"/>
  </r>
  <r>
    <d v="2017-10-31T00:00:00"/>
    <s v="Janusz"/>
    <s v="Baka"/>
    <n v="22"/>
    <x v="9"/>
  </r>
  <r>
    <d v="2017-10-31T00:00:00"/>
    <s v="Aleksander"/>
    <s v="Pasternak"/>
    <n v="10"/>
    <x v="9"/>
  </r>
  <r>
    <d v="2017-10-31T00:00:00"/>
    <s v="Leon"/>
    <s v="Szybki"/>
    <n v="3"/>
    <x v="9"/>
  </r>
  <r>
    <d v="2017-10-31T00:00:00"/>
    <s v="Piotr"/>
    <s v="Polkowicki"/>
    <n v="8"/>
    <x v="9"/>
  </r>
  <r>
    <d v="2017-10-31T00:00:00"/>
    <s v="Ignacy"/>
    <s v="Sarnowski"/>
    <n v="7"/>
    <x v="9"/>
  </r>
  <r>
    <d v="2017-10-31T00:00:00"/>
    <s v="Ewa"/>
    <s v="Stoch"/>
    <n v="29"/>
    <x v="9"/>
  </r>
  <r>
    <d v="2017-10-31T00:00:00"/>
    <s v="Marek"/>
    <s v="Janowski"/>
    <n v="7"/>
    <x v="9"/>
  </r>
  <r>
    <d v="2017-10-31T00:00:00"/>
    <s v="Alicja"/>
    <s v="Chmiel"/>
    <n v="20"/>
    <x v="9"/>
  </r>
  <r>
    <d v="2017-10-31T00:00:00"/>
    <s v="Karol"/>
    <s v="Wojciechowski"/>
    <n v="13"/>
    <x v="9"/>
  </r>
  <r>
    <d v="2017-11-01T00:00:00"/>
    <s v="Adam"/>
    <s v="Wata"/>
    <n v="12"/>
    <x v="10"/>
  </r>
  <r>
    <d v="2017-11-01T00:00:00"/>
    <s v="Karol"/>
    <s v="Walasz"/>
    <n v="16"/>
    <x v="10"/>
  </r>
  <r>
    <d v="2017-11-01T00:00:00"/>
    <s v="Hubert"/>
    <s v="Pieczatowski"/>
    <n v="11"/>
    <x v="10"/>
  </r>
  <r>
    <d v="2017-11-01T00:00:00"/>
    <s v="Barbara"/>
    <s v="Podobinska"/>
    <n v="40"/>
    <x v="10"/>
  </r>
  <r>
    <d v="2017-11-01T00:00:00"/>
    <s v="Jakub"/>
    <s v="Rembiewski"/>
    <n v="34"/>
    <x v="10"/>
  </r>
  <r>
    <d v="2017-11-01T00:00:00"/>
    <s v="Wieslawa"/>
    <s v="Nowak"/>
    <n v="36"/>
    <x v="10"/>
  </r>
  <r>
    <d v="2017-11-01T00:00:00"/>
    <s v="Zuzanna"/>
    <s v="Malicki"/>
    <n v="19"/>
    <x v="10"/>
  </r>
  <r>
    <d v="2017-11-01T00:00:00"/>
    <s v="Marta"/>
    <s v="Wiosna"/>
    <n v="22"/>
    <x v="10"/>
  </r>
  <r>
    <d v="2017-11-01T00:00:00"/>
    <s v="Wojciech"/>
    <s v="Wroblewski"/>
    <n v="12"/>
    <x v="10"/>
  </r>
  <r>
    <d v="2017-11-01T00:00:00"/>
    <s v="Anna"/>
    <s v="Jopek"/>
    <n v="28"/>
    <x v="10"/>
  </r>
  <r>
    <d v="2017-11-01T00:00:00"/>
    <s v="Jakub"/>
    <s v="Ropiak"/>
    <n v="48"/>
    <x v="10"/>
  </r>
  <r>
    <d v="2017-11-01T00:00:00"/>
    <s v="Malwina"/>
    <s v="Korzeniowska"/>
    <n v="25"/>
    <x v="10"/>
  </r>
  <r>
    <d v="2017-11-01T00:00:00"/>
    <s v="Gabriela"/>
    <s v="Malinowska"/>
    <n v="16"/>
    <x v="10"/>
  </r>
  <r>
    <d v="2017-11-01T00:00:00"/>
    <s v="Adelajda"/>
    <s v="Zylinska"/>
    <n v="12"/>
    <x v="10"/>
  </r>
  <r>
    <d v="2017-11-01T00:00:00"/>
    <s v="Wojciech"/>
    <s v="Katowicki"/>
    <n v="28"/>
    <x v="10"/>
  </r>
  <r>
    <d v="2017-11-01T00:00:00"/>
    <s v="Maciej"/>
    <s v="Siemiatkowski"/>
    <n v="12"/>
    <x v="10"/>
  </r>
  <r>
    <d v="2017-11-01T00:00:00"/>
    <s v="Zbigniew"/>
    <s v="Maciag"/>
    <n v="17"/>
    <x v="10"/>
  </r>
  <r>
    <d v="2017-11-02T00:00:00"/>
    <s v="Albert"/>
    <s v="Pleszewski"/>
    <n v="16"/>
    <x v="10"/>
  </r>
  <r>
    <d v="2017-11-02T00:00:00"/>
    <s v="Krzysztof"/>
    <s v="Sobieski"/>
    <n v="14"/>
    <x v="10"/>
  </r>
  <r>
    <d v="2017-11-02T00:00:00"/>
    <s v="Monika"/>
    <s v="Placzek"/>
    <n v="25"/>
    <x v="10"/>
  </r>
  <r>
    <d v="2017-11-02T00:00:00"/>
    <s v="Julia"/>
    <s v="Stuhr"/>
    <n v="15"/>
    <x v="10"/>
  </r>
  <r>
    <d v="2017-11-02T00:00:00"/>
    <s v="Jerzy"/>
    <s v="Polanicki"/>
    <n v="16"/>
    <x v="10"/>
  </r>
  <r>
    <d v="2017-11-02T00:00:00"/>
    <s v="Anastazja"/>
    <s v="Borowska"/>
    <n v="35"/>
    <x v="10"/>
  </r>
  <r>
    <d v="2017-11-03T00:00:00"/>
    <s v="Olgierd"/>
    <s v="Baranek"/>
    <n v="2"/>
    <x v="10"/>
  </r>
  <r>
    <d v="2017-11-03T00:00:00"/>
    <s v="Nikodem"/>
    <s v="Jama"/>
    <n v="5"/>
    <x v="10"/>
  </r>
  <r>
    <d v="2017-11-03T00:00:00"/>
    <s v="Julia"/>
    <s v="Riegel"/>
    <n v="14"/>
    <x v="10"/>
  </r>
  <r>
    <d v="2017-11-03T00:00:00"/>
    <s v="Kacper"/>
    <s v="Niec"/>
    <n v="29"/>
    <x v="10"/>
  </r>
  <r>
    <d v="2017-11-03T00:00:00"/>
    <s v="Dorota"/>
    <s v="Adamus"/>
    <n v="13"/>
    <x v="10"/>
  </r>
  <r>
    <d v="2017-11-03T00:00:00"/>
    <s v="Lidia"/>
    <s v="Tarnowska"/>
    <n v="24"/>
    <x v="10"/>
  </r>
  <r>
    <d v="2017-11-06T00:00:00"/>
    <s v="Malgorzata"/>
    <s v="Karlowski"/>
    <n v="2"/>
    <x v="10"/>
  </r>
  <r>
    <d v="2017-11-06T00:00:00"/>
    <s v="Filip"/>
    <s v="Sobol"/>
    <n v="31"/>
    <x v="10"/>
  </r>
  <r>
    <d v="2017-11-06T00:00:00"/>
    <s v="Kamila"/>
    <s v="Knapik"/>
    <n v="18"/>
    <x v="10"/>
  </r>
  <r>
    <d v="2017-11-06T00:00:00"/>
    <s v="Patryk"/>
    <s v="Gibas"/>
    <n v="3"/>
    <x v="10"/>
  </r>
  <r>
    <d v="2017-11-06T00:00:00"/>
    <s v="Barbara"/>
    <s v="Kilarski"/>
    <n v="30"/>
    <x v="10"/>
  </r>
  <r>
    <d v="2017-11-06T00:00:00"/>
    <s v="Amelia"/>
    <s v="Wilk"/>
    <n v="5"/>
    <x v="10"/>
  </r>
  <r>
    <d v="2017-11-07T00:00:00"/>
    <s v="Malwina"/>
    <s v="Korzeniowska"/>
    <n v="13"/>
    <x v="10"/>
  </r>
  <r>
    <d v="2017-11-07T00:00:00"/>
    <s v="Wiera"/>
    <s v="Nowak"/>
    <n v="16"/>
    <x v="10"/>
  </r>
  <r>
    <d v="2017-11-07T00:00:00"/>
    <s v="Maksymilian"/>
    <s v="Lupa"/>
    <n v="3"/>
    <x v="10"/>
  </r>
  <r>
    <d v="2017-11-07T00:00:00"/>
    <s v="Mateusz"/>
    <s v="Krawczyk"/>
    <n v="50"/>
    <x v="10"/>
  </r>
  <r>
    <d v="2017-11-07T00:00:00"/>
    <s v="Dominika"/>
    <s v="Mierny"/>
    <n v="25"/>
    <x v="10"/>
  </r>
  <r>
    <d v="2017-11-07T00:00:00"/>
    <s v="Protazy"/>
    <s v="Warszawski"/>
    <n v="16"/>
    <x v="10"/>
  </r>
  <r>
    <d v="2017-11-08T00:00:00"/>
    <s v="Michal"/>
    <s v="Polaczek"/>
    <n v="13"/>
    <x v="10"/>
  </r>
  <r>
    <d v="2017-11-08T00:00:00"/>
    <s v="Szymon"/>
    <s v="Mrozniak"/>
    <n v="13"/>
    <x v="10"/>
  </r>
  <r>
    <d v="2017-11-08T00:00:00"/>
    <s v="Lukasz"/>
    <s v="Pawlik"/>
    <n v="15"/>
    <x v="10"/>
  </r>
  <r>
    <d v="2017-11-08T00:00:00"/>
    <s v="Wieslawa"/>
    <s v="Nowak"/>
    <n v="41"/>
    <x v="10"/>
  </r>
  <r>
    <d v="2017-11-08T00:00:00"/>
    <s v="Nikodem"/>
    <s v="Jablonski"/>
    <n v="50"/>
    <x v="10"/>
  </r>
  <r>
    <d v="2017-11-08T00:00:00"/>
    <s v="Daria"/>
    <s v="Zagrobna"/>
    <n v="26"/>
    <x v="10"/>
  </r>
  <r>
    <d v="2017-11-09T00:00:00"/>
    <s v="Adrian"/>
    <s v="Zawisza"/>
    <n v="10"/>
    <x v="10"/>
  </r>
  <r>
    <d v="2017-11-09T00:00:00"/>
    <s v="Hubert"/>
    <s v="Smyk"/>
    <n v="10"/>
    <x v="10"/>
  </r>
  <r>
    <d v="2017-11-09T00:00:00"/>
    <s v="Adela"/>
    <s v="Waruszewska"/>
    <n v="20"/>
    <x v="10"/>
  </r>
  <r>
    <d v="2017-11-09T00:00:00"/>
    <s v="Tomasz"/>
    <s v="Tytan"/>
    <n v="26"/>
    <x v="10"/>
  </r>
  <r>
    <d v="2017-11-09T00:00:00"/>
    <s v="Maja"/>
    <s v="Kwidczynska"/>
    <n v="27"/>
    <x v="10"/>
  </r>
  <r>
    <d v="2017-11-09T00:00:00"/>
    <s v="Wojciech"/>
    <s v="Czyzewski"/>
    <n v="24"/>
    <x v="10"/>
  </r>
  <r>
    <d v="2017-11-10T00:00:00"/>
    <s v="Julia"/>
    <s v="Reclaw"/>
    <n v="41"/>
    <x v="10"/>
  </r>
  <r>
    <d v="2017-11-10T00:00:00"/>
    <s v="Bohdan"/>
    <s v="Gigant"/>
    <n v="8"/>
    <x v="10"/>
  </r>
  <r>
    <d v="2017-11-10T00:00:00"/>
    <s v="Adam"/>
    <s v="Czarnecki"/>
    <n v="30"/>
    <x v="10"/>
  </r>
  <r>
    <d v="2017-11-10T00:00:00"/>
    <s v="Wiera"/>
    <s v="Nowak"/>
    <n v="30"/>
    <x v="10"/>
  </r>
  <r>
    <d v="2017-11-10T00:00:00"/>
    <s v="Patryk"/>
    <s v="Glac"/>
    <n v="13"/>
    <x v="10"/>
  </r>
  <r>
    <d v="2017-11-10T00:00:00"/>
    <s v="Inez"/>
    <s v="Nahaj"/>
    <n v="27"/>
    <x v="10"/>
  </r>
  <r>
    <d v="2017-11-10T00:00:00"/>
    <s v="Emilia"/>
    <s v="Mroczek"/>
    <n v="41"/>
    <x v="10"/>
  </r>
  <r>
    <d v="2017-11-10T00:00:00"/>
    <s v="Szymon"/>
    <s v="Polak"/>
    <n v="21"/>
    <x v="10"/>
  </r>
  <r>
    <d v="2017-11-10T00:00:00"/>
    <s v="Janusz"/>
    <s v="Wrobel"/>
    <n v="52"/>
    <x v="10"/>
  </r>
  <r>
    <d v="2017-11-10T00:00:00"/>
    <s v="Urszula"/>
    <s v="Engel"/>
    <n v="23"/>
    <x v="10"/>
  </r>
  <r>
    <d v="2017-11-10T00:00:00"/>
    <s v="Jakub"/>
    <s v="Potocki"/>
    <n v="32"/>
    <x v="10"/>
  </r>
  <r>
    <d v="2017-11-10T00:00:00"/>
    <s v="Ilona"/>
    <s v="Lukaszewska"/>
    <n v="33"/>
    <x v="10"/>
  </r>
  <r>
    <d v="2017-11-10T00:00:00"/>
    <s v="Jacek"/>
    <s v="Bigaj"/>
    <n v="41"/>
    <x v="10"/>
  </r>
  <r>
    <d v="2017-11-10T00:00:00"/>
    <s v="Monika"/>
    <s v="Trojan"/>
    <n v="29"/>
    <x v="10"/>
  </r>
  <r>
    <d v="2017-11-10T00:00:00"/>
    <s v="Kamil"/>
    <s v="Waniek"/>
    <n v="25"/>
    <x v="10"/>
  </r>
  <r>
    <d v="2017-11-10T00:00:00"/>
    <s v="Anna"/>
    <s v="Kraska"/>
    <n v="3"/>
    <x v="10"/>
  </r>
  <r>
    <d v="2017-11-10T00:00:00"/>
    <s v="Jan"/>
    <s v="Marasek"/>
    <n v="23"/>
    <x v="10"/>
  </r>
  <r>
    <d v="2017-11-10T00:00:00"/>
    <s v="Mariola"/>
    <s v="Las"/>
    <n v="25"/>
    <x v="10"/>
  </r>
  <r>
    <d v="2017-11-10T00:00:00"/>
    <s v="Kamil"/>
    <s v="Szyszko"/>
    <n v="29"/>
    <x v="10"/>
  </r>
  <r>
    <d v="2017-11-13T00:00:00"/>
    <s v="Anna"/>
    <s v="Wilk"/>
    <n v="24"/>
    <x v="10"/>
  </r>
  <r>
    <d v="2017-11-13T00:00:00"/>
    <s v="Ryszard"/>
    <s v="Baranowski"/>
    <n v="19"/>
    <x v="10"/>
  </r>
  <r>
    <d v="2017-11-13T00:00:00"/>
    <s v="Olgierd"/>
    <s v="Hazubski"/>
    <n v="7"/>
    <x v="10"/>
  </r>
  <r>
    <d v="2017-11-13T00:00:00"/>
    <s v="Krzysztof"/>
    <s v="Micun"/>
    <n v="7"/>
    <x v="10"/>
  </r>
  <r>
    <d v="2017-11-13T00:00:00"/>
    <s v="Marian"/>
    <s v="Bukalski"/>
    <n v="28"/>
    <x v="10"/>
  </r>
  <r>
    <d v="2017-11-13T00:00:00"/>
    <s v="Dorian"/>
    <s v="Szczepkowski"/>
    <n v="50"/>
    <x v="10"/>
  </r>
  <r>
    <d v="2017-11-13T00:00:00"/>
    <s v="Alicja"/>
    <s v="Walentowicz"/>
    <n v="8"/>
    <x v="10"/>
  </r>
  <r>
    <d v="2017-11-13T00:00:00"/>
    <s v="Agnieszka"/>
    <s v="Matusik"/>
    <n v="3"/>
    <x v="10"/>
  </r>
  <r>
    <d v="2017-11-13T00:00:00"/>
    <s v="Maja"/>
    <s v="Kaminska"/>
    <n v="13"/>
    <x v="10"/>
  </r>
  <r>
    <d v="2017-11-13T00:00:00"/>
    <s v="Ewa"/>
    <s v="Wojna"/>
    <n v="17"/>
    <x v="10"/>
  </r>
  <r>
    <d v="2017-11-13T00:00:00"/>
    <s v="Marzena"/>
    <s v="Jagielska"/>
    <n v="55"/>
    <x v="10"/>
  </r>
  <r>
    <d v="2017-11-13T00:00:00"/>
    <s v="Krzysztof"/>
    <s v="Figurski"/>
    <n v="46"/>
    <x v="10"/>
  </r>
  <r>
    <d v="2017-11-13T00:00:00"/>
    <s v="Marek"/>
    <s v="Sulejski"/>
    <n v="48"/>
    <x v="10"/>
  </r>
  <r>
    <d v="2017-11-13T00:00:00"/>
    <s v="Tomasz"/>
    <s v="Ogorek"/>
    <n v="35"/>
    <x v="10"/>
  </r>
  <r>
    <d v="2017-11-13T00:00:00"/>
    <s v="Kazimierz"/>
    <s v="Biedka"/>
    <n v="54"/>
    <x v="10"/>
  </r>
  <r>
    <d v="2017-11-13T00:00:00"/>
    <s v="Wanda"/>
    <s v="Sadza"/>
    <n v="6"/>
    <x v="10"/>
  </r>
  <r>
    <d v="2017-11-13T00:00:00"/>
    <s v="Ewa"/>
    <s v="Aderek"/>
    <n v="53"/>
    <x v="10"/>
  </r>
  <r>
    <d v="2017-11-13T00:00:00"/>
    <s v="Julia"/>
    <s v="Zaremba"/>
    <n v="29"/>
    <x v="10"/>
  </r>
  <r>
    <d v="2017-11-14T00:00:00"/>
    <s v="Bernard"/>
    <s v="Madej"/>
    <n v="35"/>
    <x v="10"/>
  </r>
  <r>
    <d v="2017-11-14T00:00:00"/>
    <s v="Inez"/>
    <s v="Nahaj"/>
    <n v="24"/>
    <x v="10"/>
  </r>
  <r>
    <d v="2017-11-14T00:00:00"/>
    <s v="Stanislaw"/>
    <s v="Janiec"/>
    <n v="25"/>
    <x v="10"/>
  </r>
  <r>
    <d v="2017-11-14T00:00:00"/>
    <s v="Ewa"/>
    <s v="Wojna"/>
    <n v="10"/>
    <x v="10"/>
  </r>
  <r>
    <d v="2017-11-14T00:00:00"/>
    <s v="Mariola"/>
    <s v="Las"/>
    <n v="10"/>
    <x v="10"/>
  </r>
  <r>
    <d v="2017-11-14T00:00:00"/>
    <s v="Sebastian"/>
    <s v="Powoj"/>
    <n v="6"/>
    <x v="10"/>
  </r>
  <r>
    <d v="2017-11-14T00:00:00"/>
    <s v="Karol"/>
    <s v="Milek"/>
    <n v="20"/>
    <x v="10"/>
  </r>
  <r>
    <d v="2017-11-14T00:00:00"/>
    <s v="Emilia"/>
    <s v="Szczepanska"/>
    <n v="9"/>
    <x v="10"/>
  </r>
  <r>
    <d v="2017-11-15T00:00:00"/>
    <s v="Helena"/>
    <s v="Stachurska"/>
    <n v="5"/>
    <x v="10"/>
  </r>
  <r>
    <d v="2017-11-15T00:00:00"/>
    <s v="Joanna"/>
    <s v="Ottka"/>
    <n v="22"/>
    <x v="10"/>
  </r>
  <r>
    <d v="2017-11-15T00:00:00"/>
    <s v="Monika"/>
    <s v="Placzek"/>
    <n v="10"/>
    <x v="10"/>
  </r>
  <r>
    <d v="2017-11-15T00:00:00"/>
    <s v="Krzysztof"/>
    <s v="Plecien"/>
    <n v="13"/>
    <x v="10"/>
  </r>
  <r>
    <d v="2017-11-15T00:00:00"/>
    <s v="Diana"/>
    <s v="Michalska"/>
    <n v="18"/>
    <x v="10"/>
  </r>
  <r>
    <d v="2017-11-15T00:00:00"/>
    <s v="Justyna"/>
    <s v="Pozarzycka"/>
    <n v="5"/>
    <x v="10"/>
  </r>
  <r>
    <d v="2017-11-15T00:00:00"/>
    <s v="Henryk"/>
    <s v="Siminski"/>
    <n v="26"/>
    <x v="10"/>
  </r>
  <r>
    <d v="2017-11-15T00:00:00"/>
    <s v="Alicja"/>
    <s v="Wojciechowska"/>
    <n v="20"/>
    <x v="10"/>
  </r>
  <r>
    <d v="2017-11-16T00:00:00"/>
    <s v="Weronika"/>
    <s v="Zdroj"/>
    <n v="11"/>
    <x v="10"/>
  </r>
  <r>
    <d v="2017-11-16T00:00:00"/>
    <s v="Ewa"/>
    <s v="Zak"/>
    <n v="23"/>
    <x v="10"/>
  </r>
  <r>
    <d v="2017-11-16T00:00:00"/>
    <s v="Bartosz"/>
    <s v="Mazgaj"/>
    <n v="12"/>
    <x v="10"/>
  </r>
  <r>
    <d v="2017-11-16T00:00:00"/>
    <s v="Cyprian"/>
    <s v="Swierszcz"/>
    <n v="23"/>
    <x v="10"/>
  </r>
  <r>
    <d v="2017-11-16T00:00:00"/>
    <s v="Natalia"/>
    <s v="Mroz"/>
    <n v="9"/>
    <x v="10"/>
  </r>
  <r>
    <d v="2017-11-16T00:00:00"/>
    <s v="Karol"/>
    <s v="Hubicki"/>
    <n v="27"/>
    <x v="10"/>
  </r>
  <r>
    <d v="2017-11-16T00:00:00"/>
    <s v="Piotr"/>
    <s v="Kania"/>
    <n v="26"/>
    <x v="10"/>
  </r>
  <r>
    <d v="2017-11-16T00:00:00"/>
    <s v="Dawid"/>
    <s v="Szreder"/>
    <n v="11"/>
    <x v="10"/>
  </r>
  <r>
    <d v="2017-11-17T00:00:00"/>
    <s v="Marek"/>
    <s v="Janowski"/>
    <n v="14"/>
    <x v="10"/>
  </r>
  <r>
    <d v="2017-11-17T00:00:00"/>
    <s v="Agnieszka"/>
    <s v="Krawczynska"/>
    <n v="24"/>
    <x v="10"/>
  </r>
  <r>
    <d v="2017-11-17T00:00:00"/>
    <s v="Piotr"/>
    <s v="Felus"/>
    <n v="18"/>
    <x v="10"/>
  </r>
  <r>
    <d v="2017-11-17T00:00:00"/>
    <s v="Wojciech"/>
    <s v="Goc"/>
    <n v="13"/>
    <x v="10"/>
  </r>
  <r>
    <d v="2017-11-17T00:00:00"/>
    <s v="Zuzanna"/>
    <s v="Malicki"/>
    <n v="18"/>
    <x v="10"/>
  </r>
  <r>
    <d v="2017-11-17T00:00:00"/>
    <s v="Kacper"/>
    <s v="Nowak"/>
    <n v="36"/>
    <x v="10"/>
  </r>
  <r>
    <d v="2017-11-17T00:00:00"/>
    <s v="Waldemar"/>
    <s v="Koronski"/>
    <n v="23"/>
    <x v="10"/>
  </r>
  <r>
    <d v="2017-11-17T00:00:00"/>
    <s v="Angelika"/>
    <s v="Walaszek"/>
    <n v="7"/>
    <x v="10"/>
  </r>
  <r>
    <d v="2017-11-17T00:00:00"/>
    <s v="Krzysztof"/>
    <s v="Micun"/>
    <n v="54"/>
    <x v="10"/>
  </r>
  <r>
    <d v="2017-11-17T00:00:00"/>
    <s v="Olgierd"/>
    <s v="Baranek"/>
    <n v="48"/>
    <x v="10"/>
  </r>
  <r>
    <d v="2017-11-17T00:00:00"/>
    <s v="Borys"/>
    <s v="Biedal"/>
    <n v="5"/>
    <x v="10"/>
  </r>
  <r>
    <d v="2017-11-17T00:00:00"/>
    <s v="Olaf"/>
    <s v="Hrywniak"/>
    <n v="51"/>
    <x v="10"/>
  </r>
  <r>
    <d v="2017-11-17T00:00:00"/>
    <s v="Bartlomiej"/>
    <s v="Wojciechowski"/>
    <n v="10"/>
    <x v="10"/>
  </r>
  <r>
    <d v="2017-11-17T00:00:00"/>
    <s v="Mariusz"/>
    <s v="Brydzinski"/>
    <n v="24"/>
    <x v="10"/>
  </r>
  <r>
    <d v="2017-11-17T00:00:00"/>
    <s v="Karolina"/>
    <s v="Wrona"/>
    <n v="7"/>
    <x v="10"/>
  </r>
  <r>
    <d v="2017-11-17T00:00:00"/>
    <s v="Anna"/>
    <s v="Wnuk"/>
    <n v="11"/>
    <x v="10"/>
  </r>
  <r>
    <d v="2017-11-17T00:00:00"/>
    <s v="Katarzyna"/>
    <s v="Wip"/>
    <n v="4"/>
    <x v="10"/>
  </r>
  <r>
    <d v="2017-11-20T00:00:00"/>
    <s v="Maja"/>
    <s v="Lange"/>
    <n v="30"/>
    <x v="10"/>
  </r>
  <r>
    <d v="2017-11-20T00:00:00"/>
    <s v="Weronika"/>
    <s v="Zdroj"/>
    <n v="36"/>
    <x v="10"/>
  </r>
  <r>
    <d v="2017-11-20T00:00:00"/>
    <s v="Marek"/>
    <s v="Wolicki"/>
    <n v="22"/>
    <x v="10"/>
  </r>
  <r>
    <d v="2017-11-20T00:00:00"/>
    <s v="Grzegorz"/>
    <s v="Jackowski"/>
    <n v="21"/>
    <x v="10"/>
  </r>
  <r>
    <d v="2017-11-20T00:00:00"/>
    <s v="Jan"/>
    <s v="Zaczyk"/>
    <n v="16"/>
    <x v="10"/>
  </r>
  <r>
    <d v="2017-11-20T00:00:00"/>
    <s v="Albert"/>
    <s v="Pleszewski"/>
    <n v="52"/>
    <x v="10"/>
  </r>
  <r>
    <d v="2017-11-20T00:00:00"/>
    <s v="Monika"/>
    <s v="Lis"/>
    <n v="20"/>
    <x v="10"/>
  </r>
  <r>
    <d v="2017-11-20T00:00:00"/>
    <s v="Hubert"/>
    <s v="Pieczatowski"/>
    <n v="3"/>
    <x v="10"/>
  </r>
  <r>
    <d v="2017-11-20T00:00:00"/>
    <s v="Edward"/>
    <s v="Zdunek"/>
    <n v="23"/>
    <x v="10"/>
  </r>
  <r>
    <d v="2017-11-20T00:00:00"/>
    <s v="Konrad"/>
    <s v="Lipowski"/>
    <n v="4"/>
    <x v="10"/>
  </r>
  <r>
    <d v="2017-11-20T00:00:00"/>
    <s v="Dorota"/>
    <s v="Adamus"/>
    <n v="20"/>
    <x v="10"/>
  </r>
  <r>
    <d v="2017-11-20T00:00:00"/>
    <s v="Alicja"/>
    <s v="Wojciechowska"/>
    <n v="51"/>
    <x v="10"/>
  </r>
  <r>
    <d v="2017-11-20T00:00:00"/>
    <s v="Urszula"/>
    <s v="Pawlak"/>
    <n v="29"/>
    <x v="10"/>
  </r>
  <r>
    <d v="2017-11-20T00:00:00"/>
    <s v="Jakub"/>
    <s v="Rembisz"/>
    <n v="54"/>
    <x v="10"/>
  </r>
  <r>
    <d v="2017-11-20T00:00:00"/>
    <s v="Zofia"/>
    <s v="Broszkow"/>
    <n v="19"/>
    <x v="10"/>
  </r>
  <r>
    <d v="2017-11-20T00:00:00"/>
    <s v="Ilona"/>
    <s v="Nowak"/>
    <n v="25"/>
    <x v="10"/>
  </r>
  <r>
    <d v="2017-11-20T00:00:00"/>
    <s v="Wiktor"/>
    <s v="Lubelski"/>
    <n v="4"/>
    <x v="10"/>
  </r>
  <r>
    <d v="2017-11-20T00:00:00"/>
    <s v="Dominika"/>
    <s v="Madejska"/>
    <n v="10"/>
    <x v="10"/>
  </r>
  <r>
    <d v="2017-11-21T00:00:00"/>
    <s v="Lena"/>
    <s v="Mazurkiewicz"/>
    <n v="9"/>
    <x v="10"/>
  </r>
  <r>
    <d v="2017-11-21T00:00:00"/>
    <s v="Karol"/>
    <s v="Wichrowski"/>
    <n v="8"/>
    <x v="10"/>
  </r>
  <r>
    <d v="2017-11-21T00:00:00"/>
    <s v="Kamila"/>
    <s v="Knapik"/>
    <n v="50"/>
    <x v="10"/>
  </r>
  <r>
    <d v="2017-11-21T00:00:00"/>
    <s v="Joanna"/>
    <s v="Zygmunt"/>
    <n v="18"/>
    <x v="10"/>
  </r>
  <r>
    <d v="2017-11-21T00:00:00"/>
    <s v="Kinga"/>
    <s v="Trawinska"/>
    <n v="42"/>
    <x v="10"/>
  </r>
  <r>
    <d v="2017-11-21T00:00:00"/>
    <s v="Teodor"/>
    <s v="Fornal"/>
    <n v="24"/>
    <x v="10"/>
  </r>
  <r>
    <d v="2017-11-21T00:00:00"/>
    <s v="Zofia"/>
    <s v="Polak"/>
    <n v="31"/>
    <x v="10"/>
  </r>
  <r>
    <d v="2017-11-21T00:00:00"/>
    <s v="Zbigniew"/>
    <s v="Paderewski"/>
    <n v="46"/>
    <x v="10"/>
  </r>
  <r>
    <d v="2017-11-21T00:00:00"/>
    <s v="Pawel"/>
    <s v="Nowak"/>
    <n v="9"/>
    <x v="10"/>
  </r>
  <r>
    <d v="2017-11-21T00:00:00"/>
    <s v="Kazimierz"/>
    <s v="Biedka"/>
    <n v="9"/>
    <x v="10"/>
  </r>
  <r>
    <d v="2017-11-21T00:00:00"/>
    <s v="Andrzej"/>
    <s v="Moldawiec"/>
    <n v="53"/>
    <x v="10"/>
  </r>
  <r>
    <d v="2017-11-21T00:00:00"/>
    <s v="Ewelina"/>
    <s v="Bialkowska"/>
    <n v="5"/>
    <x v="10"/>
  </r>
  <r>
    <d v="2017-11-21T00:00:00"/>
    <s v="Stanislaw"/>
    <s v="Derek"/>
    <n v="39"/>
    <x v="10"/>
  </r>
  <r>
    <d v="2017-11-21T00:00:00"/>
    <s v="Ryszarda"/>
    <s v="Januszek"/>
    <n v="43"/>
    <x v="10"/>
  </r>
  <r>
    <d v="2017-11-21T00:00:00"/>
    <s v="Jan"/>
    <s v="Zdunski"/>
    <n v="14"/>
    <x v="10"/>
  </r>
  <r>
    <d v="2017-11-21T00:00:00"/>
    <s v="Krzysztof"/>
    <s v="Konieckiewicz"/>
    <n v="25"/>
    <x v="10"/>
  </r>
  <r>
    <d v="2017-11-21T00:00:00"/>
    <s v="Justyna"/>
    <s v="Pozarzycka"/>
    <n v="16"/>
    <x v="10"/>
  </r>
  <r>
    <d v="2017-11-21T00:00:00"/>
    <s v="Bruno"/>
    <s v="Tomczyk"/>
    <n v="23"/>
    <x v="10"/>
  </r>
  <r>
    <d v="2017-11-22T00:00:00"/>
    <s v="Agnieszka"/>
    <s v="Polak"/>
    <n v="12"/>
    <x v="10"/>
  </r>
  <r>
    <d v="2017-11-22T00:00:00"/>
    <s v="Bruno"/>
    <s v="Tomaszewski"/>
    <n v="10"/>
    <x v="10"/>
  </r>
  <r>
    <d v="2017-11-22T00:00:00"/>
    <s v="Balbina"/>
    <s v="Majewska"/>
    <n v="49"/>
    <x v="10"/>
  </r>
  <r>
    <d v="2017-11-22T00:00:00"/>
    <s v="Szymon"/>
    <s v="Polak"/>
    <n v="9"/>
    <x v="10"/>
  </r>
  <r>
    <d v="2017-11-22T00:00:00"/>
    <s v="Anna"/>
    <s v="Kosowicz"/>
    <n v="14"/>
    <x v="10"/>
  </r>
  <r>
    <d v="2017-11-22T00:00:00"/>
    <s v="Matylda"/>
    <s v="Kluziak"/>
    <n v="23"/>
    <x v="10"/>
  </r>
  <r>
    <d v="2017-11-22T00:00:00"/>
    <s v="Szymon"/>
    <s v="Mrozniak"/>
    <n v="12"/>
    <x v="10"/>
  </r>
  <r>
    <d v="2017-11-22T00:00:00"/>
    <s v="Lukasz"/>
    <s v="Kopecki"/>
    <n v="14"/>
    <x v="10"/>
  </r>
  <r>
    <d v="2017-11-22T00:00:00"/>
    <s v="Paulina"/>
    <s v="Szklarska"/>
    <n v="5"/>
    <x v="10"/>
  </r>
  <r>
    <d v="2017-11-22T00:00:00"/>
    <s v="Maciej"/>
    <s v="Wodecki"/>
    <n v="13"/>
    <x v="10"/>
  </r>
  <r>
    <d v="2017-11-22T00:00:00"/>
    <s v="Monika"/>
    <s v="Piterka"/>
    <n v="5"/>
    <x v="10"/>
  </r>
  <r>
    <d v="2017-11-22T00:00:00"/>
    <s v="Jakub"/>
    <s v="Holmes"/>
    <n v="29"/>
    <x v="10"/>
  </r>
  <r>
    <d v="2017-11-22T00:00:00"/>
    <s v="Julian"/>
    <s v="Snopek"/>
    <n v="24"/>
    <x v="10"/>
  </r>
  <r>
    <d v="2017-11-22T00:00:00"/>
    <s v="Radoslaw"/>
    <s v="Sowinska"/>
    <n v="2"/>
    <x v="10"/>
  </r>
  <r>
    <d v="2017-11-22T00:00:00"/>
    <s v="Anna"/>
    <s v="Jopek"/>
    <n v="41"/>
    <x v="10"/>
  </r>
  <r>
    <d v="2017-11-22T00:00:00"/>
    <s v="Filip"/>
    <s v="Strupiechowski"/>
    <n v="21"/>
    <x v="10"/>
  </r>
  <r>
    <d v="2017-11-22T00:00:00"/>
    <s v="Zofia"/>
    <s v="Adamiak"/>
    <n v="25"/>
    <x v="10"/>
  </r>
  <r>
    <d v="2017-11-22T00:00:00"/>
    <s v="Aleks"/>
    <s v="Wojcicki"/>
    <n v="26"/>
    <x v="10"/>
  </r>
  <r>
    <d v="2017-11-22T00:00:00"/>
    <s v="Ewa"/>
    <s v="Tarnowska"/>
    <n v="14"/>
    <x v="10"/>
  </r>
  <r>
    <d v="2017-11-23T00:00:00"/>
    <s v="Jan"/>
    <s v="Bikot"/>
    <n v="14"/>
    <x v="10"/>
  </r>
  <r>
    <d v="2017-11-23T00:00:00"/>
    <s v="Julian"/>
    <s v="Snopek"/>
    <n v="39"/>
    <x v="10"/>
  </r>
  <r>
    <d v="2017-11-23T00:00:00"/>
    <s v="Karol"/>
    <s v="Hubicki"/>
    <n v="25"/>
    <x v="10"/>
  </r>
  <r>
    <d v="2017-11-23T00:00:00"/>
    <s v="Tomasz"/>
    <s v="Tutaj"/>
    <n v="15"/>
    <x v="10"/>
  </r>
  <r>
    <d v="2017-11-23T00:00:00"/>
    <s v="Adam"/>
    <s v="Madejski"/>
    <n v="9"/>
    <x v="10"/>
  </r>
  <r>
    <d v="2017-11-23T00:00:00"/>
    <s v="Aleksandra"/>
    <s v="Kwas"/>
    <n v="10"/>
    <x v="10"/>
  </r>
  <r>
    <d v="2017-11-23T00:00:00"/>
    <s v="Adam"/>
    <s v="Madejski"/>
    <n v="12"/>
    <x v="10"/>
  </r>
  <r>
    <d v="2017-11-23T00:00:00"/>
    <s v="Adam"/>
    <s v="Borkowski"/>
    <n v="19"/>
    <x v="10"/>
  </r>
  <r>
    <d v="2017-11-23T00:00:00"/>
    <s v="Ewelina"/>
    <s v="Mirska"/>
    <n v="43"/>
    <x v="10"/>
  </r>
  <r>
    <d v="2017-11-24T00:00:00"/>
    <s v="Jan"/>
    <s v="Kwiatkowski"/>
    <n v="13"/>
    <x v="10"/>
  </r>
  <r>
    <d v="2017-11-24T00:00:00"/>
    <s v="Marcin"/>
    <s v="Wrobel"/>
    <n v="38"/>
    <x v="10"/>
  </r>
  <r>
    <d v="2017-11-24T00:00:00"/>
    <s v="Krzysztof"/>
    <s v="Plecien"/>
    <n v="9"/>
    <x v="10"/>
  </r>
  <r>
    <d v="2017-11-24T00:00:00"/>
    <s v="Adam"/>
    <s v="Madejski"/>
    <n v="10"/>
    <x v="10"/>
  </r>
  <r>
    <d v="2017-11-24T00:00:00"/>
    <s v="Szymon"/>
    <s v="Polak"/>
    <n v="13"/>
    <x v="10"/>
  </r>
  <r>
    <d v="2017-11-24T00:00:00"/>
    <s v="Mateusz"/>
    <s v="Kowalczyk"/>
    <n v="6"/>
    <x v="10"/>
  </r>
  <r>
    <d v="2017-11-24T00:00:00"/>
    <s v="Jakub"/>
    <s v="Przestrzelski"/>
    <n v="26"/>
    <x v="10"/>
  </r>
  <r>
    <d v="2017-11-24T00:00:00"/>
    <s v="Janina"/>
    <s v="Podlaska"/>
    <n v="24"/>
    <x v="10"/>
  </r>
  <r>
    <d v="2017-11-24T00:00:00"/>
    <s v="Hubert"/>
    <s v="Smyk"/>
    <n v="13"/>
    <x v="10"/>
  </r>
  <r>
    <d v="2017-11-24T00:00:00"/>
    <s v="Julia"/>
    <s v="Stuhr"/>
    <n v="19"/>
    <x v="10"/>
  </r>
  <r>
    <d v="2017-11-24T00:00:00"/>
    <s v="Krzysztof"/>
    <s v="Figurski"/>
    <n v="22"/>
    <x v="10"/>
  </r>
  <r>
    <d v="2017-11-24T00:00:00"/>
    <s v="Mateusz"/>
    <s v="Polak"/>
    <n v="2"/>
    <x v="10"/>
  </r>
  <r>
    <d v="2017-11-24T00:00:00"/>
    <s v="Alicja"/>
    <s v="Wymyslowska"/>
    <n v="2"/>
    <x v="10"/>
  </r>
  <r>
    <d v="2017-11-24T00:00:00"/>
    <s v="Maciej"/>
    <s v="Nowak"/>
    <n v="18"/>
    <x v="10"/>
  </r>
  <r>
    <d v="2017-11-24T00:00:00"/>
    <s v="Filip"/>
    <s v="Strack"/>
    <n v="24"/>
    <x v="10"/>
  </r>
  <r>
    <d v="2017-11-24T00:00:00"/>
    <s v="Daria"/>
    <s v="Mikos"/>
    <n v="24"/>
    <x v="10"/>
  </r>
  <r>
    <d v="2017-11-24T00:00:00"/>
    <s v="Karolina"/>
    <s v="Karpacka"/>
    <n v="17"/>
    <x v="10"/>
  </r>
  <r>
    <d v="2017-11-24T00:00:00"/>
    <s v="Dominik"/>
    <s v="Szmitko"/>
    <n v="18"/>
    <x v="10"/>
  </r>
  <r>
    <d v="2017-11-24T00:00:00"/>
    <s v="Jan"/>
    <s v="Marasek"/>
    <n v="26"/>
    <x v="10"/>
  </r>
  <r>
    <d v="2017-11-27T00:00:00"/>
    <s v="Anna"/>
    <s v="Kosowicz"/>
    <n v="2"/>
    <x v="10"/>
  </r>
  <r>
    <d v="2017-11-27T00:00:00"/>
    <s v="Lukasz"/>
    <s v="Pawlik"/>
    <n v="51"/>
    <x v="10"/>
  </r>
  <r>
    <d v="2017-11-27T00:00:00"/>
    <s v="Antoni"/>
    <s v="Pisowlodzki"/>
    <n v="20"/>
    <x v="10"/>
  </r>
  <r>
    <d v="2017-11-27T00:00:00"/>
    <s v="Karol"/>
    <s v="Hubicki"/>
    <n v="5"/>
    <x v="10"/>
  </r>
  <r>
    <d v="2017-11-27T00:00:00"/>
    <s v="Maksymilian"/>
    <s v="Piwko"/>
    <n v="43"/>
    <x v="10"/>
  </r>
  <r>
    <d v="2017-11-27T00:00:00"/>
    <s v="Jakub"/>
    <s v="Holmes"/>
    <n v="25"/>
    <x v="10"/>
  </r>
  <r>
    <d v="2017-11-27T00:00:00"/>
    <s v="Joanna"/>
    <s v="Baranska"/>
    <n v="26"/>
    <x v="10"/>
  </r>
  <r>
    <d v="2017-11-27T00:00:00"/>
    <s v="Zuzanna"/>
    <s v="Kalisz"/>
    <n v="25"/>
    <x v="10"/>
  </r>
  <r>
    <d v="2017-11-27T00:00:00"/>
    <s v="Dominika"/>
    <s v="Wierzbicka"/>
    <n v="40"/>
    <x v="10"/>
  </r>
  <r>
    <d v="2017-11-28T00:00:00"/>
    <s v="Julia"/>
    <s v="Rutkiewicz"/>
    <n v="26"/>
    <x v="10"/>
  </r>
  <r>
    <d v="2017-11-28T00:00:00"/>
    <s v="Aleksander"/>
    <s v="Koc"/>
    <n v="49"/>
    <x v="10"/>
  </r>
  <r>
    <d v="2017-11-28T00:00:00"/>
    <s v="Julian"/>
    <s v="Pawik"/>
    <n v="6"/>
    <x v="10"/>
  </r>
  <r>
    <d v="2017-11-28T00:00:00"/>
    <s v="Marek"/>
    <s v="Zybert"/>
    <n v="6"/>
    <x v="10"/>
  </r>
  <r>
    <d v="2017-11-28T00:00:00"/>
    <s v="Marek"/>
    <s v="Zybert"/>
    <n v="11"/>
    <x v="10"/>
  </r>
  <r>
    <d v="2017-11-28T00:00:00"/>
    <s v="Maciej"/>
    <s v="Wodecki"/>
    <n v="34"/>
    <x v="10"/>
  </r>
  <r>
    <d v="2017-11-28T00:00:00"/>
    <s v="Karol"/>
    <s v="Felisiak"/>
    <n v="8"/>
    <x v="10"/>
  </r>
  <r>
    <d v="2017-11-28T00:00:00"/>
    <s v="Natalia"/>
    <s v="Mroz"/>
    <n v="17"/>
    <x v="10"/>
  </r>
  <r>
    <d v="2017-11-28T00:00:00"/>
    <s v="Marta"/>
    <s v="Opolska"/>
    <n v="29"/>
    <x v="10"/>
  </r>
  <r>
    <d v="2017-11-29T00:00:00"/>
    <s v="Hubert"/>
    <s v="Nowaczynski"/>
    <n v="12"/>
    <x v="10"/>
  </r>
  <r>
    <d v="2017-11-29T00:00:00"/>
    <s v="Krzysztof"/>
    <s v="Czyz"/>
    <n v="19"/>
    <x v="10"/>
  </r>
  <r>
    <d v="2017-11-29T00:00:00"/>
    <s v="Krzysztof"/>
    <s v="Czyz"/>
    <n v="21"/>
    <x v="10"/>
  </r>
  <r>
    <d v="2017-11-29T00:00:00"/>
    <s v="Ewa"/>
    <s v="Milion"/>
    <n v="33"/>
    <x v="10"/>
  </r>
  <r>
    <d v="2017-11-29T00:00:00"/>
    <s v="Piotr"/>
    <s v="Bialaszewski"/>
    <n v="51"/>
    <x v="10"/>
  </r>
  <r>
    <d v="2017-11-29T00:00:00"/>
    <s v="Jan"/>
    <s v="Kildanowski"/>
    <n v="10"/>
    <x v="10"/>
  </r>
  <r>
    <d v="2017-11-29T00:00:00"/>
    <s v="Karolina"/>
    <s v="Welc"/>
    <n v="35"/>
    <x v="10"/>
  </r>
  <r>
    <d v="2017-11-29T00:00:00"/>
    <s v="Barbara"/>
    <s v="Bury"/>
    <n v="22"/>
    <x v="10"/>
  </r>
  <r>
    <d v="2017-11-29T00:00:00"/>
    <s v="Jacek"/>
    <s v="Szypulski"/>
    <n v="17"/>
    <x v="10"/>
  </r>
  <r>
    <d v="2017-11-30T00:00:00"/>
    <s v="Urszula"/>
    <s v="Pawlak"/>
    <n v="28"/>
    <x v="10"/>
  </r>
  <r>
    <d v="2017-11-30T00:00:00"/>
    <s v="Jaroslaw"/>
    <s v="Kopiec"/>
    <n v="33"/>
    <x v="10"/>
  </r>
  <r>
    <d v="2017-11-30T00:00:00"/>
    <s v="Jacek"/>
    <s v="Pieczatowski"/>
    <n v="45"/>
    <x v="10"/>
  </r>
  <r>
    <d v="2017-11-30T00:00:00"/>
    <s v="Dominik"/>
    <s v="Szmitko"/>
    <n v="20"/>
    <x v="10"/>
  </r>
  <r>
    <d v="2017-11-30T00:00:00"/>
    <s v="Mariusz"/>
    <s v="Brydzinski"/>
    <n v="39"/>
    <x v="10"/>
  </r>
  <r>
    <d v="2017-11-30T00:00:00"/>
    <s v="Jerzy"/>
    <s v="Polanicki"/>
    <n v="8"/>
    <x v="10"/>
  </r>
  <r>
    <d v="2017-11-30T00:00:00"/>
    <s v="Patrycja"/>
    <s v="Glowinska"/>
    <n v="10"/>
    <x v="10"/>
  </r>
  <r>
    <d v="2017-11-30T00:00:00"/>
    <s v="Adam"/>
    <s v="Zega"/>
    <n v="5"/>
    <x v="10"/>
  </r>
  <r>
    <d v="2017-11-30T00:00:00"/>
    <s v="Beata"/>
    <s v="Fles"/>
    <n v="32"/>
    <x v="10"/>
  </r>
  <r>
    <d v="2017-12-01T00:00:00"/>
    <s v="Monika"/>
    <s v="Piterka"/>
    <n v="23"/>
    <x v="11"/>
  </r>
  <r>
    <d v="2017-12-01T00:00:00"/>
    <s v="Karolina"/>
    <s v="Pawelska"/>
    <n v="11"/>
    <x v="11"/>
  </r>
  <r>
    <d v="2017-12-01T00:00:00"/>
    <s v="Laura"/>
    <s v="Chmielewska"/>
    <n v="17"/>
    <x v="11"/>
  </r>
  <r>
    <d v="2017-12-01T00:00:00"/>
    <s v="Sebastian"/>
    <s v="Powoj"/>
    <n v="22"/>
    <x v="11"/>
  </r>
  <r>
    <d v="2017-12-01T00:00:00"/>
    <s v="Sebastian"/>
    <s v="Powoj"/>
    <n v="26"/>
    <x v="11"/>
  </r>
  <r>
    <d v="2017-12-01T00:00:00"/>
    <s v="Anna"/>
    <s v="Janowska"/>
    <n v="48"/>
    <x v="11"/>
  </r>
  <r>
    <d v="2017-12-01T00:00:00"/>
    <s v="Maja"/>
    <s v="Kulkowska"/>
    <n v="5"/>
    <x v="11"/>
  </r>
  <r>
    <d v="2017-12-01T00:00:00"/>
    <s v="Sebastian"/>
    <s v="Powoj"/>
    <n v="31"/>
    <x v="11"/>
  </r>
  <r>
    <d v="2017-12-01T00:00:00"/>
    <s v="Joanna"/>
    <s v="Oleksiak"/>
    <n v="5"/>
    <x v="11"/>
  </r>
  <r>
    <d v="2017-12-04T00:00:00"/>
    <s v="Julia"/>
    <s v="Salanowska"/>
    <n v="18"/>
    <x v="11"/>
  </r>
  <r>
    <d v="2017-12-04T00:00:00"/>
    <s v="Piotr"/>
    <s v="Flis"/>
    <n v="13"/>
    <x v="11"/>
  </r>
  <r>
    <d v="2017-12-04T00:00:00"/>
    <s v="Anastazja"/>
    <s v="Borowska"/>
    <n v="55"/>
    <x v="11"/>
  </r>
  <r>
    <d v="2017-12-04T00:00:00"/>
    <s v="Maciej"/>
    <s v="Bugaj"/>
    <n v="12"/>
    <x v="11"/>
  </r>
  <r>
    <d v="2017-12-04T00:00:00"/>
    <s v="Katarzyna"/>
    <s v="Karnia"/>
    <n v="15"/>
    <x v="11"/>
  </r>
  <r>
    <d v="2017-12-04T00:00:00"/>
    <s v="Sebastian"/>
    <s v="Powoj"/>
    <n v="10"/>
    <x v="11"/>
  </r>
  <r>
    <d v="2017-12-04T00:00:00"/>
    <s v="Bonifacy"/>
    <s v="Pleszewski"/>
    <n v="6"/>
    <x v="11"/>
  </r>
  <r>
    <d v="2017-12-04T00:00:00"/>
    <s v="Konrad"/>
    <s v="Lipowski"/>
    <n v="9"/>
    <x v="11"/>
  </r>
  <r>
    <d v="2017-12-04T00:00:00"/>
    <s v="Patryk"/>
    <s v="Geszczynski"/>
    <n v="48"/>
    <x v="11"/>
  </r>
  <r>
    <d v="2017-12-05T00:00:00"/>
    <s v="Kazimierz"/>
    <s v="Bartosik"/>
    <n v="21"/>
    <x v="11"/>
  </r>
  <r>
    <d v="2017-12-05T00:00:00"/>
    <s v="Mariola"/>
    <s v="Mleczko"/>
    <n v="2"/>
    <x v="11"/>
  </r>
  <r>
    <d v="2017-12-05T00:00:00"/>
    <s v="Anna"/>
    <s v="Trzebiatowska"/>
    <n v="45"/>
    <x v="11"/>
  </r>
  <r>
    <d v="2017-12-05T00:00:00"/>
    <s v="Adrian"/>
    <s v="Baran"/>
    <n v="34"/>
    <x v="11"/>
  </r>
  <r>
    <d v="2017-12-05T00:00:00"/>
    <s v="Piotr"/>
    <s v="Felus"/>
    <n v="22"/>
    <x v="11"/>
  </r>
  <r>
    <d v="2017-12-05T00:00:00"/>
    <s v="Agata"/>
    <s v="Zgoda"/>
    <n v="6"/>
    <x v="11"/>
  </r>
  <r>
    <d v="2017-12-05T00:00:00"/>
    <s v="Przemyslaw"/>
    <s v="Widawski"/>
    <n v="19"/>
    <x v="11"/>
  </r>
  <r>
    <d v="2017-12-05T00:00:00"/>
    <s v="Patryk"/>
    <s v="Giemza"/>
    <n v="22"/>
    <x v="11"/>
  </r>
  <r>
    <d v="2017-12-05T00:00:00"/>
    <s v="Agnieszka"/>
    <s v="Kaminska"/>
    <n v="10"/>
    <x v="11"/>
  </r>
  <r>
    <d v="2017-12-06T00:00:00"/>
    <s v="Olgierd"/>
    <s v="Hazubski"/>
    <n v="20"/>
    <x v="11"/>
  </r>
  <r>
    <d v="2017-12-06T00:00:00"/>
    <s v="Lukasz"/>
    <s v="Gacek"/>
    <n v="40"/>
    <x v="11"/>
  </r>
  <r>
    <d v="2017-12-06T00:00:00"/>
    <s v="Stanislaw"/>
    <s v="Dabrowski"/>
    <n v="14"/>
    <x v="11"/>
  </r>
  <r>
    <d v="2017-12-06T00:00:00"/>
    <s v="Monika"/>
    <s v="Nowaczkiewicz"/>
    <n v="5"/>
    <x v="11"/>
  </r>
  <r>
    <d v="2017-12-06T00:00:00"/>
    <s v="Malgorzata"/>
    <s v="Malec"/>
    <n v="3"/>
    <x v="11"/>
  </r>
  <r>
    <d v="2017-12-06T00:00:00"/>
    <s v="Lidia"/>
    <s v="Tarnowska"/>
    <n v="14"/>
    <x v="11"/>
  </r>
  <r>
    <d v="2017-12-06T00:00:00"/>
    <s v="Maciej"/>
    <s v="Bugaj"/>
    <n v="7"/>
    <x v="11"/>
  </r>
  <r>
    <d v="2017-12-06T00:00:00"/>
    <s v="Jan"/>
    <s v="Jarek"/>
    <n v="24"/>
    <x v="11"/>
  </r>
  <r>
    <d v="2017-12-06T00:00:00"/>
    <s v="Katarzyna"/>
    <s v="Wip"/>
    <n v="39"/>
    <x v="11"/>
  </r>
  <r>
    <d v="2017-12-06T00:00:00"/>
    <s v="Borys"/>
    <s v="Biedal"/>
    <n v="9"/>
    <x v="11"/>
  </r>
  <r>
    <d v="2017-12-07T00:00:00"/>
    <s v="Adrian"/>
    <s v="Zawisza"/>
    <n v="17"/>
    <x v="11"/>
  </r>
  <r>
    <d v="2017-12-07T00:00:00"/>
    <s v="Ilona"/>
    <s v="Gorska"/>
    <n v="22"/>
    <x v="11"/>
  </r>
  <r>
    <d v="2017-12-07T00:00:00"/>
    <s v="Bruno"/>
    <s v="Tomczyk"/>
    <n v="12"/>
    <x v="11"/>
  </r>
  <r>
    <d v="2017-12-07T00:00:00"/>
    <s v="Krystyna"/>
    <s v="Szybki"/>
    <n v="7"/>
    <x v="11"/>
  </r>
  <r>
    <d v="2017-12-07T00:00:00"/>
    <s v="Jakub"/>
    <s v="Bracik"/>
    <n v="15"/>
    <x v="11"/>
  </r>
  <r>
    <d v="2017-12-07T00:00:00"/>
    <s v="Mariusz"/>
    <s v="Kornik"/>
    <n v="24"/>
    <x v="11"/>
  </r>
  <r>
    <d v="2017-12-07T00:00:00"/>
    <s v="Dominika"/>
    <s v="Szwec"/>
    <n v="49"/>
    <x v="11"/>
  </r>
  <r>
    <d v="2017-12-07T00:00:00"/>
    <s v="Paulina"/>
    <s v="Baranowska"/>
    <n v="12"/>
    <x v="11"/>
  </r>
  <r>
    <d v="2017-12-07T00:00:00"/>
    <s v="Kamila"/>
    <s v="Wolan"/>
    <n v="24"/>
    <x v="11"/>
  </r>
  <r>
    <d v="2017-12-07T00:00:00"/>
    <s v="Anna"/>
    <s v="Janowska"/>
    <n v="9"/>
    <x v="11"/>
  </r>
  <r>
    <d v="2017-12-08T00:00:00"/>
    <s v="Maciej"/>
    <s v="Lyszcz"/>
    <n v="6"/>
    <x v="11"/>
  </r>
  <r>
    <d v="2017-12-08T00:00:00"/>
    <s v="Renata"/>
    <s v="Kepa"/>
    <n v="5"/>
    <x v="11"/>
  </r>
  <r>
    <d v="2017-12-08T00:00:00"/>
    <s v="Maja"/>
    <s v="Lipka"/>
    <n v="9"/>
    <x v="11"/>
  </r>
  <r>
    <d v="2017-12-08T00:00:00"/>
    <s v="Kacper"/>
    <s v="Kowalski"/>
    <n v="15"/>
    <x v="11"/>
  </r>
  <r>
    <d v="2017-12-08T00:00:00"/>
    <s v="Olga"/>
    <s v="Paluszkiewicz"/>
    <n v="21"/>
    <x v="11"/>
  </r>
  <r>
    <d v="2017-12-08T00:00:00"/>
    <s v="Jakub"/>
    <s v="Radomski"/>
    <n v="2"/>
    <x v="11"/>
  </r>
  <r>
    <d v="2017-12-08T00:00:00"/>
    <s v="Jakub"/>
    <s v="Radziszewski"/>
    <n v="48"/>
    <x v="11"/>
  </r>
  <r>
    <d v="2017-12-08T00:00:00"/>
    <s v="Krzysztof"/>
    <s v="Wloch"/>
    <n v="3"/>
    <x v="11"/>
  </r>
  <r>
    <d v="2017-12-08T00:00:00"/>
    <s v="Martyna"/>
    <s v="Marmelowska"/>
    <n v="52"/>
    <x v="11"/>
  </r>
  <r>
    <d v="2017-12-08T00:00:00"/>
    <s v="Konrad"/>
    <s v="Lipowski"/>
    <n v="7"/>
    <x v="11"/>
  </r>
  <r>
    <d v="2017-12-11T00:00:00"/>
    <s v="Monika"/>
    <s v="Srubka"/>
    <n v="12"/>
    <x v="11"/>
  </r>
  <r>
    <d v="2017-12-11T00:00:00"/>
    <s v="Natalia"/>
    <s v="Wolny"/>
    <n v="5"/>
    <x v="11"/>
  </r>
  <r>
    <d v="2017-12-11T00:00:00"/>
    <s v="Kamila"/>
    <s v="Wolan"/>
    <n v="7"/>
    <x v="11"/>
  </r>
  <r>
    <d v="2017-12-11T00:00:00"/>
    <s v="Wojciech"/>
    <s v="Czyzewski"/>
    <n v="22"/>
    <x v="11"/>
  </r>
  <r>
    <d v="2017-12-11T00:00:00"/>
    <s v="Kamila"/>
    <s v="Bialkowska"/>
    <n v="5"/>
    <x v="11"/>
  </r>
  <r>
    <d v="2017-12-11T00:00:00"/>
    <s v="Hubert"/>
    <s v="Nowaczynski"/>
    <n v="9"/>
    <x v="11"/>
  </r>
  <r>
    <d v="2017-12-11T00:00:00"/>
    <s v="Kinga"/>
    <s v="Trawinska"/>
    <n v="4"/>
    <x v="11"/>
  </r>
  <r>
    <d v="2017-12-11T00:00:00"/>
    <s v="Lucja"/>
    <s v="Zych"/>
    <n v="31"/>
    <x v="11"/>
  </r>
  <r>
    <d v="2017-12-11T00:00:00"/>
    <s v="Monika"/>
    <s v="Bialkowska"/>
    <n v="16"/>
    <x v="11"/>
  </r>
  <r>
    <d v="2017-12-11T00:00:00"/>
    <s v="Marek"/>
    <s v="Zybert"/>
    <n v="21"/>
    <x v="11"/>
  </r>
  <r>
    <d v="2017-12-12T00:00:00"/>
    <s v="Pawel"/>
    <s v="Nowakowski"/>
    <n v="22"/>
    <x v="11"/>
  </r>
  <r>
    <d v="2017-12-12T00:00:00"/>
    <s v="Natalia"/>
    <s v="Belicka"/>
    <n v="20"/>
    <x v="11"/>
  </r>
  <r>
    <d v="2017-12-12T00:00:00"/>
    <s v="Karolina"/>
    <s v="Karpacka"/>
    <n v="24"/>
    <x v="11"/>
  </r>
  <r>
    <d v="2017-12-12T00:00:00"/>
    <s v="Ilona"/>
    <s v="Nowak"/>
    <n v="17"/>
    <x v="11"/>
  </r>
  <r>
    <d v="2017-12-12T00:00:00"/>
    <s v="Paulina"/>
    <s v="Baranowska"/>
    <n v="25"/>
    <x v="11"/>
  </r>
  <r>
    <d v="2017-12-12T00:00:00"/>
    <s v="Sebastian"/>
    <s v="Powoj"/>
    <n v="22"/>
    <x v="11"/>
  </r>
  <r>
    <d v="2017-12-12T00:00:00"/>
    <s v="Jan"/>
    <s v="Kwiatkowski"/>
    <n v="50"/>
    <x v="11"/>
  </r>
  <r>
    <d v="2017-12-12T00:00:00"/>
    <s v="Agnieszka"/>
    <s v="Kaminska"/>
    <n v="6"/>
    <x v="11"/>
  </r>
  <r>
    <d v="2017-12-12T00:00:00"/>
    <s v="Agata"/>
    <s v="Zdrojewska"/>
    <n v="27"/>
    <x v="11"/>
  </r>
  <r>
    <d v="2017-12-12T00:00:00"/>
    <s v="Lidia"/>
    <s v="Tarnowska"/>
    <n v="29"/>
    <x v="11"/>
  </r>
  <r>
    <d v="2017-12-13T00:00:00"/>
    <s v="Ilona"/>
    <s v="Nowak"/>
    <n v="12"/>
    <x v="11"/>
  </r>
  <r>
    <d v="2017-12-13T00:00:00"/>
    <s v="Justyna"/>
    <s v="Wysocka"/>
    <n v="28"/>
    <x v="11"/>
  </r>
  <r>
    <d v="2017-12-13T00:00:00"/>
    <s v="Dawid"/>
    <s v="Szreder"/>
    <n v="21"/>
    <x v="11"/>
  </r>
  <r>
    <d v="2017-12-13T00:00:00"/>
    <s v="Maciej"/>
    <s v="Siemiatkowski"/>
    <n v="19"/>
    <x v="11"/>
  </r>
  <r>
    <d v="2017-12-13T00:00:00"/>
    <s v="Wojciech"/>
    <s v="Wroblewski"/>
    <n v="29"/>
    <x v="11"/>
  </r>
  <r>
    <d v="2017-12-13T00:00:00"/>
    <s v="Aleksander"/>
    <s v="Pasternak"/>
    <n v="9"/>
    <x v="11"/>
  </r>
  <r>
    <d v="2017-12-13T00:00:00"/>
    <s v="Lucja"/>
    <s v="Zych"/>
    <n v="24"/>
    <x v="11"/>
  </r>
  <r>
    <d v="2017-12-13T00:00:00"/>
    <s v="Karolina"/>
    <s v="Perez"/>
    <n v="24"/>
    <x v="11"/>
  </r>
  <r>
    <d v="2017-12-13T00:00:00"/>
    <s v="Wojciech"/>
    <s v="Goc"/>
    <n v="8"/>
    <x v="11"/>
  </r>
  <r>
    <d v="2017-12-13T00:00:00"/>
    <s v="Magda"/>
    <s v="Makowicz"/>
    <n v="5"/>
    <x v="11"/>
  </r>
  <r>
    <d v="2017-12-14T00:00:00"/>
    <s v="Marek"/>
    <s v="Zybert"/>
    <n v="32"/>
    <x v="11"/>
  </r>
  <r>
    <d v="2017-12-14T00:00:00"/>
    <s v="Malgorzata"/>
    <s v="Malec"/>
    <n v="34"/>
    <x v="11"/>
  </r>
  <r>
    <d v="2017-12-14T00:00:00"/>
    <s v="Adam"/>
    <s v="Czarnecki"/>
    <n v="9"/>
    <x v="11"/>
  </r>
  <r>
    <d v="2017-12-14T00:00:00"/>
    <s v="Patrycja"/>
    <s v="Wcislo"/>
    <n v="49"/>
    <x v="11"/>
  </r>
  <r>
    <d v="2017-12-14T00:00:00"/>
    <s v="Kamila"/>
    <s v="Wolan"/>
    <n v="18"/>
    <x v="11"/>
  </r>
  <r>
    <d v="2017-12-14T00:00:00"/>
    <s v="Patrycja"/>
    <s v="Wcislo"/>
    <n v="56"/>
    <x v="11"/>
  </r>
  <r>
    <d v="2017-12-14T00:00:00"/>
    <s v="Zenon"/>
    <s v="Bartek"/>
    <n v="46"/>
    <x v="11"/>
  </r>
  <r>
    <d v="2017-12-14T00:00:00"/>
    <s v="Amelia"/>
    <s v="Wicher"/>
    <n v="11"/>
    <x v="11"/>
  </r>
  <r>
    <d v="2017-12-14T00:00:00"/>
    <s v="Inka"/>
    <s v="Sochacka"/>
    <n v="24"/>
    <x v="11"/>
  </r>
  <r>
    <d v="2017-12-14T00:00:00"/>
    <s v="Jan"/>
    <s v="Adamowicz"/>
    <n v="28"/>
    <x v="11"/>
  </r>
  <r>
    <d v="2017-12-15T00:00:00"/>
    <s v="Irena"/>
    <s v="Banasiewicz"/>
    <n v="29"/>
    <x v="11"/>
  </r>
  <r>
    <d v="2017-12-15T00:00:00"/>
    <s v="Protazy"/>
    <s v="Warszawski"/>
    <n v="4"/>
    <x v="11"/>
  </r>
  <r>
    <d v="2017-12-15T00:00:00"/>
    <s v="Bartosz"/>
    <s v="Tusinski"/>
    <n v="3"/>
    <x v="11"/>
  </r>
  <r>
    <d v="2017-12-15T00:00:00"/>
    <s v="Lucja"/>
    <s v="Zych"/>
    <n v="30"/>
    <x v="11"/>
  </r>
  <r>
    <d v="2017-12-15T00:00:00"/>
    <s v="Emilia"/>
    <s v="Szczepanska"/>
    <n v="4"/>
    <x v="11"/>
  </r>
  <r>
    <d v="2017-12-15T00:00:00"/>
    <s v="Karol"/>
    <s v="Wichrowski"/>
    <n v="21"/>
    <x v="11"/>
  </r>
  <r>
    <d v="2017-12-15T00:00:00"/>
    <s v="Lena"/>
    <s v="Miszkin"/>
    <n v="15"/>
    <x v="11"/>
  </r>
  <r>
    <d v="2017-12-15T00:00:00"/>
    <s v="Anna"/>
    <s v="Kosowicz"/>
    <n v="13"/>
    <x v="11"/>
  </r>
  <r>
    <d v="2017-12-15T00:00:00"/>
    <s v="Leon"/>
    <s v="Price"/>
    <n v="13"/>
    <x v="11"/>
  </r>
  <r>
    <d v="2017-12-15T00:00:00"/>
    <s v="Bernard"/>
    <s v="Madej"/>
    <n v="43"/>
    <x v="11"/>
  </r>
  <r>
    <d v="2017-12-18T00:00:00"/>
    <s v="Marek"/>
    <s v="Nowakowski"/>
    <n v="31"/>
    <x v="11"/>
  </r>
  <r>
    <d v="2017-12-18T00:00:00"/>
    <s v="Izabela"/>
    <s v="Draszczyk"/>
    <n v="34"/>
    <x v="11"/>
  </r>
  <r>
    <d v="2017-12-18T00:00:00"/>
    <s v="Przemyslaw"/>
    <s v="Bajewski"/>
    <n v="12"/>
    <x v="11"/>
  </r>
  <r>
    <d v="2017-12-18T00:00:00"/>
    <s v="Anita"/>
    <s v="Tych"/>
    <n v="10"/>
    <x v="11"/>
  </r>
  <r>
    <d v="2017-12-18T00:00:00"/>
    <s v="Teodor"/>
    <s v="Fornal"/>
    <n v="5"/>
    <x v="11"/>
  </r>
  <r>
    <d v="2017-12-18T00:00:00"/>
    <s v="Patrycja"/>
    <s v="Glowinska"/>
    <n v="4"/>
    <x v="11"/>
  </r>
  <r>
    <d v="2017-12-18T00:00:00"/>
    <s v="Marta"/>
    <s v="Kolodziejczyk"/>
    <n v="44"/>
    <x v="11"/>
  </r>
  <r>
    <d v="2017-12-18T00:00:00"/>
    <s v="Kacper"/>
    <s v="Nowak"/>
    <n v="32"/>
    <x v="11"/>
  </r>
  <r>
    <d v="2017-12-18T00:00:00"/>
    <s v="Paulina"/>
    <s v="Szklarska"/>
    <n v="11"/>
    <x v="11"/>
  </r>
  <r>
    <d v="2017-12-18T00:00:00"/>
    <s v="Natalia"/>
    <s v="Olkuska"/>
    <n v="33"/>
    <x v="11"/>
  </r>
  <r>
    <d v="2017-12-19T00:00:00"/>
    <s v="Jakub"/>
    <s v="Marszalek"/>
    <n v="56"/>
    <x v="11"/>
  </r>
  <r>
    <d v="2017-12-19T00:00:00"/>
    <s v="Edward"/>
    <s v="Snopek"/>
    <n v="3"/>
    <x v="11"/>
  </r>
  <r>
    <d v="2017-12-19T00:00:00"/>
    <s v="Edward"/>
    <s v="Zdunek"/>
    <n v="24"/>
    <x v="11"/>
  </r>
  <r>
    <d v="2017-12-19T00:00:00"/>
    <s v="Lucja"/>
    <s v="Zych"/>
    <n v="14"/>
    <x v="11"/>
  </r>
  <r>
    <d v="2017-12-19T00:00:00"/>
    <s v="Kacper"/>
    <s v="Pioro"/>
    <n v="42"/>
    <x v="11"/>
  </r>
  <r>
    <d v="2017-12-19T00:00:00"/>
    <s v="Adrian"/>
    <s v="Dulski"/>
    <n v="21"/>
    <x v="11"/>
  </r>
  <r>
    <d v="2017-12-19T00:00:00"/>
    <s v="Monika"/>
    <s v="Trojan"/>
    <n v="4"/>
    <x v="11"/>
  </r>
  <r>
    <d v="2017-12-19T00:00:00"/>
    <s v="Adelajda"/>
    <s v="Zylinska"/>
    <n v="41"/>
    <x v="11"/>
  </r>
  <r>
    <d v="2017-12-19T00:00:00"/>
    <s v="Leon"/>
    <s v="Price"/>
    <n v="51"/>
    <x v="11"/>
  </r>
  <r>
    <d v="2017-12-20T00:00:00"/>
    <s v="Julia"/>
    <s v="Samulczyk"/>
    <n v="29"/>
    <x v="11"/>
  </r>
  <r>
    <d v="2017-12-20T00:00:00"/>
    <s v="Maciej"/>
    <s v="Wodecki"/>
    <n v="29"/>
    <x v="11"/>
  </r>
  <r>
    <d v="2017-12-20T00:00:00"/>
    <s v="Angelika"/>
    <s v="Walaszek"/>
    <n v="22"/>
    <x v="11"/>
  </r>
  <r>
    <d v="2017-12-20T00:00:00"/>
    <s v="Katarzyna"/>
    <s v="Wip"/>
    <n v="4"/>
    <x v="11"/>
  </r>
  <r>
    <d v="2017-12-20T00:00:00"/>
    <s v="Grzegorz"/>
    <s v="Jackowski"/>
    <n v="34"/>
    <x v="11"/>
  </r>
  <r>
    <d v="2017-12-20T00:00:00"/>
    <s v="Adrian"/>
    <s v="Dulski"/>
    <n v="6"/>
    <x v="11"/>
  </r>
  <r>
    <d v="2017-12-20T00:00:00"/>
    <s v="Tomasz"/>
    <s v="Zbik"/>
    <n v="11"/>
    <x v="11"/>
  </r>
  <r>
    <d v="2017-12-20T00:00:00"/>
    <s v="Andrea"/>
    <s v="Witkowska"/>
    <n v="9"/>
    <x v="11"/>
  </r>
  <r>
    <d v="2017-12-20T00:00:00"/>
    <s v="Wojciech"/>
    <s v="Filipowicz"/>
    <n v="21"/>
    <x v="11"/>
  </r>
  <r>
    <d v="2017-12-21T00:00:00"/>
    <s v="Urszula"/>
    <s v="Engel"/>
    <n v="26"/>
    <x v="11"/>
  </r>
  <r>
    <d v="2017-12-21T00:00:00"/>
    <s v="Olgierd"/>
    <s v="Baranek"/>
    <n v="4"/>
    <x v="11"/>
  </r>
  <r>
    <d v="2017-12-21T00:00:00"/>
    <s v="Maciej"/>
    <s v="Tasz"/>
    <n v="18"/>
    <x v="11"/>
  </r>
  <r>
    <d v="2017-12-21T00:00:00"/>
    <s v="Krzysztof"/>
    <s v="Wloch"/>
    <n v="27"/>
    <x v="11"/>
  </r>
  <r>
    <d v="2017-12-21T00:00:00"/>
    <s v="Bernard"/>
    <s v="Madej"/>
    <n v="15"/>
    <x v="11"/>
  </r>
  <r>
    <d v="2017-12-21T00:00:00"/>
    <s v="Wojciech"/>
    <s v="Goc"/>
    <n v="50"/>
    <x v="11"/>
  </r>
  <r>
    <d v="2017-12-21T00:00:00"/>
    <s v="Krzysztof"/>
    <s v="Madejski"/>
    <n v="13"/>
    <x v="11"/>
  </r>
  <r>
    <d v="2017-12-21T00:00:00"/>
    <s v="Antoni"/>
    <s v="Wierzbicki"/>
    <n v="27"/>
    <x v="11"/>
  </r>
  <r>
    <d v="2017-12-21T00:00:00"/>
    <s v="Stanislaw"/>
    <s v="Derek"/>
    <n v="7"/>
    <x v="11"/>
  </r>
  <r>
    <d v="2017-12-22T00:00:00"/>
    <s v="Katarzyna"/>
    <s v="Aniec"/>
    <n v="26"/>
    <x v="11"/>
  </r>
  <r>
    <d v="2017-12-22T00:00:00"/>
    <s v="Anna"/>
    <s v="Minska"/>
    <n v="16"/>
    <x v="11"/>
  </r>
  <r>
    <d v="2017-12-22T00:00:00"/>
    <s v="Maria"/>
    <s v="Opolska"/>
    <n v="45"/>
    <x v="11"/>
  </r>
  <r>
    <d v="2017-12-22T00:00:00"/>
    <s v="Maksymilian"/>
    <s v="Lewita"/>
    <n v="34"/>
    <x v="11"/>
  </r>
  <r>
    <d v="2017-12-22T00:00:00"/>
    <s v="Piotr"/>
    <s v="Duszota"/>
    <n v="10"/>
    <x v="11"/>
  </r>
  <r>
    <d v="2017-12-22T00:00:00"/>
    <s v="Leslaw"/>
    <s v="Kupis"/>
    <n v="55"/>
    <x v="11"/>
  </r>
  <r>
    <d v="2017-12-22T00:00:00"/>
    <s v="Filip"/>
    <s v="Spychala"/>
    <n v="17"/>
    <x v="11"/>
  </r>
  <r>
    <d v="2017-12-22T00:00:00"/>
    <s v="Jaroslaw"/>
    <s v="Kopiec"/>
    <n v="13"/>
    <x v="11"/>
  </r>
  <r>
    <d v="2017-12-22T00:00:00"/>
    <s v="Wojciech"/>
    <s v="Kulakowski"/>
    <n v="55"/>
    <x v="11"/>
  </r>
  <r>
    <d v="2017-12-27T00:00:00"/>
    <s v="Jan"/>
    <s v="Inny"/>
    <n v="45"/>
    <x v="11"/>
  </r>
  <r>
    <d v="2017-12-27T00:00:00"/>
    <s v="Bohdan"/>
    <s v="Gigant"/>
    <n v="8"/>
    <x v="11"/>
  </r>
  <r>
    <d v="2017-12-27T00:00:00"/>
    <s v="Tomasz"/>
    <s v="Zbik"/>
    <n v="6"/>
    <x v="11"/>
  </r>
  <r>
    <d v="2017-12-27T00:00:00"/>
    <s v="Kinga"/>
    <s v="Famura"/>
    <n v="11"/>
    <x v="11"/>
  </r>
  <r>
    <d v="2017-12-27T00:00:00"/>
    <s v="Marlena"/>
    <s v="Mazar"/>
    <n v="29"/>
    <x v="11"/>
  </r>
  <r>
    <d v="2017-12-27T00:00:00"/>
    <s v="Jerzy"/>
    <s v="Pawiec"/>
    <n v="10"/>
    <x v="11"/>
  </r>
  <r>
    <d v="2017-12-27T00:00:00"/>
    <s v="Jan"/>
    <s v="Kildanowski"/>
    <n v="38"/>
    <x v="11"/>
  </r>
  <r>
    <d v="2017-12-27T00:00:00"/>
    <s v="Adam"/>
    <s v="Borkowski"/>
    <n v="8"/>
    <x v="11"/>
  </r>
  <r>
    <d v="2017-12-27T00:00:00"/>
    <s v="Patryk"/>
    <s v="Glac"/>
    <n v="19"/>
    <x v="11"/>
  </r>
  <r>
    <d v="2017-12-28T00:00:00"/>
    <s v="Jerzy"/>
    <s v="Pawiec"/>
    <n v="22"/>
    <x v="11"/>
  </r>
  <r>
    <d v="2017-12-28T00:00:00"/>
    <s v="Dorota"/>
    <s v="Tarnowska"/>
    <n v="12"/>
    <x v="11"/>
  </r>
  <r>
    <d v="2017-12-28T00:00:00"/>
    <s v="Janusz"/>
    <s v="Wrobel"/>
    <n v="7"/>
    <x v="11"/>
  </r>
  <r>
    <d v="2017-12-28T00:00:00"/>
    <s v="Jakub"/>
    <s v="Porydzaj"/>
    <n v="17"/>
    <x v="11"/>
  </r>
  <r>
    <d v="2017-12-28T00:00:00"/>
    <s v="Krzysztof"/>
    <s v="Wloch"/>
    <n v="29"/>
    <x v="11"/>
  </r>
  <r>
    <d v="2017-12-28T00:00:00"/>
    <s v="Beata"/>
    <s v="Mirowska"/>
    <n v="9"/>
    <x v="11"/>
  </r>
  <r>
    <d v="2017-12-28T00:00:00"/>
    <s v="Julian"/>
    <s v="Lisowski"/>
    <n v="21"/>
    <x v="11"/>
  </r>
  <r>
    <d v="2017-12-28T00:00:00"/>
    <s v="Lena"/>
    <s v="Mrozik"/>
    <n v="10"/>
    <x v="11"/>
  </r>
  <r>
    <d v="2017-12-28T00:00:00"/>
    <s v="Beata"/>
    <s v="Lubelska"/>
    <n v="30"/>
    <x v="11"/>
  </r>
  <r>
    <d v="2017-12-29T00:00:00"/>
    <s v="Dominik"/>
    <s v="Szczucki"/>
    <n v="14"/>
    <x v="11"/>
  </r>
  <r>
    <d v="2017-12-29T00:00:00"/>
    <s v="Monika"/>
    <s v="Bialkowska"/>
    <n v="15"/>
    <x v="11"/>
  </r>
  <r>
    <d v="2017-12-29T00:00:00"/>
    <s v="Balbina"/>
    <s v="Boryczko"/>
    <n v="24"/>
    <x v="11"/>
  </r>
  <r>
    <d v="2017-12-29T00:00:00"/>
    <s v="Karolina"/>
    <s v="Welc"/>
    <n v="26"/>
    <x v="11"/>
  </r>
  <r>
    <d v="2017-12-29T00:00:00"/>
    <s v="Marek"/>
    <s v="Janowski"/>
    <n v="22"/>
    <x v="11"/>
  </r>
  <r>
    <d v="2017-12-29T00:00:00"/>
    <s v="Maria"/>
    <s v="Orlicka"/>
    <n v="35"/>
    <x v="11"/>
  </r>
  <r>
    <d v="2017-12-29T00:00:00"/>
    <s v="Przemyslaw"/>
    <s v="Bajewski"/>
    <n v="21"/>
    <x v="11"/>
  </r>
  <r>
    <d v="2017-12-29T00:00:00"/>
    <s v="Jaroslaw"/>
    <s v="Bicz"/>
    <n v="16"/>
    <x v="11"/>
  </r>
  <r>
    <d v="2017-12-29T00:00:00"/>
    <s v="Karolina"/>
    <s v="Bok"/>
    <n v="48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">
  <r>
    <d v="2017-01-02T00:00:00"/>
    <s v="Agnieszka"/>
    <s v="Polak"/>
    <n v="2"/>
    <x v="0"/>
  </r>
  <r>
    <d v="2017-01-02T00:00:00"/>
    <s v="Klaudia"/>
    <s v="Myk"/>
    <n v="51"/>
    <x v="1"/>
  </r>
  <r>
    <d v="2017-01-02T00:00:00"/>
    <s v="Agata"/>
    <s v="Kwiatkowska"/>
    <n v="41"/>
    <x v="2"/>
  </r>
  <r>
    <d v="2017-01-02T00:00:00"/>
    <s v="Katarzyna"/>
    <s v="Zmokly"/>
    <n v="7"/>
    <x v="3"/>
  </r>
  <r>
    <d v="2017-01-02T00:00:00"/>
    <s v="Maja"/>
    <s v="Kulkowska"/>
    <n v="46"/>
    <x v="4"/>
  </r>
  <r>
    <d v="2017-01-02T00:00:00"/>
    <s v="Patryk"/>
    <s v="Giemza"/>
    <n v="12"/>
    <x v="5"/>
  </r>
  <r>
    <d v="2017-01-02T00:00:00"/>
    <s v="Balbina"/>
    <s v="Boryczko"/>
    <n v="54"/>
    <x v="6"/>
  </r>
  <r>
    <d v="2017-01-02T00:00:00"/>
    <s v="Filip"/>
    <s v="Spychala"/>
    <n v="55"/>
    <x v="7"/>
  </r>
  <r>
    <d v="2017-01-02T00:00:00"/>
    <s v="Borys"/>
    <s v="Myszor"/>
    <n v="45"/>
    <x v="8"/>
  </r>
  <r>
    <d v="2017-01-02T00:00:00"/>
    <s v="Agnieszka"/>
    <s v="Mala"/>
    <n v="3"/>
    <x v="9"/>
  </r>
  <r>
    <d v="2017-01-03T00:00:00"/>
    <s v="Alicja"/>
    <s v="Gadek"/>
    <n v="6"/>
    <x v="10"/>
  </r>
  <r>
    <d v="2017-01-03T00:00:00"/>
    <s v="Leon"/>
    <s v="Szybki"/>
    <n v="23"/>
    <x v="11"/>
  </r>
  <r>
    <d v="2017-01-03T00:00:00"/>
    <s v="Jerzy"/>
    <s v="Polanicki"/>
    <n v="53"/>
    <x v="12"/>
  </r>
  <r>
    <d v="2017-01-03T00:00:00"/>
    <s v="Filip"/>
    <s v="Spanowski"/>
    <n v="15"/>
    <x v="13"/>
  </r>
  <r>
    <d v="2017-01-03T00:00:00"/>
    <s v="Maciej"/>
    <s v="Lyszcz"/>
    <n v="44"/>
    <x v="14"/>
  </r>
  <r>
    <d v="2017-01-03T00:00:00"/>
    <s v="Daria"/>
    <s v="Zagrobna"/>
    <n v="14"/>
    <x v="15"/>
  </r>
  <r>
    <d v="2017-01-03T00:00:00"/>
    <s v="Julia"/>
    <s v="Rutkiewicz"/>
    <n v="26"/>
    <x v="16"/>
  </r>
  <r>
    <d v="2017-01-03T00:00:00"/>
    <s v="Piotr"/>
    <s v="Bialaszewski"/>
    <n v="19"/>
    <x v="17"/>
  </r>
  <r>
    <d v="2017-01-03T00:00:00"/>
    <s v="Maja"/>
    <s v="Lipka"/>
    <n v="14"/>
    <x v="18"/>
  </r>
  <r>
    <d v="2017-01-04T00:00:00"/>
    <s v="Jakub"/>
    <s v="Jedruszek"/>
    <n v="56"/>
    <x v="19"/>
  </r>
  <r>
    <d v="2017-01-04T00:00:00"/>
    <s v="Marta"/>
    <s v="Opolska"/>
    <n v="20"/>
    <x v="20"/>
  </r>
  <r>
    <d v="2017-01-04T00:00:00"/>
    <s v="Andrzej"/>
    <s v="Moldawiec"/>
    <n v="28"/>
    <x v="21"/>
  </r>
  <r>
    <d v="2017-01-04T00:00:00"/>
    <s v="Zuzanna"/>
    <s v="Malicki"/>
    <n v="24"/>
    <x v="22"/>
  </r>
  <r>
    <d v="2017-01-04T00:00:00"/>
    <s v="Marek"/>
    <s v="Bednarski"/>
    <n v="21"/>
    <x v="23"/>
  </r>
  <r>
    <d v="2017-01-04T00:00:00"/>
    <s v="Sebastian"/>
    <s v="Powoj"/>
    <n v="16"/>
    <x v="24"/>
  </r>
  <r>
    <d v="2017-01-04T00:00:00"/>
    <s v="Barbara"/>
    <s v="Podobinska"/>
    <n v="8"/>
    <x v="25"/>
  </r>
  <r>
    <d v="2017-01-04T00:00:00"/>
    <s v="Wieslawa"/>
    <s v="Koniec"/>
    <n v="41"/>
    <x v="26"/>
  </r>
  <r>
    <d v="2017-01-04T00:00:00"/>
    <s v="Anna"/>
    <s v="Kosowicz"/>
    <n v="9"/>
    <x v="27"/>
  </r>
  <r>
    <d v="2017-01-05T00:00:00"/>
    <s v="Patrycja"/>
    <s v="Glowinska"/>
    <n v="19"/>
    <x v="28"/>
  </r>
  <r>
    <d v="2017-01-05T00:00:00"/>
    <s v="Laura"/>
    <s v="Chmielewska"/>
    <n v="33"/>
    <x v="29"/>
  </r>
  <r>
    <d v="2017-01-05T00:00:00"/>
    <s v="Malwina"/>
    <s v="Korzeniowska"/>
    <n v="29"/>
    <x v="30"/>
  </r>
  <r>
    <d v="2017-01-05T00:00:00"/>
    <s v="Adrian"/>
    <s v="Zawisza"/>
    <n v="27"/>
    <x v="31"/>
  </r>
  <r>
    <d v="2017-01-05T00:00:00"/>
    <s v="Michal"/>
    <s v="Kirwiel"/>
    <n v="23"/>
    <x v="32"/>
  </r>
  <r>
    <d v="2017-01-05T00:00:00"/>
    <s v="Bartosz"/>
    <s v="Protasow"/>
    <n v="50"/>
    <x v="33"/>
  </r>
  <r>
    <d v="2017-01-05T00:00:00"/>
    <s v="Adam"/>
    <s v="Wata"/>
    <n v="15"/>
    <x v="34"/>
  </r>
  <r>
    <d v="2017-01-05T00:00:00"/>
    <s v="Andrzej"/>
    <s v="Augustowski"/>
    <n v="18"/>
    <x v="35"/>
  </r>
  <r>
    <d v="2017-01-05T00:00:00"/>
    <s v="Teodor"/>
    <s v="Fornal"/>
    <n v="2"/>
    <x v="36"/>
  </r>
  <r>
    <d v="2017-01-06T00:00:00"/>
    <s v="Bartosz"/>
    <s v="Protasow"/>
    <n v="23"/>
    <x v="33"/>
  </r>
  <r>
    <d v="2017-01-06T00:00:00"/>
    <s v="Filip"/>
    <s v="Strack"/>
    <n v="22"/>
    <x v="37"/>
  </r>
  <r>
    <d v="2017-01-06T00:00:00"/>
    <s v="Hanna"/>
    <s v="Stanislawska"/>
    <n v="17"/>
    <x v="38"/>
  </r>
  <r>
    <d v="2017-01-06T00:00:00"/>
    <s v="Maja"/>
    <s v="Lipka"/>
    <n v="19"/>
    <x v="18"/>
  </r>
  <r>
    <d v="2017-01-06T00:00:00"/>
    <s v="Hubert"/>
    <s v="Smyk"/>
    <n v="43"/>
    <x v="39"/>
  </r>
  <r>
    <d v="2017-01-06T00:00:00"/>
    <s v="Adelajda"/>
    <s v="Zylinska"/>
    <n v="22"/>
    <x v="40"/>
  </r>
  <r>
    <d v="2017-01-06T00:00:00"/>
    <s v="Karol"/>
    <s v="Felisiak"/>
    <n v="29"/>
    <x v="41"/>
  </r>
  <r>
    <d v="2017-01-06T00:00:00"/>
    <s v="Jan"/>
    <s v="Gacek"/>
    <n v="26"/>
    <x v="42"/>
  </r>
  <r>
    <d v="2017-01-06T00:00:00"/>
    <s v="Hubert"/>
    <s v="Nowaczynski"/>
    <n v="53"/>
    <x v="43"/>
  </r>
  <r>
    <d v="2017-01-09T00:00:00"/>
    <s v="Maciej"/>
    <s v="Kowalski"/>
    <n v="20"/>
    <x v="44"/>
  </r>
  <r>
    <d v="2017-01-09T00:00:00"/>
    <s v="Ewa"/>
    <s v="Stoch"/>
    <n v="26"/>
    <x v="45"/>
  </r>
  <r>
    <d v="2017-01-09T00:00:00"/>
    <s v="Maciej"/>
    <s v="Machalski"/>
    <n v="36"/>
    <x v="46"/>
  </r>
  <r>
    <d v="2017-01-09T00:00:00"/>
    <s v="Julia"/>
    <s v="Reclaw"/>
    <n v="11"/>
    <x v="47"/>
  </r>
  <r>
    <d v="2017-01-09T00:00:00"/>
    <s v="Marek"/>
    <s v="Sznuk"/>
    <n v="52"/>
    <x v="48"/>
  </r>
  <r>
    <d v="2017-01-09T00:00:00"/>
    <s v="Paulina"/>
    <s v="Szklarska"/>
    <n v="11"/>
    <x v="49"/>
  </r>
  <r>
    <d v="2017-01-09T00:00:00"/>
    <s v="Jerzy"/>
    <s v="Czajkowski"/>
    <n v="11"/>
    <x v="50"/>
  </r>
  <r>
    <d v="2017-01-09T00:00:00"/>
    <s v="Jerzy"/>
    <s v="Czajkowski"/>
    <n v="10"/>
    <x v="50"/>
  </r>
  <r>
    <d v="2017-01-09T00:00:00"/>
    <s v="Dominik"/>
    <s v="Szczucki"/>
    <n v="8"/>
    <x v="51"/>
  </r>
  <r>
    <d v="2017-01-10T00:00:00"/>
    <s v="Andrzej"/>
    <s v="Moldawiec"/>
    <n v="13"/>
    <x v="21"/>
  </r>
  <r>
    <d v="2017-01-10T00:00:00"/>
    <s v="Mateusz"/>
    <s v="Karpowicz"/>
    <n v="16"/>
    <x v="52"/>
  </r>
  <r>
    <d v="2017-01-10T00:00:00"/>
    <s v="Sandra"/>
    <s v="Filarska"/>
    <n v="46"/>
    <x v="53"/>
  </r>
  <r>
    <d v="2017-01-10T00:00:00"/>
    <s v="Maria"/>
    <s v="Borowska"/>
    <n v="41"/>
    <x v="54"/>
  </r>
  <r>
    <d v="2017-01-10T00:00:00"/>
    <s v="Jakub"/>
    <s v="Potocki"/>
    <n v="26"/>
    <x v="55"/>
  </r>
  <r>
    <d v="2017-01-10T00:00:00"/>
    <s v="Karol"/>
    <s v="Dziuk"/>
    <n v="22"/>
    <x v="56"/>
  </r>
  <r>
    <d v="2017-01-10T00:00:00"/>
    <s v="Adrian"/>
    <s v="Dulski"/>
    <n v="6"/>
    <x v="57"/>
  </r>
  <r>
    <d v="2017-01-10T00:00:00"/>
    <s v="Lena"/>
    <s v="Mazurkiewicz"/>
    <n v="24"/>
    <x v="58"/>
  </r>
  <r>
    <d v="2017-01-10T00:00:00"/>
    <s v="Andrzej"/>
    <s v="Augustowski"/>
    <n v="11"/>
    <x v="35"/>
  </r>
  <r>
    <d v="2017-01-11T00:00:00"/>
    <s v="Sebastian"/>
    <s v="Powoj"/>
    <n v="16"/>
    <x v="24"/>
  </r>
  <r>
    <d v="2017-01-11T00:00:00"/>
    <s v="Adam"/>
    <s v="Susel"/>
    <n v="8"/>
    <x v="59"/>
  </r>
  <r>
    <d v="2017-01-11T00:00:00"/>
    <s v="Maciej"/>
    <s v="Siemiatkowski"/>
    <n v="27"/>
    <x v="60"/>
  </r>
  <r>
    <d v="2017-01-11T00:00:00"/>
    <s v="Jan"/>
    <s v="Inny"/>
    <n v="9"/>
    <x v="61"/>
  </r>
  <r>
    <d v="2017-01-11T00:00:00"/>
    <s v="Jakub"/>
    <s v="Rembisz"/>
    <n v="32"/>
    <x v="62"/>
  </r>
  <r>
    <d v="2017-01-11T00:00:00"/>
    <s v="Seweryn"/>
    <s v="Krakowski"/>
    <n v="55"/>
    <x v="63"/>
  </r>
  <r>
    <d v="2017-01-11T00:00:00"/>
    <s v="Hubert"/>
    <s v="Nowaczynski"/>
    <n v="18"/>
    <x v="43"/>
  </r>
  <r>
    <d v="2017-01-11T00:00:00"/>
    <s v="Jaroslaw"/>
    <s v="Bicz"/>
    <n v="46"/>
    <x v="64"/>
  </r>
  <r>
    <d v="2017-01-11T00:00:00"/>
    <s v="Michal"/>
    <s v="Nowicki"/>
    <n v="17"/>
    <x v="65"/>
  </r>
  <r>
    <d v="2017-01-12T00:00:00"/>
    <s v="Edward"/>
    <s v="Snopek"/>
    <n v="43"/>
    <x v="66"/>
  </r>
  <r>
    <d v="2017-01-12T00:00:00"/>
    <s v="Kamil"/>
    <s v="Naderka"/>
    <n v="17"/>
    <x v="67"/>
  </r>
  <r>
    <d v="2017-01-12T00:00:00"/>
    <s v="Justyna"/>
    <s v="Pozarzycka"/>
    <n v="21"/>
    <x v="68"/>
  </r>
  <r>
    <d v="2017-01-12T00:00:00"/>
    <s v="Borys"/>
    <s v="Biedal"/>
    <n v="27"/>
    <x v="69"/>
  </r>
  <r>
    <d v="2017-01-12T00:00:00"/>
    <s v="Ewa"/>
    <s v="Tysz"/>
    <n v="22"/>
    <x v="70"/>
  </r>
  <r>
    <d v="2017-01-12T00:00:00"/>
    <s v="Anna"/>
    <s v="Minska"/>
    <n v="46"/>
    <x v="71"/>
  </r>
  <r>
    <d v="2017-01-12T00:00:00"/>
    <s v="Adelajda"/>
    <s v="Zylinska"/>
    <n v="15"/>
    <x v="40"/>
  </r>
  <r>
    <d v="2017-01-12T00:00:00"/>
    <s v="Wieslaw"/>
    <s v="Kasza"/>
    <n v="30"/>
    <x v="72"/>
  </r>
  <r>
    <d v="2017-01-12T00:00:00"/>
    <s v="Wojciech"/>
    <s v="Katowicki"/>
    <n v="31"/>
    <x v="73"/>
  </r>
  <r>
    <d v="2017-01-13T00:00:00"/>
    <s v="Kamil"/>
    <s v="Naderka"/>
    <n v="5"/>
    <x v="67"/>
  </r>
  <r>
    <d v="2017-01-13T00:00:00"/>
    <s v="Mateusz"/>
    <s v="Sardo"/>
    <n v="26"/>
    <x v="74"/>
  </r>
  <r>
    <d v="2017-01-13T00:00:00"/>
    <s v="Ewelina"/>
    <s v="Gorecka"/>
    <n v="10"/>
    <x v="75"/>
  </r>
  <r>
    <d v="2017-01-13T00:00:00"/>
    <s v="Dominika"/>
    <s v="Nowakowska"/>
    <n v="29"/>
    <x v="76"/>
  </r>
  <r>
    <d v="2017-01-13T00:00:00"/>
    <s v="Patrycja"/>
    <s v="Augustowska"/>
    <n v="40"/>
    <x v="77"/>
  </r>
  <r>
    <d v="2017-01-13T00:00:00"/>
    <s v="Jan"/>
    <s v="Kaczorowski"/>
    <n v="21"/>
    <x v="78"/>
  </r>
  <r>
    <d v="2017-01-13T00:00:00"/>
    <s v="Stanislaw"/>
    <s v="Derek"/>
    <n v="14"/>
    <x v="79"/>
  </r>
  <r>
    <d v="2017-01-13T00:00:00"/>
    <s v="Mariola"/>
    <s v="Las"/>
    <n v="26"/>
    <x v="80"/>
  </r>
  <r>
    <d v="2017-01-13T00:00:00"/>
    <s v="Joanna"/>
    <s v="Baranska"/>
    <n v="8"/>
    <x v="81"/>
  </r>
  <r>
    <d v="2017-01-16T00:00:00"/>
    <s v="Przemyslaw"/>
    <s v="Marek"/>
    <n v="56"/>
    <x v="82"/>
  </r>
  <r>
    <d v="2017-01-16T00:00:00"/>
    <s v="Maria"/>
    <s v="Borowska"/>
    <n v="3"/>
    <x v="54"/>
  </r>
  <r>
    <d v="2017-01-16T00:00:00"/>
    <s v="Aleksander"/>
    <s v="Wojciechowski"/>
    <n v="47"/>
    <x v="83"/>
  </r>
  <r>
    <d v="2017-01-16T00:00:00"/>
    <s v="Leon"/>
    <s v="Price"/>
    <n v="19"/>
    <x v="84"/>
  </r>
  <r>
    <d v="2017-01-16T00:00:00"/>
    <s v="Mariusz"/>
    <s v="Brydzinski"/>
    <n v="14"/>
    <x v="85"/>
  </r>
  <r>
    <d v="2017-01-16T00:00:00"/>
    <s v="Jan"/>
    <s v="Bikot"/>
    <n v="47"/>
    <x v="86"/>
  </r>
  <r>
    <d v="2017-01-16T00:00:00"/>
    <s v="Krzysztof"/>
    <s v="Konieckiewicz"/>
    <n v="13"/>
    <x v="87"/>
  </r>
  <r>
    <d v="2017-01-16T00:00:00"/>
    <s v="Natalia"/>
    <s v="Belicka"/>
    <n v="27"/>
    <x v="88"/>
  </r>
  <r>
    <d v="2017-01-16T00:00:00"/>
    <s v="Ewa"/>
    <s v="Wojna"/>
    <n v="23"/>
    <x v="89"/>
  </r>
  <r>
    <d v="2017-01-17T00:00:00"/>
    <s v="Jacek"/>
    <s v="Ciosinski"/>
    <n v="39"/>
    <x v="90"/>
  </r>
  <r>
    <d v="2017-01-17T00:00:00"/>
    <s v="Jolanta"/>
    <s v="Bicz"/>
    <n v="19"/>
    <x v="91"/>
  </r>
  <r>
    <d v="2017-01-17T00:00:00"/>
    <s v="Jakub"/>
    <s v="Ręczmin"/>
    <n v="17"/>
    <x v="92"/>
  </r>
  <r>
    <d v="2017-01-17T00:00:00"/>
    <s v="Michal"/>
    <s v="Norek"/>
    <n v="30"/>
    <x v="93"/>
  </r>
  <r>
    <d v="2017-01-17T00:00:00"/>
    <s v="Julia"/>
    <s v="Stuhr"/>
    <n v="22"/>
    <x v="94"/>
  </r>
  <r>
    <d v="2017-01-17T00:00:00"/>
    <s v="Anita"/>
    <s v="Pawelczyk"/>
    <n v="8"/>
    <x v="95"/>
  </r>
  <r>
    <d v="2017-01-17T00:00:00"/>
    <s v="Alicja"/>
    <s v="Chmiel"/>
    <n v="20"/>
    <x v="96"/>
  </r>
  <r>
    <d v="2017-01-17T00:00:00"/>
    <s v="Jakub"/>
    <s v="Jedruszek"/>
    <n v="20"/>
    <x v="19"/>
  </r>
  <r>
    <d v="2017-01-17T00:00:00"/>
    <s v="Jakub"/>
    <s v="Waniek"/>
    <n v="29"/>
    <x v="97"/>
  </r>
  <r>
    <d v="2017-01-18T00:00:00"/>
    <s v="Karol"/>
    <s v="Milek"/>
    <n v="42"/>
    <x v="98"/>
  </r>
  <r>
    <d v="2017-01-18T00:00:00"/>
    <s v="Piotr"/>
    <s v="Flis"/>
    <n v="4"/>
    <x v="99"/>
  </r>
  <r>
    <d v="2017-01-18T00:00:00"/>
    <s v="Wanda"/>
    <s v="Sadza"/>
    <n v="3"/>
    <x v="100"/>
  </r>
  <r>
    <d v="2017-01-18T00:00:00"/>
    <s v="Aleks"/>
    <s v="Wojcik"/>
    <n v="39"/>
    <x v="101"/>
  </r>
  <r>
    <d v="2017-01-18T00:00:00"/>
    <s v="Zofia"/>
    <s v="Janczy"/>
    <n v="51"/>
    <x v="102"/>
  </r>
  <r>
    <d v="2017-01-18T00:00:00"/>
    <s v="Jaroslaw"/>
    <s v="Kopiec"/>
    <n v="8"/>
    <x v="103"/>
  </r>
  <r>
    <d v="2017-01-18T00:00:00"/>
    <s v="Dorota"/>
    <s v="Adamus"/>
    <n v="22"/>
    <x v="104"/>
  </r>
  <r>
    <d v="2017-01-18T00:00:00"/>
    <s v="Kinga"/>
    <s v="Kleszcz"/>
    <n v="15"/>
    <x v="105"/>
  </r>
  <r>
    <d v="2017-01-18T00:00:00"/>
    <s v="Malgorzata"/>
    <s v="Wiecek"/>
    <n v="10"/>
    <x v="106"/>
  </r>
  <r>
    <d v="2017-01-19T00:00:00"/>
    <s v="Piotr"/>
    <s v="Felus"/>
    <n v="21"/>
    <x v="107"/>
  </r>
  <r>
    <d v="2017-01-19T00:00:00"/>
    <s v="Mateusz"/>
    <s v="Uklej"/>
    <n v="34"/>
    <x v="108"/>
  </r>
  <r>
    <d v="2017-01-19T00:00:00"/>
    <s v="Julia"/>
    <s v="Kielecka"/>
    <n v="43"/>
    <x v="109"/>
  </r>
  <r>
    <d v="2017-01-19T00:00:00"/>
    <s v="Jaroslaw"/>
    <s v="Kopiec"/>
    <n v="24"/>
    <x v="103"/>
  </r>
  <r>
    <d v="2017-01-19T00:00:00"/>
    <s v="Edward"/>
    <s v="Zdunek"/>
    <n v="29"/>
    <x v="110"/>
  </r>
  <r>
    <d v="2017-01-19T00:00:00"/>
    <s v="Anna"/>
    <s v="Trzebiatowska"/>
    <n v="5"/>
    <x v="111"/>
  </r>
  <r>
    <d v="2017-01-19T00:00:00"/>
    <s v="Marta"/>
    <s v="Opolska"/>
    <n v="54"/>
    <x v="20"/>
  </r>
  <r>
    <d v="2017-01-19T00:00:00"/>
    <s v="Maciej"/>
    <s v="Laskowski"/>
    <n v="29"/>
    <x v="112"/>
  </r>
  <r>
    <d v="2017-01-19T00:00:00"/>
    <s v="Jacek"/>
    <s v="Szypulski"/>
    <n v="4"/>
    <x v="113"/>
  </r>
  <r>
    <d v="2017-01-20T00:00:00"/>
    <s v="Maria"/>
    <s v="Drozd"/>
    <n v="12"/>
    <x v="114"/>
  </r>
  <r>
    <d v="2017-01-20T00:00:00"/>
    <s v="Mateusz"/>
    <s v="Uklej"/>
    <n v="14"/>
    <x v="108"/>
  </r>
  <r>
    <d v="2017-01-20T00:00:00"/>
    <s v="Mateusz"/>
    <s v="Kowalczyk"/>
    <n v="46"/>
    <x v="115"/>
  </r>
  <r>
    <d v="2017-01-20T00:00:00"/>
    <s v="Weronika"/>
    <s v="Zdroj"/>
    <n v="13"/>
    <x v="116"/>
  </r>
  <r>
    <d v="2017-01-20T00:00:00"/>
    <s v="Wieslawa"/>
    <s v="Biczysko"/>
    <n v="15"/>
    <x v="117"/>
  </r>
  <r>
    <d v="2017-01-20T00:00:00"/>
    <s v="Marek"/>
    <s v="Nowakowski"/>
    <n v="38"/>
    <x v="118"/>
  </r>
  <r>
    <d v="2017-01-20T00:00:00"/>
    <s v="Karolina"/>
    <s v="Welc"/>
    <n v="27"/>
    <x v="119"/>
  </r>
  <r>
    <d v="2017-01-20T00:00:00"/>
    <s v="Ewa"/>
    <s v="Stoch"/>
    <n v="49"/>
    <x v="45"/>
  </r>
  <r>
    <d v="2017-01-20T00:00:00"/>
    <s v="Barbara"/>
    <s v="Podobinska"/>
    <n v="17"/>
    <x v="25"/>
  </r>
  <r>
    <d v="2017-01-23T00:00:00"/>
    <s v="Emilia"/>
    <s v="Mroczek"/>
    <n v="10"/>
    <x v="120"/>
  </r>
  <r>
    <d v="2017-01-23T00:00:00"/>
    <s v="Maria"/>
    <s v="Drozd"/>
    <n v="12"/>
    <x v="114"/>
  </r>
  <r>
    <d v="2017-01-23T00:00:00"/>
    <s v="Agnieszka"/>
    <s v="Antos"/>
    <n v="42"/>
    <x v="121"/>
  </r>
  <r>
    <d v="2017-01-23T00:00:00"/>
    <s v="Sabina"/>
    <s v="Wilk"/>
    <n v="25"/>
    <x v="122"/>
  </r>
  <r>
    <d v="2017-01-23T00:00:00"/>
    <s v="Edward"/>
    <s v="Snopek"/>
    <n v="47"/>
    <x v="66"/>
  </r>
  <r>
    <d v="2017-01-23T00:00:00"/>
    <s v="Krzysztof"/>
    <s v="Madejski"/>
    <n v="14"/>
    <x v="123"/>
  </r>
  <r>
    <d v="2017-01-23T00:00:00"/>
    <s v="Marcin"/>
    <s v="Wrobel"/>
    <n v="6"/>
    <x v="124"/>
  </r>
  <r>
    <d v="2017-01-23T00:00:00"/>
    <s v="Igor"/>
    <s v="Ryngwelski"/>
    <n v="55"/>
    <x v="125"/>
  </r>
  <r>
    <d v="2017-01-23T00:00:00"/>
    <s v="Michal"/>
    <s v="Lenski"/>
    <n v="22"/>
    <x v="126"/>
  </r>
  <r>
    <d v="2017-01-24T00:00:00"/>
    <s v="Pawel"/>
    <s v="Nowakowski"/>
    <n v="45"/>
    <x v="127"/>
  </r>
  <r>
    <d v="2017-01-24T00:00:00"/>
    <s v="Agnieszka"/>
    <s v="Krawczynska"/>
    <n v="20"/>
    <x v="128"/>
  </r>
  <r>
    <d v="2017-01-24T00:00:00"/>
    <s v="Grzegorz"/>
    <s v="Domek"/>
    <n v="52"/>
    <x v="129"/>
  </r>
  <r>
    <d v="2017-01-24T00:00:00"/>
    <s v="Michal"/>
    <s v="Gora"/>
    <n v="47"/>
    <x v="130"/>
  </r>
  <r>
    <d v="2017-01-24T00:00:00"/>
    <s v="Krzysztof"/>
    <s v="Micun"/>
    <n v="13"/>
    <x v="131"/>
  </r>
  <r>
    <d v="2017-01-24T00:00:00"/>
    <s v="Maria"/>
    <s v="Galas"/>
    <n v="23"/>
    <x v="132"/>
  </r>
  <r>
    <d v="2017-01-24T00:00:00"/>
    <s v="Jerzy"/>
    <s v="Polanicki"/>
    <n v="11"/>
    <x v="12"/>
  </r>
  <r>
    <d v="2017-01-24T00:00:00"/>
    <s v="Joanna"/>
    <s v="Baranska"/>
    <n v="35"/>
    <x v="81"/>
  </r>
  <r>
    <d v="2017-01-24T00:00:00"/>
    <s v="Hanna"/>
    <s v="Steinborn"/>
    <n v="42"/>
    <x v="133"/>
  </r>
  <r>
    <d v="2017-01-25T00:00:00"/>
    <s v="Anita"/>
    <s v="Woloszyn"/>
    <n v="15"/>
    <x v="134"/>
  </r>
  <r>
    <d v="2017-01-25T00:00:00"/>
    <s v="Karolina"/>
    <s v="Wrona"/>
    <n v="9"/>
    <x v="135"/>
  </r>
  <r>
    <d v="2017-01-25T00:00:00"/>
    <s v="Kamil"/>
    <s v="Pudelski"/>
    <n v="33"/>
    <x v="136"/>
  </r>
  <r>
    <d v="2017-01-25T00:00:00"/>
    <s v="Jerzy"/>
    <s v="Czajkowski"/>
    <n v="17"/>
    <x v="50"/>
  </r>
  <r>
    <d v="2017-01-25T00:00:00"/>
    <s v="Dominik"/>
    <s v="Szczucki"/>
    <n v="11"/>
    <x v="51"/>
  </r>
  <r>
    <d v="2017-01-25T00:00:00"/>
    <s v="Witold"/>
    <s v="Sempa"/>
    <n v="19"/>
    <x v="137"/>
  </r>
  <r>
    <d v="2017-01-25T00:00:00"/>
    <s v="Daria"/>
    <s v="Zagrobna"/>
    <n v="14"/>
    <x v="15"/>
  </r>
  <r>
    <d v="2017-01-25T00:00:00"/>
    <s v="Alicja"/>
    <s v="Chmiel"/>
    <n v="6"/>
    <x v="96"/>
  </r>
  <r>
    <d v="2017-01-25T00:00:00"/>
    <s v="Malwina"/>
    <s v="Korzeniowska"/>
    <n v="47"/>
    <x v="30"/>
  </r>
  <r>
    <d v="2017-01-25T00:00:00"/>
    <s v="Beata"/>
    <s v="Lubelska"/>
    <n v="4"/>
    <x v="138"/>
  </r>
  <r>
    <d v="2017-01-25T00:00:00"/>
    <s v="Marzena"/>
    <s v="Jagielska"/>
    <n v="45"/>
    <x v="139"/>
  </r>
  <r>
    <d v="2017-01-26T00:00:00"/>
    <s v="Patryk"/>
    <s v="Giemza"/>
    <n v="39"/>
    <x v="5"/>
  </r>
  <r>
    <d v="2017-01-26T00:00:00"/>
    <s v="Maria"/>
    <s v="Adamska"/>
    <n v="34"/>
    <x v="140"/>
  </r>
  <r>
    <d v="2017-01-26T00:00:00"/>
    <s v="Emilia"/>
    <s v="Janik"/>
    <n v="9"/>
    <x v="141"/>
  </r>
  <r>
    <d v="2017-01-26T00:00:00"/>
    <s v="Izabella"/>
    <s v="Jelen"/>
    <n v="23"/>
    <x v="142"/>
  </r>
  <r>
    <d v="2017-01-26T00:00:00"/>
    <s v="Julia"/>
    <s v="Stuhr"/>
    <n v="3"/>
    <x v="94"/>
  </r>
  <r>
    <d v="2017-01-26T00:00:00"/>
    <s v="Karolina"/>
    <s v="Nowak"/>
    <n v="13"/>
    <x v="143"/>
  </r>
  <r>
    <d v="2017-01-26T00:00:00"/>
    <s v="Karolina"/>
    <s v="Karpacka"/>
    <n v="16"/>
    <x v="144"/>
  </r>
  <r>
    <d v="2017-01-26T00:00:00"/>
    <s v="Piotr"/>
    <s v="Dzierzak"/>
    <n v="19"/>
    <x v="145"/>
  </r>
  <r>
    <d v="2017-01-26T00:00:00"/>
    <s v="Marek"/>
    <s v="Wolicki"/>
    <n v="49"/>
    <x v="146"/>
  </r>
  <r>
    <d v="2017-01-26T00:00:00"/>
    <s v="Adrian"/>
    <s v="Yuksek"/>
    <n v="45"/>
    <x v="147"/>
  </r>
  <r>
    <d v="2017-01-26T00:00:00"/>
    <s v="Monika"/>
    <s v="Piterka"/>
    <n v="14"/>
    <x v="148"/>
  </r>
  <r>
    <d v="2017-01-27T00:00:00"/>
    <s v="Jan"/>
    <s v="Inny"/>
    <n v="23"/>
    <x v="61"/>
  </r>
  <r>
    <d v="2017-01-27T00:00:00"/>
    <s v="Magdalena"/>
    <s v="Okraska"/>
    <n v="42"/>
    <x v="149"/>
  </r>
  <r>
    <d v="2017-01-27T00:00:00"/>
    <s v="Edgar"/>
    <s v="Wyszomirski"/>
    <n v="30"/>
    <x v="150"/>
  </r>
  <r>
    <d v="2017-01-27T00:00:00"/>
    <s v="Marta"/>
    <s v="Robak"/>
    <n v="42"/>
    <x v="151"/>
  </r>
  <r>
    <d v="2017-01-27T00:00:00"/>
    <s v="Maja"/>
    <s v="Lipka"/>
    <n v="29"/>
    <x v="18"/>
  </r>
  <r>
    <d v="2017-01-27T00:00:00"/>
    <s v="Teodor"/>
    <s v="Olszewski"/>
    <n v="6"/>
    <x v="152"/>
  </r>
  <r>
    <d v="2017-01-27T00:00:00"/>
    <s v="Lena"/>
    <s v="Miszkin"/>
    <n v="17"/>
    <x v="153"/>
  </r>
  <r>
    <d v="2017-01-27T00:00:00"/>
    <s v="Maciej"/>
    <s v="Czyzynski"/>
    <n v="41"/>
    <x v="154"/>
  </r>
  <r>
    <d v="2017-01-27T00:00:00"/>
    <s v="Malgorzata"/>
    <s v="Karlowski"/>
    <n v="23"/>
    <x v="155"/>
  </r>
  <r>
    <d v="2017-01-27T00:00:00"/>
    <s v="Wieslawa"/>
    <s v="Biczysko"/>
    <n v="4"/>
    <x v="117"/>
  </r>
  <r>
    <d v="2017-01-27T00:00:00"/>
    <s v="Sofia"/>
    <s v="Felisiak"/>
    <n v="52"/>
    <x v="156"/>
  </r>
  <r>
    <d v="2017-01-30T00:00:00"/>
    <s v="Laura"/>
    <s v="Chmielewska"/>
    <n v="7"/>
    <x v="29"/>
  </r>
  <r>
    <d v="2017-01-30T00:00:00"/>
    <s v="Filip"/>
    <s v="Strack"/>
    <n v="33"/>
    <x v="37"/>
  </r>
  <r>
    <d v="2017-01-30T00:00:00"/>
    <s v="Adela"/>
    <s v="Waruszewska"/>
    <n v="55"/>
    <x v="157"/>
  </r>
  <r>
    <d v="2017-01-30T00:00:00"/>
    <s v="Inez"/>
    <s v="Nahaj"/>
    <n v="13"/>
    <x v="158"/>
  </r>
  <r>
    <d v="2017-01-30T00:00:00"/>
    <s v="Zenon"/>
    <s v="Bartek"/>
    <n v="2"/>
    <x v="159"/>
  </r>
  <r>
    <d v="2017-01-30T00:00:00"/>
    <s v="Karol"/>
    <s v="Felisiak"/>
    <n v="19"/>
    <x v="41"/>
  </r>
  <r>
    <d v="2017-01-30T00:00:00"/>
    <s v="Wojciech"/>
    <s v="Wroblewski"/>
    <n v="28"/>
    <x v="160"/>
  </r>
  <r>
    <d v="2017-01-30T00:00:00"/>
    <s v="Ewa"/>
    <s v="Nowicka"/>
    <n v="43"/>
    <x v="161"/>
  </r>
  <r>
    <d v="2017-01-30T00:00:00"/>
    <s v="Irena"/>
    <s v="Banasiewicz"/>
    <n v="20"/>
    <x v="162"/>
  </r>
  <r>
    <d v="2017-01-30T00:00:00"/>
    <s v="Beata"/>
    <s v="Fles"/>
    <n v="22"/>
    <x v="163"/>
  </r>
  <r>
    <d v="2017-01-30T00:00:00"/>
    <s v="Ewa"/>
    <s v="Czerwinska"/>
    <n v="9"/>
    <x v="164"/>
  </r>
  <r>
    <d v="2017-01-31T00:00:00"/>
    <s v="Maja"/>
    <s v="Kulkowska"/>
    <n v="26"/>
    <x v="4"/>
  </r>
  <r>
    <d v="2017-01-31T00:00:00"/>
    <s v="Marek"/>
    <s v="Leoniuk"/>
    <n v="38"/>
    <x v="165"/>
  </r>
  <r>
    <d v="2017-01-31T00:00:00"/>
    <s v="Anna"/>
    <s v="Wilk"/>
    <n v="40"/>
    <x v="166"/>
  </r>
  <r>
    <d v="2017-01-31T00:00:00"/>
    <s v="Natalia"/>
    <s v="Miklis"/>
    <n v="56"/>
    <x v="167"/>
  </r>
  <r>
    <d v="2017-01-31T00:00:00"/>
    <s v="Krzysztof"/>
    <s v="Figurski"/>
    <n v="18"/>
    <x v="168"/>
  </r>
  <r>
    <d v="2017-01-31T00:00:00"/>
    <s v="Maria"/>
    <s v="Borowska"/>
    <n v="14"/>
    <x v="54"/>
  </r>
  <r>
    <d v="2017-01-31T00:00:00"/>
    <s v="Ewa"/>
    <s v="Aderek"/>
    <n v="16"/>
    <x v="169"/>
  </r>
  <r>
    <d v="2017-01-31T00:00:00"/>
    <s v="Joanna"/>
    <s v="Pilc"/>
    <n v="41"/>
    <x v="170"/>
  </r>
  <r>
    <d v="2017-01-31T00:00:00"/>
    <s v="Damian"/>
    <s v="Pilis"/>
    <n v="52"/>
    <x v="171"/>
  </r>
  <r>
    <d v="2017-01-31T00:00:00"/>
    <s v="Maria"/>
    <s v="Gatek"/>
    <n v="50"/>
    <x v="172"/>
  </r>
  <r>
    <d v="2017-01-31T00:00:00"/>
    <s v="Hanna"/>
    <s v="Modlinska"/>
    <n v="34"/>
    <x v="173"/>
  </r>
  <r>
    <d v="2017-02-01T00:00:00"/>
    <s v="Anna"/>
    <s v="Janowska"/>
    <n v="17"/>
    <x v="174"/>
  </r>
  <r>
    <d v="2017-02-01T00:00:00"/>
    <s v="Katarzyna"/>
    <s v="Wip"/>
    <n v="3"/>
    <x v="175"/>
  </r>
  <r>
    <d v="2017-02-01T00:00:00"/>
    <s v="Henryk"/>
    <s v="Polarek"/>
    <n v="3"/>
    <x v="176"/>
  </r>
  <r>
    <d v="2017-02-01T00:00:00"/>
    <s v="Anita"/>
    <s v="Woloszyn"/>
    <n v="26"/>
    <x v="134"/>
  </r>
  <r>
    <d v="2017-02-01T00:00:00"/>
    <s v="Malwina"/>
    <s v="Korzeniowska"/>
    <n v="3"/>
    <x v="30"/>
  </r>
  <r>
    <d v="2017-02-01T00:00:00"/>
    <s v="Marcel"/>
    <s v="Labuda"/>
    <n v="20"/>
    <x v="177"/>
  </r>
  <r>
    <d v="2017-02-01T00:00:00"/>
    <s v="Olgierd"/>
    <s v="Baranek"/>
    <n v="23"/>
    <x v="178"/>
  </r>
  <r>
    <d v="2017-02-01T00:00:00"/>
    <s v="Luiza"/>
    <s v="Makowska"/>
    <n v="24"/>
    <x v="179"/>
  </r>
  <r>
    <d v="2017-02-01T00:00:00"/>
    <s v="Andrea"/>
    <s v="Witkowska"/>
    <n v="17"/>
    <x v="180"/>
  </r>
  <r>
    <d v="2017-02-01T00:00:00"/>
    <s v="Lena"/>
    <s v="Marzec"/>
    <n v="6"/>
    <x v="181"/>
  </r>
  <r>
    <d v="2017-02-01T00:00:00"/>
    <s v="Janusz"/>
    <s v="Artowski"/>
    <n v="47"/>
    <x v="182"/>
  </r>
  <r>
    <d v="2017-02-02T00:00:00"/>
    <s v="Kamila"/>
    <s v="Wolan"/>
    <n v="25"/>
    <x v="183"/>
  </r>
  <r>
    <d v="2017-02-02T00:00:00"/>
    <s v="Inka"/>
    <s v="Sochacka"/>
    <n v="20"/>
    <x v="184"/>
  </r>
  <r>
    <d v="2017-02-02T00:00:00"/>
    <s v="Alina"/>
    <s v="Warta"/>
    <n v="6"/>
    <x v="185"/>
  </r>
  <r>
    <d v="2017-02-02T00:00:00"/>
    <s v="Adam"/>
    <s v="Zega"/>
    <n v="16"/>
    <x v="186"/>
  </r>
  <r>
    <d v="2017-02-02T00:00:00"/>
    <s v="Henryk"/>
    <s v="Siminski"/>
    <n v="16"/>
    <x v="187"/>
  </r>
  <r>
    <d v="2017-02-02T00:00:00"/>
    <s v="Irena"/>
    <s v="Piotrowska"/>
    <n v="8"/>
    <x v="188"/>
  </r>
  <r>
    <d v="2017-02-02T00:00:00"/>
    <s v="Malgorzata"/>
    <s v="Karlowski"/>
    <n v="17"/>
    <x v="155"/>
  </r>
  <r>
    <d v="2017-02-02T00:00:00"/>
    <s v="Jakub"/>
    <s v="Bracik"/>
    <n v="8"/>
    <x v="189"/>
  </r>
  <r>
    <d v="2017-02-02T00:00:00"/>
    <s v="Maciej"/>
    <s v="Lyszcz"/>
    <n v="29"/>
    <x v="14"/>
  </r>
  <r>
    <d v="2017-02-02T00:00:00"/>
    <s v="Pawel"/>
    <s v="Nowak"/>
    <n v="43"/>
    <x v="190"/>
  </r>
  <r>
    <d v="2017-02-02T00:00:00"/>
    <s v="Michalina"/>
    <s v="Klebba"/>
    <n v="17"/>
    <x v="191"/>
  </r>
  <r>
    <d v="2017-02-03T00:00:00"/>
    <s v="Bartosz"/>
    <s v="Protasow"/>
    <n v="29"/>
    <x v="33"/>
  </r>
  <r>
    <d v="2017-02-03T00:00:00"/>
    <s v="Edward"/>
    <s v="Zdunek"/>
    <n v="7"/>
    <x v="110"/>
  </r>
  <r>
    <d v="2017-02-03T00:00:00"/>
    <s v="Joanna"/>
    <s v="Zygmunt"/>
    <n v="16"/>
    <x v="192"/>
  </r>
  <r>
    <d v="2017-02-03T00:00:00"/>
    <s v="Krzysztof"/>
    <s v="Figurski"/>
    <n v="3"/>
    <x v="168"/>
  </r>
  <r>
    <d v="2017-02-03T00:00:00"/>
    <s v="Maja"/>
    <s v="Kulkowska"/>
    <n v="26"/>
    <x v="4"/>
  </r>
  <r>
    <d v="2017-02-03T00:00:00"/>
    <s v="Maria"/>
    <s v="Kowalczuk"/>
    <n v="5"/>
    <x v="193"/>
  </r>
  <r>
    <d v="2017-02-03T00:00:00"/>
    <s v="Jakub"/>
    <s v="Ropiak"/>
    <n v="16"/>
    <x v="194"/>
  </r>
  <r>
    <d v="2017-02-03T00:00:00"/>
    <s v="Piotr"/>
    <s v="Kania"/>
    <n v="19"/>
    <x v="195"/>
  </r>
  <r>
    <d v="2017-02-03T00:00:00"/>
    <s v="Witold"/>
    <s v="Sempa"/>
    <n v="13"/>
    <x v="137"/>
  </r>
  <r>
    <d v="2017-02-03T00:00:00"/>
    <s v="Pawel"/>
    <s v="Macherzynski"/>
    <n v="8"/>
    <x v="196"/>
  </r>
  <r>
    <d v="2017-02-03T00:00:00"/>
    <s v="Krzysztof"/>
    <s v="Czyz"/>
    <n v="13"/>
    <x v="197"/>
  </r>
  <r>
    <d v="2017-02-06T00:00:00"/>
    <s v="Krzysztof"/>
    <s v="Wilecki"/>
    <n v="25"/>
    <x v="198"/>
  </r>
  <r>
    <d v="2017-02-06T00:00:00"/>
    <s v="Zbigniew"/>
    <s v="Paderewski"/>
    <n v="25"/>
    <x v="199"/>
  </r>
  <r>
    <d v="2017-02-06T00:00:00"/>
    <s v="Bartosz"/>
    <s v="Tusinski"/>
    <n v="56"/>
    <x v="200"/>
  </r>
  <r>
    <d v="2017-02-06T00:00:00"/>
    <s v="Sabina"/>
    <s v="Wilk"/>
    <n v="3"/>
    <x v="122"/>
  </r>
  <r>
    <d v="2017-02-06T00:00:00"/>
    <s v="Marta"/>
    <s v="Wloczkow"/>
    <n v="18"/>
    <x v="201"/>
  </r>
  <r>
    <d v="2017-02-06T00:00:00"/>
    <s v="Bartosz"/>
    <s v="Tusinski"/>
    <n v="14"/>
    <x v="200"/>
  </r>
  <r>
    <d v="2017-02-06T00:00:00"/>
    <s v="Cyprian"/>
    <s v="Swierszcz"/>
    <n v="5"/>
    <x v="202"/>
  </r>
  <r>
    <d v="2017-02-06T00:00:00"/>
    <s v="Anita"/>
    <s v="Tych"/>
    <n v="3"/>
    <x v="203"/>
  </r>
  <r>
    <d v="2017-02-06T00:00:00"/>
    <s v="Piotr"/>
    <s v="Kaleta"/>
    <n v="27"/>
    <x v="204"/>
  </r>
  <r>
    <d v="2017-02-06T00:00:00"/>
    <s v="Konrad"/>
    <s v="Lipowski"/>
    <n v="28"/>
    <x v="205"/>
  </r>
  <r>
    <d v="2017-02-06T00:00:00"/>
    <s v="Wojciech"/>
    <s v="Filipowicz"/>
    <n v="2"/>
    <x v="206"/>
  </r>
  <r>
    <d v="2017-02-07T00:00:00"/>
    <s v="Marcel"/>
    <s v="Labuda"/>
    <n v="29"/>
    <x v="177"/>
  </r>
  <r>
    <d v="2017-02-07T00:00:00"/>
    <s v="Antoni"/>
    <s v="Pawlus"/>
    <n v="54"/>
    <x v="207"/>
  </r>
  <r>
    <d v="2017-02-07T00:00:00"/>
    <s v="Tadeusz"/>
    <s v="Stoch"/>
    <n v="4"/>
    <x v="208"/>
  </r>
  <r>
    <d v="2017-02-07T00:00:00"/>
    <s v="Krzysztof"/>
    <s v="Dwa"/>
    <n v="29"/>
    <x v="209"/>
  </r>
  <r>
    <d v="2017-02-07T00:00:00"/>
    <s v="Lukasz"/>
    <s v="Kopecki"/>
    <n v="22"/>
    <x v="210"/>
  </r>
  <r>
    <d v="2017-02-07T00:00:00"/>
    <s v="Krzysztof"/>
    <s v="Dwa"/>
    <n v="6"/>
    <x v="209"/>
  </r>
  <r>
    <d v="2017-02-07T00:00:00"/>
    <s v="Aleks"/>
    <s v="Wojcik"/>
    <n v="7"/>
    <x v="101"/>
  </r>
  <r>
    <d v="2017-02-07T00:00:00"/>
    <s v="Dominika"/>
    <s v="Mierny"/>
    <n v="21"/>
    <x v="211"/>
  </r>
  <r>
    <d v="2017-02-07T00:00:00"/>
    <s v="Jakub"/>
    <s v="Waniek"/>
    <n v="19"/>
    <x v="97"/>
  </r>
  <r>
    <d v="2017-02-07T00:00:00"/>
    <s v="Bohdan"/>
    <s v="Gigant"/>
    <n v="8"/>
    <x v="212"/>
  </r>
  <r>
    <d v="2017-02-07T00:00:00"/>
    <s v="Jakub"/>
    <s v="Jedruszek"/>
    <n v="2"/>
    <x v="19"/>
  </r>
  <r>
    <d v="2017-02-08T00:00:00"/>
    <s v="Henryk"/>
    <s v="Siminski"/>
    <n v="45"/>
    <x v="187"/>
  </r>
  <r>
    <d v="2017-02-08T00:00:00"/>
    <s v="Natalia"/>
    <s v="Wolny"/>
    <n v="3"/>
    <x v="213"/>
  </r>
  <r>
    <d v="2017-02-08T00:00:00"/>
    <s v="Olaf"/>
    <s v="Hrywniak"/>
    <n v="36"/>
    <x v="214"/>
  </r>
  <r>
    <d v="2017-02-08T00:00:00"/>
    <s v="Natalia"/>
    <s v="Wolny"/>
    <n v="9"/>
    <x v="213"/>
  </r>
  <r>
    <d v="2017-02-08T00:00:00"/>
    <s v="Agata"/>
    <s v="Zdrojewska"/>
    <n v="24"/>
    <x v="215"/>
  </r>
  <r>
    <d v="2017-02-08T00:00:00"/>
    <s v="Barbara"/>
    <s v="Podobinska"/>
    <n v="5"/>
    <x v="25"/>
  </r>
  <r>
    <d v="2017-02-08T00:00:00"/>
    <s v="Kornel"/>
    <s v="Mierzejewski"/>
    <n v="22"/>
    <x v="216"/>
  </r>
  <r>
    <d v="2017-02-08T00:00:00"/>
    <s v="Konrad"/>
    <s v="Jagielski"/>
    <n v="9"/>
    <x v="217"/>
  </r>
  <r>
    <d v="2017-02-08T00:00:00"/>
    <s v="Anna"/>
    <s v="Tomaszewska"/>
    <n v="6"/>
    <x v="218"/>
  </r>
  <r>
    <d v="2017-02-08T00:00:00"/>
    <s v="Anastazja"/>
    <s v="Borowska"/>
    <n v="9"/>
    <x v="219"/>
  </r>
  <r>
    <d v="2017-02-08T00:00:00"/>
    <s v="Dominika"/>
    <s v="Wierzbicka"/>
    <n v="19"/>
    <x v="220"/>
  </r>
  <r>
    <d v="2017-02-09T00:00:00"/>
    <s v="Martyna"/>
    <s v="Marmelowska"/>
    <n v="14"/>
    <x v="221"/>
  </r>
  <r>
    <d v="2017-02-09T00:00:00"/>
    <s v="Krystyna"/>
    <s v="Szybki"/>
    <n v="44"/>
    <x v="222"/>
  </r>
  <r>
    <d v="2017-02-09T00:00:00"/>
    <s v="Pawel"/>
    <s v="Furmaniak"/>
    <n v="38"/>
    <x v="223"/>
  </r>
  <r>
    <d v="2017-02-09T00:00:00"/>
    <s v="Malgorzata"/>
    <s v="Malec"/>
    <n v="18"/>
    <x v="224"/>
  </r>
  <r>
    <d v="2017-02-09T00:00:00"/>
    <s v="Marek"/>
    <s v="Leoniuk"/>
    <n v="51"/>
    <x v="165"/>
  </r>
  <r>
    <d v="2017-02-09T00:00:00"/>
    <s v="Marek"/>
    <s v="Witkowski"/>
    <n v="10"/>
    <x v="225"/>
  </r>
  <r>
    <d v="2017-02-09T00:00:00"/>
    <s v="Malgorzata"/>
    <s v="Winiarska"/>
    <n v="47"/>
    <x v="226"/>
  </r>
  <r>
    <d v="2017-02-09T00:00:00"/>
    <s v="Marek"/>
    <s v="Janowski"/>
    <n v="54"/>
    <x v="227"/>
  </r>
  <r>
    <d v="2017-02-09T00:00:00"/>
    <s v="Ewa"/>
    <s v="Stoch"/>
    <n v="32"/>
    <x v="45"/>
  </r>
  <r>
    <d v="2017-02-09T00:00:00"/>
    <s v="Zenon"/>
    <s v="Zbych"/>
    <n v="16"/>
    <x v="228"/>
  </r>
  <r>
    <d v="2017-02-09T00:00:00"/>
    <s v="Julia"/>
    <s v="Salanowska"/>
    <n v="18"/>
    <x v="229"/>
  </r>
  <r>
    <d v="2017-02-10T00:00:00"/>
    <s v="Nadia"/>
    <s v="Jędrzejczak"/>
    <n v="38"/>
    <x v="230"/>
  </r>
  <r>
    <d v="2017-02-10T00:00:00"/>
    <s v="Milena"/>
    <s v="Karolewska"/>
    <n v="7"/>
    <x v="231"/>
  </r>
  <r>
    <d v="2017-02-10T00:00:00"/>
    <s v="Izabela"/>
    <s v="Skrzydlak"/>
    <n v="16"/>
    <x v="232"/>
  </r>
  <r>
    <d v="2017-02-10T00:00:00"/>
    <s v="Anita"/>
    <s v="Kaczorowska"/>
    <n v="42"/>
    <x v="233"/>
  </r>
  <r>
    <d v="2017-02-10T00:00:00"/>
    <s v="Maksymilian"/>
    <s v="Piwko"/>
    <n v="27"/>
    <x v="234"/>
  </r>
  <r>
    <d v="2017-02-10T00:00:00"/>
    <s v="Maciej"/>
    <s v="Laskowski"/>
    <n v="19"/>
    <x v="112"/>
  </r>
  <r>
    <d v="2017-02-10T00:00:00"/>
    <s v="Henryk"/>
    <s v="Polarek"/>
    <n v="37"/>
    <x v="176"/>
  </r>
  <r>
    <d v="2017-02-10T00:00:00"/>
    <s v="Marzena"/>
    <s v="Gajek"/>
    <n v="49"/>
    <x v="235"/>
  </r>
  <r>
    <d v="2017-02-10T00:00:00"/>
    <s v="Kamil"/>
    <s v="Ludziejewski"/>
    <n v="38"/>
    <x v="236"/>
  </r>
  <r>
    <d v="2017-02-10T00:00:00"/>
    <s v="Adelajda"/>
    <s v="Zylinska"/>
    <n v="8"/>
    <x v="40"/>
  </r>
  <r>
    <d v="2017-02-10T00:00:00"/>
    <s v="Lena"/>
    <s v="Miszkin"/>
    <n v="9"/>
    <x v="153"/>
  </r>
  <r>
    <d v="2017-02-13T00:00:00"/>
    <s v="Janusz"/>
    <s v="Artowski"/>
    <n v="48"/>
    <x v="182"/>
  </r>
  <r>
    <d v="2017-02-13T00:00:00"/>
    <s v="Kamila"/>
    <s v="Wolan"/>
    <n v="19"/>
    <x v="183"/>
  </r>
  <r>
    <d v="2017-02-13T00:00:00"/>
    <s v="Mateusz"/>
    <s v="Polak"/>
    <n v="5"/>
    <x v="237"/>
  </r>
  <r>
    <d v="2017-02-13T00:00:00"/>
    <s v="Jan"/>
    <s v="Zdunski"/>
    <n v="25"/>
    <x v="238"/>
  </r>
  <r>
    <d v="2017-02-13T00:00:00"/>
    <s v="Zenon"/>
    <s v="Bartek"/>
    <n v="21"/>
    <x v="159"/>
  </r>
  <r>
    <d v="2017-02-13T00:00:00"/>
    <s v="Wiera"/>
    <s v="Nowak"/>
    <n v="6"/>
    <x v="239"/>
  </r>
  <r>
    <d v="2017-02-13T00:00:00"/>
    <s v="Dominika"/>
    <s v="Piotrowska"/>
    <n v="4"/>
    <x v="240"/>
  </r>
  <r>
    <d v="2017-02-13T00:00:00"/>
    <s v="Ilona"/>
    <s v="Nowak"/>
    <n v="9"/>
    <x v="241"/>
  </r>
  <r>
    <d v="2017-02-13T00:00:00"/>
    <s v="Karol"/>
    <s v="Felisiak"/>
    <n v="10"/>
    <x v="41"/>
  </r>
  <r>
    <d v="2017-02-13T00:00:00"/>
    <s v="Dominika"/>
    <s v="Mierny"/>
    <n v="26"/>
    <x v="211"/>
  </r>
  <r>
    <d v="2017-02-13T00:00:00"/>
    <s v="Maciej"/>
    <s v="Laskowski"/>
    <n v="26"/>
    <x v="112"/>
  </r>
  <r>
    <d v="2017-02-14T00:00:00"/>
    <s v="Adam"/>
    <s v="Zmurko"/>
    <n v="42"/>
    <x v="242"/>
  </r>
  <r>
    <d v="2017-02-14T00:00:00"/>
    <s v="Krystyna"/>
    <s v="Szybki"/>
    <n v="8"/>
    <x v="222"/>
  </r>
  <r>
    <d v="2017-02-14T00:00:00"/>
    <s v="Filip"/>
    <s v="Strehlke"/>
    <n v="8"/>
    <x v="243"/>
  </r>
  <r>
    <d v="2017-02-14T00:00:00"/>
    <s v="Janina"/>
    <s v="Podlaska"/>
    <n v="45"/>
    <x v="244"/>
  </r>
  <r>
    <d v="2017-02-14T00:00:00"/>
    <s v="Marcin"/>
    <s v="Tabaka"/>
    <n v="41"/>
    <x v="245"/>
  </r>
  <r>
    <d v="2017-02-14T00:00:00"/>
    <s v="Barbara"/>
    <s v="Bury"/>
    <n v="5"/>
    <x v="246"/>
  </r>
  <r>
    <d v="2017-02-14T00:00:00"/>
    <s v="Aleksandra"/>
    <s v="Donata"/>
    <n v="54"/>
    <x v="247"/>
  </r>
  <r>
    <d v="2017-02-14T00:00:00"/>
    <s v="Maria"/>
    <s v="Gatek"/>
    <n v="6"/>
    <x v="172"/>
  </r>
  <r>
    <d v="2017-02-14T00:00:00"/>
    <s v="Lidia"/>
    <s v="Goluchowska"/>
    <n v="3"/>
    <x v="248"/>
  </r>
  <r>
    <d v="2017-02-14T00:00:00"/>
    <s v="Mateusz"/>
    <s v="Sardo"/>
    <n v="49"/>
    <x v="74"/>
  </r>
  <r>
    <d v="2017-02-14T00:00:00"/>
    <s v="Jakub"/>
    <s v="Waniek"/>
    <n v="19"/>
    <x v="97"/>
  </r>
  <r>
    <d v="2017-02-15T00:00:00"/>
    <s v="Marek"/>
    <s v="Wolicki"/>
    <n v="29"/>
    <x v="146"/>
  </r>
  <r>
    <d v="2017-02-15T00:00:00"/>
    <s v="Ilona"/>
    <s v="Gorska"/>
    <n v="14"/>
    <x v="249"/>
  </r>
  <r>
    <d v="2017-02-15T00:00:00"/>
    <s v="Joanna"/>
    <s v="Ottka"/>
    <n v="12"/>
    <x v="250"/>
  </r>
  <r>
    <d v="2017-02-15T00:00:00"/>
    <s v="Arleta"/>
    <s v="Pawlik"/>
    <n v="4"/>
    <x v="251"/>
  </r>
  <r>
    <d v="2017-02-15T00:00:00"/>
    <s v="Malgorzata"/>
    <s v="Karlowski"/>
    <n v="14"/>
    <x v="155"/>
  </r>
  <r>
    <d v="2017-02-15T00:00:00"/>
    <s v="Szymon"/>
    <s v="Mrozniak"/>
    <n v="12"/>
    <x v="252"/>
  </r>
  <r>
    <d v="2017-02-15T00:00:00"/>
    <s v="Karolina"/>
    <s v="Wrak"/>
    <n v="52"/>
    <x v="253"/>
  </r>
  <r>
    <d v="2017-02-15T00:00:00"/>
    <s v="Igor"/>
    <s v="Rybinski"/>
    <n v="9"/>
    <x v="254"/>
  </r>
  <r>
    <d v="2017-02-15T00:00:00"/>
    <s v="Jakub"/>
    <s v="Marszalek"/>
    <n v="13"/>
    <x v="255"/>
  </r>
  <r>
    <d v="2017-02-15T00:00:00"/>
    <s v="Ryszarda"/>
    <s v="Januszek"/>
    <n v="29"/>
    <x v="256"/>
  </r>
  <r>
    <d v="2017-02-15T00:00:00"/>
    <s v="Bruno"/>
    <s v="Tomaszewski"/>
    <n v="18"/>
    <x v="257"/>
  </r>
  <r>
    <d v="2017-02-16T00:00:00"/>
    <s v="Karolina"/>
    <s v="Wrona"/>
    <n v="17"/>
    <x v="135"/>
  </r>
  <r>
    <d v="2017-02-16T00:00:00"/>
    <s v="Malgorzata"/>
    <s v="Kozlowska"/>
    <n v="9"/>
    <x v="258"/>
  </r>
  <r>
    <d v="2017-02-16T00:00:00"/>
    <s v="Jan"/>
    <s v="Kaczorowski"/>
    <n v="20"/>
    <x v="78"/>
  </r>
  <r>
    <d v="2017-02-16T00:00:00"/>
    <s v="Maciej"/>
    <s v="Kopacz"/>
    <n v="50"/>
    <x v="259"/>
  </r>
  <r>
    <d v="2017-02-16T00:00:00"/>
    <s v="Monika"/>
    <s v="Placzek"/>
    <n v="9"/>
    <x v="260"/>
  </r>
  <r>
    <d v="2017-02-16T00:00:00"/>
    <s v="Jan"/>
    <s v="Zdunski"/>
    <n v="4"/>
    <x v="238"/>
  </r>
  <r>
    <d v="2017-02-16T00:00:00"/>
    <s v="Jakub"/>
    <s v="Ręczmin"/>
    <n v="41"/>
    <x v="92"/>
  </r>
  <r>
    <d v="2017-02-16T00:00:00"/>
    <s v="Agata"/>
    <s v="Zdrojewska"/>
    <n v="11"/>
    <x v="215"/>
  </r>
  <r>
    <d v="2017-02-16T00:00:00"/>
    <s v="Natalia"/>
    <s v="Belicka"/>
    <n v="22"/>
    <x v="88"/>
  </r>
  <r>
    <d v="2017-02-16T00:00:00"/>
    <s v="Andrzej"/>
    <s v="Augustowski"/>
    <n v="23"/>
    <x v="35"/>
  </r>
  <r>
    <d v="2017-02-16T00:00:00"/>
    <s v="Stanislaw"/>
    <s v="Burza"/>
    <n v="33"/>
    <x v="261"/>
  </r>
  <r>
    <d v="2017-02-17T00:00:00"/>
    <s v="Mateusz"/>
    <s v="Krawczyk"/>
    <n v="14"/>
    <x v="262"/>
  </r>
  <r>
    <d v="2017-02-17T00:00:00"/>
    <s v="Borys"/>
    <s v="Winiarski"/>
    <n v="28"/>
    <x v="263"/>
  </r>
  <r>
    <d v="2017-02-17T00:00:00"/>
    <s v="Agnieszka"/>
    <s v="Matusik"/>
    <n v="12"/>
    <x v="264"/>
  </r>
  <r>
    <d v="2017-02-17T00:00:00"/>
    <s v="Jacek"/>
    <s v="Szypulski"/>
    <n v="55"/>
    <x v="113"/>
  </r>
  <r>
    <d v="2017-02-17T00:00:00"/>
    <s v="Lena"/>
    <s v="Mazurkiewicz"/>
    <n v="27"/>
    <x v="58"/>
  </r>
  <r>
    <d v="2017-02-17T00:00:00"/>
    <s v="Szymon"/>
    <s v="Polak"/>
    <n v="12"/>
    <x v="265"/>
  </r>
  <r>
    <d v="2017-02-17T00:00:00"/>
    <s v="Wojciech"/>
    <s v="Maja"/>
    <n v="50"/>
    <x v="266"/>
  </r>
  <r>
    <d v="2017-02-17T00:00:00"/>
    <s v="Milena"/>
    <s v="Karolewska"/>
    <n v="23"/>
    <x v="231"/>
  </r>
  <r>
    <d v="2017-02-17T00:00:00"/>
    <s v="Ewa"/>
    <s v="Zak"/>
    <n v="24"/>
    <x v="267"/>
  </r>
  <r>
    <d v="2017-02-17T00:00:00"/>
    <s v="Hubert"/>
    <s v="Pieczatowski"/>
    <n v="29"/>
    <x v="268"/>
  </r>
  <r>
    <d v="2017-02-17T00:00:00"/>
    <s v="Kamil"/>
    <s v="Ludziejewski"/>
    <n v="25"/>
    <x v="236"/>
  </r>
  <r>
    <d v="2017-02-20T00:00:00"/>
    <s v="Pawel"/>
    <s v="Bolkowski"/>
    <n v="17"/>
    <x v="269"/>
  </r>
  <r>
    <d v="2017-02-20T00:00:00"/>
    <s v="Agnieszka"/>
    <s v="Kaminska"/>
    <n v="5"/>
    <x v="270"/>
  </r>
  <r>
    <d v="2017-02-20T00:00:00"/>
    <s v="Mateusz"/>
    <s v="Kowalczyk"/>
    <n v="12"/>
    <x v="115"/>
  </r>
  <r>
    <d v="2017-02-20T00:00:00"/>
    <s v="Sabina"/>
    <s v="Wilk"/>
    <n v="31"/>
    <x v="122"/>
  </r>
  <r>
    <d v="2017-02-20T00:00:00"/>
    <s v="Maciej"/>
    <s v="Machol"/>
    <n v="7"/>
    <x v="271"/>
  </r>
  <r>
    <d v="2017-02-20T00:00:00"/>
    <s v="Krzysztof"/>
    <s v="Las"/>
    <n v="26"/>
    <x v="272"/>
  </r>
  <r>
    <d v="2017-02-20T00:00:00"/>
    <s v="Jan"/>
    <s v="Sznuk"/>
    <n v="28"/>
    <x v="273"/>
  </r>
  <r>
    <d v="2017-02-20T00:00:00"/>
    <s v="Zuzanna"/>
    <s v="Malicki"/>
    <n v="19"/>
    <x v="22"/>
  </r>
  <r>
    <d v="2017-02-20T00:00:00"/>
    <s v="Agata"/>
    <s v="Zdrojewska"/>
    <n v="3"/>
    <x v="215"/>
  </r>
  <r>
    <d v="2017-02-20T00:00:00"/>
    <s v="Adam"/>
    <s v="Susel"/>
    <n v="12"/>
    <x v="59"/>
  </r>
  <r>
    <d v="2017-02-20T00:00:00"/>
    <s v="Zuzanna"/>
    <s v="Kalisz"/>
    <n v="11"/>
    <x v="274"/>
  </r>
  <r>
    <d v="2017-02-21T00:00:00"/>
    <s v="Kamila"/>
    <s v="Wolan"/>
    <n v="29"/>
    <x v="183"/>
  </r>
  <r>
    <d v="2017-02-21T00:00:00"/>
    <s v="Wieslawa"/>
    <s v="Krawiec"/>
    <n v="4"/>
    <x v="275"/>
  </r>
  <r>
    <d v="2017-02-21T00:00:00"/>
    <s v="Aleksander"/>
    <s v="Pasternak"/>
    <n v="2"/>
    <x v="276"/>
  </r>
  <r>
    <d v="2017-02-21T00:00:00"/>
    <s v="Jakub"/>
    <s v="Porydzaj"/>
    <n v="45"/>
    <x v="277"/>
  </r>
  <r>
    <d v="2017-02-21T00:00:00"/>
    <s v="Filip"/>
    <s v="Stanulewicz"/>
    <n v="46"/>
    <x v="278"/>
  </r>
  <r>
    <d v="2017-02-21T00:00:00"/>
    <s v="Kacper"/>
    <s v="Niec"/>
    <n v="21"/>
    <x v="279"/>
  </r>
  <r>
    <d v="2017-02-21T00:00:00"/>
    <s v="Tomasz"/>
    <s v="Boruta"/>
    <n v="24"/>
    <x v="280"/>
  </r>
  <r>
    <d v="2017-02-21T00:00:00"/>
    <s v="Ewa"/>
    <s v="Milion"/>
    <n v="53"/>
    <x v="281"/>
  </r>
  <r>
    <d v="2017-02-21T00:00:00"/>
    <s v="Kacper"/>
    <s v="Nikolajew"/>
    <n v="45"/>
    <x v="282"/>
  </r>
  <r>
    <d v="2017-02-21T00:00:00"/>
    <s v="Patrycja"/>
    <s v="Dzban"/>
    <n v="56"/>
    <x v="283"/>
  </r>
  <r>
    <d v="2017-02-21T00:00:00"/>
    <s v="Mateusz"/>
    <s v="Uklej"/>
    <n v="28"/>
    <x v="108"/>
  </r>
  <r>
    <d v="2017-02-22T00:00:00"/>
    <s v="Aleksander"/>
    <s v="Pasternak"/>
    <n v="45"/>
    <x v="276"/>
  </r>
  <r>
    <d v="2017-02-22T00:00:00"/>
    <s v="Jakub"/>
    <s v="Rembiewski"/>
    <n v="43"/>
    <x v="284"/>
  </r>
  <r>
    <d v="2017-02-22T00:00:00"/>
    <s v="Ewa"/>
    <s v="Tysz"/>
    <n v="6"/>
    <x v="70"/>
  </r>
  <r>
    <d v="2017-02-22T00:00:00"/>
    <s v="Emilia"/>
    <s v="Szczepanska"/>
    <n v="5"/>
    <x v="285"/>
  </r>
  <r>
    <d v="2017-02-22T00:00:00"/>
    <s v="Marcelina"/>
    <s v="Serwicka"/>
    <n v="47"/>
    <x v="286"/>
  </r>
  <r>
    <d v="2017-02-22T00:00:00"/>
    <s v="Piotr"/>
    <s v="Polkowicki"/>
    <n v="6"/>
    <x v="287"/>
  </r>
  <r>
    <d v="2017-02-22T00:00:00"/>
    <s v="Edward"/>
    <s v="Zdunek"/>
    <n v="55"/>
    <x v="110"/>
  </r>
  <r>
    <d v="2017-02-22T00:00:00"/>
    <s v="Alicja"/>
    <s v="Gadek"/>
    <n v="37"/>
    <x v="10"/>
  </r>
  <r>
    <d v="2017-02-22T00:00:00"/>
    <s v="Wojciech"/>
    <s v="Filipowicz"/>
    <n v="10"/>
    <x v="206"/>
  </r>
  <r>
    <d v="2017-02-22T00:00:00"/>
    <s v="Jerzy"/>
    <s v="Czajkowski"/>
    <n v="39"/>
    <x v="50"/>
  </r>
  <r>
    <d v="2017-02-22T00:00:00"/>
    <s v="Monika"/>
    <s v="Nowaczkiewicz"/>
    <n v="23"/>
    <x v="288"/>
  </r>
  <r>
    <d v="2017-02-23T00:00:00"/>
    <s v="Marta"/>
    <s v="Robak"/>
    <n v="19"/>
    <x v="151"/>
  </r>
  <r>
    <d v="2017-02-23T00:00:00"/>
    <s v="Ewa"/>
    <s v="Zak"/>
    <n v="28"/>
    <x v="267"/>
  </r>
  <r>
    <d v="2017-02-23T00:00:00"/>
    <s v="Wojciech"/>
    <s v="Katowicki"/>
    <n v="2"/>
    <x v="73"/>
  </r>
  <r>
    <d v="2017-02-23T00:00:00"/>
    <s v="Marek"/>
    <s v="Bednarski"/>
    <n v="6"/>
    <x v="23"/>
  </r>
  <r>
    <d v="2017-02-23T00:00:00"/>
    <s v="Daria"/>
    <s v="Mikos"/>
    <n v="26"/>
    <x v="289"/>
  </r>
  <r>
    <d v="2017-02-23T00:00:00"/>
    <s v="Diana"/>
    <s v="Michalska"/>
    <n v="55"/>
    <x v="290"/>
  </r>
  <r>
    <d v="2017-02-23T00:00:00"/>
    <s v="Wiktor"/>
    <s v="Lubelski"/>
    <n v="52"/>
    <x v="291"/>
  </r>
  <r>
    <d v="2017-02-23T00:00:00"/>
    <s v="Szymon"/>
    <s v="Wozniak"/>
    <n v="55"/>
    <x v="292"/>
  </r>
  <r>
    <d v="2017-02-23T00:00:00"/>
    <s v="Matylda"/>
    <s v="Kluziak"/>
    <n v="15"/>
    <x v="293"/>
  </r>
  <r>
    <d v="2017-02-23T00:00:00"/>
    <s v="Jacek"/>
    <s v="Chojnacki"/>
    <n v="44"/>
    <x v="294"/>
  </r>
  <r>
    <d v="2017-02-23T00:00:00"/>
    <s v="Marta"/>
    <s v="Opolska"/>
    <n v="28"/>
    <x v="20"/>
  </r>
  <r>
    <d v="2017-02-24T00:00:00"/>
    <s v="Dorota"/>
    <s v="Gumowska"/>
    <n v="19"/>
    <x v="295"/>
  </r>
  <r>
    <d v="2017-02-24T00:00:00"/>
    <s v="Karolina"/>
    <s v="Wrona"/>
    <n v="20"/>
    <x v="135"/>
  </r>
  <r>
    <d v="2017-02-24T00:00:00"/>
    <s v="Kazimierz"/>
    <s v="Bartosik"/>
    <n v="24"/>
    <x v="296"/>
  </r>
  <r>
    <d v="2017-02-24T00:00:00"/>
    <s v="Julia"/>
    <s v="Kielecka"/>
    <n v="8"/>
    <x v="109"/>
  </r>
  <r>
    <d v="2017-02-24T00:00:00"/>
    <s v="Patrycja"/>
    <s v="Rzeszowska"/>
    <n v="8"/>
    <x v="297"/>
  </r>
  <r>
    <d v="2017-02-24T00:00:00"/>
    <s v="Andrea"/>
    <s v="Witkowska"/>
    <n v="18"/>
    <x v="180"/>
  </r>
  <r>
    <d v="2017-02-24T00:00:00"/>
    <s v="Bartosz"/>
    <s v="Protasow"/>
    <n v="26"/>
    <x v="33"/>
  </r>
  <r>
    <d v="2017-02-24T00:00:00"/>
    <s v="Hubert"/>
    <s v="Pieczatowski"/>
    <n v="5"/>
    <x v="268"/>
  </r>
  <r>
    <d v="2017-02-24T00:00:00"/>
    <s v="Beata"/>
    <s v="Lubelska"/>
    <n v="39"/>
    <x v="138"/>
  </r>
  <r>
    <d v="2017-02-24T00:00:00"/>
    <s v="Patrycja"/>
    <s v="Rzeszowska"/>
    <n v="13"/>
    <x v="297"/>
  </r>
  <r>
    <d v="2017-02-24T00:00:00"/>
    <s v="Bohdan"/>
    <s v="Gigant"/>
    <n v="52"/>
    <x v="212"/>
  </r>
  <r>
    <d v="2017-02-27T00:00:00"/>
    <s v="Kacper"/>
    <s v="Okla"/>
    <n v="21"/>
    <x v="298"/>
  </r>
  <r>
    <d v="2017-02-27T00:00:00"/>
    <s v="Mateusz"/>
    <s v="Kaczorowski"/>
    <n v="50"/>
    <x v="299"/>
  </r>
  <r>
    <d v="2017-02-27T00:00:00"/>
    <s v="Adrian"/>
    <s v="Yuksek"/>
    <n v="17"/>
    <x v="147"/>
  </r>
  <r>
    <d v="2017-02-27T00:00:00"/>
    <s v="Renata"/>
    <s v="Pawlak"/>
    <n v="45"/>
    <x v="300"/>
  </r>
  <r>
    <d v="2017-02-27T00:00:00"/>
    <s v="Krzysztof"/>
    <s v="Micun"/>
    <n v="10"/>
    <x v="131"/>
  </r>
  <r>
    <d v="2017-02-27T00:00:00"/>
    <s v="Patryk"/>
    <s v="Glac"/>
    <n v="24"/>
    <x v="301"/>
  </r>
  <r>
    <d v="2017-02-27T00:00:00"/>
    <s v="Julia"/>
    <s v="Salanowska"/>
    <n v="7"/>
    <x v="229"/>
  </r>
  <r>
    <d v="2017-02-27T00:00:00"/>
    <s v="Katarzyna"/>
    <s v="Dzielna"/>
    <n v="30"/>
    <x v="302"/>
  </r>
  <r>
    <d v="2017-02-27T00:00:00"/>
    <s v="Ewa"/>
    <s v="Tarnowska"/>
    <n v="41"/>
    <x v="303"/>
  </r>
  <r>
    <d v="2017-02-27T00:00:00"/>
    <s v="Zuzanna"/>
    <s v="Kalisz"/>
    <n v="22"/>
    <x v="274"/>
  </r>
  <r>
    <d v="2017-02-27T00:00:00"/>
    <s v="Ilona"/>
    <s v="Lukaszewska"/>
    <n v="18"/>
    <x v="304"/>
  </r>
  <r>
    <d v="2017-02-28T00:00:00"/>
    <s v="Jan"/>
    <s v="Gacek"/>
    <n v="9"/>
    <x v="42"/>
  </r>
  <r>
    <d v="2017-02-28T00:00:00"/>
    <s v="Wieslawa"/>
    <s v="Koniec"/>
    <n v="19"/>
    <x v="26"/>
  </r>
  <r>
    <d v="2017-02-28T00:00:00"/>
    <s v="Maciej"/>
    <s v="Lyszcz"/>
    <n v="16"/>
    <x v="14"/>
  </r>
  <r>
    <d v="2017-02-28T00:00:00"/>
    <s v="Dominik"/>
    <s v="Szmitko"/>
    <n v="27"/>
    <x v="305"/>
  </r>
  <r>
    <d v="2017-02-28T00:00:00"/>
    <s v="Julian"/>
    <s v="Lisowski"/>
    <n v="13"/>
    <x v="306"/>
  </r>
  <r>
    <d v="2017-02-28T00:00:00"/>
    <s v="Irena"/>
    <s v="Banasiewicz"/>
    <n v="44"/>
    <x v="162"/>
  </r>
  <r>
    <d v="2017-02-28T00:00:00"/>
    <s v="Mariusz"/>
    <s v="Brydzinski"/>
    <n v="16"/>
    <x v="85"/>
  </r>
  <r>
    <d v="2017-02-28T00:00:00"/>
    <s v="Adela"/>
    <s v="Waruszewska"/>
    <n v="13"/>
    <x v="157"/>
  </r>
  <r>
    <d v="2017-02-28T00:00:00"/>
    <s v="Patrycja"/>
    <s v="Grzeszcz"/>
    <n v="42"/>
    <x v="307"/>
  </r>
  <r>
    <d v="2017-02-28T00:00:00"/>
    <s v="Witold"/>
    <s v="Sempa"/>
    <n v="28"/>
    <x v="137"/>
  </r>
  <r>
    <d v="2017-02-28T00:00:00"/>
    <s v="Patryk"/>
    <s v="Geszczynski"/>
    <n v="54"/>
    <x v="308"/>
  </r>
  <r>
    <d v="2017-03-01T00:00:00"/>
    <s v="Aleksandra"/>
    <s v="Kwas"/>
    <n v="40"/>
    <x v="309"/>
  </r>
  <r>
    <d v="2017-03-01T00:00:00"/>
    <s v="Maciej"/>
    <s v="Tasz"/>
    <n v="19"/>
    <x v="310"/>
  </r>
  <r>
    <d v="2017-03-01T00:00:00"/>
    <s v="Mariusz"/>
    <s v="Brydzinski"/>
    <n v="18"/>
    <x v="85"/>
  </r>
  <r>
    <d v="2017-03-01T00:00:00"/>
    <s v="Kacper"/>
    <s v="Niec"/>
    <n v="24"/>
    <x v="279"/>
  </r>
  <r>
    <d v="2017-03-01T00:00:00"/>
    <s v="Karol"/>
    <s v="Wojciechowski"/>
    <n v="25"/>
    <x v="311"/>
  </r>
  <r>
    <d v="2017-03-01T00:00:00"/>
    <s v="Marcin"/>
    <s v="Gizinski"/>
    <n v="7"/>
    <x v="312"/>
  </r>
  <r>
    <d v="2017-03-01T00:00:00"/>
    <s v="Julia"/>
    <s v="Stuhr"/>
    <n v="52"/>
    <x v="94"/>
  </r>
  <r>
    <d v="2017-03-01T00:00:00"/>
    <s v="Maciej"/>
    <s v="Czyzynski"/>
    <n v="23"/>
    <x v="154"/>
  </r>
  <r>
    <d v="2017-03-01T00:00:00"/>
    <s v="Witold"/>
    <s v="Sempa"/>
    <n v="45"/>
    <x v="137"/>
  </r>
  <r>
    <d v="2017-03-01T00:00:00"/>
    <s v="Patryk"/>
    <s v="Glac"/>
    <n v="12"/>
    <x v="301"/>
  </r>
  <r>
    <d v="2017-03-01T00:00:00"/>
    <s v="Jakub"/>
    <s v="Przestrzelski"/>
    <n v="25"/>
    <x v="313"/>
  </r>
  <r>
    <d v="2017-03-02T00:00:00"/>
    <s v="Joanna"/>
    <s v="Kopacki"/>
    <n v="4"/>
    <x v="314"/>
  </r>
  <r>
    <d v="2017-03-02T00:00:00"/>
    <s v="Jakub"/>
    <s v="Holmes"/>
    <n v="10"/>
    <x v="315"/>
  </r>
  <r>
    <d v="2017-03-02T00:00:00"/>
    <s v="Hubert"/>
    <s v="Pieczatowski"/>
    <n v="23"/>
    <x v="268"/>
  </r>
  <r>
    <d v="2017-03-02T00:00:00"/>
    <s v="Wiktoria"/>
    <s v="Wilk"/>
    <n v="56"/>
    <x v="316"/>
  </r>
  <r>
    <d v="2017-03-02T00:00:00"/>
    <s v="Filip"/>
    <s v="Strack"/>
    <n v="38"/>
    <x v="37"/>
  </r>
  <r>
    <d v="2017-03-02T00:00:00"/>
    <s v="Albert"/>
    <s v="Pleszewski"/>
    <n v="27"/>
    <x v="317"/>
  </r>
  <r>
    <d v="2017-03-02T00:00:00"/>
    <s v="Pawel"/>
    <s v="Furmaniak"/>
    <n v="28"/>
    <x v="223"/>
  </r>
  <r>
    <d v="2017-03-02T00:00:00"/>
    <s v="Piotr"/>
    <s v="Kaleta"/>
    <n v="8"/>
    <x v="204"/>
  </r>
  <r>
    <d v="2017-03-02T00:00:00"/>
    <s v="Maria"/>
    <s v="Opolska"/>
    <n v="39"/>
    <x v="318"/>
  </r>
  <r>
    <d v="2017-03-02T00:00:00"/>
    <s v="Balbina"/>
    <s v="Madej"/>
    <n v="4"/>
    <x v="319"/>
  </r>
  <r>
    <d v="2017-03-02T00:00:00"/>
    <s v="Seweryn"/>
    <s v="Krakowski"/>
    <n v="56"/>
    <x v="63"/>
  </r>
  <r>
    <d v="2017-03-03T00:00:00"/>
    <s v="Maria"/>
    <s v="Kowalczyk"/>
    <n v="33"/>
    <x v="320"/>
  </r>
  <r>
    <d v="2017-03-03T00:00:00"/>
    <s v="Adrian"/>
    <s v="Baran"/>
    <n v="53"/>
    <x v="321"/>
  </r>
  <r>
    <d v="2017-03-03T00:00:00"/>
    <s v="Nikodem"/>
    <s v="Jama"/>
    <n v="26"/>
    <x v="322"/>
  </r>
  <r>
    <d v="2017-03-03T00:00:00"/>
    <s v="Anna"/>
    <s v="Babiarz"/>
    <n v="27"/>
    <x v="323"/>
  </r>
  <r>
    <d v="2017-03-03T00:00:00"/>
    <s v="Julia"/>
    <s v="Wolska"/>
    <n v="49"/>
    <x v="324"/>
  </r>
  <r>
    <d v="2017-03-03T00:00:00"/>
    <s v="Daria"/>
    <s v="Pawiec"/>
    <n v="20"/>
    <x v="325"/>
  </r>
  <r>
    <d v="2017-03-03T00:00:00"/>
    <s v="Ilona"/>
    <s v="Lukaszewska"/>
    <n v="7"/>
    <x v="304"/>
  </r>
  <r>
    <d v="2017-03-03T00:00:00"/>
    <s v="Joanna"/>
    <s v="Janas"/>
    <n v="3"/>
    <x v="326"/>
  </r>
  <r>
    <d v="2017-03-03T00:00:00"/>
    <s v="Joanna"/>
    <s v="Sibiga"/>
    <n v="47"/>
    <x v="327"/>
  </r>
  <r>
    <d v="2017-03-03T00:00:00"/>
    <s v="Krzysztof"/>
    <s v="Las"/>
    <n v="48"/>
    <x v="272"/>
  </r>
  <r>
    <d v="2017-03-03T00:00:00"/>
    <s v="Ryszard"/>
    <s v="Matusik"/>
    <n v="24"/>
    <x v="328"/>
  </r>
  <r>
    <d v="2017-03-06T00:00:00"/>
    <s v="Marek"/>
    <s v="Sznuk"/>
    <n v="33"/>
    <x v="48"/>
  </r>
  <r>
    <d v="2017-03-06T00:00:00"/>
    <s v="Anna"/>
    <s v="Babiarz"/>
    <n v="20"/>
    <x v="323"/>
  </r>
  <r>
    <d v="2017-03-06T00:00:00"/>
    <s v="Daria"/>
    <s v="Zagrobna"/>
    <n v="35"/>
    <x v="15"/>
  </r>
  <r>
    <d v="2017-03-06T00:00:00"/>
    <s v="Lukasz"/>
    <s v="Niedziela"/>
    <n v="10"/>
    <x v="329"/>
  </r>
  <r>
    <d v="2017-03-06T00:00:00"/>
    <s v="Borys"/>
    <s v="Biedal"/>
    <n v="43"/>
    <x v="69"/>
  </r>
  <r>
    <d v="2017-03-06T00:00:00"/>
    <s v="Kamila"/>
    <s v="Bialkowska"/>
    <n v="15"/>
    <x v="330"/>
  </r>
  <r>
    <d v="2017-03-06T00:00:00"/>
    <s v="Ilona"/>
    <s v="Gorska"/>
    <n v="8"/>
    <x v="249"/>
  </r>
  <r>
    <d v="2017-03-06T00:00:00"/>
    <s v="Karol"/>
    <s v="Dziuk"/>
    <n v="20"/>
    <x v="56"/>
  </r>
  <r>
    <d v="2017-03-06T00:00:00"/>
    <s v="Michal"/>
    <s v="Nowicki"/>
    <n v="35"/>
    <x v="65"/>
  </r>
  <r>
    <d v="2017-03-06T00:00:00"/>
    <s v="Henryk"/>
    <s v="Siminski"/>
    <n v="26"/>
    <x v="187"/>
  </r>
  <r>
    <d v="2017-03-06T00:00:00"/>
    <s v="Teodor"/>
    <s v="Olszewski"/>
    <n v="39"/>
    <x v="152"/>
  </r>
  <r>
    <d v="2017-03-07T00:00:00"/>
    <s v="Mateusz"/>
    <s v="Karpowicz"/>
    <n v="52"/>
    <x v="52"/>
  </r>
  <r>
    <d v="2017-03-07T00:00:00"/>
    <s v="Karolina"/>
    <s v="Wrona"/>
    <n v="13"/>
    <x v="135"/>
  </r>
  <r>
    <d v="2017-03-07T00:00:00"/>
    <s v="Jan"/>
    <s v="Kaczorowski"/>
    <n v="16"/>
    <x v="78"/>
  </r>
  <r>
    <d v="2017-03-07T00:00:00"/>
    <s v="Joanna"/>
    <s v="Wrobel"/>
    <n v="17"/>
    <x v="331"/>
  </r>
  <r>
    <d v="2017-03-07T00:00:00"/>
    <s v="Sofia"/>
    <s v="Felisiak"/>
    <n v="7"/>
    <x v="156"/>
  </r>
  <r>
    <d v="2017-03-07T00:00:00"/>
    <s v="Daria"/>
    <s v="Pawiec"/>
    <n v="48"/>
    <x v="325"/>
  </r>
  <r>
    <d v="2017-03-07T00:00:00"/>
    <s v="Mateusz"/>
    <s v="Kornatowski"/>
    <n v="20"/>
    <x v="332"/>
  </r>
  <r>
    <d v="2017-03-07T00:00:00"/>
    <s v="Mateusz"/>
    <s v="Filipowicz"/>
    <n v="3"/>
    <x v="333"/>
  </r>
  <r>
    <d v="2017-03-07T00:00:00"/>
    <s v="Ewa"/>
    <s v="Aderek"/>
    <n v="22"/>
    <x v="169"/>
  </r>
  <r>
    <d v="2017-03-08T00:00:00"/>
    <s v="Ewa"/>
    <s v="Milion"/>
    <n v="14"/>
    <x v="281"/>
  </r>
  <r>
    <d v="2017-03-08T00:00:00"/>
    <s v="Jacek"/>
    <s v="Szypulski"/>
    <n v="17"/>
    <x v="113"/>
  </r>
  <r>
    <d v="2017-03-08T00:00:00"/>
    <s v="Maciej"/>
    <s v="Machalski"/>
    <n v="3"/>
    <x v="46"/>
  </r>
  <r>
    <d v="2017-03-08T00:00:00"/>
    <s v="Angelika"/>
    <s v="Walaszek"/>
    <n v="10"/>
    <x v="334"/>
  </r>
  <r>
    <d v="2017-03-08T00:00:00"/>
    <s v="Malgorzata"/>
    <s v="Karlowski"/>
    <n v="14"/>
    <x v="155"/>
  </r>
  <r>
    <d v="2017-03-08T00:00:00"/>
    <s v="Kacper"/>
    <s v="Nikolajew"/>
    <n v="3"/>
    <x v="282"/>
  </r>
  <r>
    <d v="2017-03-08T00:00:00"/>
    <s v="Joanna"/>
    <s v="Ottka"/>
    <n v="22"/>
    <x v="250"/>
  </r>
  <r>
    <d v="2017-03-08T00:00:00"/>
    <s v="Jan"/>
    <s v="Pistek"/>
    <n v="11"/>
    <x v="335"/>
  </r>
  <r>
    <d v="2017-03-08T00:00:00"/>
    <s v="Daria"/>
    <s v="Mikos"/>
    <n v="7"/>
    <x v="289"/>
  </r>
  <r>
    <d v="2017-03-09T00:00:00"/>
    <s v="Ewa"/>
    <s v="Stoch"/>
    <n v="13"/>
    <x v="45"/>
  </r>
  <r>
    <d v="2017-03-09T00:00:00"/>
    <s v="Anna"/>
    <s v="Klimas"/>
    <n v="47"/>
    <x v="336"/>
  </r>
  <r>
    <d v="2017-03-09T00:00:00"/>
    <s v="Jacek"/>
    <s v="Ciosinski"/>
    <n v="22"/>
    <x v="90"/>
  </r>
  <r>
    <d v="2017-03-09T00:00:00"/>
    <s v="Mateusz"/>
    <s v="Krynicki"/>
    <n v="10"/>
    <x v="337"/>
  </r>
  <r>
    <d v="2017-03-09T00:00:00"/>
    <s v="Antoni"/>
    <s v="Wizniewski"/>
    <n v="38"/>
    <x v="338"/>
  </r>
  <r>
    <d v="2017-03-09T00:00:00"/>
    <s v="Anna"/>
    <s v="Zaczyk"/>
    <n v="48"/>
    <x v="339"/>
  </r>
  <r>
    <d v="2017-03-09T00:00:00"/>
    <s v="Bartosz"/>
    <s v="Mazgaj"/>
    <n v="9"/>
    <x v="340"/>
  </r>
  <r>
    <d v="2017-03-09T00:00:00"/>
    <s v="Maria"/>
    <s v="Galas"/>
    <n v="6"/>
    <x v="132"/>
  </r>
  <r>
    <d v="2017-03-09T00:00:00"/>
    <s v="Emilia"/>
    <s v="Mroczek"/>
    <n v="13"/>
    <x v="120"/>
  </r>
  <r>
    <d v="2017-03-10T00:00:00"/>
    <s v="Mateusz"/>
    <s v="Uklej"/>
    <n v="30"/>
    <x v="108"/>
  </r>
  <r>
    <d v="2017-03-10T00:00:00"/>
    <s v="Adam"/>
    <s v="Borkowski"/>
    <n v="3"/>
    <x v="341"/>
  </r>
  <r>
    <d v="2017-03-10T00:00:00"/>
    <s v="Maja"/>
    <s v="Lipka"/>
    <n v="8"/>
    <x v="18"/>
  </r>
  <r>
    <d v="2017-03-10T00:00:00"/>
    <s v="Malgorzata"/>
    <s v="Karlowski"/>
    <n v="12"/>
    <x v="155"/>
  </r>
  <r>
    <d v="2017-03-10T00:00:00"/>
    <s v="Balbina"/>
    <s v="Madej"/>
    <n v="14"/>
    <x v="319"/>
  </r>
  <r>
    <d v="2017-03-10T00:00:00"/>
    <s v="Angelika"/>
    <s v="Walaszek"/>
    <n v="4"/>
    <x v="334"/>
  </r>
  <r>
    <d v="2017-03-10T00:00:00"/>
    <s v="Sandra"/>
    <s v="Filarska"/>
    <n v="5"/>
    <x v="53"/>
  </r>
  <r>
    <d v="2017-03-10T00:00:00"/>
    <s v="Krzysztof"/>
    <s v="Wloch"/>
    <n v="13"/>
    <x v="342"/>
  </r>
  <r>
    <d v="2017-03-10T00:00:00"/>
    <s v="Maciej"/>
    <s v="Bugaj"/>
    <n v="9"/>
    <x v="343"/>
  </r>
  <r>
    <d v="2017-03-13T00:00:00"/>
    <s v="Mateusz"/>
    <s v="Mrowczynski"/>
    <n v="14"/>
    <x v="344"/>
  </r>
  <r>
    <d v="2017-03-13T00:00:00"/>
    <s v="Marek"/>
    <s v="Zybert"/>
    <n v="19"/>
    <x v="345"/>
  </r>
  <r>
    <d v="2017-03-13T00:00:00"/>
    <s v="Inka"/>
    <s v="Sochacka"/>
    <n v="21"/>
    <x v="184"/>
  </r>
  <r>
    <d v="2017-03-13T00:00:00"/>
    <s v="Joanna"/>
    <s v="Zygmunt"/>
    <n v="5"/>
    <x v="192"/>
  </r>
  <r>
    <d v="2017-03-13T00:00:00"/>
    <s v="Lukasz"/>
    <s v="Kot"/>
    <n v="18"/>
    <x v="346"/>
  </r>
  <r>
    <d v="2017-03-13T00:00:00"/>
    <s v="Anna"/>
    <s v="Kosowicz"/>
    <n v="4"/>
    <x v="27"/>
  </r>
  <r>
    <d v="2017-03-13T00:00:00"/>
    <s v="Tomasz"/>
    <s v="Hajdi"/>
    <n v="34"/>
    <x v="347"/>
  </r>
  <r>
    <d v="2017-03-13T00:00:00"/>
    <s v="Piotr"/>
    <s v="Bialaszewski"/>
    <n v="7"/>
    <x v="17"/>
  </r>
  <r>
    <d v="2017-03-13T00:00:00"/>
    <s v="Zofia"/>
    <s v="Broukin"/>
    <n v="41"/>
    <x v="348"/>
  </r>
  <r>
    <d v="2017-03-14T00:00:00"/>
    <s v="Marta"/>
    <s v="Opolska"/>
    <n v="10"/>
    <x v="20"/>
  </r>
  <r>
    <d v="2017-03-14T00:00:00"/>
    <s v="Ewa"/>
    <s v="Tysz"/>
    <n v="42"/>
    <x v="70"/>
  </r>
  <r>
    <d v="2017-03-14T00:00:00"/>
    <s v="Malgorzata"/>
    <s v="Winiarska"/>
    <n v="10"/>
    <x v="226"/>
  </r>
  <r>
    <d v="2017-03-14T00:00:00"/>
    <s v="Barbara"/>
    <s v="Karcz"/>
    <n v="4"/>
    <x v="349"/>
  </r>
  <r>
    <d v="2017-03-14T00:00:00"/>
    <s v="Nikodem"/>
    <s v="Jama"/>
    <n v="17"/>
    <x v="322"/>
  </r>
  <r>
    <d v="2017-03-14T00:00:00"/>
    <s v="Justyna"/>
    <s v="Pozarzycka"/>
    <n v="29"/>
    <x v="68"/>
  </r>
  <r>
    <d v="2017-03-14T00:00:00"/>
    <s v="Jan"/>
    <s v="Marasek"/>
    <n v="6"/>
    <x v="350"/>
  </r>
  <r>
    <d v="2017-03-14T00:00:00"/>
    <s v="Agata"/>
    <s v="Kwiatkowska"/>
    <n v="12"/>
    <x v="2"/>
  </r>
  <r>
    <d v="2017-03-14T00:00:00"/>
    <s v="Karolina"/>
    <s v="Mikos"/>
    <n v="14"/>
    <x v="351"/>
  </r>
  <r>
    <d v="2017-03-15T00:00:00"/>
    <s v="Marek"/>
    <s v="Chorzowski"/>
    <n v="28"/>
    <x v="352"/>
  </r>
  <r>
    <d v="2017-03-15T00:00:00"/>
    <s v="Ewelina"/>
    <s v="Goslawska"/>
    <n v="19"/>
    <x v="353"/>
  </r>
  <r>
    <d v="2017-03-15T00:00:00"/>
    <s v="Ewa"/>
    <s v="Augustowska"/>
    <n v="30"/>
    <x v="354"/>
  </r>
  <r>
    <d v="2017-03-15T00:00:00"/>
    <s v="Stanislaw"/>
    <s v="Janiec"/>
    <n v="54"/>
    <x v="355"/>
  </r>
  <r>
    <d v="2017-03-15T00:00:00"/>
    <s v="Ewelina"/>
    <s v="Gorecka"/>
    <n v="21"/>
    <x v="75"/>
  </r>
  <r>
    <d v="2017-03-15T00:00:00"/>
    <s v="Agnieszka"/>
    <s v="Kaminska"/>
    <n v="10"/>
    <x v="270"/>
  </r>
  <r>
    <d v="2017-03-15T00:00:00"/>
    <s v="Mateusz"/>
    <s v="Mrowczynski"/>
    <n v="25"/>
    <x v="344"/>
  </r>
  <r>
    <d v="2017-03-15T00:00:00"/>
    <s v="Piotr"/>
    <s v="Kania"/>
    <n v="5"/>
    <x v="195"/>
  </r>
  <r>
    <d v="2017-03-15T00:00:00"/>
    <s v="Maciej"/>
    <s v="Siemiatkowski"/>
    <n v="12"/>
    <x v="60"/>
  </r>
  <r>
    <d v="2017-03-16T00:00:00"/>
    <s v="Krzysztof"/>
    <s v="Dwa"/>
    <n v="24"/>
    <x v="209"/>
  </r>
  <r>
    <d v="2017-03-16T00:00:00"/>
    <s v="Lena"/>
    <s v="Miszkin"/>
    <n v="11"/>
    <x v="153"/>
  </r>
  <r>
    <d v="2017-03-16T00:00:00"/>
    <s v="Piotr"/>
    <s v="Duszota"/>
    <n v="37"/>
    <x v="356"/>
  </r>
  <r>
    <d v="2017-03-16T00:00:00"/>
    <s v="Malgorzata"/>
    <s v="Malec"/>
    <n v="26"/>
    <x v="224"/>
  </r>
  <r>
    <d v="2017-03-16T00:00:00"/>
    <s v="Grzegorz"/>
    <s v="Wojtowicz"/>
    <n v="3"/>
    <x v="357"/>
  </r>
  <r>
    <d v="2017-03-16T00:00:00"/>
    <s v="Iwona"/>
    <s v="Lato"/>
    <n v="52"/>
    <x v="358"/>
  </r>
  <r>
    <d v="2017-03-16T00:00:00"/>
    <s v="Katarzyna"/>
    <s v="Wip"/>
    <n v="24"/>
    <x v="175"/>
  </r>
  <r>
    <d v="2017-03-16T00:00:00"/>
    <s v="Maja"/>
    <s v="Kaminska"/>
    <n v="43"/>
    <x v="359"/>
  </r>
  <r>
    <d v="2017-03-16T00:00:00"/>
    <s v="Wojciech"/>
    <s v="Gocyla"/>
    <n v="54"/>
    <x v="360"/>
  </r>
  <r>
    <d v="2017-03-16T00:00:00"/>
    <s v="Kamil"/>
    <s v="Naderka"/>
    <n v="42"/>
    <x v="67"/>
  </r>
  <r>
    <d v="2017-03-17T00:00:00"/>
    <s v="Eugenia"/>
    <s v="Pieta"/>
    <n v="10"/>
    <x v="361"/>
  </r>
  <r>
    <d v="2017-03-17T00:00:00"/>
    <s v="Monika"/>
    <s v="Nowaczkiewicz"/>
    <n v="40"/>
    <x v="288"/>
  </r>
  <r>
    <d v="2017-03-17T00:00:00"/>
    <s v="Julia"/>
    <s v="Saska"/>
    <n v="16"/>
    <x v="362"/>
  </r>
  <r>
    <d v="2017-03-17T00:00:00"/>
    <s v="Zbigniew"/>
    <s v="Maciag"/>
    <n v="27"/>
    <x v="363"/>
  </r>
  <r>
    <d v="2017-03-17T00:00:00"/>
    <s v="Agata"/>
    <s v="Kwiatkowska"/>
    <n v="14"/>
    <x v="2"/>
  </r>
  <r>
    <d v="2017-03-17T00:00:00"/>
    <s v="Ewelina"/>
    <s v="Gorecka"/>
    <n v="5"/>
    <x v="75"/>
  </r>
  <r>
    <d v="2017-03-17T00:00:00"/>
    <s v="Maria"/>
    <s v="Gatek"/>
    <n v="23"/>
    <x v="172"/>
  </r>
  <r>
    <d v="2017-03-17T00:00:00"/>
    <s v="Bartosz"/>
    <s v="Mazgaj"/>
    <n v="17"/>
    <x v="340"/>
  </r>
  <r>
    <d v="2017-03-17T00:00:00"/>
    <s v="Karolina"/>
    <s v="Pawelska"/>
    <n v="54"/>
    <x v="364"/>
  </r>
  <r>
    <d v="2017-03-17T00:00:00"/>
    <s v="Roman"/>
    <s v="Grodecki"/>
    <n v="24"/>
    <x v="365"/>
  </r>
  <r>
    <d v="2017-03-20T00:00:00"/>
    <s v="Kinga"/>
    <s v="Trawinska"/>
    <n v="19"/>
    <x v="366"/>
  </r>
  <r>
    <d v="2017-03-20T00:00:00"/>
    <s v="Monika"/>
    <s v="Lis"/>
    <n v="17"/>
    <x v="367"/>
  </r>
  <r>
    <d v="2017-03-20T00:00:00"/>
    <s v="Karol"/>
    <s v="Pawleczek"/>
    <n v="20"/>
    <x v="368"/>
  </r>
  <r>
    <d v="2017-03-20T00:00:00"/>
    <s v="Karolina"/>
    <s v="Welc"/>
    <n v="42"/>
    <x v="119"/>
  </r>
  <r>
    <d v="2017-03-20T00:00:00"/>
    <s v="Piotr"/>
    <s v="Bialaszewski"/>
    <n v="14"/>
    <x v="17"/>
  </r>
  <r>
    <d v="2017-03-20T00:00:00"/>
    <s v="Agnieszka"/>
    <s v="Bujak"/>
    <n v="10"/>
    <x v="369"/>
  </r>
  <r>
    <d v="2017-03-20T00:00:00"/>
    <s v="Piotr"/>
    <s v="Mozart"/>
    <n v="24"/>
    <x v="370"/>
  </r>
  <r>
    <d v="2017-03-20T00:00:00"/>
    <s v="Mateusz"/>
    <s v="Filipowicz"/>
    <n v="10"/>
    <x v="333"/>
  </r>
  <r>
    <d v="2017-03-20T00:00:00"/>
    <s v="Lukasz"/>
    <s v="Kopecki"/>
    <n v="17"/>
    <x v="210"/>
  </r>
  <r>
    <d v="2017-03-20T00:00:00"/>
    <s v="Agata"/>
    <s v="Zgoda"/>
    <n v="4"/>
    <x v="371"/>
  </r>
  <r>
    <d v="2017-03-21T00:00:00"/>
    <s v="Anna"/>
    <s v="Dab"/>
    <n v="30"/>
    <x v="372"/>
  </r>
  <r>
    <d v="2017-03-21T00:00:00"/>
    <s v="Bruno"/>
    <s v="Tomaszewski"/>
    <n v="13"/>
    <x v="257"/>
  </r>
  <r>
    <d v="2017-03-21T00:00:00"/>
    <s v="Pawel"/>
    <s v="Furmaniak"/>
    <n v="8"/>
    <x v="223"/>
  </r>
  <r>
    <d v="2017-03-21T00:00:00"/>
    <s v="Anna"/>
    <s v="Wnuk"/>
    <n v="21"/>
    <x v="373"/>
  </r>
  <r>
    <d v="2017-03-21T00:00:00"/>
    <s v="Radoslaw"/>
    <s v="Sowinska"/>
    <n v="7"/>
    <x v="374"/>
  </r>
  <r>
    <d v="2017-03-21T00:00:00"/>
    <s v="Mateusz"/>
    <s v="Kowalczyk"/>
    <n v="13"/>
    <x v="115"/>
  </r>
  <r>
    <d v="2017-03-21T00:00:00"/>
    <s v="Karol"/>
    <s v="Walasz"/>
    <n v="19"/>
    <x v="375"/>
  </r>
  <r>
    <d v="2017-03-21T00:00:00"/>
    <s v="Wojciech"/>
    <s v="Filipowicz"/>
    <n v="47"/>
    <x v="206"/>
  </r>
  <r>
    <d v="2017-03-21T00:00:00"/>
    <s v="Janina"/>
    <s v="Podlaska"/>
    <n v="15"/>
    <x v="244"/>
  </r>
  <r>
    <d v="2017-03-21T00:00:00"/>
    <s v="Janina"/>
    <s v="Kaczynska"/>
    <n v="50"/>
    <x v="376"/>
  </r>
  <r>
    <d v="2017-03-22T00:00:00"/>
    <s v="Bogdan"/>
    <s v="Inny"/>
    <n v="10"/>
    <x v="377"/>
  </r>
  <r>
    <d v="2017-03-22T00:00:00"/>
    <s v="Henryk"/>
    <s v="Polarek"/>
    <n v="21"/>
    <x v="176"/>
  </r>
  <r>
    <d v="2017-03-22T00:00:00"/>
    <s v="Dominika"/>
    <s v="Szwec"/>
    <n v="7"/>
    <x v="378"/>
  </r>
  <r>
    <d v="2017-03-22T00:00:00"/>
    <s v="Marek"/>
    <s v="Witkowski"/>
    <n v="13"/>
    <x v="225"/>
  </r>
  <r>
    <d v="2017-03-22T00:00:00"/>
    <s v="Filip"/>
    <s v="Spychala"/>
    <n v="27"/>
    <x v="7"/>
  </r>
  <r>
    <d v="2017-03-22T00:00:00"/>
    <s v="Hanna"/>
    <s v="Stankiewicz"/>
    <n v="23"/>
    <x v="379"/>
  </r>
  <r>
    <d v="2017-03-22T00:00:00"/>
    <s v="Filip"/>
    <s v="Spychala"/>
    <n v="18"/>
    <x v="7"/>
  </r>
  <r>
    <d v="2017-03-22T00:00:00"/>
    <s v="Malgorzata"/>
    <s v="Kozlowska"/>
    <n v="16"/>
    <x v="258"/>
  </r>
  <r>
    <d v="2017-03-22T00:00:00"/>
    <s v="Jan"/>
    <s v="Zdunski"/>
    <n v="21"/>
    <x v="238"/>
  </r>
  <r>
    <d v="2017-03-22T00:00:00"/>
    <s v="Kacper"/>
    <s v="Okla"/>
    <n v="17"/>
    <x v="298"/>
  </r>
  <r>
    <d v="2017-03-23T00:00:00"/>
    <s v="Maciej"/>
    <s v="Machalski"/>
    <n v="21"/>
    <x v="46"/>
  </r>
  <r>
    <d v="2017-03-23T00:00:00"/>
    <s v="Izabela"/>
    <s v="Sobota"/>
    <n v="19"/>
    <x v="380"/>
  </r>
  <r>
    <d v="2017-03-23T00:00:00"/>
    <s v="Kacper"/>
    <s v="Nikolajew"/>
    <n v="24"/>
    <x v="282"/>
  </r>
  <r>
    <d v="2017-03-23T00:00:00"/>
    <s v="Nikodem"/>
    <s v="Jablonski"/>
    <n v="16"/>
    <x v="381"/>
  </r>
  <r>
    <d v="2017-03-23T00:00:00"/>
    <s v="Ewaryst"/>
    <s v="Zdunek"/>
    <n v="8"/>
    <x v="382"/>
  </r>
  <r>
    <d v="2017-03-23T00:00:00"/>
    <s v="Monika"/>
    <s v="Piterka"/>
    <n v="27"/>
    <x v="148"/>
  </r>
  <r>
    <d v="2017-03-23T00:00:00"/>
    <s v="Kacper"/>
    <s v="Niec"/>
    <n v="25"/>
    <x v="279"/>
  </r>
  <r>
    <d v="2017-03-23T00:00:00"/>
    <s v="Piotr"/>
    <s v="Kania"/>
    <n v="10"/>
    <x v="195"/>
  </r>
  <r>
    <d v="2017-03-23T00:00:00"/>
    <s v="Katarzyna"/>
    <s v="Galazka"/>
    <n v="11"/>
    <x v="383"/>
  </r>
  <r>
    <d v="2017-03-23T00:00:00"/>
    <s v="Antoni"/>
    <s v="Wierzbicki"/>
    <n v="3"/>
    <x v="384"/>
  </r>
  <r>
    <d v="2017-03-24T00:00:00"/>
    <s v="Agnieszka"/>
    <s v="Bujak"/>
    <n v="15"/>
    <x v="369"/>
  </r>
  <r>
    <d v="2017-03-24T00:00:00"/>
    <s v="Ewa"/>
    <s v="Tysz"/>
    <n v="14"/>
    <x v="70"/>
  </r>
  <r>
    <d v="2017-03-24T00:00:00"/>
    <s v="Anna"/>
    <s v="Trojanowska"/>
    <n v="37"/>
    <x v="385"/>
  </r>
  <r>
    <d v="2017-03-24T00:00:00"/>
    <s v="Andrzej"/>
    <s v="Nawwrot"/>
    <n v="22"/>
    <x v="386"/>
  </r>
  <r>
    <d v="2017-03-24T00:00:00"/>
    <s v="Bartosz"/>
    <s v="Tusinski"/>
    <n v="5"/>
    <x v="200"/>
  </r>
  <r>
    <d v="2017-03-24T00:00:00"/>
    <s v="Maciej"/>
    <s v="Nowak"/>
    <n v="29"/>
    <x v="387"/>
  </r>
  <r>
    <d v="2017-03-24T00:00:00"/>
    <s v="Daria"/>
    <s v="Zagrobna"/>
    <n v="25"/>
    <x v="15"/>
  </r>
  <r>
    <d v="2017-03-24T00:00:00"/>
    <s v="Maria"/>
    <s v="Adamska"/>
    <n v="52"/>
    <x v="140"/>
  </r>
  <r>
    <d v="2017-03-24T00:00:00"/>
    <s v="Dawid"/>
    <s v="Szreder"/>
    <n v="2"/>
    <x v="388"/>
  </r>
  <r>
    <d v="2017-03-24T00:00:00"/>
    <s v="Hanna"/>
    <s v="Stanislawska"/>
    <n v="27"/>
    <x v="38"/>
  </r>
  <r>
    <d v="2017-03-27T00:00:00"/>
    <s v="Justyna"/>
    <s v="Pozarzycka"/>
    <n v="43"/>
    <x v="68"/>
  </r>
  <r>
    <d v="2017-03-27T00:00:00"/>
    <s v="Aleks"/>
    <s v="Wojcik"/>
    <n v="23"/>
    <x v="101"/>
  </r>
  <r>
    <d v="2017-03-27T00:00:00"/>
    <s v="Lidia"/>
    <s v="Goluchowska"/>
    <n v="19"/>
    <x v="248"/>
  </r>
  <r>
    <d v="2017-03-27T00:00:00"/>
    <s v="Balbina"/>
    <s v="Madej"/>
    <n v="36"/>
    <x v="319"/>
  </r>
  <r>
    <d v="2017-03-27T00:00:00"/>
    <s v="Patrycja"/>
    <s v="Rzeszowska"/>
    <n v="26"/>
    <x v="297"/>
  </r>
  <r>
    <d v="2017-03-27T00:00:00"/>
    <s v="Przemyslaw"/>
    <s v="Widawski"/>
    <n v="24"/>
    <x v="389"/>
  </r>
  <r>
    <d v="2017-03-27T00:00:00"/>
    <s v="Kamil"/>
    <s v="Krawczyk"/>
    <n v="5"/>
    <x v="390"/>
  </r>
  <r>
    <d v="2017-03-27T00:00:00"/>
    <s v="Jakub"/>
    <s v="Porydzaj"/>
    <n v="53"/>
    <x v="277"/>
  </r>
  <r>
    <d v="2017-03-27T00:00:00"/>
    <s v="Katarzyna"/>
    <s v="Galazka"/>
    <n v="18"/>
    <x v="383"/>
  </r>
  <r>
    <d v="2017-03-27T00:00:00"/>
    <s v="Piotr"/>
    <s v="Mozart"/>
    <n v="15"/>
    <x v="370"/>
  </r>
  <r>
    <d v="2017-03-28T00:00:00"/>
    <s v="Natalia"/>
    <s v="Knap"/>
    <n v="20"/>
    <x v="391"/>
  </r>
  <r>
    <d v="2017-03-28T00:00:00"/>
    <s v="Joanna"/>
    <s v="Banaszczyk"/>
    <n v="34"/>
    <x v="392"/>
  </r>
  <r>
    <d v="2017-03-28T00:00:00"/>
    <s v="Adrian"/>
    <s v="Zawisza"/>
    <n v="35"/>
    <x v="31"/>
  </r>
  <r>
    <d v="2017-03-28T00:00:00"/>
    <s v="Jan"/>
    <s v="Gumowski"/>
    <n v="29"/>
    <x v="393"/>
  </r>
  <r>
    <d v="2017-03-28T00:00:00"/>
    <s v="Nikodem"/>
    <s v="Jablonski"/>
    <n v="7"/>
    <x v="381"/>
  </r>
  <r>
    <d v="2017-03-28T00:00:00"/>
    <s v="Marta"/>
    <s v="Robak"/>
    <n v="10"/>
    <x v="151"/>
  </r>
  <r>
    <d v="2017-03-28T00:00:00"/>
    <s v="Ignacy"/>
    <s v="Sarnowski"/>
    <n v="14"/>
    <x v="394"/>
  </r>
  <r>
    <d v="2017-03-28T00:00:00"/>
    <s v="Magdalena"/>
    <s v="Bach"/>
    <n v="23"/>
    <x v="395"/>
  </r>
  <r>
    <d v="2017-03-28T00:00:00"/>
    <s v="Monika"/>
    <s v="Lis"/>
    <n v="26"/>
    <x v="367"/>
  </r>
  <r>
    <d v="2017-03-28T00:00:00"/>
    <s v="Kamila"/>
    <s v="Wolan"/>
    <n v="2"/>
    <x v="183"/>
  </r>
  <r>
    <d v="2017-03-29T00:00:00"/>
    <s v="Kamil"/>
    <s v="Wolny"/>
    <n v="36"/>
    <x v="396"/>
  </r>
  <r>
    <d v="2017-03-29T00:00:00"/>
    <s v="Kamil"/>
    <s v="Szyszko"/>
    <n v="18"/>
    <x v="397"/>
  </r>
  <r>
    <d v="2017-03-29T00:00:00"/>
    <s v="Jan"/>
    <s v="Nancki"/>
    <n v="23"/>
    <x v="398"/>
  </r>
  <r>
    <d v="2017-03-29T00:00:00"/>
    <s v="Przemyslaw"/>
    <s v="Widawski"/>
    <n v="20"/>
    <x v="389"/>
  </r>
  <r>
    <d v="2017-03-29T00:00:00"/>
    <s v="Karolina"/>
    <s v="Wrak"/>
    <n v="16"/>
    <x v="253"/>
  </r>
  <r>
    <d v="2017-03-29T00:00:00"/>
    <s v="Waldemar"/>
    <s v="Fornalik"/>
    <n v="7"/>
    <x v="399"/>
  </r>
  <r>
    <d v="2017-03-29T00:00:00"/>
    <s v="Bernard"/>
    <s v="Lubelski"/>
    <n v="47"/>
    <x v="400"/>
  </r>
  <r>
    <d v="2017-03-29T00:00:00"/>
    <s v="Lukasz"/>
    <s v="Pawlik"/>
    <n v="9"/>
    <x v="401"/>
  </r>
  <r>
    <d v="2017-03-29T00:00:00"/>
    <s v="Barbara"/>
    <s v="Kilarski"/>
    <n v="11"/>
    <x v="402"/>
  </r>
  <r>
    <d v="2017-03-29T00:00:00"/>
    <s v="Protazy"/>
    <s v="Warszawski"/>
    <n v="12"/>
    <x v="403"/>
  </r>
  <r>
    <d v="2017-03-30T00:00:00"/>
    <s v="Aleksander"/>
    <s v="Koc"/>
    <n v="2"/>
    <x v="404"/>
  </r>
  <r>
    <d v="2017-03-30T00:00:00"/>
    <s v="Kamila"/>
    <s v="Wolan"/>
    <n v="23"/>
    <x v="183"/>
  </r>
  <r>
    <d v="2017-03-30T00:00:00"/>
    <s v="Alicja"/>
    <s v="Gadek"/>
    <n v="52"/>
    <x v="10"/>
  </r>
  <r>
    <d v="2017-03-30T00:00:00"/>
    <s v="Karol"/>
    <s v="Wojciechowski"/>
    <n v="10"/>
    <x v="311"/>
  </r>
  <r>
    <d v="2017-03-30T00:00:00"/>
    <s v="Andrzej"/>
    <s v="Tysz"/>
    <n v="47"/>
    <x v="405"/>
  </r>
  <r>
    <d v="2017-03-30T00:00:00"/>
    <s v="Ewaryst"/>
    <s v="Zdunek"/>
    <n v="20"/>
    <x v="382"/>
  </r>
  <r>
    <d v="2017-03-30T00:00:00"/>
    <s v="Maciej"/>
    <s v="Czyzynski"/>
    <n v="3"/>
    <x v="154"/>
  </r>
  <r>
    <d v="2017-03-30T00:00:00"/>
    <s v="Monika"/>
    <s v="Trojan"/>
    <n v="9"/>
    <x v="406"/>
  </r>
  <r>
    <d v="2017-03-30T00:00:00"/>
    <s v="Mariusz"/>
    <s v="Suszyn"/>
    <n v="22"/>
    <x v="407"/>
  </r>
  <r>
    <d v="2017-03-30T00:00:00"/>
    <s v="Anna"/>
    <s v="Tomaszewska"/>
    <n v="9"/>
    <x v="218"/>
  </r>
  <r>
    <d v="2017-03-31T00:00:00"/>
    <s v="Marek"/>
    <s v="Witkowski"/>
    <n v="30"/>
    <x v="225"/>
  </r>
  <r>
    <d v="2017-03-31T00:00:00"/>
    <s v="Lech"/>
    <s v="Lisowski"/>
    <n v="18"/>
    <x v="408"/>
  </r>
  <r>
    <d v="2017-03-31T00:00:00"/>
    <s v="Maciej"/>
    <s v="Kowalski"/>
    <n v="55"/>
    <x v="44"/>
  </r>
  <r>
    <d v="2017-03-31T00:00:00"/>
    <s v="Borys"/>
    <s v="Winiarski"/>
    <n v="17"/>
    <x v="263"/>
  </r>
  <r>
    <d v="2017-03-31T00:00:00"/>
    <s v="Mateusz"/>
    <s v="Hajdug"/>
    <n v="30"/>
    <x v="409"/>
  </r>
  <r>
    <d v="2017-03-31T00:00:00"/>
    <s v="Dawid"/>
    <s v="Szreder"/>
    <n v="4"/>
    <x v="388"/>
  </r>
  <r>
    <d v="2017-03-31T00:00:00"/>
    <s v="Lidia"/>
    <s v="Goluchowska"/>
    <n v="21"/>
    <x v="248"/>
  </r>
  <r>
    <d v="2017-03-31T00:00:00"/>
    <s v="Klaudia"/>
    <s v="Myk"/>
    <n v="7"/>
    <x v="1"/>
  </r>
  <r>
    <d v="2017-03-31T00:00:00"/>
    <s v="Jakub"/>
    <s v="Jedruszek"/>
    <n v="20"/>
    <x v="19"/>
  </r>
  <r>
    <d v="2017-03-31T00:00:00"/>
    <s v="Milena"/>
    <s v="Karolewska"/>
    <n v="6"/>
    <x v="231"/>
  </r>
  <r>
    <d v="2017-04-03T00:00:00"/>
    <s v="Janusz"/>
    <s v="Baka"/>
    <n v="12"/>
    <x v="410"/>
  </r>
  <r>
    <d v="2017-04-03T00:00:00"/>
    <s v="Marta"/>
    <s v="Robak"/>
    <n v="29"/>
    <x v="151"/>
  </r>
  <r>
    <d v="2017-04-03T00:00:00"/>
    <s v="Janusz"/>
    <s v="Wrobel"/>
    <n v="2"/>
    <x v="411"/>
  </r>
  <r>
    <d v="2017-04-03T00:00:00"/>
    <s v="Adam"/>
    <s v="Zmurko"/>
    <n v="27"/>
    <x v="242"/>
  </r>
  <r>
    <d v="2017-04-03T00:00:00"/>
    <s v="Patrycja"/>
    <s v="Wcislo"/>
    <n v="9"/>
    <x v="412"/>
  </r>
  <r>
    <d v="2017-04-03T00:00:00"/>
    <s v="Joanna"/>
    <s v="Wrobel"/>
    <n v="25"/>
    <x v="331"/>
  </r>
  <r>
    <d v="2017-04-03T00:00:00"/>
    <s v="Maja"/>
    <s v="Kurowska"/>
    <n v="45"/>
    <x v="413"/>
  </r>
  <r>
    <d v="2017-04-03T00:00:00"/>
    <s v="Piotr"/>
    <s v="Walec"/>
    <n v="12"/>
    <x v="414"/>
  </r>
  <r>
    <d v="2017-04-03T00:00:00"/>
    <s v="Izabella"/>
    <s v="Jelen"/>
    <n v="44"/>
    <x v="142"/>
  </r>
  <r>
    <d v="2017-04-03T00:00:00"/>
    <s v="Wieslawa"/>
    <s v="Nowak"/>
    <n v="18"/>
    <x v="415"/>
  </r>
  <r>
    <d v="2017-04-04T00:00:00"/>
    <s v="Natalia"/>
    <s v="Olkuska"/>
    <n v="16"/>
    <x v="416"/>
  </r>
  <r>
    <d v="2017-04-04T00:00:00"/>
    <s v="Witold"/>
    <s v="Sempa"/>
    <n v="18"/>
    <x v="137"/>
  </r>
  <r>
    <d v="2017-04-04T00:00:00"/>
    <s v="Wiktoria"/>
    <s v="Wilk"/>
    <n v="6"/>
    <x v="316"/>
  </r>
  <r>
    <d v="2017-04-04T00:00:00"/>
    <s v="Inez"/>
    <s v="Nahaj"/>
    <n v="17"/>
    <x v="158"/>
  </r>
  <r>
    <d v="2017-04-04T00:00:00"/>
    <s v="Anna"/>
    <s v="Janowska"/>
    <n v="18"/>
    <x v="174"/>
  </r>
  <r>
    <d v="2017-04-04T00:00:00"/>
    <s v="Magdalena"/>
    <s v="Bach"/>
    <n v="4"/>
    <x v="395"/>
  </r>
  <r>
    <d v="2017-04-04T00:00:00"/>
    <s v="Agata"/>
    <s v="Kwiatkowska"/>
    <n v="13"/>
    <x v="2"/>
  </r>
  <r>
    <d v="2017-04-04T00:00:00"/>
    <s v="Marta"/>
    <s v="Wloczkow"/>
    <n v="52"/>
    <x v="201"/>
  </r>
  <r>
    <d v="2017-04-04T00:00:00"/>
    <s v="Jan"/>
    <s v="Marasek"/>
    <n v="10"/>
    <x v="350"/>
  </r>
  <r>
    <d v="2017-04-04T00:00:00"/>
    <s v="Marek"/>
    <s v="Bednarski"/>
    <n v="33"/>
    <x v="23"/>
  </r>
  <r>
    <d v="2017-04-05T00:00:00"/>
    <s v="Dominik"/>
    <s v="Szczucki"/>
    <n v="6"/>
    <x v="51"/>
  </r>
  <r>
    <d v="2017-04-05T00:00:00"/>
    <s v="Ewa"/>
    <s v="Czerwinska"/>
    <n v="21"/>
    <x v="164"/>
  </r>
  <r>
    <d v="2017-04-05T00:00:00"/>
    <s v="Zuzanna"/>
    <s v="Malicki"/>
    <n v="2"/>
    <x v="22"/>
  </r>
  <r>
    <d v="2017-04-05T00:00:00"/>
    <s v="Barbara"/>
    <s v="Karcz"/>
    <n v="16"/>
    <x v="349"/>
  </r>
  <r>
    <d v="2017-04-05T00:00:00"/>
    <s v="Lukasz"/>
    <s v="Kot"/>
    <n v="23"/>
    <x v="346"/>
  </r>
  <r>
    <d v="2017-04-05T00:00:00"/>
    <s v="Lukasz"/>
    <s v="Czarnecki"/>
    <n v="50"/>
    <x v="417"/>
  </r>
  <r>
    <d v="2017-04-05T00:00:00"/>
    <s v="Andrzej"/>
    <s v="Augustowski"/>
    <n v="26"/>
    <x v="35"/>
  </r>
  <r>
    <d v="2017-04-05T00:00:00"/>
    <s v="Morus"/>
    <s v="Jasiak"/>
    <n v="42"/>
    <x v="418"/>
  </r>
  <r>
    <d v="2017-04-05T00:00:00"/>
    <s v="Julianna"/>
    <s v="Procinska"/>
    <n v="39"/>
    <x v="419"/>
  </r>
  <r>
    <d v="2017-04-06T00:00:00"/>
    <s v="Maciej"/>
    <s v="Tasz"/>
    <n v="17"/>
    <x v="310"/>
  </r>
  <r>
    <d v="2017-04-06T00:00:00"/>
    <s v="Agnieszka"/>
    <s v="Kaminska"/>
    <n v="10"/>
    <x v="270"/>
  </r>
  <r>
    <d v="2017-04-06T00:00:00"/>
    <s v="Dawid"/>
    <s v="Szreder"/>
    <n v="13"/>
    <x v="388"/>
  </r>
  <r>
    <d v="2017-04-06T00:00:00"/>
    <s v="Protazy"/>
    <s v="Warszawski"/>
    <n v="7"/>
    <x v="403"/>
  </r>
  <r>
    <d v="2017-04-06T00:00:00"/>
    <s v="Wojciech"/>
    <s v="Katowicki"/>
    <n v="32"/>
    <x v="73"/>
  </r>
  <r>
    <d v="2017-04-06T00:00:00"/>
    <s v="Wieslawa"/>
    <s v="Krawiec"/>
    <n v="16"/>
    <x v="275"/>
  </r>
  <r>
    <d v="2017-04-06T00:00:00"/>
    <s v="Adrian"/>
    <s v="Wozniak"/>
    <n v="38"/>
    <x v="420"/>
  </r>
  <r>
    <d v="2017-04-06T00:00:00"/>
    <s v="Anita"/>
    <s v="Woloszyn"/>
    <n v="10"/>
    <x v="134"/>
  </r>
  <r>
    <d v="2017-04-07T00:00:00"/>
    <s v="Nikodem"/>
    <s v="Jakubowski"/>
    <n v="19"/>
    <x v="421"/>
  </r>
  <r>
    <d v="2017-04-07T00:00:00"/>
    <s v="Zofia"/>
    <s v="Broukin"/>
    <n v="17"/>
    <x v="348"/>
  </r>
  <r>
    <d v="2017-04-07T00:00:00"/>
    <s v="Adelajda"/>
    <s v="Zylinska"/>
    <n v="2"/>
    <x v="40"/>
  </r>
  <r>
    <d v="2017-04-07T00:00:00"/>
    <s v="Leslaw"/>
    <s v="Kupis"/>
    <n v="15"/>
    <x v="422"/>
  </r>
  <r>
    <d v="2017-04-07T00:00:00"/>
    <s v="Adela"/>
    <s v="Waruszewska"/>
    <n v="12"/>
    <x v="157"/>
  </r>
  <r>
    <d v="2017-04-07T00:00:00"/>
    <s v="Pawel"/>
    <s v="Furmaniak"/>
    <n v="25"/>
    <x v="223"/>
  </r>
  <r>
    <d v="2017-04-07T00:00:00"/>
    <s v="Krzysztof"/>
    <s v="Figurski"/>
    <n v="6"/>
    <x v="168"/>
  </r>
  <r>
    <d v="2017-04-07T00:00:00"/>
    <s v="Anita"/>
    <s v="Pawelczyk"/>
    <n v="19"/>
    <x v="95"/>
  </r>
  <r>
    <d v="2017-04-10T00:00:00"/>
    <s v="Ilona"/>
    <s v="Gorska"/>
    <n v="15"/>
    <x v="249"/>
  </r>
  <r>
    <d v="2017-04-10T00:00:00"/>
    <s v="Beata"/>
    <s v="Mirowska"/>
    <n v="9"/>
    <x v="423"/>
  </r>
  <r>
    <d v="2017-04-10T00:00:00"/>
    <s v="Bartlomiej"/>
    <s v="Wojciechowski"/>
    <n v="35"/>
    <x v="424"/>
  </r>
  <r>
    <d v="2017-04-10T00:00:00"/>
    <s v="Agata"/>
    <s v="Kolacz"/>
    <n v="44"/>
    <x v="425"/>
  </r>
  <r>
    <d v="2017-04-10T00:00:00"/>
    <s v="Jan"/>
    <s v="Gacek"/>
    <n v="36"/>
    <x v="42"/>
  </r>
  <r>
    <d v="2017-04-10T00:00:00"/>
    <s v="Zuzanna"/>
    <s v="Adamczyk"/>
    <n v="53"/>
    <x v="426"/>
  </r>
  <r>
    <d v="2017-04-10T00:00:00"/>
    <s v="Jan"/>
    <s v="Pawelec"/>
    <n v="12"/>
    <x v="427"/>
  </r>
  <r>
    <d v="2017-04-10T00:00:00"/>
    <s v="Joanna"/>
    <s v="Wrobel"/>
    <n v="29"/>
    <x v="331"/>
  </r>
  <r>
    <d v="2017-04-11T00:00:00"/>
    <s v="Piotr"/>
    <s v="Polkowicki"/>
    <n v="9"/>
    <x v="287"/>
  </r>
  <r>
    <d v="2017-04-11T00:00:00"/>
    <s v="Agata"/>
    <s v="Zdrojewska"/>
    <n v="29"/>
    <x v="215"/>
  </r>
  <r>
    <d v="2017-04-11T00:00:00"/>
    <s v="Hanna"/>
    <s v="Malicki"/>
    <n v="6"/>
    <x v="428"/>
  </r>
  <r>
    <d v="2017-04-11T00:00:00"/>
    <s v="Weronika"/>
    <s v="Zdroj"/>
    <n v="12"/>
    <x v="116"/>
  </r>
  <r>
    <d v="2017-04-11T00:00:00"/>
    <s v="Jan"/>
    <s v="Sznuk"/>
    <n v="23"/>
    <x v="273"/>
  </r>
  <r>
    <d v="2017-04-11T00:00:00"/>
    <s v="Bogdan"/>
    <s v="Inny"/>
    <n v="21"/>
    <x v="377"/>
  </r>
  <r>
    <d v="2017-04-11T00:00:00"/>
    <s v="Olgierd"/>
    <s v="Hazubski"/>
    <n v="16"/>
    <x v="429"/>
  </r>
  <r>
    <d v="2017-04-11T00:00:00"/>
    <s v="Arleta"/>
    <s v="Pawlik"/>
    <n v="21"/>
    <x v="251"/>
  </r>
  <r>
    <d v="2017-04-12T00:00:00"/>
    <s v="Inez"/>
    <s v="Nahaj"/>
    <n v="25"/>
    <x v="158"/>
  </r>
  <r>
    <d v="2017-04-12T00:00:00"/>
    <s v="Roman"/>
    <s v="Grodecki"/>
    <n v="4"/>
    <x v="365"/>
  </r>
  <r>
    <d v="2017-04-12T00:00:00"/>
    <s v="Wieslawa"/>
    <s v="Biczysko"/>
    <n v="19"/>
    <x v="117"/>
  </r>
  <r>
    <d v="2017-04-12T00:00:00"/>
    <s v="Paulina"/>
    <s v="Szklarska"/>
    <n v="17"/>
    <x v="49"/>
  </r>
  <r>
    <d v="2017-04-12T00:00:00"/>
    <s v="Maja"/>
    <s v="Leman"/>
    <n v="9"/>
    <x v="430"/>
  </r>
  <r>
    <d v="2017-04-12T00:00:00"/>
    <s v="Martyna"/>
    <s v="Marmelowska"/>
    <n v="8"/>
    <x v="221"/>
  </r>
  <r>
    <d v="2017-04-12T00:00:00"/>
    <s v="Monika"/>
    <s v="Placzek"/>
    <n v="11"/>
    <x v="260"/>
  </r>
  <r>
    <d v="2017-04-12T00:00:00"/>
    <s v="Adela"/>
    <s v="Waruszewska"/>
    <n v="26"/>
    <x v="157"/>
  </r>
  <r>
    <d v="2017-04-12T00:00:00"/>
    <s v="Joanna"/>
    <s v="Oleksiak"/>
    <n v="23"/>
    <x v="431"/>
  </r>
  <r>
    <d v="2017-04-13T00:00:00"/>
    <s v="Igor"/>
    <s v="Rybinski"/>
    <n v="55"/>
    <x v="254"/>
  </r>
  <r>
    <d v="2017-04-13T00:00:00"/>
    <s v="Zofia"/>
    <s v="Janczy"/>
    <n v="38"/>
    <x v="102"/>
  </r>
  <r>
    <d v="2017-04-13T00:00:00"/>
    <s v="Mateusz"/>
    <s v="Filipowicz"/>
    <n v="9"/>
    <x v="333"/>
  </r>
  <r>
    <d v="2017-04-13T00:00:00"/>
    <s v="Marzena"/>
    <s v="Parasiewicz"/>
    <n v="34"/>
    <x v="432"/>
  </r>
  <r>
    <d v="2017-04-13T00:00:00"/>
    <s v="Monika"/>
    <s v="Lis"/>
    <n v="14"/>
    <x v="367"/>
  </r>
  <r>
    <d v="2017-04-13T00:00:00"/>
    <s v="Adam"/>
    <s v="Wata"/>
    <n v="5"/>
    <x v="34"/>
  </r>
  <r>
    <d v="2017-04-13T00:00:00"/>
    <s v="Marta"/>
    <s v="Wloczkow"/>
    <n v="2"/>
    <x v="201"/>
  </r>
  <r>
    <d v="2017-04-13T00:00:00"/>
    <s v="Aleksander"/>
    <s v="Wojciechowski"/>
    <n v="20"/>
    <x v="83"/>
  </r>
  <r>
    <d v="2017-04-13T00:00:00"/>
    <s v="Filip"/>
    <s v="Spychala"/>
    <n v="6"/>
    <x v="7"/>
  </r>
  <r>
    <d v="2017-04-13T00:00:00"/>
    <s v="Jan"/>
    <s v="Kaczorowski"/>
    <n v="22"/>
    <x v="78"/>
  </r>
  <r>
    <d v="2017-04-13T00:00:00"/>
    <s v="Aleks"/>
    <s v="Wojcik"/>
    <n v="26"/>
    <x v="101"/>
  </r>
  <r>
    <d v="2017-04-13T00:00:00"/>
    <s v="Adam"/>
    <s v="Zega"/>
    <n v="27"/>
    <x v="186"/>
  </r>
  <r>
    <d v="2017-04-13T00:00:00"/>
    <s v="Joanna"/>
    <s v="Wrobel"/>
    <n v="26"/>
    <x v="331"/>
  </r>
  <r>
    <d v="2017-04-13T00:00:00"/>
    <s v="Andrzej"/>
    <s v="Nawwrot"/>
    <n v="29"/>
    <x v="386"/>
  </r>
  <r>
    <d v="2017-04-13T00:00:00"/>
    <s v="Lena"/>
    <s v="Marzec"/>
    <n v="10"/>
    <x v="181"/>
  </r>
  <r>
    <d v="2017-04-14T00:00:00"/>
    <s v="Wanda"/>
    <s v="Chojnacka"/>
    <n v="37"/>
    <x v="433"/>
  </r>
  <r>
    <d v="2017-04-14T00:00:00"/>
    <s v="Monika"/>
    <s v="Nowaczkiewicz"/>
    <n v="7"/>
    <x v="288"/>
  </r>
  <r>
    <d v="2017-04-14T00:00:00"/>
    <s v="Maria"/>
    <s v="Kowalczuk"/>
    <n v="44"/>
    <x v="193"/>
  </r>
  <r>
    <d v="2017-04-14T00:00:00"/>
    <s v="Szymon"/>
    <s v="Mrozniak"/>
    <n v="11"/>
    <x v="252"/>
  </r>
  <r>
    <d v="2017-04-14T00:00:00"/>
    <s v="Marian"/>
    <s v="Bukalski"/>
    <n v="25"/>
    <x v="434"/>
  </r>
  <r>
    <d v="2017-04-14T00:00:00"/>
    <s v="Matylda"/>
    <s v="Kluziak"/>
    <n v="18"/>
    <x v="293"/>
  </r>
  <r>
    <d v="2017-04-17T00:00:00"/>
    <s v="Lech"/>
    <s v="Lisowski"/>
    <n v="44"/>
    <x v="408"/>
  </r>
  <r>
    <d v="2017-04-17T00:00:00"/>
    <s v="Kamil"/>
    <s v="Wolny"/>
    <n v="26"/>
    <x v="396"/>
  </r>
  <r>
    <d v="2017-04-17T00:00:00"/>
    <s v="Karolina"/>
    <s v="Bok"/>
    <n v="7"/>
    <x v="435"/>
  </r>
  <r>
    <d v="2017-04-17T00:00:00"/>
    <s v="Andrzej"/>
    <s v="Augustowski"/>
    <n v="41"/>
    <x v="35"/>
  </r>
  <r>
    <d v="2017-04-17T00:00:00"/>
    <s v="Monika"/>
    <s v="Trojan"/>
    <n v="46"/>
    <x v="406"/>
  </r>
  <r>
    <d v="2017-04-17T00:00:00"/>
    <s v="Filip"/>
    <s v="Stanulewicz"/>
    <n v="52"/>
    <x v="278"/>
  </r>
  <r>
    <d v="2017-04-18T00:00:00"/>
    <s v="Maja"/>
    <s v="Kaminska"/>
    <n v="6"/>
    <x v="359"/>
  </r>
  <r>
    <d v="2017-04-18T00:00:00"/>
    <s v="Barbara"/>
    <s v="Bury"/>
    <n v="23"/>
    <x v="246"/>
  </r>
  <r>
    <d v="2017-04-18T00:00:00"/>
    <s v="Andrea"/>
    <s v="Witkowska"/>
    <n v="22"/>
    <x v="180"/>
  </r>
  <r>
    <d v="2017-04-18T00:00:00"/>
    <s v="Ewelina"/>
    <s v="Bialkowska"/>
    <n v="21"/>
    <x v="436"/>
  </r>
  <r>
    <d v="2017-04-18T00:00:00"/>
    <s v="Maciej"/>
    <s v="Machol"/>
    <n v="29"/>
    <x v="271"/>
  </r>
  <r>
    <d v="2017-04-18T00:00:00"/>
    <s v="Krzysztof"/>
    <s v="Plecien"/>
    <n v="21"/>
    <x v="437"/>
  </r>
  <r>
    <d v="2017-04-19T00:00:00"/>
    <s v="Roman"/>
    <s v="Grodecki"/>
    <n v="3"/>
    <x v="365"/>
  </r>
  <r>
    <d v="2017-04-19T00:00:00"/>
    <s v="Julia"/>
    <s v="Sadowska"/>
    <n v="29"/>
    <x v="438"/>
  </r>
  <r>
    <d v="2017-04-19T00:00:00"/>
    <s v="Julian"/>
    <s v="Pawik"/>
    <n v="56"/>
    <x v="439"/>
  </r>
  <r>
    <d v="2017-04-19T00:00:00"/>
    <s v="Marcin"/>
    <s v="Wrobel"/>
    <n v="15"/>
    <x v="124"/>
  </r>
  <r>
    <d v="2017-04-19T00:00:00"/>
    <s v="Karolina"/>
    <s v="Welc"/>
    <n v="12"/>
    <x v="119"/>
  </r>
  <r>
    <d v="2017-04-19T00:00:00"/>
    <s v="Anna"/>
    <s v="Kosowicz"/>
    <n v="19"/>
    <x v="27"/>
  </r>
  <r>
    <d v="2017-04-20T00:00:00"/>
    <s v="Kazimierz"/>
    <s v="Bartosik"/>
    <n v="14"/>
    <x v="296"/>
  </r>
  <r>
    <d v="2017-04-20T00:00:00"/>
    <s v="Magdalena"/>
    <s v="Bach"/>
    <n v="42"/>
    <x v="395"/>
  </r>
  <r>
    <d v="2017-04-20T00:00:00"/>
    <s v="Wojciech"/>
    <s v="Goc"/>
    <n v="10"/>
    <x v="440"/>
  </r>
  <r>
    <d v="2017-04-20T00:00:00"/>
    <s v="Anna"/>
    <s v="Trzebiatowska"/>
    <n v="20"/>
    <x v="111"/>
  </r>
  <r>
    <d v="2017-04-20T00:00:00"/>
    <s v="Lidia"/>
    <s v="Goluchowska"/>
    <n v="51"/>
    <x v="248"/>
  </r>
  <r>
    <d v="2017-04-20T00:00:00"/>
    <s v="Piotr"/>
    <s v="Adamski"/>
    <n v="35"/>
    <x v="441"/>
  </r>
  <r>
    <d v="2017-04-21T00:00:00"/>
    <s v="Jan"/>
    <s v="Jarek"/>
    <n v="45"/>
    <x v="442"/>
  </r>
  <r>
    <d v="2017-04-21T00:00:00"/>
    <s v="Ewa"/>
    <s v="Czerwinska"/>
    <n v="29"/>
    <x v="164"/>
  </r>
  <r>
    <d v="2017-04-21T00:00:00"/>
    <s v="Andrzej"/>
    <s v="Nawwrot"/>
    <n v="5"/>
    <x v="386"/>
  </r>
  <r>
    <d v="2017-04-21T00:00:00"/>
    <s v="Agnieszka"/>
    <s v="Antos"/>
    <n v="16"/>
    <x v="121"/>
  </r>
  <r>
    <d v="2017-04-21T00:00:00"/>
    <s v="Ilona"/>
    <s v="Gorska"/>
    <n v="25"/>
    <x v="249"/>
  </r>
  <r>
    <d v="2017-04-21T00:00:00"/>
    <s v="Zofia"/>
    <s v="Broszkow"/>
    <n v="38"/>
    <x v="443"/>
  </r>
  <r>
    <d v="2017-04-24T00:00:00"/>
    <s v="Malgorzata"/>
    <s v="Wiecek"/>
    <n v="33"/>
    <x v="106"/>
  </r>
  <r>
    <d v="2017-04-24T00:00:00"/>
    <s v="Pawel"/>
    <s v="kaczorek"/>
    <n v="48"/>
    <x v="444"/>
  </r>
  <r>
    <d v="2017-04-24T00:00:00"/>
    <s v="Marcin"/>
    <s v="Gizinski"/>
    <n v="14"/>
    <x v="312"/>
  </r>
  <r>
    <d v="2017-04-24T00:00:00"/>
    <s v="Andrea"/>
    <s v="Witkowska"/>
    <n v="13"/>
    <x v="180"/>
  </r>
  <r>
    <d v="2017-04-24T00:00:00"/>
    <s v="Julia"/>
    <s v="Zaremba"/>
    <n v="24"/>
    <x v="445"/>
  </r>
  <r>
    <d v="2017-04-24T00:00:00"/>
    <s v="Maria"/>
    <s v="Borowska"/>
    <n v="23"/>
    <x v="54"/>
  </r>
  <r>
    <d v="2017-04-25T00:00:00"/>
    <s v="Krzysztof"/>
    <s v="Czyz"/>
    <n v="23"/>
    <x v="197"/>
  </r>
  <r>
    <d v="2017-04-25T00:00:00"/>
    <s v="Nadia"/>
    <s v="Jurewicz"/>
    <n v="32"/>
    <x v="446"/>
  </r>
  <r>
    <d v="2017-04-25T00:00:00"/>
    <s v="Dorian"/>
    <s v="Szczepkowski"/>
    <n v="34"/>
    <x v="447"/>
  </r>
  <r>
    <d v="2017-04-25T00:00:00"/>
    <s v="Maciej"/>
    <s v="Machol"/>
    <n v="48"/>
    <x v="271"/>
  </r>
  <r>
    <d v="2017-04-25T00:00:00"/>
    <s v="Maciej"/>
    <s v="Lukowski"/>
    <n v="26"/>
    <x v="448"/>
  </r>
  <r>
    <d v="2017-04-25T00:00:00"/>
    <s v="Lukasz"/>
    <s v="Kopecki"/>
    <n v="11"/>
    <x v="210"/>
  </r>
  <r>
    <d v="2017-04-26T00:00:00"/>
    <s v="Hanna"/>
    <s v="Modlinska"/>
    <n v="23"/>
    <x v="173"/>
  </r>
  <r>
    <d v="2017-04-26T00:00:00"/>
    <s v="Natalia"/>
    <s v="Belicka"/>
    <n v="50"/>
    <x v="88"/>
  </r>
  <r>
    <d v="2017-04-26T00:00:00"/>
    <s v="Julia"/>
    <s v="Zaremba"/>
    <n v="14"/>
    <x v="445"/>
  </r>
  <r>
    <d v="2017-04-26T00:00:00"/>
    <s v="Bruno"/>
    <s v="Tomaszewski"/>
    <n v="12"/>
    <x v="257"/>
  </r>
  <r>
    <d v="2017-04-26T00:00:00"/>
    <s v="Anna"/>
    <s v="Klimas"/>
    <n v="39"/>
    <x v="336"/>
  </r>
  <r>
    <d v="2017-04-26T00:00:00"/>
    <s v="Andrzej"/>
    <s v="Zbieg"/>
    <n v="20"/>
    <x v="449"/>
  </r>
  <r>
    <d v="2017-04-27T00:00:00"/>
    <s v="Dorota"/>
    <s v="Zdun"/>
    <n v="51"/>
    <x v="450"/>
  </r>
  <r>
    <d v="2017-04-27T00:00:00"/>
    <s v="Anna"/>
    <s v="Tycz"/>
    <n v="47"/>
    <x v="451"/>
  </r>
  <r>
    <d v="2017-04-27T00:00:00"/>
    <s v="Dominik"/>
    <s v="Szmitko"/>
    <n v="29"/>
    <x v="305"/>
  </r>
  <r>
    <d v="2017-04-27T00:00:00"/>
    <s v="Bernard"/>
    <s v="Lubelski"/>
    <n v="34"/>
    <x v="400"/>
  </r>
  <r>
    <d v="2017-04-27T00:00:00"/>
    <s v="Kazimierz"/>
    <s v="Biedka"/>
    <n v="12"/>
    <x v="452"/>
  </r>
  <r>
    <d v="2017-04-27T00:00:00"/>
    <s v="Edward"/>
    <s v="Zdunek"/>
    <n v="6"/>
    <x v="110"/>
  </r>
  <r>
    <d v="2017-04-28T00:00:00"/>
    <s v="Monika"/>
    <s v="Srubka"/>
    <n v="5"/>
    <x v="453"/>
  </r>
  <r>
    <d v="2017-04-28T00:00:00"/>
    <s v="Zofia"/>
    <s v="Broszkow"/>
    <n v="13"/>
    <x v="443"/>
  </r>
  <r>
    <d v="2017-04-28T00:00:00"/>
    <s v="Lidia"/>
    <s v="Tarnowska"/>
    <n v="18"/>
    <x v="454"/>
  </r>
  <r>
    <d v="2017-04-28T00:00:00"/>
    <s v="Urszula"/>
    <s v="Pawlak"/>
    <n v="7"/>
    <x v="455"/>
  </r>
  <r>
    <d v="2017-04-28T00:00:00"/>
    <s v="Hubert"/>
    <s v="Borek"/>
    <n v="28"/>
    <x v="456"/>
  </r>
  <r>
    <d v="2017-04-28T00:00:00"/>
    <s v="Anna"/>
    <s v="Trzebiatowska"/>
    <n v="37"/>
    <x v="111"/>
  </r>
  <r>
    <d v="2017-05-01T00:00:00"/>
    <s v="Ilona"/>
    <s v="Nowak"/>
    <n v="23"/>
    <x v="241"/>
  </r>
  <r>
    <d v="2017-05-01T00:00:00"/>
    <s v="Mateusz"/>
    <s v="Kowalczyk"/>
    <n v="26"/>
    <x v="115"/>
  </r>
  <r>
    <d v="2017-05-01T00:00:00"/>
    <s v="Julia"/>
    <s v="Salanowska"/>
    <n v="11"/>
    <x v="229"/>
  </r>
  <r>
    <d v="2017-05-01T00:00:00"/>
    <s v="Albert"/>
    <s v="Pleszewski"/>
    <n v="25"/>
    <x v="317"/>
  </r>
  <r>
    <d v="2017-05-01T00:00:00"/>
    <s v="Piotr"/>
    <s v="Felus"/>
    <n v="3"/>
    <x v="107"/>
  </r>
  <r>
    <d v="2017-05-01T00:00:00"/>
    <s v="Ewa"/>
    <s v="Zak"/>
    <n v="30"/>
    <x v="267"/>
  </r>
  <r>
    <d v="2017-05-02T00:00:00"/>
    <s v="Urszula"/>
    <s v="Pawlak"/>
    <n v="12"/>
    <x v="455"/>
  </r>
  <r>
    <d v="2017-05-02T00:00:00"/>
    <s v="Maria"/>
    <s v="Galas"/>
    <n v="27"/>
    <x v="132"/>
  </r>
  <r>
    <d v="2017-05-02T00:00:00"/>
    <s v="Witold"/>
    <s v="Sempa"/>
    <n v="16"/>
    <x v="137"/>
  </r>
  <r>
    <d v="2017-05-02T00:00:00"/>
    <s v="Sebastian"/>
    <s v="Powoj"/>
    <n v="38"/>
    <x v="24"/>
  </r>
  <r>
    <d v="2017-05-02T00:00:00"/>
    <s v="Karolina"/>
    <s v="Stuhr"/>
    <n v="35"/>
    <x v="457"/>
  </r>
  <r>
    <d v="2017-05-02T00:00:00"/>
    <s v="Mateusz"/>
    <s v="Filipowicz"/>
    <n v="16"/>
    <x v="333"/>
  </r>
  <r>
    <d v="2017-05-03T00:00:00"/>
    <s v="Katarzyna"/>
    <s v="Wip"/>
    <n v="6"/>
    <x v="175"/>
  </r>
  <r>
    <d v="2017-05-03T00:00:00"/>
    <s v="Witold"/>
    <s v="Sempa"/>
    <n v="23"/>
    <x v="137"/>
  </r>
  <r>
    <d v="2017-05-03T00:00:00"/>
    <s v="Kamila"/>
    <s v="Kot"/>
    <n v="22"/>
    <x v="458"/>
  </r>
  <r>
    <d v="2017-05-03T00:00:00"/>
    <s v="Hubert"/>
    <s v="Nowaczynski"/>
    <n v="5"/>
    <x v="43"/>
  </r>
  <r>
    <d v="2017-05-03T00:00:00"/>
    <s v="Pawel"/>
    <s v="Furmaniak"/>
    <n v="2"/>
    <x v="223"/>
  </r>
  <r>
    <d v="2017-05-03T00:00:00"/>
    <s v="Paulina"/>
    <s v="Szklarska"/>
    <n v="29"/>
    <x v="49"/>
  </r>
  <r>
    <d v="2017-05-04T00:00:00"/>
    <s v="Mateusz"/>
    <s v="Uklej"/>
    <n v="19"/>
    <x v="108"/>
  </r>
  <r>
    <d v="2017-05-04T00:00:00"/>
    <s v="Dominika"/>
    <s v="Szwec"/>
    <n v="23"/>
    <x v="378"/>
  </r>
  <r>
    <d v="2017-05-04T00:00:00"/>
    <s v="Nikodem"/>
    <s v="Jakubowski"/>
    <n v="27"/>
    <x v="421"/>
  </r>
  <r>
    <d v="2017-05-04T00:00:00"/>
    <s v="Zbigniew"/>
    <s v="Maciag"/>
    <n v="53"/>
    <x v="363"/>
  </r>
  <r>
    <d v="2017-05-04T00:00:00"/>
    <s v="Ewa"/>
    <s v="Tysz"/>
    <n v="35"/>
    <x v="70"/>
  </r>
  <r>
    <d v="2017-05-04T00:00:00"/>
    <s v="Maciej"/>
    <s v="Czyzynski"/>
    <n v="3"/>
    <x v="154"/>
  </r>
  <r>
    <d v="2017-05-05T00:00:00"/>
    <s v="Joanna"/>
    <s v="Ottka"/>
    <n v="15"/>
    <x v="250"/>
  </r>
  <r>
    <d v="2017-05-05T00:00:00"/>
    <s v="Anna"/>
    <s v="Tomaszewska"/>
    <n v="3"/>
    <x v="218"/>
  </r>
  <r>
    <d v="2017-05-05T00:00:00"/>
    <s v="Szymon"/>
    <s v="Mrozniak"/>
    <n v="2"/>
    <x v="252"/>
  </r>
  <r>
    <d v="2017-05-05T00:00:00"/>
    <s v="Joanna"/>
    <s v="Oleksiak"/>
    <n v="28"/>
    <x v="431"/>
  </r>
  <r>
    <d v="2017-05-05T00:00:00"/>
    <s v="Tomasz"/>
    <s v="Borkowski"/>
    <n v="23"/>
    <x v="459"/>
  </r>
  <r>
    <d v="2017-05-05T00:00:00"/>
    <s v="Jakub"/>
    <s v="Waniek"/>
    <n v="20"/>
    <x v="97"/>
  </r>
  <r>
    <d v="2017-05-08T00:00:00"/>
    <s v="Karolina"/>
    <s v="Stuhr"/>
    <n v="35"/>
    <x v="457"/>
  </r>
  <r>
    <d v="2017-05-08T00:00:00"/>
    <s v="Pawel"/>
    <s v="kaczorek"/>
    <n v="45"/>
    <x v="444"/>
  </r>
  <r>
    <d v="2017-05-08T00:00:00"/>
    <s v="Waldemar"/>
    <s v="Fornalik"/>
    <n v="39"/>
    <x v="399"/>
  </r>
  <r>
    <d v="2017-05-08T00:00:00"/>
    <s v="Julia"/>
    <s v="Zaremba"/>
    <n v="13"/>
    <x v="445"/>
  </r>
  <r>
    <d v="2017-05-08T00:00:00"/>
    <s v="Ewa"/>
    <s v="Wojna"/>
    <n v="2"/>
    <x v="89"/>
  </r>
  <r>
    <d v="2017-05-08T00:00:00"/>
    <s v="Emilia"/>
    <s v="Mroczek"/>
    <n v="38"/>
    <x v="120"/>
  </r>
  <r>
    <d v="2017-05-09T00:00:00"/>
    <s v="Anita"/>
    <s v="Kaczorowska"/>
    <n v="48"/>
    <x v="233"/>
  </r>
  <r>
    <d v="2017-05-09T00:00:00"/>
    <s v="Barbara"/>
    <s v="Karcz"/>
    <n v="41"/>
    <x v="349"/>
  </r>
  <r>
    <d v="2017-05-09T00:00:00"/>
    <s v="Maria"/>
    <s v="Borowska"/>
    <n v="6"/>
    <x v="54"/>
  </r>
  <r>
    <d v="2017-05-09T00:00:00"/>
    <s v="Szymon"/>
    <s v="Wozniak"/>
    <n v="14"/>
    <x v="292"/>
  </r>
  <r>
    <d v="2017-05-09T00:00:00"/>
    <s v="Mikolaj"/>
    <s v="Beniuszys"/>
    <n v="35"/>
    <x v="460"/>
  </r>
  <r>
    <d v="2017-05-09T00:00:00"/>
    <s v="Mariusz"/>
    <s v="Mrowiec"/>
    <n v="26"/>
    <x v="461"/>
  </r>
  <r>
    <d v="2017-05-10T00:00:00"/>
    <s v="Jan"/>
    <s v="Gacek"/>
    <n v="49"/>
    <x v="42"/>
  </r>
  <r>
    <d v="2017-05-10T00:00:00"/>
    <s v="Kamila"/>
    <s v="Wolan"/>
    <n v="22"/>
    <x v="183"/>
  </r>
  <r>
    <d v="2017-05-10T00:00:00"/>
    <s v="Mateusz"/>
    <s v="Koszlaga"/>
    <n v="56"/>
    <x v="462"/>
  </r>
  <r>
    <d v="2017-05-10T00:00:00"/>
    <s v="Szymon"/>
    <s v="Mrozniak"/>
    <n v="6"/>
    <x v="252"/>
  </r>
  <r>
    <d v="2017-05-10T00:00:00"/>
    <s v="Monika"/>
    <s v="Placzek"/>
    <n v="13"/>
    <x v="260"/>
  </r>
  <r>
    <d v="2017-05-10T00:00:00"/>
    <s v="Urszula"/>
    <s v="Pawlak"/>
    <n v="3"/>
    <x v="455"/>
  </r>
  <r>
    <d v="2017-05-11T00:00:00"/>
    <s v="Marek"/>
    <s v="Janowski"/>
    <n v="7"/>
    <x v="227"/>
  </r>
  <r>
    <d v="2017-05-11T00:00:00"/>
    <s v="Jan"/>
    <s v="Kaczorowski"/>
    <n v="29"/>
    <x v="78"/>
  </r>
  <r>
    <d v="2017-05-11T00:00:00"/>
    <s v="Zuzanna"/>
    <s v="Kalisz"/>
    <n v="53"/>
    <x v="274"/>
  </r>
  <r>
    <d v="2017-05-11T00:00:00"/>
    <s v="Balbina"/>
    <s v="Madej"/>
    <n v="52"/>
    <x v="319"/>
  </r>
  <r>
    <d v="2017-05-11T00:00:00"/>
    <s v="Kamila"/>
    <s v="Knapik"/>
    <n v="26"/>
    <x v="463"/>
  </r>
  <r>
    <d v="2017-05-11T00:00:00"/>
    <s v="Maria"/>
    <s v="Kowalczuk"/>
    <n v="28"/>
    <x v="193"/>
  </r>
  <r>
    <d v="2017-05-12T00:00:00"/>
    <s v="Adam"/>
    <s v="Madejski"/>
    <n v="12"/>
    <x v="464"/>
  </r>
  <r>
    <d v="2017-05-12T00:00:00"/>
    <s v="Anita"/>
    <s v="Woloszyn"/>
    <n v="10"/>
    <x v="134"/>
  </r>
  <r>
    <d v="2017-05-12T00:00:00"/>
    <s v="Teodor"/>
    <s v="Fornal"/>
    <n v="10"/>
    <x v="36"/>
  </r>
  <r>
    <d v="2017-05-12T00:00:00"/>
    <s v="Kamil"/>
    <s v="Krawczyk"/>
    <n v="54"/>
    <x v="390"/>
  </r>
  <r>
    <d v="2017-05-12T00:00:00"/>
    <s v="Bruno"/>
    <s v="Tomczyk"/>
    <n v="19"/>
    <x v="465"/>
  </r>
  <r>
    <d v="2017-05-12T00:00:00"/>
    <s v="Natalia"/>
    <s v="Miklis"/>
    <n v="53"/>
    <x v="167"/>
  </r>
  <r>
    <d v="2017-05-15T00:00:00"/>
    <s v="Marek"/>
    <s v="Witkowski"/>
    <n v="18"/>
    <x v="225"/>
  </r>
  <r>
    <d v="2017-05-15T00:00:00"/>
    <s v="Kacper"/>
    <s v="Trzebnicki"/>
    <n v="27"/>
    <x v="466"/>
  </r>
  <r>
    <d v="2017-05-15T00:00:00"/>
    <s v="Eugenia"/>
    <s v="Pieta"/>
    <n v="26"/>
    <x v="361"/>
  </r>
  <r>
    <d v="2017-05-15T00:00:00"/>
    <s v="Nadia"/>
    <s v="Jurczyk"/>
    <n v="52"/>
    <x v="467"/>
  </r>
  <r>
    <d v="2017-05-15T00:00:00"/>
    <s v="Karol"/>
    <s v="Dziuk"/>
    <n v="10"/>
    <x v="56"/>
  </r>
  <r>
    <d v="2017-05-15T00:00:00"/>
    <s v="Julia"/>
    <s v="Sadowska"/>
    <n v="5"/>
    <x v="438"/>
  </r>
  <r>
    <d v="2017-05-16T00:00:00"/>
    <s v="Karol"/>
    <s v="Wichrowski"/>
    <n v="38"/>
    <x v="468"/>
  </r>
  <r>
    <d v="2017-05-16T00:00:00"/>
    <s v="Anna"/>
    <s v="Kot"/>
    <n v="20"/>
    <x v="469"/>
  </r>
  <r>
    <d v="2017-05-16T00:00:00"/>
    <s v="Hubert"/>
    <s v="Smyk"/>
    <n v="2"/>
    <x v="39"/>
  </r>
  <r>
    <d v="2017-05-16T00:00:00"/>
    <s v="Jan"/>
    <s v="Sznuk"/>
    <n v="25"/>
    <x v="273"/>
  </r>
  <r>
    <d v="2017-05-16T00:00:00"/>
    <s v="Maria"/>
    <s v="Kowalczyk"/>
    <n v="13"/>
    <x v="320"/>
  </r>
  <r>
    <d v="2017-05-16T00:00:00"/>
    <s v="Marcelina"/>
    <s v="Serwicka"/>
    <n v="54"/>
    <x v="286"/>
  </r>
  <r>
    <d v="2017-05-17T00:00:00"/>
    <s v="Ryszarda"/>
    <s v="Januszek"/>
    <n v="27"/>
    <x v="256"/>
  </r>
  <r>
    <d v="2017-05-17T00:00:00"/>
    <s v="Filip"/>
    <s v="Spanowski"/>
    <n v="15"/>
    <x v="13"/>
  </r>
  <r>
    <d v="2017-05-17T00:00:00"/>
    <s v="Agnieszka"/>
    <s v="Bujak"/>
    <n v="19"/>
    <x v="369"/>
  </r>
  <r>
    <d v="2017-05-17T00:00:00"/>
    <s v="Adam"/>
    <s v="Zega"/>
    <n v="22"/>
    <x v="186"/>
  </r>
  <r>
    <d v="2017-05-17T00:00:00"/>
    <s v="Przemyslaw"/>
    <s v="Bajewski"/>
    <n v="12"/>
    <x v="470"/>
  </r>
  <r>
    <d v="2017-05-17T00:00:00"/>
    <s v="Eugenia"/>
    <s v="Pieta"/>
    <n v="6"/>
    <x v="361"/>
  </r>
  <r>
    <d v="2017-05-18T00:00:00"/>
    <s v="Izabela"/>
    <s v="Skrzydlak"/>
    <n v="27"/>
    <x v="232"/>
  </r>
  <r>
    <d v="2017-05-18T00:00:00"/>
    <s v="Stanislaw"/>
    <s v="Burza"/>
    <n v="6"/>
    <x v="261"/>
  </r>
  <r>
    <d v="2017-05-18T00:00:00"/>
    <s v="Roman"/>
    <s v="Grodecki"/>
    <n v="6"/>
    <x v="365"/>
  </r>
  <r>
    <d v="2017-05-18T00:00:00"/>
    <s v="Jakub"/>
    <s v="Radziszewski"/>
    <n v="4"/>
    <x v="471"/>
  </r>
  <r>
    <d v="2017-05-18T00:00:00"/>
    <s v="Marcin"/>
    <s v="Gizinski"/>
    <n v="28"/>
    <x v="312"/>
  </r>
  <r>
    <d v="2017-05-18T00:00:00"/>
    <s v="Przemyslaw"/>
    <s v="Bajewski"/>
    <n v="48"/>
    <x v="470"/>
  </r>
  <r>
    <d v="2017-05-19T00:00:00"/>
    <s v="Adam"/>
    <s v="Borkowski"/>
    <n v="40"/>
    <x v="341"/>
  </r>
  <r>
    <d v="2017-05-19T00:00:00"/>
    <s v="Maria"/>
    <s v="Drozd"/>
    <n v="17"/>
    <x v="114"/>
  </r>
  <r>
    <d v="2017-05-19T00:00:00"/>
    <s v="Igor"/>
    <s v="Rybinski"/>
    <n v="22"/>
    <x v="254"/>
  </r>
  <r>
    <d v="2017-05-19T00:00:00"/>
    <s v="Dorota"/>
    <s v="Adamus"/>
    <n v="2"/>
    <x v="104"/>
  </r>
  <r>
    <d v="2017-05-19T00:00:00"/>
    <s v="Maciej"/>
    <s v="Lyszcz"/>
    <n v="5"/>
    <x v="14"/>
  </r>
  <r>
    <d v="2017-05-19T00:00:00"/>
    <s v="Kamila"/>
    <s v="Bialkowska"/>
    <n v="25"/>
    <x v="330"/>
  </r>
  <r>
    <d v="2017-05-22T00:00:00"/>
    <s v="Wanda"/>
    <s v="Chojnacka"/>
    <n v="21"/>
    <x v="433"/>
  </r>
  <r>
    <d v="2017-05-22T00:00:00"/>
    <s v="Maciej"/>
    <s v="Tasz"/>
    <n v="31"/>
    <x v="310"/>
  </r>
  <r>
    <d v="2017-05-22T00:00:00"/>
    <s v="Hanna"/>
    <s v="Steinborn"/>
    <n v="21"/>
    <x v="133"/>
  </r>
  <r>
    <d v="2017-05-22T00:00:00"/>
    <s v="Monika"/>
    <s v="Srubka"/>
    <n v="19"/>
    <x v="453"/>
  </r>
  <r>
    <d v="2017-05-22T00:00:00"/>
    <s v="Patrycja"/>
    <s v="Glowinska"/>
    <n v="6"/>
    <x v="28"/>
  </r>
  <r>
    <d v="2017-05-22T00:00:00"/>
    <s v="Krzysztof"/>
    <s v="Las"/>
    <n v="24"/>
    <x v="272"/>
  </r>
  <r>
    <d v="2017-05-23T00:00:00"/>
    <s v="Izabela"/>
    <s v="Skrzydlak"/>
    <n v="54"/>
    <x v="232"/>
  </r>
  <r>
    <d v="2017-05-23T00:00:00"/>
    <s v="Wieslawa"/>
    <s v="Koniec"/>
    <n v="18"/>
    <x v="26"/>
  </r>
  <r>
    <d v="2017-05-23T00:00:00"/>
    <s v="Izabela"/>
    <s v="Sobota"/>
    <n v="8"/>
    <x v="380"/>
  </r>
  <r>
    <d v="2017-05-23T00:00:00"/>
    <s v="Sofia"/>
    <s v="Felisiak"/>
    <n v="4"/>
    <x v="156"/>
  </r>
  <r>
    <d v="2017-05-23T00:00:00"/>
    <s v="Wieslawa"/>
    <s v="Nowak"/>
    <n v="16"/>
    <x v="415"/>
  </r>
  <r>
    <d v="2017-05-23T00:00:00"/>
    <s v="Julia"/>
    <s v="Sadowska"/>
    <n v="6"/>
    <x v="438"/>
  </r>
  <r>
    <d v="2017-05-24T00:00:00"/>
    <s v="Andrzej"/>
    <s v="Tysz"/>
    <n v="54"/>
    <x v="405"/>
  </r>
  <r>
    <d v="2017-05-24T00:00:00"/>
    <s v="Jan"/>
    <s v="Zaczyk"/>
    <n v="35"/>
    <x v="472"/>
  </r>
  <r>
    <d v="2017-05-24T00:00:00"/>
    <s v="Magdalena"/>
    <s v="Okraska"/>
    <n v="23"/>
    <x v="149"/>
  </r>
  <r>
    <d v="2017-05-24T00:00:00"/>
    <s v="Teodor"/>
    <s v="Nowak"/>
    <n v="52"/>
    <x v="473"/>
  </r>
  <r>
    <d v="2017-05-24T00:00:00"/>
    <s v="Szymon"/>
    <s v="Wozniak"/>
    <n v="26"/>
    <x v="292"/>
  </r>
  <r>
    <d v="2017-05-24T00:00:00"/>
    <s v="Izabela"/>
    <s v="Sobota"/>
    <n v="26"/>
    <x v="380"/>
  </r>
  <r>
    <d v="2017-05-25T00:00:00"/>
    <s v="Mateusz"/>
    <s v="Krynicki"/>
    <n v="2"/>
    <x v="337"/>
  </r>
  <r>
    <d v="2017-05-25T00:00:00"/>
    <s v="Barbara"/>
    <s v="Karcz"/>
    <n v="31"/>
    <x v="349"/>
  </r>
  <r>
    <d v="2017-05-25T00:00:00"/>
    <s v="Borys"/>
    <s v="Myszor"/>
    <n v="38"/>
    <x v="8"/>
  </r>
  <r>
    <d v="2017-05-25T00:00:00"/>
    <s v="Agnieszka"/>
    <s v="Kaminska"/>
    <n v="8"/>
    <x v="270"/>
  </r>
  <r>
    <d v="2017-05-25T00:00:00"/>
    <s v="Piotr"/>
    <s v="Kania"/>
    <n v="53"/>
    <x v="195"/>
  </r>
  <r>
    <d v="2017-05-25T00:00:00"/>
    <s v="Roman"/>
    <s v="Grodecki"/>
    <n v="6"/>
    <x v="365"/>
  </r>
  <r>
    <d v="2017-05-26T00:00:00"/>
    <s v="Teodor"/>
    <s v="Fornal"/>
    <n v="55"/>
    <x v="36"/>
  </r>
  <r>
    <d v="2017-05-26T00:00:00"/>
    <s v="Tomasz"/>
    <s v="Zbik"/>
    <n v="15"/>
    <x v="474"/>
  </r>
  <r>
    <d v="2017-05-26T00:00:00"/>
    <s v="Jacek"/>
    <s v="Chojnacki"/>
    <n v="25"/>
    <x v="294"/>
  </r>
  <r>
    <d v="2017-05-26T00:00:00"/>
    <s v="Adam"/>
    <s v="Zurek"/>
    <n v="39"/>
    <x v="475"/>
  </r>
  <r>
    <d v="2017-05-26T00:00:00"/>
    <s v="Marcin"/>
    <s v="Tabaka"/>
    <n v="25"/>
    <x v="245"/>
  </r>
  <r>
    <d v="2017-05-26T00:00:00"/>
    <s v="Anna"/>
    <s v="Janowska"/>
    <n v="22"/>
    <x v="174"/>
  </r>
  <r>
    <d v="2017-05-29T00:00:00"/>
    <s v="Roksana"/>
    <s v="Frankowska"/>
    <n v="22"/>
    <x v="476"/>
  </r>
  <r>
    <d v="2017-05-29T00:00:00"/>
    <s v="Krzysztof"/>
    <s v="Madejski"/>
    <n v="2"/>
    <x v="123"/>
  </r>
  <r>
    <d v="2017-05-29T00:00:00"/>
    <s v="Maria"/>
    <s v="Kowalczuk"/>
    <n v="8"/>
    <x v="193"/>
  </r>
  <r>
    <d v="2017-05-29T00:00:00"/>
    <s v="Jan"/>
    <s v="Kildanowski"/>
    <n v="50"/>
    <x v="477"/>
  </r>
  <r>
    <d v="2017-05-29T00:00:00"/>
    <s v="Dominik"/>
    <s v="Szczucki"/>
    <n v="17"/>
    <x v="51"/>
  </r>
  <r>
    <d v="2017-05-29T00:00:00"/>
    <s v="Michal"/>
    <s v="Kirwiel"/>
    <n v="9"/>
    <x v="32"/>
  </r>
  <r>
    <d v="2017-05-30T00:00:00"/>
    <s v="Konrad"/>
    <s v="Jagielski"/>
    <n v="52"/>
    <x v="217"/>
  </r>
  <r>
    <d v="2017-05-30T00:00:00"/>
    <s v="Monika"/>
    <s v="Bialkowska"/>
    <n v="18"/>
    <x v="478"/>
  </r>
  <r>
    <d v="2017-05-30T00:00:00"/>
    <s v="Alicja"/>
    <s v="Walentowicz"/>
    <n v="17"/>
    <x v="479"/>
  </r>
  <r>
    <d v="2017-05-30T00:00:00"/>
    <s v="Zbigniew"/>
    <s v="Paderewski"/>
    <n v="52"/>
    <x v="199"/>
  </r>
  <r>
    <d v="2017-05-30T00:00:00"/>
    <s v="Michal"/>
    <s v="Nowicki"/>
    <n v="13"/>
    <x v="65"/>
  </r>
  <r>
    <d v="2017-05-30T00:00:00"/>
    <s v="Leon"/>
    <s v="Szybki"/>
    <n v="10"/>
    <x v="11"/>
  </r>
  <r>
    <d v="2017-05-31T00:00:00"/>
    <s v="Olga"/>
    <s v="Paluszkiewicz"/>
    <n v="18"/>
    <x v="480"/>
  </r>
  <r>
    <d v="2017-05-31T00:00:00"/>
    <s v="Bartosz"/>
    <s v="Tusinski"/>
    <n v="16"/>
    <x v="200"/>
  </r>
  <r>
    <d v="2017-05-31T00:00:00"/>
    <s v="Karolina"/>
    <s v="Perez"/>
    <n v="8"/>
    <x v="481"/>
  </r>
  <r>
    <d v="2017-05-31T00:00:00"/>
    <s v="Maciej"/>
    <s v="Czyzynski"/>
    <n v="26"/>
    <x v="154"/>
  </r>
  <r>
    <d v="2017-05-31T00:00:00"/>
    <s v="Maja"/>
    <s v="Kurowska"/>
    <n v="53"/>
    <x v="413"/>
  </r>
  <r>
    <d v="2017-05-31T00:00:00"/>
    <s v="Hubert"/>
    <s v="Borek"/>
    <n v="3"/>
    <x v="456"/>
  </r>
  <r>
    <d v="2017-06-01T00:00:00"/>
    <s v="Michal"/>
    <s v="Jan"/>
    <n v="36"/>
    <x v="482"/>
  </r>
  <r>
    <d v="2017-06-01T00:00:00"/>
    <s v="Igor"/>
    <s v="Rybinski"/>
    <n v="17"/>
    <x v="254"/>
  </r>
  <r>
    <d v="2017-06-01T00:00:00"/>
    <s v="Adrian"/>
    <s v="Dulski"/>
    <n v="14"/>
    <x v="57"/>
  </r>
  <r>
    <d v="2017-06-01T00:00:00"/>
    <s v="Julia"/>
    <s v="Sadowska"/>
    <n v="54"/>
    <x v="438"/>
  </r>
  <r>
    <d v="2017-06-01T00:00:00"/>
    <s v="Maja"/>
    <s v="Kaminska"/>
    <n v="22"/>
    <x v="359"/>
  </r>
  <r>
    <d v="2017-06-01T00:00:00"/>
    <s v="Nadia"/>
    <s v="Jurewicz"/>
    <n v="33"/>
    <x v="446"/>
  </r>
  <r>
    <d v="2017-06-02T00:00:00"/>
    <s v="Maria"/>
    <s v="Drozd"/>
    <n v="22"/>
    <x v="114"/>
  </r>
  <r>
    <d v="2017-06-02T00:00:00"/>
    <s v="Szymon"/>
    <s v="Mrozniak"/>
    <n v="2"/>
    <x v="252"/>
  </r>
  <r>
    <d v="2017-06-02T00:00:00"/>
    <s v="Inez"/>
    <s v="Nahaj"/>
    <n v="8"/>
    <x v="158"/>
  </r>
  <r>
    <d v="2017-06-02T00:00:00"/>
    <s v="Jan"/>
    <s v="Pieterson"/>
    <n v="5"/>
    <x v="483"/>
  </r>
  <r>
    <d v="2017-06-02T00:00:00"/>
    <s v="Adrian"/>
    <s v="Baran"/>
    <n v="25"/>
    <x v="321"/>
  </r>
  <r>
    <d v="2017-06-02T00:00:00"/>
    <s v="Przemyslaw"/>
    <s v="Bajewski"/>
    <n v="18"/>
    <x v="470"/>
  </r>
  <r>
    <d v="2017-06-05T00:00:00"/>
    <s v="Ewelina"/>
    <s v="Bialkowska"/>
    <n v="8"/>
    <x v="436"/>
  </r>
  <r>
    <d v="2017-06-05T00:00:00"/>
    <s v="Lena"/>
    <s v="Mazurkiewicz"/>
    <n v="20"/>
    <x v="58"/>
  </r>
  <r>
    <d v="2017-06-05T00:00:00"/>
    <s v="Patrycja"/>
    <s v="Dzban"/>
    <n v="23"/>
    <x v="283"/>
  </r>
  <r>
    <d v="2017-06-05T00:00:00"/>
    <s v="Leon"/>
    <s v="Szybki"/>
    <n v="52"/>
    <x v="11"/>
  </r>
  <r>
    <d v="2017-06-05T00:00:00"/>
    <s v="Michal"/>
    <s v="Gora"/>
    <n v="14"/>
    <x v="130"/>
  </r>
  <r>
    <d v="2017-06-05T00:00:00"/>
    <s v="Agata"/>
    <s v="Kolacz"/>
    <n v="27"/>
    <x v="425"/>
  </r>
  <r>
    <d v="2017-06-06T00:00:00"/>
    <s v="Marek"/>
    <s v="Bednarski"/>
    <n v="21"/>
    <x v="23"/>
  </r>
  <r>
    <d v="2017-06-06T00:00:00"/>
    <s v="Alicja"/>
    <s v="Gadek"/>
    <n v="28"/>
    <x v="10"/>
  </r>
  <r>
    <d v="2017-06-06T00:00:00"/>
    <s v="Filip"/>
    <s v="Strupiechowski"/>
    <n v="50"/>
    <x v="484"/>
  </r>
  <r>
    <d v="2017-06-06T00:00:00"/>
    <s v="Hubert"/>
    <s v="Smyk"/>
    <n v="5"/>
    <x v="39"/>
  </r>
  <r>
    <d v="2017-06-06T00:00:00"/>
    <s v="Marcin"/>
    <s v="Kurasik"/>
    <n v="7"/>
    <x v="485"/>
  </r>
  <r>
    <d v="2017-06-06T00:00:00"/>
    <s v="Tomasz"/>
    <s v="Tutaj"/>
    <n v="11"/>
    <x v="486"/>
  </r>
  <r>
    <d v="2017-06-07T00:00:00"/>
    <s v="Maria"/>
    <s v="Drozd"/>
    <n v="17"/>
    <x v="114"/>
  </r>
  <r>
    <d v="2017-06-07T00:00:00"/>
    <s v="Kamil"/>
    <s v="Naderka"/>
    <n v="12"/>
    <x v="67"/>
  </r>
  <r>
    <d v="2017-06-07T00:00:00"/>
    <s v="Zofia"/>
    <s v="Polak"/>
    <n v="49"/>
    <x v="487"/>
  </r>
  <r>
    <d v="2017-06-07T00:00:00"/>
    <s v="Marta"/>
    <s v="Opolska"/>
    <n v="6"/>
    <x v="20"/>
  </r>
  <r>
    <d v="2017-06-07T00:00:00"/>
    <s v="Agata"/>
    <s v="Kwiatkowska"/>
    <n v="13"/>
    <x v="2"/>
  </r>
  <r>
    <d v="2017-06-07T00:00:00"/>
    <s v="Justyna"/>
    <s v="Wysocka"/>
    <n v="40"/>
    <x v="488"/>
  </r>
  <r>
    <d v="2017-06-08T00:00:00"/>
    <s v="Krzysztof"/>
    <s v="Koncewicz"/>
    <n v="26"/>
    <x v="489"/>
  </r>
  <r>
    <d v="2017-06-08T00:00:00"/>
    <s v="Lena"/>
    <s v="Mrozik"/>
    <n v="16"/>
    <x v="490"/>
  </r>
  <r>
    <d v="2017-06-08T00:00:00"/>
    <s v="Kazimierz"/>
    <s v="Biedka"/>
    <n v="36"/>
    <x v="452"/>
  </r>
  <r>
    <d v="2017-06-08T00:00:00"/>
    <s v="Pawel"/>
    <s v="Nowakowski"/>
    <n v="8"/>
    <x v="127"/>
  </r>
  <r>
    <d v="2017-06-08T00:00:00"/>
    <s v="Piotr"/>
    <s v="Kaleta"/>
    <n v="7"/>
    <x v="204"/>
  </r>
  <r>
    <d v="2017-06-08T00:00:00"/>
    <s v="Monika"/>
    <s v="Srubka"/>
    <n v="25"/>
    <x v="453"/>
  </r>
  <r>
    <d v="2017-06-09T00:00:00"/>
    <s v="Bonifacy"/>
    <s v="Pleszewski"/>
    <n v="43"/>
    <x v="491"/>
  </r>
  <r>
    <d v="2017-06-09T00:00:00"/>
    <s v="Jakub"/>
    <s v="Waniek"/>
    <n v="23"/>
    <x v="97"/>
  </r>
  <r>
    <d v="2017-06-09T00:00:00"/>
    <s v="Sofia"/>
    <s v="Felisiak"/>
    <n v="5"/>
    <x v="156"/>
  </r>
  <r>
    <d v="2017-06-09T00:00:00"/>
    <s v="Monika"/>
    <s v="Placzek"/>
    <n v="2"/>
    <x v="260"/>
  </r>
  <r>
    <d v="2017-06-09T00:00:00"/>
    <s v="Malgorzata"/>
    <s v="Winiarska"/>
    <n v="5"/>
    <x v="226"/>
  </r>
  <r>
    <d v="2017-06-09T00:00:00"/>
    <s v="Alicja"/>
    <s v="Wymyslowska"/>
    <n v="50"/>
    <x v="492"/>
  </r>
  <r>
    <d v="2017-06-12T00:00:00"/>
    <s v="Leon"/>
    <s v="Price"/>
    <n v="11"/>
    <x v="84"/>
  </r>
  <r>
    <d v="2017-06-12T00:00:00"/>
    <s v="Maciej"/>
    <s v="Siemiatkowski"/>
    <n v="18"/>
    <x v="60"/>
  </r>
  <r>
    <d v="2017-06-12T00:00:00"/>
    <s v="Mateusz"/>
    <s v="Uklej"/>
    <n v="24"/>
    <x v="108"/>
  </r>
  <r>
    <d v="2017-06-12T00:00:00"/>
    <s v="Agnieszka"/>
    <s v="Matusik"/>
    <n v="20"/>
    <x v="264"/>
  </r>
  <r>
    <d v="2017-06-12T00:00:00"/>
    <s v="Henryk"/>
    <s v="Siminski"/>
    <n v="55"/>
    <x v="187"/>
  </r>
  <r>
    <d v="2017-06-12T00:00:00"/>
    <s v="Marcel"/>
    <s v="Lademann"/>
    <n v="52"/>
    <x v="493"/>
  </r>
  <r>
    <d v="2017-06-13T00:00:00"/>
    <s v="Justyna"/>
    <s v="Mnich"/>
    <n v="41"/>
    <x v="494"/>
  </r>
  <r>
    <d v="2017-06-13T00:00:00"/>
    <s v="Ewa"/>
    <s v="Czerwinska"/>
    <n v="27"/>
    <x v="164"/>
  </r>
  <r>
    <d v="2017-06-13T00:00:00"/>
    <s v="Piotr"/>
    <s v="Polkowicki"/>
    <n v="12"/>
    <x v="287"/>
  </r>
  <r>
    <d v="2017-06-13T00:00:00"/>
    <s v="Mateusz"/>
    <s v="Mrowczynski"/>
    <n v="23"/>
    <x v="344"/>
  </r>
  <r>
    <d v="2017-06-13T00:00:00"/>
    <s v="Anastazja"/>
    <s v="Borowska"/>
    <n v="4"/>
    <x v="219"/>
  </r>
  <r>
    <d v="2017-06-13T00:00:00"/>
    <s v="Hubert"/>
    <s v="Pieczatowski"/>
    <n v="27"/>
    <x v="268"/>
  </r>
  <r>
    <d v="2017-06-14T00:00:00"/>
    <s v="Teodor"/>
    <s v="Fornal"/>
    <n v="36"/>
    <x v="36"/>
  </r>
  <r>
    <d v="2017-06-14T00:00:00"/>
    <s v="Barbara"/>
    <s v="Kilarski"/>
    <n v="20"/>
    <x v="402"/>
  </r>
  <r>
    <d v="2017-06-14T00:00:00"/>
    <s v="Nikodem"/>
    <s v="Jablonski"/>
    <n v="26"/>
    <x v="381"/>
  </r>
  <r>
    <d v="2017-06-14T00:00:00"/>
    <s v="Nikodem"/>
    <s v="Jakubowski"/>
    <n v="8"/>
    <x v="421"/>
  </r>
  <r>
    <d v="2017-06-14T00:00:00"/>
    <s v="Joanna"/>
    <s v="Sibiga"/>
    <n v="6"/>
    <x v="327"/>
  </r>
  <r>
    <d v="2017-06-14T00:00:00"/>
    <s v="Monika"/>
    <s v="Srubka"/>
    <n v="5"/>
    <x v="453"/>
  </r>
  <r>
    <d v="2017-06-15T00:00:00"/>
    <s v="Jakub"/>
    <s v="Porydzaj"/>
    <n v="8"/>
    <x v="277"/>
  </r>
  <r>
    <d v="2017-06-15T00:00:00"/>
    <s v="Krzysztof"/>
    <s v="Las"/>
    <n v="4"/>
    <x v="272"/>
  </r>
  <r>
    <d v="2017-06-15T00:00:00"/>
    <s v="Emilia"/>
    <s v="Szczepanska"/>
    <n v="31"/>
    <x v="285"/>
  </r>
  <r>
    <d v="2017-06-15T00:00:00"/>
    <s v="Patrycja"/>
    <s v="Rzeszowska"/>
    <n v="36"/>
    <x v="297"/>
  </r>
  <r>
    <d v="2017-06-15T00:00:00"/>
    <s v="Olgierd"/>
    <s v="Hazubski"/>
    <n v="3"/>
    <x v="429"/>
  </r>
  <r>
    <d v="2017-06-15T00:00:00"/>
    <s v="Jan"/>
    <s v="Nancki"/>
    <n v="31"/>
    <x v="398"/>
  </r>
  <r>
    <d v="2017-06-16T00:00:00"/>
    <s v="Anna"/>
    <s v="Trzebiatowska"/>
    <n v="3"/>
    <x v="111"/>
  </r>
  <r>
    <d v="2017-06-16T00:00:00"/>
    <s v="Urszula"/>
    <s v="Engel"/>
    <n v="2"/>
    <x v="495"/>
  </r>
  <r>
    <d v="2017-06-16T00:00:00"/>
    <s v="Przemyslaw"/>
    <s v="Widawski"/>
    <n v="53"/>
    <x v="389"/>
  </r>
  <r>
    <d v="2017-06-16T00:00:00"/>
    <s v="Anastazja"/>
    <s v="Wamka"/>
    <n v="7"/>
    <x v="496"/>
  </r>
  <r>
    <d v="2017-06-16T00:00:00"/>
    <s v="Mariola"/>
    <s v="Las"/>
    <n v="27"/>
    <x v="80"/>
  </r>
  <r>
    <d v="2017-06-16T00:00:00"/>
    <s v="Agnieszka"/>
    <s v="Bujak"/>
    <n v="29"/>
    <x v="369"/>
  </r>
  <r>
    <d v="2017-06-19T00:00:00"/>
    <s v="Leon"/>
    <s v="Szybki"/>
    <n v="19"/>
    <x v="11"/>
  </r>
  <r>
    <d v="2017-06-19T00:00:00"/>
    <s v="Natalia"/>
    <s v="Boryczko"/>
    <n v="15"/>
    <x v="497"/>
  </r>
  <r>
    <d v="2017-06-19T00:00:00"/>
    <s v="Wojciech"/>
    <s v="Gocyla"/>
    <n v="24"/>
    <x v="360"/>
  </r>
  <r>
    <d v="2017-06-19T00:00:00"/>
    <s v="Ewa"/>
    <s v="Czerwinska"/>
    <n v="50"/>
    <x v="164"/>
  </r>
  <r>
    <d v="2017-06-19T00:00:00"/>
    <s v="Piotr"/>
    <s v="Flis"/>
    <n v="18"/>
    <x v="99"/>
  </r>
  <r>
    <d v="2017-06-19T00:00:00"/>
    <s v="Jakub"/>
    <s v="Radomski"/>
    <n v="36"/>
    <x v="498"/>
  </r>
  <r>
    <d v="2017-06-20T00:00:00"/>
    <s v="Ilona"/>
    <s v="Lukaszewska"/>
    <n v="13"/>
    <x v="304"/>
  </r>
  <r>
    <d v="2017-06-20T00:00:00"/>
    <s v="Maria"/>
    <s v="Orlicki"/>
    <n v="29"/>
    <x v="499"/>
  </r>
  <r>
    <d v="2017-06-20T00:00:00"/>
    <s v="Matylda"/>
    <s v="Kluziak"/>
    <n v="47"/>
    <x v="293"/>
  </r>
  <r>
    <d v="2017-06-20T00:00:00"/>
    <s v="Bartosz"/>
    <s v="Mazgaj"/>
    <n v="17"/>
    <x v="340"/>
  </r>
  <r>
    <d v="2017-06-20T00:00:00"/>
    <s v="Jacek"/>
    <s v="Szypulski"/>
    <n v="9"/>
    <x v="113"/>
  </r>
  <r>
    <d v="2017-06-20T00:00:00"/>
    <s v="Mariola"/>
    <s v="Las"/>
    <n v="8"/>
    <x v="80"/>
  </r>
  <r>
    <d v="2017-06-21T00:00:00"/>
    <s v="Tomasz"/>
    <s v="Tutaj"/>
    <n v="4"/>
    <x v="486"/>
  </r>
  <r>
    <d v="2017-06-21T00:00:00"/>
    <s v="Lukasz"/>
    <s v="Kot"/>
    <n v="53"/>
    <x v="346"/>
  </r>
  <r>
    <d v="2017-06-21T00:00:00"/>
    <s v="Martyna"/>
    <s v="Marmelowska"/>
    <n v="29"/>
    <x v="221"/>
  </r>
  <r>
    <d v="2017-06-21T00:00:00"/>
    <s v="Adam"/>
    <s v="Wata"/>
    <n v="52"/>
    <x v="34"/>
  </r>
  <r>
    <d v="2017-06-21T00:00:00"/>
    <s v="Tomasz"/>
    <s v="Tutaj"/>
    <n v="8"/>
    <x v="486"/>
  </r>
  <r>
    <d v="2017-06-21T00:00:00"/>
    <s v="Ewa"/>
    <s v="Wojna"/>
    <n v="32"/>
    <x v="89"/>
  </r>
  <r>
    <d v="2017-06-22T00:00:00"/>
    <s v="Grzegorz"/>
    <s v="Kaminski"/>
    <n v="11"/>
    <x v="500"/>
  </r>
  <r>
    <d v="2017-06-22T00:00:00"/>
    <s v="Tomasz"/>
    <s v="Hajdi"/>
    <n v="35"/>
    <x v="347"/>
  </r>
  <r>
    <d v="2017-06-22T00:00:00"/>
    <s v="Joanna"/>
    <s v="Senger"/>
    <n v="4"/>
    <x v="501"/>
  </r>
  <r>
    <d v="2017-06-22T00:00:00"/>
    <s v="Joanna"/>
    <s v="Kopacki"/>
    <n v="18"/>
    <x v="314"/>
  </r>
  <r>
    <d v="2017-06-22T00:00:00"/>
    <s v="Jan"/>
    <s v="Kildanowski"/>
    <n v="5"/>
    <x v="477"/>
  </r>
  <r>
    <d v="2017-06-22T00:00:00"/>
    <s v="Maciej"/>
    <s v="Tasz"/>
    <n v="32"/>
    <x v="310"/>
  </r>
  <r>
    <d v="2017-06-23T00:00:00"/>
    <s v="Anita"/>
    <s v="Kaczorowska"/>
    <n v="18"/>
    <x v="233"/>
  </r>
  <r>
    <d v="2017-06-23T00:00:00"/>
    <s v="Daria"/>
    <s v="Mikos"/>
    <n v="19"/>
    <x v="289"/>
  </r>
  <r>
    <d v="2017-06-23T00:00:00"/>
    <s v="Anita"/>
    <s v="Pawelczyk"/>
    <n v="8"/>
    <x v="95"/>
  </r>
  <r>
    <d v="2017-06-23T00:00:00"/>
    <s v="Ryszard"/>
    <s v="Domzala"/>
    <n v="16"/>
    <x v="502"/>
  </r>
  <r>
    <d v="2017-06-23T00:00:00"/>
    <s v="Marta"/>
    <s v="Wiosna"/>
    <n v="39"/>
    <x v="503"/>
  </r>
  <r>
    <d v="2017-06-23T00:00:00"/>
    <s v="Maria"/>
    <s v="Orlicki"/>
    <n v="45"/>
    <x v="499"/>
  </r>
  <r>
    <d v="2017-06-26T00:00:00"/>
    <s v="Joanna"/>
    <s v="Kopacki"/>
    <n v="46"/>
    <x v="314"/>
  </r>
  <r>
    <d v="2017-06-26T00:00:00"/>
    <s v="Jan"/>
    <s v="Sznuk"/>
    <n v="26"/>
    <x v="273"/>
  </r>
  <r>
    <d v="2017-06-26T00:00:00"/>
    <s v="Wiera"/>
    <s v="Nowak"/>
    <n v="53"/>
    <x v="239"/>
  </r>
  <r>
    <d v="2017-06-26T00:00:00"/>
    <s v="Ewaryst"/>
    <s v="Zdunek"/>
    <n v="26"/>
    <x v="382"/>
  </r>
  <r>
    <d v="2017-06-26T00:00:00"/>
    <s v="Agnieszka"/>
    <s v="Polak"/>
    <n v="16"/>
    <x v="0"/>
  </r>
  <r>
    <d v="2017-06-26T00:00:00"/>
    <s v="Jan"/>
    <s v="Madawik"/>
    <n v="10"/>
    <x v="504"/>
  </r>
  <r>
    <d v="2017-06-27T00:00:00"/>
    <s v="Anita"/>
    <s v="Woloszyn"/>
    <n v="23"/>
    <x v="134"/>
  </r>
  <r>
    <d v="2017-06-27T00:00:00"/>
    <s v="Daria"/>
    <s v="Zagrobna"/>
    <n v="22"/>
    <x v="15"/>
  </r>
  <r>
    <d v="2017-06-27T00:00:00"/>
    <s v="Marta"/>
    <s v="Wloczkow"/>
    <n v="29"/>
    <x v="201"/>
  </r>
  <r>
    <d v="2017-06-27T00:00:00"/>
    <s v="Krzysztof"/>
    <s v="Konieckiewicz"/>
    <n v="26"/>
    <x v="87"/>
  </r>
  <r>
    <d v="2017-06-27T00:00:00"/>
    <s v="Barbara"/>
    <s v="Bury"/>
    <n v="9"/>
    <x v="246"/>
  </r>
  <r>
    <d v="2017-06-27T00:00:00"/>
    <s v="Karol"/>
    <s v="Dziuk"/>
    <n v="20"/>
    <x v="56"/>
  </r>
  <r>
    <d v="2017-06-28T00:00:00"/>
    <s v="Wojciech"/>
    <s v="Wroblewski"/>
    <n v="7"/>
    <x v="160"/>
  </r>
  <r>
    <d v="2017-06-28T00:00:00"/>
    <s v="Kinga"/>
    <s v="Trawinska"/>
    <n v="27"/>
    <x v="366"/>
  </r>
  <r>
    <d v="2017-06-28T00:00:00"/>
    <s v="Kamil"/>
    <s v="Naderka"/>
    <n v="35"/>
    <x v="67"/>
  </r>
  <r>
    <d v="2017-06-28T00:00:00"/>
    <s v="Tomasz"/>
    <s v="Tutaj"/>
    <n v="15"/>
    <x v="486"/>
  </r>
  <r>
    <d v="2017-06-28T00:00:00"/>
    <s v="Jan"/>
    <s v="Pieterson"/>
    <n v="29"/>
    <x v="483"/>
  </r>
  <r>
    <d v="2017-06-28T00:00:00"/>
    <s v="Dominika"/>
    <s v="Madejska"/>
    <n v="42"/>
    <x v="505"/>
  </r>
  <r>
    <d v="2017-06-29T00:00:00"/>
    <s v="Kamila"/>
    <s v="Bialkowska"/>
    <n v="9"/>
    <x v="330"/>
  </r>
  <r>
    <d v="2017-06-29T00:00:00"/>
    <s v="Stanislaw"/>
    <s v="Cieslik"/>
    <n v="50"/>
    <x v="506"/>
  </r>
  <r>
    <d v="2017-06-29T00:00:00"/>
    <s v="Dominik"/>
    <s v="Szmitko"/>
    <n v="6"/>
    <x v="305"/>
  </r>
  <r>
    <d v="2017-06-29T00:00:00"/>
    <s v="Ewa"/>
    <s v="Zak"/>
    <n v="18"/>
    <x v="267"/>
  </r>
  <r>
    <d v="2017-06-29T00:00:00"/>
    <s v="Jan"/>
    <s v="Madawik"/>
    <n v="28"/>
    <x v="504"/>
  </r>
  <r>
    <d v="2017-06-29T00:00:00"/>
    <s v="Jan"/>
    <s v="Pistek"/>
    <n v="7"/>
    <x v="335"/>
  </r>
  <r>
    <d v="2017-06-30T00:00:00"/>
    <s v="Magda"/>
    <s v="Makowicz"/>
    <n v="28"/>
    <x v="507"/>
  </r>
  <r>
    <d v="2017-06-30T00:00:00"/>
    <s v="Dominik"/>
    <s v="Szczucki"/>
    <n v="27"/>
    <x v="51"/>
  </r>
  <r>
    <d v="2017-06-30T00:00:00"/>
    <s v="Piotr"/>
    <s v="Flis"/>
    <n v="19"/>
    <x v="99"/>
  </r>
  <r>
    <d v="2017-06-30T00:00:00"/>
    <s v="Hubert"/>
    <s v="Pieczatowski"/>
    <n v="19"/>
    <x v="268"/>
  </r>
  <r>
    <d v="2017-06-30T00:00:00"/>
    <s v="Julia"/>
    <s v="Rutkiewicz"/>
    <n v="18"/>
    <x v="16"/>
  </r>
  <r>
    <d v="2017-06-30T00:00:00"/>
    <s v="Joanna"/>
    <s v="Ottka"/>
    <n v="27"/>
    <x v="250"/>
  </r>
  <r>
    <d v="2017-07-03T00:00:00"/>
    <s v="Nadia"/>
    <s v="Jurewicz"/>
    <n v="21"/>
    <x v="446"/>
  </r>
  <r>
    <d v="2017-07-03T00:00:00"/>
    <s v="Lena"/>
    <s v="Marzec"/>
    <n v="14"/>
    <x v="181"/>
  </r>
  <r>
    <d v="2017-07-03T00:00:00"/>
    <s v="Mariusz"/>
    <s v="Suszyn"/>
    <n v="34"/>
    <x v="407"/>
  </r>
  <r>
    <d v="2017-07-03T00:00:00"/>
    <s v="Mateusz"/>
    <s v="Mrowczynski"/>
    <n v="29"/>
    <x v="344"/>
  </r>
  <r>
    <d v="2017-07-03T00:00:00"/>
    <s v="Wieslaw"/>
    <s v="Kasza"/>
    <n v="37"/>
    <x v="72"/>
  </r>
  <r>
    <d v="2017-07-03T00:00:00"/>
    <s v="Jakub"/>
    <s v="Porydzaj"/>
    <n v="28"/>
    <x v="277"/>
  </r>
  <r>
    <d v="2017-07-04T00:00:00"/>
    <s v="Magdalena"/>
    <s v="Bach"/>
    <n v="8"/>
    <x v="395"/>
  </r>
  <r>
    <d v="2017-07-04T00:00:00"/>
    <s v="Patryk"/>
    <s v="Geszczynski"/>
    <n v="16"/>
    <x v="308"/>
  </r>
  <r>
    <d v="2017-07-04T00:00:00"/>
    <s v="Mariola"/>
    <s v="Las"/>
    <n v="7"/>
    <x v="80"/>
  </r>
  <r>
    <d v="2017-07-04T00:00:00"/>
    <s v="Zofia"/>
    <s v="Broszkow"/>
    <n v="29"/>
    <x v="443"/>
  </r>
  <r>
    <d v="2017-07-04T00:00:00"/>
    <s v="Marek"/>
    <s v="Witkowski"/>
    <n v="4"/>
    <x v="225"/>
  </r>
  <r>
    <d v="2017-07-04T00:00:00"/>
    <s v="Karol"/>
    <s v="Pawleczek"/>
    <n v="3"/>
    <x v="368"/>
  </r>
  <r>
    <d v="2017-07-05T00:00:00"/>
    <s v="Renata"/>
    <s v="Pawlak"/>
    <n v="35"/>
    <x v="300"/>
  </r>
  <r>
    <d v="2017-07-05T00:00:00"/>
    <s v="Natalia"/>
    <s v="Olkuska"/>
    <n v="24"/>
    <x v="416"/>
  </r>
  <r>
    <d v="2017-07-05T00:00:00"/>
    <s v="Piotr"/>
    <s v="Felus"/>
    <n v="39"/>
    <x v="107"/>
  </r>
  <r>
    <d v="2017-07-05T00:00:00"/>
    <s v="Marcel"/>
    <s v="Labuda"/>
    <n v="56"/>
    <x v="177"/>
  </r>
  <r>
    <d v="2017-07-05T00:00:00"/>
    <s v="Iwona"/>
    <s v="Wlodarska"/>
    <n v="54"/>
    <x v="508"/>
  </r>
  <r>
    <d v="2017-07-05T00:00:00"/>
    <s v="Andrzej"/>
    <s v="Moldawiec"/>
    <n v="12"/>
    <x v="21"/>
  </r>
  <r>
    <d v="2017-07-06T00:00:00"/>
    <s v="Milena"/>
    <s v="Karolewska"/>
    <n v="7"/>
    <x v="231"/>
  </r>
  <r>
    <d v="2017-07-06T00:00:00"/>
    <s v="Malgorzata"/>
    <s v="Winiarska"/>
    <n v="11"/>
    <x v="226"/>
  </r>
  <r>
    <d v="2017-07-06T00:00:00"/>
    <s v="Maciej"/>
    <s v="Tasz"/>
    <n v="7"/>
    <x v="310"/>
  </r>
  <r>
    <d v="2017-07-06T00:00:00"/>
    <s v="Karolina"/>
    <s v="Welc"/>
    <n v="28"/>
    <x v="119"/>
  </r>
  <r>
    <d v="2017-07-06T00:00:00"/>
    <s v="Patryk"/>
    <s v="Geszczynski"/>
    <n v="20"/>
    <x v="308"/>
  </r>
  <r>
    <d v="2017-07-06T00:00:00"/>
    <s v="Przemyslaw"/>
    <s v="Widawski"/>
    <n v="11"/>
    <x v="389"/>
  </r>
  <r>
    <d v="2017-07-07T00:00:00"/>
    <s v="Barbara"/>
    <s v="Kiel"/>
    <n v="55"/>
    <x v="509"/>
  </r>
  <r>
    <d v="2017-07-07T00:00:00"/>
    <s v="Mateusz"/>
    <s v="Mrowczynski"/>
    <n v="41"/>
    <x v="344"/>
  </r>
  <r>
    <d v="2017-07-07T00:00:00"/>
    <s v="Iwona"/>
    <s v="Anczyk"/>
    <n v="21"/>
    <x v="510"/>
  </r>
  <r>
    <d v="2017-07-07T00:00:00"/>
    <s v="Nadia"/>
    <s v="Jurczyk"/>
    <n v="33"/>
    <x v="467"/>
  </r>
  <r>
    <d v="2017-07-07T00:00:00"/>
    <s v="Filip"/>
    <s v="Strupiechowski"/>
    <n v="7"/>
    <x v="484"/>
  </r>
  <r>
    <d v="2017-07-07T00:00:00"/>
    <s v="Zuzanna"/>
    <s v="Kalisz"/>
    <n v="15"/>
    <x v="274"/>
  </r>
  <r>
    <d v="2017-07-10T00:00:00"/>
    <s v="Joanna"/>
    <s v="Pilc"/>
    <n v="39"/>
    <x v="170"/>
  </r>
  <r>
    <d v="2017-07-10T00:00:00"/>
    <s v="Eugenia"/>
    <s v="Pieta"/>
    <n v="20"/>
    <x v="361"/>
  </r>
  <r>
    <d v="2017-07-10T00:00:00"/>
    <s v="Jan"/>
    <s v="Pistek"/>
    <n v="11"/>
    <x v="335"/>
  </r>
  <r>
    <d v="2017-07-10T00:00:00"/>
    <s v="Marlena"/>
    <s v="Mazar"/>
    <n v="55"/>
    <x v="511"/>
  </r>
  <r>
    <d v="2017-07-10T00:00:00"/>
    <s v="Adam"/>
    <s v="Zurek"/>
    <n v="36"/>
    <x v="475"/>
  </r>
  <r>
    <d v="2017-07-10T00:00:00"/>
    <s v="Borys"/>
    <s v="Winiarski"/>
    <n v="19"/>
    <x v="263"/>
  </r>
  <r>
    <d v="2017-07-11T00:00:00"/>
    <s v="Kazimierz"/>
    <s v="Bartosik"/>
    <n v="15"/>
    <x v="296"/>
  </r>
  <r>
    <d v="2017-07-11T00:00:00"/>
    <s v="Ewelina"/>
    <s v="Gorecka"/>
    <n v="11"/>
    <x v="75"/>
  </r>
  <r>
    <d v="2017-07-11T00:00:00"/>
    <s v="Julia"/>
    <s v="Rutkiewicz"/>
    <n v="30"/>
    <x v="16"/>
  </r>
  <r>
    <d v="2017-07-11T00:00:00"/>
    <s v="Janusz"/>
    <s v="Wrobel"/>
    <n v="6"/>
    <x v="411"/>
  </r>
  <r>
    <d v="2017-07-11T00:00:00"/>
    <s v="Jan"/>
    <s v="Pistek"/>
    <n v="16"/>
    <x v="335"/>
  </r>
  <r>
    <d v="2017-07-11T00:00:00"/>
    <s v="Barbara"/>
    <s v="Kilarski"/>
    <n v="26"/>
    <x v="402"/>
  </r>
  <r>
    <d v="2017-07-12T00:00:00"/>
    <s v="Anna"/>
    <s v="Wnuk"/>
    <n v="48"/>
    <x v="373"/>
  </r>
  <r>
    <d v="2017-07-12T00:00:00"/>
    <s v="Maria"/>
    <s v="Gatek"/>
    <n v="24"/>
    <x v="172"/>
  </r>
  <r>
    <d v="2017-07-12T00:00:00"/>
    <s v="Anna"/>
    <s v="Zender"/>
    <n v="9"/>
    <x v="512"/>
  </r>
  <r>
    <d v="2017-07-12T00:00:00"/>
    <s v="Michal"/>
    <s v="Norek"/>
    <n v="55"/>
    <x v="93"/>
  </r>
  <r>
    <d v="2017-07-12T00:00:00"/>
    <s v="Krystyna"/>
    <s v="Szybki"/>
    <n v="51"/>
    <x v="222"/>
  </r>
  <r>
    <d v="2017-07-12T00:00:00"/>
    <s v="Marta"/>
    <s v="Opolska"/>
    <n v="10"/>
    <x v="20"/>
  </r>
  <r>
    <d v="2017-07-13T00:00:00"/>
    <s v="Jacek"/>
    <s v="Ciosinski"/>
    <n v="15"/>
    <x v="90"/>
  </r>
  <r>
    <d v="2017-07-13T00:00:00"/>
    <s v="Ewelina"/>
    <s v="Mirska"/>
    <n v="26"/>
    <x v="513"/>
  </r>
  <r>
    <d v="2017-07-13T00:00:00"/>
    <s v="Leslaw"/>
    <s v="Kupis"/>
    <n v="21"/>
    <x v="422"/>
  </r>
  <r>
    <d v="2017-07-13T00:00:00"/>
    <s v="Michalina"/>
    <s v="Klebba"/>
    <n v="4"/>
    <x v="191"/>
  </r>
  <r>
    <d v="2017-07-13T00:00:00"/>
    <s v="Adrian"/>
    <s v="Wozniak"/>
    <n v="43"/>
    <x v="420"/>
  </r>
  <r>
    <d v="2017-07-13T00:00:00"/>
    <s v="Joanna"/>
    <s v="Wrobel"/>
    <n v="7"/>
    <x v="331"/>
  </r>
  <r>
    <d v="2017-07-13T00:00:00"/>
    <s v="Maria"/>
    <s v="Gatek"/>
    <n v="44"/>
    <x v="172"/>
  </r>
  <r>
    <d v="2017-07-14T00:00:00"/>
    <s v="Mateusz"/>
    <s v="Hajdug"/>
    <n v="19"/>
    <x v="409"/>
  </r>
  <r>
    <d v="2017-07-14T00:00:00"/>
    <s v="Monika"/>
    <s v="Kos"/>
    <n v="29"/>
    <x v="514"/>
  </r>
  <r>
    <d v="2017-07-14T00:00:00"/>
    <s v="Anita"/>
    <s v="Tych"/>
    <n v="33"/>
    <x v="203"/>
  </r>
  <r>
    <d v="2017-07-14T00:00:00"/>
    <s v="Michal"/>
    <s v="Nowicki"/>
    <n v="2"/>
    <x v="65"/>
  </r>
  <r>
    <d v="2017-07-14T00:00:00"/>
    <s v="Joanna"/>
    <s v="Zygmunt"/>
    <n v="15"/>
    <x v="192"/>
  </r>
  <r>
    <d v="2017-07-14T00:00:00"/>
    <s v="Jerzy"/>
    <s v="Polanicki"/>
    <n v="30"/>
    <x v="12"/>
  </r>
  <r>
    <d v="2017-07-14T00:00:00"/>
    <s v="Jakub"/>
    <s v="Rembiewski"/>
    <n v="5"/>
    <x v="284"/>
  </r>
  <r>
    <d v="2017-07-17T00:00:00"/>
    <s v="Mateusz"/>
    <s v="Mrowczynski"/>
    <n v="14"/>
    <x v="344"/>
  </r>
  <r>
    <d v="2017-07-17T00:00:00"/>
    <s v="Maciej"/>
    <s v="Lutczyk"/>
    <n v="8"/>
    <x v="515"/>
  </r>
  <r>
    <d v="2017-07-17T00:00:00"/>
    <s v="Karol"/>
    <s v="Dziuk"/>
    <n v="44"/>
    <x v="56"/>
  </r>
  <r>
    <d v="2017-07-17T00:00:00"/>
    <s v="Iwona"/>
    <s v="Lato"/>
    <n v="50"/>
    <x v="358"/>
  </r>
  <r>
    <d v="2017-07-17T00:00:00"/>
    <s v="Jan"/>
    <s v="Sznuk"/>
    <n v="15"/>
    <x v="273"/>
  </r>
  <r>
    <d v="2017-07-17T00:00:00"/>
    <s v="Kacper"/>
    <s v="Trzebnicki"/>
    <n v="46"/>
    <x v="466"/>
  </r>
  <r>
    <d v="2017-07-17T00:00:00"/>
    <s v="Julia"/>
    <s v="Salanowska"/>
    <n v="5"/>
    <x v="229"/>
  </r>
  <r>
    <d v="2017-07-18T00:00:00"/>
    <s v="Diana"/>
    <s v="Michalska"/>
    <n v="27"/>
    <x v="290"/>
  </r>
  <r>
    <d v="2017-07-18T00:00:00"/>
    <s v="Katarzyna"/>
    <s v="Wip"/>
    <n v="25"/>
    <x v="175"/>
  </r>
  <r>
    <d v="2017-07-18T00:00:00"/>
    <s v="Maria"/>
    <s v="Orlicki"/>
    <n v="22"/>
    <x v="499"/>
  </r>
  <r>
    <d v="2017-07-18T00:00:00"/>
    <s v="Izabela"/>
    <s v="Skrzydlak"/>
    <n v="3"/>
    <x v="232"/>
  </r>
  <r>
    <d v="2017-07-18T00:00:00"/>
    <s v="Maksymilian"/>
    <s v="Piwko"/>
    <n v="28"/>
    <x v="234"/>
  </r>
  <r>
    <d v="2017-07-18T00:00:00"/>
    <s v="Maciej"/>
    <s v="Czyzynski"/>
    <n v="8"/>
    <x v="154"/>
  </r>
  <r>
    <d v="2017-07-18T00:00:00"/>
    <s v="Tomasz"/>
    <s v="Hajdi"/>
    <n v="8"/>
    <x v="347"/>
  </r>
  <r>
    <d v="2017-07-19T00:00:00"/>
    <s v="Lena"/>
    <s v="Mazurkiewicz"/>
    <n v="18"/>
    <x v="58"/>
  </r>
  <r>
    <d v="2017-07-19T00:00:00"/>
    <s v="Marcin"/>
    <s v="Kurasik"/>
    <n v="27"/>
    <x v="485"/>
  </r>
  <r>
    <d v="2017-07-19T00:00:00"/>
    <s v="Janusz"/>
    <s v="Baka"/>
    <n v="23"/>
    <x v="410"/>
  </r>
  <r>
    <d v="2017-07-19T00:00:00"/>
    <s v="Maja"/>
    <s v="Kulkowska"/>
    <n v="46"/>
    <x v="4"/>
  </r>
  <r>
    <d v="2017-07-19T00:00:00"/>
    <s v="Krzysztof"/>
    <s v="Madejski"/>
    <n v="16"/>
    <x v="123"/>
  </r>
  <r>
    <d v="2017-07-19T00:00:00"/>
    <s v="Jakub"/>
    <s v="Bracik"/>
    <n v="27"/>
    <x v="189"/>
  </r>
  <r>
    <d v="2017-07-19T00:00:00"/>
    <s v="Jan"/>
    <s v="Pawelec"/>
    <n v="12"/>
    <x v="427"/>
  </r>
  <r>
    <d v="2017-07-20T00:00:00"/>
    <s v="Krzysztof"/>
    <s v="Plecien"/>
    <n v="21"/>
    <x v="437"/>
  </r>
  <r>
    <d v="2017-07-20T00:00:00"/>
    <s v="Diana"/>
    <s v="Michalska"/>
    <n v="45"/>
    <x v="290"/>
  </r>
  <r>
    <d v="2017-07-20T00:00:00"/>
    <s v="Krzysztof"/>
    <s v="Madejski"/>
    <n v="22"/>
    <x v="123"/>
  </r>
  <r>
    <d v="2017-07-20T00:00:00"/>
    <s v="Daria"/>
    <s v="Mikos"/>
    <n v="40"/>
    <x v="289"/>
  </r>
  <r>
    <d v="2017-07-20T00:00:00"/>
    <s v="Janusz"/>
    <s v="Baka"/>
    <n v="10"/>
    <x v="410"/>
  </r>
  <r>
    <d v="2017-07-20T00:00:00"/>
    <s v="Michal"/>
    <s v="Nowicki"/>
    <n v="33"/>
    <x v="65"/>
  </r>
  <r>
    <d v="2017-07-20T00:00:00"/>
    <s v="Patrycja"/>
    <s v="Glowinska"/>
    <n v="15"/>
    <x v="28"/>
  </r>
  <r>
    <d v="2017-07-21T00:00:00"/>
    <s v="Inka"/>
    <s v="Sochacka"/>
    <n v="12"/>
    <x v="184"/>
  </r>
  <r>
    <d v="2017-07-21T00:00:00"/>
    <s v="Adam"/>
    <s v="Wata"/>
    <n v="32"/>
    <x v="34"/>
  </r>
  <r>
    <d v="2017-07-21T00:00:00"/>
    <s v="Monika"/>
    <s v="Nowaczkiewicz"/>
    <n v="10"/>
    <x v="288"/>
  </r>
  <r>
    <d v="2017-07-21T00:00:00"/>
    <s v="Adam"/>
    <s v="Wata"/>
    <n v="5"/>
    <x v="34"/>
  </r>
  <r>
    <d v="2017-07-21T00:00:00"/>
    <s v="Nikodem"/>
    <s v="Jakubowski"/>
    <n v="28"/>
    <x v="421"/>
  </r>
  <r>
    <d v="2017-07-21T00:00:00"/>
    <s v="Aleksander"/>
    <s v="Pasternak"/>
    <n v="11"/>
    <x v="276"/>
  </r>
  <r>
    <d v="2017-07-21T00:00:00"/>
    <s v="Roksana"/>
    <s v="Frankowska"/>
    <n v="11"/>
    <x v="476"/>
  </r>
  <r>
    <d v="2017-07-24T00:00:00"/>
    <s v="Jakub"/>
    <s v="Porydzaj"/>
    <n v="28"/>
    <x v="277"/>
  </r>
  <r>
    <d v="2017-07-24T00:00:00"/>
    <s v="Maksymilian"/>
    <s v="Piwko"/>
    <n v="13"/>
    <x v="234"/>
  </r>
  <r>
    <d v="2017-07-24T00:00:00"/>
    <s v="Katarzyna"/>
    <s v="Aniec"/>
    <n v="22"/>
    <x v="516"/>
  </r>
  <r>
    <d v="2017-07-24T00:00:00"/>
    <s v="Marek"/>
    <s v="Sulejski"/>
    <n v="19"/>
    <x v="517"/>
  </r>
  <r>
    <d v="2017-07-24T00:00:00"/>
    <s v="Jolanta"/>
    <s v="Bicz"/>
    <n v="46"/>
    <x v="91"/>
  </r>
  <r>
    <d v="2017-07-24T00:00:00"/>
    <s v="Igor"/>
    <s v="Ryngwelski"/>
    <n v="17"/>
    <x v="125"/>
  </r>
  <r>
    <d v="2017-07-24T00:00:00"/>
    <s v="Maria"/>
    <s v="Galas"/>
    <n v="27"/>
    <x v="132"/>
  </r>
  <r>
    <d v="2017-07-25T00:00:00"/>
    <s v="Dominika"/>
    <s v="Szwec"/>
    <n v="3"/>
    <x v="378"/>
  </r>
  <r>
    <d v="2017-07-25T00:00:00"/>
    <s v="Kacper"/>
    <s v="Niec"/>
    <n v="11"/>
    <x v="279"/>
  </r>
  <r>
    <d v="2017-07-25T00:00:00"/>
    <s v="Kinga"/>
    <s v="Kleszcz"/>
    <n v="17"/>
    <x v="105"/>
  </r>
  <r>
    <d v="2017-07-25T00:00:00"/>
    <s v="Witold"/>
    <s v="Sempa"/>
    <n v="16"/>
    <x v="137"/>
  </r>
  <r>
    <d v="2017-07-25T00:00:00"/>
    <s v="Jakub"/>
    <s v="Jedruszek"/>
    <n v="25"/>
    <x v="19"/>
  </r>
  <r>
    <d v="2017-07-25T00:00:00"/>
    <s v="Olgierd"/>
    <s v="Baranek"/>
    <n v="43"/>
    <x v="178"/>
  </r>
  <r>
    <d v="2017-07-25T00:00:00"/>
    <s v="Grzegorz"/>
    <s v="Domek"/>
    <n v="5"/>
    <x v="129"/>
  </r>
  <r>
    <d v="2017-07-26T00:00:00"/>
    <s v="Izabela"/>
    <s v="Skrzydlak"/>
    <n v="21"/>
    <x v="232"/>
  </r>
  <r>
    <d v="2017-07-26T00:00:00"/>
    <s v="Irena"/>
    <s v="Banasiewicz"/>
    <n v="48"/>
    <x v="162"/>
  </r>
  <r>
    <d v="2017-07-26T00:00:00"/>
    <s v="Mateusz"/>
    <s v="Hajdug"/>
    <n v="29"/>
    <x v="409"/>
  </r>
  <r>
    <d v="2017-07-26T00:00:00"/>
    <s v="Luiza"/>
    <s v="Makowska"/>
    <n v="23"/>
    <x v="179"/>
  </r>
  <r>
    <d v="2017-07-26T00:00:00"/>
    <s v="Dominika"/>
    <s v="Madejska"/>
    <n v="52"/>
    <x v="505"/>
  </r>
  <r>
    <d v="2017-07-26T00:00:00"/>
    <s v="Ewa"/>
    <s v="Tysz"/>
    <n v="6"/>
    <x v="70"/>
  </r>
  <r>
    <d v="2017-07-26T00:00:00"/>
    <s v="Kacper"/>
    <s v="Okla"/>
    <n v="29"/>
    <x v="298"/>
  </r>
  <r>
    <d v="2017-07-27T00:00:00"/>
    <s v="Radoslaw"/>
    <s v="Sowinska"/>
    <n v="26"/>
    <x v="374"/>
  </r>
  <r>
    <d v="2017-07-27T00:00:00"/>
    <s v="Monika"/>
    <s v="Srubka"/>
    <n v="13"/>
    <x v="453"/>
  </r>
  <r>
    <d v="2017-07-27T00:00:00"/>
    <s v="Ewa"/>
    <s v="Milion"/>
    <n v="28"/>
    <x v="281"/>
  </r>
  <r>
    <d v="2017-07-27T00:00:00"/>
    <s v="Kazimierz"/>
    <s v="Biedka"/>
    <n v="3"/>
    <x v="452"/>
  </r>
  <r>
    <d v="2017-07-27T00:00:00"/>
    <s v="Nikodem"/>
    <s v="Jama"/>
    <n v="42"/>
    <x v="322"/>
  </r>
  <r>
    <d v="2017-07-27T00:00:00"/>
    <s v="Justyna"/>
    <s v="Pozarzycka"/>
    <n v="15"/>
    <x v="68"/>
  </r>
  <r>
    <d v="2017-07-27T00:00:00"/>
    <s v="Magdalena"/>
    <s v="Nowak"/>
    <n v="3"/>
    <x v="518"/>
  </r>
  <r>
    <d v="2017-07-28T00:00:00"/>
    <s v="Katarzyna"/>
    <s v="Zmokly"/>
    <n v="17"/>
    <x v="3"/>
  </r>
  <r>
    <d v="2017-07-28T00:00:00"/>
    <s v="Borys"/>
    <s v="Winiarski"/>
    <n v="18"/>
    <x v="263"/>
  </r>
  <r>
    <d v="2017-07-28T00:00:00"/>
    <s v="Daria"/>
    <s v="Zagrobna"/>
    <n v="23"/>
    <x v="15"/>
  </r>
  <r>
    <d v="2017-07-28T00:00:00"/>
    <s v="Bruno"/>
    <s v="Tomczyk"/>
    <n v="34"/>
    <x v="465"/>
  </r>
  <r>
    <d v="2017-07-28T00:00:00"/>
    <s v="Dominika"/>
    <s v="Madejska"/>
    <n v="16"/>
    <x v="505"/>
  </r>
  <r>
    <d v="2017-07-28T00:00:00"/>
    <s v="Michalina"/>
    <s v="Klebba"/>
    <n v="29"/>
    <x v="191"/>
  </r>
  <r>
    <d v="2017-07-28T00:00:00"/>
    <s v="Bartosz"/>
    <s v="Tusinski"/>
    <n v="14"/>
    <x v="200"/>
  </r>
  <r>
    <d v="2017-07-31T00:00:00"/>
    <s v="Malgorzata"/>
    <s v="Karlowski"/>
    <n v="2"/>
    <x v="155"/>
  </r>
  <r>
    <d v="2017-07-31T00:00:00"/>
    <s v="Julia"/>
    <s v="Zaremba"/>
    <n v="55"/>
    <x v="445"/>
  </r>
  <r>
    <d v="2017-07-31T00:00:00"/>
    <s v="Marcin"/>
    <s v="Tabaka"/>
    <n v="20"/>
    <x v="245"/>
  </r>
  <r>
    <d v="2017-07-31T00:00:00"/>
    <s v="Katarzyna"/>
    <s v="Dzielna"/>
    <n v="40"/>
    <x v="302"/>
  </r>
  <r>
    <d v="2017-07-31T00:00:00"/>
    <s v="Piotr"/>
    <s v="Kaleta"/>
    <n v="13"/>
    <x v="204"/>
  </r>
  <r>
    <d v="2017-07-31T00:00:00"/>
    <s v="Jan"/>
    <s v="Gumowski"/>
    <n v="53"/>
    <x v="393"/>
  </r>
  <r>
    <d v="2017-07-31T00:00:00"/>
    <s v="Michal"/>
    <s v="Polaczek"/>
    <n v="51"/>
    <x v="519"/>
  </r>
  <r>
    <d v="2017-08-01T00:00:00"/>
    <s v="Marek"/>
    <s v="Janowski"/>
    <n v="17"/>
    <x v="227"/>
  </r>
  <r>
    <d v="2017-08-01T00:00:00"/>
    <s v="Jakub"/>
    <s v="Holmes"/>
    <n v="10"/>
    <x v="315"/>
  </r>
  <r>
    <d v="2017-08-01T00:00:00"/>
    <s v="Emilia"/>
    <s v="Szczepanska"/>
    <n v="24"/>
    <x v="285"/>
  </r>
  <r>
    <d v="2017-08-01T00:00:00"/>
    <s v="Jacek"/>
    <s v="Ciosinski"/>
    <n v="11"/>
    <x v="90"/>
  </r>
  <r>
    <d v="2017-08-01T00:00:00"/>
    <s v="Piotr"/>
    <s v="Mozart"/>
    <n v="18"/>
    <x v="370"/>
  </r>
  <r>
    <d v="2017-08-01T00:00:00"/>
    <s v="Henryk"/>
    <s v="Siminski"/>
    <n v="12"/>
    <x v="187"/>
  </r>
  <r>
    <d v="2017-08-01T00:00:00"/>
    <s v="Tomasz"/>
    <s v="Tutaj"/>
    <n v="8"/>
    <x v="486"/>
  </r>
  <r>
    <d v="2017-08-02T00:00:00"/>
    <s v="Jacek"/>
    <s v="Pieczatowski"/>
    <n v="36"/>
    <x v="520"/>
  </r>
  <r>
    <d v="2017-08-02T00:00:00"/>
    <s v="Patrycja"/>
    <s v="Augustowska"/>
    <n v="24"/>
    <x v="77"/>
  </r>
  <r>
    <d v="2017-08-02T00:00:00"/>
    <s v="Michalina"/>
    <s v="Klebba"/>
    <n v="13"/>
    <x v="191"/>
  </r>
  <r>
    <d v="2017-08-02T00:00:00"/>
    <s v="Wojciech"/>
    <s v="Goc"/>
    <n v="51"/>
    <x v="440"/>
  </r>
  <r>
    <d v="2017-08-02T00:00:00"/>
    <s v="Aleks"/>
    <s v="Wojcik"/>
    <n v="31"/>
    <x v="101"/>
  </r>
  <r>
    <d v="2017-08-02T00:00:00"/>
    <s v="Adam"/>
    <s v="Susel"/>
    <n v="17"/>
    <x v="59"/>
  </r>
  <r>
    <d v="2017-08-02T00:00:00"/>
    <s v="Tomasz"/>
    <s v="Zbik"/>
    <n v="6"/>
    <x v="474"/>
  </r>
  <r>
    <d v="2017-08-03T00:00:00"/>
    <s v="Zenon"/>
    <s v="Bartek"/>
    <n v="47"/>
    <x v="159"/>
  </r>
  <r>
    <d v="2017-08-03T00:00:00"/>
    <s v="Gabriela"/>
    <s v="Malinowska"/>
    <n v="52"/>
    <x v="521"/>
  </r>
  <r>
    <d v="2017-08-03T00:00:00"/>
    <s v="Tomasz"/>
    <s v="Hajdi"/>
    <n v="10"/>
    <x v="347"/>
  </r>
  <r>
    <d v="2017-08-03T00:00:00"/>
    <s v="Agnieszka"/>
    <s v="Bujak"/>
    <n v="3"/>
    <x v="369"/>
  </r>
  <r>
    <d v="2017-08-03T00:00:00"/>
    <s v="Renata"/>
    <s v="Kepa"/>
    <n v="10"/>
    <x v="522"/>
  </r>
  <r>
    <d v="2017-08-03T00:00:00"/>
    <s v="Lucja"/>
    <s v="Zych"/>
    <n v="15"/>
    <x v="523"/>
  </r>
  <r>
    <d v="2017-08-03T00:00:00"/>
    <s v="Malgorzata"/>
    <s v="Winiarska"/>
    <n v="26"/>
    <x v="226"/>
  </r>
  <r>
    <d v="2017-08-04T00:00:00"/>
    <s v="Jan"/>
    <s v="Zajac"/>
    <n v="41"/>
    <x v="524"/>
  </r>
  <r>
    <d v="2017-08-04T00:00:00"/>
    <s v="Zuzanna"/>
    <s v="Kalisz"/>
    <n v="20"/>
    <x v="274"/>
  </r>
  <r>
    <d v="2017-08-04T00:00:00"/>
    <s v="Maria"/>
    <s v="Kowalczyk"/>
    <n v="9"/>
    <x v="320"/>
  </r>
  <r>
    <d v="2017-08-04T00:00:00"/>
    <s v="Paulina"/>
    <s v="Baranowska"/>
    <n v="14"/>
    <x v="525"/>
  </r>
  <r>
    <d v="2017-08-04T00:00:00"/>
    <s v="Mariusz"/>
    <s v="Mrowiec"/>
    <n v="14"/>
    <x v="461"/>
  </r>
  <r>
    <d v="2017-08-04T00:00:00"/>
    <s v="Michal"/>
    <s v="Jan"/>
    <n v="16"/>
    <x v="482"/>
  </r>
  <r>
    <d v="2017-08-04T00:00:00"/>
    <s v="Szymon"/>
    <s v="Polak"/>
    <n v="54"/>
    <x v="265"/>
  </r>
  <r>
    <d v="2017-08-07T00:00:00"/>
    <s v="Alicja"/>
    <s v="Walentowicz"/>
    <n v="11"/>
    <x v="479"/>
  </r>
  <r>
    <d v="2017-08-07T00:00:00"/>
    <s v="Nadia"/>
    <s v="Jędrzejczak"/>
    <n v="6"/>
    <x v="230"/>
  </r>
  <r>
    <d v="2017-08-07T00:00:00"/>
    <s v="Jan"/>
    <s v="Pieterson"/>
    <n v="19"/>
    <x v="483"/>
  </r>
  <r>
    <d v="2017-08-07T00:00:00"/>
    <s v="Lukasz"/>
    <s v="Kot"/>
    <n v="13"/>
    <x v="346"/>
  </r>
  <r>
    <d v="2017-08-07T00:00:00"/>
    <s v="Andrzej"/>
    <s v="Nawwrot"/>
    <n v="35"/>
    <x v="386"/>
  </r>
  <r>
    <d v="2017-08-07T00:00:00"/>
    <s v="Jan"/>
    <s v="Gumowski"/>
    <n v="14"/>
    <x v="393"/>
  </r>
  <r>
    <d v="2017-08-07T00:00:00"/>
    <s v="Lena"/>
    <s v="Marzec"/>
    <n v="7"/>
    <x v="181"/>
  </r>
  <r>
    <d v="2017-08-08T00:00:00"/>
    <s v="Joanna"/>
    <s v="Janas"/>
    <n v="54"/>
    <x v="326"/>
  </r>
  <r>
    <d v="2017-08-08T00:00:00"/>
    <s v="Agnieszka"/>
    <s v="Polak"/>
    <n v="11"/>
    <x v="0"/>
  </r>
  <r>
    <d v="2017-08-08T00:00:00"/>
    <s v="Jan"/>
    <s v="Kildanowski"/>
    <n v="8"/>
    <x v="477"/>
  </r>
  <r>
    <d v="2017-08-08T00:00:00"/>
    <s v="Matylda"/>
    <s v="Kluziak"/>
    <n v="3"/>
    <x v="293"/>
  </r>
  <r>
    <d v="2017-08-08T00:00:00"/>
    <s v="Lukasz"/>
    <s v="Czarnecki"/>
    <n v="2"/>
    <x v="417"/>
  </r>
  <r>
    <d v="2017-08-08T00:00:00"/>
    <s v="Karol"/>
    <s v="Milek"/>
    <n v="25"/>
    <x v="98"/>
  </r>
  <r>
    <d v="2017-08-08T00:00:00"/>
    <s v="Matylda"/>
    <s v="Kluziak"/>
    <n v="44"/>
    <x v="293"/>
  </r>
  <r>
    <d v="2017-08-09T00:00:00"/>
    <s v="Marian"/>
    <s v="Bukalski"/>
    <n v="13"/>
    <x v="434"/>
  </r>
  <r>
    <d v="2017-08-09T00:00:00"/>
    <s v="Karol"/>
    <s v="Wichrowski"/>
    <n v="44"/>
    <x v="468"/>
  </r>
  <r>
    <d v="2017-08-09T00:00:00"/>
    <s v="Monika"/>
    <s v="Bialkowska"/>
    <n v="21"/>
    <x v="478"/>
  </r>
  <r>
    <d v="2017-08-09T00:00:00"/>
    <s v="Ewa"/>
    <s v="Czerwinska"/>
    <n v="4"/>
    <x v="164"/>
  </r>
  <r>
    <d v="2017-08-09T00:00:00"/>
    <s v="Wojciech"/>
    <s v="Czyzewski"/>
    <n v="6"/>
    <x v="526"/>
  </r>
  <r>
    <d v="2017-08-09T00:00:00"/>
    <s v="Karol"/>
    <s v="Felisiak"/>
    <n v="17"/>
    <x v="41"/>
  </r>
  <r>
    <d v="2017-08-09T00:00:00"/>
    <s v="Patryk"/>
    <s v="Geszczynski"/>
    <n v="12"/>
    <x v="308"/>
  </r>
  <r>
    <d v="2017-08-10T00:00:00"/>
    <s v="Joanna"/>
    <s v="Kopacki"/>
    <n v="21"/>
    <x v="314"/>
  </r>
  <r>
    <d v="2017-08-10T00:00:00"/>
    <s v="Amelia"/>
    <s v="Wilk"/>
    <n v="12"/>
    <x v="527"/>
  </r>
  <r>
    <d v="2017-08-10T00:00:00"/>
    <s v="Adrian"/>
    <s v="Yuksek"/>
    <n v="54"/>
    <x v="147"/>
  </r>
  <r>
    <d v="2017-08-10T00:00:00"/>
    <s v="Krzysztof"/>
    <s v="Sobieski"/>
    <n v="11"/>
    <x v="528"/>
  </r>
  <r>
    <d v="2017-08-10T00:00:00"/>
    <s v="Jakub"/>
    <s v="Radomski"/>
    <n v="47"/>
    <x v="498"/>
  </r>
  <r>
    <d v="2017-08-10T00:00:00"/>
    <s v="Hubert"/>
    <s v="Pieczatowski"/>
    <n v="55"/>
    <x v="268"/>
  </r>
  <r>
    <d v="2017-08-10T00:00:00"/>
    <s v="Patryk"/>
    <s v="Glac"/>
    <n v="24"/>
    <x v="301"/>
  </r>
  <r>
    <d v="2017-08-11T00:00:00"/>
    <s v="Balbina"/>
    <s v="Majewska"/>
    <n v="3"/>
    <x v="529"/>
  </r>
  <r>
    <d v="2017-08-11T00:00:00"/>
    <s v="Jakub"/>
    <s v="Bracik"/>
    <n v="15"/>
    <x v="189"/>
  </r>
  <r>
    <d v="2017-08-11T00:00:00"/>
    <s v="Marcin"/>
    <s v="Markowski"/>
    <n v="15"/>
    <x v="530"/>
  </r>
  <r>
    <d v="2017-08-11T00:00:00"/>
    <s v="Julia"/>
    <s v="Rutkiewicz"/>
    <n v="27"/>
    <x v="16"/>
  </r>
  <r>
    <d v="2017-08-11T00:00:00"/>
    <s v="Anna"/>
    <s v="Wnuk"/>
    <n v="31"/>
    <x v="373"/>
  </r>
  <r>
    <d v="2017-08-11T00:00:00"/>
    <s v="Krzysztof"/>
    <s v="Las"/>
    <n v="7"/>
    <x v="272"/>
  </r>
  <r>
    <d v="2017-08-11T00:00:00"/>
    <s v="Julian"/>
    <s v="Snopek"/>
    <n v="20"/>
    <x v="531"/>
  </r>
  <r>
    <d v="2017-08-11T00:00:00"/>
    <s v="Piotr"/>
    <s v="Walec"/>
    <n v="30"/>
    <x v="414"/>
  </r>
  <r>
    <d v="2017-08-14T00:00:00"/>
    <s v="Leon"/>
    <s v="Price"/>
    <n v="22"/>
    <x v="84"/>
  </r>
  <r>
    <d v="2017-08-14T00:00:00"/>
    <s v="Daria"/>
    <s v="Witkowska"/>
    <n v="44"/>
    <x v="532"/>
  </r>
  <r>
    <d v="2017-08-14T00:00:00"/>
    <s v="Barbara"/>
    <s v="Bury"/>
    <n v="5"/>
    <x v="246"/>
  </r>
  <r>
    <d v="2017-08-14T00:00:00"/>
    <s v="Zuzanna"/>
    <s v="Kalisz"/>
    <n v="3"/>
    <x v="274"/>
  </r>
  <r>
    <d v="2017-08-14T00:00:00"/>
    <s v="Wojciech"/>
    <s v="Maja"/>
    <n v="6"/>
    <x v="266"/>
  </r>
  <r>
    <d v="2017-08-14T00:00:00"/>
    <s v="Maciej"/>
    <s v="Laskowski"/>
    <n v="12"/>
    <x v="112"/>
  </r>
  <r>
    <d v="2017-08-14T00:00:00"/>
    <s v="Jacek"/>
    <s v="Ciosinski"/>
    <n v="5"/>
    <x v="90"/>
  </r>
  <r>
    <d v="2017-08-14T00:00:00"/>
    <s v="Mariusz"/>
    <s v="Kornik"/>
    <n v="6"/>
    <x v="533"/>
  </r>
  <r>
    <d v="2017-08-15T00:00:00"/>
    <s v="Maciej"/>
    <s v="Machalski"/>
    <n v="29"/>
    <x v="46"/>
  </r>
  <r>
    <d v="2017-08-15T00:00:00"/>
    <s v="Anna"/>
    <s v="Tomaszewska"/>
    <n v="46"/>
    <x v="218"/>
  </r>
  <r>
    <d v="2017-08-15T00:00:00"/>
    <s v="Zofia"/>
    <s v="Barak"/>
    <n v="20"/>
    <x v="534"/>
  </r>
  <r>
    <d v="2017-08-15T00:00:00"/>
    <s v="Marek"/>
    <s v="Chorzowski"/>
    <n v="28"/>
    <x v="352"/>
  </r>
  <r>
    <d v="2017-08-15T00:00:00"/>
    <s v="Urszula"/>
    <s v="Pawlak"/>
    <n v="5"/>
    <x v="455"/>
  </r>
  <r>
    <d v="2017-08-15T00:00:00"/>
    <s v="Ewa"/>
    <s v="Zak"/>
    <n v="12"/>
    <x v="267"/>
  </r>
  <r>
    <d v="2017-08-15T00:00:00"/>
    <s v="Patrycja"/>
    <s v="Dzban"/>
    <n v="29"/>
    <x v="283"/>
  </r>
  <r>
    <d v="2017-08-15T00:00:00"/>
    <s v="Marta"/>
    <s v="Wloczkow"/>
    <n v="14"/>
    <x v="201"/>
  </r>
  <r>
    <d v="2017-08-16T00:00:00"/>
    <s v="Iwona"/>
    <s v="Anczyk"/>
    <n v="29"/>
    <x v="510"/>
  </r>
  <r>
    <d v="2017-08-16T00:00:00"/>
    <s v="Grzegorz"/>
    <s v="Domek"/>
    <n v="15"/>
    <x v="129"/>
  </r>
  <r>
    <d v="2017-08-16T00:00:00"/>
    <s v="Piotr"/>
    <s v="Adamski"/>
    <n v="35"/>
    <x v="441"/>
  </r>
  <r>
    <d v="2017-08-16T00:00:00"/>
    <s v="Aleks"/>
    <s v="Wojcik"/>
    <n v="28"/>
    <x v="101"/>
  </r>
  <r>
    <d v="2017-08-16T00:00:00"/>
    <s v="Zenon"/>
    <s v="Bartek"/>
    <n v="3"/>
    <x v="159"/>
  </r>
  <r>
    <d v="2017-08-16T00:00:00"/>
    <s v="Lena"/>
    <s v="Miszkin"/>
    <n v="49"/>
    <x v="153"/>
  </r>
  <r>
    <d v="2017-08-16T00:00:00"/>
    <s v="Diana"/>
    <s v="Michalska"/>
    <n v="21"/>
    <x v="290"/>
  </r>
  <r>
    <d v="2017-08-16T00:00:00"/>
    <s v="Jan"/>
    <s v="Adamowicz"/>
    <n v="43"/>
    <x v="535"/>
  </r>
  <r>
    <d v="2017-08-17T00:00:00"/>
    <s v="Wojciech"/>
    <s v="Maja"/>
    <n v="6"/>
    <x v="266"/>
  </r>
  <r>
    <d v="2017-08-17T00:00:00"/>
    <s v="Piotr"/>
    <s v="Felus"/>
    <n v="10"/>
    <x v="107"/>
  </r>
  <r>
    <d v="2017-08-17T00:00:00"/>
    <s v="Mateusz"/>
    <s v="Kowalczyk"/>
    <n v="7"/>
    <x v="115"/>
  </r>
  <r>
    <d v="2017-08-17T00:00:00"/>
    <s v="Alicja"/>
    <s v="Chmiel"/>
    <n v="7"/>
    <x v="96"/>
  </r>
  <r>
    <d v="2017-08-17T00:00:00"/>
    <s v="Natalia"/>
    <s v="Wolny"/>
    <n v="22"/>
    <x v="213"/>
  </r>
  <r>
    <d v="2017-08-17T00:00:00"/>
    <s v="Zofia"/>
    <s v="Broszkow"/>
    <n v="36"/>
    <x v="443"/>
  </r>
  <r>
    <d v="2017-08-17T00:00:00"/>
    <s v="Pawel"/>
    <s v="Nowakowski"/>
    <n v="13"/>
    <x v="127"/>
  </r>
  <r>
    <d v="2017-08-17T00:00:00"/>
    <s v="Jacek"/>
    <s v="Ciosinski"/>
    <n v="14"/>
    <x v="90"/>
  </r>
  <r>
    <d v="2017-08-18T00:00:00"/>
    <s v="Krzysztof"/>
    <s v="Wloch"/>
    <n v="6"/>
    <x v="342"/>
  </r>
  <r>
    <d v="2017-08-18T00:00:00"/>
    <s v="Karolina"/>
    <s v="Karpacka"/>
    <n v="11"/>
    <x v="144"/>
  </r>
  <r>
    <d v="2017-08-18T00:00:00"/>
    <s v="Mariusz"/>
    <s v="Kornik"/>
    <n v="22"/>
    <x v="533"/>
  </r>
  <r>
    <d v="2017-08-18T00:00:00"/>
    <s v="Marek"/>
    <s v="Bednarski"/>
    <n v="56"/>
    <x v="23"/>
  </r>
  <r>
    <d v="2017-08-18T00:00:00"/>
    <s v="Anna"/>
    <s v="Zaczyk"/>
    <n v="55"/>
    <x v="339"/>
  </r>
  <r>
    <d v="2017-08-18T00:00:00"/>
    <s v="Kinga"/>
    <s v="Kleszcz"/>
    <n v="45"/>
    <x v="105"/>
  </r>
  <r>
    <d v="2017-08-18T00:00:00"/>
    <s v="Adrian"/>
    <s v="Yuksek"/>
    <n v="12"/>
    <x v="147"/>
  </r>
  <r>
    <d v="2017-08-18T00:00:00"/>
    <s v="Karol"/>
    <s v="Felisiak"/>
    <n v="20"/>
    <x v="41"/>
  </r>
  <r>
    <d v="2017-08-21T00:00:00"/>
    <s v="Ignacy"/>
    <s v="Sarnowski"/>
    <n v="8"/>
    <x v="394"/>
  </r>
  <r>
    <d v="2017-08-21T00:00:00"/>
    <s v="Piotr"/>
    <s v="Dzierzak"/>
    <n v="33"/>
    <x v="145"/>
  </r>
  <r>
    <d v="2017-08-21T00:00:00"/>
    <s v="Marta"/>
    <s v="Wloczkow"/>
    <n v="9"/>
    <x v="201"/>
  </r>
  <r>
    <d v="2017-08-21T00:00:00"/>
    <s v="Protazy"/>
    <s v="Warszawski"/>
    <n v="52"/>
    <x v="403"/>
  </r>
  <r>
    <d v="2017-08-21T00:00:00"/>
    <s v="Monika"/>
    <s v="Kos"/>
    <n v="48"/>
    <x v="514"/>
  </r>
  <r>
    <d v="2017-08-21T00:00:00"/>
    <s v="Gabriela"/>
    <s v="Oleszkiewicz"/>
    <n v="40"/>
    <x v="536"/>
  </r>
  <r>
    <d v="2017-08-21T00:00:00"/>
    <s v="Karol"/>
    <s v="Hubicki"/>
    <n v="52"/>
    <x v="537"/>
  </r>
  <r>
    <d v="2017-08-21T00:00:00"/>
    <s v="Paulina"/>
    <s v="Baranowska"/>
    <n v="34"/>
    <x v="525"/>
  </r>
  <r>
    <d v="2017-08-22T00:00:00"/>
    <s v="Kazimierz"/>
    <s v="Biedka"/>
    <n v="2"/>
    <x v="452"/>
  </r>
  <r>
    <d v="2017-08-22T00:00:00"/>
    <s v="Julia"/>
    <s v="Rutkiewicz"/>
    <n v="9"/>
    <x v="16"/>
  </r>
  <r>
    <d v="2017-08-22T00:00:00"/>
    <s v="Mateusz"/>
    <s v="Krawczyk"/>
    <n v="24"/>
    <x v="262"/>
  </r>
  <r>
    <d v="2017-08-22T00:00:00"/>
    <s v="Anastazja"/>
    <s v="Borowska"/>
    <n v="28"/>
    <x v="219"/>
  </r>
  <r>
    <d v="2017-08-22T00:00:00"/>
    <s v="Sofia"/>
    <s v="Felisiak"/>
    <n v="16"/>
    <x v="156"/>
  </r>
  <r>
    <d v="2017-08-22T00:00:00"/>
    <s v="Emilia"/>
    <s v="Szczepanska"/>
    <n v="19"/>
    <x v="285"/>
  </r>
  <r>
    <d v="2017-08-22T00:00:00"/>
    <s v="Maciej"/>
    <s v="Laskowski"/>
    <n v="26"/>
    <x v="112"/>
  </r>
  <r>
    <d v="2017-08-22T00:00:00"/>
    <s v="Maciej"/>
    <s v="Machol"/>
    <n v="29"/>
    <x v="271"/>
  </r>
  <r>
    <d v="2017-08-23T00:00:00"/>
    <s v="Joanna"/>
    <s v="Traugut"/>
    <n v="51"/>
    <x v="538"/>
  </r>
  <r>
    <d v="2017-08-23T00:00:00"/>
    <s v="Wieslawa"/>
    <s v="Koniec"/>
    <n v="25"/>
    <x v="26"/>
  </r>
  <r>
    <d v="2017-08-23T00:00:00"/>
    <s v="Alicja"/>
    <s v="Wymyslowska"/>
    <n v="33"/>
    <x v="492"/>
  </r>
  <r>
    <d v="2017-08-23T00:00:00"/>
    <s v="Henryk"/>
    <s v="Polarek"/>
    <n v="18"/>
    <x v="176"/>
  </r>
  <r>
    <d v="2017-08-23T00:00:00"/>
    <s v="Paulina"/>
    <s v="Baranowska"/>
    <n v="19"/>
    <x v="525"/>
  </r>
  <r>
    <d v="2017-08-23T00:00:00"/>
    <s v="Maciej"/>
    <s v="Machalski"/>
    <n v="42"/>
    <x v="46"/>
  </r>
  <r>
    <d v="2017-08-23T00:00:00"/>
    <s v="Maciej"/>
    <s v="Machol"/>
    <n v="15"/>
    <x v="271"/>
  </r>
  <r>
    <d v="2017-08-23T00:00:00"/>
    <s v="Lidia"/>
    <s v="Tarnowska"/>
    <n v="15"/>
    <x v="454"/>
  </r>
  <r>
    <d v="2017-08-24T00:00:00"/>
    <s v="Dorota"/>
    <s v="Adamus"/>
    <n v="3"/>
    <x v="104"/>
  </r>
  <r>
    <d v="2017-08-24T00:00:00"/>
    <s v="Alina"/>
    <s v="Warta"/>
    <n v="13"/>
    <x v="185"/>
  </r>
  <r>
    <d v="2017-08-24T00:00:00"/>
    <s v="Kacper"/>
    <s v="Nikolajew"/>
    <n v="27"/>
    <x v="282"/>
  </r>
  <r>
    <d v="2017-08-24T00:00:00"/>
    <s v="Jacek"/>
    <s v="Bigaj"/>
    <n v="18"/>
    <x v="539"/>
  </r>
  <r>
    <d v="2017-08-24T00:00:00"/>
    <s v="Zofia"/>
    <s v="Adamiak"/>
    <n v="42"/>
    <x v="540"/>
  </r>
  <r>
    <d v="2017-08-24T00:00:00"/>
    <s v="Kamila"/>
    <s v="Wolan"/>
    <n v="9"/>
    <x v="183"/>
  </r>
  <r>
    <d v="2017-08-24T00:00:00"/>
    <s v="Jan"/>
    <s v="Gumowski"/>
    <n v="22"/>
    <x v="393"/>
  </r>
  <r>
    <d v="2017-08-24T00:00:00"/>
    <s v="Julia"/>
    <s v="Saska"/>
    <n v="47"/>
    <x v="362"/>
  </r>
  <r>
    <d v="2017-08-25T00:00:00"/>
    <s v="Gabriela"/>
    <s v="Oleszkiewicz"/>
    <n v="55"/>
    <x v="536"/>
  </r>
  <r>
    <d v="2017-08-25T00:00:00"/>
    <s v="Marta"/>
    <s v="Robak"/>
    <n v="9"/>
    <x v="151"/>
  </r>
  <r>
    <d v="2017-08-25T00:00:00"/>
    <s v="Maja"/>
    <s v="Kulkowska"/>
    <n v="27"/>
    <x v="4"/>
  </r>
  <r>
    <d v="2017-08-25T00:00:00"/>
    <s v="Ewelina"/>
    <s v="Bialkowska"/>
    <n v="11"/>
    <x v="436"/>
  </r>
  <r>
    <d v="2017-08-25T00:00:00"/>
    <s v="Jakub"/>
    <s v="Bracik"/>
    <n v="42"/>
    <x v="189"/>
  </r>
  <r>
    <d v="2017-08-25T00:00:00"/>
    <s v="Dominika"/>
    <s v="Duszynska"/>
    <n v="8"/>
    <x v="541"/>
  </r>
  <r>
    <d v="2017-08-25T00:00:00"/>
    <s v="Adela"/>
    <s v="Waruszewska"/>
    <n v="39"/>
    <x v="157"/>
  </r>
  <r>
    <d v="2017-08-25T00:00:00"/>
    <s v="Karolina"/>
    <s v="Mikos"/>
    <n v="26"/>
    <x v="351"/>
  </r>
  <r>
    <d v="2017-08-28T00:00:00"/>
    <s v="Daria"/>
    <s v="Zagrobna"/>
    <n v="28"/>
    <x v="15"/>
  </r>
  <r>
    <d v="2017-08-28T00:00:00"/>
    <s v="Jaroslaw"/>
    <s v="Kopytko"/>
    <n v="40"/>
    <x v="542"/>
  </r>
  <r>
    <d v="2017-08-28T00:00:00"/>
    <s v="Igor"/>
    <s v="Rybinski"/>
    <n v="17"/>
    <x v="254"/>
  </r>
  <r>
    <d v="2017-08-28T00:00:00"/>
    <s v="Zbigniew"/>
    <s v="Maciag"/>
    <n v="2"/>
    <x v="363"/>
  </r>
  <r>
    <d v="2017-08-28T00:00:00"/>
    <s v="Lena"/>
    <s v="Marzec"/>
    <n v="22"/>
    <x v="181"/>
  </r>
  <r>
    <d v="2017-08-28T00:00:00"/>
    <s v="Jakub"/>
    <s v="Bracik"/>
    <n v="18"/>
    <x v="189"/>
  </r>
  <r>
    <d v="2017-08-28T00:00:00"/>
    <s v="Jan"/>
    <s v="Jarek"/>
    <n v="35"/>
    <x v="442"/>
  </r>
  <r>
    <d v="2017-08-28T00:00:00"/>
    <s v="Malgorzata"/>
    <s v="Winiarska"/>
    <n v="7"/>
    <x v="226"/>
  </r>
  <r>
    <d v="2017-08-28T00:00:00"/>
    <s v="Kamila"/>
    <s v="Janas"/>
    <n v="12"/>
    <x v="543"/>
  </r>
  <r>
    <d v="2017-08-28T00:00:00"/>
    <s v="Mariola"/>
    <s v="Mleczko"/>
    <n v="32"/>
    <x v="544"/>
  </r>
  <r>
    <d v="2017-08-29T00:00:00"/>
    <s v="Zuzanna"/>
    <s v="Kalisz"/>
    <n v="22"/>
    <x v="274"/>
  </r>
  <r>
    <d v="2017-08-29T00:00:00"/>
    <s v="Mateusz"/>
    <s v="Koszlaga"/>
    <n v="25"/>
    <x v="462"/>
  </r>
  <r>
    <d v="2017-08-29T00:00:00"/>
    <s v="Amelia"/>
    <s v="Wicher"/>
    <n v="25"/>
    <x v="545"/>
  </r>
  <r>
    <d v="2017-08-29T00:00:00"/>
    <s v="Wiktor"/>
    <s v="Berezniewicz"/>
    <n v="6"/>
    <x v="546"/>
  </r>
  <r>
    <d v="2017-08-29T00:00:00"/>
    <s v="Antoni"/>
    <s v="Sobieski"/>
    <n v="50"/>
    <x v="547"/>
  </r>
  <r>
    <d v="2017-08-29T00:00:00"/>
    <s v="Hubert"/>
    <s v="Smyk"/>
    <n v="16"/>
    <x v="39"/>
  </r>
  <r>
    <d v="2017-08-29T00:00:00"/>
    <s v="Marcin"/>
    <s v="Tabaka"/>
    <n v="23"/>
    <x v="245"/>
  </r>
  <r>
    <d v="2017-08-29T00:00:00"/>
    <s v="Jan"/>
    <s v="Madawik"/>
    <n v="7"/>
    <x v="504"/>
  </r>
  <r>
    <d v="2017-08-29T00:00:00"/>
    <s v="Kazimierz"/>
    <s v="Bartosik"/>
    <n v="6"/>
    <x v="296"/>
  </r>
  <r>
    <d v="2017-08-29T00:00:00"/>
    <s v="Pawel"/>
    <s v="Nowakowski"/>
    <n v="44"/>
    <x v="127"/>
  </r>
  <r>
    <d v="2017-08-30T00:00:00"/>
    <s v="Barbara"/>
    <s v="Kiel"/>
    <n v="33"/>
    <x v="509"/>
  </r>
  <r>
    <d v="2017-08-30T00:00:00"/>
    <s v="Andrzej"/>
    <s v="Nawwrot"/>
    <n v="26"/>
    <x v="386"/>
  </r>
  <r>
    <d v="2017-08-30T00:00:00"/>
    <s v="Jakub"/>
    <s v="Radomski"/>
    <n v="18"/>
    <x v="498"/>
  </r>
  <r>
    <d v="2017-08-30T00:00:00"/>
    <s v="Balbina"/>
    <s v="Madej"/>
    <n v="5"/>
    <x v="319"/>
  </r>
  <r>
    <d v="2017-08-30T00:00:00"/>
    <s v="Krzysztof"/>
    <s v="Plecien"/>
    <n v="4"/>
    <x v="437"/>
  </r>
  <r>
    <d v="2017-08-30T00:00:00"/>
    <s v="Julia"/>
    <s v="Kielecka"/>
    <n v="4"/>
    <x v="109"/>
  </r>
  <r>
    <d v="2017-08-30T00:00:00"/>
    <s v="Jakub"/>
    <s v="Holmes"/>
    <n v="43"/>
    <x v="315"/>
  </r>
  <r>
    <d v="2017-08-30T00:00:00"/>
    <s v="Hanna"/>
    <s v="Stankiewicz"/>
    <n v="48"/>
    <x v="379"/>
  </r>
  <r>
    <d v="2017-08-30T00:00:00"/>
    <s v="Luiza"/>
    <s v="Makowska"/>
    <n v="12"/>
    <x v="179"/>
  </r>
  <r>
    <d v="2017-08-30T00:00:00"/>
    <s v="Ewaryst"/>
    <s v="Zdunek"/>
    <n v="21"/>
    <x v="382"/>
  </r>
  <r>
    <d v="2017-08-31T00:00:00"/>
    <s v="Jakub"/>
    <s v="Przytula"/>
    <n v="21"/>
    <x v="548"/>
  </r>
  <r>
    <d v="2017-08-31T00:00:00"/>
    <s v="Piotr"/>
    <s v="Kaleta"/>
    <n v="2"/>
    <x v="204"/>
  </r>
  <r>
    <d v="2017-08-31T00:00:00"/>
    <s v="Jan"/>
    <s v="Pietraszczyk"/>
    <n v="14"/>
    <x v="549"/>
  </r>
  <r>
    <d v="2017-08-31T00:00:00"/>
    <s v="Bartosz"/>
    <s v="Tusinski"/>
    <n v="26"/>
    <x v="200"/>
  </r>
  <r>
    <d v="2017-08-31T00:00:00"/>
    <s v="Mateusz"/>
    <s v="Filipowicz"/>
    <n v="44"/>
    <x v="333"/>
  </r>
  <r>
    <d v="2017-08-31T00:00:00"/>
    <s v="Dominika"/>
    <s v="Szwec"/>
    <n v="31"/>
    <x v="378"/>
  </r>
  <r>
    <d v="2017-08-31T00:00:00"/>
    <s v="Adrian"/>
    <s v="Yuksek"/>
    <n v="29"/>
    <x v="147"/>
  </r>
  <r>
    <d v="2017-08-31T00:00:00"/>
    <s v="Jakub"/>
    <s v="Holmes"/>
    <n v="13"/>
    <x v="315"/>
  </r>
  <r>
    <d v="2017-08-31T00:00:00"/>
    <s v="Olga"/>
    <s v="Kilecka"/>
    <n v="28"/>
    <x v="550"/>
  </r>
  <r>
    <d v="2017-08-31T00:00:00"/>
    <s v="Alicja"/>
    <s v="Chmiel"/>
    <n v="23"/>
    <x v="96"/>
  </r>
  <r>
    <d v="2017-09-01T00:00:00"/>
    <s v="Patrycja"/>
    <s v="Glowinska"/>
    <n v="5"/>
    <x v="28"/>
  </r>
  <r>
    <d v="2017-09-01T00:00:00"/>
    <s v="Patryk"/>
    <s v="Gibas"/>
    <n v="16"/>
    <x v="551"/>
  </r>
  <r>
    <d v="2017-09-01T00:00:00"/>
    <s v="Anastazja"/>
    <s v="Borowska"/>
    <n v="21"/>
    <x v="219"/>
  </r>
  <r>
    <d v="2017-09-01T00:00:00"/>
    <s v="Olga"/>
    <s v="Kilecka"/>
    <n v="46"/>
    <x v="550"/>
  </r>
  <r>
    <d v="2017-09-01T00:00:00"/>
    <s v="Mikolaj"/>
    <s v="Beniuszys"/>
    <n v="39"/>
    <x v="460"/>
  </r>
  <r>
    <d v="2017-09-01T00:00:00"/>
    <s v="Malgorzata"/>
    <s v="Malec"/>
    <n v="18"/>
    <x v="224"/>
  </r>
  <r>
    <d v="2017-09-01T00:00:00"/>
    <s v="Waldemar"/>
    <s v="Koronski"/>
    <n v="47"/>
    <x v="552"/>
  </r>
  <r>
    <d v="2017-09-01T00:00:00"/>
    <s v="Wojciech"/>
    <s v="Katowicki"/>
    <n v="23"/>
    <x v="73"/>
  </r>
  <r>
    <d v="2017-09-01T00:00:00"/>
    <s v="Patryk"/>
    <s v="Glac"/>
    <n v="27"/>
    <x v="301"/>
  </r>
  <r>
    <d v="2017-09-01T00:00:00"/>
    <s v="Borys"/>
    <s v="Biedal"/>
    <n v="25"/>
    <x v="69"/>
  </r>
  <r>
    <d v="2017-09-04T00:00:00"/>
    <s v="Marcel"/>
    <s v="Lademann"/>
    <n v="23"/>
    <x v="493"/>
  </r>
  <r>
    <d v="2017-09-04T00:00:00"/>
    <s v="Ignacy"/>
    <s v="Sarnowski"/>
    <n v="25"/>
    <x v="394"/>
  </r>
  <r>
    <d v="2017-09-04T00:00:00"/>
    <s v="Jakub"/>
    <s v="Przytula"/>
    <n v="16"/>
    <x v="548"/>
  </r>
  <r>
    <d v="2017-09-04T00:00:00"/>
    <s v="Adam"/>
    <s v="Borkowski"/>
    <n v="29"/>
    <x v="341"/>
  </r>
  <r>
    <d v="2017-09-04T00:00:00"/>
    <s v="Martyna"/>
    <s v="Marmelowska"/>
    <n v="23"/>
    <x v="221"/>
  </r>
  <r>
    <d v="2017-09-04T00:00:00"/>
    <s v="Marek"/>
    <s v="Bednarski"/>
    <n v="25"/>
    <x v="23"/>
  </r>
  <r>
    <d v="2017-09-04T00:00:00"/>
    <s v="Janusz"/>
    <s v="Wrobel"/>
    <n v="14"/>
    <x v="411"/>
  </r>
  <r>
    <d v="2017-09-04T00:00:00"/>
    <s v="Jaroslaw"/>
    <s v="Kopiec"/>
    <n v="20"/>
    <x v="103"/>
  </r>
  <r>
    <d v="2017-09-04T00:00:00"/>
    <s v="Izabela"/>
    <s v="Skrzydlak"/>
    <n v="12"/>
    <x v="232"/>
  </r>
  <r>
    <d v="2017-09-04T00:00:00"/>
    <s v="Mateusz"/>
    <s v="Hajdug"/>
    <n v="2"/>
    <x v="409"/>
  </r>
  <r>
    <d v="2017-09-05T00:00:00"/>
    <s v="Julia"/>
    <s v="Riegel"/>
    <n v="53"/>
    <x v="553"/>
  </r>
  <r>
    <d v="2017-09-05T00:00:00"/>
    <s v="Kamila"/>
    <s v="Kot"/>
    <n v="20"/>
    <x v="458"/>
  </r>
  <r>
    <d v="2017-09-05T00:00:00"/>
    <s v="Eugenia"/>
    <s v="Pieta"/>
    <n v="4"/>
    <x v="361"/>
  </r>
  <r>
    <d v="2017-09-05T00:00:00"/>
    <s v="Joanna"/>
    <s v="Zygmunt"/>
    <n v="5"/>
    <x v="192"/>
  </r>
  <r>
    <d v="2017-09-05T00:00:00"/>
    <s v="Julia"/>
    <s v="Kielecka"/>
    <n v="36"/>
    <x v="109"/>
  </r>
  <r>
    <d v="2017-09-05T00:00:00"/>
    <s v="Nikodem"/>
    <s v="Jakubowski"/>
    <n v="23"/>
    <x v="421"/>
  </r>
  <r>
    <d v="2017-09-05T00:00:00"/>
    <s v="Stanislaw"/>
    <s v="Derek"/>
    <n v="6"/>
    <x v="79"/>
  </r>
  <r>
    <d v="2017-09-05T00:00:00"/>
    <s v="Dominika"/>
    <s v="Duszynska"/>
    <n v="43"/>
    <x v="541"/>
  </r>
  <r>
    <d v="2017-09-05T00:00:00"/>
    <s v="Teodor"/>
    <s v="Olszewski"/>
    <n v="11"/>
    <x v="152"/>
  </r>
  <r>
    <d v="2017-09-05T00:00:00"/>
    <s v="Adrian"/>
    <s v="Zawisza"/>
    <n v="9"/>
    <x v="31"/>
  </r>
  <r>
    <d v="2017-09-06T00:00:00"/>
    <s v="Krzysztof"/>
    <s v="Konieckiewicz"/>
    <n v="15"/>
    <x v="87"/>
  </r>
  <r>
    <d v="2017-09-06T00:00:00"/>
    <s v="Irena"/>
    <s v="Banasiewicz"/>
    <n v="2"/>
    <x v="162"/>
  </r>
  <r>
    <d v="2017-09-06T00:00:00"/>
    <s v="Zofia"/>
    <s v="Broszkow"/>
    <n v="10"/>
    <x v="443"/>
  </r>
  <r>
    <d v="2017-09-06T00:00:00"/>
    <s v="Janina"/>
    <s v="Kaczynska"/>
    <n v="55"/>
    <x v="376"/>
  </r>
  <r>
    <d v="2017-09-06T00:00:00"/>
    <s v="Kornelia"/>
    <s v="Nowakowska"/>
    <n v="45"/>
    <x v="554"/>
  </r>
  <r>
    <d v="2017-09-06T00:00:00"/>
    <s v="Karolina"/>
    <s v="Nowak"/>
    <n v="5"/>
    <x v="143"/>
  </r>
  <r>
    <d v="2017-09-06T00:00:00"/>
    <s v="Joanna"/>
    <s v="Ottka"/>
    <n v="22"/>
    <x v="250"/>
  </r>
  <r>
    <d v="2017-09-06T00:00:00"/>
    <s v="Krzysztof"/>
    <s v="Madejski"/>
    <n v="20"/>
    <x v="123"/>
  </r>
  <r>
    <d v="2017-09-06T00:00:00"/>
    <s v="Roman"/>
    <s v="Grodecki"/>
    <n v="27"/>
    <x v="365"/>
  </r>
  <r>
    <d v="2017-09-06T00:00:00"/>
    <s v="Stanislaw"/>
    <s v="Derek"/>
    <n v="6"/>
    <x v="79"/>
  </r>
  <r>
    <d v="2017-09-07T00:00:00"/>
    <s v="Krzysztof"/>
    <s v="Madejski"/>
    <n v="29"/>
    <x v="123"/>
  </r>
  <r>
    <d v="2017-09-07T00:00:00"/>
    <s v="Mateusz"/>
    <s v="Kornatowski"/>
    <n v="15"/>
    <x v="332"/>
  </r>
  <r>
    <d v="2017-09-07T00:00:00"/>
    <s v="Szymon"/>
    <s v="Polak"/>
    <n v="5"/>
    <x v="265"/>
  </r>
  <r>
    <d v="2017-09-07T00:00:00"/>
    <s v="Iwona"/>
    <s v="Wlodarska"/>
    <n v="34"/>
    <x v="508"/>
  </r>
  <r>
    <d v="2017-09-07T00:00:00"/>
    <s v="Anna"/>
    <s v="Adamska"/>
    <n v="30"/>
    <x v="555"/>
  </r>
  <r>
    <d v="2017-09-07T00:00:00"/>
    <s v="Szymon"/>
    <s v="Mrozniak"/>
    <n v="3"/>
    <x v="252"/>
  </r>
  <r>
    <d v="2017-09-07T00:00:00"/>
    <s v="Maciej"/>
    <s v="Lutczyk"/>
    <n v="34"/>
    <x v="515"/>
  </r>
  <r>
    <d v="2017-09-07T00:00:00"/>
    <s v="Wojciech"/>
    <s v="Filipowicz"/>
    <n v="7"/>
    <x v="206"/>
  </r>
  <r>
    <d v="2017-09-07T00:00:00"/>
    <s v="Igor"/>
    <s v="Rybinski"/>
    <n v="17"/>
    <x v="254"/>
  </r>
  <r>
    <d v="2017-09-07T00:00:00"/>
    <s v="Jakub"/>
    <s v="Przytula"/>
    <n v="26"/>
    <x v="548"/>
  </r>
  <r>
    <d v="2017-09-08T00:00:00"/>
    <s v="Maciej"/>
    <s v="Laskowski"/>
    <n v="20"/>
    <x v="112"/>
  </r>
  <r>
    <d v="2017-09-08T00:00:00"/>
    <s v="Jan"/>
    <s v="Pieterson"/>
    <n v="24"/>
    <x v="483"/>
  </r>
  <r>
    <d v="2017-09-08T00:00:00"/>
    <s v="Maria"/>
    <s v="Kowalczuk"/>
    <n v="21"/>
    <x v="193"/>
  </r>
  <r>
    <d v="2017-09-08T00:00:00"/>
    <s v="Ryszard"/>
    <s v="Baranowski"/>
    <n v="3"/>
    <x v="556"/>
  </r>
  <r>
    <d v="2017-09-08T00:00:00"/>
    <s v="Luiza"/>
    <s v="Makowska"/>
    <n v="9"/>
    <x v="179"/>
  </r>
  <r>
    <d v="2017-09-08T00:00:00"/>
    <s v="Krzysztof"/>
    <s v="Wilecki"/>
    <n v="46"/>
    <x v="198"/>
  </r>
  <r>
    <d v="2017-09-08T00:00:00"/>
    <s v="Grzegorz"/>
    <s v="Domek"/>
    <n v="16"/>
    <x v="129"/>
  </r>
  <r>
    <d v="2017-09-08T00:00:00"/>
    <s v="Filip"/>
    <s v="Stanulewicz"/>
    <n v="24"/>
    <x v="278"/>
  </r>
  <r>
    <d v="2017-09-08T00:00:00"/>
    <s v="Malgorzata"/>
    <s v="Karlowski"/>
    <n v="23"/>
    <x v="155"/>
  </r>
  <r>
    <d v="2017-09-08T00:00:00"/>
    <s v="Grzegorz"/>
    <s v="Domek"/>
    <n v="18"/>
    <x v="129"/>
  </r>
  <r>
    <d v="2017-09-11T00:00:00"/>
    <s v="Malgorzata"/>
    <s v="Malec"/>
    <n v="29"/>
    <x v="224"/>
  </r>
  <r>
    <d v="2017-09-11T00:00:00"/>
    <s v="Karol"/>
    <s v="Milek"/>
    <n v="24"/>
    <x v="98"/>
  </r>
  <r>
    <d v="2017-09-11T00:00:00"/>
    <s v="Krzysztof"/>
    <s v="Wloch"/>
    <n v="36"/>
    <x v="342"/>
  </r>
  <r>
    <d v="2017-09-11T00:00:00"/>
    <s v="Marian"/>
    <s v="Bukalski"/>
    <n v="6"/>
    <x v="434"/>
  </r>
  <r>
    <d v="2017-09-11T00:00:00"/>
    <s v="Lidia"/>
    <s v="Goluchowska"/>
    <n v="29"/>
    <x v="248"/>
  </r>
  <r>
    <d v="2017-09-11T00:00:00"/>
    <s v="Krzysztof"/>
    <s v="Dwa"/>
    <n v="15"/>
    <x v="209"/>
  </r>
  <r>
    <d v="2017-09-11T00:00:00"/>
    <s v="Adrian"/>
    <s v="Yuksek"/>
    <n v="8"/>
    <x v="147"/>
  </r>
  <r>
    <d v="2017-09-11T00:00:00"/>
    <s v="Krzysztof"/>
    <s v="Micun"/>
    <n v="47"/>
    <x v="131"/>
  </r>
  <r>
    <d v="2017-09-11T00:00:00"/>
    <s v="Kamila"/>
    <s v="Wolan"/>
    <n v="23"/>
    <x v="183"/>
  </r>
  <r>
    <d v="2017-09-11T00:00:00"/>
    <s v="Barbara"/>
    <s v="Podobinska"/>
    <n v="5"/>
    <x v="25"/>
  </r>
  <r>
    <d v="2017-09-11T00:00:00"/>
    <s v="Piotr"/>
    <s v="Kaleta"/>
    <n v="31"/>
    <x v="204"/>
  </r>
  <r>
    <d v="2017-09-11T00:00:00"/>
    <s v="Maria"/>
    <s v="Kowalczyk"/>
    <n v="28"/>
    <x v="320"/>
  </r>
  <r>
    <d v="2017-09-11T00:00:00"/>
    <s v="Weronika"/>
    <s v="Zdroj"/>
    <n v="11"/>
    <x v="116"/>
  </r>
  <r>
    <d v="2017-09-11T00:00:00"/>
    <s v="Karol"/>
    <s v="Dziuk"/>
    <n v="26"/>
    <x v="56"/>
  </r>
  <r>
    <d v="2017-09-12T00:00:00"/>
    <s v="Ignacy"/>
    <s v="Sarnowski"/>
    <n v="46"/>
    <x v="394"/>
  </r>
  <r>
    <d v="2017-09-12T00:00:00"/>
    <s v="Janusz"/>
    <s v="Baka"/>
    <n v="36"/>
    <x v="410"/>
  </r>
  <r>
    <d v="2017-09-12T00:00:00"/>
    <s v="Ilona"/>
    <s v="Nowak"/>
    <n v="21"/>
    <x v="241"/>
  </r>
  <r>
    <d v="2017-09-12T00:00:00"/>
    <s v="Piotr"/>
    <s v="Bialaszewski"/>
    <n v="15"/>
    <x v="17"/>
  </r>
  <r>
    <d v="2017-09-12T00:00:00"/>
    <s v="Ryszard"/>
    <s v="Domzala"/>
    <n v="16"/>
    <x v="502"/>
  </r>
  <r>
    <d v="2017-09-12T00:00:00"/>
    <s v="Karol"/>
    <s v="Wojciechowski"/>
    <n v="26"/>
    <x v="311"/>
  </r>
  <r>
    <d v="2017-09-12T00:00:00"/>
    <s v="Sofia"/>
    <s v="Felisiak"/>
    <n v="14"/>
    <x v="156"/>
  </r>
  <r>
    <d v="2017-09-12T00:00:00"/>
    <s v="Michalina"/>
    <s v="Klebba"/>
    <n v="20"/>
    <x v="191"/>
  </r>
  <r>
    <d v="2017-09-12T00:00:00"/>
    <s v="Bartosz"/>
    <s v="Mazgaj"/>
    <n v="20"/>
    <x v="340"/>
  </r>
  <r>
    <d v="2017-09-12T00:00:00"/>
    <s v="Julia"/>
    <s v="Stuhr"/>
    <n v="22"/>
    <x v="94"/>
  </r>
  <r>
    <d v="2017-09-12T00:00:00"/>
    <s v="Dominika"/>
    <s v="Mierny"/>
    <n v="16"/>
    <x v="211"/>
  </r>
  <r>
    <d v="2017-09-12T00:00:00"/>
    <s v="Barbara"/>
    <s v="Kilarski"/>
    <n v="17"/>
    <x v="402"/>
  </r>
  <r>
    <d v="2017-09-12T00:00:00"/>
    <s v="Dorota"/>
    <s v="Tarnowska"/>
    <n v="41"/>
    <x v="557"/>
  </r>
  <r>
    <d v="2017-09-12T00:00:00"/>
    <s v="Albert"/>
    <s v="Pleszewski"/>
    <n v="3"/>
    <x v="317"/>
  </r>
  <r>
    <d v="2017-09-13T00:00:00"/>
    <s v="Ewelina"/>
    <s v="Goslawska"/>
    <n v="20"/>
    <x v="353"/>
  </r>
  <r>
    <d v="2017-09-13T00:00:00"/>
    <s v="Maja"/>
    <s v="Kaminska"/>
    <n v="7"/>
    <x v="359"/>
  </r>
  <r>
    <d v="2017-09-13T00:00:00"/>
    <s v="Anna"/>
    <s v="Kot"/>
    <n v="41"/>
    <x v="469"/>
  </r>
  <r>
    <d v="2017-09-13T00:00:00"/>
    <s v="Katarzyna"/>
    <s v="Wip"/>
    <n v="4"/>
    <x v="175"/>
  </r>
  <r>
    <d v="2017-09-13T00:00:00"/>
    <s v="Marcel"/>
    <s v="Labuda"/>
    <n v="31"/>
    <x v="177"/>
  </r>
  <r>
    <d v="2017-09-13T00:00:00"/>
    <s v="Maksymilian"/>
    <s v="Lupa"/>
    <n v="6"/>
    <x v="558"/>
  </r>
  <r>
    <d v="2017-09-13T00:00:00"/>
    <s v="Maria"/>
    <s v="Borowska"/>
    <n v="12"/>
    <x v="54"/>
  </r>
  <r>
    <d v="2017-09-13T00:00:00"/>
    <s v="Anna"/>
    <s v="Kraska"/>
    <n v="5"/>
    <x v="559"/>
  </r>
  <r>
    <d v="2017-09-13T00:00:00"/>
    <s v="Marzena"/>
    <s v="Parasiewicz"/>
    <n v="5"/>
    <x v="432"/>
  </r>
  <r>
    <d v="2017-09-13T00:00:00"/>
    <s v="Maja"/>
    <s v="Lange"/>
    <n v="19"/>
    <x v="560"/>
  </r>
  <r>
    <d v="2017-09-13T00:00:00"/>
    <s v="Wieslawa"/>
    <s v="Biczysko"/>
    <n v="8"/>
    <x v="117"/>
  </r>
  <r>
    <d v="2017-09-13T00:00:00"/>
    <s v="Arleta"/>
    <s v="Pawlik"/>
    <n v="8"/>
    <x v="251"/>
  </r>
  <r>
    <d v="2017-09-13T00:00:00"/>
    <s v="Agnieszka"/>
    <s v="Matusik"/>
    <n v="56"/>
    <x v="264"/>
  </r>
  <r>
    <d v="2017-09-13T00:00:00"/>
    <s v="Jakub"/>
    <s v="Waniek"/>
    <n v="8"/>
    <x v="97"/>
  </r>
  <r>
    <d v="2017-09-14T00:00:00"/>
    <s v="Jan"/>
    <s v="Pietraszczyk"/>
    <n v="25"/>
    <x v="549"/>
  </r>
  <r>
    <d v="2017-09-14T00:00:00"/>
    <s v="Barbara"/>
    <s v="Podobinska"/>
    <n v="23"/>
    <x v="25"/>
  </r>
  <r>
    <d v="2017-09-14T00:00:00"/>
    <s v="Maja"/>
    <s v="Kwidczynska"/>
    <n v="33"/>
    <x v="561"/>
  </r>
  <r>
    <d v="2017-09-14T00:00:00"/>
    <s v="Wojciech"/>
    <s v="Maja"/>
    <n v="15"/>
    <x v="266"/>
  </r>
  <r>
    <d v="2017-09-14T00:00:00"/>
    <s v="Joanna"/>
    <s v="Zygmunt"/>
    <n v="16"/>
    <x v="192"/>
  </r>
  <r>
    <d v="2017-09-14T00:00:00"/>
    <s v="Kamil"/>
    <s v="Waniek"/>
    <n v="29"/>
    <x v="562"/>
  </r>
  <r>
    <d v="2017-09-14T00:00:00"/>
    <s v="Irena"/>
    <s v="Banasiewicz"/>
    <n v="2"/>
    <x v="162"/>
  </r>
  <r>
    <d v="2017-09-14T00:00:00"/>
    <s v="Grzegorz"/>
    <s v="Wojtowicz"/>
    <n v="15"/>
    <x v="357"/>
  </r>
  <r>
    <d v="2017-09-14T00:00:00"/>
    <s v="Pawel"/>
    <s v="Nowak"/>
    <n v="17"/>
    <x v="190"/>
  </r>
  <r>
    <d v="2017-09-14T00:00:00"/>
    <s v="Piotr"/>
    <s v="Flis"/>
    <n v="54"/>
    <x v="99"/>
  </r>
  <r>
    <d v="2017-09-14T00:00:00"/>
    <s v="Weronika"/>
    <s v="Zdroj"/>
    <n v="38"/>
    <x v="116"/>
  </r>
  <r>
    <d v="2017-09-14T00:00:00"/>
    <s v="Krzysztof"/>
    <s v="Madejski"/>
    <n v="9"/>
    <x v="123"/>
  </r>
  <r>
    <d v="2017-09-14T00:00:00"/>
    <s v="Adrian"/>
    <s v="Zawisza"/>
    <n v="3"/>
    <x v="31"/>
  </r>
  <r>
    <d v="2017-09-14T00:00:00"/>
    <s v="Adam"/>
    <s v="Susel"/>
    <n v="17"/>
    <x v="59"/>
  </r>
  <r>
    <d v="2017-09-15T00:00:00"/>
    <s v="Zenon"/>
    <s v="Zbych"/>
    <n v="12"/>
    <x v="228"/>
  </r>
  <r>
    <d v="2017-09-15T00:00:00"/>
    <s v="Patrycja"/>
    <s v="Dzban"/>
    <n v="28"/>
    <x v="283"/>
  </r>
  <r>
    <d v="2017-09-15T00:00:00"/>
    <s v="Wojciech"/>
    <s v="Filipowicz"/>
    <n v="4"/>
    <x v="206"/>
  </r>
  <r>
    <d v="2017-09-15T00:00:00"/>
    <s v="Maksymilian"/>
    <s v="Lewita"/>
    <n v="5"/>
    <x v="563"/>
  </r>
  <r>
    <d v="2017-09-15T00:00:00"/>
    <s v="Bartosz"/>
    <s v="Debicki"/>
    <n v="30"/>
    <x v="564"/>
  </r>
  <r>
    <d v="2017-09-15T00:00:00"/>
    <s v="Anna"/>
    <s v="Tomaszewska"/>
    <n v="40"/>
    <x v="218"/>
  </r>
  <r>
    <d v="2017-09-15T00:00:00"/>
    <s v="Karolina"/>
    <s v="Karpacka"/>
    <n v="10"/>
    <x v="144"/>
  </r>
  <r>
    <d v="2017-09-15T00:00:00"/>
    <s v="Maksymilian"/>
    <s v="Piwko"/>
    <n v="20"/>
    <x v="234"/>
  </r>
  <r>
    <d v="2017-09-15T00:00:00"/>
    <s v="Krzysztof"/>
    <s v="Dwa"/>
    <n v="12"/>
    <x v="209"/>
  </r>
  <r>
    <d v="2017-09-15T00:00:00"/>
    <s v="Marcin"/>
    <s v="Tabaka"/>
    <n v="9"/>
    <x v="245"/>
  </r>
  <r>
    <d v="2017-09-15T00:00:00"/>
    <s v="Monika"/>
    <s v="Lis"/>
    <n v="46"/>
    <x v="367"/>
  </r>
  <r>
    <d v="2017-09-15T00:00:00"/>
    <s v="Magdalena"/>
    <s v="Bach"/>
    <n v="30"/>
    <x v="395"/>
  </r>
  <r>
    <d v="2017-09-15T00:00:00"/>
    <s v="Wieslawa"/>
    <s v="Nowak"/>
    <n v="25"/>
    <x v="415"/>
  </r>
  <r>
    <d v="2017-09-15T00:00:00"/>
    <s v="Anna"/>
    <s v="Janowska"/>
    <n v="25"/>
    <x v="174"/>
  </r>
  <r>
    <d v="2017-09-18T00:00:00"/>
    <s v="Jacek"/>
    <s v="Szypulski"/>
    <n v="15"/>
    <x v="113"/>
  </r>
  <r>
    <d v="2017-09-18T00:00:00"/>
    <s v="Natalia"/>
    <s v="Olkuska"/>
    <n v="8"/>
    <x v="416"/>
  </r>
  <r>
    <d v="2017-09-18T00:00:00"/>
    <s v="Monika"/>
    <s v="Bialkowska"/>
    <n v="8"/>
    <x v="478"/>
  </r>
  <r>
    <d v="2017-09-18T00:00:00"/>
    <s v="Jan"/>
    <s v="Pistek"/>
    <n v="20"/>
    <x v="335"/>
  </r>
  <r>
    <d v="2017-09-18T00:00:00"/>
    <s v="Borys"/>
    <s v="Biedal"/>
    <n v="53"/>
    <x v="69"/>
  </r>
  <r>
    <d v="2017-09-18T00:00:00"/>
    <s v="Kamila"/>
    <s v="Kot"/>
    <n v="50"/>
    <x v="458"/>
  </r>
  <r>
    <d v="2017-09-18T00:00:00"/>
    <s v="Adrian"/>
    <s v="Wydrzynski"/>
    <n v="52"/>
    <x v="565"/>
  </r>
  <r>
    <d v="2017-09-18T00:00:00"/>
    <s v="Joanna"/>
    <s v="Traugut"/>
    <n v="12"/>
    <x v="538"/>
  </r>
  <r>
    <d v="2017-09-18T00:00:00"/>
    <s v="Karol"/>
    <s v="Walasz"/>
    <n v="14"/>
    <x v="375"/>
  </r>
  <r>
    <d v="2017-09-18T00:00:00"/>
    <s v="Ewa"/>
    <s v="Czerwinska"/>
    <n v="12"/>
    <x v="164"/>
  </r>
  <r>
    <d v="2017-09-18T00:00:00"/>
    <s v="Jerzy"/>
    <s v="Polanicki"/>
    <n v="27"/>
    <x v="12"/>
  </r>
  <r>
    <d v="2017-09-18T00:00:00"/>
    <s v="Magdalena"/>
    <s v="Bach"/>
    <n v="25"/>
    <x v="395"/>
  </r>
  <r>
    <d v="2017-09-19T00:00:00"/>
    <s v="Radoslaw"/>
    <s v="Sowinska"/>
    <n v="29"/>
    <x v="374"/>
  </r>
  <r>
    <d v="2017-09-19T00:00:00"/>
    <s v="Milena"/>
    <s v="Karolewska"/>
    <n v="54"/>
    <x v="231"/>
  </r>
  <r>
    <d v="2017-09-19T00:00:00"/>
    <s v="Mateusz"/>
    <s v="Kornatowski"/>
    <n v="10"/>
    <x v="332"/>
  </r>
  <r>
    <d v="2017-09-19T00:00:00"/>
    <s v="Maciej"/>
    <s v="Bugaj"/>
    <n v="28"/>
    <x v="343"/>
  </r>
  <r>
    <d v="2017-09-19T00:00:00"/>
    <s v="Olgierd"/>
    <s v="Baranek"/>
    <n v="7"/>
    <x v="178"/>
  </r>
  <r>
    <d v="2017-09-19T00:00:00"/>
    <s v="Jan"/>
    <s v="Adamowicz"/>
    <n v="18"/>
    <x v="535"/>
  </r>
  <r>
    <d v="2017-09-19T00:00:00"/>
    <s v="Joanna"/>
    <s v="Senger"/>
    <n v="10"/>
    <x v="501"/>
  </r>
  <r>
    <d v="2017-09-19T00:00:00"/>
    <s v="Jerzy"/>
    <s v="Czajkowski"/>
    <n v="24"/>
    <x v="50"/>
  </r>
  <r>
    <d v="2017-09-19T00:00:00"/>
    <s v="Filip"/>
    <s v="Stanulewicz"/>
    <n v="19"/>
    <x v="278"/>
  </r>
  <r>
    <d v="2017-09-19T00:00:00"/>
    <s v="Beata"/>
    <s v="Mirowska"/>
    <n v="28"/>
    <x v="423"/>
  </r>
  <r>
    <d v="2017-09-19T00:00:00"/>
    <s v="Krzysztof"/>
    <s v="Wilecki"/>
    <n v="5"/>
    <x v="198"/>
  </r>
  <r>
    <d v="2017-09-19T00:00:00"/>
    <s v="Lukasz"/>
    <s v="Kopecki"/>
    <n v="17"/>
    <x v="210"/>
  </r>
  <r>
    <d v="2017-09-20T00:00:00"/>
    <s v="Bartosz"/>
    <s v="Mazgaj"/>
    <n v="53"/>
    <x v="340"/>
  </r>
  <r>
    <d v="2017-09-20T00:00:00"/>
    <s v="Witold"/>
    <s v="Sempa"/>
    <n v="5"/>
    <x v="137"/>
  </r>
  <r>
    <d v="2017-09-20T00:00:00"/>
    <s v="Tytus"/>
    <s v="Sulejman"/>
    <n v="35"/>
    <x v="566"/>
  </r>
  <r>
    <d v="2017-09-20T00:00:00"/>
    <s v="Maja"/>
    <s v="Lipka"/>
    <n v="17"/>
    <x v="18"/>
  </r>
  <r>
    <d v="2017-09-20T00:00:00"/>
    <s v="Bartosz"/>
    <s v="Protasow"/>
    <n v="12"/>
    <x v="33"/>
  </r>
  <r>
    <d v="2017-09-20T00:00:00"/>
    <s v="Karol"/>
    <s v="Dziuk"/>
    <n v="28"/>
    <x v="56"/>
  </r>
  <r>
    <d v="2017-09-20T00:00:00"/>
    <s v="Anna"/>
    <s v="Dab"/>
    <n v="47"/>
    <x v="372"/>
  </r>
  <r>
    <d v="2017-09-20T00:00:00"/>
    <s v="Adam"/>
    <s v="Borkowski"/>
    <n v="5"/>
    <x v="341"/>
  </r>
  <r>
    <d v="2017-09-21T00:00:00"/>
    <s v="Jan"/>
    <s v="Pieterson"/>
    <n v="7"/>
    <x v="483"/>
  </r>
  <r>
    <d v="2017-09-21T00:00:00"/>
    <s v="Michal"/>
    <s v="Kieloch"/>
    <n v="52"/>
    <x v="567"/>
  </r>
  <r>
    <d v="2017-09-21T00:00:00"/>
    <s v="Maja"/>
    <s v="Leman"/>
    <n v="50"/>
    <x v="430"/>
  </r>
  <r>
    <d v="2017-09-21T00:00:00"/>
    <s v="Julia"/>
    <s v="Kielecka"/>
    <n v="10"/>
    <x v="109"/>
  </r>
  <r>
    <d v="2017-09-21T00:00:00"/>
    <s v="Albert"/>
    <s v="Pleszewski"/>
    <n v="5"/>
    <x v="317"/>
  </r>
  <r>
    <d v="2017-09-21T00:00:00"/>
    <s v="Karol"/>
    <s v="Wichrowski"/>
    <n v="17"/>
    <x v="468"/>
  </r>
  <r>
    <d v="2017-09-21T00:00:00"/>
    <s v="Maja"/>
    <s v="Kaminska"/>
    <n v="24"/>
    <x v="359"/>
  </r>
  <r>
    <d v="2017-09-21T00:00:00"/>
    <s v="Wiktor"/>
    <s v="Berezniewicz"/>
    <n v="50"/>
    <x v="546"/>
  </r>
  <r>
    <d v="2017-09-22T00:00:00"/>
    <s v="Maria"/>
    <s v="Kowalczyk"/>
    <n v="9"/>
    <x v="320"/>
  </r>
  <r>
    <d v="2017-09-22T00:00:00"/>
    <s v="Jan"/>
    <s v="Jarek"/>
    <n v="6"/>
    <x v="442"/>
  </r>
  <r>
    <d v="2017-09-22T00:00:00"/>
    <s v="Monika"/>
    <s v="Nowaczkiewicz"/>
    <n v="24"/>
    <x v="288"/>
  </r>
  <r>
    <d v="2017-09-22T00:00:00"/>
    <s v="Dominik"/>
    <s v="Szmitko"/>
    <n v="15"/>
    <x v="305"/>
  </r>
  <r>
    <d v="2017-09-22T00:00:00"/>
    <s v="Krzysztof"/>
    <s v="Figurski"/>
    <n v="16"/>
    <x v="168"/>
  </r>
  <r>
    <d v="2017-09-22T00:00:00"/>
    <s v="Anna"/>
    <s v="Wnuk"/>
    <n v="10"/>
    <x v="373"/>
  </r>
  <r>
    <d v="2017-09-22T00:00:00"/>
    <s v="Konrad"/>
    <s v="Jagielski"/>
    <n v="32"/>
    <x v="217"/>
  </r>
  <r>
    <d v="2017-09-22T00:00:00"/>
    <s v="Barbara"/>
    <s v="Karcz"/>
    <n v="24"/>
    <x v="349"/>
  </r>
  <r>
    <d v="2017-09-25T00:00:00"/>
    <s v="Malgorzata"/>
    <s v="Karlowski"/>
    <n v="34"/>
    <x v="155"/>
  </r>
  <r>
    <d v="2017-09-25T00:00:00"/>
    <s v="Marek"/>
    <s v="Leoniuk"/>
    <n v="28"/>
    <x v="165"/>
  </r>
  <r>
    <d v="2017-09-25T00:00:00"/>
    <s v="Anna"/>
    <s v="Trojanowska"/>
    <n v="18"/>
    <x v="385"/>
  </r>
  <r>
    <d v="2017-09-25T00:00:00"/>
    <s v="Izabela"/>
    <s v="Draszczyk"/>
    <n v="19"/>
    <x v="568"/>
  </r>
  <r>
    <d v="2017-09-25T00:00:00"/>
    <s v="Lukasz"/>
    <s v="Kot"/>
    <n v="7"/>
    <x v="346"/>
  </r>
  <r>
    <d v="2017-09-25T00:00:00"/>
    <s v="Beata"/>
    <s v="Mirowska"/>
    <n v="29"/>
    <x v="423"/>
  </r>
  <r>
    <d v="2017-09-25T00:00:00"/>
    <s v="Krzysztof"/>
    <s v="Kukulski"/>
    <n v="56"/>
    <x v="569"/>
  </r>
  <r>
    <d v="2017-09-25T00:00:00"/>
    <s v="Magdalena"/>
    <s v="Nowak"/>
    <n v="11"/>
    <x v="518"/>
  </r>
  <r>
    <d v="2017-09-26T00:00:00"/>
    <s v="Antoni"/>
    <s v="Sobieski"/>
    <n v="33"/>
    <x v="547"/>
  </r>
  <r>
    <d v="2017-09-26T00:00:00"/>
    <s v="Patrycja"/>
    <s v="Dzban"/>
    <n v="5"/>
    <x v="283"/>
  </r>
  <r>
    <d v="2017-09-26T00:00:00"/>
    <s v="Emilia"/>
    <s v="Mroczek"/>
    <n v="25"/>
    <x v="120"/>
  </r>
  <r>
    <d v="2017-09-26T00:00:00"/>
    <s v="Ilona"/>
    <s v="Lukaszewska"/>
    <n v="10"/>
    <x v="304"/>
  </r>
  <r>
    <d v="2017-09-26T00:00:00"/>
    <s v="Ewelina"/>
    <s v="Bialkowska"/>
    <n v="18"/>
    <x v="436"/>
  </r>
  <r>
    <d v="2017-09-26T00:00:00"/>
    <s v="Julia"/>
    <s v="Sadowska"/>
    <n v="26"/>
    <x v="438"/>
  </r>
  <r>
    <d v="2017-09-26T00:00:00"/>
    <s v="Janusz"/>
    <s v="Baka"/>
    <n v="12"/>
    <x v="410"/>
  </r>
  <r>
    <d v="2017-09-26T00:00:00"/>
    <s v="Teodor"/>
    <s v="Nowak"/>
    <n v="22"/>
    <x v="473"/>
  </r>
  <r>
    <d v="2017-09-27T00:00:00"/>
    <s v="Pawel"/>
    <s v="Bolkowski"/>
    <n v="19"/>
    <x v="269"/>
  </r>
  <r>
    <d v="2017-09-27T00:00:00"/>
    <s v="Maciej"/>
    <s v="Bugaj"/>
    <n v="5"/>
    <x v="343"/>
  </r>
  <r>
    <d v="2017-09-27T00:00:00"/>
    <s v="Krzysztof"/>
    <s v="Wloch"/>
    <n v="7"/>
    <x v="342"/>
  </r>
  <r>
    <d v="2017-09-27T00:00:00"/>
    <s v="Agnieszka"/>
    <s v="Matusik"/>
    <n v="28"/>
    <x v="264"/>
  </r>
  <r>
    <d v="2017-09-27T00:00:00"/>
    <s v="Wojciech"/>
    <s v="Kulakowski"/>
    <n v="53"/>
    <x v="570"/>
  </r>
  <r>
    <d v="2017-09-27T00:00:00"/>
    <s v="Mariusz"/>
    <s v="Mrowiec"/>
    <n v="28"/>
    <x v="461"/>
  </r>
  <r>
    <d v="2017-09-27T00:00:00"/>
    <s v="Radoslaw"/>
    <s v="Sowinska"/>
    <n v="17"/>
    <x v="374"/>
  </r>
  <r>
    <d v="2017-09-27T00:00:00"/>
    <s v="Joanna"/>
    <s v="Kopacki"/>
    <n v="20"/>
    <x v="314"/>
  </r>
  <r>
    <d v="2017-09-28T00:00:00"/>
    <s v="Patrycja"/>
    <s v="Rzeszowska"/>
    <n v="50"/>
    <x v="297"/>
  </r>
  <r>
    <d v="2017-09-28T00:00:00"/>
    <s v="Stanislaw"/>
    <s v="Derek"/>
    <n v="15"/>
    <x v="79"/>
  </r>
  <r>
    <d v="2017-09-28T00:00:00"/>
    <s v="Karol"/>
    <s v="Wojciechowski"/>
    <n v="27"/>
    <x v="311"/>
  </r>
  <r>
    <d v="2017-09-28T00:00:00"/>
    <s v="Mateusz"/>
    <s v="Kowalczyk"/>
    <n v="2"/>
    <x v="115"/>
  </r>
  <r>
    <d v="2017-09-28T00:00:00"/>
    <s v="Kamil"/>
    <s v="Naderka"/>
    <n v="17"/>
    <x v="67"/>
  </r>
  <r>
    <d v="2017-09-28T00:00:00"/>
    <s v="Angelika"/>
    <s v="Walaszek"/>
    <n v="53"/>
    <x v="334"/>
  </r>
  <r>
    <d v="2017-09-28T00:00:00"/>
    <s v="Jan"/>
    <s v="Adamowicz"/>
    <n v="30"/>
    <x v="535"/>
  </r>
  <r>
    <d v="2017-09-28T00:00:00"/>
    <s v="Karolina"/>
    <s v="Pawelska"/>
    <n v="7"/>
    <x v="364"/>
  </r>
  <r>
    <d v="2017-09-29T00:00:00"/>
    <s v="Jan"/>
    <s v="Zdunski"/>
    <n v="15"/>
    <x v="238"/>
  </r>
  <r>
    <d v="2017-09-29T00:00:00"/>
    <s v="Natalia"/>
    <s v="Knap"/>
    <n v="55"/>
    <x v="391"/>
  </r>
  <r>
    <d v="2017-09-29T00:00:00"/>
    <s v="Radoslaw"/>
    <s v="Sowinska"/>
    <n v="39"/>
    <x v="374"/>
  </r>
  <r>
    <d v="2017-09-29T00:00:00"/>
    <s v="Krzysztof"/>
    <s v="Czyz"/>
    <n v="18"/>
    <x v="197"/>
  </r>
  <r>
    <d v="2017-09-29T00:00:00"/>
    <s v="Alicja"/>
    <s v="Walentowicz"/>
    <n v="9"/>
    <x v="479"/>
  </r>
  <r>
    <d v="2017-09-29T00:00:00"/>
    <s v="Tomasz"/>
    <s v="Tytan"/>
    <n v="55"/>
    <x v="571"/>
  </r>
  <r>
    <d v="2017-09-29T00:00:00"/>
    <s v="Janusz"/>
    <s v="Baka"/>
    <n v="24"/>
    <x v="410"/>
  </r>
  <r>
    <d v="2017-09-29T00:00:00"/>
    <s v="Janusz"/>
    <s v="Wrobel"/>
    <n v="52"/>
    <x v="411"/>
  </r>
  <r>
    <d v="2017-10-02T00:00:00"/>
    <s v="Tomasz"/>
    <s v="Borkowski"/>
    <n v="42"/>
    <x v="459"/>
  </r>
  <r>
    <d v="2017-10-02T00:00:00"/>
    <s v="Lukasz"/>
    <s v="Niedziela"/>
    <n v="16"/>
    <x v="329"/>
  </r>
  <r>
    <d v="2017-10-02T00:00:00"/>
    <s v="Julia"/>
    <s v="Samulczyk"/>
    <n v="43"/>
    <x v="572"/>
  </r>
  <r>
    <d v="2017-10-02T00:00:00"/>
    <s v="Alicja"/>
    <s v="Chmiel"/>
    <n v="55"/>
    <x v="96"/>
  </r>
  <r>
    <d v="2017-10-02T00:00:00"/>
    <s v="Pawel"/>
    <s v="Macherzynski"/>
    <n v="45"/>
    <x v="196"/>
  </r>
  <r>
    <d v="2017-10-02T00:00:00"/>
    <s v="Konrad"/>
    <s v="Lipowski"/>
    <n v="25"/>
    <x v="205"/>
  </r>
  <r>
    <d v="2017-10-03T00:00:00"/>
    <s v="Dominika"/>
    <s v="Szwec"/>
    <n v="28"/>
    <x v="378"/>
  </r>
  <r>
    <d v="2017-10-03T00:00:00"/>
    <s v="Ryszarda"/>
    <s v="Januszek"/>
    <n v="14"/>
    <x v="256"/>
  </r>
  <r>
    <d v="2017-10-03T00:00:00"/>
    <s v="Irena"/>
    <s v="Piotrowska"/>
    <n v="26"/>
    <x v="188"/>
  </r>
  <r>
    <d v="2017-10-03T00:00:00"/>
    <s v="Marta"/>
    <s v="Robak"/>
    <n v="21"/>
    <x v="151"/>
  </r>
  <r>
    <d v="2017-10-03T00:00:00"/>
    <s v="Piotr"/>
    <s v="Polkowicki"/>
    <n v="14"/>
    <x v="287"/>
  </r>
  <r>
    <d v="2017-10-03T00:00:00"/>
    <s v="Laura"/>
    <s v="Chmielewska"/>
    <n v="36"/>
    <x v="29"/>
  </r>
  <r>
    <d v="2017-10-04T00:00:00"/>
    <s v="Andrzej"/>
    <s v="Tysz"/>
    <n v="3"/>
    <x v="405"/>
  </r>
  <r>
    <d v="2017-10-04T00:00:00"/>
    <s v="Angelika"/>
    <s v="Walaszek"/>
    <n v="11"/>
    <x v="334"/>
  </r>
  <r>
    <d v="2017-10-04T00:00:00"/>
    <s v="Mariusz"/>
    <s v="Brydzinski"/>
    <n v="49"/>
    <x v="85"/>
  </r>
  <r>
    <d v="2017-10-04T00:00:00"/>
    <s v="Nadia"/>
    <s v="Jurewicz"/>
    <n v="16"/>
    <x v="446"/>
  </r>
  <r>
    <d v="2017-10-04T00:00:00"/>
    <s v="Andrzej"/>
    <s v="Zbieg"/>
    <n v="26"/>
    <x v="449"/>
  </r>
  <r>
    <d v="2017-10-04T00:00:00"/>
    <s v="Piotr"/>
    <s v="Dzierzak"/>
    <n v="50"/>
    <x v="145"/>
  </r>
  <r>
    <d v="2017-10-05T00:00:00"/>
    <s v="Jacek"/>
    <s v="Chojnacki"/>
    <n v="19"/>
    <x v="294"/>
  </r>
  <r>
    <d v="2017-10-05T00:00:00"/>
    <s v="Anita"/>
    <s v="Woloszyn"/>
    <n v="27"/>
    <x v="134"/>
  </r>
  <r>
    <d v="2017-10-05T00:00:00"/>
    <s v="Krzysztof"/>
    <s v="Konieckiewicz"/>
    <n v="2"/>
    <x v="87"/>
  </r>
  <r>
    <d v="2017-10-05T00:00:00"/>
    <s v="Ignacy"/>
    <s v="Sarnowski"/>
    <n v="15"/>
    <x v="394"/>
  </r>
  <r>
    <d v="2017-10-05T00:00:00"/>
    <s v="Jan"/>
    <s v="Sznuk"/>
    <n v="3"/>
    <x v="273"/>
  </r>
  <r>
    <d v="2017-10-05T00:00:00"/>
    <s v="Anita"/>
    <s v="Tych"/>
    <n v="56"/>
    <x v="203"/>
  </r>
  <r>
    <d v="2017-10-06T00:00:00"/>
    <s v="Daria"/>
    <s v="Witkowska"/>
    <n v="36"/>
    <x v="532"/>
  </r>
  <r>
    <d v="2017-10-06T00:00:00"/>
    <s v="Lidia"/>
    <s v="Tarnowska"/>
    <n v="32"/>
    <x v="454"/>
  </r>
  <r>
    <d v="2017-10-06T00:00:00"/>
    <s v="Kamila"/>
    <s v="Kot"/>
    <n v="50"/>
    <x v="458"/>
  </r>
  <r>
    <d v="2017-10-06T00:00:00"/>
    <s v="Krystyna"/>
    <s v="Szybki"/>
    <n v="26"/>
    <x v="222"/>
  </r>
  <r>
    <d v="2017-10-06T00:00:00"/>
    <s v="Maciej"/>
    <s v="Wodecki"/>
    <n v="13"/>
    <x v="573"/>
  </r>
  <r>
    <d v="2017-10-06T00:00:00"/>
    <s v="Marta"/>
    <s v="Wiosna"/>
    <n v="2"/>
    <x v="503"/>
  </r>
  <r>
    <d v="2017-10-09T00:00:00"/>
    <s v="Lena"/>
    <s v="Mazurkiewicz"/>
    <n v="11"/>
    <x v="58"/>
  </r>
  <r>
    <d v="2017-10-09T00:00:00"/>
    <s v="Jan"/>
    <s v="Madawik"/>
    <n v="19"/>
    <x v="504"/>
  </r>
  <r>
    <d v="2017-10-09T00:00:00"/>
    <s v="Aleksandra"/>
    <s v="Donata"/>
    <n v="23"/>
    <x v="247"/>
  </r>
  <r>
    <d v="2017-10-09T00:00:00"/>
    <s v="Adam"/>
    <s v="Madejski"/>
    <n v="22"/>
    <x v="464"/>
  </r>
  <r>
    <d v="2017-10-09T00:00:00"/>
    <s v="Dominik"/>
    <s v="Szmitko"/>
    <n v="19"/>
    <x v="305"/>
  </r>
  <r>
    <d v="2017-10-09T00:00:00"/>
    <s v="Jan"/>
    <s v="Zajac"/>
    <n v="5"/>
    <x v="524"/>
  </r>
  <r>
    <d v="2017-10-10T00:00:00"/>
    <s v="Pawel"/>
    <s v="Furmaniak"/>
    <n v="10"/>
    <x v="223"/>
  </r>
  <r>
    <d v="2017-10-10T00:00:00"/>
    <s v="Krzysztof"/>
    <s v="Wilecki"/>
    <n v="13"/>
    <x v="198"/>
  </r>
  <r>
    <d v="2017-10-10T00:00:00"/>
    <s v="Nadia"/>
    <s v="Jurewicz"/>
    <n v="12"/>
    <x v="446"/>
  </r>
  <r>
    <d v="2017-10-10T00:00:00"/>
    <s v="Karol"/>
    <s v="Wichrowski"/>
    <n v="25"/>
    <x v="468"/>
  </r>
  <r>
    <d v="2017-10-10T00:00:00"/>
    <s v="Anna"/>
    <s v="Adamska"/>
    <n v="25"/>
    <x v="555"/>
  </r>
  <r>
    <d v="2017-10-10T00:00:00"/>
    <s v="Inka"/>
    <s v="Sochacka"/>
    <n v="9"/>
    <x v="184"/>
  </r>
  <r>
    <d v="2017-10-11T00:00:00"/>
    <s v="Karol"/>
    <s v="Dziuk"/>
    <n v="17"/>
    <x v="56"/>
  </r>
  <r>
    <d v="2017-10-11T00:00:00"/>
    <s v="Stefan"/>
    <s v="Bajer"/>
    <n v="26"/>
    <x v="574"/>
  </r>
  <r>
    <d v="2017-10-11T00:00:00"/>
    <s v="Mateusz"/>
    <s v="Kaczorowski"/>
    <n v="44"/>
    <x v="299"/>
  </r>
  <r>
    <d v="2017-10-11T00:00:00"/>
    <s v="Adam"/>
    <s v="Susel"/>
    <n v="31"/>
    <x v="59"/>
  </r>
  <r>
    <d v="2017-10-11T00:00:00"/>
    <s v="Marian"/>
    <s v="Bukalski"/>
    <n v="6"/>
    <x v="434"/>
  </r>
  <r>
    <d v="2017-10-11T00:00:00"/>
    <s v="Jerzy"/>
    <s v="Szklarski"/>
    <n v="14"/>
    <x v="575"/>
  </r>
  <r>
    <d v="2017-10-12T00:00:00"/>
    <s v="Protazy"/>
    <s v="Warszawski"/>
    <n v="5"/>
    <x v="403"/>
  </r>
  <r>
    <d v="2017-10-12T00:00:00"/>
    <s v="Lukasz"/>
    <s v="Kot"/>
    <n v="21"/>
    <x v="346"/>
  </r>
  <r>
    <d v="2017-10-12T00:00:00"/>
    <s v="Filip"/>
    <s v="Strupiechowski"/>
    <n v="4"/>
    <x v="484"/>
  </r>
  <r>
    <d v="2017-10-12T00:00:00"/>
    <s v="Barbara"/>
    <s v="Bury"/>
    <n v="51"/>
    <x v="246"/>
  </r>
  <r>
    <d v="2017-10-12T00:00:00"/>
    <s v="Henryk"/>
    <s v="Polarek"/>
    <n v="27"/>
    <x v="176"/>
  </r>
  <r>
    <d v="2017-10-12T00:00:00"/>
    <s v="Roksana"/>
    <s v="Frankowska"/>
    <n v="15"/>
    <x v="476"/>
  </r>
  <r>
    <d v="2017-10-13T00:00:00"/>
    <s v="Agnieszka"/>
    <s v="Bujak"/>
    <n v="15"/>
    <x v="369"/>
  </r>
  <r>
    <d v="2017-10-13T00:00:00"/>
    <s v="Jaroslaw"/>
    <s v="Kopiec"/>
    <n v="13"/>
    <x v="103"/>
  </r>
  <r>
    <d v="2017-10-13T00:00:00"/>
    <s v="Joanna"/>
    <s v="Wrobel"/>
    <n v="22"/>
    <x v="331"/>
  </r>
  <r>
    <d v="2017-10-13T00:00:00"/>
    <s v="Krzysztof"/>
    <s v="Konieckiewicz"/>
    <n v="16"/>
    <x v="87"/>
  </r>
  <r>
    <d v="2017-10-13T00:00:00"/>
    <s v="Anna"/>
    <s v="Tomaszewska"/>
    <n v="9"/>
    <x v="218"/>
  </r>
  <r>
    <d v="2017-10-13T00:00:00"/>
    <s v="Mariusz"/>
    <s v="Mrowiec"/>
    <n v="8"/>
    <x v="461"/>
  </r>
  <r>
    <d v="2017-10-16T00:00:00"/>
    <s v="Maria"/>
    <s v="Gatek"/>
    <n v="5"/>
    <x v="172"/>
  </r>
  <r>
    <d v="2017-10-16T00:00:00"/>
    <s v="Agnieszka"/>
    <s v="Mala"/>
    <n v="10"/>
    <x v="9"/>
  </r>
  <r>
    <d v="2017-10-16T00:00:00"/>
    <s v="Jerzy"/>
    <s v="Czajkowski"/>
    <n v="29"/>
    <x v="50"/>
  </r>
  <r>
    <d v="2017-10-16T00:00:00"/>
    <s v="Anna"/>
    <s v="Tycz"/>
    <n v="20"/>
    <x v="451"/>
  </r>
  <r>
    <d v="2017-10-16T00:00:00"/>
    <s v="Piotr"/>
    <s v="Flis"/>
    <n v="11"/>
    <x v="99"/>
  </r>
  <r>
    <d v="2017-10-16T00:00:00"/>
    <s v="Lukasz"/>
    <s v="Czarnecki"/>
    <n v="45"/>
    <x v="417"/>
  </r>
  <r>
    <d v="2017-10-16T00:00:00"/>
    <s v="Ryszarda"/>
    <s v="Januszek"/>
    <n v="9"/>
    <x v="256"/>
  </r>
  <r>
    <d v="2017-10-16T00:00:00"/>
    <s v="Aleks"/>
    <s v="Wojcicki"/>
    <n v="15"/>
    <x v="576"/>
  </r>
  <r>
    <d v="2017-10-16T00:00:00"/>
    <s v="Stanislaw"/>
    <s v="Dabrowski"/>
    <n v="6"/>
    <x v="577"/>
  </r>
  <r>
    <d v="2017-10-16T00:00:00"/>
    <s v="Joanna"/>
    <s v="Janas"/>
    <n v="13"/>
    <x v="326"/>
  </r>
  <r>
    <d v="2017-10-16T00:00:00"/>
    <s v="Monika"/>
    <s v="Lis"/>
    <n v="7"/>
    <x v="367"/>
  </r>
  <r>
    <d v="2017-10-16T00:00:00"/>
    <s v="Karol"/>
    <s v="Walasz"/>
    <n v="34"/>
    <x v="375"/>
  </r>
  <r>
    <d v="2017-10-16T00:00:00"/>
    <s v="Kinga"/>
    <s v="Trawinska"/>
    <n v="4"/>
    <x v="366"/>
  </r>
  <r>
    <d v="2017-10-16T00:00:00"/>
    <s v="Adam"/>
    <s v="Susel"/>
    <n v="17"/>
    <x v="59"/>
  </r>
  <r>
    <d v="2017-10-17T00:00:00"/>
    <s v="Bruno"/>
    <s v="Tomaszewski"/>
    <n v="5"/>
    <x v="257"/>
  </r>
  <r>
    <d v="2017-10-17T00:00:00"/>
    <s v="Maciej"/>
    <s v="Wodecki"/>
    <n v="9"/>
    <x v="573"/>
  </r>
  <r>
    <d v="2017-10-17T00:00:00"/>
    <s v="Alicja"/>
    <s v="Gadek"/>
    <n v="12"/>
    <x v="10"/>
  </r>
  <r>
    <d v="2017-10-17T00:00:00"/>
    <s v="Anna"/>
    <s v="Zender"/>
    <n v="22"/>
    <x v="512"/>
  </r>
  <r>
    <d v="2017-10-17T00:00:00"/>
    <s v="Kacper"/>
    <s v="Niec"/>
    <n v="4"/>
    <x v="279"/>
  </r>
  <r>
    <d v="2017-10-17T00:00:00"/>
    <s v="Ilona"/>
    <s v="Lukaszewska"/>
    <n v="12"/>
    <x v="304"/>
  </r>
  <r>
    <d v="2017-10-17T00:00:00"/>
    <s v="Anna"/>
    <s v="Wnuk"/>
    <n v="5"/>
    <x v="373"/>
  </r>
  <r>
    <d v="2017-10-17T00:00:00"/>
    <s v="Kornelia"/>
    <s v="Nowakowska"/>
    <n v="9"/>
    <x v="554"/>
  </r>
  <r>
    <d v="2017-10-17T00:00:00"/>
    <s v="Maciej"/>
    <s v="Machalski"/>
    <n v="8"/>
    <x v="46"/>
  </r>
  <r>
    <d v="2017-10-17T00:00:00"/>
    <s v="Leon"/>
    <s v="Szybki"/>
    <n v="25"/>
    <x v="11"/>
  </r>
  <r>
    <d v="2017-10-17T00:00:00"/>
    <s v="Adam"/>
    <s v="Zega"/>
    <n v="2"/>
    <x v="186"/>
  </r>
  <r>
    <d v="2017-10-17T00:00:00"/>
    <s v="Jan"/>
    <s v="Jarek"/>
    <n v="22"/>
    <x v="442"/>
  </r>
  <r>
    <d v="2017-10-17T00:00:00"/>
    <s v="Adam"/>
    <s v="Madejski"/>
    <n v="23"/>
    <x v="464"/>
  </r>
  <r>
    <d v="2017-10-17T00:00:00"/>
    <s v="Zofia"/>
    <s v="Barak"/>
    <n v="14"/>
    <x v="534"/>
  </r>
  <r>
    <d v="2017-10-17T00:00:00"/>
    <s v="Jakub"/>
    <s v="Radomski"/>
    <n v="7"/>
    <x v="498"/>
  </r>
  <r>
    <d v="2017-10-18T00:00:00"/>
    <s v="Joanna"/>
    <s v="Oleksiak"/>
    <n v="37"/>
    <x v="431"/>
  </r>
  <r>
    <d v="2017-10-18T00:00:00"/>
    <s v="Julia"/>
    <s v="Samulczyk"/>
    <n v="18"/>
    <x v="572"/>
  </r>
  <r>
    <d v="2017-10-18T00:00:00"/>
    <s v="Tomasz"/>
    <s v="Hajdi"/>
    <n v="7"/>
    <x v="347"/>
  </r>
  <r>
    <d v="2017-10-18T00:00:00"/>
    <s v="Ewaryst"/>
    <s v="Zdunek"/>
    <n v="24"/>
    <x v="382"/>
  </r>
  <r>
    <d v="2017-10-18T00:00:00"/>
    <s v="Andrzej"/>
    <s v="Augustowski"/>
    <n v="2"/>
    <x v="35"/>
  </r>
  <r>
    <d v="2017-10-18T00:00:00"/>
    <s v="Joanna"/>
    <s v="Kopacki"/>
    <n v="16"/>
    <x v="314"/>
  </r>
  <r>
    <d v="2017-10-18T00:00:00"/>
    <s v="Ryszarda"/>
    <s v="Januszek"/>
    <n v="11"/>
    <x v="256"/>
  </r>
  <r>
    <d v="2017-10-18T00:00:00"/>
    <s v="Wiera"/>
    <s v="Nowak"/>
    <n v="27"/>
    <x v="239"/>
  </r>
  <r>
    <d v="2017-10-18T00:00:00"/>
    <s v="Marta"/>
    <s v="Wiosna"/>
    <n v="27"/>
    <x v="503"/>
  </r>
  <r>
    <d v="2017-10-18T00:00:00"/>
    <s v="Krzysztof"/>
    <s v="Kukulski"/>
    <n v="42"/>
    <x v="569"/>
  </r>
  <r>
    <d v="2017-10-18T00:00:00"/>
    <s v="Bruno"/>
    <s v="Tomaszewski"/>
    <n v="10"/>
    <x v="257"/>
  </r>
  <r>
    <d v="2017-10-18T00:00:00"/>
    <s v="Monika"/>
    <s v="Trojan"/>
    <n v="28"/>
    <x v="406"/>
  </r>
  <r>
    <d v="2017-10-18T00:00:00"/>
    <s v="Antoni"/>
    <s v="Wierzbicki"/>
    <n v="13"/>
    <x v="384"/>
  </r>
  <r>
    <d v="2017-10-18T00:00:00"/>
    <s v="Edward"/>
    <s v="Snopek"/>
    <n v="29"/>
    <x v="66"/>
  </r>
  <r>
    <d v="2017-10-18T00:00:00"/>
    <s v="Grzegorz"/>
    <s v="Kaminski"/>
    <n v="46"/>
    <x v="500"/>
  </r>
  <r>
    <d v="2017-10-19T00:00:00"/>
    <s v="Borys"/>
    <s v="Winiarski"/>
    <n v="5"/>
    <x v="263"/>
  </r>
  <r>
    <d v="2017-10-19T00:00:00"/>
    <s v="Bruno"/>
    <s v="Tomczyk"/>
    <n v="35"/>
    <x v="465"/>
  </r>
  <r>
    <d v="2017-10-19T00:00:00"/>
    <s v="Anna"/>
    <s v="Trzebiatowska"/>
    <n v="5"/>
    <x v="111"/>
  </r>
  <r>
    <d v="2017-10-19T00:00:00"/>
    <s v="Kacper"/>
    <s v="Pioro"/>
    <n v="35"/>
    <x v="578"/>
  </r>
  <r>
    <d v="2017-10-19T00:00:00"/>
    <s v="Maria"/>
    <s v="Galas"/>
    <n v="8"/>
    <x v="132"/>
  </r>
  <r>
    <d v="2017-10-19T00:00:00"/>
    <s v="Izabela"/>
    <s v="Sobota"/>
    <n v="44"/>
    <x v="380"/>
  </r>
  <r>
    <d v="2017-10-19T00:00:00"/>
    <s v="Izabela"/>
    <s v="Sobota"/>
    <n v="34"/>
    <x v="380"/>
  </r>
  <r>
    <d v="2017-10-19T00:00:00"/>
    <s v="Antoni"/>
    <s v="Pawlus"/>
    <n v="6"/>
    <x v="207"/>
  </r>
  <r>
    <d v="2017-10-19T00:00:00"/>
    <s v="Mariusz"/>
    <s v="Kornik"/>
    <n v="16"/>
    <x v="533"/>
  </r>
  <r>
    <d v="2017-10-19T00:00:00"/>
    <s v="Michal"/>
    <s v="Lenski"/>
    <n v="32"/>
    <x v="126"/>
  </r>
  <r>
    <d v="2017-10-19T00:00:00"/>
    <s v="Julia"/>
    <s v="Wolska"/>
    <n v="35"/>
    <x v="324"/>
  </r>
  <r>
    <d v="2017-10-19T00:00:00"/>
    <s v="Bartosz"/>
    <s v="Tusinski"/>
    <n v="9"/>
    <x v="200"/>
  </r>
  <r>
    <d v="2017-10-19T00:00:00"/>
    <s v="Antoni"/>
    <s v="Wizniewski"/>
    <n v="29"/>
    <x v="338"/>
  </r>
  <r>
    <d v="2017-10-19T00:00:00"/>
    <s v="Dorota"/>
    <s v="Zdun"/>
    <n v="51"/>
    <x v="450"/>
  </r>
  <r>
    <d v="2017-10-20T00:00:00"/>
    <s v="Przemyslaw"/>
    <s v="Widawski"/>
    <n v="14"/>
    <x v="389"/>
  </r>
  <r>
    <d v="2017-10-20T00:00:00"/>
    <s v="Krzysztof"/>
    <s v="Madejski"/>
    <n v="6"/>
    <x v="123"/>
  </r>
  <r>
    <d v="2017-10-20T00:00:00"/>
    <s v="Nikodem"/>
    <s v="Jakubowski"/>
    <n v="7"/>
    <x v="421"/>
  </r>
  <r>
    <d v="2017-10-20T00:00:00"/>
    <s v="Krzysztof"/>
    <s v="Plecien"/>
    <n v="23"/>
    <x v="437"/>
  </r>
  <r>
    <d v="2017-10-20T00:00:00"/>
    <s v="Mateusz"/>
    <s v="Kowalczyk"/>
    <n v="19"/>
    <x v="115"/>
  </r>
  <r>
    <d v="2017-10-20T00:00:00"/>
    <s v="Borys"/>
    <s v="Winiarski"/>
    <n v="9"/>
    <x v="263"/>
  </r>
  <r>
    <d v="2017-10-20T00:00:00"/>
    <s v="Lucja"/>
    <s v="Zych"/>
    <n v="24"/>
    <x v="523"/>
  </r>
  <r>
    <d v="2017-10-20T00:00:00"/>
    <s v="Lidia"/>
    <s v="Goluchowska"/>
    <n v="22"/>
    <x v="248"/>
  </r>
  <r>
    <d v="2017-10-20T00:00:00"/>
    <s v="Maria"/>
    <s v="Kowalczyk"/>
    <n v="22"/>
    <x v="320"/>
  </r>
  <r>
    <d v="2017-10-20T00:00:00"/>
    <s v="Tomasz"/>
    <s v="Ogorek"/>
    <n v="31"/>
    <x v="579"/>
  </r>
  <r>
    <d v="2017-10-20T00:00:00"/>
    <s v="Wojciech"/>
    <s v="Maja"/>
    <n v="4"/>
    <x v="266"/>
  </r>
  <r>
    <d v="2017-10-20T00:00:00"/>
    <s v="Wieslawa"/>
    <s v="Nowak"/>
    <n v="2"/>
    <x v="415"/>
  </r>
  <r>
    <d v="2017-10-20T00:00:00"/>
    <s v="Karolina"/>
    <s v="Bok"/>
    <n v="25"/>
    <x v="435"/>
  </r>
  <r>
    <d v="2017-10-20T00:00:00"/>
    <s v="Tadeusz"/>
    <s v="Stoch"/>
    <n v="17"/>
    <x v="208"/>
  </r>
  <r>
    <d v="2017-10-20T00:00:00"/>
    <s v="Natalia"/>
    <s v="Boryczko"/>
    <n v="6"/>
    <x v="497"/>
  </r>
  <r>
    <d v="2017-10-20T00:00:00"/>
    <s v="Aleksander"/>
    <s v="Pasternak"/>
    <n v="21"/>
    <x v="276"/>
  </r>
  <r>
    <d v="2017-10-20T00:00:00"/>
    <s v="Krzysztof"/>
    <s v="Micun"/>
    <n v="26"/>
    <x v="131"/>
  </r>
  <r>
    <d v="2017-10-23T00:00:00"/>
    <s v="Julian"/>
    <s v="Snopek"/>
    <n v="41"/>
    <x v="531"/>
  </r>
  <r>
    <d v="2017-10-23T00:00:00"/>
    <s v="Julia"/>
    <s v="Zaremba"/>
    <n v="28"/>
    <x v="445"/>
  </r>
  <r>
    <d v="2017-10-23T00:00:00"/>
    <s v="Stanislaw"/>
    <s v="Cieslik"/>
    <n v="11"/>
    <x v="506"/>
  </r>
  <r>
    <d v="2017-10-23T00:00:00"/>
    <s v="Marta"/>
    <s v="Opolska"/>
    <n v="27"/>
    <x v="20"/>
  </r>
  <r>
    <d v="2017-10-23T00:00:00"/>
    <s v="Krzysztof"/>
    <s v="Madejski"/>
    <n v="14"/>
    <x v="123"/>
  </r>
  <r>
    <d v="2017-10-23T00:00:00"/>
    <s v="Ryszard"/>
    <s v="Matusik"/>
    <n v="37"/>
    <x v="328"/>
  </r>
  <r>
    <d v="2017-10-23T00:00:00"/>
    <s v="Marzena"/>
    <s v="Gajek"/>
    <n v="49"/>
    <x v="235"/>
  </r>
  <r>
    <d v="2017-10-23T00:00:00"/>
    <s v="Wieslaw"/>
    <s v="Kasza"/>
    <n v="12"/>
    <x v="72"/>
  </r>
  <r>
    <d v="2017-10-23T00:00:00"/>
    <s v="Helena"/>
    <s v="Stachurska"/>
    <n v="16"/>
    <x v="580"/>
  </r>
  <r>
    <d v="2017-10-23T00:00:00"/>
    <s v="Julia"/>
    <s v="Sadowska"/>
    <n v="20"/>
    <x v="438"/>
  </r>
  <r>
    <d v="2017-10-23T00:00:00"/>
    <s v="Maria"/>
    <s v="Orlicki"/>
    <n v="19"/>
    <x v="499"/>
  </r>
  <r>
    <d v="2017-10-23T00:00:00"/>
    <s v="Milena"/>
    <s v="Karolewska"/>
    <n v="17"/>
    <x v="231"/>
  </r>
  <r>
    <d v="2017-10-23T00:00:00"/>
    <s v="Julian"/>
    <s v="Snopek"/>
    <n v="24"/>
    <x v="531"/>
  </r>
  <r>
    <d v="2017-10-23T00:00:00"/>
    <s v="Bartosz"/>
    <s v="Protasow"/>
    <n v="28"/>
    <x v="33"/>
  </r>
  <r>
    <d v="2017-10-23T00:00:00"/>
    <s v="Adam"/>
    <s v="Zega"/>
    <n v="14"/>
    <x v="186"/>
  </r>
  <r>
    <d v="2017-10-23T00:00:00"/>
    <s v="Malgorzata"/>
    <s v="Winiarska"/>
    <n v="47"/>
    <x v="226"/>
  </r>
  <r>
    <d v="2017-10-23T00:00:00"/>
    <s v="Krzysztof"/>
    <s v="Las"/>
    <n v="6"/>
    <x v="272"/>
  </r>
  <r>
    <d v="2017-10-24T00:00:00"/>
    <s v="Morus"/>
    <s v="Jasiak"/>
    <n v="20"/>
    <x v="418"/>
  </r>
  <r>
    <d v="2017-10-24T00:00:00"/>
    <s v="Kamila"/>
    <s v="Janas"/>
    <n v="9"/>
    <x v="543"/>
  </r>
  <r>
    <d v="2017-10-24T00:00:00"/>
    <s v="Ewa"/>
    <s v="Nowicka"/>
    <n v="43"/>
    <x v="161"/>
  </r>
  <r>
    <d v="2017-10-24T00:00:00"/>
    <s v="Adrian"/>
    <s v="Wydrzynski"/>
    <n v="50"/>
    <x v="565"/>
  </r>
  <r>
    <d v="2017-10-24T00:00:00"/>
    <s v="Jan"/>
    <s v="Gumowski"/>
    <n v="13"/>
    <x v="393"/>
  </r>
  <r>
    <d v="2017-10-24T00:00:00"/>
    <s v="Jerzy"/>
    <s v="Szklarski"/>
    <n v="30"/>
    <x v="575"/>
  </r>
  <r>
    <d v="2017-10-24T00:00:00"/>
    <s v="Michalina"/>
    <s v="Klebba"/>
    <n v="7"/>
    <x v="191"/>
  </r>
  <r>
    <d v="2017-10-24T00:00:00"/>
    <s v="Krzysztof"/>
    <s v="Koncewicz"/>
    <n v="52"/>
    <x v="489"/>
  </r>
  <r>
    <d v="2017-10-24T00:00:00"/>
    <s v="Jan"/>
    <s v="Pistek"/>
    <n v="7"/>
    <x v="335"/>
  </r>
  <r>
    <d v="2017-10-24T00:00:00"/>
    <s v="Dorota"/>
    <s v="Gumowska"/>
    <n v="6"/>
    <x v="295"/>
  </r>
  <r>
    <d v="2017-10-24T00:00:00"/>
    <s v="Maciej"/>
    <s v="Wodecki"/>
    <n v="4"/>
    <x v="573"/>
  </r>
  <r>
    <d v="2017-10-24T00:00:00"/>
    <s v="Bartosz"/>
    <s v="Debicki"/>
    <n v="56"/>
    <x v="564"/>
  </r>
  <r>
    <d v="2017-10-24T00:00:00"/>
    <s v="Lena"/>
    <s v="Marzec"/>
    <n v="54"/>
    <x v="181"/>
  </r>
  <r>
    <d v="2017-10-24T00:00:00"/>
    <s v="Tomasz"/>
    <s v="Zbik"/>
    <n v="10"/>
    <x v="474"/>
  </r>
  <r>
    <d v="2017-10-24T00:00:00"/>
    <s v="Ewa"/>
    <s v="Stoch"/>
    <n v="4"/>
    <x v="45"/>
  </r>
  <r>
    <d v="2017-10-24T00:00:00"/>
    <s v="Edward"/>
    <s v="Snopek"/>
    <n v="27"/>
    <x v="66"/>
  </r>
  <r>
    <d v="2017-10-24T00:00:00"/>
    <s v="Krzysztof"/>
    <s v="Wilecki"/>
    <n v="10"/>
    <x v="198"/>
  </r>
  <r>
    <d v="2017-10-25T00:00:00"/>
    <s v="Jaroslaw"/>
    <s v="Kopytko"/>
    <n v="11"/>
    <x v="542"/>
  </r>
  <r>
    <d v="2017-10-25T00:00:00"/>
    <s v="Filip"/>
    <s v="Strehlke"/>
    <n v="46"/>
    <x v="243"/>
  </r>
  <r>
    <d v="2017-10-25T00:00:00"/>
    <s v="Filip"/>
    <s v="Strupiechowski"/>
    <n v="28"/>
    <x v="484"/>
  </r>
  <r>
    <d v="2017-10-25T00:00:00"/>
    <s v="Wieslawa"/>
    <s v="Biczysko"/>
    <n v="21"/>
    <x v="117"/>
  </r>
  <r>
    <d v="2017-10-25T00:00:00"/>
    <s v="Filip"/>
    <s v="Stanulewicz"/>
    <n v="2"/>
    <x v="278"/>
  </r>
  <r>
    <d v="2017-10-25T00:00:00"/>
    <s v="Bonifacy"/>
    <s v="Pleszewski"/>
    <n v="15"/>
    <x v="491"/>
  </r>
  <r>
    <d v="2017-10-25T00:00:00"/>
    <s v="Natalia"/>
    <s v="Belicka"/>
    <n v="34"/>
    <x v="88"/>
  </r>
  <r>
    <d v="2017-10-25T00:00:00"/>
    <s v="Anna"/>
    <s v="Zender"/>
    <n v="52"/>
    <x v="512"/>
  </r>
  <r>
    <d v="2017-10-25T00:00:00"/>
    <s v="Karolina"/>
    <s v="Karpacka"/>
    <n v="49"/>
    <x v="144"/>
  </r>
  <r>
    <d v="2017-10-25T00:00:00"/>
    <s v="Kacper"/>
    <s v="Nikolajew"/>
    <n v="4"/>
    <x v="282"/>
  </r>
  <r>
    <d v="2017-10-25T00:00:00"/>
    <s v="Ewelina"/>
    <s v="Bialkowska"/>
    <n v="17"/>
    <x v="436"/>
  </r>
  <r>
    <d v="2017-10-25T00:00:00"/>
    <s v="Urszula"/>
    <s v="Engel"/>
    <n v="8"/>
    <x v="495"/>
  </r>
  <r>
    <d v="2017-10-25T00:00:00"/>
    <s v="Agata"/>
    <s v="Zdrojewska"/>
    <n v="39"/>
    <x v="215"/>
  </r>
  <r>
    <d v="2017-10-25T00:00:00"/>
    <s v="Marcin"/>
    <s v="Gizinski"/>
    <n v="32"/>
    <x v="312"/>
  </r>
  <r>
    <d v="2017-10-25T00:00:00"/>
    <s v="Patrycja"/>
    <s v="Grzeszcz"/>
    <n v="12"/>
    <x v="307"/>
  </r>
  <r>
    <d v="2017-10-25T00:00:00"/>
    <s v="Marta"/>
    <s v="Kolodziejczyk"/>
    <n v="10"/>
    <x v="581"/>
  </r>
  <r>
    <d v="2017-10-26T00:00:00"/>
    <s v="Malgorzata"/>
    <s v="Wiecek"/>
    <n v="9"/>
    <x v="106"/>
  </r>
  <r>
    <d v="2017-10-26T00:00:00"/>
    <s v="Ewa"/>
    <s v="Milion"/>
    <n v="26"/>
    <x v="281"/>
  </r>
  <r>
    <d v="2017-10-26T00:00:00"/>
    <s v="Anna"/>
    <s v="Jopek"/>
    <n v="25"/>
    <x v="582"/>
  </r>
  <r>
    <d v="2017-10-26T00:00:00"/>
    <s v="Joanna"/>
    <s v="Baranska"/>
    <n v="2"/>
    <x v="81"/>
  </r>
  <r>
    <d v="2017-10-26T00:00:00"/>
    <s v="Maria"/>
    <s v="Kowalczuk"/>
    <n v="23"/>
    <x v="193"/>
  </r>
  <r>
    <d v="2017-10-26T00:00:00"/>
    <s v="Balbina"/>
    <s v="Madej"/>
    <n v="27"/>
    <x v="319"/>
  </r>
  <r>
    <d v="2017-10-27T00:00:00"/>
    <s v="Edgar"/>
    <s v="Wyszomirski"/>
    <n v="12"/>
    <x v="150"/>
  </r>
  <r>
    <d v="2017-10-27T00:00:00"/>
    <s v="Karol"/>
    <s v="Wojciechowski"/>
    <n v="22"/>
    <x v="311"/>
  </r>
  <r>
    <d v="2017-10-27T00:00:00"/>
    <s v="Wieslawa"/>
    <s v="Biczysko"/>
    <n v="22"/>
    <x v="117"/>
  </r>
  <r>
    <d v="2017-10-27T00:00:00"/>
    <s v="Maciej"/>
    <s v="Kopacz"/>
    <n v="13"/>
    <x v="259"/>
  </r>
  <r>
    <d v="2017-10-27T00:00:00"/>
    <s v="Kazimierz"/>
    <s v="Bartosik"/>
    <n v="8"/>
    <x v="296"/>
  </r>
  <r>
    <d v="2017-10-27T00:00:00"/>
    <s v="Ewa"/>
    <s v="Spoko"/>
    <n v="29"/>
    <x v="583"/>
  </r>
  <r>
    <d v="2017-10-30T00:00:00"/>
    <s v="Kacper"/>
    <s v="Kowalski"/>
    <n v="22"/>
    <x v="584"/>
  </r>
  <r>
    <d v="2017-10-30T00:00:00"/>
    <s v="Barbara"/>
    <s v="Kilarski"/>
    <n v="16"/>
    <x v="402"/>
  </r>
  <r>
    <d v="2017-10-30T00:00:00"/>
    <s v="Kamil"/>
    <s v="Pudelski"/>
    <n v="56"/>
    <x v="136"/>
  </r>
  <r>
    <d v="2017-10-30T00:00:00"/>
    <s v="Przemyslaw"/>
    <s v="Marek"/>
    <n v="3"/>
    <x v="82"/>
  </r>
  <r>
    <d v="2017-10-30T00:00:00"/>
    <s v="Kinga"/>
    <s v="Famura"/>
    <n v="46"/>
    <x v="585"/>
  </r>
  <r>
    <d v="2017-10-30T00:00:00"/>
    <s v="Ilona"/>
    <s v="Gorska"/>
    <n v="28"/>
    <x v="249"/>
  </r>
  <r>
    <d v="2017-10-31T00:00:00"/>
    <s v="Filip"/>
    <s v="Strupiechowski"/>
    <n v="42"/>
    <x v="484"/>
  </r>
  <r>
    <d v="2017-10-31T00:00:00"/>
    <s v="Ewa"/>
    <s v="Milion"/>
    <n v="7"/>
    <x v="281"/>
  </r>
  <r>
    <d v="2017-10-31T00:00:00"/>
    <s v="Dominika"/>
    <s v="Nowakowska"/>
    <n v="18"/>
    <x v="76"/>
  </r>
  <r>
    <d v="2017-10-31T00:00:00"/>
    <s v="Krzysztof"/>
    <s v="Dwa"/>
    <n v="16"/>
    <x v="209"/>
  </r>
  <r>
    <d v="2017-10-31T00:00:00"/>
    <s v="Marcin"/>
    <s v="Tabaka"/>
    <n v="12"/>
    <x v="245"/>
  </r>
  <r>
    <d v="2017-10-31T00:00:00"/>
    <s v="Mariusz"/>
    <s v="Kornik"/>
    <n v="4"/>
    <x v="533"/>
  </r>
  <r>
    <d v="2017-10-31T00:00:00"/>
    <s v="Stefan"/>
    <s v="Bajer"/>
    <n v="36"/>
    <x v="574"/>
  </r>
  <r>
    <d v="2017-10-31T00:00:00"/>
    <s v="Marcin"/>
    <s v="Gizinski"/>
    <n v="22"/>
    <x v="312"/>
  </r>
  <r>
    <d v="2017-10-31T00:00:00"/>
    <s v="Janusz"/>
    <s v="Baka"/>
    <n v="22"/>
    <x v="410"/>
  </r>
  <r>
    <d v="2017-10-31T00:00:00"/>
    <s v="Aleksander"/>
    <s v="Pasternak"/>
    <n v="10"/>
    <x v="276"/>
  </r>
  <r>
    <d v="2017-10-31T00:00:00"/>
    <s v="Leon"/>
    <s v="Szybki"/>
    <n v="3"/>
    <x v="11"/>
  </r>
  <r>
    <d v="2017-10-31T00:00:00"/>
    <s v="Piotr"/>
    <s v="Polkowicki"/>
    <n v="8"/>
    <x v="287"/>
  </r>
  <r>
    <d v="2017-10-31T00:00:00"/>
    <s v="Ignacy"/>
    <s v="Sarnowski"/>
    <n v="7"/>
    <x v="394"/>
  </r>
  <r>
    <d v="2017-10-31T00:00:00"/>
    <s v="Ewa"/>
    <s v="Stoch"/>
    <n v="29"/>
    <x v="45"/>
  </r>
  <r>
    <d v="2017-10-31T00:00:00"/>
    <s v="Marek"/>
    <s v="Janowski"/>
    <n v="7"/>
    <x v="227"/>
  </r>
  <r>
    <d v="2017-10-31T00:00:00"/>
    <s v="Alicja"/>
    <s v="Chmiel"/>
    <n v="20"/>
    <x v="96"/>
  </r>
  <r>
    <d v="2017-10-31T00:00:00"/>
    <s v="Karol"/>
    <s v="Wojciechowski"/>
    <n v="13"/>
    <x v="311"/>
  </r>
  <r>
    <d v="2017-11-01T00:00:00"/>
    <s v="Adam"/>
    <s v="Wata"/>
    <n v="12"/>
    <x v="34"/>
  </r>
  <r>
    <d v="2017-11-01T00:00:00"/>
    <s v="Karol"/>
    <s v="Walasz"/>
    <n v="16"/>
    <x v="375"/>
  </r>
  <r>
    <d v="2017-11-01T00:00:00"/>
    <s v="Hubert"/>
    <s v="Pieczatowski"/>
    <n v="11"/>
    <x v="268"/>
  </r>
  <r>
    <d v="2017-11-01T00:00:00"/>
    <s v="Barbara"/>
    <s v="Podobinska"/>
    <n v="40"/>
    <x v="25"/>
  </r>
  <r>
    <d v="2017-11-01T00:00:00"/>
    <s v="Jakub"/>
    <s v="Rembiewski"/>
    <n v="34"/>
    <x v="284"/>
  </r>
  <r>
    <d v="2017-11-01T00:00:00"/>
    <s v="Wieslawa"/>
    <s v="Nowak"/>
    <n v="36"/>
    <x v="415"/>
  </r>
  <r>
    <d v="2017-11-01T00:00:00"/>
    <s v="Zuzanna"/>
    <s v="Malicki"/>
    <n v="19"/>
    <x v="22"/>
  </r>
  <r>
    <d v="2017-11-01T00:00:00"/>
    <s v="Marta"/>
    <s v="Wiosna"/>
    <n v="22"/>
    <x v="503"/>
  </r>
  <r>
    <d v="2017-11-01T00:00:00"/>
    <s v="Wojciech"/>
    <s v="Wroblewski"/>
    <n v="12"/>
    <x v="160"/>
  </r>
  <r>
    <d v="2017-11-01T00:00:00"/>
    <s v="Anna"/>
    <s v="Jopek"/>
    <n v="28"/>
    <x v="582"/>
  </r>
  <r>
    <d v="2017-11-01T00:00:00"/>
    <s v="Jakub"/>
    <s v="Ropiak"/>
    <n v="48"/>
    <x v="194"/>
  </r>
  <r>
    <d v="2017-11-01T00:00:00"/>
    <s v="Malwina"/>
    <s v="Korzeniowska"/>
    <n v="25"/>
    <x v="30"/>
  </r>
  <r>
    <d v="2017-11-01T00:00:00"/>
    <s v="Gabriela"/>
    <s v="Malinowska"/>
    <n v="16"/>
    <x v="521"/>
  </r>
  <r>
    <d v="2017-11-01T00:00:00"/>
    <s v="Adelajda"/>
    <s v="Zylinska"/>
    <n v="12"/>
    <x v="40"/>
  </r>
  <r>
    <d v="2017-11-01T00:00:00"/>
    <s v="Wojciech"/>
    <s v="Katowicki"/>
    <n v="28"/>
    <x v="73"/>
  </r>
  <r>
    <d v="2017-11-01T00:00:00"/>
    <s v="Maciej"/>
    <s v="Siemiatkowski"/>
    <n v="12"/>
    <x v="60"/>
  </r>
  <r>
    <d v="2017-11-01T00:00:00"/>
    <s v="Zbigniew"/>
    <s v="Maciag"/>
    <n v="17"/>
    <x v="363"/>
  </r>
  <r>
    <d v="2017-11-02T00:00:00"/>
    <s v="Albert"/>
    <s v="Pleszewski"/>
    <n v="16"/>
    <x v="317"/>
  </r>
  <r>
    <d v="2017-11-02T00:00:00"/>
    <s v="Krzysztof"/>
    <s v="Sobieski"/>
    <n v="14"/>
    <x v="528"/>
  </r>
  <r>
    <d v="2017-11-02T00:00:00"/>
    <s v="Monika"/>
    <s v="Placzek"/>
    <n v="25"/>
    <x v="260"/>
  </r>
  <r>
    <d v="2017-11-02T00:00:00"/>
    <s v="Julia"/>
    <s v="Stuhr"/>
    <n v="15"/>
    <x v="94"/>
  </r>
  <r>
    <d v="2017-11-02T00:00:00"/>
    <s v="Jerzy"/>
    <s v="Polanicki"/>
    <n v="16"/>
    <x v="12"/>
  </r>
  <r>
    <d v="2017-11-02T00:00:00"/>
    <s v="Anastazja"/>
    <s v="Borowska"/>
    <n v="35"/>
    <x v="219"/>
  </r>
  <r>
    <d v="2017-11-03T00:00:00"/>
    <s v="Olgierd"/>
    <s v="Baranek"/>
    <n v="2"/>
    <x v="178"/>
  </r>
  <r>
    <d v="2017-11-03T00:00:00"/>
    <s v="Nikodem"/>
    <s v="Jama"/>
    <n v="5"/>
    <x v="322"/>
  </r>
  <r>
    <d v="2017-11-03T00:00:00"/>
    <s v="Julia"/>
    <s v="Riegel"/>
    <n v="14"/>
    <x v="553"/>
  </r>
  <r>
    <d v="2017-11-03T00:00:00"/>
    <s v="Kacper"/>
    <s v="Niec"/>
    <n v="29"/>
    <x v="279"/>
  </r>
  <r>
    <d v="2017-11-03T00:00:00"/>
    <s v="Dorota"/>
    <s v="Adamus"/>
    <n v="13"/>
    <x v="104"/>
  </r>
  <r>
    <d v="2017-11-03T00:00:00"/>
    <s v="Lidia"/>
    <s v="Tarnowska"/>
    <n v="24"/>
    <x v="454"/>
  </r>
  <r>
    <d v="2017-11-06T00:00:00"/>
    <s v="Malgorzata"/>
    <s v="Karlowski"/>
    <n v="2"/>
    <x v="155"/>
  </r>
  <r>
    <d v="2017-11-06T00:00:00"/>
    <s v="Filip"/>
    <s v="Sobol"/>
    <n v="31"/>
    <x v="586"/>
  </r>
  <r>
    <d v="2017-11-06T00:00:00"/>
    <s v="Kamila"/>
    <s v="Knapik"/>
    <n v="18"/>
    <x v="463"/>
  </r>
  <r>
    <d v="2017-11-06T00:00:00"/>
    <s v="Patryk"/>
    <s v="Gibas"/>
    <n v="3"/>
    <x v="551"/>
  </r>
  <r>
    <d v="2017-11-06T00:00:00"/>
    <s v="Barbara"/>
    <s v="Kilarski"/>
    <n v="30"/>
    <x v="402"/>
  </r>
  <r>
    <d v="2017-11-06T00:00:00"/>
    <s v="Amelia"/>
    <s v="Wilk"/>
    <n v="5"/>
    <x v="527"/>
  </r>
  <r>
    <d v="2017-11-07T00:00:00"/>
    <s v="Malwina"/>
    <s v="Korzeniowska"/>
    <n v="13"/>
    <x v="30"/>
  </r>
  <r>
    <d v="2017-11-07T00:00:00"/>
    <s v="Wiera"/>
    <s v="Nowak"/>
    <n v="16"/>
    <x v="239"/>
  </r>
  <r>
    <d v="2017-11-07T00:00:00"/>
    <s v="Maksymilian"/>
    <s v="Lupa"/>
    <n v="3"/>
    <x v="558"/>
  </r>
  <r>
    <d v="2017-11-07T00:00:00"/>
    <s v="Mateusz"/>
    <s v="Krawczyk"/>
    <n v="50"/>
    <x v="262"/>
  </r>
  <r>
    <d v="2017-11-07T00:00:00"/>
    <s v="Dominika"/>
    <s v="Mierny"/>
    <n v="25"/>
    <x v="211"/>
  </r>
  <r>
    <d v="2017-11-07T00:00:00"/>
    <s v="Protazy"/>
    <s v="Warszawski"/>
    <n v="16"/>
    <x v="403"/>
  </r>
  <r>
    <d v="2017-11-08T00:00:00"/>
    <s v="Michal"/>
    <s v="Polaczek"/>
    <n v="13"/>
    <x v="519"/>
  </r>
  <r>
    <d v="2017-11-08T00:00:00"/>
    <s v="Szymon"/>
    <s v="Mrozniak"/>
    <n v="13"/>
    <x v="252"/>
  </r>
  <r>
    <d v="2017-11-08T00:00:00"/>
    <s v="Lukasz"/>
    <s v="Pawlik"/>
    <n v="15"/>
    <x v="401"/>
  </r>
  <r>
    <d v="2017-11-08T00:00:00"/>
    <s v="Wieslawa"/>
    <s v="Nowak"/>
    <n v="41"/>
    <x v="415"/>
  </r>
  <r>
    <d v="2017-11-08T00:00:00"/>
    <s v="Nikodem"/>
    <s v="Jablonski"/>
    <n v="50"/>
    <x v="381"/>
  </r>
  <r>
    <d v="2017-11-08T00:00:00"/>
    <s v="Daria"/>
    <s v="Zagrobna"/>
    <n v="26"/>
    <x v="15"/>
  </r>
  <r>
    <d v="2017-11-09T00:00:00"/>
    <s v="Adrian"/>
    <s v="Zawisza"/>
    <n v="10"/>
    <x v="31"/>
  </r>
  <r>
    <d v="2017-11-09T00:00:00"/>
    <s v="Hubert"/>
    <s v="Smyk"/>
    <n v="10"/>
    <x v="39"/>
  </r>
  <r>
    <d v="2017-11-09T00:00:00"/>
    <s v="Adela"/>
    <s v="Waruszewska"/>
    <n v="20"/>
    <x v="157"/>
  </r>
  <r>
    <d v="2017-11-09T00:00:00"/>
    <s v="Tomasz"/>
    <s v="Tytan"/>
    <n v="26"/>
    <x v="571"/>
  </r>
  <r>
    <d v="2017-11-09T00:00:00"/>
    <s v="Maja"/>
    <s v="Kwidczynska"/>
    <n v="27"/>
    <x v="561"/>
  </r>
  <r>
    <d v="2017-11-09T00:00:00"/>
    <s v="Wojciech"/>
    <s v="Czyzewski"/>
    <n v="24"/>
    <x v="526"/>
  </r>
  <r>
    <d v="2017-11-10T00:00:00"/>
    <s v="Julia"/>
    <s v="Reclaw"/>
    <n v="41"/>
    <x v="47"/>
  </r>
  <r>
    <d v="2017-11-10T00:00:00"/>
    <s v="Bohdan"/>
    <s v="Gigant"/>
    <n v="8"/>
    <x v="212"/>
  </r>
  <r>
    <d v="2017-11-10T00:00:00"/>
    <s v="Adam"/>
    <s v="Czarnecki"/>
    <n v="30"/>
    <x v="587"/>
  </r>
  <r>
    <d v="2017-11-10T00:00:00"/>
    <s v="Wiera"/>
    <s v="Nowak"/>
    <n v="30"/>
    <x v="239"/>
  </r>
  <r>
    <d v="2017-11-10T00:00:00"/>
    <s v="Patryk"/>
    <s v="Glac"/>
    <n v="13"/>
    <x v="301"/>
  </r>
  <r>
    <d v="2017-11-10T00:00:00"/>
    <s v="Inez"/>
    <s v="Nahaj"/>
    <n v="27"/>
    <x v="158"/>
  </r>
  <r>
    <d v="2017-11-10T00:00:00"/>
    <s v="Emilia"/>
    <s v="Mroczek"/>
    <n v="41"/>
    <x v="120"/>
  </r>
  <r>
    <d v="2017-11-10T00:00:00"/>
    <s v="Szymon"/>
    <s v="Polak"/>
    <n v="21"/>
    <x v="265"/>
  </r>
  <r>
    <d v="2017-11-10T00:00:00"/>
    <s v="Janusz"/>
    <s v="Wrobel"/>
    <n v="52"/>
    <x v="411"/>
  </r>
  <r>
    <d v="2017-11-10T00:00:00"/>
    <s v="Urszula"/>
    <s v="Engel"/>
    <n v="23"/>
    <x v="495"/>
  </r>
  <r>
    <d v="2017-11-10T00:00:00"/>
    <s v="Jakub"/>
    <s v="Potocki"/>
    <n v="32"/>
    <x v="55"/>
  </r>
  <r>
    <d v="2017-11-10T00:00:00"/>
    <s v="Ilona"/>
    <s v="Lukaszewska"/>
    <n v="33"/>
    <x v="304"/>
  </r>
  <r>
    <d v="2017-11-10T00:00:00"/>
    <s v="Jacek"/>
    <s v="Bigaj"/>
    <n v="41"/>
    <x v="539"/>
  </r>
  <r>
    <d v="2017-11-10T00:00:00"/>
    <s v="Monika"/>
    <s v="Trojan"/>
    <n v="29"/>
    <x v="406"/>
  </r>
  <r>
    <d v="2017-11-10T00:00:00"/>
    <s v="Kamil"/>
    <s v="Waniek"/>
    <n v="25"/>
    <x v="562"/>
  </r>
  <r>
    <d v="2017-11-10T00:00:00"/>
    <s v="Anna"/>
    <s v="Kraska"/>
    <n v="3"/>
    <x v="559"/>
  </r>
  <r>
    <d v="2017-11-10T00:00:00"/>
    <s v="Jan"/>
    <s v="Marasek"/>
    <n v="23"/>
    <x v="350"/>
  </r>
  <r>
    <d v="2017-11-10T00:00:00"/>
    <s v="Mariola"/>
    <s v="Las"/>
    <n v="25"/>
    <x v="80"/>
  </r>
  <r>
    <d v="2017-11-10T00:00:00"/>
    <s v="Kamil"/>
    <s v="Szyszko"/>
    <n v="29"/>
    <x v="397"/>
  </r>
  <r>
    <d v="2017-11-13T00:00:00"/>
    <s v="Anna"/>
    <s v="Wilk"/>
    <n v="24"/>
    <x v="166"/>
  </r>
  <r>
    <d v="2017-11-13T00:00:00"/>
    <s v="Ryszard"/>
    <s v="Baranowski"/>
    <n v="19"/>
    <x v="556"/>
  </r>
  <r>
    <d v="2017-11-13T00:00:00"/>
    <s v="Olgierd"/>
    <s v="Hazubski"/>
    <n v="7"/>
    <x v="429"/>
  </r>
  <r>
    <d v="2017-11-13T00:00:00"/>
    <s v="Krzysztof"/>
    <s v="Micun"/>
    <n v="7"/>
    <x v="131"/>
  </r>
  <r>
    <d v="2017-11-13T00:00:00"/>
    <s v="Marian"/>
    <s v="Bukalski"/>
    <n v="28"/>
    <x v="434"/>
  </r>
  <r>
    <d v="2017-11-13T00:00:00"/>
    <s v="Dorian"/>
    <s v="Szczepkowski"/>
    <n v="50"/>
    <x v="447"/>
  </r>
  <r>
    <d v="2017-11-13T00:00:00"/>
    <s v="Alicja"/>
    <s v="Walentowicz"/>
    <n v="8"/>
    <x v="479"/>
  </r>
  <r>
    <d v="2017-11-13T00:00:00"/>
    <s v="Agnieszka"/>
    <s v="Matusik"/>
    <n v="3"/>
    <x v="264"/>
  </r>
  <r>
    <d v="2017-11-13T00:00:00"/>
    <s v="Maja"/>
    <s v="Kaminska"/>
    <n v="13"/>
    <x v="359"/>
  </r>
  <r>
    <d v="2017-11-13T00:00:00"/>
    <s v="Ewa"/>
    <s v="Wojna"/>
    <n v="17"/>
    <x v="89"/>
  </r>
  <r>
    <d v="2017-11-13T00:00:00"/>
    <s v="Marzena"/>
    <s v="Jagielska"/>
    <n v="55"/>
    <x v="139"/>
  </r>
  <r>
    <d v="2017-11-13T00:00:00"/>
    <s v="Krzysztof"/>
    <s v="Figurski"/>
    <n v="46"/>
    <x v="168"/>
  </r>
  <r>
    <d v="2017-11-13T00:00:00"/>
    <s v="Marek"/>
    <s v="Sulejski"/>
    <n v="48"/>
    <x v="517"/>
  </r>
  <r>
    <d v="2017-11-13T00:00:00"/>
    <s v="Tomasz"/>
    <s v="Ogorek"/>
    <n v="35"/>
    <x v="579"/>
  </r>
  <r>
    <d v="2017-11-13T00:00:00"/>
    <s v="Kazimierz"/>
    <s v="Biedka"/>
    <n v="54"/>
    <x v="452"/>
  </r>
  <r>
    <d v="2017-11-13T00:00:00"/>
    <s v="Wanda"/>
    <s v="Sadza"/>
    <n v="6"/>
    <x v="100"/>
  </r>
  <r>
    <d v="2017-11-13T00:00:00"/>
    <s v="Ewa"/>
    <s v="Aderek"/>
    <n v="53"/>
    <x v="169"/>
  </r>
  <r>
    <d v="2017-11-13T00:00:00"/>
    <s v="Julia"/>
    <s v="Zaremba"/>
    <n v="29"/>
    <x v="445"/>
  </r>
  <r>
    <d v="2017-11-14T00:00:00"/>
    <s v="Bernard"/>
    <s v="Madej"/>
    <n v="35"/>
    <x v="588"/>
  </r>
  <r>
    <d v="2017-11-14T00:00:00"/>
    <s v="Inez"/>
    <s v="Nahaj"/>
    <n v="24"/>
    <x v="158"/>
  </r>
  <r>
    <d v="2017-11-14T00:00:00"/>
    <s v="Stanislaw"/>
    <s v="Janiec"/>
    <n v="25"/>
    <x v="355"/>
  </r>
  <r>
    <d v="2017-11-14T00:00:00"/>
    <s v="Ewa"/>
    <s v="Wojna"/>
    <n v="10"/>
    <x v="89"/>
  </r>
  <r>
    <d v="2017-11-14T00:00:00"/>
    <s v="Mariola"/>
    <s v="Las"/>
    <n v="10"/>
    <x v="80"/>
  </r>
  <r>
    <d v="2017-11-14T00:00:00"/>
    <s v="Sebastian"/>
    <s v="Powoj"/>
    <n v="6"/>
    <x v="24"/>
  </r>
  <r>
    <d v="2017-11-14T00:00:00"/>
    <s v="Karol"/>
    <s v="Milek"/>
    <n v="20"/>
    <x v="98"/>
  </r>
  <r>
    <d v="2017-11-14T00:00:00"/>
    <s v="Emilia"/>
    <s v="Szczepanska"/>
    <n v="9"/>
    <x v="285"/>
  </r>
  <r>
    <d v="2017-11-15T00:00:00"/>
    <s v="Helena"/>
    <s v="Stachurska"/>
    <n v="5"/>
    <x v="580"/>
  </r>
  <r>
    <d v="2017-11-15T00:00:00"/>
    <s v="Joanna"/>
    <s v="Ottka"/>
    <n v="22"/>
    <x v="250"/>
  </r>
  <r>
    <d v="2017-11-15T00:00:00"/>
    <s v="Monika"/>
    <s v="Placzek"/>
    <n v="10"/>
    <x v="260"/>
  </r>
  <r>
    <d v="2017-11-15T00:00:00"/>
    <s v="Krzysztof"/>
    <s v="Plecien"/>
    <n v="13"/>
    <x v="437"/>
  </r>
  <r>
    <d v="2017-11-15T00:00:00"/>
    <s v="Diana"/>
    <s v="Michalska"/>
    <n v="18"/>
    <x v="290"/>
  </r>
  <r>
    <d v="2017-11-15T00:00:00"/>
    <s v="Justyna"/>
    <s v="Pozarzycka"/>
    <n v="5"/>
    <x v="68"/>
  </r>
  <r>
    <d v="2017-11-15T00:00:00"/>
    <s v="Henryk"/>
    <s v="Siminski"/>
    <n v="26"/>
    <x v="187"/>
  </r>
  <r>
    <d v="2017-11-15T00:00:00"/>
    <s v="Alicja"/>
    <s v="Wojciechowska"/>
    <n v="20"/>
    <x v="589"/>
  </r>
  <r>
    <d v="2017-11-16T00:00:00"/>
    <s v="Weronika"/>
    <s v="Zdroj"/>
    <n v="11"/>
    <x v="116"/>
  </r>
  <r>
    <d v="2017-11-16T00:00:00"/>
    <s v="Ewa"/>
    <s v="Zak"/>
    <n v="23"/>
    <x v="267"/>
  </r>
  <r>
    <d v="2017-11-16T00:00:00"/>
    <s v="Bartosz"/>
    <s v="Mazgaj"/>
    <n v="12"/>
    <x v="340"/>
  </r>
  <r>
    <d v="2017-11-16T00:00:00"/>
    <s v="Cyprian"/>
    <s v="Swierszcz"/>
    <n v="23"/>
    <x v="202"/>
  </r>
  <r>
    <d v="2017-11-16T00:00:00"/>
    <s v="Natalia"/>
    <s v="Mroz"/>
    <n v="9"/>
    <x v="590"/>
  </r>
  <r>
    <d v="2017-11-16T00:00:00"/>
    <s v="Karol"/>
    <s v="Hubicki"/>
    <n v="27"/>
    <x v="537"/>
  </r>
  <r>
    <d v="2017-11-16T00:00:00"/>
    <s v="Piotr"/>
    <s v="Kania"/>
    <n v="26"/>
    <x v="195"/>
  </r>
  <r>
    <d v="2017-11-16T00:00:00"/>
    <s v="Dawid"/>
    <s v="Szreder"/>
    <n v="11"/>
    <x v="388"/>
  </r>
  <r>
    <d v="2017-11-17T00:00:00"/>
    <s v="Marek"/>
    <s v="Janowski"/>
    <n v="14"/>
    <x v="227"/>
  </r>
  <r>
    <d v="2017-11-17T00:00:00"/>
    <s v="Agnieszka"/>
    <s v="Krawczynska"/>
    <n v="24"/>
    <x v="128"/>
  </r>
  <r>
    <d v="2017-11-17T00:00:00"/>
    <s v="Piotr"/>
    <s v="Felus"/>
    <n v="18"/>
    <x v="107"/>
  </r>
  <r>
    <d v="2017-11-17T00:00:00"/>
    <s v="Wojciech"/>
    <s v="Goc"/>
    <n v="13"/>
    <x v="440"/>
  </r>
  <r>
    <d v="2017-11-17T00:00:00"/>
    <s v="Zuzanna"/>
    <s v="Malicki"/>
    <n v="18"/>
    <x v="22"/>
  </r>
  <r>
    <d v="2017-11-17T00:00:00"/>
    <s v="Kacper"/>
    <s v="Nowak"/>
    <n v="36"/>
    <x v="591"/>
  </r>
  <r>
    <d v="2017-11-17T00:00:00"/>
    <s v="Waldemar"/>
    <s v="Koronski"/>
    <n v="23"/>
    <x v="552"/>
  </r>
  <r>
    <d v="2017-11-17T00:00:00"/>
    <s v="Angelika"/>
    <s v="Walaszek"/>
    <n v="7"/>
    <x v="334"/>
  </r>
  <r>
    <d v="2017-11-17T00:00:00"/>
    <s v="Krzysztof"/>
    <s v="Micun"/>
    <n v="54"/>
    <x v="131"/>
  </r>
  <r>
    <d v="2017-11-17T00:00:00"/>
    <s v="Olgierd"/>
    <s v="Baranek"/>
    <n v="48"/>
    <x v="178"/>
  </r>
  <r>
    <d v="2017-11-17T00:00:00"/>
    <s v="Borys"/>
    <s v="Biedal"/>
    <n v="5"/>
    <x v="69"/>
  </r>
  <r>
    <d v="2017-11-17T00:00:00"/>
    <s v="Olaf"/>
    <s v="Hrywniak"/>
    <n v="51"/>
    <x v="214"/>
  </r>
  <r>
    <d v="2017-11-17T00:00:00"/>
    <s v="Bartlomiej"/>
    <s v="Wojciechowski"/>
    <n v="10"/>
    <x v="424"/>
  </r>
  <r>
    <d v="2017-11-17T00:00:00"/>
    <s v="Mariusz"/>
    <s v="Brydzinski"/>
    <n v="24"/>
    <x v="85"/>
  </r>
  <r>
    <d v="2017-11-17T00:00:00"/>
    <s v="Karolina"/>
    <s v="Wrona"/>
    <n v="7"/>
    <x v="135"/>
  </r>
  <r>
    <d v="2017-11-17T00:00:00"/>
    <s v="Anna"/>
    <s v="Wnuk"/>
    <n v="11"/>
    <x v="373"/>
  </r>
  <r>
    <d v="2017-11-17T00:00:00"/>
    <s v="Katarzyna"/>
    <s v="Wip"/>
    <n v="4"/>
    <x v="175"/>
  </r>
  <r>
    <d v="2017-11-20T00:00:00"/>
    <s v="Maja"/>
    <s v="Lange"/>
    <n v="30"/>
    <x v="560"/>
  </r>
  <r>
    <d v="2017-11-20T00:00:00"/>
    <s v="Weronika"/>
    <s v="Zdroj"/>
    <n v="36"/>
    <x v="116"/>
  </r>
  <r>
    <d v="2017-11-20T00:00:00"/>
    <s v="Marek"/>
    <s v="Wolicki"/>
    <n v="22"/>
    <x v="146"/>
  </r>
  <r>
    <d v="2017-11-20T00:00:00"/>
    <s v="Grzegorz"/>
    <s v="Jackowski"/>
    <n v="21"/>
    <x v="592"/>
  </r>
  <r>
    <d v="2017-11-20T00:00:00"/>
    <s v="Jan"/>
    <s v="Zaczyk"/>
    <n v="16"/>
    <x v="472"/>
  </r>
  <r>
    <d v="2017-11-20T00:00:00"/>
    <s v="Albert"/>
    <s v="Pleszewski"/>
    <n v="52"/>
    <x v="317"/>
  </r>
  <r>
    <d v="2017-11-20T00:00:00"/>
    <s v="Monika"/>
    <s v="Lis"/>
    <n v="20"/>
    <x v="367"/>
  </r>
  <r>
    <d v="2017-11-20T00:00:00"/>
    <s v="Hubert"/>
    <s v="Pieczatowski"/>
    <n v="3"/>
    <x v="268"/>
  </r>
  <r>
    <d v="2017-11-20T00:00:00"/>
    <s v="Edward"/>
    <s v="Zdunek"/>
    <n v="23"/>
    <x v="110"/>
  </r>
  <r>
    <d v="2017-11-20T00:00:00"/>
    <s v="Konrad"/>
    <s v="Lipowski"/>
    <n v="4"/>
    <x v="205"/>
  </r>
  <r>
    <d v="2017-11-20T00:00:00"/>
    <s v="Dorota"/>
    <s v="Adamus"/>
    <n v="20"/>
    <x v="104"/>
  </r>
  <r>
    <d v="2017-11-20T00:00:00"/>
    <s v="Alicja"/>
    <s v="Wojciechowska"/>
    <n v="51"/>
    <x v="589"/>
  </r>
  <r>
    <d v="2017-11-20T00:00:00"/>
    <s v="Urszula"/>
    <s v="Pawlak"/>
    <n v="29"/>
    <x v="455"/>
  </r>
  <r>
    <d v="2017-11-20T00:00:00"/>
    <s v="Jakub"/>
    <s v="Rembisz"/>
    <n v="54"/>
    <x v="62"/>
  </r>
  <r>
    <d v="2017-11-20T00:00:00"/>
    <s v="Zofia"/>
    <s v="Broszkow"/>
    <n v="19"/>
    <x v="443"/>
  </r>
  <r>
    <d v="2017-11-20T00:00:00"/>
    <s v="Ilona"/>
    <s v="Nowak"/>
    <n v="25"/>
    <x v="241"/>
  </r>
  <r>
    <d v="2017-11-20T00:00:00"/>
    <s v="Wiktor"/>
    <s v="Lubelski"/>
    <n v="4"/>
    <x v="291"/>
  </r>
  <r>
    <d v="2017-11-20T00:00:00"/>
    <s v="Dominika"/>
    <s v="Madejska"/>
    <n v="10"/>
    <x v="505"/>
  </r>
  <r>
    <d v="2017-11-21T00:00:00"/>
    <s v="Lena"/>
    <s v="Mazurkiewicz"/>
    <n v="9"/>
    <x v="58"/>
  </r>
  <r>
    <d v="2017-11-21T00:00:00"/>
    <s v="Karol"/>
    <s v="Wichrowski"/>
    <n v="8"/>
    <x v="468"/>
  </r>
  <r>
    <d v="2017-11-21T00:00:00"/>
    <s v="Kamila"/>
    <s v="Knapik"/>
    <n v="50"/>
    <x v="463"/>
  </r>
  <r>
    <d v="2017-11-21T00:00:00"/>
    <s v="Joanna"/>
    <s v="Zygmunt"/>
    <n v="18"/>
    <x v="192"/>
  </r>
  <r>
    <d v="2017-11-21T00:00:00"/>
    <s v="Kinga"/>
    <s v="Trawinska"/>
    <n v="42"/>
    <x v="366"/>
  </r>
  <r>
    <d v="2017-11-21T00:00:00"/>
    <s v="Teodor"/>
    <s v="Fornal"/>
    <n v="24"/>
    <x v="36"/>
  </r>
  <r>
    <d v="2017-11-21T00:00:00"/>
    <s v="Zofia"/>
    <s v="Polak"/>
    <n v="31"/>
    <x v="487"/>
  </r>
  <r>
    <d v="2017-11-21T00:00:00"/>
    <s v="Zbigniew"/>
    <s v="Paderewski"/>
    <n v="46"/>
    <x v="199"/>
  </r>
  <r>
    <d v="2017-11-21T00:00:00"/>
    <s v="Pawel"/>
    <s v="Nowak"/>
    <n v="9"/>
    <x v="190"/>
  </r>
  <r>
    <d v="2017-11-21T00:00:00"/>
    <s v="Kazimierz"/>
    <s v="Biedka"/>
    <n v="9"/>
    <x v="452"/>
  </r>
  <r>
    <d v="2017-11-21T00:00:00"/>
    <s v="Andrzej"/>
    <s v="Moldawiec"/>
    <n v="53"/>
    <x v="21"/>
  </r>
  <r>
    <d v="2017-11-21T00:00:00"/>
    <s v="Ewelina"/>
    <s v="Bialkowska"/>
    <n v="5"/>
    <x v="436"/>
  </r>
  <r>
    <d v="2017-11-21T00:00:00"/>
    <s v="Stanislaw"/>
    <s v="Derek"/>
    <n v="39"/>
    <x v="79"/>
  </r>
  <r>
    <d v="2017-11-21T00:00:00"/>
    <s v="Ryszarda"/>
    <s v="Januszek"/>
    <n v="43"/>
    <x v="256"/>
  </r>
  <r>
    <d v="2017-11-21T00:00:00"/>
    <s v="Jan"/>
    <s v="Zdunski"/>
    <n v="14"/>
    <x v="238"/>
  </r>
  <r>
    <d v="2017-11-21T00:00:00"/>
    <s v="Krzysztof"/>
    <s v="Konieckiewicz"/>
    <n v="25"/>
    <x v="87"/>
  </r>
  <r>
    <d v="2017-11-21T00:00:00"/>
    <s v="Justyna"/>
    <s v="Pozarzycka"/>
    <n v="16"/>
    <x v="68"/>
  </r>
  <r>
    <d v="2017-11-21T00:00:00"/>
    <s v="Bruno"/>
    <s v="Tomczyk"/>
    <n v="23"/>
    <x v="465"/>
  </r>
  <r>
    <d v="2017-11-22T00:00:00"/>
    <s v="Agnieszka"/>
    <s v="Polak"/>
    <n v="12"/>
    <x v="0"/>
  </r>
  <r>
    <d v="2017-11-22T00:00:00"/>
    <s v="Bruno"/>
    <s v="Tomaszewski"/>
    <n v="10"/>
    <x v="257"/>
  </r>
  <r>
    <d v="2017-11-22T00:00:00"/>
    <s v="Balbina"/>
    <s v="Majewska"/>
    <n v="49"/>
    <x v="529"/>
  </r>
  <r>
    <d v="2017-11-22T00:00:00"/>
    <s v="Szymon"/>
    <s v="Polak"/>
    <n v="9"/>
    <x v="265"/>
  </r>
  <r>
    <d v="2017-11-22T00:00:00"/>
    <s v="Anna"/>
    <s v="Kosowicz"/>
    <n v="14"/>
    <x v="27"/>
  </r>
  <r>
    <d v="2017-11-22T00:00:00"/>
    <s v="Matylda"/>
    <s v="Kluziak"/>
    <n v="23"/>
    <x v="293"/>
  </r>
  <r>
    <d v="2017-11-22T00:00:00"/>
    <s v="Szymon"/>
    <s v="Mrozniak"/>
    <n v="12"/>
    <x v="252"/>
  </r>
  <r>
    <d v="2017-11-22T00:00:00"/>
    <s v="Lukasz"/>
    <s v="Kopecki"/>
    <n v="14"/>
    <x v="210"/>
  </r>
  <r>
    <d v="2017-11-22T00:00:00"/>
    <s v="Paulina"/>
    <s v="Szklarska"/>
    <n v="5"/>
    <x v="49"/>
  </r>
  <r>
    <d v="2017-11-22T00:00:00"/>
    <s v="Maciej"/>
    <s v="Wodecki"/>
    <n v="13"/>
    <x v="573"/>
  </r>
  <r>
    <d v="2017-11-22T00:00:00"/>
    <s v="Monika"/>
    <s v="Piterka"/>
    <n v="5"/>
    <x v="148"/>
  </r>
  <r>
    <d v="2017-11-22T00:00:00"/>
    <s v="Jakub"/>
    <s v="Holmes"/>
    <n v="29"/>
    <x v="315"/>
  </r>
  <r>
    <d v="2017-11-22T00:00:00"/>
    <s v="Julian"/>
    <s v="Snopek"/>
    <n v="24"/>
    <x v="531"/>
  </r>
  <r>
    <d v="2017-11-22T00:00:00"/>
    <s v="Radoslaw"/>
    <s v="Sowinska"/>
    <n v="2"/>
    <x v="374"/>
  </r>
  <r>
    <d v="2017-11-22T00:00:00"/>
    <s v="Anna"/>
    <s v="Jopek"/>
    <n v="41"/>
    <x v="582"/>
  </r>
  <r>
    <d v="2017-11-22T00:00:00"/>
    <s v="Filip"/>
    <s v="Strupiechowski"/>
    <n v="21"/>
    <x v="484"/>
  </r>
  <r>
    <d v="2017-11-22T00:00:00"/>
    <s v="Zofia"/>
    <s v="Adamiak"/>
    <n v="25"/>
    <x v="540"/>
  </r>
  <r>
    <d v="2017-11-22T00:00:00"/>
    <s v="Aleks"/>
    <s v="Wojcicki"/>
    <n v="26"/>
    <x v="576"/>
  </r>
  <r>
    <d v="2017-11-22T00:00:00"/>
    <s v="Ewa"/>
    <s v="Tarnowska"/>
    <n v="14"/>
    <x v="303"/>
  </r>
  <r>
    <d v="2017-11-23T00:00:00"/>
    <s v="Jan"/>
    <s v="Bikot"/>
    <n v="14"/>
    <x v="86"/>
  </r>
  <r>
    <d v="2017-11-23T00:00:00"/>
    <s v="Julian"/>
    <s v="Snopek"/>
    <n v="39"/>
    <x v="531"/>
  </r>
  <r>
    <d v="2017-11-23T00:00:00"/>
    <s v="Karol"/>
    <s v="Hubicki"/>
    <n v="25"/>
    <x v="537"/>
  </r>
  <r>
    <d v="2017-11-23T00:00:00"/>
    <s v="Tomasz"/>
    <s v="Tutaj"/>
    <n v="15"/>
    <x v="486"/>
  </r>
  <r>
    <d v="2017-11-23T00:00:00"/>
    <s v="Adam"/>
    <s v="Madejski"/>
    <n v="9"/>
    <x v="464"/>
  </r>
  <r>
    <d v="2017-11-23T00:00:00"/>
    <s v="Aleksandra"/>
    <s v="Kwas"/>
    <n v="10"/>
    <x v="309"/>
  </r>
  <r>
    <d v="2017-11-23T00:00:00"/>
    <s v="Adam"/>
    <s v="Madejski"/>
    <n v="12"/>
    <x v="464"/>
  </r>
  <r>
    <d v="2017-11-23T00:00:00"/>
    <s v="Adam"/>
    <s v="Borkowski"/>
    <n v="19"/>
    <x v="341"/>
  </r>
  <r>
    <d v="2017-11-23T00:00:00"/>
    <s v="Ewelina"/>
    <s v="Mirska"/>
    <n v="43"/>
    <x v="513"/>
  </r>
  <r>
    <d v="2017-11-24T00:00:00"/>
    <s v="Jan"/>
    <s v="Kwiatkowski"/>
    <n v="13"/>
    <x v="593"/>
  </r>
  <r>
    <d v="2017-11-24T00:00:00"/>
    <s v="Marcin"/>
    <s v="Wrobel"/>
    <n v="38"/>
    <x v="124"/>
  </r>
  <r>
    <d v="2017-11-24T00:00:00"/>
    <s v="Krzysztof"/>
    <s v="Plecien"/>
    <n v="9"/>
    <x v="437"/>
  </r>
  <r>
    <d v="2017-11-24T00:00:00"/>
    <s v="Adam"/>
    <s v="Madejski"/>
    <n v="10"/>
    <x v="464"/>
  </r>
  <r>
    <d v="2017-11-24T00:00:00"/>
    <s v="Szymon"/>
    <s v="Polak"/>
    <n v="13"/>
    <x v="265"/>
  </r>
  <r>
    <d v="2017-11-24T00:00:00"/>
    <s v="Mateusz"/>
    <s v="Kowalczyk"/>
    <n v="6"/>
    <x v="115"/>
  </r>
  <r>
    <d v="2017-11-24T00:00:00"/>
    <s v="Jakub"/>
    <s v="Przestrzelski"/>
    <n v="26"/>
    <x v="313"/>
  </r>
  <r>
    <d v="2017-11-24T00:00:00"/>
    <s v="Janina"/>
    <s v="Podlaska"/>
    <n v="24"/>
    <x v="244"/>
  </r>
  <r>
    <d v="2017-11-24T00:00:00"/>
    <s v="Hubert"/>
    <s v="Smyk"/>
    <n v="13"/>
    <x v="39"/>
  </r>
  <r>
    <d v="2017-11-24T00:00:00"/>
    <s v="Julia"/>
    <s v="Stuhr"/>
    <n v="19"/>
    <x v="94"/>
  </r>
  <r>
    <d v="2017-11-24T00:00:00"/>
    <s v="Krzysztof"/>
    <s v="Figurski"/>
    <n v="22"/>
    <x v="168"/>
  </r>
  <r>
    <d v="2017-11-24T00:00:00"/>
    <s v="Mateusz"/>
    <s v="Polak"/>
    <n v="2"/>
    <x v="237"/>
  </r>
  <r>
    <d v="2017-11-24T00:00:00"/>
    <s v="Alicja"/>
    <s v="Wymyslowska"/>
    <n v="2"/>
    <x v="492"/>
  </r>
  <r>
    <d v="2017-11-24T00:00:00"/>
    <s v="Maciej"/>
    <s v="Nowak"/>
    <n v="18"/>
    <x v="387"/>
  </r>
  <r>
    <d v="2017-11-24T00:00:00"/>
    <s v="Filip"/>
    <s v="Strack"/>
    <n v="24"/>
    <x v="37"/>
  </r>
  <r>
    <d v="2017-11-24T00:00:00"/>
    <s v="Daria"/>
    <s v="Mikos"/>
    <n v="24"/>
    <x v="289"/>
  </r>
  <r>
    <d v="2017-11-24T00:00:00"/>
    <s v="Karolina"/>
    <s v="Karpacka"/>
    <n v="17"/>
    <x v="144"/>
  </r>
  <r>
    <d v="2017-11-24T00:00:00"/>
    <s v="Dominik"/>
    <s v="Szmitko"/>
    <n v="18"/>
    <x v="305"/>
  </r>
  <r>
    <d v="2017-11-24T00:00:00"/>
    <s v="Jan"/>
    <s v="Marasek"/>
    <n v="26"/>
    <x v="350"/>
  </r>
  <r>
    <d v="2017-11-27T00:00:00"/>
    <s v="Anna"/>
    <s v="Kosowicz"/>
    <n v="2"/>
    <x v="27"/>
  </r>
  <r>
    <d v="2017-11-27T00:00:00"/>
    <s v="Lukasz"/>
    <s v="Pawlik"/>
    <n v="51"/>
    <x v="401"/>
  </r>
  <r>
    <d v="2017-11-27T00:00:00"/>
    <s v="Antoni"/>
    <s v="Pisowlodzki"/>
    <n v="20"/>
    <x v="594"/>
  </r>
  <r>
    <d v="2017-11-27T00:00:00"/>
    <s v="Karol"/>
    <s v="Hubicki"/>
    <n v="5"/>
    <x v="537"/>
  </r>
  <r>
    <d v="2017-11-27T00:00:00"/>
    <s v="Maksymilian"/>
    <s v="Piwko"/>
    <n v="43"/>
    <x v="234"/>
  </r>
  <r>
    <d v="2017-11-27T00:00:00"/>
    <s v="Jakub"/>
    <s v="Holmes"/>
    <n v="25"/>
    <x v="315"/>
  </r>
  <r>
    <d v="2017-11-27T00:00:00"/>
    <s v="Joanna"/>
    <s v="Baranska"/>
    <n v="26"/>
    <x v="81"/>
  </r>
  <r>
    <d v="2017-11-27T00:00:00"/>
    <s v="Zuzanna"/>
    <s v="Kalisz"/>
    <n v="25"/>
    <x v="274"/>
  </r>
  <r>
    <d v="2017-11-27T00:00:00"/>
    <s v="Dominika"/>
    <s v="Wierzbicka"/>
    <n v="40"/>
    <x v="220"/>
  </r>
  <r>
    <d v="2017-11-28T00:00:00"/>
    <s v="Julia"/>
    <s v="Rutkiewicz"/>
    <n v="26"/>
    <x v="16"/>
  </r>
  <r>
    <d v="2017-11-28T00:00:00"/>
    <s v="Aleksander"/>
    <s v="Koc"/>
    <n v="49"/>
    <x v="404"/>
  </r>
  <r>
    <d v="2017-11-28T00:00:00"/>
    <s v="Julian"/>
    <s v="Pawik"/>
    <n v="6"/>
    <x v="439"/>
  </r>
  <r>
    <d v="2017-11-28T00:00:00"/>
    <s v="Marek"/>
    <s v="Zybert"/>
    <n v="6"/>
    <x v="345"/>
  </r>
  <r>
    <d v="2017-11-28T00:00:00"/>
    <s v="Marek"/>
    <s v="Zybert"/>
    <n v="11"/>
    <x v="345"/>
  </r>
  <r>
    <d v="2017-11-28T00:00:00"/>
    <s v="Maciej"/>
    <s v="Wodecki"/>
    <n v="34"/>
    <x v="573"/>
  </r>
  <r>
    <d v="2017-11-28T00:00:00"/>
    <s v="Karol"/>
    <s v="Felisiak"/>
    <n v="8"/>
    <x v="41"/>
  </r>
  <r>
    <d v="2017-11-28T00:00:00"/>
    <s v="Natalia"/>
    <s v="Mroz"/>
    <n v="17"/>
    <x v="590"/>
  </r>
  <r>
    <d v="2017-11-28T00:00:00"/>
    <s v="Marta"/>
    <s v="Opolska"/>
    <n v="29"/>
    <x v="20"/>
  </r>
  <r>
    <d v="2017-11-29T00:00:00"/>
    <s v="Hubert"/>
    <s v="Nowaczynski"/>
    <n v="12"/>
    <x v="43"/>
  </r>
  <r>
    <d v="2017-11-29T00:00:00"/>
    <s v="Krzysztof"/>
    <s v="Czyz"/>
    <n v="19"/>
    <x v="197"/>
  </r>
  <r>
    <d v="2017-11-29T00:00:00"/>
    <s v="Krzysztof"/>
    <s v="Czyz"/>
    <n v="21"/>
    <x v="197"/>
  </r>
  <r>
    <d v="2017-11-29T00:00:00"/>
    <s v="Ewa"/>
    <s v="Milion"/>
    <n v="33"/>
    <x v="281"/>
  </r>
  <r>
    <d v="2017-11-29T00:00:00"/>
    <s v="Piotr"/>
    <s v="Bialaszewski"/>
    <n v="51"/>
    <x v="17"/>
  </r>
  <r>
    <d v="2017-11-29T00:00:00"/>
    <s v="Jan"/>
    <s v="Kildanowski"/>
    <n v="10"/>
    <x v="477"/>
  </r>
  <r>
    <d v="2017-11-29T00:00:00"/>
    <s v="Karolina"/>
    <s v="Welc"/>
    <n v="35"/>
    <x v="119"/>
  </r>
  <r>
    <d v="2017-11-29T00:00:00"/>
    <s v="Barbara"/>
    <s v="Bury"/>
    <n v="22"/>
    <x v="246"/>
  </r>
  <r>
    <d v="2017-11-29T00:00:00"/>
    <s v="Jacek"/>
    <s v="Szypulski"/>
    <n v="17"/>
    <x v="113"/>
  </r>
  <r>
    <d v="2017-11-30T00:00:00"/>
    <s v="Urszula"/>
    <s v="Pawlak"/>
    <n v="28"/>
    <x v="455"/>
  </r>
  <r>
    <d v="2017-11-30T00:00:00"/>
    <s v="Jaroslaw"/>
    <s v="Kopiec"/>
    <n v="33"/>
    <x v="103"/>
  </r>
  <r>
    <d v="2017-11-30T00:00:00"/>
    <s v="Jacek"/>
    <s v="Pieczatowski"/>
    <n v="45"/>
    <x v="520"/>
  </r>
  <r>
    <d v="2017-11-30T00:00:00"/>
    <s v="Dominik"/>
    <s v="Szmitko"/>
    <n v="20"/>
    <x v="305"/>
  </r>
  <r>
    <d v="2017-11-30T00:00:00"/>
    <s v="Mariusz"/>
    <s v="Brydzinski"/>
    <n v="39"/>
    <x v="85"/>
  </r>
  <r>
    <d v="2017-11-30T00:00:00"/>
    <s v="Jerzy"/>
    <s v="Polanicki"/>
    <n v="8"/>
    <x v="12"/>
  </r>
  <r>
    <d v="2017-11-30T00:00:00"/>
    <s v="Patrycja"/>
    <s v="Glowinska"/>
    <n v="10"/>
    <x v="28"/>
  </r>
  <r>
    <d v="2017-11-30T00:00:00"/>
    <s v="Adam"/>
    <s v="Zega"/>
    <n v="5"/>
    <x v="186"/>
  </r>
  <r>
    <d v="2017-11-30T00:00:00"/>
    <s v="Beata"/>
    <s v="Fles"/>
    <n v="32"/>
    <x v="163"/>
  </r>
  <r>
    <d v="2017-12-01T00:00:00"/>
    <s v="Monika"/>
    <s v="Piterka"/>
    <n v="23"/>
    <x v="148"/>
  </r>
  <r>
    <d v="2017-12-01T00:00:00"/>
    <s v="Karolina"/>
    <s v="Pawelska"/>
    <n v="11"/>
    <x v="364"/>
  </r>
  <r>
    <d v="2017-12-01T00:00:00"/>
    <s v="Laura"/>
    <s v="Chmielewska"/>
    <n v="17"/>
    <x v="29"/>
  </r>
  <r>
    <d v="2017-12-01T00:00:00"/>
    <s v="Sebastian"/>
    <s v="Powoj"/>
    <n v="22"/>
    <x v="24"/>
  </r>
  <r>
    <d v="2017-12-01T00:00:00"/>
    <s v="Sebastian"/>
    <s v="Powoj"/>
    <n v="26"/>
    <x v="24"/>
  </r>
  <r>
    <d v="2017-12-01T00:00:00"/>
    <s v="Anna"/>
    <s v="Janowska"/>
    <n v="48"/>
    <x v="174"/>
  </r>
  <r>
    <d v="2017-12-01T00:00:00"/>
    <s v="Maja"/>
    <s v="Kulkowska"/>
    <n v="5"/>
    <x v="4"/>
  </r>
  <r>
    <d v="2017-12-01T00:00:00"/>
    <s v="Sebastian"/>
    <s v="Powoj"/>
    <n v="31"/>
    <x v="24"/>
  </r>
  <r>
    <d v="2017-12-01T00:00:00"/>
    <s v="Joanna"/>
    <s v="Oleksiak"/>
    <n v="5"/>
    <x v="431"/>
  </r>
  <r>
    <d v="2017-12-04T00:00:00"/>
    <s v="Julia"/>
    <s v="Salanowska"/>
    <n v="18"/>
    <x v="229"/>
  </r>
  <r>
    <d v="2017-12-04T00:00:00"/>
    <s v="Piotr"/>
    <s v="Flis"/>
    <n v="13"/>
    <x v="99"/>
  </r>
  <r>
    <d v="2017-12-04T00:00:00"/>
    <s v="Anastazja"/>
    <s v="Borowska"/>
    <n v="55"/>
    <x v="219"/>
  </r>
  <r>
    <d v="2017-12-04T00:00:00"/>
    <s v="Maciej"/>
    <s v="Bugaj"/>
    <n v="12"/>
    <x v="343"/>
  </r>
  <r>
    <d v="2017-12-04T00:00:00"/>
    <s v="Katarzyna"/>
    <s v="Karnia"/>
    <n v="15"/>
    <x v="595"/>
  </r>
  <r>
    <d v="2017-12-04T00:00:00"/>
    <s v="Sebastian"/>
    <s v="Powoj"/>
    <n v="10"/>
    <x v="24"/>
  </r>
  <r>
    <d v="2017-12-04T00:00:00"/>
    <s v="Bonifacy"/>
    <s v="Pleszewski"/>
    <n v="6"/>
    <x v="491"/>
  </r>
  <r>
    <d v="2017-12-04T00:00:00"/>
    <s v="Konrad"/>
    <s v="Lipowski"/>
    <n v="9"/>
    <x v="205"/>
  </r>
  <r>
    <d v="2017-12-04T00:00:00"/>
    <s v="Patryk"/>
    <s v="Geszczynski"/>
    <n v="48"/>
    <x v="308"/>
  </r>
  <r>
    <d v="2017-12-05T00:00:00"/>
    <s v="Kazimierz"/>
    <s v="Bartosik"/>
    <n v="21"/>
    <x v="296"/>
  </r>
  <r>
    <d v="2017-12-05T00:00:00"/>
    <s v="Mariola"/>
    <s v="Mleczko"/>
    <n v="2"/>
    <x v="544"/>
  </r>
  <r>
    <d v="2017-12-05T00:00:00"/>
    <s v="Anna"/>
    <s v="Trzebiatowska"/>
    <n v="45"/>
    <x v="111"/>
  </r>
  <r>
    <d v="2017-12-05T00:00:00"/>
    <s v="Adrian"/>
    <s v="Baran"/>
    <n v="34"/>
    <x v="321"/>
  </r>
  <r>
    <d v="2017-12-05T00:00:00"/>
    <s v="Piotr"/>
    <s v="Felus"/>
    <n v="22"/>
    <x v="107"/>
  </r>
  <r>
    <d v="2017-12-05T00:00:00"/>
    <s v="Agata"/>
    <s v="Zgoda"/>
    <n v="6"/>
    <x v="371"/>
  </r>
  <r>
    <d v="2017-12-05T00:00:00"/>
    <s v="Przemyslaw"/>
    <s v="Widawski"/>
    <n v="19"/>
    <x v="389"/>
  </r>
  <r>
    <d v="2017-12-05T00:00:00"/>
    <s v="Patryk"/>
    <s v="Giemza"/>
    <n v="22"/>
    <x v="5"/>
  </r>
  <r>
    <d v="2017-12-05T00:00:00"/>
    <s v="Agnieszka"/>
    <s v="Kaminska"/>
    <n v="10"/>
    <x v="270"/>
  </r>
  <r>
    <d v="2017-12-06T00:00:00"/>
    <s v="Olgierd"/>
    <s v="Hazubski"/>
    <n v="20"/>
    <x v="429"/>
  </r>
  <r>
    <d v="2017-12-06T00:00:00"/>
    <s v="Lukasz"/>
    <s v="Gacek"/>
    <n v="40"/>
    <x v="596"/>
  </r>
  <r>
    <d v="2017-12-06T00:00:00"/>
    <s v="Stanislaw"/>
    <s v="Dabrowski"/>
    <n v="14"/>
    <x v="577"/>
  </r>
  <r>
    <d v="2017-12-06T00:00:00"/>
    <s v="Monika"/>
    <s v="Nowaczkiewicz"/>
    <n v="5"/>
    <x v="288"/>
  </r>
  <r>
    <d v="2017-12-06T00:00:00"/>
    <s v="Malgorzata"/>
    <s v="Malec"/>
    <n v="3"/>
    <x v="224"/>
  </r>
  <r>
    <d v="2017-12-06T00:00:00"/>
    <s v="Lidia"/>
    <s v="Tarnowska"/>
    <n v="14"/>
    <x v="454"/>
  </r>
  <r>
    <d v="2017-12-06T00:00:00"/>
    <s v="Maciej"/>
    <s v="Bugaj"/>
    <n v="7"/>
    <x v="343"/>
  </r>
  <r>
    <d v="2017-12-06T00:00:00"/>
    <s v="Jan"/>
    <s v="Jarek"/>
    <n v="24"/>
    <x v="442"/>
  </r>
  <r>
    <d v="2017-12-06T00:00:00"/>
    <s v="Katarzyna"/>
    <s v="Wip"/>
    <n v="39"/>
    <x v="175"/>
  </r>
  <r>
    <d v="2017-12-06T00:00:00"/>
    <s v="Borys"/>
    <s v="Biedal"/>
    <n v="9"/>
    <x v="69"/>
  </r>
  <r>
    <d v="2017-12-07T00:00:00"/>
    <s v="Adrian"/>
    <s v="Zawisza"/>
    <n v="17"/>
    <x v="31"/>
  </r>
  <r>
    <d v="2017-12-07T00:00:00"/>
    <s v="Ilona"/>
    <s v="Gorska"/>
    <n v="22"/>
    <x v="249"/>
  </r>
  <r>
    <d v="2017-12-07T00:00:00"/>
    <s v="Bruno"/>
    <s v="Tomczyk"/>
    <n v="12"/>
    <x v="465"/>
  </r>
  <r>
    <d v="2017-12-07T00:00:00"/>
    <s v="Krystyna"/>
    <s v="Szybki"/>
    <n v="7"/>
    <x v="222"/>
  </r>
  <r>
    <d v="2017-12-07T00:00:00"/>
    <s v="Jakub"/>
    <s v="Bracik"/>
    <n v="15"/>
    <x v="189"/>
  </r>
  <r>
    <d v="2017-12-07T00:00:00"/>
    <s v="Mariusz"/>
    <s v="Kornik"/>
    <n v="24"/>
    <x v="533"/>
  </r>
  <r>
    <d v="2017-12-07T00:00:00"/>
    <s v="Dominika"/>
    <s v="Szwec"/>
    <n v="49"/>
    <x v="378"/>
  </r>
  <r>
    <d v="2017-12-07T00:00:00"/>
    <s v="Paulina"/>
    <s v="Baranowska"/>
    <n v="12"/>
    <x v="525"/>
  </r>
  <r>
    <d v="2017-12-07T00:00:00"/>
    <s v="Kamila"/>
    <s v="Wolan"/>
    <n v="24"/>
    <x v="183"/>
  </r>
  <r>
    <d v="2017-12-07T00:00:00"/>
    <s v="Anna"/>
    <s v="Janowska"/>
    <n v="9"/>
    <x v="174"/>
  </r>
  <r>
    <d v="2017-12-08T00:00:00"/>
    <s v="Maciej"/>
    <s v="Lyszcz"/>
    <n v="6"/>
    <x v="14"/>
  </r>
  <r>
    <d v="2017-12-08T00:00:00"/>
    <s v="Renata"/>
    <s v="Kepa"/>
    <n v="5"/>
    <x v="522"/>
  </r>
  <r>
    <d v="2017-12-08T00:00:00"/>
    <s v="Maja"/>
    <s v="Lipka"/>
    <n v="9"/>
    <x v="18"/>
  </r>
  <r>
    <d v="2017-12-08T00:00:00"/>
    <s v="Kacper"/>
    <s v="Kowalski"/>
    <n v="15"/>
    <x v="584"/>
  </r>
  <r>
    <d v="2017-12-08T00:00:00"/>
    <s v="Olga"/>
    <s v="Paluszkiewicz"/>
    <n v="21"/>
    <x v="480"/>
  </r>
  <r>
    <d v="2017-12-08T00:00:00"/>
    <s v="Jakub"/>
    <s v="Radomski"/>
    <n v="2"/>
    <x v="498"/>
  </r>
  <r>
    <d v="2017-12-08T00:00:00"/>
    <s v="Jakub"/>
    <s v="Radziszewski"/>
    <n v="48"/>
    <x v="471"/>
  </r>
  <r>
    <d v="2017-12-08T00:00:00"/>
    <s v="Krzysztof"/>
    <s v="Wloch"/>
    <n v="3"/>
    <x v="342"/>
  </r>
  <r>
    <d v="2017-12-08T00:00:00"/>
    <s v="Martyna"/>
    <s v="Marmelowska"/>
    <n v="52"/>
    <x v="221"/>
  </r>
  <r>
    <d v="2017-12-08T00:00:00"/>
    <s v="Konrad"/>
    <s v="Lipowski"/>
    <n v="7"/>
    <x v="205"/>
  </r>
  <r>
    <d v="2017-12-11T00:00:00"/>
    <s v="Monika"/>
    <s v="Srubka"/>
    <n v="12"/>
    <x v="453"/>
  </r>
  <r>
    <d v="2017-12-11T00:00:00"/>
    <s v="Natalia"/>
    <s v="Wolny"/>
    <n v="5"/>
    <x v="213"/>
  </r>
  <r>
    <d v="2017-12-11T00:00:00"/>
    <s v="Kamila"/>
    <s v="Wolan"/>
    <n v="7"/>
    <x v="183"/>
  </r>
  <r>
    <d v="2017-12-11T00:00:00"/>
    <s v="Wojciech"/>
    <s v="Czyzewski"/>
    <n v="22"/>
    <x v="526"/>
  </r>
  <r>
    <d v="2017-12-11T00:00:00"/>
    <s v="Kamila"/>
    <s v="Bialkowska"/>
    <n v="5"/>
    <x v="330"/>
  </r>
  <r>
    <d v="2017-12-11T00:00:00"/>
    <s v="Hubert"/>
    <s v="Nowaczynski"/>
    <n v="9"/>
    <x v="43"/>
  </r>
  <r>
    <d v="2017-12-11T00:00:00"/>
    <s v="Kinga"/>
    <s v="Trawinska"/>
    <n v="4"/>
    <x v="366"/>
  </r>
  <r>
    <d v="2017-12-11T00:00:00"/>
    <s v="Lucja"/>
    <s v="Zych"/>
    <n v="31"/>
    <x v="523"/>
  </r>
  <r>
    <d v="2017-12-11T00:00:00"/>
    <s v="Monika"/>
    <s v="Bialkowska"/>
    <n v="16"/>
    <x v="478"/>
  </r>
  <r>
    <d v="2017-12-11T00:00:00"/>
    <s v="Marek"/>
    <s v="Zybert"/>
    <n v="21"/>
    <x v="345"/>
  </r>
  <r>
    <d v="2017-12-12T00:00:00"/>
    <s v="Pawel"/>
    <s v="Nowakowski"/>
    <n v="22"/>
    <x v="127"/>
  </r>
  <r>
    <d v="2017-12-12T00:00:00"/>
    <s v="Natalia"/>
    <s v="Belicka"/>
    <n v="20"/>
    <x v="88"/>
  </r>
  <r>
    <d v="2017-12-12T00:00:00"/>
    <s v="Karolina"/>
    <s v="Karpacka"/>
    <n v="24"/>
    <x v="144"/>
  </r>
  <r>
    <d v="2017-12-12T00:00:00"/>
    <s v="Ilona"/>
    <s v="Nowak"/>
    <n v="17"/>
    <x v="241"/>
  </r>
  <r>
    <d v="2017-12-12T00:00:00"/>
    <s v="Paulina"/>
    <s v="Baranowska"/>
    <n v="25"/>
    <x v="525"/>
  </r>
  <r>
    <d v="2017-12-12T00:00:00"/>
    <s v="Sebastian"/>
    <s v="Powoj"/>
    <n v="22"/>
    <x v="24"/>
  </r>
  <r>
    <d v="2017-12-12T00:00:00"/>
    <s v="Jan"/>
    <s v="Kwiatkowski"/>
    <n v="50"/>
    <x v="593"/>
  </r>
  <r>
    <d v="2017-12-12T00:00:00"/>
    <s v="Agnieszka"/>
    <s v="Kaminska"/>
    <n v="6"/>
    <x v="270"/>
  </r>
  <r>
    <d v="2017-12-12T00:00:00"/>
    <s v="Agata"/>
    <s v="Zdrojewska"/>
    <n v="27"/>
    <x v="215"/>
  </r>
  <r>
    <d v="2017-12-12T00:00:00"/>
    <s v="Lidia"/>
    <s v="Tarnowska"/>
    <n v="29"/>
    <x v="454"/>
  </r>
  <r>
    <d v="2017-12-13T00:00:00"/>
    <s v="Ilona"/>
    <s v="Nowak"/>
    <n v="12"/>
    <x v="241"/>
  </r>
  <r>
    <d v="2017-12-13T00:00:00"/>
    <s v="Justyna"/>
    <s v="Wysocka"/>
    <n v="28"/>
    <x v="488"/>
  </r>
  <r>
    <d v="2017-12-13T00:00:00"/>
    <s v="Dawid"/>
    <s v="Szreder"/>
    <n v="21"/>
    <x v="388"/>
  </r>
  <r>
    <d v="2017-12-13T00:00:00"/>
    <s v="Maciej"/>
    <s v="Siemiatkowski"/>
    <n v="19"/>
    <x v="60"/>
  </r>
  <r>
    <d v="2017-12-13T00:00:00"/>
    <s v="Wojciech"/>
    <s v="Wroblewski"/>
    <n v="29"/>
    <x v="160"/>
  </r>
  <r>
    <d v="2017-12-13T00:00:00"/>
    <s v="Aleksander"/>
    <s v="Pasternak"/>
    <n v="9"/>
    <x v="276"/>
  </r>
  <r>
    <d v="2017-12-13T00:00:00"/>
    <s v="Lucja"/>
    <s v="Zych"/>
    <n v="24"/>
    <x v="523"/>
  </r>
  <r>
    <d v="2017-12-13T00:00:00"/>
    <s v="Karolina"/>
    <s v="Perez"/>
    <n v="24"/>
    <x v="481"/>
  </r>
  <r>
    <d v="2017-12-13T00:00:00"/>
    <s v="Wojciech"/>
    <s v="Goc"/>
    <n v="8"/>
    <x v="440"/>
  </r>
  <r>
    <d v="2017-12-13T00:00:00"/>
    <s v="Magda"/>
    <s v="Makowicz"/>
    <n v="5"/>
    <x v="507"/>
  </r>
  <r>
    <d v="2017-12-14T00:00:00"/>
    <s v="Marek"/>
    <s v="Zybert"/>
    <n v="32"/>
    <x v="345"/>
  </r>
  <r>
    <d v="2017-12-14T00:00:00"/>
    <s v="Malgorzata"/>
    <s v="Malec"/>
    <n v="34"/>
    <x v="224"/>
  </r>
  <r>
    <d v="2017-12-14T00:00:00"/>
    <s v="Adam"/>
    <s v="Czarnecki"/>
    <n v="9"/>
    <x v="587"/>
  </r>
  <r>
    <d v="2017-12-14T00:00:00"/>
    <s v="Patrycja"/>
    <s v="Wcislo"/>
    <n v="49"/>
    <x v="412"/>
  </r>
  <r>
    <d v="2017-12-14T00:00:00"/>
    <s v="Kamila"/>
    <s v="Wolan"/>
    <n v="18"/>
    <x v="183"/>
  </r>
  <r>
    <d v="2017-12-14T00:00:00"/>
    <s v="Patrycja"/>
    <s v="Wcislo"/>
    <n v="56"/>
    <x v="412"/>
  </r>
  <r>
    <d v="2017-12-14T00:00:00"/>
    <s v="Zenon"/>
    <s v="Bartek"/>
    <n v="46"/>
    <x v="159"/>
  </r>
  <r>
    <d v="2017-12-14T00:00:00"/>
    <s v="Amelia"/>
    <s v="Wicher"/>
    <n v="11"/>
    <x v="545"/>
  </r>
  <r>
    <d v="2017-12-14T00:00:00"/>
    <s v="Inka"/>
    <s v="Sochacka"/>
    <n v="24"/>
    <x v="184"/>
  </r>
  <r>
    <d v="2017-12-14T00:00:00"/>
    <s v="Jan"/>
    <s v="Adamowicz"/>
    <n v="28"/>
    <x v="535"/>
  </r>
  <r>
    <d v="2017-12-15T00:00:00"/>
    <s v="Irena"/>
    <s v="Banasiewicz"/>
    <n v="29"/>
    <x v="162"/>
  </r>
  <r>
    <d v="2017-12-15T00:00:00"/>
    <s v="Protazy"/>
    <s v="Warszawski"/>
    <n v="4"/>
    <x v="403"/>
  </r>
  <r>
    <d v="2017-12-15T00:00:00"/>
    <s v="Bartosz"/>
    <s v="Tusinski"/>
    <n v="3"/>
    <x v="200"/>
  </r>
  <r>
    <d v="2017-12-15T00:00:00"/>
    <s v="Lucja"/>
    <s v="Zych"/>
    <n v="30"/>
    <x v="523"/>
  </r>
  <r>
    <d v="2017-12-15T00:00:00"/>
    <s v="Emilia"/>
    <s v="Szczepanska"/>
    <n v="4"/>
    <x v="285"/>
  </r>
  <r>
    <d v="2017-12-15T00:00:00"/>
    <s v="Karol"/>
    <s v="Wichrowski"/>
    <n v="21"/>
    <x v="468"/>
  </r>
  <r>
    <d v="2017-12-15T00:00:00"/>
    <s v="Lena"/>
    <s v="Miszkin"/>
    <n v="15"/>
    <x v="153"/>
  </r>
  <r>
    <d v="2017-12-15T00:00:00"/>
    <s v="Anna"/>
    <s v="Kosowicz"/>
    <n v="13"/>
    <x v="27"/>
  </r>
  <r>
    <d v="2017-12-15T00:00:00"/>
    <s v="Leon"/>
    <s v="Price"/>
    <n v="13"/>
    <x v="84"/>
  </r>
  <r>
    <d v="2017-12-15T00:00:00"/>
    <s v="Bernard"/>
    <s v="Madej"/>
    <n v="43"/>
    <x v="588"/>
  </r>
  <r>
    <d v="2017-12-18T00:00:00"/>
    <s v="Marek"/>
    <s v="Nowakowski"/>
    <n v="31"/>
    <x v="118"/>
  </r>
  <r>
    <d v="2017-12-18T00:00:00"/>
    <s v="Izabela"/>
    <s v="Draszczyk"/>
    <n v="34"/>
    <x v="568"/>
  </r>
  <r>
    <d v="2017-12-18T00:00:00"/>
    <s v="Przemyslaw"/>
    <s v="Bajewski"/>
    <n v="12"/>
    <x v="470"/>
  </r>
  <r>
    <d v="2017-12-18T00:00:00"/>
    <s v="Anita"/>
    <s v="Tych"/>
    <n v="10"/>
    <x v="203"/>
  </r>
  <r>
    <d v="2017-12-18T00:00:00"/>
    <s v="Teodor"/>
    <s v="Fornal"/>
    <n v="5"/>
    <x v="36"/>
  </r>
  <r>
    <d v="2017-12-18T00:00:00"/>
    <s v="Patrycja"/>
    <s v="Glowinska"/>
    <n v="4"/>
    <x v="28"/>
  </r>
  <r>
    <d v="2017-12-18T00:00:00"/>
    <s v="Marta"/>
    <s v="Kolodziejczyk"/>
    <n v="44"/>
    <x v="581"/>
  </r>
  <r>
    <d v="2017-12-18T00:00:00"/>
    <s v="Kacper"/>
    <s v="Nowak"/>
    <n v="32"/>
    <x v="591"/>
  </r>
  <r>
    <d v="2017-12-18T00:00:00"/>
    <s v="Paulina"/>
    <s v="Szklarska"/>
    <n v="11"/>
    <x v="49"/>
  </r>
  <r>
    <d v="2017-12-18T00:00:00"/>
    <s v="Natalia"/>
    <s v="Olkuska"/>
    <n v="33"/>
    <x v="416"/>
  </r>
  <r>
    <d v="2017-12-19T00:00:00"/>
    <s v="Jakub"/>
    <s v="Marszalek"/>
    <n v="56"/>
    <x v="255"/>
  </r>
  <r>
    <d v="2017-12-19T00:00:00"/>
    <s v="Edward"/>
    <s v="Snopek"/>
    <n v="3"/>
    <x v="66"/>
  </r>
  <r>
    <d v="2017-12-19T00:00:00"/>
    <s v="Edward"/>
    <s v="Zdunek"/>
    <n v="24"/>
    <x v="110"/>
  </r>
  <r>
    <d v="2017-12-19T00:00:00"/>
    <s v="Lucja"/>
    <s v="Zych"/>
    <n v="14"/>
    <x v="523"/>
  </r>
  <r>
    <d v="2017-12-19T00:00:00"/>
    <s v="Kacper"/>
    <s v="Pioro"/>
    <n v="42"/>
    <x v="578"/>
  </r>
  <r>
    <d v="2017-12-19T00:00:00"/>
    <s v="Adrian"/>
    <s v="Dulski"/>
    <n v="21"/>
    <x v="57"/>
  </r>
  <r>
    <d v="2017-12-19T00:00:00"/>
    <s v="Monika"/>
    <s v="Trojan"/>
    <n v="4"/>
    <x v="406"/>
  </r>
  <r>
    <d v="2017-12-19T00:00:00"/>
    <s v="Adelajda"/>
    <s v="Zylinska"/>
    <n v="41"/>
    <x v="40"/>
  </r>
  <r>
    <d v="2017-12-19T00:00:00"/>
    <s v="Leon"/>
    <s v="Price"/>
    <n v="51"/>
    <x v="84"/>
  </r>
  <r>
    <d v="2017-12-20T00:00:00"/>
    <s v="Julia"/>
    <s v="Samulczyk"/>
    <n v="29"/>
    <x v="572"/>
  </r>
  <r>
    <d v="2017-12-20T00:00:00"/>
    <s v="Maciej"/>
    <s v="Wodecki"/>
    <n v="29"/>
    <x v="573"/>
  </r>
  <r>
    <d v="2017-12-20T00:00:00"/>
    <s v="Angelika"/>
    <s v="Walaszek"/>
    <n v="22"/>
    <x v="334"/>
  </r>
  <r>
    <d v="2017-12-20T00:00:00"/>
    <s v="Katarzyna"/>
    <s v="Wip"/>
    <n v="4"/>
    <x v="175"/>
  </r>
  <r>
    <d v="2017-12-20T00:00:00"/>
    <s v="Grzegorz"/>
    <s v="Jackowski"/>
    <n v="34"/>
    <x v="592"/>
  </r>
  <r>
    <d v="2017-12-20T00:00:00"/>
    <s v="Adrian"/>
    <s v="Dulski"/>
    <n v="6"/>
    <x v="57"/>
  </r>
  <r>
    <d v="2017-12-20T00:00:00"/>
    <s v="Tomasz"/>
    <s v="Zbik"/>
    <n v="11"/>
    <x v="474"/>
  </r>
  <r>
    <d v="2017-12-20T00:00:00"/>
    <s v="Andrea"/>
    <s v="Witkowska"/>
    <n v="9"/>
    <x v="180"/>
  </r>
  <r>
    <d v="2017-12-20T00:00:00"/>
    <s v="Wojciech"/>
    <s v="Filipowicz"/>
    <n v="21"/>
    <x v="206"/>
  </r>
  <r>
    <d v="2017-12-21T00:00:00"/>
    <s v="Urszula"/>
    <s v="Engel"/>
    <n v="26"/>
    <x v="495"/>
  </r>
  <r>
    <d v="2017-12-21T00:00:00"/>
    <s v="Olgierd"/>
    <s v="Baranek"/>
    <n v="4"/>
    <x v="178"/>
  </r>
  <r>
    <d v="2017-12-21T00:00:00"/>
    <s v="Maciej"/>
    <s v="Tasz"/>
    <n v="18"/>
    <x v="310"/>
  </r>
  <r>
    <d v="2017-12-21T00:00:00"/>
    <s v="Krzysztof"/>
    <s v="Wloch"/>
    <n v="27"/>
    <x v="342"/>
  </r>
  <r>
    <d v="2017-12-21T00:00:00"/>
    <s v="Bernard"/>
    <s v="Madej"/>
    <n v="15"/>
    <x v="588"/>
  </r>
  <r>
    <d v="2017-12-21T00:00:00"/>
    <s v="Wojciech"/>
    <s v="Goc"/>
    <n v="50"/>
    <x v="440"/>
  </r>
  <r>
    <d v="2017-12-21T00:00:00"/>
    <s v="Krzysztof"/>
    <s v="Madejski"/>
    <n v="13"/>
    <x v="123"/>
  </r>
  <r>
    <d v="2017-12-21T00:00:00"/>
    <s v="Antoni"/>
    <s v="Wierzbicki"/>
    <n v="27"/>
    <x v="384"/>
  </r>
  <r>
    <d v="2017-12-21T00:00:00"/>
    <s v="Stanislaw"/>
    <s v="Derek"/>
    <n v="7"/>
    <x v="79"/>
  </r>
  <r>
    <d v="2017-12-22T00:00:00"/>
    <s v="Katarzyna"/>
    <s v="Aniec"/>
    <n v="26"/>
    <x v="516"/>
  </r>
  <r>
    <d v="2017-12-22T00:00:00"/>
    <s v="Anna"/>
    <s v="Minska"/>
    <n v="16"/>
    <x v="71"/>
  </r>
  <r>
    <d v="2017-12-22T00:00:00"/>
    <s v="Maria"/>
    <s v="Opolska"/>
    <n v="45"/>
    <x v="318"/>
  </r>
  <r>
    <d v="2017-12-22T00:00:00"/>
    <s v="Maksymilian"/>
    <s v="Lewita"/>
    <n v="34"/>
    <x v="563"/>
  </r>
  <r>
    <d v="2017-12-22T00:00:00"/>
    <s v="Piotr"/>
    <s v="Duszota"/>
    <n v="10"/>
    <x v="356"/>
  </r>
  <r>
    <d v="2017-12-22T00:00:00"/>
    <s v="Leslaw"/>
    <s v="Kupis"/>
    <n v="55"/>
    <x v="422"/>
  </r>
  <r>
    <d v="2017-12-22T00:00:00"/>
    <s v="Filip"/>
    <s v="Spychala"/>
    <n v="17"/>
    <x v="7"/>
  </r>
  <r>
    <d v="2017-12-22T00:00:00"/>
    <s v="Jaroslaw"/>
    <s v="Kopiec"/>
    <n v="13"/>
    <x v="103"/>
  </r>
  <r>
    <d v="2017-12-22T00:00:00"/>
    <s v="Wojciech"/>
    <s v="Kulakowski"/>
    <n v="55"/>
    <x v="570"/>
  </r>
  <r>
    <d v="2017-12-27T00:00:00"/>
    <s v="Jan"/>
    <s v="Inny"/>
    <n v="45"/>
    <x v="61"/>
  </r>
  <r>
    <d v="2017-12-27T00:00:00"/>
    <s v="Bohdan"/>
    <s v="Gigant"/>
    <n v="8"/>
    <x v="212"/>
  </r>
  <r>
    <d v="2017-12-27T00:00:00"/>
    <s v="Tomasz"/>
    <s v="Zbik"/>
    <n v="6"/>
    <x v="474"/>
  </r>
  <r>
    <d v="2017-12-27T00:00:00"/>
    <s v="Kinga"/>
    <s v="Famura"/>
    <n v="11"/>
    <x v="585"/>
  </r>
  <r>
    <d v="2017-12-27T00:00:00"/>
    <s v="Marlena"/>
    <s v="Mazar"/>
    <n v="29"/>
    <x v="511"/>
  </r>
  <r>
    <d v="2017-12-27T00:00:00"/>
    <s v="Jerzy"/>
    <s v="Pawiec"/>
    <n v="10"/>
    <x v="597"/>
  </r>
  <r>
    <d v="2017-12-27T00:00:00"/>
    <s v="Jan"/>
    <s v="Kildanowski"/>
    <n v="38"/>
    <x v="477"/>
  </r>
  <r>
    <d v="2017-12-27T00:00:00"/>
    <s v="Adam"/>
    <s v="Borkowski"/>
    <n v="8"/>
    <x v="341"/>
  </r>
  <r>
    <d v="2017-12-27T00:00:00"/>
    <s v="Patryk"/>
    <s v="Glac"/>
    <n v="19"/>
    <x v="301"/>
  </r>
  <r>
    <d v="2017-12-28T00:00:00"/>
    <s v="Jerzy"/>
    <s v="Pawiec"/>
    <n v="22"/>
    <x v="597"/>
  </r>
  <r>
    <d v="2017-12-28T00:00:00"/>
    <s v="Dorota"/>
    <s v="Tarnowska"/>
    <n v="12"/>
    <x v="557"/>
  </r>
  <r>
    <d v="2017-12-28T00:00:00"/>
    <s v="Janusz"/>
    <s v="Wrobel"/>
    <n v="7"/>
    <x v="411"/>
  </r>
  <r>
    <d v="2017-12-28T00:00:00"/>
    <s v="Jakub"/>
    <s v="Porydzaj"/>
    <n v="17"/>
    <x v="277"/>
  </r>
  <r>
    <d v="2017-12-28T00:00:00"/>
    <s v="Krzysztof"/>
    <s v="Wloch"/>
    <n v="29"/>
    <x v="342"/>
  </r>
  <r>
    <d v="2017-12-28T00:00:00"/>
    <s v="Beata"/>
    <s v="Mirowska"/>
    <n v="9"/>
    <x v="423"/>
  </r>
  <r>
    <d v="2017-12-28T00:00:00"/>
    <s v="Julian"/>
    <s v="Lisowski"/>
    <n v="21"/>
    <x v="306"/>
  </r>
  <r>
    <d v="2017-12-28T00:00:00"/>
    <s v="Lena"/>
    <s v="Mrozik"/>
    <n v="10"/>
    <x v="490"/>
  </r>
  <r>
    <d v="2017-12-28T00:00:00"/>
    <s v="Beata"/>
    <s v="Lubelska"/>
    <n v="30"/>
    <x v="138"/>
  </r>
  <r>
    <d v="2017-12-29T00:00:00"/>
    <s v="Dominik"/>
    <s v="Szczucki"/>
    <n v="14"/>
    <x v="51"/>
  </r>
  <r>
    <d v="2017-12-29T00:00:00"/>
    <s v="Monika"/>
    <s v="Bialkowska"/>
    <n v="15"/>
    <x v="478"/>
  </r>
  <r>
    <d v="2017-12-29T00:00:00"/>
    <s v="Balbina"/>
    <s v="Boryczko"/>
    <n v="24"/>
    <x v="6"/>
  </r>
  <r>
    <d v="2017-12-29T00:00:00"/>
    <s v="Karolina"/>
    <s v="Welc"/>
    <n v="26"/>
    <x v="119"/>
  </r>
  <r>
    <d v="2017-12-29T00:00:00"/>
    <s v="Marek"/>
    <s v="Janowski"/>
    <n v="22"/>
    <x v="227"/>
  </r>
  <r>
    <d v="2017-12-29T00:00:00"/>
    <s v="Maria"/>
    <s v="Orlicka"/>
    <n v="35"/>
    <x v="598"/>
  </r>
  <r>
    <d v="2017-12-29T00:00:00"/>
    <s v="Przemyslaw"/>
    <s v="Bajewski"/>
    <n v="21"/>
    <x v="470"/>
  </r>
  <r>
    <d v="2017-12-29T00:00:00"/>
    <s v="Jaroslaw"/>
    <s v="Bicz"/>
    <n v="16"/>
    <x v="64"/>
  </r>
  <r>
    <d v="2017-12-29T00:00:00"/>
    <s v="Karolina"/>
    <s v="Bok"/>
    <n v="48"/>
    <x v="43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">
  <r>
    <x v="0"/>
    <s v="Agnieszka"/>
    <s v="Polak"/>
    <n v="2"/>
    <x v="0"/>
    <n v="0"/>
  </r>
  <r>
    <x v="0"/>
    <s v="Klaudia"/>
    <s v="Myk"/>
    <n v="51"/>
    <x v="0"/>
    <n v="0"/>
  </r>
  <r>
    <x v="0"/>
    <s v="Agata"/>
    <s v="Kwiatkowska"/>
    <n v="41"/>
    <x v="0"/>
    <n v="0"/>
  </r>
  <r>
    <x v="0"/>
    <s v="Katarzyna"/>
    <s v="Zmokly"/>
    <n v="7"/>
    <x v="0"/>
    <n v="0"/>
  </r>
  <r>
    <x v="0"/>
    <s v="Maja"/>
    <s v="Kulkowska"/>
    <n v="46"/>
    <x v="0"/>
    <n v="0"/>
  </r>
  <r>
    <x v="0"/>
    <s v="Patryk"/>
    <s v="Giemza"/>
    <n v="12"/>
    <x v="0"/>
    <n v="0"/>
  </r>
  <r>
    <x v="0"/>
    <s v="Balbina"/>
    <s v="Boryczko"/>
    <n v="54"/>
    <x v="0"/>
    <n v="0"/>
  </r>
  <r>
    <x v="0"/>
    <s v="Filip"/>
    <s v="Spychala"/>
    <n v="55"/>
    <x v="0"/>
    <n v="0"/>
  </r>
  <r>
    <x v="0"/>
    <s v="Borys"/>
    <s v="Myszor"/>
    <n v="45"/>
    <x v="0"/>
    <n v="0"/>
  </r>
  <r>
    <x v="0"/>
    <s v="Agnieszka"/>
    <s v="Mala"/>
    <n v="3"/>
    <x v="0"/>
    <n v="1"/>
  </r>
  <r>
    <x v="1"/>
    <s v="Alicja"/>
    <s v="Gadek"/>
    <n v="6"/>
    <x v="1"/>
    <n v="0"/>
  </r>
  <r>
    <x v="1"/>
    <s v="Leon"/>
    <s v="Szybki"/>
    <n v="23"/>
    <x v="1"/>
    <n v="0"/>
  </r>
  <r>
    <x v="1"/>
    <s v="Jerzy"/>
    <s v="Polanicki"/>
    <n v="53"/>
    <x v="1"/>
    <n v="0"/>
  </r>
  <r>
    <x v="1"/>
    <s v="Filip"/>
    <s v="Spanowski"/>
    <n v="15"/>
    <x v="1"/>
    <n v="0"/>
  </r>
  <r>
    <x v="1"/>
    <s v="Maciej"/>
    <s v="Lyszcz"/>
    <n v="44"/>
    <x v="1"/>
    <n v="0"/>
  </r>
  <r>
    <x v="1"/>
    <s v="Daria"/>
    <s v="Zagrobna"/>
    <n v="14"/>
    <x v="1"/>
    <n v="0"/>
  </r>
  <r>
    <x v="1"/>
    <s v="Julia"/>
    <s v="Rutkiewicz"/>
    <n v="26"/>
    <x v="1"/>
    <n v="0"/>
  </r>
  <r>
    <x v="1"/>
    <s v="Piotr"/>
    <s v="Bialaszewski"/>
    <n v="19"/>
    <x v="1"/>
    <n v="0"/>
  </r>
  <r>
    <x v="1"/>
    <s v="Maja"/>
    <s v="Lipka"/>
    <n v="14"/>
    <x v="1"/>
    <n v="1"/>
  </r>
  <r>
    <x v="2"/>
    <s v="Jakub"/>
    <s v="Jedruszek"/>
    <n v="56"/>
    <x v="2"/>
    <n v="0"/>
  </r>
  <r>
    <x v="2"/>
    <s v="Marta"/>
    <s v="Opolska"/>
    <n v="20"/>
    <x v="2"/>
    <n v="0"/>
  </r>
  <r>
    <x v="2"/>
    <s v="Andrzej"/>
    <s v="Moldawiec"/>
    <n v="28"/>
    <x v="2"/>
    <n v="0"/>
  </r>
  <r>
    <x v="2"/>
    <s v="Zuzanna"/>
    <s v="Malicki"/>
    <n v="24"/>
    <x v="2"/>
    <n v="0"/>
  </r>
  <r>
    <x v="2"/>
    <s v="Marek"/>
    <s v="Bednarski"/>
    <n v="21"/>
    <x v="2"/>
    <n v="0"/>
  </r>
  <r>
    <x v="2"/>
    <s v="Sebastian"/>
    <s v="Powoj"/>
    <n v="16"/>
    <x v="2"/>
    <n v="0"/>
  </r>
  <r>
    <x v="2"/>
    <s v="Barbara"/>
    <s v="Podobinska"/>
    <n v="8"/>
    <x v="2"/>
    <n v="0"/>
  </r>
  <r>
    <x v="2"/>
    <s v="Wieslawa"/>
    <s v="Koniec"/>
    <n v="41"/>
    <x v="2"/>
    <n v="0"/>
  </r>
  <r>
    <x v="2"/>
    <s v="Anna"/>
    <s v="Kosowicz"/>
    <n v="9"/>
    <x v="2"/>
    <n v="1"/>
  </r>
  <r>
    <x v="3"/>
    <s v="Patrycja"/>
    <s v="Glowinska"/>
    <n v="19"/>
    <x v="3"/>
    <n v="0"/>
  </r>
  <r>
    <x v="3"/>
    <s v="Laura"/>
    <s v="Chmielewska"/>
    <n v="33"/>
    <x v="3"/>
    <n v="0"/>
  </r>
  <r>
    <x v="3"/>
    <s v="Malwina"/>
    <s v="Korzeniowska"/>
    <n v="29"/>
    <x v="3"/>
    <n v="0"/>
  </r>
  <r>
    <x v="3"/>
    <s v="Adrian"/>
    <s v="Zawisza"/>
    <n v="27"/>
    <x v="3"/>
    <n v="0"/>
  </r>
  <r>
    <x v="3"/>
    <s v="Michal"/>
    <s v="Kirwiel"/>
    <n v="23"/>
    <x v="3"/>
    <n v="0"/>
  </r>
  <r>
    <x v="3"/>
    <s v="Bartosz"/>
    <s v="Protasow"/>
    <n v="50"/>
    <x v="3"/>
    <n v="0"/>
  </r>
  <r>
    <x v="3"/>
    <s v="Adam"/>
    <s v="Wata"/>
    <n v="15"/>
    <x v="3"/>
    <n v="0"/>
  </r>
  <r>
    <x v="3"/>
    <s v="Andrzej"/>
    <s v="Augustowski"/>
    <n v="18"/>
    <x v="3"/>
    <n v="0"/>
  </r>
  <r>
    <x v="3"/>
    <s v="Teodor"/>
    <s v="Fornal"/>
    <n v="2"/>
    <x v="3"/>
    <n v="1"/>
  </r>
  <r>
    <x v="4"/>
    <s v="Bartosz"/>
    <s v="Protasow"/>
    <n v="23"/>
    <x v="4"/>
    <n v="0"/>
  </r>
  <r>
    <x v="4"/>
    <s v="Filip"/>
    <s v="Strack"/>
    <n v="22"/>
    <x v="4"/>
    <n v="0"/>
  </r>
  <r>
    <x v="4"/>
    <s v="Hanna"/>
    <s v="Stanislawska"/>
    <n v="17"/>
    <x v="4"/>
    <n v="0"/>
  </r>
  <r>
    <x v="4"/>
    <s v="Maja"/>
    <s v="Lipka"/>
    <n v="19"/>
    <x v="4"/>
    <n v="0"/>
  </r>
  <r>
    <x v="4"/>
    <s v="Hubert"/>
    <s v="Smyk"/>
    <n v="43"/>
    <x v="4"/>
    <n v="0"/>
  </r>
  <r>
    <x v="4"/>
    <s v="Adelajda"/>
    <s v="Zylinska"/>
    <n v="22"/>
    <x v="4"/>
    <n v="0"/>
  </r>
  <r>
    <x v="4"/>
    <s v="Karol"/>
    <s v="Felisiak"/>
    <n v="29"/>
    <x v="4"/>
    <n v="0"/>
  </r>
  <r>
    <x v="4"/>
    <s v="Jan"/>
    <s v="Gacek"/>
    <n v="26"/>
    <x v="4"/>
    <n v="0"/>
  </r>
  <r>
    <x v="4"/>
    <s v="Hubert"/>
    <s v="Nowaczynski"/>
    <n v="53"/>
    <x v="4"/>
    <n v="1"/>
  </r>
  <r>
    <x v="5"/>
    <s v="Maciej"/>
    <s v="Kowalski"/>
    <n v="20"/>
    <x v="0"/>
    <n v="0"/>
  </r>
  <r>
    <x v="5"/>
    <s v="Ewa"/>
    <s v="Stoch"/>
    <n v="26"/>
    <x v="0"/>
    <n v="0"/>
  </r>
  <r>
    <x v="5"/>
    <s v="Maciej"/>
    <s v="Machalski"/>
    <n v="36"/>
    <x v="0"/>
    <n v="0"/>
  </r>
  <r>
    <x v="5"/>
    <s v="Julia"/>
    <s v="Reclaw"/>
    <n v="11"/>
    <x v="0"/>
    <n v="0"/>
  </r>
  <r>
    <x v="5"/>
    <s v="Marek"/>
    <s v="Sznuk"/>
    <n v="52"/>
    <x v="0"/>
    <n v="0"/>
  </r>
  <r>
    <x v="5"/>
    <s v="Paulina"/>
    <s v="Szklarska"/>
    <n v="11"/>
    <x v="0"/>
    <n v="0"/>
  </r>
  <r>
    <x v="5"/>
    <s v="Jerzy"/>
    <s v="Czajkowski"/>
    <n v="11"/>
    <x v="0"/>
    <n v="0"/>
  </r>
  <r>
    <x v="5"/>
    <s v="Jerzy"/>
    <s v="Czajkowski"/>
    <n v="10"/>
    <x v="0"/>
    <n v="0"/>
  </r>
  <r>
    <x v="5"/>
    <s v="Dominik"/>
    <s v="Szczucki"/>
    <n v="8"/>
    <x v="0"/>
    <n v="1"/>
  </r>
  <r>
    <x v="6"/>
    <s v="Andrzej"/>
    <s v="Moldawiec"/>
    <n v="13"/>
    <x v="1"/>
    <n v="0"/>
  </r>
  <r>
    <x v="6"/>
    <s v="Mateusz"/>
    <s v="Karpowicz"/>
    <n v="16"/>
    <x v="1"/>
    <n v="0"/>
  </r>
  <r>
    <x v="6"/>
    <s v="Sandra"/>
    <s v="Filarska"/>
    <n v="46"/>
    <x v="1"/>
    <n v="0"/>
  </r>
  <r>
    <x v="6"/>
    <s v="Maria"/>
    <s v="Borowska"/>
    <n v="41"/>
    <x v="1"/>
    <n v="0"/>
  </r>
  <r>
    <x v="6"/>
    <s v="Jakub"/>
    <s v="Potocki"/>
    <n v="26"/>
    <x v="1"/>
    <n v="0"/>
  </r>
  <r>
    <x v="6"/>
    <s v="Karol"/>
    <s v="Dziuk"/>
    <n v="22"/>
    <x v="1"/>
    <n v="0"/>
  </r>
  <r>
    <x v="6"/>
    <s v="Adrian"/>
    <s v="Dulski"/>
    <n v="6"/>
    <x v="1"/>
    <n v="0"/>
  </r>
  <r>
    <x v="6"/>
    <s v="Lena"/>
    <s v="Mazurkiewicz"/>
    <n v="24"/>
    <x v="1"/>
    <n v="0"/>
  </r>
  <r>
    <x v="6"/>
    <s v="Andrzej"/>
    <s v="Augustowski"/>
    <n v="11"/>
    <x v="1"/>
    <n v="1"/>
  </r>
  <r>
    <x v="7"/>
    <s v="Sebastian"/>
    <s v="Powoj"/>
    <n v="16"/>
    <x v="2"/>
    <n v="0"/>
  </r>
  <r>
    <x v="7"/>
    <s v="Adam"/>
    <s v="Susel"/>
    <n v="8"/>
    <x v="2"/>
    <n v="0"/>
  </r>
  <r>
    <x v="7"/>
    <s v="Maciej"/>
    <s v="Siemiatkowski"/>
    <n v="27"/>
    <x v="2"/>
    <n v="0"/>
  </r>
  <r>
    <x v="7"/>
    <s v="Jan"/>
    <s v="Inny"/>
    <n v="9"/>
    <x v="2"/>
    <n v="0"/>
  </r>
  <r>
    <x v="7"/>
    <s v="Jakub"/>
    <s v="Rembisz"/>
    <n v="32"/>
    <x v="2"/>
    <n v="0"/>
  </r>
  <r>
    <x v="7"/>
    <s v="Seweryn"/>
    <s v="Krakowski"/>
    <n v="55"/>
    <x v="2"/>
    <n v="0"/>
  </r>
  <r>
    <x v="7"/>
    <s v="Hubert"/>
    <s v="Nowaczynski"/>
    <n v="18"/>
    <x v="2"/>
    <n v="0"/>
  </r>
  <r>
    <x v="7"/>
    <s v="Jaroslaw"/>
    <s v="Bicz"/>
    <n v="46"/>
    <x v="2"/>
    <n v="0"/>
  </r>
  <r>
    <x v="7"/>
    <s v="Michal"/>
    <s v="Nowicki"/>
    <n v="17"/>
    <x v="2"/>
    <n v="1"/>
  </r>
  <r>
    <x v="8"/>
    <s v="Edward"/>
    <s v="Snopek"/>
    <n v="43"/>
    <x v="3"/>
    <n v="0"/>
  </r>
  <r>
    <x v="8"/>
    <s v="Kamil"/>
    <s v="Naderka"/>
    <n v="17"/>
    <x v="3"/>
    <n v="0"/>
  </r>
  <r>
    <x v="8"/>
    <s v="Justyna"/>
    <s v="Pozarzycka"/>
    <n v="21"/>
    <x v="3"/>
    <n v="0"/>
  </r>
  <r>
    <x v="8"/>
    <s v="Borys"/>
    <s v="Biedal"/>
    <n v="27"/>
    <x v="3"/>
    <n v="0"/>
  </r>
  <r>
    <x v="8"/>
    <s v="Ewa"/>
    <s v="Tysz"/>
    <n v="22"/>
    <x v="3"/>
    <n v="0"/>
  </r>
  <r>
    <x v="8"/>
    <s v="Anna"/>
    <s v="Minska"/>
    <n v="46"/>
    <x v="3"/>
    <n v="0"/>
  </r>
  <r>
    <x v="8"/>
    <s v="Adelajda"/>
    <s v="Zylinska"/>
    <n v="15"/>
    <x v="3"/>
    <n v="0"/>
  </r>
  <r>
    <x v="8"/>
    <s v="Wieslaw"/>
    <s v="Kasza"/>
    <n v="30"/>
    <x v="3"/>
    <n v="0"/>
  </r>
  <r>
    <x v="8"/>
    <s v="Wojciech"/>
    <s v="Katowicki"/>
    <n v="31"/>
    <x v="3"/>
    <n v="1"/>
  </r>
  <r>
    <x v="9"/>
    <s v="Kamil"/>
    <s v="Naderka"/>
    <n v="5"/>
    <x v="4"/>
    <n v="0"/>
  </r>
  <r>
    <x v="9"/>
    <s v="Mateusz"/>
    <s v="Sardo"/>
    <n v="26"/>
    <x v="4"/>
    <n v="0"/>
  </r>
  <r>
    <x v="9"/>
    <s v="Ewelina"/>
    <s v="Gorecka"/>
    <n v="10"/>
    <x v="4"/>
    <n v="0"/>
  </r>
  <r>
    <x v="9"/>
    <s v="Dominika"/>
    <s v="Nowakowska"/>
    <n v="29"/>
    <x v="4"/>
    <n v="0"/>
  </r>
  <r>
    <x v="9"/>
    <s v="Patrycja"/>
    <s v="Augustowska"/>
    <n v="40"/>
    <x v="4"/>
    <n v="0"/>
  </r>
  <r>
    <x v="9"/>
    <s v="Jan"/>
    <s v="Kaczorowski"/>
    <n v="21"/>
    <x v="4"/>
    <n v="0"/>
  </r>
  <r>
    <x v="9"/>
    <s v="Stanislaw"/>
    <s v="Derek"/>
    <n v="14"/>
    <x v="4"/>
    <n v="0"/>
  </r>
  <r>
    <x v="9"/>
    <s v="Mariola"/>
    <s v="Las"/>
    <n v="26"/>
    <x v="4"/>
    <n v="0"/>
  </r>
  <r>
    <x v="9"/>
    <s v="Joanna"/>
    <s v="Baranska"/>
    <n v="8"/>
    <x v="4"/>
    <n v="1"/>
  </r>
  <r>
    <x v="10"/>
    <s v="Przemyslaw"/>
    <s v="Marek"/>
    <n v="56"/>
    <x v="0"/>
    <n v="0"/>
  </r>
  <r>
    <x v="10"/>
    <s v="Maria"/>
    <s v="Borowska"/>
    <n v="3"/>
    <x v="0"/>
    <n v="0"/>
  </r>
  <r>
    <x v="10"/>
    <s v="Aleksander"/>
    <s v="Wojciechowski"/>
    <n v="47"/>
    <x v="0"/>
    <n v="0"/>
  </r>
  <r>
    <x v="10"/>
    <s v="Leon"/>
    <s v="Price"/>
    <n v="19"/>
    <x v="0"/>
    <n v="0"/>
  </r>
  <r>
    <x v="10"/>
    <s v="Mariusz"/>
    <s v="Brydzinski"/>
    <n v="14"/>
    <x v="0"/>
    <n v="0"/>
  </r>
  <r>
    <x v="10"/>
    <s v="Jan"/>
    <s v="Bikot"/>
    <n v="47"/>
    <x v="0"/>
    <n v="0"/>
  </r>
  <r>
    <x v="10"/>
    <s v="Krzysztof"/>
    <s v="Konieckiewicz"/>
    <n v="13"/>
    <x v="0"/>
    <n v="0"/>
  </r>
  <r>
    <x v="10"/>
    <s v="Natalia"/>
    <s v="Belicka"/>
    <n v="27"/>
    <x v="0"/>
    <n v="0"/>
  </r>
  <r>
    <x v="10"/>
    <s v="Ewa"/>
    <s v="Wojna"/>
    <n v="23"/>
    <x v="0"/>
    <n v="1"/>
  </r>
  <r>
    <x v="11"/>
    <s v="Jacek"/>
    <s v="Ciosinski"/>
    <n v="39"/>
    <x v="1"/>
    <n v="0"/>
  </r>
  <r>
    <x v="11"/>
    <s v="Jolanta"/>
    <s v="Bicz"/>
    <n v="19"/>
    <x v="1"/>
    <n v="0"/>
  </r>
  <r>
    <x v="11"/>
    <s v="Jakub"/>
    <s v="Ręczmin"/>
    <n v="17"/>
    <x v="1"/>
    <n v="0"/>
  </r>
  <r>
    <x v="11"/>
    <s v="Michal"/>
    <s v="Norek"/>
    <n v="30"/>
    <x v="1"/>
    <n v="0"/>
  </r>
  <r>
    <x v="11"/>
    <s v="Julia"/>
    <s v="Stuhr"/>
    <n v="22"/>
    <x v="1"/>
    <n v="0"/>
  </r>
  <r>
    <x v="11"/>
    <s v="Anita"/>
    <s v="Pawelczyk"/>
    <n v="8"/>
    <x v="1"/>
    <n v="0"/>
  </r>
  <r>
    <x v="11"/>
    <s v="Alicja"/>
    <s v="Chmiel"/>
    <n v="20"/>
    <x v="1"/>
    <n v="0"/>
  </r>
  <r>
    <x v="11"/>
    <s v="Jakub"/>
    <s v="Jedruszek"/>
    <n v="20"/>
    <x v="1"/>
    <n v="0"/>
  </r>
  <r>
    <x v="11"/>
    <s v="Jakub"/>
    <s v="Waniek"/>
    <n v="29"/>
    <x v="1"/>
    <n v="1"/>
  </r>
  <r>
    <x v="12"/>
    <s v="Karol"/>
    <s v="Milek"/>
    <n v="42"/>
    <x v="2"/>
    <n v="0"/>
  </r>
  <r>
    <x v="12"/>
    <s v="Piotr"/>
    <s v="Flis"/>
    <n v="4"/>
    <x v="2"/>
    <n v="0"/>
  </r>
  <r>
    <x v="12"/>
    <s v="Wanda"/>
    <s v="Sadza"/>
    <n v="3"/>
    <x v="2"/>
    <n v="0"/>
  </r>
  <r>
    <x v="12"/>
    <s v="Aleks"/>
    <s v="Wojcik"/>
    <n v="39"/>
    <x v="2"/>
    <n v="0"/>
  </r>
  <r>
    <x v="12"/>
    <s v="Zofia"/>
    <s v="Janczy"/>
    <n v="51"/>
    <x v="2"/>
    <n v="0"/>
  </r>
  <r>
    <x v="12"/>
    <s v="Jaroslaw"/>
    <s v="Kopiec"/>
    <n v="8"/>
    <x v="2"/>
    <n v="0"/>
  </r>
  <r>
    <x v="12"/>
    <s v="Dorota"/>
    <s v="Adamus"/>
    <n v="22"/>
    <x v="2"/>
    <n v="0"/>
  </r>
  <r>
    <x v="12"/>
    <s v="Kinga"/>
    <s v="Kleszcz"/>
    <n v="15"/>
    <x v="2"/>
    <n v="0"/>
  </r>
  <r>
    <x v="12"/>
    <s v="Malgorzata"/>
    <s v="Wiecek"/>
    <n v="10"/>
    <x v="2"/>
    <n v="1"/>
  </r>
  <r>
    <x v="13"/>
    <s v="Piotr"/>
    <s v="Felus"/>
    <n v="21"/>
    <x v="3"/>
    <n v="0"/>
  </r>
  <r>
    <x v="13"/>
    <s v="Mateusz"/>
    <s v="Uklej"/>
    <n v="34"/>
    <x v="3"/>
    <n v="0"/>
  </r>
  <r>
    <x v="13"/>
    <s v="Julia"/>
    <s v="Kielecka"/>
    <n v="43"/>
    <x v="3"/>
    <n v="0"/>
  </r>
  <r>
    <x v="13"/>
    <s v="Jaroslaw"/>
    <s v="Kopiec"/>
    <n v="24"/>
    <x v="3"/>
    <n v="0"/>
  </r>
  <r>
    <x v="13"/>
    <s v="Edward"/>
    <s v="Zdunek"/>
    <n v="29"/>
    <x v="3"/>
    <n v="0"/>
  </r>
  <r>
    <x v="13"/>
    <s v="Anna"/>
    <s v="Trzebiatowska"/>
    <n v="5"/>
    <x v="3"/>
    <n v="0"/>
  </r>
  <r>
    <x v="13"/>
    <s v="Marta"/>
    <s v="Opolska"/>
    <n v="54"/>
    <x v="3"/>
    <n v="0"/>
  </r>
  <r>
    <x v="13"/>
    <s v="Maciej"/>
    <s v="Laskowski"/>
    <n v="29"/>
    <x v="3"/>
    <n v="0"/>
  </r>
  <r>
    <x v="13"/>
    <s v="Jacek"/>
    <s v="Szypulski"/>
    <n v="4"/>
    <x v="3"/>
    <n v="1"/>
  </r>
  <r>
    <x v="14"/>
    <s v="Maria"/>
    <s v="Drozd"/>
    <n v="12"/>
    <x v="4"/>
    <n v="0"/>
  </r>
  <r>
    <x v="14"/>
    <s v="Mateusz"/>
    <s v="Uklej"/>
    <n v="14"/>
    <x v="4"/>
    <n v="0"/>
  </r>
  <r>
    <x v="14"/>
    <s v="Mateusz"/>
    <s v="Kowalczyk"/>
    <n v="46"/>
    <x v="4"/>
    <n v="0"/>
  </r>
  <r>
    <x v="14"/>
    <s v="Weronika"/>
    <s v="Zdroj"/>
    <n v="13"/>
    <x v="4"/>
    <n v="0"/>
  </r>
  <r>
    <x v="14"/>
    <s v="Wieslawa"/>
    <s v="Biczysko"/>
    <n v="15"/>
    <x v="4"/>
    <n v="0"/>
  </r>
  <r>
    <x v="14"/>
    <s v="Marek"/>
    <s v="Nowakowski"/>
    <n v="38"/>
    <x v="4"/>
    <n v="0"/>
  </r>
  <r>
    <x v="14"/>
    <s v="Karolina"/>
    <s v="Welc"/>
    <n v="27"/>
    <x v="4"/>
    <n v="0"/>
  </r>
  <r>
    <x v="14"/>
    <s v="Ewa"/>
    <s v="Stoch"/>
    <n v="49"/>
    <x v="4"/>
    <n v="0"/>
  </r>
  <r>
    <x v="14"/>
    <s v="Barbara"/>
    <s v="Podobinska"/>
    <n v="17"/>
    <x v="4"/>
    <n v="1"/>
  </r>
  <r>
    <x v="15"/>
    <s v="Emilia"/>
    <s v="Mroczek"/>
    <n v="10"/>
    <x v="0"/>
    <n v="0"/>
  </r>
  <r>
    <x v="15"/>
    <s v="Maria"/>
    <s v="Drozd"/>
    <n v="12"/>
    <x v="0"/>
    <n v="0"/>
  </r>
  <r>
    <x v="15"/>
    <s v="Agnieszka"/>
    <s v="Antos"/>
    <n v="42"/>
    <x v="0"/>
    <n v="0"/>
  </r>
  <r>
    <x v="15"/>
    <s v="Sabina"/>
    <s v="Wilk"/>
    <n v="25"/>
    <x v="0"/>
    <n v="0"/>
  </r>
  <r>
    <x v="15"/>
    <s v="Edward"/>
    <s v="Snopek"/>
    <n v="47"/>
    <x v="0"/>
    <n v="0"/>
  </r>
  <r>
    <x v="15"/>
    <s v="Krzysztof"/>
    <s v="Madejski"/>
    <n v="14"/>
    <x v="0"/>
    <n v="0"/>
  </r>
  <r>
    <x v="15"/>
    <s v="Marcin"/>
    <s v="Wrobel"/>
    <n v="6"/>
    <x v="0"/>
    <n v="0"/>
  </r>
  <r>
    <x v="15"/>
    <s v="Igor"/>
    <s v="Ryngwelski"/>
    <n v="55"/>
    <x v="0"/>
    <n v="0"/>
  </r>
  <r>
    <x v="15"/>
    <s v="Michal"/>
    <s v="Lenski"/>
    <n v="22"/>
    <x v="0"/>
    <n v="1"/>
  </r>
  <r>
    <x v="16"/>
    <s v="Pawel"/>
    <s v="Nowakowski"/>
    <n v="45"/>
    <x v="1"/>
    <n v="0"/>
  </r>
  <r>
    <x v="16"/>
    <s v="Agnieszka"/>
    <s v="Krawczynska"/>
    <n v="20"/>
    <x v="1"/>
    <n v="0"/>
  </r>
  <r>
    <x v="16"/>
    <s v="Grzegorz"/>
    <s v="Domek"/>
    <n v="52"/>
    <x v="1"/>
    <n v="0"/>
  </r>
  <r>
    <x v="16"/>
    <s v="Michal"/>
    <s v="Gora"/>
    <n v="47"/>
    <x v="1"/>
    <n v="0"/>
  </r>
  <r>
    <x v="16"/>
    <s v="Krzysztof"/>
    <s v="Micun"/>
    <n v="13"/>
    <x v="1"/>
    <n v="0"/>
  </r>
  <r>
    <x v="16"/>
    <s v="Maria"/>
    <s v="Galas"/>
    <n v="23"/>
    <x v="1"/>
    <n v="0"/>
  </r>
  <r>
    <x v="16"/>
    <s v="Jerzy"/>
    <s v="Polanicki"/>
    <n v="11"/>
    <x v="1"/>
    <n v="0"/>
  </r>
  <r>
    <x v="16"/>
    <s v="Joanna"/>
    <s v="Baranska"/>
    <n v="35"/>
    <x v="1"/>
    <n v="0"/>
  </r>
  <r>
    <x v="16"/>
    <s v="Hanna"/>
    <s v="Steinborn"/>
    <n v="42"/>
    <x v="1"/>
    <n v="1"/>
  </r>
  <r>
    <x v="17"/>
    <s v="Anita"/>
    <s v="Woloszyn"/>
    <n v="15"/>
    <x v="2"/>
    <n v="0"/>
  </r>
  <r>
    <x v="17"/>
    <s v="Karolina"/>
    <s v="Wrona"/>
    <n v="9"/>
    <x v="2"/>
    <n v="0"/>
  </r>
  <r>
    <x v="17"/>
    <s v="Kamil"/>
    <s v="Pudelski"/>
    <n v="33"/>
    <x v="2"/>
    <n v="0"/>
  </r>
  <r>
    <x v="17"/>
    <s v="Jerzy"/>
    <s v="Czajkowski"/>
    <n v="17"/>
    <x v="2"/>
    <n v="0"/>
  </r>
  <r>
    <x v="17"/>
    <s v="Dominik"/>
    <s v="Szczucki"/>
    <n v="11"/>
    <x v="2"/>
    <n v="0"/>
  </r>
  <r>
    <x v="17"/>
    <s v="Witold"/>
    <s v="Sempa"/>
    <n v="19"/>
    <x v="2"/>
    <n v="0"/>
  </r>
  <r>
    <x v="17"/>
    <s v="Daria"/>
    <s v="Zagrobna"/>
    <n v="14"/>
    <x v="2"/>
    <n v="0"/>
  </r>
  <r>
    <x v="17"/>
    <s v="Alicja"/>
    <s v="Chmiel"/>
    <n v="6"/>
    <x v="2"/>
    <n v="0"/>
  </r>
  <r>
    <x v="17"/>
    <s v="Malwina"/>
    <s v="Korzeniowska"/>
    <n v="47"/>
    <x v="2"/>
    <n v="0"/>
  </r>
  <r>
    <x v="17"/>
    <s v="Beata"/>
    <s v="Lubelska"/>
    <n v="4"/>
    <x v="2"/>
    <n v="0"/>
  </r>
  <r>
    <x v="17"/>
    <s v="Marzena"/>
    <s v="Jagielska"/>
    <n v="45"/>
    <x v="2"/>
    <n v="1"/>
  </r>
  <r>
    <x v="18"/>
    <s v="Patryk"/>
    <s v="Giemza"/>
    <n v="39"/>
    <x v="3"/>
    <n v="0"/>
  </r>
  <r>
    <x v="18"/>
    <s v="Maria"/>
    <s v="Adamska"/>
    <n v="34"/>
    <x v="3"/>
    <n v="0"/>
  </r>
  <r>
    <x v="18"/>
    <s v="Emilia"/>
    <s v="Janik"/>
    <n v="9"/>
    <x v="3"/>
    <n v="0"/>
  </r>
  <r>
    <x v="18"/>
    <s v="Izabella"/>
    <s v="Jelen"/>
    <n v="23"/>
    <x v="3"/>
    <n v="0"/>
  </r>
  <r>
    <x v="18"/>
    <s v="Julia"/>
    <s v="Stuhr"/>
    <n v="3"/>
    <x v="3"/>
    <n v="0"/>
  </r>
  <r>
    <x v="18"/>
    <s v="Karolina"/>
    <s v="Nowak"/>
    <n v="13"/>
    <x v="3"/>
    <n v="0"/>
  </r>
  <r>
    <x v="18"/>
    <s v="Karolina"/>
    <s v="Karpacka"/>
    <n v="16"/>
    <x v="3"/>
    <n v="0"/>
  </r>
  <r>
    <x v="18"/>
    <s v="Piotr"/>
    <s v="Dzierzak"/>
    <n v="19"/>
    <x v="3"/>
    <n v="0"/>
  </r>
  <r>
    <x v="18"/>
    <s v="Marek"/>
    <s v="Wolicki"/>
    <n v="49"/>
    <x v="3"/>
    <n v="0"/>
  </r>
  <r>
    <x v="18"/>
    <s v="Adrian"/>
    <s v="Yuksek"/>
    <n v="45"/>
    <x v="3"/>
    <n v="0"/>
  </r>
  <r>
    <x v="18"/>
    <s v="Monika"/>
    <s v="Piterka"/>
    <n v="14"/>
    <x v="3"/>
    <n v="1"/>
  </r>
  <r>
    <x v="19"/>
    <s v="Jan"/>
    <s v="Inny"/>
    <n v="23"/>
    <x v="4"/>
    <n v="0"/>
  </r>
  <r>
    <x v="19"/>
    <s v="Magdalena"/>
    <s v="Okraska"/>
    <n v="42"/>
    <x v="4"/>
    <n v="0"/>
  </r>
  <r>
    <x v="19"/>
    <s v="Edgar"/>
    <s v="Wyszomirski"/>
    <n v="30"/>
    <x v="4"/>
    <n v="0"/>
  </r>
  <r>
    <x v="19"/>
    <s v="Marta"/>
    <s v="Robak"/>
    <n v="42"/>
    <x v="4"/>
    <n v="0"/>
  </r>
  <r>
    <x v="19"/>
    <s v="Maja"/>
    <s v="Lipka"/>
    <n v="29"/>
    <x v="4"/>
    <n v="0"/>
  </r>
  <r>
    <x v="19"/>
    <s v="Teodor"/>
    <s v="Olszewski"/>
    <n v="6"/>
    <x v="4"/>
    <n v="0"/>
  </r>
  <r>
    <x v="19"/>
    <s v="Lena"/>
    <s v="Miszkin"/>
    <n v="17"/>
    <x v="4"/>
    <n v="0"/>
  </r>
  <r>
    <x v="19"/>
    <s v="Maciej"/>
    <s v="Czyzynski"/>
    <n v="41"/>
    <x v="4"/>
    <n v="0"/>
  </r>
  <r>
    <x v="19"/>
    <s v="Malgorzata"/>
    <s v="Karlowski"/>
    <n v="23"/>
    <x v="4"/>
    <n v="0"/>
  </r>
  <r>
    <x v="19"/>
    <s v="Wieslawa"/>
    <s v="Biczysko"/>
    <n v="4"/>
    <x v="4"/>
    <n v="0"/>
  </r>
  <r>
    <x v="19"/>
    <s v="Sofia"/>
    <s v="Felisiak"/>
    <n v="52"/>
    <x v="4"/>
    <n v="1"/>
  </r>
  <r>
    <x v="20"/>
    <s v="Laura"/>
    <s v="Chmielewska"/>
    <n v="7"/>
    <x v="0"/>
    <n v="0"/>
  </r>
  <r>
    <x v="20"/>
    <s v="Filip"/>
    <s v="Strack"/>
    <n v="33"/>
    <x v="0"/>
    <n v="0"/>
  </r>
  <r>
    <x v="20"/>
    <s v="Adela"/>
    <s v="Waruszewska"/>
    <n v="55"/>
    <x v="0"/>
    <n v="0"/>
  </r>
  <r>
    <x v="20"/>
    <s v="Inez"/>
    <s v="Nahaj"/>
    <n v="13"/>
    <x v="0"/>
    <n v="0"/>
  </r>
  <r>
    <x v="20"/>
    <s v="Zenon"/>
    <s v="Bartek"/>
    <n v="2"/>
    <x v="0"/>
    <n v="0"/>
  </r>
  <r>
    <x v="20"/>
    <s v="Karol"/>
    <s v="Felisiak"/>
    <n v="19"/>
    <x v="0"/>
    <n v="0"/>
  </r>
  <r>
    <x v="20"/>
    <s v="Wojciech"/>
    <s v="Wroblewski"/>
    <n v="28"/>
    <x v="0"/>
    <n v="0"/>
  </r>
  <r>
    <x v="20"/>
    <s v="Ewa"/>
    <s v="Nowicka"/>
    <n v="43"/>
    <x v="0"/>
    <n v="0"/>
  </r>
  <r>
    <x v="20"/>
    <s v="Irena"/>
    <s v="Banasiewicz"/>
    <n v="20"/>
    <x v="0"/>
    <n v="0"/>
  </r>
  <r>
    <x v="20"/>
    <s v="Beata"/>
    <s v="Fles"/>
    <n v="22"/>
    <x v="0"/>
    <n v="0"/>
  </r>
  <r>
    <x v="20"/>
    <s v="Ewa"/>
    <s v="Czerwinska"/>
    <n v="9"/>
    <x v="0"/>
    <n v="1"/>
  </r>
  <r>
    <x v="21"/>
    <s v="Maja"/>
    <s v="Kulkowska"/>
    <n v="26"/>
    <x v="1"/>
    <n v="0"/>
  </r>
  <r>
    <x v="21"/>
    <s v="Marek"/>
    <s v="Leoniuk"/>
    <n v="38"/>
    <x v="1"/>
    <n v="0"/>
  </r>
  <r>
    <x v="21"/>
    <s v="Anna"/>
    <s v="Wilk"/>
    <n v="40"/>
    <x v="1"/>
    <n v="0"/>
  </r>
  <r>
    <x v="21"/>
    <s v="Natalia"/>
    <s v="Miklis"/>
    <n v="56"/>
    <x v="1"/>
    <n v="0"/>
  </r>
  <r>
    <x v="21"/>
    <s v="Krzysztof"/>
    <s v="Figurski"/>
    <n v="18"/>
    <x v="1"/>
    <n v="0"/>
  </r>
  <r>
    <x v="21"/>
    <s v="Maria"/>
    <s v="Borowska"/>
    <n v="14"/>
    <x v="1"/>
    <n v="0"/>
  </r>
  <r>
    <x v="21"/>
    <s v="Ewa"/>
    <s v="Aderek"/>
    <n v="16"/>
    <x v="1"/>
    <n v="0"/>
  </r>
  <r>
    <x v="21"/>
    <s v="Joanna"/>
    <s v="Pilc"/>
    <n v="41"/>
    <x v="1"/>
    <n v="0"/>
  </r>
  <r>
    <x v="21"/>
    <s v="Damian"/>
    <s v="Pilis"/>
    <n v="52"/>
    <x v="1"/>
    <n v="0"/>
  </r>
  <r>
    <x v="21"/>
    <s v="Maria"/>
    <s v="Gatek"/>
    <n v="50"/>
    <x v="1"/>
    <n v="0"/>
  </r>
  <r>
    <x v="21"/>
    <s v="Hanna"/>
    <s v="Modlinska"/>
    <n v="34"/>
    <x v="1"/>
    <n v="1"/>
  </r>
  <r>
    <x v="22"/>
    <s v="Anna"/>
    <s v="Janowska"/>
    <n v="17"/>
    <x v="2"/>
    <n v="0"/>
  </r>
  <r>
    <x v="22"/>
    <s v="Katarzyna"/>
    <s v="Wip"/>
    <n v="3"/>
    <x v="2"/>
    <n v="0"/>
  </r>
  <r>
    <x v="22"/>
    <s v="Henryk"/>
    <s v="Polarek"/>
    <n v="3"/>
    <x v="2"/>
    <n v="0"/>
  </r>
  <r>
    <x v="22"/>
    <s v="Anita"/>
    <s v="Woloszyn"/>
    <n v="26"/>
    <x v="2"/>
    <n v="0"/>
  </r>
  <r>
    <x v="22"/>
    <s v="Malwina"/>
    <s v="Korzeniowska"/>
    <n v="3"/>
    <x v="2"/>
    <n v="0"/>
  </r>
  <r>
    <x v="22"/>
    <s v="Marcel"/>
    <s v="Labuda"/>
    <n v="20"/>
    <x v="2"/>
    <n v="0"/>
  </r>
  <r>
    <x v="22"/>
    <s v="Olgierd"/>
    <s v="Baranek"/>
    <n v="23"/>
    <x v="2"/>
    <n v="0"/>
  </r>
  <r>
    <x v="22"/>
    <s v="Luiza"/>
    <s v="Makowska"/>
    <n v="24"/>
    <x v="2"/>
    <n v="0"/>
  </r>
  <r>
    <x v="22"/>
    <s v="Andrea"/>
    <s v="Witkowska"/>
    <n v="17"/>
    <x v="2"/>
    <n v="0"/>
  </r>
  <r>
    <x v="22"/>
    <s v="Lena"/>
    <s v="Marzec"/>
    <n v="6"/>
    <x v="2"/>
    <n v="0"/>
  </r>
  <r>
    <x v="22"/>
    <s v="Janusz"/>
    <s v="Artowski"/>
    <n v="47"/>
    <x v="2"/>
    <n v="1"/>
  </r>
  <r>
    <x v="23"/>
    <s v="Kamila"/>
    <s v="Wolan"/>
    <n v="25"/>
    <x v="3"/>
    <n v="0"/>
  </r>
  <r>
    <x v="23"/>
    <s v="Inka"/>
    <s v="Sochacka"/>
    <n v="20"/>
    <x v="3"/>
    <n v="0"/>
  </r>
  <r>
    <x v="23"/>
    <s v="Alina"/>
    <s v="Warta"/>
    <n v="6"/>
    <x v="3"/>
    <n v="0"/>
  </r>
  <r>
    <x v="23"/>
    <s v="Adam"/>
    <s v="Zega"/>
    <n v="16"/>
    <x v="3"/>
    <n v="0"/>
  </r>
  <r>
    <x v="23"/>
    <s v="Henryk"/>
    <s v="Siminski"/>
    <n v="16"/>
    <x v="3"/>
    <n v="0"/>
  </r>
  <r>
    <x v="23"/>
    <s v="Irena"/>
    <s v="Piotrowska"/>
    <n v="8"/>
    <x v="3"/>
    <n v="0"/>
  </r>
  <r>
    <x v="23"/>
    <s v="Malgorzata"/>
    <s v="Karlowski"/>
    <n v="17"/>
    <x v="3"/>
    <n v="0"/>
  </r>
  <r>
    <x v="23"/>
    <s v="Jakub"/>
    <s v="Bracik"/>
    <n v="8"/>
    <x v="3"/>
    <n v="0"/>
  </r>
  <r>
    <x v="23"/>
    <s v="Maciej"/>
    <s v="Lyszcz"/>
    <n v="29"/>
    <x v="3"/>
    <n v="0"/>
  </r>
  <r>
    <x v="23"/>
    <s v="Pawel"/>
    <s v="Nowak"/>
    <n v="43"/>
    <x v="3"/>
    <n v="0"/>
  </r>
  <r>
    <x v="23"/>
    <s v="Michalina"/>
    <s v="Klebba"/>
    <n v="17"/>
    <x v="3"/>
    <n v="1"/>
  </r>
  <r>
    <x v="24"/>
    <s v="Bartosz"/>
    <s v="Protasow"/>
    <n v="29"/>
    <x v="4"/>
    <n v="0"/>
  </r>
  <r>
    <x v="24"/>
    <s v="Edward"/>
    <s v="Zdunek"/>
    <n v="7"/>
    <x v="4"/>
    <n v="0"/>
  </r>
  <r>
    <x v="24"/>
    <s v="Joanna"/>
    <s v="Zygmunt"/>
    <n v="16"/>
    <x v="4"/>
    <n v="0"/>
  </r>
  <r>
    <x v="24"/>
    <s v="Krzysztof"/>
    <s v="Figurski"/>
    <n v="3"/>
    <x v="4"/>
    <n v="0"/>
  </r>
  <r>
    <x v="24"/>
    <s v="Maja"/>
    <s v="Kulkowska"/>
    <n v="26"/>
    <x v="4"/>
    <n v="0"/>
  </r>
  <r>
    <x v="24"/>
    <s v="Maria"/>
    <s v="Kowalczuk"/>
    <n v="5"/>
    <x v="4"/>
    <n v="0"/>
  </r>
  <r>
    <x v="24"/>
    <s v="Jakub"/>
    <s v="Ropiak"/>
    <n v="16"/>
    <x v="4"/>
    <n v="0"/>
  </r>
  <r>
    <x v="24"/>
    <s v="Piotr"/>
    <s v="Kania"/>
    <n v="19"/>
    <x v="4"/>
    <n v="0"/>
  </r>
  <r>
    <x v="24"/>
    <s v="Witold"/>
    <s v="Sempa"/>
    <n v="13"/>
    <x v="4"/>
    <n v="0"/>
  </r>
  <r>
    <x v="24"/>
    <s v="Pawel"/>
    <s v="Macherzynski"/>
    <n v="8"/>
    <x v="4"/>
    <n v="0"/>
  </r>
  <r>
    <x v="24"/>
    <s v="Krzysztof"/>
    <s v="Czyz"/>
    <n v="13"/>
    <x v="4"/>
    <n v="1"/>
  </r>
  <r>
    <x v="25"/>
    <s v="Krzysztof"/>
    <s v="Wilecki"/>
    <n v="25"/>
    <x v="0"/>
    <n v="0"/>
  </r>
  <r>
    <x v="25"/>
    <s v="Zbigniew"/>
    <s v="Paderewski"/>
    <n v="25"/>
    <x v="0"/>
    <n v="0"/>
  </r>
  <r>
    <x v="25"/>
    <s v="Bartosz"/>
    <s v="Tusinski"/>
    <n v="56"/>
    <x v="0"/>
    <n v="0"/>
  </r>
  <r>
    <x v="25"/>
    <s v="Sabina"/>
    <s v="Wilk"/>
    <n v="3"/>
    <x v="0"/>
    <n v="0"/>
  </r>
  <r>
    <x v="25"/>
    <s v="Marta"/>
    <s v="Wloczkow"/>
    <n v="18"/>
    <x v="0"/>
    <n v="0"/>
  </r>
  <r>
    <x v="25"/>
    <s v="Bartosz"/>
    <s v="Tusinski"/>
    <n v="14"/>
    <x v="0"/>
    <n v="0"/>
  </r>
  <r>
    <x v="25"/>
    <s v="Cyprian"/>
    <s v="Swierszcz"/>
    <n v="5"/>
    <x v="0"/>
    <n v="0"/>
  </r>
  <r>
    <x v="25"/>
    <s v="Anita"/>
    <s v="Tych"/>
    <n v="3"/>
    <x v="0"/>
    <n v="0"/>
  </r>
  <r>
    <x v="25"/>
    <s v="Piotr"/>
    <s v="Kaleta"/>
    <n v="27"/>
    <x v="0"/>
    <n v="0"/>
  </r>
  <r>
    <x v="25"/>
    <s v="Konrad"/>
    <s v="Lipowski"/>
    <n v="28"/>
    <x v="0"/>
    <n v="0"/>
  </r>
  <r>
    <x v="25"/>
    <s v="Wojciech"/>
    <s v="Filipowicz"/>
    <n v="2"/>
    <x v="0"/>
    <n v="1"/>
  </r>
  <r>
    <x v="26"/>
    <s v="Marcel"/>
    <s v="Labuda"/>
    <n v="29"/>
    <x v="1"/>
    <n v="0"/>
  </r>
  <r>
    <x v="26"/>
    <s v="Antoni"/>
    <s v="Pawlus"/>
    <n v="54"/>
    <x v="1"/>
    <n v="0"/>
  </r>
  <r>
    <x v="26"/>
    <s v="Tadeusz"/>
    <s v="Stoch"/>
    <n v="4"/>
    <x v="1"/>
    <n v="0"/>
  </r>
  <r>
    <x v="26"/>
    <s v="Krzysztof"/>
    <s v="Dwa"/>
    <n v="29"/>
    <x v="1"/>
    <n v="0"/>
  </r>
  <r>
    <x v="26"/>
    <s v="Lukasz"/>
    <s v="Kopecki"/>
    <n v="22"/>
    <x v="1"/>
    <n v="0"/>
  </r>
  <r>
    <x v="26"/>
    <s v="Krzysztof"/>
    <s v="Dwa"/>
    <n v="6"/>
    <x v="1"/>
    <n v="0"/>
  </r>
  <r>
    <x v="26"/>
    <s v="Aleks"/>
    <s v="Wojcik"/>
    <n v="7"/>
    <x v="1"/>
    <n v="0"/>
  </r>
  <r>
    <x v="26"/>
    <s v="Dominika"/>
    <s v="Mierny"/>
    <n v="21"/>
    <x v="1"/>
    <n v="0"/>
  </r>
  <r>
    <x v="26"/>
    <s v="Jakub"/>
    <s v="Waniek"/>
    <n v="19"/>
    <x v="1"/>
    <n v="0"/>
  </r>
  <r>
    <x v="26"/>
    <s v="Bohdan"/>
    <s v="Gigant"/>
    <n v="8"/>
    <x v="1"/>
    <n v="0"/>
  </r>
  <r>
    <x v="26"/>
    <s v="Jakub"/>
    <s v="Jedruszek"/>
    <n v="2"/>
    <x v="1"/>
    <n v="1"/>
  </r>
  <r>
    <x v="27"/>
    <s v="Henryk"/>
    <s v="Siminski"/>
    <n v="45"/>
    <x v="2"/>
    <n v="0"/>
  </r>
  <r>
    <x v="27"/>
    <s v="Natalia"/>
    <s v="Wolny"/>
    <n v="3"/>
    <x v="2"/>
    <n v="0"/>
  </r>
  <r>
    <x v="27"/>
    <s v="Olaf"/>
    <s v="Hrywniak"/>
    <n v="36"/>
    <x v="2"/>
    <n v="0"/>
  </r>
  <r>
    <x v="27"/>
    <s v="Natalia"/>
    <s v="Wolny"/>
    <n v="9"/>
    <x v="2"/>
    <n v="0"/>
  </r>
  <r>
    <x v="27"/>
    <s v="Agata"/>
    <s v="Zdrojewska"/>
    <n v="24"/>
    <x v="2"/>
    <n v="0"/>
  </r>
  <r>
    <x v="27"/>
    <s v="Barbara"/>
    <s v="Podobinska"/>
    <n v="5"/>
    <x v="2"/>
    <n v="0"/>
  </r>
  <r>
    <x v="27"/>
    <s v="Kornel"/>
    <s v="Mierzejewski"/>
    <n v="22"/>
    <x v="2"/>
    <n v="0"/>
  </r>
  <r>
    <x v="27"/>
    <s v="Konrad"/>
    <s v="Jagielski"/>
    <n v="9"/>
    <x v="2"/>
    <n v="0"/>
  </r>
  <r>
    <x v="27"/>
    <s v="Anna"/>
    <s v="Tomaszewska"/>
    <n v="6"/>
    <x v="2"/>
    <n v="0"/>
  </r>
  <r>
    <x v="27"/>
    <s v="Anastazja"/>
    <s v="Borowska"/>
    <n v="9"/>
    <x v="2"/>
    <n v="0"/>
  </r>
  <r>
    <x v="27"/>
    <s v="Dominika"/>
    <s v="Wierzbicka"/>
    <n v="19"/>
    <x v="2"/>
    <n v="1"/>
  </r>
  <r>
    <x v="28"/>
    <s v="Martyna"/>
    <s v="Marmelowska"/>
    <n v="14"/>
    <x v="3"/>
    <n v="0"/>
  </r>
  <r>
    <x v="28"/>
    <s v="Krystyna"/>
    <s v="Szybki"/>
    <n v="44"/>
    <x v="3"/>
    <n v="0"/>
  </r>
  <r>
    <x v="28"/>
    <s v="Pawel"/>
    <s v="Furmaniak"/>
    <n v="38"/>
    <x v="3"/>
    <n v="0"/>
  </r>
  <r>
    <x v="28"/>
    <s v="Malgorzata"/>
    <s v="Malec"/>
    <n v="18"/>
    <x v="3"/>
    <n v="0"/>
  </r>
  <r>
    <x v="28"/>
    <s v="Marek"/>
    <s v="Leoniuk"/>
    <n v="51"/>
    <x v="3"/>
    <n v="0"/>
  </r>
  <r>
    <x v="28"/>
    <s v="Marek"/>
    <s v="Witkowski"/>
    <n v="10"/>
    <x v="3"/>
    <n v="0"/>
  </r>
  <r>
    <x v="28"/>
    <s v="Malgorzata"/>
    <s v="Winiarska"/>
    <n v="47"/>
    <x v="3"/>
    <n v="0"/>
  </r>
  <r>
    <x v="28"/>
    <s v="Marek"/>
    <s v="Janowski"/>
    <n v="54"/>
    <x v="3"/>
    <n v="0"/>
  </r>
  <r>
    <x v="28"/>
    <s v="Ewa"/>
    <s v="Stoch"/>
    <n v="32"/>
    <x v="3"/>
    <n v="0"/>
  </r>
  <r>
    <x v="28"/>
    <s v="Zenon"/>
    <s v="Zbych"/>
    <n v="16"/>
    <x v="3"/>
    <n v="0"/>
  </r>
  <r>
    <x v="28"/>
    <s v="Julia"/>
    <s v="Salanowska"/>
    <n v="18"/>
    <x v="3"/>
    <n v="1"/>
  </r>
  <r>
    <x v="29"/>
    <s v="Nadia"/>
    <s v="Jędrzejczak"/>
    <n v="38"/>
    <x v="4"/>
    <n v="0"/>
  </r>
  <r>
    <x v="29"/>
    <s v="Milena"/>
    <s v="Karolewska"/>
    <n v="7"/>
    <x v="4"/>
    <n v="0"/>
  </r>
  <r>
    <x v="29"/>
    <s v="Izabela"/>
    <s v="Skrzydlak"/>
    <n v="16"/>
    <x v="4"/>
    <n v="0"/>
  </r>
  <r>
    <x v="29"/>
    <s v="Anita"/>
    <s v="Kaczorowska"/>
    <n v="42"/>
    <x v="4"/>
    <n v="0"/>
  </r>
  <r>
    <x v="29"/>
    <s v="Maksymilian"/>
    <s v="Piwko"/>
    <n v="27"/>
    <x v="4"/>
    <n v="0"/>
  </r>
  <r>
    <x v="29"/>
    <s v="Maciej"/>
    <s v="Laskowski"/>
    <n v="19"/>
    <x v="4"/>
    <n v="0"/>
  </r>
  <r>
    <x v="29"/>
    <s v="Henryk"/>
    <s v="Polarek"/>
    <n v="37"/>
    <x v="4"/>
    <n v="0"/>
  </r>
  <r>
    <x v="29"/>
    <s v="Marzena"/>
    <s v="Gajek"/>
    <n v="49"/>
    <x v="4"/>
    <n v="0"/>
  </r>
  <r>
    <x v="29"/>
    <s v="Kamil"/>
    <s v="Ludziejewski"/>
    <n v="38"/>
    <x v="4"/>
    <n v="0"/>
  </r>
  <r>
    <x v="29"/>
    <s v="Adelajda"/>
    <s v="Zylinska"/>
    <n v="8"/>
    <x v="4"/>
    <n v="0"/>
  </r>
  <r>
    <x v="29"/>
    <s v="Lena"/>
    <s v="Miszkin"/>
    <n v="9"/>
    <x v="4"/>
    <n v="1"/>
  </r>
  <r>
    <x v="30"/>
    <s v="Janusz"/>
    <s v="Artowski"/>
    <n v="48"/>
    <x v="0"/>
    <n v="0"/>
  </r>
  <r>
    <x v="30"/>
    <s v="Kamila"/>
    <s v="Wolan"/>
    <n v="19"/>
    <x v="0"/>
    <n v="0"/>
  </r>
  <r>
    <x v="30"/>
    <s v="Mateusz"/>
    <s v="Polak"/>
    <n v="5"/>
    <x v="0"/>
    <n v="0"/>
  </r>
  <r>
    <x v="30"/>
    <s v="Jan"/>
    <s v="Zdunski"/>
    <n v="25"/>
    <x v="0"/>
    <n v="0"/>
  </r>
  <r>
    <x v="30"/>
    <s v="Zenon"/>
    <s v="Bartek"/>
    <n v="21"/>
    <x v="0"/>
    <n v="0"/>
  </r>
  <r>
    <x v="30"/>
    <s v="Wiera"/>
    <s v="Nowak"/>
    <n v="6"/>
    <x v="0"/>
    <n v="0"/>
  </r>
  <r>
    <x v="30"/>
    <s v="Dominika"/>
    <s v="Piotrowska"/>
    <n v="4"/>
    <x v="0"/>
    <n v="0"/>
  </r>
  <r>
    <x v="30"/>
    <s v="Ilona"/>
    <s v="Nowak"/>
    <n v="9"/>
    <x v="0"/>
    <n v="0"/>
  </r>
  <r>
    <x v="30"/>
    <s v="Karol"/>
    <s v="Felisiak"/>
    <n v="10"/>
    <x v="0"/>
    <n v="0"/>
  </r>
  <r>
    <x v="30"/>
    <s v="Dominika"/>
    <s v="Mierny"/>
    <n v="26"/>
    <x v="0"/>
    <n v="0"/>
  </r>
  <r>
    <x v="30"/>
    <s v="Maciej"/>
    <s v="Laskowski"/>
    <n v="26"/>
    <x v="0"/>
    <n v="1"/>
  </r>
  <r>
    <x v="31"/>
    <s v="Adam"/>
    <s v="Zmurko"/>
    <n v="42"/>
    <x v="1"/>
    <n v="0"/>
  </r>
  <r>
    <x v="31"/>
    <s v="Krystyna"/>
    <s v="Szybki"/>
    <n v="8"/>
    <x v="1"/>
    <n v="0"/>
  </r>
  <r>
    <x v="31"/>
    <s v="Filip"/>
    <s v="Strehlke"/>
    <n v="8"/>
    <x v="1"/>
    <n v="0"/>
  </r>
  <r>
    <x v="31"/>
    <s v="Janina"/>
    <s v="Podlaska"/>
    <n v="45"/>
    <x v="1"/>
    <n v="0"/>
  </r>
  <r>
    <x v="31"/>
    <s v="Marcin"/>
    <s v="Tabaka"/>
    <n v="41"/>
    <x v="1"/>
    <n v="0"/>
  </r>
  <r>
    <x v="31"/>
    <s v="Barbara"/>
    <s v="Bury"/>
    <n v="5"/>
    <x v="1"/>
    <n v="0"/>
  </r>
  <r>
    <x v="31"/>
    <s v="Aleksandra"/>
    <s v="Donata"/>
    <n v="54"/>
    <x v="1"/>
    <n v="0"/>
  </r>
  <r>
    <x v="31"/>
    <s v="Maria"/>
    <s v="Gatek"/>
    <n v="6"/>
    <x v="1"/>
    <n v="0"/>
  </r>
  <r>
    <x v="31"/>
    <s v="Lidia"/>
    <s v="Goluchowska"/>
    <n v="3"/>
    <x v="1"/>
    <n v="0"/>
  </r>
  <r>
    <x v="31"/>
    <s v="Mateusz"/>
    <s v="Sardo"/>
    <n v="49"/>
    <x v="1"/>
    <n v="0"/>
  </r>
  <r>
    <x v="31"/>
    <s v="Jakub"/>
    <s v="Waniek"/>
    <n v="19"/>
    <x v="1"/>
    <n v="1"/>
  </r>
  <r>
    <x v="32"/>
    <s v="Marek"/>
    <s v="Wolicki"/>
    <n v="29"/>
    <x v="2"/>
    <n v="0"/>
  </r>
  <r>
    <x v="32"/>
    <s v="Ilona"/>
    <s v="Gorska"/>
    <n v="14"/>
    <x v="2"/>
    <n v="0"/>
  </r>
  <r>
    <x v="32"/>
    <s v="Joanna"/>
    <s v="Ottka"/>
    <n v="12"/>
    <x v="2"/>
    <n v="0"/>
  </r>
  <r>
    <x v="32"/>
    <s v="Arleta"/>
    <s v="Pawlik"/>
    <n v="4"/>
    <x v="2"/>
    <n v="0"/>
  </r>
  <r>
    <x v="32"/>
    <s v="Malgorzata"/>
    <s v="Karlowski"/>
    <n v="14"/>
    <x v="2"/>
    <n v="0"/>
  </r>
  <r>
    <x v="32"/>
    <s v="Szymon"/>
    <s v="Mrozniak"/>
    <n v="12"/>
    <x v="2"/>
    <n v="0"/>
  </r>
  <r>
    <x v="32"/>
    <s v="Karolina"/>
    <s v="Wrak"/>
    <n v="52"/>
    <x v="2"/>
    <n v="0"/>
  </r>
  <r>
    <x v="32"/>
    <s v="Igor"/>
    <s v="Rybinski"/>
    <n v="9"/>
    <x v="2"/>
    <n v="0"/>
  </r>
  <r>
    <x v="32"/>
    <s v="Jakub"/>
    <s v="Marszalek"/>
    <n v="13"/>
    <x v="2"/>
    <n v="0"/>
  </r>
  <r>
    <x v="32"/>
    <s v="Ryszarda"/>
    <s v="Januszek"/>
    <n v="29"/>
    <x v="2"/>
    <n v="0"/>
  </r>
  <r>
    <x v="32"/>
    <s v="Bruno"/>
    <s v="Tomaszewski"/>
    <n v="18"/>
    <x v="2"/>
    <n v="1"/>
  </r>
  <r>
    <x v="33"/>
    <s v="Karolina"/>
    <s v="Wrona"/>
    <n v="17"/>
    <x v="3"/>
    <n v="0"/>
  </r>
  <r>
    <x v="33"/>
    <s v="Malgorzata"/>
    <s v="Kozlowska"/>
    <n v="9"/>
    <x v="3"/>
    <n v="0"/>
  </r>
  <r>
    <x v="33"/>
    <s v="Jan"/>
    <s v="Kaczorowski"/>
    <n v="20"/>
    <x v="3"/>
    <n v="0"/>
  </r>
  <r>
    <x v="33"/>
    <s v="Maciej"/>
    <s v="Kopacz"/>
    <n v="50"/>
    <x v="3"/>
    <n v="0"/>
  </r>
  <r>
    <x v="33"/>
    <s v="Monika"/>
    <s v="Placzek"/>
    <n v="9"/>
    <x v="3"/>
    <n v="0"/>
  </r>
  <r>
    <x v="33"/>
    <s v="Jan"/>
    <s v="Zdunski"/>
    <n v="4"/>
    <x v="3"/>
    <n v="0"/>
  </r>
  <r>
    <x v="33"/>
    <s v="Jakub"/>
    <s v="Ręczmin"/>
    <n v="41"/>
    <x v="3"/>
    <n v="0"/>
  </r>
  <r>
    <x v="33"/>
    <s v="Agata"/>
    <s v="Zdrojewska"/>
    <n v="11"/>
    <x v="3"/>
    <n v="0"/>
  </r>
  <r>
    <x v="33"/>
    <s v="Natalia"/>
    <s v="Belicka"/>
    <n v="22"/>
    <x v="3"/>
    <n v="0"/>
  </r>
  <r>
    <x v="33"/>
    <s v="Andrzej"/>
    <s v="Augustowski"/>
    <n v="23"/>
    <x v="3"/>
    <n v="0"/>
  </r>
  <r>
    <x v="33"/>
    <s v="Stanislaw"/>
    <s v="Burza"/>
    <n v="33"/>
    <x v="3"/>
    <n v="1"/>
  </r>
  <r>
    <x v="34"/>
    <s v="Mateusz"/>
    <s v="Krawczyk"/>
    <n v="14"/>
    <x v="4"/>
    <n v="0"/>
  </r>
  <r>
    <x v="34"/>
    <s v="Borys"/>
    <s v="Winiarski"/>
    <n v="28"/>
    <x v="4"/>
    <n v="0"/>
  </r>
  <r>
    <x v="34"/>
    <s v="Agnieszka"/>
    <s v="Matusik"/>
    <n v="12"/>
    <x v="4"/>
    <n v="0"/>
  </r>
  <r>
    <x v="34"/>
    <s v="Jacek"/>
    <s v="Szypulski"/>
    <n v="55"/>
    <x v="4"/>
    <n v="0"/>
  </r>
  <r>
    <x v="34"/>
    <s v="Lena"/>
    <s v="Mazurkiewicz"/>
    <n v="27"/>
    <x v="4"/>
    <n v="0"/>
  </r>
  <r>
    <x v="34"/>
    <s v="Szymon"/>
    <s v="Polak"/>
    <n v="12"/>
    <x v="4"/>
    <n v="0"/>
  </r>
  <r>
    <x v="34"/>
    <s v="Wojciech"/>
    <s v="Maja"/>
    <n v="50"/>
    <x v="4"/>
    <n v="0"/>
  </r>
  <r>
    <x v="34"/>
    <s v="Milena"/>
    <s v="Karolewska"/>
    <n v="23"/>
    <x v="4"/>
    <n v="0"/>
  </r>
  <r>
    <x v="34"/>
    <s v="Ewa"/>
    <s v="Zak"/>
    <n v="24"/>
    <x v="4"/>
    <n v="0"/>
  </r>
  <r>
    <x v="34"/>
    <s v="Hubert"/>
    <s v="Pieczatowski"/>
    <n v="29"/>
    <x v="4"/>
    <n v="0"/>
  </r>
  <r>
    <x v="34"/>
    <s v="Kamil"/>
    <s v="Ludziejewski"/>
    <n v="25"/>
    <x v="4"/>
    <n v="1"/>
  </r>
  <r>
    <x v="35"/>
    <s v="Pawel"/>
    <s v="Bolkowski"/>
    <n v="17"/>
    <x v="0"/>
    <n v="0"/>
  </r>
  <r>
    <x v="35"/>
    <s v="Agnieszka"/>
    <s v="Kaminska"/>
    <n v="5"/>
    <x v="0"/>
    <n v="0"/>
  </r>
  <r>
    <x v="35"/>
    <s v="Mateusz"/>
    <s v="Kowalczyk"/>
    <n v="12"/>
    <x v="0"/>
    <n v="0"/>
  </r>
  <r>
    <x v="35"/>
    <s v="Sabina"/>
    <s v="Wilk"/>
    <n v="31"/>
    <x v="0"/>
    <n v="0"/>
  </r>
  <r>
    <x v="35"/>
    <s v="Maciej"/>
    <s v="Machol"/>
    <n v="7"/>
    <x v="0"/>
    <n v="0"/>
  </r>
  <r>
    <x v="35"/>
    <s v="Krzysztof"/>
    <s v="Las"/>
    <n v="26"/>
    <x v="0"/>
    <n v="0"/>
  </r>
  <r>
    <x v="35"/>
    <s v="Jan"/>
    <s v="Sznuk"/>
    <n v="28"/>
    <x v="0"/>
    <n v="0"/>
  </r>
  <r>
    <x v="35"/>
    <s v="Zuzanna"/>
    <s v="Malicki"/>
    <n v="19"/>
    <x v="0"/>
    <n v="0"/>
  </r>
  <r>
    <x v="35"/>
    <s v="Agata"/>
    <s v="Zdrojewska"/>
    <n v="3"/>
    <x v="0"/>
    <n v="0"/>
  </r>
  <r>
    <x v="35"/>
    <s v="Adam"/>
    <s v="Susel"/>
    <n v="12"/>
    <x v="0"/>
    <n v="0"/>
  </r>
  <r>
    <x v="35"/>
    <s v="Zuzanna"/>
    <s v="Kalisz"/>
    <n v="11"/>
    <x v="0"/>
    <n v="1"/>
  </r>
  <r>
    <x v="36"/>
    <s v="Kamila"/>
    <s v="Wolan"/>
    <n v="29"/>
    <x v="1"/>
    <n v="0"/>
  </r>
  <r>
    <x v="36"/>
    <s v="Wieslawa"/>
    <s v="Krawiec"/>
    <n v="4"/>
    <x v="1"/>
    <n v="0"/>
  </r>
  <r>
    <x v="36"/>
    <s v="Aleksander"/>
    <s v="Pasternak"/>
    <n v="2"/>
    <x v="1"/>
    <n v="0"/>
  </r>
  <r>
    <x v="36"/>
    <s v="Jakub"/>
    <s v="Porydzaj"/>
    <n v="45"/>
    <x v="1"/>
    <n v="0"/>
  </r>
  <r>
    <x v="36"/>
    <s v="Filip"/>
    <s v="Stanulewicz"/>
    <n v="46"/>
    <x v="1"/>
    <n v="0"/>
  </r>
  <r>
    <x v="36"/>
    <s v="Kacper"/>
    <s v="Niec"/>
    <n v="21"/>
    <x v="1"/>
    <n v="0"/>
  </r>
  <r>
    <x v="36"/>
    <s v="Tomasz"/>
    <s v="Boruta"/>
    <n v="24"/>
    <x v="1"/>
    <n v="0"/>
  </r>
  <r>
    <x v="36"/>
    <s v="Ewa"/>
    <s v="Milion"/>
    <n v="53"/>
    <x v="1"/>
    <n v="0"/>
  </r>
  <r>
    <x v="36"/>
    <s v="Kacper"/>
    <s v="Nikolajew"/>
    <n v="45"/>
    <x v="1"/>
    <n v="0"/>
  </r>
  <r>
    <x v="36"/>
    <s v="Patrycja"/>
    <s v="Dzban"/>
    <n v="56"/>
    <x v="1"/>
    <n v="0"/>
  </r>
  <r>
    <x v="36"/>
    <s v="Mateusz"/>
    <s v="Uklej"/>
    <n v="28"/>
    <x v="1"/>
    <n v="1"/>
  </r>
  <r>
    <x v="37"/>
    <s v="Aleksander"/>
    <s v="Pasternak"/>
    <n v="45"/>
    <x v="2"/>
    <n v="0"/>
  </r>
  <r>
    <x v="37"/>
    <s v="Jakub"/>
    <s v="Rembiewski"/>
    <n v="43"/>
    <x v="2"/>
    <n v="0"/>
  </r>
  <r>
    <x v="37"/>
    <s v="Ewa"/>
    <s v="Tysz"/>
    <n v="6"/>
    <x v="2"/>
    <n v="0"/>
  </r>
  <r>
    <x v="37"/>
    <s v="Emilia"/>
    <s v="Szczepanska"/>
    <n v="5"/>
    <x v="2"/>
    <n v="0"/>
  </r>
  <r>
    <x v="37"/>
    <s v="Marcelina"/>
    <s v="Serwicka"/>
    <n v="47"/>
    <x v="2"/>
    <n v="0"/>
  </r>
  <r>
    <x v="37"/>
    <s v="Piotr"/>
    <s v="Polkowicki"/>
    <n v="6"/>
    <x v="2"/>
    <n v="0"/>
  </r>
  <r>
    <x v="37"/>
    <s v="Edward"/>
    <s v="Zdunek"/>
    <n v="55"/>
    <x v="2"/>
    <n v="0"/>
  </r>
  <r>
    <x v="37"/>
    <s v="Alicja"/>
    <s v="Gadek"/>
    <n v="37"/>
    <x v="2"/>
    <n v="0"/>
  </r>
  <r>
    <x v="37"/>
    <s v="Wojciech"/>
    <s v="Filipowicz"/>
    <n v="10"/>
    <x v="2"/>
    <n v="0"/>
  </r>
  <r>
    <x v="37"/>
    <s v="Jerzy"/>
    <s v="Czajkowski"/>
    <n v="39"/>
    <x v="2"/>
    <n v="0"/>
  </r>
  <r>
    <x v="37"/>
    <s v="Monika"/>
    <s v="Nowaczkiewicz"/>
    <n v="23"/>
    <x v="2"/>
    <n v="1"/>
  </r>
  <r>
    <x v="38"/>
    <s v="Marta"/>
    <s v="Robak"/>
    <n v="19"/>
    <x v="3"/>
    <n v="0"/>
  </r>
  <r>
    <x v="38"/>
    <s v="Ewa"/>
    <s v="Zak"/>
    <n v="28"/>
    <x v="3"/>
    <n v="0"/>
  </r>
  <r>
    <x v="38"/>
    <s v="Wojciech"/>
    <s v="Katowicki"/>
    <n v="2"/>
    <x v="3"/>
    <n v="0"/>
  </r>
  <r>
    <x v="38"/>
    <s v="Marek"/>
    <s v="Bednarski"/>
    <n v="6"/>
    <x v="3"/>
    <n v="0"/>
  </r>
  <r>
    <x v="38"/>
    <s v="Daria"/>
    <s v="Mikos"/>
    <n v="26"/>
    <x v="3"/>
    <n v="0"/>
  </r>
  <r>
    <x v="38"/>
    <s v="Diana"/>
    <s v="Michalska"/>
    <n v="55"/>
    <x v="3"/>
    <n v="0"/>
  </r>
  <r>
    <x v="38"/>
    <s v="Wiktor"/>
    <s v="Lubelski"/>
    <n v="52"/>
    <x v="3"/>
    <n v="0"/>
  </r>
  <r>
    <x v="38"/>
    <s v="Szymon"/>
    <s v="Wozniak"/>
    <n v="55"/>
    <x v="3"/>
    <n v="0"/>
  </r>
  <r>
    <x v="38"/>
    <s v="Matylda"/>
    <s v="Kluziak"/>
    <n v="15"/>
    <x v="3"/>
    <n v="0"/>
  </r>
  <r>
    <x v="38"/>
    <s v="Jacek"/>
    <s v="Chojnacki"/>
    <n v="44"/>
    <x v="3"/>
    <n v="0"/>
  </r>
  <r>
    <x v="38"/>
    <s v="Marta"/>
    <s v="Opolska"/>
    <n v="28"/>
    <x v="3"/>
    <n v="1"/>
  </r>
  <r>
    <x v="39"/>
    <s v="Dorota"/>
    <s v="Gumowska"/>
    <n v="19"/>
    <x v="4"/>
    <n v="0"/>
  </r>
  <r>
    <x v="39"/>
    <s v="Karolina"/>
    <s v="Wrona"/>
    <n v="20"/>
    <x v="4"/>
    <n v="0"/>
  </r>
  <r>
    <x v="39"/>
    <s v="Kazimierz"/>
    <s v="Bartosik"/>
    <n v="24"/>
    <x v="4"/>
    <n v="0"/>
  </r>
  <r>
    <x v="39"/>
    <s v="Julia"/>
    <s v="Kielecka"/>
    <n v="8"/>
    <x v="4"/>
    <n v="0"/>
  </r>
  <r>
    <x v="39"/>
    <s v="Patrycja"/>
    <s v="Rzeszowska"/>
    <n v="8"/>
    <x v="4"/>
    <n v="0"/>
  </r>
  <r>
    <x v="39"/>
    <s v="Andrea"/>
    <s v="Witkowska"/>
    <n v="18"/>
    <x v="4"/>
    <n v="0"/>
  </r>
  <r>
    <x v="39"/>
    <s v="Bartosz"/>
    <s v="Protasow"/>
    <n v="26"/>
    <x v="4"/>
    <n v="0"/>
  </r>
  <r>
    <x v="39"/>
    <s v="Hubert"/>
    <s v="Pieczatowski"/>
    <n v="5"/>
    <x v="4"/>
    <n v="0"/>
  </r>
  <r>
    <x v="39"/>
    <s v="Beata"/>
    <s v="Lubelska"/>
    <n v="39"/>
    <x v="4"/>
    <n v="0"/>
  </r>
  <r>
    <x v="39"/>
    <s v="Patrycja"/>
    <s v="Rzeszowska"/>
    <n v="13"/>
    <x v="4"/>
    <n v="0"/>
  </r>
  <r>
    <x v="39"/>
    <s v="Bohdan"/>
    <s v="Gigant"/>
    <n v="52"/>
    <x v="4"/>
    <n v="1"/>
  </r>
  <r>
    <x v="40"/>
    <s v="Kacper"/>
    <s v="Okla"/>
    <n v="21"/>
    <x v="0"/>
    <n v="0"/>
  </r>
  <r>
    <x v="40"/>
    <s v="Mateusz"/>
    <s v="Kaczorowski"/>
    <n v="50"/>
    <x v="0"/>
    <n v="0"/>
  </r>
  <r>
    <x v="40"/>
    <s v="Adrian"/>
    <s v="Yuksek"/>
    <n v="17"/>
    <x v="0"/>
    <n v="0"/>
  </r>
  <r>
    <x v="40"/>
    <s v="Renata"/>
    <s v="Pawlak"/>
    <n v="45"/>
    <x v="0"/>
    <n v="0"/>
  </r>
  <r>
    <x v="40"/>
    <s v="Krzysztof"/>
    <s v="Micun"/>
    <n v="10"/>
    <x v="0"/>
    <n v="0"/>
  </r>
  <r>
    <x v="40"/>
    <s v="Patryk"/>
    <s v="Glac"/>
    <n v="24"/>
    <x v="0"/>
    <n v="0"/>
  </r>
  <r>
    <x v="40"/>
    <s v="Julia"/>
    <s v="Salanowska"/>
    <n v="7"/>
    <x v="0"/>
    <n v="0"/>
  </r>
  <r>
    <x v="40"/>
    <s v="Katarzyna"/>
    <s v="Dzielna"/>
    <n v="30"/>
    <x v="0"/>
    <n v="0"/>
  </r>
  <r>
    <x v="40"/>
    <s v="Ewa"/>
    <s v="Tarnowska"/>
    <n v="41"/>
    <x v="0"/>
    <n v="0"/>
  </r>
  <r>
    <x v="40"/>
    <s v="Zuzanna"/>
    <s v="Kalisz"/>
    <n v="22"/>
    <x v="0"/>
    <n v="0"/>
  </r>
  <r>
    <x v="40"/>
    <s v="Ilona"/>
    <s v="Lukaszewska"/>
    <n v="18"/>
    <x v="0"/>
    <n v="1"/>
  </r>
  <r>
    <x v="41"/>
    <s v="Jan"/>
    <s v="Gacek"/>
    <n v="9"/>
    <x v="1"/>
    <n v="0"/>
  </r>
  <r>
    <x v="41"/>
    <s v="Wieslawa"/>
    <s v="Koniec"/>
    <n v="19"/>
    <x v="1"/>
    <n v="0"/>
  </r>
  <r>
    <x v="41"/>
    <s v="Maciej"/>
    <s v="Lyszcz"/>
    <n v="16"/>
    <x v="1"/>
    <n v="0"/>
  </r>
  <r>
    <x v="41"/>
    <s v="Dominik"/>
    <s v="Szmitko"/>
    <n v="27"/>
    <x v="1"/>
    <n v="0"/>
  </r>
  <r>
    <x v="41"/>
    <s v="Julian"/>
    <s v="Lisowski"/>
    <n v="13"/>
    <x v="1"/>
    <n v="0"/>
  </r>
  <r>
    <x v="41"/>
    <s v="Irena"/>
    <s v="Banasiewicz"/>
    <n v="44"/>
    <x v="1"/>
    <n v="0"/>
  </r>
  <r>
    <x v="41"/>
    <s v="Mariusz"/>
    <s v="Brydzinski"/>
    <n v="16"/>
    <x v="1"/>
    <n v="0"/>
  </r>
  <r>
    <x v="41"/>
    <s v="Adela"/>
    <s v="Waruszewska"/>
    <n v="13"/>
    <x v="1"/>
    <n v="0"/>
  </r>
  <r>
    <x v="41"/>
    <s v="Patrycja"/>
    <s v="Grzeszcz"/>
    <n v="42"/>
    <x v="1"/>
    <n v="0"/>
  </r>
  <r>
    <x v="41"/>
    <s v="Witold"/>
    <s v="Sempa"/>
    <n v="28"/>
    <x v="1"/>
    <n v="0"/>
  </r>
  <r>
    <x v="41"/>
    <s v="Patryk"/>
    <s v="Geszczynski"/>
    <n v="54"/>
    <x v="1"/>
    <n v="1"/>
  </r>
  <r>
    <x v="42"/>
    <s v="Aleksandra"/>
    <s v="Kwas"/>
    <n v="40"/>
    <x v="2"/>
    <n v="0"/>
  </r>
  <r>
    <x v="42"/>
    <s v="Maciej"/>
    <s v="Tasz"/>
    <n v="19"/>
    <x v="2"/>
    <n v="0"/>
  </r>
  <r>
    <x v="42"/>
    <s v="Mariusz"/>
    <s v="Brydzinski"/>
    <n v="18"/>
    <x v="2"/>
    <n v="0"/>
  </r>
  <r>
    <x v="42"/>
    <s v="Kacper"/>
    <s v="Niec"/>
    <n v="24"/>
    <x v="2"/>
    <n v="0"/>
  </r>
  <r>
    <x v="42"/>
    <s v="Karol"/>
    <s v="Wojciechowski"/>
    <n v="25"/>
    <x v="2"/>
    <n v="0"/>
  </r>
  <r>
    <x v="42"/>
    <s v="Marcin"/>
    <s v="Gizinski"/>
    <n v="7"/>
    <x v="2"/>
    <n v="0"/>
  </r>
  <r>
    <x v="42"/>
    <s v="Julia"/>
    <s v="Stuhr"/>
    <n v="52"/>
    <x v="2"/>
    <n v="0"/>
  </r>
  <r>
    <x v="42"/>
    <s v="Maciej"/>
    <s v="Czyzynski"/>
    <n v="23"/>
    <x v="2"/>
    <n v="0"/>
  </r>
  <r>
    <x v="42"/>
    <s v="Witold"/>
    <s v="Sempa"/>
    <n v="45"/>
    <x v="2"/>
    <n v="0"/>
  </r>
  <r>
    <x v="42"/>
    <s v="Patryk"/>
    <s v="Glac"/>
    <n v="12"/>
    <x v="2"/>
    <n v="0"/>
  </r>
  <r>
    <x v="42"/>
    <s v="Jakub"/>
    <s v="Przestrzelski"/>
    <n v="25"/>
    <x v="2"/>
    <n v="1"/>
  </r>
  <r>
    <x v="43"/>
    <s v="Joanna"/>
    <s v="Kopacki"/>
    <n v="4"/>
    <x v="3"/>
    <n v="0"/>
  </r>
  <r>
    <x v="43"/>
    <s v="Jakub"/>
    <s v="Holmes"/>
    <n v="10"/>
    <x v="3"/>
    <n v="0"/>
  </r>
  <r>
    <x v="43"/>
    <s v="Hubert"/>
    <s v="Pieczatowski"/>
    <n v="23"/>
    <x v="3"/>
    <n v="0"/>
  </r>
  <r>
    <x v="43"/>
    <s v="Wiktoria"/>
    <s v="Wilk"/>
    <n v="56"/>
    <x v="3"/>
    <n v="0"/>
  </r>
  <r>
    <x v="43"/>
    <s v="Filip"/>
    <s v="Strack"/>
    <n v="38"/>
    <x v="3"/>
    <n v="0"/>
  </r>
  <r>
    <x v="43"/>
    <s v="Albert"/>
    <s v="Pleszewski"/>
    <n v="27"/>
    <x v="3"/>
    <n v="0"/>
  </r>
  <r>
    <x v="43"/>
    <s v="Pawel"/>
    <s v="Furmaniak"/>
    <n v="28"/>
    <x v="3"/>
    <n v="0"/>
  </r>
  <r>
    <x v="43"/>
    <s v="Piotr"/>
    <s v="Kaleta"/>
    <n v="8"/>
    <x v="3"/>
    <n v="0"/>
  </r>
  <r>
    <x v="43"/>
    <s v="Maria"/>
    <s v="Opolska"/>
    <n v="39"/>
    <x v="3"/>
    <n v="0"/>
  </r>
  <r>
    <x v="43"/>
    <s v="Balbina"/>
    <s v="Madej"/>
    <n v="4"/>
    <x v="3"/>
    <n v="0"/>
  </r>
  <r>
    <x v="43"/>
    <s v="Seweryn"/>
    <s v="Krakowski"/>
    <n v="56"/>
    <x v="3"/>
    <n v="1"/>
  </r>
  <r>
    <x v="44"/>
    <s v="Maria"/>
    <s v="Kowalczyk"/>
    <n v="33"/>
    <x v="4"/>
    <n v="0"/>
  </r>
  <r>
    <x v="44"/>
    <s v="Adrian"/>
    <s v="Baran"/>
    <n v="53"/>
    <x v="4"/>
    <n v="0"/>
  </r>
  <r>
    <x v="44"/>
    <s v="Nikodem"/>
    <s v="Jama"/>
    <n v="26"/>
    <x v="4"/>
    <n v="0"/>
  </r>
  <r>
    <x v="44"/>
    <s v="Anna"/>
    <s v="Babiarz"/>
    <n v="27"/>
    <x v="4"/>
    <n v="0"/>
  </r>
  <r>
    <x v="44"/>
    <s v="Julia"/>
    <s v="Wolska"/>
    <n v="49"/>
    <x v="4"/>
    <n v="0"/>
  </r>
  <r>
    <x v="44"/>
    <s v="Daria"/>
    <s v="Pawiec"/>
    <n v="20"/>
    <x v="4"/>
    <n v="0"/>
  </r>
  <r>
    <x v="44"/>
    <s v="Ilona"/>
    <s v="Lukaszewska"/>
    <n v="7"/>
    <x v="4"/>
    <n v="0"/>
  </r>
  <r>
    <x v="44"/>
    <s v="Joanna"/>
    <s v="Janas"/>
    <n v="3"/>
    <x v="4"/>
    <n v="0"/>
  </r>
  <r>
    <x v="44"/>
    <s v="Joanna"/>
    <s v="Sibiga"/>
    <n v="47"/>
    <x v="4"/>
    <n v="0"/>
  </r>
  <r>
    <x v="44"/>
    <s v="Krzysztof"/>
    <s v="Las"/>
    <n v="48"/>
    <x v="4"/>
    <n v="0"/>
  </r>
  <r>
    <x v="44"/>
    <s v="Ryszard"/>
    <s v="Matusik"/>
    <n v="24"/>
    <x v="4"/>
    <n v="1"/>
  </r>
  <r>
    <x v="45"/>
    <s v="Marek"/>
    <s v="Sznuk"/>
    <n v="33"/>
    <x v="0"/>
    <n v="0"/>
  </r>
  <r>
    <x v="45"/>
    <s v="Anna"/>
    <s v="Babiarz"/>
    <n v="20"/>
    <x v="0"/>
    <n v="0"/>
  </r>
  <r>
    <x v="45"/>
    <s v="Daria"/>
    <s v="Zagrobna"/>
    <n v="35"/>
    <x v="0"/>
    <n v="0"/>
  </r>
  <r>
    <x v="45"/>
    <s v="Lukasz"/>
    <s v="Niedziela"/>
    <n v="10"/>
    <x v="0"/>
    <n v="0"/>
  </r>
  <r>
    <x v="45"/>
    <s v="Borys"/>
    <s v="Biedal"/>
    <n v="43"/>
    <x v="0"/>
    <n v="0"/>
  </r>
  <r>
    <x v="45"/>
    <s v="Kamila"/>
    <s v="Bialkowska"/>
    <n v="15"/>
    <x v="0"/>
    <n v="0"/>
  </r>
  <r>
    <x v="45"/>
    <s v="Ilona"/>
    <s v="Gorska"/>
    <n v="8"/>
    <x v="0"/>
    <n v="0"/>
  </r>
  <r>
    <x v="45"/>
    <s v="Karol"/>
    <s v="Dziuk"/>
    <n v="20"/>
    <x v="0"/>
    <n v="0"/>
  </r>
  <r>
    <x v="45"/>
    <s v="Michal"/>
    <s v="Nowicki"/>
    <n v="35"/>
    <x v="0"/>
    <n v="0"/>
  </r>
  <r>
    <x v="45"/>
    <s v="Henryk"/>
    <s v="Siminski"/>
    <n v="26"/>
    <x v="0"/>
    <n v="0"/>
  </r>
  <r>
    <x v="45"/>
    <s v="Teodor"/>
    <s v="Olszewski"/>
    <n v="39"/>
    <x v="0"/>
    <n v="1"/>
  </r>
  <r>
    <x v="46"/>
    <s v="Mateusz"/>
    <s v="Karpowicz"/>
    <n v="52"/>
    <x v="1"/>
    <n v="0"/>
  </r>
  <r>
    <x v="46"/>
    <s v="Karolina"/>
    <s v="Wrona"/>
    <n v="13"/>
    <x v="1"/>
    <n v="0"/>
  </r>
  <r>
    <x v="46"/>
    <s v="Jan"/>
    <s v="Kaczorowski"/>
    <n v="16"/>
    <x v="1"/>
    <n v="0"/>
  </r>
  <r>
    <x v="46"/>
    <s v="Joanna"/>
    <s v="Wrobel"/>
    <n v="17"/>
    <x v="1"/>
    <n v="0"/>
  </r>
  <r>
    <x v="46"/>
    <s v="Sofia"/>
    <s v="Felisiak"/>
    <n v="7"/>
    <x v="1"/>
    <n v="0"/>
  </r>
  <r>
    <x v="46"/>
    <s v="Daria"/>
    <s v="Pawiec"/>
    <n v="48"/>
    <x v="1"/>
    <n v="0"/>
  </r>
  <r>
    <x v="46"/>
    <s v="Mateusz"/>
    <s v="Kornatowski"/>
    <n v="20"/>
    <x v="1"/>
    <n v="0"/>
  </r>
  <r>
    <x v="46"/>
    <s v="Mateusz"/>
    <s v="Filipowicz"/>
    <n v="3"/>
    <x v="1"/>
    <n v="0"/>
  </r>
  <r>
    <x v="46"/>
    <s v="Ewa"/>
    <s v="Aderek"/>
    <n v="22"/>
    <x v="1"/>
    <n v="1"/>
  </r>
  <r>
    <x v="47"/>
    <s v="Ewa"/>
    <s v="Milion"/>
    <n v="14"/>
    <x v="2"/>
    <n v="0"/>
  </r>
  <r>
    <x v="47"/>
    <s v="Jacek"/>
    <s v="Szypulski"/>
    <n v="17"/>
    <x v="2"/>
    <n v="0"/>
  </r>
  <r>
    <x v="47"/>
    <s v="Maciej"/>
    <s v="Machalski"/>
    <n v="3"/>
    <x v="2"/>
    <n v="0"/>
  </r>
  <r>
    <x v="47"/>
    <s v="Angelika"/>
    <s v="Walaszek"/>
    <n v="10"/>
    <x v="2"/>
    <n v="0"/>
  </r>
  <r>
    <x v="47"/>
    <s v="Malgorzata"/>
    <s v="Karlowski"/>
    <n v="14"/>
    <x v="2"/>
    <n v="0"/>
  </r>
  <r>
    <x v="47"/>
    <s v="Kacper"/>
    <s v="Nikolajew"/>
    <n v="3"/>
    <x v="2"/>
    <n v="0"/>
  </r>
  <r>
    <x v="47"/>
    <s v="Joanna"/>
    <s v="Ottka"/>
    <n v="22"/>
    <x v="2"/>
    <n v="0"/>
  </r>
  <r>
    <x v="47"/>
    <s v="Jan"/>
    <s v="Pistek"/>
    <n v="11"/>
    <x v="2"/>
    <n v="0"/>
  </r>
  <r>
    <x v="47"/>
    <s v="Daria"/>
    <s v="Mikos"/>
    <n v="7"/>
    <x v="2"/>
    <n v="1"/>
  </r>
  <r>
    <x v="48"/>
    <s v="Ewa"/>
    <s v="Stoch"/>
    <n v="13"/>
    <x v="3"/>
    <n v="0"/>
  </r>
  <r>
    <x v="48"/>
    <s v="Anna"/>
    <s v="Klimas"/>
    <n v="47"/>
    <x v="3"/>
    <n v="0"/>
  </r>
  <r>
    <x v="48"/>
    <s v="Jacek"/>
    <s v="Ciosinski"/>
    <n v="22"/>
    <x v="3"/>
    <n v="0"/>
  </r>
  <r>
    <x v="48"/>
    <s v="Mateusz"/>
    <s v="Krynicki"/>
    <n v="10"/>
    <x v="3"/>
    <n v="0"/>
  </r>
  <r>
    <x v="48"/>
    <s v="Antoni"/>
    <s v="Wizniewski"/>
    <n v="38"/>
    <x v="3"/>
    <n v="0"/>
  </r>
  <r>
    <x v="48"/>
    <s v="Anna"/>
    <s v="Zaczyk"/>
    <n v="48"/>
    <x v="3"/>
    <n v="0"/>
  </r>
  <r>
    <x v="48"/>
    <s v="Bartosz"/>
    <s v="Mazgaj"/>
    <n v="9"/>
    <x v="3"/>
    <n v="0"/>
  </r>
  <r>
    <x v="48"/>
    <s v="Maria"/>
    <s v="Galas"/>
    <n v="6"/>
    <x v="3"/>
    <n v="0"/>
  </r>
  <r>
    <x v="48"/>
    <s v="Emilia"/>
    <s v="Mroczek"/>
    <n v="13"/>
    <x v="3"/>
    <n v="1"/>
  </r>
  <r>
    <x v="49"/>
    <s v="Mateusz"/>
    <s v="Uklej"/>
    <n v="30"/>
    <x v="4"/>
    <n v="0"/>
  </r>
  <r>
    <x v="49"/>
    <s v="Adam"/>
    <s v="Borkowski"/>
    <n v="3"/>
    <x v="4"/>
    <n v="0"/>
  </r>
  <r>
    <x v="49"/>
    <s v="Maja"/>
    <s v="Lipka"/>
    <n v="8"/>
    <x v="4"/>
    <n v="0"/>
  </r>
  <r>
    <x v="49"/>
    <s v="Malgorzata"/>
    <s v="Karlowski"/>
    <n v="12"/>
    <x v="4"/>
    <n v="0"/>
  </r>
  <r>
    <x v="49"/>
    <s v="Balbina"/>
    <s v="Madej"/>
    <n v="14"/>
    <x v="4"/>
    <n v="0"/>
  </r>
  <r>
    <x v="49"/>
    <s v="Angelika"/>
    <s v="Walaszek"/>
    <n v="4"/>
    <x v="4"/>
    <n v="0"/>
  </r>
  <r>
    <x v="49"/>
    <s v="Sandra"/>
    <s v="Filarska"/>
    <n v="5"/>
    <x v="4"/>
    <n v="0"/>
  </r>
  <r>
    <x v="49"/>
    <s v="Krzysztof"/>
    <s v="Wloch"/>
    <n v="13"/>
    <x v="4"/>
    <n v="0"/>
  </r>
  <r>
    <x v="49"/>
    <s v="Maciej"/>
    <s v="Bugaj"/>
    <n v="9"/>
    <x v="4"/>
    <n v="1"/>
  </r>
  <r>
    <x v="50"/>
    <s v="Mateusz"/>
    <s v="Mrowczynski"/>
    <n v="14"/>
    <x v="0"/>
    <n v="0"/>
  </r>
  <r>
    <x v="50"/>
    <s v="Marek"/>
    <s v="Zybert"/>
    <n v="19"/>
    <x v="0"/>
    <n v="0"/>
  </r>
  <r>
    <x v="50"/>
    <s v="Inka"/>
    <s v="Sochacka"/>
    <n v="21"/>
    <x v="0"/>
    <n v="0"/>
  </r>
  <r>
    <x v="50"/>
    <s v="Joanna"/>
    <s v="Zygmunt"/>
    <n v="5"/>
    <x v="0"/>
    <n v="0"/>
  </r>
  <r>
    <x v="50"/>
    <s v="Lukasz"/>
    <s v="Kot"/>
    <n v="18"/>
    <x v="0"/>
    <n v="0"/>
  </r>
  <r>
    <x v="50"/>
    <s v="Anna"/>
    <s v="Kosowicz"/>
    <n v="4"/>
    <x v="0"/>
    <n v="0"/>
  </r>
  <r>
    <x v="50"/>
    <s v="Tomasz"/>
    <s v="Hajdi"/>
    <n v="34"/>
    <x v="0"/>
    <n v="0"/>
  </r>
  <r>
    <x v="50"/>
    <s v="Piotr"/>
    <s v="Bialaszewski"/>
    <n v="7"/>
    <x v="0"/>
    <n v="0"/>
  </r>
  <r>
    <x v="50"/>
    <s v="Zofia"/>
    <s v="Broukin"/>
    <n v="41"/>
    <x v="0"/>
    <n v="1"/>
  </r>
  <r>
    <x v="51"/>
    <s v="Marta"/>
    <s v="Opolska"/>
    <n v="10"/>
    <x v="1"/>
    <n v="0"/>
  </r>
  <r>
    <x v="51"/>
    <s v="Ewa"/>
    <s v="Tysz"/>
    <n v="42"/>
    <x v="1"/>
    <n v="0"/>
  </r>
  <r>
    <x v="51"/>
    <s v="Malgorzata"/>
    <s v="Winiarska"/>
    <n v="10"/>
    <x v="1"/>
    <n v="0"/>
  </r>
  <r>
    <x v="51"/>
    <s v="Barbara"/>
    <s v="Karcz"/>
    <n v="4"/>
    <x v="1"/>
    <n v="0"/>
  </r>
  <r>
    <x v="51"/>
    <s v="Nikodem"/>
    <s v="Jama"/>
    <n v="17"/>
    <x v="1"/>
    <n v="0"/>
  </r>
  <r>
    <x v="51"/>
    <s v="Justyna"/>
    <s v="Pozarzycka"/>
    <n v="29"/>
    <x v="1"/>
    <n v="0"/>
  </r>
  <r>
    <x v="51"/>
    <s v="Jan"/>
    <s v="Marasek"/>
    <n v="6"/>
    <x v="1"/>
    <n v="0"/>
  </r>
  <r>
    <x v="51"/>
    <s v="Agata"/>
    <s v="Kwiatkowska"/>
    <n v="12"/>
    <x v="1"/>
    <n v="0"/>
  </r>
  <r>
    <x v="51"/>
    <s v="Karolina"/>
    <s v="Mikos"/>
    <n v="14"/>
    <x v="1"/>
    <n v="1"/>
  </r>
  <r>
    <x v="52"/>
    <s v="Marek"/>
    <s v="Chorzowski"/>
    <n v="28"/>
    <x v="2"/>
    <n v="0"/>
  </r>
  <r>
    <x v="52"/>
    <s v="Ewelina"/>
    <s v="Goslawska"/>
    <n v="19"/>
    <x v="2"/>
    <n v="0"/>
  </r>
  <r>
    <x v="52"/>
    <s v="Ewa"/>
    <s v="Augustowska"/>
    <n v="30"/>
    <x v="2"/>
    <n v="0"/>
  </r>
  <r>
    <x v="52"/>
    <s v="Stanislaw"/>
    <s v="Janiec"/>
    <n v="54"/>
    <x v="2"/>
    <n v="0"/>
  </r>
  <r>
    <x v="52"/>
    <s v="Ewelina"/>
    <s v="Gorecka"/>
    <n v="21"/>
    <x v="2"/>
    <n v="0"/>
  </r>
  <r>
    <x v="52"/>
    <s v="Agnieszka"/>
    <s v="Kaminska"/>
    <n v="10"/>
    <x v="2"/>
    <n v="0"/>
  </r>
  <r>
    <x v="52"/>
    <s v="Mateusz"/>
    <s v="Mrowczynski"/>
    <n v="25"/>
    <x v="2"/>
    <n v="0"/>
  </r>
  <r>
    <x v="52"/>
    <s v="Piotr"/>
    <s v="Kania"/>
    <n v="5"/>
    <x v="2"/>
    <n v="0"/>
  </r>
  <r>
    <x v="52"/>
    <s v="Maciej"/>
    <s v="Siemiatkowski"/>
    <n v="12"/>
    <x v="2"/>
    <n v="1"/>
  </r>
  <r>
    <x v="53"/>
    <s v="Krzysztof"/>
    <s v="Dwa"/>
    <n v="24"/>
    <x v="3"/>
    <n v="0"/>
  </r>
  <r>
    <x v="53"/>
    <s v="Lena"/>
    <s v="Miszkin"/>
    <n v="11"/>
    <x v="3"/>
    <n v="0"/>
  </r>
  <r>
    <x v="53"/>
    <s v="Piotr"/>
    <s v="Duszota"/>
    <n v="37"/>
    <x v="3"/>
    <n v="0"/>
  </r>
  <r>
    <x v="53"/>
    <s v="Malgorzata"/>
    <s v="Malec"/>
    <n v="26"/>
    <x v="3"/>
    <n v="0"/>
  </r>
  <r>
    <x v="53"/>
    <s v="Grzegorz"/>
    <s v="Wojtowicz"/>
    <n v="3"/>
    <x v="3"/>
    <n v="0"/>
  </r>
  <r>
    <x v="53"/>
    <s v="Iwona"/>
    <s v="Lato"/>
    <n v="52"/>
    <x v="3"/>
    <n v="0"/>
  </r>
  <r>
    <x v="53"/>
    <s v="Katarzyna"/>
    <s v="Wip"/>
    <n v="24"/>
    <x v="3"/>
    <n v="0"/>
  </r>
  <r>
    <x v="53"/>
    <s v="Maja"/>
    <s v="Kaminska"/>
    <n v="43"/>
    <x v="3"/>
    <n v="0"/>
  </r>
  <r>
    <x v="53"/>
    <s v="Wojciech"/>
    <s v="Gocyla"/>
    <n v="54"/>
    <x v="3"/>
    <n v="0"/>
  </r>
  <r>
    <x v="53"/>
    <s v="Kamil"/>
    <s v="Naderka"/>
    <n v="42"/>
    <x v="3"/>
    <n v="1"/>
  </r>
  <r>
    <x v="54"/>
    <s v="Eugenia"/>
    <s v="Pieta"/>
    <n v="10"/>
    <x v="4"/>
    <n v="0"/>
  </r>
  <r>
    <x v="54"/>
    <s v="Monika"/>
    <s v="Nowaczkiewicz"/>
    <n v="40"/>
    <x v="4"/>
    <n v="0"/>
  </r>
  <r>
    <x v="54"/>
    <s v="Julia"/>
    <s v="Saska"/>
    <n v="16"/>
    <x v="4"/>
    <n v="0"/>
  </r>
  <r>
    <x v="54"/>
    <s v="Zbigniew"/>
    <s v="Maciag"/>
    <n v="27"/>
    <x v="4"/>
    <n v="0"/>
  </r>
  <r>
    <x v="54"/>
    <s v="Agata"/>
    <s v="Kwiatkowska"/>
    <n v="14"/>
    <x v="4"/>
    <n v="0"/>
  </r>
  <r>
    <x v="54"/>
    <s v="Ewelina"/>
    <s v="Gorecka"/>
    <n v="5"/>
    <x v="4"/>
    <n v="0"/>
  </r>
  <r>
    <x v="54"/>
    <s v="Maria"/>
    <s v="Gatek"/>
    <n v="23"/>
    <x v="4"/>
    <n v="0"/>
  </r>
  <r>
    <x v="54"/>
    <s v="Bartosz"/>
    <s v="Mazgaj"/>
    <n v="17"/>
    <x v="4"/>
    <n v="0"/>
  </r>
  <r>
    <x v="54"/>
    <s v="Karolina"/>
    <s v="Pawelska"/>
    <n v="54"/>
    <x v="4"/>
    <n v="0"/>
  </r>
  <r>
    <x v="54"/>
    <s v="Roman"/>
    <s v="Grodecki"/>
    <n v="24"/>
    <x v="4"/>
    <n v="1"/>
  </r>
  <r>
    <x v="55"/>
    <s v="Kinga"/>
    <s v="Trawinska"/>
    <n v="19"/>
    <x v="0"/>
    <n v="0"/>
  </r>
  <r>
    <x v="55"/>
    <s v="Monika"/>
    <s v="Lis"/>
    <n v="17"/>
    <x v="0"/>
    <n v="0"/>
  </r>
  <r>
    <x v="55"/>
    <s v="Karol"/>
    <s v="Pawleczek"/>
    <n v="20"/>
    <x v="0"/>
    <n v="0"/>
  </r>
  <r>
    <x v="55"/>
    <s v="Karolina"/>
    <s v="Welc"/>
    <n v="42"/>
    <x v="0"/>
    <n v="0"/>
  </r>
  <r>
    <x v="55"/>
    <s v="Piotr"/>
    <s v="Bialaszewski"/>
    <n v="14"/>
    <x v="0"/>
    <n v="0"/>
  </r>
  <r>
    <x v="55"/>
    <s v="Agnieszka"/>
    <s v="Bujak"/>
    <n v="10"/>
    <x v="0"/>
    <n v="0"/>
  </r>
  <r>
    <x v="55"/>
    <s v="Piotr"/>
    <s v="Mozart"/>
    <n v="24"/>
    <x v="0"/>
    <n v="0"/>
  </r>
  <r>
    <x v="55"/>
    <s v="Mateusz"/>
    <s v="Filipowicz"/>
    <n v="10"/>
    <x v="0"/>
    <n v="0"/>
  </r>
  <r>
    <x v="55"/>
    <s v="Lukasz"/>
    <s v="Kopecki"/>
    <n v="17"/>
    <x v="0"/>
    <n v="0"/>
  </r>
  <r>
    <x v="55"/>
    <s v="Agata"/>
    <s v="Zgoda"/>
    <n v="4"/>
    <x v="0"/>
    <n v="1"/>
  </r>
  <r>
    <x v="56"/>
    <s v="Anna"/>
    <s v="Dab"/>
    <n v="30"/>
    <x v="1"/>
    <n v="0"/>
  </r>
  <r>
    <x v="56"/>
    <s v="Bruno"/>
    <s v="Tomaszewski"/>
    <n v="13"/>
    <x v="1"/>
    <n v="0"/>
  </r>
  <r>
    <x v="56"/>
    <s v="Pawel"/>
    <s v="Furmaniak"/>
    <n v="8"/>
    <x v="1"/>
    <n v="0"/>
  </r>
  <r>
    <x v="56"/>
    <s v="Anna"/>
    <s v="Wnuk"/>
    <n v="21"/>
    <x v="1"/>
    <n v="0"/>
  </r>
  <r>
    <x v="56"/>
    <s v="Radoslaw"/>
    <s v="Sowinska"/>
    <n v="7"/>
    <x v="1"/>
    <n v="0"/>
  </r>
  <r>
    <x v="56"/>
    <s v="Mateusz"/>
    <s v="Kowalczyk"/>
    <n v="13"/>
    <x v="1"/>
    <n v="0"/>
  </r>
  <r>
    <x v="56"/>
    <s v="Karol"/>
    <s v="Walasz"/>
    <n v="19"/>
    <x v="1"/>
    <n v="0"/>
  </r>
  <r>
    <x v="56"/>
    <s v="Wojciech"/>
    <s v="Filipowicz"/>
    <n v="47"/>
    <x v="1"/>
    <n v="0"/>
  </r>
  <r>
    <x v="56"/>
    <s v="Janina"/>
    <s v="Podlaska"/>
    <n v="15"/>
    <x v="1"/>
    <n v="0"/>
  </r>
  <r>
    <x v="56"/>
    <s v="Janina"/>
    <s v="Kaczynska"/>
    <n v="50"/>
    <x v="1"/>
    <n v="1"/>
  </r>
  <r>
    <x v="57"/>
    <s v="Bogdan"/>
    <s v="Inny"/>
    <n v="10"/>
    <x v="2"/>
    <n v="0"/>
  </r>
  <r>
    <x v="57"/>
    <s v="Henryk"/>
    <s v="Polarek"/>
    <n v="21"/>
    <x v="2"/>
    <n v="0"/>
  </r>
  <r>
    <x v="57"/>
    <s v="Dominika"/>
    <s v="Szwec"/>
    <n v="7"/>
    <x v="2"/>
    <n v="0"/>
  </r>
  <r>
    <x v="57"/>
    <s v="Marek"/>
    <s v="Witkowski"/>
    <n v="13"/>
    <x v="2"/>
    <n v="0"/>
  </r>
  <r>
    <x v="57"/>
    <s v="Filip"/>
    <s v="Spychala"/>
    <n v="27"/>
    <x v="2"/>
    <n v="0"/>
  </r>
  <r>
    <x v="57"/>
    <s v="Hanna"/>
    <s v="Stankiewicz"/>
    <n v="23"/>
    <x v="2"/>
    <n v="0"/>
  </r>
  <r>
    <x v="57"/>
    <s v="Filip"/>
    <s v="Spychala"/>
    <n v="18"/>
    <x v="2"/>
    <n v="0"/>
  </r>
  <r>
    <x v="57"/>
    <s v="Malgorzata"/>
    <s v="Kozlowska"/>
    <n v="16"/>
    <x v="2"/>
    <n v="0"/>
  </r>
  <r>
    <x v="57"/>
    <s v="Jan"/>
    <s v="Zdunski"/>
    <n v="21"/>
    <x v="2"/>
    <n v="0"/>
  </r>
  <r>
    <x v="57"/>
    <s v="Kacper"/>
    <s v="Okla"/>
    <n v="17"/>
    <x v="2"/>
    <n v="1"/>
  </r>
  <r>
    <x v="58"/>
    <s v="Maciej"/>
    <s v="Machalski"/>
    <n v="21"/>
    <x v="3"/>
    <n v="0"/>
  </r>
  <r>
    <x v="58"/>
    <s v="Izabela"/>
    <s v="Sobota"/>
    <n v="19"/>
    <x v="3"/>
    <n v="0"/>
  </r>
  <r>
    <x v="58"/>
    <s v="Kacper"/>
    <s v="Nikolajew"/>
    <n v="24"/>
    <x v="3"/>
    <n v="0"/>
  </r>
  <r>
    <x v="58"/>
    <s v="Nikodem"/>
    <s v="Jablonski"/>
    <n v="16"/>
    <x v="3"/>
    <n v="0"/>
  </r>
  <r>
    <x v="58"/>
    <s v="Ewaryst"/>
    <s v="Zdunek"/>
    <n v="8"/>
    <x v="3"/>
    <n v="0"/>
  </r>
  <r>
    <x v="58"/>
    <s v="Monika"/>
    <s v="Piterka"/>
    <n v="27"/>
    <x v="3"/>
    <n v="0"/>
  </r>
  <r>
    <x v="58"/>
    <s v="Kacper"/>
    <s v="Niec"/>
    <n v="25"/>
    <x v="3"/>
    <n v="0"/>
  </r>
  <r>
    <x v="58"/>
    <s v="Piotr"/>
    <s v="Kania"/>
    <n v="10"/>
    <x v="3"/>
    <n v="0"/>
  </r>
  <r>
    <x v="58"/>
    <s v="Katarzyna"/>
    <s v="Galazka"/>
    <n v="11"/>
    <x v="3"/>
    <n v="0"/>
  </r>
  <r>
    <x v="58"/>
    <s v="Antoni"/>
    <s v="Wierzbicki"/>
    <n v="3"/>
    <x v="3"/>
    <n v="1"/>
  </r>
  <r>
    <x v="59"/>
    <s v="Agnieszka"/>
    <s v="Bujak"/>
    <n v="15"/>
    <x v="4"/>
    <n v="0"/>
  </r>
  <r>
    <x v="59"/>
    <s v="Ewa"/>
    <s v="Tysz"/>
    <n v="14"/>
    <x v="4"/>
    <n v="0"/>
  </r>
  <r>
    <x v="59"/>
    <s v="Anna"/>
    <s v="Trojanowska"/>
    <n v="37"/>
    <x v="4"/>
    <n v="0"/>
  </r>
  <r>
    <x v="59"/>
    <s v="Andrzej"/>
    <s v="Nawwrot"/>
    <n v="22"/>
    <x v="4"/>
    <n v="0"/>
  </r>
  <r>
    <x v="59"/>
    <s v="Bartosz"/>
    <s v="Tusinski"/>
    <n v="5"/>
    <x v="4"/>
    <n v="0"/>
  </r>
  <r>
    <x v="59"/>
    <s v="Maciej"/>
    <s v="Nowak"/>
    <n v="29"/>
    <x v="4"/>
    <n v="0"/>
  </r>
  <r>
    <x v="59"/>
    <s v="Daria"/>
    <s v="Zagrobna"/>
    <n v="25"/>
    <x v="4"/>
    <n v="0"/>
  </r>
  <r>
    <x v="59"/>
    <s v="Maria"/>
    <s v="Adamska"/>
    <n v="52"/>
    <x v="4"/>
    <n v="0"/>
  </r>
  <r>
    <x v="59"/>
    <s v="Dawid"/>
    <s v="Szreder"/>
    <n v="2"/>
    <x v="4"/>
    <n v="0"/>
  </r>
  <r>
    <x v="59"/>
    <s v="Hanna"/>
    <s v="Stanislawska"/>
    <n v="27"/>
    <x v="4"/>
    <n v="1"/>
  </r>
  <r>
    <x v="60"/>
    <s v="Justyna"/>
    <s v="Pozarzycka"/>
    <n v="43"/>
    <x v="0"/>
    <n v="0"/>
  </r>
  <r>
    <x v="60"/>
    <s v="Aleks"/>
    <s v="Wojcik"/>
    <n v="23"/>
    <x v="0"/>
    <n v="0"/>
  </r>
  <r>
    <x v="60"/>
    <s v="Lidia"/>
    <s v="Goluchowska"/>
    <n v="19"/>
    <x v="0"/>
    <n v="0"/>
  </r>
  <r>
    <x v="60"/>
    <s v="Balbina"/>
    <s v="Madej"/>
    <n v="36"/>
    <x v="0"/>
    <n v="0"/>
  </r>
  <r>
    <x v="60"/>
    <s v="Patrycja"/>
    <s v="Rzeszowska"/>
    <n v="26"/>
    <x v="0"/>
    <n v="0"/>
  </r>
  <r>
    <x v="60"/>
    <s v="Przemyslaw"/>
    <s v="Widawski"/>
    <n v="24"/>
    <x v="0"/>
    <n v="0"/>
  </r>
  <r>
    <x v="60"/>
    <s v="Kamil"/>
    <s v="Krawczyk"/>
    <n v="5"/>
    <x v="0"/>
    <n v="0"/>
  </r>
  <r>
    <x v="60"/>
    <s v="Jakub"/>
    <s v="Porydzaj"/>
    <n v="53"/>
    <x v="0"/>
    <n v="0"/>
  </r>
  <r>
    <x v="60"/>
    <s v="Katarzyna"/>
    <s v="Galazka"/>
    <n v="18"/>
    <x v="0"/>
    <n v="0"/>
  </r>
  <r>
    <x v="60"/>
    <s v="Piotr"/>
    <s v="Mozart"/>
    <n v="15"/>
    <x v="0"/>
    <n v="1"/>
  </r>
  <r>
    <x v="61"/>
    <s v="Natalia"/>
    <s v="Knap"/>
    <n v="20"/>
    <x v="1"/>
    <n v="0"/>
  </r>
  <r>
    <x v="61"/>
    <s v="Joanna"/>
    <s v="Banaszczyk"/>
    <n v="34"/>
    <x v="1"/>
    <n v="0"/>
  </r>
  <r>
    <x v="61"/>
    <s v="Adrian"/>
    <s v="Zawisza"/>
    <n v="35"/>
    <x v="1"/>
    <n v="0"/>
  </r>
  <r>
    <x v="61"/>
    <s v="Jan"/>
    <s v="Gumowski"/>
    <n v="29"/>
    <x v="1"/>
    <n v="0"/>
  </r>
  <r>
    <x v="61"/>
    <s v="Nikodem"/>
    <s v="Jablonski"/>
    <n v="7"/>
    <x v="1"/>
    <n v="0"/>
  </r>
  <r>
    <x v="61"/>
    <s v="Marta"/>
    <s v="Robak"/>
    <n v="10"/>
    <x v="1"/>
    <n v="0"/>
  </r>
  <r>
    <x v="61"/>
    <s v="Ignacy"/>
    <s v="Sarnowski"/>
    <n v="14"/>
    <x v="1"/>
    <n v="0"/>
  </r>
  <r>
    <x v="61"/>
    <s v="Magdalena"/>
    <s v="Bach"/>
    <n v="23"/>
    <x v="1"/>
    <n v="0"/>
  </r>
  <r>
    <x v="61"/>
    <s v="Monika"/>
    <s v="Lis"/>
    <n v="26"/>
    <x v="1"/>
    <n v="0"/>
  </r>
  <r>
    <x v="61"/>
    <s v="Kamila"/>
    <s v="Wolan"/>
    <n v="2"/>
    <x v="1"/>
    <n v="1"/>
  </r>
  <r>
    <x v="62"/>
    <s v="Kamil"/>
    <s v="Wolny"/>
    <n v="36"/>
    <x v="2"/>
    <n v="0"/>
  </r>
  <r>
    <x v="62"/>
    <s v="Kamil"/>
    <s v="Szyszko"/>
    <n v="18"/>
    <x v="2"/>
    <n v="0"/>
  </r>
  <r>
    <x v="62"/>
    <s v="Jan"/>
    <s v="Nancki"/>
    <n v="23"/>
    <x v="2"/>
    <n v="0"/>
  </r>
  <r>
    <x v="62"/>
    <s v="Przemyslaw"/>
    <s v="Widawski"/>
    <n v="20"/>
    <x v="2"/>
    <n v="0"/>
  </r>
  <r>
    <x v="62"/>
    <s v="Karolina"/>
    <s v="Wrak"/>
    <n v="16"/>
    <x v="2"/>
    <n v="0"/>
  </r>
  <r>
    <x v="62"/>
    <s v="Waldemar"/>
    <s v="Fornalik"/>
    <n v="7"/>
    <x v="2"/>
    <n v="0"/>
  </r>
  <r>
    <x v="62"/>
    <s v="Bernard"/>
    <s v="Lubelski"/>
    <n v="47"/>
    <x v="2"/>
    <n v="0"/>
  </r>
  <r>
    <x v="62"/>
    <s v="Lukasz"/>
    <s v="Pawlik"/>
    <n v="9"/>
    <x v="2"/>
    <n v="0"/>
  </r>
  <r>
    <x v="62"/>
    <s v="Barbara"/>
    <s v="Kilarski"/>
    <n v="11"/>
    <x v="2"/>
    <n v="0"/>
  </r>
  <r>
    <x v="62"/>
    <s v="Protazy"/>
    <s v="Warszawski"/>
    <n v="12"/>
    <x v="2"/>
    <n v="1"/>
  </r>
  <r>
    <x v="63"/>
    <s v="Aleksander"/>
    <s v="Koc"/>
    <n v="2"/>
    <x v="3"/>
    <n v="0"/>
  </r>
  <r>
    <x v="63"/>
    <s v="Kamila"/>
    <s v="Wolan"/>
    <n v="23"/>
    <x v="3"/>
    <n v="0"/>
  </r>
  <r>
    <x v="63"/>
    <s v="Alicja"/>
    <s v="Gadek"/>
    <n v="52"/>
    <x v="3"/>
    <n v="0"/>
  </r>
  <r>
    <x v="63"/>
    <s v="Karol"/>
    <s v="Wojciechowski"/>
    <n v="10"/>
    <x v="3"/>
    <n v="0"/>
  </r>
  <r>
    <x v="63"/>
    <s v="Andrzej"/>
    <s v="Tysz"/>
    <n v="47"/>
    <x v="3"/>
    <n v="0"/>
  </r>
  <r>
    <x v="63"/>
    <s v="Ewaryst"/>
    <s v="Zdunek"/>
    <n v="20"/>
    <x v="3"/>
    <n v="0"/>
  </r>
  <r>
    <x v="63"/>
    <s v="Maciej"/>
    <s v="Czyzynski"/>
    <n v="3"/>
    <x v="3"/>
    <n v="0"/>
  </r>
  <r>
    <x v="63"/>
    <s v="Monika"/>
    <s v="Trojan"/>
    <n v="9"/>
    <x v="3"/>
    <n v="0"/>
  </r>
  <r>
    <x v="63"/>
    <s v="Mariusz"/>
    <s v="Suszyn"/>
    <n v="22"/>
    <x v="3"/>
    <n v="0"/>
  </r>
  <r>
    <x v="63"/>
    <s v="Anna"/>
    <s v="Tomaszewska"/>
    <n v="9"/>
    <x v="3"/>
    <n v="1"/>
  </r>
  <r>
    <x v="64"/>
    <s v="Marek"/>
    <s v="Witkowski"/>
    <n v="30"/>
    <x v="4"/>
    <n v="0"/>
  </r>
  <r>
    <x v="64"/>
    <s v="Lech"/>
    <s v="Lisowski"/>
    <n v="18"/>
    <x v="4"/>
    <n v="0"/>
  </r>
  <r>
    <x v="64"/>
    <s v="Maciej"/>
    <s v="Kowalski"/>
    <n v="55"/>
    <x v="4"/>
    <n v="0"/>
  </r>
  <r>
    <x v="64"/>
    <s v="Borys"/>
    <s v="Winiarski"/>
    <n v="17"/>
    <x v="4"/>
    <n v="0"/>
  </r>
  <r>
    <x v="64"/>
    <s v="Mateusz"/>
    <s v="Hajdug"/>
    <n v="30"/>
    <x v="4"/>
    <n v="0"/>
  </r>
  <r>
    <x v="64"/>
    <s v="Dawid"/>
    <s v="Szreder"/>
    <n v="4"/>
    <x v="4"/>
    <n v="0"/>
  </r>
  <r>
    <x v="64"/>
    <s v="Lidia"/>
    <s v="Goluchowska"/>
    <n v="21"/>
    <x v="4"/>
    <n v="0"/>
  </r>
  <r>
    <x v="64"/>
    <s v="Klaudia"/>
    <s v="Myk"/>
    <n v="7"/>
    <x v="4"/>
    <n v="0"/>
  </r>
  <r>
    <x v="64"/>
    <s v="Jakub"/>
    <s v="Jedruszek"/>
    <n v="20"/>
    <x v="4"/>
    <n v="0"/>
  </r>
  <r>
    <x v="64"/>
    <s v="Milena"/>
    <s v="Karolewska"/>
    <n v="6"/>
    <x v="4"/>
    <n v="1"/>
  </r>
  <r>
    <x v="65"/>
    <s v="Janusz"/>
    <s v="Baka"/>
    <n v="12"/>
    <x v="0"/>
    <n v="0"/>
  </r>
  <r>
    <x v="65"/>
    <s v="Marta"/>
    <s v="Robak"/>
    <n v="29"/>
    <x v="0"/>
    <n v="0"/>
  </r>
  <r>
    <x v="65"/>
    <s v="Janusz"/>
    <s v="Wrobel"/>
    <n v="2"/>
    <x v="0"/>
    <n v="0"/>
  </r>
  <r>
    <x v="65"/>
    <s v="Adam"/>
    <s v="Zmurko"/>
    <n v="27"/>
    <x v="0"/>
    <n v="0"/>
  </r>
  <r>
    <x v="65"/>
    <s v="Patrycja"/>
    <s v="Wcislo"/>
    <n v="9"/>
    <x v="0"/>
    <n v="0"/>
  </r>
  <r>
    <x v="65"/>
    <s v="Joanna"/>
    <s v="Wrobel"/>
    <n v="25"/>
    <x v="0"/>
    <n v="0"/>
  </r>
  <r>
    <x v="65"/>
    <s v="Maja"/>
    <s v="Kurowska"/>
    <n v="45"/>
    <x v="0"/>
    <n v="0"/>
  </r>
  <r>
    <x v="65"/>
    <s v="Piotr"/>
    <s v="Walec"/>
    <n v="12"/>
    <x v="0"/>
    <n v="0"/>
  </r>
  <r>
    <x v="65"/>
    <s v="Izabella"/>
    <s v="Jelen"/>
    <n v="44"/>
    <x v="0"/>
    <n v="0"/>
  </r>
  <r>
    <x v="65"/>
    <s v="Wieslawa"/>
    <s v="Nowak"/>
    <n v="18"/>
    <x v="0"/>
    <n v="1"/>
  </r>
  <r>
    <x v="66"/>
    <s v="Natalia"/>
    <s v="Olkuska"/>
    <n v="16"/>
    <x v="1"/>
    <n v="0"/>
  </r>
  <r>
    <x v="66"/>
    <s v="Witold"/>
    <s v="Sempa"/>
    <n v="18"/>
    <x v="1"/>
    <n v="0"/>
  </r>
  <r>
    <x v="66"/>
    <s v="Wiktoria"/>
    <s v="Wilk"/>
    <n v="6"/>
    <x v="1"/>
    <n v="0"/>
  </r>
  <r>
    <x v="66"/>
    <s v="Inez"/>
    <s v="Nahaj"/>
    <n v="17"/>
    <x v="1"/>
    <n v="0"/>
  </r>
  <r>
    <x v="66"/>
    <s v="Anna"/>
    <s v="Janowska"/>
    <n v="18"/>
    <x v="1"/>
    <n v="0"/>
  </r>
  <r>
    <x v="66"/>
    <s v="Magdalena"/>
    <s v="Bach"/>
    <n v="4"/>
    <x v="1"/>
    <n v="0"/>
  </r>
  <r>
    <x v="66"/>
    <s v="Agata"/>
    <s v="Kwiatkowska"/>
    <n v="13"/>
    <x v="1"/>
    <n v="0"/>
  </r>
  <r>
    <x v="66"/>
    <s v="Marta"/>
    <s v="Wloczkow"/>
    <n v="52"/>
    <x v="1"/>
    <n v="0"/>
  </r>
  <r>
    <x v="66"/>
    <s v="Jan"/>
    <s v="Marasek"/>
    <n v="10"/>
    <x v="1"/>
    <n v="0"/>
  </r>
  <r>
    <x v="66"/>
    <s v="Marek"/>
    <s v="Bednarski"/>
    <n v="33"/>
    <x v="1"/>
    <n v="1"/>
  </r>
  <r>
    <x v="67"/>
    <s v="Dominik"/>
    <s v="Szczucki"/>
    <n v="6"/>
    <x v="2"/>
    <n v="0"/>
  </r>
  <r>
    <x v="67"/>
    <s v="Ewa"/>
    <s v="Czerwinska"/>
    <n v="21"/>
    <x v="2"/>
    <n v="0"/>
  </r>
  <r>
    <x v="67"/>
    <s v="Zuzanna"/>
    <s v="Malicki"/>
    <n v="2"/>
    <x v="2"/>
    <n v="0"/>
  </r>
  <r>
    <x v="67"/>
    <s v="Barbara"/>
    <s v="Karcz"/>
    <n v="16"/>
    <x v="2"/>
    <n v="0"/>
  </r>
  <r>
    <x v="67"/>
    <s v="Lukasz"/>
    <s v="Kot"/>
    <n v="23"/>
    <x v="2"/>
    <n v="0"/>
  </r>
  <r>
    <x v="67"/>
    <s v="Lukasz"/>
    <s v="Czarnecki"/>
    <n v="50"/>
    <x v="2"/>
    <n v="0"/>
  </r>
  <r>
    <x v="67"/>
    <s v="Andrzej"/>
    <s v="Augustowski"/>
    <n v="26"/>
    <x v="2"/>
    <n v="0"/>
  </r>
  <r>
    <x v="67"/>
    <s v="Morus"/>
    <s v="Jasiak"/>
    <n v="42"/>
    <x v="2"/>
    <n v="0"/>
  </r>
  <r>
    <x v="67"/>
    <s v="Julianna"/>
    <s v="Procinska"/>
    <n v="39"/>
    <x v="2"/>
    <n v="1"/>
  </r>
  <r>
    <x v="68"/>
    <s v="Maciej"/>
    <s v="Tasz"/>
    <n v="17"/>
    <x v="3"/>
    <n v="0"/>
  </r>
  <r>
    <x v="68"/>
    <s v="Agnieszka"/>
    <s v="Kaminska"/>
    <n v="10"/>
    <x v="3"/>
    <n v="0"/>
  </r>
  <r>
    <x v="68"/>
    <s v="Dawid"/>
    <s v="Szreder"/>
    <n v="13"/>
    <x v="3"/>
    <n v="0"/>
  </r>
  <r>
    <x v="68"/>
    <s v="Protazy"/>
    <s v="Warszawski"/>
    <n v="7"/>
    <x v="3"/>
    <n v="0"/>
  </r>
  <r>
    <x v="68"/>
    <s v="Wojciech"/>
    <s v="Katowicki"/>
    <n v="32"/>
    <x v="3"/>
    <n v="0"/>
  </r>
  <r>
    <x v="68"/>
    <s v="Wieslawa"/>
    <s v="Krawiec"/>
    <n v="16"/>
    <x v="3"/>
    <n v="0"/>
  </r>
  <r>
    <x v="68"/>
    <s v="Adrian"/>
    <s v="Wozniak"/>
    <n v="38"/>
    <x v="3"/>
    <n v="0"/>
  </r>
  <r>
    <x v="68"/>
    <s v="Anita"/>
    <s v="Woloszyn"/>
    <n v="10"/>
    <x v="3"/>
    <n v="1"/>
  </r>
  <r>
    <x v="69"/>
    <s v="Nikodem"/>
    <s v="Jakubowski"/>
    <n v="19"/>
    <x v="4"/>
    <n v="0"/>
  </r>
  <r>
    <x v="69"/>
    <s v="Zofia"/>
    <s v="Broukin"/>
    <n v="17"/>
    <x v="4"/>
    <n v="0"/>
  </r>
  <r>
    <x v="69"/>
    <s v="Adelajda"/>
    <s v="Zylinska"/>
    <n v="2"/>
    <x v="4"/>
    <n v="0"/>
  </r>
  <r>
    <x v="69"/>
    <s v="Leslaw"/>
    <s v="Kupis"/>
    <n v="15"/>
    <x v="4"/>
    <n v="0"/>
  </r>
  <r>
    <x v="69"/>
    <s v="Adela"/>
    <s v="Waruszewska"/>
    <n v="12"/>
    <x v="4"/>
    <n v="0"/>
  </r>
  <r>
    <x v="69"/>
    <s v="Pawel"/>
    <s v="Furmaniak"/>
    <n v="25"/>
    <x v="4"/>
    <n v="0"/>
  </r>
  <r>
    <x v="69"/>
    <s v="Krzysztof"/>
    <s v="Figurski"/>
    <n v="6"/>
    <x v="4"/>
    <n v="0"/>
  </r>
  <r>
    <x v="69"/>
    <s v="Anita"/>
    <s v="Pawelczyk"/>
    <n v="19"/>
    <x v="4"/>
    <n v="1"/>
  </r>
  <r>
    <x v="70"/>
    <s v="Ilona"/>
    <s v="Gorska"/>
    <n v="15"/>
    <x v="0"/>
    <n v="0"/>
  </r>
  <r>
    <x v="70"/>
    <s v="Beata"/>
    <s v="Mirowska"/>
    <n v="9"/>
    <x v="0"/>
    <n v="0"/>
  </r>
  <r>
    <x v="70"/>
    <s v="Bartlomiej"/>
    <s v="Wojciechowski"/>
    <n v="35"/>
    <x v="0"/>
    <n v="0"/>
  </r>
  <r>
    <x v="70"/>
    <s v="Agata"/>
    <s v="Kolacz"/>
    <n v="44"/>
    <x v="0"/>
    <n v="0"/>
  </r>
  <r>
    <x v="70"/>
    <s v="Jan"/>
    <s v="Gacek"/>
    <n v="36"/>
    <x v="0"/>
    <n v="0"/>
  </r>
  <r>
    <x v="70"/>
    <s v="Zuzanna"/>
    <s v="Adamczyk"/>
    <n v="53"/>
    <x v="0"/>
    <n v="0"/>
  </r>
  <r>
    <x v="70"/>
    <s v="Jan"/>
    <s v="Pawelec"/>
    <n v="12"/>
    <x v="0"/>
    <n v="0"/>
  </r>
  <r>
    <x v="70"/>
    <s v="Joanna"/>
    <s v="Wrobel"/>
    <n v="29"/>
    <x v="0"/>
    <n v="1"/>
  </r>
  <r>
    <x v="71"/>
    <s v="Piotr"/>
    <s v="Polkowicki"/>
    <n v="9"/>
    <x v="1"/>
    <n v="0"/>
  </r>
  <r>
    <x v="71"/>
    <s v="Agata"/>
    <s v="Zdrojewska"/>
    <n v="29"/>
    <x v="1"/>
    <n v="0"/>
  </r>
  <r>
    <x v="71"/>
    <s v="Hanna"/>
    <s v="Malicki"/>
    <n v="6"/>
    <x v="1"/>
    <n v="0"/>
  </r>
  <r>
    <x v="71"/>
    <s v="Weronika"/>
    <s v="Zdroj"/>
    <n v="12"/>
    <x v="1"/>
    <n v="0"/>
  </r>
  <r>
    <x v="71"/>
    <s v="Jan"/>
    <s v="Sznuk"/>
    <n v="23"/>
    <x v="1"/>
    <n v="0"/>
  </r>
  <r>
    <x v="71"/>
    <s v="Bogdan"/>
    <s v="Inny"/>
    <n v="21"/>
    <x v="1"/>
    <n v="0"/>
  </r>
  <r>
    <x v="71"/>
    <s v="Olgierd"/>
    <s v="Hazubski"/>
    <n v="16"/>
    <x v="1"/>
    <n v="0"/>
  </r>
  <r>
    <x v="71"/>
    <s v="Arleta"/>
    <s v="Pawlik"/>
    <n v="21"/>
    <x v="1"/>
    <n v="1"/>
  </r>
  <r>
    <x v="72"/>
    <s v="Inez"/>
    <s v="Nahaj"/>
    <n v="25"/>
    <x v="2"/>
    <n v="0"/>
  </r>
  <r>
    <x v="72"/>
    <s v="Roman"/>
    <s v="Grodecki"/>
    <n v="4"/>
    <x v="2"/>
    <n v="0"/>
  </r>
  <r>
    <x v="72"/>
    <s v="Wieslawa"/>
    <s v="Biczysko"/>
    <n v="19"/>
    <x v="2"/>
    <n v="0"/>
  </r>
  <r>
    <x v="72"/>
    <s v="Paulina"/>
    <s v="Szklarska"/>
    <n v="17"/>
    <x v="2"/>
    <n v="0"/>
  </r>
  <r>
    <x v="72"/>
    <s v="Maja"/>
    <s v="Leman"/>
    <n v="9"/>
    <x v="2"/>
    <n v="0"/>
  </r>
  <r>
    <x v="72"/>
    <s v="Martyna"/>
    <s v="Marmelowska"/>
    <n v="8"/>
    <x v="2"/>
    <n v="0"/>
  </r>
  <r>
    <x v="72"/>
    <s v="Monika"/>
    <s v="Placzek"/>
    <n v="11"/>
    <x v="2"/>
    <n v="0"/>
  </r>
  <r>
    <x v="72"/>
    <s v="Adela"/>
    <s v="Waruszewska"/>
    <n v="26"/>
    <x v="2"/>
    <n v="0"/>
  </r>
  <r>
    <x v="72"/>
    <s v="Joanna"/>
    <s v="Oleksiak"/>
    <n v="23"/>
    <x v="2"/>
    <n v="1"/>
  </r>
  <r>
    <x v="73"/>
    <s v="Igor"/>
    <s v="Rybinski"/>
    <n v="55"/>
    <x v="3"/>
    <n v="0"/>
  </r>
  <r>
    <x v="73"/>
    <s v="Zofia"/>
    <s v="Janczy"/>
    <n v="38"/>
    <x v="3"/>
    <n v="0"/>
  </r>
  <r>
    <x v="73"/>
    <s v="Mateusz"/>
    <s v="Filipowicz"/>
    <n v="9"/>
    <x v="3"/>
    <n v="0"/>
  </r>
  <r>
    <x v="73"/>
    <s v="Marzena"/>
    <s v="Parasiewicz"/>
    <n v="34"/>
    <x v="3"/>
    <n v="0"/>
  </r>
  <r>
    <x v="73"/>
    <s v="Monika"/>
    <s v="Lis"/>
    <n v="14"/>
    <x v="3"/>
    <n v="0"/>
  </r>
  <r>
    <x v="73"/>
    <s v="Adam"/>
    <s v="Wata"/>
    <n v="5"/>
    <x v="3"/>
    <n v="0"/>
  </r>
  <r>
    <x v="73"/>
    <s v="Marta"/>
    <s v="Wloczkow"/>
    <n v="2"/>
    <x v="3"/>
    <n v="0"/>
  </r>
  <r>
    <x v="73"/>
    <s v="Aleksander"/>
    <s v="Wojciechowski"/>
    <n v="20"/>
    <x v="3"/>
    <n v="0"/>
  </r>
  <r>
    <x v="73"/>
    <s v="Filip"/>
    <s v="Spychala"/>
    <n v="6"/>
    <x v="3"/>
    <n v="0"/>
  </r>
  <r>
    <x v="73"/>
    <s v="Jan"/>
    <s v="Kaczorowski"/>
    <n v="22"/>
    <x v="3"/>
    <n v="0"/>
  </r>
  <r>
    <x v="73"/>
    <s v="Aleks"/>
    <s v="Wojcik"/>
    <n v="26"/>
    <x v="3"/>
    <n v="0"/>
  </r>
  <r>
    <x v="73"/>
    <s v="Adam"/>
    <s v="Zega"/>
    <n v="27"/>
    <x v="3"/>
    <n v="0"/>
  </r>
  <r>
    <x v="73"/>
    <s v="Joanna"/>
    <s v="Wrobel"/>
    <n v="26"/>
    <x v="3"/>
    <n v="0"/>
  </r>
  <r>
    <x v="73"/>
    <s v="Andrzej"/>
    <s v="Nawwrot"/>
    <n v="29"/>
    <x v="3"/>
    <n v="0"/>
  </r>
  <r>
    <x v="73"/>
    <s v="Lena"/>
    <s v="Marzec"/>
    <n v="10"/>
    <x v="3"/>
    <n v="1"/>
  </r>
  <r>
    <x v="74"/>
    <s v="Wanda"/>
    <s v="Chojnacka"/>
    <n v="37"/>
    <x v="4"/>
    <n v="0"/>
  </r>
  <r>
    <x v="74"/>
    <s v="Monika"/>
    <s v="Nowaczkiewicz"/>
    <n v="7"/>
    <x v="4"/>
    <n v="0"/>
  </r>
  <r>
    <x v="74"/>
    <s v="Maria"/>
    <s v="Kowalczuk"/>
    <n v="44"/>
    <x v="4"/>
    <n v="0"/>
  </r>
  <r>
    <x v="74"/>
    <s v="Szymon"/>
    <s v="Mrozniak"/>
    <n v="11"/>
    <x v="4"/>
    <n v="0"/>
  </r>
  <r>
    <x v="74"/>
    <s v="Marian"/>
    <s v="Bukalski"/>
    <n v="25"/>
    <x v="4"/>
    <n v="0"/>
  </r>
  <r>
    <x v="74"/>
    <s v="Matylda"/>
    <s v="Kluziak"/>
    <n v="18"/>
    <x v="4"/>
    <n v="1"/>
  </r>
  <r>
    <x v="75"/>
    <s v="Lech"/>
    <s v="Lisowski"/>
    <n v="44"/>
    <x v="0"/>
    <n v="0"/>
  </r>
  <r>
    <x v="75"/>
    <s v="Kamil"/>
    <s v="Wolny"/>
    <n v="26"/>
    <x v="0"/>
    <n v="0"/>
  </r>
  <r>
    <x v="75"/>
    <s v="Karolina"/>
    <s v="Bok"/>
    <n v="7"/>
    <x v="0"/>
    <n v="0"/>
  </r>
  <r>
    <x v="75"/>
    <s v="Andrzej"/>
    <s v="Augustowski"/>
    <n v="41"/>
    <x v="0"/>
    <n v="0"/>
  </r>
  <r>
    <x v="75"/>
    <s v="Monika"/>
    <s v="Trojan"/>
    <n v="46"/>
    <x v="0"/>
    <n v="0"/>
  </r>
  <r>
    <x v="75"/>
    <s v="Filip"/>
    <s v="Stanulewicz"/>
    <n v="52"/>
    <x v="0"/>
    <n v="1"/>
  </r>
  <r>
    <x v="76"/>
    <s v="Maja"/>
    <s v="Kaminska"/>
    <n v="6"/>
    <x v="1"/>
    <n v="0"/>
  </r>
  <r>
    <x v="76"/>
    <s v="Barbara"/>
    <s v="Bury"/>
    <n v="23"/>
    <x v="1"/>
    <n v="0"/>
  </r>
  <r>
    <x v="76"/>
    <s v="Andrea"/>
    <s v="Witkowska"/>
    <n v="22"/>
    <x v="1"/>
    <n v="0"/>
  </r>
  <r>
    <x v="76"/>
    <s v="Ewelina"/>
    <s v="Bialkowska"/>
    <n v="21"/>
    <x v="1"/>
    <n v="0"/>
  </r>
  <r>
    <x v="76"/>
    <s v="Maciej"/>
    <s v="Machol"/>
    <n v="29"/>
    <x v="1"/>
    <n v="0"/>
  </r>
  <r>
    <x v="76"/>
    <s v="Krzysztof"/>
    <s v="Plecien"/>
    <n v="21"/>
    <x v="1"/>
    <n v="1"/>
  </r>
  <r>
    <x v="77"/>
    <s v="Roman"/>
    <s v="Grodecki"/>
    <n v="3"/>
    <x v="2"/>
    <n v="0"/>
  </r>
  <r>
    <x v="77"/>
    <s v="Julia"/>
    <s v="Sadowska"/>
    <n v="29"/>
    <x v="2"/>
    <n v="0"/>
  </r>
  <r>
    <x v="77"/>
    <s v="Julian"/>
    <s v="Pawik"/>
    <n v="56"/>
    <x v="2"/>
    <n v="0"/>
  </r>
  <r>
    <x v="77"/>
    <s v="Marcin"/>
    <s v="Wrobel"/>
    <n v="15"/>
    <x v="2"/>
    <n v="0"/>
  </r>
  <r>
    <x v="77"/>
    <s v="Karolina"/>
    <s v="Welc"/>
    <n v="12"/>
    <x v="2"/>
    <n v="0"/>
  </r>
  <r>
    <x v="77"/>
    <s v="Anna"/>
    <s v="Kosowicz"/>
    <n v="19"/>
    <x v="2"/>
    <n v="1"/>
  </r>
  <r>
    <x v="78"/>
    <s v="Kazimierz"/>
    <s v="Bartosik"/>
    <n v="14"/>
    <x v="3"/>
    <n v="0"/>
  </r>
  <r>
    <x v="78"/>
    <s v="Magdalena"/>
    <s v="Bach"/>
    <n v="42"/>
    <x v="3"/>
    <n v="0"/>
  </r>
  <r>
    <x v="78"/>
    <s v="Wojciech"/>
    <s v="Goc"/>
    <n v="10"/>
    <x v="3"/>
    <n v="0"/>
  </r>
  <r>
    <x v="78"/>
    <s v="Anna"/>
    <s v="Trzebiatowska"/>
    <n v="20"/>
    <x v="3"/>
    <n v="0"/>
  </r>
  <r>
    <x v="78"/>
    <s v="Lidia"/>
    <s v="Goluchowska"/>
    <n v="51"/>
    <x v="3"/>
    <n v="0"/>
  </r>
  <r>
    <x v="78"/>
    <s v="Piotr"/>
    <s v="Adamski"/>
    <n v="35"/>
    <x v="3"/>
    <n v="1"/>
  </r>
  <r>
    <x v="79"/>
    <s v="Jan"/>
    <s v="Jarek"/>
    <n v="45"/>
    <x v="4"/>
    <n v="0"/>
  </r>
  <r>
    <x v="79"/>
    <s v="Ewa"/>
    <s v="Czerwinska"/>
    <n v="29"/>
    <x v="4"/>
    <n v="0"/>
  </r>
  <r>
    <x v="79"/>
    <s v="Andrzej"/>
    <s v="Nawwrot"/>
    <n v="5"/>
    <x v="4"/>
    <n v="0"/>
  </r>
  <r>
    <x v="79"/>
    <s v="Agnieszka"/>
    <s v="Antos"/>
    <n v="16"/>
    <x v="4"/>
    <n v="0"/>
  </r>
  <r>
    <x v="79"/>
    <s v="Ilona"/>
    <s v="Gorska"/>
    <n v="25"/>
    <x v="4"/>
    <n v="0"/>
  </r>
  <r>
    <x v="79"/>
    <s v="Zofia"/>
    <s v="Broszkow"/>
    <n v="38"/>
    <x v="4"/>
    <n v="1"/>
  </r>
  <r>
    <x v="80"/>
    <s v="Malgorzata"/>
    <s v="Wiecek"/>
    <n v="33"/>
    <x v="0"/>
    <n v="0"/>
  </r>
  <r>
    <x v="80"/>
    <s v="Pawel"/>
    <s v="kaczorek"/>
    <n v="48"/>
    <x v="0"/>
    <n v="0"/>
  </r>
  <r>
    <x v="80"/>
    <s v="Marcin"/>
    <s v="Gizinski"/>
    <n v="14"/>
    <x v="0"/>
    <n v="0"/>
  </r>
  <r>
    <x v="80"/>
    <s v="Andrea"/>
    <s v="Witkowska"/>
    <n v="13"/>
    <x v="0"/>
    <n v="0"/>
  </r>
  <r>
    <x v="80"/>
    <s v="Julia"/>
    <s v="Zaremba"/>
    <n v="24"/>
    <x v="0"/>
    <n v="0"/>
  </r>
  <r>
    <x v="80"/>
    <s v="Maria"/>
    <s v="Borowska"/>
    <n v="23"/>
    <x v="0"/>
    <n v="1"/>
  </r>
  <r>
    <x v="81"/>
    <s v="Krzysztof"/>
    <s v="Czyz"/>
    <n v="23"/>
    <x v="1"/>
    <n v="0"/>
  </r>
  <r>
    <x v="81"/>
    <s v="Nadia"/>
    <s v="Jurewicz"/>
    <n v="32"/>
    <x v="1"/>
    <n v="0"/>
  </r>
  <r>
    <x v="81"/>
    <s v="Dorian"/>
    <s v="Szczepkowski"/>
    <n v="34"/>
    <x v="1"/>
    <n v="0"/>
  </r>
  <r>
    <x v="81"/>
    <s v="Maciej"/>
    <s v="Machol"/>
    <n v="48"/>
    <x v="1"/>
    <n v="0"/>
  </r>
  <r>
    <x v="81"/>
    <s v="Maciej"/>
    <s v="Lukowski"/>
    <n v="26"/>
    <x v="1"/>
    <n v="0"/>
  </r>
  <r>
    <x v="81"/>
    <s v="Lukasz"/>
    <s v="Kopecki"/>
    <n v="11"/>
    <x v="1"/>
    <n v="1"/>
  </r>
  <r>
    <x v="82"/>
    <s v="Hanna"/>
    <s v="Modlinska"/>
    <n v="23"/>
    <x v="2"/>
    <n v="0"/>
  </r>
  <r>
    <x v="82"/>
    <s v="Natalia"/>
    <s v="Belicka"/>
    <n v="50"/>
    <x v="2"/>
    <n v="0"/>
  </r>
  <r>
    <x v="82"/>
    <s v="Julia"/>
    <s v="Zaremba"/>
    <n v="14"/>
    <x v="2"/>
    <n v="0"/>
  </r>
  <r>
    <x v="82"/>
    <s v="Bruno"/>
    <s v="Tomaszewski"/>
    <n v="12"/>
    <x v="2"/>
    <n v="0"/>
  </r>
  <r>
    <x v="82"/>
    <s v="Anna"/>
    <s v="Klimas"/>
    <n v="39"/>
    <x v="2"/>
    <n v="0"/>
  </r>
  <r>
    <x v="82"/>
    <s v="Andrzej"/>
    <s v="Zbieg"/>
    <n v="20"/>
    <x v="2"/>
    <n v="1"/>
  </r>
  <r>
    <x v="83"/>
    <s v="Dorota"/>
    <s v="Zdun"/>
    <n v="51"/>
    <x v="3"/>
    <n v="0"/>
  </r>
  <r>
    <x v="83"/>
    <s v="Anna"/>
    <s v="Tycz"/>
    <n v="47"/>
    <x v="3"/>
    <n v="0"/>
  </r>
  <r>
    <x v="83"/>
    <s v="Dominik"/>
    <s v="Szmitko"/>
    <n v="29"/>
    <x v="3"/>
    <n v="0"/>
  </r>
  <r>
    <x v="83"/>
    <s v="Bernard"/>
    <s v="Lubelski"/>
    <n v="34"/>
    <x v="3"/>
    <n v="0"/>
  </r>
  <r>
    <x v="83"/>
    <s v="Kazimierz"/>
    <s v="Biedka"/>
    <n v="12"/>
    <x v="3"/>
    <n v="0"/>
  </r>
  <r>
    <x v="83"/>
    <s v="Edward"/>
    <s v="Zdunek"/>
    <n v="6"/>
    <x v="3"/>
    <n v="1"/>
  </r>
  <r>
    <x v="84"/>
    <s v="Monika"/>
    <s v="Srubka"/>
    <n v="5"/>
    <x v="4"/>
    <n v="0"/>
  </r>
  <r>
    <x v="84"/>
    <s v="Zofia"/>
    <s v="Broszkow"/>
    <n v="13"/>
    <x v="4"/>
    <n v="0"/>
  </r>
  <r>
    <x v="84"/>
    <s v="Lidia"/>
    <s v="Tarnowska"/>
    <n v="18"/>
    <x v="4"/>
    <n v="0"/>
  </r>
  <r>
    <x v="84"/>
    <s v="Urszula"/>
    <s v="Pawlak"/>
    <n v="7"/>
    <x v="4"/>
    <n v="0"/>
  </r>
  <r>
    <x v="84"/>
    <s v="Hubert"/>
    <s v="Borek"/>
    <n v="28"/>
    <x v="4"/>
    <n v="0"/>
  </r>
  <r>
    <x v="84"/>
    <s v="Anna"/>
    <s v="Trzebiatowska"/>
    <n v="37"/>
    <x v="4"/>
    <n v="1"/>
  </r>
  <r>
    <x v="85"/>
    <s v="Ilona"/>
    <s v="Nowak"/>
    <n v="23"/>
    <x v="0"/>
    <n v="0"/>
  </r>
  <r>
    <x v="85"/>
    <s v="Mateusz"/>
    <s v="Kowalczyk"/>
    <n v="26"/>
    <x v="0"/>
    <n v="0"/>
  </r>
  <r>
    <x v="85"/>
    <s v="Julia"/>
    <s v="Salanowska"/>
    <n v="11"/>
    <x v="0"/>
    <n v="0"/>
  </r>
  <r>
    <x v="85"/>
    <s v="Albert"/>
    <s v="Pleszewski"/>
    <n v="25"/>
    <x v="0"/>
    <n v="0"/>
  </r>
  <r>
    <x v="85"/>
    <s v="Piotr"/>
    <s v="Felus"/>
    <n v="3"/>
    <x v="0"/>
    <n v="0"/>
  </r>
  <r>
    <x v="85"/>
    <s v="Ewa"/>
    <s v="Zak"/>
    <n v="30"/>
    <x v="0"/>
    <n v="1"/>
  </r>
  <r>
    <x v="86"/>
    <s v="Urszula"/>
    <s v="Pawlak"/>
    <n v="12"/>
    <x v="1"/>
    <n v="0"/>
  </r>
  <r>
    <x v="86"/>
    <s v="Maria"/>
    <s v="Galas"/>
    <n v="27"/>
    <x v="1"/>
    <n v="0"/>
  </r>
  <r>
    <x v="86"/>
    <s v="Witold"/>
    <s v="Sempa"/>
    <n v="16"/>
    <x v="1"/>
    <n v="0"/>
  </r>
  <r>
    <x v="86"/>
    <s v="Sebastian"/>
    <s v="Powoj"/>
    <n v="38"/>
    <x v="1"/>
    <n v="0"/>
  </r>
  <r>
    <x v="86"/>
    <s v="Karolina"/>
    <s v="Stuhr"/>
    <n v="35"/>
    <x v="1"/>
    <n v="0"/>
  </r>
  <r>
    <x v="86"/>
    <s v="Mateusz"/>
    <s v="Filipowicz"/>
    <n v="16"/>
    <x v="1"/>
    <n v="1"/>
  </r>
  <r>
    <x v="87"/>
    <s v="Katarzyna"/>
    <s v="Wip"/>
    <n v="6"/>
    <x v="2"/>
    <n v="0"/>
  </r>
  <r>
    <x v="87"/>
    <s v="Witold"/>
    <s v="Sempa"/>
    <n v="23"/>
    <x v="2"/>
    <n v="0"/>
  </r>
  <r>
    <x v="87"/>
    <s v="Kamila"/>
    <s v="Kot"/>
    <n v="22"/>
    <x v="2"/>
    <n v="0"/>
  </r>
  <r>
    <x v="87"/>
    <s v="Hubert"/>
    <s v="Nowaczynski"/>
    <n v="5"/>
    <x v="2"/>
    <n v="0"/>
  </r>
  <r>
    <x v="87"/>
    <s v="Pawel"/>
    <s v="Furmaniak"/>
    <n v="2"/>
    <x v="2"/>
    <n v="0"/>
  </r>
  <r>
    <x v="87"/>
    <s v="Paulina"/>
    <s v="Szklarska"/>
    <n v="29"/>
    <x v="2"/>
    <n v="1"/>
  </r>
  <r>
    <x v="88"/>
    <s v="Mateusz"/>
    <s v="Uklej"/>
    <n v="19"/>
    <x v="3"/>
    <n v="0"/>
  </r>
  <r>
    <x v="88"/>
    <s v="Dominika"/>
    <s v="Szwec"/>
    <n v="23"/>
    <x v="3"/>
    <n v="0"/>
  </r>
  <r>
    <x v="88"/>
    <s v="Nikodem"/>
    <s v="Jakubowski"/>
    <n v="27"/>
    <x v="3"/>
    <n v="0"/>
  </r>
  <r>
    <x v="88"/>
    <s v="Zbigniew"/>
    <s v="Maciag"/>
    <n v="53"/>
    <x v="3"/>
    <n v="0"/>
  </r>
  <r>
    <x v="88"/>
    <s v="Ewa"/>
    <s v="Tysz"/>
    <n v="35"/>
    <x v="3"/>
    <n v="0"/>
  </r>
  <r>
    <x v="88"/>
    <s v="Maciej"/>
    <s v="Czyzynski"/>
    <n v="3"/>
    <x v="3"/>
    <n v="1"/>
  </r>
  <r>
    <x v="89"/>
    <s v="Joanna"/>
    <s v="Ottka"/>
    <n v="15"/>
    <x v="4"/>
    <n v="0"/>
  </r>
  <r>
    <x v="89"/>
    <s v="Anna"/>
    <s v="Tomaszewska"/>
    <n v="3"/>
    <x v="4"/>
    <n v="0"/>
  </r>
  <r>
    <x v="89"/>
    <s v="Szymon"/>
    <s v="Mrozniak"/>
    <n v="2"/>
    <x v="4"/>
    <n v="0"/>
  </r>
  <r>
    <x v="89"/>
    <s v="Joanna"/>
    <s v="Oleksiak"/>
    <n v="28"/>
    <x v="4"/>
    <n v="0"/>
  </r>
  <r>
    <x v="89"/>
    <s v="Tomasz"/>
    <s v="Borkowski"/>
    <n v="23"/>
    <x v="4"/>
    <n v="0"/>
  </r>
  <r>
    <x v="89"/>
    <s v="Jakub"/>
    <s v="Waniek"/>
    <n v="20"/>
    <x v="4"/>
    <n v="1"/>
  </r>
  <r>
    <x v="90"/>
    <s v="Karolina"/>
    <s v="Stuhr"/>
    <n v="35"/>
    <x v="0"/>
    <n v="0"/>
  </r>
  <r>
    <x v="90"/>
    <s v="Pawel"/>
    <s v="kaczorek"/>
    <n v="45"/>
    <x v="0"/>
    <n v="0"/>
  </r>
  <r>
    <x v="90"/>
    <s v="Waldemar"/>
    <s v="Fornalik"/>
    <n v="39"/>
    <x v="0"/>
    <n v="0"/>
  </r>
  <r>
    <x v="90"/>
    <s v="Julia"/>
    <s v="Zaremba"/>
    <n v="13"/>
    <x v="0"/>
    <n v="0"/>
  </r>
  <r>
    <x v="90"/>
    <s v="Ewa"/>
    <s v="Wojna"/>
    <n v="2"/>
    <x v="0"/>
    <n v="0"/>
  </r>
  <r>
    <x v="90"/>
    <s v="Emilia"/>
    <s v="Mroczek"/>
    <n v="38"/>
    <x v="0"/>
    <n v="1"/>
  </r>
  <r>
    <x v="91"/>
    <s v="Anita"/>
    <s v="Kaczorowska"/>
    <n v="48"/>
    <x v="1"/>
    <n v="0"/>
  </r>
  <r>
    <x v="91"/>
    <s v="Barbara"/>
    <s v="Karcz"/>
    <n v="41"/>
    <x v="1"/>
    <n v="0"/>
  </r>
  <r>
    <x v="91"/>
    <s v="Maria"/>
    <s v="Borowska"/>
    <n v="6"/>
    <x v="1"/>
    <n v="0"/>
  </r>
  <r>
    <x v="91"/>
    <s v="Szymon"/>
    <s v="Wozniak"/>
    <n v="14"/>
    <x v="1"/>
    <n v="0"/>
  </r>
  <r>
    <x v="91"/>
    <s v="Mikolaj"/>
    <s v="Beniuszys"/>
    <n v="35"/>
    <x v="1"/>
    <n v="0"/>
  </r>
  <r>
    <x v="91"/>
    <s v="Mariusz"/>
    <s v="Mrowiec"/>
    <n v="26"/>
    <x v="1"/>
    <n v="1"/>
  </r>
  <r>
    <x v="92"/>
    <s v="Jan"/>
    <s v="Gacek"/>
    <n v="49"/>
    <x v="2"/>
    <n v="0"/>
  </r>
  <r>
    <x v="92"/>
    <s v="Kamila"/>
    <s v="Wolan"/>
    <n v="22"/>
    <x v="2"/>
    <n v="0"/>
  </r>
  <r>
    <x v="92"/>
    <s v="Mateusz"/>
    <s v="Koszlaga"/>
    <n v="56"/>
    <x v="2"/>
    <n v="0"/>
  </r>
  <r>
    <x v="92"/>
    <s v="Szymon"/>
    <s v="Mrozniak"/>
    <n v="6"/>
    <x v="2"/>
    <n v="0"/>
  </r>
  <r>
    <x v="92"/>
    <s v="Monika"/>
    <s v="Placzek"/>
    <n v="13"/>
    <x v="2"/>
    <n v="0"/>
  </r>
  <r>
    <x v="92"/>
    <s v="Urszula"/>
    <s v="Pawlak"/>
    <n v="3"/>
    <x v="2"/>
    <n v="1"/>
  </r>
  <r>
    <x v="93"/>
    <s v="Marek"/>
    <s v="Janowski"/>
    <n v="7"/>
    <x v="3"/>
    <n v="0"/>
  </r>
  <r>
    <x v="93"/>
    <s v="Jan"/>
    <s v="Kaczorowski"/>
    <n v="29"/>
    <x v="3"/>
    <n v="0"/>
  </r>
  <r>
    <x v="93"/>
    <s v="Zuzanna"/>
    <s v="Kalisz"/>
    <n v="53"/>
    <x v="3"/>
    <n v="0"/>
  </r>
  <r>
    <x v="93"/>
    <s v="Balbina"/>
    <s v="Madej"/>
    <n v="52"/>
    <x v="3"/>
    <n v="0"/>
  </r>
  <r>
    <x v="93"/>
    <s v="Kamila"/>
    <s v="Knapik"/>
    <n v="26"/>
    <x v="3"/>
    <n v="0"/>
  </r>
  <r>
    <x v="93"/>
    <s v="Maria"/>
    <s v="Kowalczuk"/>
    <n v="28"/>
    <x v="3"/>
    <n v="1"/>
  </r>
  <r>
    <x v="94"/>
    <s v="Adam"/>
    <s v="Madejski"/>
    <n v="12"/>
    <x v="4"/>
    <n v="0"/>
  </r>
  <r>
    <x v="94"/>
    <s v="Anita"/>
    <s v="Woloszyn"/>
    <n v="10"/>
    <x v="4"/>
    <n v="0"/>
  </r>
  <r>
    <x v="94"/>
    <s v="Teodor"/>
    <s v="Fornal"/>
    <n v="10"/>
    <x v="4"/>
    <n v="0"/>
  </r>
  <r>
    <x v="94"/>
    <s v="Kamil"/>
    <s v="Krawczyk"/>
    <n v="54"/>
    <x v="4"/>
    <n v="0"/>
  </r>
  <r>
    <x v="94"/>
    <s v="Bruno"/>
    <s v="Tomczyk"/>
    <n v="19"/>
    <x v="4"/>
    <n v="0"/>
  </r>
  <r>
    <x v="94"/>
    <s v="Natalia"/>
    <s v="Miklis"/>
    <n v="53"/>
    <x v="4"/>
    <n v="1"/>
  </r>
  <r>
    <x v="95"/>
    <s v="Marek"/>
    <s v="Witkowski"/>
    <n v="18"/>
    <x v="0"/>
    <n v="0"/>
  </r>
  <r>
    <x v="95"/>
    <s v="Kacper"/>
    <s v="Trzebnicki"/>
    <n v="27"/>
    <x v="0"/>
    <n v="0"/>
  </r>
  <r>
    <x v="95"/>
    <s v="Eugenia"/>
    <s v="Pieta"/>
    <n v="26"/>
    <x v="0"/>
    <n v="0"/>
  </r>
  <r>
    <x v="95"/>
    <s v="Nadia"/>
    <s v="Jurczyk"/>
    <n v="52"/>
    <x v="0"/>
    <n v="0"/>
  </r>
  <r>
    <x v="95"/>
    <s v="Karol"/>
    <s v="Dziuk"/>
    <n v="10"/>
    <x v="0"/>
    <n v="0"/>
  </r>
  <r>
    <x v="95"/>
    <s v="Julia"/>
    <s v="Sadowska"/>
    <n v="5"/>
    <x v="0"/>
    <n v="1"/>
  </r>
  <r>
    <x v="96"/>
    <s v="Karol"/>
    <s v="Wichrowski"/>
    <n v="38"/>
    <x v="1"/>
    <n v="0"/>
  </r>
  <r>
    <x v="96"/>
    <s v="Anna"/>
    <s v="Kot"/>
    <n v="20"/>
    <x v="1"/>
    <n v="0"/>
  </r>
  <r>
    <x v="96"/>
    <s v="Hubert"/>
    <s v="Smyk"/>
    <n v="2"/>
    <x v="1"/>
    <n v="0"/>
  </r>
  <r>
    <x v="96"/>
    <s v="Jan"/>
    <s v="Sznuk"/>
    <n v="25"/>
    <x v="1"/>
    <n v="0"/>
  </r>
  <r>
    <x v="96"/>
    <s v="Maria"/>
    <s v="Kowalczyk"/>
    <n v="13"/>
    <x v="1"/>
    <n v="0"/>
  </r>
  <r>
    <x v="96"/>
    <s v="Marcelina"/>
    <s v="Serwicka"/>
    <n v="54"/>
    <x v="1"/>
    <n v="1"/>
  </r>
  <r>
    <x v="97"/>
    <s v="Ryszarda"/>
    <s v="Januszek"/>
    <n v="27"/>
    <x v="2"/>
    <n v="0"/>
  </r>
  <r>
    <x v="97"/>
    <s v="Filip"/>
    <s v="Spanowski"/>
    <n v="15"/>
    <x v="2"/>
    <n v="0"/>
  </r>
  <r>
    <x v="97"/>
    <s v="Agnieszka"/>
    <s v="Bujak"/>
    <n v="19"/>
    <x v="2"/>
    <n v="0"/>
  </r>
  <r>
    <x v="97"/>
    <s v="Adam"/>
    <s v="Zega"/>
    <n v="22"/>
    <x v="2"/>
    <n v="0"/>
  </r>
  <r>
    <x v="97"/>
    <s v="Przemyslaw"/>
    <s v="Bajewski"/>
    <n v="12"/>
    <x v="2"/>
    <n v="0"/>
  </r>
  <r>
    <x v="97"/>
    <s v="Eugenia"/>
    <s v="Pieta"/>
    <n v="6"/>
    <x v="2"/>
    <n v="1"/>
  </r>
  <r>
    <x v="98"/>
    <s v="Izabela"/>
    <s v="Skrzydlak"/>
    <n v="27"/>
    <x v="3"/>
    <n v="0"/>
  </r>
  <r>
    <x v="98"/>
    <s v="Stanislaw"/>
    <s v="Burza"/>
    <n v="6"/>
    <x v="3"/>
    <n v="0"/>
  </r>
  <r>
    <x v="98"/>
    <s v="Roman"/>
    <s v="Grodecki"/>
    <n v="6"/>
    <x v="3"/>
    <n v="0"/>
  </r>
  <r>
    <x v="98"/>
    <s v="Jakub"/>
    <s v="Radziszewski"/>
    <n v="4"/>
    <x v="3"/>
    <n v="0"/>
  </r>
  <r>
    <x v="98"/>
    <s v="Marcin"/>
    <s v="Gizinski"/>
    <n v="28"/>
    <x v="3"/>
    <n v="0"/>
  </r>
  <r>
    <x v="98"/>
    <s v="Przemyslaw"/>
    <s v="Bajewski"/>
    <n v="48"/>
    <x v="3"/>
    <n v="1"/>
  </r>
  <r>
    <x v="99"/>
    <s v="Adam"/>
    <s v="Borkowski"/>
    <n v="40"/>
    <x v="4"/>
    <n v="0"/>
  </r>
  <r>
    <x v="99"/>
    <s v="Maria"/>
    <s v="Drozd"/>
    <n v="17"/>
    <x v="4"/>
    <n v="0"/>
  </r>
  <r>
    <x v="99"/>
    <s v="Igor"/>
    <s v="Rybinski"/>
    <n v="22"/>
    <x v="4"/>
    <n v="0"/>
  </r>
  <r>
    <x v="99"/>
    <s v="Dorota"/>
    <s v="Adamus"/>
    <n v="2"/>
    <x v="4"/>
    <n v="0"/>
  </r>
  <r>
    <x v="99"/>
    <s v="Maciej"/>
    <s v="Lyszcz"/>
    <n v="5"/>
    <x v="4"/>
    <n v="0"/>
  </r>
  <r>
    <x v="99"/>
    <s v="Kamila"/>
    <s v="Bialkowska"/>
    <n v="25"/>
    <x v="4"/>
    <n v="1"/>
  </r>
  <r>
    <x v="100"/>
    <s v="Wanda"/>
    <s v="Chojnacka"/>
    <n v="21"/>
    <x v="0"/>
    <n v="0"/>
  </r>
  <r>
    <x v="100"/>
    <s v="Maciej"/>
    <s v="Tasz"/>
    <n v="31"/>
    <x v="0"/>
    <n v="0"/>
  </r>
  <r>
    <x v="100"/>
    <s v="Hanna"/>
    <s v="Steinborn"/>
    <n v="21"/>
    <x v="0"/>
    <n v="0"/>
  </r>
  <r>
    <x v="100"/>
    <s v="Monika"/>
    <s v="Srubka"/>
    <n v="19"/>
    <x v="0"/>
    <n v="0"/>
  </r>
  <r>
    <x v="100"/>
    <s v="Patrycja"/>
    <s v="Glowinska"/>
    <n v="6"/>
    <x v="0"/>
    <n v="0"/>
  </r>
  <r>
    <x v="100"/>
    <s v="Krzysztof"/>
    <s v="Las"/>
    <n v="24"/>
    <x v="0"/>
    <n v="1"/>
  </r>
  <r>
    <x v="101"/>
    <s v="Izabela"/>
    <s v="Skrzydlak"/>
    <n v="54"/>
    <x v="1"/>
    <n v="0"/>
  </r>
  <r>
    <x v="101"/>
    <s v="Wieslawa"/>
    <s v="Koniec"/>
    <n v="18"/>
    <x v="1"/>
    <n v="0"/>
  </r>
  <r>
    <x v="101"/>
    <s v="Izabela"/>
    <s v="Sobota"/>
    <n v="8"/>
    <x v="1"/>
    <n v="0"/>
  </r>
  <r>
    <x v="101"/>
    <s v="Sofia"/>
    <s v="Felisiak"/>
    <n v="4"/>
    <x v="1"/>
    <n v="0"/>
  </r>
  <r>
    <x v="101"/>
    <s v="Wieslawa"/>
    <s v="Nowak"/>
    <n v="16"/>
    <x v="1"/>
    <n v="0"/>
  </r>
  <r>
    <x v="101"/>
    <s v="Julia"/>
    <s v="Sadowska"/>
    <n v="6"/>
    <x v="1"/>
    <n v="1"/>
  </r>
  <r>
    <x v="102"/>
    <s v="Andrzej"/>
    <s v="Tysz"/>
    <n v="54"/>
    <x v="2"/>
    <n v="0"/>
  </r>
  <r>
    <x v="102"/>
    <s v="Jan"/>
    <s v="Zaczyk"/>
    <n v="35"/>
    <x v="2"/>
    <n v="0"/>
  </r>
  <r>
    <x v="102"/>
    <s v="Magdalena"/>
    <s v="Okraska"/>
    <n v="23"/>
    <x v="2"/>
    <n v="0"/>
  </r>
  <r>
    <x v="102"/>
    <s v="Teodor"/>
    <s v="Nowak"/>
    <n v="52"/>
    <x v="2"/>
    <n v="0"/>
  </r>
  <r>
    <x v="102"/>
    <s v="Szymon"/>
    <s v="Wozniak"/>
    <n v="26"/>
    <x v="2"/>
    <n v="0"/>
  </r>
  <r>
    <x v="102"/>
    <s v="Izabela"/>
    <s v="Sobota"/>
    <n v="26"/>
    <x v="2"/>
    <n v="1"/>
  </r>
  <r>
    <x v="103"/>
    <s v="Mateusz"/>
    <s v="Krynicki"/>
    <n v="2"/>
    <x v="3"/>
    <n v="0"/>
  </r>
  <r>
    <x v="103"/>
    <s v="Barbara"/>
    <s v="Karcz"/>
    <n v="31"/>
    <x v="3"/>
    <n v="0"/>
  </r>
  <r>
    <x v="103"/>
    <s v="Borys"/>
    <s v="Myszor"/>
    <n v="38"/>
    <x v="3"/>
    <n v="0"/>
  </r>
  <r>
    <x v="103"/>
    <s v="Agnieszka"/>
    <s v="Kaminska"/>
    <n v="8"/>
    <x v="3"/>
    <n v="0"/>
  </r>
  <r>
    <x v="103"/>
    <s v="Piotr"/>
    <s v="Kania"/>
    <n v="53"/>
    <x v="3"/>
    <n v="0"/>
  </r>
  <r>
    <x v="103"/>
    <s v="Roman"/>
    <s v="Grodecki"/>
    <n v="6"/>
    <x v="3"/>
    <n v="1"/>
  </r>
  <r>
    <x v="104"/>
    <s v="Teodor"/>
    <s v="Fornal"/>
    <n v="55"/>
    <x v="4"/>
    <n v="0"/>
  </r>
  <r>
    <x v="104"/>
    <s v="Tomasz"/>
    <s v="Zbik"/>
    <n v="15"/>
    <x v="4"/>
    <n v="0"/>
  </r>
  <r>
    <x v="104"/>
    <s v="Jacek"/>
    <s v="Chojnacki"/>
    <n v="25"/>
    <x v="4"/>
    <n v="0"/>
  </r>
  <r>
    <x v="104"/>
    <s v="Adam"/>
    <s v="Zurek"/>
    <n v="39"/>
    <x v="4"/>
    <n v="0"/>
  </r>
  <r>
    <x v="104"/>
    <s v="Marcin"/>
    <s v="Tabaka"/>
    <n v="25"/>
    <x v="4"/>
    <n v="0"/>
  </r>
  <r>
    <x v="104"/>
    <s v="Anna"/>
    <s v="Janowska"/>
    <n v="22"/>
    <x v="4"/>
    <n v="1"/>
  </r>
  <r>
    <x v="105"/>
    <s v="Roksana"/>
    <s v="Frankowska"/>
    <n v="22"/>
    <x v="0"/>
    <n v="0"/>
  </r>
  <r>
    <x v="105"/>
    <s v="Krzysztof"/>
    <s v="Madejski"/>
    <n v="2"/>
    <x v="0"/>
    <n v="0"/>
  </r>
  <r>
    <x v="105"/>
    <s v="Maria"/>
    <s v="Kowalczuk"/>
    <n v="8"/>
    <x v="0"/>
    <n v="0"/>
  </r>
  <r>
    <x v="105"/>
    <s v="Jan"/>
    <s v="Kildanowski"/>
    <n v="50"/>
    <x v="0"/>
    <n v="0"/>
  </r>
  <r>
    <x v="105"/>
    <s v="Dominik"/>
    <s v="Szczucki"/>
    <n v="17"/>
    <x v="0"/>
    <n v="0"/>
  </r>
  <r>
    <x v="105"/>
    <s v="Michal"/>
    <s v="Kirwiel"/>
    <n v="9"/>
    <x v="0"/>
    <n v="1"/>
  </r>
  <r>
    <x v="106"/>
    <s v="Konrad"/>
    <s v="Jagielski"/>
    <n v="52"/>
    <x v="1"/>
    <n v="0"/>
  </r>
  <r>
    <x v="106"/>
    <s v="Monika"/>
    <s v="Bialkowska"/>
    <n v="18"/>
    <x v="1"/>
    <n v="0"/>
  </r>
  <r>
    <x v="106"/>
    <s v="Alicja"/>
    <s v="Walentowicz"/>
    <n v="17"/>
    <x v="1"/>
    <n v="0"/>
  </r>
  <r>
    <x v="106"/>
    <s v="Zbigniew"/>
    <s v="Paderewski"/>
    <n v="52"/>
    <x v="1"/>
    <n v="0"/>
  </r>
  <r>
    <x v="106"/>
    <s v="Michal"/>
    <s v="Nowicki"/>
    <n v="13"/>
    <x v="1"/>
    <n v="0"/>
  </r>
  <r>
    <x v="106"/>
    <s v="Leon"/>
    <s v="Szybki"/>
    <n v="10"/>
    <x v="1"/>
    <n v="1"/>
  </r>
  <r>
    <x v="107"/>
    <s v="Olga"/>
    <s v="Paluszkiewicz"/>
    <n v="18"/>
    <x v="2"/>
    <n v="0"/>
  </r>
  <r>
    <x v="107"/>
    <s v="Bartosz"/>
    <s v="Tusinski"/>
    <n v="16"/>
    <x v="2"/>
    <n v="0"/>
  </r>
  <r>
    <x v="107"/>
    <s v="Karolina"/>
    <s v="Perez"/>
    <n v="8"/>
    <x v="2"/>
    <n v="0"/>
  </r>
  <r>
    <x v="107"/>
    <s v="Maciej"/>
    <s v="Czyzynski"/>
    <n v="26"/>
    <x v="2"/>
    <n v="0"/>
  </r>
  <r>
    <x v="107"/>
    <s v="Maja"/>
    <s v="Kurowska"/>
    <n v="53"/>
    <x v="2"/>
    <n v="0"/>
  </r>
  <r>
    <x v="107"/>
    <s v="Hubert"/>
    <s v="Borek"/>
    <n v="3"/>
    <x v="2"/>
    <n v="1"/>
  </r>
  <r>
    <x v="108"/>
    <s v="Michal"/>
    <s v="Jan"/>
    <n v="36"/>
    <x v="3"/>
    <n v="0"/>
  </r>
  <r>
    <x v="108"/>
    <s v="Igor"/>
    <s v="Rybinski"/>
    <n v="17"/>
    <x v="3"/>
    <n v="0"/>
  </r>
  <r>
    <x v="108"/>
    <s v="Adrian"/>
    <s v="Dulski"/>
    <n v="14"/>
    <x v="3"/>
    <n v="0"/>
  </r>
  <r>
    <x v="108"/>
    <s v="Julia"/>
    <s v="Sadowska"/>
    <n v="54"/>
    <x v="3"/>
    <n v="0"/>
  </r>
  <r>
    <x v="108"/>
    <s v="Maja"/>
    <s v="Kaminska"/>
    <n v="22"/>
    <x v="3"/>
    <n v="0"/>
  </r>
  <r>
    <x v="108"/>
    <s v="Nadia"/>
    <s v="Jurewicz"/>
    <n v="33"/>
    <x v="3"/>
    <n v="1"/>
  </r>
  <r>
    <x v="109"/>
    <s v="Maria"/>
    <s v="Drozd"/>
    <n v="22"/>
    <x v="4"/>
    <n v="0"/>
  </r>
  <r>
    <x v="109"/>
    <s v="Szymon"/>
    <s v="Mrozniak"/>
    <n v="2"/>
    <x v="4"/>
    <n v="0"/>
  </r>
  <r>
    <x v="109"/>
    <s v="Inez"/>
    <s v="Nahaj"/>
    <n v="8"/>
    <x v="4"/>
    <n v="0"/>
  </r>
  <r>
    <x v="109"/>
    <s v="Jan"/>
    <s v="Pieterson"/>
    <n v="5"/>
    <x v="4"/>
    <n v="0"/>
  </r>
  <r>
    <x v="109"/>
    <s v="Adrian"/>
    <s v="Baran"/>
    <n v="25"/>
    <x v="4"/>
    <n v="0"/>
  </r>
  <r>
    <x v="109"/>
    <s v="Przemyslaw"/>
    <s v="Bajewski"/>
    <n v="18"/>
    <x v="4"/>
    <n v="1"/>
  </r>
  <r>
    <x v="110"/>
    <s v="Ewelina"/>
    <s v="Bialkowska"/>
    <n v="8"/>
    <x v="0"/>
    <n v="0"/>
  </r>
  <r>
    <x v="110"/>
    <s v="Lena"/>
    <s v="Mazurkiewicz"/>
    <n v="20"/>
    <x v="0"/>
    <n v="0"/>
  </r>
  <r>
    <x v="110"/>
    <s v="Patrycja"/>
    <s v="Dzban"/>
    <n v="23"/>
    <x v="0"/>
    <n v="0"/>
  </r>
  <r>
    <x v="110"/>
    <s v="Leon"/>
    <s v="Szybki"/>
    <n v="52"/>
    <x v="0"/>
    <n v="0"/>
  </r>
  <r>
    <x v="110"/>
    <s v="Michal"/>
    <s v="Gora"/>
    <n v="14"/>
    <x v="0"/>
    <n v="0"/>
  </r>
  <r>
    <x v="110"/>
    <s v="Agata"/>
    <s v="Kolacz"/>
    <n v="27"/>
    <x v="0"/>
    <n v="1"/>
  </r>
  <r>
    <x v="111"/>
    <s v="Marek"/>
    <s v="Bednarski"/>
    <n v="21"/>
    <x v="1"/>
    <n v="0"/>
  </r>
  <r>
    <x v="111"/>
    <s v="Alicja"/>
    <s v="Gadek"/>
    <n v="28"/>
    <x v="1"/>
    <n v="0"/>
  </r>
  <r>
    <x v="111"/>
    <s v="Filip"/>
    <s v="Strupiechowski"/>
    <n v="50"/>
    <x v="1"/>
    <n v="0"/>
  </r>
  <r>
    <x v="111"/>
    <s v="Hubert"/>
    <s v="Smyk"/>
    <n v="5"/>
    <x v="1"/>
    <n v="0"/>
  </r>
  <r>
    <x v="111"/>
    <s v="Marcin"/>
    <s v="Kurasik"/>
    <n v="7"/>
    <x v="1"/>
    <n v="0"/>
  </r>
  <r>
    <x v="111"/>
    <s v="Tomasz"/>
    <s v="Tutaj"/>
    <n v="11"/>
    <x v="1"/>
    <n v="1"/>
  </r>
  <r>
    <x v="112"/>
    <s v="Maria"/>
    <s v="Drozd"/>
    <n v="17"/>
    <x v="2"/>
    <n v="0"/>
  </r>
  <r>
    <x v="112"/>
    <s v="Kamil"/>
    <s v="Naderka"/>
    <n v="12"/>
    <x v="2"/>
    <n v="0"/>
  </r>
  <r>
    <x v="112"/>
    <s v="Zofia"/>
    <s v="Polak"/>
    <n v="49"/>
    <x v="2"/>
    <n v="0"/>
  </r>
  <r>
    <x v="112"/>
    <s v="Marta"/>
    <s v="Opolska"/>
    <n v="6"/>
    <x v="2"/>
    <n v="0"/>
  </r>
  <r>
    <x v="112"/>
    <s v="Agata"/>
    <s v="Kwiatkowska"/>
    <n v="13"/>
    <x v="2"/>
    <n v="0"/>
  </r>
  <r>
    <x v="112"/>
    <s v="Justyna"/>
    <s v="Wysocka"/>
    <n v="40"/>
    <x v="2"/>
    <n v="1"/>
  </r>
  <r>
    <x v="113"/>
    <s v="Krzysztof"/>
    <s v="Koncewicz"/>
    <n v="26"/>
    <x v="3"/>
    <n v="0"/>
  </r>
  <r>
    <x v="113"/>
    <s v="Lena"/>
    <s v="Mrozik"/>
    <n v="16"/>
    <x v="3"/>
    <n v="0"/>
  </r>
  <r>
    <x v="113"/>
    <s v="Kazimierz"/>
    <s v="Biedka"/>
    <n v="36"/>
    <x v="3"/>
    <n v="0"/>
  </r>
  <r>
    <x v="113"/>
    <s v="Pawel"/>
    <s v="Nowakowski"/>
    <n v="8"/>
    <x v="3"/>
    <n v="0"/>
  </r>
  <r>
    <x v="113"/>
    <s v="Piotr"/>
    <s v="Kaleta"/>
    <n v="7"/>
    <x v="3"/>
    <n v="0"/>
  </r>
  <r>
    <x v="113"/>
    <s v="Monika"/>
    <s v="Srubka"/>
    <n v="25"/>
    <x v="3"/>
    <n v="1"/>
  </r>
  <r>
    <x v="114"/>
    <s v="Bonifacy"/>
    <s v="Pleszewski"/>
    <n v="43"/>
    <x v="4"/>
    <n v="0"/>
  </r>
  <r>
    <x v="114"/>
    <s v="Jakub"/>
    <s v="Waniek"/>
    <n v="23"/>
    <x v="4"/>
    <n v="0"/>
  </r>
  <r>
    <x v="114"/>
    <s v="Sofia"/>
    <s v="Felisiak"/>
    <n v="5"/>
    <x v="4"/>
    <n v="0"/>
  </r>
  <r>
    <x v="114"/>
    <s v="Monika"/>
    <s v="Placzek"/>
    <n v="2"/>
    <x v="4"/>
    <n v="0"/>
  </r>
  <r>
    <x v="114"/>
    <s v="Malgorzata"/>
    <s v="Winiarska"/>
    <n v="5"/>
    <x v="4"/>
    <n v="0"/>
  </r>
  <r>
    <x v="114"/>
    <s v="Alicja"/>
    <s v="Wymyslowska"/>
    <n v="50"/>
    <x v="4"/>
    <n v="1"/>
  </r>
  <r>
    <x v="115"/>
    <s v="Leon"/>
    <s v="Price"/>
    <n v="11"/>
    <x v="0"/>
    <n v="0"/>
  </r>
  <r>
    <x v="115"/>
    <s v="Maciej"/>
    <s v="Siemiatkowski"/>
    <n v="18"/>
    <x v="0"/>
    <n v="0"/>
  </r>
  <r>
    <x v="115"/>
    <s v="Mateusz"/>
    <s v="Uklej"/>
    <n v="24"/>
    <x v="0"/>
    <n v="0"/>
  </r>
  <r>
    <x v="115"/>
    <s v="Agnieszka"/>
    <s v="Matusik"/>
    <n v="20"/>
    <x v="0"/>
    <n v="0"/>
  </r>
  <r>
    <x v="115"/>
    <s v="Henryk"/>
    <s v="Siminski"/>
    <n v="55"/>
    <x v="0"/>
    <n v="0"/>
  </r>
  <r>
    <x v="115"/>
    <s v="Marcel"/>
    <s v="Lademann"/>
    <n v="52"/>
    <x v="0"/>
    <n v="1"/>
  </r>
  <r>
    <x v="116"/>
    <s v="Justyna"/>
    <s v="Mnich"/>
    <n v="41"/>
    <x v="1"/>
    <n v="0"/>
  </r>
  <r>
    <x v="116"/>
    <s v="Ewa"/>
    <s v="Czerwinska"/>
    <n v="27"/>
    <x v="1"/>
    <n v="0"/>
  </r>
  <r>
    <x v="116"/>
    <s v="Piotr"/>
    <s v="Polkowicki"/>
    <n v="12"/>
    <x v="1"/>
    <n v="0"/>
  </r>
  <r>
    <x v="116"/>
    <s v="Mateusz"/>
    <s v="Mrowczynski"/>
    <n v="23"/>
    <x v="1"/>
    <n v="0"/>
  </r>
  <r>
    <x v="116"/>
    <s v="Anastazja"/>
    <s v="Borowska"/>
    <n v="4"/>
    <x v="1"/>
    <n v="0"/>
  </r>
  <r>
    <x v="116"/>
    <s v="Hubert"/>
    <s v="Pieczatowski"/>
    <n v="27"/>
    <x v="1"/>
    <n v="1"/>
  </r>
  <r>
    <x v="117"/>
    <s v="Teodor"/>
    <s v="Fornal"/>
    <n v="36"/>
    <x v="2"/>
    <n v="0"/>
  </r>
  <r>
    <x v="117"/>
    <s v="Barbara"/>
    <s v="Kilarski"/>
    <n v="20"/>
    <x v="2"/>
    <n v="0"/>
  </r>
  <r>
    <x v="117"/>
    <s v="Nikodem"/>
    <s v="Jablonski"/>
    <n v="26"/>
    <x v="2"/>
    <n v="0"/>
  </r>
  <r>
    <x v="117"/>
    <s v="Nikodem"/>
    <s v="Jakubowski"/>
    <n v="8"/>
    <x v="2"/>
    <n v="0"/>
  </r>
  <r>
    <x v="117"/>
    <s v="Joanna"/>
    <s v="Sibiga"/>
    <n v="6"/>
    <x v="2"/>
    <n v="0"/>
  </r>
  <r>
    <x v="117"/>
    <s v="Monika"/>
    <s v="Srubka"/>
    <n v="5"/>
    <x v="2"/>
    <n v="1"/>
  </r>
  <r>
    <x v="118"/>
    <s v="Jakub"/>
    <s v="Porydzaj"/>
    <n v="8"/>
    <x v="3"/>
    <n v="0"/>
  </r>
  <r>
    <x v="118"/>
    <s v="Krzysztof"/>
    <s v="Las"/>
    <n v="4"/>
    <x v="3"/>
    <n v="0"/>
  </r>
  <r>
    <x v="118"/>
    <s v="Emilia"/>
    <s v="Szczepanska"/>
    <n v="31"/>
    <x v="3"/>
    <n v="0"/>
  </r>
  <r>
    <x v="118"/>
    <s v="Patrycja"/>
    <s v="Rzeszowska"/>
    <n v="36"/>
    <x v="3"/>
    <n v="0"/>
  </r>
  <r>
    <x v="118"/>
    <s v="Olgierd"/>
    <s v="Hazubski"/>
    <n v="3"/>
    <x v="3"/>
    <n v="0"/>
  </r>
  <r>
    <x v="118"/>
    <s v="Jan"/>
    <s v="Nancki"/>
    <n v="31"/>
    <x v="3"/>
    <n v="1"/>
  </r>
  <r>
    <x v="119"/>
    <s v="Anna"/>
    <s v="Trzebiatowska"/>
    <n v="3"/>
    <x v="4"/>
    <n v="0"/>
  </r>
  <r>
    <x v="119"/>
    <s v="Urszula"/>
    <s v="Engel"/>
    <n v="2"/>
    <x v="4"/>
    <n v="0"/>
  </r>
  <r>
    <x v="119"/>
    <s v="Przemyslaw"/>
    <s v="Widawski"/>
    <n v="53"/>
    <x v="4"/>
    <n v="0"/>
  </r>
  <r>
    <x v="119"/>
    <s v="Anastazja"/>
    <s v="Wamka"/>
    <n v="7"/>
    <x v="4"/>
    <n v="0"/>
  </r>
  <r>
    <x v="119"/>
    <s v="Mariola"/>
    <s v="Las"/>
    <n v="27"/>
    <x v="4"/>
    <n v="0"/>
  </r>
  <r>
    <x v="119"/>
    <s v="Agnieszka"/>
    <s v="Bujak"/>
    <n v="29"/>
    <x v="4"/>
    <n v="1"/>
  </r>
  <r>
    <x v="120"/>
    <s v="Leon"/>
    <s v="Szybki"/>
    <n v="19"/>
    <x v="0"/>
    <n v="0"/>
  </r>
  <r>
    <x v="120"/>
    <s v="Natalia"/>
    <s v="Boryczko"/>
    <n v="15"/>
    <x v="0"/>
    <n v="0"/>
  </r>
  <r>
    <x v="120"/>
    <s v="Wojciech"/>
    <s v="Gocyla"/>
    <n v="24"/>
    <x v="0"/>
    <n v="0"/>
  </r>
  <r>
    <x v="120"/>
    <s v="Ewa"/>
    <s v="Czerwinska"/>
    <n v="50"/>
    <x v="0"/>
    <n v="0"/>
  </r>
  <r>
    <x v="120"/>
    <s v="Piotr"/>
    <s v="Flis"/>
    <n v="18"/>
    <x v="0"/>
    <n v="0"/>
  </r>
  <r>
    <x v="120"/>
    <s v="Jakub"/>
    <s v="Radomski"/>
    <n v="36"/>
    <x v="0"/>
    <n v="1"/>
  </r>
  <r>
    <x v="121"/>
    <s v="Ilona"/>
    <s v="Lukaszewska"/>
    <n v="13"/>
    <x v="1"/>
    <n v="0"/>
  </r>
  <r>
    <x v="121"/>
    <s v="Maria"/>
    <s v="Orlicki"/>
    <n v="29"/>
    <x v="1"/>
    <n v="0"/>
  </r>
  <r>
    <x v="121"/>
    <s v="Matylda"/>
    <s v="Kluziak"/>
    <n v="47"/>
    <x v="1"/>
    <n v="0"/>
  </r>
  <r>
    <x v="121"/>
    <s v="Bartosz"/>
    <s v="Mazgaj"/>
    <n v="17"/>
    <x v="1"/>
    <n v="0"/>
  </r>
  <r>
    <x v="121"/>
    <s v="Jacek"/>
    <s v="Szypulski"/>
    <n v="9"/>
    <x v="1"/>
    <n v="0"/>
  </r>
  <r>
    <x v="121"/>
    <s v="Mariola"/>
    <s v="Las"/>
    <n v="8"/>
    <x v="1"/>
    <n v="1"/>
  </r>
  <r>
    <x v="122"/>
    <s v="Tomasz"/>
    <s v="Tutaj"/>
    <n v="4"/>
    <x v="2"/>
    <n v="0"/>
  </r>
  <r>
    <x v="122"/>
    <s v="Lukasz"/>
    <s v="Kot"/>
    <n v="53"/>
    <x v="2"/>
    <n v="0"/>
  </r>
  <r>
    <x v="122"/>
    <s v="Martyna"/>
    <s v="Marmelowska"/>
    <n v="29"/>
    <x v="2"/>
    <n v="0"/>
  </r>
  <r>
    <x v="122"/>
    <s v="Adam"/>
    <s v="Wata"/>
    <n v="52"/>
    <x v="2"/>
    <n v="0"/>
  </r>
  <r>
    <x v="122"/>
    <s v="Tomasz"/>
    <s v="Tutaj"/>
    <n v="8"/>
    <x v="2"/>
    <n v="0"/>
  </r>
  <r>
    <x v="122"/>
    <s v="Ewa"/>
    <s v="Wojna"/>
    <n v="32"/>
    <x v="2"/>
    <n v="1"/>
  </r>
  <r>
    <x v="123"/>
    <s v="Grzegorz"/>
    <s v="Kaminski"/>
    <n v="11"/>
    <x v="3"/>
    <n v="0"/>
  </r>
  <r>
    <x v="123"/>
    <s v="Tomasz"/>
    <s v="Hajdi"/>
    <n v="35"/>
    <x v="3"/>
    <n v="0"/>
  </r>
  <r>
    <x v="123"/>
    <s v="Joanna"/>
    <s v="Senger"/>
    <n v="4"/>
    <x v="3"/>
    <n v="0"/>
  </r>
  <r>
    <x v="123"/>
    <s v="Joanna"/>
    <s v="Kopacki"/>
    <n v="18"/>
    <x v="3"/>
    <n v="0"/>
  </r>
  <r>
    <x v="123"/>
    <s v="Jan"/>
    <s v="Kildanowski"/>
    <n v="5"/>
    <x v="3"/>
    <n v="0"/>
  </r>
  <r>
    <x v="123"/>
    <s v="Maciej"/>
    <s v="Tasz"/>
    <n v="32"/>
    <x v="3"/>
    <n v="1"/>
  </r>
  <r>
    <x v="124"/>
    <s v="Anita"/>
    <s v="Kaczorowska"/>
    <n v="18"/>
    <x v="4"/>
    <n v="0"/>
  </r>
  <r>
    <x v="124"/>
    <s v="Daria"/>
    <s v="Mikos"/>
    <n v="19"/>
    <x v="4"/>
    <n v="0"/>
  </r>
  <r>
    <x v="124"/>
    <s v="Anita"/>
    <s v="Pawelczyk"/>
    <n v="8"/>
    <x v="4"/>
    <n v="0"/>
  </r>
  <r>
    <x v="124"/>
    <s v="Ryszard"/>
    <s v="Domzala"/>
    <n v="16"/>
    <x v="4"/>
    <n v="0"/>
  </r>
  <r>
    <x v="124"/>
    <s v="Marta"/>
    <s v="Wiosna"/>
    <n v="39"/>
    <x v="4"/>
    <n v="0"/>
  </r>
  <r>
    <x v="124"/>
    <s v="Maria"/>
    <s v="Orlicki"/>
    <n v="45"/>
    <x v="4"/>
    <n v="1"/>
  </r>
  <r>
    <x v="125"/>
    <s v="Joanna"/>
    <s v="Kopacki"/>
    <n v="46"/>
    <x v="0"/>
    <n v="0"/>
  </r>
  <r>
    <x v="125"/>
    <s v="Jan"/>
    <s v="Sznuk"/>
    <n v="26"/>
    <x v="0"/>
    <n v="0"/>
  </r>
  <r>
    <x v="125"/>
    <s v="Wiera"/>
    <s v="Nowak"/>
    <n v="53"/>
    <x v="0"/>
    <n v="0"/>
  </r>
  <r>
    <x v="125"/>
    <s v="Ewaryst"/>
    <s v="Zdunek"/>
    <n v="26"/>
    <x v="0"/>
    <n v="0"/>
  </r>
  <r>
    <x v="125"/>
    <s v="Agnieszka"/>
    <s v="Polak"/>
    <n v="16"/>
    <x v="0"/>
    <n v="0"/>
  </r>
  <r>
    <x v="125"/>
    <s v="Jan"/>
    <s v="Madawik"/>
    <n v="10"/>
    <x v="0"/>
    <n v="1"/>
  </r>
  <r>
    <x v="126"/>
    <s v="Anita"/>
    <s v="Woloszyn"/>
    <n v="23"/>
    <x v="1"/>
    <n v="0"/>
  </r>
  <r>
    <x v="126"/>
    <s v="Daria"/>
    <s v="Zagrobna"/>
    <n v="22"/>
    <x v="1"/>
    <n v="0"/>
  </r>
  <r>
    <x v="126"/>
    <s v="Marta"/>
    <s v="Wloczkow"/>
    <n v="29"/>
    <x v="1"/>
    <n v="0"/>
  </r>
  <r>
    <x v="126"/>
    <s v="Krzysztof"/>
    <s v="Konieckiewicz"/>
    <n v="26"/>
    <x v="1"/>
    <n v="0"/>
  </r>
  <r>
    <x v="126"/>
    <s v="Barbara"/>
    <s v="Bury"/>
    <n v="9"/>
    <x v="1"/>
    <n v="0"/>
  </r>
  <r>
    <x v="126"/>
    <s v="Karol"/>
    <s v="Dziuk"/>
    <n v="20"/>
    <x v="1"/>
    <n v="1"/>
  </r>
  <r>
    <x v="127"/>
    <s v="Wojciech"/>
    <s v="Wroblewski"/>
    <n v="7"/>
    <x v="2"/>
    <n v="0"/>
  </r>
  <r>
    <x v="127"/>
    <s v="Kinga"/>
    <s v="Trawinska"/>
    <n v="27"/>
    <x v="2"/>
    <n v="0"/>
  </r>
  <r>
    <x v="127"/>
    <s v="Kamil"/>
    <s v="Naderka"/>
    <n v="35"/>
    <x v="2"/>
    <n v="0"/>
  </r>
  <r>
    <x v="127"/>
    <s v="Tomasz"/>
    <s v="Tutaj"/>
    <n v="15"/>
    <x v="2"/>
    <n v="0"/>
  </r>
  <r>
    <x v="127"/>
    <s v="Jan"/>
    <s v="Pieterson"/>
    <n v="29"/>
    <x v="2"/>
    <n v="0"/>
  </r>
  <r>
    <x v="127"/>
    <s v="Dominika"/>
    <s v="Madejska"/>
    <n v="42"/>
    <x v="2"/>
    <n v="1"/>
  </r>
  <r>
    <x v="128"/>
    <s v="Kamila"/>
    <s v="Bialkowska"/>
    <n v="9"/>
    <x v="3"/>
    <n v="0"/>
  </r>
  <r>
    <x v="128"/>
    <s v="Stanislaw"/>
    <s v="Cieslik"/>
    <n v="50"/>
    <x v="3"/>
    <n v="0"/>
  </r>
  <r>
    <x v="128"/>
    <s v="Dominik"/>
    <s v="Szmitko"/>
    <n v="6"/>
    <x v="3"/>
    <n v="0"/>
  </r>
  <r>
    <x v="128"/>
    <s v="Ewa"/>
    <s v="Zak"/>
    <n v="18"/>
    <x v="3"/>
    <n v="0"/>
  </r>
  <r>
    <x v="128"/>
    <s v="Jan"/>
    <s v="Madawik"/>
    <n v="28"/>
    <x v="3"/>
    <n v="0"/>
  </r>
  <r>
    <x v="128"/>
    <s v="Jan"/>
    <s v="Pistek"/>
    <n v="7"/>
    <x v="3"/>
    <n v="1"/>
  </r>
  <r>
    <x v="129"/>
    <s v="Magda"/>
    <s v="Makowicz"/>
    <n v="28"/>
    <x v="4"/>
    <n v="0"/>
  </r>
  <r>
    <x v="129"/>
    <s v="Dominik"/>
    <s v="Szczucki"/>
    <n v="27"/>
    <x v="4"/>
    <n v="0"/>
  </r>
  <r>
    <x v="129"/>
    <s v="Piotr"/>
    <s v="Flis"/>
    <n v="19"/>
    <x v="4"/>
    <n v="0"/>
  </r>
  <r>
    <x v="129"/>
    <s v="Hubert"/>
    <s v="Pieczatowski"/>
    <n v="19"/>
    <x v="4"/>
    <n v="0"/>
  </r>
  <r>
    <x v="129"/>
    <s v="Julia"/>
    <s v="Rutkiewicz"/>
    <n v="18"/>
    <x v="4"/>
    <n v="0"/>
  </r>
  <r>
    <x v="129"/>
    <s v="Joanna"/>
    <s v="Ottka"/>
    <n v="27"/>
    <x v="4"/>
    <n v="1"/>
  </r>
  <r>
    <x v="130"/>
    <s v="Nadia"/>
    <s v="Jurewicz"/>
    <n v="21"/>
    <x v="0"/>
    <n v="0"/>
  </r>
  <r>
    <x v="130"/>
    <s v="Lena"/>
    <s v="Marzec"/>
    <n v="14"/>
    <x v="0"/>
    <n v="0"/>
  </r>
  <r>
    <x v="130"/>
    <s v="Mariusz"/>
    <s v="Suszyn"/>
    <n v="34"/>
    <x v="0"/>
    <n v="0"/>
  </r>
  <r>
    <x v="130"/>
    <s v="Mateusz"/>
    <s v="Mrowczynski"/>
    <n v="29"/>
    <x v="0"/>
    <n v="0"/>
  </r>
  <r>
    <x v="130"/>
    <s v="Wieslaw"/>
    <s v="Kasza"/>
    <n v="37"/>
    <x v="0"/>
    <n v="0"/>
  </r>
  <r>
    <x v="130"/>
    <s v="Jakub"/>
    <s v="Porydzaj"/>
    <n v="28"/>
    <x v="0"/>
    <n v="1"/>
  </r>
  <r>
    <x v="131"/>
    <s v="Magdalena"/>
    <s v="Bach"/>
    <n v="8"/>
    <x v="1"/>
    <n v="0"/>
  </r>
  <r>
    <x v="131"/>
    <s v="Patryk"/>
    <s v="Geszczynski"/>
    <n v="16"/>
    <x v="1"/>
    <n v="0"/>
  </r>
  <r>
    <x v="131"/>
    <s v="Mariola"/>
    <s v="Las"/>
    <n v="7"/>
    <x v="1"/>
    <n v="0"/>
  </r>
  <r>
    <x v="131"/>
    <s v="Zofia"/>
    <s v="Broszkow"/>
    <n v="29"/>
    <x v="1"/>
    <n v="0"/>
  </r>
  <r>
    <x v="131"/>
    <s v="Marek"/>
    <s v="Witkowski"/>
    <n v="4"/>
    <x v="1"/>
    <n v="0"/>
  </r>
  <r>
    <x v="131"/>
    <s v="Karol"/>
    <s v="Pawleczek"/>
    <n v="3"/>
    <x v="1"/>
    <n v="1"/>
  </r>
  <r>
    <x v="132"/>
    <s v="Renata"/>
    <s v="Pawlak"/>
    <n v="35"/>
    <x v="2"/>
    <n v="0"/>
  </r>
  <r>
    <x v="132"/>
    <s v="Natalia"/>
    <s v="Olkuska"/>
    <n v="24"/>
    <x v="2"/>
    <n v="0"/>
  </r>
  <r>
    <x v="132"/>
    <s v="Piotr"/>
    <s v="Felus"/>
    <n v="39"/>
    <x v="2"/>
    <n v="0"/>
  </r>
  <r>
    <x v="132"/>
    <s v="Marcel"/>
    <s v="Labuda"/>
    <n v="56"/>
    <x v="2"/>
    <n v="0"/>
  </r>
  <r>
    <x v="132"/>
    <s v="Iwona"/>
    <s v="Wlodarska"/>
    <n v="54"/>
    <x v="2"/>
    <n v="0"/>
  </r>
  <r>
    <x v="132"/>
    <s v="Andrzej"/>
    <s v="Moldawiec"/>
    <n v="12"/>
    <x v="2"/>
    <n v="1"/>
  </r>
  <r>
    <x v="133"/>
    <s v="Milena"/>
    <s v="Karolewska"/>
    <n v="7"/>
    <x v="3"/>
    <n v="0"/>
  </r>
  <r>
    <x v="133"/>
    <s v="Malgorzata"/>
    <s v="Winiarska"/>
    <n v="11"/>
    <x v="3"/>
    <n v="0"/>
  </r>
  <r>
    <x v="133"/>
    <s v="Maciej"/>
    <s v="Tasz"/>
    <n v="7"/>
    <x v="3"/>
    <n v="0"/>
  </r>
  <r>
    <x v="133"/>
    <s v="Karolina"/>
    <s v="Welc"/>
    <n v="28"/>
    <x v="3"/>
    <n v="0"/>
  </r>
  <r>
    <x v="133"/>
    <s v="Patryk"/>
    <s v="Geszczynski"/>
    <n v="20"/>
    <x v="3"/>
    <n v="0"/>
  </r>
  <r>
    <x v="133"/>
    <s v="Przemyslaw"/>
    <s v="Widawski"/>
    <n v="11"/>
    <x v="3"/>
    <n v="1"/>
  </r>
  <r>
    <x v="134"/>
    <s v="Barbara"/>
    <s v="Kiel"/>
    <n v="55"/>
    <x v="4"/>
    <n v="0"/>
  </r>
  <r>
    <x v="134"/>
    <s v="Mateusz"/>
    <s v="Mrowczynski"/>
    <n v="41"/>
    <x v="4"/>
    <n v="0"/>
  </r>
  <r>
    <x v="134"/>
    <s v="Iwona"/>
    <s v="Anczyk"/>
    <n v="21"/>
    <x v="4"/>
    <n v="0"/>
  </r>
  <r>
    <x v="134"/>
    <s v="Nadia"/>
    <s v="Jurczyk"/>
    <n v="33"/>
    <x v="4"/>
    <n v="0"/>
  </r>
  <r>
    <x v="134"/>
    <s v="Filip"/>
    <s v="Strupiechowski"/>
    <n v="7"/>
    <x v="4"/>
    <n v="0"/>
  </r>
  <r>
    <x v="134"/>
    <s v="Zuzanna"/>
    <s v="Kalisz"/>
    <n v="15"/>
    <x v="4"/>
    <n v="1"/>
  </r>
  <r>
    <x v="135"/>
    <s v="Joanna"/>
    <s v="Pilc"/>
    <n v="39"/>
    <x v="0"/>
    <n v="0"/>
  </r>
  <r>
    <x v="135"/>
    <s v="Eugenia"/>
    <s v="Pieta"/>
    <n v="20"/>
    <x v="0"/>
    <n v="0"/>
  </r>
  <r>
    <x v="135"/>
    <s v="Jan"/>
    <s v="Pistek"/>
    <n v="11"/>
    <x v="0"/>
    <n v="0"/>
  </r>
  <r>
    <x v="135"/>
    <s v="Marlena"/>
    <s v="Mazar"/>
    <n v="55"/>
    <x v="0"/>
    <n v="0"/>
  </r>
  <r>
    <x v="135"/>
    <s v="Adam"/>
    <s v="Zurek"/>
    <n v="36"/>
    <x v="0"/>
    <n v="0"/>
  </r>
  <r>
    <x v="135"/>
    <s v="Borys"/>
    <s v="Winiarski"/>
    <n v="19"/>
    <x v="0"/>
    <n v="1"/>
  </r>
  <r>
    <x v="136"/>
    <s v="Kazimierz"/>
    <s v="Bartosik"/>
    <n v="15"/>
    <x v="1"/>
    <n v="0"/>
  </r>
  <r>
    <x v="136"/>
    <s v="Ewelina"/>
    <s v="Gorecka"/>
    <n v="11"/>
    <x v="1"/>
    <n v="0"/>
  </r>
  <r>
    <x v="136"/>
    <s v="Julia"/>
    <s v="Rutkiewicz"/>
    <n v="30"/>
    <x v="1"/>
    <n v="0"/>
  </r>
  <r>
    <x v="136"/>
    <s v="Janusz"/>
    <s v="Wrobel"/>
    <n v="6"/>
    <x v="1"/>
    <n v="0"/>
  </r>
  <r>
    <x v="136"/>
    <s v="Jan"/>
    <s v="Pistek"/>
    <n v="16"/>
    <x v="1"/>
    <n v="0"/>
  </r>
  <r>
    <x v="136"/>
    <s v="Barbara"/>
    <s v="Kilarski"/>
    <n v="26"/>
    <x v="1"/>
    <n v="1"/>
  </r>
  <r>
    <x v="137"/>
    <s v="Anna"/>
    <s v="Wnuk"/>
    <n v="48"/>
    <x v="2"/>
    <n v="0"/>
  </r>
  <r>
    <x v="137"/>
    <s v="Maria"/>
    <s v="Gatek"/>
    <n v="24"/>
    <x v="2"/>
    <n v="0"/>
  </r>
  <r>
    <x v="137"/>
    <s v="Anna"/>
    <s v="Zender"/>
    <n v="9"/>
    <x v="2"/>
    <n v="0"/>
  </r>
  <r>
    <x v="137"/>
    <s v="Michal"/>
    <s v="Norek"/>
    <n v="55"/>
    <x v="2"/>
    <n v="0"/>
  </r>
  <r>
    <x v="137"/>
    <s v="Krystyna"/>
    <s v="Szybki"/>
    <n v="51"/>
    <x v="2"/>
    <n v="0"/>
  </r>
  <r>
    <x v="137"/>
    <s v="Marta"/>
    <s v="Opolska"/>
    <n v="10"/>
    <x v="2"/>
    <n v="1"/>
  </r>
  <r>
    <x v="138"/>
    <s v="Jacek"/>
    <s v="Ciosinski"/>
    <n v="15"/>
    <x v="3"/>
    <n v="0"/>
  </r>
  <r>
    <x v="138"/>
    <s v="Ewelina"/>
    <s v="Mirska"/>
    <n v="26"/>
    <x v="3"/>
    <n v="0"/>
  </r>
  <r>
    <x v="138"/>
    <s v="Leslaw"/>
    <s v="Kupis"/>
    <n v="21"/>
    <x v="3"/>
    <n v="0"/>
  </r>
  <r>
    <x v="138"/>
    <s v="Michalina"/>
    <s v="Klebba"/>
    <n v="4"/>
    <x v="3"/>
    <n v="0"/>
  </r>
  <r>
    <x v="138"/>
    <s v="Adrian"/>
    <s v="Wozniak"/>
    <n v="43"/>
    <x v="3"/>
    <n v="0"/>
  </r>
  <r>
    <x v="138"/>
    <s v="Joanna"/>
    <s v="Wrobel"/>
    <n v="7"/>
    <x v="3"/>
    <n v="0"/>
  </r>
  <r>
    <x v="138"/>
    <s v="Maria"/>
    <s v="Gatek"/>
    <n v="44"/>
    <x v="3"/>
    <n v="1"/>
  </r>
  <r>
    <x v="139"/>
    <s v="Mateusz"/>
    <s v="Hajdug"/>
    <n v="19"/>
    <x v="4"/>
    <n v="0"/>
  </r>
  <r>
    <x v="139"/>
    <s v="Monika"/>
    <s v="Kos"/>
    <n v="29"/>
    <x v="4"/>
    <n v="0"/>
  </r>
  <r>
    <x v="139"/>
    <s v="Anita"/>
    <s v="Tych"/>
    <n v="33"/>
    <x v="4"/>
    <n v="0"/>
  </r>
  <r>
    <x v="139"/>
    <s v="Michal"/>
    <s v="Nowicki"/>
    <n v="2"/>
    <x v="4"/>
    <n v="0"/>
  </r>
  <r>
    <x v="139"/>
    <s v="Joanna"/>
    <s v="Zygmunt"/>
    <n v="15"/>
    <x v="4"/>
    <n v="0"/>
  </r>
  <r>
    <x v="139"/>
    <s v="Jerzy"/>
    <s v="Polanicki"/>
    <n v="30"/>
    <x v="4"/>
    <n v="0"/>
  </r>
  <r>
    <x v="139"/>
    <s v="Jakub"/>
    <s v="Rembiewski"/>
    <n v="5"/>
    <x v="4"/>
    <n v="1"/>
  </r>
  <r>
    <x v="140"/>
    <s v="Mateusz"/>
    <s v="Mrowczynski"/>
    <n v="14"/>
    <x v="0"/>
    <n v="0"/>
  </r>
  <r>
    <x v="140"/>
    <s v="Maciej"/>
    <s v="Lutczyk"/>
    <n v="8"/>
    <x v="0"/>
    <n v="0"/>
  </r>
  <r>
    <x v="140"/>
    <s v="Karol"/>
    <s v="Dziuk"/>
    <n v="44"/>
    <x v="0"/>
    <n v="0"/>
  </r>
  <r>
    <x v="140"/>
    <s v="Iwona"/>
    <s v="Lato"/>
    <n v="50"/>
    <x v="0"/>
    <n v="0"/>
  </r>
  <r>
    <x v="140"/>
    <s v="Jan"/>
    <s v="Sznuk"/>
    <n v="15"/>
    <x v="0"/>
    <n v="0"/>
  </r>
  <r>
    <x v="140"/>
    <s v="Kacper"/>
    <s v="Trzebnicki"/>
    <n v="46"/>
    <x v="0"/>
    <n v="0"/>
  </r>
  <r>
    <x v="140"/>
    <s v="Julia"/>
    <s v="Salanowska"/>
    <n v="5"/>
    <x v="0"/>
    <n v="1"/>
  </r>
  <r>
    <x v="141"/>
    <s v="Diana"/>
    <s v="Michalska"/>
    <n v="27"/>
    <x v="1"/>
    <n v="0"/>
  </r>
  <r>
    <x v="141"/>
    <s v="Katarzyna"/>
    <s v="Wip"/>
    <n v="25"/>
    <x v="1"/>
    <n v="0"/>
  </r>
  <r>
    <x v="141"/>
    <s v="Maria"/>
    <s v="Orlicki"/>
    <n v="22"/>
    <x v="1"/>
    <n v="0"/>
  </r>
  <r>
    <x v="141"/>
    <s v="Izabela"/>
    <s v="Skrzydlak"/>
    <n v="3"/>
    <x v="1"/>
    <n v="0"/>
  </r>
  <r>
    <x v="141"/>
    <s v="Maksymilian"/>
    <s v="Piwko"/>
    <n v="28"/>
    <x v="1"/>
    <n v="0"/>
  </r>
  <r>
    <x v="141"/>
    <s v="Maciej"/>
    <s v="Czyzynski"/>
    <n v="8"/>
    <x v="1"/>
    <n v="0"/>
  </r>
  <r>
    <x v="141"/>
    <s v="Tomasz"/>
    <s v="Hajdi"/>
    <n v="8"/>
    <x v="1"/>
    <n v="1"/>
  </r>
  <r>
    <x v="142"/>
    <s v="Lena"/>
    <s v="Mazurkiewicz"/>
    <n v="18"/>
    <x v="2"/>
    <n v="0"/>
  </r>
  <r>
    <x v="142"/>
    <s v="Marcin"/>
    <s v="Kurasik"/>
    <n v="27"/>
    <x v="2"/>
    <n v="0"/>
  </r>
  <r>
    <x v="142"/>
    <s v="Janusz"/>
    <s v="Baka"/>
    <n v="23"/>
    <x v="2"/>
    <n v="0"/>
  </r>
  <r>
    <x v="142"/>
    <s v="Maja"/>
    <s v="Kulkowska"/>
    <n v="46"/>
    <x v="2"/>
    <n v="0"/>
  </r>
  <r>
    <x v="142"/>
    <s v="Krzysztof"/>
    <s v="Madejski"/>
    <n v="16"/>
    <x v="2"/>
    <n v="0"/>
  </r>
  <r>
    <x v="142"/>
    <s v="Jakub"/>
    <s v="Bracik"/>
    <n v="27"/>
    <x v="2"/>
    <n v="0"/>
  </r>
  <r>
    <x v="142"/>
    <s v="Jan"/>
    <s v="Pawelec"/>
    <n v="12"/>
    <x v="2"/>
    <n v="1"/>
  </r>
  <r>
    <x v="143"/>
    <s v="Krzysztof"/>
    <s v="Plecien"/>
    <n v="21"/>
    <x v="3"/>
    <n v="0"/>
  </r>
  <r>
    <x v="143"/>
    <s v="Diana"/>
    <s v="Michalska"/>
    <n v="45"/>
    <x v="3"/>
    <n v="0"/>
  </r>
  <r>
    <x v="143"/>
    <s v="Krzysztof"/>
    <s v="Madejski"/>
    <n v="22"/>
    <x v="3"/>
    <n v="0"/>
  </r>
  <r>
    <x v="143"/>
    <s v="Daria"/>
    <s v="Mikos"/>
    <n v="40"/>
    <x v="3"/>
    <n v="0"/>
  </r>
  <r>
    <x v="143"/>
    <s v="Janusz"/>
    <s v="Baka"/>
    <n v="10"/>
    <x v="3"/>
    <n v="0"/>
  </r>
  <r>
    <x v="143"/>
    <s v="Michal"/>
    <s v="Nowicki"/>
    <n v="33"/>
    <x v="3"/>
    <n v="0"/>
  </r>
  <r>
    <x v="143"/>
    <s v="Patrycja"/>
    <s v="Glowinska"/>
    <n v="15"/>
    <x v="3"/>
    <n v="1"/>
  </r>
  <r>
    <x v="144"/>
    <s v="Inka"/>
    <s v="Sochacka"/>
    <n v="12"/>
    <x v="4"/>
    <n v="0"/>
  </r>
  <r>
    <x v="144"/>
    <s v="Adam"/>
    <s v="Wata"/>
    <n v="32"/>
    <x v="4"/>
    <n v="0"/>
  </r>
  <r>
    <x v="144"/>
    <s v="Monika"/>
    <s v="Nowaczkiewicz"/>
    <n v="10"/>
    <x v="4"/>
    <n v="0"/>
  </r>
  <r>
    <x v="144"/>
    <s v="Adam"/>
    <s v="Wata"/>
    <n v="5"/>
    <x v="4"/>
    <n v="0"/>
  </r>
  <r>
    <x v="144"/>
    <s v="Nikodem"/>
    <s v="Jakubowski"/>
    <n v="28"/>
    <x v="4"/>
    <n v="0"/>
  </r>
  <r>
    <x v="144"/>
    <s v="Aleksander"/>
    <s v="Pasternak"/>
    <n v="11"/>
    <x v="4"/>
    <n v="0"/>
  </r>
  <r>
    <x v="144"/>
    <s v="Roksana"/>
    <s v="Frankowska"/>
    <n v="11"/>
    <x v="4"/>
    <n v="1"/>
  </r>
  <r>
    <x v="145"/>
    <s v="Jakub"/>
    <s v="Porydzaj"/>
    <n v="28"/>
    <x v="0"/>
    <n v="0"/>
  </r>
  <r>
    <x v="145"/>
    <s v="Maksymilian"/>
    <s v="Piwko"/>
    <n v="13"/>
    <x v="0"/>
    <n v="0"/>
  </r>
  <r>
    <x v="145"/>
    <s v="Katarzyna"/>
    <s v="Aniec"/>
    <n v="22"/>
    <x v="0"/>
    <n v="0"/>
  </r>
  <r>
    <x v="145"/>
    <s v="Marek"/>
    <s v="Sulejski"/>
    <n v="19"/>
    <x v="0"/>
    <n v="0"/>
  </r>
  <r>
    <x v="145"/>
    <s v="Jolanta"/>
    <s v="Bicz"/>
    <n v="46"/>
    <x v="0"/>
    <n v="0"/>
  </r>
  <r>
    <x v="145"/>
    <s v="Igor"/>
    <s v="Ryngwelski"/>
    <n v="17"/>
    <x v="0"/>
    <n v="0"/>
  </r>
  <r>
    <x v="145"/>
    <s v="Maria"/>
    <s v="Galas"/>
    <n v="27"/>
    <x v="0"/>
    <n v="1"/>
  </r>
  <r>
    <x v="146"/>
    <s v="Dominika"/>
    <s v="Szwec"/>
    <n v="3"/>
    <x v="1"/>
    <n v="0"/>
  </r>
  <r>
    <x v="146"/>
    <s v="Kacper"/>
    <s v="Niec"/>
    <n v="11"/>
    <x v="1"/>
    <n v="0"/>
  </r>
  <r>
    <x v="146"/>
    <s v="Kinga"/>
    <s v="Kleszcz"/>
    <n v="17"/>
    <x v="1"/>
    <n v="0"/>
  </r>
  <r>
    <x v="146"/>
    <s v="Witold"/>
    <s v="Sempa"/>
    <n v="16"/>
    <x v="1"/>
    <n v="0"/>
  </r>
  <r>
    <x v="146"/>
    <s v="Jakub"/>
    <s v="Jedruszek"/>
    <n v="25"/>
    <x v="1"/>
    <n v="0"/>
  </r>
  <r>
    <x v="146"/>
    <s v="Olgierd"/>
    <s v="Baranek"/>
    <n v="43"/>
    <x v="1"/>
    <n v="0"/>
  </r>
  <r>
    <x v="146"/>
    <s v="Grzegorz"/>
    <s v="Domek"/>
    <n v="5"/>
    <x v="1"/>
    <n v="1"/>
  </r>
  <r>
    <x v="147"/>
    <s v="Izabela"/>
    <s v="Skrzydlak"/>
    <n v="21"/>
    <x v="2"/>
    <n v="0"/>
  </r>
  <r>
    <x v="147"/>
    <s v="Irena"/>
    <s v="Banasiewicz"/>
    <n v="48"/>
    <x v="2"/>
    <n v="0"/>
  </r>
  <r>
    <x v="147"/>
    <s v="Mateusz"/>
    <s v="Hajdug"/>
    <n v="29"/>
    <x v="2"/>
    <n v="0"/>
  </r>
  <r>
    <x v="147"/>
    <s v="Luiza"/>
    <s v="Makowska"/>
    <n v="23"/>
    <x v="2"/>
    <n v="0"/>
  </r>
  <r>
    <x v="147"/>
    <s v="Dominika"/>
    <s v="Madejska"/>
    <n v="52"/>
    <x v="2"/>
    <n v="0"/>
  </r>
  <r>
    <x v="147"/>
    <s v="Ewa"/>
    <s v="Tysz"/>
    <n v="6"/>
    <x v="2"/>
    <n v="0"/>
  </r>
  <r>
    <x v="147"/>
    <s v="Kacper"/>
    <s v="Okla"/>
    <n v="29"/>
    <x v="2"/>
    <n v="1"/>
  </r>
  <r>
    <x v="148"/>
    <s v="Radoslaw"/>
    <s v="Sowinska"/>
    <n v="26"/>
    <x v="3"/>
    <n v="0"/>
  </r>
  <r>
    <x v="148"/>
    <s v="Monika"/>
    <s v="Srubka"/>
    <n v="13"/>
    <x v="3"/>
    <n v="0"/>
  </r>
  <r>
    <x v="148"/>
    <s v="Ewa"/>
    <s v="Milion"/>
    <n v="28"/>
    <x v="3"/>
    <n v="0"/>
  </r>
  <r>
    <x v="148"/>
    <s v="Kazimierz"/>
    <s v="Biedka"/>
    <n v="3"/>
    <x v="3"/>
    <n v="0"/>
  </r>
  <r>
    <x v="148"/>
    <s v="Nikodem"/>
    <s v="Jama"/>
    <n v="42"/>
    <x v="3"/>
    <n v="0"/>
  </r>
  <r>
    <x v="148"/>
    <s v="Justyna"/>
    <s v="Pozarzycka"/>
    <n v="15"/>
    <x v="3"/>
    <n v="0"/>
  </r>
  <r>
    <x v="148"/>
    <s v="Magdalena"/>
    <s v="Nowak"/>
    <n v="3"/>
    <x v="3"/>
    <n v="1"/>
  </r>
  <r>
    <x v="149"/>
    <s v="Katarzyna"/>
    <s v="Zmokly"/>
    <n v="17"/>
    <x v="4"/>
    <n v="0"/>
  </r>
  <r>
    <x v="149"/>
    <s v="Borys"/>
    <s v="Winiarski"/>
    <n v="18"/>
    <x v="4"/>
    <n v="0"/>
  </r>
  <r>
    <x v="149"/>
    <s v="Daria"/>
    <s v="Zagrobna"/>
    <n v="23"/>
    <x v="4"/>
    <n v="0"/>
  </r>
  <r>
    <x v="149"/>
    <s v="Bruno"/>
    <s v="Tomczyk"/>
    <n v="34"/>
    <x v="4"/>
    <n v="0"/>
  </r>
  <r>
    <x v="149"/>
    <s v="Dominika"/>
    <s v="Madejska"/>
    <n v="16"/>
    <x v="4"/>
    <n v="0"/>
  </r>
  <r>
    <x v="149"/>
    <s v="Michalina"/>
    <s v="Klebba"/>
    <n v="29"/>
    <x v="4"/>
    <n v="0"/>
  </r>
  <r>
    <x v="149"/>
    <s v="Bartosz"/>
    <s v="Tusinski"/>
    <n v="14"/>
    <x v="4"/>
    <n v="1"/>
  </r>
  <r>
    <x v="150"/>
    <s v="Malgorzata"/>
    <s v="Karlowski"/>
    <n v="2"/>
    <x v="0"/>
    <n v="0"/>
  </r>
  <r>
    <x v="150"/>
    <s v="Julia"/>
    <s v="Zaremba"/>
    <n v="55"/>
    <x v="0"/>
    <n v="0"/>
  </r>
  <r>
    <x v="150"/>
    <s v="Marcin"/>
    <s v="Tabaka"/>
    <n v="20"/>
    <x v="0"/>
    <n v="0"/>
  </r>
  <r>
    <x v="150"/>
    <s v="Katarzyna"/>
    <s v="Dzielna"/>
    <n v="40"/>
    <x v="0"/>
    <n v="0"/>
  </r>
  <r>
    <x v="150"/>
    <s v="Piotr"/>
    <s v="Kaleta"/>
    <n v="13"/>
    <x v="0"/>
    <n v="0"/>
  </r>
  <r>
    <x v="150"/>
    <s v="Jan"/>
    <s v="Gumowski"/>
    <n v="53"/>
    <x v="0"/>
    <n v="0"/>
  </r>
  <r>
    <x v="150"/>
    <s v="Michal"/>
    <s v="Polaczek"/>
    <n v="51"/>
    <x v="0"/>
    <n v="1"/>
  </r>
  <r>
    <x v="151"/>
    <s v="Marek"/>
    <s v="Janowski"/>
    <n v="17"/>
    <x v="1"/>
    <n v="0"/>
  </r>
  <r>
    <x v="151"/>
    <s v="Jakub"/>
    <s v="Holmes"/>
    <n v="10"/>
    <x v="1"/>
    <n v="0"/>
  </r>
  <r>
    <x v="151"/>
    <s v="Emilia"/>
    <s v="Szczepanska"/>
    <n v="24"/>
    <x v="1"/>
    <n v="0"/>
  </r>
  <r>
    <x v="151"/>
    <s v="Jacek"/>
    <s v="Ciosinski"/>
    <n v="11"/>
    <x v="1"/>
    <n v="0"/>
  </r>
  <r>
    <x v="151"/>
    <s v="Piotr"/>
    <s v="Mozart"/>
    <n v="18"/>
    <x v="1"/>
    <n v="0"/>
  </r>
  <r>
    <x v="151"/>
    <s v="Henryk"/>
    <s v="Siminski"/>
    <n v="12"/>
    <x v="1"/>
    <n v="0"/>
  </r>
  <r>
    <x v="151"/>
    <s v="Tomasz"/>
    <s v="Tutaj"/>
    <n v="8"/>
    <x v="1"/>
    <n v="1"/>
  </r>
  <r>
    <x v="152"/>
    <s v="Jacek"/>
    <s v="Pieczatowski"/>
    <n v="36"/>
    <x v="2"/>
    <n v="0"/>
  </r>
  <r>
    <x v="152"/>
    <s v="Patrycja"/>
    <s v="Augustowska"/>
    <n v="24"/>
    <x v="2"/>
    <n v="0"/>
  </r>
  <r>
    <x v="152"/>
    <s v="Michalina"/>
    <s v="Klebba"/>
    <n v="13"/>
    <x v="2"/>
    <n v="0"/>
  </r>
  <r>
    <x v="152"/>
    <s v="Wojciech"/>
    <s v="Goc"/>
    <n v="51"/>
    <x v="2"/>
    <n v="0"/>
  </r>
  <r>
    <x v="152"/>
    <s v="Aleks"/>
    <s v="Wojcik"/>
    <n v="31"/>
    <x v="2"/>
    <n v="0"/>
  </r>
  <r>
    <x v="152"/>
    <s v="Adam"/>
    <s v="Susel"/>
    <n v="17"/>
    <x v="2"/>
    <n v="0"/>
  </r>
  <r>
    <x v="152"/>
    <s v="Tomasz"/>
    <s v="Zbik"/>
    <n v="6"/>
    <x v="2"/>
    <n v="1"/>
  </r>
  <r>
    <x v="153"/>
    <s v="Zenon"/>
    <s v="Bartek"/>
    <n v="47"/>
    <x v="3"/>
    <n v="0"/>
  </r>
  <r>
    <x v="153"/>
    <s v="Gabriela"/>
    <s v="Malinowska"/>
    <n v="52"/>
    <x v="3"/>
    <n v="0"/>
  </r>
  <r>
    <x v="153"/>
    <s v="Tomasz"/>
    <s v="Hajdi"/>
    <n v="10"/>
    <x v="3"/>
    <n v="0"/>
  </r>
  <r>
    <x v="153"/>
    <s v="Agnieszka"/>
    <s v="Bujak"/>
    <n v="3"/>
    <x v="3"/>
    <n v="0"/>
  </r>
  <r>
    <x v="153"/>
    <s v="Renata"/>
    <s v="Kepa"/>
    <n v="10"/>
    <x v="3"/>
    <n v="0"/>
  </r>
  <r>
    <x v="153"/>
    <s v="Lucja"/>
    <s v="Zych"/>
    <n v="15"/>
    <x v="3"/>
    <n v="0"/>
  </r>
  <r>
    <x v="153"/>
    <s v="Malgorzata"/>
    <s v="Winiarska"/>
    <n v="26"/>
    <x v="3"/>
    <n v="1"/>
  </r>
  <r>
    <x v="154"/>
    <s v="Jan"/>
    <s v="Zajac"/>
    <n v="41"/>
    <x v="4"/>
    <n v="0"/>
  </r>
  <r>
    <x v="154"/>
    <s v="Zuzanna"/>
    <s v="Kalisz"/>
    <n v="20"/>
    <x v="4"/>
    <n v="0"/>
  </r>
  <r>
    <x v="154"/>
    <s v="Maria"/>
    <s v="Kowalczyk"/>
    <n v="9"/>
    <x v="4"/>
    <n v="0"/>
  </r>
  <r>
    <x v="154"/>
    <s v="Paulina"/>
    <s v="Baranowska"/>
    <n v="14"/>
    <x v="4"/>
    <n v="0"/>
  </r>
  <r>
    <x v="154"/>
    <s v="Mariusz"/>
    <s v="Mrowiec"/>
    <n v="14"/>
    <x v="4"/>
    <n v="0"/>
  </r>
  <r>
    <x v="154"/>
    <s v="Michal"/>
    <s v="Jan"/>
    <n v="16"/>
    <x v="4"/>
    <n v="0"/>
  </r>
  <r>
    <x v="154"/>
    <s v="Szymon"/>
    <s v="Polak"/>
    <n v="54"/>
    <x v="4"/>
    <n v="1"/>
  </r>
  <r>
    <x v="155"/>
    <s v="Alicja"/>
    <s v="Walentowicz"/>
    <n v="11"/>
    <x v="0"/>
    <n v="0"/>
  </r>
  <r>
    <x v="155"/>
    <s v="Nadia"/>
    <s v="Jędrzejczak"/>
    <n v="6"/>
    <x v="0"/>
    <n v="0"/>
  </r>
  <r>
    <x v="155"/>
    <s v="Jan"/>
    <s v="Pieterson"/>
    <n v="19"/>
    <x v="0"/>
    <n v="0"/>
  </r>
  <r>
    <x v="155"/>
    <s v="Lukasz"/>
    <s v="Kot"/>
    <n v="13"/>
    <x v="0"/>
    <n v="0"/>
  </r>
  <r>
    <x v="155"/>
    <s v="Andrzej"/>
    <s v="Nawwrot"/>
    <n v="35"/>
    <x v="0"/>
    <n v="0"/>
  </r>
  <r>
    <x v="155"/>
    <s v="Jan"/>
    <s v="Gumowski"/>
    <n v="14"/>
    <x v="0"/>
    <n v="0"/>
  </r>
  <r>
    <x v="155"/>
    <s v="Lena"/>
    <s v="Marzec"/>
    <n v="7"/>
    <x v="0"/>
    <n v="1"/>
  </r>
  <r>
    <x v="156"/>
    <s v="Joanna"/>
    <s v="Janas"/>
    <n v="54"/>
    <x v="1"/>
    <n v="0"/>
  </r>
  <r>
    <x v="156"/>
    <s v="Agnieszka"/>
    <s v="Polak"/>
    <n v="11"/>
    <x v="1"/>
    <n v="0"/>
  </r>
  <r>
    <x v="156"/>
    <s v="Jan"/>
    <s v="Kildanowski"/>
    <n v="8"/>
    <x v="1"/>
    <n v="0"/>
  </r>
  <r>
    <x v="156"/>
    <s v="Matylda"/>
    <s v="Kluziak"/>
    <n v="3"/>
    <x v="1"/>
    <n v="0"/>
  </r>
  <r>
    <x v="156"/>
    <s v="Lukasz"/>
    <s v="Czarnecki"/>
    <n v="2"/>
    <x v="1"/>
    <n v="0"/>
  </r>
  <r>
    <x v="156"/>
    <s v="Karol"/>
    <s v="Milek"/>
    <n v="25"/>
    <x v="1"/>
    <n v="0"/>
  </r>
  <r>
    <x v="156"/>
    <s v="Matylda"/>
    <s v="Kluziak"/>
    <n v="44"/>
    <x v="1"/>
    <n v="1"/>
  </r>
  <r>
    <x v="157"/>
    <s v="Marian"/>
    <s v="Bukalski"/>
    <n v="13"/>
    <x v="2"/>
    <n v="0"/>
  </r>
  <r>
    <x v="157"/>
    <s v="Karol"/>
    <s v="Wichrowski"/>
    <n v="44"/>
    <x v="2"/>
    <n v="0"/>
  </r>
  <r>
    <x v="157"/>
    <s v="Monika"/>
    <s v="Bialkowska"/>
    <n v="21"/>
    <x v="2"/>
    <n v="0"/>
  </r>
  <r>
    <x v="157"/>
    <s v="Ewa"/>
    <s v="Czerwinska"/>
    <n v="4"/>
    <x v="2"/>
    <n v="0"/>
  </r>
  <r>
    <x v="157"/>
    <s v="Wojciech"/>
    <s v="Czyzewski"/>
    <n v="6"/>
    <x v="2"/>
    <n v="0"/>
  </r>
  <r>
    <x v="157"/>
    <s v="Karol"/>
    <s v="Felisiak"/>
    <n v="17"/>
    <x v="2"/>
    <n v="0"/>
  </r>
  <r>
    <x v="157"/>
    <s v="Patryk"/>
    <s v="Geszczynski"/>
    <n v="12"/>
    <x v="2"/>
    <n v="1"/>
  </r>
  <r>
    <x v="158"/>
    <s v="Joanna"/>
    <s v="Kopacki"/>
    <n v="21"/>
    <x v="3"/>
    <n v="0"/>
  </r>
  <r>
    <x v="158"/>
    <s v="Amelia"/>
    <s v="Wilk"/>
    <n v="12"/>
    <x v="3"/>
    <n v="0"/>
  </r>
  <r>
    <x v="158"/>
    <s v="Adrian"/>
    <s v="Yuksek"/>
    <n v="54"/>
    <x v="3"/>
    <n v="0"/>
  </r>
  <r>
    <x v="158"/>
    <s v="Krzysztof"/>
    <s v="Sobieski"/>
    <n v="11"/>
    <x v="3"/>
    <n v="0"/>
  </r>
  <r>
    <x v="158"/>
    <s v="Jakub"/>
    <s v="Radomski"/>
    <n v="47"/>
    <x v="3"/>
    <n v="0"/>
  </r>
  <r>
    <x v="158"/>
    <s v="Hubert"/>
    <s v="Pieczatowski"/>
    <n v="55"/>
    <x v="3"/>
    <n v="0"/>
  </r>
  <r>
    <x v="158"/>
    <s v="Patryk"/>
    <s v="Glac"/>
    <n v="24"/>
    <x v="3"/>
    <n v="1"/>
  </r>
  <r>
    <x v="159"/>
    <s v="Balbina"/>
    <s v="Majewska"/>
    <n v="3"/>
    <x v="4"/>
    <n v="0"/>
  </r>
  <r>
    <x v="159"/>
    <s v="Jakub"/>
    <s v="Bracik"/>
    <n v="15"/>
    <x v="4"/>
    <n v="0"/>
  </r>
  <r>
    <x v="159"/>
    <s v="Marcin"/>
    <s v="Markowski"/>
    <n v="15"/>
    <x v="4"/>
    <n v="0"/>
  </r>
  <r>
    <x v="159"/>
    <s v="Julia"/>
    <s v="Rutkiewicz"/>
    <n v="27"/>
    <x v="4"/>
    <n v="0"/>
  </r>
  <r>
    <x v="159"/>
    <s v="Anna"/>
    <s v="Wnuk"/>
    <n v="31"/>
    <x v="4"/>
    <n v="0"/>
  </r>
  <r>
    <x v="159"/>
    <s v="Krzysztof"/>
    <s v="Las"/>
    <n v="7"/>
    <x v="4"/>
    <n v="0"/>
  </r>
  <r>
    <x v="159"/>
    <s v="Julian"/>
    <s v="Snopek"/>
    <n v="20"/>
    <x v="4"/>
    <n v="0"/>
  </r>
  <r>
    <x v="159"/>
    <s v="Piotr"/>
    <s v="Walec"/>
    <n v="30"/>
    <x v="4"/>
    <n v="1"/>
  </r>
  <r>
    <x v="160"/>
    <s v="Leon"/>
    <s v="Price"/>
    <n v="22"/>
    <x v="0"/>
    <n v="0"/>
  </r>
  <r>
    <x v="160"/>
    <s v="Daria"/>
    <s v="Witkowska"/>
    <n v="44"/>
    <x v="0"/>
    <n v="0"/>
  </r>
  <r>
    <x v="160"/>
    <s v="Barbara"/>
    <s v="Bury"/>
    <n v="5"/>
    <x v="0"/>
    <n v="0"/>
  </r>
  <r>
    <x v="160"/>
    <s v="Zuzanna"/>
    <s v="Kalisz"/>
    <n v="3"/>
    <x v="0"/>
    <n v="0"/>
  </r>
  <r>
    <x v="160"/>
    <s v="Wojciech"/>
    <s v="Maja"/>
    <n v="6"/>
    <x v="0"/>
    <n v="0"/>
  </r>
  <r>
    <x v="160"/>
    <s v="Maciej"/>
    <s v="Laskowski"/>
    <n v="12"/>
    <x v="0"/>
    <n v="0"/>
  </r>
  <r>
    <x v="160"/>
    <s v="Jacek"/>
    <s v="Ciosinski"/>
    <n v="5"/>
    <x v="0"/>
    <n v="0"/>
  </r>
  <r>
    <x v="160"/>
    <s v="Mariusz"/>
    <s v="Kornik"/>
    <n v="6"/>
    <x v="0"/>
    <n v="1"/>
  </r>
  <r>
    <x v="161"/>
    <s v="Maciej"/>
    <s v="Machalski"/>
    <n v="29"/>
    <x v="1"/>
    <n v="0"/>
  </r>
  <r>
    <x v="161"/>
    <s v="Anna"/>
    <s v="Tomaszewska"/>
    <n v="46"/>
    <x v="1"/>
    <n v="0"/>
  </r>
  <r>
    <x v="161"/>
    <s v="Zofia"/>
    <s v="Barak"/>
    <n v="20"/>
    <x v="1"/>
    <n v="0"/>
  </r>
  <r>
    <x v="161"/>
    <s v="Marek"/>
    <s v="Chorzowski"/>
    <n v="28"/>
    <x v="1"/>
    <n v="0"/>
  </r>
  <r>
    <x v="161"/>
    <s v="Urszula"/>
    <s v="Pawlak"/>
    <n v="5"/>
    <x v="1"/>
    <n v="0"/>
  </r>
  <r>
    <x v="161"/>
    <s v="Ewa"/>
    <s v="Zak"/>
    <n v="12"/>
    <x v="1"/>
    <n v="0"/>
  </r>
  <r>
    <x v="161"/>
    <s v="Patrycja"/>
    <s v="Dzban"/>
    <n v="29"/>
    <x v="1"/>
    <n v="0"/>
  </r>
  <r>
    <x v="161"/>
    <s v="Marta"/>
    <s v="Wloczkow"/>
    <n v="14"/>
    <x v="1"/>
    <n v="1"/>
  </r>
  <r>
    <x v="162"/>
    <s v="Iwona"/>
    <s v="Anczyk"/>
    <n v="29"/>
    <x v="2"/>
    <n v="0"/>
  </r>
  <r>
    <x v="162"/>
    <s v="Grzegorz"/>
    <s v="Domek"/>
    <n v="15"/>
    <x v="2"/>
    <n v="0"/>
  </r>
  <r>
    <x v="162"/>
    <s v="Piotr"/>
    <s v="Adamski"/>
    <n v="35"/>
    <x v="2"/>
    <n v="0"/>
  </r>
  <r>
    <x v="162"/>
    <s v="Aleks"/>
    <s v="Wojcik"/>
    <n v="28"/>
    <x v="2"/>
    <n v="0"/>
  </r>
  <r>
    <x v="162"/>
    <s v="Zenon"/>
    <s v="Bartek"/>
    <n v="3"/>
    <x v="2"/>
    <n v="0"/>
  </r>
  <r>
    <x v="162"/>
    <s v="Lena"/>
    <s v="Miszkin"/>
    <n v="49"/>
    <x v="2"/>
    <n v="0"/>
  </r>
  <r>
    <x v="162"/>
    <s v="Diana"/>
    <s v="Michalska"/>
    <n v="21"/>
    <x v="2"/>
    <n v="0"/>
  </r>
  <r>
    <x v="162"/>
    <s v="Jan"/>
    <s v="Adamowicz"/>
    <n v="43"/>
    <x v="2"/>
    <n v="1"/>
  </r>
  <r>
    <x v="163"/>
    <s v="Wojciech"/>
    <s v="Maja"/>
    <n v="6"/>
    <x v="3"/>
    <n v="0"/>
  </r>
  <r>
    <x v="163"/>
    <s v="Piotr"/>
    <s v="Felus"/>
    <n v="10"/>
    <x v="3"/>
    <n v="0"/>
  </r>
  <r>
    <x v="163"/>
    <s v="Mateusz"/>
    <s v="Kowalczyk"/>
    <n v="7"/>
    <x v="3"/>
    <n v="0"/>
  </r>
  <r>
    <x v="163"/>
    <s v="Alicja"/>
    <s v="Chmiel"/>
    <n v="7"/>
    <x v="3"/>
    <n v="0"/>
  </r>
  <r>
    <x v="163"/>
    <s v="Natalia"/>
    <s v="Wolny"/>
    <n v="22"/>
    <x v="3"/>
    <n v="0"/>
  </r>
  <r>
    <x v="163"/>
    <s v="Zofia"/>
    <s v="Broszkow"/>
    <n v="36"/>
    <x v="3"/>
    <n v="0"/>
  </r>
  <r>
    <x v="163"/>
    <s v="Pawel"/>
    <s v="Nowakowski"/>
    <n v="13"/>
    <x v="3"/>
    <n v="0"/>
  </r>
  <r>
    <x v="163"/>
    <s v="Jacek"/>
    <s v="Ciosinski"/>
    <n v="14"/>
    <x v="3"/>
    <n v="1"/>
  </r>
  <r>
    <x v="164"/>
    <s v="Krzysztof"/>
    <s v="Wloch"/>
    <n v="6"/>
    <x v="4"/>
    <n v="0"/>
  </r>
  <r>
    <x v="164"/>
    <s v="Karolina"/>
    <s v="Karpacka"/>
    <n v="11"/>
    <x v="4"/>
    <n v="0"/>
  </r>
  <r>
    <x v="164"/>
    <s v="Mariusz"/>
    <s v="Kornik"/>
    <n v="22"/>
    <x v="4"/>
    <n v="0"/>
  </r>
  <r>
    <x v="164"/>
    <s v="Marek"/>
    <s v="Bednarski"/>
    <n v="56"/>
    <x v="4"/>
    <n v="0"/>
  </r>
  <r>
    <x v="164"/>
    <s v="Anna"/>
    <s v="Zaczyk"/>
    <n v="55"/>
    <x v="4"/>
    <n v="0"/>
  </r>
  <r>
    <x v="164"/>
    <s v="Kinga"/>
    <s v="Kleszcz"/>
    <n v="45"/>
    <x v="4"/>
    <n v="0"/>
  </r>
  <r>
    <x v="164"/>
    <s v="Adrian"/>
    <s v="Yuksek"/>
    <n v="12"/>
    <x v="4"/>
    <n v="0"/>
  </r>
  <r>
    <x v="164"/>
    <s v="Karol"/>
    <s v="Felisiak"/>
    <n v="20"/>
    <x v="4"/>
    <n v="1"/>
  </r>
  <r>
    <x v="165"/>
    <s v="Ignacy"/>
    <s v="Sarnowski"/>
    <n v="8"/>
    <x v="0"/>
    <n v="0"/>
  </r>
  <r>
    <x v="165"/>
    <s v="Piotr"/>
    <s v="Dzierzak"/>
    <n v="33"/>
    <x v="0"/>
    <n v="0"/>
  </r>
  <r>
    <x v="165"/>
    <s v="Marta"/>
    <s v="Wloczkow"/>
    <n v="9"/>
    <x v="0"/>
    <n v="0"/>
  </r>
  <r>
    <x v="165"/>
    <s v="Protazy"/>
    <s v="Warszawski"/>
    <n v="52"/>
    <x v="0"/>
    <n v="0"/>
  </r>
  <r>
    <x v="165"/>
    <s v="Monika"/>
    <s v="Kos"/>
    <n v="48"/>
    <x v="0"/>
    <n v="0"/>
  </r>
  <r>
    <x v="165"/>
    <s v="Gabriela"/>
    <s v="Oleszkiewicz"/>
    <n v="40"/>
    <x v="0"/>
    <n v="0"/>
  </r>
  <r>
    <x v="165"/>
    <s v="Karol"/>
    <s v="Hubicki"/>
    <n v="52"/>
    <x v="0"/>
    <n v="0"/>
  </r>
  <r>
    <x v="165"/>
    <s v="Paulina"/>
    <s v="Baranowska"/>
    <n v="34"/>
    <x v="0"/>
    <n v="1"/>
  </r>
  <r>
    <x v="166"/>
    <s v="Kazimierz"/>
    <s v="Biedka"/>
    <n v="2"/>
    <x v="1"/>
    <n v="0"/>
  </r>
  <r>
    <x v="166"/>
    <s v="Julia"/>
    <s v="Rutkiewicz"/>
    <n v="9"/>
    <x v="1"/>
    <n v="0"/>
  </r>
  <r>
    <x v="166"/>
    <s v="Mateusz"/>
    <s v="Krawczyk"/>
    <n v="24"/>
    <x v="1"/>
    <n v="0"/>
  </r>
  <r>
    <x v="166"/>
    <s v="Anastazja"/>
    <s v="Borowska"/>
    <n v="28"/>
    <x v="1"/>
    <n v="0"/>
  </r>
  <r>
    <x v="166"/>
    <s v="Sofia"/>
    <s v="Felisiak"/>
    <n v="16"/>
    <x v="1"/>
    <n v="0"/>
  </r>
  <r>
    <x v="166"/>
    <s v="Emilia"/>
    <s v="Szczepanska"/>
    <n v="19"/>
    <x v="1"/>
    <n v="0"/>
  </r>
  <r>
    <x v="166"/>
    <s v="Maciej"/>
    <s v="Laskowski"/>
    <n v="26"/>
    <x v="1"/>
    <n v="0"/>
  </r>
  <r>
    <x v="166"/>
    <s v="Maciej"/>
    <s v="Machol"/>
    <n v="29"/>
    <x v="1"/>
    <n v="1"/>
  </r>
  <r>
    <x v="167"/>
    <s v="Joanna"/>
    <s v="Traugut"/>
    <n v="51"/>
    <x v="2"/>
    <n v="0"/>
  </r>
  <r>
    <x v="167"/>
    <s v="Wieslawa"/>
    <s v="Koniec"/>
    <n v="25"/>
    <x v="2"/>
    <n v="0"/>
  </r>
  <r>
    <x v="167"/>
    <s v="Alicja"/>
    <s v="Wymyslowska"/>
    <n v="33"/>
    <x v="2"/>
    <n v="0"/>
  </r>
  <r>
    <x v="167"/>
    <s v="Henryk"/>
    <s v="Polarek"/>
    <n v="18"/>
    <x v="2"/>
    <n v="0"/>
  </r>
  <r>
    <x v="167"/>
    <s v="Paulina"/>
    <s v="Baranowska"/>
    <n v="19"/>
    <x v="2"/>
    <n v="0"/>
  </r>
  <r>
    <x v="167"/>
    <s v="Maciej"/>
    <s v="Machalski"/>
    <n v="42"/>
    <x v="2"/>
    <n v="0"/>
  </r>
  <r>
    <x v="167"/>
    <s v="Maciej"/>
    <s v="Machol"/>
    <n v="15"/>
    <x v="2"/>
    <n v="0"/>
  </r>
  <r>
    <x v="167"/>
    <s v="Lidia"/>
    <s v="Tarnowska"/>
    <n v="15"/>
    <x v="2"/>
    <n v="1"/>
  </r>
  <r>
    <x v="168"/>
    <s v="Dorota"/>
    <s v="Adamus"/>
    <n v="3"/>
    <x v="3"/>
    <n v="0"/>
  </r>
  <r>
    <x v="168"/>
    <s v="Alina"/>
    <s v="Warta"/>
    <n v="13"/>
    <x v="3"/>
    <n v="0"/>
  </r>
  <r>
    <x v="168"/>
    <s v="Kacper"/>
    <s v="Nikolajew"/>
    <n v="27"/>
    <x v="3"/>
    <n v="0"/>
  </r>
  <r>
    <x v="168"/>
    <s v="Jacek"/>
    <s v="Bigaj"/>
    <n v="18"/>
    <x v="3"/>
    <n v="0"/>
  </r>
  <r>
    <x v="168"/>
    <s v="Zofia"/>
    <s v="Adamiak"/>
    <n v="42"/>
    <x v="3"/>
    <n v="0"/>
  </r>
  <r>
    <x v="168"/>
    <s v="Kamila"/>
    <s v="Wolan"/>
    <n v="9"/>
    <x v="3"/>
    <n v="0"/>
  </r>
  <r>
    <x v="168"/>
    <s v="Jan"/>
    <s v="Gumowski"/>
    <n v="22"/>
    <x v="3"/>
    <n v="0"/>
  </r>
  <r>
    <x v="168"/>
    <s v="Julia"/>
    <s v="Saska"/>
    <n v="47"/>
    <x v="3"/>
    <n v="1"/>
  </r>
  <r>
    <x v="169"/>
    <s v="Gabriela"/>
    <s v="Oleszkiewicz"/>
    <n v="55"/>
    <x v="4"/>
    <n v="0"/>
  </r>
  <r>
    <x v="169"/>
    <s v="Marta"/>
    <s v="Robak"/>
    <n v="9"/>
    <x v="4"/>
    <n v="0"/>
  </r>
  <r>
    <x v="169"/>
    <s v="Maja"/>
    <s v="Kulkowska"/>
    <n v="27"/>
    <x v="4"/>
    <n v="0"/>
  </r>
  <r>
    <x v="169"/>
    <s v="Ewelina"/>
    <s v="Bialkowska"/>
    <n v="11"/>
    <x v="4"/>
    <n v="0"/>
  </r>
  <r>
    <x v="169"/>
    <s v="Jakub"/>
    <s v="Bracik"/>
    <n v="42"/>
    <x v="4"/>
    <n v="0"/>
  </r>
  <r>
    <x v="169"/>
    <s v="Dominika"/>
    <s v="Duszynska"/>
    <n v="8"/>
    <x v="4"/>
    <n v="0"/>
  </r>
  <r>
    <x v="169"/>
    <s v="Adela"/>
    <s v="Waruszewska"/>
    <n v="39"/>
    <x v="4"/>
    <n v="0"/>
  </r>
  <r>
    <x v="169"/>
    <s v="Karolina"/>
    <s v="Mikos"/>
    <n v="26"/>
    <x v="4"/>
    <n v="1"/>
  </r>
  <r>
    <x v="170"/>
    <s v="Daria"/>
    <s v="Zagrobna"/>
    <n v="28"/>
    <x v="0"/>
    <n v="0"/>
  </r>
  <r>
    <x v="170"/>
    <s v="Jaroslaw"/>
    <s v="Kopytko"/>
    <n v="40"/>
    <x v="0"/>
    <n v="0"/>
  </r>
  <r>
    <x v="170"/>
    <s v="Igor"/>
    <s v="Rybinski"/>
    <n v="17"/>
    <x v="0"/>
    <n v="0"/>
  </r>
  <r>
    <x v="170"/>
    <s v="Zbigniew"/>
    <s v="Maciag"/>
    <n v="2"/>
    <x v="0"/>
    <n v="0"/>
  </r>
  <r>
    <x v="170"/>
    <s v="Lena"/>
    <s v="Marzec"/>
    <n v="22"/>
    <x v="0"/>
    <n v="0"/>
  </r>
  <r>
    <x v="170"/>
    <s v="Jakub"/>
    <s v="Bracik"/>
    <n v="18"/>
    <x v="0"/>
    <n v="0"/>
  </r>
  <r>
    <x v="170"/>
    <s v="Jan"/>
    <s v="Jarek"/>
    <n v="35"/>
    <x v="0"/>
    <n v="0"/>
  </r>
  <r>
    <x v="170"/>
    <s v="Malgorzata"/>
    <s v="Winiarska"/>
    <n v="7"/>
    <x v="0"/>
    <n v="0"/>
  </r>
  <r>
    <x v="170"/>
    <s v="Kamila"/>
    <s v="Janas"/>
    <n v="12"/>
    <x v="0"/>
    <n v="0"/>
  </r>
  <r>
    <x v="170"/>
    <s v="Mariola"/>
    <s v="Mleczko"/>
    <n v="32"/>
    <x v="0"/>
    <n v="1"/>
  </r>
  <r>
    <x v="171"/>
    <s v="Zuzanna"/>
    <s v="Kalisz"/>
    <n v="22"/>
    <x v="1"/>
    <n v="0"/>
  </r>
  <r>
    <x v="171"/>
    <s v="Mateusz"/>
    <s v="Koszlaga"/>
    <n v="25"/>
    <x v="1"/>
    <n v="0"/>
  </r>
  <r>
    <x v="171"/>
    <s v="Amelia"/>
    <s v="Wicher"/>
    <n v="25"/>
    <x v="1"/>
    <n v="0"/>
  </r>
  <r>
    <x v="171"/>
    <s v="Wiktor"/>
    <s v="Berezniewicz"/>
    <n v="6"/>
    <x v="1"/>
    <n v="0"/>
  </r>
  <r>
    <x v="171"/>
    <s v="Antoni"/>
    <s v="Sobieski"/>
    <n v="50"/>
    <x v="1"/>
    <n v="0"/>
  </r>
  <r>
    <x v="171"/>
    <s v="Hubert"/>
    <s v="Smyk"/>
    <n v="16"/>
    <x v="1"/>
    <n v="0"/>
  </r>
  <r>
    <x v="171"/>
    <s v="Marcin"/>
    <s v="Tabaka"/>
    <n v="23"/>
    <x v="1"/>
    <n v="0"/>
  </r>
  <r>
    <x v="171"/>
    <s v="Jan"/>
    <s v="Madawik"/>
    <n v="7"/>
    <x v="1"/>
    <n v="0"/>
  </r>
  <r>
    <x v="171"/>
    <s v="Kazimierz"/>
    <s v="Bartosik"/>
    <n v="6"/>
    <x v="1"/>
    <n v="0"/>
  </r>
  <r>
    <x v="171"/>
    <s v="Pawel"/>
    <s v="Nowakowski"/>
    <n v="44"/>
    <x v="1"/>
    <n v="1"/>
  </r>
  <r>
    <x v="172"/>
    <s v="Barbara"/>
    <s v="Kiel"/>
    <n v="33"/>
    <x v="2"/>
    <n v="0"/>
  </r>
  <r>
    <x v="172"/>
    <s v="Andrzej"/>
    <s v="Nawwrot"/>
    <n v="26"/>
    <x v="2"/>
    <n v="0"/>
  </r>
  <r>
    <x v="172"/>
    <s v="Jakub"/>
    <s v="Radomski"/>
    <n v="18"/>
    <x v="2"/>
    <n v="0"/>
  </r>
  <r>
    <x v="172"/>
    <s v="Balbina"/>
    <s v="Madej"/>
    <n v="5"/>
    <x v="2"/>
    <n v="0"/>
  </r>
  <r>
    <x v="172"/>
    <s v="Krzysztof"/>
    <s v="Plecien"/>
    <n v="4"/>
    <x v="2"/>
    <n v="0"/>
  </r>
  <r>
    <x v="172"/>
    <s v="Julia"/>
    <s v="Kielecka"/>
    <n v="4"/>
    <x v="2"/>
    <n v="0"/>
  </r>
  <r>
    <x v="172"/>
    <s v="Jakub"/>
    <s v="Holmes"/>
    <n v="43"/>
    <x v="2"/>
    <n v="0"/>
  </r>
  <r>
    <x v="172"/>
    <s v="Hanna"/>
    <s v="Stankiewicz"/>
    <n v="48"/>
    <x v="2"/>
    <n v="0"/>
  </r>
  <r>
    <x v="172"/>
    <s v="Luiza"/>
    <s v="Makowska"/>
    <n v="12"/>
    <x v="2"/>
    <n v="0"/>
  </r>
  <r>
    <x v="172"/>
    <s v="Ewaryst"/>
    <s v="Zdunek"/>
    <n v="21"/>
    <x v="2"/>
    <n v="1"/>
  </r>
  <r>
    <x v="173"/>
    <s v="Jakub"/>
    <s v="Przytula"/>
    <n v="21"/>
    <x v="3"/>
    <n v="0"/>
  </r>
  <r>
    <x v="173"/>
    <s v="Piotr"/>
    <s v="Kaleta"/>
    <n v="2"/>
    <x v="3"/>
    <n v="0"/>
  </r>
  <r>
    <x v="173"/>
    <s v="Jan"/>
    <s v="Pietraszczyk"/>
    <n v="14"/>
    <x v="3"/>
    <n v="0"/>
  </r>
  <r>
    <x v="173"/>
    <s v="Bartosz"/>
    <s v="Tusinski"/>
    <n v="26"/>
    <x v="3"/>
    <n v="0"/>
  </r>
  <r>
    <x v="173"/>
    <s v="Mateusz"/>
    <s v="Filipowicz"/>
    <n v="44"/>
    <x v="3"/>
    <n v="0"/>
  </r>
  <r>
    <x v="173"/>
    <s v="Dominika"/>
    <s v="Szwec"/>
    <n v="31"/>
    <x v="3"/>
    <n v="0"/>
  </r>
  <r>
    <x v="173"/>
    <s v="Adrian"/>
    <s v="Yuksek"/>
    <n v="29"/>
    <x v="3"/>
    <n v="0"/>
  </r>
  <r>
    <x v="173"/>
    <s v="Jakub"/>
    <s v="Holmes"/>
    <n v="13"/>
    <x v="3"/>
    <n v="0"/>
  </r>
  <r>
    <x v="173"/>
    <s v="Olga"/>
    <s v="Kilecka"/>
    <n v="28"/>
    <x v="3"/>
    <n v="0"/>
  </r>
  <r>
    <x v="173"/>
    <s v="Alicja"/>
    <s v="Chmiel"/>
    <n v="23"/>
    <x v="3"/>
    <n v="1"/>
  </r>
  <r>
    <x v="174"/>
    <s v="Patrycja"/>
    <s v="Glowinska"/>
    <n v="5"/>
    <x v="4"/>
    <n v="0"/>
  </r>
  <r>
    <x v="174"/>
    <s v="Patryk"/>
    <s v="Gibas"/>
    <n v="16"/>
    <x v="4"/>
    <n v="0"/>
  </r>
  <r>
    <x v="174"/>
    <s v="Anastazja"/>
    <s v="Borowska"/>
    <n v="21"/>
    <x v="4"/>
    <n v="0"/>
  </r>
  <r>
    <x v="174"/>
    <s v="Olga"/>
    <s v="Kilecka"/>
    <n v="46"/>
    <x v="4"/>
    <n v="0"/>
  </r>
  <r>
    <x v="174"/>
    <s v="Mikolaj"/>
    <s v="Beniuszys"/>
    <n v="39"/>
    <x v="4"/>
    <n v="0"/>
  </r>
  <r>
    <x v="174"/>
    <s v="Malgorzata"/>
    <s v="Malec"/>
    <n v="18"/>
    <x v="4"/>
    <n v="0"/>
  </r>
  <r>
    <x v="174"/>
    <s v="Waldemar"/>
    <s v="Koronski"/>
    <n v="47"/>
    <x v="4"/>
    <n v="0"/>
  </r>
  <r>
    <x v="174"/>
    <s v="Wojciech"/>
    <s v="Katowicki"/>
    <n v="23"/>
    <x v="4"/>
    <n v="0"/>
  </r>
  <r>
    <x v="174"/>
    <s v="Patryk"/>
    <s v="Glac"/>
    <n v="27"/>
    <x v="4"/>
    <n v="0"/>
  </r>
  <r>
    <x v="174"/>
    <s v="Borys"/>
    <s v="Biedal"/>
    <n v="25"/>
    <x v="4"/>
    <n v="1"/>
  </r>
  <r>
    <x v="175"/>
    <s v="Marcel"/>
    <s v="Lademann"/>
    <n v="23"/>
    <x v="0"/>
    <n v="0"/>
  </r>
  <r>
    <x v="175"/>
    <s v="Ignacy"/>
    <s v="Sarnowski"/>
    <n v="25"/>
    <x v="0"/>
    <n v="0"/>
  </r>
  <r>
    <x v="175"/>
    <s v="Jakub"/>
    <s v="Przytula"/>
    <n v="16"/>
    <x v="0"/>
    <n v="0"/>
  </r>
  <r>
    <x v="175"/>
    <s v="Adam"/>
    <s v="Borkowski"/>
    <n v="29"/>
    <x v="0"/>
    <n v="0"/>
  </r>
  <r>
    <x v="175"/>
    <s v="Martyna"/>
    <s v="Marmelowska"/>
    <n v="23"/>
    <x v="0"/>
    <n v="0"/>
  </r>
  <r>
    <x v="175"/>
    <s v="Marek"/>
    <s v="Bednarski"/>
    <n v="25"/>
    <x v="0"/>
    <n v="0"/>
  </r>
  <r>
    <x v="175"/>
    <s v="Janusz"/>
    <s v="Wrobel"/>
    <n v="14"/>
    <x v="0"/>
    <n v="0"/>
  </r>
  <r>
    <x v="175"/>
    <s v="Jaroslaw"/>
    <s v="Kopiec"/>
    <n v="20"/>
    <x v="0"/>
    <n v="0"/>
  </r>
  <r>
    <x v="175"/>
    <s v="Izabela"/>
    <s v="Skrzydlak"/>
    <n v="12"/>
    <x v="0"/>
    <n v="0"/>
  </r>
  <r>
    <x v="175"/>
    <s v="Mateusz"/>
    <s v="Hajdug"/>
    <n v="2"/>
    <x v="0"/>
    <n v="1"/>
  </r>
  <r>
    <x v="176"/>
    <s v="Julia"/>
    <s v="Riegel"/>
    <n v="53"/>
    <x v="1"/>
    <n v="0"/>
  </r>
  <r>
    <x v="176"/>
    <s v="Kamila"/>
    <s v="Kot"/>
    <n v="20"/>
    <x v="1"/>
    <n v="0"/>
  </r>
  <r>
    <x v="176"/>
    <s v="Eugenia"/>
    <s v="Pieta"/>
    <n v="4"/>
    <x v="1"/>
    <n v="0"/>
  </r>
  <r>
    <x v="176"/>
    <s v="Joanna"/>
    <s v="Zygmunt"/>
    <n v="5"/>
    <x v="1"/>
    <n v="0"/>
  </r>
  <r>
    <x v="176"/>
    <s v="Julia"/>
    <s v="Kielecka"/>
    <n v="36"/>
    <x v="1"/>
    <n v="0"/>
  </r>
  <r>
    <x v="176"/>
    <s v="Nikodem"/>
    <s v="Jakubowski"/>
    <n v="23"/>
    <x v="1"/>
    <n v="0"/>
  </r>
  <r>
    <x v="176"/>
    <s v="Stanislaw"/>
    <s v="Derek"/>
    <n v="6"/>
    <x v="1"/>
    <n v="0"/>
  </r>
  <r>
    <x v="176"/>
    <s v="Dominika"/>
    <s v="Duszynska"/>
    <n v="43"/>
    <x v="1"/>
    <n v="0"/>
  </r>
  <r>
    <x v="176"/>
    <s v="Teodor"/>
    <s v="Olszewski"/>
    <n v="11"/>
    <x v="1"/>
    <n v="0"/>
  </r>
  <r>
    <x v="176"/>
    <s v="Adrian"/>
    <s v="Zawisza"/>
    <n v="9"/>
    <x v="1"/>
    <n v="1"/>
  </r>
  <r>
    <x v="177"/>
    <s v="Krzysztof"/>
    <s v="Konieckiewicz"/>
    <n v="15"/>
    <x v="2"/>
    <n v="0"/>
  </r>
  <r>
    <x v="177"/>
    <s v="Irena"/>
    <s v="Banasiewicz"/>
    <n v="2"/>
    <x v="2"/>
    <n v="0"/>
  </r>
  <r>
    <x v="177"/>
    <s v="Zofia"/>
    <s v="Broszkow"/>
    <n v="10"/>
    <x v="2"/>
    <n v="0"/>
  </r>
  <r>
    <x v="177"/>
    <s v="Janina"/>
    <s v="Kaczynska"/>
    <n v="55"/>
    <x v="2"/>
    <n v="0"/>
  </r>
  <r>
    <x v="177"/>
    <s v="Kornelia"/>
    <s v="Nowakowska"/>
    <n v="45"/>
    <x v="2"/>
    <n v="0"/>
  </r>
  <r>
    <x v="177"/>
    <s v="Karolina"/>
    <s v="Nowak"/>
    <n v="5"/>
    <x v="2"/>
    <n v="0"/>
  </r>
  <r>
    <x v="177"/>
    <s v="Joanna"/>
    <s v="Ottka"/>
    <n v="22"/>
    <x v="2"/>
    <n v="0"/>
  </r>
  <r>
    <x v="177"/>
    <s v="Krzysztof"/>
    <s v="Madejski"/>
    <n v="20"/>
    <x v="2"/>
    <n v="0"/>
  </r>
  <r>
    <x v="177"/>
    <s v="Roman"/>
    <s v="Grodecki"/>
    <n v="27"/>
    <x v="2"/>
    <n v="0"/>
  </r>
  <r>
    <x v="177"/>
    <s v="Stanislaw"/>
    <s v="Derek"/>
    <n v="6"/>
    <x v="2"/>
    <n v="1"/>
  </r>
  <r>
    <x v="178"/>
    <s v="Krzysztof"/>
    <s v="Madejski"/>
    <n v="29"/>
    <x v="3"/>
    <n v="0"/>
  </r>
  <r>
    <x v="178"/>
    <s v="Mateusz"/>
    <s v="Kornatowski"/>
    <n v="15"/>
    <x v="3"/>
    <n v="0"/>
  </r>
  <r>
    <x v="178"/>
    <s v="Szymon"/>
    <s v="Polak"/>
    <n v="5"/>
    <x v="3"/>
    <n v="0"/>
  </r>
  <r>
    <x v="178"/>
    <s v="Iwona"/>
    <s v="Wlodarska"/>
    <n v="34"/>
    <x v="3"/>
    <n v="0"/>
  </r>
  <r>
    <x v="178"/>
    <s v="Anna"/>
    <s v="Adamska"/>
    <n v="30"/>
    <x v="3"/>
    <n v="0"/>
  </r>
  <r>
    <x v="178"/>
    <s v="Szymon"/>
    <s v="Mrozniak"/>
    <n v="3"/>
    <x v="3"/>
    <n v="0"/>
  </r>
  <r>
    <x v="178"/>
    <s v="Maciej"/>
    <s v="Lutczyk"/>
    <n v="34"/>
    <x v="3"/>
    <n v="0"/>
  </r>
  <r>
    <x v="178"/>
    <s v="Wojciech"/>
    <s v="Filipowicz"/>
    <n v="7"/>
    <x v="3"/>
    <n v="0"/>
  </r>
  <r>
    <x v="178"/>
    <s v="Igor"/>
    <s v="Rybinski"/>
    <n v="17"/>
    <x v="3"/>
    <n v="0"/>
  </r>
  <r>
    <x v="178"/>
    <s v="Jakub"/>
    <s v="Przytula"/>
    <n v="26"/>
    <x v="3"/>
    <n v="1"/>
  </r>
  <r>
    <x v="179"/>
    <s v="Maciej"/>
    <s v="Laskowski"/>
    <n v="20"/>
    <x v="4"/>
    <n v="0"/>
  </r>
  <r>
    <x v="179"/>
    <s v="Jan"/>
    <s v="Pieterson"/>
    <n v="24"/>
    <x v="4"/>
    <n v="0"/>
  </r>
  <r>
    <x v="179"/>
    <s v="Maria"/>
    <s v="Kowalczuk"/>
    <n v="21"/>
    <x v="4"/>
    <n v="0"/>
  </r>
  <r>
    <x v="179"/>
    <s v="Ryszard"/>
    <s v="Baranowski"/>
    <n v="3"/>
    <x v="4"/>
    <n v="0"/>
  </r>
  <r>
    <x v="179"/>
    <s v="Luiza"/>
    <s v="Makowska"/>
    <n v="9"/>
    <x v="4"/>
    <n v="0"/>
  </r>
  <r>
    <x v="179"/>
    <s v="Krzysztof"/>
    <s v="Wilecki"/>
    <n v="46"/>
    <x v="4"/>
    <n v="0"/>
  </r>
  <r>
    <x v="179"/>
    <s v="Grzegorz"/>
    <s v="Domek"/>
    <n v="16"/>
    <x v="4"/>
    <n v="0"/>
  </r>
  <r>
    <x v="179"/>
    <s v="Filip"/>
    <s v="Stanulewicz"/>
    <n v="24"/>
    <x v="4"/>
    <n v="0"/>
  </r>
  <r>
    <x v="179"/>
    <s v="Malgorzata"/>
    <s v="Karlowski"/>
    <n v="23"/>
    <x v="4"/>
    <n v="0"/>
  </r>
  <r>
    <x v="179"/>
    <s v="Grzegorz"/>
    <s v="Domek"/>
    <n v="18"/>
    <x v="4"/>
    <n v="1"/>
  </r>
  <r>
    <x v="180"/>
    <s v="Malgorzata"/>
    <s v="Malec"/>
    <n v="29"/>
    <x v="0"/>
    <n v="0"/>
  </r>
  <r>
    <x v="180"/>
    <s v="Karol"/>
    <s v="Milek"/>
    <n v="24"/>
    <x v="0"/>
    <n v="0"/>
  </r>
  <r>
    <x v="180"/>
    <s v="Krzysztof"/>
    <s v="Wloch"/>
    <n v="36"/>
    <x v="0"/>
    <n v="0"/>
  </r>
  <r>
    <x v="180"/>
    <s v="Marian"/>
    <s v="Bukalski"/>
    <n v="6"/>
    <x v="0"/>
    <n v="0"/>
  </r>
  <r>
    <x v="180"/>
    <s v="Lidia"/>
    <s v="Goluchowska"/>
    <n v="29"/>
    <x v="0"/>
    <n v="0"/>
  </r>
  <r>
    <x v="180"/>
    <s v="Krzysztof"/>
    <s v="Dwa"/>
    <n v="15"/>
    <x v="0"/>
    <n v="0"/>
  </r>
  <r>
    <x v="180"/>
    <s v="Adrian"/>
    <s v="Yuksek"/>
    <n v="8"/>
    <x v="0"/>
    <n v="0"/>
  </r>
  <r>
    <x v="180"/>
    <s v="Krzysztof"/>
    <s v="Micun"/>
    <n v="47"/>
    <x v="0"/>
    <n v="0"/>
  </r>
  <r>
    <x v="180"/>
    <s v="Kamila"/>
    <s v="Wolan"/>
    <n v="23"/>
    <x v="0"/>
    <n v="0"/>
  </r>
  <r>
    <x v="180"/>
    <s v="Barbara"/>
    <s v="Podobinska"/>
    <n v="5"/>
    <x v="0"/>
    <n v="0"/>
  </r>
  <r>
    <x v="180"/>
    <s v="Piotr"/>
    <s v="Kaleta"/>
    <n v="31"/>
    <x v="0"/>
    <n v="0"/>
  </r>
  <r>
    <x v="180"/>
    <s v="Maria"/>
    <s v="Kowalczyk"/>
    <n v="28"/>
    <x v="0"/>
    <n v="0"/>
  </r>
  <r>
    <x v="180"/>
    <s v="Weronika"/>
    <s v="Zdroj"/>
    <n v="11"/>
    <x v="0"/>
    <n v="0"/>
  </r>
  <r>
    <x v="180"/>
    <s v="Karol"/>
    <s v="Dziuk"/>
    <n v="26"/>
    <x v="0"/>
    <n v="1"/>
  </r>
  <r>
    <x v="181"/>
    <s v="Ignacy"/>
    <s v="Sarnowski"/>
    <n v="46"/>
    <x v="1"/>
    <n v="0"/>
  </r>
  <r>
    <x v="181"/>
    <s v="Janusz"/>
    <s v="Baka"/>
    <n v="36"/>
    <x v="1"/>
    <n v="0"/>
  </r>
  <r>
    <x v="181"/>
    <s v="Ilona"/>
    <s v="Nowak"/>
    <n v="21"/>
    <x v="1"/>
    <n v="0"/>
  </r>
  <r>
    <x v="181"/>
    <s v="Piotr"/>
    <s v="Bialaszewski"/>
    <n v="15"/>
    <x v="1"/>
    <n v="0"/>
  </r>
  <r>
    <x v="181"/>
    <s v="Ryszard"/>
    <s v="Domzala"/>
    <n v="16"/>
    <x v="1"/>
    <n v="0"/>
  </r>
  <r>
    <x v="181"/>
    <s v="Karol"/>
    <s v="Wojciechowski"/>
    <n v="26"/>
    <x v="1"/>
    <n v="0"/>
  </r>
  <r>
    <x v="181"/>
    <s v="Sofia"/>
    <s v="Felisiak"/>
    <n v="14"/>
    <x v="1"/>
    <n v="0"/>
  </r>
  <r>
    <x v="181"/>
    <s v="Michalina"/>
    <s v="Klebba"/>
    <n v="20"/>
    <x v="1"/>
    <n v="0"/>
  </r>
  <r>
    <x v="181"/>
    <s v="Bartosz"/>
    <s v="Mazgaj"/>
    <n v="20"/>
    <x v="1"/>
    <n v="0"/>
  </r>
  <r>
    <x v="181"/>
    <s v="Julia"/>
    <s v="Stuhr"/>
    <n v="22"/>
    <x v="1"/>
    <n v="0"/>
  </r>
  <r>
    <x v="181"/>
    <s v="Dominika"/>
    <s v="Mierny"/>
    <n v="16"/>
    <x v="1"/>
    <n v="0"/>
  </r>
  <r>
    <x v="181"/>
    <s v="Barbara"/>
    <s v="Kilarski"/>
    <n v="17"/>
    <x v="1"/>
    <n v="0"/>
  </r>
  <r>
    <x v="181"/>
    <s v="Dorota"/>
    <s v="Tarnowska"/>
    <n v="41"/>
    <x v="1"/>
    <n v="0"/>
  </r>
  <r>
    <x v="181"/>
    <s v="Albert"/>
    <s v="Pleszewski"/>
    <n v="3"/>
    <x v="1"/>
    <n v="1"/>
  </r>
  <r>
    <x v="182"/>
    <s v="Ewelina"/>
    <s v="Goslawska"/>
    <n v="20"/>
    <x v="2"/>
    <n v="0"/>
  </r>
  <r>
    <x v="182"/>
    <s v="Maja"/>
    <s v="Kaminska"/>
    <n v="7"/>
    <x v="2"/>
    <n v="0"/>
  </r>
  <r>
    <x v="182"/>
    <s v="Anna"/>
    <s v="Kot"/>
    <n v="41"/>
    <x v="2"/>
    <n v="0"/>
  </r>
  <r>
    <x v="182"/>
    <s v="Katarzyna"/>
    <s v="Wip"/>
    <n v="4"/>
    <x v="2"/>
    <n v="0"/>
  </r>
  <r>
    <x v="182"/>
    <s v="Marcel"/>
    <s v="Labuda"/>
    <n v="31"/>
    <x v="2"/>
    <n v="0"/>
  </r>
  <r>
    <x v="182"/>
    <s v="Maksymilian"/>
    <s v="Lupa"/>
    <n v="6"/>
    <x v="2"/>
    <n v="0"/>
  </r>
  <r>
    <x v="182"/>
    <s v="Maria"/>
    <s v="Borowska"/>
    <n v="12"/>
    <x v="2"/>
    <n v="0"/>
  </r>
  <r>
    <x v="182"/>
    <s v="Anna"/>
    <s v="Kraska"/>
    <n v="5"/>
    <x v="2"/>
    <n v="0"/>
  </r>
  <r>
    <x v="182"/>
    <s v="Marzena"/>
    <s v="Parasiewicz"/>
    <n v="5"/>
    <x v="2"/>
    <n v="0"/>
  </r>
  <r>
    <x v="182"/>
    <s v="Maja"/>
    <s v="Lange"/>
    <n v="19"/>
    <x v="2"/>
    <n v="0"/>
  </r>
  <r>
    <x v="182"/>
    <s v="Wieslawa"/>
    <s v="Biczysko"/>
    <n v="8"/>
    <x v="2"/>
    <n v="0"/>
  </r>
  <r>
    <x v="182"/>
    <s v="Arleta"/>
    <s v="Pawlik"/>
    <n v="8"/>
    <x v="2"/>
    <n v="0"/>
  </r>
  <r>
    <x v="182"/>
    <s v="Agnieszka"/>
    <s v="Matusik"/>
    <n v="56"/>
    <x v="2"/>
    <n v="0"/>
  </r>
  <r>
    <x v="182"/>
    <s v="Jakub"/>
    <s v="Waniek"/>
    <n v="8"/>
    <x v="2"/>
    <n v="1"/>
  </r>
  <r>
    <x v="183"/>
    <s v="Jan"/>
    <s v="Pietraszczyk"/>
    <n v="25"/>
    <x v="3"/>
    <n v="0"/>
  </r>
  <r>
    <x v="183"/>
    <s v="Barbara"/>
    <s v="Podobinska"/>
    <n v="23"/>
    <x v="3"/>
    <n v="0"/>
  </r>
  <r>
    <x v="183"/>
    <s v="Maja"/>
    <s v="Kwidczynska"/>
    <n v="33"/>
    <x v="3"/>
    <n v="0"/>
  </r>
  <r>
    <x v="183"/>
    <s v="Wojciech"/>
    <s v="Maja"/>
    <n v="15"/>
    <x v="3"/>
    <n v="0"/>
  </r>
  <r>
    <x v="183"/>
    <s v="Joanna"/>
    <s v="Zygmunt"/>
    <n v="16"/>
    <x v="3"/>
    <n v="0"/>
  </r>
  <r>
    <x v="183"/>
    <s v="Kamil"/>
    <s v="Waniek"/>
    <n v="29"/>
    <x v="3"/>
    <n v="0"/>
  </r>
  <r>
    <x v="183"/>
    <s v="Irena"/>
    <s v="Banasiewicz"/>
    <n v="2"/>
    <x v="3"/>
    <n v="0"/>
  </r>
  <r>
    <x v="183"/>
    <s v="Grzegorz"/>
    <s v="Wojtowicz"/>
    <n v="15"/>
    <x v="3"/>
    <n v="0"/>
  </r>
  <r>
    <x v="183"/>
    <s v="Pawel"/>
    <s v="Nowak"/>
    <n v="17"/>
    <x v="3"/>
    <n v="0"/>
  </r>
  <r>
    <x v="183"/>
    <s v="Piotr"/>
    <s v="Flis"/>
    <n v="54"/>
    <x v="3"/>
    <n v="0"/>
  </r>
  <r>
    <x v="183"/>
    <s v="Weronika"/>
    <s v="Zdroj"/>
    <n v="38"/>
    <x v="3"/>
    <n v="0"/>
  </r>
  <r>
    <x v="183"/>
    <s v="Krzysztof"/>
    <s v="Madejski"/>
    <n v="9"/>
    <x v="3"/>
    <n v="0"/>
  </r>
  <r>
    <x v="183"/>
    <s v="Adrian"/>
    <s v="Zawisza"/>
    <n v="3"/>
    <x v="3"/>
    <n v="0"/>
  </r>
  <r>
    <x v="183"/>
    <s v="Adam"/>
    <s v="Susel"/>
    <n v="17"/>
    <x v="3"/>
    <n v="1"/>
  </r>
  <r>
    <x v="184"/>
    <s v="Zenon"/>
    <s v="Zbych"/>
    <n v="12"/>
    <x v="4"/>
    <n v="0"/>
  </r>
  <r>
    <x v="184"/>
    <s v="Patrycja"/>
    <s v="Dzban"/>
    <n v="28"/>
    <x v="4"/>
    <n v="0"/>
  </r>
  <r>
    <x v="184"/>
    <s v="Wojciech"/>
    <s v="Filipowicz"/>
    <n v="4"/>
    <x v="4"/>
    <n v="0"/>
  </r>
  <r>
    <x v="184"/>
    <s v="Maksymilian"/>
    <s v="Lewita"/>
    <n v="5"/>
    <x v="4"/>
    <n v="0"/>
  </r>
  <r>
    <x v="184"/>
    <s v="Bartosz"/>
    <s v="Debicki"/>
    <n v="30"/>
    <x v="4"/>
    <n v="0"/>
  </r>
  <r>
    <x v="184"/>
    <s v="Anna"/>
    <s v="Tomaszewska"/>
    <n v="40"/>
    <x v="4"/>
    <n v="0"/>
  </r>
  <r>
    <x v="184"/>
    <s v="Karolina"/>
    <s v="Karpacka"/>
    <n v="10"/>
    <x v="4"/>
    <n v="0"/>
  </r>
  <r>
    <x v="184"/>
    <s v="Maksymilian"/>
    <s v="Piwko"/>
    <n v="20"/>
    <x v="4"/>
    <n v="0"/>
  </r>
  <r>
    <x v="184"/>
    <s v="Krzysztof"/>
    <s v="Dwa"/>
    <n v="12"/>
    <x v="4"/>
    <n v="0"/>
  </r>
  <r>
    <x v="184"/>
    <s v="Marcin"/>
    <s v="Tabaka"/>
    <n v="9"/>
    <x v="4"/>
    <n v="0"/>
  </r>
  <r>
    <x v="184"/>
    <s v="Monika"/>
    <s v="Lis"/>
    <n v="46"/>
    <x v="4"/>
    <n v="0"/>
  </r>
  <r>
    <x v="184"/>
    <s v="Magdalena"/>
    <s v="Bach"/>
    <n v="30"/>
    <x v="4"/>
    <n v="0"/>
  </r>
  <r>
    <x v="184"/>
    <s v="Wieslawa"/>
    <s v="Nowak"/>
    <n v="25"/>
    <x v="4"/>
    <n v="0"/>
  </r>
  <r>
    <x v="184"/>
    <s v="Anna"/>
    <s v="Janowska"/>
    <n v="25"/>
    <x v="4"/>
    <n v="1"/>
  </r>
  <r>
    <x v="185"/>
    <s v="Jacek"/>
    <s v="Szypulski"/>
    <n v="15"/>
    <x v="0"/>
    <n v="0"/>
  </r>
  <r>
    <x v="185"/>
    <s v="Natalia"/>
    <s v="Olkuska"/>
    <n v="8"/>
    <x v="0"/>
    <n v="0"/>
  </r>
  <r>
    <x v="185"/>
    <s v="Monika"/>
    <s v="Bialkowska"/>
    <n v="8"/>
    <x v="0"/>
    <n v="0"/>
  </r>
  <r>
    <x v="185"/>
    <s v="Jan"/>
    <s v="Pistek"/>
    <n v="20"/>
    <x v="0"/>
    <n v="0"/>
  </r>
  <r>
    <x v="185"/>
    <s v="Borys"/>
    <s v="Biedal"/>
    <n v="53"/>
    <x v="0"/>
    <n v="0"/>
  </r>
  <r>
    <x v="185"/>
    <s v="Kamila"/>
    <s v="Kot"/>
    <n v="50"/>
    <x v="0"/>
    <n v="0"/>
  </r>
  <r>
    <x v="185"/>
    <s v="Adrian"/>
    <s v="Wydrzynski"/>
    <n v="52"/>
    <x v="0"/>
    <n v="0"/>
  </r>
  <r>
    <x v="185"/>
    <s v="Joanna"/>
    <s v="Traugut"/>
    <n v="12"/>
    <x v="0"/>
    <n v="0"/>
  </r>
  <r>
    <x v="185"/>
    <s v="Karol"/>
    <s v="Walasz"/>
    <n v="14"/>
    <x v="0"/>
    <n v="0"/>
  </r>
  <r>
    <x v="185"/>
    <s v="Ewa"/>
    <s v="Czerwinska"/>
    <n v="12"/>
    <x v="0"/>
    <n v="0"/>
  </r>
  <r>
    <x v="185"/>
    <s v="Jerzy"/>
    <s v="Polanicki"/>
    <n v="27"/>
    <x v="0"/>
    <n v="0"/>
  </r>
  <r>
    <x v="185"/>
    <s v="Magdalena"/>
    <s v="Bach"/>
    <n v="25"/>
    <x v="0"/>
    <n v="1"/>
  </r>
  <r>
    <x v="186"/>
    <s v="Radoslaw"/>
    <s v="Sowinska"/>
    <n v="29"/>
    <x v="1"/>
    <n v="0"/>
  </r>
  <r>
    <x v="186"/>
    <s v="Milena"/>
    <s v="Karolewska"/>
    <n v="54"/>
    <x v="1"/>
    <n v="0"/>
  </r>
  <r>
    <x v="186"/>
    <s v="Mateusz"/>
    <s v="Kornatowski"/>
    <n v="10"/>
    <x v="1"/>
    <n v="0"/>
  </r>
  <r>
    <x v="186"/>
    <s v="Maciej"/>
    <s v="Bugaj"/>
    <n v="28"/>
    <x v="1"/>
    <n v="0"/>
  </r>
  <r>
    <x v="186"/>
    <s v="Olgierd"/>
    <s v="Baranek"/>
    <n v="7"/>
    <x v="1"/>
    <n v="0"/>
  </r>
  <r>
    <x v="186"/>
    <s v="Jan"/>
    <s v="Adamowicz"/>
    <n v="18"/>
    <x v="1"/>
    <n v="0"/>
  </r>
  <r>
    <x v="186"/>
    <s v="Joanna"/>
    <s v="Senger"/>
    <n v="10"/>
    <x v="1"/>
    <n v="0"/>
  </r>
  <r>
    <x v="186"/>
    <s v="Jerzy"/>
    <s v="Czajkowski"/>
    <n v="24"/>
    <x v="1"/>
    <n v="0"/>
  </r>
  <r>
    <x v="186"/>
    <s v="Filip"/>
    <s v="Stanulewicz"/>
    <n v="19"/>
    <x v="1"/>
    <n v="0"/>
  </r>
  <r>
    <x v="186"/>
    <s v="Beata"/>
    <s v="Mirowska"/>
    <n v="28"/>
    <x v="1"/>
    <n v="0"/>
  </r>
  <r>
    <x v="186"/>
    <s v="Krzysztof"/>
    <s v="Wilecki"/>
    <n v="5"/>
    <x v="1"/>
    <n v="0"/>
  </r>
  <r>
    <x v="186"/>
    <s v="Lukasz"/>
    <s v="Kopecki"/>
    <n v="17"/>
    <x v="1"/>
    <n v="1"/>
  </r>
  <r>
    <x v="187"/>
    <s v="Bartosz"/>
    <s v="Mazgaj"/>
    <n v="53"/>
    <x v="2"/>
    <n v="0"/>
  </r>
  <r>
    <x v="187"/>
    <s v="Witold"/>
    <s v="Sempa"/>
    <n v="5"/>
    <x v="2"/>
    <n v="0"/>
  </r>
  <r>
    <x v="187"/>
    <s v="Tytus"/>
    <s v="Sulejman"/>
    <n v="35"/>
    <x v="2"/>
    <n v="0"/>
  </r>
  <r>
    <x v="187"/>
    <s v="Maja"/>
    <s v="Lipka"/>
    <n v="17"/>
    <x v="2"/>
    <n v="0"/>
  </r>
  <r>
    <x v="187"/>
    <s v="Bartosz"/>
    <s v="Protasow"/>
    <n v="12"/>
    <x v="2"/>
    <n v="0"/>
  </r>
  <r>
    <x v="187"/>
    <s v="Karol"/>
    <s v="Dziuk"/>
    <n v="28"/>
    <x v="2"/>
    <n v="0"/>
  </r>
  <r>
    <x v="187"/>
    <s v="Anna"/>
    <s v="Dab"/>
    <n v="47"/>
    <x v="2"/>
    <n v="0"/>
  </r>
  <r>
    <x v="187"/>
    <s v="Adam"/>
    <s v="Borkowski"/>
    <n v="5"/>
    <x v="2"/>
    <n v="1"/>
  </r>
  <r>
    <x v="188"/>
    <s v="Jan"/>
    <s v="Pieterson"/>
    <n v="7"/>
    <x v="3"/>
    <n v="0"/>
  </r>
  <r>
    <x v="188"/>
    <s v="Michal"/>
    <s v="Kieloch"/>
    <n v="52"/>
    <x v="3"/>
    <n v="0"/>
  </r>
  <r>
    <x v="188"/>
    <s v="Maja"/>
    <s v="Leman"/>
    <n v="50"/>
    <x v="3"/>
    <n v="0"/>
  </r>
  <r>
    <x v="188"/>
    <s v="Julia"/>
    <s v="Kielecka"/>
    <n v="10"/>
    <x v="3"/>
    <n v="0"/>
  </r>
  <r>
    <x v="188"/>
    <s v="Albert"/>
    <s v="Pleszewski"/>
    <n v="5"/>
    <x v="3"/>
    <n v="0"/>
  </r>
  <r>
    <x v="188"/>
    <s v="Karol"/>
    <s v="Wichrowski"/>
    <n v="17"/>
    <x v="3"/>
    <n v="0"/>
  </r>
  <r>
    <x v="188"/>
    <s v="Maja"/>
    <s v="Kaminska"/>
    <n v="24"/>
    <x v="3"/>
    <n v="0"/>
  </r>
  <r>
    <x v="188"/>
    <s v="Wiktor"/>
    <s v="Berezniewicz"/>
    <n v="50"/>
    <x v="3"/>
    <n v="1"/>
  </r>
  <r>
    <x v="189"/>
    <s v="Maria"/>
    <s v="Kowalczyk"/>
    <n v="9"/>
    <x v="4"/>
    <n v="0"/>
  </r>
  <r>
    <x v="189"/>
    <s v="Jan"/>
    <s v="Jarek"/>
    <n v="6"/>
    <x v="4"/>
    <n v="0"/>
  </r>
  <r>
    <x v="189"/>
    <s v="Monika"/>
    <s v="Nowaczkiewicz"/>
    <n v="24"/>
    <x v="4"/>
    <n v="0"/>
  </r>
  <r>
    <x v="189"/>
    <s v="Dominik"/>
    <s v="Szmitko"/>
    <n v="15"/>
    <x v="4"/>
    <n v="0"/>
  </r>
  <r>
    <x v="189"/>
    <s v="Krzysztof"/>
    <s v="Figurski"/>
    <n v="16"/>
    <x v="4"/>
    <n v="0"/>
  </r>
  <r>
    <x v="189"/>
    <s v="Anna"/>
    <s v="Wnuk"/>
    <n v="10"/>
    <x v="4"/>
    <n v="0"/>
  </r>
  <r>
    <x v="189"/>
    <s v="Konrad"/>
    <s v="Jagielski"/>
    <n v="32"/>
    <x v="4"/>
    <n v="0"/>
  </r>
  <r>
    <x v="189"/>
    <s v="Barbara"/>
    <s v="Karcz"/>
    <n v="24"/>
    <x v="4"/>
    <n v="1"/>
  </r>
  <r>
    <x v="190"/>
    <s v="Malgorzata"/>
    <s v="Karlowski"/>
    <n v="34"/>
    <x v="0"/>
    <n v="0"/>
  </r>
  <r>
    <x v="190"/>
    <s v="Marek"/>
    <s v="Leoniuk"/>
    <n v="28"/>
    <x v="0"/>
    <n v="0"/>
  </r>
  <r>
    <x v="190"/>
    <s v="Anna"/>
    <s v="Trojanowska"/>
    <n v="18"/>
    <x v="0"/>
    <n v="0"/>
  </r>
  <r>
    <x v="190"/>
    <s v="Izabela"/>
    <s v="Draszczyk"/>
    <n v="19"/>
    <x v="0"/>
    <n v="0"/>
  </r>
  <r>
    <x v="190"/>
    <s v="Lukasz"/>
    <s v="Kot"/>
    <n v="7"/>
    <x v="0"/>
    <n v="0"/>
  </r>
  <r>
    <x v="190"/>
    <s v="Beata"/>
    <s v="Mirowska"/>
    <n v="29"/>
    <x v="0"/>
    <n v="0"/>
  </r>
  <r>
    <x v="190"/>
    <s v="Krzysztof"/>
    <s v="Kukulski"/>
    <n v="56"/>
    <x v="0"/>
    <n v="0"/>
  </r>
  <r>
    <x v="190"/>
    <s v="Magdalena"/>
    <s v="Nowak"/>
    <n v="11"/>
    <x v="0"/>
    <n v="1"/>
  </r>
  <r>
    <x v="191"/>
    <s v="Antoni"/>
    <s v="Sobieski"/>
    <n v="33"/>
    <x v="1"/>
    <n v="0"/>
  </r>
  <r>
    <x v="191"/>
    <s v="Patrycja"/>
    <s v="Dzban"/>
    <n v="5"/>
    <x v="1"/>
    <n v="0"/>
  </r>
  <r>
    <x v="191"/>
    <s v="Emilia"/>
    <s v="Mroczek"/>
    <n v="25"/>
    <x v="1"/>
    <n v="0"/>
  </r>
  <r>
    <x v="191"/>
    <s v="Ilona"/>
    <s v="Lukaszewska"/>
    <n v="10"/>
    <x v="1"/>
    <n v="0"/>
  </r>
  <r>
    <x v="191"/>
    <s v="Ewelina"/>
    <s v="Bialkowska"/>
    <n v="18"/>
    <x v="1"/>
    <n v="0"/>
  </r>
  <r>
    <x v="191"/>
    <s v="Julia"/>
    <s v="Sadowska"/>
    <n v="26"/>
    <x v="1"/>
    <n v="0"/>
  </r>
  <r>
    <x v="191"/>
    <s v="Janusz"/>
    <s v="Baka"/>
    <n v="12"/>
    <x v="1"/>
    <n v="0"/>
  </r>
  <r>
    <x v="191"/>
    <s v="Teodor"/>
    <s v="Nowak"/>
    <n v="22"/>
    <x v="1"/>
    <n v="1"/>
  </r>
  <r>
    <x v="192"/>
    <s v="Pawel"/>
    <s v="Bolkowski"/>
    <n v="19"/>
    <x v="2"/>
    <n v="0"/>
  </r>
  <r>
    <x v="192"/>
    <s v="Maciej"/>
    <s v="Bugaj"/>
    <n v="5"/>
    <x v="2"/>
    <n v="0"/>
  </r>
  <r>
    <x v="192"/>
    <s v="Krzysztof"/>
    <s v="Wloch"/>
    <n v="7"/>
    <x v="2"/>
    <n v="0"/>
  </r>
  <r>
    <x v="192"/>
    <s v="Agnieszka"/>
    <s v="Matusik"/>
    <n v="28"/>
    <x v="2"/>
    <n v="0"/>
  </r>
  <r>
    <x v="192"/>
    <s v="Wojciech"/>
    <s v="Kulakowski"/>
    <n v="53"/>
    <x v="2"/>
    <n v="0"/>
  </r>
  <r>
    <x v="192"/>
    <s v="Mariusz"/>
    <s v="Mrowiec"/>
    <n v="28"/>
    <x v="2"/>
    <n v="0"/>
  </r>
  <r>
    <x v="192"/>
    <s v="Radoslaw"/>
    <s v="Sowinska"/>
    <n v="17"/>
    <x v="2"/>
    <n v="0"/>
  </r>
  <r>
    <x v="192"/>
    <s v="Joanna"/>
    <s v="Kopacki"/>
    <n v="20"/>
    <x v="2"/>
    <n v="1"/>
  </r>
  <r>
    <x v="193"/>
    <s v="Patrycja"/>
    <s v="Rzeszowska"/>
    <n v="50"/>
    <x v="3"/>
    <n v="0"/>
  </r>
  <r>
    <x v="193"/>
    <s v="Stanislaw"/>
    <s v="Derek"/>
    <n v="15"/>
    <x v="3"/>
    <n v="0"/>
  </r>
  <r>
    <x v="193"/>
    <s v="Karol"/>
    <s v="Wojciechowski"/>
    <n v="27"/>
    <x v="3"/>
    <n v="0"/>
  </r>
  <r>
    <x v="193"/>
    <s v="Mateusz"/>
    <s v="Kowalczyk"/>
    <n v="2"/>
    <x v="3"/>
    <n v="0"/>
  </r>
  <r>
    <x v="193"/>
    <s v="Kamil"/>
    <s v="Naderka"/>
    <n v="17"/>
    <x v="3"/>
    <n v="0"/>
  </r>
  <r>
    <x v="193"/>
    <s v="Angelika"/>
    <s v="Walaszek"/>
    <n v="53"/>
    <x v="3"/>
    <n v="0"/>
  </r>
  <r>
    <x v="193"/>
    <s v="Jan"/>
    <s v="Adamowicz"/>
    <n v="30"/>
    <x v="3"/>
    <n v="0"/>
  </r>
  <r>
    <x v="193"/>
    <s v="Karolina"/>
    <s v="Pawelska"/>
    <n v="7"/>
    <x v="3"/>
    <n v="1"/>
  </r>
  <r>
    <x v="194"/>
    <s v="Jan"/>
    <s v="Zdunski"/>
    <n v="15"/>
    <x v="4"/>
    <n v="0"/>
  </r>
  <r>
    <x v="194"/>
    <s v="Natalia"/>
    <s v="Knap"/>
    <n v="55"/>
    <x v="4"/>
    <n v="0"/>
  </r>
  <r>
    <x v="194"/>
    <s v="Radoslaw"/>
    <s v="Sowinska"/>
    <n v="39"/>
    <x v="4"/>
    <n v="0"/>
  </r>
  <r>
    <x v="194"/>
    <s v="Krzysztof"/>
    <s v="Czyz"/>
    <n v="18"/>
    <x v="4"/>
    <n v="0"/>
  </r>
  <r>
    <x v="194"/>
    <s v="Alicja"/>
    <s v="Walentowicz"/>
    <n v="9"/>
    <x v="4"/>
    <n v="0"/>
  </r>
  <r>
    <x v="194"/>
    <s v="Tomasz"/>
    <s v="Tytan"/>
    <n v="55"/>
    <x v="4"/>
    <n v="0"/>
  </r>
  <r>
    <x v="194"/>
    <s v="Janusz"/>
    <s v="Baka"/>
    <n v="24"/>
    <x v="4"/>
    <n v="0"/>
  </r>
  <r>
    <x v="194"/>
    <s v="Janusz"/>
    <s v="Wrobel"/>
    <n v="52"/>
    <x v="4"/>
    <n v="1"/>
  </r>
  <r>
    <x v="195"/>
    <s v="Tomasz"/>
    <s v="Borkowski"/>
    <n v="42"/>
    <x v="0"/>
    <n v="0"/>
  </r>
  <r>
    <x v="195"/>
    <s v="Lukasz"/>
    <s v="Niedziela"/>
    <n v="16"/>
    <x v="0"/>
    <n v="0"/>
  </r>
  <r>
    <x v="195"/>
    <s v="Julia"/>
    <s v="Samulczyk"/>
    <n v="43"/>
    <x v="0"/>
    <n v="0"/>
  </r>
  <r>
    <x v="195"/>
    <s v="Alicja"/>
    <s v="Chmiel"/>
    <n v="55"/>
    <x v="0"/>
    <n v="0"/>
  </r>
  <r>
    <x v="195"/>
    <s v="Pawel"/>
    <s v="Macherzynski"/>
    <n v="45"/>
    <x v="0"/>
    <n v="0"/>
  </r>
  <r>
    <x v="195"/>
    <s v="Konrad"/>
    <s v="Lipowski"/>
    <n v="25"/>
    <x v="0"/>
    <n v="1"/>
  </r>
  <r>
    <x v="196"/>
    <s v="Dominika"/>
    <s v="Szwec"/>
    <n v="28"/>
    <x v="1"/>
    <n v="0"/>
  </r>
  <r>
    <x v="196"/>
    <s v="Ryszarda"/>
    <s v="Januszek"/>
    <n v="14"/>
    <x v="1"/>
    <n v="0"/>
  </r>
  <r>
    <x v="196"/>
    <s v="Irena"/>
    <s v="Piotrowska"/>
    <n v="26"/>
    <x v="1"/>
    <n v="0"/>
  </r>
  <r>
    <x v="196"/>
    <s v="Marta"/>
    <s v="Robak"/>
    <n v="21"/>
    <x v="1"/>
    <n v="0"/>
  </r>
  <r>
    <x v="196"/>
    <s v="Piotr"/>
    <s v="Polkowicki"/>
    <n v="14"/>
    <x v="1"/>
    <n v="0"/>
  </r>
  <r>
    <x v="196"/>
    <s v="Laura"/>
    <s v="Chmielewska"/>
    <n v="36"/>
    <x v="1"/>
    <n v="1"/>
  </r>
  <r>
    <x v="197"/>
    <s v="Andrzej"/>
    <s v="Tysz"/>
    <n v="3"/>
    <x v="2"/>
    <n v="0"/>
  </r>
  <r>
    <x v="197"/>
    <s v="Angelika"/>
    <s v="Walaszek"/>
    <n v="11"/>
    <x v="2"/>
    <n v="0"/>
  </r>
  <r>
    <x v="197"/>
    <s v="Mariusz"/>
    <s v="Brydzinski"/>
    <n v="49"/>
    <x v="2"/>
    <n v="0"/>
  </r>
  <r>
    <x v="197"/>
    <s v="Nadia"/>
    <s v="Jurewicz"/>
    <n v="16"/>
    <x v="2"/>
    <n v="0"/>
  </r>
  <r>
    <x v="197"/>
    <s v="Andrzej"/>
    <s v="Zbieg"/>
    <n v="26"/>
    <x v="2"/>
    <n v="0"/>
  </r>
  <r>
    <x v="197"/>
    <s v="Piotr"/>
    <s v="Dzierzak"/>
    <n v="50"/>
    <x v="2"/>
    <n v="1"/>
  </r>
  <r>
    <x v="198"/>
    <s v="Jacek"/>
    <s v="Chojnacki"/>
    <n v="19"/>
    <x v="3"/>
    <n v="0"/>
  </r>
  <r>
    <x v="198"/>
    <s v="Anita"/>
    <s v="Woloszyn"/>
    <n v="27"/>
    <x v="3"/>
    <n v="0"/>
  </r>
  <r>
    <x v="198"/>
    <s v="Krzysztof"/>
    <s v="Konieckiewicz"/>
    <n v="2"/>
    <x v="3"/>
    <n v="0"/>
  </r>
  <r>
    <x v="198"/>
    <s v="Ignacy"/>
    <s v="Sarnowski"/>
    <n v="15"/>
    <x v="3"/>
    <n v="0"/>
  </r>
  <r>
    <x v="198"/>
    <s v="Jan"/>
    <s v="Sznuk"/>
    <n v="3"/>
    <x v="3"/>
    <n v="0"/>
  </r>
  <r>
    <x v="198"/>
    <s v="Anita"/>
    <s v="Tych"/>
    <n v="56"/>
    <x v="3"/>
    <n v="1"/>
  </r>
  <r>
    <x v="199"/>
    <s v="Daria"/>
    <s v="Witkowska"/>
    <n v="36"/>
    <x v="4"/>
    <n v="0"/>
  </r>
  <r>
    <x v="199"/>
    <s v="Lidia"/>
    <s v="Tarnowska"/>
    <n v="32"/>
    <x v="4"/>
    <n v="0"/>
  </r>
  <r>
    <x v="199"/>
    <s v="Kamila"/>
    <s v="Kot"/>
    <n v="50"/>
    <x v="4"/>
    <n v="0"/>
  </r>
  <r>
    <x v="199"/>
    <s v="Krystyna"/>
    <s v="Szybki"/>
    <n v="26"/>
    <x v="4"/>
    <n v="0"/>
  </r>
  <r>
    <x v="199"/>
    <s v="Maciej"/>
    <s v="Wodecki"/>
    <n v="13"/>
    <x v="4"/>
    <n v="0"/>
  </r>
  <r>
    <x v="199"/>
    <s v="Marta"/>
    <s v="Wiosna"/>
    <n v="2"/>
    <x v="4"/>
    <n v="1"/>
  </r>
  <r>
    <x v="200"/>
    <s v="Lena"/>
    <s v="Mazurkiewicz"/>
    <n v="11"/>
    <x v="0"/>
    <n v="0"/>
  </r>
  <r>
    <x v="200"/>
    <s v="Jan"/>
    <s v="Madawik"/>
    <n v="19"/>
    <x v="0"/>
    <n v="0"/>
  </r>
  <r>
    <x v="200"/>
    <s v="Aleksandra"/>
    <s v="Donata"/>
    <n v="23"/>
    <x v="0"/>
    <n v="0"/>
  </r>
  <r>
    <x v="200"/>
    <s v="Adam"/>
    <s v="Madejski"/>
    <n v="22"/>
    <x v="0"/>
    <n v="0"/>
  </r>
  <r>
    <x v="200"/>
    <s v="Dominik"/>
    <s v="Szmitko"/>
    <n v="19"/>
    <x v="0"/>
    <n v="0"/>
  </r>
  <r>
    <x v="200"/>
    <s v="Jan"/>
    <s v="Zajac"/>
    <n v="5"/>
    <x v="0"/>
    <n v="1"/>
  </r>
  <r>
    <x v="201"/>
    <s v="Pawel"/>
    <s v="Furmaniak"/>
    <n v="10"/>
    <x v="1"/>
    <n v="0"/>
  </r>
  <r>
    <x v="201"/>
    <s v="Krzysztof"/>
    <s v="Wilecki"/>
    <n v="13"/>
    <x v="1"/>
    <n v="0"/>
  </r>
  <r>
    <x v="201"/>
    <s v="Nadia"/>
    <s v="Jurewicz"/>
    <n v="12"/>
    <x v="1"/>
    <n v="0"/>
  </r>
  <r>
    <x v="201"/>
    <s v="Karol"/>
    <s v="Wichrowski"/>
    <n v="25"/>
    <x v="1"/>
    <n v="0"/>
  </r>
  <r>
    <x v="201"/>
    <s v="Anna"/>
    <s v="Adamska"/>
    <n v="25"/>
    <x v="1"/>
    <n v="0"/>
  </r>
  <r>
    <x v="201"/>
    <s v="Inka"/>
    <s v="Sochacka"/>
    <n v="9"/>
    <x v="1"/>
    <n v="1"/>
  </r>
  <r>
    <x v="202"/>
    <s v="Karol"/>
    <s v="Dziuk"/>
    <n v="17"/>
    <x v="2"/>
    <n v="0"/>
  </r>
  <r>
    <x v="202"/>
    <s v="Stefan"/>
    <s v="Bajer"/>
    <n v="26"/>
    <x v="2"/>
    <n v="0"/>
  </r>
  <r>
    <x v="202"/>
    <s v="Mateusz"/>
    <s v="Kaczorowski"/>
    <n v="44"/>
    <x v="2"/>
    <n v="0"/>
  </r>
  <r>
    <x v="202"/>
    <s v="Adam"/>
    <s v="Susel"/>
    <n v="31"/>
    <x v="2"/>
    <n v="0"/>
  </r>
  <r>
    <x v="202"/>
    <s v="Marian"/>
    <s v="Bukalski"/>
    <n v="6"/>
    <x v="2"/>
    <n v="0"/>
  </r>
  <r>
    <x v="202"/>
    <s v="Jerzy"/>
    <s v="Szklarski"/>
    <n v="14"/>
    <x v="2"/>
    <n v="1"/>
  </r>
  <r>
    <x v="203"/>
    <s v="Protazy"/>
    <s v="Warszawski"/>
    <n v="5"/>
    <x v="3"/>
    <n v="0"/>
  </r>
  <r>
    <x v="203"/>
    <s v="Lukasz"/>
    <s v="Kot"/>
    <n v="21"/>
    <x v="3"/>
    <n v="0"/>
  </r>
  <r>
    <x v="203"/>
    <s v="Filip"/>
    <s v="Strupiechowski"/>
    <n v="4"/>
    <x v="3"/>
    <n v="0"/>
  </r>
  <r>
    <x v="203"/>
    <s v="Barbara"/>
    <s v="Bury"/>
    <n v="51"/>
    <x v="3"/>
    <n v="0"/>
  </r>
  <r>
    <x v="203"/>
    <s v="Henryk"/>
    <s v="Polarek"/>
    <n v="27"/>
    <x v="3"/>
    <n v="0"/>
  </r>
  <r>
    <x v="203"/>
    <s v="Roksana"/>
    <s v="Frankowska"/>
    <n v="15"/>
    <x v="3"/>
    <n v="1"/>
  </r>
  <r>
    <x v="204"/>
    <s v="Agnieszka"/>
    <s v="Bujak"/>
    <n v="15"/>
    <x v="4"/>
    <n v="0"/>
  </r>
  <r>
    <x v="204"/>
    <s v="Jaroslaw"/>
    <s v="Kopiec"/>
    <n v="13"/>
    <x v="4"/>
    <n v="0"/>
  </r>
  <r>
    <x v="204"/>
    <s v="Joanna"/>
    <s v="Wrobel"/>
    <n v="22"/>
    <x v="4"/>
    <n v="0"/>
  </r>
  <r>
    <x v="204"/>
    <s v="Krzysztof"/>
    <s v="Konieckiewicz"/>
    <n v="16"/>
    <x v="4"/>
    <n v="0"/>
  </r>
  <r>
    <x v="204"/>
    <s v="Anna"/>
    <s v="Tomaszewska"/>
    <n v="9"/>
    <x v="4"/>
    <n v="0"/>
  </r>
  <r>
    <x v="204"/>
    <s v="Mariusz"/>
    <s v="Mrowiec"/>
    <n v="8"/>
    <x v="4"/>
    <n v="1"/>
  </r>
  <r>
    <x v="205"/>
    <s v="Maria"/>
    <s v="Gatek"/>
    <n v="5"/>
    <x v="0"/>
    <n v="0"/>
  </r>
  <r>
    <x v="205"/>
    <s v="Agnieszka"/>
    <s v="Mala"/>
    <n v="10"/>
    <x v="0"/>
    <n v="0"/>
  </r>
  <r>
    <x v="205"/>
    <s v="Jerzy"/>
    <s v="Czajkowski"/>
    <n v="29"/>
    <x v="0"/>
    <n v="0"/>
  </r>
  <r>
    <x v="205"/>
    <s v="Anna"/>
    <s v="Tycz"/>
    <n v="20"/>
    <x v="0"/>
    <n v="0"/>
  </r>
  <r>
    <x v="205"/>
    <s v="Piotr"/>
    <s v="Flis"/>
    <n v="11"/>
    <x v="0"/>
    <n v="0"/>
  </r>
  <r>
    <x v="205"/>
    <s v="Lukasz"/>
    <s v="Czarnecki"/>
    <n v="45"/>
    <x v="0"/>
    <n v="0"/>
  </r>
  <r>
    <x v="205"/>
    <s v="Ryszarda"/>
    <s v="Januszek"/>
    <n v="9"/>
    <x v="0"/>
    <n v="0"/>
  </r>
  <r>
    <x v="205"/>
    <s v="Aleks"/>
    <s v="Wojcicki"/>
    <n v="15"/>
    <x v="0"/>
    <n v="0"/>
  </r>
  <r>
    <x v="205"/>
    <s v="Stanislaw"/>
    <s v="Dabrowski"/>
    <n v="6"/>
    <x v="0"/>
    <n v="0"/>
  </r>
  <r>
    <x v="205"/>
    <s v="Joanna"/>
    <s v="Janas"/>
    <n v="13"/>
    <x v="0"/>
    <n v="0"/>
  </r>
  <r>
    <x v="205"/>
    <s v="Monika"/>
    <s v="Lis"/>
    <n v="7"/>
    <x v="0"/>
    <n v="0"/>
  </r>
  <r>
    <x v="205"/>
    <s v="Karol"/>
    <s v="Walasz"/>
    <n v="34"/>
    <x v="0"/>
    <n v="0"/>
  </r>
  <r>
    <x v="205"/>
    <s v="Kinga"/>
    <s v="Trawinska"/>
    <n v="4"/>
    <x v="0"/>
    <n v="0"/>
  </r>
  <r>
    <x v="205"/>
    <s v="Adam"/>
    <s v="Susel"/>
    <n v="17"/>
    <x v="0"/>
    <n v="1"/>
  </r>
  <r>
    <x v="206"/>
    <s v="Bruno"/>
    <s v="Tomaszewski"/>
    <n v="5"/>
    <x v="1"/>
    <n v="0"/>
  </r>
  <r>
    <x v="206"/>
    <s v="Maciej"/>
    <s v="Wodecki"/>
    <n v="9"/>
    <x v="1"/>
    <n v="0"/>
  </r>
  <r>
    <x v="206"/>
    <s v="Alicja"/>
    <s v="Gadek"/>
    <n v="12"/>
    <x v="1"/>
    <n v="0"/>
  </r>
  <r>
    <x v="206"/>
    <s v="Anna"/>
    <s v="Zender"/>
    <n v="22"/>
    <x v="1"/>
    <n v="0"/>
  </r>
  <r>
    <x v="206"/>
    <s v="Kacper"/>
    <s v="Niec"/>
    <n v="4"/>
    <x v="1"/>
    <n v="0"/>
  </r>
  <r>
    <x v="206"/>
    <s v="Ilona"/>
    <s v="Lukaszewska"/>
    <n v="12"/>
    <x v="1"/>
    <n v="0"/>
  </r>
  <r>
    <x v="206"/>
    <s v="Anna"/>
    <s v="Wnuk"/>
    <n v="5"/>
    <x v="1"/>
    <n v="0"/>
  </r>
  <r>
    <x v="206"/>
    <s v="Kornelia"/>
    <s v="Nowakowska"/>
    <n v="9"/>
    <x v="1"/>
    <n v="0"/>
  </r>
  <r>
    <x v="206"/>
    <s v="Maciej"/>
    <s v="Machalski"/>
    <n v="8"/>
    <x v="1"/>
    <n v="0"/>
  </r>
  <r>
    <x v="206"/>
    <s v="Leon"/>
    <s v="Szybki"/>
    <n v="25"/>
    <x v="1"/>
    <n v="0"/>
  </r>
  <r>
    <x v="206"/>
    <s v="Adam"/>
    <s v="Zega"/>
    <n v="2"/>
    <x v="1"/>
    <n v="0"/>
  </r>
  <r>
    <x v="206"/>
    <s v="Jan"/>
    <s v="Jarek"/>
    <n v="22"/>
    <x v="1"/>
    <n v="0"/>
  </r>
  <r>
    <x v="206"/>
    <s v="Adam"/>
    <s v="Madejski"/>
    <n v="23"/>
    <x v="1"/>
    <n v="0"/>
  </r>
  <r>
    <x v="206"/>
    <s v="Zofia"/>
    <s v="Barak"/>
    <n v="14"/>
    <x v="1"/>
    <n v="0"/>
  </r>
  <r>
    <x v="206"/>
    <s v="Jakub"/>
    <s v="Radomski"/>
    <n v="7"/>
    <x v="1"/>
    <n v="1"/>
  </r>
  <r>
    <x v="207"/>
    <s v="Joanna"/>
    <s v="Oleksiak"/>
    <n v="37"/>
    <x v="2"/>
    <n v="0"/>
  </r>
  <r>
    <x v="207"/>
    <s v="Julia"/>
    <s v="Samulczyk"/>
    <n v="18"/>
    <x v="2"/>
    <n v="0"/>
  </r>
  <r>
    <x v="207"/>
    <s v="Tomasz"/>
    <s v="Hajdi"/>
    <n v="7"/>
    <x v="2"/>
    <n v="0"/>
  </r>
  <r>
    <x v="207"/>
    <s v="Ewaryst"/>
    <s v="Zdunek"/>
    <n v="24"/>
    <x v="2"/>
    <n v="0"/>
  </r>
  <r>
    <x v="207"/>
    <s v="Andrzej"/>
    <s v="Augustowski"/>
    <n v="2"/>
    <x v="2"/>
    <n v="0"/>
  </r>
  <r>
    <x v="207"/>
    <s v="Joanna"/>
    <s v="Kopacki"/>
    <n v="16"/>
    <x v="2"/>
    <n v="0"/>
  </r>
  <r>
    <x v="207"/>
    <s v="Ryszarda"/>
    <s v="Januszek"/>
    <n v="11"/>
    <x v="2"/>
    <n v="0"/>
  </r>
  <r>
    <x v="207"/>
    <s v="Wiera"/>
    <s v="Nowak"/>
    <n v="27"/>
    <x v="2"/>
    <n v="0"/>
  </r>
  <r>
    <x v="207"/>
    <s v="Marta"/>
    <s v="Wiosna"/>
    <n v="27"/>
    <x v="2"/>
    <n v="0"/>
  </r>
  <r>
    <x v="207"/>
    <s v="Krzysztof"/>
    <s v="Kukulski"/>
    <n v="42"/>
    <x v="2"/>
    <n v="0"/>
  </r>
  <r>
    <x v="207"/>
    <s v="Bruno"/>
    <s v="Tomaszewski"/>
    <n v="10"/>
    <x v="2"/>
    <n v="0"/>
  </r>
  <r>
    <x v="207"/>
    <s v="Monika"/>
    <s v="Trojan"/>
    <n v="28"/>
    <x v="2"/>
    <n v="0"/>
  </r>
  <r>
    <x v="207"/>
    <s v="Antoni"/>
    <s v="Wierzbicki"/>
    <n v="13"/>
    <x v="2"/>
    <n v="0"/>
  </r>
  <r>
    <x v="207"/>
    <s v="Edward"/>
    <s v="Snopek"/>
    <n v="29"/>
    <x v="2"/>
    <n v="0"/>
  </r>
  <r>
    <x v="207"/>
    <s v="Grzegorz"/>
    <s v="Kaminski"/>
    <n v="46"/>
    <x v="2"/>
    <n v="1"/>
  </r>
  <r>
    <x v="208"/>
    <s v="Borys"/>
    <s v="Winiarski"/>
    <n v="5"/>
    <x v="3"/>
    <n v="0"/>
  </r>
  <r>
    <x v="208"/>
    <s v="Bruno"/>
    <s v="Tomczyk"/>
    <n v="35"/>
    <x v="3"/>
    <n v="0"/>
  </r>
  <r>
    <x v="208"/>
    <s v="Anna"/>
    <s v="Trzebiatowska"/>
    <n v="5"/>
    <x v="3"/>
    <n v="0"/>
  </r>
  <r>
    <x v="208"/>
    <s v="Kacper"/>
    <s v="Pioro"/>
    <n v="35"/>
    <x v="3"/>
    <n v="0"/>
  </r>
  <r>
    <x v="208"/>
    <s v="Maria"/>
    <s v="Galas"/>
    <n v="8"/>
    <x v="3"/>
    <n v="0"/>
  </r>
  <r>
    <x v="208"/>
    <s v="Izabela"/>
    <s v="Sobota"/>
    <n v="44"/>
    <x v="3"/>
    <n v="0"/>
  </r>
  <r>
    <x v="208"/>
    <s v="Izabela"/>
    <s v="Sobota"/>
    <n v="34"/>
    <x v="3"/>
    <n v="0"/>
  </r>
  <r>
    <x v="208"/>
    <s v="Antoni"/>
    <s v="Pawlus"/>
    <n v="6"/>
    <x v="3"/>
    <n v="0"/>
  </r>
  <r>
    <x v="208"/>
    <s v="Mariusz"/>
    <s v="Kornik"/>
    <n v="16"/>
    <x v="3"/>
    <n v="0"/>
  </r>
  <r>
    <x v="208"/>
    <s v="Michal"/>
    <s v="Lenski"/>
    <n v="32"/>
    <x v="3"/>
    <n v="0"/>
  </r>
  <r>
    <x v="208"/>
    <s v="Julia"/>
    <s v="Wolska"/>
    <n v="35"/>
    <x v="3"/>
    <n v="0"/>
  </r>
  <r>
    <x v="208"/>
    <s v="Bartosz"/>
    <s v="Tusinski"/>
    <n v="9"/>
    <x v="3"/>
    <n v="0"/>
  </r>
  <r>
    <x v="208"/>
    <s v="Antoni"/>
    <s v="Wizniewski"/>
    <n v="29"/>
    <x v="3"/>
    <n v="0"/>
  </r>
  <r>
    <x v="208"/>
    <s v="Dorota"/>
    <s v="Zdun"/>
    <n v="51"/>
    <x v="3"/>
    <n v="1"/>
  </r>
  <r>
    <x v="209"/>
    <s v="Przemyslaw"/>
    <s v="Widawski"/>
    <n v="14"/>
    <x v="4"/>
    <n v="0"/>
  </r>
  <r>
    <x v="209"/>
    <s v="Krzysztof"/>
    <s v="Madejski"/>
    <n v="6"/>
    <x v="4"/>
    <n v="0"/>
  </r>
  <r>
    <x v="209"/>
    <s v="Nikodem"/>
    <s v="Jakubowski"/>
    <n v="7"/>
    <x v="4"/>
    <n v="0"/>
  </r>
  <r>
    <x v="209"/>
    <s v="Krzysztof"/>
    <s v="Plecien"/>
    <n v="23"/>
    <x v="4"/>
    <n v="0"/>
  </r>
  <r>
    <x v="209"/>
    <s v="Mateusz"/>
    <s v="Kowalczyk"/>
    <n v="19"/>
    <x v="4"/>
    <n v="0"/>
  </r>
  <r>
    <x v="209"/>
    <s v="Borys"/>
    <s v="Winiarski"/>
    <n v="9"/>
    <x v="4"/>
    <n v="0"/>
  </r>
  <r>
    <x v="209"/>
    <s v="Lucja"/>
    <s v="Zych"/>
    <n v="24"/>
    <x v="4"/>
    <n v="0"/>
  </r>
  <r>
    <x v="209"/>
    <s v="Lidia"/>
    <s v="Goluchowska"/>
    <n v="22"/>
    <x v="4"/>
    <n v="0"/>
  </r>
  <r>
    <x v="209"/>
    <s v="Maria"/>
    <s v="Kowalczyk"/>
    <n v="22"/>
    <x v="4"/>
    <n v="0"/>
  </r>
  <r>
    <x v="209"/>
    <s v="Tomasz"/>
    <s v="Ogorek"/>
    <n v="31"/>
    <x v="4"/>
    <n v="0"/>
  </r>
  <r>
    <x v="209"/>
    <s v="Wojciech"/>
    <s v="Maja"/>
    <n v="4"/>
    <x v="4"/>
    <n v="0"/>
  </r>
  <r>
    <x v="209"/>
    <s v="Wieslawa"/>
    <s v="Nowak"/>
    <n v="2"/>
    <x v="4"/>
    <n v="0"/>
  </r>
  <r>
    <x v="209"/>
    <s v="Karolina"/>
    <s v="Bok"/>
    <n v="25"/>
    <x v="4"/>
    <n v="0"/>
  </r>
  <r>
    <x v="209"/>
    <s v="Tadeusz"/>
    <s v="Stoch"/>
    <n v="17"/>
    <x v="4"/>
    <n v="0"/>
  </r>
  <r>
    <x v="209"/>
    <s v="Natalia"/>
    <s v="Boryczko"/>
    <n v="6"/>
    <x v="4"/>
    <n v="0"/>
  </r>
  <r>
    <x v="209"/>
    <s v="Aleksander"/>
    <s v="Pasternak"/>
    <n v="21"/>
    <x v="4"/>
    <n v="0"/>
  </r>
  <r>
    <x v="209"/>
    <s v="Krzysztof"/>
    <s v="Micun"/>
    <n v="26"/>
    <x v="4"/>
    <n v="1"/>
  </r>
  <r>
    <x v="210"/>
    <s v="Julian"/>
    <s v="Snopek"/>
    <n v="41"/>
    <x v="0"/>
    <n v="0"/>
  </r>
  <r>
    <x v="210"/>
    <s v="Julia"/>
    <s v="Zaremba"/>
    <n v="28"/>
    <x v="0"/>
    <n v="0"/>
  </r>
  <r>
    <x v="210"/>
    <s v="Stanislaw"/>
    <s v="Cieslik"/>
    <n v="11"/>
    <x v="0"/>
    <n v="0"/>
  </r>
  <r>
    <x v="210"/>
    <s v="Marta"/>
    <s v="Opolska"/>
    <n v="27"/>
    <x v="0"/>
    <n v="0"/>
  </r>
  <r>
    <x v="210"/>
    <s v="Krzysztof"/>
    <s v="Madejski"/>
    <n v="14"/>
    <x v="0"/>
    <n v="0"/>
  </r>
  <r>
    <x v="210"/>
    <s v="Ryszard"/>
    <s v="Matusik"/>
    <n v="37"/>
    <x v="0"/>
    <n v="0"/>
  </r>
  <r>
    <x v="210"/>
    <s v="Marzena"/>
    <s v="Gajek"/>
    <n v="49"/>
    <x v="0"/>
    <n v="0"/>
  </r>
  <r>
    <x v="210"/>
    <s v="Wieslaw"/>
    <s v="Kasza"/>
    <n v="12"/>
    <x v="0"/>
    <n v="0"/>
  </r>
  <r>
    <x v="210"/>
    <s v="Helena"/>
    <s v="Stachurska"/>
    <n v="16"/>
    <x v="0"/>
    <n v="0"/>
  </r>
  <r>
    <x v="210"/>
    <s v="Julia"/>
    <s v="Sadowska"/>
    <n v="20"/>
    <x v="0"/>
    <n v="0"/>
  </r>
  <r>
    <x v="210"/>
    <s v="Maria"/>
    <s v="Orlicki"/>
    <n v="19"/>
    <x v="0"/>
    <n v="0"/>
  </r>
  <r>
    <x v="210"/>
    <s v="Milena"/>
    <s v="Karolewska"/>
    <n v="17"/>
    <x v="0"/>
    <n v="0"/>
  </r>
  <r>
    <x v="210"/>
    <s v="Julian"/>
    <s v="Snopek"/>
    <n v="24"/>
    <x v="0"/>
    <n v="0"/>
  </r>
  <r>
    <x v="210"/>
    <s v="Bartosz"/>
    <s v="Protasow"/>
    <n v="28"/>
    <x v="0"/>
    <n v="0"/>
  </r>
  <r>
    <x v="210"/>
    <s v="Adam"/>
    <s v="Zega"/>
    <n v="14"/>
    <x v="0"/>
    <n v="0"/>
  </r>
  <r>
    <x v="210"/>
    <s v="Malgorzata"/>
    <s v="Winiarska"/>
    <n v="47"/>
    <x v="0"/>
    <n v="0"/>
  </r>
  <r>
    <x v="210"/>
    <s v="Krzysztof"/>
    <s v="Las"/>
    <n v="6"/>
    <x v="0"/>
    <n v="1"/>
  </r>
  <r>
    <x v="211"/>
    <s v="Morus"/>
    <s v="Jasiak"/>
    <n v="20"/>
    <x v="1"/>
    <n v="0"/>
  </r>
  <r>
    <x v="211"/>
    <s v="Kamila"/>
    <s v="Janas"/>
    <n v="9"/>
    <x v="1"/>
    <n v="0"/>
  </r>
  <r>
    <x v="211"/>
    <s v="Ewa"/>
    <s v="Nowicka"/>
    <n v="43"/>
    <x v="1"/>
    <n v="0"/>
  </r>
  <r>
    <x v="211"/>
    <s v="Adrian"/>
    <s v="Wydrzynski"/>
    <n v="50"/>
    <x v="1"/>
    <n v="0"/>
  </r>
  <r>
    <x v="211"/>
    <s v="Jan"/>
    <s v="Gumowski"/>
    <n v="13"/>
    <x v="1"/>
    <n v="0"/>
  </r>
  <r>
    <x v="211"/>
    <s v="Jerzy"/>
    <s v="Szklarski"/>
    <n v="30"/>
    <x v="1"/>
    <n v="0"/>
  </r>
  <r>
    <x v="211"/>
    <s v="Michalina"/>
    <s v="Klebba"/>
    <n v="7"/>
    <x v="1"/>
    <n v="0"/>
  </r>
  <r>
    <x v="211"/>
    <s v="Krzysztof"/>
    <s v="Koncewicz"/>
    <n v="52"/>
    <x v="1"/>
    <n v="0"/>
  </r>
  <r>
    <x v="211"/>
    <s v="Jan"/>
    <s v="Pistek"/>
    <n v="7"/>
    <x v="1"/>
    <n v="0"/>
  </r>
  <r>
    <x v="211"/>
    <s v="Dorota"/>
    <s v="Gumowska"/>
    <n v="6"/>
    <x v="1"/>
    <n v="0"/>
  </r>
  <r>
    <x v="211"/>
    <s v="Maciej"/>
    <s v="Wodecki"/>
    <n v="4"/>
    <x v="1"/>
    <n v="0"/>
  </r>
  <r>
    <x v="211"/>
    <s v="Bartosz"/>
    <s v="Debicki"/>
    <n v="56"/>
    <x v="1"/>
    <n v="0"/>
  </r>
  <r>
    <x v="211"/>
    <s v="Lena"/>
    <s v="Marzec"/>
    <n v="54"/>
    <x v="1"/>
    <n v="0"/>
  </r>
  <r>
    <x v="211"/>
    <s v="Tomasz"/>
    <s v="Zbik"/>
    <n v="10"/>
    <x v="1"/>
    <n v="0"/>
  </r>
  <r>
    <x v="211"/>
    <s v="Ewa"/>
    <s v="Stoch"/>
    <n v="4"/>
    <x v="1"/>
    <n v="0"/>
  </r>
  <r>
    <x v="211"/>
    <s v="Edward"/>
    <s v="Snopek"/>
    <n v="27"/>
    <x v="1"/>
    <n v="0"/>
  </r>
  <r>
    <x v="211"/>
    <s v="Krzysztof"/>
    <s v="Wilecki"/>
    <n v="10"/>
    <x v="1"/>
    <n v="1"/>
  </r>
  <r>
    <x v="212"/>
    <s v="Jaroslaw"/>
    <s v="Kopytko"/>
    <n v="11"/>
    <x v="2"/>
    <n v="0"/>
  </r>
  <r>
    <x v="212"/>
    <s v="Filip"/>
    <s v="Strehlke"/>
    <n v="46"/>
    <x v="2"/>
    <n v="0"/>
  </r>
  <r>
    <x v="212"/>
    <s v="Filip"/>
    <s v="Strupiechowski"/>
    <n v="28"/>
    <x v="2"/>
    <n v="0"/>
  </r>
  <r>
    <x v="212"/>
    <s v="Wieslawa"/>
    <s v="Biczysko"/>
    <n v="21"/>
    <x v="2"/>
    <n v="0"/>
  </r>
  <r>
    <x v="212"/>
    <s v="Filip"/>
    <s v="Stanulewicz"/>
    <n v="2"/>
    <x v="2"/>
    <n v="0"/>
  </r>
  <r>
    <x v="212"/>
    <s v="Bonifacy"/>
    <s v="Pleszewski"/>
    <n v="15"/>
    <x v="2"/>
    <n v="0"/>
  </r>
  <r>
    <x v="212"/>
    <s v="Natalia"/>
    <s v="Belicka"/>
    <n v="34"/>
    <x v="2"/>
    <n v="0"/>
  </r>
  <r>
    <x v="212"/>
    <s v="Anna"/>
    <s v="Zender"/>
    <n v="52"/>
    <x v="2"/>
    <n v="0"/>
  </r>
  <r>
    <x v="212"/>
    <s v="Karolina"/>
    <s v="Karpacka"/>
    <n v="49"/>
    <x v="2"/>
    <n v="0"/>
  </r>
  <r>
    <x v="212"/>
    <s v="Kacper"/>
    <s v="Nikolajew"/>
    <n v="4"/>
    <x v="2"/>
    <n v="0"/>
  </r>
  <r>
    <x v="212"/>
    <s v="Ewelina"/>
    <s v="Bialkowska"/>
    <n v="17"/>
    <x v="2"/>
    <n v="0"/>
  </r>
  <r>
    <x v="212"/>
    <s v="Urszula"/>
    <s v="Engel"/>
    <n v="8"/>
    <x v="2"/>
    <n v="0"/>
  </r>
  <r>
    <x v="212"/>
    <s v="Agata"/>
    <s v="Zdrojewska"/>
    <n v="39"/>
    <x v="2"/>
    <n v="0"/>
  </r>
  <r>
    <x v="212"/>
    <s v="Marcin"/>
    <s v="Gizinski"/>
    <n v="32"/>
    <x v="2"/>
    <n v="0"/>
  </r>
  <r>
    <x v="212"/>
    <s v="Patrycja"/>
    <s v="Grzeszcz"/>
    <n v="12"/>
    <x v="2"/>
    <n v="0"/>
  </r>
  <r>
    <x v="212"/>
    <s v="Marta"/>
    <s v="Kolodziejczyk"/>
    <n v="10"/>
    <x v="2"/>
    <n v="1"/>
  </r>
  <r>
    <x v="213"/>
    <s v="Malgorzata"/>
    <s v="Wiecek"/>
    <n v="9"/>
    <x v="3"/>
    <n v="0"/>
  </r>
  <r>
    <x v="213"/>
    <s v="Ewa"/>
    <s v="Milion"/>
    <n v="26"/>
    <x v="3"/>
    <n v="0"/>
  </r>
  <r>
    <x v="213"/>
    <s v="Anna"/>
    <s v="Jopek"/>
    <n v="25"/>
    <x v="3"/>
    <n v="0"/>
  </r>
  <r>
    <x v="213"/>
    <s v="Joanna"/>
    <s v="Baranska"/>
    <n v="2"/>
    <x v="3"/>
    <n v="0"/>
  </r>
  <r>
    <x v="213"/>
    <s v="Maria"/>
    <s v="Kowalczuk"/>
    <n v="23"/>
    <x v="3"/>
    <n v="0"/>
  </r>
  <r>
    <x v="213"/>
    <s v="Balbina"/>
    <s v="Madej"/>
    <n v="27"/>
    <x v="3"/>
    <n v="1"/>
  </r>
  <r>
    <x v="214"/>
    <s v="Edgar"/>
    <s v="Wyszomirski"/>
    <n v="12"/>
    <x v="4"/>
    <n v="0"/>
  </r>
  <r>
    <x v="214"/>
    <s v="Karol"/>
    <s v="Wojciechowski"/>
    <n v="22"/>
    <x v="4"/>
    <n v="0"/>
  </r>
  <r>
    <x v="214"/>
    <s v="Wieslawa"/>
    <s v="Biczysko"/>
    <n v="22"/>
    <x v="4"/>
    <n v="0"/>
  </r>
  <r>
    <x v="214"/>
    <s v="Maciej"/>
    <s v="Kopacz"/>
    <n v="13"/>
    <x v="4"/>
    <n v="0"/>
  </r>
  <r>
    <x v="214"/>
    <s v="Kazimierz"/>
    <s v="Bartosik"/>
    <n v="8"/>
    <x v="4"/>
    <n v="0"/>
  </r>
  <r>
    <x v="214"/>
    <s v="Ewa"/>
    <s v="Spoko"/>
    <n v="29"/>
    <x v="4"/>
    <n v="1"/>
  </r>
  <r>
    <x v="215"/>
    <s v="Kacper"/>
    <s v="Kowalski"/>
    <n v="22"/>
    <x v="0"/>
    <n v="0"/>
  </r>
  <r>
    <x v="215"/>
    <s v="Barbara"/>
    <s v="Kilarski"/>
    <n v="16"/>
    <x v="0"/>
    <n v="0"/>
  </r>
  <r>
    <x v="215"/>
    <s v="Kamil"/>
    <s v="Pudelski"/>
    <n v="56"/>
    <x v="0"/>
    <n v="0"/>
  </r>
  <r>
    <x v="215"/>
    <s v="Przemyslaw"/>
    <s v="Marek"/>
    <n v="3"/>
    <x v="0"/>
    <n v="0"/>
  </r>
  <r>
    <x v="215"/>
    <s v="Kinga"/>
    <s v="Famura"/>
    <n v="46"/>
    <x v="0"/>
    <n v="0"/>
  </r>
  <r>
    <x v="215"/>
    <s v="Ilona"/>
    <s v="Gorska"/>
    <n v="28"/>
    <x v="0"/>
    <n v="1"/>
  </r>
  <r>
    <x v="216"/>
    <s v="Filip"/>
    <s v="Strupiechowski"/>
    <n v="42"/>
    <x v="1"/>
    <n v="0"/>
  </r>
  <r>
    <x v="216"/>
    <s v="Ewa"/>
    <s v="Milion"/>
    <n v="7"/>
    <x v="1"/>
    <n v="0"/>
  </r>
  <r>
    <x v="216"/>
    <s v="Dominika"/>
    <s v="Nowakowska"/>
    <n v="18"/>
    <x v="1"/>
    <n v="0"/>
  </r>
  <r>
    <x v="216"/>
    <s v="Krzysztof"/>
    <s v="Dwa"/>
    <n v="16"/>
    <x v="1"/>
    <n v="0"/>
  </r>
  <r>
    <x v="216"/>
    <s v="Marcin"/>
    <s v="Tabaka"/>
    <n v="12"/>
    <x v="1"/>
    <n v="0"/>
  </r>
  <r>
    <x v="216"/>
    <s v="Mariusz"/>
    <s v="Kornik"/>
    <n v="4"/>
    <x v="1"/>
    <n v="0"/>
  </r>
  <r>
    <x v="216"/>
    <s v="Stefan"/>
    <s v="Bajer"/>
    <n v="36"/>
    <x v="1"/>
    <n v="0"/>
  </r>
  <r>
    <x v="216"/>
    <s v="Marcin"/>
    <s v="Gizinski"/>
    <n v="22"/>
    <x v="1"/>
    <n v="0"/>
  </r>
  <r>
    <x v="216"/>
    <s v="Janusz"/>
    <s v="Baka"/>
    <n v="22"/>
    <x v="1"/>
    <n v="0"/>
  </r>
  <r>
    <x v="216"/>
    <s v="Aleksander"/>
    <s v="Pasternak"/>
    <n v="10"/>
    <x v="1"/>
    <n v="0"/>
  </r>
  <r>
    <x v="216"/>
    <s v="Leon"/>
    <s v="Szybki"/>
    <n v="3"/>
    <x v="1"/>
    <n v="0"/>
  </r>
  <r>
    <x v="216"/>
    <s v="Piotr"/>
    <s v="Polkowicki"/>
    <n v="8"/>
    <x v="1"/>
    <n v="0"/>
  </r>
  <r>
    <x v="216"/>
    <s v="Ignacy"/>
    <s v="Sarnowski"/>
    <n v="7"/>
    <x v="1"/>
    <n v="0"/>
  </r>
  <r>
    <x v="216"/>
    <s v="Ewa"/>
    <s v="Stoch"/>
    <n v="29"/>
    <x v="1"/>
    <n v="0"/>
  </r>
  <r>
    <x v="216"/>
    <s v="Marek"/>
    <s v="Janowski"/>
    <n v="7"/>
    <x v="1"/>
    <n v="0"/>
  </r>
  <r>
    <x v="216"/>
    <s v="Alicja"/>
    <s v="Chmiel"/>
    <n v="20"/>
    <x v="1"/>
    <n v="0"/>
  </r>
  <r>
    <x v="216"/>
    <s v="Karol"/>
    <s v="Wojciechowski"/>
    <n v="13"/>
    <x v="1"/>
    <n v="1"/>
  </r>
  <r>
    <x v="217"/>
    <s v="Adam"/>
    <s v="Wata"/>
    <n v="12"/>
    <x v="2"/>
    <n v="0"/>
  </r>
  <r>
    <x v="217"/>
    <s v="Karol"/>
    <s v="Walasz"/>
    <n v="16"/>
    <x v="2"/>
    <n v="0"/>
  </r>
  <r>
    <x v="217"/>
    <s v="Hubert"/>
    <s v="Pieczatowski"/>
    <n v="11"/>
    <x v="2"/>
    <n v="0"/>
  </r>
  <r>
    <x v="217"/>
    <s v="Barbara"/>
    <s v="Podobinska"/>
    <n v="40"/>
    <x v="2"/>
    <n v="0"/>
  </r>
  <r>
    <x v="217"/>
    <s v="Jakub"/>
    <s v="Rembiewski"/>
    <n v="34"/>
    <x v="2"/>
    <n v="0"/>
  </r>
  <r>
    <x v="217"/>
    <s v="Wieslawa"/>
    <s v="Nowak"/>
    <n v="36"/>
    <x v="2"/>
    <n v="0"/>
  </r>
  <r>
    <x v="217"/>
    <s v="Zuzanna"/>
    <s v="Malicki"/>
    <n v="19"/>
    <x v="2"/>
    <n v="0"/>
  </r>
  <r>
    <x v="217"/>
    <s v="Marta"/>
    <s v="Wiosna"/>
    <n v="22"/>
    <x v="2"/>
    <n v="0"/>
  </r>
  <r>
    <x v="217"/>
    <s v="Wojciech"/>
    <s v="Wroblewski"/>
    <n v="12"/>
    <x v="2"/>
    <n v="0"/>
  </r>
  <r>
    <x v="217"/>
    <s v="Anna"/>
    <s v="Jopek"/>
    <n v="28"/>
    <x v="2"/>
    <n v="0"/>
  </r>
  <r>
    <x v="217"/>
    <s v="Jakub"/>
    <s v="Ropiak"/>
    <n v="48"/>
    <x v="2"/>
    <n v="0"/>
  </r>
  <r>
    <x v="217"/>
    <s v="Malwina"/>
    <s v="Korzeniowska"/>
    <n v="25"/>
    <x v="2"/>
    <n v="0"/>
  </r>
  <r>
    <x v="217"/>
    <s v="Gabriela"/>
    <s v="Malinowska"/>
    <n v="16"/>
    <x v="2"/>
    <n v="0"/>
  </r>
  <r>
    <x v="217"/>
    <s v="Adelajda"/>
    <s v="Zylinska"/>
    <n v="12"/>
    <x v="2"/>
    <n v="0"/>
  </r>
  <r>
    <x v="217"/>
    <s v="Wojciech"/>
    <s v="Katowicki"/>
    <n v="28"/>
    <x v="2"/>
    <n v="0"/>
  </r>
  <r>
    <x v="217"/>
    <s v="Maciej"/>
    <s v="Siemiatkowski"/>
    <n v="12"/>
    <x v="2"/>
    <n v="0"/>
  </r>
  <r>
    <x v="217"/>
    <s v="Zbigniew"/>
    <s v="Maciag"/>
    <n v="17"/>
    <x v="2"/>
    <n v="1"/>
  </r>
  <r>
    <x v="218"/>
    <s v="Albert"/>
    <s v="Pleszewski"/>
    <n v="16"/>
    <x v="3"/>
    <n v="0"/>
  </r>
  <r>
    <x v="218"/>
    <s v="Krzysztof"/>
    <s v="Sobieski"/>
    <n v="14"/>
    <x v="3"/>
    <n v="0"/>
  </r>
  <r>
    <x v="218"/>
    <s v="Monika"/>
    <s v="Placzek"/>
    <n v="25"/>
    <x v="3"/>
    <n v="0"/>
  </r>
  <r>
    <x v="218"/>
    <s v="Julia"/>
    <s v="Stuhr"/>
    <n v="15"/>
    <x v="3"/>
    <n v="0"/>
  </r>
  <r>
    <x v="218"/>
    <s v="Jerzy"/>
    <s v="Polanicki"/>
    <n v="16"/>
    <x v="3"/>
    <n v="0"/>
  </r>
  <r>
    <x v="218"/>
    <s v="Anastazja"/>
    <s v="Borowska"/>
    <n v="35"/>
    <x v="3"/>
    <n v="1"/>
  </r>
  <r>
    <x v="219"/>
    <s v="Olgierd"/>
    <s v="Baranek"/>
    <n v="2"/>
    <x v="4"/>
    <n v="0"/>
  </r>
  <r>
    <x v="219"/>
    <s v="Nikodem"/>
    <s v="Jama"/>
    <n v="5"/>
    <x v="4"/>
    <n v="0"/>
  </r>
  <r>
    <x v="219"/>
    <s v="Julia"/>
    <s v="Riegel"/>
    <n v="14"/>
    <x v="4"/>
    <n v="0"/>
  </r>
  <r>
    <x v="219"/>
    <s v="Kacper"/>
    <s v="Niec"/>
    <n v="29"/>
    <x v="4"/>
    <n v="0"/>
  </r>
  <r>
    <x v="219"/>
    <s v="Dorota"/>
    <s v="Adamus"/>
    <n v="13"/>
    <x v="4"/>
    <n v="0"/>
  </r>
  <r>
    <x v="219"/>
    <s v="Lidia"/>
    <s v="Tarnowska"/>
    <n v="24"/>
    <x v="4"/>
    <n v="1"/>
  </r>
  <r>
    <x v="220"/>
    <s v="Malgorzata"/>
    <s v="Karlowski"/>
    <n v="2"/>
    <x v="0"/>
    <n v="0"/>
  </r>
  <r>
    <x v="220"/>
    <s v="Filip"/>
    <s v="Sobol"/>
    <n v="31"/>
    <x v="0"/>
    <n v="0"/>
  </r>
  <r>
    <x v="220"/>
    <s v="Kamila"/>
    <s v="Knapik"/>
    <n v="18"/>
    <x v="0"/>
    <n v="0"/>
  </r>
  <r>
    <x v="220"/>
    <s v="Patryk"/>
    <s v="Gibas"/>
    <n v="3"/>
    <x v="0"/>
    <n v="0"/>
  </r>
  <r>
    <x v="220"/>
    <s v="Barbara"/>
    <s v="Kilarski"/>
    <n v="30"/>
    <x v="0"/>
    <n v="0"/>
  </r>
  <r>
    <x v="220"/>
    <s v="Amelia"/>
    <s v="Wilk"/>
    <n v="5"/>
    <x v="0"/>
    <n v="1"/>
  </r>
  <r>
    <x v="221"/>
    <s v="Malwina"/>
    <s v="Korzeniowska"/>
    <n v="13"/>
    <x v="1"/>
    <n v="0"/>
  </r>
  <r>
    <x v="221"/>
    <s v="Wiera"/>
    <s v="Nowak"/>
    <n v="16"/>
    <x v="1"/>
    <n v="0"/>
  </r>
  <r>
    <x v="221"/>
    <s v="Maksymilian"/>
    <s v="Lupa"/>
    <n v="3"/>
    <x v="1"/>
    <n v="0"/>
  </r>
  <r>
    <x v="221"/>
    <s v="Mateusz"/>
    <s v="Krawczyk"/>
    <n v="50"/>
    <x v="1"/>
    <n v="0"/>
  </r>
  <r>
    <x v="221"/>
    <s v="Dominika"/>
    <s v="Mierny"/>
    <n v="25"/>
    <x v="1"/>
    <n v="0"/>
  </r>
  <r>
    <x v="221"/>
    <s v="Protazy"/>
    <s v="Warszawski"/>
    <n v="16"/>
    <x v="1"/>
    <n v="1"/>
  </r>
  <r>
    <x v="222"/>
    <s v="Michal"/>
    <s v="Polaczek"/>
    <n v="13"/>
    <x v="2"/>
    <n v="0"/>
  </r>
  <r>
    <x v="222"/>
    <s v="Szymon"/>
    <s v="Mrozniak"/>
    <n v="13"/>
    <x v="2"/>
    <n v="0"/>
  </r>
  <r>
    <x v="222"/>
    <s v="Lukasz"/>
    <s v="Pawlik"/>
    <n v="15"/>
    <x v="2"/>
    <n v="0"/>
  </r>
  <r>
    <x v="222"/>
    <s v="Wieslawa"/>
    <s v="Nowak"/>
    <n v="41"/>
    <x v="2"/>
    <n v="0"/>
  </r>
  <r>
    <x v="222"/>
    <s v="Nikodem"/>
    <s v="Jablonski"/>
    <n v="50"/>
    <x v="2"/>
    <n v="0"/>
  </r>
  <r>
    <x v="222"/>
    <s v="Daria"/>
    <s v="Zagrobna"/>
    <n v="26"/>
    <x v="2"/>
    <n v="1"/>
  </r>
  <r>
    <x v="223"/>
    <s v="Adrian"/>
    <s v="Zawisza"/>
    <n v="10"/>
    <x v="3"/>
    <n v="0"/>
  </r>
  <r>
    <x v="223"/>
    <s v="Hubert"/>
    <s v="Smyk"/>
    <n v="10"/>
    <x v="3"/>
    <n v="0"/>
  </r>
  <r>
    <x v="223"/>
    <s v="Adela"/>
    <s v="Waruszewska"/>
    <n v="20"/>
    <x v="3"/>
    <n v="0"/>
  </r>
  <r>
    <x v="223"/>
    <s v="Tomasz"/>
    <s v="Tytan"/>
    <n v="26"/>
    <x v="3"/>
    <n v="0"/>
  </r>
  <r>
    <x v="223"/>
    <s v="Maja"/>
    <s v="Kwidczynska"/>
    <n v="27"/>
    <x v="3"/>
    <n v="0"/>
  </r>
  <r>
    <x v="223"/>
    <s v="Wojciech"/>
    <s v="Czyzewski"/>
    <n v="24"/>
    <x v="3"/>
    <n v="1"/>
  </r>
  <r>
    <x v="224"/>
    <s v="Julia"/>
    <s v="Reclaw"/>
    <n v="41"/>
    <x v="4"/>
    <n v="0"/>
  </r>
  <r>
    <x v="224"/>
    <s v="Bohdan"/>
    <s v="Gigant"/>
    <n v="8"/>
    <x v="4"/>
    <n v="0"/>
  </r>
  <r>
    <x v="224"/>
    <s v="Adam"/>
    <s v="Czarnecki"/>
    <n v="30"/>
    <x v="4"/>
    <n v="0"/>
  </r>
  <r>
    <x v="224"/>
    <s v="Wiera"/>
    <s v="Nowak"/>
    <n v="30"/>
    <x v="4"/>
    <n v="0"/>
  </r>
  <r>
    <x v="224"/>
    <s v="Patryk"/>
    <s v="Glac"/>
    <n v="13"/>
    <x v="4"/>
    <n v="0"/>
  </r>
  <r>
    <x v="224"/>
    <s v="Inez"/>
    <s v="Nahaj"/>
    <n v="27"/>
    <x v="4"/>
    <n v="0"/>
  </r>
  <r>
    <x v="224"/>
    <s v="Emilia"/>
    <s v="Mroczek"/>
    <n v="41"/>
    <x v="4"/>
    <n v="0"/>
  </r>
  <r>
    <x v="224"/>
    <s v="Szymon"/>
    <s v="Polak"/>
    <n v="21"/>
    <x v="4"/>
    <n v="0"/>
  </r>
  <r>
    <x v="224"/>
    <s v="Janusz"/>
    <s v="Wrobel"/>
    <n v="52"/>
    <x v="4"/>
    <n v="0"/>
  </r>
  <r>
    <x v="224"/>
    <s v="Urszula"/>
    <s v="Engel"/>
    <n v="23"/>
    <x v="4"/>
    <n v="0"/>
  </r>
  <r>
    <x v="224"/>
    <s v="Jakub"/>
    <s v="Potocki"/>
    <n v="32"/>
    <x v="4"/>
    <n v="0"/>
  </r>
  <r>
    <x v="224"/>
    <s v="Ilona"/>
    <s v="Lukaszewska"/>
    <n v="33"/>
    <x v="4"/>
    <n v="0"/>
  </r>
  <r>
    <x v="224"/>
    <s v="Jacek"/>
    <s v="Bigaj"/>
    <n v="41"/>
    <x v="4"/>
    <n v="0"/>
  </r>
  <r>
    <x v="224"/>
    <s v="Monika"/>
    <s v="Trojan"/>
    <n v="29"/>
    <x v="4"/>
    <n v="0"/>
  </r>
  <r>
    <x v="224"/>
    <s v="Kamil"/>
    <s v="Waniek"/>
    <n v="25"/>
    <x v="4"/>
    <n v="0"/>
  </r>
  <r>
    <x v="224"/>
    <s v="Anna"/>
    <s v="Kraska"/>
    <n v="3"/>
    <x v="4"/>
    <n v="0"/>
  </r>
  <r>
    <x v="224"/>
    <s v="Jan"/>
    <s v="Marasek"/>
    <n v="23"/>
    <x v="4"/>
    <n v="0"/>
  </r>
  <r>
    <x v="224"/>
    <s v="Mariola"/>
    <s v="Las"/>
    <n v="25"/>
    <x v="4"/>
    <n v="0"/>
  </r>
  <r>
    <x v="224"/>
    <s v="Kamil"/>
    <s v="Szyszko"/>
    <n v="29"/>
    <x v="4"/>
    <n v="1"/>
  </r>
  <r>
    <x v="225"/>
    <s v="Anna"/>
    <s v="Wilk"/>
    <n v="24"/>
    <x v="0"/>
    <n v="0"/>
  </r>
  <r>
    <x v="225"/>
    <s v="Ryszard"/>
    <s v="Baranowski"/>
    <n v="19"/>
    <x v="0"/>
    <n v="0"/>
  </r>
  <r>
    <x v="225"/>
    <s v="Olgierd"/>
    <s v="Hazubski"/>
    <n v="7"/>
    <x v="0"/>
    <n v="0"/>
  </r>
  <r>
    <x v="225"/>
    <s v="Krzysztof"/>
    <s v="Micun"/>
    <n v="7"/>
    <x v="0"/>
    <n v="0"/>
  </r>
  <r>
    <x v="225"/>
    <s v="Marian"/>
    <s v="Bukalski"/>
    <n v="28"/>
    <x v="0"/>
    <n v="0"/>
  </r>
  <r>
    <x v="225"/>
    <s v="Dorian"/>
    <s v="Szczepkowski"/>
    <n v="50"/>
    <x v="0"/>
    <n v="0"/>
  </r>
  <r>
    <x v="225"/>
    <s v="Alicja"/>
    <s v="Walentowicz"/>
    <n v="8"/>
    <x v="0"/>
    <n v="0"/>
  </r>
  <r>
    <x v="225"/>
    <s v="Agnieszka"/>
    <s v="Matusik"/>
    <n v="3"/>
    <x v="0"/>
    <n v="0"/>
  </r>
  <r>
    <x v="225"/>
    <s v="Maja"/>
    <s v="Kaminska"/>
    <n v="13"/>
    <x v="0"/>
    <n v="0"/>
  </r>
  <r>
    <x v="225"/>
    <s v="Ewa"/>
    <s v="Wojna"/>
    <n v="17"/>
    <x v="0"/>
    <n v="0"/>
  </r>
  <r>
    <x v="225"/>
    <s v="Marzena"/>
    <s v="Jagielska"/>
    <n v="55"/>
    <x v="0"/>
    <n v="0"/>
  </r>
  <r>
    <x v="225"/>
    <s v="Krzysztof"/>
    <s v="Figurski"/>
    <n v="46"/>
    <x v="0"/>
    <n v="0"/>
  </r>
  <r>
    <x v="225"/>
    <s v="Marek"/>
    <s v="Sulejski"/>
    <n v="48"/>
    <x v="0"/>
    <n v="0"/>
  </r>
  <r>
    <x v="225"/>
    <s v="Tomasz"/>
    <s v="Ogorek"/>
    <n v="35"/>
    <x v="0"/>
    <n v="0"/>
  </r>
  <r>
    <x v="225"/>
    <s v="Kazimierz"/>
    <s v="Biedka"/>
    <n v="54"/>
    <x v="0"/>
    <n v="0"/>
  </r>
  <r>
    <x v="225"/>
    <s v="Wanda"/>
    <s v="Sadza"/>
    <n v="6"/>
    <x v="0"/>
    <n v="0"/>
  </r>
  <r>
    <x v="225"/>
    <s v="Ewa"/>
    <s v="Aderek"/>
    <n v="53"/>
    <x v="0"/>
    <n v="0"/>
  </r>
  <r>
    <x v="225"/>
    <s v="Julia"/>
    <s v="Zaremba"/>
    <n v="29"/>
    <x v="0"/>
    <n v="1"/>
  </r>
  <r>
    <x v="226"/>
    <s v="Bernard"/>
    <s v="Madej"/>
    <n v="35"/>
    <x v="1"/>
    <n v="0"/>
  </r>
  <r>
    <x v="226"/>
    <s v="Inez"/>
    <s v="Nahaj"/>
    <n v="24"/>
    <x v="1"/>
    <n v="0"/>
  </r>
  <r>
    <x v="226"/>
    <s v="Stanislaw"/>
    <s v="Janiec"/>
    <n v="25"/>
    <x v="1"/>
    <n v="0"/>
  </r>
  <r>
    <x v="226"/>
    <s v="Ewa"/>
    <s v="Wojna"/>
    <n v="10"/>
    <x v="1"/>
    <n v="0"/>
  </r>
  <r>
    <x v="226"/>
    <s v="Mariola"/>
    <s v="Las"/>
    <n v="10"/>
    <x v="1"/>
    <n v="0"/>
  </r>
  <r>
    <x v="226"/>
    <s v="Sebastian"/>
    <s v="Powoj"/>
    <n v="6"/>
    <x v="1"/>
    <n v="0"/>
  </r>
  <r>
    <x v="226"/>
    <s v="Karol"/>
    <s v="Milek"/>
    <n v="20"/>
    <x v="1"/>
    <n v="0"/>
  </r>
  <r>
    <x v="226"/>
    <s v="Emilia"/>
    <s v="Szczepanska"/>
    <n v="9"/>
    <x v="1"/>
    <n v="1"/>
  </r>
  <r>
    <x v="227"/>
    <s v="Helena"/>
    <s v="Stachurska"/>
    <n v="5"/>
    <x v="2"/>
    <n v="0"/>
  </r>
  <r>
    <x v="227"/>
    <s v="Joanna"/>
    <s v="Ottka"/>
    <n v="22"/>
    <x v="2"/>
    <n v="0"/>
  </r>
  <r>
    <x v="227"/>
    <s v="Monika"/>
    <s v="Placzek"/>
    <n v="10"/>
    <x v="2"/>
    <n v="0"/>
  </r>
  <r>
    <x v="227"/>
    <s v="Krzysztof"/>
    <s v="Plecien"/>
    <n v="13"/>
    <x v="2"/>
    <n v="0"/>
  </r>
  <r>
    <x v="227"/>
    <s v="Diana"/>
    <s v="Michalska"/>
    <n v="18"/>
    <x v="2"/>
    <n v="0"/>
  </r>
  <r>
    <x v="227"/>
    <s v="Justyna"/>
    <s v="Pozarzycka"/>
    <n v="5"/>
    <x v="2"/>
    <n v="0"/>
  </r>
  <r>
    <x v="227"/>
    <s v="Henryk"/>
    <s v="Siminski"/>
    <n v="26"/>
    <x v="2"/>
    <n v="0"/>
  </r>
  <r>
    <x v="227"/>
    <s v="Alicja"/>
    <s v="Wojciechowska"/>
    <n v="20"/>
    <x v="2"/>
    <n v="1"/>
  </r>
  <r>
    <x v="228"/>
    <s v="Weronika"/>
    <s v="Zdroj"/>
    <n v="11"/>
    <x v="3"/>
    <n v="0"/>
  </r>
  <r>
    <x v="228"/>
    <s v="Ewa"/>
    <s v="Zak"/>
    <n v="23"/>
    <x v="3"/>
    <n v="0"/>
  </r>
  <r>
    <x v="228"/>
    <s v="Bartosz"/>
    <s v="Mazgaj"/>
    <n v="12"/>
    <x v="3"/>
    <n v="0"/>
  </r>
  <r>
    <x v="228"/>
    <s v="Cyprian"/>
    <s v="Swierszcz"/>
    <n v="23"/>
    <x v="3"/>
    <n v="0"/>
  </r>
  <r>
    <x v="228"/>
    <s v="Natalia"/>
    <s v="Mroz"/>
    <n v="9"/>
    <x v="3"/>
    <n v="0"/>
  </r>
  <r>
    <x v="228"/>
    <s v="Karol"/>
    <s v="Hubicki"/>
    <n v="27"/>
    <x v="3"/>
    <n v="0"/>
  </r>
  <r>
    <x v="228"/>
    <s v="Piotr"/>
    <s v="Kania"/>
    <n v="26"/>
    <x v="3"/>
    <n v="0"/>
  </r>
  <r>
    <x v="228"/>
    <s v="Dawid"/>
    <s v="Szreder"/>
    <n v="11"/>
    <x v="3"/>
    <n v="1"/>
  </r>
  <r>
    <x v="229"/>
    <s v="Marek"/>
    <s v="Janowski"/>
    <n v="14"/>
    <x v="4"/>
    <n v="0"/>
  </r>
  <r>
    <x v="229"/>
    <s v="Agnieszka"/>
    <s v="Krawczynska"/>
    <n v="24"/>
    <x v="4"/>
    <n v="0"/>
  </r>
  <r>
    <x v="229"/>
    <s v="Piotr"/>
    <s v="Felus"/>
    <n v="18"/>
    <x v="4"/>
    <n v="0"/>
  </r>
  <r>
    <x v="229"/>
    <s v="Wojciech"/>
    <s v="Goc"/>
    <n v="13"/>
    <x v="4"/>
    <n v="0"/>
  </r>
  <r>
    <x v="229"/>
    <s v="Zuzanna"/>
    <s v="Malicki"/>
    <n v="18"/>
    <x v="4"/>
    <n v="0"/>
  </r>
  <r>
    <x v="229"/>
    <s v="Kacper"/>
    <s v="Nowak"/>
    <n v="36"/>
    <x v="4"/>
    <n v="0"/>
  </r>
  <r>
    <x v="229"/>
    <s v="Waldemar"/>
    <s v="Koronski"/>
    <n v="23"/>
    <x v="4"/>
    <n v="0"/>
  </r>
  <r>
    <x v="229"/>
    <s v="Angelika"/>
    <s v="Walaszek"/>
    <n v="7"/>
    <x v="4"/>
    <n v="0"/>
  </r>
  <r>
    <x v="229"/>
    <s v="Krzysztof"/>
    <s v="Micun"/>
    <n v="54"/>
    <x v="4"/>
    <n v="0"/>
  </r>
  <r>
    <x v="229"/>
    <s v="Olgierd"/>
    <s v="Baranek"/>
    <n v="48"/>
    <x v="4"/>
    <n v="0"/>
  </r>
  <r>
    <x v="229"/>
    <s v="Borys"/>
    <s v="Biedal"/>
    <n v="5"/>
    <x v="4"/>
    <n v="0"/>
  </r>
  <r>
    <x v="229"/>
    <s v="Olaf"/>
    <s v="Hrywniak"/>
    <n v="51"/>
    <x v="4"/>
    <n v="0"/>
  </r>
  <r>
    <x v="229"/>
    <s v="Bartlomiej"/>
    <s v="Wojciechowski"/>
    <n v="10"/>
    <x v="4"/>
    <n v="0"/>
  </r>
  <r>
    <x v="229"/>
    <s v="Mariusz"/>
    <s v="Brydzinski"/>
    <n v="24"/>
    <x v="4"/>
    <n v="0"/>
  </r>
  <r>
    <x v="229"/>
    <s v="Karolina"/>
    <s v="Wrona"/>
    <n v="7"/>
    <x v="4"/>
    <n v="0"/>
  </r>
  <r>
    <x v="229"/>
    <s v="Anna"/>
    <s v="Wnuk"/>
    <n v="11"/>
    <x v="4"/>
    <n v="0"/>
  </r>
  <r>
    <x v="229"/>
    <s v="Katarzyna"/>
    <s v="Wip"/>
    <n v="4"/>
    <x v="4"/>
    <n v="1"/>
  </r>
  <r>
    <x v="230"/>
    <s v="Maja"/>
    <s v="Lange"/>
    <n v="30"/>
    <x v="0"/>
    <n v="0"/>
  </r>
  <r>
    <x v="230"/>
    <s v="Weronika"/>
    <s v="Zdroj"/>
    <n v="36"/>
    <x v="0"/>
    <n v="0"/>
  </r>
  <r>
    <x v="230"/>
    <s v="Marek"/>
    <s v="Wolicki"/>
    <n v="22"/>
    <x v="0"/>
    <n v="0"/>
  </r>
  <r>
    <x v="230"/>
    <s v="Grzegorz"/>
    <s v="Jackowski"/>
    <n v="21"/>
    <x v="0"/>
    <n v="0"/>
  </r>
  <r>
    <x v="230"/>
    <s v="Jan"/>
    <s v="Zaczyk"/>
    <n v="16"/>
    <x v="0"/>
    <n v="0"/>
  </r>
  <r>
    <x v="230"/>
    <s v="Albert"/>
    <s v="Pleszewski"/>
    <n v="52"/>
    <x v="0"/>
    <n v="0"/>
  </r>
  <r>
    <x v="230"/>
    <s v="Monika"/>
    <s v="Lis"/>
    <n v="20"/>
    <x v="0"/>
    <n v="0"/>
  </r>
  <r>
    <x v="230"/>
    <s v="Hubert"/>
    <s v="Pieczatowski"/>
    <n v="3"/>
    <x v="0"/>
    <n v="0"/>
  </r>
  <r>
    <x v="230"/>
    <s v="Edward"/>
    <s v="Zdunek"/>
    <n v="23"/>
    <x v="0"/>
    <n v="0"/>
  </r>
  <r>
    <x v="230"/>
    <s v="Konrad"/>
    <s v="Lipowski"/>
    <n v="4"/>
    <x v="0"/>
    <n v="0"/>
  </r>
  <r>
    <x v="230"/>
    <s v="Dorota"/>
    <s v="Adamus"/>
    <n v="20"/>
    <x v="0"/>
    <n v="0"/>
  </r>
  <r>
    <x v="230"/>
    <s v="Alicja"/>
    <s v="Wojciechowska"/>
    <n v="51"/>
    <x v="0"/>
    <n v="0"/>
  </r>
  <r>
    <x v="230"/>
    <s v="Urszula"/>
    <s v="Pawlak"/>
    <n v="29"/>
    <x v="0"/>
    <n v="0"/>
  </r>
  <r>
    <x v="230"/>
    <s v="Jakub"/>
    <s v="Rembisz"/>
    <n v="54"/>
    <x v="0"/>
    <n v="0"/>
  </r>
  <r>
    <x v="230"/>
    <s v="Zofia"/>
    <s v="Broszkow"/>
    <n v="19"/>
    <x v="0"/>
    <n v="0"/>
  </r>
  <r>
    <x v="230"/>
    <s v="Ilona"/>
    <s v="Nowak"/>
    <n v="25"/>
    <x v="0"/>
    <n v="0"/>
  </r>
  <r>
    <x v="230"/>
    <s v="Wiktor"/>
    <s v="Lubelski"/>
    <n v="4"/>
    <x v="0"/>
    <n v="0"/>
  </r>
  <r>
    <x v="230"/>
    <s v="Dominika"/>
    <s v="Madejska"/>
    <n v="10"/>
    <x v="0"/>
    <n v="1"/>
  </r>
  <r>
    <x v="231"/>
    <s v="Lena"/>
    <s v="Mazurkiewicz"/>
    <n v="9"/>
    <x v="1"/>
    <n v="0"/>
  </r>
  <r>
    <x v="231"/>
    <s v="Karol"/>
    <s v="Wichrowski"/>
    <n v="8"/>
    <x v="1"/>
    <n v="0"/>
  </r>
  <r>
    <x v="231"/>
    <s v="Kamila"/>
    <s v="Knapik"/>
    <n v="50"/>
    <x v="1"/>
    <n v="0"/>
  </r>
  <r>
    <x v="231"/>
    <s v="Joanna"/>
    <s v="Zygmunt"/>
    <n v="18"/>
    <x v="1"/>
    <n v="0"/>
  </r>
  <r>
    <x v="231"/>
    <s v="Kinga"/>
    <s v="Trawinska"/>
    <n v="42"/>
    <x v="1"/>
    <n v="0"/>
  </r>
  <r>
    <x v="231"/>
    <s v="Teodor"/>
    <s v="Fornal"/>
    <n v="24"/>
    <x v="1"/>
    <n v="0"/>
  </r>
  <r>
    <x v="231"/>
    <s v="Zofia"/>
    <s v="Polak"/>
    <n v="31"/>
    <x v="1"/>
    <n v="0"/>
  </r>
  <r>
    <x v="231"/>
    <s v="Zbigniew"/>
    <s v="Paderewski"/>
    <n v="46"/>
    <x v="1"/>
    <n v="0"/>
  </r>
  <r>
    <x v="231"/>
    <s v="Pawel"/>
    <s v="Nowak"/>
    <n v="9"/>
    <x v="1"/>
    <n v="0"/>
  </r>
  <r>
    <x v="231"/>
    <s v="Kazimierz"/>
    <s v="Biedka"/>
    <n v="9"/>
    <x v="1"/>
    <n v="0"/>
  </r>
  <r>
    <x v="231"/>
    <s v="Andrzej"/>
    <s v="Moldawiec"/>
    <n v="53"/>
    <x v="1"/>
    <n v="0"/>
  </r>
  <r>
    <x v="231"/>
    <s v="Ewelina"/>
    <s v="Bialkowska"/>
    <n v="5"/>
    <x v="1"/>
    <n v="0"/>
  </r>
  <r>
    <x v="231"/>
    <s v="Stanislaw"/>
    <s v="Derek"/>
    <n v="39"/>
    <x v="1"/>
    <n v="0"/>
  </r>
  <r>
    <x v="231"/>
    <s v="Ryszarda"/>
    <s v="Januszek"/>
    <n v="43"/>
    <x v="1"/>
    <n v="0"/>
  </r>
  <r>
    <x v="231"/>
    <s v="Jan"/>
    <s v="Zdunski"/>
    <n v="14"/>
    <x v="1"/>
    <n v="0"/>
  </r>
  <r>
    <x v="231"/>
    <s v="Krzysztof"/>
    <s v="Konieckiewicz"/>
    <n v="25"/>
    <x v="1"/>
    <n v="0"/>
  </r>
  <r>
    <x v="231"/>
    <s v="Justyna"/>
    <s v="Pozarzycka"/>
    <n v="16"/>
    <x v="1"/>
    <n v="0"/>
  </r>
  <r>
    <x v="231"/>
    <s v="Bruno"/>
    <s v="Tomczyk"/>
    <n v="23"/>
    <x v="1"/>
    <n v="1"/>
  </r>
  <r>
    <x v="232"/>
    <s v="Agnieszka"/>
    <s v="Polak"/>
    <n v="12"/>
    <x v="2"/>
    <n v="0"/>
  </r>
  <r>
    <x v="232"/>
    <s v="Bruno"/>
    <s v="Tomaszewski"/>
    <n v="10"/>
    <x v="2"/>
    <n v="0"/>
  </r>
  <r>
    <x v="232"/>
    <s v="Balbina"/>
    <s v="Majewska"/>
    <n v="49"/>
    <x v="2"/>
    <n v="0"/>
  </r>
  <r>
    <x v="232"/>
    <s v="Szymon"/>
    <s v="Polak"/>
    <n v="9"/>
    <x v="2"/>
    <n v="0"/>
  </r>
  <r>
    <x v="232"/>
    <s v="Anna"/>
    <s v="Kosowicz"/>
    <n v="14"/>
    <x v="2"/>
    <n v="0"/>
  </r>
  <r>
    <x v="232"/>
    <s v="Matylda"/>
    <s v="Kluziak"/>
    <n v="23"/>
    <x v="2"/>
    <n v="0"/>
  </r>
  <r>
    <x v="232"/>
    <s v="Szymon"/>
    <s v="Mrozniak"/>
    <n v="12"/>
    <x v="2"/>
    <n v="0"/>
  </r>
  <r>
    <x v="232"/>
    <s v="Lukasz"/>
    <s v="Kopecki"/>
    <n v="14"/>
    <x v="2"/>
    <n v="0"/>
  </r>
  <r>
    <x v="232"/>
    <s v="Paulina"/>
    <s v="Szklarska"/>
    <n v="5"/>
    <x v="2"/>
    <n v="0"/>
  </r>
  <r>
    <x v="232"/>
    <s v="Maciej"/>
    <s v="Wodecki"/>
    <n v="13"/>
    <x v="2"/>
    <n v="0"/>
  </r>
  <r>
    <x v="232"/>
    <s v="Monika"/>
    <s v="Piterka"/>
    <n v="5"/>
    <x v="2"/>
    <n v="0"/>
  </r>
  <r>
    <x v="232"/>
    <s v="Jakub"/>
    <s v="Holmes"/>
    <n v="29"/>
    <x v="2"/>
    <n v="0"/>
  </r>
  <r>
    <x v="232"/>
    <s v="Julian"/>
    <s v="Snopek"/>
    <n v="24"/>
    <x v="2"/>
    <n v="0"/>
  </r>
  <r>
    <x v="232"/>
    <s v="Radoslaw"/>
    <s v="Sowinska"/>
    <n v="2"/>
    <x v="2"/>
    <n v="0"/>
  </r>
  <r>
    <x v="232"/>
    <s v="Anna"/>
    <s v="Jopek"/>
    <n v="41"/>
    <x v="2"/>
    <n v="0"/>
  </r>
  <r>
    <x v="232"/>
    <s v="Filip"/>
    <s v="Strupiechowski"/>
    <n v="21"/>
    <x v="2"/>
    <n v="0"/>
  </r>
  <r>
    <x v="232"/>
    <s v="Zofia"/>
    <s v="Adamiak"/>
    <n v="25"/>
    <x v="2"/>
    <n v="0"/>
  </r>
  <r>
    <x v="232"/>
    <s v="Aleks"/>
    <s v="Wojcicki"/>
    <n v="26"/>
    <x v="2"/>
    <n v="0"/>
  </r>
  <r>
    <x v="232"/>
    <s v="Ewa"/>
    <s v="Tarnowska"/>
    <n v="14"/>
    <x v="2"/>
    <n v="1"/>
  </r>
  <r>
    <x v="233"/>
    <s v="Jan"/>
    <s v="Bikot"/>
    <n v="14"/>
    <x v="3"/>
    <n v="0"/>
  </r>
  <r>
    <x v="233"/>
    <s v="Julian"/>
    <s v="Snopek"/>
    <n v="39"/>
    <x v="3"/>
    <n v="0"/>
  </r>
  <r>
    <x v="233"/>
    <s v="Karol"/>
    <s v="Hubicki"/>
    <n v="25"/>
    <x v="3"/>
    <n v="0"/>
  </r>
  <r>
    <x v="233"/>
    <s v="Tomasz"/>
    <s v="Tutaj"/>
    <n v="15"/>
    <x v="3"/>
    <n v="0"/>
  </r>
  <r>
    <x v="233"/>
    <s v="Adam"/>
    <s v="Madejski"/>
    <n v="9"/>
    <x v="3"/>
    <n v="0"/>
  </r>
  <r>
    <x v="233"/>
    <s v="Aleksandra"/>
    <s v="Kwas"/>
    <n v="10"/>
    <x v="3"/>
    <n v="0"/>
  </r>
  <r>
    <x v="233"/>
    <s v="Adam"/>
    <s v="Madejski"/>
    <n v="12"/>
    <x v="3"/>
    <n v="0"/>
  </r>
  <r>
    <x v="233"/>
    <s v="Adam"/>
    <s v="Borkowski"/>
    <n v="19"/>
    <x v="3"/>
    <n v="0"/>
  </r>
  <r>
    <x v="233"/>
    <s v="Ewelina"/>
    <s v="Mirska"/>
    <n v="43"/>
    <x v="3"/>
    <n v="1"/>
  </r>
  <r>
    <x v="234"/>
    <s v="Jan"/>
    <s v="Kwiatkowski"/>
    <n v="13"/>
    <x v="4"/>
    <n v="0"/>
  </r>
  <r>
    <x v="234"/>
    <s v="Marcin"/>
    <s v="Wrobel"/>
    <n v="38"/>
    <x v="4"/>
    <n v="0"/>
  </r>
  <r>
    <x v="234"/>
    <s v="Krzysztof"/>
    <s v="Plecien"/>
    <n v="9"/>
    <x v="4"/>
    <n v="0"/>
  </r>
  <r>
    <x v="234"/>
    <s v="Adam"/>
    <s v="Madejski"/>
    <n v="10"/>
    <x v="4"/>
    <n v="0"/>
  </r>
  <r>
    <x v="234"/>
    <s v="Szymon"/>
    <s v="Polak"/>
    <n v="13"/>
    <x v="4"/>
    <n v="0"/>
  </r>
  <r>
    <x v="234"/>
    <s v="Mateusz"/>
    <s v="Kowalczyk"/>
    <n v="6"/>
    <x v="4"/>
    <n v="0"/>
  </r>
  <r>
    <x v="234"/>
    <s v="Jakub"/>
    <s v="Przestrzelski"/>
    <n v="26"/>
    <x v="4"/>
    <n v="0"/>
  </r>
  <r>
    <x v="234"/>
    <s v="Janina"/>
    <s v="Podlaska"/>
    <n v="24"/>
    <x v="4"/>
    <n v="0"/>
  </r>
  <r>
    <x v="234"/>
    <s v="Hubert"/>
    <s v="Smyk"/>
    <n v="13"/>
    <x v="4"/>
    <n v="0"/>
  </r>
  <r>
    <x v="234"/>
    <s v="Julia"/>
    <s v="Stuhr"/>
    <n v="19"/>
    <x v="4"/>
    <n v="0"/>
  </r>
  <r>
    <x v="234"/>
    <s v="Krzysztof"/>
    <s v="Figurski"/>
    <n v="22"/>
    <x v="4"/>
    <n v="0"/>
  </r>
  <r>
    <x v="234"/>
    <s v="Mateusz"/>
    <s v="Polak"/>
    <n v="2"/>
    <x v="4"/>
    <n v="0"/>
  </r>
  <r>
    <x v="234"/>
    <s v="Alicja"/>
    <s v="Wymyslowska"/>
    <n v="2"/>
    <x v="4"/>
    <n v="0"/>
  </r>
  <r>
    <x v="234"/>
    <s v="Maciej"/>
    <s v="Nowak"/>
    <n v="18"/>
    <x v="4"/>
    <n v="0"/>
  </r>
  <r>
    <x v="234"/>
    <s v="Filip"/>
    <s v="Strack"/>
    <n v="24"/>
    <x v="4"/>
    <n v="0"/>
  </r>
  <r>
    <x v="234"/>
    <s v="Daria"/>
    <s v="Mikos"/>
    <n v="24"/>
    <x v="4"/>
    <n v="0"/>
  </r>
  <r>
    <x v="234"/>
    <s v="Karolina"/>
    <s v="Karpacka"/>
    <n v="17"/>
    <x v="4"/>
    <n v="0"/>
  </r>
  <r>
    <x v="234"/>
    <s v="Dominik"/>
    <s v="Szmitko"/>
    <n v="18"/>
    <x v="4"/>
    <n v="0"/>
  </r>
  <r>
    <x v="234"/>
    <s v="Jan"/>
    <s v="Marasek"/>
    <n v="26"/>
    <x v="4"/>
    <n v="1"/>
  </r>
  <r>
    <x v="235"/>
    <s v="Anna"/>
    <s v="Kosowicz"/>
    <n v="2"/>
    <x v="0"/>
    <n v="0"/>
  </r>
  <r>
    <x v="235"/>
    <s v="Lukasz"/>
    <s v="Pawlik"/>
    <n v="51"/>
    <x v="0"/>
    <n v="0"/>
  </r>
  <r>
    <x v="235"/>
    <s v="Antoni"/>
    <s v="Pisowlodzki"/>
    <n v="20"/>
    <x v="0"/>
    <n v="0"/>
  </r>
  <r>
    <x v="235"/>
    <s v="Karol"/>
    <s v="Hubicki"/>
    <n v="5"/>
    <x v="0"/>
    <n v="0"/>
  </r>
  <r>
    <x v="235"/>
    <s v="Maksymilian"/>
    <s v="Piwko"/>
    <n v="43"/>
    <x v="0"/>
    <n v="0"/>
  </r>
  <r>
    <x v="235"/>
    <s v="Jakub"/>
    <s v="Holmes"/>
    <n v="25"/>
    <x v="0"/>
    <n v="0"/>
  </r>
  <r>
    <x v="235"/>
    <s v="Joanna"/>
    <s v="Baranska"/>
    <n v="26"/>
    <x v="0"/>
    <n v="0"/>
  </r>
  <r>
    <x v="235"/>
    <s v="Zuzanna"/>
    <s v="Kalisz"/>
    <n v="25"/>
    <x v="0"/>
    <n v="0"/>
  </r>
  <r>
    <x v="235"/>
    <s v="Dominika"/>
    <s v="Wierzbicka"/>
    <n v="40"/>
    <x v="0"/>
    <n v="1"/>
  </r>
  <r>
    <x v="236"/>
    <s v="Julia"/>
    <s v="Rutkiewicz"/>
    <n v="26"/>
    <x v="1"/>
    <n v="0"/>
  </r>
  <r>
    <x v="236"/>
    <s v="Aleksander"/>
    <s v="Koc"/>
    <n v="49"/>
    <x v="1"/>
    <n v="0"/>
  </r>
  <r>
    <x v="236"/>
    <s v="Julian"/>
    <s v="Pawik"/>
    <n v="6"/>
    <x v="1"/>
    <n v="0"/>
  </r>
  <r>
    <x v="236"/>
    <s v="Marek"/>
    <s v="Zybert"/>
    <n v="6"/>
    <x v="1"/>
    <n v="0"/>
  </r>
  <r>
    <x v="236"/>
    <s v="Marek"/>
    <s v="Zybert"/>
    <n v="11"/>
    <x v="1"/>
    <n v="0"/>
  </r>
  <r>
    <x v="236"/>
    <s v="Maciej"/>
    <s v="Wodecki"/>
    <n v="34"/>
    <x v="1"/>
    <n v="0"/>
  </r>
  <r>
    <x v="236"/>
    <s v="Karol"/>
    <s v="Felisiak"/>
    <n v="8"/>
    <x v="1"/>
    <n v="0"/>
  </r>
  <r>
    <x v="236"/>
    <s v="Natalia"/>
    <s v="Mroz"/>
    <n v="17"/>
    <x v="1"/>
    <n v="0"/>
  </r>
  <r>
    <x v="236"/>
    <s v="Marta"/>
    <s v="Opolska"/>
    <n v="29"/>
    <x v="1"/>
    <n v="1"/>
  </r>
  <r>
    <x v="237"/>
    <s v="Hubert"/>
    <s v="Nowaczynski"/>
    <n v="12"/>
    <x v="2"/>
    <n v="0"/>
  </r>
  <r>
    <x v="237"/>
    <s v="Krzysztof"/>
    <s v="Czyz"/>
    <n v="19"/>
    <x v="2"/>
    <n v="0"/>
  </r>
  <r>
    <x v="237"/>
    <s v="Krzysztof"/>
    <s v="Czyz"/>
    <n v="21"/>
    <x v="2"/>
    <n v="0"/>
  </r>
  <r>
    <x v="237"/>
    <s v="Ewa"/>
    <s v="Milion"/>
    <n v="33"/>
    <x v="2"/>
    <n v="0"/>
  </r>
  <r>
    <x v="237"/>
    <s v="Piotr"/>
    <s v="Bialaszewski"/>
    <n v="51"/>
    <x v="2"/>
    <n v="0"/>
  </r>
  <r>
    <x v="237"/>
    <s v="Jan"/>
    <s v="Kildanowski"/>
    <n v="10"/>
    <x v="2"/>
    <n v="0"/>
  </r>
  <r>
    <x v="237"/>
    <s v="Karolina"/>
    <s v="Welc"/>
    <n v="35"/>
    <x v="2"/>
    <n v="0"/>
  </r>
  <r>
    <x v="237"/>
    <s v="Barbara"/>
    <s v="Bury"/>
    <n v="22"/>
    <x v="2"/>
    <n v="0"/>
  </r>
  <r>
    <x v="237"/>
    <s v="Jacek"/>
    <s v="Szypulski"/>
    <n v="17"/>
    <x v="2"/>
    <n v="1"/>
  </r>
  <r>
    <x v="238"/>
    <s v="Urszula"/>
    <s v="Pawlak"/>
    <n v="28"/>
    <x v="3"/>
    <n v="0"/>
  </r>
  <r>
    <x v="238"/>
    <s v="Jaroslaw"/>
    <s v="Kopiec"/>
    <n v="33"/>
    <x v="3"/>
    <n v="0"/>
  </r>
  <r>
    <x v="238"/>
    <s v="Jacek"/>
    <s v="Pieczatowski"/>
    <n v="45"/>
    <x v="3"/>
    <n v="0"/>
  </r>
  <r>
    <x v="238"/>
    <s v="Dominik"/>
    <s v="Szmitko"/>
    <n v="20"/>
    <x v="3"/>
    <n v="0"/>
  </r>
  <r>
    <x v="238"/>
    <s v="Mariusz"/>
    <s v="Brydzinski"/>
    <n v="39"/>
    <x v="3"/>
    <n v="0"/>
  </r>
  <r>
    <x v="238"/>
    <s v="Jerzy"/>
    <s v="Polanicki"/>
    <n v="8"/>
    <x v="3"/>
    <n v="0"/>
  </r>
  <r>
    <x v="238"/>
    <s v="Patrycja"/>
    <s v="Glowinska"/>
    <n v="10"/>
    <x v="3"/>
    <n v="0"/>
  </r>
  <r>
    <x v="238"/>
    <s v="Adam"/>
    <s v="Zega"/>
    <n v="5"/>
    <x v="3"/>
    <n v="0"/>
  </r>
  <r>
    <x v="238"/>
    <s v="Beata"/>
    <s v="Fles"/>
    <n v="32"/>
    <x v="3"/>
    <n v="1"/>
  </r>
  <r>
    <x v="239"/>
    <s v="Monika"/>
    <s v="Piterka"/>
    <n v="23"/>
    <x v="4"/>
    <n v="0"/>
  </r>
  <r>
    <x v="239"/>
    <s v="Karolina"/>
    <s v="Pawelska"/>
    <n v="11"/>
    <x v="4"/>
    <n v="0"/>
  </r>
  <r>
    <x v="239"/>
    <s v="Laura"/>
    <s v="Chmielewska"/>
    <n v="17"/>
    <x v="4"/>
    <n v="0"/>
  </r>
  <r>
    <x v="239"/>
    <s v="Sebastian"/>
    <s v="Powoj"/>
    <n v="22"/>
    <x v="4"/>
    <n v="0"/>
  </r>
  <r>
    <x v="239"/>
    <s v="Sebastian"/>
    <s v="Powoj"/>
    <n v="26"/>
    <x v="4"/>
    <n v="0"/>
  </r>
  <r>
    <x v="239"/>
    <s v="Anna"/>
    <s v="Janowska"/>
    <n v="48"/>
    <x v="4"/>
    <n v="0"/>
  </r>
  <r>
    <x v="239"/>
    <s v="Maja"/>
    <s v="Kulkowska"/>
    <n v="5"/>
    <x v="4"/>
    <n v="0"/>
  </r>
  <r>
    <x v="239"/>
    <s v="Sebastian"/>
    <s v="Powoj"/>
    <n v="31"/>
    <x v="4"/>
    <n v="0"/>
  </r>
  <r>
    <x v="239"/>
    <s v="Joanna"/>
    <s v="Oleksiak"/>
    <n v="5"/>
    <x v="4"/>
    <n v="1"/>
  </r>
  <r>
    <x v="240"/>
    <s v="Julia"/>
    <s v="Salanowska"/>
    <n v="18"/>
    <x v="0"/>
    <n v="0"/>
  </r>
  <r>
    <x v="240"/>
    <s v="Piotr"/>
    <s v="Flis"/>
    <n v="13"/>
    <x v="0"/>
    <n v="0"/>
  </r>
  <r>
    <x v="240"/>
    <s v="Anastazja"/>
    <s v="Borowska"/>
    <n v="55"/>
    <x v="0"/>
    <n v="0"/>
  </r>
  <r>
    <x v="240"/>
    <s v="Maciej"/>
    <s v="Bugaj"/>
    <n v="12"/>
    <x v="0"/>
    <n v="0"/>
  </r>
  <r>
    <x v="240"/>
    <s v="Katarzyna"/>
    <s v="Karnia"/>
    <n v="15"/>
    <x v="0"/>
    <n v="0"/>
  </r>
  <r>
    <x v="240"/>
    <s v="Sebastian"/>
    <s v="Powoj"/>
    <n v="10"/>
    <x v="0"/>
    <n v="0"/>
  </r>
  <r>
    <x v="240"/>
    <s v="Bonifacy"/>
    <s v="Pleszewski"/>
    <n v="6"/>
    <x v="0"/>
    <n v="0"/>
  </r>
  <r>
    <x v="240"/>
    <s v="Konrad"/>
    <s v="Lipowski"/>
    <n v="9"/>
    <x v="0"/>
    <n v="0"/>
  </r>
  <r>
    <x v="240"/>
    <s v="Patryk"/>
    <s v="Geszczynski"/>
    <n v="48"/>
    <x v="0"/>
    <n v="1"/>
  </r>
  <r>
    <x v="241"/>
    <s v="Kazimierz"/>
    <s v="Bartosik"/>
    <n v="21"/>
    <x v="1"/>
    <n v="0"/>
  </r>
  <r>
    <x v="241"/>
    <s v="Mariola"/>
    <s v="Mleczko"/>
    <n v="2"/>
    <x v="1"/>
    <n v="0"/>
  </r>
  <r>
    <x v="241"/>
    <s v="Anna"/>
    <s v="Trzebiatowska"/>
    <n v="45"/>
    <x v="1"/>
    <n v="0"/>
  </r>
  <r>
    <x v="241"/>
    <s v="Adrian"/>
    <s v="Baran"/>
    <n v="34"/>
    <x v="1"/>
    <n v="0"/>
  </r>
  <r>
    <x v="241"/>
    <s v="Piotr"/>
    <s v="Felus"/>
    <n v="22"/>
    <x v="1"/>
    <n v="0"/>
  </r>
  <r>
    <x v="241"/>
    <s v="Agata"/>
    <s v="Zgoda"/>
    <n v="6"/>
    <x v="1"/>
    <n v="0"/>
  </r>
  <r>
    <x v="241"/>
    <s v="Przemyslaw"/>
    <s v="Widawski"/>
    <n v="19"/>
    <x v="1"/>
    <n v="0"/>
  </r>
  <r>
    <x v="241"/>
    <s v="Patryk"/>
    <s v="Giemza"/>
    <n v="22"/>
    <x v="1"/>
    <n v="0"/>
  </r>
  <r>
    <x v="241"/>
    <s v="Agnieszka"/>
    <s v="Kaminska"/>
    <n v="10"/>
    <x v="1"/>
    <n v="1"/>
  </r>
  <r>
    <x v="242"/>
    <s v="Olgierd"/>
    <s v="Hazubski"/>
    <n v="20"/>
    <x v="2"/>
    <n v="0"/>
  </r>
  <r>
    <x v="242"/>
    <s v="Lukasz"/>
    <s v="Gacek"/>
    <n v="40"/>
    <x v="2"/>
    <n v="0"/>
  </r>
  <r>
    <x v="242"/>
    <s v="Stanislaw"/>
    <s v="Dabrowski"/>
    <n v="14"/>
    <x v="2"/>
    <n v="0"/>
  </r>
  <r>
    <x v="242"/>
    <s v="Monika"/>
    <s v="Nowaczkiewicz"/>
    <n v="5"/>
    <x v="2"/>
    <n v="0"/>
  </r>
  <r>
    <x v="242"/>
    <s v="Malgorzata"/>
    <s v="Malec"/>
    <n v="3"/>
    <x v="2"/>
    <n v="0"/>
  </r>
  <r>
    <x v="242"/>
    <s v="Lidia"/>
    <s v="Tarnowska"/>
    <n v="14"/>
    <x v="2"/>
    <n v="0"/>
  </r>
  <r>
    <x v="242"/>
    <s v="Maciej"/>
    <s v="Bugaj"/>
    <n v="7"/>
    <x v="2"/>
    <n v="0"/>
  </r>
  <r>
    <x v="242"/>
    <s v="Jan"/>
    <s v="Jarek"/>
    <n v="24"/>
    <x v="2"/>
    <n v="0"/>
  </r>
  <r>
    <x v="242"/>
    <s v="Katarzyna"/>
    <s v="Wip"/>
    <n v="39"/>
    <x v="2"/>
    <n v="0"/>
  </r>
  <r>
    <x v="242"/>
    <s v="Borys"/>
    <s v="Biedal"/>
    <n v="9"/>
    <x v="2"/>
    <n v="1"/>
  </r>
  <r>
    <x v="243"/>
    <s v="Adrian"/>
    <s v="Zawisza"/>
    <n v="17"/>
    <x v="3"/>
    <n v="0"/>
  </r>
  <r>
    <x v="243"/>
    <s v="Ilona"/>
    <s v="Gorska"/>
    <n v="22"/>
    <x v="3"/>
    <n v="0"/>
  </r>
  <r>
    <x v="243"/>
    <s v="Bruno"/>
    <s v="Tomczyk"/>
    <n v="12"/>
    <x v="3"/>
    <n v="0"/>
  </r>
  <r>
    <x v="243"/>
    <s v="Krystyna"/>
    <s v="Szybki"/>
    <n v="7"/>
    <x v="3"/>
    <n v="0"/>
  </r>
  <r>
    <x v="243"/>
    <s v="Jakub"/>
    <s v="Bracik"/>
    <n v="15"/>
    <x v="3"/>
    <n v="0"/>
  </r>
  <r>
    <x v="243"/>
    <s v="Mariusz"/>
    <s v="Kornik"/>
    <n v="24"/>
    <x v="3"/>
    <n v="0"/>
  </r>
  <r>
    <x v="243"/>
    <s v="Dominika"/>
    <s v="Szwec"/>
    <n v="49"/>
    <x v="3"/>
    <n v="0"/>
  </r>
  <r>
    <x v="243"/>
    <s v="Paulina"/>
    <s v="Baranowska"/>
    <n v="12"/>
    <x v="3"/>
    <n v="0"/>
  </r>
  <r>
    <x v="243"/>
    <s v="Kamila"/>
    <s v="Wolan"/>
    <n v="24"/>
    <x v="3"/>
    <n v="0"/>
  </r>
  <r>
    <x v="243"/>
    <s v="Anna"/>
    <s v="Janowska"/>
    <n v="9"/>
    <x v="3"/>
    <n v="1"/>
  </r>
  <r>
    <x v="244"/>
    <s v="Maciej"/>
    <s v="Lyszcz"/>
    <n v="6"/>
    <x v="4"/>
    <n v="0"/>
  </r>
  <r>
    <x v="244"/>
    <s v="Renata"/>
    <s v="Kepa"/>
    <n v="5"/>
    <x v="4"/>
    <n v="0"/>
  </r>
  <r>
    <x v="244"/>
    <s v="Maja"/>
    <s v="Lipka"/>
    <n v="9"/>
    <x v="4"/>
    <n v="0"/>
  </r>
  <r>
    <x v="244"/>
    <s v="Kacper"/>
    <s v="Kowalski"/>
    <n v="15"/>
    <x v="4"/>
    <n v="0"/>
  </r>
  <r>
    <x v="244"/>
    <s v="Olga"/>
    <s v="Paluszkiewicz"/>
    <n v="21"/>
    <x v="4"/>
    <n v="0"/>
  </r>
  <r>
    <x v="244"/>
    <s v="Jakub"/>
    <s v="Radomski"/>
    <n v="2"/>
    <x v="4"/>
    <n v="0"/>
  </r>
  <r>
    <x v="244"/>
    <s v="Jakub"/>
    <s v="Radziszewski"/>
    <n v="48"/>
    <x v="4"/>
    <n v="0"/>
  </r>
  <r>
    <x v="244"/>
    <s v="Krzysztof"/>
    <s v="Wloch"/>
    <n v="3"/>
    <x v="4"/>
    <n v="0"/>
  </r>
  <r>
    <x v="244"/>
    <s v="Martyna"/>
    <s v="Marmelowska"/>
    <n v="52"/>
    <x v="4"/>
    <n v="0"/>
  </r>
  <r>
    <x v="244"/>
    <s v="Konrad"/>
    <s v="Lipowski"/>
    <n v="7"/>
    <x v="4"/>
    <n v="1"/>
  </r>
  <r>
    <x v="245"/>
    <s v="Monika"/>
    <s v="Srubka"/>
    <n v="12"/>
    <x v="0"/>
    <n v="0"/>
  </r>
  <r>
    <x v="245"/>
    <s v="Natalia"/>
    <s v="Wolny"/>
    <n v="5"/>
    <x v="0"/>
    <n v="0"/>
  </r>
  <r>
    <x v="245"/>
    <s v="Kamila"/>
    <s v="Wolan"/>
    <n v="7"/>
    <x v="0"/>
    <n v="0"/>
  </r>
  <r>
    <x v="245"/>
    <s v="Wojciech"/>
    <s v="Czyzewski"/>
    <n v="22"/>
    <x v="0"/>
    <n v="0"/>
  </r>
  <r>
    <x v="245"/>
    <s v="Kamila"/>
    <s v="Bialkowska"/>
    <n v="5"/>
    <x v="0"/>
    <n v="0"/>
  </r>
  <r>
    <x v="245"/>
    <s v="Hubert"/>
    <s v="Nowaczynski"/>
    <n v="9"/>
    <x v="0"/>
    <n v="0"/>
  </r>
  <r>
    <x v="245"/>
    <s v="Kinga"/>
    <s v="Trawinska"/>
    <n v="4"/>
    <x v="0"/>
    <n v="0"/>
  </r>
  <r>
    <x v="245"/>
    <s v="Lucja"/>
    <s v="Zych"/>
    <n v="31"/>
    <x v="0"/>
    <n v="0"/>
  </r>
  <r>
    <x v="245"/>
    <s v="Monika"/>
    <s v="Bialkowska"/>
    <n v="16"/>
    <x v="0"/>
    <n v="0"/>
  </r>
  <r>
    <x v="245"/>
    <s v="Marek"/>
    <s v="Zybert"/>
    <n v="21"/>
    <x v="0"/>
    <n v="1"/>
  </r>
  <r>
    <x v="246"/>
    <s v="Pawel"/>
    <s v="Nowakowski"/>
    <n v="22"/>
    <x v="1"/>
    <n v="0"/>
  </r>
  <r>
    <x v="246"/>
    <s v="Natalia"/>
    <s v="Belicka"/>
    <n v="20"/>
    <x v="1"/>
    <n v="0"/>
  </r>
  <r>
    <x v="246"/>
    <s v="Karolina"/>
    <s v="Karpacka"/>
    <n v="24"/>
    <x v="1"/>
    <n v="0"/>
  </r>
  <r>
    <x v="246"/>
    <s v="Ilona"/>
    <s v="Nowak"/>
    <n v="17"/>
    <x v="1"/>
    <n v="0"/>
  </r>
  <r>
    <x v="246"/>
    <s v="Paulina"/>
    <s v="Baranowska"/>
    <n v="25"/>
    <x v="1"/>
    <n v="0"/>
  </r>
  <r>
    <x v="246"/>
    <s v="Sebastian"/>
    <s v="Powoj"/>
    <n v="22"/>
    <x v="1"/>
    <n v="0"/>
  </r>
  <r>
    <x v="246"/>
    <s v="Jan"/>
    <s v="Kwiatkowski"/>
    <n v="50"/>
    <x v="1"/>
    <n v="0"/>
  </r>
  <r>
    <x v="246"/>
    <s v="Agnieszka"/>
    <s v="Kaminska"/>
    <n v="6"/>
    <x v="1"/>
    <n v="0"/>
  </r>
  <r>
    <x v="246"/>
    <s v="Agata"/>
    <s v="Zdrojewska"/>
    <n v="27"/>
    <x v="1"/>
    <n v="0"/>
  </r>
  <r>
    <x v="246"/>
    <s v="Lidia"/>
    <s v="Tarnowska"/>
    <n v="29"/>
    <x v="1"/>
    <n v="1"/>
  </r>
  <r>
    <x v="247"/>
    <s v="Ilona"/>
    <s v="Nowak"/>
    <n v="12"/>
    <x v="2"/>
    <n v="0"/>
  </r>
  <r>
    <x v="247"/>
    <s v="Justyna"/>
    <s v="Wysocka"/>
    <n v="28"/>
    <x v="2"/>
    <n v="0"/>
  </r>
  <r>
    <x v="247"/>
    <s v="Dawid"/>
    <s v="Szreder"/>
    <n v="21"/>
    <x v="2"/>
    <n v="0"/>
  </r>
  <r>
    <x v="247"/>
    <s v="Maciej"/>
    <s v="Siemiatkowski"/>
    <n v="19"/>
    <x v="2"/>
    <n v="0"/>
  </r>
  <r>
    <x v="247"/>
    <s v="Wojciech"/>
    <s v="Wroblewski"/>
    <n v="29"/>
    <x v="2"/>
    <n v="0"/>
  </r>
  <r>
    <x v="247"/>
    <s v="Aleksander"/>
    <s v="Pasternak"/>
    <n v="9"/>
    <x v="2"/>
    <n v="0"/>
  </r>
  <r>
    <x v="247"/>
    <s v="Lucja"/>
    <s v="Zych"/>
    <n v="24"/>
    <x v="2"/>
    <n v="0"/>
  </r>
  <r>
    <x v="247"/>
    <s v="Karolina"/>
    <s v="Perez"/>
    <n v="24"/>
    <x v="2"/>
    <n v="0"/>
  </r>
  <r>
    <x v="247"/>
    <s v="Wojciech"/>
    <s v="Goc"/>
    <n v="8"/>
    <x v="2"/>
    <n v="0"/>
  </r>
  <r>
    <x v="247"/>
    <s v="Magda"/>
    <s v="Makowicz"/>
    <n v="5"/>
    <x v="2"/>
    <n v="1"/>
  </r>
  <r>
    <x v="248"/>
    <s v="Marek"/>
    <s v="Zybert"/>
    <n v="32"/>
    <x v="3"/>
    <n v="0"/>
  </r>
  <r>
    <x v="248"/>
    <s v="Malgorzata"/>
    <s v="Malec"/>
    <n v="34"/>
    <x v="3"/>
    <n v="0"/>
  </r>
  <r>
    <x v="248"/>
    <s v="Adam"/>
    <s v="Czarnecki"/>
    <n v="9"/>
    <x v="3"/>
    <n v="0"/>
  </r>
  <r>
    <x v="248"/>
    <s v="Patrycja"/>
    <s v="Wcislo"/>
    <n v="49"/>
    <x v="3"/>
    <n v="0"/>
  </r>
  <r>
    <x v="248"/>
    <s v="Kamila"/>
    <s v="Wolan"/>
    <n v="18"/>
    <x v="3"/>
    <n v="0"/>
  </r>
  <r>
    <x v="248"/>
    <s v="Patrycja"/>
    <s v="Wcislo"/>
    <n v="56"/>
    <x v="3"/>
    <n v="0"/>
  </r>
  <r>
    <x v="248"/>
    <s v="Zenon"/>
    <s v="Bartek"/>
    <n v="46"/>
    <x v="3"/>
    <n v="0"/>
  </r>
  <r>
    <x v="248"/>
    <s v="Amelia"/>
    <s v="Wicher"/>
    <n v="11"/>
    <x v="3"/>
    <n v="0"/>
  </r>
  <r>
    <x v="248"/>
    <s v="Inka"/>
    <s v="Sochacka"/>
    <n v="24"/>
    <x v="3"/>
    <n v="0"/>
  </r>
  <r>
    <x v="248"/>
    <s v="Jan"/>
    <s v="Adamowicz"/>
    <n v="28"/>
    <x v="3"/>
    <n v="1"/>
  </r>
  <r>
    <x v="249"/>
    <s v="Irena"/>
    <s v="Banasiewicz"/>
    <n v="29"/>
    <x v="4"/>
    <n v="0"/>
  </r>
  <r>
    <x v="249"/>
    <s v="Protazy"/>
    <s v="Warszawski"/>
    <n v="4"/>
    <x v="4"/>
    <n v="0"/>
  </r>
  <r>
    <x v="249"/>
    <s v="Bartosz"/>
    <s v="Tusinski"/>
    <n v="3"/>
    <x v="4"/>
    <n v="0"/>
  </r>
  <r>
    <x v="249"/>
    <s v="Lucja"/>
    <s v="Zych"/>
    <n v="30"/>
    <x v="4"/>
    <n v="0"/>
  </r>
  <r>
    <x v="249"/>
    <s v="Emilia"/>
    <s v="Szczepanska"/>
    <n v="4"/>
    <x v="4"/>
    <n v="0"/>
  </r>
  <r>
    <x v="249"/>
    <s v="Karol"/>
    <s v="Wichrowski"/>
    <n v="21"/>
    <x v="4"/>
    <n v="0"/>
  </r>
  <r>
    <x v="249"/>
    <s v="Lena"/>
    <s v="Miszkin"/>
    <n v="15"/>
    <x v="4"/>
    <n v="0"/>
  </r>
  <r>
    <x v="249"/>
    <s v="Anna"/>
    <s v="Kosowicz"/>
    <n v="13"/>
    <x v="4"/>
    <n v="0"/>
  </r>
  <r>
    <x v="249"/>
    <s v="Leon"/>
    <s v="Price"/>
    <n v="13"/>
    <x v="4"/>
    <n v="0"/>
  </r>
  <r>
    <x v="249"/>
    <s v="Bernard"/>
    <s v="Madej"/>
    <n v="43"/>
    <x v="4"/>
    <n v="1"/>
  </r>
  <r>
    <x v="250"/>
    <s v="Marek"/>
    <s v="Nowakowski"/>
    <n v="31"/>
    <x v="0"/>
    <n v="0"/>
  </r>
  <r>
    <x v="250"/>
    <s v="Izabela"/>
    <s v="Draszczyk"/>
    <n v="34"/>
    <x v="0"/>
    <n v="0"/>
  </r>
  <r>
    <x v="250"/>
    <s v="Przemyslaw"/>
    <s v="Bajewski"/>
    <n v="12"/>
    <x v="0"/>
    <n v="0"/>
  </r>
  <r>
    <x v="250"/>
    <s v="Anita"/>
    <s v="Tych"/>
    <n v="10"/>
    <x v="0"/>
    <n v="0"/>
  </r>
  <r>
    <x v="250"/>
    <s v="Teodor"/>
    <s v="Fornal"/>
    <n v="5"/>
    <x v="0"/>
    <n v="0"/>
  </r>
  <r>
    <x v="250"/>
    <s v="Patrycja"/>
    <s v="Glowinska"/>
    <n v="4"/>
    <x v="0"/>
    <n v="0"/>
  </r>
  <r>
    <x v="250"/>
    <s v="Marta"/>
    <s v="Kolodziejczyk"/>
    <n v="44"/>
    <x v="0"/>
    <n v="0"/>
  </r>
  <r>
    <x v="250"/>
    <s v="Kacper"/>
    <s v="Nowak"/>
    <n v="32"/>
    <x v="0"/>
    <n v="0"/>
  </r>
  <r>
    <x v="250"/>
    <s v="Paulina"/>
    <s v="Szklarska"/>
    <n v="11"/>
    <x v="0"/>
    <n v="0"/>
  </r>
  <r>
    <x v="250"/>
    <s v="Natalia"/>
    <s v="Olkuska"/>
    <n v="33"/>
    <x v="0"/>
    <n v="1"/>
  </r>
  <r>
    <x v="251"/>
    <s v="Jakub"/>
    <s v="Marszalek"/>
    <n v="56"/>
    <x v="1"/>
    <n v="0"/>
  </r>
  <r>
    <x v="251"/>
    <s v="Edward"/>
    <s v="Snopek"/>
    <n v="3"/>
    <x v="1"/>
    <n v="0"/>
  </r>
  <r>
    <x v="251"/>
    <s v="Edward"/>
    <s v="Zdunek"/>
    <n v="24"/>
    <x v="1"/>
    <n v="0"/>
  </r>
  <r>
    <x v="251"/>
    <s v="Lucja"/>
    <s v="Zych"/>
    <n v="14"/>
    <x v="1"/>
    <n v="0"/>
  </r>
  <r>
    <x v="251"/>
    <s v="Kacper"/>
    <s v="Pioro"/>
    <n v="42"/>
    <x v="1"/>
    <n v="0"/>
  </r>
  <r>
    <x v="251"/>
    <s v="Adrian"/>
    <s v="Dulski"/>
    <n v="21"/>
    <x v="1"/>
    <n v="0"/>
  </r>
  <r>
    <x v="251"/>
    <s v="Monika"/>
    <s v="Trojan"/>
    <n v="4"/>
    <x v="1"/>
    <n v="0"/>
  </r>
  <r>
    <x v="251"/>
    <s v="Adelajda"/>
    <s v="Zylinska"/>
    <n v="41"/>
    <x v="1"/>
    <n v="0"/>
  </r>
  <r>
    <x v="251"/>
    <s v="Leon"/>
    <s v="Price"/>
    <n v="51"/>
    <x v="1"/>
    <n v="1"/>
  </r>
  <r>
    <x v="252"/>
    <s v="Julia"/>
    <s v="Samulczyk"/>
    <n v="29"/>
    <x v="2"/>
    <n v="0"/>
  </r>
  <r>
    <x v="252"/>
    <s v="Maciej"/>
    <s v="Wodecki"/>
    <n v="29"/>
    <x v="2"/>
    <n v="0"/>
  </r>
  <r>
    <x v="252"/>
    <s v="Angelika"/>
    <s v="Walaszek"/>
    <n v="22"/>
    <x v="2"/>
    <n v="0"/>
  </r>
  <r>
    <x v="252"/>
    <s v="Katarzyna"/>
    <s v="Wip"/>
    <n v="4"/>
    <x v="2"/>
    <n v="0"/>
  </r>
  <r>
    <x v="252"/>
    <s v="Grzegorz"/>
    <s v="Jackowski"/>
    <n v="34"/>
    <x v="2"/>
    <n v="0"/>
  </r>
  <r>
    <x v="252"/>
    <s v="Adrian"/>
    <s v="Dulski"/>
    <n v="6"/>
    <x v="2"/>
    <n v="0"/>
  </r>
  <r>
    <x v="252"/>
    <s v="Tomasz"/>
    <s v="Zbik"/>
    <n v="11"/>
    <x v="2"/>
    <n v="0"/>
  </r>
  <r>
    <x v="252"/>
    <s v="Andrea"/>
    <s v="Witkowska"/>
    <n v="9"/>
    <x v="2"/>
    <n v="0"/>
  </r>
  <r>
    <x v="252"/>
    <s v="Wojciech"/>
    <s v="Filipowicz"/>
    <n v="21"/>
    <x v="2"/>
    <n v="1"/>
  </r>
  <r>
    <x v="253"/>
    <s v="Urszula"/>
    <s v="Engel"/>
    <n v="26"/>
    <x v="3"/>
    <n v="0"/>
  </r>
  <r>
    <x v="253"/>
    <s v="Olgierd"/>
    <s v="Baranek"/>
    <n v="4"/>
    <x v="3"/>
    <n v="0"/>
  </r>
  <r>
    <x v="253"/>
    <s v="Maciej"/>
    <s v="Tasz"/>
    <n v="18"/>
    <x v="3"/>
    <n v="0"/>
  </r>
  <r>
    <x v="253"/>
    <s v="Krzysztof"/>
    <s v="Wloch"/>
    <n v="27"/>
    <x v="3"/>
    <n v="0"/>
  </r>
  <r>
    <x v="253"/>
    <s v="Bernard"/>
    <s v="Madej"/>
    <n v="15"/>
    <x v="3"/>
    <n v="0"/>
  </r>
  <r>
    <x v="253"/>
    <s v="Wojciech"/>
    <s v="Goc"/>
    <n v="50"/>
    <x v="3"/>
    <n v="0"/>
  </r>
  <r>
    <x v="253"/>
    <s v="Krzysztof"/>
    <s v="Madejski"/>
    <n v="13"/>
    <x v="3"/>
    <n v="0"/>
  </r>
  <r>
    <x v="253"/>
    <s v="Antoni"/>
    <s v="Wierzbicki"/>
    <n v="27"/>
    <x v="3"/>
    <n v="0"/>
  </r>
  <r>
    <x v="253"/>
    <s v="Stanislaw"/>
    <s v="Derek"/>
    <n v="7"/>
    <x v="3"/>
    <n v="1"/>
  </r>
  <r>
    <x v="254"/>
    <s v="Katarzyna"/>
    <s v="Aniec"/>
    <n v="26"/>
    <x v="4"/>
    <n v="0"/>
  </r>
  <r>
    <x v="254"/>
    <s v="Anna"/>
    <s v="Minska"/>
    <n v="16"/>
    <x v="4"/>
    <n v="0"/>
  </r>
  <r>
    <x v="254"/>
    <s v="Maria"/>
    <s v="Opolska"/>
    <n v="45"/>
    <x v="4"/>
    <n v="0"/>
  </r>
  <r>
    <x v="254"/>
    <s v="Maksymilian"/>
    <s v="Lewita"/>
    <n v="34"/>
    <x v="4"/>
    <n v="0"/>
  </r>
  <r>
    <x v="254"/>
    <s v="Piotr"/>
    <s v="Duszota"/>
    <n v="10"/>
    <x v="4"/>
    <n v="0"/>
  </r>
  <r>
    <x v="254"/>
    <s v="Leslaw"/>
    <s v="Kupis"/>
    <n v="55"/>
    <x v="4"/>
    <n v="0"/>
  </r>
  <r>
    <x v="254"/>
    <s v="Filip"/>
    <s v="Spychala"/>
    <n v="17"/>
    <x v="4"/>
    <n v="0"/>
  </r>
  <r>
    <x v="254"/>
    <s v="Jaroslaw"/>
    <s v="Kopiec"/>
    <n v="13"/>
    <x v="4"/>
    <n v="0"/>
  </r>
  <r>
    <x v="254"/>
    <s v="Wojciech"/>
    <s v="Kulakowski"/>
    <n v="55"/>
    <x v="4"/>
    <n v="1"/>
  </r>
  <r>
    <x v="255"/>
    <s v="Jan"/>
    <s v="Inny"/>
    <n v="45"/>
    <x v="2"/>
    <n v="0"/>
  </r>
  <r>
    <x v="255"/>
    <s v="Bohdan"/>
    <s v="Gigant"/>
    <n v="8"/>
    <x v="2"/>
    <n v="0"/>
  </r>
  <r>
    <x v="255"/>
    <s v="Tomasz"/>
    <s v="Zbik"/>
    <n v="6"/>
    <x v="2"/>
    <n v="0"/>
  </r>
  <r>
    <x v="255"/>
    <s v="Kinga"/>
    <s v="Famura"/>
    <n v="11"/>
    <x v="2"/>
    <n v="0"/>
  </r>
  <r>
    <x v="255"/>
    <s v="Marlena"/>
    <s v="Mazar"/>
    <n v="29"/>
    <x v="2"/>
    <n v="0"/>
  </r>
  <r>
    <x v="255"/>
    <s v="Jerzy"/>
    <s v="Pawiec"/>
    <n v="10"/>
    <x v="2"/>
    <n v="0"/>
  </r>
  <r>
    <x v="255"/>
    <s v="Jan"/>
    <s v="Kildanowski"/>
    <n v="38"/>
    <x v="2"/>
    <n v="0"/>
  </r>
  <r>
    <x v="255"/>
    <s v="Adam"/>
    <s v="Borkowski"/>
    <n v="8"/>
    <x v="2"/>
    <n v="0"/>
  </r>
  <r>
    <x v="255"/>
    <s v="Patryk"/>
    <s v="Glac"/>
    <n v="19"/>
    <x v="2"/>
    <n v="1"/>
  </r>
  <r>
    <x v="256"/>
    <s v="Jerzy"/>
    <s v="Pawiec"/>
    <n v="22"/>
    <x v="3"/>
    <n v="0"/>
  </r>
  <r>
    <x v="256"/>
    <s v="Dorota"/>
    <s v="Tarnowska"/>
    <n v="12"/>
    <x v="3"/>
    <n v="0"/>
  </r>
  <r>
    <x v="256"/>
    <s v="Janusz"/>
    <s v="Wrobel"/>
    <n v="7"/>
    <x v="3"/>
    <n v="0"/>
  </r>
  <r>
    <x v="256"/>
    <s v="Jakub"/>
    <s v="Porydzaj"/>
    <n v="17"/>
    <x v="3"/>
    <n v="0"/>
  </r>
  <r>
    <x v="256"/>
    <s v="Krzysztof"/>
    <s v="Wloch"/>
    <n v="29"/>
    <x v="3"/>
    <n v="0"/>
  </r>
  <r>
    <x v="256"/>
    <s v="Beata"/>
    <s v="Mirowska"/>
    <n v="9"/>
    <x v="3"/>
    <n v="0"/>
  </r>
  <r>
    <x v="256"/>
    <s v="Julian"/>
    <s v="Lisowski"/>
    <n v="21"/>
    <x v="3"/>
    <n v="0"/>
  </r>
  <r>
    <x v="256"/>
    <s v="Lena"/>
    <s v="Mrozik"/>
    <n v="10"/>
    <x v="3"/>
    <n v="0"/>
  </r>
  <r>
    <x v="256"/>
    <s v="Beata"/>
    <s v="Lubelska"/>
    <n v="30"/>
    <x v="3"/>
    <n v="1"/>
  </r>
  <r>
    <x v="257"/>
    <s v="Dominik"/>
    <s v="Szczucki"/>
    <n v="14"/>
    <x v="4"/>
    <n v="0"/>
  </r>
  <r>
    <x v="257"/>
    <s v="Monika"/>
    <s v="Bialkowska"/>
    <n v="15"/>
    <x v="4"/>
    <n v="0"/>
  </r>
  <r>
    <x v="257"/>
    <s v="Balbina"/>
    <s v="Boryczko"/>
    <n v="24"/>
    <x v="4"/>
    <n v="0"/>
  </r>
  <r>
    <x v="257"/>
    <s v="Karolina"/>
    <s v="Welc"/>
    <n v="26"/>
    <x v="4"/>
    <n v="0"/>
  </r>
  <r>
    <x v="257"/>
    <s v="Marek"/>
    <s v="Janowski"/>
    <n v="22"/>
    <x v="4"/>
    <n v="0"/>
  </r>
  <r>
    <x v="257"/>
    <s v="Maria"/>
    <s v="Orlicka"/>
    <n v="35"/>
    <x v="4"/>
    <n v="0"/>
  </r>
  <r>
    <x v="257"/>
    <s v="Przemyslaw"/>
    <s v="Bajewski"/>
    <n v="21"/>
    <x v="4"/>
    <n v="0"/>
  </r>
  <r>
    <x v="257"/>
    <s v="Jaroslaw"/>
    <s v="Bicz"/>
    <n v="16"/>
    <x v="4"/>
    <n v="0"/>
  </r>
  <r>
    <x v="257"/>
    <s v="Karolina"/>
    <s v="Bok"/>
    <n v="48"/>
    <x v="4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">
  <r>
    <d v="2017-01-02T00:00:00"/>
    <s v="Agnieszka"/>
    <s v="Polak"/>
    <n v="2"/>
    <x v="0"/>
  </r>
  <r>
    <d v="2017-01-02T00:00:00"/>
    <s v="Klaudia"/>
    <s v="Myk"/>
    <n v="51"/>
    <x v="0"/>
  </r>
  <r>
    <d v="2017-01-02T00:00:00"/>
    <s v="Agata"/>
    <s v="Kwiatkowska"/>
    <n v="41"/>
    <x v="0"/>
  </r>
  <r>
    <d v="2017-01-02T00:00:00"/>
    <s v="Katarzyna"/>
    <s v="Zmokly"/>
    <n v="7"/>
    <x v="0"/>
  </r>
  <r>
    <d v="2017-01-02T00:00:00"/>
    <s v="Maja"/>
    <s v="Kulkowska"/>
    <n v="46"/>
    <x v="0"/>
  </r>
  <r>
    <d v="2017-01-02T00:00:00"/>
    <s v="Patryk"/>
    <s v="Giemza"/>
    <n v="12"/>
    <x v="0"/>
  </r>
  <r>
    <d v="2017-01-02T00:00:00"/>
    <s v="Balbina"/>
    <s v="Boryczko"/>
    <n v="54"/>
    <x v="0"/>
  </r>
  <r>
    <d v="2017-01-02T00:00:00"/>
    <s v="Filip"/>
    <s v="Spychala"/>
    <n v="55"/>
    <x v="0"/>
  </r>
  <r>
    <d v="2017-01-02T00:00:00"/>
    <s v="Borys"/>
    <s v="Myszor"/>
    <n v="45"/>
    <x v="0"/>
  </r>
  <r>
    <d v="2017-01-02T00:00:00"/>
    <s v="Agnieszka"/>
    <s v="Mala"/>
    <n v="3"/>
    <x v="0"/>
  </r>
  <r>
    <d v="2017-01-03T00:00:00"/>
    <s v="Alicja"/>
    <s v="Gadek"/>
    <n v="6"/>
    <x v="0"/>
  </r>
  <r>
    <d v="2017-01-03T00:00:00"/>
    <s v="Leon"/>
    <s v="Szybki"/>
    <n v="23"/>
    <x v="0"/>
  </r>
  <r>
    <d v="2017-01-03T00:00:00"/>
    <s v="Jerzy"/>
    <s v="Polanicki"/>
    <n v="53"/>
    <x v="0"/>
  </r>
  <r>
    <d v="2017-01-03T00:00:00"/>
    <s v="Filip"/>
    <s v="Spanowski"/>
    <n v="15"/>
    <x v="0"/>
  </r>
  <r>
    <d v="2017-01-03T00:00:00"/>
    <s v="Maciej"/>
    <s v="Lyszcz"/>
    <n v="44"/>
    <x v="0"/>
  </r>
  <r>
    <d v="2017-01-03T00:00:00"/>
    <s v="Daria"/>
    <s v="Zagrobna"/>
    <n v="14"/>
    <x v="0"/>
  </r>
  <r>
    <d v="2017-01-03T00:00:00"/>
    <s v="Julia"/>
    <s v="Rutkiewicz"/>
    <n v="26"/>
    <x v="0"/>
  </r>
  <r>
    <d v="2017-01-03T00:00:00"/>
    <s v="Piotr"/>
    <s v="Bialaszewski"/>
    <n v="19"/>
    <x v="0"/>
  </r>
  <r>
    <d v="2017-01-03T00:00:00"/>
    <s v="Maja"/>
    <s v="Lipka"/>
    <n v="14"/>
    <x v="0"/>
  </r>
  <r>
    <d v="2017-01-04T00:00:00"/>
    <s v="Jakub"/>
    <s v="Jedruszek"/>
    <n v="56"/>
    <x v="1"/>
  </r>
  <r>
    <d v="2017-01-04T00:00:00"/>
    <s v="Marta"/>
    <s v="Opolska"/>
    <n v="20"/>
    <x v="1"/>
  </r>
  <r>
    <d v="2017-01-04T00:00:00"/>
    <s v="Andrzej"/>
    <s v="Moldawiec"/>
    <n v="28"/>
    <x v="1"/>
  </r>
  <r>
    <d v="2017-01-04T00:00:00"/>
    <s v="Zuzanna"/>
    <s v="Malicki"/>
    <n v="24"/>
    <x v="1"/>
  </r>
  <r>
    <d v="2017-01-04T00:00:00"/>
    <s v="Marek"/>
    <s v="Bednarski"/>
    <n v="21"/>
    <x v="1"/>
  </r>
  <r>
    <d v="2017-01-04T00:00:00"/>
    <s v="Sebastian"/>
    <s v="Powoj"/>
    <n v="16"/>
    <x v="1"/>
  </r>
  <r>
    <d v="2017-01-04T00:00:00"/>
    <s v="Barbara"/>
    <s v="Podobinska"/>
    <n v="8"/>
    <x v="1"/>
  </r>
  <r>
    <d v="2017-01-04T00:00:00"/>
    <s v="Wieslawa"/>
    <s v="Koniec"/>
    <n v="41"/>
    <x v="1"/>
  </r>
  <r>
    <d v="2017-01-04T00:00:00"/>
    <s v="Anna"/>
    <s v="Kosowicz"/>
    <n v="9"/>
    <x v="1"/>
  </r>
  <r>
    <d v="2017-01-05T00:00:00"/>
    <s v="Patrycja"/>
    <s v="Glowinska"/>
    <n v="19"/>
    <x v="1"/>
  </r>
  <r>
    <d v="2017-01-05T00:00:00"/>
    <s v="Laura"/>
    <s v="Chmielewska"/>
    <n v="33"/>
    <x v="1"/>
  </r>
  <r>
    <d v="2017-01-05T00:00:00"/>
    <s v="Malwina"/>
    <s v="Korzeniowska"/>
    <n v="29"/>
    <x v="1"/>
  </r>
  <r>
    <d v="2017-01-05T00:00:00"/>
    <s v="Adrian"/>
    <s v="Zawisza"/>
    <n v="27"/>
    <x v="1"/>
  </r>
  <r>
    <d v="2017-01-05T00:00:00"/>
    <s v="Michal"/>
    <s v="Kirwiel"/>
    <n v="23"/>
    <x v="1"/>
  </r>
  <r>
    <d v="2017-01-05T00:00:00"/>
    <s v="Bartosz"/>
    <s v="Protasow"/>
    <n v="50"/>
    <x v="1"/>
  </r>
  <r>
    <d v="2017-01-05T00:00:00"/>
    <s v="Adam"/>
    <s v="Wata"/>
    <n v="15"/>
    <x v="1"/>
  </r>
  <r>
    <d v="2017-01-05T00:00:00"/>
    <s v="Andrzej"/>
    <s v="Augustowski"/>
    <n v="18"/>
    <x v="1"/>
  </r>
  <r>
    <d v="2017-01-05T00:00:00"/>
    <s v="Teodor"/>
    <s v="Fornal"/>
    <n v="2"/>
    <x v="1"/>
  </r>
  <r>
    <d v="2017-01-06T00:00:00"/>
    <s v="Bartosz"/>
    <s v="Protasow"/>
    <n v="23"/>
    <x v="1"/>
  </r>
  <r>
    <d v="2017-01-06T00:00:00"/>
    <s v="Filip"/>
    <s v="Strack"/>
    <n v="22"/>
    <x v="1"/>
  </r>
  <r>
    <d v="2017-01-06T00:00:00"/>
    <s v="Hanna"/>
    <s v="Stanislawska"/>
    <n v="17"/>
    <x v="1"/>
  </r>
  <r>
    <d v="2017-01-06T00:00:00"/>
    <s v="Maja"/>
    <s v="Lipka"/>
    <n v="19"/>
    <x v="1"/>
  </r>
  <r>
    <d v="2017-01-06T00:00:00"/>
    <s v="Hubert"/>
    <s v="Smyk"/>
    <n v="43"/>
    <x v="1"/>
  </r>
  <r>
    <d v="2017-01-06T00:00:00"/>
    <s v="Adelajda"/>
    <s v="Zylinska"/>
    <n v="22"/>
    <x v="1"/>
  </r>
  <r>
    <d v="2017-01-06T00:00:00"/>
    <s v="Karol"/>
    <s v="Felisiak"/>
    <n v="29"/>
    <x v="1"/>
  </r>
  <r>
    <d v="2017-01-06T00:00:00"/>
    <s v="Jan"/>
    <s v="Gacek"/>
    <n v="26"/>
    <x v="1"/>
  </r>
  <r>
    <d v="2017-01-06T00:00:00"/>
    <s v="Hubert"/>
    <s v="Nowaczynski"/>
    <n v="53"/>
    <x v="1"/>
  </r>
  <r>
    <d v="2017-01-09T00:00:00"/>
    <s v="Maciej"/>
    <s v="Kowalski"/>
    <n v="20"/>
    <x v="1"/>
  </r>
  <r>
    <d v="2017-01-09T00:00:00"/>
    <s v="Ewa"/>
    <s v="Stoch"/>
    <n v="26"/>
    <x v="1"/>
  </r>
  <r>
    <d v="2017-01-09T00:00:00"/>
    <s v="Maciej"/>
    <s v="Machalski"/>
    <n v="36"/>
    <x v="1"/>
  </r>
  <r>
    <d v="2017-01-09T00:00:00"/>
    <s v="Julia"/>
    <s v="Reclaw"/>
    <n v="11"/>
    <x v="1"/>
  </r>
  <r>
    <d v="2017-01-09T00:00:00"/>
    <s v="Marek"/>
    <s v="Sznuk"/>
    <n v="52"/>
    <x v="1"/>
  </r>
  <r>
    <d v="2017-01-09T00:00:00"/>
    <s v="Paulina"/>
    <s v="Szklarska"/>
    <n v="11"/>
    <x v="1"/>
  </r>
  <r>
    <d v="2017-01-09T00:00:00"/>
    <s v="Jerzy"/>
    <s v="Czajkowski"/>
    <n v="11"/>
    <x v="1"/>
  </r>
  <r>
    <d v="2017-01-09T00:00:00"/>
    <s v="Jerzy"/>
    <s v="Czajkowski"/>
    <n v="10"/>
    <x v="1"/>
  </r>
  <r>
    <d v="2017-01-09T00:00:00"/>
    <s v="Dominik"/>
    <s v="Szczucki"/>
    <n v="8"/>
    <x v="1"/>
  </r>
  <r>
    <d v="2017-01-10T00:00:00"/>
    <s v="Andrzej"/>
    <s v="Moldawiec"/>
    <n v="13"/>
    <x v="1"/>
  </r>
  <r>
    <d v="2017-01-10T00:00:00"/>
    <s v="Mateusz"/>
    <s v="Karpowicz"/>
    <n v="16"/>
    <x v="1"/>
  </r>
  <r>
    <d v="2017-01-10T00:00:00"/>
    <s v="Sandra"/>
    <s v="Filarska"/>
    <n v="46"/>
    <x v="1"/>
  </r>
  <r>
    <d v="2017-01-10T00:00:00"/>
    <s v="Maria"/>
    <s v="Borowska"/>
    <n v="41"/>
    <x v="1"/>
  </r>
  <r>
    <d v="2017-01-10T00:00:00"/>
    <s v="Jakub"/>
    <s v="Potocki"/>
    <n v="26"/>
    <x v="1"/>
  </r>
  <r>
    <d v="2017-01-10T00:00:00"/>
    <s v="Karol"/>
    <s v="Dziuk"/>
    <n v="22"/>
    <x v="1"/>
  </r>
  <r>
    <d v="2017-01-10T00:00:00"/>
    <s v="Adrian"/>
    <s v="Dulski"/>
    <n v="6"/>
    <x v="1"/>
  </r>
  <r>
    <d v="2017-01-10T00:00:00"/>
    <s v="Lena"/>
    <s v="Mazurkiewicz"/>
    <n v="24"/>
    <x v="1"/>
  </r>
  <r>
    <d v="2017-01-10T00:00:00"/>
    <s v="Andrzej"/>
    <s v="Augustowski"/>
    <n v="11"/>
    <x v="1"/>
  </r>
  <r>
    <d v="2017-01-11T00:00:00"/>
    <s v="Sebastian"/>
    <s v="Powoj"/>
    <n v="16"/>
    <x v="2"/>
  </r>
  <r>
    <d v="2017-01-11T00:00:00"/>
    <s v="Adam"/>
    <s v="Susel"/>
    <n v="8"/>
    <x v="2"/>
  </r>
  <r>
    <d v="2017-01-11T00:00:00"/>
    <s v="Maciej"/>
    <s v="Siemiatkowski"/>
    <n v="27"/>
    <x v="2"/>
  </r>
  <r>
    <d v="2017-01-11T00:00:00"/>
    <s v="Jan"/>
    <s v="Inny"/>
    <n v="9"/>
    <x v="2"/>
  </r>
  <r>
    <d v="2017-01-11T00:00:00"/>
    <s v="Jakub"/>
    <s v="Rembisz"/>
    <n v="32"/>
    <x v="2"/>
  </r>
  <r>
    <d v="2017-01-11T00:00:00"/>
    <s v="Seweryn"/>
    <s v="Krakowski"/>
    <n v="55"/>
    <x v="2"/>
  </r>
  <r>
    <d v="2017-01-11T00:00:00"/>
    <s v="Hubert"/>
    <s v="Nowaczynski"/>
    <n v="18"/>
    <x v="2"/>
  </r>
  <r>
    <d v="2017-01-11T00:00:00"/>
    <s v="Jaroslaw"/>
    <s v="Bicz"/>
    <n v="46"/>
    <x v="2"/>
  </r>
  <r>
    <d v="2017-01-11T00:00:00"/>
    <s v="Michal"/>
    <s v="Nowicki"/>
    <n v="17"/>
    <x v="2"/>
  </r>
  <r>
    <d v="2017-01-12T00:00:00"/>
    <s v="Edward"/>
    <s v="Snopek"/>
    <n v="43"/>
    <x v="2"/>
  </r>
  <r>
    <d v="2017-01-12T00:00:00"/>
    <s v="Kamil"/>
    <s v="Naderka"/>
    <n v="17"/>
    <x v="2"/>
  </r>
  <r>
    <d v="2017-01-12T00:00:00"/>
    <s v="Justyna"/>
    <s v="Pozarzycka"/>
    <n v="21"/>
    <x v="2"/>
  </r>
  <r>
    <d v="2017-01-12T00:00:00"/>
    <s v="Borys"/>
    <s v="Biedal"/>
    <n v="27"/>
    <x v="2"/>
  </r>
  <r>
    <d v="2017-01-12T00:00:00"/>
    <s v="Ewa"/>
    <s v="Tysz"/>
    <n v="22"/>
    <x v="2"/>
  </r>
  <r>
    <d v="2017-01-12T00:00:00"/>
    <s v="Anna"/>
    <s v="Minska"/>
    <n v="46"/>
    <x v="2"/>
  </r>
  <r>
    <d v="2017-01-12T00:00:00"/>
    <s v="Adelajda"/>
    <s v="Zylinska"/>
    <n v="15"/>
    <x v="2"/>
  </r>
  <r>
    <d v="2017-01-12T00:00:00"/>
    <s v="Wieslaw"/>
    <s v="Kasza"/>
    <n v="30"/>
    <x v="2"/>
  </r>
  <r>
    <d v="2017-01-12T00:00:00"/>
    <s v="Wojciech"/>
    <s v="Katowicki"/>
    <n v="31"/>
    <x v="2"/>
  </r>
  <r>
    <d v="2017-01-13T00:00:00"/>
    <s v="Kamil"/>
    <s v="Naderka"/>
    <n v="5"/>
    <x v="2"/>
  </r>
  <r>
    <d v="2017-01-13T00:00:00"/>
    <s v="Mateusz"/>
    <s v="Sardo"/>
    <n v="26"/>
    <x v="2"/>
  </r>
  <r>
    <d v="2017-01-13T00:00:00"/>
    <s v="Ewelina"/>
    <s v="Gorecka"/>
    <n v="10"/>
    <x v="2"/>
  </r>
  <r>
    <d v="2017-01-13T00:00:00"/>
    <s v="Dominika"/>
    <s v="Nowakowska"/>
    <n v="29"/>
    <x v="2"/>
  </r>
  <r>
    <d v="2017-01-13T00:00:00"/>
    <s v="Patrycja"/>
    <s v="Augustowska"/>
    <n v="40"/>
    <x v="2"/>
  </r>
  <r>
    <d v="2017-01-13T00:00:00"/>
    <s v="Jan"/>
    <s v="Kaczorowski"/>
    <n v="21"/>
    <x v="2"/>
  </r>
  <r>
    <d v="2017-01-13T00:00:00"/>
    <s v="Stanislaw"/>
    <s v="Derek"/>
    <n v="14"/>
    <x v="2"/>
  </r>
  <r>
    <d v="2017-01-13T00:00:00"/>
    <s v="Mariola"/>
    <s v="Las"/>
    <n v="26"/>
    <x v="2"/>
  </r>
  <r>
    <d v="2017-01-13T00:00:00"/>
    <s v="Joanna"/>
    <s v="Baranska"/>
    <n v="8"/>
    <x v="2"/>
  </r>
  <r>
    <d v="2017-01-16T00:00:00"/>
    <s v="Przemyslaw"/>
    <s v="Marek"/>
    <n v="56"/>
    <x v="2"/>
  </r>
  <r>
    <d v="2017-01-16T00:00:00"/>
    <s v="Maria"/>
    <s v="Borowska"/>
    <n v="3"/>
    <x v="2"/>
  </r>
  <r>
    <d v="2017-01-16T00:00:00"/>
    <s v="Aleksander"/>
    <s v="Wojciechowski"/>
    <n v="47"/>
    <x v="2"/>
  </r>
  <r>
    <d v="2017-01-16T00:00:00"/>
    <s v="Leon"/>
    <s v="Price"/>
    <n v="19"/>
    <x v="2"/>
  </r>
  <r>
    <d v="2017-01-16T00:00:00"/>
    <s v="Mariusz"/>
    <s v="Brydzinski"/>
    <n v="14"/>
    <x v="2"/>
  </r>
  <r>
    <d v="2017-01-16T00:00:00"/>
    <s v="Jan"/>
    <s v="Bikot"/>
    <n v="47"/>
    <x v="2"/>
  </r>
  <r>
    <d v="2017-01-16T00:00:00"/>
    <s v="Krzysztof"/>
    <s v="Konieckiewicz"/>
    <n v="13"/>
    <x v="2"/>
  </r>
  <r>
    <d v="2017-01-16T00:00:00"/>
    <s v="Natalia"/>
    <s v="Belicka"/>
    <n v="27"/>
    <x v="2"/>
  </r>
  <r>
    <d v="2017-01-16T00:00:00"/>
    <s v="Ewa"/>
    <s v="Wojna"/>
    <n v="23"/>
    <x v="2"/>
  </r>
  <r>
    <d v="2017-01-17T00:00:00"/>
    <s v="Jacek"/>
    <s v="Ciosinski"/>
    <n v="39"/>
    <x v="2"/>
  </r>
  <r>
    <d v="2017-01-17T00:00:00"/>
    <s v="Jolanta"/>
    <s v="Bicz"/>
    <n v="19"/>
    <x v="2"/>
  </r>
  <r>
    <d v="2017-01-17T00:00:00"/>
    <s v="Jakub"/>
    <s v="Ręczmin"/>
    <n v="17"/>
    <x v="2"/>
  </r>
  <r>
    <d v="2017-01-17T00:00:00"/>
    <s v="Michal"/>
    <s v="Norek"/>
    <n v="30"/>
    <x v="2"/>
  </r>
  <r>
    <d v="2017-01-17T00:00:00"/>
    <s v="Julia"/>
    <s v="Stuhr"/>
    <n v="22"/>
    <x v="2"/>
  </r>
  <r>
    <d v="2017-01-17T00:00:00"/>
    <s v="Anita"/>
    <s v="Pawelczyk"/>
    <n v="8"/>
    <x v="2"/>
  </r>
  <r>
    <d v="2017-01-17T00:00:00"/>
    <s v="Alicja"/>
    <s v="Chmiel"/>
    <n v="20"/>
    <x v="2"/>
  </r>
  <r>
    <d v="2017-01-17T00:00:00"/>
    <s v="Jakub"/>
    <s v="Jedruszek"/>
    <n v="20"/>
    <x v="2"/>
  </r>
  <r>
    <d v="2017-01-17T00:00:00"/>
    <s v="Jakub"/>
    <s v="Waniek"/>
    <n v="29"/>
    <x v="2"/>
  </r>
  <r>
    <d v="2017-01-18T00:00:00"/>
    <s v="Karol"/>
    <s v="Milek"/>
    <n v="42"/>
    <x v="3"/>
  </r>
  <r>
    <d v="2017-01-18T00:00:00"/>
    <s v="Piotr"/>
    <s v="Flis"/>
    <n v="4"/>
    <x v="3"/>
  </r>
  <r>
    <d v="2017-01-18T00:00:00"/>
    <s v="Wanda"/>
    <s v="Sadza"/>
    <n v="3"/>
    <x v="3"/>
  </r>
  <r>
    <d v="2017-01-18T00:00:00"/>
    <s v="Aleks"/>
    <s v="Wojcik"/>
    <n v="39"/>
    <x v="3"/>
  </r>
  <r>
    <d v="2017-01-18T00:00:00"/>
    <s v="Zofia"/>
    <s v="Janczy"/>
    <n v="51"/>
    <x v="3"/>
  </r>
  <r>
    <d v="2017-01-18T00:00:00"/>
    <s v="Jaroslaw"/>
    <s v="Kopiec"/>
    <n v="8"/>
    <x v="3"/>
  </r>
  <r>
    <d v="2017-01-18T00:00:00"/>
    <s v="Dorota"/>
    <s v="Adamus"/>
    <n v="22"/>
    <x v="3"/>
  </r>
  <r>
    <d v="2017-01-18T00:00:00"/>
    <s v="Kinga"/>
    <s v="Kleszcz"/>
    <n v="15"/>
    <x v="3"/>
  </r>
  <r>
    <d v="2017-01-18T00:00:00"/>
    <s v="Malgorzata"/>
    <s v="Wiecek"/>
    <n v="10"/>
    <x v="3"/>
  </r>
  <r>
    <d v="2017-01-19T00:00:00"/>
    <s v="Piotr"/>
    <s v="Felus"/>
    <n v="21"/>
    <x v="3"/>
  </r>
  <r>
    <d v="2017-01-19T00:00:00"/>
    <s v="Mateusz"/>
    <s v="Uklej"/>
    <n v="34"/>
    <x v="3"/>
  </r>
  <r>
    <d v="2017-01-19T00:00:00"/>
    <s v="Julia"/>
    <s v="Kielecka"/>
    <n v="43"/>
    <x v="3"/>
  </r>
  <r>
    <d v="2017-01-19T00:00:00"/>
    <s v="Jaroslaw"/>
    <s v="Kopiec"/>
    <n v="24"/>
    <x v="3"/>
  </r>
  <r>
    <d v="2017-01-19T00:00:00"/>
    <s v="Edward"/>
    <s v="Zdunek"/>
    <n v="29"/>
    <x v="3"/>
  </r>
  <r>
    <d v="2017-01-19T00:00:00"/>
    <s v="Anna"/>
    <s v="Trzebiatowska"/>
    <n v="5"/>
    <x v="3"/>
  </r>
  <r>
    <d v="2017-01-19T00:00:00"/>
    <s v="Marta"/>
    <s v="Opolska"/>
    <n v="54"/>
    <x v="3"/>
  </r>
  <r>
    <d v="2017-01-19T00:00:00"/>
    <s v="Maciej"/>
    <s v="Laskowski"/>
    <n v="29"/>
    <x v="3"/>
  </r>
  <r>
    <d v="2017-01-19T00:00:00"/>
    <s v="Jacek"/>
    <s v="Szypulski"/>
    <n v="4"/>
    <x v="3"/>
  </r>
  <r>
    <d v="2017-01-20T00:00:00"/>
    <s v="Maria"/>
    <s v="Drozd"/>
    <n v="12"/>
    <x v="3"/>
  </r>
  <r>
    <d v="2017-01-20T00:00:00"/>
    <s v="Mateusz"/>
    <s v="Uklej"/>
    <n v="14"/>
    <x v="3"/>
  </r>
  <r>
    <d v="2017-01-20T00:00:00"/>
    <s v="Mateusz"/>
    <s v="Kowalczyk"/>
    <n v="46"/>
    <x v="3"/>
  </r>
  <r>
    <d v="2017-01-20T00:00:00"/>
    <s v="Weronika"/>
    <s v="Zdroj"/>
    <n v="13"/>
    <x v="3"/>
  </r>
  <r>
    <d v="2017-01-20T00:00:00"/>
    <s v="Wieslawa"/>
    <s v="Biczysko"/>
    <n v="15"/>
    <x v="3"/>
  </r>
  <r>
    <d v="2017-01-20T00:00:00"/>
    <s v="Marek"/>
    <s v="Nowakowski"/>
    <n v="38"/>
    <x v="3"/>
  </r>
  <r>
    <d v="2017-01-20T00:00:00"/>
    <s v="Karolina"/>
    <s v="Welc"/>
    <n v="27"/>
    <x v="3"/>
  </r>
  <r>
    <d v="2017-01-20T00:00:00"/>
    <s v="Ewa"/>
    <s v="Stoch"/>
    <n v="49"/>
    <x v="3"/>
  </r>
  <r>
    <d v="2017-01-20T00:00:00"/>
    <s v="Barbara"/>
    <s v="Podobinska"/>
    <n v="17"/>
    <x v="3"/>
  </r>
  <r>
    <d v="2017-01-23T00:00:00"/>
    <s v="Emilia"/>
    <s v="Mroczek"/>
    <n v="10"/>
    <x v="3"/>
  </r>
  <r>
    <d v="2017-01-23T00:00:00"/>
    <s v="Maria"/>
    <s v="Drozd"/>
    <n v="12"/>
    <x v="3"/>
  </r>
  <r>
    <d v="2017-01-23T00:00:00"/>
    <s v="Agnieszka"/>
    <s v="Antos"/>
    <n v="42"/>
    <x v="3"/>
  </r>
  <r>
    <d v="2017-01-23T00:00:00"/>
    <s v="Sabina"/>
    <s v="Wilk"/>
    <n v="25"/>
    <x v="3"/>
  </r>
  <r>
    <d v="2017-01-23T00:00:00"/>
    <s v="Edward"/>
    <s v="Snopek"/>
    <n v="47"/>
    <x v="3"/>
  </r>
  <r>
    <d v="2017-01-23T00:00:00"/>
    <s v="Krzysztof"/>
    <s v="Madejski"/>
    <n v="14"/>
    <x v="3"/>
  </r>
  <r>
    <d v="2017-01-23T00:00:00"/>
    <s v="Marcin"/>
    <s v="Wrobel"/>
    <n v="6"/>
    <x v="3"/>
  </r>
  <r>
    <d v="2017-01-23T00:00:00"/>
    <s v="Igor"/>
    <s v="Ryngwelski"/>
    <n v="55"/>
    <x v="3"/>
  </r>
  <r>
    <d v="2017-01-23T00:00:00"/>
    <s v="Michal"/>
    <s v="Lenski"/>
    <n v="22"/>
    <x v="3"/>
  </r>
  <r>
    <d v="2017-01-24T00:00:00"/>
    <s v="Pawel"/>
    <s v="Nowakowski"/>
    <n v="45"/>
    <x v="3"/>
  </r>
  <r>
    <d v="2017-01-24T00:00:00"/>
    <s v="Agnieszka"/>
    <s v="Krawczynska"/>
    <n v="20"/>
    <x v="3"/>
  </r>
  <r>
    <d v="2017-01-24T00:00:00"/>
    <s v="Grzegorz"/>
    <s v="Domek"/>
    <n v="52"/>
    <x v="3"/>
  </r>
  <r>
    <d v="2017-01-24T00:00:00"/>
    <s v="Michal"/>
    <s v="Gora"/>
    <n v="47"/>
    <x v="3"/>
  </r>
  <r>
    <d v="2017-01-24T00:00:00"/>
    <s v="Krzysztof"/>
    <s v="Micun"/>
    <n v="13"/>
    <x v="3"/>
  </r>
  <r>
    <d v="2017-01-24T00:00:00"/>
    <s v="Maria"/>
    <s v="Galas"/>
    <n v="23"/>
    <x v="3"/>
  </r>
  <r>
    <d v="2017-01-24T00:00:00"/>
    <s v="Jerzy"/>
    <s v="Polanicki"/>
    <n v="11"/>
    <x v="3"/>
  </r>
  <r>
    <d v="2017-01-24T00:00:00"/>
    <s v="Joanna"/>
    <s v="Baranska"/>
    <n v="35"/>
    <x v="3"/>
  </r>
  <r>
    <d v="2017-01-24T00:00:00"/>
    <s v="Hanna"/>
    <s v="Steinborn"/>
    <n v="42"/>
    <x v="3"/>
  </r>
  <r>
    <d v="2017-01-25T00:00:00"/>
    <s v="Anita"/>
    <s v="Woloszyn"/>
    <n v="15"/>
    <x v="4"/>
  </r>
  <r>
    <d v="2017-01-25T00:00:00"/>
    <s v="Karolina"/>
    <s v="Wrona"/>
    <n v="9"/>
    <x v="4"/>
  </r>
  <r>
    <d v="2017-01-25T00:00:00"/>
    <s v="Kamil"/>
    <s v="Pudelski"/>
    <n v="33"/>
    <x v="4"/>
  </r>
  <r>
    <d v="2017-01-25T00:00:00"/>
    <s v="Jerzy"/>
    <s v="Czajkowski"/>
    <n v="17"/>
    <x v="4"/>
  </r>
  <r>
    <d v="2017-01-25T00:00:00"/>
    <s v="Dominik"/>
    <s v="Szczucki"/>
    <n v="11"/>
    <x v="4"/>
  </r>
  <r>
    <d v="2017-01-25T00:00:00"/>
    <s v="Witold"/>
    <s v="Sempa"/>
    <n v="19"/>
    <x v="4"/>
  </r>
  <r>
    <d v="2017-01-25T00:00:00"/>
    <s v="Daria"/>
    <s v="Zagrobna"/>
    <n v="14"/>
    <x v="4"/>
  </r>
  <r>
    <d v="2017-01-25T00:00:00"/>
    <s v="Alicja"/>
    <s v="Chmiel"/>
    <n v="6"/>
    <x v="4"/>
  </r>
  <r>
    <d v="2017-01-25T00:00:00"/>
    <s v="Malwina"/>
    <s v="Korzeniowska"/>
    <n v="47"/>
    <x v="4"/>
  </r>
  <r>
    <d v="2017-01-25T00:00:00"/>
    <s v="Beata"/>
    <s v="Lubelska"/>
    <n v="4"/>
    <x v="4"/>
  </r>
  <r>
    <d v="2017-01-25T00:00:00"/>
    <s v="Marzena"/>
    <s v="Jagielska"/>
    <n v="45"/>
    <x v="4"/>
  </r>
  <r>
    <d v="2017-01-26T00:00:00"/>
    <s v="Patryk"/>
    <s v="Giemza"/>
    <n v="39"/>
    <x v="4"/>
  </r>
  <r>
    <d v="2017-01-26T00:00:00"/>
    <s v="Maria"/>
    <s v="Adamska"/>
    <n v="34"/>
    <x v="4"/>
  </r>
  <r>
    <d v="2017-01-26T00:00:00"/>
    <s v="Emilia"/>
    <s v="Janik"/>
    <n v="9"/>
    <x v="4"/>
  </r>
  <r>
    <d v="2017-01-26T00:00:00"/>
    <s v="Izabella"/>
    <s v="Jelen"/>
    <n v="23"/>
    <x v="4"/>
  </r>
  <r>
    <d v="2017-01-26T00:00:00"/>
    <s v="Julia"/>
    <s v="Stuhr"/>
    <n v="3"/>
    <x v="4"/>
  </r>
  <r>
    <d v="2017-01-26T00:00:00"/>
    <s v="Karolina"/>
    <s v="Nowak"/>
    <n v="13"/>
    <x v="4"/>
  </r>
  <r>
    <d v="2017-01-26T00:00:00"/>
    <s v="Karolina"/>
    <s v="Karpacka"/>
    <n v="16"/>
    <x v="4"/>
  </r>
  <r>
    <d v="2017-01-26T00:00:00"/>
    <s v="Piotr"/>
    <s v="Dzierzak"/>
    <n v="19"/>
    <x v="4"/>
  </r>
  <r>
    <d v="2017-01-26T00:00:00"/>
    <s v="Marek"/>
    <s v="Wolicki"/>
    <n v="49"/>
    <x v="4"/>
  </r>
  <r>
    <d v="2017-01-26T00:00:00"/>
    <s v="Adrian"/>
    <s v="Yuksek"/>
    <n v="45"/>
    <x v="4"/>
  </r>
  <r>
    <d v="2017-01-26T00:00:00"/>
    <s v="Monika"/>
    <s v="Piterka"/>
    <n v="14"/>
    <x v="4"/>
  </r>
  <r>
    <d v="2017-01-27T00:00:00"/>
    <s v="Jan"/>
    <s v="Inny"/>
    <n v="23"/>
    <x v="4"/>
  </r>
  <r>
    <d v="2017-01-27T00:00:00"/>
    <s v="Magdalena"/>
    <s v="Okraska"/>
    <n v="42"/>
    <x v="4"/>
  </r>
  <r>
    <d v="2017-01-27T00:00:00"/>
    <s v="Edgar"/>
    <s v="Wyszomirski"/>
    <n v="30"/>
    <x v="4"/>
  </r>
  <r>
    <d v="2017-01-27T00:00:00"/>
    <s v="Marta"/>
    <s v="Robak"/>
    <n v="42"/>
    <x v="4"/>
  </r>
  <r>
    <d v="2017-01-27T00:00:00"/>
    <s v="Maja"/>
    <s v="Lipka"/>
    <n v="29"/>
    <x v="4"/>
  </r>
  <r>
    <d v="2017-01-27T00:00:00"/>
    <s v="Teodor"/>
    <s v="Olszewski"/>
    <n v="6"/>
    <x v="4"/>
  </r>
  <r>
    <d v="2017-01-27T00:00:00"/>
    <s v="Lena"/>
    <s v="Miszkin"/>
    <n v="17"/>
    <x v="4"/>
  </r>
  <r>
    <d v="2017-01-27T00:00:00"/>
    <s v="Maciej"/>
    <s v="Czyzynski"/>
    <n v="41"/>
    <x v="4"/>
  </r>
  <r>
    <d v="2017-01-27T00:00:00"/>
    <s v="Malgorzata"/>
    <s v="Karlowski"/>
    <n v="23"/>
    <x v="4"/>
  </r>
  <r>
    <d v="2017-01-27T00:00:00"/>
    <s v="Wieslawa"/>
    <s v="Biczysko"/>
    <n v="4"/>
    <x v="4"/>
  </r>
  <r>
    <d v="2017-01-27T00:00:00"/>
    <s v="Sofia"/>
    <s v="Felisiak"/>
    <n v="52"/>
    <x v="4"/>
  </r>
  <r>
    <d v="2017-01-30T00:00:00"/>
    <s v="Laura"/>
    <s v="Chmielewska"/>
    <n v="7"/>
    <x v="4"/>
  </r>
  <r>
    <d v="2017-01-30T00:00:00"/>
    <s v="Filip"/>
    <s v="Strack"/>
    <n v="33"/>
    <x v="4"/>
  </r>
  <r>
    <d v="2017-01-30T00:00:00"/>
    <s v="Adela"/>
    <s v="Waruszewska"/>
    <n v="55"/>
    <x v="4"/>
  </r>
  <r>
    <d v="2017-01-30T00:00:00"/>
    <s v="Inez"/>
    <s v="Nahaj"/>
    <n v="13"/>
    <x v="4"/>
  </r>
  <r>
    <d v="2017-01-30T00:00:00"/>
    <s v="Zenon"/>
    <s v="Bartek"/>
    <n v="2"/>
    <x v="4"/>
  </r>
  <r>
    <d v="2017-01-30T00:00:00"/>
    <s v="Karol"/>
    <s v="Felisiak"/>
    <n v="19"/>
    <x v="4"/>
  </r>
  <r>
    <d v="2017-01-30T00:00:00"/>
    <s v="Wojciech"/>
    <s v="Wroblewski"/>
    <n v="28"/>
    <x v="4"/>
  </r>
  <r>
    <d v="2017-01-30T00:00:00"/>
    <s v="Ewa"/>
    <s v="Nowicka"/>
    <n v="43"/>
    <x v="4"/>
  </r>
  <r>
    <d v="2017-01-30T00:00:00"/>
    <s v="Irena"/>
    <s v="Banasiewicz"/>
    <n v="20"/>
    <x v="4"/>
  </r>
  <r>
    <d v="2017-01-30T00:00:00"/>
    <s v="Beata"/>
    <s v="Fles"/>
    <n v="22"/>
    <x v="4"/>
  </r>
  <r>
    <d v="2017-01-30T00:00:00"/>
    <s v="Ewa"/>
    <s v="Czerwinska"/>
    <n v="9"/>
    <x v="4"/>
  </r>
  <r>
    <d v="2017-01-31T00:00:00"/>
    <s v="Maja"/>
    <s v="Kulkowska"/>
    <n v="26"/>
    <x v="4"/>
  </r>
  <r>
    <d v="2017-01-31T00:00:00"/>
    <s v="Marek"/>
    <s v="Leoniuk"/>
    <n v="38"/>
    <x v="4"/>
  </r>
  <r>
    <d v="2017-01-31T00:00:00"/>
    <s v="Anna"/>
    <s v="Wilk"/>
    <n v="40"/>
    <x v="4"/>
  </r>
  <r>
    <d v="2017-01-31T00:00:00"/>
    <s v="Natalia"/>
    <s v="Miklis"/>
    <n v="56"/>
    <x v="4"/>
  </r>
  <r>
    <d v="2017-01-31T00:00:00"/>
    <s v="Krzysztof"/>
    <s v="Figurski"/>
    <n v="18"/>
    <x v="4"/>
  </r>
  <r>
    <d v="2017-01-31T00:00:00"/>
    <s v="Maria"/>
    <s v="Borowska"/>
    <n v="14"/>
    <x v="4"/>
  </r>
  <r>
    <d v="2017-01-31T00:00:00"/>
    <s v="Ewa"/>
    <s v="Aderek"/>
    <n v="16"/>
    <x v="4"/>
  </r>
  <r>
    <d v="2017-01-31T00:00:00"/>
    <s v="Joanna"/>
    <s v="Pilc"/>
    <n v="41"/>
    <x v="4"/>
  </r>
  <r>
    <d v="2017-01-31T00:00:00"/>
    <s v="Damian"/>
    <s v="Pilis"/>
    <n v="52"/>
    <x v="4"/>
  </r>
  <r>
    <d v="2017-01-31T00:00:00"/>
    <s v="Maria"/>
    <s v="Gatek"/>
    <n v="50"/>
    <x v="4"/>
  </r>
  <r>
    <d v="2017-01-31T00:00:00"/>
    <s v="Hanna"/>
    <s v="Modlinska"/>
    <n v="34"/>
    <x v="4"/>
  </r>
  <r>
    <d v="2017-02-01T00:00:00"/>
    <s v="Anna"/>
    <s v="Janowska"/>
    <n v="17"/>
    <x v="5"/>
  </r>
  <r>
    <d v="2017-02-01T00:00:00"/>
    <s v="Katarzyna"/>
    <s v="Wip"/>
    <n v="3"/>
    <x v="5"/>
  </r>
  <r>
    <d v="2017-02-01T00:00:00"/>
    <s v="Henryk"/>
    <s v="Polarek"/>
    <n v="3"/>
    <x v="5"/>
  </r>
  <r>
    <d v="2017-02-01T00:00:00"/>
    <s v="Anita"/>
    <s v="Woloszyn"/>
    <n v="26"/>
    <x v="5"/>
  </r>
  <r>
    <d v="2017-02-01T00:00:00"/>
    <s v="Malwina"/>
    <s v="Korzeniowska"/>
    <n v="3"/>
    <x v="5"/>
  </r>
  <r>
    <d v="2017-02-01T00:00:00"/>
    <s v="Marcel"/>
    <s v="Labuda"/>
    <n v="20"/>
    <x v="5"/>
  </r>
  <r>
    <d v="2017-02-01T00:00:00"/>
    <s v="Olgierd"/>
    <s v="Baranek"/>
    <n v="23"/>
    <x v="5"/>
  </r>
  <r>
    <d v="2017-02-01T00:00:00"/>
    <s v="Luiza"/>
    <s v="Makowska"/>
    <n v="24"/>
    <x v="5"/>
  </r>
  <r>
    <d v="2017-02-01T00:00:00"/>
    <s v="Andrea"/>
    <s v="Witkowska"/>
    <n v="17"/>
    <x v="5"/>
  </r>
  <r>
    <d v="2017-02-01T00:00:00"/>
    <s v="Lena"/>
    <s v="Marzec"/>
    <n v="6"/>
    <x v="5"/>
  </r>
  <r>
    <d v="2017-02-01T00:00:00"/>
    <s v="Janusz"/>
    <s v="Artowski"/>
    <n v="47"/>
    <x v="5"/>
  </r>
  <r>
    <d v="2017-02-02T00:00:00"/>
    <s v="Kamila"/>
    <s v="Wolan"/>
    <n v="25"/>
    <x v="5"/>
  </r>
  <r>
    <d v="2017-02-02T00:00:00"/>
    <s v="Inka"/>
    <s v="Sochacka"/>
    <n v="20"/>
    <x v="5"/>
  </r>
  <r>
    <d v="2017-02-02T00:00:00"/>
    <s v="Alina"/>
    <s v="Warta"/>
    <n v="6"/>
    <x v="5"/>
  </r>
  <r>
    <d v="2017-02-02T00:00:00"/>
    <s v="Adam"/>
    <s v="Zega"/>
    <n v="16"/>
    <x v="5"/>
  </r>
  <r>
    <d v="2017-02-02T00:00:00"/>
    <s v="Henryk"/>
    <s v="Siminski"/>
    <n v="16"/>
    <x v="5"/>
  </r>
  <r>
    <d v="2017-02-02T00:00:00"/>
    <s v="Irena"/>
    <s v="Piotrowska"/>
    <n v="8"/>
    <x v="5"/>
  </r>
  <r>
    <d v="2017-02-02T00:00:00"/>
    <s v="Malgorzata"/>
    <s v="Karlowski"/>
    <n v="17"/>
    <x v="5"/>
  </r>
  <r>
    <d v="2017-02-02T00:00:00"/>
    <s v="Jakub"/>
    <s v="Bracik"/>
    <n v="8"/>
    <x v="5"/>
  </r>
  <r>
    <d v="2017-02-02T00:00:00"/>
    <s v="Maciej"/>
    <s v="Lyszcz"/>
    <n v="29"/>
    <x v="5"/>
  </r>
  <r>
    <d v="2017-02-02T00:00:00"/>
    <s v="Pawel"/>
    <s v="Nowak"/>
    <n v="43"/>
    <x v="5"/>
  </r>
  <r>
    <d v="2017-02-02T00:00:00"/>
    <s v="Michalina"/>
    <s v="Klebba"/>
    <n v="17"/>
    <x v="5"/>
  </r>
  <r>
    <d v="2017-02-03T00:00:00"/>
    <s v="Bartosz"/>
    <s v="Protasow"/>
    <n v="29"/>
    <x v="5"/>
  </r>
  <r>
    <d v="2017-02-03T00:00:00"/>
    <s v="Edward"/>
    <s v="Zdunek"/>
    <n v="7"/>
    <x v="5"/>
  </r>
  <r>
    <d v="2017-02-03T00:00:00"/>
    <s v="Joanna"/>
    <s v="Zygmunt"/>
    <n v="16"/>
    <x v="5"/>
  </r>
  <r>
    <d v="2017-02-03T00:00:00"/>
    <s v="Krzysztof"/>
    <s v="Figurski"/>
    <n v="3"/>
    <x v="5"/>
  </r>
  <r>
    <d v="2017-02-03T00:00:00"/>
    <s v="Maja"/>
    <s v="Kulkowska"/>
    <n v="26"/>
    <x v="5"/>
  </r>
  <r>
    <d v="2017-02-03T00:00:00"/>
    <s v="Maria"/>
    <s v="Kowalczuk"/>
    <n v="5"/>
    <x v="5"/>
  </r>
  <r>
    <d v="2017-02-03T00:00:00"/>
    <s v="Jakub"/>
    <s v="Ropiak"/>
    <n v="16"/>
    <x v="5"/>
  </r>
  <r>
    <d v="2017-02-03T00:00:00"/>
    <s v="Piotr"/>
    <s v="Kania"/>
    <n v="19"/>
    <x v="5"/>
  </r>
  <r>
    <d v="2017-02-03T00:00:00"/>
    <s v="Witold"/>
    <s v="Sempa"/>
    <n v="13"/>
    <x v="5"/>
  </r>
  <r>
    <d v="2017-02-03T00:00:00"/>
    <s v="Pawel"/>
    <s v="Macherzynski"/>
    <n v="8"/>
    <x v="5"/>
  </r>
  <r>
    <d v="2017-02-03T00:00:00"/>
    <s v="Krzysztof"/>
    <s v="Czyz"/>
    <n v="13"/>
    <x v="5"/>
  </r>
  <r>
    <d v="2017-02-06T00:00:00"/>
    <s v="Krzysztof"/>
    <s v="Wilecki"/>
    <n v="25"/>
    <x v="5"/>
  </r>
  <r>
    <d v="2017-02-06T00:00:00"/>
    <s v="Zbigniew"/>
    <s v="Paderewski"/>
    <n v="25"/>
    <x v="5"/>
  </r>
  <r>
    <d v="2017-02-06T00:00:00"/>
    <s v="Bartosz"/>
    <s v="Tusinski"/>
    <n v="56"/>
    <x v="5"/>
  </r>
  <r>
    <d v="2017-02-06T00:00:00"/>
    <s v="Sabina"/>
    <s v="Wilk"/>
    <n v="3"/>
    <x v="5"/>
  </r>
  <r>
    <d v="2017-02-06T00:00:00"/>
    <s v="Marta"/>
    <s v="Wloczkow"/>
    <n v="18"/>
    <x v="5"/>
  </r>
  <r>
    <d v="2017-02-06T00:00:00"/>
    <s v="Bartosz"/>
    <s v="Tusinski"/>
    <n v="14"/>
    <x v="5"/>
  </r>
  <r>
    <d v="2017-02-06T00:00:00"/>
    <s v="Cyprian"/>
    <s v="Swierszcz"/>
    <n v="5"/>
    <x v="5"/>
  </r>
  <r>
    <d v="2017-02-06T00:00:00"/>
    <s v="Anita"/>
    <s v="Tych"/>
    <n v="3"/>
    <x v="5"/>
  </r>
  <r>
    <d v="2017-02-06T00:00:00"/>
    <s v="Piotr"/>
    <s v="Kaleta"/>
    <n v="27"/>
    <x v="5"/>
  </r>
  <r>
    <d v="2017-02-06T00:00:00"/>
    <s v="Konrad"/>
    <s v="Lipowski"/>
    <n v="28"/>
    <x v="5"/>
  </r>
  <r>
    <d v="2017-02-06T00:00:00"/>
    <s v="Wojciech"/>
    <s v="Filipowicz"/>
    <n v="2"/>
    <x v="5"/>
  </r>
  <r>
    <d v="2017-02-07T00:00:00"/>
    <s v="Marcel"/>
    <s v="Labuda"/>
    <n v="29"/>
    <x v="5"/>
  </r>
  <r>
    <d v="2017-02-07T00:00:00"/>
    <s v="Antoni"/>
    <s v="Pawlus"/>
    <n v="54"/>
    <x v="5"/>
  </r>
  <r>
    <d v="2017-02-07T00:00:00"/>
    <s v="Tadeusz"/>
    <s v="Stoch"/>
    <n v="4"/>
    <x v="5"/>
  </r>
  <r>
    <d v="2017-02-07T00:00:00"/>
    <s v="Krzysztof"/>
    <s v="Dwa"/>
    <n v="29"/>
    <x v="5"/>
  </r>
  <r>
    <d v="2017-02-07T00:00:00"/>
    <s v="Lukasz"/>
    <s v="Kopecki"/>
    <n v="22"/>
    <x v="5"/>
  </r>
  <r>
    <d v="2017-02-07T00:00:00"/>
    <s v="Krzysztof"/>
    <s v="Dwa"/>
    <n v="6"/>
    <x v="5"/>
  </r>
  <r>
    <d v="2017-02-07T00:00:00"/>
    <s v="Aleks"/>
    <s v="Wojcik"/>
    <n v="7"/>
    <x v="5"/>
  </r>
  <r>
    <d v="2017-02-07T00:00:00"/>
    <s v="Dominika"/>
    <s v="Mierny"/>
    <n v="21"/>
    <x v="5"/>
  </r>
  <r>
    <d v="2017-02-07T00:00:00"/>
    <s v="Jakub"/>
    <s v="Waniek"/>
    <n v="19"/>
    <x v="5"/>
  </r>
  <r>
    <d v="2017-02-07T00:00:00"/>
    <s v="Bohdan"/>
    <s v="Gigant"/>
    <n v="8"/>
    <x v="5"/>
  </r>
  <r>
    <d v="2017-02-07T00:00:00"/>
    <s v="Jakub"/>
    <s v="Jedruszek"/>
    <n v="2"/>
    <x v="5"/>
  </r>
  <r>
    <d v="2017-02-08T00:00:00"/>
    <s v="Henryk"/>
    <s v="Siminski"/>
    <n v="45"/>
    <x v="6"/>
  </r>
  <r>
    <d v="2017-02-08T00:00:00"/>
    <s v="Natalia"/>
    <s v="Wolny"/>
    <n v="3"/>
    <x v="6"/>
  </r>
  <r>
    <d v="2017-02-08T00:00:00"/>
    <s v="Olaf"/>
    <s v="Hrywniak"/>
    <n v="36"/>
    <x v="6"/>
  </r>
  <r>
    <d v="2017-02-08T00:00:00"/>
    <s v="Natalia"/>
    <s v="Wolny"/>
    <n v="9"/>
    <x v="6"/>
  </r>
  <r>
    <d v="2017-02-08T00:00:00"/>
    <s v="Agata"/>
    <s v="Zdrojewska"/>
    <n v="24"/>
    <x v="6"/>
  </r>
  <r>
    <d v="2017-02-08T00:00:00"/>
    <s v="Barbara"/>
    <s v="Podobinska"/>
    <n v="5"/>
    <x v="6"/>
  </r>
  <r>
    <d v="2017-02-08T00:00:00"/>
    <s v="Kornel"/>
    <s v="Mierzejewski"/>
    <n v="22"/>
    <x v="6"/>
  </r>
  <r>
    <d v="2017-02-08T00:00:00"/>
    <s v="Konrad"/>
    <s v="Jagielski"/>
    <n v="9"/>
    <x v="6"/>
  </r>
  <r>
    <d v="2017-02-08T00:00:00"/>
    <s v="Anna"/>
    <s v="Tomaszewska"/>
    <n v="6"/>
    <x v="6"/>
  </r>
  <r>
    <d v="2017-02-08T00:00:00"/>
    <s v="Anastazja"/>
    <s v="Borowska"/>
    <n v="9"/>
    <x v="6"/>
  </r>
  <r>
    <d v="2017-02-08T00:00:00"/>
    <s v="Dominika"/>
    <s v="Wierzbicka"/>
    <n v="19"/>
    <x v="6"/>
  </r>
  <r>
    <d v="2017-02-09T00:00:00"/>
    <s v="Martyna"/>
    <s v="Marmelowska"/>
    <n v="14"/>
    <x v="6"/>
  </r>
  <r>
    <d v="2017-02-09T00:00:00"/>
    <s v="Krystyna"/>
    <s v="Szybki"/>
    <n v="44"/>
    <x v="6"/>
  </r>
  <r>
    <d v="2017-02-09T00:00:00"/>
    <s v="Pawel"/>
    <s v="Furmaniak"/>
    <n v="38"/>
    <x v="6"/>
  </r>
  <r>
    <d v="2017-02-09T00:00:00"/>
    <s v="Malgorzata"/>
    <s v="Malec"/>
    <n v="18"/>
    <x v="6"/>
  </r>
  <r>
    <d v="2017-02-09T00:00:00"/>
    <s v="Marek"/>
    <s v="Leoniuk"/>
    <n v="51"/>
    <x v="6"/>
  </r>
  <r>
    <d v="2017-02-09T00:00:00"/>
    <s v="Marek"/>
    <s v="Witkowski"/>
    <n v="10"/>
    <x v="6"/>
  </r>
  <r>
    <d v="2017-02-09T00:00:00"/>
    <s v="Malgorzata"/>
    <s v="Winiarska"/>
    <n v="47"/>
    <x v="6"/>
  </r>
  <r>
    <d v="2017-02-09T00:00:00"/>
    <s v="Marek"/>
    <s v="Janowski"/>
    <n v="54"/>
    <x v="6"/>
  </r>
  <r>
    <d v="2017-02-09T00:00:00"/>
    <s v="Ewa"/>
    <s v="Stoch"/>
    <n v="32"/>
    <x v="6"/>
  </r>
  <r>
    <d v="2017-02-09T00:00:00"/>
    <s v="Zenon"/>
    <s v="Zbych"/>
    <n v="16"/>
    <x v="6"/>
  </r>
  <r>
    <d v="2017-02-09T00:00:00"/>
    <s v="Julia"/>
    <s v="Salanowska"/>
    <n v="18"/>
    <x v="6"/>
  </r>
  <r>
    <d v="2017-02-10T00:00:00"/>
    <s v="Nadia"/>
    <s v="Jędrzejczak"/>
    <n v="38"/>
    <x v="6"/>
  </r>
  <r>
    <d v="2017-02-10T00:00:00"/>
    <s v="Milena"/>
    <s v="Karolewska"/>
    <n v="7"/>
    <x v="6"/>
  </r>
  <r>
    <d v="2017-02-10T00:00:00"/>
    <s v="Izabela"/>
    <s v="Skrzydlak"/>
    <n v="16"/>
    <x v="6"/>
  </r>
  <r>
    <d v="2017-02-10T00:00:00"/>
    <s v="Anita"/>
    <s v="Kaczorowska"/>
    <n v="42"/>
    <x v="6"/>
  </r>
  <r>
    <d v="2017-02-10T00:00:00"/>
    <s v="Maksymilian"/>
    <s v="Piwko"/>
    <n v="27"/>
    <x v="6"/>
  </r>
  <r>
    <d v="2017-02-10T00:00:00"/>
    <s v="Maciej"/>
    <s v="Laskowski"/>
    <n v="19"/>
    <x v="6"/>
  </r>
  <r>
    <d v="2017-02-10T00:00:00"/>
    <s v="Henryk"/>
    <s v="Polarek"/>
    <n v="37"/>
    <x v="6"/>
  </r>
  <r>
    <d v="2017-02-10T00:00:00"/>
    <s v="Marzena"/>
    <s v="Gajek"/>
    <n v="49"/>
    <x v="6"/>
  </r>
  <r>
    <d v="2017-02-10T00:00:00"/>
    <s v="Kamil"/>
    <s v="Ludziejewski"/>
    <n v="38"/>
    <x v="6"/>
  </r>
  <r>
    <d v="2017-02-10T00:00:00"/>
    <s v="Adelajda"/>
    <s v="Zylinska"/>
    <n v="8"/>
    <x v="6"/>
  </r>
  <r>
    <d v="2017-02-10T00:00:00"/>
    <s v="Lena"/>
    <s v="Miszkin"/>
    <n v="9"/>
    <x v="6"/>
  </r>
  <r>
    <d v="2017-02-13T00:00:00"/>
    <s v="Janusz"/>
    <s v="Artowski"/>
    <n v="48"/>
    <x v="6"/>
  </r>
  <r>
    <d v="2017-02-13T00:00:00"/>
    <s v="Kamila"/>
    <s v="Wolan"/>
    <n v="19"/>
    <x v="6"/>
  </r>
  <r>
    <d v="2017-02-13T00:00:00"/>
    <s v="Mateusz"/>
    <s v="Polak"/>
    <n v="5"/>
    <x v="6"/>
  </r>
  <r>
    <d v="2017-02-13T00:00:00"/>
    <s v="Jan"/>
    <s v="Zdunski"/>
    <n v="25"/>
    <x v="6"/>
  </r>
  <r>
    <d v="2017-02-13T00:00:00"/>
    <s v="Zenon"/>
    <s v="Bartek"/>
    <n v="21"/>
    <x v="6"/>
  </r>
  <r>
    <d v="2017-02-13T00:00:00"/>
    <s v="Wiera"/>
    <s v="Nowak"/>
    <n v="6"/>
    <x v="6"/>
  </r>
  <r>
    <d v="2017-02-13T00:00:00"/>
    <s v="Dominika"/>
    <s v="Piotrowska"/>
    <n v="4"/>
    <x v="6"/>
  </r>
  <r>
    <d v="2017-02-13T00:00:00"/>
    <s v="Ilona"/>
    <s v="Nowak"/>
    <n v="9"/>
    <x v="6"/>
  </r>
  <r>
    <d v="2017-02-13T00:00:00"/>
    <s v="Karol"/>
    <s v="Felisiak"/>
    <n v="10"/>
    <x v="6"/>
  </r>
  <r>
    <d v="2017-02-13T00:00:00"/>
    <s v="Dominika"/>
    <s v="Mierny"/>
    <n v="26"/>
    <x v="6"/>
  </r>
  <r>
    <d v="2017-02-13T00:00:00"/>
    <s v="Maciej"/>
    <s v="Laskowski"/>
    <n v="26"/>
    <x v="6"/>
  </r>
  <r>
    <d v="2017-02-14T00:00:00"/>
    <s v="Adam"/>
    <s v="Zmurko"/>
    <n v="42"/>
    <x v="6"/>
  </r>
  <r>
    <d v="2017-02-14T00:00:00"/>
    <s v="Krystyna"/>
    <s v="Szybki"/>
    <n v="8"/>
    <x v="6"/>
  </r>
  <r>
    <d v="2017-02-14T00:00:00"/>
    <s v="Filip"/>
    <s v="Strehlke"/>
    <n v="8"/>
    <x v="6"/>
  </r>
  <r>
    <d v="2017-02-14T00:00:00"/>
    <s v="Janina"/>
    <s v="Podlaska"/>
    <n v="45"/>
    <x v="6"/>
  </r>
  <r>
    <d v="2017-02-14T00:00:00"/>
    <s v="Marcin"/>
    <s v="Tabaka"/>
    <n v="41"/>
    <x v="6"/>
  </r>
  <r>
    <d v="2017-02-14T00:00:00"/>
    <s v="Barbara"/>
    <s v="Bury"/>
    <n v="5"/>
    <x v="6"/>
  </r>
  <r>
    <d v="2017-02-14T00:00:00"/>
    <s v="Aleksandra"/>
    <s v="Donata"/>
    <n v="54"/>
    <x v="6"/>
  </r>
  <r>
    <d v="2017-02-14T00:00:00"/>
    <s v="Maria"/>
    <s v="Gatek"/>
    <n v="6"/>
    <x v="6"/>
  </r>
  <r>
    <d v="2017-02-14T00:00:00"/>
    <s v="Lidia"/>
    <s v="Goluchowska"/>
    <n v="3"/>
    <x v="6"/>
  </r>
  <r>
    <d v="2017-02-14T00:00:00"/>
    <s v="Mateusz"/>
    <s v="Sardo"/>
    <n v="49"/>
    <x v="6"/>
  </r>
  <r>
    <d v="2017-02-14T00:00:00"/>
    <s v="Jakub"/>
    <s v="Waniek"/>
    <n v="19"/>
    <x v="6"/>
  </r>
  <r>
    <d v="2017-02-15T00:00:00"/>
    <s v="Marek"/>
    <s v="Wolicki"/>
    <n v="29"/>
    <x v="7"/>
  </r>
  <r>
    <d v="2017-02-15T00:00:00"/>
    <s v="Ilona"/>
    <s v="Gorska"/>
    <n v="14"/>
    <x v="7"/>
  </r>
  <r>
    <d v="2017-02-15T00:00:00"/>
    <s v="Joanna"/>
    <s v="Ottka"/>
    <n v="12"/>
    <x v="7"/>
  </r>
  <r>
    <d v="2017-02-15T00:00:00"/>
    <s v="Arleta"/>
    <s v="Pawlik"/>
    <n v="4"/>
    <x v="7"/>
  </r>
  <r>
    <d v="2017-02-15T00:00:00"/>
    <s v="Malgorzata"/>
    <s v="Karlowski"/>
    <n v="14"/>
    <x v="7"/>
  </r>
  <r>
    <d v="2017-02-15T00:00:00"/>
    <s v="Szymon"/>
    <s v="Mrozniak"/>
    <n v="12"/>
    <x v="7"/>
  </r>
  <r>
    <d v="2017-02-15T00:00:00"/>
    <s v="Karolina"/>
    <s v="Wrak"/>
    <n v="52"/>
    <x v="7"/>
  </r>
  <r>
    <d v="2017-02-15T00:00:00"/>
    <s v="Igor"/>
    <s v="Rybinski"/>
    <n v="9"/>
    <x v="7"/>
  </r>
  <r>
    <d v="2017-02-15T00:00:00"/>
    <s v="Jakub"/>
    <s v="Marszalek"/>
    <n v="13"/>
    <x v="7"/>
  </r>
  <r>
    <d v="2017-02-15T00:00:00"/>
    <s v="Ryszarda"/>
    <s v="Januszek"/>
    <n v="29"/>
    <x v="7"/>
  </r>
  <r>
    <d v="2017-02-15T00:00:00"/>
    <s v="Bruno"/>
    <s v="Tomaszewski"/>
    <n v="18"/>
    <x v="7"/>
  </r>
  <r>
    <d v="2017-02-16T00:00:00"/>
    <s v="Karolina"/>
    <s v="Wrona"/>
    <n v="17"/>
    <x v="7"/>
  </r>
  <r>
    <d v="2017-02-16T00:00:00"/>
    <s v="Malgorzata"/>
    <s v="Kozlowska"/>
    <n v="9"/>
    <x v="7"/>
  </r>
  <r>
    <d v="2017-02-16T00:00:00"/>
    <s v="Jan"/>
    <s v="Kaczorowski"/>
    <n v="20"/>
    <x v="7"/>
  </r>
  <r>
    <d v="2017-02-16T00:00:00"/>
    <s v="Maciej"/>
    <s v="Kopacz"/>
    <n v="50"/>
    <x v="7"/>
  </r>
  <r>
    <d v="2017-02-16T00:00:00"/>
    <s v="Monika"/>
    <s v="Placzek"/>
    <n v="9"/>
    <x v="7"/>
  </r>
  <r>
    <d v="2017-02-16T00:00:00"/>
    <s v="Jan"/>
    <s v="Zdunski"/>
    <n v="4"/>
    <x v="7"/>
  </r>
  <r>
    <d v="2017-02-16T00:00:00"/>
    <s v="Jakub"/>
    <s v="Ręczmin"/>
    <n v="41"/>
    <x v="7"/>
  </r>
  <r>
    <d v="2017-02-16T00:00:00"/>
    <s v="Agata"/>
    <s v="Zdrojewska"/>
    <n v="11"/>
    <x v="7"/>
  </r>
  <r>
    <d v="2017-02-16T00:00:00"/>
    <s v="Natalia"/>
    <s v="Belicka"/>
    <n v="22"/>
    <x v="7"/>
  </r>
  <r>
    <d v="2017-02-16T00:00:00"/>
    <s v="Andrzej"/>
    <s v="Augustowski"/>
    <n v="23"/>
    <x v="7"/>
  </r>
  <r>
    <d v="2017-02-16T00:00:00"/>
    <s v="Stanislaw"/>
    <s v="Burza"/>
    <n v="33"/>
    <x v="7"/>
  </r>
  <r>
    <d v="2017-02-17T00:00:00"/>
    <s v="Mateusz"/>
    <s v="Krawczyk"/>
    <n v="14"/>
    <x v="7"/>
  </r>
  <r>
    <d v="2017-02-17T00:00:00"/>
    <s v="Borys"/>
    <s v="Winiarski"/>
    <n v="28"/>
    <x v="7"/>
  </r>
  <r>
    <d v="2017-02-17T00:00:00"/>
    <s v="Agnieszka"/>
    <s v="Matusik"/>
    <n v="12"/>
    <x v="7"/>
  </r>
  <r>
    <d v="2017-02-17T00:00:00"/>
    <s v="Jacek"/>
    <s v="Szypulski"/>
    <n v="55"/>
    <x v="7"/>
  </r>
  <r>
    <d v="2017-02-17T00:00:00"/>
    <s v="Lena"/>
    <s v="Mazurkiewicz"/>
    <n v="27"/>
    <x v="7"/>
  </r>
  <r>
    <d v="2017-02-17T00:00:00"/>
    <s v="Szymon"/>
    <s v="Polak"/>
    <n v="12"/>
    <x v="7"/>
  </r>
  <r>
    <d v="2017-02-17T00:00:00"/>
    <s v="Wojciech"/>
    <s v="Maja"/>
    <n v="50"/>
    <x v="7"/>
  </r>
  <r>
    <d v="2017-02-17T00:00:00"/>
    <s v="Milena"/>
    <s v="Karolewska"/>
    <n v="23"/>
    <x v="7"/>
  </r>
  <r>
    <d v="2017-02-17T00:00:00"/>
    <s v="Ewa"/>
    <s v="Zak"/>
    <n v="24"/>
    <x v="7"/>
  </r>
  <r>
    <d v="2017-02-17T00:00:00"/>
    <s v="Hubert"/>
    <s v="Pieczatowski"/>
    <n v="29"/>
    <x v="7"/>
  </r>
  <r>
    <d v="2017-02-17T00:00:00"/>
    <s v="Kamil"/>
    <s v="Ludziejewski"/>
    <n v="25"/>
    <x v="7"/>
  </r>
  <r>
    <d v="2017-02-20T00:00:00"/>
    <s v="Pawel"/>
    <s v="Bolkowski"/>
    <n v="17"/>
    <x v="7"/>
  </r>
  <r>
    <d v="2017-02-20T00:00:00"/>
    <s v="Agnieszka"/>
    <s v="Kaminska"/>
    <n v="5"/>
    <x v="7"/>
  </r>
  <r>
    <d v="2017-02-20T00:00:00"/>
    <s v="Mateusz"/>
    <s v="Kowalczyk"/>
    <n v="12"/>
    <x v="7"/>
  </r>
  <r>
    <d v="2017-02-20T00:00:00"/>
    <s v="Sabina"/>
    <s v="Wilk"/>
    <n v="31"/>
    <x v="7"/>
  </r>
  <r>
    <d v="2017-02-20T00:00:00"/>
    <s v="Maciej"/>
    <s v="Machol"/>
    <n v="7"/>
    <x v="7"/>
  </r>
  <r>
    <d v="2017-02-20T00:00:00"/>
    <s v="Krzysztof"/>
    <s v="Las"/>
    <n v="26"/>
    <x v="7"/>
  </r>
  <r>
    <d v="2017-02-20T00:00:00"/>
    <s v="Jan"/>
    <s v="Sznuk"/>
    <n v="28"/>
    <x v="7"/>
  </r>
  <r>
    <d v="2017-02-20T00:00:00"/>
    <s v="Zuzanna"/>
    <s v="Malicki"/>
    <n v="19"/>
    <x v="7"/>
  </r>
  <r>
    <d v="2017-02-20T00:00:00"/>
    <s v="Agata"/>
    <s v="Zdrojewska"/>
    <n v="3"/>
    <x v="7"/>
  </r>
  <r>
    <d v="2017-02-20T00:00:00"/>
    <s v="Adam"/>
    <s v="Susel"/>
    <n v="12"/>
    <x v="7"/>
  </r>
  <r>
    <d v="2017-02-20T00:00:00"/>
    <s v="Zuzanna"/>
    <s v="Kalisz"/>
    <n v="11"/>
    <x v="7"/>
  </r>
  <r>
    <d v="2017-02-21T00:00:00"/>
    <s v="Kamila"/>
    <s v="Wolan"/>
    <n v="29"/>
    <x v="7"/>
  </r>
  <r>
    <d v="2017-02-21T00:00:00"/>
    <s v="Wieslawa"/>
    <s v="Krawiec"/>
    <n v="4"/>
    <x v="7"/>
  </r>
  <r>
    <d v="2017-02-21T00:00:00"/>
    <s v="Aleksander"/>
    <s v="Pasternak"/>
    <n v="2"/>
    <x v="7"/>
  </r>
  <r>
    <d v="2017-02-21T00:00:00"/>
    <s v="Jakub"/>
    <s v="Porydzaj"/>
    <n v="45"/>
    <x v="7"/>
  </r>
  <r>
    <d v="2017-02-21T00:00:00"/>
    <s v="Filip"/>
    <s v="Stanulewicz"/>
    <n v="46"/>
    <x v="7"/>
  </r>
  <r>
    <d v="2017-02-21T00:00:00"/>
    <s v="Kacper"/>
    <s v="Niec"/>
    <n v="21"/>
    <x v="7"/>
  </r>
  <r>
    <d v="2017-02-21T00:00:00"/>
    <s v="Tomasz"/>
    <s v="Boruta"/>
    <n v="24"/>
    <x v="7"/>
  </r>
  <r>
    <d v="2017-02-21T00:00:00"/>
    <s v="Ewa"/>
    <s v="Milion"/>
    <n v="53"/>
    <x v="7"/>
  </r>
  <r>
    <d v="2017-02-21T00:00:00"/>
    <s v="Kacper"/>
    <s v="Nikolajew"/>
    <n v="45"/>
    <x v="7"/>
  </r>
  <r>
    <d v="2017-02-21T00:00:00"/>
    <s v="Patrycja"/>
    <s v="Dzban"/>
    <n v="56"/>
    <x v="7"/>
  </r>
  <r>
    <d v="2017-02-21T00:00:00"/>
    <s v="Mateusz"/>
    <s v="Uklej"/>
    <n v="28"/>
    <x v="7"/>
  </r>
  <r>
    <d v="2017-02-22T00:00:00"/>
    <s v="Aleksander"/>
    <s v="Pasternak"/>
    <n v="45"/>
    <x v="8"/>
  </r>
  <r>
    <d v="2017-02-22T00:00:00"/>
    <s v="Jakub"/>
    <s v="Rembiewski"/>
    <n v="43"/>
    <x v="8"/>
  </r>
  <r>
    <d v="2017-02-22T00:00:00"/>
    <s v="Ewa"/>
    <s v="Tysz"/>
    <n v="6"/>
    <x v="8"/>
  </r>
  <r>
    <d v="2017-02-22T00:00:00"/>
    <s v="Emilia"/>
    <s v="Szczepanska"/>
    <n v="5"/>
    <x v="8"/>
  </r>
  <r>
    <d v="2017-02-22T00:00:00"/>
    <s v="Marcelina"/>
    <s v="Serwicka"/>
    <n v="47"/>
    <x v="8"/>
  </r>
  <r>
    <d v="2017-02-22T00:00:00"/>
    <s v="Piotr"/>
    <s v="Polkowicki"/>
    <n v="6"/>
    <x v="8"/>
  </r>
  <r>
    <d v="2017-02-22T00:00:00"/>
    <s v="Edward"/>
    <s v="Zdunek"/>
    <n v="55"/>
    <x v="8"/>
  </r>
  <r>
    <d v="2017-02-22T00:00:00"/>
    <s v="Alicja"/>
    <s v="Gadek"/>
    <n v="37"/>
    <x v="8"/>
  </r>
  <r>
    <d v="2017-02-22T00:00:00"/>
    <s v="Wojciech"/>
    <s v="Filipowicz"/>
    <n v="10"/>
    <x v="8"/>
  </r>
  <r>
    <d v="2017-02-22T00:00:00"/>
    <s v="Jerzy"/>
    <s v="Czajkowski"/>
    <n v="39"/>
    <x v="8"/>
  </r>
  <r>
    <d v="2017-02-22T00:00:00"/>
    <s v="Monika"/>
    <s v="Nowaczkiewicz"/>
    <n v="23"/>
    <x v="8"/>
  </r>
  <r>
    <d v="2017-02-23T00:00:00"/>
    <s v="Marta"/>
    <s v="Robak"/>
    <n v="19"/>
    <x v="8"/>
  </r>
  <r>
    <d v="2017-02-23T00:00:00"/>
    <s v="Ewa"/>
    <s v="Zak"/>
    <n v="28"/>
    <x v="8"/>
  </r>
  <r>
    <d v="2017-02-23T00:00:00"/>
    <s v="Wojciech"/>
    <s v="Katowicki"/>
    <n v="2"/>
    <x v="8"/>
  </r>
  <r>
    <d v="2017-02-23T00:00:00"/>
    <s v="Marek"/>
    <s v="Bednarski"/>
    <n v="6"/>
    <x v="8"/>
  </r>
  <r>
    <d v="2017-02-23T00:00:00"/>
    <s v="Daria"/>
    <s v="Mikos"/>
    <n v="26"/>
    <x v="8"/>
  </r>
  <r>
    <d v="2017-02-23T00:00:00"/>
    <s v="Diana"/>
    <s v="Michalska"/>
    <n v="55"/>
    <x v="8"/>
  </r>
  <r>
    <d v="2017-02-23T00:00:00"/>
    <s v="Wiktor"/>
    <s v="Lubelski"/>
    <n v="52"/>
    <x v="8"/>
  </r>
  <r>
    <d v="2017-02-23T00:00:00"/>
    <s v="Szymon"/>
    <s v="Wozniak"/>
    <n v="55"/>
    <x v="8"/>
  </r>
  <r>
    <d v="2017-02-23T00:00:00"/>
    <s v="Matylda"/>
    <s v="Kluziak"/>
    <n v="15"/>
    <x v="8"/>
  </r>
  <r>
    <d v="2017-02-23T00:00:00"/>
    <s v="Jacek"/>
    <s v="Chojnacki"/>
    <n v="44"/>
    <x v="8"/>
  </r>
  <r>
    <d v="2017-02-23T00:00:00"/>
    <s v="Marta"/>
    <s v="Opolska"/>
    <n v="28"/>
    <x v="8"/>
  </r>
  <r>
    <d v="2017-02-24T00:00:00"/>
    <s v="Dorota"/>
    <s v="Gumowska"/>
    <n v="19"/>
    <x v="8"/>
  </r>
  <r>
    <d v="2017-02-24T00:00:00"/>
    <s v="Karolina"/>
    <s v="Wrona"/>
    <n v="20"/>
    <x v="8"/>
  </r>
  <r>
    <d v="2017-02-24T00:00:00"/>
    <s v="Kazimierz"/>
    <s v="Bartosik"/>
    <n v="24"/>
    <x v="8"/>
  </r>
  <r>
    <d v="2017-02-24T00:00:00"/>
    <s v="Julia"/>
    <s v="Kielecka"/>
    <n v="8"/>
    <x v="8"/>
  </r>
  <r>
    <d v="2017-02-24T00:00:00"/>
    <s v="Patrycja"/>
    <s v="Rzeszowska"/>
    <n v="8"/>
    <x v="8"/>
  </r>
  <r>
    <d v="2017-02-24T00:00:00"/>
    <s v="Andrea"/>
    <s v="Witkowska"/>
    <n v="18"/>
    <x v="8"/>
  </r>
  <r>
    <d v="2017-02-24T00:00:00"/>
    <s v="Bartosz"/>
    <s v="Protasow"/>
    <n v="26"/>
    <x v="8"/>
  </r>
  <r>
    <d v="2017-02-24T00:00:00"/>
    <s v="Hubert"/>
    <s v="Pieczatowski"/>
    <n v="5"/>
    <x v="8"/>
  </r>
  <r>
    <d v="2017-02-24T00:00:00"/>
    <s v="Beata"/>
    <s v="Lubelska"/>
    <n v="39"/>
    <x v="8"/>
  </r>
  <r>
    <d v="2017-02-24T00:00:00"/>
    <s v="Patrycja"/>
    <s v="Rzeszowska"/>
    <n v="13"/>
    <x v="8"/>
  </r>
  <r>
    <d v="2017-02-24T00:00:00"/>
    <s v="Bohdan"/>
    <s v="Gigant"/>
    <n v="52"/>
    <x v="8"/>
  </r>
  <r>
    <d v="2017-02-27T00:00:00"/>
    <s v="Kacper"/>
    <s v="Okla"/>
    <n v="21"/>
    <x v="8"/>
  </r>
  <r>
    <d v="2017-02-27T00:00:00"/>
    <s v="Mateusz"/>
    <s v="Kaczorowski"/>
    <n v="50"/>
    <x v="8"/>
  </r>
  <r>
    <d v="2017-02-27T00:00:00"/>
    <s v="Adrian"/>
    <s v="Yuksek"/>
    <n v="17"/>
    <x v="8"/>
  </r>
  <r>
    <d v="2017-02-27T00:00:00"/>
    <s v="Renata"/>
    <s v="Pawlak"/>
    <n v="45"/>
    <x v="8"/>
  </r>
  <r>
    <d v="2017-02-27T00:00:00"/>
    <s v="Krzysztof"/>
    <s v="Micun"/>
    <n v="10"/>
    <x v="8"/>
  </r>
  <r>
    <d v="2017-02-27T00:00:00"/>
    <s v="Patryk"/>
    <s v="Glac"/>
    <n v="24"/>
    <x v="8"/>
  </r>
  <r>
    <d v="2017-02-27T00:00:00"/>
    <s v="Julia"/>
    <s v="Salanowska"/>
    <n v="7"/>
    <x v="8"/>
  </r>
  <r>
    <d v="2017-02-27T00:00:00"/>
    <s v="Katarzyna"/>
    <s v="Dzielna"/>
    <n v="30"/>
    <x v="8"/>
  </r>
  <r>
    <d v="2017-02-27T00:00:00"/>
    <s v="Ewa"/>
    <s v="Tarnowska"/>
    <n v="41"/>
    <x v="8"/>
  </r>
  <r>
    <d v="2017-02-27T00:00:00"/>
    <s v="Zuzanna"/>
    <s v="Kalisz"/>
    <n v="22"/>
    <x v="8"/>
  </r>
  <r>
    <d v="2017-02-27T00:00:00"/>
    <s v="Ilona"/>
    <s v="Lukaszewska"/>
    <n v="18"/>
    <x v="8"/>
  </r>
  <r>
    <d v="2017-02-28T00:00:00"/>
    <s v="Jan"/>
    <s v="Gacek"/>
    <n v="9"/>
    <x v="8"/>
  </r>
  <r>
    <d v="2017-02-28T00:00:00"/>
    <s v="Wieslawa"/>
    <s v="Koniec"/>
    <n v="19"/>
    <x v="8"/>
  </r>
  <r>
    <d v="2017-02-28T00:00:00"/>
    <s v="Maciej"/>
    <s v="Lyszcz"/>
    <n v="16"/>
    <x v="8"/>
  </r>
  <r>
    <d v="2017-02-28T00:00:00"/>
    <s v="Dominik"/>
    <s v="Szmitko"/>
    <n v="27"/>
    <x v="8"/>
  </r>
  <r>
    <d v="2017-02-28T00:00:00"/>
    <s v="Julian"/>
    <s v="Lisowski"/>
    <n v="13"/>
    <x v="8"/>
  </r>
  <r>
    <d v="2017-02-28T00:00:00"/>
    <s v="Irena"/>
    <s v="Banasiewicz"/>
    <n v="44"/>
    <x v="8"/>
  </r>
  <r>
    <d v="2017-02-28T00:00:00"/>
    <s v="Mariusz"/>
    <s v="Brydzinski"/>
    <n v="16"/>
    <x v="8"/>
  </r>
  <r>
    <d v="2017-02-28T00:00:00"/>
    <s v="Adela"/>
    <s v="Waruszewska"/>
    <n v="13"/>
    <x v="8"/>
  </r>
  <r>
    <d v="2017-02-28T00:00:00"/>
    <s v="Patrycja"/>
    <s v="Grzeszcz"/>
    <n v="42"/>
    <x v="8"/>
  </r>
  <r>
    <d v="2017-02-28T00:00:00"/>
    <s v="Witold"/>
    <s v="Sempa"/>
    <n v="28"/>
    <x v="8"/>
  </r>
  <r>
    <d v="2017-02-28T00:00:00"/>
    <s v="Patryk"/>
    <s v="Geszczynski"/>
    <n v="54"/>
    <x v="8"/>
  </r>
  <r>
    <d v="2017-03-01T00:00:00"/>
    <s v="Aleksandra"/>
    <s v="Kwas"/>
    <n v="40"/>
    <x v="9"/>
  </r>
  <r>
    <d v="2017-03-01T00:00:00"/>
    <s v="Maciej"/>
    <s v="Tasz"/>
    <n v="19"/>
    <x v="9"/>
  </r>
  <r>
    <d v="2017-03-01T00:00:00"/>
    <s v="Mariusz"/>
    <s v="Brydzinski"/>
    <n v="18"/>
    <x v="9"/>
  </r>
  <r>
    <d v="2017-03-01T00:00:00"/>
    <s v="Kacper"/>
    <s v="Niec"/>
    <n v="24"/>
    <x v="9"/>
  </r>
  <r>
    <d v="2017-03-01T00:00:00"/>
    <s v="Karol"/>
    <s v="Wojciechowski"/>
    <n v="25"/>
    <x v="9"/>
  </r>
  <r>
    <d v="2017-03-01T00:00:00"/>
    <s v="Marcin"/>
    <s v="Gizinski"/>
    <n v="7"/>
    <x v="9"/>
  </r>
  <r>
    <d v="2017-03-01T00:00:00"/>
    <s v="Julia"/>
    <s v="Stuhr"/>
    <n v="52"/>
    <x v="9"/>
  </r>
  <r>
    <d v="2017-03-01T00:00:00"/>
    <s v="Maciej"/>
    <s v="Czyzynski"/>
    <n v="23"/>
    <x v="9"/>
  </r>
  <r>
    <d v="2017-03-01T00:00:00"/>
    <s v="Witold"/>
    <s v="Sempa"/>
    <n v="45"/>
    <x v="9"/>
  </r>
  <r>
    <d v="2017-03-01T00:00:00"/>
    <s v="Patryk"/>
    <s v="Glac"/>
    <n v="12"/>
    <x v="9"/>
  </r>
  <r>
    <d v="2017-03-01T00:00:00"/>
    <s v="Jakub"/>
    <s v="Przestrzelski"/>
    <n v="25"/>
    <x v="9"/>
  </r>
  <r>
    <d v="2017-03-02T00:00:00"/>
    <s v="Joanna"/>
    <s v="Kopacki"/>
    <n v="4"/>
    <x v="9"/>
  </r>
  <r>
    <d v="2017-03-02T00:00:00"/>
    <s v="Jakub"/>
    <s v="Holmes"/>
    <n v="10"/>
    <x v="9"/>
  </r>
  <r>
    <d v="2017-03-02T00:00:00"/>
    <s v="Hubert"/>
    <s v="Pieczatowski"/>
    <n v="23"/>
    <x v="9"/>
  </r>
  <r>
    <d v="2017-03-02T00:00:00"/>
    <s v="Wiktoria"/>
    <s v="Wilk"/>
    <n v="56"/>
    <x v="9"/>
  </r>
  <r>
    <d v="2017-03-02T00:00:00"/>
    <s v="Filip"/>
    <s v="Strack"/>
    <n v="38"/>
    <x v="9"/>
  </r>
  <r>
    <d v="2017-03-02T00:00:00"/>
    <s v="Albert"/>
    <s v="Pleszewski"/>
    <n v="27"/>
    <x v="9"/>
  </r>
  <r>
    <d v="2017-03-02T00:00:00"/>
    <s v="Pawel"/>
    <s v="Furmaniak"/>
    <n v="28"/>
    <x v="9"/>
  </r>
  <r>
    <d v="2017-03-02T00:00:00"/>
    <s v="Piotr"/>
    <s v="Kaleta"/>
    <n v="8"/>
    <x v="9"/>
  </r>
  <r>
    <d v="2017-03-02T00:00:00"/>
    <s v="Maria"/>
    <s v="Opolska"/>
    <n v="39"/>
    <x v="9"/>
  </r>
  <r>
    <d v="2017-03-02T00:00:00"/>
    <s v="Balbina"/>
    <s v="Madej"/>
    <n v="4"/>
    <x v="9"/>
  </r>
  <r>
    <d v="2017-03-02T00:00:00"/>
    <s v="Seweryn"/>
    <s v="Krakowski"/>
    <n v="56"/>
    <x v="9"/>
  </r>
  <r>
    <d v="2017-03-03T00:00:00"/>
    <s v="Maria"/>
    <s v="Kowalczyk"/>
    <n v="33"/>
    <x v="9"/>
  </r>
  <r>
    <d v="2017-03-03T00:00:00"/>
    <s v="Adrian"/>
    <s v="Baran"/>
    <n v="53"/>
    <x v="9"/>
  </r>
  <r>
    <d v="2017-03-03T00:00:00"/>
    <s v="Nikodem"/>
    <s v="Jama"/>
    <n v="26"/>
    <x v="9"/>
  </r>
  <r>
    <d v="2017-03-03T00:00:00"/>
    <s v="Anna"/>
    <s v="Babiarz"/>
    <n v="27"/>
    <x v="9"/>
  </r>
  <r>
    <d v="2017-03-03T00:00:00"/>
    <s v="Julia"/>
    <s v="Wolska"/>
    <n v="49"/>
    <x v="9"/>
  </r>
  <r>
    <d v="2017-03-03T00:00:00"/>
    <s v="Daria"/>
    <s v="Pawiec"/>
    <n v="20"/>
    <x v="9"/>
  </r>
  <r>
    <d v="2017-03-03T00:00:00"/>
    <s v="Ilona"/>
    <s v="Lukaszewska"/>
    <n v="7"/>
    <x v="9"/>
  </r>
  <r>
    <d v="2017-03-03T00:00:00"/>
    <s v="Joanna"/>
    <s v="Janas"/>
    <n v="3"/>
    <x v="9"/>
  </r>
  <r>
    <d v="2017-03-03T00:00:00"/>
    <s v="Joanna"/>
    <s v="Sibiga"/>
    <n v="47"/>
    <x v="9"/>
  </r>
  <r>
    <d v="2017-03-03T00:00:00"/>
    <s v="Krzysztof"/>
    <s v="Las"/>
    <n v="48"/>
    <x v="9"/>
  </r>
  <r>
    <d v="2017-03-03T00:00:00"/>
    <s v="Ryszard"/>
    <s v="Matusik"/>
    <n v="24"/>
    <x v="9"/>
  </r>
  <r>
    <d v="2017-03-06T00:00:00"/>
    <s v="Marek"/>
    <s v="Sznuk"/>
    <n v="33"/>
    <x v="9"/>
  </r>
  <r>
    <d v="2017-03-06T00:00:00"/>
    <s v="Anna"/>
    <s v="Babiarz"/>
    <n v="20"/>
    <x v="9"/>
  </r>
  <r>
    <d v="2017-03-06T00:00:00"/>
    <s v="Daria"/>
    <s v="Zagrobna"/>
    <n v="35"/>
    <x v="9"/>
  </r>
  <r>
    <d v="2017-03-06T00:00:00"/>
    <s v="Lukasz"/>
    <s v="Niedziela"/>
    <n v="10"/>
    <x v="9"/>
  </r>
  <r>
    <d v="2017-03-06T00:00:00"/>
    <s v="Borys"/>
    <s v="Biedal"/>
    <n v="43"/>
    <x v="9"/>
  </r>
  <r>
    <d v="2017-03-06T00:00:00"/>
    <s v="Kamila"/>
    <s v="Bialkowska"/>
    <n v="15"/>
    <x v="9"/>
  </r>
  <r>
    <d v="2017-03-06T00:00:00"/>
    <s v="Ilona"/>
    <s v="Gorska"/>
    <n v="8"/>
    <x v="9"/>
  </r>
  <r>
    <d v="2017-03-06T00:00:00"/>
    <s v="Karol"/>
    <s v="Dziuk"/>
    <n v="20"/>
    <x v="9"/>
  </r>
  <r>
    <d v="2017-03-06T00:00:00"/>
    <s v="Michal"/>
    <s v="Nowicki"/>
    <n v="35"/>
    <x v="9"/>
  </r>
  <r>
    <d v="2017-03-06T00:00:00"/>
    <s v="Henryk"/>
    <s v="Siminski"/>
    <n v="26"/>
    <x v="9"/>
  </r>
  <r>
    <d v="2017-03-06T00:00:00"/>
    <s v="Teodor"/>
    <s v="Olszewski"/>
    <n v="39"/>
    <x v="9"/>
  </r>
  <r>
    <d v="2017-03-07T00:00:00"/>
    <s v="Mateusz"/>
    <s v="Karpowicz"/>
    <n v="52"/>
    <x v="9"/>
  </r>
  <r>
    <d v="2017-03-07T00:00:00"/>
    <s v="Karolina"/>
    <s v="Wrona"/>
    <n v="13"/>
    <x v="9"/>
  </r>
  <r>
    <d v="2017-03-07T00:00:00"/>
    <s v="Jan"/>
    <s v="Kaczorowski"/>
    <n v="16"/>
    <x v="9"/>
  </r>
  <r>
    <d v="2017-03-07T00:00:00"/>
    <s v="Joanna"/>
    <s v="Wrobel"/>
    <n v="17"/>
    <x v="9"/>
  </r>
  <r>
    <d v="2017-03-07T00:00:00"/>
    <s v="Sofia"/>
    <s v="Felisiak"/>
    <n v="7"/>
    <x v="9"/>
  </r>
  <r>
    <d v="2017-03-07T00:00:00"/>
    <s v="Daria"/>
    <s v="Pawiec"/>
    <n v="48"/>
    <x v="9"/>
  </r>
  <r>
    <d v="2017-03-07T00:00:00"/>
    <s v="Mateusz"/>
    <s v="Kornatowski"/>
    <n v="20"/>
    <x v="9"/>
  </r>
  <r>
    <d v="2017-03-07T00:00:00"/>
    <s v="Mateusz"/>
    <s v="Filipowicz"/>
    <n v="3"/>
    <x v="9"/>
  </r>
  <r>
    <d v="2017-03-07T00:00:00"/>
    <s v="Ewa"/>
    <s v="Aderek"/>
    <n v="22"/>
    <x v="9"/>
  </r>
  <r>
    <d v="2017-03-08T00:00:00"/>
    <s v="Ewa"/>
    <s v="Milion"/>
    <n v="14"/>
    <x v="10"/>
  </r>
  <r>
    <d v="2017-03-08T00:00:00"/>
    <s v="Jacek"/>
    <s v="Szypulski"/>
    <n v="17"/>
    <x v="10"/>
  </r>
  <r>
    <d v="2017-03-08T00:00:00"/>
    <s v="Maciej"/>
    <s v="Machalski"/>
    <n v="3"/>
    <x v="10"/>
  </r>
  <r>
    <d v="2017-03-08T00:00:00"/>
    <s v="Angelika"/>
    <s v="Walaszek"/>
    <n v="10"/>
    <x v="10"/>
  </r>
  <r>
    <d v="2017-03-08T00:00:00"/>
    <s v="Malgorzata"/>
    <s v="Karlowski"/>
    <n v="14"/>
    <x v="10"/>
  </r>
  <r>
    <d v="2017-03-08T00:00:00"/>
    <s v="Kacper"/>
    <s v="Nikolajew"/>
    <n v="3"/>
    <x v="10"/>
  </r>
  <r>
    <d v="2017-03-08T00:00:00"/>
    <s v="Joanna"/>
    <s v="Ottka"/>
    <n v="22"/>
    <x v="10"/>
  </r>
  <r>
    <d v="2017-03-08T00:00:00"/>
    <s v="Jan"/>
    <s v="Pistek"/>
    <n v="11"/>
    <x v="10"/>
  </r>
  <r>
    <d v="2017-03-08T00:00:00"/>
    <s v="Daria"/>
    <s v="Mikos"/>
    <n v="7"/>
    <x v="10"/>
  </r>
  <r>
    <d v="2017-03-09T00:00:00"/>
    <s v="Ewa"/>
    <s v="Stoch"/>
    <n v="13"/>
    <x v="10"/>
  </r>
  <r>
    <d v="2017-03-09T00:00:00"/>
    <s v="Anna"/>
    <s v="Klimas"/>
    <n v="47"/>
    <x v="10"/>
  </r>
  <r>
    <d v="2017-03-09T00:00:00"/>
    <s v="Jacek"/>
    <s v="Ciosinski"/>
    <n v="22"/>
    <x v="10"/>
  </r>
  <r>
    <d v="2017-03-09T00:00:00"/>
    <s v="Mateusz"/>
    <s v="Krynicki"/>
    <n v="10"/>
    <x v="10"/>
  </r>
  <r>
    <d v="2017-03-09T00:00:00"/>
    <s v="Antoni"/>
    <s v="Wizniewski"/>
    <n v="38"/>
    <x v="10"/>
  </r>
  <r>
    <d v="2017-03-09T00:00:00"/>
    <s v="Anna"/>
    <s v="Zaczyk"/>
    <n v="48"/>
    <x v="10"/>
  </r>
  <r>
    <d v="2017-03-09T00:00:00"/>
    <s v="Bartosz"/>
    <s v="Mazgaj"/>
    <n v="9"/>
    <x v="10"/>
  </r>
  <r>
    <d v="2017-03-09T00:00:00"/>
    <s v="Maria"/>
    <s v="Galas"/>
    <n v="6"/>
    <x v="10"/>
  </r>
  <r>
    <d v="2017-03-09T00:00:00"/>
    <s v="Emilia"/>
    <s v="Mroczek"/>
    <n v="13"/>
    <x v="10"/>
  </r>
  <r>
    <d v="2017-03-10T00:00:00"/>
    <s v="Mateusz"/>
    <s v="Uklej"/>
    <n v="30"/>
    <x v="10"/>
  </r>
  <r>
    <d v="2017-03-10T00:00:00"/>
    <s v="Adam"/>
    <s v="Borkowski"/>
    <n v="3"/>
    <x v="10"/>
  </r>
  <r>
    <d v="2017-03-10T00:00:00"/>
    <s v="Maja"/>
    <s v="Lipka"/>
    <n v="8"/>
    <x v="10"/>
  </r>
  <r>
    <d v="2017-03-10T00:00:00"/>
    <s v="Malgorzata"/>
    <s v="Karlowski"/>
    <n v="12"/>
    <x v="10"/>
  </r>
  <r>
    <d v="2017-03-10T00:00:00"/>
    <s v="Balbina"/>
    <s v="Madej"/>
    <n v="14"/>
    <x v="10"/>
  </r>
  <r>
    <d v="2017-03-10T00:00:00"/>
    <s v="Angelika"/>
    <s v="Walaszek"/>
    <n v="4"/>
    <x v="10"/>
  </r>
  <r>
    <d v="2017-03-10T00:00:00"/>
    <s v="Sandra"/>
    <s v="Filarska"/>
    <n v="5"/>
    <x v="10"/>
  </r>
  <r>
    <d v="2017-03-10T00:00:00"/>
    <s v="Krzysztof"/>
    <s v="Wloch"/>
    <n v="13"/>
    <x v="10"/>
  </r>
  <r>
    <d v="2017-03-10T00:00:00"/>
    <s v="Maciej"/>
    <s v="Bugaj"/>
    <n v="9"/>
    <x v="10"/>
  </r>
  <r>
    <d v="2017-03-13T00:00:00"/>
    <s v="Mateusz"/>
    <s v="Mrowczynski"/>
    <n v="14"/>
    <x v="10"/>
  </r>
  <r>
    <d v="2017-03-13T00:00:00"/>
    <s v="Marek"/>
    <s v="Zybert"/>
    <n v="19"/>
    <x v="10"/>
  </r>
  <r>
    <d v="2017-03-13T00:00:00"/>
    <s v="Inka"/>
    <s v="Sochacka"/>
    <n v="21"/>
    <x v="10"/>
  </r>
  <r>
    <d v="2017-03-13T00:00:00"/>
    <s v="Joanna"/>
    <s v="Zygmunt"/>
    <n v="5"/>
    <x v="10"/>
  </r>
  <r>
    <d v="2017-03-13T00:00:00"/>
    <s v="Lukasz"/>
    <s v="Kot"/>
    <n v="18"/>
    <x v="10"/>
  </r>
  <r>
    <d v="2017-03-13T00:00:00"/>
    <s v="Anna"/>
    <s v="Kosowicz"/>
    <n v="4"/>
    <x v="10"/>
  </r>
  <r>
    <d v="2017-03-13T00:00:00"/>
    <s v="Tomasz"/>
    <s v="Hajdi"/>
    <n v="34"/>
    <x v="10"/>
  </r>
  <r>
    <d v="2017-03-13T00:00:00"/>
    <s v="Piotr"/>
    <s v="Bialaszewski"/>
    <n v="7"/>
    <x v="10"/>
  </r>
  <r>
    <d v="2017-03-13T00:00:00"/>
    <s v="Zofia"/>
    <s v="Broukin"/>
    <n v="41"/>
    <x v="10"/>
  </r>
  <r>
    <d v="2017-03-14T00:00:00"/>
    <s v="Marta"/>
    <s v="Opolska"/>
    <n v="10"/>
    <x v="10"/>
  </r>
  <r>
    <d v="2017-03-14T00:00:00"/>
    <s v="Ewa"/>
    <s v="Tysz"/>
    <n v="42"/>
    <x v="10"/>
  </r>
  <r>
    <d v="2017-03-14T00:00:00"/>
    <s v="Malgorzata"/>
    <s v="Winiarska"/>
    <n v="10"/>
    <x v="10"/>
  </r>
  <r>
    <d v="2017-03-14T00:00:00"/>
    <s v="Barbara"/>
    <s v="Karcz"/>
    <n v="4"/>
    <x v="10"/>
  </r>
  <r>
    <d v="2017-03-14T00:00:00"/>
    <s v="Nikodem"/>
    <s v="Jama"/>
    <n v="17"/>
    <x v="10"/>
  </r>
  <r>
    <d v="2017-03-14T00:00:00"/>
    <s v="Justyna"/>
    <s v="Pozarzycka"/>
    <n v="29"/>
    <x v="10"/>
  </r>
  <r>
    <d v="2017-03-14T00:00:00"/>
    <s v="Jan"/>
    <s v="Marasek"/>
    <n v="6"/>
    <x v="10"/>
  </r>
  <r>
    <d v="2017-03-14T00:00:00"/>
    <s v="Agata"/>
    <s v="Kwiatkowska"/>
    <n v="12"/>
    <x v="10"/>
  </r>
  <r>
    <d v="2017-03-14T00:00:00"/>
    <s v="Karolina"/>
    <s v="Mikos"/>
    <n v="14"/>
    <x v="10"/>
  </r>
  <r>
    <d v="2017-03-15T00:00:00"/>
    <s v="Marek"/>
    <s v="Chorzowski"/>
    <n v="28"/>
    <x v="11"/>
  </r>
  <r>
    <d v="2017-03-15T00:00:00"/>
    <s v="Ewelina"/>
    <s v="Goslawska"/>
    <n v="19"/>
    <x v="11"/>
  </r>
  <r>
    <d v="2017-03-15T00:00:00"/>
    <s v="Ewa"/>
    <s v="Augustowska"/>
    <n v="30"/>
    <x v="11"/>
  </r>
  <r>
    <d v="2017-03-15T00:00:00"/>
    <s v="Stanislaw"/>
    <s v="Janiec"/>
    <n v="54"/>
    <x v="11"/>
  </r>
  <r>
    <d v="2017-03-15T00:00:00"/>
    <s v="Ewelina"/>
    <s v="Gorecka"/>
    <n v="21"/>
    <x v="11"/>
  </r>
  <r>
    <d v="2017-03-15T00:00:00"/>
    <s v="Agnieszka"/>
    <s v="Kaminska"/>
    <n v="10"/>
    <x v="11"/>
  </r>
  <r>
    <d v="2017-03-15T00:00:00"/>
    <s v="Mateusz"/>
    <s v="Mrowczynski"/>
    <n v="25"/>
    <x v="11"/>
  </r>
  <r>
    <d v="2017-03-15T00:00:00"/>
    <s v="Piotr"/>
    <s v="Kania"/>
    <n v="5"/>
    <x v="11"/>
  </r>
  <r>
    <d v="2017-03-15T00:00:00"/>
    <s v="Maciej"/>
    <s v="Siemiatkowski"/>
    <n v="12"/>
    <x v="11"/>
  </r>
  <r>
    <d v="2017-03-16T00:00:00"/>
    <s v="Krzysztof"/>
    <s v="Dwa"/>
    <n v="24"/>
    <x v="11"/>
  </r>
  <r>
    <d v="2017-03-16T00:00:00"/>
    <s v="Lena"/>
    <s v="Miszkin"/>
    <n v="11"/>
    <x v="11"/>
  </r>
  <r>
    <d v="2017-03-16T00:00:00"/>
    <s v="Piotr"/>
    <s v="Duszota"/>
    <n v="37"/>
    <x v="11"/>
  </r>
  <r>
    <d v="2017-03-16T00:00:00"/>
    <s v="Malgorzata"/>
    <s v="Malec"/>
    <n v="26"/>
    <x v="11"/>
  </r>
  <r>
    <d v="2017-03-16T00:00:00"/>
    <s v="Grzegorz"/>
    <s v="Wojtowicz"/>
    <n v="3"/>
    <x v="11"/>
  </r>
  <r>
    <d v="2017-03-16T00:00:00"/>
    <s v="Iwona"/>
    <s v="Lato"/>
    <n v="52"/>
    <x v="11"/>
  </r>
  <r>
    <d v="2017-03-16T00:00:00"/>
    <s v="Katarzyna"/>
    <s v="Wip"/>
    <n v="24"/>
    <x v="11"/>
  </r>
  <r>
    <d v="2017-03-16T00:00:00"/>
    <s v="Maja"/>
    <s v="Kaminska"/>
    <n v="43"/>
    <x v="11"/>
  </r>
  <r>
    <d v="2017-03-16T00:00:00"/>
    <s v="Wojciech"/>
    <s v="Gocyla"/>
    <n v="54"/>
    <x v="11"/>
  </r>
  <r>
    <d v="2017-03-16T00:00:00"/>
    <s v="Kamil"/>
    <s v="Naderka"/>
    <n v="42"/>
    <x v="11"/>
  </r>
  <r>
    <d v="2017-03-17T00:00:00"/>
    <s v="Eugenia"/>
    <s v="Pieta"/>
    <n v="10"/>
    <x v="11"/>
  </r>
  <r>
    <d v="2017-03-17T00:00:00"/>
    <s v="Monika"/>
    <s v="Nowaczkiewicz"/>
    <n v="40"/>
    <x v="11"/>
  </r>
  <r>
    <d v="2017-03-17T00:00:00"/>
    <s v="Julia"/>
    <s v="Saska"/>
    <n v="16"/>
    <x v="11"/>
  </r>
  <r>
    <d v="2017-03-17T00:00:00"/>
    <s v="Zbigniew"/>
    <s v="Maciag"/>
    <n v="27"/>
    <x v="11"/>
  </r>
  <r>
    <d v="2017-03-17T00:00:00"/>
    <s v="Agata"/>
    <s v="Kwiatkowska"/>
    <n v="14"/>
    <x v="11"/>
  </r>
  <r>
    <d v="2017-03-17T00:00:00"/>
    <s v="Ewelina"/>
    <s v="Gorecka"/>
    <n v="5"/>
    <x v="11"/>
  </r>
  <r>
    <d v="2017-03-17T00:00:00"/>
    <s v="Maria"/>
    <s v="Gatek"/>
    <n v="23"/>
    <x v="11"/>
  </r>
  <r>
    <d v="2017-03-17T00:00:00"/>
    <s v="Bartosz"/>
    <s v="Mazgaj"/>
    <n v="17"/>
    <x v="11"/>
  </r>
  <r>
    <d v="2017-03-17T00:00:00"/>
    <s v="Karolina"/>
    <s v="Pawelska"/>
    <n v="54"/>
    <x v="11"/>
  </r>
  <r>
    <d v="2017-03-17T00:00:00"/>
    <s v="Roman"/>
    <s v="Grodecki"/>
    <n v="24"/>
    <x v="11"/>
  </r>
  <r>
    <d v="2017-03-20T00:00:00"/>
    <s v="Kinga"/>
    <s v="Trawinska"/>
    <n v="19"/>
    <x v="11"/>
  </r>
  <r>
    <d v="2017-03-20T00:00:00"/>
    <s v="Monika"/>
    <s v="Lis"/>
    <n v="17"/>
    <x v="11"/>
  </r>
  <r>
    <d v="2017-03-20T00:00:00"/>
    <s v="Karol"/>
    <s v="Pawleczek"/>
    <n v="20"/>
    <x v="11"/>
  </r>
  <r>
    <d v="2017-03-20T00:00:00"/>
    <s v="Karolina"/>
    <s v="Welc"/>
    <n v="42"/>
    <x v="11"/>
  </r>
  <r>
    <d v="2017-03-20T00:00:00"/>
    <s v="Piotr"/>
    <s v="Bialaszewski"/>
    <n v="14"/>
    <x v="11"/>
  </r>
  <r>
    <d v="2017-03-20T00:00:00"/>
    <s v="Agnieszka"/>
    <s v="Bujak"/>
    <n v="10"/>
    <x v="11"/>
  </r>
  <r>
    <d v="2017-03-20T00:00:00"/>
    <s v="Piotr"/>
    <s v="Mozart"/>
    <n v="24"/>
    <x v="11"/>
  </r>
  <r>
    <d v="2017-03-20T00:00:00"/>
    <s v="Mateusz"/>
    <s v="Filipowicz"/>
    <n v="10"/>
    <x v="11"/>
  </r>
  <r>
    <d v="2017-03-20T00:00:00"/>
    <s v="Lukasz"/>
    <s v="Kopecki"/>
    <n v="17"/>
    <x v="11"/>
  </r>
  <r>
    <d v="2017-03-20T00:00:00"/>
    <s v="Agata"/>
    <s v="Zgoda"/>
    <n v="4"/>
    <x v="11"/>
  </r>
  <r>
    <d v="2017-03-21T00:00:00"/>
    <s v="Anna"/>
    <s v="Dab"/>
    <n v="30"/>
    <x v="11"/>
  </r>
  <r>
    <d v="2017-03-21T00:00:00"/>
    <s v="Bruno"/>
    <s v="Tomaszewski"/>
    <n v="13"/>
    <x v="11"/>
  </r>
  <r>
    <d v="2017-03-21T00:00:00"/>
    <s v="Pawel"/>
    <s v="Furmaniak"/>
    <n v="8"/>
    <x v="11"/>
  </r>
  <r>
    <d v="2017-03-21T00:00:00"/>
    <s v="Anna"/>
    <s v="Wnuk"/>
    <n v="21"/>
    <x v="11"/>
  </r>
  <r>
    <d v="2017-03-21T00:00:00"/>
    <s v="Radoslaw"/>
    <s v="Sowinska"/>
    <n v="7"/>
    <x v="11"/>
  </r>
  <r>
    <d v="2017-03-21T00:00:00"/>
    <s v="Mateusz"/>
    <s v="Kowalczyk"/>
    <n v="13"/>
    <x v="11"/>
  </r>
  <r>
    <d v="2017-03-21T00:00:00"/>
    <s v="Karol"/>
    <s v="Walasz"/>
    <n v="19"/>
    <x v="11"/>
  </r>
  <r>
    <d v="2017-03-21T00:00:00"/>
    <s v="Wojciech"/>
    <s v="Filipowicz"/>
    <n v="47"/>
    <x v="11"/>
  </r>
  <r>
    <d v="2017-03-21T00:00:00"/>
    <s v="Janina"/>
    <s v="Podlaska"/>
    <n v="15"/>
    <x v="11"/>
  </r>
  <r>
    <d v="2017-03-21T00:00:00"/>
    <s v="Janina"/>
    <s v="Kaczynska"/>
    <n v="50"/>
    <x v="11"/>
  </r>
  <r>
    <d v="2017-03-22T00:00:00"/>
    <s v="Bogdan"/>
    <s v="Inny"/>
    <n v="10"/>
    <x v="12"/>
  </r>
  <r>
    <d v="2017-03-22T00:00:00"/>
    <s v="Henryk"/>
    <s v="Polarek"/>
    <n v="21"/>
    <x v="12"/>
  </r>
  <r>
    <d v="2017-03-22T00:00:00"/>
    <s v="Dominika"/>
    <s v="Szwec"/>
    <n v="7"/>
    <x v="12"/>
  </r>
  <r>
    <d v="2017-03-22T00:00:00"/>
    <s v="Marek"/>
    <s v="Witkowski"/>
    <n v="13"/>
    <x v="12"/>
  </r>
  <r>
    <d v="2017-03-22T00:00:00"/>
    <s v="Filip"/>
    <s v="Spychala"/>
    <n v="27"/>
    <x v="12"/>
  </r>
  <r>
    <d v="2017-03-22T00:00:00"/>
    <s v="Hanna"/>
    <s v="Stankiewicz"/>
    <n v="23"/>
    <x v="12"/>
  </r>
  <r>
    <d v="2017-03-22T00:00:00"/>
    <s v="Filip"/>
    <s v="Spychala"/>
    <n v="18"/>
    <x v="12"/>
  </r>
  <r>
    <d v="2017-03-22T00:00:00"/>
    <s v="Malgorzata"/>
    <s v="Kozlowska"/>
    <n v="16"/>
    <x v="12"/>
  </r>
  <r>
    <d v="2017-03-22T00:00:00"/>
    <s v="Jan"/>
    <s v="Zdunski"/>
    <n v="21"/>
    <x v="12"/>
  </r>
  <r>
    <d v="2017-03-22T00:00:00"/>
    <s v="Kacper"/>
    <s v="Okla"/>
    <n v="17"/>
    <x v="12"/>
  </r>
  <r>
    <d v="2017-03-23T00:00:00"/>
    <s v="Maciej"/>
    <s v="Machalski"/>
    <n v="21"/>
    <x v="12"/>
  </r>
  <r>
    <d v="2017-03-23T00:00:00"/>
    <s v="Izabela"/>
    <s v="Sobota"/>
    <n v="19"/>
    <x v="12"/>
  </r>
  <r>
    <d v="2017-03-23T00:00:00"/>
    <s v="Kacper"/>
    <s v="Nikolajew"/>
    <n v="24"/>
    <x v="12"/>
  </r>
  <r>
    <d v="2017-03-23T00:00:00"/>
    <s v="Nikodem"/>
    <s v="Jablonski"/>
    <n v="16"/>
    <x v="12"/>
  </r>
  <r>
    <d v="2017-03-23T00:00:00"/>
    <s v="Ewaryst"/>
    <s v="Zdunek"/>
    <n v="8"/>
    <x v="12"/>
  </r>
  <r>
    <d v="2017-03-23T00:00:00"/>
    <s v="Monika"/>
    <s v="Piterka"/>
    <n v="27"/>
    <x v="12"/>
  </r>
  <r>
    <d v="2017-03-23T00:00:00"/>
    <s v="Kacper"/>
    <s v="Niec"/>
    <n v="25"/>
    <x v="12"/>
  </r>
  <r>
    <d v="2017-03-23T00:00:00"/>
    <s v="Piotr"/>
    <s v="Kania"/>
    <n v="10"/>
    <x v="12"/>
  </r>
  <r>
    <d v="2017-03-23T00:00:00"/>
    <s v="Katarzyna"/>
    <s v="Galazka"/>
    <n v="11"/>
    <x v="12"/>
  </r>
  <r>
    <d v="2017-03-23T00:00:00"/>
    <s v="Antoni"/>
    <s v="Wierzbicki"/>
    <n v="3"/>
    <x v="12"/>
  </r>
  <r>
    <d v="2017-03-24T00:00:00"/>
    <s v="Agnieszka"/>
    <s v="Bujak"/>
    <n v="15"/>
    <x v="12"/>
  </r>
  <r>
    <d v="2017-03-24T00:00:00"/>
    <s v="Ewa"/>
    <s v="Tysz"/>
    <n v="14"/>
    <x v="12"/>
  </r>
  <r>
    <d v="2017-03-24T00:00:00"/>
    <s v="Anna"/>
    <s v="Trojanowska"/>
    <n v="37"/>
    <x v="12"/>
  </r>
  <r>
    <d v="2017-03-24T00:00:00"/>
    <s v="Andrzej"/>
    <s v="Nawwrot"/>
    <n v="22"/>
    <x v="12"/>
  </r>
  <r>
    <d v="2017-03-24T00:00:00"/>
    <s v="Bartosz"/>
    <s v="Tusinski"/>
    <n v="5"/>
    <x v="12"/>
  </r>
  <r>
    <d v="2017-03-24T00:00:00"/>
    <s v="Maciej"/>
    <s v="Nowak"/>
    <n v="29"/>
    <x v="12"/>
  </r>
  <r>
    <d v="2017-03-24T00:00:00"/>
    <s v="Daria"/>
    <s v="Zagrobna"/>
    <n v="25"/>
    <x v="12"/>
  </r>
  <r>
    <d v="2017-03-24T00:00:00"/>
    <s v="Maria"/>
    <s v="Adamska"/>
    <n v="52"/>
    <x v="12"/>
  </r>
  <r>
    <d v="2017-03-24T00:00:00"/>
    <s v="Dawid"/>
    <s v="Szreder"/>
    <n v="2"/>
    <x v="12"/>
  </r>
  <r>
    <d v="2017-03-24T00:00:00"/>
    <s v="Hanna"/>
    <s v="Stanislawska"/>
    <n v="27"/>
    <x v="12"/>
  </r>
  <r>
    <d v="2017-03-27T00:00:00"/>
    <s v="Justyna"/>
    <s v="Pozarzycka"/>
    <n v="43"/>
    <x v="12"/>
  </r>
  <r>
    <d v="2017-03-27T00:00:00"/>
    <s v="Aleks"/>
    <s v="Wojcik"/>
    <n v="23"/>
    <x v="12"/>
  </r>
  <r>
    <d v="2017-03-27T00:00:00"/>
    <s v="Lidia"/>
    <s v="Goluchowska"/>
    <n v="19"/>
    <x v="12"/>
  </r>
  <r>
    <d v="2017-03-27T00:00:00"/>
    <s v="Balbina"/>
    <s v="Madej"/>
    <n v="36"/>
    <x v="12"/>
  </r>
  <r>
    <d v="2017-03-27T00:00:00"/>
    <s v="Patrycja"/>
    <s v="Rzeszowska"/>
    <n v="26"/>
    <x v="12"/>
  </r>
  <r>
    <d v="2017-03-27T00:00:00"/>
    <s v="Przemyslaw"/>
    <s v="Widawski"/>
    <n v="24"/>
    <x v="12"/>
  </r>
  <r>
    <d v="2017-03-27T00:00:00"/>
    <s v="Kamil"/>
    <s v="Krawczyk"/>
    <n v="5"/>
    <x v="12"/>
  </r>
  <r>
    <d v="2017-03-27T00:00:00"/>
    <s v="Jakub"/>
    <s v="Porydzaj"/>
    <n v="53"/>
    <x v="12"/>
  </r>
  <r>
    <d v="2017-03-27T00:00:00"/>
    <s v="Katarzyna"/>
    <s v="Galazka"/>
    <n v="18"/>
    <x v="12"/>
  </r>
  <r>
    <d v="2017-03-27T00:00:00"/>
    <s v="Piotr"/>
    <s v="Mozart"/>
    <n v="15"/>
    <x v="12"/>
  </r>
  <r>
    <d v="2017-03-28T00:00:00"/>
    <s v="Natalia"/>
    <s v="Knap"/>
    <n v="20"/>
    <x v="12"/>
  </r>
  <r>
    <d v="2017-03-28T00:00:00"/>
    <s v="Joanna"/>
    <s v="Banaszczyk"/>
    <n v="34"/>
    <x v="12"/>
  </r>
  <r>
    <d v="2017-03-28T00:00:00"/>
    <s v="Adrian"/>
    <s v="Zawisza"/>
    <n v="35"/>
    <x v="12"/>
  </r>
  <r>
    <d v="2017-03-28T00:00:00"/>
    <s v="Jan"/>
    <s v="Gumowski"/>
    <n v="29"/>
    <x v="12"/>
  </r>
  <r>
    <d v="2017-03-28T00:00:00"/>
    <s v="Nikodem"/>
    <s v="Jablonski"/>
    <n v="7"/>
    <x v="12"/>
  </r>
  <r>
    <d v="2017-03-28T00:00:00"/>
    <s v="Marta"/>
    <s v="Robak"/>
    <n v="10"/>
    <x v="12"/>
  </r>
  <r>
    <d v="2017-03-28T00:00:00"/>
    <s v="Ignacy"/>
    <s v="Sarnowski"/>
    <n v="14"/>
    <x v="12"/>
  </r>
  <r>
    <d v="2017-03-28T00:00:00"/>
    <s v="Magdalena"/>
    <s v="Bach"/>
    <n v="23"/>
    <x v="12"/>
  </r>
  <r>
    <d v="2017-03-28T00:00:00"/>
    <s v="Monika"/>
    <s v="Lis"/>
    <n v="26"/>
    <x v="12"/>
  </r>
  <r>
    <d v="2017-03-28T00:00:00"/>
    <s v="Kamila"/>
    <s v="Wolan"/>
    <n v="2"/>
    <x v="12"/>
  </r>
  <r>
    <d v="2017-03-29T00:00:00"/>
    <s v="Kamil"/>
    <s v="Wolny"/>
    <n v="36"/>
    <x v="13"/>
  </r>
  <r>
    <d v="2017-03-29T00:00:00"/>
    <s v="Kamil"/>
    <s v="Szyszko"/>
    <n v="18"/>
    <x v="13"/>
  </r>
  <r>
    <d v="2017-03-29T00:00:00"/>
    <s v="Jan"/>
    <s v="Nancki"/>
    <n v="23"/>
    <x v="13"/>
  </r>
  <r>
    <d v="2017-03-29T00:00:00"/>
    <s v="Przemyslaw"/>
    <s v="Widawski"/>
    <n v="20"/>
    <x v="13"/>
  </r>
  <r>
    <d v="2017-03-29T00:00:00"/>
    <s v="Karolina"/>
    <s v="Wrak"/>
    <n v="16"/>
    <x v="13"/>
  </r>
  <r>
    <d v="2017-03-29T00:00:00"/>
    <s v="Waldemar"/>
    <s v="Fornalik"/>
    <n v="7"/>
    <x v="13"/>
  </r>
  <r>
    <d v="2017-03-29T00:00:00"/>
    <s v="Bernard"/>
    <s v="Lubelski"/>
    <n v="47"/>
    <x v="13"/>
  </r>
  <r>
    <d v="2017-03-29T00:00:00"/>
    <s v="Lukasz"/>
    <s v="Pawlik"/>
    <n v="9"/>
    <x v="13"/>
  </r>
  <r>
    <d v="2017-03-29T00:00:00"/>
    <s v="Barbara"/>
    <s v="Kilarski"/>
    <n v="11"/>
    <x v="13"/>
  </r>
  <r>
    <d v="2017-03-29T00:00:00"/>
    <s v="Protazy"/>
    <s v="Warszawski"/>
    <n v="12"/>
    <x v="13"/>
  </r>
  <r>
    <d v="2017-03-30T00:00:00"/>
    <s v="Aleksander"/>
    <s v="Koc"/>
    <n v="2"/>
    <x v="13"/>
  </r>
  <r>
    <d v="2017-03-30T00:00:00"/>
    <s v="Kamila"/>
    <s v="Wolan"/>
    <n v="23"/>
    <x v="13"/>
  </r>
  <r>
    <d v="2017-03-30T00:00:00"/>
    <s v="Alicja"/>
    <s v="Gadek"/>
    <n v="52"/>
    <x v="13"/>
  </r>
  <r>
    <d v="2017-03-30T00:00:00"/>
    <s v="Karol"/>
    <s v="Wojciechowski"/>
    <n v="10"/>
    <x v="13"/>
  </r>
  <r>
    <d v="2017-03-30T00:00:00"/>
    <s v="Andrzej"/>
    <s v="Tysz"/>
    <n v="47"/>
    <x v="13"/>
  </r>
  <r>
    <d v="2017-03-30T00:00:00"/>
    <s v="Ewaryst"/>
    <s v="Zdunek"/>
    <n v="20"/>
    <x v="13"/>
  </r>
  <r>
    <d v="2017-03-30T00:00:00"/>
    <s v="Maciej"/>
    <s v="Czyzynski"/>
    <n v="3"/>
    <x v="13"/>
  </r>
  <r>
    <d v="2017-03-30T00:00:00"/>
    <s v="Monika"/>
    <s v="Trojan"/>
    <n v="9"/>
    <x v="13"/>
  </r>
  <r>
    <d v="2017-03-30T00:00:00"/>
    <s v="Mariusz"/>
    <s v="Suszyn"/>
    <n v="22"/>
    <x v="13"/>
  </r>
  <r>
    <d v="2017-03-30T00:00:00"/>
    <s v="Anna"/>
    <s v="Tomaszewska"/>
    <n v="9"/>
    <x v="13"/>
  </r>
  <r>
    <d v="2017-03-31T00:00:00"/>
    <s v="Marek"/>
    <s v="Witkowski"/>
    <n v="30"/>
    <x v="13"/>
  </r>
  <r>
    <d v="2017-03-31T00:00:00"/>
    <s v="Lech"/>
    <s v="Lisowski"/>
    <n v="18"/>
    <x v="13"/>
  </r>
  <r>
    <d v="2017-03-31T00:00:00"/>
    <s v="Maciej"/>
    <s v="Kowalski"/>
    <n v="55"/>
    <x v="13"/>
  </r>
  <r>
    <d v="2017-03-31T00:00:00"/>
    <s v="Borys"/>
    <s v="Winiarski"/>
    <n v="17"/>
    <x v="13"/>
  </r>
  <r>
    <d v="2017-03-31T00:00:00"/>
    <s v="Mateusz"/>
    <s v="Hajdug"/>
    <n v="30"/>
    <x v="13"/>
  </r>
  <r>
    <d v="2017-03-31T00:00:00"/>
    <s v="Dawid"/>
    <s v="Szreder"/>
    <n v="4"/>
    <x v="13"/>
  </r>
  <r>
    <d v="2017-03-31T00:00:00"/>
    <s v="Lidia"/>
    <s v="Goluchowska"/>
    <n v="21"/>
    <x v="13"/>
  </r>
  <r>
    <d v="2017-03-31T00:00:00"/>
    <s v="Klaudia"/>
    <s v="Myk"/>
    <n v="7"/>
    <x v="13"/>
  </r>
  <r>
    <d v="2017-03-31T00:00:00"/>
    <s v="Jakub"/>
    <s v="Jedruszek"/>
    <n v="20"/>
    <x v="13"/>
  </r>
  <r>
    <d v="2017-03-31T00:00:00"/>
    <s v="Milena"/>
    <s v="Karolewska"/>
    <n v="6"/>
    <x v="13"/>
  </r>
  <r>
    <d v="2017-04-03T00:00:00"/>
    <s v="Janusz"/>
    <s v="Baka"/>
    <n v="12"/>
    <x v="13"/>
  </r>
  <r>
    <d v="2017-04-03T00:00:00"/>
    <s v="Marta"/>
    <s v="Robak"/>
    <n v="29"/>
    <x v="13"/>
  </r>
  <r>
    <d v="2017-04-03T00:00:00"/>
    <s v="Janusz"/>
    <s v="Wrobel"/>
    <n v="2"/>
    <x v="13"/>
  </r>
  <r>
    <d v="2017-04-03T00:00:00"/>
    <s v="Adam"/>
    <s v="Zmurko"/>
    <n v="27"/>
    <x v="13"/>
  </r>
  <r>
    <d v="2017-04-03T00:00:00"/>
    <s v="Patrycja"/>
    <s v="Wcislo"/>
    <n v="9"/>
    <x v="13"/>
  </r>
  <r>
    <d v="2017-04-03T00:00:00"/>
    <s v="Joanna"/>
    <s v="Wrobel"/>
    <n v="25"/>
    <x v="13"/>
  </r>
  <r>
    <d v="2017-04-03T00:00:00"/>
    <s v="Maja"/>
    <s v="Kurowska"/>
    <n v="45"/>
    <x v="13"/>
  </r>
  <r>
    <d v="2017-04-03T00:00:00"/>
    <s v="Piotr"/>
    <s v="Walec"/>
    <n v="12"/>
    <x v="13"/>
  </r>
  <r>
    <d v="2017-04-03T00:00:00"/>
    <s v="Izabella"/>
    <s v="Jelen"/>
    <n v="44"/>
    <x v="13"/>
  </r>
  <r>
    <d v="2017-04-03T00:00:00"/>
    <s v="Wieslawa"/>
    <s v="Nowak"/>
    <n v="18"/>
    <x v="13"/>
  </r>
  <r>
    <d v="2017-04-04T00:00:00"/>
    <s v="Natalia"/>
    <s v="Olkuska"/>
    <n v="16"/>
    <x v="13"/>
  </r>
  <r>
    <d v="2017-04-04T00:00:00"/>
    <s v="Witold"/>
    <s v="Sempa"/>
    <n v="18"/>
    <x v="13"/>
  </r>
  <r>
    <d v="2017-04-04T00:00:00"/>
    <s v="Wiktoria"/>
    <s v="Wilk"/>
    <n v="6"/>
    <x v="13"/>
  </r>
  <r>
    <d v="2017-04-04T00:00:00"/>
    <s v="Inez"/>
    <s v="Nahaj"/>
    <n v="17"/>
    <x v="13"/>
  </r>
  <r>
    <d v="2017-04-04T00:00:00"/>
    <s v="Anna"/>
    <s v="Janowska"/>
    <n v="18"/>
    <x v="13"/>
  </r>
  <r>
    <d v="2017-04-04T00:00:00"/>
    <s v="Magdalena"/>
    <s v="Bach"/>
    <n v="4"/>
    <x v="13"/>
  </r>
  <r>
    <d v="2017-04-04T00:00:00"/>
    <s v="Agata"/>
    <s v="Kwiatkowska"/>
    <n v="13"/>
    <x v="13"/>
  </r>
  <r>
    <d v="2017-04-04T00:00:00"/>
    <s v="Marta"/>
    <s v="Wloczkow"/>
    <n v="52"/>
    <x v="13"/>
  </r>
  <r>
    <d v="2017-04-04T00:00:00"/>
    <s v="Jan"/>
    <s v="Marasek"/>
    <n v="10"/>
    <x v="13"/>
  </r>
  <r>
    <d v="2017-04-04T00:00:00"/>
    <s v="Marek"/>
    <s v="Bednarski"/>
    <n v="33"/>
    <x v="13"/>
  </r>
  <r>
    <d v="2017-04-05T00:00:00"/>
    <s v="Dominik"/>
    <s v="Szczucki"/>
    <n v="6"/>
    <x v="14"/>
  </r>
  <r>
    <d v="2017-04-05T00:00:00"/>
    <s v="Ewa"/>
    <s v="Czerwinska"/>
    <n v="21"/>
    <x v="14"/>
  </r>
  <r>
    <d v="2017-04-05T00:00:00"/>
    <s v="Zuzanna"/>
    <s v="Malicki"/>
    <n v="2"/>
    <x v="14"/>
  </r>
  <r>
    <d v="2017-04-05T00:00:00"/>
    <s v="Barbara"/>
    <s v="Karcz"/>
    <n v="16"/>
    <x v="14"/>
  </r>
  <r>
    <d v="2017-04-05T00:00:00"/>
    <s v="Lukasz"/>
    <s v="Kot"/>
    <n v="23"/>
    <x v="14"/>
  </r>
  <r>
    <d v="2017-04-05T00:00:00"/>
    <s v="Lukasz"/>
    <s v="Czarnecki"/>
    <n v="50"/>
    <x v="14"/>
  </r>
  <r>
    <d v="2017-04-05T00:00:00"/>
    <s v="Andrzej"/>
    <s v="Augustowski"/>
    <n v="26"/>
    <x v="14"/>
  </r>
  <r>
    <d v="2017-04-05T00:00:00"/>
    <s v="Morus"/>
    <s v="Jasiak"/>
    <n v="42"/>
    <x v="14"/>
  </r>
  <r>
    <d v="2017-04-05T00:00:00"/>
    <s v="Julianna"/>
    <s v="Procinska"/>
    <n v="39"/>
    <x v="14"/>
  </r>
  <r>
    <d v="2017-04-06T00:00:00"/>
    <s v="Maciej"/>
    <s v="Tasz"/>
    <n v="17"/>
    <x v="14"/>
  </r>
  <r>
    <d v="2017-04-06T00:00:00"/>
    <s v="Agnieszka"/>
    <s v="Kaminska"/>
    <n v="10"/>
    <x v="14"/>
  </r>
  <r>
    <d v="2017-04-06T00:00:00"/>
    <s v="Dawid"/>
    <s v="Szreder"/>
    <n v="13"/>
    <x v="14"/>
  </r>
  <r>
    <d v="2017-04-06T00:00:00"/>
    <s v="Protazy"/>
    <s v="Warszawski"/>
    <n v="7"/>
    <x v="14"/>
  </r>
  <r>
    <d v="2017-04-06T00:00:00"/>
    <s v="Wojciech"/>
    <s v="Katowicki"/>
    <n v="32"/>
    <x v="14"/>
  </r>
  <r>
    <d v="2017-04-06T00:00:00"/>
    <s v="Wieslawa"/>
    <s v="Krawiec"/>
    <n v="16"/>
    <x v="14"/>
  </r>
  <r>
    <d v="2017-04-06T00:00:00"/>
    <s v="Adrian"/>
    <s v="Wozniak"/>
    <n v="38"/>
    <x v="14"/>
  </r>
  <r>
    <d v="2017-04-06T00:00:00"/>
    <s v="Anita"/>
    <s v="Woloszyn"/>
    <n v="10"/>
    <x v="14"/>
  </r>
  <r>
    <d v="2017-04-07T00:00:00"/>
    <s v="Nikodem"/>
    <s v="Jakubowski"/>
    <n v="19"/>
    <x v="14"/>
  </r>
  <r>
    <d v="2017-04-07T00:00:00"/>
    <s v="Zofia"/>
    <s v="Broukin"/>
    <n v="17"/>
    <x v="14"/>
  </r>
  <r>
    <d v="2017-04-07T00:00:00"/>
    <s v="Adelajda"/>
    <s v="Zylinska"/>
    <n v="2"/>
    <x v="14"/>
  </r>
  <r>
    <d v="2017-04-07T00:00:00"/>
    <s v="Leslaw"/>
    <s v="Kupis"/>
    <n v="15"/>
    <x v="14"/>
  </r>
  <r>
    <d v="2017-04-07T00:00:00"/>
    <s v="Adela"/>
    <s v="Waruszewska"/>
    <n v="12"/>
    <x v="14"/>
  </r>
  <r>
    <d v="2017-04-07T00:00:00"/>
    <s v="Pawel"/>
    <s v="Furmaniak"/>
    <n v="25"/>
    <x v="14"/>
  </r>
  <r>
    <d v="2017-04-07T00:00:00"/>
    <s v="Krzysztof"/>
    <s v="Figurski"/>
    <n v="6"/>
    <x v="14"/>
  </r>
  <r>
    <d v="2017-04-07T00:00:00"/>
    <s v="Anita"/>
    <s v="Pawelczyk"/>
    <n v="19"/>
    <x v="14"/>
  </r>
  <r>
    <d v="2017-04-10T00:00:00"/>
    <s v="Ilona"/>
    <s v="Gorska"/>
    <n v="15"/>
    <x v="14"/>
  </r>
  <r>
    <d v="2017-04-10T00:00:00"/>
    <s v="Beata"/>
    <s v="Mirowska"/>
    <n v="9"/>
    <x v="14"/>
  </r>
  <r>
    <d v="2017-04-10T00:00:00"/>
    <s v="Bartlomiej"/>
    <s v="Wojciechowski"/>
    <n v="35"/>
    <x v="14"/>
  </r>
  <r>
    <d v="2017-04-10T00:00:00"/>
    <s v="Agata"/>
    <s v="Kolacz"/>
    <n v="44"/>
    <x v="14"/>
  </r>
  <r>
    <d v="2017-04-10T00:00:00"/>
    <s v="Jan"/>
    <s v="Gacek"/>
    <n v="36"/>
    <x v="14"/>
  </r>
  <r>
    <d v="2017-04-10T00:00:00"/>
    <s v="Zuzanna"/>
    <s v="Adamczyk"/>
    <n v="53"/>
    <x v="14"/>
  </r>
  <r>
    <d v="2017-04-10T00:00:00"/>
    <s v="Jan"/>
    <s v="Pawelec"/>
    <n v="12"/>
    <x v="14"/>
  </r>
  <r>
    <d v="2017-04-10T00:00:00"/>
    <s v="Joanna"/>
    <s v="Wrobel"/>
    <n v="29"/>
    <x v="14"/>
  </r>
  <r>
    <d v="2017-04-11T00:00:00"/>
    <s v="Piotr"/>
    <s v="Polkowicki"/>
    <n v="9"/>
    <x v="14"/>
  </r>
  <r>
    <d v="2017-04-11T00:00:00"/>
    <s v="Agata"/>
    <s v="Zdrojewska"/>
    <n v="29"/>
    <x v="14"/>
  </r>
  <r>
    <d v="2017-04-11T00:00:00"/>
    <s v="Hanna"/>
    <s v="Malicki"/>
    <n v="6"/>
    <x v="14"/>
  </r>
  <r>
    <d v="2017-04-11T00:00:00"/>
    <s v="Weronika"/>
    <s v="Zdroj"/>
    <n v="12"/>
    <x v="14"/>
  </r>
  <r>
    <d v="2017-04-11T00:00:00"/>
    <s v="Jan"/>
    <s v="Sznuk"/>
    <n v="23"/>
    <x v="14"/>
  </r>
  <r>
    <d v="2017-04-11T00:00:00"/>
    <s v="Bogdan"/>
    <s v="Inny"/>
    <n v="21"/>
    <x v="14"/>
  </r>
  <r>
    <d v="2017-04-11T00:00:00"/>
    <s v="Olgierd"/>
    <s v="Hazubski"/>
    <n v="16"/>
    <x v="14"/>
  </r>
  <r>
    <d v="2017-04-11T00:00:00"/>
    <s v="Arleta"/>
    <s v="Pawlik"/>
    <n v="21"/>
    <x v="14"/>
  </r>
  <r>
    <d v="2017-04-12T00:00:00"/>
    <s v="Inez"/>
    <s v="Nahaj"/>
    <n v="25"/>
    <x v="15"/>
  </r>
  <r>
    <d v="2017-04-12T00:00:00"/>
    <s v="Roman"/>
    <s v="Grodecki"/>
    <n v="4"/>
    <x v="15"/>
  </r>
  <r>
    <d v="2017-04-12T00:00:00"/>
    <s v="Wieslawa"/>
    <s v="Biczysko"/>
    <n v="19"/>
    <x v="15"/>
  </r>
  <r>
    <d v="2017-04-12T00:00:00"/>
    <s v="Paulina"/>
    <s v="Szklarska"/>
    <n v="17"/>
    <x v="15"/>
  </r>
  <r>
    <d v="2017-04-12T00:00:00"/>
    <s v="Maja"/>
    <s v="Leman"/>
    <n v="9"/>
    <x v="15"/>
  </r>
  <r>
    <d v="2017-04-12T00:00:00"/>
    <s v="Martyna"/>
    <s v="Marmelowska"/>
    <n v="8"/>
    <x v="15"/>
  </r>
  <r>
    <d v="2017-04-12T00:00:00"/>
    <s v="Monika"/>
    <s v="Placzek"/>
    <n v="11"/>
    <x v="15"/>
  </r>
  <r>
    <d v="2017-04-12T00:00:00"/>
    <s v="Adela"/>
    <s v="Waruszewska"/>
    <n v="26"/>
    <x v="15"/>
  </r>
  <r>
    <d v="2017-04-12T00:00:00"/>
    <s v="Joanna"/>
    <s v="Oleksiak"/>
    <n v="23"/>
    <x v="15"/>
  </r>
  <r>
    <d v="2017-04-13T00:00:00"/>
    <s v="Igor"/>
    <s v="Rybinski"/>
    <n v="55"/>
    <x v="15"/>
  </r>
  <r>
    <d v="2017-04-13T00:00:00"/>
    <s v="Zofia"/>
    <s v="Janczy"/>
    <n v="38"/>
    <x v="15"/>
  </r>
  <r>
    <d v="2017-04-13T00:00:00"/>
    <s v="Mateusz"/>
    <s v="Filipowicz"/>
    <n v="9"/>
    <x v="15"/>
  </r>
  <r>
    <d v="2017-04-13T00:00:00"/>
    <s v="Marzena"/>
    <s v="Parasiewicz"/>
    <n v="34"/>
    <x v="15"/>
  </r>
  <r>
    <d v="2017-04-13T00:00:00"/>
    <s v="Monika"/>
    <s v="Lis"/>
    <n v="14"/>
    <x v="15"/>
  </r>
  <r>
    <d v="2017-04-13T00:00:00"/>
    <s v="Adam"/>
    <s v="Wata"/>
    <n v="5"/>
    <x v="15"/>
  </r>
  <r>
    <d v="2017-04-13T00:00:00"/>
    <s v="Marta"/>
    <s v="Wloczkow"/>
    <n v="2"/>
    <x v="15"/>
  </r>
  <r>
    <d v="2017-04-13T00:00:00"/>
    <s v="Aleksander"/>
    <s v="Wojciechowski"/>
    <n v="20"/>
    <x v="15"/>
  </r>
  <r>
    <d v="2017-04-13T00:00:00"/>
    <s v="Filip"/>
    <s v="Spychala"/>
    <n v="6"/>
    <x v="15"/>
  </r>
  <r>
    <d v="2017-04-13T00:00:00"/>
    <s v="Jan"/>
    <s v="Kaczorowski"/>
    <n v="22"/>
    <x v="15"/>
  </r>
  <r>
    <d v="2017-04-13T00:00:00"/>
    <s v="Aleks"/>
    <s v="Wojcik"/>
    <n v="26"/>
    <x v="15"/>
  </r>
  <r>
    <d v="2017-04-13T00:00:00"/>
    <s v="Adam"/>
    <s v="Zega"/>
    <n v="27"/>
    <x v="15"/>
  </r>
  <r>
    <d v="2017-04-13T00:00:00"/>
    <s v="Joanna"/>
    <s v="Wrobel"/>
    <n v="26"/>
    <x v="15"/>
  </r>
  <r>
    <d v="2017-04-13T00:00:00"/>
    <s v="Andrzej"/>
    <s v="Nawwrot"/>
    <n v="29"/>
    <x v="15"/>
  </r>
  <r>
    <d v="2017-04-13T00:00:00"/>
    <s v="Lena"/>
    <s v="Marzec"/>
    <n v="10"/>
    <x v="15"/>
  </r>
  <r>
    <d v="2017-04-14T00:00:00"/>
    <s v="Wanda"/>
    <s v="Chojnacka"/>
    <n v="37"/>
    <x v="15"/>
  </r>
  <r>
    <d v="2017-04-14T00:00:00"/>
    <s v="Monika"/>
    <s v="Nowaczkiewicz"/>
    <n v="7"/>
    <x v="15"/>
  </r>
  <r>
    <d v="2017-04-14T00:00:00"/>
    <s v="Maria"/>
    <s v="Kowalczuk"/>
    <n v="44"/>
    <x v="15"/>
  </r>
  <r>
    <d v="2017-04-14T00:00:00"/>
    <s v="Szymon"/>
    <s v="Mrozniak"/>
    <n v="11"/>
    <x v="15"/>
  </r>
  <r>
    <d v="2017-04-14T00:00:00"/>
    <s v="Marian"/>
    <s v="Bukalski"/>
    <n v="25"/>
    <x v="15"/>
  </r>
  <r>
    <d v="2017-04-14T00:00:00"/>
    <s v="Matylda"/>
    <s v="Kluziak"/>
    <n v="18"/>
    <x v="15"/>
  </r>
  <r>
    <d v="2017-04-17T00:00:00"/>
    <s v="Lech"/>
    <s v="Lisowski"/>
    <n v="44"/>
    <x v="15"/>
  </r>
  <r>
    <d v="2017-04-17T00:00:00"/>
    <s v="Kamil"/>
    <s v="Wolny"/>
    <n v="26"/>
    <x v="15"/>
  </r>
  <r>
    <d v="2017-04-17T00:00:00"/>
    <s v="Karolina"/>
    <s v="Bok"/>
    <n v="7"/>
    <x v="15"/>
  </r>
  <r>
    <d v="2017-04-17T00:00:00"/>
    <s v="Andrzej"/>
    <s v="Augustowski"/>
    <n v="41"/>
    <x v="15"/>
  </r>
  <r>
    <d v="2017-04-17T00:00:00"/>
    <s v="Monika"/>
    <s v="Trojan"/>
    <n v="46"/>
    <x v="15"/>
  </r>
  <r>
    <d v="2017-04-17T00:00:00"/>
    <s v="Filip"/>
    <s v="Stanulewicz"/>
    <n v="52"/>
    <x v="15"/>
  </r>
  <r>
    <d v="2017-04-18T00:00:00"/>
    <s v="Maja"/>
    <s v="Kaminska"/>
    <n v="6"/>
    <x v="15"/>
  </r>
  <r>
    <d v="2017-04-18T00:00:00"/>
    <s v="Barbara"/>
    <s v="Bury"/>
    <n v="23"/>
    <x v="15"/>
  </r>
  <r>
    <d v="2017-04-18T00:00:00"/>
    <s v="Andrea"/>
    <s v="Witkowska"/>
    <n v="22"/>
    <x v="15"/>
  </r>
  <r>
    <d v="2017-04-18T00:00:00"/>
    <s v="Ewelina"/>
    <s v="Bialkowska"/>
    <n v="21"/>
    <x v="15"/>
  </r>
  <r>
    <d v="2017-04-18T00:00:00"/>
    <s v="Maciej"/>
    <s v="Machol"/>
    <n v="29"/>
    <x v="15"/>
  </r>
  <r>
    <d v="2017-04-18T00:00:00"/>
    <s v="Krzysztof"/>
    <s v="Plecien"/>
    <n v="21"/>
    <x v="15"/>
  </r>
  <r>
    <d v="2017-04-19T00:00:00"/>
    <s v="Roman"/>
    <s v="Grodecki"/>
    <n v="3"/>
    <x v="16"/>
  </r>
  <r>
    <d v="2017-04-19T00:00:00"/>
    <s v="Julia"/>
    <s v="Sadowska"/>
    <n v="29"/>
    <x v="16"/>
  </r>
  <r>
    <d v="2017-04-19T00:00:00"/>
    <s v="Julian"/>
    <s v="Pawik"/>
    <n v="56"/>
    <x v="16"/>
  </r>
  <r>
    <d v="2017-04-19T00:00:00"/>
    <s v="Marcin"/>
    <s v="Wrobel"/>
    <n v="15"/>
    <x v="16"/>
  </r>
  <r>
    <d v="2017-04-19T00:00:00"/>
    <s v="Karolina"/>
    <s v="Welc"/>
    <n v="12"/>
    <x v="16"/>
  </r>
  <r>
    <d v="2017-04-19T00:00:00"/>
    <s v="Anna"/>
    <s v="Kosowicz"/>
    <n v="19"/>
    <x v="16"/>
  </r>
  <r>
    <d v="2017-04-20T00:00:00"/>
    <s v="Kazimierz"/>
    <s v="Bartosik"/>
    <n v="14"/>
    <x v="16"/>
  </r>
  <r>
    <d v="2017-04-20T00:00:00"/>
    <s v="Magdalena"/>
    <s v="Bach"/>
    <n v="42"/>
    <x v="16"/>
  </r>
  <r>
    <d v="2017-04-20T00:00:00"/>
    <s v="Wojciech"/>
    <s v="Goc"/>
    <n v="10"/>
    <x v="16"/>
  </r>
  <r>
    <d v="2017-04-20T00:00:00"/>
    <s v="Anna"/>
    <s v="Trzebiatowska"/>
    <n v="20"/>
    <x v="16"/>
  </r>
  <r>
    <d v="2017-04-20T00:00:00"/>
    <s v="Lidia"/>
    <s v="Goluchowska"/>
    <n v="51"/>
    <x v="16"/>
  </r>
  <r>
    <d v="2017-04-20T00:00:00"/>
    <s v="Piotr"/>
    <s v="Adamski"/>
    <n v="35"/>
    <x v="16"/>
  </r>
  <r>
    <d v="2017-04-21T00:00:00"/>
    <s v="Jan"/>
    <s v="Jarek"/>
    <n v="45"/>
    <x v="16"/>
  </r>
  <r>
    <d v="2017-04-21T00:00:00"/>
    <s v="Ewa"/>
    <s v="Czerwinska"/>
    <n v="29"/>
    <x v="16"/>
  </r>
  <r>
    <d v="2017-04-21T00:00:00"/>
    <s v="Andrzej"/>
    <s v="Nawwrot"/>
    <n v="5"/>
    <x v="16"/>
  </r>
  <r>
    <d v="2017-04-21T00:00:00"/>
    <s v="Agnieszka"/>
    <s v="Antos"/>
    <n v="16"/>
    <x v="16"/>
  </r>
  <r>
    <d v="2017-04-21T00:00:00"/>
    <s v="Ilona"/>
    <s v="Gorska"/>
    <n v="25"/>
    <x v="16"/>
  </r>
  <r>
    <d v="2017-04-21T00:00:00"/>
    <s v="Zofia"/>
    <s v="Broszkow"/>
    <n v="38"/>
    <x v="16"/>
  </r>
  <r>
    <d v="2017-04-24T00:00:00"/>
    <s v="Malgorzata"/>
    <s v="Wiecek"/>
    <n v="33"/>
    <x v="16"/>
  </r>
  <r>
    <d v="2017-04-24T00:00:00"/>
    <s v="Pawel"/>
    <s v="kaczorek"/>
    <n v="48"/>
    <x v="16"/>
  </r>
  <r>
    <d v="2017-04-24T00:00:00"/>
    <s v="Marcin"/>
    <s v="Gizinski"/>
    <n v="14"/>
    <x v="16"/>
  </r>
  <r>
    <d v="2017-04-24T00:00:00"/>
    <s v="Andrea"/>
    <s v="Witkowska"/>
    <n v="13"/>
    <x v="16"/>
  </r>
  <r>
    <d v="2017-04-24T00:00:00"/>
    <s v="Julia"/>
    <s v="Zaremba"/>
    <n v="24"/>
    <x v="16"/>
  </r>
  <r>
    <d v="2017-04-24T00:00:00"/>
    <s v="Maria"/>
    <s v="Borowska"/>
    <n v="23"/>
    <x v="16"/>
  </r>
  <r>
    <d v="2017-04-25T00:00:00"/>
    <s v="Krzysztof"/>
    <s v="Czyz"/>
    <n v="23"/>
    <x v="16"/>
  </r>
  <r>
    <d v="2017-04-25T00:00:00"/>
    <s v="Nadia"/>
    <s v="Jurewicz"/>
    <n v="32"/>
    <x v="16"/>
  </r>
  <r>
    <d v="2017-04-25T00:00:00"/>
    <s v="Dorian"/>
    <s v="Szczepkowski"/>
    <n v="34"/>
    <x v="16"/>
  </r>
  <r>
    <d v="2017-04-25T00:00:00"/>
    <s v="Maciej"/>
    <s v="Machol"/>
    <n v="48"/>
    <x v="16"/>
  </r>
  <r>
    <d v="2017-04-25T00:00:00"/>
    <s v="Maciej"/>
    <s v="Lukowski"/>
    <n v="26"/>
    <x v="16"/>
  </r>
  <r>
    <d v="2017-04-25T00:00:00"/>
    <s v="Lukasz"/>
    <s v="Kopecki"/>
    <n v="11"/>
    <x v="16"/>
  </r>
  <r>
    <d v="2017-04-26T00:00:00"/>
    <s v="Hanna"/>
    <s v="Modlinska"/>
    <n v="23"/>
    <x v="17"/>
  </r>
  <r>
    <d v="2017-04-26T00:00:00"/>
    <s v="Natalia"/>
    <s v="Belicka"/>
    <n v="50"/>
    <x v="17"/>
  </r>
  <r>
    <d v="2017-04-26T00:00:00"/>
    <s v="Julia"/>
    <s v="Zaremba"/>
    <n v="14"/>
    <x v="17"/>
  </r>
  <r>
    <d v="2017-04-26T00:00:00"/>
    <s v="Bruno"/>
    <s v="Tomaszewski"/>
    <n v="12"/>
    <x v="17"/>
  </r>
  <r>
    <d v="2017-04-26T00:00:00"/>
    <s v="Anna"/>
    <s v="Klimas"/>
    <n v="39"/>
    <x v="17"/>
  </r>
  <r>
    <d v="2017-04-26T00:00:00"/>
    <s v="Andrzej"/>
    <s v="Zbieg"/>
    <n v="20"/>
    <x v="17"/>
  </r>
  <r>
    <d v="2017-04-27T00:00:00"/>
    <s v="Dorota"/>
    <s v="Zdun"/>
    <n v="51"/>
    <x v="17"/>
  </r>
  <r>
    <d v="2017-04-27T00:00:00"/>
    <s v="Anna"/>
    <s v="Tycz"/>
    <n v="47"/>
    <x v="17"/>
  </r>
  <r>
    <d v="2017-04-27T00:00:00"/>
    <s v="Dominik"/>
    <s v="Szmitko"/>
    <n v="29"/>
    <x v="17"/>
  </r>
  <r>
    <d v="2017-04-27T00:00:00"/>
    <s v="Bernard"/>
    <s v="Lubelski"/>
    <n v="34"/>
    <x v="17"/>
  </r>
  <r>
    <d v="2017-04-27T00:00:00"/>
    <s v="Kazimierz"/>
    <s v="Biedka"/>
    <n v="12"/>
    <x v="17"/>
  </r>
  <r>
    <d v="2017-04-27T00:00:00"/>
    <s v="Edward"/>
    <s v="Zdunek"/>
    <n v="6"/>
    <x v="17"/>
  </r>
  <r>
    <d v="2017-04-28T00:00:00"/>
    <s v="Monika"/>
    <s v="Srubka"/>
    <n v="5"/>
    <x v="17"/>
  </r>
  <r>
    <d v="2017-04-28T00:00:00"/>
    <s v="Zofia"/>
    <s v="Broszkow"/>
    <n v="13"/>
    <x v="17"/>
  </r>
  <r>
    <d v="2017-04-28T00:00:00"/>
    <s v="Lidia"/>
    <s v="Tarnowska"/>
    <n v="18"/>
    <x v="17"/>
  </r>
  <r>
    <d v="2017-04-28T00:00:00"/>
    <s v="Urszula"/>
    <s v="Pawlak"/>
    <n v="7"/>
    <x v="17"/>
  </r>
  <r>
    <d v="2017-04-28T00:00:00"/>
    <s v="Hubert"/>
    <s v="Borek"/>
    <n v="28"/>
    <x v="17"/>
  </r>
  <r>
    <d v="2017-04-28T00:00:00"/>
    <s v="Anna"/>
    <s v="Trzebiatowska"/>
    <n v="37"/>
    <x v="17"/>
  </r>
  <r>
    <d v="2017-05-01T00:00:00"/>
    <s v="Ilona"/>
    <s v="Nowak"/>
    <n v="23"/>
    <x v="17"/>
  </r>
  <r>
    <d v="2017-05-01T00:00:00"/>
    <s v="Mateusz"/>
    <s v="Kowalczyk"/>
    <n v="26"/>
    <x v="17"/>
  </r>
  <r>
    <d v="2017-05-01T00:00:00"/>
    <s v="Julia"/>
    <s v="Salanowska"/>
    <n v="11"/>
    <x v="17"/>
  </r>
  <r>
    <d v="2017-05-01T00:00:00"/>
    <s v="Albert"/>
    <s v="Pleszewski"/>
    <n v="25"/>
    <x v="17"/>
  </r>
  <r>
    <d v="2017-05-01T00:00:00"/>
    <s v="Piotr"/>
    <s v="Felus"/>
    <n v="3"/>
    <x v="17"/>
  </r>
  <r>
    <d v="2017-05-01T00:00:00"/>
    <s v="Ewa"/>
    <s v="Zak"/>
    <n v="30"/>
    <x v="17"/>
  </r>
  <r>
    <d v="2017-05-02T00:00:00"/>
    <s v="Urszula"/>
    <s v="Pawlak"/>
    <n v="12"/>
    <x v="17"/>
  </r>
  <r>
    <d v="2017-05-02T00:00:00"/>
    <s v="Maria"/>
    <s v="Galas"/>
    <n v="27"/>
    <x v="17"/>
  </r>
  <r>
    <d v="2017-05-02T00:00:00"/>
    <s v="Witold"/>
    <s v="Sempa"/>
    <n v="16"/>
    <x v="17"/>
  </r>
  <r>
    <d v="2017-05-02T00:00:00"/>
    <s v="Sebastian"/>
    <s v="Powoj"/>
    <n v="38"/>
    <x v="17"/>
  </r>
  <r>
    <d v="2017-05-02T00:00:00"/>
    <s v="Karolina"/>
    <s v="Stuhr"/>
    <n v="35"/>
    <x v="17"/>
  </r>
  <r>
    <d v="2017-05-02T00:00:00"/>
    <s v="Mateusz"/>
    <s v="Filipowicz"/>
    <n v="16"/>
    <x v="17"/>
  </r>
  <r>
    <d v="2017-05-03T00:00:00"/>
    <s v="Katarzyna"/>
    <s v="Wip"/>
    <n v="6"/>
    <x v="18"/>
  </r>
  <r>
    <d v="2017-05-03T00:00:00"/>
    <s v="Witold"/>
    <s v="Sempa"/>
    <n v="23"/>
    <x v="18"/>
  </r>
  <r>
    <d v="2017-05-03T00:00:00"/>
    <s v="Kamila"/>
    <s v="Kot"/>
    <n v="22"/>
    <x v="18"/>
  </r>
  <r>
    <d v="2017-05-03T00:00:00"/>
    <s v="Hubert"/>
    <s v="Nowaczynski"/>
    <n v="5"/>
    <x v="18"/>
  </r>
  <r>
    <d v="2017-05-03T00:00:00"/>
    <s v="Pawel"/>
    <s v="Furmaniak"/>
    <n v="2"/>
    <x v="18"/>
  </r>
  <r>
    <d v="2017-05-03T00:00:00"/>
    <s v="Paulina"/>
    <s v="Szklarska"/>
    <n v="29"/>
    <x v="18"/>
  </r>
  <r>
    <d v="2017-05-04T00:00:00"/>
    <s v="Mateusz"/>
    <s v="Uklej"/>
    <n v="19"/>
    <x v="18"/>
  </r>
  <r>
    <d v="2017-05-04T00:00:00"/>
    <s v="Dominika"/>
    <s v="Szwec"/>
    <n v="23"/>
    <x v="18"/>
  </r>
  <r>
    <d v="2017-05-04T00:00:00"/>
    <s v="Nikodem"/>
    <s v="Jakubowski"/>
    <n v="27"/>
    <x v="18"/>
  </r>
  <r>
    <d v="2017-05-04T00:00:00"/>
    <s v="Zbigniew"/>
    <s v="Maciag"/>
    <n v="53"/>
    <x v="18"/>
  </r>
  <r>
    <d v="2017-05-04T00:00:00"/>
    <s v="Ewa"/>
    <s v="Tysz"/>
    <n v="35"/>
    <x v="18"/>
  </r>
  <r>
    <d v="2017-05-04T00:00:00"/>
    <s v="Maciej"/>
    <s v="Czyzynski"/>
    <n v="3"/>
    <x v="18"/>
  </r>
  <r>
    <d v="2017-05-05T00:00:00"/>
    <s v="Joanna"/>
    <s v="Ottka"/>
    <n v="15"/>
    <x v="18"/>
  </r>
  <r>
    <d v="2017-05-05T00:00:00"/>
    <s v="Anna"/>
    <s v="Tomaszewska"/>
    <n v="3"/>
    <x v="18"/>
  </r>
  <r>
    <d v="2017-05-05T00:00:00"/>
    <s v="Szymon"/>
    <s v="Mrozniak"/>
    <n v="2"/>
    <x v="18"/>
  </r>
  <r>
    <d v="2017-05-05T00:00:00"/>
    <s v="Joanna"/>
    <s v="Oleksiak"/>
    <n v="28"/>
    <x v="18"/>
  </r>
  <r>
    <d v="2017-05-05T00:00:00"/>
    <s v="Tomasz"/>
    <s v="Borkowski"/>
    <n v="23"/>
    <x v="18"/>
  </r>
  <r>
    <d v="2017-05-05T00:00:00"/>
    <s v="Jakub"/>
    <s v="Waniek"/>
    <n v="20"/>
    <x v="18"/>
  </r>
  <r>
    <d v="2017-05-08T00:00:00"/>
    <s v="Karolina"/>
    <s v="Stuhr"/>
    <n v="35"/>
    <x v="18"/>
  </r>
  <r>
    <d v="2017-05-08T00:00:00"/>
    <s v="Pawel"/>
    <s v="kaczorek"/>
    <n v="45"/>
    <x v="18"/>
  </r>
  <r>
    <d v="2017-05-08T00:00:00"/>
    <s v="Waldemar"/>
    <s v="Fornalik"/>
    <n v="39"/>
    <x v="18"/>
  </r>
  <r>
    <d v="2017-05-08T00:00:00"/>
    <s v="Julia"/>
    <s v="Zaremba"/>
    <n v="13"/>
    <x v="18"/>
  </r>
  <r>
    <d v="2017-05-08T00:00:00"/>
    <s v="Ewa"/>
    <s v="Wojna"/>
    <n v="2"/>
    <x v="18"/>
  </r>
  <r>
    <d v="2017-05-08T00:00:00"/>
    <s v="Emilia"/>
    <s v="Mroczek"/>
    <n v="38"/>
    <x v="18"/>
  </r>
  <r>
    <d v="2017-05-09T00:00:00"/>
    <s v="Anita"/>
    <s v="Kaczorowska"/>
    <n v="48"/>
    <x v="18"/>
  </r>
  <r>
    <d v="2017-05-09T00:00:00"/>
    <s v="Barbara"/>
    <s v="Karcz"/>
    <n v="41"/>
    <x v="18"/>
  </r>
  <r>
    <d v="2017-05-09T00:00:00"/>
    <s v="Maria"/>
    <s v="Borowska"/>
    <n v="6"/>
    <x v="18"/>
  </r>
  <r>
    <d v="2017-05-09T00:00:00"/>
    <s v="Szymon"/>
    <s v="Wozniak"/>
    <n v="14"/>
    <x v="18"/>
  </r>
  <r>
    <d v="2017-05-09T00:00:00"/>
    <s v="Mikolaj"/>
    <s v="Beniuszys"/>
    <n v="35"/>
    <x v="18"/>
  </r>
  <r>
    <d v="2017-05-09T00:00:00"/>
    <s v="Mariusz"/>
    <s v="Mrowiec"/>
    <n v="26"/>
    <x v="18"/>
  </r>
  <r>
    <d v="2017-05-10T00:00:00"/>
    <s v="Jan"/>
    <s v="Gacek"/>
    <n v="49"/>
    <x v="19"/>
  </r>
  <r>
    <d v="2017-05-10T00:00:00"/>
    <s v="Kamila"/>
    <s v="Wolan"/>
    <n v="22"/>
    <x v="19"/>
  </r>
  <r>
    <d v="2017-05-10T00:00:00"/>
    <s v="Mateusz"/>
    <s v="Koszlaga"/>
    <n v="56"/>
    <x v="19"/>
  </r>
  <r>
    <d v="2017-05-10T00:00:00"/>
    <s v="Szymon"/>
    <s v="Mrozniak"/>
    <n v="6"/>
    <x v="19"/>
  </r>
  <r>
    <d v="2017-05-10T00:00:00"/>
    <s v="Monika"/>
    <s v="Placzek"/>
    <n v="13"/>
    <x v="19"/>
  </r>
  <r>
    <d v="2017-05-10T00:00:00"/>
    <s v="Urszula"/>
    <s v="Pawlak"/>
    <n v="3"/>
    <x v="19"/>
  </r>
  <r>
    <d v="2017-05-11T00:00:00"/>
    <s v="Marek"/>
    <s v="Janowski"/>
    <n v="7"/>
    <x v="19"/>
  </r>
  <r>
    <d v="2017-05-11T00:00:00"/>
    <s v="Jan"/>
    <s v="Kaczorowski"/>
    <n v="29"/>
    <x v="19"/>
  </r>
  <r>
    <d v="2017-05-11T00:00:00"/>
    <s v="Zuzanna"/>
    <s v="Kalisz"/>
    <n v="53"/>
    <x v="19"/>
  </r>
  <r>
    <d v="2017-05-11T00:00:00"/>
    <s v="Balbina"/>
    <s v="Madej"/>
    <n v="52"/>
    <x v="19"/>
  </r>
  <r>
    <d v="2017-05-11T00:00:00"/>
    <s v="Kamila"/>
    <s v="Knapik"/>
    <n v="26"/>
    <x v="19"/>
  </r>
  <r>
    <d v="2017-05-11T00:00:00"/>
    <s v="Maria"/>
    <s v="Kowalczuk"/>
    <n v="28"/>
    <x v="19"/>
  </r>
  <r>
    <d v="2017-05-12T00:00:00"/>
    <s v="Adam"/>
    <s v="Madejski"/>
    <n v="12"/>
    <x v="19"/>
  </r>
  <r>
    <d v="2017-05-12T00:00:00"/>
    <s v="Anita"/>
    <s v="Woloszyn"/>
    <n v="10"/>
    <x v="19"/>
  </r>
  <r>
    <d v="2017-05-12T00:00:00"/>
    <s v="Teodor"/>
    <s v="Fornal"/>
    <n v="10"/>
    <x v="19"/>
  </r>
  <r>
    <d v="2017-05-12T00:00:00"/>
    <s v="Kamil"/>
    <s v="Krawczyk"/>
    <n v="54"/>
    <x v="19"/>
  </r>
  <r>
    <d v="2017-05-12T00:00:00"/>
    <s v="Bruno"/>
    <s v="Tomczyk"/>
    <n v="19"/>
    <x v="19"/>
  </r>
  <r>
    <d v="2017-05-12T00:00:00"/>
    <s v="Natalia"/>
    <s v="Miklis"/>
    <n v="53"/>
    <x v="19"/>
  </r>
  <r>
    <d v="2017-05-15T00:00:00"/>
    <s v="Marek"/>
    <s v="Witkowski"/>
    <n v="18"/>
    <x v="19"/>
  </r>
  <r>
    <d v="2017-05-15T00:00:00"/>
    <s v="Kacper"/>
    <s v="Trzebnicki"/>
    <n v="27"/>
    <x v="19"/>
  </r>
  <r>
    <d v="2017-05-15T00:00:00"/>
    <s v="Eugenia"/>
    <s v="Pieta"/>
    <n v="26"/>
    <x v="19"/>
  </r>
  <r>
    <d v="2017-05-15T00:00:00"/>
    <s v="Nadia"/>
    <s v="Jurczyk"/>
    <n v="52"/>
    <x v="19"/>
  </r>
  <r>
    <d v="2017-05-15T00:00:00"/>
    <s v="Karol"/>
    <s v="Dziuk"/>
    <n v="10"/>
    <x v="19"/>
  </r>
  <r>
    <d v="2017-05-15T00:00:00"/>
    <s v="Julia"/>
    <s v="Sadowska"/>
    <n v="5"/>
    <x v="19"/>
  </r>
  <r>
    <d v="2017-05-16T00:00:00"/>
    <s v="Karol"/>
    <s v="Wichrowski"/>
    <n v="38"/>
    <x v="19"/>
  </r>
  <r>
    <d v="2017-05-16T00:00:00"/>
    <s v="Anna"/>
    <s v="Kot"/>
    <n v="20"/>
    <x v="19"/>
  </r>
  <r>
    <d v="2017-05-16T00:00:00"/>
    <s v="Hubert"/>
    <s v="Smyk"/>
    <n v="2"/>
    <x v="19"/>
  </r>
  <r>
    <d v="2017-05-16T00:00:00"/>
    <s v="Jan"/>
    <s v="Sznuk"/>
    <n v="25"/>
    <x v="19"/>
  </r>
  <r>
    <d v="2017-05-16T00:00:00"/>
    <s v="Maria"/>
    <s v="Kowalczyk"/>
    <n v="13"/>
    <x v="19"/>
  </r>
  <r>
    <d v="2017-05-16T00:00:00"/>
    <s v="Marcelina"/>
    <s v="Serwicka"/>
    <n v="54"/>
    <x v="19"/>
  </r>
  <r>
    <d v="2017-05-17T00:00:00"/>
    <s v="Ryszarda"/>
    <s v="Januszek"/>
    <n v="27"/>
    <x v="20"/>
  </r>
  <r>
    <d v="2017-05-17T00:00:00"/>
    <s v="Filip"/>
    <s v="Spanowski"/>
    <n v="15"/>
    <x v="20"/>
  </r>
  <r>
    <d v="2017-05-17T00:00:00"/>
    <s v="Agnieszka"/>
    <s v="Bujak"/>
    <n v="19"/>
    <x v="20"/>
  </r>
  <r>
    <d v="2017-05-17T00:00:00"/>
    <s v="Adam"/>
    <s v="Zega"/>
    <n v="22"/>
    <x v="20"/>
  </r>
  <r>
    <d v="2017-05-17T00:00:00"/>
    <s v="Przemyslaw"/>
    <s v="Bajewski"/>
    <n v="12"/>
    <x v="20"/>
  </r>
  <r>
    <d v="2017-05-17T00:00:00"/>
    <s v="Eugenia"/>
    <s v="Pieta"/>
    <n v="6"/>
    <x v="20"/>
  </r>
  <r>
    <d v="2017-05-18T00:00:00"/>
    <s v="Izabela"/>
    <s v="Skrzydlak"/>
    <n v="27"/>
    <x v="20"/>
  </r>
  <r>
    <d v="2017-05-18T00:00:00"/>
    <s v="Stanislaw"/>
    <s v="Burza"/>
    <n v="6"/>
    <x v="20"/>
  </r>
  <r>
    <d v="2017-05-18T00:00:00"/>
    <s v="Roman"/>
    <s v="Grodecki"/>
    <n v="6"/>
    <x v="20"/>
  </r>
  <r>
    <d v="2017-05-18T00:00:00"/>
    <s v="Jakub"/>
    <s v="Radziszewski"/>
    <n v="4"/>
    <x v="20"/>
  </r>
  <r>
    <d v="2017-05-18T00:00:00"/>
    <s v="Marcin"/>
    <s v="Gizinski"/>
    <n v="28"/>
    <x v="20"/>
  </r>
  <r>
    <d v="2017-05-18T00:00:00"/>
    <s v="Przemyslaw"/>
    <s v="Bajewski"/>
    <n v="48"/>
    <x v="20"/>
  </r>
  <r>
    <d v="2017-05-19T00:00:00"/>
    <s v="Adam"/>
    <s v="Borkowski"/>
    <n v="40"/>
    <x v="20"/>
  </r>
  <r>
    <d v="2017-05-19T00:00:00"/>
    <s v="Maria"/>
    <s v="Drozd"/>
    <n v="17"/>
    <x v="20"/>
  </r>
  <r>
    <d v="2017-05-19T00:00:00"/>
    <s v="Igor"/>
    <s v="Rybinski"/>
    <n v="22"/>
    <x v="20"/>
  </r>
  <r>
    <d v="2017-05-19T00:00:00"/>
    <s v="Dorota"/>
    <s v="Adamus"/>
    <n v="2"/>
    <x v="20"/>
  </r>
  <r>
    <d v="2017-05-19T00:00:00"/>
    <s v="Maciej"/>
    <s v="Lyszcz"/>
    <n v="5"/>
    <x v="20"/>
  </r>
  <r>
    <d v="2017-05-19T00:00:00"/>
    <s v="Kamila"/>
    <s v="Bialkowska"/>
    <n v="25"/>
    <x v="20"/>
  </r>
  <r>
    <d v="2017-05-22T00:00:00"/>
    <s v="Wanda"/>
    <s v="Chojnacka"/>
    <n v="21"/>
    <x v="20"/>
  </r>
  <r>
    <d v="2017-05-22T00:00:00"/>
    <s v="Maciej"/>
    <s v="Tasz"/>
    <n v="31"/>
    <x v="20"/>
  </r>
  <r>
    <d v="2017-05-22T00:00:00"/>
    <s v="Hanna"/>
    <s v="Steinborn"/>
    <n v="21"/>
    <x v="20"/>
  </r>
  <r>
    <d v="2017-05-22T00:00:00"/>
    <s v="Monika"/>
    <s v="Srubka"/>
    <n v="19"/>
    <x v="20"/>
  </r>
  <r>
    <d v="2017-05-22T00:00:00"/>
    <s v="Patrycja"/>
    <s v="Glowinska"/>
    <n v="6"/>
    <x v="20"/>
  </r>
  <r>
    <d v="2017-05-22T00:00:00"/>
    <s v="Krzysztof"/>
    <s v="Las"/>
    <n v="24"/>
    <x v="20"/>
  </r>
  <r>
    <d v="2017-05-23T00:00:00"/>
    <s v="Izabela"/>
    <s v="Skrzydlak"/>
    <n v="54"/>
    <x v="20"/>
  </r>
  <r>
    <d v="2017-05-23T00:00:00"/>
    <s v="Wieslawa"/>
    <s v="Koniec"/>
    <n v="18"/>
    <x v="20"/>
  </r>
  <r>
    <d v="2017-05-23T00:00:00"/>
    <s v="Izabela"/>
    <s v="Sobota"/>
    <n v="8"/>
    <x v="20"/>
  </r>
  <r>
    <d v="2017-05-23T00:00:00"/>
    <s v="Sofia"/>
    <s v="Felisiak"/>
    <n v="4"/>
    <x v="20"/>
  </r>
  <r>
    <d v="2017-05-23T00:00:00"/>
    <s v="Wieslawa"/>
    <s v="Nowak"/>
    <n v="16"/>
    <x v="20"/>
  </r>
  <r>
    <d v="2017-05-23T00:00:00"/>
    <s v="Julia"/>
    <s v="Sadowska"/>
    <n v="6"/>
    <x v="20"/>
  </r>
  <r>
    <d v="2017-05-24T00:00:00"/>
    <s v="Andrzej"/>
    <s v="Tysz"/>
    <n v="54"/>
    <x v="21"/>
  </r>
  <r>
    <d v="2017-05-24T00:00:00"/>
    <s v="Jan"/>
    <s v="Zaczyk"/>
    <n v="35"/>
    <x v="21"/>
  </r>
  <r>
    <d v="2017-05-24T00:00:00"/>
    <s v="Magdalena"/>
    <s v="Okraska"/>
    <n v="23"/>
    <x v="21"/>
  </r>
  <r>
    <d v="2017-05-24T00:00:00"/>
    <s v="Teodor"/>
    <s v="Nowak"/>
    <n v="52"/>
    <x v="21"/>
  </r>
  <r>
    <d v="2017-05-24T00:00:00"/>
    <s v="Szymon"/>
    <s v="Wozniak"/>
    <n v="26"/>
    <x v="21"/>
  </r>
  <r>
    <d v="2017-05-24T00:00:00"/>
    <s v="Izabela"/>
    <s v="Sobota"/>
    <n v="26"/>
    <x v="21"/>
  </r>
  <r>
    <d v="2017-05-25T00:00:00"/>
    <s v="Mateusz"/>
    <s v="Krynicki"/>
    <n v="2"/>
    <x v="21"/>
  </r>
  <r>
    <d v="2017-05-25T00:00:00"/>
    <s v="Barbara"/>
    <s v="Karcz"/>
    <n v="31"/>
    <x v="21"/>
  </r>
  <r>
    <d v="2017-05-25T00:00:00"/>
    <s v="Borys"/>
    <s v="Myszor"/>
    <n v="38"/>
    <x v="21"/>
  </r>
  <r>
    <d v="2017-05-25T00:00:00"/>
    <s v="Agnieszka"/>
    <s v="Kaminska"/>
    <n v="8"/>
    <x v="21"/>
  </r>
  <r>
    <d v="2017-05-25T00:00:00"/>
    <s v="Piotr"/>
    <s v="Kania"/>
    <n v="53"/>
    <x v="21"/>
  </r>
  <r>
    <d v="2017-05-25T00:00:00"/>
    <s v="Roman"/>
    <s v="Grodecki"/>
    <n v="6"/>
    <x v="21"/>
  </r>
  <r>
    <d v="2017-05-26T00:00:00"/>
    <s v="Teodor"/>
    <s v="Fornal"/>
    <n v="55"/>
    <x v="21"/>
  </r>
  <r>
    <d v="2017-05-26T00:00:00"/>
    <s v="Tomasz"/>
    <s v="Zbik"/>
    <n v="15"/>
    <x v="21"/>
  </r>
  <r>
    <d v="2017-05-26T00:00:00"/>
    <s v="Jacek"/>
    <s v="Chojnacki"/>
    <n v="25"/>
    <x v="21"/>
  </r>
  <r>
    <d v="2017-05-26T00:00:00"/>
    <s v="Adam"/>
    <s v="Zurek"/>
    <n v="39"/>
    <x v="21"/>
  </r>
  <r>
    <d v="2017-05-26T00:00:00"/>
    <s v="Marcin"/>
    <s v="Tabaka"/>
    <n v="25"/>
    <x v="21"/>
  </r>
  <r>
    <d v="2017-05-26T00:00:00"/>
    <s v="Anna"/>
    <s v="Janowska"/>
    <n v="22"/>
    <x v="21"/>
  </r>
  <r>
    <d v="2017-05-29T00:00:00"/>
    <s v="Roksana"/>
    <s v="Frankowska"/>
    <n v="22"/>
    <x v="21"/>
  </r>
  <r>
    <d v="2017-05-29T00:00:00"/>
    <s v="Krzysztof"/>
    <s v="Madejski"/>
    <n v="2"/>
    <x v="21"/>
  </r>
  <r>
    <d v="2017-05-29T00:00:00"/>
    <s v="Maria"/>
    <s v="Kowalczuk"/>
    <n v="8"/>
    <x v="21"/>
  </r>
  <r>
    <d v="2017-05-29T00:00:00"/>
    <s v="Jan"/>
    <s v="Kildanowski"/>
    <n v="50"/>
    <x v="21"/>
  </r>
  <r>
    <d v="2017-05-29T00:00:00"/>
    <s v="Dominik"/>
    <s v="Szczucki"/>
    <n v="17"/>
    <x v="21"/>
  </r>
  <r>
    <d v="2017-05-29T00:00:00"/>
    <s v="Michal"/>
    <s v="Kirwiel"/>
    <n v="9"/>
    <x v="21"/>
  </r>
  <r>
    <d v="2017-05-30T00:00:00"/>
    <s v="Konrad"/>
    <s v="Jagielski"/>
    <n v="52"/>
    <x v="21"/>
  </r>
  <r>
    <d v="2017-05-30T00:00:00"/>
    <s v="Monika"/>
    <s v="Bialkowska"/>
    <n v="18"/>
    <x v="21"/>
  </r>
  <r>
    <d v="2017-05-30T00:00:00"/>
    <s v="Alicja"/>
    <s v="Walentowicz"/>
    <n v="17"/>
    <x v="21"/>
  </r>
  <r>
    <d v="2017-05-30T00:00:00"/>
    <s v="Zbigniew"/>
    <s v="Paderewski"/>
    <n v="52"/>
    <x v="21"/>
  </r>
  <r>
    <d v="2017-05-30T00:00:00"/>
    <s v="Michal"/>
    <s v="Nowicki"/>
    <n v="13"/>
    <x v="21"/>
  </r>
  <r>
    <d v="2017-05-30T00:00:00"/>
    <s v="Leon"/>
    <s v="Szybki"/>
    <n v="10"/>
    <x v="21"/>
  </r>
  <r>
    <d v="2017-05-31T00:00:00"/>
    <s v="Olga"/>
    <s v="Paluszkiewicz"/>
    <n v="18"/>
    <x v="22"/>
  </r>
  <r>
    <d v="2017-05-31T00:00:00"/>
    <s v="Bartosz"/>
    <s v="Tusinski"/>
    <n v="16"/>
    <x v="22"/>
  </r>
  <r>
    <d v="2017-05-31T00:00:00"/>
    <s v="Karolina"/>
    <s v="Perez"/>
    <n v="8"/>
    <x v="22"/>
  </r>
  <r>
    <d v="2017-05-31T00:00:00"/>
    <s v="Maciej"/>
    <s v="Czyzynski"/>
    <n v="26"/>
    <x v="22"/>
  </r>
  <r>
    <d v="2017-05-31T00:00:00"/>
    <s v="Maja"/>
    <s v="Kurowska"/>
    <n v="53"/>
    <x v="22"/>
  </r>
  <r>
    <d v="2017-05-31T00:00:00"/>
    <s v="Hubert"/>
    <s v="Borek"/>
    <n v="3"/>
    <x v="22"/>
  </r>
  <r>
    <d v="2017-06-01T00:00:00"/>
    <s v="Michal"/>
    <s v="Jan"/>
    <n v="36"/>
    <x v="22"/>
  </r>
  <r>
    <d v="2017-06-01T00:00:00"/>
    <s v="Igor"/>
    <s v="Rybinski"/>
    <n v="17"/>
    <x v="22"/>
  </r>
  <r>
    <d v="2017-06-01T00:00:00"/>
    <s v="Adrian"/>
    <s v="Dulski"/>
    <n v="14"/>
    <x v="22"/>
  </r>
  <r>
    <d v="2017-06-01T00:00:00"/>
    <s v="Julia"/>
    <s v="Sadowska"/>
    <n v="54"/>
    <x v="22"/>
  </r>
  <r>
    <d v="2017-06-01T00:00:00"/>
    <s v="Maja"/>
    <s v="Kaminska"/>
    <n v="22"/>
    <x v="22"/>
  </r>
  <r>
    <d v="2017-06-01T00:00:00"/>
    <s v="Nadia"/>
    <s v="Jurewicz"/>
    <n v="33"/>
    <x v="22"/>
  </r>
  <r>
    <d v="2017-06-02T00:00:00"/>
    <s v="Maria"/>
    <s v="Drozd"/>
    <n v="22"/>
    <x v="22"/>
  </r>
  <r>
    <d v="2017-06-02T00:00:00"/>
    <s v="Szymon"/>
    <s v="Mrozniak"/>
    <n v="2"/>
    <x v="22"/>
  </r>
  <r>
    <d v="2017-06-02T00:00:00"/>
    <s v="Inez"/>
    <s v="Nahaj"/>
    <n v="8"/>
    <x v="22"/>
  </r>
  <r>
    <d v="2017-06-02T00:00:00"/>
    <s v="Jan"/>
    <s v="Pieterson"/>
    <n v="5"/>
    <x v="22"/>
  </r>
  <r>
    <d v="2017-06-02T00:00:00"/>
    <s v="Adrian"/>
    <s v="Baran"/>
    <n v="25"/>
    <x v="22"/>
  </r>
  <r>
    <d v="2017-06-02T00:00:00"/>
    <s v="Przemyslaw"/>
    <s v="Bajewski"/>
    <n v="18"/>
    <x v="22"/>
  </r>
  <r>
    <d v="2017-06-05T00:00:00"/>
    <s v="Ewelina"/>
    <s v="Bialkowska"/>
    <n v="8"/>
    <x v="22"/>
  </r>
  <r>
    <d v="2017-06-05T00:00:00"/>
    <s v="Lena"/>
    <s v="Mazurkiewicz"/>
    <n v="20"/>
    <x v="22"/>
  </r>
  <r>
    <d v="2017-06-05T00:00:00"/>
    <s v="Patrycja"/>
    <s v="Dzban"/>
    <n v="23"/>
    <x v="22"/>
  </r>
  <r>
    <d v="2017-06-05T00:00:00"/>
    <s v="Leon"/>
    <s v="Szybki"/>
    <n v="52"/>
    <x v="22"/>
  </r>
  <r>
    <d v="2017-06-05T00:00:00"/>
    <s v="Michal"/>
    <s v="Gora"/>
    <n v="14"/>
    <x v="22"/>
  </r>
  <r>
    <d v="2017-06-05T00:00:00"/>
    <s v="Agata"/>
    <s v="Kolacz"/>
    <n v="27"/>
    <x v="22"/>
  </r>
  <r>
    <d v="2017-06-06T00:00:00"/>
    <s v="Marek"/>
    <s v="Bednarski"/>
    <n v="21"/>
    <x v="22"/>
  </r>
  <r>
    <d v="2017-06-06T00:00:00"/>
    <s v="Alicja"/>
    <s v="Gadek"/>
    <n v="28"/>
    <x v="22"/>
  </r>
  <r>
    <d v="2017-06-06T00:00:00"/>
    <s v="Filip"/>
    <s v="Strupiechowski"/>
    <n v="50"/>
    <x v="22"/>
  </r>
  <r>
    <d v="2017-06-06T00:00:00"/>
    <s v="Hubert"/>
    <s v="Smyk"/>
    <n v="5"/>
    <x v="22"/>
  </r>
  <r>
    <d v="2017-06-06T00:00:00"/>
    <s v="Marcin"/>
    <s v="Kurasik"/>
    <n v="7"/>
    <x v="22"/>
  </r>
  <r>
    <d v="2017-06-06T00:00:00"/>
    <s v="Tomasz"/>
    <s v="Tutaj"/>
    <n v="11"/>
    <x v="22"/>
  </r>
  <r>
    <d v="2017-06-07T00:00:00"/>
    <s v="Maria"/>
    <s v="Drozd"/>
    <n v="17"/>
    <x v="23"/>
  </r>
  <r>
    <d v="2017-06-07T00:00:00"/>
    <s v="Kamil"/>
    <s v="Naderka"/>
    <n v="12"/>
    <x v="23"/>
  </r>
  <r>
    <d v="2017-06-07T00:00:00"/>
    <s v="Zofia"/>
    <s v="Polak"/>
    <n v="49"/>
    <x v="23"/>
  </r>
  <r>
    <d v="2017-06-07T00:00:00"/>
    <s v="Marta"/>
    <s v="Opolska"/>
    <n v="6"/>
    <x v="23"/>
  </r>
  <r>
    <d v="2017-06-07T00:00:00"/>
    <s v="Agata"/>
    <s v="Kwiatkowska"/>
    <n v="13"/>
    <x v="23"/>
  </r>
  <r>
    <d v="2017-06-07T00:00:00"/>
    <s v="Justyna"/>
    <s v="Wysocka"/>
    <n v="40"/>
    <x v="23"/>
  </r>
  <r>
    <d v="2017-06-08T00:00:00"/>
    <s v="Krzysztof"/>
    <s v="Koncewicz"/>
    <n v="26"/>
    <x v="23"/>
  </r>
  <r>
    <d v="2017-06-08T00:00:00"/>
    <s v="Lena"/>
    <s v="Mrozik"/>
    <n v="16"/>
    <x v="23"/>
  </r>
  <r>
    <d v="2017-06-08T00:00:00"/>
    <s v="Kazimierz"/>
    <s v="Biedka"/>
    <n v="36"/>
    <x v="23"/>
  </r>
  <r>
    <d v="2017-06-08T00:00:00"/>
    <s v="Pawel"/>
    <s v="Nowakowski"/>
    <n v="8"/>
    <x v="23"/>
  </r>
  <r>
    <d v="2017-06-08T00:00:00"/>
    <s v="Piotr"/>
    <s v="Kaleta"/>
    <n v="7"/>
    <x v="23"/>
  </r>
  <r>
    <d v="2017-06-08T00:00:00"/>
    <s v="Monika"/>
    <s v="Srubka"/>
    <n v="25"/>
    <x v="23"/>
  </r>
  <r>
    <d v="2017-06-09T00:00:00"/>
    <s v="Bonifacy"/>
    <s v="Pleszewski"/>
    <n v="43"/>
    <x v="23"/>
  </r>
  <r>
    <d v="2017-06-09T00:00:00"/>
    <s v="Jakub"/>
    <s v="Waniek"/>
    <n v="23"/>
    <x v="23"/>
  </r>
  <r>
    <d v="2017-06-09T00:00:00"/>
    <s v="Sofia"/>
    <s v="Felisiak"/>
    <n v="5"/>
    <x v="23"/>
  </r>
  <r>
    <d v="2017-06-09T00:00:00"/>
    <s v="Monika"/>
    <s v="Placzek"/>
    <n v="2"/>
    <x v="23"/>
  </r>
  <r>
    <d v="2017-06-09T00:00:00"/>
    <s v="Malgorzata"/>
    <s v="Winiarska"/>
    <n v="5"/>
    <x v="23"/>
  </r>
  <r>
    <d v="2017-06-09T00:00:00"/>
    <s v="Alicja"/>
    <s v="Wymyslowska"/>
    <n v="50"/>
    <x v="23"/>
  </r>
  <r>
    <d v="2017-06-12T00:00:00"/>
    <s v="Leon"/>
    <s v="Price"/>
    <n v="11"/>
    <x v="23"/>
  </r>
  <r>
    <d v="2017-06-12T00:00:00"/>
    <s v="Maciej"/>
    <s v="Siemiatkowski"/>
    <n v="18"/>
    <x v="23"/>
  </r>
  <r>
    <d v="2017-06-12T00:00:00"/>
    <s v="Mateusz"/>
    <s v="Uklej"/>
    <n v="24"/>
    <x v="23"/>
  </r>
  <r>
    <d v="2017-06-12T00:00:00"/>
    <s v="Agnieszka"/>
    <s v="Matusik"/>
    <n v="20"/>
    <x v="23"/>
  </r>
  <r>
    <d v="2017-06-12T00:00:00"/>
    <s v="Henryk"/>
    <s v="Siminski"/>
    <n v="55"/>
    <x v="23"/>
  </r>
  <r>
    <d v="2017-06-12T00:00:00"/>
    <s v="Marcel"/>
    <s v="Lademann"/>
    <n v="52"/>
    <x v="23"/>
  </r>
  <r>
    <d v="2017-06-13T00:00:00"/>
    <s v="Justyna"/>
    <s v="Mnich"/>
    <n v="41"/>
    <x v="23"/>
  </r>
  <r>
    <d v="2017-06-13T00:00:00"/>
    <s v="Ewa"/>
    <s v="Czerwinska"/>
    <n v="27"/>
    <x v="23"/>
  </r>
  <r>
    <d v="2017-06-13T00:00:00"/>
    <s v="Piotr"/>
    <s v="Polkowicki"/>
    <n v="12"/>
    <x v="23"/>
  </r>
  <r>
    <d v="2017-06-13T00:00:00"/>
    <s v="Mateusz"/>
    <s v="Mrowczynski"/>
    <n v="23"/>
    <x v="23"/>
  </r>
  <r>
    <d v="2017-06-13T00:00:00"/>
    <s v="Anastazja"/>
    <s v="Borowska"/>
    <n v="4"/>
    <x v="23"/>
  </r>
  <r>
    <d v="2017-06-13T00:00:00"/>
    <s v="Hubert"/>
    <s v="Pieczatowski"/>
    <n v="27"/>
    <x v="23"/>
  </r>
  <r>
    <d v="2017-06-14T00:00:00"/>
    <s v="Teodor"/>
    <s v="Fornal"/>
    <n v="36"/>
    <x v="24"/>
  </r>
  <r>
    <d v="2017-06-14T00:00:00"/>
    <s v="Barbara"/>
    <s v="Kilarski"/>
    <n v="20"/>
    <x v="24"/>
  </r>
  <r>
    <d v="2017-06-14T00:00:00"/>
    <s v="Nikodem"/>
    <s v="Jablonski"/>
    <n v="26"/>
    <x v="24"/>
  </r>
  <r>
    <d v="2017-06-14T00:00:00"/>
    <s v="Nikodem"/>
    <s v="Jakubowski"/>
    <n v="8"/>
    <x v="24"/>
  </r>
  <r>
    <d v="2017-06-14T00:00:00"/>
    <s v="Joanna"/>
    <s v="Sibiga"/>
    <n v="6"/>
    <x v="24"/>
  </r>
  <r>
    <d v="2017-06-14T00:00:00"/>
    <s v="Monika"/>
    <s v="Srubka"/>
    <n v="5"/>
    <x v="24"/>
  </r>
  <r>
    <d v="2017-06-15T00:00:00"/>
    <s v="Jakub"/>
    <s v="Porydzaj"/>
    <n v="8"/>
    <x v="24"/>
  </r>
  <r>
    <d v="2017-06-15T00:00:00"/>
    <s v="Krzysztof"/>
    <s v="Las"/>
    <n v="4"/>
    <x v="24"/>
  </r>
  <r>
    <d v="2017-06-15T00:00:00"/>
    <s v="Emilia"/>
    <s v="Szczepanska"/>
    <n v="31"/>
    <x v="24"/>
  </r>
  <r>
    <d v="2017-06-15T00:00:00"/>
    <s v="Patrycja"/>
    <s v="Rzeszowska"/>
    <n v="36"/>
    <x v="24"/>
  </r>
  <r>
    <d v="2017-06-15T00:00:00"/>
    <s v="Olgierd"/>
    <s v="Hazubski"/>
    <n v="3"/>
    <x v="24"/>
  </r>
  <r>
    <d v="2017-06-15T00:00:00"/>
    <s v="Jan"/>
    <s v="Nancki"/>
    <n v="31"/>
    <x v="24"/>
  </r>
  <r>
    <d v="2017-06-16T00:00:00"/>
    <s v="Anna"/>
    <s v="Trzebiatowska"/>
    <n v="3"/>
    <x v="24"/>
  </r>
  <r>
    <d v="2017-06-16T00:00:00"/>
    <s v="Urszula"/>
    <s v="Engel"/>
    <n v="2"/>
    <x v="24"/>
  </r>
  <r>
    <d v="2017-06-16T00:00:00"/>
    <s v="Przemyslaw"/>
    <s v="Widawski"/>
    <n v="53"/>
    <x v="24"/>
  </r>
  <r>
    <d v="2017-06-16T00:00:00"/>
    <s v="Anastazja"/>
    <s v="Wamka"/>
    <n v="7"/>
    <x v="24"/>
  </r>
  <r>
    <d v="2017-06-16T00:00:00"/>
    <s v="Mariola"/>
    <s v="Las"/>
    <n v="27"/>
    <x v="24"/>
  </r>
  <r>
    <d v="2017-06-16T00:00:00"/>
    <s v="Agnieszka"/>
    <s v="Bujak"/>
    <n v="29"/>
    <x v="24"/>
  </r>
  <r>
    <d v="2017-06-19T00:00:00"/>
    <s v="Leon"/>
    <s v="Szybki"/>
    <n v="19"/>
    <x v="24"/>
  </r>
  <r>
    <d v="2017-06-19T00:00:00"/>
    <s v="Natalia"/>
    <s v="Boryczko"/>
    <n v="15"/>
    <x v="24"/>
  </r>
  <r>
    <d v="2017-06-19T00:00:00"/>
    <s v="Wojciech"/>
    <s v="Gocyla"/>
    <n v="24"/>
    <x v="24"/>
  </r>
  <r>
    <d v="2017-06-19T00:00:00"/>
    <s v="Ewa"/>
    <s v="Czerwinska"/>
    <n v="50"/>
    <x v="24"/>
  </r>
  <r>
    <d v="2017-06-19T00:00:00"/>
    <s v="Piotr"/>
    <s v="Flis"/>
    <n v="18"/>
    <x v="24"/>
  </r>
  <r>
    <d v="2017-06-19T00:00:00"/>
    <s v="Jakub"/>
    <s v="Radomski"/>
    <n v="36"/>
    <x v="24"/>
  </r>
  <r>
    <d v="2017-06-20T00:00:00"/>
    <s v="Ilona"/>
    <s v="Lukaszewska"/>
    <n v="13"/>
    <x v="24"/>
  </r>
  <r>
    <d v="2017-06-20T00:00:00"/>
    <s v="Maria"/>
    <s v="Orlicki"/>
    <n v="29"/>
    <x v="24"/>
  </r>
  <r>
    <d v="2017-06-20T00:00:00"/>
    <s v="Matylda"/>
    <s v="Kluziak"/>
    <n v="47"/>
    <x v="24"/>
  </r>
  <r>
    <d v="2017-06-20T00:00:00"/>
    <s v="Bartosz"/>
    <s v="Mazgaj"/>
    <n v="17"/>
    <x v="24"/>
  </r>
  <r>
    <d v="2017-06-20T00:00:00"/>
    <s v="Jacek"/>
    <s v="Szypulski"/>
    <n v="9"/>
    <x v="24"/>
  </r>
  <r>
    <d v="2017-06-20T00:00:00"/>
    <s v="Mariola"/>
    <s v="Las"/>
    <n v="8"/>
    <x v="24"/>
  </r>
  <r>
    <d v="2017-06-21T00:00:00"/>
    <s v="Tomasz"/>
    <s v="Tutaj"/>
    <n v="4"/>
    <x v="25"/>
  </r>
  <r>
    <d v="2017-06-21T00:00:00"/>
    <s v="Lukasz"/>
    <s v="Kot"/>
    <n v="53"/>
    <x v="25"/>
  </r>
  <r>
    <d v="2017-06-21T00:00:00"/>
    <s v="Martyna"/>
    <s v="Marmelowska"/>
    <n v="29"/>
    <x v="25"/>
  </r>
  <r>
    <d v="2017-06-21T00:00:00"/>
    <s v="Adam"/>
    <s v="Wata"/>
    <n v="52"/>
    <x v="25"/>
  </r>
  <r>
    <d v="2017-06-21T00:00:00"/>
    <s v="Tomasz"/>
    <s v="Tutaj"/>
    <n v="8"/>
    <x v="25"/>
  </r>
  <r>
    <d v="2017-06-21T00:00:00"/>
    <s v="Ewa"/>
    <s v="Wojna"/>
    <n v="32"/>
    <x v="25"/>
  </r>
  <r>
    <d v="2017-06-22T00:00:00"/>
    <s v="Grzegorz"/>
    <s v="Kaminski"/>
    <n v="11"/>
    <x v="25"/>
  </r>
  <r>
    <d v="2017-06-22T00:00:00"/>
    <s v="Tomasz"/>
    <s v="Hajdi"/>
    <n v="35"/>
    <x v="25"/>
  </r>
  <r>
    <d v="2017-06-22T00:00:00"/>
    <s v="Joanna"/>
    <s v="Senger"/>
    <n v="4"/>
    <x v="25"/>
  </r>
  <r>
    <d v="2017-06-22T00:00:00"/>
    <s v="Joanna"/>
    <s v="Kopacki"/>
    <n v="18"/>
    <x v="25"/>
  </r>
  <r>
    <d v="2017-06-22T00:00:00"/>
    <s v="Jan"/>
    <s v="Kildanowski"/>
    <n v="5"/>
    <x v="25"/>
  </r>
  <r>
    <d v="2017-06-22T00:00:00"/>
    <s v="Maciej"/>
    <s v="Tasz"/>
    <n v="32"/>
    <x v="25"/>
  </r>
  <r>
    <d v="2017-06-23T00:00:00"/>
    <s v="Anita"/>
    <s v="Kaczorowska"/>
    <n v="18"/>
    <x v="25"/>
  </r>
  <r>
    <d v="2017-06-23T00:00:00"/>
    <s v="Daria"/>
    <s v="Mikos"/>
    <n v="19"/>
    <x v="25"/>
  </r>
  <r>
    <d v="2017-06-23T00:00:00"/>
    <s v="Anita"/>
    <s v="Pawelczyk"/>
    <n v="8"/>
    <x v="25"/>
  </r>
  <r>
    <d v="2017-06-23T00:00:00"/>
    <s v="Ryszard"/>
    <s v="Domzala"/>
    <n v="16"/>
    <x v="25"/>
  </r>
  <r>
    <d v="2017-06-23T00:00:00"/>
    <s v="Marta"/>
    <s v="Wiosna"/>
    <n v="39"/>
    <x v="25"/>
  </r>
  <r>
    <d v="2017-06-23T00:00:00"/>
    <s v="Maria"/>
    <s v="Orlicki"/>
    <n v="45"/>
    <x v="25"/>
  </r>
  <r>
    <d v="2017-06-26T00:00:00"/>
    <s v="Joanna"/>
    <s v="Kopacki"/>
    <n v="46"/>
    <x v="25"/>
  </r>
  <r>
    <d v="2017-06-26T00:00:00"/>
    <s v="Jan"/>
    <s v="Sznuk"/>
    <n v="26"/>
    <x v="25"/>
  </r>
  <r>
    <d v="2017-06-26T00:00:00"/>
    <s v="Wiera"/>
    <s v="Nowak"/>
    <n v="53"/>
    <x v="25"/>
  </r>
  <r>
    <d v="2017-06-26T00:00:00"/>
    <s v="Ewaryst"/>
    <s v="Zdunek"/>
    <n v="26"/>
    <x v="25"/>
  </r>
  <r>
    <d v="2017-06-26T00:00:00"/>
    <s v="Agnieszka"/>
    <s v="Polak"/>
    <n v="16"/>
    <x v="25"/>
  </r>
  <r>
    <d v="2017-06-26T00:00:00"/>
    <s v="Jan"/>
    <s v="Madawik"/>
    <n v="10"/>
    <x v="25"/>
  </r>
  <r>
    <d v="2017-06-27T00:00:00"/>
    <s v="Anita"/>
    <s v="Woloszyn"/>
    <n v="23"/>
    <x v="25"/>
  </r>
  <r>
    <d v="2017-06-27T00:00:00"/>
    <s v="Daria"/>
    <s v="Zagrobna"/>
    <n v="22"/>
    <x v="25"/>
  </r>
  <r>
    <d v="2017-06-27T00:00:00"/>
    <s v="Marta"/>
    <s v="Wloczkow"/>
    <n v="29"/>
    <x v="25"/>
  </r>
  <r>
    <d v="2017-06-27T00:00:00"/>
    <s v="Krzysztof"/>
    <s v="Konieckiewicz"/>
    <n v="26"/>
    <x v="25"/>
  </r>
  <r>
    <d v="2017-06-27T00:00:00"/>
    <s v="Barbara"/>
    <s v="Bury"/>
    <n v="9"/>
    <x v="25"/>
  </r>
  <r>
    <d v="2017-06-27T00:00:00"/>
    <s v="Karol"/>
    <s v="Dziuk"/>
    <n v="20"/>
    <x v="25"/>
  </r>
  <r>
    <d v="2017-06-28T00:00:00"/>
    <s v="Wojciech"/>
    <s v="Wroblewski"/>
    <n v="7"/>
    <x v="26"/>
  </r>
  <r>
    <d v="2017-06-28T00:00:00"/>
    <s v="Kinga"/>
    <s v="Trawinska"/>
    <n v="27"/>
    <x v="26"/>
  </r>
  <r>
    <d v="2017-06-28T00:00:00"/>
    <s v="Kamil"/>
    <s v="Naderka"/>
    <n v="35"/>
    <x v="26"/>
  </r>
  <r>
    <d v="2017-06-28T00:00:00"/>
    <s v="Tomasz"/>
    <s v="Tutaj"/>
    <n v="15"/>
    <x v="26"/>
  </r>
  <r>
    <d v="2017-06-28T00:00:00"/>
    <s v="Jan"/>
    <s v="Pieterson"/>
    <n v="29"/>
    <x v="26"/>
  </r>
  <r>
    <d v="2017-06-28T00:00:00"/>
    <s v="Dominika"/>
    <s v="Madejska"/>
    <n v="42"/>
    <x v="26"/>
  </r>
  <r>
    <d v="2017-06-29T00:00:00"/>
    <s v="Kamila"/>
    <s v="Bialkowska"/>
    <n v="9"/>
    <x v="26"/>
  </r>
  <r>
    <d v="2017-06-29T00:00:00"/>
    <s v="Stanislaw"/>
    <s v="Cieslik"/>
    <n v="50"/>
    <x v="26"/>
  </r>
  <r>
    <d v="2017-06-29T00:00:00"/>
    <s v="Dominik"/>
    <s v="Szmitko"/>
    <n v="6"/>
    <x v="26"/>
  </r>
  <r>
    <d v="2017-06-29T00:00:00"/>
    <s v="Ewa"/>
    <s v="Zak"/>
    <n v="18"/>
    <x v="26"/>
  </r>
  <r>
    <d v="2017-06-29T00:00:00"/>
    <s v="Jan"/>
    <s v="Madawik"/>
    <n v="28"/>
    <x v="26"/>
  </r>
  <r>
    <d v="2017-06-29T00:00:00"/>
    <s v="Jan"/>
    <s v="Pistek"/>
    <n v="7"/>
    <x v="26"/>
  </r>
  <r>
    <d v="2017-06-30T00:00:00"/>
    <s v="Magda"/>
    <s v="Makowicz"/>
    <n v="28"/>
    <x v="26"/>
  </r>
  <r>
    <d v="2017-06-30T00:00:00"/>
    <s v="Dominik"/>
    <s v="Szczucki"/>
    <n v="27"/>
    <x v="26"/>
  </r>
  <r>
    <d v="2017-06-30T00:00:00"/>
    <s v="Piotr"/>
    <s v="Flis"/>
    <n v="19"/>
    <x v="26"/>
  </r>
  <r>
    <d v="2017-06-30T00:00:00"/>
    <s v="Hubert"/>
    <s v="Pieczatowski"/>
    <n v="19"/>
    <x v="26"/>
  </r>
  <r>
    <d v="2017-06-30T00:00:00"/>
    <s v="Julia"/>
    <s v="Rutkiewicz"/>
    <n v="18"/>
    <x v="26"/>
  </r>
  <r>
    <d v="2017-06-30T00:00:00"/>
    <s v="Joanna"/>
    <s v="Ottka"/>
    <n v="27"/>
    <x v="26"/>
  </r>
  <r>
    <d v="2017-07-03T00:00:00"/>
    <s v="Nadia"/>
    <s v="Jurewicz"/>
    <n v="21"/>
    <x v="26"/>
  </r>
  <r>
    <d v="2017-07-03T00:00:00"/>
    <s v="Lena"/>
    <s v="Marzec"/>
    <n v="14"/>
    <x v="26"/>
  </r>
  <r>
    <d v="2017-07-03T00:00:00"/>
    <s v="Mariusz"/>
    <s v="Suszyn"/>
    <n v="34"/>
    <x v="26"/>
  </r>
  <r>
    <d v="2017-07-03T00:00:00"/>
    <s v="Mateusz"/>
    <s v="Mrowczynski"/>
    <n v="29"/>
    <x v="26"/>
  </r>
  <r>
    <d v="2017-07-03T00:00:00"/>
    <s v="Wieslaw"/>
    <s v="Kasza"/>
    <n v="37"/>
    <x v="26"/>
  </r>
  <r>
    <d v="2017-07-03T00:00:00"/>
    <s v="Jakub"/>
    <s v="Porydzaj"/>
    <n v="28"/>
    <x v="26"/>
  </r>
  <r>
    <d v="2017-07-04T00:00:00"/>
    <s v="Magdalena"/>
    <s v="Bach"/>
    <n v="8"/>
    <x v="26"/>
  </r>
  <r>
    <d v="2017-07-04T00:00:00"/>
    <s v="Patryk"/>
    <s v="Geszczynski"/>
    <n v="16"/>
    <x v="26"/>
  </r>
  <r>
    <d v="2017-07-04T00:00:00"/>
    <s v="Mariola"/>
    <s v="Las"/>
    <n v="7"/>
    <x v="26"/>
  </r>
  <r>
    <d v="2017-07-04T00:00:00"/>
    <s v="Zofia"/>
    <s v="Broszkow"/>
    <n v="29"/>
    <x v="26"/>
  </r>
  <r>
    <d v="2017-07-04T00:00:00"/>
    <s v="Marek"/>
    <s v="Witkowski"/>
    <n v="4"/>
    <x v="26"/>
  </r>
  <r>
    <d v="2017-07-04T00:00:00"/>
    <s v="Karol"/>
    <s v="Pawleczek"/>
    <n v="3"/>
    <x v="26"/>
  </r>
  <r>
    <d v="2017-07-05T00:00:00"/>
    <s v="Renata"/>
    <s v="Pawlak"/>
    <n v="35"/>
    <x v="27"/>
  </r>
  <r>
    <d v="2017-07-05T00:00:00"/>
    <s v="Natalia"/>
    <s v="Olkuska"/>
    <n v="24"/>
    <x v="27"/>
  </r>
  <r>
    <d v="2017-07-05T00:00:00"/>
    <s v="Piotr"/>
    <s v="Felus"/>
    <n v="39"/>
    <x v="27"/>
  </r>
  <r>
    <d v="2017-07-05T00:00:00"/>
    <s v="Marcel"/>
    <s v="Labuda"/>
    <n v="56"/>
    <x v="27"/>
  </r>
  <r>
    <d v="2017-07-05T00:00:00"/>
    <s v="Iwona"/>
    <s v="Wlodarska"/>
    <n v="54"/>
    <x v="27"/>
  </r>
  <r>
    <d v="2017-07-05T00:00:00"/>
    <s v="Andrzej"/>
    <s v="Moldawiec"/>
    <n v="12"/>
    <x v="27"/>
  </r>
  <r>
    <d v="2017-07-06T00:00:00"/>
    <s v="Milena"/>
    <s v="Karolewska"/>
    <n v="7"/>
    <x v="27"/>
  </r>
  <r>
    <d v="2017-07-06T00:00:00"/>
    <s v="Malgorzata"/>
    <s v="Winiarska"/>
    <n v="11"/>
    <x v="27"/>
  </r>
  <r>
    <d v="2017-07-06T00:00:00"/>
    <s v="Maciej"/>
    <s v="Tasz"/>
    <n v="7"/>
    <x v="27"/>
  </r>
  <r>
    <d v="2017-07-06T00:00:00"/>
    <s v="Karolina"/>
    <s v="Welc"/>
    <n v="28"/>
    <x v="27"/>
  </r>
  <r>
    <d v="2017-07-06T00:00:00"/>
    <s v="Patryk"/>
    <s v="Geszczynski"/>
    <n v="20"/>
    <x v="27"/>
  </r>
  <r>
    <d v="2017-07-06T00:00:00"/>
    <s v="Przemyslaw"/>
    <s v="Widawski"/>
    <n v="11"/>
    <x v="27"/>
  </r>
  <r>
    <d v="2017-07-07T00:00:00"/>
    <s v="Barbara"/>
    <s v="Kiel"/>
    <n v="55"/>
    <x v="27"/>
  </r>
  <r>
    <d v="2017-07-07T00:00:00"/>
    <s v="Mateusz"/>
    <s v="Mrowczynski"/>
    <n v="41"/>
    <x v="27"/>
  </r>
  <r>
    <d v="2017-07-07T00:00:00"/>
    <s v="Iwona"/>
    <s v="Anczyk"/>
    <n v="21"/>
    <x v="27"/>
  </r>
  <r>
    <d v="2017-07-07T00:00:00"/>
    <s v="Nadia"/>
    <s v="Jurczyk"/>
    <n v="33"/>
    <x v="27"/>
  </r>
  <r>
    <d v="2017-07-07T00:00:00"/>
    <s v="Filip"/>
    <s v="Strupiechowski"/>
    <n v="7"/>
    <x v="27"/>
  </r>
  <r>
    <d v="2017-07-07T00:00:00"/>
    <s v="Zuzanna"/>
    <s v="Kalisz"/>
    <n v="15"/>
    <x v="27"/>
  </r>
  <r>
    <d v="2017-07-10T00:00:00"/>
    <s v="Joanna"/>
    <s v="Pilc"/>
    <n v="39"/>
    <x v="27"/>
  </r>
  <r>
    <d v="2017-07-10T00:00:00"/>
    <s v="Eugenia"/>
    <s v="Pieta"/>
    <n v="20"/>
    <x v="27"/>
  </r>
  <r>
    <d v="2017-07-10T00:00:00"/>
    <s v="Jan"/>
    <s v="Pistek"/>
    <n v="11"/>
    <x v="27"/>
  </r>
  <r>
    <d v="2017-07-10T00:00:00"/>
    <s v="Marlena"/>
    <s v="Mazar"/>
    <n v="55"/>
    <x v="27"/>
  </r>
  <r>
    <d v="2017-07-10T00:00:00"/>
    <s v="Adam"/>
    <s v="Zurek"/>
    <n v="36"/>
    <x v="27"/>
  </r>
  <r>
    <d v="2017-07-10T00:00:00"/>
    <s v="Borys"/>
    <s v="Winiarski"/>
    <n v="19"/>
    <x v="27"/>
  </r>
  <r>
    <d v="2017-07-11T00:00:00"/>
    <s v="Kazimierz"/>
    <s v="Bartosik"/>
    <n v="15"/>
    <x v="27"/>
  </r>
  <r>
    <d v="2017-07-11T00:00:00"/>
    <s v="Ewelina"/>
    <s v="Gorecka"/>
    <n v="11"/>
    <x v="27"/>
  </r>
  <r>
    <d v="2017-07-11T00:00:00"/>
    <s v="Julia"/>
    <s v="Rutkiewicz"/>
    <n v="30"/>
    <x v="27"/>
  </r>
  <r>
    <d v="2017-07-11T00:00:00"/>
    <s v="Janusz"/>
    <s v="Wrobel"/>
    <n v="6"/>
    <x v="27"/>
  </r>
  <r>
    <d v="2017-07-11T00:00:00"/>
    <s v="Jan"/>
    <s v="Pistek"/>
    <n v="16"/>
    <x v="27"/>
  </r>
  <r>
    <d v="2017-07-11T00:00:00"/>
    <s v="Barbara"/>
    <s v="Kilarski"/>
    <n v="26"/>
    <x v="27"/>
  </r>
  <r>
    <d v="2017-07-12T00:00:00"/>
    <s v="Anna"/>
    <s v="Wnuk"/>
    <n v="48"/>
    <x v="28"/>
  </r>
  <r>
    <d v="2017-07-12T00:00:00"/>
    <s v="Maria"/>
    <s v="Gatek"/>
    <n v="24"/>
    <x v="28"/>
  </r>
  <r>
    <d v="2017-07-12T00:00:00"/>
    <s v="Anna"/>
    <s v="Zender"/>
    <n v="9"/>
    <x v="28"/>
  </r>
  <r>
    <d v="2017-07-12T00:00:00"/>
    <s v="Michal"/>
    <s v="Norek"/>
    <n v="55"/>
    <x v="28"/>
  </r>
  <r>
    <d v="2017-07-12T00:00:00"/>
    <s v="Krystyna"/>
    <s v="Szybki"/>
    <n v="51"/>
    <x v="28"/>
  </r>
  <r>
    <d v="2017-07-12T00:00:00"/>
    <s v="Marta"/>
    <s v="Opolska"/>
    <n v="10"/>
    <x v="28"/>
  </r>
  <r>
    <d v="2017-07-13T00:00:00"/>
    <s v="Jacek"/>
    <s v="Ciosinski"/>
    <n v="15"/>
    <x v="28"/>
  </r>
  <r>
    <d v="2017-07-13T00:00:00"/>
    <s v="Ewelina"/>
    <s v="Mirska"/>
    <n v="26"/>
    <x v="28"/>
  </r>
  <r>
    <d v="2017-07-13T00:00:00"/>
    <s v="Leslaw"/>
    <s v="Kupis"/>
    <n v="21"/>
    <x v="28"/>
  </r>
  <r>
    <d v="2017-07-13T00:00:00"/>
    <s v="Michalina"/>
    <s v="Klebba"/>
    <n v="4"/>
    <x v="28"/>
  </r>
  <r>
    <d v="2017-07-13T00:00:00"/>
    <s v="Adrian"/>
    <s v="Wozniak"/>
    <n v="43"/>
    <x v="28"/>
  </r>
  <r>
    <d v="2017-07-13T00:00:00"/>
    <s v="Joanna"/>
    <s v="Wrobel"/>
    <n v="7"/>
    <x v="28"/>
  </r>
  <r>
    <d v="2017-07-13T00:00:00"/>
    <s v="Maria"/>
    <s v="Gatek"/>
    <n v="44"/>
    <x v="28"/>
  </r>
  <r>
    <d v="2017-07-14T00:00:00"/>
    <s v="Mateusz"/>
    <s v="Hajdug"/>
    <n v="19"/>
    <x v="28"/>
  </r>
  <r>
    <d v="2017-07-14T00:00:00"/>
    <s v="Monika"/>
    <s v="Kos"/>
    <n v="29"/>
    <x v="28"/>
  </r>
  <r>
    <d v="2017-07-14T00:00:00"/>
    <s v="Anita"/>
    <s v="Tych"/>
    <n v="33"/>
    <x v="28"/>
  </r>
  <r>
    <d v="2017-07-14T00:00:00"/>
    <s v="Michal"/>
    <s v="Nowicki"/>
    <n v="2"/>
    <x v="28"/>
  </r>
  <r>
    <d v="2017-07-14T00:00:00"/>
    <s v="Joanna"/>
    <s v="Zygmunt"/>
    <n v="15"/>
    <x v="28"/>
  </r>
  <r>
    <d v="2017-07-14T00:00:00"/>
    <s v="Jerzy"/>
    <s v="Polanicki"/>
    <n v="30"/>
    <x v="28"/>
  </r>
  <r>
    <d v="2017-07-14T00:00:00"/>
    <s v="Jakub"/>
    <s v="Rembiewski"/>
    <n v="5"/>
    <x v="28"/>
  </r>
  <r>
    <d v="2017-07-17T00:00:00"/>
    <s v="Mateusz"/>
    <s v="Mrowczynski"/>
    <n v="14"/>
    <x v="28"/>
  </r>
  <r>
    <d v="2017-07-17T00:00:00"/>
    <s v="Maciej"/>
    <s v="Lutczyk"/>
    <n v="8"/>
    <x v="28"/>
  </r>
  <r>
    <d v="2017-07-17T00:00:00"/>
    <s v="Karol"/>
    <s v="Dziuk"/>
    <n v="44"/>
    <x v="28"/>
  </r>
  <r>
    <d v="2017-07-17T00:00:00"/>
    <s v="Iwona"/>
    <s v="Lato"/>
    <n v="50"/>
    <x v="28"/>
  </r>
  <r>
    <d v="2017-07-17T00:00:00"/>
    <s v="Jan"/>
    <s v="Sznuk"/>
    <n v="15"/>
    <x v="28"/>
  </r>
  <r>
    <d v="2017-07-17T00:00:00"/>
    <s v="Kacper"/>
    <s v="Trzebnicki"/>
    <n v="46"/>
    <x v="28"/>
  </r>
  <r>
    <d v="2017-07-17T00:00:00"/>
    <s v="Julia"/>
    <s v="Salanowska"/>
    <n v="5"/>
    <x v="28"/>
  </r>
  <r>
    <d v="2017-07-18T00:00:00"/>
    <s v="Diana"/>
    <s v="Michalska"/>
    <n v="27"/>
    <x v="28"/>
  </r>
  <r>
    <d v="2017-07-18T00:00:00"/>
    <s v="Katarzyna"/>
    <s v="Wip"/>
    <n v="25"/>
    <x v="28"/>
  </r>
  <r>
    <d v="2017-07-18T00:00:00"/>
    <s v="Maria"/>
    <s v="Orlicki"/>
    <n v="22"/>
    <x v="28"/>
  </r>
  <r>
    <d v="2017-07-18T00:00:00"/>
    <s v="Izabela"/>
    <s v="Skrzydlak"/>
    <n v="3"/>
    <x v="28"/>
  </r>
  <r>
    <d v="2017-07-18T00:00:00"/>
    <s v="Maksymilian"/>
    <s v="Piwko"/>
    <n v="28"/>
    <x v="28"/>
  </r>
  <r>
    <d v="2017-07-18T00:00:00"/>
    <s v="Maciej"/>
    <s v="Czyzynski"/>
    <n v="8"/>
    <x v="28"/>
  </r>
  <r>
    <d v="2017-07-18T00:00:00"/>
    <s v="Tomasz"/>
    <s v="Hajdi"/>
    <n v="8"/>
    <x v="28"/>
  </r>
  <r>
    <d v="2017-07-19T00:00:00"/>
    <s v="Lena"/>
    <s v="Mazurkiewicz"/>
    <n v="18"/>
    <x v="29"/>
  </r>
  <r>
    <d v="2017-07-19T00:00:00"/>
    <s v="Marcin"/>
    <s v="Kurasik"/>
    <n v="27"/>
    <x v="29"/>
  </r>
  <r>
    <d v="2017-07-19T00:00:00"/>
    <s v="Janusz"/>
    <s v="Baka"/>
    <n v="23"/>
    <x v="29"/>
  </r>
  <r>
    <d v="2017-07-19T00:00:00"/>
    <s v="Maja"/>
    <s v="Kulkowska"/>
    <n v="46"/>
    <x v="29"/>
  </r>
  <r>
    <d v="2017-07-19T00:00:00"/>
    <s v="Krzysztof"/>
    <s v="Madejski"/>
    <n v="16"/>
    <x v="29"/>
  </r>
  <r>
    <d v="2017-07-19T00:00:00"/>
    <s v="Jakub"/>
    <s v="Bracik"/>
    <n v="27"/>
    <x v="29"/>
  </r>
  <r>
    <d v="2017-07-19T00:00:00"/>
    <s v="Jan"/>
    <s v="Pawelec"/>
    <n v="12"/>
    <x v="29"/>
  </r>
  <r>
    <d v="2017-07-20T00:00:00"/>
    <s v="Krzysztof"/>
    <s v="Plecien"/>
    <n v="21"/>
    <x v="29"/>
  </r>
  <r>
    <d v="2017-07-20T00:00:00"/>
    <s v="Diana"/>
    <s v="Michalska"/>
    <n v="45"/>
    <x v="29"/>
  </r>
  <r>
    <d v="2017-07-20T00:00:00"/>
    <s v="Krzysztof"/>
    <s v="Madejski"/>
    <n v="22"/>
    <x v="29"/>
  </r>
  <r>
    <d v="2017-07-20T00:00:00"/>
    <s v="Daria"/>
    <s v="Mikos"/>
    <n v="40"/>
    <x v="29"/>
  </r>
  <r>
    <d v="2017-07-20T00:00:00"/>
    <s v="Janusz"/>
    <s v="Baka"/>
    <n v="10"/>
    <x v="29"/>
  </r>
  <r>
    <d v="2017-07-20T00:00:00"/>
    <s v="Michal"/>
    <s v="Nowicki"/>
    <n v="33"/>
    <x v="29"/>
  </r>
  <r>
    <d v="2017-07-20T00:00:00"/>
    <s v="Patrycja"/>
    <s v="Glowinska"/>
    <n v="15"/>
    <x v="29"/>
  </r>
  <r>
    <d v="2017-07-21T00:00:00"/>
    <s v="Inka"/>
    <s v="Sochacka"/>
    <n v="12"/>
    <x v="29"/>
  </r>
  <r>
    <d v="2017-07-21T00:00:00"/>
    <s v="Adam"/>
    <s v="Wata"/>
    <n v="32"/>
    <x v="29"/>
  </r>
  <r>
    <d v="2017-07-21T00:00:00"/>
    <s v="Monika"/>
    <s v="Nowaczkiewicz"/>
    <n v="10"/>
    <x v="29"/>
  </r>
  <r>
    <d v="2017-07-21T00:00:00"/>
    <s v="Adam"/>
    <s v="Wata"/>
    <n v="5"/>
    <x v="29"/>
  </r>
  <r>
    <d v="2017-07-21T00:00:00"/>
    <s v="Nikodem"/>
    <s v="Jakubowski"/>
    <n v="28"/>
    <x v="29"/>
  </r>
  <r>
    <d v="2017-07-21T00:00:00"/>
    <s v="Aleksander"/>
    <s v="Pasternak"/>
    <n v="11"/>
    <x v="29"/>
  </r>
  <r>
    <d v="2017-07-21T00:00:00"/>
    <s v="Roksana"/>
    <s v="Frankowska"/>
    <n v="11"/>
    <x v="29"/>
  </r>
  <r>
    <d v="2017-07-24T00:00:00"/>
    <s v="Jakub"/>
    <s v="Porydzaj"/>
    <n v="28"/>
    <x v="29"/>
  </r>
  <r>
    <d v="2017-07-24T00:00:00"/>
    <s v="Maksymilian"/>
    <s v="Piwko"/>
    <n v="13"/>
    <x v="29"/>
  </r>
  <r>
    <d v="2017-07-24T00:00:00"/>
    <s v="Katarzyna"/>
    <s v="Aniec"/>
    <n v="22"/>
    <x v="29"/>
  </r>
  <r>
    <d v="2017-07-24T00:00:00"/>
    <s v="Marek"/>
    <s v="Sulejski"/>
    <n v="19"/>
    <x v="29"/>
  </r>
  <r>
    <d v="2017-07-24T00:00:00"/>
    <s v="Jolanta"/>
    <s v="Bicz"/>
    <n v="46"/>
    <x v="29"/>
  </r>
  <r>
    <d v="2017-07-24T00:00:00"/>
    <s v="Igor"/>
    <s v="Ryngwelski"/>
    <n v="17"/>
    <x v="29"/>
  </r>
  <r>
    <d v="2017-07-24T00:00:00"/>
    <s v="Maria"/>
    <s v="Galas"/>
    <n v="27"/>
    <x v="29"/>
  </r>
  <r>
    <d v="2017-07-25T00:00:00"/>
    <s v="Dominika"/>
    <s v="Szwec"/>
    <n v="3"/>
    <x v="29"/>
  </r>
  <r>
    <d v="2017-07-25T00:00:00"/>
    <s v="Kacper"/>
    <s v="Niec"/>
    <n v="11"/>
    <x v="29"/>
  </r>
  <r>
    <d v="2017-07-25T00:00:00"/>
    <s v="Kinga"/>
    <s v="Kleszcz"/>
    <n v="17"/>
    <x v="29"/>
  </r>
  <r>
    <d v="2017-07-25T00:00:00"/>
    <s v="Witold"/>
    <s v="Sempa"/>
    <n v="16"/>
    <x v="29"/>
  </r>
  <r>
    <d v="2017-07-25T00:00:00"/>
    <s v="Jakub"/>
    <s v="Jedruszek"/>
    <n v="25"/>
    <x v="29"/>
  </r>
  <r>
    <d v="2017-07-25T00:00:00"/>
    <s v="Olgierd"/>
    <s v="Baranek"/>
    <n v="43"/>
    <x v="29"/>
  </r>
  <r>
    <d v="2017-07-25T00:00:00"/>
    <s v="Grzegorz"/>
    <s v="Domek"/>
    <n v="5"/>
    <x v="29"/>
  </r>
  <r>
    <d v="2017-07-26T00:00:00"/>
    <s v="Izabela"/>
    <s v="Skrzydlak"/>
    <n v="21"/>
    <x v="30"/>
  </r>
  <r>
    <d v="2017-07-26T00:00:00"/>
    <s v="Irena"/>
    <s v="Banasiewicz"/>
    <n v="48"/>
    <x v="30"/>
  </r>
  <r>
    <d v="2017-07-26T00:00:00"/>
    <s v="Mateusz"/>
    <s v="Hajdug"/>
    <n v="29"/>
    <x v="30"/>
  </r>
  <r>
    <d v="2017-07-26T00:00:00"/>
    <s v="Luiza"/>
    <s v="Makowska"/>
    <n v="23"/>
    <x v="30"/>
  </r>
  <r>
    <d v="2017-07-26T00:00:00"/>
    <s v="Dominika"/>
    <s v="Madejska"/>
    <n v="52"/>
    <x v="30"/>
  </r>
  <r>
    <d v="2017-07-26T00:00:00"/>
    <s v="Ewa"/>
    <s v="Tysz"/>
    <n v="6"/>
    <x v="30"/>
  </r>
  <r>
    <d v="2017-07-26T00:00:00"/>
    <s v="Kacper"/>
    <s v="Okla"/>
    <n v="29"/>
    <x v="30"/>
  </r>
  <r>
    <d v="2017-07-27T00:00:00"/>
    <s v="Radoslaw"/>
    <s v="Sowinska"/>
    <n v="26"/>
    <x v="30"/>
  </r>
  <r>
    <d v="2017-07-27T00:00:00"/>
    <s v="Monika"/>
    <s v="Srubka"/>
    <n v="13"/>
    <x v="30"/>
  </r>
  <r>
    <d v="2017-07-27T00:00:00"/>
    <s v="Ewa"/>
    <s v="Milion"/>
    <n v="28"/>
    <x v="30"/>
  </r>
  <r>
    <d v="2017-07-27T00:00:00"/>
    <s v="Kazimierz"/>
    <s v="Biedka"/>
    <n v="3"/>
    <x v="30"/>
  </r>
  <r>
    <d v="2017-07-27T00:00:00"/>
    <s v="Nikodem"/>
    <s v="Jama"/>
    <n v="42"/>
    <x v="30"/>
  </r>
  <r>
    <d v="2017-07-27T00:00:00"/>
    <s v="Justyna"/>
    <s v="Pozarzycka"/>
    <n v="15"/>
    <x v="30"/>
  </r>
  <r>
    <d v="2017-07-27T00:00:00"/>
    <s v="Magdalena"/>
    <s v="Nowak"/>
    <n v="3"/>
    <x v="30"/>
  </r>
  <r>
    <d v="2017-07-28T00:00:00"/>
    <s v="Katarzyna"/>
    <s v="Zmokly"/>
    <n v="17"/>
    <x v="30"/>
  </r>
  <r>
    <d v="2017-07-28T00:00:00"/>
    <s v="Borys"/>
    <s v="Winiarski"/>
    <n v="18"/>
    <x v="30"/>
  </r>
  <r>
    <d v="2017-07-28T00:00:00"/>
    <s v="Daria"/>
    <s v="Zagrobna"/>
    <n v="23"/>
    <x v="30"/>
  </r>
  <r>
    <d v="2017-07-28T00:00:00"/>
    <s v="Bruno"/>
    <s v="Tomczyk"/>
    <n v="34"/>
    <x v="30"/>
  </r>
  <r>
    <d v="2017-07-28T00:00:00"/>
    <s v="Dominika"/>
    <s v="Madejska"/>
    <n v="16"/>
    <x v="30"/>
  </r>
  <r>
    <d v="2017-07-28T00:00:00"/>
    <s v="Michalina"/>
    <s v="Klebba"/>
    <n v="29"/>
    <x v="30"/>
  </r>
  <r>
    <d v="2017-07-28T00:00:00"/>
    <s v="Bartosz"/>
    <s v="Tusinski"/>
    <n v="14"/>
    <x v="30"/>
  </r>
  <r>
    <d v="2017-07-31T00:00:00"/>
    <s v="Malgorzata"/>
    <s v="Karlowski"/>
    <n v="2"/>
    <x v="30"/>
  </r>
  <r>
    <d v="2017-07-31T00:00:00"/>
    <s v="Julia"/>
    <s v="Zaremba"/>
    <n v="55"/>
    <x v="30"/>
  </r>
  <r>
    <d v="2017-07-31T00:00:00"/>
    <s v="Marcin"/>
    <s v="Tabaka"/>
    <n v="20"/>
    <x v="30"/>
  </r>
  <r>
    <d v="2017-07-31T00:00:00"/>
    <s v="Katarzyna"/>
    <s v="Dzielna"/>
    <n v="40"/>
    <x v="30"/>
  </r>
  <r>
    <d v="2017-07-31T00:00:00"/>
    <s v="Piotr"/>
    <s v="Kaleta"/>
    <n v="13"/>
    <x v="30"/>
  </r>
  <r>
    <d v="2017-07-31T00:00:00"/>
    <s v="Jan"/>
    <s v="Gumowski"/>
    <n v="53"/>
    <x v="30"/>
  </r>
  <r>
    <d v="2017-07-31T00:00:00"/>
    <s v="Michal"/>
    <s v="Polaczek"/>
    <n v="51"/>
    <x v="30"/>
  </r>
  <r>
    <d v="2017-08-01T00:00:00"/>
    <s v="Marek"/>
    <s v="Janowski"/>
    <n v="17"/>
    <x v="30"/>
  </r>
  <r>
    <d v="2017-08-01T00:00:00"/>
    <s v="Jakub"/>
    <s v="Holmes"/>
    <n v="10"/>
    <x v="30"/>
  </r>
  <r>
    <d v="2017-08-01T00:00:00"/>
    <s v="Emilia"/>
    <s v="Szczepanska"/>
    <n v="24"/>
    <x v="30"/>
  </r>
  <r>
    <d v="2017-08-01T00:00:00"/>
    <s v="Jacek"/>
    <s v="Ciosinski"/>
    <n v="11"/>
    <x v="30"/>
  </r>
  <r>
    <d v="2017-08-01T00:00:00"/>
    <s v="Piotr"/>
    <s v="Mozart"/>
    <n v="18"/>
    <x v="30"/>
  </r>
  <r>
    <d v="2017-08-01T00:00:00"/>
    <s v="Henryk"/>
    <s v="Siminski"/>
    <n v="12"/>
    <x v="30"/>
  </r>
  <r>
    <d v="2017-08-01T00:00:00"/>
    <s v="Tomasz"/>
    <s v="Tutaj"/>
    <n v="8"/>
    <x v="30"/>
  </r>
  <r>
    <d v="2017-08-02T00:00:00"/>
    <s v="Jacek"/>
    <s v="Pieczatowski"/>
    <n v="36"/>
    <x v="31"/>
  </r>
  <r>
    <d v="2017-08-02T00:00:00"/>
    <s v="Patrycja"/>
    <s v="Augustowska"/>
    <n v="24"/>
    <x v="31"/>
  </r>
  <r>
    <d v="2017-08-02T00:00:00"/>
    <s v="Michalina"/>
    <s v="Klebba"/>
    <n v="13"/>
    <x v="31"/>
  </r>
  <r>
    <d v="2017-08-02T00:00:00"/>
    <s v="Wojciech"/>
    <s v="Goc"/>
    <n v="51"/>
    <x v="31"/>
  </r>
  <r>
    <d v="2017-08-02T00:00:00"/>
    <s v="Aleks"/>
    <s v="Wojcik"/>
    <n v="31"/>
    <x v="31"/>
  </r>
  <r>
    <d v="2017-08-02T00:00:00"/>
    <s v="Adam"/>
    <s v="Susel"/>
    <n v="17"/>
    <x v="31"/>
  </r>
  <r>
    <d v="2017-08-02T00:00:00"/>
    <s v="Tomasz"/>
    <s v="Zbik"/>
    <n v="6"/>
    <x v="31"/>
  </r>
  <r>
    <d v="2017-08-03T00:00:00"/>
    <s v="Zenon"/>
    <s v="Bartek"/>
    <n v="47"/>
    <x v="31"/>
  </r>
  <r>
    <d v="2017-08-03T00:00:00"/>
    <s v="Gabriela"/>
    <s v="Malinowska"/>
    <n v="52"/>
    <x v="31"/>
  </r>
  <r>
    <d v="2017-08-03T00:00:00"/>
    <s v="Tomasz"/>
    <s v="Hajdi"/>
    <n v="10"/>
    <x v="31"/>
  </r>
  <r>
    <d v="2017-08-03T00:00:00"/>
    <s v="Agnieszka"/>
    <s v="Bujak"/>
    <n v="3"/>
    <x v="31"/>
  </r>
  <r>
    <d v="2017-08-03T00:00:00"/>
    <s v="Renata"/>
    <s v="Kepa"/>
    <n v="10"/>
    <x v="31"/>
  </r>
  <r>
    <d v="2017-08-03T00:00:00"/>
    <s v="Lucja"/>
    <s v="Zych"/>
    <n v="15"/>
    <x v="31"/>
  </r>
  <r>
    <d v="2017-08-03T00:00:00"/>
    <s v="Malgorzata"/>
    <s v="Winiarska"/>
    <n v="26"/>
    <x v="31"/>
  </r>
  <r>
    <d v="2017-08-04T00:00:00"/>
    <s v="Jan"/>
    <s v="Zajac"/>
    <n v="41"/>
    <x v="31"/>
  </r>
  <r>
    <d v="2017-08-04T00:00:00"/>
    <s v="Zuzanna"/>
    <s v="Kalisz"/>
    <n v="20"/>
    <x v="31"/>
  </r>
  <r>
    <d v="2017-08-04T00:00:00"/>
    <s v="Maria"/>
    <s v="Kowalczyk"/>
    <n v="9"/>
    <x v="31"/>
  </r>
  <r>
    <d v="2017-08-04T00:00:00"/>
    <s v="Paulina"/>
    <s v="Baranowska"/>
    <n v="14"/>
    <x v="31"/>
  </r>
  <r>
    <d v="2017-08-04T00:00:00"/>
    <s v="Mariusz"/>
    <s v="Mrowiec"/>
    <n v="14"/>
    <x v="31"/>
  </r>
  <r>
    <d v="2017-08-04T00:00:00"/>
    <s v="Michal"/>
    <s v="Jan"/>
    <n v="16"/>
    <x v="31"/>
  </r>
  <r>
    <d v="2017-08-04T00:00:00"/>
    <s v="Szymon"/>
    <s v="Polak"/>
    <n v="54"/>
    <x v="31"/>
  </r>
  <r>
    <d v="2017-08-07T00:00:00"/>
    <s v="Alicja"/>
    <s v="Walentowicz"/>
    <n v="11"/>
    <x v="31"/>
  </r>
  <r>
    <d v="2017-08-07T00:00:00"/>
    <s v="Nadia"/>
    <s v="Jędrzejczak"/>
    <n v="6"/>
    <x v="31"/>
  </r>
  <r>
    <d v="2017-08-07T00:00:00"/>
    <s v="Jan"/>
    <s v="Pieterson"/>
    <n v="19"/>
    <x v="31"/>
  </r>
  <r>
    <d v="2017-08-07T00:00:00"/>
    <s v="Lukasz"/>
    <s v="Kot"/>
    <n v="13"/>
    <x v="31"/>
  </r>
  <r>
    <d v="2017-08-07T00:00:00"/>
    <s v="Andrzej"/>
    <s v="Nawwrot"/>
    <n v="35"/>
    <x v="31"/>
  </r>
  <r>
    <d v="2017-08-07T00:00:00"/>
    <s v="Jan"/>
    <s v="Gumowski"/>
    <n v="14"/>
    <x v="31"/>
  </r>
  <r>
    <d v="2017-08-07T00:00:00"/>
    <s v="Lena"/>
    <s v="Marzec"/>
    <n v="7"/>
    <x v="31"/>
  </r>
  <r>
    <d v="2017-08-08T00:00:00"/>
    <s v="Joanna"/>
    <s v="Janas"/>
    <n v="54"/>
    <x v="31"/>
  </r>
  <r>
    <d v="2017-08-08T00:00:00"/>
    <s v="Agnieszka"/>
    <s v="Polak"/>
    <n v="11"/>
    <x v="31"/>
  </r>
  <r>
    <d v="2017-08-08T00:00:00"/>
    <s v="Jan"/>
    <s v="Kildanowski"/>
    <n v="8"/>
    <x v="31"/>
  </r>
  <r>
    <d v="2017-08-08T00:00:00"/>
    <s v="Matylda"/>
    <s v="Kluziak"/>
    <n v="3"/>
    <x v="31"/>
  </r>
  <r>
    <d v="2017-08-08T00:00:00"/>
    <s v="Lukasz"/>
    <s v="Czarnecki"/>
    <n v="2"/>
    <x v="31"/>
  </r>
  <r>
    <d v="2017-08-08T00:00:00"/>
    <s v="Karol"/>
    <s v="Milek"/>
    <n v="25"/>
    <x v="31"/>
  </r>
  <r>
    <d v="2017-08-08T00:00:00"/>
    <s v="Matylda"/>
    <s v="Kluziak"/>
    <n v="44"/>
    <x v="31"/>
  </r>
  <r>
    <d v="2017-08-09T00:00:00"/>
    <s v="Marian"/>
    <s v="Bukalski"/>
    <n v="13"/>
    <x v="32"/>
  </r>
  <r>
    <d v="2017-08-09T00:00:00"/>
    <s v="Karol"/>
    <s v="Wichrowski"/>
    <n v="44"/>
    <x v="32"/>
  </r>
  <r>
    <d v="2017-08-09T00:00:00"/>
    <s v="Monika"/>
    <s v="Bialkowska"/>
    <n v="21"/>
    <x v="32"/>
  </r>
  <r>
    <d v="2017-08-09T00:00:00"/>
    <s v="Ewa"/>
    <s v="Czerwinska"/>
    <n v="4"/>
    <x v="32"/>
  </r>
  <r>
    <d v="2017-08-09T00:00:00"/>
    <s v="Wojciech"/>
    <s v="Czyzewski"/>
    <n v="6"/>
    <x v="32"/>
  </r>
  <r>
    <d v="2017-08-09T00:00:00"/>
    <s v="Karol"/>
    <s v="Felisiak"/>
    <n v="17"/>
    <x v="32"/>
  </r>
  <r>
    <d v="2017-08-09T00:00:00"/>
    <s v="Patryk"/>
    <s v="Geszczynski"/>
    <n v="12"/>
    <x v="32"/>
  </r>
  <r>
    <d v="2017-08-10T00:00:00"/>
    <s v="Joanna"/>
    <s v="Kopacki"/>
    <n v="21"/>
    <x v="32"/>
  </r>
  <r>
    <d v="2017-08-10T00:00:00"/>
    <s v="Amelia"/>
    <s v="Wilk"/>
    <n v="12"/>
    <x v="32"/>
  </r>
  <r>
    <d v="2017-08-10T00:00:00"/>
    <s v="Adrian"/>
    <s v="Yuksek"/>
    <n v="54"/>
    <x v="32"/>
  </r>
  <r>
    <d v="2017-08-10T00:00:00"/>
    <s v="Krzysztof"/>
    <s v="Sobieski"/>
    <n v="11"/>
    <x v="32"/>
  </r>
  <r>
    <d v="2017-08-10T00:00:00"/>
    <s v="Jakub"/>
    <s v="Radomski"/>
    <n v="47"/>
    <x v="32"/>
  </r>
  <r>
    <d v="2017-08-10T00:00:00"/>
    <s v="Hubert"/>
    <s v="Pieczatowski"/>
    <n v="55"/>
    <x v="32"/>
  </r>
  <r>
    <d v="2017-08-10T00:00:00"/>
    <s v="Patryk"/>
    <s v="Glac"/>
    <n v="24"/>
    <x v="32"/>
  </r>
  <r>
    <d v="2017-08-11T00:00:00"/>
    <s v="Balbina"/>
    <s v="Majewska"/>
    <n v="3"/>
    <x v="32"/>
  </r>
  <r>
    <d v="2017-08-11T00:00:00"/>
    <s v="Jakub"/>
    <s v="Bracik"/>
    <n v="15"/>
    <x v="32"/>
  </r>
  <r>
    <d v="2017-08-11T00:00:00"/>
    <s v="Marcin"/>
    <s v="Markowski"/>
    <n v="15"/>
    <x v="32"/>
  </r>
  <r>
    <d v="2017-08-11T00:00:00"/>
    <s v="Julia"/>
    <s v="Rutkiewicz"/>
    <n v="27"/>
    <x v="32"/>
  </r>
  <r>
    <d v="2017-08-11T00:00:00"/>
    <s v="Anna"/>
    <s v="Wnuk"/>
    <n v="31"/>
    <x v="32"/>
  </r>
  <r>
    <d v="2017-08-11T00:00:00"/>
    <s v="Krzysztof"/>
    <s v="Las"/>
    <n v="7"/>
    <x v="32"/>
  </r>
  <r>
    <d v="2017-08-11T00:00:00"/>
    <s v="Julian"/>
    <s v="Snopek"/>
    <n v="20"/>
    <x v="32"/>
  </r>
  <r>
    <d v="2017-08-11T00:00:00"/>
    <s v="Piotr"/>
    <s v="Walec"/>
    <n v="30"/>
    <x v="32"/>
  </r>
  <r>
    <d v="2017-08-14T00:00:00"/>
    <s v="Leon"/>
    <s v="Price"/>
    <n v="22"/>
    <x v="32"/>
  </r>
  <r>
    <d v="2017-08-14T00:00:00"/>
    <s v="Daria"/>
    <s v="Witkowska"/>
    <n v="44"/>
    <x v="32"/>
  </r>
  <r>
    <d v="2017-08-14T00:00:00"/>
    <s v="Barbara"/>
    <s v="Bury"/>
    <n v="5"/>
    <x v="32"/>
  </r>
  <r>
    <d v="2017-08-14T00:00:00"/>
    <s v="Zuzanna"/>
    <s v="Kalisz"/>
    <n v="3"/>
    <x v="32"/>
  </r>
  <r>
    <d v="2017-08-14T00:00:00"/>
    <s v="Wojciech"/>
    <s v="Maja"/>
    <n v="6"/>
    <x v="32"/>
  </r>
  <r>
    <d v="2017-08-14T00:00:00"/>
    <s v="Maciej"/>
    <s v="Laskowski"/>
    <n v="12"/>
    <x v="32"/>
  </r>
  <r>
    <d v="2017-08-14T00:00:00"/>
    <s v="Jacek"/>
    <s v="Ciosinski"/>
    <n v="5"/>
    <x v="32"/>
  </r>
  <r>
    <d v="2017-08-14T00:00:00"/>
    <s v="Mariusz"/>
    <s v="Kornik"/>
    <n v="6"/>
    <x v="32"/>
  </r>
  <r>
    <d v="2017-08-15T00:00:00"/>
    <s v="Maciej"/>
    <s v="Machalski"/>
    <n v="29"/>
    <x v="32"/>
  </r>
  <r>
    <d v="2017-08-15T00:00:00"/>
    <s v="Anna"/>
    <s v="Tomaszewska"/>
    <n v="46"/>
    <x v="32"/>
  </r>
  <r>
    <d v="2017-08-15T00:00:00"/>
    <s v="Zofia"/>
    <s v="Barak"/>
    <n v="20"/>
    <x v="32"/>
  </r>
  <r>
    <d v="2017-08-15T00:00:00"/>
    <s v="Marek"/>
    <s v="Chorzowski"/>
    <n v="28"/>
    <x v="32"/>
  </r>
  <r>
    <d v="2017-08-15T00:00:00"/>
    <s v="Urszula"/>
    <s v="Pawlak"/>
    <n v="5"/>
    <x v="32"/>
  </r>
  <r>
    <d v="2017-08-15T00:00:00"/>
    <s v="Ewa"/>
    <s v="Zak"/>
    <n v="12"/>
    <x v="32"/>
  </r>
  <r>
    <d v="2017-08-15T00:00:00"/>
    <s v="Patrycja"/>
    <s v="Dzban"/>
    <n v="29"/>
    <x v="32"/>
  </r>
  <r>
    <d v="2017-08-15T00:00:00"/>
    <s v="Marta"/>
    <s v="Wloczkow"/>
    <n v="14"/>
    <x v="32"/>
  </r>
  <r>
    <d v="2017-08-16T00:00:00"/>
    <s v="Iwona"/>
    <s v="Anczyk"/>
    <n v="29"/>
    <x v="33"/>
  </r>
  <r>
    <d v="2017-08-16T00:00:00"/>
    <s v="Grzegorz"/>
    <s v="Domek"/>
    <n v="15"/>
    <x v="33"/>
  </r>
  <r>
    <d v="2017-08-16T00:00:00"/>
    <s v="Piotr"/>
    <s v="Adamski"/>
    <n v="35"/>
    <x v="33"/>
  </r>
  <r>
    <d v="2017-08-16T00:00:00"/>
    <s v="Aleks"/>
    <s v="Wojcik"/>
    <n v="28"/>
    <x v="33"/>
  </r>
  <r>
    <d v="2017-08-16T00:00:00"/>
    <s v="Zenon"/>
    <s v="Bartek"/>
    <n v="3"/>
    <x v="33"/>
  </r>
  <r>
    <d v="2017-08-16T00:00:00"/>
    <s v="Lena"/>
    <s v="Miszkin"/>
    <n v="49"/>
    <x v="33"/>
  </r>
  <r>
    <d v="2017-08-16T00:00:00"/>
    <s v="Diana"/>
    <s v="Michalska"/>
    <n v="21"/>
    <x v="33"/>
  </r>
  <r>
    <d v="2017-08-16T00:00:00"/>
    <s v="Jan"/>
    <s v="Adamowicz"/>
    <n v="43"/>
    <x v="33"/>
  </r>
  <r>
    <d v="2017-08-17T00:00:00"/>
    <s v="Wojciech"/>
    <s v="Maja"/>
    <n v="6"/>
    <x v="33"/>
  </r>
  <r>
    <d v="2017-08-17T00:00:00"/>
    <s v="Piotr"/>
    <s v="Felus"/>
    <n v="10"/>
    <x v="33"/>
  </r>
  <r>
    <d v="2017-08-17T00:00:00"/>
    <s v="Mateusz"/>
    <s v="Kowalczyk"/>
    <n v="7"/>
    <x v="33"/>
  </r>
  <r>
    <d v="2017-08-17T00:00:00"/>
    <s v="Alicja"/>
    <s v="Chmiel"/>
    <n v="7"/>
    <x v="33"/>
  </r>
  <r>
    <d v="2017-08-17T00:00:00"/>
    <s v="Natalia"/>
    <s v="Wolny"/>
    <n v="22"/>
    <x v="33"/>
  </r>
  <r>
    <d v="2017-08-17T00:00:00"/>
    <s v="Zofia"/>
    <s v="Broszkow"/>
    <n v="36"/>
    <x v="33"/>
  </r>
  <r>
    <d v="2017-08-17T00:00:00"/>
    <s v="Pawel"/>
    <s v="Nowakowski"/>
    <n v="13"/>
    <x v="33"/>
  </r>
  <r>
    <d v="2017-08-17T00:00:00"/>
    <s v="Jacek"/>
    <s v="Ciosinski"/>
    <n v="14"/>
    <x v="33"/>
  </r>
  <r>
    <d v="2017-08-18T00:00:00"/>
    <s v="Krzysztof"/>
    <s v="Wloch"/>
    <n v="6"/>
    <x v="33"/>
  </r>
  <r>
    <d v="2017-08-18T00:00:00"/>
    <s v="Karolina"/>
    <s v="Karpacka"/>
    <n v="11"/>
    <x v="33"/>
  </r>
  <r>
    <d v="2017-08-18T00:00:00"/>
    <s v="Mariusz"/>
    <s v="Kornik"/>
    <n v="22"/>
    <x v="33"/>
  </r>
  <r>
    <d v="2017-08-18T00:00:00"/>
    <s v="Marek"/>
    <s v="Bednarski"/>
    <n v="56"/>
    <x v="33"/>
  </r>
  <r>
    <d v="2017-08-18T00:00:00"/>
    <s v="Anna"/>
    <s v="Zaczyk"/>
    <n v="55"/>
    <x v="33"/>
  </r>
  <r>
    <d v="2017-08-18T00:00:00"/>
    <s v="Kinga"/>
    <s v="Kleszcz"/>
    <n v="45"/>
    <x v="33"/>
  </r>
  <r>
    <d v="2017-08-18T00:00:00"/>
    <s v="Adrian"/>
    <s v="Yuksek"/>
    <n v="12"/>
    <x v="33"/>
  </r>
  <r>
    <d v="2017-08-18T00:00:00"/>
    <s v="Karol"/>
    <s v="Felisiak"/>
    <n v="20"/>
    <x v="33"/>
  </r>
  <r>
    <d v="2017-08-21T00:00:00"/>
    <s v="Ignacy"/>
    <s v="Sarnowski"/>
    <n v="8"/>
    <x v="33"/>
  </r>
  <r>
    <d v="2017-08-21T00:00:00"/>
    <s v="Piotr"/>
    <s v="Dzierzak"/>
    <n v="33"/>
    <x v="33"/>
  </r>
  <r>
    <d v="2017-08-21T00:00:00"/>
    <s v="Marta"/>
    <s v="Wloczkow"/>
    <n v="9"/>
    <x v="33"/>
  </r>
  <r>
    <d v="2017-08-21T00:00:00"/>
    <s v="Protazy"/>
    <s v="Warszawski"/>
    <n v="52"/>
    <x v="33"/>
  </r>
  <r>
    <d v="2017-08-21T00:00:00"/>
    <s v="Monika"/>
    <s v="Kos"/>
    <n v="48"/>
    <x v="33"/>
  </r>
  <r>
    <d v="2017-08-21T00:00:00"/>
    <s v="Gabriela"/>
    <s v="Oleszkiewicz"/>
    <n v="40"/>
    <x v="33"/>
  </r>
  <r>
    <d v="2017-08-21T00:00:00"/>
    <s v="Karol"/>
    <s v="Hubicki"/>
    <n v="52"/>
    <x v="33"/>
  </r>
  <r>
    <d v="2017-08-21T00:00:00"/>
    <s v="Paulina"/>
    <s v="Baranowska"/>
    <n v="34"/>
    <x v="33"/>
  </r>
  <r>
    <d v="2017-08-22T00:00:00"/>
    <s v="Kazimierz"/>
    <s v="Biedka"/>
    <n v="2"/>
    <x v="33"/>
  </r>
  <r>
    <d v="2017-08-22T00:00:00"/>
    <s v="Julia"/>
    <s v="Rutkiewicz"/>
    <n v="9"/>
    <x v="33"/>
  </r>
  <r>
    <d v="2017-08-22T00:00:00"/>
    <s v="Mateusz"/>
    <s v="Krawczyk"/>
    <n v="24"/>
    <x v="33"/>
  </r>
  <r>
    <d v="2017-08-22T00:00:00"/>
    <s v="Anastazja"/>
    <s v="Borowska"/>
    <n v="28"/>
    <x v="33"/>
  </r>
  <r>
    <d v="2017-08-22T00:00:00"/>
    <s v="Sofia"/>
    <s v="Felisiak"/>
    <n v="16"/>
    <x v="33"/>
  </r>
  <r>
    <d v="2017-08-22T00:00:00"/>
    <s v="Emilia"/>
    <s v="Szczepanska"/>
    <n v="19"/>
    <x v="33"/>
  </r>
  <r>
    <d v="2017-08-22T00:00:00"/>
    <s v="Maciej"/>
    <s v="Laskowski"/>
    <n v="26"/>
    <x v="33"/>
  </r>
  <r>
    <d v="2017-08-22T00:00:00"/>
    <s v="Maciej"/>
    <s v="Machol"/>
    <n v="29"/>
    <x v="33"/>
  </r>
  <r>
    <d v="2017-08-23T00:00:00"/>
    <s v="Joanna"/>
    <s v="Traugut"/>
    <n v="51"/>
    <x v="34"/>
  </r>
  <r>
    <d v="2017-08-23T00:00:00"/>
    <s v="Wieslawa"/>
    <s v="Koniec"/>
    <n v="25"/>
    <x v="34"/>
  </r>
  <r>
    <d v="2017-08-23T00:00:00"/>
    <s v="Alicja"/>
    <s v="Wymyslowska"/>
    <n v="33"/>
    <x v="34"/>
  </r>
  <r>
    <d v="2017-08-23T00:00:00"/>
    <s v="Henryk"/>
    <s v="Polarek"/>
    <n v="18"/>
    <x v="34"/>
  </r>
  <r>
    <d v="2017-08-23T00:00:00"/>
    <s v="Paulina"/>
    <s v="Baranowska"/>
    <n v="19"/>
    <x v="34"/>
  </r>
  <r>
    <d v="2017-08-23T00:00:00"/>
    <s v="Maciej"/>
    <s v="Machalski"/>
    <n v="42"/>
    <x v="34"/>
  </r>
  <r>
    <d v="2017-08-23T00:00:00"/>
    <s v="Maciej"/>
    <s v="Machol"/>
    <n v="15"/>
    <x v="34"/>
  </r>
  <r>
    <d v="2017-08-23T00:00:00"/>
    <s v="Lidia"/>
    <s v="Tarnowska"/>
    <n v="15"/>
    <x v="34"/>
  </r>
  <r>
    <d v="2017-08-24T00:00:00"/>
    <s v="Dorota"/>
    <s v="Adamus"/>
    <n v="3"/>
    <x v="34"/>
  </r>
  <r>
    <d v="2017-08-24T00:00:00"/>
    <s v="Alina"/>
    <s v="Warta"/>
    <n v="13"/>
    <x v="34"/>
  </r>
  <r>
    <d v="2017-08-24T00:00:00"/>
    <s v="Kacper"/>
    <s v="Nikolajew"/>
    <n v="27"/>
    <x v="34"/>
  </r>
  <r>
    <d v="2017-08-24T00:00:00"/>
    <s v="Jacek"/>
    <s v="Bigaj"/>
    <n v="18"/>
    <x v="34"/>
  </r>
  <r>
    <d v="2017-08-24T00:00:00"/>
    <s v="Zofia"/>
    <s v="Adamiak"/>
    <n v="42"/>
    <x v="34"/>
  </r>
  <r>
    <d v="2017-08-24T00:00:00"/>
    <s v="Kamila"/>
    <s v="Wolan"/>
    <n v="9"/>
    <x v="34"/>
  </r>
  <r>
    <d v="2017-08-24T00:00:00"/>
    <s v="Jan"/>
    <s v="Gumowski"/>
    <n v="22"/>
    <x v="34"/>
  </r>
  <r>
    <d v="2017-08-24T00:00:00"/>
    <s v="Julia"/>
    <s v="Saska"/>
    <n v="47"/>
    <x v="34"/>
  </r>
  <r>
    <d v="2017-08-25T00:00:00"/>
    <s v="Gabriela"/>
    <s v="Oleszkiewicz"/>
    <n v="55"/>
    <x v="34"/>
  </r>
  <r>
    <d v="2017-08-25T00:00:00"/>
    <s v="Marta"/>
    <s v="Robak"/>
    <n v="9"/>
    <x v="34"/>
  </r>
  <r>
    <d v="2017-08-25T00:00:00"/>
    <s v="Maja"/>
    <s v="Kulkowska"/>
    <n v="27"/>
    <x v="34"/>
  </r>
  <r>
    <d v="2017-08-25T00:00:00"/>
    <s v="Ewelina"/>
    <s v="Bialkowska"/>
    <n v="11"/>
    <x v="34"/>
  </r>
  <r>
    <d v="2017-08-25T00:00:00"/>
    <s v="Jakub"/>
    <s v="Bracik"/>
    <n v="42"/>
    <x v="34"/>
  </r>
  <r>
    <d v="2017-08-25T00:00:00"/>
    <s v="Dominika"/>
    <s v="Duszynska"/>
    <n v="8"/>
    <x v="34"/>
  </r>
  <r>
    <d v="2017-08-25T00:00:00"/>
    <s v="Adela"/>
    <s v="Waruszewska"/>
    <n v="39"/>
    <x v="34"/>
  </r>
  <r>
    <d v="2017-08-25T00:00:00"/>
    <s v="Karolina"/>
    <s v="Mikos"/>
    <n v="26"/>
    <x v="34"/>
  </r>
  <r>
    <d v="2017-08-28T00:00:00"/>
    <s v="Daria"/>
    <s v="Zagrobna"/>
    <n v="28"/>
    <x v="34"/>
  </r>
  <r>
    <d v="2017-08-28T00:00:00"/>
    <s v="Jaroslaw"/>
    <s v="Kopytko"/>
    <n v="40"/>
    <x v="34"/>
  </r>
  <r>
    <d v="2017-08-28T00:00:00"/>
    <s v="Igor"/>
    <s v="Rybinski"/>
    <n v="17"/>
    <x v="34"/>
  </r>
  <r>
    <d v="2017-08-28T00:00:00"/>
    <s v="Zbigniew"/>
    <s v="Maciag"/>
    <n v="2"/>
    <x v="34"/>
  </r>
  <r>
    <d v="2017-08-28T00:00:00"/>
    <s v="Lena"/>
    <s v="Marzec"/>
    <n v="22"/>
    <x v="34"/>
  </r>
  <r>
    <d v="2017-08-28T00:00:00"/>
    <s v="Jakub"/>
    <s v="Bracik"/>
    <n v="18"/>
    <x v="34"/>
  </r>
  <r>
    <d v="2017-08-28T00:00:00"/>
    <s v="Jan"/>
    <s v="Jarek"/>
    <n v="35"/>
    <x v="34"/>
  </r>
  <r>
    <d v="2017-08-28T00:00:00"/>
    <s v="Malgorzata"/>
    <s v="Winiarska"/>
    <n v="7"/>
    <x v="34"/>
  </r>
  <r>
    <d v="2017-08-28T00:00:00"/>
    <s v="Kamila"/>
    <s v="Janas"/>
    <n v="12"/>
    <x v="34"/>
  </r>
  <r>
    <d v="2017-08-28T00:00:00"/>
    <s v="Mariola"/>
    <s v="Mleczko"/>
    <n v="32"/>
    <x v="34"/>
  </r>
  <r>
    <d v="2017-08-29T00:00:00"/>
    <s v="Zuzanna"/>
    <s v="Kalisz"/>
    <n v="22"/>
    <x v="34"/>
  </r>
  <r>
    <d v="2017-08-29T00:00:00"/>
    <s v="Mateusz"/>
    <s v="Koszlaga"/>
    <n v="25"/>
    <x v="34"/>
  </r>
  <r>
    <d v="2017-08-29T00:00:00"/>
    <s v="Amelia"/>
    <s v="Wicher"/>
    <n v="25"/>
    <x v="34"/>
  </r>
  <r>
    <d v="2017-08-29T00:00:00"/>
    <s v="Wiktor"/>
    <s v="Berezniewicz"/>
    <n v="6"/>
    <x v="34"/>
  </r>
  <r>
    <d v="2017-08-29T00:00:00"/>
    <s v="Antoni"/>
    <s v="Sobieski"/>
    <n v="50"/>
    <x v="34"/>
  </r>
  <r>
    <d v="2017-08-29T00:00:00"/>
    <s v="Hubert"/>
    <s v="Smyk"/>
    <n v="16"/>
    <x v="34"/>
  </r>
  <r>
    <d v="2017-08-29T00:00:00"/>
    <s v="Marcin"/>
    <s v="Tabaka"/>
    <n v="23"/>
    <x v="34"/>
  </r>
  <r>
    <d v="2017-08-29T00:00:00"/>
    <s v="Jan"/>
    <s v="Madawik"/>
    <n v="7"/>
    <x v="34"/>
  </r>
  <r>
    <d v="2017-08-29T00:00:00"/>
    <s v="Kazimierz"/>
    <s v="Bartosik"/>
    <n v="6"/>
    <x v="34"/>
  </r>
  <r>
    <d v="2017-08-29T00:00:00"/>
    <s v="Pawel"/>
    <s v="Nowakowski"/>
    <n v="44"/>
    <x v="34"/>
  </r>
  <r>
    <d v="2017-08-30T00:00:00"/>
    <s v="Barbara"/>
    <s v="Kiel"/>
    <n v="33"/>
    <x v="35"/>
  </r>
  <r>
    <d v="2017-08-30T00:00:00"/>
    <s v="Andrzej"/>
    <s v="Nawwrot"/>
    <n v="26"/>
    <x v="35"/>
  </r>
  <r>
    <d v="2017-08-30T00:00:00"/>
    <s v="Jakub"/>
    <s v="Radomski"/>
    <n v="18"/>
    <x v="35"/>
  </r>
  <r>
    <d v="2017-08-30T00:00:00"/>
    <s v="Balbina"/>
    <s v="Madej"/>
    <n v="5"/>
    <x v="35"/>
  </r>
  <r>
    <d v="2017-08-30T00:00:00"/>
    <s v="Krzysztof"/>
    <s v="Plecien"/>
    <n v="4"/>
    <x v="35"/>
  </r>
  <r>
    <d v="2017-08-30T00:00:00"/>
    <s v="Julia"/>
    <s v="Kielecka"/>
    <n v="4"/>
    <x v="35"/>
  </r>
  <r>
    <d v="2017-08-30T00:00:00"/>
    <s v="Jakub"/>
    <s v="Holmes"/>
    <n v="43"/>
    <x v="35"/>
  </r>
  <r>
    <d v="2017-08-30T00:00:00"/>
    <s v="Hanna"/>
    <s v="Stankiewicz"/>
    <n v="48"/>
    <x v="35"/>
  </r>
  <r>
    <d v="2017-08-30T00:00:00"/>
    <s v="Luiza"/>
    <s v="Makowska"/>
    <n v="12"/>
    <x v="35"/>
  </r>
  <r>
    <d v="2017-08-30T00:00:00"/>
    <s v="Ewaryst"/>
    <s v="Zdunek"/>
    <n v="21"/>
    <x v="35"/>
  </r>
  <r>
    <d v="2017-08-31T00:00:00"/>
    <s v="Jakub"/>
    <s v="Przytula"/>
    <n v="21"/>
    <x v="35"/>
  </r>
  <r>
    <d v="2017-08-31T00:00:00"/>
    <s v="Piotr"/>
    <s v="Kaleta"/>
    <n v="2"/>
    <x v="35"/>
  </r>
  <r>
    <d v="2017-08-31T00:00:00"/>
    <s v="Jan"/>
    <s v="Pietraszczyk"/>
    <n v="14"/>
    <x v="35"/>
  </r>
  <r>
    <d v="2017-08-31T00:00:00"/>
    <s v="Bartosz"/>
    <s v="Tusinski"/>
    <n v="26"/>
    <x v="35"/>
  </r>
  <r>
    <d v="2017-08-31T00:00:00"/>
    <s v="Mateusz"/>
    <s v="Filipowicz"/>
    <n v="44"/>
    <x v="35"/>
  </r>
  <r>
    <d v="2017-08-31T00:00:00"/>
    <s v="Dominika"/>
    <s v="Szwec"/>
    <n v="31"/>
    <x v="35"/>
  </r>
  <r>
    <d v="2017-08-31T00:00:00"/>
    <s v="Adrian"/>
    <s v="Yuksek"/>
    <n v="29"/>
    <x v="35"/>
  </r>
  <r>
    <d v="2017-08-31T00:00:00"/>
    <s v="Jakub"/>
    <s v="Holmes"/>
    <n v="13"/>
    <x v="35"/>
  </r>
  <r>
    <d v="2017-08-31T00:00:00"/>
    <s v="Olga"/>
    <s v="Kilecka"/>
    <n v="28"/>
    <x v="35"/>
  </r>
  <r>
    <d v="2017-08-31T00:00:00"/>
    <s v="Alicja"/>
    <s v="Chmiel"/>
    <n v="23"/>
    <x v="35"/>
  </r>
  <r>
    <d v="2017-09-01T00:00:00"/>
    <s v="Patrycja"/>
    <s v="Glowinska"/>
    <n v="5"/>
    <x v="35"/>
  </r>
  <r>
    <d v="2017-09-01T00:00:00"/>
    <s v="Patryk"/>
    <s v="Gibas"/>
    <n v="16"/>
    <x v="35"/>
  </r>
  <r>
    <d v="2017-09-01T00:00:00"/>
    <s v="Anastazja"/>
    <s v="Borowska"/>
    <n v="21"/>
    <x v="35"/>
  </r>
  <r>
    <d v="2017-09-01T00:00:00"/>
    <s v="Olga"/>
    <s v="Kilecka"/>
    <n v="46"/>
    <x v="35"/>
  </r>
  <r>
    <d v="2017-09-01T00:00:00"/>
    <s v="Mikolaj"/>
    <s v="Beniuszys"/>
    <n v="39"/>
    <x v="35"/>
  </r>
  <r>
    <d v="2017-09-01T00:00:00"/>
    <s v="Malgorzata"/>
    <s v="Malec"/>
    <n v="18"/>
    <x v="35"/>
  </r>
  <r>
    <d v="2017-09-01T00:00:00"/>
    <s v="Waldemar"/>
    <s v="Koronski"/>
    <n v="47"/>
    <x v="35"/>
  </r>
  <r>
    <d v="2017-09-01T00:00:00"/>
    <s v="Wojciech"/>
    <s v="Katowicki"/>
    <n v="23"/>
    <x v="35"/>
  </r>
  <r>
    <d v="2017-09-01T00:00:00"/>
    <s v="Patryk"/>
    <s v="Glac"/>
    <n v="27"/>
    <x v="35"/>
  </r>
  <r>
    <d v="2017-09-01T00:00:00"/>
    <s v="Borys"/>
    <s v="Biedal"/>
    <n v="25"/>
    <x v="35"/>
  </r>
  <r>
    <d v="2017-09-04T00:00:00"/>
    <s v="Marcel"/>
    <s v="Lademann"/>
    <n v="23"/>
    <x v="35"/>
  </r>
  <r>
    <d v="2017-09-04T00:00:00"/>
    <s v="Ignacy"/>
    <s v="Sarnowski"/>
    <n v="25"/>
    <x v="35"/>
  </r>
  <r>
    <d v="2017-09-04T00:00:00"/>
    <s v="Jakub"/>
    <s v="Przytula"/>
    <n v="16"/>
    <x v="35"/>
  </r>
  <r>
    <d v="2017-09-04T00:00:00"/>
    <s v="Adam"/>
    <s v="Borkowski"/>
    <n v="29"/>
    <x v="35"/>
  </r>
  <r>
    <d v="2017-09-04T00:00:00"/>
    <s v="Martyna"/>
    <s v="Marmelowska"/>
    <n v="23"/>
    <x v="35"/>
  </r>
  <r>
    <d v="2017-09-04T00:00:00"/>
    <s v="Marek"/>
    <s v="Bednarski"/>
    <n v="25"/>
    <x v="35"/>
  </r>
  <r>
    <d v="2017-09-04T00:00:00"/>
    <s v="Janusz"/>
    <s v="Wrobel"/>
    <n v="14"/>
    <x v="35"/>
  </r>
  <r>
    <d v="2017-09-04T00:00:00"/>
    <s v="Jaroslaw"/>
    <s v="Kopiec"/>
    <n v="20"/>
    <x v="35"/>
  </r>
  <r>
    <d v="2017-09-04T00:00:00"/>
    <s v="Izabela"/>
    <s v="Skrzydlak"/>
    <n v="12"/>
    <x v="35"/>
  </r>
  <r>
    <d v="2017-09-04T00:00:00"/>
    <s v="Mateusz"/>
    <s v="Hajdug"/>
    <n v="2"/>
    <x v="35"/>
  </r>
  <r>
    <d v="2017-09-05T00:00:00"/>
    <s v="Julia"/>
    <s v="Riegel"/>
    <n v="53"/>
    <x v="35"/>
  </r>
  <r>
    <d v="2017-09-05T00:00:00"/>
    <s v="Kamila"/>
    <s v="Kot"/>
    <n v="20"/>
    <x v="35"/>
  </r>
  <r>
    <d v="2017-09-05T00:00:00"/>
    <s v="Eugenia"/>
    <s v="Pieta"/>
    <n v="4"/>
    <x v="35"/>
  </r>
  <r>
    <d v="2017-09-05T00:00:00"/>
    <s v="Joanna"/>
    <s v="Zygmunt"/>
    <n v="5"/>
    <x v="35"/>
  </r>
  <r>
    <d v="2017-09-05T00:00:00"/>
    <s v="Julia"/>
    <s v="Kielecka"/>
    <n v="36"/>
    <x v="35"/>
  </r>
  <r>
    <d v="2017-09-05T00:00:00"/>
    <s v="Nikodem"/>
    <s v="Jakubowski"/>
    <n v="23"/>
    <x v="35"/>
  </r>
  <r>
    <d v="2017-09-05T00:00:00"/>
    <s v="Stanislaw"/>
    <s v="Derek"/>
    <n v="6"/>
    <x v="35"/>
  </r>
  <r>
    <d v="2017-09-05T00:00:00"/>
    <s v="Dominika"/>
    <s v="Duszynska"/>
    <n v="43"/>
    <x v="35"/>
  </r>
  <r>
    <d v="2017-09-05T00:00:00"/>
    <s v="Teodor"/>
    <s v="Olszewski"/>
    <n v="11"/>
    <x v="35"/>
  </r>
  <r>
    <d v="2017-09-05T00:00:00"/>
    <s v="Adrian"/>
    <s v="Zawisza"/>
    <n v="9"/>
    <x v="35"/>
  </r>
  <r>
    <d v="2017-09-06T00:00:00"/>
    <s v="Krzysztof"/>
    <s v="Konieckiewicz"/>
    <n v="15"/>
    <x v="36"/>
  </r>
  <r>
    <d v="2017-09-06T00:00:00"/>
    <s v="Irena"/>
    <s v="Banasiewicz"/>
    <n v="2"/>
    <x v="36"/>
  </r>
  <r>
    <d v="2017-09-06T00:00:00"/>
    <s v="Zofia"/>
    <s v="Broszkow"/>
    <n v="10"/>
    <x v="36"/>
  </r>
  <r>
    <d v="2017-09-06T00:00:00"/>
    <s v="Janina"/>
    <s v="Kaczynska"/>
    <n v="55"/>
    <x v="36"/>
  </r>
  <r>
    <d v="2017-09-06T00:00:00"/>
    <s v="Kornelia"/>
    <s v="Nowakowska"/>
    <n v="45"/>
    <x v="36"/>
  </r>
  <r>
    <d v="2017-09-06T00:00:00"/>
    <s v="Karolina"/>
    <s v="Nowak"/>
    <n v="5"/>
    <x v="36"/>
  </r>
  <r>
    <d v="2017-09-06T00:00:00"/>
    <s v="Joanna"/>
    <s v="Ottka"/>
    <n v="22"/>
    <x v="36"/>
  </r>
  <r>
    <d v="2017-09-06T00:00:00"/>
    <s v="Krzysztof"/>
    <s v="Madejski"/>
    <n v="20"/>
    <x v="36"/>
  </r>
  <r>
    <d v="2017-09-06T00:00:00"/>
    <s v="Roman"/>
    <s v="Grodecki"/>
    <n v="27"/>
    <x v="36"/>
  </r>
  <r>
    <d v="2017-09-06T00:00:00"/>
    <s v="Stanislaw"/>
    <s v="Derek"/>
    <n v="6"/>
    <x v="36"/>
  </r>
  <r>
    <d v="2017-09-07T00:00:00"/>
    <s v="Krzysztof"/>
    <s v="Madejski"/>
    <n v="29"/>
    <x v="36"/>
  </r>
  <r>
    <d v="2017-09-07T00:00:00"/>
    <s v="Mateusz"/>
    <s v="Kornatowski"/>
    <n v="15"/>
    <x v="36"/>
  </r>
  <r>
    <d v="2017-09-07T00:00:00"/>
    <s v="Szymon"/>
    <s v="Polak"/>
    <n v="5"/>
    <x v="36"/>
  </r>
  <r>
    <d v="2017-09-07T00:00:00"/>
    <s v="Iwona"/>
    <s v="Wlodarska"/>
    <n v="34"/>
    <x v="36"/>
  </r>
  <r>
    <d v="2017-09-07T00:00:00"/>
    <s v="Anna"/>
    <s v="Adamska"/>
    <n v="30"/>
    <x v="36"/>
  </r>
  <r>
    <d v="2017-09-07T00:00:00"/>
    <s v="Szymon"/>
    <s v="Mrozniak"/>
    <n v="3"/>
    <x v="36"/>
  </r>
  <r>
    <d v="2017-09-07T00:00:00"/>
    <s v="Maciej"/>
    <s v="Lutczyk"/>
    <n v="34"/>
    <x v="36"/>
  </r>
  <r>
    <d v="2017-09-07T00:00:00"/>
    <s v="Wojciech"/>
    <s v="Filipowicz"/>
    <n v="7"/>
    <x v="36"/>
  </r>
  <r>
    <d v="2017-09-07T00:00:00"/>
    <s v="Igor"/>
    <s v="Rybinski"/>
    <n v="17"/>
    <x v="36"/>
  </r>
  <r>
    <d v="2017-09-07T00:00:00"/>
    <s v="Jakub"/>
    <s v="Przytula"/>
    <n v="26"/>
    <x v="36"/>
  </r>
  <r>
    <d v="2017-09-08T00:00:00"/>
    <s v="Maciej"/>
    <s v="Laskowski"/>
    <n v="20"/>
    <x v="36"/>
  </r>
  <r>
    <d v="2017-09-08T00:00:00"/>
    <s v="Jan"/>
    <s v="Pieterson"/>
    <n v="24"/>
    <x v="36"/>
  </r>
  <r>
    <d v="2017-09-08T00:00:00"/>
    <s v="Maria"/>
    <s v="Kowalczuk"/>
    <n v="21"/>
    <x v="36"/>
  </r>
  <r>
    <d v="2017-09-08T00:00:00"/>
    <s v="Ryszard"/>
    <s v="Baranowski"/>
    <n v="3"/>
    <x v="36"/>
  </r>
  <r>
    <d v="2017-09-08T00:00:00"/>
    <s v="Luiza"/>
    <s v="Makowska"/>
    <n v="9"/>
    <x v="36"/>
  </r>
  <r>
    <d v="2017-09-08T00:00:00"/>
    <s v="Krzysztof"/>
    <s v="Wilecki"/>
    <n v="46"/>
    <x v="36"/>
  </r>
  <r>
    <d v="2017-09-08T00:00:00"/>
    <s v="Grzegorz"/>
    <s v="Domek"/>
    <n v="16"/>
    <x v="36"/>
  </r>
  <r>
    <d v="2017-09-08T00:00:00"/>
    <s v="Filip"/>
    <s v="Stanulewicz"/>
    <n v="24"/>
    <x v="36"/>
  </r>
  <r>
    <d v="2017-09-08T00:00:00"/>
    <s v="Malgorzata"/>
    <s v="Karlowski"/>
    <n v="23"/>
    <x v="36"/>
  </r>
  <r>
    <d v="2017-09-08T00:00:00"/>
    <s v="Grzegorz"/>
    <s v="Domek"/>
    <n v="18"/>
    <x v="36"/>
  </r>
  <r>
    <d v="2017-09-11T00:00:00"/>
    <s v="Malgorzata"/>
    <s v="Malec"/>
    <n v="29"/>
    <x v="36"/>
  </r>
  <r>
    <d v="2017-09-11T00:00:00"/>
    <s v="Karol"/>
    <s v="Milek"/>
    <n v="24"/>
    <x v="36"/>
  </r>
  <r>
    <d v="2017-09-11T00:00:00"/>
    <s v="Krzysztof"/>
    <s v="Wloch"/>
    <n v="36"/>
    <x v="36"/>
  </r>
  <r>
    <d v="2017-09-11T00:00:00"/>
    <s v="Marian"/>
    <s v="Bukalski"/>
    <n v="6"/>
    <x v="36"/>
  </r>
  <r>
    <d v="2017-09-11T00:00:00"/>
    <s v="Lidia"/>
    <s v="Goluchowska"/>
    <n v="29"/>
    <x v="36"/>
  </r>
  <r>
    <d v="2017-09-11T00:00:00"/>
    <s v="Krzysztof"/>
    <s v="Dwa"/>
    <n v="15"/>
    <x v="36"/>
  </r>
  <r>
    <d v="2017-09-11T00:00:00"/>
    <s v="Adrian"/>
    <s v="Yuksek"/>
    <n v="8"/>
    <x v="36"/>
  </r>
  <r>
    <d v="2017-09-11T00:00:00"/>
    <s v="Krzysztof"/>
    <s v="Micun"/>
    <n v="47"/>
    <x v="36"/>
  </r>
  <r>
    <d v="2017-09-11T00:00:00"/>
    <s v="Kamila"/>
    <s v="Wolan"/>
    <n v="23"/>
    <x v="36"/>
  </r>
  <r>
    <d v="2017-09-11T00:00:00"/>
    <s v="Barbara"/>
    <s v="Podobinska"/>
    <n v="5"/>
    <x v="36"/>
  </r>
  <r>
    <d v="2017-09-11T00:00:00"/>
    <s v="Piotr"/>
    <s v="Kaleta"/>
    <n v="31"/>
    <x v="36"/>
  </r>
  <r>
    <d v="2017-09-11T00:00:00"/>
    <s v="Maria"/>
    <s v="Kowalczyk"/>
    <n v="28"/>
    <x v="36"/>
  </r>
  <r>
    <d v="2017-09-11T00:00:00"/>
    <s v="Weronika"/>
    <s v="Zdroj"/>
    <n v="11"/>
    <x v="36"/>
  </r>
  <r>
    <d v="2017-09-11T00:00:00"/>
    <s v="Karol"/>
    <s v="Dziuk"/>
    <n v="26"/>
    <x v="36"/>
  </r>
  <r>
    <d v="2017-09-12T00:00:00"/>
    <s v="Ignacy"/>
    <s v="Sarnowski"/>
    <n v="46"/>
    <x v="36"/>
  </r>
  <r>
    <d v="2017-09-12T00:00:00"/>
    <s v="Janusz"/>
    <s v="Baka"/>
    <n v="36"/>
    <x v="36"/>
  </r>
  <r>
    <d v="2017-09-12T00:00:00"/>
    <s v="Ilona"/>
    <s v="Nowak"/>
    <n v="21"/>
    <x v="36"/>
  </r>
  <r>
    <d v="2017-09-12T00:00:00"/>
    <s v="Piotr"/>
    <s v="Bialaszewski"/>
    <n v="15"/>
    <x v="36"/>
  </r>
  <r>
    <d v="2017-09-12T00:00:00"/>
    <s v="Ryszard"/>
    <s v="Domzala"/>
    <n v="16"/>
    <x v="36"/>
  </r>
  <r>
    <d v="2017-09-12T00:00:00"/>
    <s v="Karol"/>
    <s v="Wojciechowski"/>
    <n v="26"/>
    <x v="36"/>
  </r>
  <r>
    <d v="2017-09-12T00:00:00"/>
    <s v="Sofia"/>
    <s v="Felisiak"/>
    <n v="14"/>
    <x v="36"/>
  </r>
  <r>
    <d v="2017-09-12T00:00:00"/>
    <s v="Michalina"/>
    <s v="Klebba"/>
    <n v="20"/>
    <x v="36"/>
  </r>
  <r>
    <d v="2017-09-12T00:00:00"/>
    <s v="Bartosz"/>
    <s v="Mazgaj"/>
    <n v="20"/>
    <x v="36"/>
  </r>
  <r>
    <d v="2017-09-12T00:00:00"/>
    <s v="Julia"/>
    <s v="Stuhr"/>
    <n v="22"/>
    <x v="36"/>
  </r>
  <r>
    <d v="2017-09-12T00:00:00"/>
    <s v="Dominika"/>
    <s v="Mierny"/>
    <n v="16"/>
    <x v="36"/>
  </r>
  <r>
    <d v="2017-09-12T00:00:00"/>
    <s v="Barbara"/>
    <s v="Kilarski"/>
    <n v="17"/>
    <x v="36"/>
  </r>
  <r>
    <d v="2017-09-12T00:00:00"/>
    <s v="Dorota"/>
    <s v="Tarnowska"/>
    <n v="41"/>
    <x v="36"/>
  </r>
  <r>
    <d v="2017-09-12T00:00:00"/>
    <s v="Albert"/>
    <s v="Pleszewski"/>
    <n v="3"/>
    <x v="36"/>
  </r>
  <r>
    <d v="2017-09-13T00:00:00"/>
    <s v="Ewelina"/>
    <s v="Goslawska"/>
    <n v="20"/>
    <x v="37"/>
  </r>
  <r>
    <d v="2017-09-13T00:00:00"/>
    <s v="Maja"/>
    <s v="Kaminska"/>
    <n v="7"/>
    <x v="37"/>
  </r>
  <r>
    <d v="2017-09-13T00:00:00"/>
    <s v="Anna"/>
    <s v="Kot"/>
    <n v="41"/>
    <x v="37"/>
  </r>
  <r>
    <d v="2017-09-13T00:00:00"/>
    <s v="Katarzyna"/>
    <s v="Wip"/>
    <n v="4"/>
    <x v="37"/>
  </r>
  <r>
    <d v="2017-09-13T00:00:00"/>
    <s v="Marcel"/>
    <s v="Labuda"/>
    <n v="31"/>
    <x v="37"/>
  </r>
  <r>
    <d v="2017-09-13T00:00:00"/>
    <s v="Maksymilian"/>
    <s v="Lupa"/>
    <n v="6"/>
    <x v="37"/>
  </r>
  <r>
    <d v="2017-09-13T00:00:00"/>
    <s v="Maria"/>
    <s v="Borowska"/>
    <n v="12"/>
    <x v="37"/>
  </r>
  <r>
    <d v="2017-09-13T00:00:00"/>
    <s v="Anna"/>
    <s v="Kraska"/>
    <n v="5"/>
    <x v="37"/>
  </r>
  <r>
    <d v="2017-09-13T00:00:00"/>
    <s v="Marzena"/>
    <s v="Parasiewicz"/>
    <n v="5"/>
    <x v="37"/>
  </r>
  <r>
    <d v="2017-09-13T00:00:00"/>
    <s v="Maja"/>
    <s v="Lange"/>
    <n v="19"/>
    <x v="37"/>
  </r>
  <r>
    <d v="2017-09-13T00:00:00"/>
    <s v="Wieslawa"/>
    <s v="Biczysko"/>
    <n v="8"/>
    <x v="37"/>
  </r>
  <r>
    <d v="2017-09-13T00:00:00"/>
    <s v="Arleta"/>
    <s v="Pawlik"/>
    <n v="8"/>
    <x v="37"/>
  </r>
  <r>
    <d v="2017-09-13T00:00:00"/>
    <s v="Agnieszka"/>
    <s v="Matusik"/>
    <n v="56"/>
    <x v="37"/>
  </r>
  <r>
    <d v="2017-09-13T00:00:00"/>
    <s v="Jakub"/>
    <s v="Waniek"/>
    <n v="8"/>
    <x v="37"/>
  </r>
  <r>
    <d v="2017-09-14T00:00:00"/>
    <s v="Jan"/>
    <s v="Pietraszczyk"/>
    <n v="25"/>
    <x v="37"/>
  </r>
  <r>
    <d v="2017-09-14T00:00:00"/>
    <s v="Barbara"/>
    <s v="Podobinska"/>
    <n v="23"/>
    <x v="37"/>
  </r>
  <r>
    <d v="2017-09-14T00:00:00"/>
    <s v="Maja"/>
    <s v="Kwidczynska"/>
    <n v="33"/>
    <x v="37"/>
  </r>
  <r>
    <d v="2017-09-14T00:00:00"/>
    <s v="Wojciech"/>
    <s v="Maja"/>
    <n v="15"/>
    <x v="37"/>
  </r>
  <r>
    <d v="2017-09-14T00:00:00"/>
    <s v="Joanna"/>
    <s v="Zygmunt"/>
    <n v="16"/>
    <x v="37"/>
  </r>
  <r>
    <d v="2017-09-14T00:00:00"/>
    <s v="Kamil"/>
    <s v="Waniek"/>
    <n v="29"/>
    <x v="37"/>
  </r>
  <r>
    <d v="2017-09-14T00:00:00"/>
    <s v="Irena"/>
    <s v="Banasiewicz"/>
    <n v="2"/>
    <x v="37"/>
  </r>
  <r>
    <d v="2017-09-14T00:00:00"/>
    <s v="Grzegorz"/>
    <s v="Wojtowicz"/>
    <n v="15"/>
    <x v="37"/>
  </r>
  <r>
    <d v="2017-09-14T00:00:00"/>
    <s v="Pawel"/>
    <s v="Nowak"/>
    <n v="17"/>
    <x v="37"/>
  </r>
  <r>
    <d v="2017-09-14T00:00:00"/>
    <s v="Piotr"/>
    <s v="Flis"/>
    <n v="54"/>
    <x v="37"/>
  </r>
  <r>
    <d v="2017-09-14T00:00:00"/>
    <s v="Weronika"/>
    <s v="Zdroj"/>
    <n v="38"/>
    <x v="37"/>
  </r>
  <r>
    <d v="2017-09-14T00:00:00"/>
    <s v="Krzysztof"/>
    <s v="Madejski"/>
    <n v="9"/>
    <x v="37"/>
  </r>
  <r>
    <d v="2017-09-14T00:00:00"/>
    <s v="Adrian"/>
    <s v="Zawisza"/>
    <n v="3"/>
    <x v="37"/>
  </r>
  <r>
    <d v="2017-09-14T00:00:00"/>
    <s v="Adam"/>
    <s v="Susel"/>
    <n v="17"/>
    <x v="37"/>
  </r>
  <r>
    <d v="2017-09-15T00:00:00"/>
    <s v="Zenon"/>
    <s v="Zbych"/>
    <n v="12"/>
    <x v="37"/>
  </r>
  <r>
    <d v="2017-09-15T00:00:00"/>
    <s v="Patrycja"/>
    <s v="Dzban"/>
    <n v="28"/>
    <x v="37"/>
  </r>
  <r>
    <d v="2017-09-15T00:00:00"/>
    <s v="Wojciech"/>
    <s v="Filipowicz"/>
    <n v="4"/>
    <x v="37"/>
  </r>
  <r>
    <d v="2017-09-15T00:00:00"/>
    <s v="Maksymilian"/>
    <s v="Lewita"/>
    <n v="5"/>
    <x v="37"/>
  </r>
  <r>
    <d v="2017-09-15T00:00:00"/>
    <s v="Bartosz"/>
    <s v="Debicki"/>
    <n v="30"/>
    <x v="37"/>
  </r>
  <r>
    <d v="2017-09-15T00:00:00"/>
    <s v="Anna"/>
    <s v="Tomaszewska"/>
    <n v="40"/>
    <x v="37"/>
  </r>
  <r>
    <d v="2017-09-15T00:00:00"/>
    <s v="Karolina"/>
    <s v="Karpacka"/>
    <n v="10"/>
    <x v="37"/>
  </r>
  <r>
    <d v="2017-09-15T00:00:00"/>
    <s v="Maksymilian"/>
    <s v="Piwko"/>
    <n v="20"/>
    <x v="37"/>
  </r>
  <r>
    <d v="2017-09-15T00:00:00"/>
    <s v="Krzysztof"/>
    <s v="Dwa"/>
    <n v="12"/>
    <x v="37"/>
  </r>
  <r>
    <d v="2017-09-15T00:00:00"/>
    <s v="Marcin"/>
    <s v="Tabaka"/>
    <n v="9"/>
    <x v="37"/>
  </r>
  <r>
    <d v="2017-09-15T00:00:00"/>
    <s v="Monika"/>
    <s v="Lis"/>
    <n v="46"/>
    <x v="37"/>
  </r>
  <r>
    <d v="2017-09-15T00:00:00"/>
    <s v="Magdalena"/>
    <s v="Bach"/>
    <n v="30"/>
    <x v="37"/>
  </r>
  <r>
    <d v="2017-09-15T00:00:00"/>
    <s v="Wieslawa"/>
    <s v="Nowak"/>
    <n v="25"/>
    <x v="37"/>
  </r>
  <r>
    <d v="2017-09-15T00:00:00"/>
    <s v="Anna"/>
    <s v="Janowska"/>
    <n v="25"/>
    <x v="37"/>
  </r>
  <r>
    <d v="2017-09-18T00:00:00"/>
    <s v="Jacek"/>
    <s v="Szypulski"/>
    <n v="15"/>
    <x v="37"/>
  </r>
  <r>
    <d v="2017-09-18T00:00:00"/>
    <s v="Natalia"/>
    <s v="Olkuska"/>
    <n v="8"/>
    <x v="37"/>
  </r>
  <r>
    <d v="2017-09-18T00:00:00"/>
    <s v="Monika"/>
    <s v="Bialkowska"/>
    <n v="8"/>
    <x v="37"/>
  </r>
  <r>
    <d v="2017-09-18T00:00:00"/>
    <s v="Jan"/>
    <s v="Pistek"/>
    <n v="20"/>
    <x v="37"/>
  </r>
  <r>
    <d v="2017-09-18T00:00:00"/>
    <s v="Borys"/>
    <s v="Biedal"/>
    <n v="53"/>
    <x v="37"/>
  </r>
  <r>
    <d v="2017-09-18T00:00:00"/>
    <s v="Kamila"/>
    <s v="Kot"/>
    <n v="50"/>
    <x v="37"/>
  </r>
  <r>
    <d v="2017-09-18T00:00:00"/>
    <s v="Adrian"/>
    <s v="Wydrzynski"/>
    <n v="52"/>
    <x v="37"/>
  </r>
  <r>
    <d v="2017-09-18T00:00:00"/>
    <s v="Joanna"/>
    <s v="Traugut"/>
    <n v="12"/>
    <x v="37"/>
  </r>
  <r>
    <d v="2017-09-18T00:00:00"/>
    <s v="Karol"/>
    <s v="Walasz"/>
    <n v="14"/>
    <x v="37"/>
  </r>
  <r>
    <d v="2017-09-18T00:00:00"/>
    <s v="Ewa"/>
    <s v="Czerwinska"/>
    <n v="12"/>
    <x v="37"/>
  </r>
  <r>
    <d v="2017-09-18T00:00:00"/>
    <s v="Jerzy"/>
    <s v="Polanicki"/>
    <n v="27"/>
    <x v="37"/>
  </r>
  <r>
    <d v="2017-09-18T00:00:00"/>
    <s v="Magdalena"/>
    <s v="Bach"/>
    <n v="25"/>
    <x v="37"/>
  </r>
  <r>
    <d v="2017-09-19T00:00:00"/>
    <s v="Radoslaw"/>
    <s v="Sowinska"/>
    <n v="29"/>
    <x v="37"/>
  </r>
  <r>
    <d v="2017-09-19T00:00:00"/>
    <s v="Milena"/>
    <s v="Karolewska"/>
    <n v="54"/>
    <x v="37"/>
  </r>
  <r>
    <d v="2017-09-19T00:00:00"/>
    <s v="Mateusz"/>
    <s v="Kornatowski"/>
    <n v="10"/>
    <x v="37"/>
  </r>
  <r>
    <d v="2017-09-19T00:00:00"/>
    <s v="Maciej"/>
    <s v="Bugaj"/>
    <n v="28"/>
    <x v="37"/>
  </r>
  <r>
    <d v="2017-09-19T00:00:00"/>
    <s v="Olgierd"/>
    <s v="Baranek"/>
    <n v="7"/>
    <x v="37"/>
  </r>
  <r>
    <d v="2017-09-19T00:00:00"/>
    <s v="Jan"/>
    <s v="Adamowicz"/>
    <n v="18"/>
    <x v="37"/>
  </r>
  <r>
    <d v="2017-09-19T00:00:00"/>
    <s v="Joanna"/>
    <s v="Senger"/>
    <n v="10"/>
    <x v="37"/>
  </r>
  <r>
    <d v="2017-09-19T00:00:00"/>
    <s v="Jerzy"/>
    <s v="Czajkowski"/>
    <n v="24"/>
    <x v="37"/>
  </r>
  <r>
    <d v="2017-09-19T00:00:00"/>
    <s v="Filip"/>
    <s v="Stanulewicz"/>
    <n v="19"/>
    <x v="37"/>
  </r>
  <r>
    <d v="2017-09-19T00:00:00"/>
    <s v="Beata"/>
    <s v="Mirowska"/>
    <n v="28"/>
    <x v="37"/>
  </r>
  <r>
    <d v="2017-09-19T00:00:00"/>
    <s v="Krzysztof"/>
    <s v="Wilecki"/>
    <n v="5"/>
    <x v="37"/>
  </r>
  <r>
    <d v="2017-09-19T00:00:00"/>
    <s v="Lukasz"/>
    <s v="Kopecki"/>
    <n v="17"/>
    <x v="37"/>
  </r>
  <r>
    <d v="2017-09-20T00:00:00"/>
    <s v="Bartosz"/>
    <s v="Mazgaj"/>
    <n v="53"/>
    <x v="38"/>
  </r>
  <r>
    <d v="2017-09-20T00:00:00"/>
    <s v="Witold"/>
    <s v="Sempa"/>
    <n v="5"/>
    <x v="38"/>
  </r>
  <r>
    <d v="2017-09-20T00:00:00"/>
    <s v="Tytus"/>
    <s v="Sulejman"/>
    <n v="35"/>
    <x v="38"/>
  </r>
  <r>
    <d v="2017-09-20T00:00:00"/>
    <s v="Maja"/>
    <s v="Lipka"/>
    <n v="17"/>
    <x v="38"/>
  </r>
  <r>
    <d v="2017-09-20T00:00:00"/>
    <s v="Bartosz"/>
    <s v="Protasow"/>
    <n v="12"/>
    <x v="38"/>
  </r>
  <r>
    <d v="2017-09-20T00:00:00"/>
    <s v="Karol"/>
    <s v="Dziuk"/>
    <n v="28"/>
    <x v="38"/>
  </r>
  <r>
    <d v="2017-09-20T00:00:00"/>
    <s v="Anna"/>
    <s v="Dab"/>
    <n v="47"/>
    <x v="38"/>
  </r>
  <r>
    <d v="2017-09-20T00:00:00"/>
    <s v="Adam"/>
    <s v="Borkowski"/>
    <n v="5"/>
    <x v="38"/>
  </r>
  <r>
    <d v="2017-09-21T00:00:00"/>
    <s v="Jan"/>
    <s v="Pieterson"/>
    <n v="7"/>
    <x v="38"/>
  </r>
  <r>
    <d v="2017-09-21T00:00:00"/>
    <s v="Michal"/>
    <s v="Kieloch"/>
    <n v="52"/>
    <x v="38"/>
  </r>
  <r>
    <d v="2017-09-21T00:00:00"/>
    <s v="Maja"/>
    <s v="Leman"/>
    <n v="50"/>
    <x v="38"/>
  </r>
  <r>
    <d v="2017-09-21T00:00:00"/>
    <s v="Julia"/>
    <s v="Kielecka"/>
    <n v="10"/>
    <x v="38"/>
  </r>
  <r>
    <d v="2017-09-21T00:00:00"/>
    <s v="Albert"/>
    <s v="Pleszewski"/>
    <n v="5"/>
    <x v="38"/>
  </r>
  <r>
    <d v="2017-09-21T00:00:00"/>
    <s v="Karol"/>
    <s v="Wichrowski"/>
    <n v="17"/>
    <x v="38"/>
  </r>
  <r>
    <d v="2017-09-21T00:00:00"/>
    <s v="Maja"/>
    <s v="Kaminska"/>
    <n v="24"/>
    <x v="38"/>
  </r>
  <r>
    <d v="2017-09-21T00:00:00"/>
    <s v="Wiktor"/>
    <s v="Berezniewicz"/>
    <n v="50"/>
    <x v="38"/>
  </r>
  <r>
    <d v="2017-09-22T00:00:00"/>
    <s v="Maria"/>
    <s v="Kowalczyk"/>
    <n v="9"/>
    <x v="38"/>
  </r>
  <r>
    <d v="2017-09-22T00:00:00"/>
    <s v="Jan"/>
    <s v="Jarek"/>
    <n v="6"/>
    <x v="38"/>
  </r>
  <r>
    <d v="2017-09-22T00:00:00"/>
    <s v="Monika"/>
    <s v="Nowaczkiewicz"/>
    <n v="24"/>
    <x v="38"/>
  </r>
  <r>
    <d v="2017-09-22T00:00:00"/>
    <s v="Dominik"/>
    <s v="Szmitko"/>
    <n v="15"/>
    <x v="38"/>
  </r>
  <r>
    <d v="2017-09-22T00:00:00"/>
    <s v="Krzysztof"/>
    <s v="Figurski"/>
    <n v="16"/>
    <x v="38"/>
  </r>
  <r>
    <d v="2017-09-22T00:00:00"/>
    <s v="Anna"/>
    <s v="Wnuk"/>
    <n v="10"/>
    <x v="38"/>
  </r>
  <r>
    <d v="2017-09-22T00:00:00"/>
    <s v="Konrad"/>
    <s v="Jagielski"/>
    <n v="32"/>
    <x v="38"/>
  </r>
  <r>
    <d v="2017-09-22T00:00:00"/>
    <s v="Barbara"/>
    <s v="Karcz"/>
    <n v="24"/>
    <x v="38"/>
  </r>
  <r>
    <d v="2017-09-25T00:00:00"/>
    <s v="Malgorzata"/>
    <s v="Karlowski"/>
    <n v="34"/>
    <x v="38"/>
  </r>
  <r>
    <d v="2017-09-25T00:00:00"/>
    <s v="Marek"/>
    <s v="Leoniuk"/>
    <n v="28"/>
    <x v="38"/>
  </r>
  <r>
    <d v="2017-09-25T00:00:00"/>
    <s v="Anna"/>
    <s v="Trojanowska"/>
    <n v="18"/>
    <x v="38"/>
  </r>
  <r>
    <d v="2017-09-25T00:00:00"/>
    <s v="Izabela"/>
    <s v="Draszczyk"/>
    <n v="19"/>
    <x v="38"/>
  </r>
  <r>
    <d v="2017-09-25T00:00:00"/>
    <s v="Lukasz"/>
    <s v="Kot"/>
    <n v="7"/>
    <x v="38"/>
  </r>
  <r>
    <d v="2017-09-25T00:00:00"/>
    <s v="Beata"/>
    <s v="Mirowska"/>
    <n v="29"/>
    <x v="38"/>
  </r>
  <r>
    <d v="2017-09-25T00:00:00"/>
    <s v="Krzysztof"/>
    <s v="Kukulski"/>
    <n v="56"/>
    <x v="38"/>
  </r>
  <r>
    <d v="2017-09-25T00:00:00"/>
    <s v="Magdalena"/>
    <s v="Nowak"/>
    <n v="11"/>
    <x v="38"/>
  </r>
  <r>
    <d v="2017-09-26T00:00:00"/>
    <s v="Antoni"/>
    <s v="Sobieski"/>
    <n v="33"/>
    <x v="38"/>
  </r>
  <r>
    <d v="2017-09-26T00:00:00"/>
    <s v="Patrycja"/>
    <s v="Dzban"/>
    <n v="5"/>
    <x v="38"/>
  </r>
  <r>
    <d v="2017-09-26T00:00:00"/>
    <s v="Emilia"/>
    <s v="Mroczek"/>
    <n v="25"/>
    <x v="38"/>
  </r>
  <r>
    <d v="2017-09-26T00:00:00"/>
    <s v="Ilona"/>
    <s v="Lukaszewska"/>
    <n v="10"/>
    <x v="38"/>
  </r>
  <r>
    <d v="2017-09-26T00:00:00"/>
    <s v="Ewelina"/>
    <s v="Bialkowska"/>
    <n v="18"/>
    <x v="38"/>
  </r>
  <r>
    <d v="2017-09-26T00:00:00"/>
    <s v="Julia"/>
    <s v="Sadowska"/>
    <n v="26"/>
    <x v="38"/>
  </r>
  <r>
    <d v="2017-09-26T00:00:00"/>
    <s v="Janusz"/>
    <s v="Baka"/>
    <n v="12"/>
    <x v="38"/>
  </r>
  <r>
    <d v="2017-09-26T00:00:00"/>
    <s v="Teodor"/>
    <s v="Nowak"/>
    <n v="22"/>
    <x v="38"/>
  </r>
  <r>
    <d v="2017-09-27T00:00:00"/>
    <s v="Pawel"/>
    <s v="Bolkowski"/>
    <n v="19"/>
    <x v="39"/>
  </r>
  <r>
    <d v="2017-09-27T00:00:00"/>
    <s v="Maciej"/>
    <s v="Bugaj"/>
    <n v="5"/>
    <x v="39"/>
  </r>
  <r>
    <d v="2017-09-27T00:00:00"/>
    <s v="Krzysztof"/>
    <s v="Wloch"/>
    <n v="7"/>
    <x v="39"/>
  </r>
  <r>
    <d v="2017-09-27T00:00:00"/>
    <s v="Agnieszka"/>
    <s v="Matusik"/>
    <n v="28"/>
    <x v="39"/>
  </r>
  <r>
    <d v="2017-09-27T00:00:00"/>
    <s v="Wojciech"/>
    <s v="Kulakowski"/>
    <n v="53"/>
    <x v="39"/>
  </r>
  <r>
    <d v="2017-09-27T00:00:00"/>
    <s v="Mariusz"/>
    <s v="Mrowiec"/>
    <n v="28"/>
    <x v="39"/>
  </r>
  <r>
    <d v="2017-09-27T00:00:00"/>
    <s v="Radoslaw"/>
    <s v="Sowinska"/>
    <n v="17"/>
    <x v="39"/>
  </r>
  <r>
    <d v="2017-09-27T00:00:00"/>
    <s v="Joanna"/>
    <s v="Kopacki"/>
    <n v="20"/>
    <x v="39"/>
  </r>
  <r>
    <d v="2017-09-28T00:00:00"/>
    <s v="Patrycja"/>
    <s v="Rzeszowska"/>
    <n v="50"/>
    <x v="39"/>
  </r>
  <r>
    <d v="2017-09-28T00:00:00"/>
    <s v="Stanislaw"/>
    <s v="Derek"/>
    <n v="15"/>
    <x v="39"/>
  </r>
  <r>
    <d v="2017-09-28T00:00:00"/>
    <s v="Karol"/>
    <s v="Wojciechowski"/>
    <n v="27"/>
    <x v="39"/>
  </r>
  <r>
    <d v="2017-09-28T00:00:00"/>
    <s v="Mateusz"/>
    <s v="Kowalczyk"/>
    <n v="2"/>
    <x v="39"/>
  </r>
  <r>
    <d v="2017-09-28T00:00:00"/>
    <s v="Kamil"/>
    <s v="Naderka"/>
    <n v="17"/>
    <x v="39"/>
  </r>
  <r>
    <d v="2017-09-28T00:00:00"/>
    <s v="Angelika"/>
    <s v="Walaszek"/>
    <n v="53"/>
    <x v="39"/>
  </r>
  <r>
    <d v="2017-09-28T00:00:00"/>
    <s v="Jan"/>
    <s v="Adamowicz"/>
    <n v="30"/>
    <x v="39"/>
  </r>
  <r>
    <d v="2017-09-28T00:00:00"/>
    <s v="Karolina"/>
    <s v="Pawelska"/>
    <n v="7"/>
    <x v="39"/>
  </r>
  <r>
    <d v="2017-09-29T00:00:00"/>
    <s v="Jan"/>
    <s v="Zdunski"/>
    <n v="15"/>
    <x v="39"/>
  </r>
  <r>
    <d v="2017-09-29T00:00:00"/>
    <s v="Natalia"/>
    <s v="Knap"/>
    <n v="55"/>
    <x v="39"/>
  </r>
  <r>
    <d v="2017-09-29T00:00:00"/>
    <s v="Radoslaw"/>
    <s v="Sowinska"/>
    <n v="39"/>
    <x v="39"/>
  </r>
  <r>
    <d v="2017-09-29T00:00:00"/>
    <s v="Krzysztof"/>
    <s v="Czyz"/>
    <n v="18"/>
    <x v="39"/>
  </r>
  <r>
    <d v="2017-09-29T00:00:00"/>
    <s v="Alicja"/>
    <s v="Walentowicz"/>
    <n v="9"/>
    <x v="39"/>
  </r>
  <r>
    <d v="2017-09-29T00:00:00"/>
    <s v="Tomasz"/>
    <s v="Tytan"/>
    <n v="55"/>
    <x v="39"/>
  </r>
  <r>
    <d v="2017-09-29T00:00:00"/>
    <s v="Janusz"/>
    <s v="Baka"/>
    <n v="24"/>
    <x v="39"/>
  </r>
  <r>
    <d v="2017-09-29T00:00:00"/>
    <s v="Janusz"/>
    <s v="Wrobel"/>
    <n v="52"/>
    <x v="39"/>
  </r>
  <r>
    <d v="2017-10-02T00:00:00"/>
    <s v="Tomasz"/>
    <s v="Borkowski"/>
    <n v="42"/>
    <x v="39"/>
  </r>
  <r>
    <d v="2017-10-02T00:00:00"/>
    <s v="Lukasz"/>
    <s v="Niedziela"/>
    <n v="16"/>
    <x v="39"/>
  </r>
  <r>
    <d v="2017-10-02T00:00:00"/>
    <s v="Julia"/>
    <s v="Samulczyk"/>
    <n v="43"/>
    <x v="39"/>
  </r>
  <r>
    <d v="2017-10-02T00:00:00"/>
    <s v="Alicja"/>
    <s v="Chmiel"/>
    <n v="55"/>
    <x v="39"/>
  </r>
  <r>
    <d v="2017-10-02T00:00:00"/>
    <s v="Pawel"/>
    <s v="Macherzynski"/>
    <n v="45"/>
    <x v="39"/>
  </r>
  <r>
    <d v="2017-10-02T00:00:00"/>
    <s v="Konrad"/>
    <s v="Lipowski"/>
    <n v="25"/>
    <x v="39"/>
  </r>
  <r>
    <d v="2017-10-03T00:00:00"/>
    <s v="Dominika"/>
    <s v="Szwec"/>
    <n v="28"/>
    <x v="39"/>
  </r>
  <r>
    <d v="2017-10-03T00:00:00"/>
    <s v="Ryszarda"/>
    <s v="Januszek"/>
    <n v="14"/>
    <x v="39"/>
  </r>
  <r>
    <d v="2017-10-03T00:00:00"/>
    <s v="Irena"/>
    <s v="Piotrowska"/>
    <n v="26"/>
    <x v="39"/>
  </r>
  <r>
    <d v="2017-10-03T00:00:00"/>
    <s v="Marta"/>
    <s v="Robak"/>
    <n v="21"/>
    <x v="39"/>
  </r>
  <r>
    <d v="2017-10-03T00:00:00"/>
    <s v="Piotr"/>
    <s v="Polkowicki"/>
    <n v="14"/>
    <x v="39"/>
  </r>
  <r>
    <d v="2017-10-03T00:00:00"/>
    <s v="Laura"/>
    <s v="Chmielewska"/>
    <n v="36"/>
    <x v="39"/>
  </r>
  <r>
    <d v="2017-10-04T00:00:00"/>
    <s v="Andrzej"/>
    <s v="Tysz"/>
    <n v="3"/>
    <x v="40"/>
  </r>
  <r>
    <d v="2017-10-04T00:00:00"/>
    <s v="Angelika"/>
    <s v="Walaszek"/>
    <n v="11"/>
    <x v="40"/>
  </r>
  <r>
    <d v="2017-10-04T00:00:00"/>
    <s v="Mariusz"/>
    <s v="Brydzinski"/>
    <n v="49"/>
    <x v="40"/>
  </r>
  <r>
    <d v="2017-10-04T00:00:00"/>
    <s v="Nadia"/>
    <s v="Jurewicz"/>
    <n v="16"/>
    <x v="40"/>
  </r>
  <r>
    <d v="2017-10-04T00:00:00"/>
    <s v="Andrzej"/>
    <s v="Zbieg"/>
    <n v="26"/>
    <x v="40"/>
  </r>
  <r>
    <d v="2017-10-04T00:00:00"/>
    <s v="Piotr"/>
    <s v="Dzierzak"/>
    <n v="50"/>
    <x v="40"/>
  </r>
  <r>
    <d v="2017-10-05T00:00:00"/>
    <s v="Jacek"/>
    <s v="Chojnacki"/>
    <n v="19"/>
    <x v="40"/>
  </r>
  <r>
    <d v="2017-10-05T00:00:00"/>
    <s v="Anita"/>
    <s v="Woloszyn"/>
    <n v="27"/>
    <x v="40"/>
  </r>
  <r>
    <d v="2017-10-05T00:00:00"/>
    <s v="Krzysztof"/>
    <s v="Konieckiewicz"/>
    <n v="2"/>
    <x v="40"/>
  </r>
  <r>
    <d v="2017-10-05T00:00:00"/>
    <s v="Ignacy"/>
    <s v="Sarnowski"/>
    <n v="15"/>
    <x v="40"/>
  </r>
  <r>
    <d v="2017-10-05T00:00:00"/>
    <s v="Jan"/>
    <s v="Sznuk"/>
    <n v="3"/>
    <x v="40"/>
  </r>
  <r>
    <d v="2017-10-05T00:00:00"/>
    <s v="Anita"/>
    <s v="Tych"/>
    <n v="56"/>
    <x v="40"/>
  </r>
  <r>
    <d v="2017-10-06T00:00:00"/>
    <s v="Daria"/>
    <s v="Witkowska"/>
    <n v="36"/>
    <x v="40"/>
  </r>
  <r>
    <d v="2017-10-06T00:00:00"/>
    <s v="Lidia"/>
    <s v="Tarnowska"/>
    <n v="32"/>
    <x v="40"/>
  </r>
  <r>
    <d v="2017-10-06T00:00:00"/>
    <s v="Kamila"/>
    <s v="Kot"/>
    <n v="50"/>
    <x v="40"/>
  </r>
  <r>
    <d v="2017-10-06T00:00:00"/>
    <s v="Krystyna"/>
    <s v="Szybki"/>
    <n v="26"/>
    <x v="40"/>
  </r>
  <r>
    <d v="2017-10-06T00:00:00"/>
    <s v="Maciej"/>
    <s v="Wodecki"/>
    <n v="13"/>
    <x v="40"/>
  </r>
  <r>
    <d v="2017-10-06T00:00:00"/>
    <s v="Marta"/>
    <s v="Wiosna"/>
    <n v="2"/>
    <x v="40"/>
  </r>
  <r>
    <d v="2017-10-09T00:00:00"/>
    <s v="Lena"/>
    <s v="Mazurkiewicz"/>
    <n v="11"/>
    <x v="40"/>
  </r>
  <r>
    <d v="2017-10-09T00:00:00"/>
    <s v="Jan"/>
    <s v="Madawik"/>
    <n v="19"/>
    <x v="40"/>
  </r>
  <r>
    <d v="2017-10-09T00:00:00"/>
    <s v="Aleksandra"/>
    <s v="Donata"/>
    <n v="23"/>
    <x v="40"/>
  </r>
  <r>
    <d v="2017-10-09T00:00:00"/>
    <s v="Adam"/>
    <s v="Madejski"/>
    <n v="22"/>
    <x v="40"/>
  </r>
  <r>
    <d v="2017-10-09T00:00:00"/>
    <s v="Dominik"/>
    <s v="Szmitko"/>
    <n v="19"/>
    <x v="40"/>
  </r>
  <r>
    <d v="2017-10-09T00:00:00"/>
    <s v="Jan"/>
    <s v="Zajac"/>
    <n v="5"/>
    <x v="40"/>
  </r>
  <r>
    <d v="2017-10-10T00:00:00"/>
    <s v="Pawel"/>
    <s v="Furmaniak"/>
    <n v="10"/>
    <x v="40"/>
  </r>
  <r>
    <d v="2017-10-10T00:00:00"/>
    <s v="Krzysztof"/>
    <s v="Wilecki"/>
    <n v="13"/>
    <x v="40"/>
  </r>
  <r>
    <d v="2017-10-10T00:00:00"/>
    <s v="Nadia"/>
    <s v="Jurewicz"/>
    <n v="12"/>
    <x v="40"/>
  </r>
  <r>
    <d v="2017-10-10T00:00:00"/>
    <s v="Karol"/>
    <s v="Wichrowski"/>
    <n v="25"/>
    <x v="40"/>
  </r>
  <r>
    <d v="2017-10-10T00:00:00"/>
    <s v="Anna"/>
    <s v="Adamska"/>
    <n v="25"/>
    <x v="40"/>
  </r>
  <r>
    <d v="2017-10-10T00:00:00"/>
    <s v="Inka"/>
    <s v="Sochacka"/>
    <n v="9"/>
    <x v="40"/>
  </r>
  <r>
    <d v="2017-10-11T00:00:00"/>
    <s v="Karol"/>
    <s v="Dziuk"/>
    <n v="17"/>
    <x v="41"/>
  </r>
  <r>
    <d v="2017-10-11T00:00:00"/>
    <s v="Stefan"/>
    <s v="Bajer"/>
    <n v="26"/>
    <x v="41"/>
  </r>
  <r>
    <d v="2017-10-11T00:00:00"/>
    <s v="Mateusz"/>
    <s v="Kaczorowski"/>
    <n v="44"/>
    <x v="41"/>
  </r>
  <r>
    <d v="2017-10-11T00:00:00"/>
    <s v="Adam"/>
    <s v="Susel"/>
    <n v="31"/>
    <x v="41"/>
  </r>
  <r>
    <d v="2017-10-11T00:00:00"/>
    <s v="Marian"/>
    <s v="Bukalski"/>
    <n v="6"/>
    <x v="41"/>
  </r>
  <r>
    <d v="2017-10-11T00:00:00"/>
    <s v="Jerzy"/>
    <s v="Szklarski"/>
    <n v="14"/>
    <x v="41"/>
  </r>
  <r>
    <d v="2017-10-12T00:00:00"/>
    <s v="Protazy"/>
    <s v="Warszawski"/>
    <n v="5"/>
    <x v="41"/>
  </r>
  <r>
    <d v="2017-10-12T00:00:00"/>
    <s v="Lukasz"/>
    <s v="Kot"/>
    <n v="21"/>
    <x v="41"/>
  </r>
  <r>
    <d v="2017-10-12T00:00:00"/>
    <s v="Filip"/>
    <s v="Strupiechowski"/>
    <n v="4"/>
    <x v="41"/>
  </r>
  <r>
    <d v="2017-10-12T00:00:00"/>
    <s v="Barbara"/>
    <s v="Bury"/>
    <n v="51"/>
    <x v="41"/>
  </r>
  <r>
    <d v="2017-10-12T00:00:00"/>
    <s v="Henryk"/>
    <s v="Polarek"/>
    <n v="27"/>
    <x v="41"/>
  </r>
  <r>
    <d v="2017-10-12T00:00:00"/>
    <s v="Roksana"/>
    <s v="Frankowska"/>
    <n v="15"/>
    <x v="41"/>
  </r>
  <r>
    <d v="2017-10-13T00:00:00"/>
    <s v="Agnieszka"/>
    <s v="Bujak"/>
    <n v="15"/>
    <x v="41"/>
  </r>
  <r>
    <d v="2017-10-13T00:00:00"/>
    <s v="Jaroslaw"/>
    <s v="Kopiec"/>
    <n v="13"/>
    <x v="41"/>
  </r>
  <r>
    <d v="2017-10-13T00:00:00"/>
    <s v="Joanna"/>
    <s v="Wrobel"/>
    <n v="22"/>
    <x v="41"/>
  </r>
  <r>
    <d v="2017-10-13T00:00:00"/>
    <s v="Krzysztof"/>
    <s v="Konieckiewicz"/>
    <n v="16"/>
    <x v="41"/>
  </r>
  <r>
    <d v="2017-10-13T00:00:00"/>
    <s v="Anna"/>
    <s v="Tomaszewska"/>
    <n v="9"/>
    <x v="41"/>
  </r>
  <r>
    <d v="2017-10-13T00:00:00"/>
    <s v="Mariusz"/>
    <s v="Mrowiec"/>
    <n v="8"/>
    <x v="41"/>
  </r>
  <r>
    <d v="2017-10-16T00:00:00"/>
    <s v="Maria"/>
    <s v="Gatek"/>
    <n v="5"/>
    <x v="41"/>
  </r>
  <r>
    <d v="2017-10-16T00:00:00"/>
    <s v="Agnieszka"/>
    <s v="Mala"/>
    <n v="10"/>
    <x v="41"/>
  </r>
  <r>
    <d v="2017-10-16T00:00:00"/>
    <s v="Jerzy"/>
    <s v="Czajkowski"/>
    <n v="29"/>
    <x v="41"/>
  </r>
  <r>
    <d v="2017-10-16T00:00:00"/>
    <s v="Anna"/>
    <s v="Tycz"/>
    <n v="20"/>
    <x v="41"/>
  </r>
  <r>
    <d v="2017-10-16T00:00:00"/>
    <s v="Piotr"/>
    <s v="Flis"/>
    <n v="11"/>
    <x v="41"/>
  </r>
  <r>
    <d v="2017-10-16T00:00:00"/>
    <s v="Lukasz"/>
    <s v="Czarnecki"/>
    <n v="45"/>
    <x v="41"/>
  </r>
  <r>
    <d v="2017-10-16T00:00:00"/>
    <s v="Ryszarda"/>
    <s v="Januszek"/>
    <n v="9"/>
    <x v="41"/>
  </r>
  <r>
    <d v="2017-10-16T00:00:00"/>
    <s v="Aleks"/>
    <s v="Wojcicki"/>
    <n v="15"/>
    <x v="41"/>
  </r>
  <r>
    <d v="2017-10-16T00:00:00"/>
    <s v="Stanislaw"/>
    <s v="Dabrowski"/>
    <n v="6"/>
    <x v="41"/>
  </r>
  <r>
    <d v="2017-10-16T00:00:00"/>
    <s v="Joanna"/>
    <s v="Janas"/>
    <n v="13"/>
    <x v="41"/>
  </r>
  <r>
    <d v="2017-10-16T00:00:00"/>
    <s v="Monika"/>
    <s v="Lis"/>
    <n v="7"/>
    <x v="41"/>
  </r>
  <r>
    <d v="2017-10-16T00:00:00"/>
    <s v="Karol"/>
    <s v="Walasz"/>
    <n v="34"/>
    <x v="41"/>
  </r>
  <r>
    <d v="2017-10-16T00:00:00"/>
    <s v="Kinga"/>
    <s v="Trawinska"/>
    <n v="4"/>
    <x v="41"/>
  </r>
  <r>
    <d v="2017-10-16T00:00:00"/>
    <s v="Adam"/>
    <s v="Susel"/>
    <n v="17"/>
    <x v="41"/>
  </r>
  <r>
    <d v="2017-10-17T00:00:00"/>
    <s v="Bruno"/>
    <s v="Tomaszewski"/>
    <n v="5"/>
    <x v="41"/>
  </r>
  <r>
    <d v="2017-10-17T00:00:00"/>
    <s v="Maciej"/>
    <s v="Wodecki"/>
    <n v="9"/>
    <x v="41"/>
  </r>
  <r>
    <d v="2017-10-17T00:00:00"/>
    <s v="Alicja"/>
    <s v="Gadek"/>
    <n v="12"/>
    <x v="41"/>
  </r>
  <r>
    <d v="2017-10-17T00:00:00"/>
    <s v="Anna"/>
    <s v="Zender"/>
    <n v="22"/>
    <x v="41"/>
  </r>
  <r>
    <d v="2017-10-17T00:00:00"/>
    <s v="Kacper"/>
    <s v="Niec"/>
    <n v="4"/>
    <x v="41"/>
  </r>
  <r>
    <d v="2017-10-17T00:00:00"/>
    <s v="Ilona"/>
    <s v="Lukaszewska"/>
    <n v="12"/>
    <x v="41"/>
  </r>
  <r>
    <d v="2017-10-17T00:00:00"/>
    <s v="Anna"/>
    <s v="Wnuk"/>
    <n v="5"/>
    <x v="41"/>
  </r>
  <r>
    <d v="2017-10-17T00:00:00"/>
    <s v="Kornelia"/>
    <s v="Nowakowska"/>
    <n v="9"/>
    <x v="41"/>
  </r>
  <r>
    <d v="2017-10-17T00:00:00"/>
    <s v="Maciej"/>
    <s v="Machalski"/>
    <n v="8"/>
    <x v="41"/>
  </r>
  <r>
    <d v="2017-10-17T00:00:00"/>
    <s v="Leon"/>
    <s v="Szybki"/>
    <n v="25"/>
    <x v="41"/>
  </r>
  <r>
    <d v="2017-10-17T00:00:00"/>
    <s v="Adam"/>
    <s v="Zega"/>
    <n v="2"/>
    <x v="41"/>
  </r>
  <r>
    <d v="2017-10-17T00:00:00"/>
    <s v="Jan"/>
    <s v="Jarek"/>
    <n v="22"/>
    <x v="41"/>
  </r>
  <r>
    <d v="2017-10-17T00:00:00"/>
    <s v="Adam"/>
    <s v="Madejski"/>
    <n v="23"/>
    <x v="41"/>
  </r>
  <r>
    <d v="2017-10-17T00:00:00"/>
    <s v="Zofia"/>
    <s v="Barak"/>
    <n v="14"/>
    <x v="41"/>
  </r>
  <r>
    <d v="2017-10-17T00:00:00"/>
    <s v="Jakub"/>
    <s v="Radomski"/>
    <n v="7"/>
    <x v="41"/>
  </r>
  <r>
    <d v="2017-10-18T00:00:00"/>
    <s v="Joanna"/>
    <s v="Oleksiak"/>
    <n v="37"/>
    <x v="42"/>
  </r>
  <r>
    <d v="2017-10-18T00:00:00"/>
    <s v="Julia"/>
    <s v="Samulczyk"/>
    <n v="18"/>
    <x v="42"/>
  </r>
  <r>
    <d v="2017-10-18T00:00:00"/>
    <s v="Tomasz"/>
    <s v="Hajdi"/>
    <n v="7"/>
    <x v="42"/>
  </r>
  <r>
    <d v="2017-10-18T00:00:00"/>
    <s v="Ewaryst"/>
    <s v="Zdunek"/>
    <n v="24"/>
    <x v="42"/>
  </r>
  <r>
    <d v="2017-10-18T00:00:00"/>
    <s v="Andrzej"/>
    <s v="Augustowski"/>
    <n v="2"/>
    <x v="42"/>
  </r>
  <r>
    <d v="2017-10-18T00:00:00"/>
    <s v="Joanna"/>
    <s v="Kopacki"/>
    <n v="16"/>
    <x v="42"/>
  </r>
  <r>
    <d v="2017-10-18T00:00:00"/>
    <s v="Ryszarda"/>
    <s v="Januszek"/>
    <n v="11"/>
    <x v="42"/>
  </r>
  <r>
    <d v="2017-10-18T00:00:00"/>
    <s v="Wiera"/>
    <s v="Nowak"/>
    <n v="27"/>
    <x v="42"/>
  </r>
  <r>
    <d v="2017-10-18T00:00:00"/>
    <s v="Marta"/>
    <s v="Wiosna"/>
    <n v="27"/>
    <x v="42"/>
  </r>
  <r>
    <d v="2017-10-18T00:00:00"/>
    <s v="Krzysztof"/>
    <s v="Kukulski"/>
    <n v="42"/>
    <x v="42"/>
  </r>
  <r>
    <d v="2017-10-18T00:00:00"/>
    <s v="Bruno"/>
    <s v="Tomaszewski"/>
    <n v="10"/>
    <x v="42"/>
  </r>
  <r>
    <d v="2017-10-18T00:00:00"/>
    <s v="Monika"/>
    <s v="Trojan"/>
    <n v="28"/>
    <x v="42"/>
  </r>
  <r>
    <d v="2017-10-18T00:00:00"/>
    <s v="Antoni"/>
    <s v="Wierzbicki"/>
    <n v="13"/>
    <x v="42"/>
  </r>
  <r>
    <d v="2017-10-18T00:00:00"/>
    <s v="Edward"/>
    <s v="Snopek"/>
    <n v="29"/>
    <x v="42"/>
  </r>
  <r>
    <d v="2017-10-18T00:00:00"/>
    <s v="Grzegorz"/>
    <s v="Kaminski"/>
    <n v="46"/>
    <x v="42"/>
  </r>
  <r>
    <d v="2017-10-19T00:00:00"/>
    <s v="Borys"/>
    <s v="Winiarski"/>
    <n v="5"/>
    <x v="42"/>
  </r>
  <r>
    <d v="2017-10-19T00:00:00"/>
    <s v="Bruno"/>
    <s v="Tomczyk"/>
    <n v="35"/>
    <x v="42"/>
  </r>
  <r>
    <d v="2017-10-19T00:00:00"/>
    <s v="Anna"/>
    <s v="Trzebiatowska"/>
    <n v="5"/>
    <x v="42"/>
  </r>
  <r>
    <d v="2017-10-19T00:00:00"/>
    <s v="Kacper"/>
    <s v="Pioro"/>
    <n v="35"/>
    <x v="42"/>
  </r>
  <r>
    <d v="2017-10-19T00:00:00"/>
    <s v="Maria"/>
    <s v="Galas"/>
    <n v="8"/>
    <x v="42"/>
  </r>
  <r>
    <d v="2017-10-19T00:00:00"/>
    <s v="Izabela"/>
    <s v="Sobota"/>
    <n v="44"/>
    <x v="42"/>
  </r>
  <r>
    <d v="2017-10-19T00:00:00"/>
    <s v="Izabela"/>
    <s v="Sobota"/>
    <n v="34"/>
    <x v="42"/>
  </r>
  <r>
    <d v="2017-10-19T00:00:00"/>
    <s v="Antoni"/>
    <s v="Pawlus"/>
    <n v="6"/>
    <x v="42"/>
  </r>
  <r>
    <d v="2017-10-19T00:00:00"/>
    <s v="Mariusz"/>
    <s v="Kornik"/>
    <n v="16"/>
    <x v="42"/>
  </r>
  <r>
    <d v="2017-10-19T00:00:00"/>
    <s v="Michal"/>
    <s v="Lenski"/>
    <n v="32"/>
    <x v="42"/>
  </r>
  <r>
    <d v="2017-10-19T00:00:00"/>
    <s v="Julia"/>
    <s v="Wolska"/>
    <n v="35"/>
    <x v="42"/>
  </r>
  <r>
    <d v="2017-10-19T00:00:00"/>
    <s v="Bartosz"/>
    <s v="Tusinski"/>
    <n v="9"/>
    <x v="42"/>
  </r>
  <r>
    <d v="2017-10-19T00:00:00"/>
    <s v="Antoni"/>
    <s v="Wizniewski"/>
    <n v="29"/>
    <x v="42"/>
  </r>
  <r>
    <d v="2017-10-19T00:00:00"/>
    <s v="Dorota"/>
    <s v="Zdun"/>
    <n v="51"/>
    <x v="42"/>
  </r>
  <r>
    <d v="2017-10-20T00:00:00"/>
    <s v="Przemyslaw"/>
    <s v="Widawski"/>
    <n v="14"/>
    <x v="42"/>
  </r>
  <r>
    <d v="2017-10-20T00:00:00"/>
    <s v="Krzysztof"/>
    <s v="Madejski"/>
    <n v="6"/>
    <x v="42"/>
  </r>
  <r>
    <d v="2017-10-20T00:00:00"/>
    <s v="Nikodem"/>
    <s v="Jakubowski"/>
    <n v="7"/>
    <x v="42"/>
  </r>
  <r>
    <d v="2017-10-20T00:00:00"/>
    <s v="Krzysztof"/>
    <s v="Plecien"/>
    <n v="23"/>
    <x v="42"/>
  </r>
  <r>
    <d v="2017-10-20T00:00:00"/>
    <s v="Mateusz"/>
    <s v="Kowalczyk"/>
    <n v="19"/>
    <x v="42"/>
  </r>
  <r>
    <d v="2017-10-20T00:00:00"/>
    <s v="Borys"/>
    <s v="Winiarski"/>
    <n v="9"/>
    <x v="42"/>
  </r>
  <r>
    <d v="2017-10-20T00:00:00"/>
    <s v="Lucja"/>
    <s v="Zych"/>
    <n v="24"/>
    <x v="42"/>
  </r>
  <r>
    <d v="2017-10-20T00:00:00"/>
    <s v="Lidia"/>
    <s v="Goluchowska"/>
    <n v="22"/>
    <x v="42"/>
  </r>
  <r>
    <d v="2017-10-20T00:00:00"/>
    <s v="Maria"/>
    <s v="Kowalczyk"/>
    <n v="22"/>
    <x v="42"/>
  </r>
  <r>
    <d v="2017-10-20T00:00:00"/>
    <s v="Tomasz"/>
    <s v="Ogorek"/>
    <n v="31"/>
    <x v="42"/>
  </r>
  <r>
    <d v="2017-10-20T00:00:00"/>
    <s v="Wojciech"/>
    <s v="Maja"/>
    <n v="4"/>
    <x v="42"/>
  </r>
  <r>
    <d v="2017-10-20T00:00:00"/>
    <s v="Wieslawa"/>
    <s v="Nowak"/>
    <n v="2"/>
    <x v="42"/>
  </r>
  <r>
    <d v="2017-10-20T00:00:00"/>
    <s v="Karolina"/>
    <s v="Bok"/>
    <n v="25"/>
    <x v="42"/>
  </r>
  <r>
    <d v="2017-10-20T00:00:00"/>
    <s v="Tadeusz"/>
    <s v="Stoch"/>
    <n v="17"/>
    <x v="42"/>
  </r>
  <r>
    <d v="2017-10-20T00:00:00"/>
    <s v="Natalia"/>
    <s v="Boryczko"/>
    <n v="6"/>
    <x v="42"/>
  </r>
  <r>
    <d v="2017-10-20T00:00:00"/>
    <s v="Aleksander"/>
    <s v="Pasternak"/>
    <n v="21"/>
    <x v="42"/>
  </r>
  <r>
    <d v="2017-10-20T00:00:00"/>
    <s v="Krzysztof"/>
    <s v="Micun"/>
    <n v="26"/>
    <x v="42"/>
  </r>
  <r>
    <d v="2017-10-23T00:00:00"/>
    <s v="Julian"/>
    <s v="Snopek"/>
    <n v="41"/>
    <x v="42"/>
  </r>
  <r>
    <d v="2017-10-23T00:00:00"/>
    <s v="Julia"/>
    <s v="Zaremba"/>
    <n v="28"/>
    <x v="42"/>
  </r>
  <r>
    <d v="2017-10-23T00:00:00"/>
    <s v="Stanislaw"/>
    <s v="Cieslik"/>
    <n v="11"/>
    <x v="42"/>
  </r>
  <r>
    <d v="2017-10-23T00:00:00"/>
    <s v="Marta"/>
    <s v="Opolska"/>
    <n v="27"/>
    <x v="42"/>
  </r>
  <r>
    <d v="2017-10-23T00:00:00"/>
    <s v="Krzysztof"/>
    <s v="Madejski"/>
    <n v="14"/>
    <x v="42"/>
  </r>
  <r>
    <d v="2017-10-23T00:00:00"/>
    <s v="Ryszard"/>
    <s v="Matusik"/>
    <n v="37"/>
    <x v="42"/>
  </r>
  <r>
    <d v="2017-10-23T00:00:00"/>
    <s v="Marzena"/>
    <s v="Gajek"/>
    <n v="49"/>
    <x v="42"/>
  </r>
  <r>
    <d v="2017-10-23T00:00:00"/>
    <s v="Wieslaw"/>
    <s v="Kasza"/>
    <n v="12"/>
    <x v="42"/>
  </r>
  <r>
    <d v="2017-10-23T00:00:00"/>
    <s v="Helena"/>
    <s v="Stachurska"/>
    <n v="16"/>
    <x v="42"/>
  </r>
  <r>
    <d v="2017-10-23T00:00:00"/>
    <s v="Julia"/>
    <s v="Sadowska"/>
    <n v="20"/>
    <x v="42"/>
  </r>
  <r>
    <d v="2017-10-23T00:00:00"/>
    <s v="Maria"/>
    <s v="Orlicki"/>
    <n v="19"/>
    <x v="42"/>
  </r>
  <r>
    <d v="2017-10-23T00:00:00"/>
    <s v="Milena"/>
    <s v="Karolewska"/>
    <n v="17"/>
    <x v="42"/>
  </r>
  <r>
    <d v="2017-10-23T00:00:00"/>
    <s v="Julian"/>
    <s v="Snopek"/>
    <n v="24"/>
    <x v="42"/>
  </r>
  <r>
    <d v="2017-10-23T00:00:00"/>
    <s v="Bartosz"/>
    <s v="Protasow"/>
    <n v="28"/>
    <x v="42"/>
  </r>
  <r>
    <d v="2017-10-23T00:00:00"/>
    <s v="Adam"/>
    <s v="Zega"/>
    <n v="14"/>
    <x v="42"/>
  </r>
  <r>
    <d v="2017-10-23T00:00:00"/>
    <s v="Malgorzata"/>
    <s v="Winiarska"/>
    <n v="47"/>
    <x v="42"/>
  </r>
  <r>
    <d v="2017-10-23T00:00:00"/>
    <s v="Krzysztof"/>
    <s v="Las"/>
    <n v="6"/>
    <x v="42"/>
  </r>
  <r>
    <d v="2017-10-24T00:00:00"/>
    <s v="Morus"/>
    <s v="Jasiak"/>
    <n v="20"/>
    <x v="42"/>
  </r>
  <r>
    <d v="2017-10-24T00:00:00"/>
    <s v="Kamila"/>
    <s v="Janas"/>
    <n v="9"/>
    <x v="42"/>
  </r>
  <r>
    <d v="2017-10-24T00:00:00"/>
    <s v="Ewa"/>
    <s v="Nowicka"/>
    <n v="43"/>
    <x v="42"/>
  </r>
  <r>
    <d v="2017-10-24T00:00:00"/>
    <s v="Adrian"/>
    <s v="Wydrzynski"/>
    <n v="50"/>
    <x v="42"/>
  </r>
  <r>
    <d v="2017-10-24T00:00:00"/>
    <s v="Jan"/>
    <s v="Gumowski"/>
    <n v="13"/>
    <x v="42"/>
  </r>
  <r>
    <d v="2017-10-24T00:00:00"/>
    <s v="Jerzy"/>
    <s v="Szklarski"/>
    <n v="30"/>
    <x v="42"/>
  </r>
  <r>
    <d v="2017-10-24T00:00:00"/>
    <s v="Michalina"/>
    <s v="Klebba"/>
    <n v="7"/>
    <x v="42"/>
  </r>
  <r>
    <d v="2017-10-24T00:00:00"/>
    <s v="Krzysztof"/>
    <s v="Koncewicz"/>
    <n v="52"/>
    <x v="42"/>
  </r>
  <r>
    <d v="2017-10-24T00:00:00"/>
    <s v="Jan"/>
    <s v="Pistek"/>
    <n v="7"/>
    <x v="42"/>
  </r>
  <r>
    <d v="2017-10-24T00:00:00"/>
    <s v="Dorota"/>
    <s v="Gumowska"/>
    <n v="6"/>
    <x v="42"/>
  </r>
  <r>
    <d v="2017-10-24T00:00:00"/>
    <s v="Maciej"/>
    <s v="Wodecki"/>
    <n v="4"/>
    <x v="42"/>
  </r>
  <r>
    <d v="2017-10-24T00:00:00"/>
    <s v="Bartosz"/>
    <s v="Debicki"/>
    <n v="56"/>
    <x v="42"/>
  </r>
  <r>
    <d v="2017-10-24T00:00:00"/>
    <s v="Lena"/>
    <s v="Marzec"/>
    <n v="54"/>
    <x v="42"/>
  </r>
  <r>
    <d v="2017-10-24T00:00:00"/>
    <s v="Tomasz"/>
    <s v="Zbik"/>
    <n v="10"/>
    <x v="42"/>
  </r>
  <r>
    <d v="2017-10-24T00:00:00"/>
    <s v="Ewa"/>
    <s v="Stoch"/>
    <n v="4"/>
    <x v="42"/>
  </r>
  <r>
    <d v="2017-10-24T00:00:00"/>
    <s v="Edward"/>
    <s v="Snopek"/>
    <n v="27"/>
    <x v="42"/>
  </r>
  <r>
    <d v="2017-10-24T00:00:00"/>
    <s v="Krzysztof"/>
    <s v="Wilecki"/>
    <n v="10"/>
    <x v="42"/>
  </r>
  <r>
    <d v="2017-10-25T00:00:00"/>
    <s v="Jaroslaw"/>
    <s v="Kopytko"/>
    <n v="11"/>
    <x v="43"/>
  </r>
  <r>
    <d v="2017-10-25T00:00:00"/>
    <s v="Filip"/>
    <s v="Strehlke"/>
    <n v="46"/>
    <x v="43"/>
  </r>
  <r>
    <d v="2017-10-25T00:00:00"/>
    <s v="Filip"/>
    <s v="Strupiechowski"/>
    <n v="28"/>
    <x v="43"/>
  </r>
  <r>
    <d v="2017-10-25T00:00:00"/>
    <s v="Wieslawa"/>
    <s v="Biczysko"/>
    <n v="21"/>
    <x v="43"/>
  </r>
  <r>
    <d v="2017-10-25T00:00:00"/>
    <s v="Filip"/>
    <s v="Stanulewicz"/>
    <n v="2"/>
    <x v="43"/>
  </r>
  <r>
    <d v="2017-10-25T00:00:00"/>
    <s v="Bonifacy"/>
    <s v="Pleszewski"/>
    <n v="15"/>
    <x v="43"/>
  </r>
  <r>
    <d v="2017-10-25T00:00:00"/>
    <s v="Natalia"/>
    <s v="Belicka"/>
    <n v="34"/>
    <x v="43"/>
  </r>
  <r>
    <d v="2017-10-25T00:00:00"/>
    <s v="Anna"/>
    <s v="Zender"/>
    <n v="52"/>
    <x v="43"/>
  </r>
  <r>
    <d v="2017-10-25T00:00:00"/>
    <s v="Karolina"/>
    <s v="Karpacka"/>
    <n v="49"/>
    <x v="43"/>
  </r>
  <r>
    <d v="2017-10-25T00:00:00"/>
    <s v="Kacper"/>
    <s v="Nikolajew"/>
    <n v="4"/>
    <x v="43"/>
  </r>
  <r>
    <d v="2017-10-25T00:00:00"/>
    <s v="Ewelina"/>
    <s v="Bialkowska"/>
    <n v="17"/>
    <x v="43"/>
  </r>
  <r>
    <d v="2017-10-25T00:00:00"/>
    <s v="Urszula"/>
    <s v="Engel"/>
    <n v="8"/>
    <x v="43"/>
  </r>
  <r>
    <d v="2017-10-25T00:00:00"/>
    <s v="Agata"/>
    <s v="Zdrojewska"/>
    <n v="39"/>
    <x v="43"/>
  </r>
  <r>
    <d v="2017-10-25T00:00:00"/>
    <s v="Marcin"/>
    <s v="Gizinski"/>
    <n v="32"/>
    <x v="43"/>
  </r>
  <r>
    <d v="2017-10-25T00:00:00"/>
    <s v="Patrycja"/>
    <s v="Grzeszcz"/>
    <n v="12"/>
    <x v="43"/>
  </r>
  <r>
    <d v="2017-10-25T00:00:00"/>
    <s v="Marta"/>
    <s v="Kolodziejczyk"/>
    <n v="10"/>
    <x v="43"/>
  </r>
  <r>
    <d v="2017-10-26T00:00:00"/>
    <s v="Malgorzata"/>
    <s v="Wiecek"/>
    <n v="9"/>
    <x v="43"/>
  </r>
  <r>
    <d v="2017-10-26T00:00:00"/>
    <s v="Ewa"/>
    <s v="Milion"/>
    <n v="26"/>
    <x v="43"/>
  </r>
  <r>
    <d v="2017-10-26T00:00:00"/>
    <s v="Anna"/>
    <s v="Jopek"/>
    <n v="25"/>
    <x v="43"/>
  </r>
  <r>
    <d v="2017-10-26T00:00:00"/>
    <s v="Joanna"/>
    <s v="Baranska"/>
    <n v="2"/>
    <x v="43"/>
  </r>
  <r>
    <d v="2017-10-26T00:00:00"/>
    <s v="Maria"/>
    <s v="Kowalczuk"/>
    <n v="23"/>
    <x v="43"/>
  </r>
  <r>
    <d v="2017-10-26T00:00:00"/>
    <s v="Balbina"/>
    <s v="Madej"/>
    <n v="27"/>
    <x v="43"/>
  </r>
  <r>
    <d v="2017-10-27T00:00:00"/>
    <s v="Edgar"/>
    <s v="Wyszomirski"/>
    <n v="12"/>
    <x v="43"/>
  </r>
  <r>
    <d v="2017-10-27T00:00:00"/>
    <s v="Karol"/>
    <s v="Wojciechowski"/>
    <n v="22"/>
    <x v="43"/>
  </r>
  <r>
    <d v="2017-10-27T00:00:00"/>
    <s v="Wieslawa"/>
    <s v="Biczysko"/>
    <n v="22"/>
    <x v="43"/>
  </r>
  <r>
    <d v="2017-10-27T00:00:00"/>
    <s v="Maciej"/>
    <s v="Kopacz"/>
    <n v="13"/>
    <x v="43"/>
  </r>
  <r>
    <d v="2017-10-27T00:00:00"/>
    <s v="Kazimierz"/>
    <s v="Bartosik"/>
    <n v="8"/>
    <x v="43"/>
  </r>
  <r>
    <d v="2017-10-27T00:00:00"/>
    <s v="Ewa"/>
    <s v="Spoko"/>
    <n v="29"/>
    <x v="43"/>
  </r>
  <r>
    <d v="2017-10-30T00:00:00"/>
    <s v="Kacper"/>
    <s v="Kowalski"/>
    <n v="22"/>
    <x v="43"/>
  </r>
  <r>
    <d v="2017-10-30T00:00:00"/>
    <s v="Barbara"/>
    <s v="Kilarski"/>
    <n v="16"/>
    <x v="43"/>
  </r>
  <r>
    <d v="2017-10-30T00:00:00"/>
    <s v="Kamil"/>
    <s v="Pudelski"/>
    <n v="56"/>
    <x v="43"/>
  </r>
  <r>
    <d v="2017-10-30T00:00:00"/>
    <s v="Przemyslaw"/>
    <s v="Marek"/>
    <n v="3"/>
    <x v="43"/>
  </r>
  <r>
    <d v="2017-10-30T00:00:00"/>
    <s v="Kinga"/>
    <s v="Famura"/>
    <n v="46"/>
    <x v="43"/>
  </r>
  <r>
    <d v="2017-10-30T00:00:00"/>
    <s v="Ilona"/>
    <s v="Gorska"/>
    <n v="28"/>
    <x v="43"/>
  </r>
  <r>
    <d v="2017-10-31T00:00:00"/>
    <s v="Filip"/>
    <s v="Strupiechowski"/>
    <n v="42"/>
    <x v="43"/>
  </r>
  <r>
    <d v="2017-10-31T00:00:00"/>
    <s v="Ewa"/>
    <s v="Milion"/>
    <n v="7"/>
    <x v="43"/>
  </r>
  <r>
    <d v="2017-10-31T00:00:00"/>
    <s v="Dominika"/>
    <s v="Nowakowska"/>
    <n v="18"/>
    <x v="43"/>
  </r>
  <r>
    <d v="2017-10-31T00:00:00"/>
    <s v="Krzysztof"/>
    <s v="Dwa"/>
    <n v="16"/>
    <x v="43"/>
  </r>
  <r>
    <d v="2017-10-31T00:00:00"/>
    <s v="Marcin"/>
    <s v="Tabaka"/>
    <n v="12"/>
    <x v="43"/>
  </r>
  <r>
    <d v="2017-10-31T00:00:00"/>
    <s v="Mariusz"/>
    <s v="Kornik"/>
    <n v="4"/>
    <x v="43"/>
  </r>
  <r>
    <d v="2017-10-31T00:00:00"/>
    <s v="Stefan"/>
    <s v="Bajer"/>
    <n v="36"/>
    <x v="43"/>
  </r>
  <r>
    <d v="2017-10-31T00:00:00"/>
    <s v="Marcin"/>
    <s v="Gizinski"/>
    <n v="22"/>
    <x v="43"/>
  </r>
  <r>
    <d v="2017-10-31T00:00:00"/>
    <s v="Janusz"/>
    <s v="Baka"/>
    <n v="22"/>
    <x v="43"/>
  </r>
  <r>
    <d v="2017-10-31T00:00:00"/>
    <s v="Aleksander"/>
    <s v="Pasternak"/>
    <n v="10"/>
    <x v="43"/>
  </r>
  <r>
    <d v="2017-10-31T00:00:00"/>
    <s v="Leon"/>
    <s v="Szybki"/>
    <n v="3"/>
    <x v="43"/>
  </r>
  <r>
    <d v="2017-10-31T00:00:00"/>
    <s v="Piotr"/>
    <s v="Polkowicki"/>
    <n v="8"/>
    <x v="43"/>
  </r>
  <r>
    <d v="2017-10-31T00:00:00"/>
    <s v="Ignacy"/>
    <s v="Sarnowski"/>
    <n v="7"/>
    <x v="43"/>
  </r>
  <r>
    <d v="2017-10-31T00:00:00"/>
    <s v="Ewa"/>
    <s v="Stoch"/>
    <n v="29"/>
    <x v="43"/>
  </r>
  <r>
    <d v="2017-10-31T00:00:00"/>
    <s v="Marek"/>
    <s v="Janowski"/>
    <n v="7"/>
    <x v="43"/>
  </r>
  <r>
    <d v="2017-10-31T00:00:00"/>
    <s v="Alicja"/>
    <s v="Chmiel"/>
    <n v="20"/>
    <x v="43"/>
  </r>
  <r>
    <d v="2017-10-31T00:00:00"/>
    <s v="Karol"/>
    <s v="Wojciechowski"/>
    <n v="13"/>
    <x v="43"/>
  </r>
  <r>
    <d v="2017-11-01T00:00:00"/>
    <s v="Adam"/>
    <s v="Wata"/>
    <n v="12"/>
    <x v="44"/>
  </r>
  <r>
    <d v="2017-11-01T00:00:00"/>
    <s v="Karol"/>
    <s v="Walasz"/>
    <n v="16"/>
    <x v="44"/>
  </r>
  <r>
    <d v="2017-11-01T00:00:00"/>
    <s v="Hubert"/>
    <s v="Pieczatowski"/>
    <n v="11"/>
    <x v="44"/>
  </r>
  <r>
    <d v="2017-11-01T00:00:00"/>
    <s v="Barbara"/>
    <s v="Podobinska"/>
    <n v="40"/>
    <x v="44"/>
  </r>
  <r>
    <d v="2017-11-01T00:00:00"/>
    <s v="Jakub"/>
    <s v="Rembiewski"/>
    <n v="34"/>
    <x v="44"/>
  </r>
  <r>
    <d v="2017-11-01T00:00:00"/>
    <s v="Wieslawa"/>
    <s v="Nowak"/>
    <n v="36"/>
    <x v="44"/>
  </r>
  <r>
    <d v="2017-11-01T00:00:00"/>
    <s v="Zuzanna"/>
    <s v="Malicki"/>
    <n v="19"/>
    <x v="44"/>
  </r>
  <r>
    <d v="2017-11-01T00:00:00"/>
    <s v="Marta"/>
    <s v="Wiosna"/>
    <n v="22"/>
    <x v="44"/>
  </r>
  <r>
    <d v="2017-11-01T00:00:00"/>
    <s v="Wojciech"/>
    <s v="Wroblewski"/>
    <n v="12"/>
    <x v="44"/>
  </r>
  <r>
    <d v="2017-11-01T00:00:00"/>
    <s v="Anna"/>
    <s v="Jopek"/>
    <n v="28"/>
    <x v="44"/>
  </r>
  <r>
    <d v="2017-11-01T00:00:00"/>
    <s v="Jakub"/>
    <s v="Ropiak"/>
    <n v="48"/>
    <x v="44"/>
  </r>
  <r>
    <d v="2017-11-01T00:00:00"/>
    <s v="Malwina"/>
    <s v="Korzeniowska"/>
    <n v="25"/>
    <x v="44"/>
  </r>
  <r>
    <d v="2017-11-01T00:00:00"/>
    <s v="Gabriela"/>
    <s v="Malinowska"/>
    <n v="16"/>
    <x v="44"/>
  </r>
  <r>
    <d v="2017-11-01T00:00:00"/>
    <s v="Adelajda"/>
    <s v="Zylinska"/>
    <n v="12"/>
    <x v="44"/>
  </r>
  <r>
    <d v="2017-11-01T00:00:00"/>
    <s v="Wojciech"/>
    <s v="Katowicki"/>
    <n v="28"/>
    <x v="44"/>
  </r>
  <r>
    <d v="2017-11-01T00:00:00"/>
    <s v="Maciej"/>
    <s v="Siemiatkowski"/>
    <n v="12"/>
    <x v="44"/>
  </r>
  <r>
    <d v="2017-11-01T00:00:00"/>
    <s v="Zbigniew"/>
    <s v="Maciag"/>
    <n v="17"/>
    <x v="44"/>
  </r>
  <r>
    <d v="2017-11-02T00:00:00"/>
    <s v="Albert"/>
    <s v="Pleszewski"/>
    <n v="16"/>
    <x v="44"/>
  </r>
  <r>
    <d v="2017-11-02T00:00:00"/>
    <s v="Krzysztof"/>
    <s v="Sobieski"/>
    <n v="14"/>
    <x v="44"/>
  </r>
  <r>
    <d v="2017-11-02T00:00:00"/>
    <s v="Monika"/>
    <s v="Placzek"/>
    <n v="25"/>
    <x v="44"/>
  </r>
  <r>
    <d v="2017-11-02T00:00:00"/>
    <s v="Julia"/>
    <s v="Stuhr"/>
    <n v="15"/>
    <x v="44"/>
  </r>
  <r>
    <d v="2017-11-02T00:00:00"/>
    <s v="Jerzy"/>
    <s v="Polanicki"/>
    <n v="16"/>
    <x v="44"/>
  </r>
  <r>
    <d v="2017-11-02T00:00:00"/>
    <s v="Anastazja"/>
    <s v="Borowska"/>
    <n v="35"/>
    <x v="44"/>
  </r>
  <r>
    <d v="2017-11-03T00:00:00"/>
    <s v="Olgierd"/>
    <s v="Baranek"/>
    <n v="2"/>
    <x v="44"/>
  </r>
  <r>
    <d v="2017-11-03T00:00:00"/>
    <s v="Nikodem"/>
    <s v="Jama"/>
    <n v="5"/>
    <x v="44"/>
  </r>
  <r>
    <d v="2017-11-03T00:00:00"/>
    <s v="Julia"/>
    <s v="Riegel"/>
    <n v="14"/>
    <x v="44"/>
  </r>
  <r>
    <d v="2017-11-03T00:00:00"/>
    <s v="Kacper"/>
    <s v="Niec"/>
    <n v="29"/>
    <x v="44"/>
  </r>
  <r>
    <d v="2017-11-03T00:00:00"/>
    <s v="Dorota"/>
    <s v="Adamus"/>
    <n v="13"/>
    <x v="44"/>
  </r>
  <r>
    <d v="2017-11-03T00:00:00"/>
    <s v="Lidia"/>
    <s v="Tarnowska"/>
    <n v="24"/>
    <x v="44"/>
  </r>
  <r>
    <d v="2017-11-06T00:00:00"/>
    <s v="Malgorzata"/>
    <s v="Karlowski"/>
    <n v="2"/>
    <x v="44"/>
  </r>
  <r>
    <d v="2017-11-06T00:00:00"/>
    <s v="Filip"/>
    <s v="Sobol"/>
    <n v="31"/>
    <x v="44"/>
  </r>
  <r>
    <d v="2017-11-06T00:00:00"/>
    <s v="Kamila"/>
    <s v="Knapik"/>
    <n v="18"/>
    <x v="44"/>
  </r>
  <r>
    <d v="2017-11-06T00:00:00"/>
    <s v="Patryk"/>
    <s v="Gibas"/>
    <n v="3"/>
    <x v="44"/>
  </r>
  <r>
    <d v="2017-11-06T00:00:00"/>
    <s v="Barbara"/>
    <s v="Kilarski"/>
    <n v="30"/>
    <x v="44"/>
  </r>
  <r>
    <d v="2017-11-06T00:00:00"/>
    <s v="Amelia"/>
    <s v="Wilk"/>
    <n v="5"/>
    <x v="44"/>
  </r>
  <r>
    <d v="2017-11-07T00:00:00"/>
    <s v="Malwina"/>
    <s v="Korzeniowska"/>
    <n v="13"/>
    <x v="44"/>
  </r>
  <r>
    <d v="2017-11-07T00:00:00"/>
    <s v="Wiera"/>
    <s v="Nowak"/>
    <n v="16"/>
    <x v="44"/>
  </r>
  <r>
    <d v="2017-11-07T00:00:00"/>
    <s v="Maksymilian"/>
    <s v="Lupa"/>
    <n v="3"/>
    <x v="44"/>
  </r>
  <r>
    <d v="2017-11-07T00:00:00"/>
    <s v="Mateusz"/>
    <s v="Krawczyk"/>
    <n v="50"/>
    <x v="44"/>
  </r>
  <r>
    <d v="2017-11-07T00:00:00"/>
    <s v="Dominika"/>
    <s v="Mierny"/>
    <n v="25"/>
    <x v="44"/>
  </r>
  <r>
    <d v="2017-11-07T00:00:00"/>
    <s v="Protazy"/>
    <s v="Warszawski"/>
    <n v="16"/>
    <x v="44"/>
  </r>
  <r>
    <d v="2017-11-08T00:00:00"/>
    <s v="Michal"/>
    <s v="Polaczek"/>
    <n v="13"/>
    <x v="45"/>
  </r>
  <r>
    <d v="2017-11-08T00:00:00"/>
    <s v="Szymon"/>
    <s v="Mrozniak"/>
    <n v="13"/>
    <x v="45"/>
  </r>
  <r>
    <d v="2017-11-08T00:00:00"/>
    <s v="Lukasz"/>
    <s v="Pawlik"/>
    <n v="15"/>
    <x v="45"/>
  </r>
  <r>
    <d v="2017-11-08T00:00:00"/>
    <s v="Wieslawa"/>
    <s v="Nowak"/>
    <n v="41"/>
    <x v="45"/>
  </r>
  <r>
    <d v="2017-11-08T00:00:00"/>
    <s v="Nikodem"/>
    <s v="Jablonski"/>
    <n v="50"/>
    <x v="45"/>
  </r>
  <r>
    <d v="2017-11-08T00:00:00"/>
    <s v="Daria"/>
    <s v="Zagrobna"/>
    <n v="26"/>
    <x v="45"/>
  </r>
  <r>
    <d v="2017-11-09T00:00:00"/>
    <s v="Adrian"/>
    <s v="Zawisza"/>
    <n v="10"/>
    <x v="45"/>
  </r>
  <r>
    <d v="2017-11-09T00:00:00"/>
    <s v="Hubert"/>
    <s v="Smyk"/>
    <n v="10"/>
    <x v="45"/>
  </r>
  <r>
    <d v="2017-11-09T00:00:00"/>
    <s v="Adela"/>
    <s v="Waruszewska"/>
    <n v="20"/>
    <x v="45"/>
  </r>
  <r>
    <d v="2017-11-09T00:00:00"/>
    <s v="Tomasz"/>
    <s v="Tytan"/>
    <n v="26"/>
    <x v="45"/>
  </r>
  <r>
    <d v="2017-11-09T00:00:00"/>
    <s v="Maja"/>
    <s v="Kwidczynska"/>
    <n v="27"/>
    <x v="45"/>
  </r>
  <r>
    <d v="2017-11-09T00:00:00"/>
    <s v="Wojciech"/>
    <s v="Czyzewski"/>
    <n v="24"/>
    <x v="45"/>
  </r>
  <r>
    <d v="2017-11-10T00:00:00"/>
    <s v="Julia"/>
    <s v="Reclaw"/>
    <n v="41"/>
    <x v="45"/>
  </r>
  <r>
    <d v="2017-11-10T00:00:00"/>
    <s v="Bohdan"/>
    <s v="Gigant"/>
    <n v="8"/>
    <x v="45"/>
  </r>
  <r>
    <d v="2017-11-10T00:00:00"/>
    <s v="Adam"/>
    <s v="Czarnecki"/>
    <n v="30"/>
    <x v="45"/>
  </r>
  <r>
    <d v="2017-11-10T00:00:00"/>
    <s v="Wiera"/>
    <s v="Nowak"/>
    <n v="30"/>
    <x v="45"/>
  </r>
  <r>
    <d v="2017-11-10T00:00:00"/>
    <s v="Patryk"/>
    <s v="Glac"/>
    <n v="13"/>
    <x v="45"/>
  </r>
  <r>
    <d v="2017-11-10T00:00:00"/>
    <s v="Inez"/>
    <s v="Nahaj"/>
    <n v="27"/>
    <x v="45"/>
  </r>
  <r>
    <d v="2017-11-10T00:00:00"/>
    <s v="Emilia"/>
    <s v="Mroczek"/>
    <n v="41"/>
    <x v="45"/>
  </r>
  <r>
    <d v="2017-11-10T00:00:00"/>
    <s v="Szymon"/>
    <s v="Polak"/>
    <n v="21"/>
    <x v="45"/>
  </r>
  <r>
    <d v="2017-11-10T00:00:00"/>
    <s v="Janusz"/>
    <s v="Wrobel"/>
    <n v="52"/>
    <x v="45"/>
  </r>
  <r>
    <d v="2017-11-10T00:00:00"/>
    <s v="Urszula"/>
    <s v="Engel"/>
    <n v="23"/>
    <x v="45"/>
  </r>
  <r>
    <d v="2017-11-10T00:00:00"/>
    <s v="Jakub"/>
    <s v="Potocki"/>
    <n v="32"/>
    <x v="45"/>
  </r>
  <r>
    <d v="2017-11-10T00:00:00"/>
    <s v="Ilona"/>
    <s v="Lukaszewska"/>
    <n v="33"/>
    <x v="45"/>
  </r>
  <r>
    <d v="2017-11-10T00:00:00"/>
    <s v="Jacek"/>
    <s v="Bigaj"/>
    <n v="41"/>
    <x v="45"/>
  </r>
  <r>
    <d v="2017-11-10T00:00:00"/>
    <s v="Monika"/>
    <s v="Trojan"/>
    <n v="29"/>
    <x v="45"/>
  </r>
  <r>
    <d v="2017-11-10T00:00:00"/>
    <s v="Kamil"/>
    <s v="Waniek"/>
    <n v="25"/>
    <x v="45"/>
  </r>
  <r>
    <d v="2017-11-10T00:00:00"/>
    <s v="Anna"/>
    <s v="Kraska"/>
    <n v="3"/>
    <x v="45"/>
  </r>
  <r>
    <d v="2017-11-10T00:00:00"/>
    <s v="Jan"/>
    <s v="Marasek"/>
    <n v="23"/>
    <x v="45"/>
  </r>
  <r>
    <d v="2017-11-10T00:00:00"/>
    <s v="Mariola"/>
    <s v="Las"/>
    <n v="25"/>
    <x v="45"/>
  </r>
  <r>
    <d v="2017-11-10T00:00:00"/>
    <s v="Kamil"/>
    <s v="Szyszko"/>
    <n v="29"/>
    <x v="45"/>
  </r>
  <r>
    <d v="2017-11-13T00:00:00"/>
    <s v="Anna"/>
    <s v="Wilk"/>
    <n v="24"/>
    <x v="45"/>
  </r>
  <r>
    <d v="2017-11-13T00:00:00"/>
    <s v="Ryszard"/>
    <s v="Baranowski"/>
    <n v="19"/>
    <x v="45"/>
  </r>
  <r>
    <d v="2017-11-13T00:00:00"/>
    <s v="Olgierd"/>
    <s v="Hazubski"/>
    <n v="7"/>
    <x v="45"/>
  </r>
  <r>
    <d v="2017-11-13T00:00:00"/>
    <s v="Krzysztof"/>
    <s v="Micun"/>
    <n v="7"/>
    <x v="45"/>
  </r>
  <r>
    <d v="2017-11-13T00:00:00"/>
    <s v="Marian"/>
    <s v="Bukalski"/>
    <n v="28"/>
    <x v="45"/>
  </r>
  <r>
    <d v="2017-11-13T00:00:00"/>
    <s v="Dorian"/>
    <s v="Szczepkowski"/>
    <n v="50"/>
    <x v="45"/>
  </r>
  <r>
    <d v="2017-11-13T00:00:00"/>
    <s v="Alicja"/>
    <s v="Walentowicz"/>
    <n v="8"/>
    <x v="45"/>
  </r>
  <r>
    <d v="2017-11-13T00:00:00"/>
    <s v="Agnieszka"/>
    <s v="Matusik"/>
    <n v="3"/>
    <x v="45"/>
  </r>
  <r>
    <d v="2017-11-13T00:00:00"/>
    <s v="Maja"/>
    <s v="Kaminska"/>
    <n v="13"/>
    <x v="45"/>
  </r>
  <r>
    <d v="2017-11-13T00:00:00"/>
    <s v="Ewa"/>
    <s v="Wojna"/>
    <n v="17"/>
    <x v="45"/>
  </r>
  <r>
    <d v="2017-11-13T00:00:00"/>
    <s v="Marzena"/>
    <s v="Jagielska"/>
    <n v="55"/>
    <x v="45"/>
  </r>
  <r>
    <d v="2017-11-13T00:00:00"/>
    <s v="Krzysztof"/>
    <s v="Figurski"/>
    <n v="46"/>
    <x v="45"/>
  </r>
  <r>
    <d v="2017-11-13T00:00:00"/>
    <s v="Marek"/>
    <s v="Sulejski"/>
    <n v="48"/>
    <x v="45"/>
  </r>
  <r>
    <d v="2017-11-13T00:00:00"/>
    <s v="Tomasz"/>
    <s v="Ogorek"/>
    <n v="35"/>
    <x v="45"/>
  </r>
  <r>
    <d v="2017-11-13T00:00:00"/>
    <s v="Kazimierz"/>
    <s v="Biedka"/>
    <n v="54"/>
    <x v="45"/>
  </r>
  <r>
    <d v="2017-11-13T00:00:00"/>
    <s v="Wanda"/>
    <s v="Sadza"/>
    <n v="6"/>
    <x v="45"/>
  </r>
  <r>
    <d v="2017-11-13T00:00:00"/>
    <s v="Ewa"/>
    <s v="Aderek"/>
    <n v="53"/>
    <x v="45"/>
  </r>
  <r>
    <d v="2017-11-13T00:00:00"/>
    <s v="Julia"/>
    <s v="Zaremba"/>
    <n v="29"/>
    <x v="45"/>
  </r>
  <r>
    <d v="2017-11-14T00:00:00"/>
    <s v="Bernard"/>
    <s v="Madej"/>
    <n v="35"/>
    <x v="45"/>
  </r>
  <r>
    <d v="2017-11-14T00:00:00"/>
    <s v="Inez"/>
    <s v="Nahaj"/>
    <n v="24"/>
    <x v="45"/>
  </r>
  <r>
    <d v="2017-11-14T00:00:00"/>
    <s v="Stanislaw"/>
    <s v="Janiec"/>
    <n v="25"/>
    <x v="45"/>
  </r>
  <r>
    <d v="2017-11-14T00:00:00"/>
    <s v="Ewa"/>
    <s v="Wojna"/>
    <n v="10"/>
    <x v="45"/>
  </r>
  <r>
    <d v="2017-11-14T00:00:00"/>
    <s v="Mariola"/>
    <s v="Las"/>
    <n v="10"/>
    <x v="45"/>
  </r>
  <r>
    <d v="2017-11-14T00:00:00"/>
    <s v="Sebastian"/>
    <s v="Powoj"/>
    <n v="6"/>
    <x v="45"/>
  </r>
  <r>
    <d v="2017-11-14T00:00:00"/>
    <s v="Karol"/>
    <s v="Milek"/>
    <n v="20"/>
    <x v="45"/>
  </r>
  <r>
    <d v="2017-11-14T00:00:00"/>
    <s v="Emilia"/>
    <s v="Szczepanska"/>
    <n v="9"/>
    <x v="45"/>
  </r>
  <r>
    <d v="2017-11-15T00:00:00"/>
    <s v="Helena"/>
    <s v="Stachurska"/>
    <n v="5"/>
    <x v="46"/>
  </r>
  <r>
    <d v="2017-11-15T00:00:00"/>
    <s v="Joanna"/>
    <s v="Ottka"/>
    <n v="22"/>
    <x v="46"/>
  </r>
  <r>
    <d v="2017-11-15T00:00:00"/>
    <s v="Monika"/>
    <s v="Placzek"/>
    <n v="10"/>
    <x v="46"/>
  </r>
  <r>
    <d v="2017-11-15T00:00:00"/>
    <s v="Krzysztof"/>
    <s v="Plecien"/>
    <n v="13"/>
    <x v="46"/>
  </r>
  <r>
    <d v="2017-11-15T00:00:00"/>
    <s v="Diana"/>
    <s v="Michalska"/>
    <n v="18"/>
    <x v="46"/>
  </r>
  <r>
    <d v="2017-11-15T00:00:00"/>
    <s v="Justyna"/>
    <s v="Pozarzycka"/>
    <n v="5"/>
    <x v="46"/>
  </r>
  <r>
    <d v="2017-11-15T00:00:00"/>
    <s v="Henryk"/>
    <s v="Siminski"/>
    <n v="26"/>
    <x v="46"/>
  </r>
  <r>
    <d v="2017-11-15T00:00:00"/>
    <s v="Alicja"/>
    <s v="Wojciechowska"/>
    <n v="20"/>
    <x v="46"/>
  </r>
  <r>
    <d v="2017-11-16T00:00:00"/>
    <s v="Weronika"/>
    <s v="Zdroj"/>
    <n v="11"/>
    <x v="46"/>
  </r>
  <r>
    <d v="2017-11-16T00:00:00"/>
    <s v="Ewa"/>
    <s v="Zak"/>
    <n v="23"/>
    <x v="46"/>
  </r>
  <r>
    <d v="2017-11-16T00:00:00"/>
    <s v="Bartosz"/>
    <s v="Mazgaj"/>
    <n v="12"/>
    <x v="46"/>
  </r>
  <r>
    <d v="2017-11-16T00:00:00"/>
    <s v="Cyprian"/>
    <s v="Swierszcz"/>
    <n v="23"/>
    <x v="46"/>
  </r>
  <r>
    <d v="2017-11-16T00:00:00"/>
    <s v="Natalia"/>
    <s v="Mroz"/>
    <n v="9"/>
    <x v="46"/>
  </r>
  <r>
    <d v="2017-11-16T00:00:00"/>
    <s v="Karol"/>
    <s v="Hubicki"/>
    <n v="27"/>
    <x v="46"/>
  </r>
  <r>
    <d v="2017-11-16T00:00:00"/>
    <s v="Piotr"/>
    <s v="Kania"/>
    <n v="26"/>
    <x v="46"/>
  </r>
  <r>
    <d v="2017-11-16T00:00:00"/>
    <s v="Dawid"/>
    <s v="Szreder"/>
    <n v="11"/>
    <x v="46"/>
  </r>
  <r>
    <d v="2017-11-17T00:00:00"/>
    <s v="Marek"/>
    <s v="Janowski"/>
    <n v="14"/>
    <x v="46"/>
  </r>
  <r>
    <d v="2017-11-17T00:00:00"/>
    <s v="Agnieszka"/>
    <s v="Krawczynska"/>
    <n v="24"/>
    <x v="46"/>
  </r>
  <r>
    <d v="2017-11-17T00:00:00"/>
    <s v="Piotr"/>
    <s v="Felus"/>
    <n v="18"/>
    <x v="46"/>
  </r>
  <r>
    <d v="2017-11-17T00:00:00"/>
    <s v="Wojciech"/>
    <s v="Goc"/>
    <n v="13"/>
    <x v="46"/>
  </r>
  <r>
    <d v="2017-11-17T00:00:00"/>
    <s v="Zuzanna"/>
    <s v="Malicki"/>
    <n v="18"/>
    <x v="46"/>
  </r>
  <r>
    <d v="2017-11-17T00:00:00"/>
    <s v="Kacper"/>
    <s v="Nowak"/>
    <n v="36"/>
    <x v="46"/>
  </r>
  <r>
    <d v="2017-11-17T00:00:00"/>
    <s v="Waldemar"/>
    <s v="Koronski"/>
    <n v="23"/>
    <x v="46"/>
  </r>
  <r>
    <d v="2017-11-17T00:00:00"/>
    <s v="Angelika"/>
    <s v="Walaszek"/>
    <n v="7"/>
    <x v="46"/>
  </r>
  <r>
    <d v="2017-11-17T00:00:00"/>
    <s v="Krzysztof"/>
    <s v="Micun"/>
    <n v="54"/>
    <x v="46"/>
  </r>
  <r>
    <d v="2017-11-17T00:00:00"/>
    <s v="Olgierd"/>
    <s v="Baranek"/>
    <n v="48"/>
    <x v="46"/>
  </r>
  <r>
    <d v="2017-11-17T00:00:00"/>
    <s v="Borys"/>
    <s v="Biedal"/>
    <n v="5"/>
    <x v="46"/>
  </r>
  <r>
    <d v="2017-11-17T00:00:00"/>
    <s v="Olaf"/>
    <s v="Hrywniak"/>
    <n v="51"/>
    <x v="46"/>
  </r>
  <r>
    <d v="2017-11-17T00:00:00"/>
    <s v="Bartlomiej"/>
    <s v="Wojciechowski"/>
    <n v="10"/>
    <x v="46"/>
  </r>
  <r>
    <d v="2017-11-17T00:00:00"/>
    <s v="Mariusz"/>
    <s v="Brydzinski"/>
    <n v="24"/>
    <x v="46"/>
  </r>
  <r>
    <d v="2017-11-17T00:00:00"/>
    <s v="Karolina"/>
    <s v="Wrona"/>
    <n v="7"/>
    <x v="46"/>
  </r>
  <r>
    <d v="2017-11-17T00:00:00"/>
    <s v="Anna"/>
    <s v="Wnuk"/>
    <n v="11"/>
    <x v="46"/>
  </r>
  <r>
    <d v="2017-11-17T00:00:00"/>
    <s v="Katarzyna"/>
    <s v="Wip"/>
    <n v="4"/>
    <x v="46"/>
  </r>
  <r>
    <d v="2017-11-20T00:00:00"/>
    <s v="Maja"/>
    <s v="Lange"/>
    <n v="30"/>
    <x v="46"/>
  </r>
  <r>
    <d v="2017-11-20T00:00:00"/>
    <s v="Weronika"/>
    <s v="Zdroj"/>
    <n v="36"/>
    <x v="46"/>
  </r>
  <r>
    <d v="2017-11-20T00:00:00"/>
    <s v="Marek"/>
    <s v="Wolicki"/>
    <n v="22"/>
    <x v="46"/>
  </r>
  <r>
    <d v="2017-11-20T00:00:00"/>
    <s v="Grzegorz"/>
    <s v="Jackowski"/>
    <n v="21"/>
    <x v="46"/>
  </r>
  <r>
    <d v="2017-11-20T00:00:00"/>
    <s v="Jan"/>
    <s v="Zaczyk"/>
    <n v="16"/>
    <x v="46"/>
  </r>
  <r>
    <d v="2017-11-20T00:00:00"/>
    <s v="Albert"/>
    <s v="Pleszewski"/>
    <n v="52"/>
    <x v="46"/>
  </r>
  <r>
    <d v="2017-11-20T00:00:00"/>
    <s v="Monika"/>
    <s v="Lis"/>
    <n v="20"/>
    <x v="46"/>
  </r>
  <r>
    <d v="2017-11-20T00:00:00"/>
    <s v="Hubert"/>
    <s v="Pieczatowski"/>
    <n v="3"/>
    <x v="46"/>
  </r>
  <r>
    <d v="2017-11-20T00:00:00"/>
    <s v="Edward"/>
    <s v="Zdunek"/>
    <n v="23"/>
    <x v="46"/>
  </r>
  <r>
    <d v="2017-11-20T00:00:00"/>
    <s v="Konrad"/>
    <s v="Lipowski"/>
    <n v="4"/>
    <x v="46"/>
  </r>
  <r>
    <d v="2017-11-20T00:00:00"/>
    <s v="Dorota"/>
    <s v="Adamus"/>
    <n v="20"/>
    <x v="46"/>
  </r>
  <r>
    <d v="2017-11-20T00:00:00"/>
    <s v="Alicja"/>
    <s v="Wojciechowska"/>
    <n v="51"/>
    <x v="46"/>
  </r>
  <r>
    <d v="2017-11-20T00:00:00"/>
    <s v="Urszula"/>
    <s v="Pawlak"/>
    <n v="29"/>
    <x v="46"/>
  </r>
  <r>
    <d v="2017-11-20T00:00:00"/>
    <s v="Jakub"/>
    <s v="Rembisz"/>
    <n v="54"/>
    <x v="46"/>
  </r>
  <r>
    <d v="2017-11-20T00:00:00"/>
    <s v="Zofia"/>
    <s v="Broszkow"/>
    <n v="19"/>
    <x v="46"/>
  </r>
  <r>
    <d v="2017-11-20T00:00:00"/>
    <s v="Ilona"/>
    <s v="Nowak"/>
    <n v="25"/>
    <x v="46"/>
  </r>
  <r>
    <d v="2017-11-20T00:00:00"/>
    <s v="Wiktor"/>
    <s v="Lubelski"/>
    <n v="4"/>
    <x v="46"/>
  </r>
  <r>
    <d v="2017-11-20T00:00:00"/>
    <s v="Dominika"/>
    <s v="Madejska"/>
    <n v="10"/>
    <x v="46"/>
  </r>
  <r>
    <d v="2017-11-21T00:00:00"/>
    <s v="Lena"/>
    <s v="Mazurkiewicz"/>
    <n v="9"/>
    <x v="46"/>
  </r>
  <r>
    <d v="2017-11-21T00:00:00"/>
    <s v="Karol"/>
    <s v="Wichrowski"/>
    <n v="8"/>
    <x v="46"/>
  </r>
  <r>
    <d v="2017-11-21T00:00:00"/>
    <s v="Kamila"/>
    <s v="Knapik"/>
    <n v="50"/>
    <x v="46"/>
  </r>
  <r>
    <d v="2017-11-21T00:00:00"/>
    <s v="Joanna"/>
    <s v="Zygmunt"/>
    <n v="18"/>
    <x v="46"/>
  </r>
  <r>
    <d v="2017-11-21T00:00:00"/>
    <s v="Kinga"/>
    <s v="Trawinska"/>
    <n v="42"/>
    <x v="46"/>
  </r>
  <r>
    <d v="2017-11-21T00:00:00"/>
    <s v="Teodor"/>
    <s v="Fornal"/>
    <n v="24"/>
    <x v="46"/>
  </r>
  <r>
    <d v="2017-11-21T00:00:00"/>
    <s v="Zofia"/>
    <s v="Polak"/>
    <n v="31"/>
    <x v="46"/>
  </r>
  <r>
    <d v="2017-11-21T00:00:00"/>
    <s v="Zbigniew"/>
    <s v="Paderewski"/>
    <n v="46"/>
    <x v="46"/>
  </r>
  <r>
    <d v="2017-11-21T00:00:00"/>
    <s v="Pawel"/>
    <s v="Nowak"/>
    <n v="9"/>
    <x v="46"/>
  </r>
  <r>
    <d v="2017-11-21T00:00:00"/>
    <s v="Kazimierz"/>
    <s v="Biedka"/>
    <n v="9"/>
    <x v="46"/>
  </r>
  <r>
    <d v="2017-11-21T00:00:00"/>
    <s v="Andrzej"/>
    <s v="Moldawiec"/>
    <n v="53"/>
    <x v="46"/>
  </r>
  <r>
    <d v="2017-11-21T00:00:00"/>
    <s v="Ewelina"/>
    <s v="Bialkowska"/>
    <n v="5"/>
    <x v="46"/>
  </r>
  <r>
    <d v="2017-11-21T00:00:00"/>
    <s v="Stanislaw"/>
    <s v="Derek"/>
    <n v="39"/>
    <x v="46"/>
  </r>
  <r>
    <d v="2017-11-21T00:00:00"/>
    <s v="Ryszarda"/>
    <s v="Januszek"/>
    <n v="43"/>
    <x v="46"/>
  </r>
  <r>
    <d v="2017-11-21T00:00:00"/>
    <s v="Jan"/>
    <s v="Zdunski"/>
    <n v="14"/>
    <x v="46"/>
  </r>
  <r>
    <d v="2017-11-21T00:00:00"/>
    <s v="Krzysztof"/>
    <s v="Konieckiewicz"/>
    <n v="25"/>
    <x v="46"/>
  </r>
  <r>
    <d v="2017-11-21T00:00:00"/>
    <s v="Justyna"/>
    <s v="Pozarzycka"/>
    <n v="16"/>
    <x v="46"/>
  </r>
  <r>
    <d v="2017-11-21T00:00:00"/>
    <s v="Bruno"/>
    <s v="Tomczyk"/>
    <n v="23"/>
    <x v="46"/>
  </r>
  <r>
    <d v="2017-11-22T00:00:00"/>
    <s v="Agnieszka"/>
    <s v="Polak"/>
    <n v="12"/>
    <x v="47"/>
  </r>
  <r>
    <d v="2017-11-22T00:00:00"/>
    <s v="Bruno"/>
    <s v="Tomaszewski"/>
    <n v="10"/>
    <x v="47"/>
  </r>
  <r>
    <d v="2017-11-22T00:00:00"/>
    <s v="Balbina"/>
    <s v="Majewska"/>
    <n v="49"/>
    <x v="47"/>
  </r>
  <r>
    <d v="2017-11-22T00:00:00"/>
    <s v="Szymon"/>
    <s v="Polak"/>
    <n v="9"/>
    <x v="47"/>
  </r>
  <r>
    <d v="2017-11-22T00:00:00"/>
    <s v="Anna"/>
    <s v="Kosowicz"/>
    <n v="14"/>
    <x v="47"/>
  </r>
  <r>
    <d v="2017-11-22T00:00:00"/>
    <s v="Matylda"/>
    <s v="Kluziak"/>
    <n v="23"/>
    <x v="47"/>
  </r>
  <r>
    <d v="2017-11-22T00:00:00"/>
    <s v="Szymon"/>
    <s v="Mrozniak"/>
    <n v="12"/>
    <x v="47"/>
  </r>
  <r>
    <d v="2017-11-22T00:00:00"/>
    <s v="Lukasz"/>
    <s v="Kopecki"/>
    <n v="14"/>
    <x v="47"/>
  </r>
  <r>
    <d v="2017-11-22T00:00:00"/>
    <s v="Paulina"/>
    <s v="Szklarska"/>
    <n v="5"/>
    <x v="47"/>
  </r>
  <r>
    <d v="2017-11-22T00:00:00"/>
    <s v="Maciej"/>
    <s v="Wodecki"/>
    <n v="13"/>
    <x v="47"/>
  </r>
  <r>
    <d v="2017-11-22T00:00:00"/>
    <s v="Monika"/>
    <s v="Piterka"/>
    <n v="5"/>
    <x v="47"/>
  </r>
  <r>
    <d v="2017-11-22T00:00:00"/>
    <s v="Jakub"/>
    <s v="Holmes"/>
    <n v="29"/>
    <x v="47"/>
  </r>
  <r>
    <d v="2017-11-22T00:00:00"/>
    <s v="Julian"/>
    <s v="Snopek"/>
    <n v="24"/>
    <x v="47"/>
  </r>
  <r>
    <d v="2017-11-22T00:00:00"/>
    <s v="Radoslaw"/>
    <s v="Sowinska"/>
    <n v="2"/>
    <x v="47"/>
  </r>
  <r>
    <d v="2017-11-22T00:00:00"/>
    <s v="Anna"/>
    <s v="Jopek"/>
    <n v="41"/>
    <x v="47"/>
  </r>
  <r>
    <d v="2017-11-22T00:00:00"/>
    <s v="Filip"/>
    <s v="Strupiechowski"/>
    <n v="21"/>
    <x v="47"/>
  </r>
  <r>
    <d v="2017-11-22T00:00:00"/>
    <s v="Zofia"/>
    <s v="Adamiak"/>
    <n v="25"/>
    <x v="47"/>
  </r>
  <r>
    <d v="2017-11-22T00:00:00"/>
    <s v="Aleks"/>
    <s v="Wojcicki"/>
    <n v="26"/>
    <x v="47"/>
  </r>
  <r>
    <d v="2017-11-22T00:00:00"/>
    <s v="Ewa"/>
    <s v="Tarnowska"/>
    <n v="14"/>
    <x v="47"/>
  </r>
  <r>
    <d v="2017-11-23T00:00:00"/>
    <s v="Jan"/>
    <s v="Bikot"/>
    <n v="14"/>
    <x v="47"/>
  </r>
  <r>
    <d v="2017-11-23T00:00:00"/>
    <s v="Julian"/>
    <s v="Snopek"/>
    <n v="39"/>
    <x v="47"/>
  </r>
  <r>
    <d v="2017-11-23T00:00:00"/>
    <s v="Karol"/>
    <s v="Hubicki"/>
    <n v="25"/>
    <x v="47"/>
  </r>
  <r>
    <d v="2017-11-23T00:00:00"/>
    <s v="Tomasz"/>
    <s v="Tutaj"/>
    <n v="15"/>
    <x v="47"/>
  </r>
  <r>
    <d v="2017-11-23T00:00:00"/>
    <s v="Adam"/>
    <s v="Madejski"/>
    <n v="9"/>
    <x v="47"/>
  </r>
  <r>
    <d v="2017-11-23T00:00:00"/>
    <s v="Aleksandra"/>
    <s v="Kwas"/>
    <n v="10"/>
    <x v="47"/>
  </r>
  <r>
    <d v="2017-11-23T00:00:00"/>
    <s v="Adam"/>
    <s v="Madejski"/>
    <n v="12"/>
    <x v="47"/>
  </r>
  <r>
    <d v="2017-11-23T00:00:00"/>
    <s v="Adam"/>
    <s v="Borkowski"/>
    <n v="19"/>
    <x v="47"/>
  </r>
  <r>
    <d v="2017-11-23T00:00:00"/>
    <s v="Ewelina"/>
    <s v="Mirska"/>
    <n v="43"/>
    <x v="47"/>
  </r>
  <r>
    <d v="2017-11-24T00:00:00"/>
    <s v="Jan"/>
    <s v="Kwiatkowski"/>
    <n v="13"/>
    <x v="47"/>
  </r>
  <r>
    <d v="2017-11-24T00:00:00"/>
    <s v="Marcin"/>
    <s v="Wrobel"/>
    <n v="38"/>
    <x v="47"/>
  </r>
  <r>
    <d v="2017-11-24T00:00:00"/>
    <s v="Krzysztof"/>
    <s v="Plecien"/>
    <n v="9"/>
    <x v="47"/>
  </r>
  <r>
    <d v="2017-11-24T00:00:00"/>
    <s v="Adam"/>
    <s v="Madejski"/>
    <n v="10"/>
    <x v="47"/>
  </r>
  <r>
    <d v="2017-11-24T00:00:00"/>
    <s v="Szymon"/>
    <s v="Polak"/>
    <n v="13"/>
    <x v="47"/>
  </r>
  <r>
    <d v="2017-11-24T00:00:00"/>
    <s v="Mateusz"/>
    <s v="Kowalczyk"/>
    <n v="6"/>
    <x v="47"/>
  </r>
  <r>
    <d v="2017-11-24T00:00:00"/>
    <s v="Jakub"/>
    <s v="Przestrzelski"/>
    <n v="26"/>
    <x v="47"/>
  </r>
  <r>
    <d v="2017-11-24T00:00:00"/>
    <s v="Janina"/>
    <s v="Podlaska"/>
    <n v="24"/>
    <x v="47"/>
  </r>
  <r>
    <d v="2017-11-24T00:00:00"/>
    <s v="Hubert"/>
    <s v="Smyk"/>
    <n v="13"/>
    <x v="47"/>
  </r>
  <r>
    <d v="2017-11-24T00:00:00"/>
    <s v="Julia"/>
    <s v="Stuhr"/>
    <n v="19"/>
    <x v="47"/>
  </r>
  <r>
    <d v="2017-11-24T00:00:00"/>
    <s v="Krzysztof"/>
    <s v="Figurski"/>
    <n v="22"/>
    <x v="47"/>
  </r>
  <r>
    <d v="2017-11-24T00:00:00"/>
    <s v="Mateusz"/>
    <s v="Polak"/>
    <n v="2"/>
    <x v="47"/>
  </r>
  <r>
    <d v="2017-11-24T00:00:00"/>
    <s v="Alicja"/>
    <s v="Wymyslowska"/>
    <n v="2"/>
    <x v="47"/>
  </r>
  <r>
    <d v="2017-11-24T00:00:00"/>
    <s v="Maciej"/>
    <s v="Nowak"/>
    <n v="18"/>
    <x v="47"/>
  </r>
  <r>
    <d v="2017-11-24T00:00:00"/>
    <s v="Filip"/>
    <s v="Strack"/>
    <n v="24"/>
    <x v="47"/>
  </r>
  <r>
    <d v="2017-11-24T00:00:00"/>
    <s v="Daria"/>
    <s v="Mikos"/>
    <n v="24"/>
    <x v="47"/>
  </r>
  <r>
    <d v="2017-11-24T00:00:00"/>
    <s v="Karolina"/>
    <s v="Karpacka"/>
    <n v="17"/>
    <x v="47"/>
  </r>
  <r>
    <d v="2017-11-24T00:00:00"/>
    <s v="Dominik"/>
    <s v="Szmitko"/>
    <n v="18"/>
    <x v="47"/>
  </r>
  <r>
    <d v="2017-11-24T00:00:00"/>
    <s v="Jan"/>
    <s v="Marasek"/>
    <n v="26"/>
    <x v="47"/>
  </r>
  <r>
    <d v="2017-11-27T00:00:00"/>
    <s v="Anna"/>
    <s v="Kosowicz"/>
    <n v="2"/>
    <x v="47"/>
  </r>
  <r>
    <d v="2017-11-27T00:00:00"/>
    <s v="Lukasz"/>
    <s v="Pawlik"/>
    <n v="51"/>
    <x v="47"/>
  </r>
  <r>
    <d v="2017-11-27T00:00:00"/>
    <s v="Antoni"/>
    <s v="Pisowlodzki"/>
    <n v="20"/>
    <x v="47"/>
  </r>
  <r>
    <d v="2017-11-27T00:00:00"/>
    <s v="Karol"/>
    <s v="Hubicki"/>
    <n v="5"/>
    <x v="47"/>
  </r>
  <r>
    <d v="2017-11-27T00:00:00"/>
    <s v="Maksymilian"/>
    <s v="Piwko"/>
    <n v="43"/>
    <x v="47"/>
  </r>
  <r>
    <d v="2017-11-27T00:00:00"/>
    <s v="Jakub"/>
    <s v="Holmes"/>
    <n v="25"/>
    <x v="47"/>
  </r>
  <r>
    <d v="2017-11-27T00:00:00"/>
    <s v="Joanna"/>
    <s v="Baranska"/>
    <n v="26"/>
    <x v="47"/>
  </r>
  <r>
    <d v="2017-11-27T00:00:00"/>
    <s v="Zuzanna"/>
    <s v="Kalisz"/>
    <n v="25"/>
    <x v="47"/>
  </r>
  <r>
    <d v="2017-11-27T00:00:00"/>
    <s v="Dominika"/>
    <s v="Wierzbicka"/>
    <n v="40"/>
    <x v="47"/>
  </r>
  <r>
    <d v="2017-11-28T00:00:00"/>
    <s v="Julia"/>
    <s v="Rutkiewicz"/>
    <n v="26"/>
    <x v="47"/>
  </r>
  <r>
    <d v="2017-11-28T00:00:00"/>
    <s v="Aleksander"/>
    <s v="Koc"/>
    <n v="49"/>
    <x v="47"/>
  </r>
  <r>
    <d v="2017-11-28T00:00:00"/>
    <s v="Julian"/>
    <s v="Pawik"/>
    <n v="6"/>
    <x v="47"/>
  </r>
  <r>
    <d v="2017-11-28T00:00:00"/>
    <s v="Marek"/>
    <s v="Zybert"/>
    <n v="6"/>
    <x v="47"/>
  </r>
  <r>
    <d v="2017-11-28T00:00:00"/>
    <s v="Marek"/>
    <s v="Zybert"/>
    <n v="11"/>
    <x v="47"/>
  </r>
  <r>
    <d v="2017-11-28T00:00:00"/>
    <s v="Maciej"/>
    <s v="Wodecki"/>
    <n v="34"/>
    <x v="47"/>
  </r>
  <r>
    <d v="2017-11-28T00:00:00"/>
    <s v="Karol"/>
    <s v="Felisiak"/>
    <n v="8"/>
    <x v="47"/>
  </r>
  <r>
    <d v="2017-11-28T00:00:00"/>
    <s v="Natalia"/>
    <s v="Mroz"/>
    <n v="17"/>
    <x v="47"/>
  </r>
  <r>
    <d v="2017-11-28T00:00:00"/>
    <s v="Marta"/>
    <s v="Opolska"/>
    <n v="29"/>
    <x v="47"/>
  </r>
  <r>
    <d v="2017-11-29T00:00:00"/>
    <s v="Hubert"/>
    <s v="Nowaczynski"/>
    <n v="12"/>
    <x v="48"/>
  </r>
  <r>
    <d v="2017-11-29T00:00:00"/>
    <s v="Krzysztof"/>
    <s v="Czyz"/>
    <n v="19"/>
    <x v="48"/>
  </r>
  <r>
    <d v="2017-11-29T00:00:00"/>
    <s v="Krzysztof"/>
    <s v="Czyz"/>
    <n v="21"/>
    <x v="48"/>
  </r>
  <r>
    <d v="2017-11-29T00:00:00"/>
    <s v="Ewa"/>
    <s v="Milion"/>
    <n v="33"/>
    <x v="48"/>
  </r>
  <r>
    <d v="2017-11-29T00:00:00"/>
    <s v="Piotr"/>
    <s v="Bialaszewski"/>
    <n v="51"/>
    <x v="48"/>
  </r>
  <r>
    <d v="2017-11-29T00:00:00"/>
    <s v="Jan"/>
    <s v="Kildanowski"/>
    <n v="10"/>
    <x v="48"/>
  </r>
  <r>
    <d v="2017-11-29T00:00:00"/>
    <s v="Karolina"/>
    <s v="Welc"/>
    <n v="35"/>
    <x v="48"/>
  </r>
  <r>
    <d v="2017-11-29T00:00:00"/>
    <s v="Barbara"/>
    <s v="Bury"/>
    <n v="22"/>
    <x v="48"/>
  </r>
  <r>
    <d v="2017-11-29T00:00:00"/>
    <s v="Jacek"/>
    <s v="Szypulski"/>
    <n v="17"/>
    <x v="48"/>
  </r>
  <r>
    <d v="2017-11-30T00:00:00"/>
    <s v="Urszula"/>
    <s v="Pawlak"/>
    <n v="28"/>
    <x v="48"/>
  </r>
  <r>
    <d v="2017-11-30T00:00:00"/>
    <s v="Jaroslaw"/>
    <s v="Kopiec"/>
    <n v="33"/>
    <x v="48"/>
  </r>
  <r>
    <d v="2017-11-30T00:00:00"/>
    <s v="Jacek"/>
    <s v="Pieczatowski"/>
    <n v="45"/>
    <x v="48"/>
  </r>
  <r>
    <d v="2017-11-30T00:00:00"/>
    <s v="Dominik"/>
    <s v="Szmitko"/>
    <n v="20"/>
    <x v="48"/>
  </r>
  <r>
    <d v="2017-11-30T00:00:00"/>
    <s v="Mariusz"/>
    <s v="Brydzinski"/>
    <n v="39"/>
    <x v="48"/>
  </r>
  <r>
    <d v="2017-11-30T00:00:00"/>
    <s v="Jerzy"/>
    <s v="Polanicki"/>
    <n v="8"/>
    <x v="48"/>
  </r>
  <r>
    <d v="2017-11-30T00:00:00"/>
    <s v="Patrycja"/>
    <s v="Glowinska"/>
    <n v="10"/>
    <x v="48"/>
  </r>
  <r>
    <d v="2017-11-30T00:00:00"/>
    <s v="Adam"/>
    <s v="Zega"/>
    <n v="5"/>
    <x v="48"/>
  </r>
  <r>
    <d v="2017-11-30T00:00:00"/>
    <s v="Beata"/>
    <s v="Fles"/>
    <n v="32"/>
    <x v="48"/>
  </r>
  <r>
    <d v="2017-12-01T00:00:00"/>
    <s v="Monika"/>
    <s v="Piterka"/>
    <n v="23"/>
    <x v="48"/>
  </r>
  <r>
    <d v="2017-12-01T00:00:00"/>
    <s v="Karolina"/>
    <s v="Pawelska"/>
    <n v="11"/>
    <x v="48"/>
  </r>
  <r>
    <d v="2017-12-01T00:00:00"/>
    <s v="Laura"/>
    <s v="Chmielewska"/>
    <n v="17"/>
    <x v="48"/>
  </r>
  <r>
    <d v="2017-12-01T00:00:00"/>
    <s v="Sebastian"/>
    <s v="Powoj"/>
    <n v="22"/>
    <x v="48"/>
  </r>
  <r>
    <d v="2017-12-01T00:00:00"/>
    <s v="Sebastian"/>
    <s v="Powoj"/>
    <n v="26"/>
    <x v="48"/>
  </r>
  <r>
    <d v="2017-12-01T00:00:00"/>
    <s v="Anna"/>
    <s v="Janowska"/>
    <n v="48"/>
    <x v="48"/>
  </r>
  <r>
    <d v="2017-12-01T00:00:00"/>
    <s v="Maja"/>
    <s v="Kulkowska"/>
    <n v="5"/>
    <x v="48"/>
  </r>
  <r>
    <d v="2017-12-01T00:00:00"/>
    <s v="Sebastian"/>
    <s v="Powoj"/>
    <n v="31"/>
    <x v="48"/>
  </r>
  <r>
    <d v="2017-12-01T00:00:00"/>
    <s v="Joanna"/>
    <s v="Oleksiak"/>
    <n v="5"/>
    <x v="48"/>
  </r>
  <r>
    <d v="2017-12-04T00:00:00"/>
    <s v="Julia"/>
    <s v="Salanowska"/>
    <n v="18"/>
    <x v="48"/>
  </r>
  <r>
    <d v="2017-12-04T00:00:00"/>
    <s v="Piotr"/>
    <s v="Flis"/>
    <n v="13"/>
    <x v="48"/>
  </r>
  <r>
    <d v="2017-12-04T00:00:00"/>
    <s v="Anastazja"/>
    <s v="Borowska"/>
    <n v="55"/>
    <x v="48"/>
  </r>
  <r>
    <d v="2017-12-04T00:00:00"/>
    <s v="Maciej"/>
    <s v="Bugaj"/>
    <n v="12"/>
    <x v="48"/>
  </r>
  <r>
    <d v="2017-12-04T00:00:00"/>
    <s v="Katarzyna"/>
    <s v="Karnia"/>
    <n v="15"/>
    <x v="48"/>
  </r>
  <r>
    <d v="2017-12-04T00:00:00"/>
    <s v="Sebastian"/>
    <s v="Powoj"/>
    <n v="10"/>
    <x v="48"/>
  </r>
  <r>
    <d v="2017-12-04T00:00:00"/>
    <s v="Bonifacy"/>
    <s v="Pleszewski"/>
    <n v="6"/>
    <x v="48"/>
  </r>
  <r>
    <d v="2017-12-04T00:00:00"/>
    <s v="Konrad"/>
    <s v="Lipowski"/>
    <n v="9"/>
    <x v="48"/>
  </r>
  <r>
    <d v="2017-12-04T00:00:00"/>
    <s v="Patryk"/>
    <s v="Geszczynski"/>
    <n v="48"/>
    <x v="48"/>
  </r>
  <r>
    <d v="2017-12-05T00:00:00"/>
    <s v="Kazimierz"/>
    <s v="Bartosik"/>
    <n v="21"/>
    <x v="48"/>
  </r>
  <r>
    <d v="2017-12-05T00:00:00"/>
    <s v="Mariola"/>
    <s v="Mleczko"/>
    <n v="2"/>
    <x v="48"/>
  </r>
  <r>
    <d v="2017-12-05T00:00:00"/>
    <s v="Anna"/>
    <s v="Trzebiatowska"/>
    <n v="45"/>
    <x v="48"/>
  </r>
  <r>
    <d v="2017-12-05T00:00:00"/>
    <s v="Adrian"/>
    <s v="Baran"/>
    <n v="34"/>
    <x v="48"/>
  </r>
  <r>
    <d v="2017-12-05T00:00:00"/>
    <s v="Piotr"/>
    <s v="Felus"/>
    <n v="22"/>
    <x v="48"/>
  </r>
  <r>
    <d v="2017-12-05T00:00:00"/>
    <s v="Agata"/>
    <s v="Zgoda"/>
    <n v="6"/>
    <x v="48"/>
  </r>
  <r>
    <d v="2017-12-05T00:00:00"/>
    <s v="Przemyslaw"/>
    <s v="Widawski"/>
    <n v="19"/>
    <x v="48"/>
  </r>
  <r>
    <d v="2017-12-05T00:00:00"/>
    <s v="Patryk"/>
    <s v="Giemza"/>
    <n v="22"/>
    <x v="48"/>
  </r>
  <r>
    <d v="2017-12-05T00:00:00"/>
    <s v="Agnieszka"/>
    <s v="Kaminska"/>
    <n v="10"/>
    <x v="48"/>
  </r>
  <r>
    <d v="2017-12-06T00:00:00"/>
    <s v="Olgierd"/>
    <s v="Hazubski"/>
    <n v="20"/>
    <x v="49"/>
  </r>
  <r>
    <d v="2017-12-06T00:00:00"/>
    <s v="Lukasz"/>
    <s v="Gacek"/>
    <n v="40"/>
    <x v="49"/>
  </r>
  <r>
    <d v="2017-12-06T00:00:00"/>
    <s v="Stanislaw"/>
    <s v="Dabrowski"/>
    <n v="14"/>
    <x v="49"/>
  </r>
  <r>
    <d v="2017-12-06T00:00:00"/>
    <s v="Monika"/>
    <s v="Nowaczkiewicz"/>
    <n v="5"/>
    <x v="49"/>
  </r>
  <r>
    <d v="2017-12-06T00:00:00"/>
    <s v="Malgorzata"/>
    <s v="Malec"/>
    <n v="3"/>
    <x v="49"/>
  </r>
  <r>
    <d v="2017-12-06T00:00:00"/>
    <s v="Lidia"/>
    <s v="Tarnowska"/>
    <n v="14"/>
    <x v="49"/>
  </r>
  <r>
    <d v="2017-12-06T00:00:00"/>
    <s v="Maciej"/>
    <s v="Bugaj"/>
    <n v="7"/>
    <x v="49"/>
  </r>
  <r>
    <d v="2017-12-06T00:00:00"/>
    <s v="Jan"/>
    <s v="Jarek"/>
    <n v="24"/>
    <x v="49"/>
  </r>
  <r>
    <d v="2017-12-06T00:00:00"/>
    <s v="Katarzyna"/>
    <s v="Wip"/>
    <n v="39"/>
    <x v="49"/>
  </r>
  <r>
    <d v="2017-12-06T00:00:00"/>
    <s v="Borys"/>
    <s v="Biedal"/>
    <n v="9"/>
    <x v="49"/>
  </r>
  <r>
    <d v="2017-12-07T00:00:00"/>
    <s v="Adrian"/>
    <s v="Zawisza"/>
    <n v="17"/>
    <x v="49"/>
  </r>
  <r>
    <d v="2017-12-07T00:00:00"/>
    <s v="Ilona"/>
    <s v="Gorska"/>
    <n v="22"/>
    <x v="49"/>
  </r>
  <r>
    <d v="2017-12-07T00:00:00"/>
    <s v="Bruno"/>
    <s v="Tomczyk"/>
    <n v="12"/>
    <x v="49"/>
  </r>
  <r>
    <d v="2017-12-07T00:00:00"/>
    <s v="Krystyna"/>
    <s v="Szybki"/>
    <n v="7"/>
    <x v="49"/>
  </r>
  <r>
    <d v="2017-12-07T00:00:00"/>
    <s v="Jakub"/>
    <s v="Bracik"/>
    <n v="15"/>
    <x v="49"/>
  </r>
  <r>
    <d v="2017-12-07T00:00:00"/>
    <s v="Mariusz"/>
    <s v="Kornik"/>
    <n v="24"/>
    <x v="49"/>
  </r>
  <r>
    <d v="2017-12-07T00:00:00"/>
    <s v="Dominika"/>
    <s v="Szwec"/>
    <n v="49"/>
    <x v="49"/>
  </r>
  <r>
    <d v="2017-12-07T00:00:00"/>
    <s v="Paulina"/>
    <s v="Baranowska"/>
    <n v="12"/>
    <x v="49"/>
  </r>
  <r>
    <d v="2017-12-07T00:00:00"/>
    <s v="Kamila"/>
    <s v="Wolan"/>
    <n v="24"/>
    <x v="49"/>
  </r>
  <r>
    <d v="2017-12-07T00:00:00"/>
    <s v="Anna"/>
    <s v="Janowska"/>
    <n v="9"/>
    <x v="49"/>
  </r>
  <r>
    <d v="2017-12-08T00:00:00"/>
    <s v="Maciej"/>
    <s v="Lyszcz"/>
    <n v="6"/>
    <x v="49"/>
  </r>
  <r>
    <d v="2017-12-08T00:00:00"/>
    <s v="Renata"/>
    <s v="Kepa"/>
    <n v="5"/>
    <x v="49"/>
  </r>
  <r>
    <d v="2017-12-08T00:00:00"/>
    <s v="Maja"/>
    <s v="Lipka"/>
    <n v="9"/>
    <x v="49"/>
  </r>
  <r>
    <d v="2017-12-08T00:00:00"/>
    <s v="Kacper"/>
    <s v="Kowalski"/>
    <n v="15"/>
    <x v="49"/>
  </r>
  <r>
    <d v="2017-12-08T00:00:00"/>
    <s v="Olga"/>
    <s v="Paluszkiewicz"/>
    <n v="21"/>
    <x v="49"/>
  </r>
  <r>
    <d v="2017-12-08T00:00:00"/>
    <s v="Jakub"/>
    <s v="Radomski"/>
    <n v="2"/>
    <x v="49"/>
  </r>
  <r>
    <d v="2017-12-08T00:00:00"/>
    <s v="Jakub"/>
    <s v="Radziszewski"/>
    <n v="48"/>
    <x v="49"/>
  </r>
  <r>
    <d v="2017-12-08T00:00:00"/>
    <s v="Krzysztof"/>
    <s v="Wloch"/>
    <n v="3"/>
    <x v="49"/>
  </r>
  <r>
    <d v="2017-12-08T00:00:00"/>
    <s v="Martyna"/>
    <s v="Marmelowska"/>
    <n v="52"/>
    <x v="49"/>
  </r>
  <r>
    <d v="2017-12-08T00:00:00"/>
    <s v="Konrad"/>
    <s v="Lipowski"/>
    <n v="7"/>
    <x v="49"/>
  </r>
  <r>
    <d v="2017-12-11T00:00:00"/>
    <s v="Monika"/>
    <s v="Srubka"/>
    <n v="12"/>
    <x v="49"/>
  </r>
  <r>
    <d v="2017-12-11T00:00:00"/>
    <s v="Natalia"/>
    <s v="Wolny"/>
    <n v="5"/>
    <x v="49"/>
  </r>
  <r>
    <d v="2017-12-11T00:00:00"/>
    <s v="Kamila"/>
    <s v="Wolan"/>
    <n v="7"/>
    <x v="49"/>
  </r>
  <r>
    <d v="2017-12-11T00:00:00"/>
    <s v="Wojciech"/>
    <s v="Czyzewski"/>
    <n v="22"/>
    <x v="49"/>
  </r>
  <r>
    <d v="2017-12-11T00:00:00"/>
    <s v="Kamila"/>
    <s v="Bialkowska"/>
    <n v="5"/>
    <x v="49"/>
  </r>
  <r>
    <d v="2017-12-11T00:00:00"/>
    <s v="Hubert"/>
    <s v="Nowaczynski"/>
    <n v="9"/>
    <x v="49"/>
  </r>
  <r>
    <d v="2017-12-11T00:00:00"/>
    <s v="Kinga"/>
    <s v="Trawinska"/>
    <n v="4"/>
    <x v="49"/>
  </r>
  <r>
    <d v="2017-12-11T00:00:00"/>
    <s v="Lucja"/>
    <s v="Zych"/>
    <n v="31"/>
    <x v="49"/>
  </r>
  <r>
    <d v="2017-12-11T00:00:00"/>
    <s v="Monika"/>
    <s v="Bialkowska"/>
    <n v="16"/>
    <x v="49"/>
  </r>
  <r>
    <d v="2017-12-11T00:00:00"/>
    <s v="Marek"/>
    <s v="Zybert"/>
    <n v="21"/>
    <x v="49"/>
  </r>
  <r>
    <d v="2017-12-12T00:00:00"/>
    <s v="Pawel"/>
    <s v="Nowakowski"/>
    <n v="22"/>
    <x v="49"/>
  </r>
  <r>
    <d v="2017-12-12T00:00:00"/>
    <s v="Natalia"/>
    <s v="Belicka"/>
    <n v="20"/>
    <x v="49"/>
  </r>
  <r>
    <d v="2017-12-12T00:00:00"/>
    <s v="Karolina"/>
    <s v="Karpacka"/>
    <n v="24"/>
    <x v="49"/>
  </r>
  <r>
    <d v="2017-12-12T00:00:00"/>
    <s v="Ilona"/>
    <s v="Nowak"/>
    <n v="17"/>
    <x v="49"/>
  </r>
  <r>
    <d v="2017-12-12T00:00:00"/>
    <s v="Paulina"/>
    <s v="Baranowska"/>
    <n v="25"/>
    <x v="49"/>
  </r>
  <r>
    <d v="2017-12-12T00:00:00"/>
    <s v="Sebastian"/>
    <s v="Powoj"/>
    <n v="22"/>
    <x v="49"/>
  </r>
  <r>
    <d v="2017-12-12T00:00:00"/>
    <s v="Jan"/>
    <s v="Kwiatkowski"/>
    <n v="50"/>
    <x v="49"/>
  </r>
  <r>
    <d v="2017-12-12T00:00:00"/>
    <s v="Agnieszka"/>
    <s v="Kaminska"/>
    <n v="6"/>
    <x v="49"/>
  </r>
  <r>
    <d v="2017-12-12T00:00:00"/>
    <s v="Agata"/>
    <s v="Zdrojewska"/>
    <n v="27"/>
    <x v="49"/>
  </r>
  <r>
    <d v="2017-12-12T00:00:00"/>
    <s v="Lidia"/>
    <s v="Tarnowska"/>
    <n v="29"/>
    <x v="49"/>
  </r>
  <r>
    <d v="2017-12-13T00:00:00"/>
    <s v="Ilona"/>
    <s v="Nowak"/>
    <n v="12"/>
    <x v="50"/>
  </r>
  <r>
    <d v="2017-12-13T00:00:00"/>
    <s v="Justyna"/>
    <s v="Wysocka"/>
    <n v="28"/>
    <x v="50"/>
  </r>
  <r>
    <d v="2017-12-13T00:00:00"/>
    <s v="Dawid"/>
    <s v="Szreder"/>
    <n v="21"/>
    <x v="50"/>
  </r>
  <r>
    <d v="2017-12-13T00:00:00"/>
    <s v="Maciej"/>
    <s v="Siemiatkowski"/>
    <n v="19"/>
    <x v="50"/>
  </r>
  <r>
    <d v="2017-12-13T00:00:00"/>
    <s v="Wojciech"/>
    <s v="Wroblewski"/>
    <n v="29"/>
    <x v="50"/>
  </r>
  <r>
    <d v="2017-12-13T00:00:00"/>
    <s v="Aleksander"/>
    <s v="Pasternak"/>
    <n v="9"/>
    <x v="50"/>
  </r>
  <r>
    <d v="2017-12-13T00:00:00"/>
    <s v="Lucja"/>
    <s v="Zych"/>
    <n v="24"/>
    <x v="50"/>
  </r>
  <r>
    <d v="2017-12-13T00:00:00"/>
    <s v="Karolina"/>
    <s v="Perez"/>
    <n v="24"/>
    <x v="50"/>
  </r>
  <r>
    <d v="2017-12-13T00:00:00"/>
    <s v="Wojciech"/>
    <s v="Goc"/>
    <n v="8"/>
    <x v="50"/>
  </r>
  <r>
    <d v="2017-12-13T00:00:00"/>
    <s v="Magda"/>
    <s v="Makowicz"/>
    <n v="5"/>
    <x v="50"/>
  </r>
  <r>
    <d v="2017-12-14T00:00:00"/>
    <s v="Marek"/>
    <s v="Zybert"/>
    <n v="32"/>
    <x v="50"/>
  </r>
  <r>
    <d v="2017-12-14T00:00:00"/>
    <s v="Malgorzata"/>
    <s v="Malec"/>
    <n v="34"/>
    <x v="50"/>
  </r>
  <r>
    <d v="2017-12-14T00:00:00"/>
    <s v="Adam"/>
    <s v="Czarnecki"/>
    <n v="9"/>
    <x v="50"/>
  </r>
  <r>
    <d v="2017-12-14T00:00:00"/>
    <s v="Patrycja"/>
    <s v="Wcislo"/>
    <n v="49"/>
    <x v="50"/>
  </r>
  <r>
    <d v="2017-12-14T00:00:00"/>
    <s v="Kamila"/>
    <s v="Wolan"/>
    <n v="18"/>
    <x v="50"/>
  </r>
  <r>
    <d v="2017-12-14T00:00:00"/>
    <s v="Patrycja"/>
    <s v="Wcislo"/>
    <n v="56"/>
    <x v="50"/>
  </r>
  <r>
    <d v="2017-12-14T00:00:00"/>
    <s v="Zenon"/>
    <s v="Bartek"/>
    <n v="46"/>
    <x v="50"/>
  </r>
  <r>
    <d v="2017-12-14T00:00:00"/>
    <s v="Amelia"/>
    <s v="Wicher"/>
    <n v="11"/>
    <x v="50"/>
  </r>
  <r>
    <d v="2017-12-14T00:00:00"/>
    <s v="Inka"/>
    <s v="Sochacka"/>
    <n v="24"/>
    <x v="50"/>
  </r>
  <r>
    <d v="2017-12-14T00:00:00"/>
    <s v="Jan"/>
    <s v="Adamowicz"/>
    <n v="28"/>
    <x v="50"/>
  </r>
  <r>
    <d v="2017-12-15T00:00:00"/>
    <s v="Irena"/>
    <s v="Banasiewicz"/>
    <n v="29"/>
    <x v="50"/>
  </r>
  <r>
    <d v="2017-12-15T00:00:00"/>
    <s v="Protazy"/>
    <s v="Warszawski"/>
    <n v="4"/>
    <x v="50"/>
  </r>
  <r>
    <d v="2017-12-15T00:00:00"/>
    <s v="Bartosz"/>
    <s v="Tusinski"/>
    <n v="3"/>
    <x v="50"/>
  </r>
  <r>
    <d v="2017-12-15T00:00:00"/>
    <s v="Lucja"/>
    <s v="Zych"/>
    <n v="30"/>
    <x v="50"/>
  </r>
  <r>
    <d v="2017-12-15T00:00:00"/>
    <s v="Emilia"/>
    <s v="Szczepanska"/>
    <n v="4"/>
    <x v="50"/>
  </r>
  <r>
    <d v="2017-12-15T00:00:00"/>
    <s v="Karol"/>
    <s v="Wichrowski"/>
    <n v="21"/>
    <x v="50"/>
  </r>
  <r>
    <d v="2017-12-15T00:00:00"/>
    <s v="Lena"/>
    <s v="Miszkin"/>
    <n v="15"/>
    <x v="50"/>
  </r>
  <r>
    <d v="2017-12-15T00:00:00"/>
    <s v="Anna"/>
    <s v="Kosowicz"/>
    <n v="13"/>
    <x v="50"/>
  </r>
  <r>
    <d v="2017-12-15T00:00:00"/>
    <s v="Leon"/>
    <s v="Price"/>
    <n v="13"/>
    <x v="50"/>
  </r>
  <r>
    <d v="2017-12-15T00:00:00"/>
    <s v="Bernard"/>
    <s v="Madej"/>
    <n v="43"/>
    <x v="50"/>
  </r>
  <r>
    <d v="2017-12-18T00:00:00"/>
    <s v="Marek"/>
    <s v="Nowakowski"/>
    <n v="31"/>
    <x v="50"/>
  </r>
  <r>
    <d v="2017-12-18T00:00:00"/>
    <s v="Izabela"/>
    <s v="Draszczyk"/>
    <n v="34"/>
    <x v="50"/>
  </r>
  <r>
    <d v="2017-12-18T00:00:00"/>
    <s v="Przemyslaw"/>
    <s v="Bajewski"/>
    <n v="12"/>
    <x v="50"/>
  </r>
  <r>
    <d v="2017-12-18T00:00:00"/>
    <s v="Anita"/>
    <s v="Tych"/>
    <n v="10"/>
    <x v="50"/>
  </r>
  <r>
    <d v="2017-12-18T00:00:00"/>
    <s v="Teodor"/>
    <s v="Fornal"/>
    <n v="5"/>
    <x v="50"/>
  </r>
  <r>
    <d v="2017-12-18T00:00:00"/>
    <s v="Patrycja"/>
    <s v="Glowinska"/>
    <n v="4"/>
    <x v="50"/>
  </r>
  <r>
    <d v="2017-12-18T00:00:00"/>
    <s v="Marta"/>
    <s v="Kolodziejczyk"/>
    <n v="44"/>
    <x v="50"/>
  </r>
  <r>
    <d v="2017-12-18T00:00:00"/>
    <s v="Kacper"/>
    <s v="Nowak"/>
    <n v="32"/>
    <x v="50"/>
  </r>
  <r>
    <d v="2017-12-18T00:00:00"/>
    <s v="Paulina"/>
    <s v="Szklarska"/>
    <n v="11"/>
    <x v="50"/>
  </r>
  <r>
    <d v="2017-12-18T00:00:00"/>
    <s v="Natalia"/>
    <s v="Olkuska"/>
    <n v="33"/>
    <x v="50"/>
  </r>
  <r>
    <d v="2017-12-19T00:00:00"/>
    <s v="Jakub"/>
    <s v="Marszalek"/>
    <n v="56"/>
    <x v="50"/>
  </r>
  <r>
    <d v="2017-12-19T00:00:00"/>
    <s v="Edward"/>
    <s v="Snopek"/>
    <n v="3"/>
    <x v="50"/>
  </r>
  <r>
    <d v="2017-12-19T00:00:00"/>
    <s v="Edward"/>
    <s v="Zdunek"/>
    <n v="24"/>
    <x v="50"/>
  </r>
  <r>
    <d v="2017-12-19T00:00:00"/>
    <s v="Lucja"/>
    <s v="Zych"/>
    <n v="14"/>
    <x v="50"/>
  </r>
  <r>
    <d v="2017-12-19T00:00:00"/>
    <s v="Kacper"/>
    <s v="Pioro"/>
    <n v="42"/>
    <x v="50"/>
  </r>
  <r>
    <d v="2017-12-19T00:00:00"/>
    <s v="Adrian"/>
    <s v="Dulski"/>
    <n v="21"/>
    <x v="50"/>
  </r>
  <r>
    <d v="2017-12-19T00:00:00"/>
    <s v="Monika"/>
    <s v="Trojan"/>
    <n v="4"/>
    <x v="50"/>
  </r>
  <r>
    <d v="2017-12-19T00:00:00"/>
    <s v="Adelajda"/>
    <s v="Zylinska"/>
    <n v="41"/>
    <x v="50"/>
  </r>
  <r>
    <d v="2017-12-19T00:00:00"/>
    <s v="Leon"/>
    <s v="Price"/>
    <n v="51"/>
    <x v="50"/>
  </r>
  <r>
    <d v="2017-12-20T00:00:00"/>
    <s v="Julia"/>
    <s v="Samulczyk"/>
    <n v="29"/>
    <x v="51"/>
  </r>
  <r>
    <d v="2017-12-20T00:00:00"/>
    <s v="Maciej"/>
    <s v="Wodecki"/>
    <n v="29"/>
    <x v="51"/>
  </r>
  <r>
    <d v="2017-12-20T00:00:00"/>
    <s v="Angelika"/>
    <s v="Walaszek"/>
    <n v="22"/>
    <x v="51"/>
  </r>
  <r>
    <d v="2017-12-20T00:00:00"/>
    <s v="Katarzyna"/>
    <s v="Wip"/>
    <n v="4"/>
    <x v="51"/>
  </r>
  <r>
    <d v="2017-12-20T00:00:00"/>
    <s v="Grzegorz"/>
    <s v="Jackowski"/>
    <n v="34"/>
    <x v="51"/>
  </r>
  <r>
    <d v="2017-12-20T00:00:00"/>
    <s v="Adrian"/>
    <s v="Dulski"/>
    <n v="6"/>
    <x v="51"/>
  </r>
  <r>
    <d v="2017-12-20T00:00:00"/>
    <s v="Tomasz"/>
    <s v="Zbik"/>
    <n v="11"/>
    <x v="51"/>
  </r>
  <r>
    <d v="2017-12-20T00:00:00"/>
    <s v="Andrea"/>
    <s v="Witkowska"/>
    <n v="9"/>
    <x v="51"/>
  </r>
  <r>
    <d v="2017-12-20T00:00:00"/>
    <s v="Wojciech"/>
    <s v="Filipowicz"/>
    <n v="21"/>
    <x v="51"/>
  </r>
  <r>
    <d v="2017-12-21T00:00:00"/>
    <s v="Urszula"/>
    <s v="Engel"/>
    <n v="26"/>
    <x v="51"/>
  </r>
  <r>
    <d v="2017-12-21T00:00:00"/>
    <s v="Olgierd"/>
    <s v="Baranek"/>
    <n v="4"/>
    <x v="51"/>
  </r>
  <r>
    <d v="2017-12-21T00:00:00"/>
    <s v="Maciej"/>
    <s v="Tasz"/>
    <n v="18"/>
    <x v="51"/>
  </r>
  <r>
    <d v="2017-12-21T00:00:00"/>
    <s v="Krzysztof"/>
    <s v="Wloch"/>
    <n v="27"/>
    <x v="51"/>
  </r>
  <r>
    <d v="2017-12-21T00:00:00"/>
    <s v="Bernard"/>
    <s v="Madej"/>
    <n v="15"/>
    <x v="51"/>
  </r>
  <r>
    <d v="2017-12-21T00:00:00"/>
    <s v="Wojciech"/>
    <s v="Goc"/>
    <n v="50"/>
    <x v="51"/>
  </r>
  <r>
    <d v="2017-12-21T00:00:00"/>
    <s v="Krzysztof"/>
    <s v="Madejski"/>
    <n v="13"/>
    <x v="51"/>
  </r>
  <r>
    <d v="2017-12-21T00:00:00"/>
    <s v="Antoni"/>
    <s v="Wierzbicki"/>
    <n v="27"/>
    <x v="51"/>
  </r>
  <r>
    <d v="2017-12-21T00:00:00"/>
    <s v="Stanislaw"/>
    <s v="Derek"/>
    <n v="7"/>
    <x v="51"/>
  </r>
  <r>
    <d v="2017-12-22T00:00:00"/>
    <s v="Katarzyna"/>
    <s v="Aniec"/>
    <n v="26"/>
    <x v="51"/>
  </r>
  <r>
    <d v="2017-12-22T00:00:00"/>
    <s v="Anna"/>
    <s v="Minska"/>
    <n v="16"/>
    <x v="51"/>
  </r>
  <r>
    <d v="2017-12-22T00:00:00"/>
    <s v="Maria"/>
    <s v="Opolska"/>
    <n v="45"/>
    <x v="51"/>
  </r>
  <r>
    <d v="2017-12-22T00:00:00"/>
    <s v="Maksymilian"/>
    <s v="Lewita"/>
    <n v="34"/>
    <x v="51"/>
  </r>
  <r>
    <d v="2017-12-22T00:00:00"/>
    <s v="Piotr"/>
    <s v="Duszota"/>
    <n v="10"/>
    <x v="51"/>
  </r>
  <r>
    <d v="2017-12-22T00:00:00"/>
    <s v="Leslaw"/>
    <s v="Kupis"/>
    <n v="55"/>
    <x v="51"/>
  </r>
  <r>
    <d v="2017-12-22T00:00:00"/>
    <s v="Filip"/>
    <s v="Spychala"/>
    <n v="17"/>
    <x v="51"/>
  </r>
  <r>
    <d v="2017-12-22T00:00:00"/>
    <s v="Jaroslaw"/>
    <s v="Kopiec"/>
    <n v="13"/>
    <x v="51"/>
  </r>
  <r>
    <d v="2017-12-22T00:00:00"/>
    <s v="Wojciech"/>
    <s v="Kulakowski"/>
    <n v="55"/>
    <x v="51"/>
  </r>
  <r>
    <d v="2017-12-27T00:00:00"/>
    <s v="Jan"/>
    <s v="Inny"/>
    <n v="45"/>
    <x v="52"/>
  </r>
  <r>
    <d v="2017-12-27T00:00:00"/>
    <s v="Bohdan"/>
    <s v="Gigant"/>
    <n v="8"/>
    <x v="52"/>
  </r>
  <r>
    <d v="2017-12-27T00:00:00"/>
    <s v="Tomasz"/>
    <s v="Zbik"/>
    <n v="6"/>
    <x v="52"/>
  </r>
  <r>
    <d v="2017-12-27T00:00:00"/>
    <s v="Kinga"/>
    <s v="Famura"/>
    <n v="11"/>
    <x v="52"/>
  </r>
  <r>
    <d v="2017-12-27T00:00:00"/>
    <s v="Marlena"/>
    <s v="Mazar"/>
    <n v="29"/>
    <x v="52"/>
  </r>
  <r>
    <d v="2017-12-27T00:00:00"/>
    <s v="Jerzy"/>
    <s v="Pawiec"/>
    <n v="10"/>
    <x v="52"/>
  </r>
  <r>
    <d v="2017-12-27T00:00:00"/>
    <s v="Jan"/>
    <s v="Kildanowski"/>
    <n v="38"/>
    <x v="52"/>
  </r>
  <r>
    <d v="2017-12-27T00:00:00"/>
    <s v="Adam"/>
    <s v="Borkowski"/>
    <n v="8"/>
    <x v="52"/>
  </r>
  <r>
    <d v="2017-12-27T00:00:00"/>
    <s v="Patryk"/>
    <s v="Glac"/>
    <n v="19"/>
    <x v="52"/>
  </r>
  <r>
    <d v="2017-12-28T00:00:00"/>
    <s v="Jerzy"/>
    <s v="Pawiec"/>
    <n v="22"/>
    <x v="52"/>
  </r>
  <r>
    <d v="2017-12-28T00:00:00"/>
    <s v="Dorota"/>
    <s v="Tarnowska"/>
    <n v="12"/>
    <x v="52"/>
  </r>
  <r>
    <d v="2017-12-28T00:00:00"/>
    <s v="Janusz"/>
    <s v="Wrobel"/>
    <n v="7"/>
    <x v="52"/>
  </r>
  <r>
    <d v="2017-12-28T00:00:00"/>
    <s v="Jakub"/>
    <s v="Porydzaj"/>
    <n v="17"/>
    <x v="52"/>
  </r>
  <r>
    <d v="2017-12-28T00:00:00"/>
    <s v="Krzysztof"/>
    <s v="Wloch"/>
    <n v="29"/>
    <x v="52"/>
  </r>
  <r>
    <d v="2017-12-28T00:00:00"/>
    <s v="Beata"/>
    <s v="Mirowska"/>
    <n v="9"/>
    <x v="52"/>
  </r>
  <r>
    <d v="2017-12-28T00:00:00"/>
    <s v="Julian"/>
    <s v="Lisowski"/>
    <n v="21"/>
    <x v="52"/>
  </r>
  <r>
    <d v="2017-12-28T00:00:00"/>
    <s v="Lena"/>
    <s v="Mrozik"/>
    <n v="10"/>
    <x v="52"/>
  </r>
  <r>
    <d v="2017-12-28T00:00:00"/>
    <s v="Beata"/>
    <s v="Lubelska"/>
    <n v="30"/>
    <x v="52"/>
  </r>
  <r>
    <d v="2017-12-29T00:00:00"/>
    <s v="Dominik"/>
    <s v="Szczucki"/>
    <n v="14"/>
    <x v="52"/>
  </r>
  <r>
    <d v="2017-12-29T00:00:00"/>
    <s v="Monika"/>
    <s v="Bialkowska"/>
    <n v="15"/>
    <x v="52"/>
  </r>
  <r>
    <d v="2017-12-29T00:00:00"/>
    <s v="Balbina"/>
    <s v="Boryczko"/>
    <n v="24"/>
    <x v="52"/>
  </r>
  <r>
    <d v="2017-12-29T00:00:00"/>
    <s v="Karolina"/>
    <s v="Welc"/>
    <n v="26"/>
    <x v="52"/>
  </r>
  <r>
    <d v="2017-12-29T00:00:00"/>
    <s v="Marek"/>
    <s v="Janowski"/>
    <n v="22"/>
    <x v="52"/>
  </r>
  <r>
    <d v="2017-12-29T00:00:00"/>
    <s v="Maria"/>
    <s v="Orlicka"/>
    <n v="35"/>
    <x v="52"/>
  </r>
  <r>
    <d v="2017-12-29T00:00:00"/>
    <s v="Przemyslaw"/>
    <s v="Bajewski"/>
    <n v="21"/>
    <x v="52"/>
  </r>
  <r>
    <d v="2017-12-29T00:00:00"/>
    <s v="Jaroslaw"/>
    <s v="Bicz"/>
    <n v="16"/>
    <x v="52"/>
  </r>
  <r>
    <d v="2017-12-29T00:00:00"/>
    <s v="Karolina"/>
    <s v="Bok"/>
    <n v="48"/>
    <x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20ACD-EA9F-4DFE-B308-9EC4B6FD1B41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Numer miesiąca">
  <location ref="G2:H15" firstHeaderRow="1" firstDataRow="1" firstDataCol="1"/>
  <pivotFields count="5">
    <pivotField numFmtId="14"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Łączna ilość kilogramów" fld="3" baseField="0" baseItem="0"/>
  </dataFields>
  <formats count="4">
    <format dxfId="26">
      <pivotArea collapsedLevelsAreSubtotals="1" fieldPosition="0">
        <references count="1">
          <reference field="4" count="0"/>
        </references>
      </pivotArea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61683-FCA3-4038-B5FF-44C53843461E}" name="Tabela przestawna3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Imię i Nazwisko">
  <location ref="H1:I601" firstHeaderRow="1" firstDataRow="1" firstDataCol="1"/>
  <pivotFields count="5">
    <pivotField numFmtId="14" showAll="0"/>
    <pivotField showAll="0"/>
    <pivotField showAll="0"/>
    <pivotField dataField="1" showAll="0"/>
    <pivotField axis="axisRow" showAll="0" sortType="descending">
      <items count="600">
        <item x="341"/>
        <item x="587"/>
        <item x="464"/>
        <item x="59"/>
        <item x="34"/>
        <item x="186"/>
        <item x="242"/>
        <item x="475"/>
        <item x="157"/>
        <item x="40"/>
        <item x="321"/>
        <item x="57"/>
        <item x="420"/>
        <item x="565"/>
        <item x="147"/>
        <item x="31"/>
        <item x="425"/>
        <item x="2"/>
        <item x="215"/>
        <item x="371"/>
        <item x="121"/>
        <item x="369"/>
        <item x="270"/>
        <item x="128"/>
        <item x="9"/>
        <item x="264"/>
        <item x="0"/>
        <item x="317"/>
        <item x="576"/>
        <item x="101"/>
        <item x="404"/>
        <item x="276"/>
        <item x="83"/>
        <item x="247"/>
        <item x="309"/>
        <item x="96"/>
        <item x="10"/>
        <item x="479"/>
        <item x="589"/>
        <item x="492"/>
        <item x="185"/>
        <item x="545"/>
        <item x="527"/>
        <item x="219"/>
        <item x="496"/>
        <item x="180"/>
        <item x="35"/>
        <item x="21"/>
        <item x="386"/>
        <item x="405"/>
        <item x="449"/>
        <item x="334"/>
        <item x="233"/>
        <item x="95"/>
        <item x="203"/>
        <item x="134"/>
        <item x="555"/>
        <item x="323"/>
        <item x="372"/>
        <item x="174"/>
        <item x="582"/>
        <item x="336"/>
        <item x="27"/>
        <item x="469"/>
        <item x="559"/>
        <item x="71"/>
        <item x="218"/>
        <item x="385"/>
        <item x="111"/>
        <item x="451"/>
        <item x="166"/>
        <item x="373"/>
        <item x="339"/>
        <item x="512"/>
        <item x="207"/>
        <item x="594"/>
        <item x="547"/>
        <item x="384"/>
        <item x="338"/>
        <item x="251"/>
        <item x="6"/>
        <item x="319"/>
        <item x="529"/>
        <item x="246"/>
        <item x="349"/>
        <item x="509"/>
        <item x="402"/>
        <item x="25"/>
        <item x="424"/>
        <item x="564"/>
        <item x="340"/>
        <item x="33"/>
        <item x="200"/>
        <item x="163"/>
        <item x="138"/>
        <item x="423"/>
        <item x="400"/>
        <item x="588"/>
        <item x="377"/>
        <item x="212"/>
        <item x="491"/>
        <item x="69"/>
        <item x="8"/>
        <item x="263"/>
        <item x="257"/>
        <item x="465"/>
        <item x="202"/>
        <item x="171"/>
        <item x="289"/>
        <item x="325"/>
        <item x="532"/>
        <item x="15"/>
        <item x="388"/>
        <item x="290"/>
        <item x="51"/>
        <item x="305"/>
        <item x="541"/>
        <item x="505"/>
        <item x="211"/>
        <item x="76"/>
        <item x="240"/>
        <item x="378"/>
        <item x="220"/>
        <item x="447"/>
        <item x="104"/>
        <item x="295"/>
        <item x="557"/>
        <item x="450"/>
        <item x="150"/>
        <item x="66"/>
        <item x="110"/>
        <item x="141"/>
        <item x="120"/>
        <item x="285"/>
        <item x="361"/>
        <item x="169"/>
        <item x="354"/>
        <item x="164"/>
        <item x="281"/>
        <item x="161"/>
        <item x="583"/>
        <item x="45"/>
        <item x="303"/>
        <item x="70"/>
        <item x="89"/>
        <item x="267"/>
        <item x="382"/>
        <item x="436"/>
        <item x="75"/>
        <item x="353"/>
        <item x="513"/>
        <item x="586"/>
        <item x="13"/>
        <item x="7"/>
        <item x="278"/>
        <item x="37"/>
        <item x="243"/>
        <item x="484"/>
        <item x="521"/>
        <item x="536"/>
        <item x="129"/>
        <item x="592"/>
        <item x="500"/>
        <item x="357"/>
        <item x="428"/>
        <item x="173"/>
        <item x="38"/>
        <item x="379"/>
        <item x="133"/>
        <item x="580"/>
        <item x="176"/>
        <item x="187"/>
        <item x="456"/>
        <item x="43"/>
        <item x="268"/>
        <item x="39"/>
        <item x="394"/>
        <item x="254"/>
        <item x="125"/>
        <item x="249"/>
        <item x="304"/>
        <item x="241"/>
        <item x="158"/>
        <item x="184"/>
        <item x="162"/>
        <item x="188"/>
        <item x="510"/>
        <item x="358"/>
        <item x="508"/>
        <item x="568"/>
        <item x="232"/>
        <item x="380"/>
        <item x="142"/>
        <item x="539"/>
        <item x="294"/>
        <item x="90"/>
        <item x="520"/>
        <item x="113"/>
        <item x="189"/>
        <item x="315"/>
        <item x="19"/>
        <item x="255"/>
        <item x="277"/>
        <item x="55"/>
        <item x="313"/>
        <item x="548"/>
        <item x="498"/>
        <item x="471"/>
        <item x="284"/>
        <item x="62"/>
        <item x="92"/>
        <item x="194"/>
        <item x="97"/>
        <item x="535"/>
        <item x="86"/>
        <item x="42"/>
        <item x="393"/>
        <item x="61"/>
        <item x="442"/>
        <item x="78"/>
        <item x="477"/>
        <item x="593"/>
        <item x="504"/>
        <item x="350"/>
        <item x="398"/>
        <item x="427"/>
        <item x="483"/>
        <item x="549"/>
        <item x="335"/>
        <item x="273"/>
        <item x="472"/>
        <item x="524"/>
        <item x="238"/>
        <item x="376"/>
        <item x="244"/>
        <item x="182"/>
        <item x="410"/>
        <item x="411"/>
        <item x="64"/>
        <item x="103"/>
        <item x="542"/>
        <item x="50"/>
        <item x="597"/>
        <item x="12"/>
        <item x="575"/>
        <item x="392"/>
        <item x="81"/>
        <item x="326"/>
        <item x="314"/>
        <item x="431"/>
        <item x="250"/>
        <item x="170"/>
        <item x="501"/>
        <item x="327"/>
        <item x="538"/>
        <item x="331"/>
        <item x="192"/>
        <item x="91"/>
        <item x="109"/>
        <item x="47"/>
        <item x="553"/>
        <item x="16"/>
        <item x="438"/>
        <item x="229"/>
        <item x="572"/>
        <item x="362"/>
        <item x="94"/>
        <item x="324"/>
        <item x="445"/>
        <item x="306"/>
        <item x="439"/>
        <item x="531"/>
        <item x="419"/>
        <item x="494"/>
        <item x="68"/>
        <item x="488"/>
        <item x="584"/>
        <item x="279"/>
        <item x="282"/>
        <item x="591"/>
        <item x="298"/>
        <item x="578"/>
        <item x="466"/>
        <item x="390"/>
        <item x="236"/>
        <item x="67"/>
        <item x="136"/>
        <item x="397"/>
        <item x="562"/>
        <item x="396"/>
        <item x="330"/>
        <item x="543"/>
        <item x="463"/>
        <item x="458"/>
        <item x="183"/>
        <item x="56"/>
        <item x="41"/>
        <item x="537"/>
        <item x="98"/>
        <item x="368"/>
        <item x="375"/>
        <item x="468"/>
        <item x="311"/>
        <item x="435"/>
        <item x="144"/>
        <item x="351"/>
        <item x="143"/>
        <item x="364"/>
        <item x="481"/>
        <item x="457"/>
        <item x="119"/>
        <item x="253"/>
        <item x="135"/>
        <item x="516"/>
        <item x="302"/>
        <item x="383"/>
        <item x="595"/>
        <item x="175"/>
        <item x="3"/>
        <item x="296"/>
        <item x="452"/>
        <item x="585"/>
        <item x="105"/>
        <item x="366"/>
        <item x="1"/>
        <item x="217"/>
        <item x="205"/>
        <item x="216"/>
        <item x="554"/>
        <item x="222"/>
        <item x="197"/>
        <item x="209"/>
        <item x="168"/>
        <item x="489"/>
        <item x="87"/>
        <item x="569"/>
        <item x="272"/>
        <item x="123"/>
        <item x="131"/>
        <item x="437"/>
        <item x="528"/>
        <item x="198"/>
        <item x="342"/>
        <item x="29"/>
        <item x="408"/>
        <item x="181"/>
        <item x="58"/>
        <item x="153"/>
        <item x="490"/>
        <item x="84"/>
        <item x="11"/>
        <item x="422"/>
        <item x="248"/>
        <item x="454"/>
        <item x="523"/>
        <item x="179"/>
        <item x="417"/>
        <item x="596"/>
        <item x="210"/>
        <item x="346"/>
        <item x="329"/>
        <item x="401"/>
        <item x="343"/>
        <item x="154"/>
        <item x="259"/>
        <item x="44"/>
        <item x="112"/>
        <item x="448"/>
        <item x="515"/>
        <item x="14"/>
        <item x="46"/>
        <item x="271"/>
        <item x="387"/>
        <item x="60"/>
        <item x="310"/>
        <item x="573"/>
        <item x="507"/>
        <item x="395"/>
        <item x="518"/>
        <item x="149"/>
        <item x="359"/>
        <item x="4"/>
        <item x="413"/>
        <item x="561"/>
        <item x="560"/>
        <item x="430"/>
        <item x="18"/>
        <item x="563"/>
        <item x="558"/>
        <item x="234"/>
        <item x="155"/>
        <item x="258"/>
        <item x="224"/>
        <item x="106"/>
        <item x="226"/>
        <item x="30"/>
        <item x="177"/>
        <item x="493"/>
        <item x="286"/>
        <item x="312"/>
        <item x="485"/>
        <item x="530"/>
        <item x="245"/>
        <item x="124"/>
        <item x="23"/>
        <item x="352"/>
        <item x="227"/>
        <item x="165"/>
        <item x="118"/>
        <item x="517"/>
        <item x="48"/>
        <item x="225"/>
        <item x="146"/>
        <item x="345"/>
        <item x="140"/>
        <item x="54"/>
        <item x="114"/>
        <item x="132"/>
        <item x="172"/>
        <item x="193"/>
        <item x="320"/>
        <item x="318"/>
        <item x="598"/>
        <item x="499"/>
        <item x="434"/>
        <item x="80"/>
        <item x="544"/>
        <item x="85"/>
        <item x="533"/>
        <item x="461"/>
        <item x="407"/>
        <item x="511"/>
        <item x="581"/>
        <item x="20"/>
        <item x="151"/>
        <item x="503"/>
        <item x="201"/>
        <item x="221"/>
        <item x="235"/>
        <item x="139"/>
        <item x="432"/>
        <item x="333"/>
        <item x="409"/>
        <item x="299"/>
        <item x="52"/>
        <item x="332"/>
        <item x="462"/>
        <item x="115"/>
        <item x="262"/>
        <item x="337"/>
        <item x="344"/>
        <item x="237"/>
        <item x="74"/>
        <item x="108"/>
        <item x="293"/>
        <item x="130"/>
        <item x="482"/>
        <item x="567"/>
        <item x="32"/>
        <item x="126"/>
        <item x="93"/>
        <item x="65"/>
        <item x="519"/>
        <item x="191"/>
        <item x="460"/>
        <item x="231"/>
        <item x="478"/>
        <item x="514"/>
        <item x="367"/>
        <item x="288"/>
        <item x="148"/>
        <item x="260"/>
        <item x="453"/>
        <item x="406"/>
        <item x="418"/>
        <item x="230"/>
        <item x="467"/>
        <item x="446"/>
        <item x="88"/>
        <item x="497"/>
        <item x="391"/>
        <item x="167"/>
        <item x="590"/>
        <item x="416"/>
        <item x="213"/>
        <item x="381"/>
        <item x="421"/>
        <item x="322"/>
        <item x="214"/>
        <item x="550"/>
        <item x="480"/>
        <item x="178"/>
        <item x="429"/>
        <item x="77"/>
        <item x="283"/>
        <item x="28"/>
        <item x="307"/>
        <item x="297"/>
        <item x="412"/>
        <item x="308"/>
        <item x="551"/>
        <item x="5"/>
        <item x="301"/>
        <item x="525"/>
        <item x="49"/>
        <item x="269"/>
        <item x="223"/>
        <item x="444"/>
        <item x="196"/>
        <item x="190"/>
        <item x="127"/>
        <item x="441"/>
        <item x="17"/>
        <item x="356"/>
        <item x="145"/>
        <item x="107"/>
        <item x="99"/>
        <item x="204"/>
        <item x="195"/>
        <item x="370"/>
        <item x="287"/>
        <item x="414"/>
        <item x="403"/>
        <item x="470"/>
        <item x="82"/>
        <item x="389"/>
        <item x="374"/>
        <item x="522"/>
        <item x="300"/>
        <item x="476"/>
        <item x="365"/>
        <item x="556"/>
        <item x="502"/>
        <item x="328"/>
        <item x="256"/>
        <item x="122"/>
        <item x="53"/>
        <item x="24"/>
        <item x="63"/>
        <item x="156"/>
        <item x="261"/>
        <item x="506"/>
        <item x="577"/>
        <item x="79"/>
        <item x="355"/>
        <item x="574"/>
        <item x="252"/>
        <item x="265"/>
        <item x="292"/>
        <item x="208"/>
        <item x="36"/>
        <item x="473"/>
        <item x="152"/>
        <item x="459"/>
        <item x="280"/>
        <item x="347"/>
        <item x="579"/>
        <item x="486"/>
        <item x="571"/>
        <item x="474"/>
        <item x="566"/>
        <item x="495"/>
        <item x="455"/>
        <item x="399"/>
        <item x="552"/>
        <item x="433"/>
        <item x="100"/>
        <item x="116"/>
        <item x="239"/>
        <item x="72"/>
        <item x="117"/>
        <item x="26"/>
        <item x="275"/>
        <item x="415"/>
        <item x="546"/>
        <item x="291"/>
        <item x="316"/>
        <item x="137"/>
        <item x="526"/>
        <item x="206"/>
        <item x="440"/>
        <item x="360"/>
        <item x="73"/>
        <item x="570"/>
        <item x="266"/>
        <item x="160"/>
        <item x="363"/>
        <item x="199"/>
        <item x="159"/>
        <item x="228"/>
        <item x="540"/>
        <item x="534"/>
        <item x="443"/>
        <item x="348"/>
        <item x="102"/>
        <item x="487"/>
        <item x="426"/>
        <item x="274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600">
    <i>
      <x v="294"/>
    </i>
    <i>
      <x v="537"/>
    </i>
    <i>
      <x v="295"/>
    </i>
    <i>
      <x v="111"/>
    </i>
    <i>
      <x v="433"/>
    </i>
    <i>
      <x v="577"/>
    </i>
    <i>
      <x v="171"/>
    </i>
    <i>
      <x v="202"/>
    </i>
    <i>
      <x v="381"/>
    </i>
    <i>
      <x v="174"/>
    </i>
    <i>
      <x v="597"/>
    </i>
    <i>
      <x v="310"/>
    </i>
    <i>
      <x v="91"/>
    </i>
    <i>
      <x v="113"/>
    </i>
    <i>
      <x v="14"/>
    </i>
    <i>
      <x v="8"/>
    </i>
    <i>
      <x v="268"/>
    </i>
    <i>
      <x v="404"/>
    </i>
    <i>
      <x v="101"/>
    </i>
    <i>
      <x v="138"/>
    </i>
    <i>
      <x v="427"/>
    </i>
    <i>
      <x v="338"/>
    </i>
    <i>
      <x v="29"/>
    </i>
    <i>
      <x v="478"/>
    </i>
    <i>
      <x v="301"/>
    </i>
    <i>
      <x v="394"/>
    </i>
    <i>
      <x v="141"/>
    </i>
    <i>
      <x v="418"/>
    </i>
    <i>
      <x v="43"/>
    </i>
    <i>
      <x v="157"/>
    </i>
    <i>
      <x v="137"/>
    </i>
    <i>
      <x v="499"/>
    </i>
    <i>
      <x v="454"/>
    </i>
    <i>
      <x v="453"/>
    </i>
    <i>
      <x v="129"/>
    </i>
    <i>
      <x v="271"/>
    </i>
    <i>
      <x v="450"/>
    </i>
    <i>
      <x v="352"/>
    </i>
    <i>
      <x v="592"/>
    </i>
    <i>
      <x v="337"/>
    </i>
    <i>
      <x v="243"/>
    </i>
    <i>
      <x v="184"/>
    </i>
    <i>
      <x v="130"/>
    </i>
    <i>
      <x v="154"/>
    </i>
    <i>
      <x v="92"/>
    </i>
    <i>
      <x v="293"/>
    </i>
    <i>
      <x v="494"/>
    </i>
    <i>
      <x v="525"/>
    </i>
    <i>
      <x v="390"/>
    </i>
    <i>
      <x v="121"/>
    </i>
    <i>
      <x v="262"/>
    </i>
    <i>
      <x v="370"/>
    </i>
    <i>
      <x v="59"/>
    </i>
    <i>
      <x v="236"/>
    </i>
    <i>
      <x v="573"/>
    </i>
    <i>
      <x v="354"/>
    </i>
    <i>
      <x v="81"/>
    </i>
    <i>
      <x v="177"/>
    </i>
    <i>
      <x v="396"/>
    </i>
    <i>
      <x v="329"/>
    </i>
    <i>
      <x v="261"/>
    </i>
    <i>
      <x v="359"/>
    </i>
    <i>
      <x v="36"/>
    </i>
    <i>
      <x v="145"/>
    </i>
    <i>
      <x v="115"/>
    </i>
    <i>
      <x v="534"/>
    </i>
    <i>
      <x v="497"/>
    </i>
    <i>
      <x v="266"/>
    </i>
    <i>
      <x v="237"/>
    </i>
    <i>
      <x v="18"/>
    </i>
    <i>
      <x v="190"/>
    </i>
    <i>
      <x v="568"/>
    </i>
    <i>
      <x v="350"/>
    </i>
    <i>
      <x v="580"/>
    </i>
    <i>
      <x v="377"/>
    </i>
    <i>
      <x v="550"/>
    </i>
    <i>
      <x v="510"/>
    </i>
    <i>
      <x v="353"/>
    </i>
    <i>
      <x v="366"/>
    </i>
    <i>
      <x v="218"/>
    </i>
    <i>
      <x v="447"/>
    </i>
    <i>
      <x v="389"/>
    </i>
    <i>
      <x v="216"/>
    </i>
    <i>
      <x v="35"/>
    </i>
    <i>
      <x v="191"/>
    </i>
    <i>
      <x v="468"/>
    </i>
    <i>
      <x v="402"/>
    </i>
    <i>
      <x v="434"/>
    </i>
    <i>
      <x v="241"/>
    </i>
    <i>
      <x v="199"/>
    </i>
    <i>
      <x v="419"/>
    </i>
    <i>
      <x v="274"/>
    </i>
    <i>
      <x v="392"/>
    </i>
    <i>
      <x v="371"/>
    </i>
    <i>
      <x v="27"/>
    </i>
    <i>
      <x v="90"/>
    </i>
    <i>
      <x v="285"/>
    </i>
    <i>
      <x v="304"/>
    </i>
    <i>
      <x v="491"/>
    </i>
    <i>
      <x v="132"/>
    </i>
    <i>
      <x v="437"/>
    </i>
    <i>
      <x v="255"/>
    </i>
    <i>
      <x v="71"/>
    </i>
    <i>
      <x v="248"/>
    </i>
    <i>
      <x v="143"/>
    </i>
    <i>
      <x v="198"/>
    </i>
    <i>
      <x v="436"/>
    </i>
    <i>
      <x v="374"/>
    </i>
    <i>
      <x v="302"/>
    </i>
    <i>
      <x v="587"/>
    </i>
    <i>
      <x v="200"/>
    </i>
    <i>
      <x v="153"/>
    </i>
    <i>
      <x v="105"/>
    </i>
    <i>
      <x v="406"/>
    </i>
    <i>
      <x v="342"/>
    </i>
    <i>
      <x v="567"/>
    </i>
    <i>
      <x v="4"/>
    </i>
    <i>
      <x v="46"/>
    </i>
    <i>
      <x v="526"/>
    </i>
    <i>
      <x v="215"/>
    </i>
    <i>
      <x v="250"/>
    </i>
    <i>
      <x v="117"/>
    </i>
    <i>
      <x v="229"/>
    </i>
    <i>
      <x v="86"/>
    </i>
    <i>
      <x v="516"/>
    </i>
    <i>
      <x v="588"/>
    </i>
    <i>
      <x v="502"/>
    </i>
    <i>
      <x v="25"/>
    </i>
    <i>
      <x v="213"/>
    </i>
    <i>
      <x v="212"/>
    </i>
    <i>
      <x v="407"/>
    </i>
    <i>
      <x v="395"/>
    </i>
    <i>
      <x v="48"/>
    </i>
    <i>
      <x v="155"/>
    </i>
    <i>
      <x v="197"/>
    </i>
    <i>
      <x v="582"/>
    </i>
    <i>
      <x v="349"/>
    </i>
    <i>
      <x v="473"/>
    </i>
    <i>
      <x v="320"/>
    </i>
    <i>
      <x v="108"/>
    </i>
    <i>
      <x v="84"/>
    </i>
    <i>
      <x v="336"/>
    </i>
    <i>
      <x v="423"/>
    </i>
    <i>
      <x v="380"/>
    </i>
    <i>
      <x v="68"/>
    </i>
    <i>
      <x v="83"/>
    </i>
    <i>
      <x v="176"/>
    </i>
    <i>
      <x v="547"/>
    </i>
    <i>
      <x v="420"/>
    </i>
    <i>
      <x v="465"/>
    </i>
    <i>
      <x v="498"/>
    </i>
    <i>
      <x v="477"/>
    </i>
    <i>
      <x v="182"/>
    </i>
    <i>
      <x v="277"/>
    </i>
    <i>
      <x v="345"/>
    </i>
    <i>
      <x v="518"/>
    </i>
    <i>
      <x v="515"/>
    </i>
    <i>
      <x v="66"/>
    </i>
    <i>
      <x v="486"/>
    </i>
    <i>
      <x v="179"/>
    </i>
    <i>
      <x v="10"/>
    </i>
    <i>
      <x v="523"/>
    </i>
    <i>
      <x v="538"/>
    </i>
    <i>
      <x v="332"/>
    </i>
    <i>
      <x v="506"/>
    </i>
    <i>
      <x v="55"/>
    </i>
    <i>
      <x v="220"/>
    </i>
    <i>
      <x v="239"/>
    </i>
    <i>
      <x v="298"/>
    </i>
    <i>
      <x v="206"/>
    </i>
    <i>
      <x v="469"/>
    </i>
    <i>
      <x v="346"/>
    </i>
    <i>
      <x v="481"/>
    </i>
    <i>
      <x v="317"/>
    </i>
    <i>
      <x v="297"/>
    </i>
    <i>
      <x v="583"/>
    </i>
    <i>
      <x v="219"/>
    </i>
    <i>
      <x v="52"/>
    </i>
    <i>
      <x v="181"/>
    </i>
    <i>
      <x v="51"/>
    </i>
    <i>
      <x v="512"/>
    </i>
    <i>
      <x v="195"/>
    </i>
    <i>
      <x v="47"/>
    </i>
    <i>
      <x v="160"/>
    </i>
    <i>
      <x v="170"/>
    </i>
    <i>
      <x v="233"/>
    </i>
    <i>
      <x v="363"/>
    </i>
    <i>
      <x v="503"/>
    </i>
    <i>
      <x/>
    </i>
    <i>
      <x v="49"/>
    </i>
    <i>
      <x v="399"/>
    </i>
    <i>
      <x v="571"/>
    </i>
    <i>
      <x v="425"/>
    </i>
    <i>
      <x v="72"/>
    </i>
    <i>
      <x v="278"/>
    </i>
    <i>
      <x v="296"/>
    </i>
    <i>
      <x v="375"/>
    </i>
    <i>
      <x v="514"/>
    </i>
    <i>
      <x v="331"/>
    </i>
    <i>
      <x v="3"/>
    </i>
    <i>
      <x v="13"/>
    </i>
    <i>
      <x v="54"/>
    </i>
    <i>
      <x v="187"/>
    </i>
    <i>
      <x v="127"/>
    </i>
    <i>
      <x v="398"/>
    </i>
    <i>
      <x v="347"/>
    </i>
    <i>
      <x v="15"/>
    </i>
    <i>
      <x v="258"/>
    </i>
    <i>
      <x v="461"/>
    </i>
    <i>
      <x v="369"/>
    </i>
    <i>
      <x v="439"/>
    </i>
    <i>
      <x v="412"/>
    </i>
    <i>
      <x v="9"/>
    </i>
    <i>
      <x v="485"/>
    </i>
    <i>
      <x v="341"/>
    </i>
    <i>
      <x v="586"/>
    </i>
    <i>
      <x v="415"/>
    </i>
    <i>
      <x v="146"/>
    </i>
    <i>
      <x v="335"/>
    </i>
    <i>
      <x v="438"/>
    </i>
    <i>
      <x v="382"/>
    </i>
    <i>
      <x v="539"/>
    </i>
    <i>
      <x v="31"/>
    </i>
    <i>
      <x v="87"/>
    </i>
    <i>
      <x v="334"/>
    </i>
    <i>
      <x v="356"/>
    </i>
    <i>
      <x v="173"/>
    </i>
    <i>
      <x v="323"/>
    </i>
    <i>
      <x v="386"/>
    </i>
    <i>
      <x v="522"/>
    </i>
    <i>
      <x v="103"/>
    </i>
    <i>
      <x v="548"/>
    </i>
    <i>
      <x v="235"/>
    </i>
    <i>
      <x v="159"/>
    </i>
    <i>
      <x v="330"/>
    </i>
    <i>
      <x v="443"/>
    </i>
    <i>
      <x v="555"/>
    </i>
    <i>
      <x v="292"/>
    </i>
    <i>
      <x v="60"/>
    </i>
    <i>
      <x v="325"/>
    </i>
    <i>
      <x v="507"/>
    </i>
    <i>
      <x v="343"/>
    </i>
    <i>
      <x v="97"/>
    </i>
    <i>
      <x v="17"/>
    </i>
    <i>
      <x v="249"/>
    </i>
    <i>
      <x v="180"/>
    </i>
    <i>
      <x v="133"/>
    </i>
    <i>
      <x v="417"/>
    </i>
    <i>
      <x v="579"/>
    </i>
    <i>
      <x v="351"/>
    </i>
    <i>
      <x v="339"/>
    </i>
    <i>
      <x v="135"/>
    </i>
    <i>
      <x v="21"/>
    </i>
    <i>
      <x v="463"/>
    </i>
    <i>
      <x v="487"/>
    </i>
    <i>
      <x v="435"/>
    </i>
    <i>
      <x v="264"/>
    </i>
    <i>
      <x v="413"/>
    </i>
    <i>
      <x v="594"/>
    </i>
    <i>
      <x v="570"/>
    </i>
    <i>
      <x v="175"/>
    </i>
    <i>
      <x v="286"/>
    </i>
    <i>
      <x v="319"/>
    </i>
    <i>
      <x v="373"/>
    </i>
    <i>
      <x v="517"/>
    </i>
    <i>
      <x v="448"/>
    </i>
    <i>
      <x v="85"/>
    </i>
    <i>
      <x v="194"/>
    </i>
    <i>
      <x v="118"/>
    </i>
    <i>
      <x v="188"/>
    </i>
    <i>
      <x v="2"/>
    </i>
    <i>
      <x v="543"/>
    </i>
    <i>
      <x v="488"/>
    </i>
    <i>
      <x v="414"/>
    </i>
    <i>
      <x v="5"/>
    </i>
    <i>
      <x v="183"/>
    </i>
    <i>
      <x v="89"/>
    </i>
    <i>
      <x v="61"/>
    </i>
    <i>
      <x v="139"/>
    </i>
    <i>
      <x v="209"/>
    </i>
    <i>
      <x v="410"/>
    </i>
    <i>
      <x v="460"/>
    </i>
    <i>
      <x v="476"/>
    </i>
    <i>
      <x v="39"/>
    </i>
    <i>
      <x v="421"/>
    </i>
    <i>
      <x v="431"/>
    </i>
    <i>
      <x v="562"/>
    </i>
    <i>
      <x v="123"/>
    </i>
    <i>
      <x v="226"/>
    </i>
    <i>
      <x v="234"/>
    </i>
    <i>
      <x v="267"/>
    </i>
    <i>
      <x v="144"/>
    </i>
    <i>
      <x v="300"/>
    </i>
    <i>
      <x v="73"/>
    </i>
    <i>
      <x v="76"/>
    </i>
    <i>
      <x v="114"/>
    </i>
    <i>
      <x v="102"/>
    </i>
    <i>
      <x v="598"/>
    </i>
    <i>
      <x v="441"/>
    </i>
    <i>
      <x v="208"/>
    </i>
    <i>
      <x v="446"/>
    </i>
    <i>
      <x v="358"/>
    </i>
    <i>
      <x v="558"/>
    </i>
    <i>
      <x v="483"/>
    </i>
    <i>
      <x v="584"/>
    </i>
    <i>
      <x v="12"/>
    </i>
    <i>
      <x v="196"/>
    </i>
    <i>
      <x v="96"/>
    </i>
    <i>
      <x v="442"/>
    </i>
    <i>
      <x v="595"/>
    </i>
    <i>
      <x v="416"/>
    </i>
    <i>
      <x v="303"/>
    </i>
    <i>
      <x v="528"/>
    </i>
    <i>
      <x v="251"/>
    </i>
    <i>
      <x v="147"/>
    </i>
    <i>
      <x v="110"/>
    </i>
    <i>
      <x v="544"/>
    </i>
    <i>
      <x v="569"/>
    </i>
    <i>
      <x v="472"/>
    </i>
    <i>
      <x v="45"/>
    </i>
    <i>
      <x v="232"/>
    </i>
    <i>
      <x v="424"/>
    </i>
    <i>
      <x v="466"/>
    </i>
    <i>
      <x v="333"/>
    </i>
    <i>
      <x v="581"/>
    </i>
    <i>
      <x v="80"/>
    </i>
    <i>
      <x v="322"/>
    </i>
    <i>
      <x v="467"/>
    </i>
    <i>
      <x v="281"/>
    </i>
    <i>
      <x v="217"/>
    </i>
    <i>
      <x v="33"/>
    </i>
    <i>
      <x v="58"/>
    </i>
    <i>
      <x v="585"/>
    </i>
    <i>
      <x v="429"/>
    </i>
    <i>
      <x v="99"/>
    </i>
    <i>
      <x v="411"/>
    </i>
    <i>
      <x v="397"/>
    </i>
    <i>
      <x v="480"/>
    </i>
    <i>
      <x v="361"/>
    </i>
    <i>
      <x v="365"/>
    </i>
    <i>
      <x v="452"/>
    </i>
    <i>
      <x v="256"/>
    </i>
    <i>
      <x v="7"/>
    </i>
    <i>
      <x v="95"/>
    </i>
    <i>
      <x v="464"/>
    </i>
    <i>
      <x v="551"/>
    </i>
    <i>
      <x v="489"/>
    </i>
    <i>
      <x v="326"/>
    </i>
    <i>
      <x v="501"/>
    </i>
    <i>
      <x v="504"/>
    </i>
    <i>
      <x v="94"/>
    </i>
    <i>
      <x v="282"/>
    </i>
    <i>
      <x v="307"/>
    </i>
    <i>
      <x v="428"/>
    </i>
    <i>
      <x v="228"/>
    </i>
    <i>
      <x v="178"/>
    </i>
    <i>
      <x v="246"/>
    </i>
    <i>
      <x v="167"/>
    </i>
    <i>
      <x v="16"/>
    </i>
    <i>
      <x v="38"/>
    </i>
    <i>
      <x v="511"/>
    </i>
    <i>
      <x v="471"/>
    </i>
    <i>
      <x v="309"/>
    </i>
    <i>
      <x v="314"/>
    </i>
    <i>
      <x v="564"/>
    </i>
    <i>
      <x v="530"/>
    </i>
    <i>
      <x v="247"/>
    </i>
    <i>
      <x v="470"/>
    </i>
    <i>
      <x v="509"/>
    </i>
    <i>
      <x v="408"/>
    </i>
    <i>
      <x v="201"/>
    </i>
    <i>
      <x v="6"/>
    </i>
    <i>
      <x v="150"/>
    </i>
    <i>
      <x v="311"/>
    </i>
    <i>
      <x v="444"/>
    </i>
    <i>
      <x v="355"/>
    </i>
    <i>
      <x v="279"/>
    </i>
    <i>
      <x v="109"/>
    </i>
    <i>
      <x v="275"/>
    </i>
    <i>
      <x v="104"/>
    </i>
    <i>
      <x v="158"/>
    </i>
    <i>
      <x v="590"/>
    </i>
    <i>
      <x v="409"/>
    </i>
    <i>
      <x v="69"/>
    </i>
    <i>
      <x v="192"/>
    </i>
    <i>
      <x v="260"/>
    </i>
    <i>
      <x v="280"/>
    </i>
    <i>
      <x v="32"/>
    </i>
    <i>
      <x v="78"/>
    </i>
    <i>
      <x v="556"/>
    </i>
    <i>
      <x v="312"/>
    </i>
    <i>
      <x v="134"/>
    </i>
    <i>
      <x v="553"/>
    </i>
    <i>
      <x v="379"/>
    </i>
    <i>
      <x v="257"/>
    </i>
    <i>
      <x v="223"/>
    </i>
    <i>
      <x v="462"/>
    </i>
    <i>
      <x v="493"/>
    </i>
    <i>
      <x v="100"/>
    </i>
    <i>
      <x v="222"/>
    </i>
    <i>
      <x v="211"/>
    </i>
    <i>
      <x v="70"/>
    </i>
    <i>
      <x v="364"/>
    </i>
    <i>
      <x v="254"/>
    </i>
    <i>
      <x v="205"/>
    </i>
    <i>
      <x v="284"/>
    </i>
    <i>
      <x v="265"/>
    </i>
    <i>
      <x v="168"/>
    </i>
    <i>
      <x v="221"/>
    </i>
    <i>
      <x v="344"/>
    </i>
    <i>
      <x v="576"/>
    </i>
    <i>
      <x v="474"/>
    </i>
    <i>
      <x v="545"/>
    </i>
    <i>
      <x v="65"/>
    </i>
    <i>
      <x v="270"/>
    </i>
    <i>
      <x v="238"/>
    </i>
    <i>
      <x v="289"/>
    </i>
    <i>
      <x v="362"/>
    </i>
    <i>
      <x v="557"/>
    </i>
    <i>
      <x v="541"/>
    </i>
    <i>
      <x v="533"/>
    </i>
    <i>
      <x v="455"/>
    </i>
    <i>
      <x v="546"/>
    </i>
    <i>
      <x v="63"/>
    </i>
    <i>
      <x v="62"/>
    </i>
    <i>
      <x v="214"/>
    </i>
    <i>
      <x v="383"/>
    </i>
    <i>
      <x v="74"/>
    </i>
    <i>
      <x v="124"/>
    </i>
    <i>
      <x v="403"/>
    </i>
    <i>
      <x v="561"/>
    </i>
    <i>
      <x v="385"/>
    </i>
    <i>
      <x v="524"/>
    </i>
    <i>
      <x v="535"/>
    </i>
    <i>
      <x v="495"/>
    </i>
    <i>
      <x v="263"/>
    </i>
    <i>
      <x v="283"/>
    </i>
    <i>
      <x v="193"/>
    </i>
    <i>
      <x v="122"/>
    </i>
    <i>
      <x v="324"/>
    </i>
    <i>
      <x v="565"/>
    </i>
    <i>
      <x v="593"/>
    </i>
    <i>
      <x v="20"/>
    </i>
    <i>
      <x v="210"/>
    </i>
    <i>
      <x v="203"/>
    </i>
    <i>
      <x v="321"/>
    </i>
    <i>
      <x v="519"/>
    </i>
    <i>
      <x v="162"/>
    </i>
    <i>
      <x v="165"/>
    </i>
    <i>
      <x v="574"/>
    </i>
    <i>
      <x v="430"/>
    </i>
    <i>
      <x v="575"/>
    </i>
    <i>
      <x v="405"/>
    </i>
    <i>
      <x v="552"/>
    </i>
    <i>
      <x v="67"/>
    </i>
    <i>
      <x v="161"/>
    </i>
    <i>
      <x v="56"/>
    </i>
    <i>
      <x v="142"/>
    </i>
    <i>
      <x v="432"/>
    </i>
    <i>
      <x v="496"/>
    </i>
    <i>
      <x v="328"/>
    </i>
    <i>
      <x v="459"/>
    </i>
    <i>
      <x v="288"/>
    </i>
    <i>
      <x v="156"/>
    </i>
    <i>
      <x v="290"/>
    </i>
    <i>
      <x v="224"/>
    </i>
    <i>
      <x v="93"/>
    </i>
    <i>
      <x v="508"/>
    </i>
    <i>
      <x v="596"/>
    </i>
    <i>
      <x v="189"/>
    </i>
    <i>
      <x v="253"/>
    </i>
    <i>
      <x v="126"/>
    </i>
    <i>
      <x v="457"/>
    </i>
    <i>
      <x v="393"/>
    </i>
    <i>
      <x v="456"/>
    </i>
    <i>
      <x v="578"/>
    </i>
    <i>
      <x v="207"/>
    </i>
    <i>
      <x v="107"/>
    </i>
    <i>
      <x v="82"/>
    </i>
    <i>
      <x v="259"/>
    </i>
    <i>
      <x v="536"/>
    </i>
    <i>
      <x v="112"/>
    </i>
    <i>
      <x v="30"/>
    </i>
    <i>
      <x v="230"/>
    </i>
    <i>
      <x v="240"/>
    </i>
    <i>
      <x v="116"/>
    </i>
    <i>
      <x v="204"/>
    </i>
    <i>
      <x v="34"/>
    </i>
    <i>
      <x v="186"/>
    </i>
    <i>
      <x v="384"/>
    </i>
    <i>
      <x v="520"/>
    </i>
    <i>
      <x v="22"/>
    </i>
    <i>
      <x v="559"/>
    </i>
    <i>
      <x v="313"/>
    </i>
    <i>
      <x v="529"/>
    </i>
    <i>
      <x v="372"/>
    </i>
    <i>
      <x v="513"/>
    </i>
    <i>
      <x v="119"/>
    </i>
    <i>
      <x v="148"/>
    </i>
    <i>
      <x v="11"/>
    </i>
    <i>
      <x v="57"/>
    </i>
    <i>
      <x v="287"/>
    </i>
    <i>
      <x v="563"/>
    </i>
    <i>
      <x v="492"/>
    </i>
    <i>
      <x v="231"/>
    </i>
    <i>
      <x v="50"/>
    </i>
    <i>
      <x v="445"/>
    </i>
    <i>
      <x v="37"/>
    </i>
    <i>
      <x v="88"/>
    </i>
    <i>
      <x v="475"/>
    </i>
    <i>
      <x v="244"/>
    </i>
    <i>
      <x v="166"/>
    </i>
    <i>
      <x v="23"/>
    </i>
    <i>
      <x v="77"/>
    </i>
    <i>
      <x v="368"/>
    </i>
    <i>
      <x v="521"/>
    </i>
    <i>
      <x v="128"/>
    </i>
    <i>
      <x v="26"/>
    </i>
    <i>
      <x v="273"/>
    </i>
    <i>
      <x v="28"/>
    </i>
    <i>
      <x v="357"/>
    </i>
    <i>
      <x v="305"/>
    </i>
    <i>
      <x v="387"/>
    </i>
    <i>
      <x v="490"/>
    </i>
    <i>
      <x v="484"/>
    </i>
    <i>
      <x v="540"/>
    </i>
    <i>
      <x v="440"/>
    </i>
    <i>
      <x v="272"/>
    </i>
    <i>
      <x v="227"/>
    </i>
    <i>
      <x v="1"/>
    </i>
    <i>
      <x v="149"/>
    </i>
    <i>
      <x v="276"/>
    </i>
    <i>
      <x v="505"/>
    </i>
    <i>
      <x v="41"/>
    </i>
    <i>
      <x v="422"/>
    </i>
    <i>
      <x v="560"/>
    </i>
    <i>
      <x v="53"/>
    </i>
    <i>
      <x v="400"/>
    </i>
    <i>
      <x v="426"/>
    </i>
    <i>
      <x v="591"/>
    </i>
    <i>
      <x v="269"/>
    </i>
    <i>
      <x v="245"/>
    </i>
    <i>
      <x v="185"/>
    </i>
    <i>
      <x v="376"/>
    </i>
    <i>
      <x v="79"/>
    </i>
    <i>
      <x v="458"/>
    </i>
    <i>
      <x v="308"/>
    </i>
    <i>
      <x v="532"/>
    </i>
    <i>
      <x v="242"/>
    </i>
    <i>
      <x v="98"/>
    </i>
    <i>
      <x v="172"/>
    </i>
    <i>
      <x v="151"/>
    </i>
    <i>
      <x v="152"/>
    </i>
    <i>
      <x v="136"/>
    </i>
    <i>
      <x v="315"/>
    </i>
    <i>
      <x v="140"/>
    </i>
    <i>
      <x v="589"/>
    </i>
    <i>
      <x v="106"/>
    </i>
    <i>
      <x v="348"/>
    </i>
    <i>
      <x v="367"/>
    </i>
    <i>
      <x v="482"/>
    </i>
    <i>
      <x v="360"/>
    </i>
    <i>
      <x v="340"/>
    </i>
    <i>
      <x v="391"/>
    </i>
    <i>
      <x v="125"/>
    </i>
    <i>
      <x v="318"/>
    </i>
    <i>
      <x v="554"/>
    </i>
    <i>
      <x v="225"/>
    </i>
    <i>
      <x v="299"/>
    </i>
    <i>
      <x v="327"/>
    </i>
    <i>
      <x v="531"/>
    </i>
    <i>
      <x v="479"/>
    </i>
    <i>
      <x v="549"/>
    </i>
    <i>
      <x v="291"/>
    </i>
    <i>
      <x v="169"/>
    </i>
    <i>
      <x v="542"/>
    </i>
    <i>
      <x v="572"/>
    </i>
    <i>
      <x v="75"/>
    </i>
    <i>
      <x v="500"/>
    </i>
    <i>
      <x v="40"/>
    </i>
    <i>
      <x v="306"/>
    </i>
    <i>
      <x v="163"/>
    </i>
    <i>
      <x v="42"/>
    </i>
    <i>
      <x v="527"/>
    </i>
    <i>
      <x v="401"/>
    </i>
    <i>
      <x v="316"/>
    </i>
    <i>
      <x v="378"/>
    </i>
    <i>
      <x v="252"/>
    </i>
    <i>
      <x v="24"/>
    </i>
    <i>
      <x v="449"/>
    </i>
    <i>
      <x v="19"/>
    </i>
    <i>
      <x v="566"/>
    </i>
    <i>
      <x v="388"/>
    </i>
    <i>
      <x v="131"/>
    </i>
    <i>
      <x v="64"/>
    </i>
    <i>
      <x v="451"/>
    </i>
    <i>
      <x v="44"/>
    </i>
    <i>
      <x v="164"/>
    </i>
    <i>
      <x v="120"/>
    </i>
    <i t="grand">
      <x/>
    </i>
  </rowItems>
  <colItems count="1">
    <i/>
  </colItems>
  <dataFields count="1">
    <dataField name="Łączna ilość kilogramów" fld="3" baseField="0" baseItem="0"/>
  </dataFields>
  <formats count="4">
    <format dxfId="18">
      <pivotArea collapsedLevelsAreSubtotals="1" fieldPosition="0">
        <references count="1">
          <reference field="4" count="1">
            <x v="294"/>
          </reference>
        </references>
      </pivotArea>
    </format>
    <format dxfId="17">
      <pivotArea field="4" type="button" dataOnly="0" labelOnly="1" outline="0" axis="axisRow" fieldPosition="0"/>
    </format>
    <format dxfId="16">
      <pivotArea dataOnly="0" labelOnly="1" fieldPosition="0">
        <references count="1">
          <reference field="4" count="1">
            <x v="294"/>
          </reference>
        </references>
      </pivotArea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53F31-92E9-499F-AB72-7B253ED5C39A}" name="Tabela przestawna4" cacheId="3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 dnia">
  <location ref="H1:I7" firstHeaderRow="1" firstDataRow="1" firstDataCol="1"/>
  <pivotFields count="8"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showAll="0"/>
    <pivotField showAll="0"/>
    <pivotField showAll="0"/>
    <pivotField axis="axisRow" showAll="0">
      <items count="7">
        <item x="1"/>
        <item x="2"/>
        <item x="3"/>
        <item x="4"/>
        <item m="1" x="5"/>
        <item x="0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a z czy ostatnia z dnia" fld="5" baseField="0" baseItem="0"/>
  </dataFields>
  <formats count="3">
    <format dxfId="9">
      <pivotArea dataOnly="0" labelOnly="1" fieldPosition="0">
        <references count="1">
          <reference field="4" count="1">
            <x v="0"/>
          </reference>
        </references>
      </pivotArea>
    </format>
    <format dxfId="8">
      <pivotArea dataOnly="0" labelOnly="1" fieldPosition="0">
        <references count="1">
          <reference field="4" count="1">
            <x v="0"/>
          </reference>
        </references>
      </pivotArea>
    </format>
    <format dxfId="7">
      <pivotArea collapsedLevelsAreSubtotals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2E34D-4214-4883-A284-6A09FFD4FD47}" name="Tabela przestawna5" cacheId="4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 tyg">
  <location ref="I1:J55" firstHeaderRow="1" firstDataRow="1" firstDataCol="1"/>
  <pivotFields count="5">
    <pivotField numFmtId="14" showAll="0"/>
    <pivotField showAll="0"/>
    <pivotField showAll="0"/>
    <pivotField dataField="1" showAll="0"/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4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Suma z Liczba_kilogramo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1A81DE-8378-481F-A81C-83C4419B0D4F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a_dostarczenia" tableColumnId="1"/>
      <queryTableField id="2" name="Imie" tableColumnId="2"/>
      <queryTableField id="3" name="Nazwisko" tableColumnId="3"/>
      <queryTableField id="4" name="Liczba_kilogramow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887506-413B-4F86-8E54-89EC5C7112F9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a_dostarczenia" tableColumnId="1"/>
      <queryTableField id="2" name="Imie" tableColumnId="2"/>
      <queryTableField id="3" name="Nazwisko" tableColumnId="3"/>
      <queryTableField id="4" name="Liczba_kilogramow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2F6DDC8-315F-440B-A8E5-A4E331DA68E3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Data_dostarczenia" tableColumnId="1"/>
      <queryTableField id="2" name="Imie" tableColumnId="2"/>
      <queryTableField id="3" name="Nazwisko" tableColumnId="3"/>
      <queryTableField id="4" name="Liczba_kilogramow" tableColumnId="4"/>
      <queryTableField id="5" dataBound="0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64A66D-93AE-4940-B85E-C02A91974794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Data_dostarczenia" tableColumnId="1"/>
      <queryTableField id="2" name="Imie" tableColumnId="2"/>
      <queryTableField id="3" name="Nazwisko" tableColumnId="3"/>
      <queryTableField id="4" name="Liczba_kilogramow" tableColumnId="4"/>
      <queryTableField id="5" dataBound="0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DD6DFE1-2946-45F3-8015-FB6426C3A388}" autoFormatId="16" applyNumberFormats="0" applyBorderFormats="0" applyFontFormats="0" applyPatternFormats="0" applyAlignmentFormats="0" applyWidthHeightFormats="0">
  <queryTableRefresh nextId="5">
    <queryTableFields count="4">
      <queryTableField id="1" name="Data_dostarczenia" tableColumnId="1"/>
      <queryTableField id="2" name="Imie" tableColumnId="2"/>
      <queryTableField id="3" name="Nazwisko" tableColumnId="3"/>
      <queryTableField id="4" name="Liczba_kilogramow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F2B6F-514D-4CAE-B0A9-CBA5FAA517F8}" name="makulatura3" displayName="makulatura3" ref="A1:E2269" tableType="queryTable" totalsRowShown="0">
  <autoFilter ref="A1:E2269" xr:uid="{BCE67AE6-7398-470C-AFC3-F397BA7CC42A}"/>
  <tableColumns count="5">
    <tableColumn id="1" xr3:uid="{485CD645-0477-4CA7-8A45-A40B32B1C81F}" uniqueName="1" name="Data_dostarczenia" queryTableFieldId="1" dataDxfId="30"/>
    <tableColumn id="2" xr3:uid="{A9788F75-49F1-4660-B9C9-F350052C286B}" uniqueName="2" name="Imie" queryTableFieldId="2" dataDxfId="29"/>
    <tableColumn id="3" xr3:uid="{27745F7C-0907-497E-A372-25559E166CED}" uniqueName="3" name="Nazwisko" queryTableFieldId="3" dataDxfId="28"/>
    <tableColumn id="4" xr3:uid="{797D1E33-76AA-47BF-9D55-E078894FA647}" uniqueName="4" name="Liczba_kilogramow" queryTableFieldId="4"/>
    <tableColumn id="5" xr3:uid="{0FD7D4F8-BA6A-4E3C-B6FC-546064A7FB0B}" uniqueName="5" name="miesiąc" queryTableFieldId="5" dataDxfId="27">
      <calculatedColumnFormula>MONTH(makulatura3[[#This Row],[Data_dostarczenia]])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83842A-196C-403D-9C7F-BF34A657260A}" name="makulatura4" displayName="makulatura4" ref="A1:E2269" tableType="queryTable" totalsRowShown="0">
  <autoFilter ref="A1:E2269" xr:uid="{BCE67AE6-7398-470C-AFC3-F397BA7CC42A}"/>
  <tableColumns count="5">
    <tableColumn id="1" xr3:uid="{EE017ACA-DBD5-4CAE-99C7-90440973A43B}" uniqueName="1" name="Data_dostarczenia" queryTableFieldId="1" dataDxfId="22"/>
    <tableColumn id="2" xr3:uid="{CBC2717E-E7B6-4FF9-94B0-1E2AAC073381}" uniqueName="2" name="Imie" queryTableFieldId="2" dataDxfId="21"/>
    <tableColumn id="3" xr3:uid="{8C3F447B-322A-44C2-BB1A-A8B2C1F7C131}" uniqueName="3" name="Nazwisko" queryTableFieldId="3" dataDxfId="20"/>
    <tableColumn id="4" xr3:uid="{A04A03BB-6745-4655-A978-23813C78A526}" uniqueName="4" name="Liczba_kilogramow" queryTableFieldId="4"/>
    <tableColumn id="5" xr3:uid="{39B42F01-A879-4316-9BCB-F1E79A29EB31}" uniqueName="5" name="Imie i Nazwisko" queryTableFieldId="5" dataDxfId="19">
      <calculatedColumnFormula>_xlfn.CONCAT(makulatura4[[#This Row],[Imie]]," ",makulatura4[[#This Row],[Nazwisko]])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175C80-BAAE-49D8-9303-5D6DB5FC62AF}" name="makulatura5" displayName="makulatura5" ref="A1:F2269" tableType="queryTable" totalsRowShown="0">
  <autoFilter ref="A1:F2269" xr:uid="{BCE67AE6-7398-470C-AFC3-F397BA7CC42A}"/>
  <tableColumns count="6">
    <tableColumn id="1" xr3:uid="{1D898DAD-B928-4E0B-8089-A89B4793858F}" uniqueName="1" name="Data_dostarczenia" queryTableFieldId="1" dataDxfId="14"/>
    <tableColumn id="2" xr3:uid="{E31AE9F6-9107-41C2-B03D-04A9A0F50B6F}" uniqueName="2" name="Imie" queryTableFieldId="2" dataDxfId="13"/>
    <tableColumn id="3" xr3:uid="{CC935411-4BFF-45EF-8AB6-24DE3FC1841A}" uniqueName="3" name="Nazwisko" queryTableFieldId="3" dataDxfId="12"/>
    <tableColumn id="4" xr3:uid="{AF03C8B5-630F-4EEF-90CA-01AF6D2C8524}" uniqueName="4" name="Liczba_kilogramow" queryTableFieldId="4"/>
    <tableColumn id="5" xr3:uid="{25AD6E93-A7B8-40E3-9BB1-5010E1FAF06C}" uniqueName="5" name="dzień tygodnia" queryTableFieldId="5" dataDxfId="11">
      <calculatedColumnFormula>WEEKDAY(makulatura5[[#This Row],[Data_dostarczenia]],2)</calculatedColumnFormula>
    </tableColumn>
    <tableColumn id="6" xr3:uid="{CA0C4E5C-65B2-456F-AE3D-02EB5E5D7B52}" uniqueName="6" name="czy ostatnia z dnia" queryTableFieldId="6" dataDxfId="10">
      <calculatedColumnFormula>IF(A3=A2,0,1)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67AE6-7398-470C-AFC3-F397BA7CC42A}" name="makulatura" displayName="makulatura" ref="A1:F2269" tableType="queryTable" totalsRowShown="0">
  <autoFilter ref="A1:F2269" xr:uid="{BCE67AE6-7398-470C-AFC3-F397BA7CC42A}"/>
  <tableColumns count="6">
    <tableColumn id="1" xr3:uid="{2389DA65-B771-48E6-8623-3B1061AA4B6F}" uniqueName="1" name="Data_dostarczenia" queryTableFieldId="1" dataDxfId="33"/>
    <tableColumn id="2" xr3:uid="{4DC7692A-937C-4797-8A03-9F4CAEA220A9}" uniqueName="2" name="Imie" queryTableFieldId="2" dataDxfId="32"/>
    <tableColumn id="3" xr3:uid="{80A2DEDC-4F6E-4384-9194-716258B52875}" uniqueName="3" name="Nazwisko" queryTableFieldId="3" dataDxfId="31"/>
    <tableColumn id="4" xr3:uid="{C35D7BA4-DE77-4F51-BAC0-C2CF59617445}" uniqueName="4" name="Liczba_kilogramow" queryTableFieldId="4"/>
    <tableColumn id="5" xr3:uid="{D2DA84FB-F98B-4745-B0DE-F593BF1EA619}" uniqueName="5" name="TYDZIEŃ" queryTableFieldId="5" dataDxfId="4">
      <calculatedColumnFormula>WEEKNUM(makulatura[[#This Row],[Data_dostarczenia]],13)</calculatedColumnFormula>
    </tableColumn>
    <tableColumn id="6" xr3:uid="{3580AA9E-D043-4325-86F0-43BDB77764C5}" uniqueName="6" name="Kolumna1" queryTableFieldId="6" dataDxfId="0">
      <calculatedColumnFormula>WEEKDAY(makulatura[[#This Row],[Data_dostarczenia]],2)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8DB4C4-C61C-40A1-A628-C77501A77C04}" name="makulatura__6" displayName="makulatura__6" ref="A1:D2269" tableType="queryTable" totalsRowShown="0">
  <autoFilter ref="A1:D2269" xr:uid="{838DB4C4-C61C-40A1-A628-C77501A77C04}"/>
  <tableColumns count="4">
    <tableColumn id="1" xr3:uid="{E14D5210-3D67-4416-A3E2-30D63DD2AEC6}" uniqueName="1" name="Data_dostarczenia" queryTableFieldId="1" dataDxfId="3"/>
    <tableColumn id="2" xr3:uid="{56619947-E53E-4E0C-969C-731766C7421C}" uniqueName="2" name="Imie" queryTableFieldId="2" dataDxfId="2"/>
    <tableColumn id="3" xr3:uid="{8111FF54-2E73-4381-B33B-C26DC2448119}" uniqueName="3" name="Nazwisko" queryTableFieldId="3" dataDxfId="1"/>
    <tableColumn id="4" xr3:uid="{2669B5BA-98EF-49EF-9927-CFCC65673D00}" uniqueName="4" name="Liczba_kilogramow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7138-348F-431D-B75D-8DEF14F131A9}">
  <dimension ref="A1:H2269"/>
  <sheetViews>
    <sheetView workbookViewId="0">
      <selection activeCell="G2" sqref="G2:H14"/>
    </sheetView>
  </sheetViews>
  <sheetFormatPr defaultRowHeight="15" x14ac:dyDescent="0.25"/>
  <cols>
    <col min="1" max="1" width="19.7109375" bestFit="1" customWidth="1"/>
    <col min="2" max="2" width="12.140625" bestFit="1" customWidth="1"/>
    <col min="3" max="3" width="14.85546875" bestFit="1" customWidth="1"/>
    <col min="4" max="4" width="20.28515625" bestFit="1" customWidth="1"/>
    <col min="7" max="7" width="17.7109375" bestFit="1" customWidth="1"/>
    <col min="8" max="8" width="2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702</v>
      </c>
    </row>
    <row r="2" spans="1:8" x14ac:dyDescent="0.25">
      <c r="A2" s="1">
        <v>42737</v>
      </c>
      <c r="B2" s="2" t="s">
        <v>4</v>
      </c>
      <c r="C2" s="2" t="s">
        <v>5</v>
      </c>
      <c r="D2">
        <v>2</v>
      </c>
      <c r="E2">
        <f>MONTH(makulatura3[[#This Row],[Data_dostarczenia]])</f>
        <v>1</v>
      </c>
      <c r="G2" s="5" t="s">
        <v>706</v>
      </c>
      <c r="H2" s="5" t="s">
        <v>705</v>
      </c>
    </row>
    <row r="3" spans="1:8" x14ac:dyDescent="0.25">
      <c r="A3" s="1">
        <v>42737</v>
      </c>
      <c r="B3" s="2" t="s">
        <v>6</v>
      </c>
      <c r="C3" s="2" t="s">
        <v>7</v>
      </c>
      <c r="D3">
        <v>51</v>
      </c>
      <c r="E3">
        <f>MONTH(makulatura3[[#This Row],[Data_dostarczenia]])</f>
        <v>1</v>
      </c>
      <c r="G3" s="6">
        <v>1</v>
      </c>
      <c r="H3" s="7">
        <v>5343</v>
      </c>
    </row>
    <row r="4" spans="1:8" x14ac:dyDescent="0.25">
      <c r="A4" s="1">
        <v>42737</v>
      </c>
      <c r="B4" s="2" t="s">
        <v>8</v>
      </c>
      <c r="C4" s="2" t="s">
        <v>9</v>
      </c>
      <c r="D4">
        <v>41</v>
      </c>
      <c r="E4">
        <f>MONTH(makulatura3[[#This Row],[Data_dostarczenia]])</f>
        <v>1</v>
      </c>
      <c r="G4" s="6">
        <v>2</v>
      </c>
      <c r="H4" s="7">
        <v>4966</v>
      </c>
    </row>
    <row r="5" spans="1:8" x14ac:dyDescent="0.25">
      <c r="A5" s="1">
        <v>42737</v>
      </c>
      <c r="B5" s="2" t="s">
        <v>10</v>
      </c>
      <c r="C5" s="2" t="s">
        <v>11</v>
      </c>
      <c r="D5">
        <v>7</v>
      </c>
      <c r="E5">
        <f>MONTH(makulatura3[[#This Row],[Data_dostarczenia]])</f>
        <v>1</v>
      </c>
      <c r="G5" s="6">
        <v>3</v>
      </c>
      <c r="H5" s="7">
        <v>4895</v>
      </c>
    </row>
    <row r="6" spans="1:8" x14ac:dyDescent="0.25">
      <c r="A6" s="1">
        <v>42737</v>
      </c>
      <c r="B6" s="2" t="s">
        <v>12</v>
      </c>
      <c r="C6" s="2" t="s">
        <v>13</v>
      </c>
      <c r="D6">
        <v>46</v>
      </c>
      <c r="E6">
        <f>MONTH(makulatura3[[#This Row],[Data_dostarczenia]])</f>
        <v>1</v>
      </c>
      <c r="G6" s="6">
        <v>4</v>
      </c>
      <c r="H6" s="7">
        <v>3446</v>
      </c>
    </row>
    <row r="7" spans="1:8" x14ac:dyDescent="0.25">
      <c r="A7" s="1">
        <v>42737</v>
      </c>
      <c r="B7" s="2" t="s">
        <v>14</v>
      </c>
      <c r="C7" s="2" t="s">
        <v>15</v>
      </c>
      <c r="D7">
        <v>12</v>
      </c>
      <c r="E7">
        <f>MONTH(makulatura3[[#This Row],[Data_dostarczenia]])</f>
        <v>1</v>
      </c>
      <c r="G7" s="6">
        <v>5</v>
      </c>
      <c r="H7" s="7">
        <v>3222</v>
      </c>
    </row>
    <row r="8" spans="1:8" x14ac:dyDescent="0.25">
      <c r="A8" s="1">
        <v>42737</v>
      </c>
      <c r="B8" s="2" t="s">
        <v>16</v>
      </c>
      <c r="C8" s="2" t="s">
        <v>17</v>
      </c>
      <c r="D8">
        <v>54</v>
      </c>
      <c r="E8">
        <f>MONTH(makulatura3[[#This Row],[Data_dostarczenia]])</f>
        <v>1</v>
      </c>
      <c r="G8" s="6">
        <v>6</v>
      </c>
      <c r="H8" s="7">
        <v>2984</v>
      </c>
    </row>
    <row r="9" spans="1:8" x14ac:dyDescent="0.25">
      <c r="A9" s="1">
        <v>42737</v>
      </c>
      <c r="B9" s="2" t="s">
        <v>18</v>
      </c>
      <c r="C9" s="2" t="s">
        <v>19</v>
      </c>
      <c r="D9">
        <v>55</v>
      </c>
      <c r="E9">
        <f>MONTH(makulatura3[[#This Row],[Data_dostarczenia]])</f>
        <v>1</v>
      </c>
      <c r="G9" s="6">
        <v>7</v>
      </c>
      <c r="H9" s="7">
        <v>3262</v>
      </c>
    </row>
    <row r="10" spans="1:8" x14ac:dyDescent="0.25">
      <c r="A10" s="1">
        <v>42737</v>
      </c>
      <c r="B10" s="2" t="s">
        <v>20</v>
      </c>
      <c r="C10" s="2" t="s">
        <v>21</v>
      </c>
      <c r="D10">
        <v>45</v>
      </c>
      <c r="E10">
        <f>MONTH(makulatura3[[#This Row],[Data_dostarczenia]])</f>
        <v>1</v>
      </c>
      <c r="G10" s="6">
        <v>8</v>
      </c>
      <c r="H10" s="7">
        <v>4128</v>
      </c>
    </row>
    <row r="11" spans="1:8" x14ac:dyDescent="0.25">
      <c r="A11" s="1">
        <v>42737</v>
      </c>
      <c r="B11" s="2" t="s">
        <v>4</v>
      </c>
      <c r="C11" s="2" t="s">
        <v>22</v>
      </c>
      <c r="D11">
        <v>3</v>
      </c>
      <c r="E11">
        <f>MONTH(makulatura3[[#This Row],[Data_dostarczenia]])</f>
        <v>1</v>
      </c>
      <c r="G11" s="6">
        <v>9</v>
      </c>
      <c r="H11" s="7">
        <v>4826</v>
      </c>
    </row>
    <row r="12" spans="1:8" x14ac:dyDescent="0.25">
      <c r="A12" s="1">
        <v>42738</v>
      </c>
      <c r="B12" s="2" t="s">
        <v>23</v>
      </c>
      <c r="C12" s="2" t="s">
        <v>24</v>
      </c>
      <c r="D12">
        <v>6</v>
      </c>
      <c r="E12">
        <f>MONTH(makulatura3[[#This Row],[Data_dostarczenia]])</f>
        <v>1</v>
      </c>
      <c r="G12" s="6">
        <v>10</v>
      </c>
      <c r="H12" s="7">
        <v>4558</v>
      </c>
    </row>
    <row r="13" spans="1:8" x14ac:dyDescent="0.25">
      <c r="A13" s="1">
        <v>42738</v>
      </c>
      <c r="B13" s="2" t="s">
        <v>25</v>
      </c>
      <c r="C13" s="2" t="s">
        <v>26</v>
      </c>
      <c r="D13">
        <v>23</v>
      </c>
      <c r="E13">
        <f>MONTH(makulatura3[[#This Row],[Data_dostarczenia]])</f>
        <v>1</v>
      </c>
      <c r="G13" s="6">
        <v>11</v>
      </c>
      <c r="H13" s="7">
        <v>5502</v>
      </c>
    </row>
    <row r="14" spans="1:8" x14ac:dyDescent="0.25">
      <c r="A14" s="1">
        <v>42738</v>
      </c>
      <c r="B14" s="2" t="s">
        <v>27</v>
      </c>
      <c r="C14" s="2" t="s">
        <v>28</v>
      </c>
      <c r="D14">
        <v>53</v>
      </c>
      <c r="E14">
        <f>MONTH(makulatura3[[#This Row],[Data_dostarczenia]])</f>
        <v>1</v>
      </c>
      <c r="G14" s="6">
        <v>12</v>
      </c>
      <c r="H14" s="7">
        <v>3771</v>
      </c>
    </row>
    <row r="15" spans="1:8" x14ac:dyDescent="0.25">
      <c r="A15" s="1">
        <v>42738</v>
      </c>
      <c r="B15" s="2" t="s">
        <v>18</v>
      </c>
      <c r="C15" s="2" t="s">
        <v>29</v>
      </c>
      <c r="D15">
        <v>15</v>
      </c>
      <c r="E15">
        <f>MONTH(makulatura3[[#This Row],[Data_dostarczenia]])</f>
        <v>1</v>
      </c>
      <c r="G15" s="4" t="s">
        <v>703</v>
      </c>
      <c r="H15" s="2">
        <v>50903</v>
      </c>
    </row>
    <row r="16" spans="1:8" x14ac:dyDescent="0.25">
      <c r="A16" s="1">
        <v>42738</v>
      </c>
      <c r="B16" s="2" t="s">
        <v>30</v>
      </c>
      <c r="C16" s="2" t="s">
        <v>31</v>
      </c>
      <c r="D16">
        <v>44</v>
      </c>
      <c r="E16">
        <f>MONTH(makulatura3[[#This Row],[Data_dostarczenia]])</f>
        <v>1</v>
      </c>
    </row>
    <row r="17" spans="1:5" x14ac:dyDescent="0.25">
      <c r="A17" s="1">
        <v>42738</v>
      </c>
      <c r="B17" s="2" t="s">
        <v>32</v>
      </c>
      <c r="C17" s="2" t="s">
        <v>33</v>
      </c>
      <c r="D17">
        <v>14</v>
      </c>
      <c r="E17">
        <f>MONTH(makulatura3[[#This Row],[Data_dostarczenia]])</f>
        <v>1</v>
      </c>
    </row>
    <row r="18" spans="1:5" x14ac:dyDescent="0.25">
      <c r="A18" s="1">
        <v>42738</v>
      </c>
      <c r="B18" s="2" t="s">
        <v>34</v>
      </c>
      <c r="C18" s="2" t="s">
        <v>35</v>
      </c>
      <c r="D18">
        <v>26</v>
      </c>
      <c r="E18">
        <f>MONTH(makulatura3[[#This Row],[Data_dostarczenia]])</f>
        <v>1</v>
      </c>
    </row>
    <row r="19" spans="1:5" x14ac:dyDescent="0.25">
      <c r="A19" s="1">
        <v>42738</v>
      </c>
      <c r="B19" s="2" t="s">
        <v>36</v>
      </c>
      <c r="C19" s="2" t="s">
        <v>37</v>
      </c>
      <c r="D19">
        <v>19</v>
      </c>
      <c r="E19">
        <f>MONTH(makulatura3[[#This Row],[Data_dostarczenia]])</f>
        <v>1</v>
      </c>
    </row>
    <row r="20" spans="1:5" x14ac:dyDescent="0.25">
      <c r="A20" s="1">
        <v>42738</v>
      </c>
      <c r="B20" s="2" t="s">
        <v>12</v>
      </c>
      <c r="C20" s="2" t="s">
        <v>38</v>
      </c>
      <c r="D20">
        <v>14</v>
      </c>
      <c r="E20">
        <f>MONTH(makulatura3[[#This Row],[Data_dostarczenia]])</f>
        <v>1</v>
      </c>
    </row>
    <row r="21" spans="1:5" x14ac:dyDescent="0.25">
      <c r="A21" s="1">
        <v>42739</v>
      </c>
      <c r="B21" s="2" t="s">
        <v>39</v>
      </c>
      <c r="C21" s="2" t="s">
        <v>40</v>
      </c>
      <c r="D21">
        <v>56</v>
      </c>
      <c r="E21">
        <f>MONTH(makulatura3[[#This Row],[Data_dostarczenia]])</f>
        <v>1</v>
      </c>
    </row>
    <row r="22" spans="1:5" x14ac:dyDescent="0.25">
      <c r="A22" s="1">
        <v>42739</v>
      </c>
      <c r="B22" s="2" t="s">
        <v>41</v>
      </c>
      <c r="C22" s="2" t="s">
        <v>42</v>
      </c>
      <c r="D22">
        <v>20</v>
      </c>
      <c r="E22">
        <f>MONTH(makulatura3[[#This Row],[Data_dostarczenia]])</f>
        <v>1</v>
      </c>
    </row>
    <row r="23" spans="1:5" x14ac:dyDescent="0.25">
      <c r="A23" s="1">
        <v>42739</v>
      </c>
      <c r="B23" s="2" t="s">
        <v>43</v>
      </c>
      <c r="C23" s="2" t="s">
        <v>44</v>
      </c>
      <c r="D23">
        <v>28</v>
      </c>
      <c r="E23">
        <f>MONTH(makulatura3[[#This Row],[Data_dostarczenia]])</f>
        <v>1</v>
      </c>
    </row>
    <row r="24" spans="1:5" x14ac:dyDescent="0.25">
      <c r="A24" s="1">
        <v>42739</v>
      </c>
      <c r="B24" s="2" t="s">
        <v>45</v>
      </c>
      <c r="C24" s="2" t="s">
        <v>46</v>
      </c>
      <c r="D24">
        <v>24</v>
      </c>
      <c r="E24">
        <f>MONTH(makulatura3[[#This Row],[Data_dostarczenia]])</f>
        <v>1</v>
      </c>
    </row>
    <row r="25" spans="1:5" x14ac:dyDescent="0.25">
      <c r="A25" s="1">
        <v>42739</v>
      </c>
      <c r="B25" s="2" t="s">
        <v>47</v>
      </c>
      <c r="C25" s="2" t="s">
        <v>48</v>
      </c>
      <c r="D25">
        <v>21</v>
      </c>
      <c r="E25">
        <f>MONTH(makulatura3[[#This Row],[Data_dostarczenia]])</f>
        <v>1</v>
      </c>
    </row>
    <row r="26" spans="1:5" x14ac:dyDescent="0.25">
      <c r="A26" s="1">
        <v>42739</v>
      </c>
      <c r="B26" s="2" t="s">
        <v>49</v>
      </c>
      <c r="C26" s="2" t="s">
        <v>50</v>
      </c>
      <c r="D26">
        <v>16</v>
      </c>
      <c r="E26">
        <f>MONTH(makulatura3[[#This Row],[Data_dostarczenia]])</f>
        <v>1</v>
      </c>
    </row>
    <row r="27" spans="1:5" x14ac:dyDescent="0.25">
      <c r="A27" s="1">
        <v>42739</v>
      </c>
      <c r="B27" s="2" t="s">
        <v>51</v>
      </c>
      <c r="C27" s="2" t="s">
        <v>52</v>
      </c>
      <c r="D27">
        <v>8</v>
      </c>
      <c r="E27">
        <f>MONTH(makulatura3[[#This Row],[Data_dostarczenia]])</f>
        <v>1</v>
      </c>
    </row>
    <row r="28" spans="1:5" x14ac:dyDescent="0.25">
      <c r="A28" s="1">
        <v>42739</v>
      </c>
      <c r="B28" s="2" t="s">
        <v>53</v>
      </c>
      <c r="C28" s="2" t="s">
        <v>54</v>
      </c>
      <c r="D28">
        <v>41</v>
      </c>
      <c r="E28">
        <f>MONTH(makulatura3[[#This Row],[Data_dostarczenia]])</f>
        <v>1</v>
      </c>
    </row>
    <row r="29" spans="1:5" x14ac:dyDescent="0.25">
      <c r="A29" s="1">
        <v>42739</v>
      </c>
      <c r="B29" s="2" t="s">
        <v>55</v>
      </c>
      <c r="C29" s="2" t="s">
        <v>56</v>
      </c>
      <c r="D29">
        <v>9</v>
      </c>
      <c r="E29">
        <f>MONTH(makulatura3[[#This Row],[Data_dostarczenia]])</f>
        <v>1</v>
      </c>
    </row>
    <row r="30" spans="1:5" x14ac:dyDescent="0.25">
      <c r="A30" s="1">
        <v>42740</v>
      </c>
      <c r="B30" s="2" t="s">
        <v>57</v>
      </c>
      <c r="C30" s="2" t="s">
        <v>58</v>
      </c>
      <c r="D30">
        <v>19</v>
      </c>
      <c r="E30">
        <f>MONTH(makulatura3[[#This Row],[Data_dostarczenia]])</f>
        <v>1</v>
      </c>
    </row>
    <row r="31" spans="1:5" x14ac:dyDescent="0.25">
      <c r="A31" s="1">
        <v>42740</v>
      </c>
      <c r="B31" s="2" t="s">
        <v>59</v>
      </c>
      <c r="C31" s="2" t="s">
        <v>60</v>
      </c>
      <c r="D31">
        <v>33</v>
      </c>
      <c r="E31">
        <f>MONTH(makulatura3[[#This Row],[Data_dostarczenia]])</f>
        <v>1</v>
      </c>
    </row>
    <row r="32" spans="1:5" x14ac:dyDescent="0.25">
      <c r="A32" s="1">
        <v>42740</v>
      </c>
      <c r="B32" s="2" t="s">
        <v>61</v>
      </c>
      <c r="C32" s="2" t="s">
        <v>62</v>
      </c>
      <c r="D32">
        <v>29</v>
      </c>
      <c r="E32">
        <f>MONTH(makulatura3[[#This Row],[Data_dostarczenia]])</f>
        <v>1</v>
      </c>
    </row>
    <row r="33" spans="1:5" x14ac:dyDescent="0.25">
      <c r="A33" s="1">
        <v>42740</v>
      </c>
      <c r="B33" s="2" t="s">
        <v>63</v>
      </c>
      <c r="C33" s="2" t="s">
        <v>64</v>
      </c>
      <c r="D33">
        <v>27</v>
      </c>
      <c r="E33">
        <f>MONTH(makulatura3[[#This Row],[Data_dostarczenia]])</f>
        <v>1</v>
      </c>
    </row>
    <row r="34" spans="1:5" x14ac:dyDescent="0.25">
      <c r="A34" s="1">
        <v>42740</v>
      </c>
      <c r="B34" s="2" t="s">
        <v>65</v>
      </c>
      <c r="C34" s="2" t="s">
        <v>66</v>
      </c>
      <c r="D34">
        <v>23</v>
      </c>
      <c r="E34">
        <f>MONTH(makulatura3[[#This Row],[Data_dostarczenia]])</f>
        <v>1</v>
      </c>
    </row>
    <row r="35" spans="1:5" x14ac:dyDescent="0.25">
      <c r="A35" s="1">
        <v>42740</v>
      </c>
      <c r="B35" s="2" t="s">
        <v>67</v>
      </c>
      <c r="C35" s="2" t="s">
        <v>68</v>
      </c>
      <c r="D35">
        <v>50</v>
      </c>
      <c r="E35">
        <f>MONTH(makulatura3[[#This Row],[Data_dostarczenia]])</f>
        <v>1</v>
      </c>
    </row>
    <row r="36" spans="1:5" x14ac:dyDescent="0.25">
      <c r="A36" s="1">
        <v>42740</v>
      </c>
      <c r="B36" s="2" t="s">
        <v>69</v>
      </c>
      <c r="C36" s="2" t="s">
        <v>70</v>
      </c>
      <c r="D36">
        <v>15</v>
      </c>
      <c r="E36">
        <f>MONTH(makulatura3[[#This Row],[Data_dostarczenia]])</f>
        <v>1</v>
      </c>
    </row>
    <row r="37" spans="1:5" x14ac:dyDescent="0.25">
      <c r="A37" s="1">
        <v>42740</v>
      </c>
      <c r="B37" s="2" t="s">
        <v>43</v>
      </c>
      <c r="C37" s="2" t="s">
        <v>71</v>
      </c>
      <c r="D37">
        <v>18</v>
      </c>
      <c r="E37">
        <f>MONTH(makulatura3[[#This Row],[Data_dostarczenia]])</f>
        <v>1</v>
      </c>
    </row>
    <row r="38" spans="1:5" x14ac:dyDescent="0.25">
      <c r="A38" s="1">
        <v>42740</v>
      </c>
      <c r="B38" s="2" t="s">
        <v>72</v>
      </c>
      <c r="C38" s="2" t="s">
        <v>73</v>
      </c>
      <c r="D38">
        <v>2</v>
      </c>
      <c r="E38">
        <f>MONTH(makulatura3[[#This Row],[Data_dostarczenia]])</f>
        <v>1</v>
      </c>
    </row>
    <row r="39" spans="1:5" x14ac:dyDescent="0.25">
      <c r="A39" s="1">
        <v>42741</v>
      </c>
      <c r="B39" s="2" t="s">
        <v>67</v>
      </c>
      <c r="C39" s="2" t="s">
        <v>68</v>
      </c>
      <c r="D39">
        <v>23</v>
      </c>
      <c r="E39">
        <f>MONTH(makulatura3[[#This Row],[Data_dostarczenia]])</f>
        <v>1</v>
      </c>
    </row>
    <row r="40" spans="1:5" x14ac:dyDescent="0.25">
      <c r="A40" s="1">
        <v>42741</v>
      </c>
      <c r="B40" s="2" t="s">
        <v>18</v>
      </c>
      <c r="C40" s="2" t="s">
        <v>74</v>
      </c>
      <c r="D40">
        <v>22</v>
      </c>
      <c r="E40">
        <f>MONTH(makulatura3[[#This Row],[Data_dostarczenia]])</f>
        <v>1</v>
      </c>
    </row>
    <row r="41" spans="1:5" x14ac:dyDescent="0.25">
      <c r="A41" s="1">
        <v>42741</v>
      </c>
      <c r="B41" s="2" t="s">
        <v>75</v>
      </c>
      <c r="C41" s="2" t="s">
        <v>76</v>
      </c>
      <c r="D41">
        <v>17</v>
      </c>
      <c r="E41">
        <f>MONTH(makulatura3[[#This Row],[Data_dostarczenia]])</f>
        <v>1</v>
      </c>
    </row>
    <row r="42" spans="1:5" x14ac:dyDescent="0.25">
      <c r="A42" s="1">
        <v>42741</v>
      </c>
      <c r="B42" s="2" t="s">
        <v>12</v>
      </c>
      <c r="C42" s="2" t="s">
        <v>38</v>
      </c>
      <c r="D42">
        <v>19</v>
      </c>
      <c r="E42">
        <f>MONTH(makulatura3[[#This Row],[Data_dostarczenia]])</f>
        <v>1</v>
      </c>
    </row>
    <row r="43" spans="1:5" x14ac:dyDescent="0.25">
      <c r="A43" s="1">
        <v>42741</v>
      </c>
      <c r="B43" s="2" t="s">
        <v>77</v>
      </c>
      <c r="C43" s="2" t="s">
        <v>78</v>
      </c>
      <c r="D43">
        <v>43</v>
      </c>
      <c r="E43">
        <f>MONTH(makulatura3[[#This Row],[Data_dostarczenia]])</f>
        <v>1</v>
      </c>
    </row>
    <row r="44" spans="1:5" x14ac:dyDescent="0.25">
      <c r="A44" s="1">
        <v>42741</v>
      </c>
      <c r="B44" s="2" t="s">
        <v>79</v>
      </c>
      <c r="C44" s="2" t="s">
        <v>80</v>
      </c>
      <c r="D44">
        <v>22</v>
      </c>
      <c r="E44">
        <f>MONTH(makulatura3[[#This Row],[Data_dostarczenia]])</f>
        <v>1</v>
      </c>
    </row>
    <row r="45" spans="1:5" x14ac:dyDescent="0.25">
      <c r="A45" s="1">
        <v>42741</v>
      </c>
      <c r="B45" s="2" t="s">
        <v>81</v>
      </c>
      <c r="C45" s="2" t="s">
        <v>82</v>
      </c>
      <c r="D45">
        <v>29</v>
      </c>
      <c r="E45">
        <f>MONTH(makulatura3[[#This Row],[Data_dostarczenia]])</f>
        <v>1</v>
      </c>
    </row>
    <row r="46" spans="1:5" x14ac:dyDescent="0.25">
      <c r="A46" s="1">
        <v>42741</v>
      </c>
      <c r="B46" s="2" t="s">
        <v>83</v>
      </c>
      <c r="C46" s="2" t="s">
        <v>84</v>
      </c>
      <c r="D46">
        <v>26</v>
      </c>
      <c r="E46">
        <f>MONTH(makulatura3[[#This Row],[Data_dostarczenia]])</f>
        <v>1</v>
      </c>
    </row>
    <row r="47" spans="1:5" x14ac:dyDescent="0.25">
      <c r="A47" s="1">
        <v>42741</v>
      </c>
      <c r="B47" s="2" t="s">
        <v>77</v>
      </c>
      <c r="C47" s="2" t="s">
        <v>85</v>
      </c>
      <c r="D47">
        <v>53</v>
      </c>
      <c r="E47">
        <f>MONTH(makulatura3[[#This Row],[Data_dostarczenia]])</f>
        <v>1</v>
      </c>
    </row>
    <row r="48" spans="1:5" x14ac:dyDescent="0.25">
      <c r="A48" s="1">
        <v>42744</v>
      </c>
      <c r="B48" s="2" t="s">
        <v>30</v>
      </c>
      <c r="C48" s="2" t="s">
        <v>86</v>
      </c>
      <c r="D48">
        <v>20</v>
      </c>
      <c r="E48">
        <f>MONTH(makulatura3[[#This Row],[Data_dostarczenia]])</f>
        <v>1</v>
      </c>
    </row>
    <row r="49" spans="1:5" x14ac:dyDescent="0.25">
      <c r="A49" s="1">
        <v>42744</v>
      </c>
      <c r="B49" s="2" t="s">
        <v>87</v>
      </c>
      <c r="C49" s="2" t="s">
        <v>88</v>
      </c>
      <c r="D49">
        <v>26</v>
      </c>
      <c r="E49">
        <f>MONTH(makulatura3[[#This Row],[Data_dostarczenia]])</f>
        <v>1</v>
      </c>
    </row>
    <row r="50" spans="1:5" x14ac:dyDescent="0.25">
      <c r="A50" s="1">
        <v>42744</v>
      </c>
      <c r="B50" s="2" t="s">
        <v>30</v>
      </c>
      <c r="C50" s="2" t="s">
        <v>89</v>
      </c>
      <c r="D50">
        <v>36</v>
      </c>
      <c r="E50">
        <f>MONTH(makulatura3[[#This Row],[Data_dostarczenia]])</f>
        <v>1</v>
      </c>
    </row>
    <row r="51" spans="1:5" x14ac:dyDescent="0.25">
      <c r="A51" s="1">
        <v>42744</v>
      </c>
      <c r="B51" s="2" t="s">
        <v>34</v>
      </c>
      <c r="C51" s="2" t="s">
        <v>90</v>
      </c>
      <c r="D51">
        <v>11</v>
      </c>
      <c r="E51">
        <f>MONTH(makulatura3[[#This Row],[Data_dostarczenia]])</f>
        <v>1</v>
      </c>
    </row>
    <row r="52" spans="1:5" x14ac:dyDescent="0.25">
      <c r="A52" s="1">
        <v>42744</v>
      </c>
      <c r="B52" s="2" t="s">
        <v>47</v>
      </c>
      <c r="C52" s="2" t="s">
        <v>91</v>
      </c>
      <c r="D52">
        <v>52</v>
      </c>
      <c r="E52">
        <f>MONTH(makulatura3[[#This Row],[Data_dostarczenia]])</f>
        <v>1</v>
      </c>
    </row>
    <row r="53" spans="1:5" x14ac:dyDescent="0.25">
      <c r="A53" s="1">
        <v>42744</v>
      </c>
      <c r="B53" s="2" t="s">
        <v>92</v>
      </c>
      <c r="C53" s="2" t="s">
        <v>93</v>
      </c>
      <c r="D53">
        <v>11</v>
      </c>
      <c r="E53">
        <f>MONTH(makulatura3[[#This Row],[Data_dostarczenia]])</f>
        <v>1</v>
      </c>
    </row>
    <row r="54" spans="1:5" x14ac:dyDescent="0.25">
      <c r="A54" s="1">
        <v>42744</v>
      </c>
      <c r="B54" s="2" t="s">
        <v>27</v>
      </c>
      <c r="C54" s="2" t="s">
        <v>94</v>
      </c>
      <c r="D54">
        <v>11</v>
      </c>
      <c r="E54">
        <f>MONTH(makulatura3[[#This Row],[Data_dostarczenia]])</f>
        <v>1</v>
      </c>
    </row>
    <row r="55" spans="1:5" x14ac:dyDescent="0.25">
      <c r="A55" s="1">
        <v>42744</v>
      </c>
      <c r="B55" s="2" t="s">
        <v>27</v>
      </c>
      <c r="C55" s="2" t="s">
        <v>94</v>
      </c>
      <c r="D55">
        <v>10</v>
      </c>
      <c r="E55">
        <f>MONTH(makulatura3[[#This Row],[Data_dostarczenia]])</f>
        <v>1</v>
      </c>
    </row>
    <row r="56" spans="1:5" x14ac:dyDescent="0.25">
      <c r="A56" s="1">
        <v>42744</v>
      </c>
      <c r="B56" s="2" t="s">
        <v>95</v>
      </c>
      <c r="C56" s="2" t="s">
        <v>96</v>
      </c>
      <c r="D56">
        <v>8</v>
      </c>
      <c r="E56">
        <f>MONTH(makulatura3[[#This Row],[Data_dostarczenia]])</f>
        <v>1</v>
      </c>
    </row>
    <row r="57" spans="1:5" x14ac:dyDescent="0.25">
      <c r="A57" s="1">
        <v>42745</v>
      </c>
      <c r="B57" s="2" t="s">
        <v>43</v>
      </c>
      <c r="C57" s="2" t="s">
        <v>44</v>
      </c>
      <c r="D57">
        <v>13</v>
      </c>
      <c r="E57">
        <f>MONTH(makulatura3[[#This Row],[Data_dostarczenia]])</f>
        <v>1</v>
      </c>
    </row>
    <row r="58" spans="1:5" x14ac:dyDescent="0.25">
      <c r="A58" s="1">
        <v>42745</v>
      </c>
      <c r="B58" s="2" t="s">
        <v>97</v>
      </c>
      <c r="C58" s="2" t="s">
        <v>98</v>
      </c>
      <c r="D58">
        <v>16</v>
      </c>
      <c r="E58">
        <f>MONTH(makulatura3[[#This Row],[Data_dostarczenia]])</f>
        <v>1</v>
      </c>
    </row>
    <row r="59" spans="1:5" x14ac:dyDescent="0.25">
      <c r="A59" s="1">
        <v>42745</v>
      </c>
      <c r="B59" s="2" t="s">
        <v>99</v>
      </c>
      <c r="C59" s="2" t="s">
        <v>100</v>
      </c>
      <c r="D59">
        <v>46</v>
      </c>
      <c r="E59">
        <f>MONTH(makulatura3[[#This Row],[Data_dostarczenia]])</f>
        <v>1</v>
      </c>
    </row>
    <row r="60" spans="1:5" x14ac:dyDescent="0.25">
      <c r="A60" s="1">
        <v>42745</v>
      </c>
      <c r="B60" s="2" t="s">
        <v>101</v>
      </c>
      <c r="C60" s="2" t="s">
        <v>102</v>
      </c>
      <c r="D60">
        <v>41</v>
      </c>
      <c r="E60">
        <f>MONTH(makulatura3[[#This Row],[Data_dostarczenia]])</f>
        <v>1</v>
      </c>
    </row>
    <row r="61" spans="1:5" x14ac:dyDescent="0.25">
      <c r="A61" s="1">
        <v>42745</v>
      </c>
      <c r="B61" s="2" t="s">
        <v>39</v>
      </c>
      <c r="C61" s="2" t="s">
        <v>103</v>
      </c>
      <c r="D61">
        <v>26</v>
      </c>
      <c r="E61">
        <f>MONTH(makulatura3[[#This Row],[Data_dostarczenia]])</f>
        <v>1</v>
      </c>
    </row>
    <row r="62" spans="1:5" x14ac:dyDescent="0.25">
      <c r="A62" s="1">
        <v>42745</v>
      </c>
      <c r="B62" s="2" t="s">
        <v>81</v>
      </c>
      <c r="C62" s="2" t="s">
        <v>104</v>
      </c>
      <c r="D62">
        <v>22</v>
      </c>
      <c r="E62">
        <f>MONTH(makulatura3[[#This Row],[Data_dostarczenia]])</f>
        <v>1</v>
      </c>
    </row>
    <row r="63" spans="1:5" x14ac:dyDescent="0.25">
      <c r="A63" s="1">
        <v>42745</v>
      </c>
      <c r="B63" s="2" t="s">
        <v>63</v>
      </c>
      <c r="C63" s="2" t="s">
        <v>105</v>
      </c>
      <c r="D63">
        <v>6</v>
      </c>
      <c r="E63">
        <f>MONTH(makulatura3[[#This Row],[Data_dostarczenia]])</f>
        <v>1</v>
      </c>
    </row>
    <row r="64" spans="1:5" x14ac:dyDescent="0.25">
      <c r="A64" s="1">
        <v>42745</v>
      </c>
      <c r="B64" s="2" t="s">
        <v>106</v>
      </c>
      <c r="C64" s="2" t="s">
        <v>107</v>
      </c>
      <c r="D64">
        <v>24</v>
      </c>
      <c r="E64">
        <f>MONTH(makulatura3[[#This Row],[Data_dostarczenia]])</f>
        <v>1</v>
      </c>
    </row>
    <row r="65" spans="1:5" x14ac:dyDescent="0.25">
      <c r="A65" s="1">
        <v>42745</v>
      </c>
      <c r="B65" s="2" t="s">
        <v>43</v>
      </c>
      <c r="C65" s="2" t="s">
        <v>71</v>
      </c>
      <c r="D65">
        <v>11</v>
      </c>
      <c r="E65">
        <f>MONTH(makulatura3[[#This Row],[Data_dostarczenia]])</f>
        <v>1</v>
      </c>
    </row>
    <row r="66" spans="1:5" x14ac:dyDescent="0.25">
      <c r="A66" s="1">
        <v>42746</v>
      </c>
      <c r="B66" s="2" t="s">
        <v>49</v>
      </c>
      <c r="C66" s="2" t="s">
        <v>50</v>
      </c>
      <c r="D66">
        <v>16</v>
      </c>
      <c r="E66">
        <f>MONTH(makulatura3[[#This Row],[Data_dostarczenia]])</f>
        <v>1</v>
      </c>
    </row>
    <row r="67" spans="1:5" x14ac:dyDescent="0.25">
      <c r="A67" s="1">
        <v>42746</v>
      </c>
      <c r="B67" s="2" t="s">
        <v>69</v>
      </c>
      <c r="C67" s="2" t="s">
        <v>108</v>
      </c>
      <c r="D67">
        <v>8</v>
      </c>
      <c r="E67">
        <f>MONTH(makulatura3[[#This Row],[Data_dostarczenia]])</f>
        <v>1</v>
      </c>
    </row>
    <row r="68" spans="1:5" x14ac:dyDescent="0.25">
      <c r="A68" s="1">
        <v>42746</v>
      </c>
      <c r="B68" s="2" t="s">
        <v>30</v>
      </c>
      <c r="C68" s="2" t="s">
        <v>109</v>
      </c>
      <c r="D68">
        <v>27</v>
      </c>
      <c r="E68">
        <f>MONTH(makulatura3[[#This Row],[Data_dostarczenia]])</f>
        <v>1</v>
      </c>
    </row>
    <row r="69" spans="1:5" x14ac:dyDescent="0.25">
      <c r="A69" s="1">
        <v>42746</v>
      </c>
      <c r="B69" s="2" t="s">
        <v>83</v>
      </c>
      <c r="C69" s="2" t="s">
        <v>110</v>
      </c>
      <c r="D69">
        <v>9</v>
      </c>
      <c r="E69">
        <f>MONTH(makulatura3[[#This Row],[Data_dostarczenia]])</f>
        <v>1</v>
      </c>
    </row>
    <row r="70" spans="1:5" x14ac:dyDescent="0.25">
      <c r="A70" s="1">
        <v>42746</v>
      </c>
      <c r="B70" s="2" t="s">
        <v>39</v>
      </c>
      <c r="C70" s="2" t="s">
        <v>111</v>
      </c>
      <c r="D70">
        <v>32</v>
      </c>
      <c r="E70">
        <f>MONTH(makulatura3[[#This Row],[Data_dostarczenia]])</f>
        <v>1</v>
      </c>
    </row>
    <row r="71" spans="1:5" x14ac:dyDescent="0.25">
      <c r="A71" s="1">
        <v>42746</v>
      </c>
      <c r="B71" s="2" t="s">
        <v>112</v>
      </c>
      <c r="C71" s="2" t="s">
        <v>113</v>
      </c>
      <c r="D71">
        <v>55</v>
      </c>
      <c r="E71">
        <f>MONTH(makulatura3[[#This Row],[Data_dostarczenia]])</f>
        <v>1</v>
      </c>
    </row>
    <row r="72" spans="1:5" x14ac:dyDescent="0.25">
      <c r="A72" s="1">
        <v>42746</v>
      </c>
      <c r="B72" s="2" t="s">
        <v>77</v>
      </c>
      <c r="C72" s="2" t="s">
        <v>85</v>
      </c>
      <c r="D72">
        <v>18</v>
      </c>
      <c r="E72">
        <f>MONTH(makulatura3[[#This Row],[Data_dostarczenia]])</f>
        <v>1</v>
      </c>
    </row>
    <row r="73" spans="1:5" x14ac:dyDescent="0.25">
      <c r="A73" s="1">
        <v>42746</v>
      </c>
      <c r="B73" s="2" t="s">
        <v>114</v>
      </c>
      <c r="C73" s="2" t="s">
        <v>115</v>
      </c>
      <c r="D73">
        <v>46</v>
      </c>
      <c r="E73">
        <f>MONTH(makulatura3[[#This Row],[Data_dostarczenia]])</f>
        <v>1</v>
      </c>
    </row>
    <row r="74" spans="1:5" x14ac:dyDescent="0.25">
      <c r="A74" s="1">
        <v>42746</v>
      </c>
      <c r="B74" s="2" t="s">
        <v>65</v>
      </c>
      <c r="C74" s="2" t="s">
        <v>116</v>
      </c>
      <c r="D74">
        <v>17</v>
      </c>
      <c r="E74">
        <f>MONTH(makulatura3[[#This Row],[Data_dostarczenia]])</f>
        <v>1</v>
      </c>
    </row>
    <row r="75" spans="1:5" x14ac:dyDescent="0.25">
      <c r="A75" s="1">
        <v>42747</v>
      </c>
      <c r="B75" s="2" t="s">
        <v>117</v>
      </c>
      <c r="C75" s="2" t="s">
        <v>118</v>
      </c>
      <c r="D75">
        <v>43</v>
      </c>
      <c r="E75">
        <f>MONTH(makulatura3[[#This Row],[Data_dostarczenia]])</f>
        <v>1</v>
      </c>
    </row>
    <row r="76" spans="1:5" x14ac:dyDescent="0.25">
      <c r="A76" s="1">
        <v>42747</v>
      </c>
      <c r="B76" s="2" t="s">
        <v>119</v>
      </c>
      <c r="C76" s="2" t="s">
        <v>120</v>
      </c>
      <c r="D76">
        <v>17</v>
      </c>
      <c r="E76">
        <f>MONTH(makulatura3[[#This Row],[Data_dostarczenia]])</f>
        <v>1</v>
      </c>
    </row>
    <row r="77" spans="1:5" x14ac:dyDescent="0.25">
      <c r="A77" s="1">
        <v>42747</v>
      </c>
      <c r="B77" s="2" t="s">
        <v>121</v>
      </c>
      <c r="C77" s="2" t="s">
        <v>122</v>
      </c>
      <c r="D77">
        <v>21</v>
      </c>
      <c r="E77">
        <f>MONTH(makulatura3[[#This Row],[Data_dostarczenia]])</f>
        <v>1</v>
      </c>
    </row>
    <row r="78" spans="1:5" x14ac:dyDescent="0.25">
      <c r="A78" s="1">
        <v>42747</v>
      </c>
      <c r="B78" s="2" t="s">
        <v>20</v>
      </c>
      <c r="C78" s="2" t="s">
        <v>123</v>
      </c>
      <c r="D78">
        <v>27</v>
      </c>
      <c r="E78">
        <f>MONTH(makulatura3[[#This Row],[Data_dostarczenia]])</f>
        <v>1</v>
      </c>
    </row>
    <row r="79" spans="1:5" x14ac:dyDescent="0.25">
      <c r="A79" s="1">
        <v>42747</v>
      </c>
      <c r="B79" s="2" t="s">
        <v>87</v>
      </c>
      <c r="C79" s="2" t="s">
        <v>124</v>
      </c>
      <c r="D79">
        <v>22</v>
      </c>
      <c r="E79">
        <f>MONTH(makulatura3[[#This Row],[Data_dostarczenia]])</f>
        <v>1</v>
      </c>
    </row>
    <row r="80" spans="1:5" x14ac:dyDescent="0.25">
      <c r="A80" s="1">
        <v>42747</v>
      </c>
      <c r="B80" s="2" t="s">
        <v>55</v>
      </c>
      <c r="C80" s="2" t="s">
        <v>125</v>
      </c>
      <c r="D80">
        <v>46</v>
      </c>
      <c r="E80">
        <f>MONTH(makulatura3[[#This Row],[Data_dostarczenia]])</f>
        <v>1</v>
      </c>
    </row>
    <row r="81" spans="1:5" x14ac:dyDescent="0.25">
      <c r="A81" s="1">
        <v>42747</v>
      </c>
      <c r="B81" s="2" t="s">
        <v>79</v>
      </c>
      <c r="C81" s="2" t="s">
        <v>80</v>
      </c>
      <c r="D81">
        <v>15</v>
      </c>
      <c r="E81">
        <f>MONTH(makulatura3[[#This Row],[Data_dostarczenia]])</f>
        <v>1</v>
      </c>
    </row>
    <row r="82" spans="1:5" x14ac:dyDescent="0.25">
      <c r="A82" s="1">
        <v>42747</v>
      </c>
      <c r="B82" s="2" t="s">
        <v>126</v>
      </c>
      <c r="C82" s="2" t="s">
        <v>127</v>
      </c>
      <c r="D82">
        <v>30</v>
      </c>
      <c r="E82">
        <f>MONTH(makulatura3[[#This Row],[Data_dostarczenia]])</f>
        <v>1</v>
      </c>
    </row>
    <row r="83" spans="1:5" x14ac:dyDescent="0.25">
      <c r="A83" s="1">
        <v>42747</v>
      </c>
      <c r="B83" s="2" t="s">
        <v>128</v>
      </c>
      <c r="C83" s="2" t="s">
        <v>129</v>
      </c>
      <c r="D83">
        <v>31</v>
      </c>
      <c r="E83">
        <f>MONTH(makulatura3[[#This Row],[Data_dostarczenia]])</f>
        <v>1</v>
      </c>
    </row>
    <row r="84" spans="1:5" x14ac:dyDescent="0.25">
      <c r="A84" s="1">
        <v>42748</v>
      </c>
      <c r="B84" s="2" t="s">
        <v>119</v>
      </c>
      <c r="C84" s="2" t="s">
        <v>120</v>
      </c>
      <c r="D84">
        <v>5</v>
      </c>
      <c r="E84">
        <f>MONTH(makulatura3[[#This Row],[Data_dostarczenia]])</f>
        <v>1</v>
      </c>
    </row>
    <row r="85" spans="1:5" x14ac:dyDescent="0.25">
      <c r="A85" s="1">
        <v>42748</v>
      </c>
      <c r="B85" s="2" t="s">
        <v>97</v>
      </c>
      <c r="C85" s="2" t="s">
        <v>130</v>
      </c>
      <c r="D85">
        <v>26</v>
      </c>
      <c r="E85">
        <f>MONTH(makulatura3[[#This Row],[Data_dostarczenia]])</f>
        <v>1</v>
      </c>
    </row>
    <row r="86" spans="1:5" x14ac:dyDescent="0.25">
      <c r="A86" s="1">
        <v>42748</v>
      </c>
      <c r="B86" s="2" t="s">
        <v>131</v>
      </c>
      <c r="C86" s="2" t="s">
        <v>132</v>
      </c>
      <c r="D86">
        <v>10</v>
      </c>
      <c r="E86">
        <f>MONTH(makulatura3[[#This Row],[Data_dostarczenia]])</f>
        <v>1</v>
      </c>
    </row>
    <row r="87" spans="1:5" x14ac:dyDescent="0.25">
      <c r="A87" s="1">
        <v>42748</v>
      </c>
      <c r="B87" s="2" t="s">
        <v>133</v>
      </c>
      <c r="C87" s="2" t="s">
        <v>134</v>
      </c>
      <c r="D87">
        <v>29</v>
      </c>
      <c r="E87">
        <f>MONTH(makulatura3[[#This Row],[Data_dostarczenia]])</f>
        <v>1</v>
      </c>
    </row>
    <row r="88" spans="1:5" x14ac:dyDescent="0.25">
      <c r="A88" s="1">
        <v>42748</v>
      </c>
      <c r="B88" s="2" t="s">
        <v>57</v>
      </c>
      <c r="C88" s="2" t="s">
        <v>135</v>
      </c>
      <c r="D88">
        <v>40</v>
      </c>
      <c r="E88">
        <f>MONTH(makulatura3[[#This Row],[Data_dostarczenia]])</f>
        <v>1</v>
      </c>
    </row>
    <row r="89" spans="1:5" x14ac:dyDescent="0.25">
      <c r="A89" s="1">
        <v>42748</v>
      </c>
      <c r="B89" s="2" t="s">
        <v>83</v>
      </c>
      <c r="C89" s="2" t="s">
        <v>136</v>
      </c>
      <c r="D89">
        <v>21</v>
      </c>
      <c r="E89">
        <f>MONTH(makulatura3[[#This Row],[Data_dostarczenia]])</f>
        <v>1</v>
      </c>
    </row>
    <row r="90" spans="1:5" x14ac:dyDescent="0.25">
      <c r="A90" s="1">
        <v>42748</v>
      </c>
      <c r="B90" s="2" t="s">
        <v>137</v>
      </c>
      <c r="C90" s="2" t="s">
        <v>138</v>
      </c>
      <c r="D90">
        <v>14</v>
      </c>
      <c r="E90">
        <f>MONTH(makulatura3[[#This Row],[Data_dostarczenia]])</f>
        <v>1</v>
      </c>
    </row>
    <row r="91" spans="1:5" x14ac:dyDescent="0.25">
      <c r="A91" s="1">
        <v>42748</v>
      </c>
      <c r="B91" s="2" t="s">
        <v>139</v>
      </c>
      <c r="C91" s="2" t="s">
        <v>140</v>
      </c>
      <c r="D91">
        <v>26</v>
      </c>
      <c r="E91">
        <f>MONTH(makulatura3[[#This Row],[Data_dostarczenia]])</f>
        <v>1</v>
      </c>
    </row>
    <row r="92" spans="1:5" x14ac:dyDescent="0.25">
      <c r="A92" s="1">
        <v>42748</v>
      </c>
      <c r="B92" s="2" t="s">
        <v>141</v>
      </c>
      <c r="C92" s="2" t="s">
        <v>142</v>
      </c>
      <c r="D92">
        <v>8</v>
      </c>
      <c r="E92">
        <f>MONTH(makulatura3[[#This Row],[Data_dostarczenia]])</f>
        <v>1</v>
      </c>
    </row>
    <row r="93" spans="1:5" x14ac:dyDescent="0.25">
      <c r="A93" s="1">
        <v>42751</v>
      </c>
      <c r="B93" s="2" t="s">
        <v>143</v>
      </c>
      <c r="C93" s="2" t="s">
        <v>47</v>
      </c>
      <c r="D93">
        <v>56</v>
      </c>
      <c r="E93">
        <f>MONTH(makulatura3[[#This Row],[Data_dostarczenia]])</f>
        <v>1</v>
      </c>
    </row>
    <row r="94" spans="1:5" x14ac:dyDescent="0.25">
      <c r="A94" s="1">
        <v>42751</v>
      </c>
      <c r="B94" s="2" t="s">
        <v>101</v>
      </c>
      <c r="C94" s="2" t="s">
        <v>102</v>
      </c>
      <c r="D94">
        <v>3</v>
      </c>
      <c r="E94">
        <f>MONTH(makulatura3[[#This Row],[Data_dostarczenia]])</f>
        <v>1</v>
      </c>
    </row>
    <row r="95" spans="1:5" x14ac:dyDescent="0.25">
      <c r="A95" s="1">
        <v>42751</v>
      </c>
      <c r="B95" s="2" t="s">
        <v>144</v>
      </c>
      <c r="C95" s="2" t="s">
        <v>145</v>
      </c>
      <c r="D95">
        <v>47</v>
      </c>
      <c r="E95">
        <f>MONTH(makulatura3[[#This Row],[Data_dostarczenia]])</f>
        <v>1</v>
      </c>
    </row>
    <row r="96" spans="1:5" x14ac:dyDescent="0.25">
      <c r="A96" s="1">
        <v>42751</v>
      </c>
      <c r="B96" s="2" t="s">
        <v>25</v>
      </c>
      <c r="C96" s="2" t="s">
        <v>146</v>
      </c>
      <c r="D96">
        <v>19</v>
      </c>
      <c r="E96">
        <f>MONTH(makulatura3[[#This Row],[Data_dostarczenia]])</f>
        <v>1</v>
      </c>
    </row>
    <row r="97" spans="1:5" x14ac:dyDescent="0.25">
      <c r="A97" s="1">
        <v>42751</v>
      </c>
      <c r="B97" s="2" t="s">
        <v>147</v>
      </c>
      <c r="C97" s="2" t="s">
        <v>148</v>
      </c>
      <c r="D97">
        <v>14</v>
      </c>
      <c r="E97">
        <f>MONTH(makulatura3[[#This Row],[Data_dostarczenia]])</f>
        <v>1</v>
      </c>
    </row>
    <row r="98" spans="1:5" x14ac:dyDescent="0.25">
      <c r="A98" s="1">
        <v>42751</v>
      </c>
      <c r="B98" s="2" t="s">
        <v>83</v>
      </c>
      <c r="C98" s="2" t="s">
        <v>149</v>
      </c>
      <c r="D98">
        <v>47</v>
      </c>
      <c r="E98">
        <f>MONTH(makulatura3[[#This Row],[Data_dostarczenia]])</f>
        <v>1</v>
      </c>
    </row>
    <row r="99" spans="1:5" x14ac:dyDescent="0.25">
      <c r="A99" s="1">
        <v>42751</v>
      </c>
      <c r="B99" s="2" t="s">
        <v>150</v>
      </c>
      <c r="C99" s="2" t="s">
        <v>151</v>
      </c>
      <c r="D99">
        <v>13</v>
      </c>
      <c r="E99">
        <f>MONTH(makulatura3[[#This Row],[Data_dostarczenia]])</f>
        <v>1</v>
      </c>
    </row>
    <row r="100" spans="1:5" x14ac:dyDescent="0.25">
      <c r="A100" s="1">
        <v>42751</v>
      </c>
      <c r="B100" s="2" t="s">
        <v>152</v>
      </c>
      <c r="C100" s="2" t="s">
        <v>153</v>
      </c>
      <c r="D100">
        <v>27</v>
      </c>
      <c r="E100">
        <f>MONTH(makulatura3[[#This Row],[Data_dostarczenia]])</f>
        <v>1</v>
      </c>
    </row>
    <row r="101" spans="1:5" x14ac:dyDescent="0.25">
      <c r="A101" s="1">
        <v>42751</v>
      </c>
      <c r="B101" s="2" t="s">
        <v>87</v>
      </c>
      <c r="C101" s="2" t="s">
        <v>154</v>
      </c>
      <c r="D101">
        <v>23</v>
      </c>
      <c r="E101">
        <f>MONTH(makulatura3[[#This Row],[Data_dostarczenia]])</f>
        <v>1</v>
      </c>
    </row>
    <row r="102" spans="1:5" x14ac:dyDescent="0.25">
      <c r="A102" s="1">
        <v>42752</v>
      </c>
      <c r="B102" s="2" t="s">
        <v>155</v>
      </c>
      <c r="C102" s="2" t="s">
        <v>156</v>
      </c>
      <c r="D102">
        <v>39</v>
      </c>
      <c r="E102">
        <f>MONTH(makulatura3[[#This Row],[Data_dostarczenia]])</f>
        <v>1</v>
      </c>
    </row>
    <row r="103" spans="1:5" x14ac:dyDescent="0.25">
      <c r="A103" s="1">
        <v>42752</v>
      </c>
      <c r="B103" s="2" t="s">
        <v>157</v>
      </c>
      <c r="C103" s="2" t="s">
        <v>115</v>
      </c>
      <c r="D103">
        <v>19</v>
      </c>
      <c r="E103">
        <f>MONTH(makulatura3[[#This Row],[Data_dostarczenia]])</f>
        <v>1</v>
      </c>
    </row>
    <row r="104" spans="1:5" x14ac:dyDescent="0.25">
      <c r="A104" s="1">
        <v>42752</v>
      </c>
      <c r="B104" s="2" t="s">
        <v>39</v>
      </c>
      <c r="C104" s="2" t="s">
        <v>158</v>
      </c>
      <c r="D104">
        <v>17</v>
      </c>
      <c r="E104">
        <f>MONTH(makulatura3[[#This Row],[Data_dostarczenia]])</f>
        <v>1</v>
      </c>
    </row>
    <row r="105" spans="1:5" x14ac:dyDescent="0.25">
      <c r="A105" s="1">
        <v>42752</v>
      </c>
      <c r="B105" s="2" t="s">
        <v>65</v>
      </c>
      <c r="C105" s="2" t="s">
        <v>159</v>
      </c>
      <c r="D105">
        <v>30</v>
      </c>
      <c r="E105">
        <f>MONTH(makulatura3[[#This Row],[Data_dostarczenia]])</f>
        <v>1</v>
      </c>
    </row>
    <row r="106" spans="1:5" x14ac:dyDescent="0.25">
      <c r="A106" s="1">
        <v>42752</v>
      </c>
      <c r="B106" s="2" t="s">
        <v>34</v>
      </c>
      <c r="C106" s="2" t="s">
        <v>160</v>
      </c>
      <c r="D106">
        <v>22</v>
      </c>
      <c r="E106">
        <f>MONTH(makulatura3[[#This Row],[Data_dostarczenia]])</f>
        <v>1</v>
      </c>
    </row>
    <row r="107" spans="1:5" x14ac:dyDescent="0.25">
      <c r="A107" s="1">
        <v>42752</v>
      </c>
      <c r="B107" s="2" t="s">
        <v>161</v>
      </c>
      <c r="C107" s="2" t="s">
        <v>162</v>
      </c>
      <c r="D107">
        <v>8</v>
      </c>
      <c r="E107">
        <f>MONTH(makulatura3[[#This Row],[Data_dostarczenia]])</f>
        <v>1</v>
      </c>
    </row>
    <row r="108" spans="1:5" x14ac:dyDescent="0.25">
      <c r="A108" s="1">
        <v>42752</v>
      </c>
      <c r="B108" s="2" t="s">
        <v>23</v>
      </c>
      <c r="C108" s="2" t="s">
        <v>163</v>
      </c>
      <c r="D108">
        <v>20</v>
      </c>
      <c r="E108">
        <f>MONTH(makulatura3[[#This Row],[Data_dostarczenia]])</f>
        <v>1</v>
      </c>
    </row>
    <row r="109" spans="1:5" x14ac:dyDescent="0.25">
      <c r="A109" s="1">
        <v>42752</v>
      </c>
      <c r="B109" s="2" t="s">
        <v>39</v>
      </c>
      <c r="C109" s="2" t="s">
        <v>40</v>
      </c>
      <c r="D109">
        <v>20</v>
      </c>
      <c r="E109">
        <f>MONTH(makulatura3[[#This Row],[Data_dostarczenia]])</f>
        <v>1</v>
      </c>
    </row>
    <row r="110" spans="1:5" x14ac:dyDescent="0.25">
      <c r="A110" s="1">
        <v>42752</v>
      </c>
      <c r="B110" s="2" t="s">
        <v>39</v>
      </c>
      <c r="C110" s="2" t="s">
        <v>164</v>
      </c>
      <c r="D110">
        <v>29</v>
      </c>
      <c r="E110">
        <f>MONTH(makulatura3[[#This Row],[Data_dostarczenia]])</f>
        <v>1</v>
      </c>
    </row>
    <row r="111" spans="1:5" x14ac:dyDescent="0.25">
      <c r="A111" s="1">
        <v>42753</v>
      </c>
      <c r="B111" s="2" t="s">
        <v>81</v>
      </c>
      <c r="C111" s="2" t="s">
        <v>165</v>
      </c>
      <c r="D111">
        <v>42</v>
      </c>
      <c r="E111">
        <f>MONTH(makulatura3[[#This Row],[Data_dostarczenia]])</f>
        <v>1</v>
      </c>
    </row>
    <row r="112" spans="1:5" x14ac:dyDescent="0.25">
      <c r="A112" s="1">
        <v>42753</v>
      </c>
      <c r="B112" s="2" t="s">
        <v>36</v>
      </c>
      <c r="C112" s="2" t="s">
        <v>166</v>
      </c>
      <c r="D112">
        <v>4</v>
      </c>
      <c r="E112">
        <f>MONTH(makulatura3[[#This Row],[Data_dostarczenia]])</f>
        <v>1</v>
      </c>
    </row>
    <row r="113" spans="1:5" x14ac:dyDescent="0.25">
      <c r="A113" s="1">
        <v>42753</v>
      </c>
      <c r="B113" s="2" t="s">
        <v>167</v>
      </c>
      <c r="C113" s="2" t="s">
        <v>168</v>
      </c>
      <c r="D113">
        <v>3</v>
      </c>
      <c r="E113">
        <f>MONTH(makulatura3[[#This Row],[Data_dostarczenia]])</f>
        <v>1</v>
      </c>
    </row>
    <row r="114" spans="1:5" x14ac:dyDescent="0.25">
      <c r="A114" s="1">
        <v>42753</v>
      </c>
      <c r="B114" s="2" t="s">
        <v>169</v>
      </c>
      <c r="C114" s="2" t="s">
        <v>170</v>
      </c>
      <c r="D114">
        <v>39</v>
      </c>
      <c r="E114">
        <f>MONTH(makulatura3[[#This Row],[Data_dostarczenia]])</f>
        <v>1</v>
      </c>
    </row>
    <row r="115" spans="1:5" x14ac:dyDescent="0.25">
      <c r="A115" s="1">
        <v>42753</v>
      </c>
      <c r="B115" s="2" t="s">
        <v>171</v>
      </c>
      <c r="C115" s="2" t="s">
        <v>172</v>
      </c>
      <c r="D115">
        <v>51</v>
      </c>
      <c r="E115">
        <f>MONTH(makulatura3[[#This Row],[Data_dostarczenia]])</f>
        <v>1</v>
      </c>
    </row>
    <row r="116" spans="1:5" x14ac:dyDescent="0.25">
      <c r="A116" s="1">
        <v>42753</v>
      </c>
      <c r="B116" s="2" t="s">
        <v>114</v>
      </c>
      <c r="C116" s="2" t="s">
        <v>173</v>
      </c>
      <c r="D116">
        <v>8</v>
      </c>
      <c r="E116">
        <f>MONTH(makulatura3[[#This Row],[Data_dostarczenia]])</f>
        <v>1</v>
      </c>
    </row>
    <row r="117" spans="1:5" x14ac:dyDescent="0.25">
      <c r="A117" s="1">
        <v>42753</v>
      </c>
      <c r="B117" s="2" t="s">
        <v>174</v>
      </c>
      <c r="C117" s="2" t="s">
        <v>175</v>
      </c>
      <c r="D117">
        <v>22</v>
      </c>
      <c r="E117">
        <f>MONTH(makulatura3[[#This Row],[Data_dostarczenia]])</f>
        <v>1</v>
      </c>
    </row>
    <row r="118" spans="1:5" x14ac:dyDescent="0.25">
      <c r="A118" s="1">
        <v>42753</v>
      </c>
      <c r="B118" s="2" t="s">
        <v>176</v>
      </c>
      <c r="C118" s="2" t="s">
        <v>177</v>
      </c>
      <c r="D118">
        <v>15</v>
      </c>
      <c r="E118">
        <f>MONTH(makulatura3[[#This Row],[Data_dostarczenia]])</f>
        <v>1</v>
      </c>
    </row>
    <row r="119" spans="1:5" x14ac:dyDescent="0.25">
      <c r="A119" s="1">
        <v>42753</v>
      </c>
      <c r="B119" s="2" t="s">
        <v>178</v>
      </c>
      <c r="C119" s="2" t="s">
        <v>179</v>
      </c>
      <c r="D119">
        <v>10</v>
      </c>
      <c r="E119">
        <f>MONTH(makulatura3[[#This Row],[Data_dostarczenia]])</f>
        <v>1</v>
      </c>
    </row>
    <row r="120" spans="1:5" x14ac:dyDescent="0.25">
      <c r="A120" s="1">
        <v>42754</v>
      </c>
      <c r="B120" s="2" t="s">
        <v>36</v>
      </c>
      <c r="C120" s="2" t="s">
        <v>180</v>
      </c>
      <c r="D120">
        <v>21</v>
      </c>
      <c r="E120">
        <f>MONTH(makulatura3[[#This Row],[Data_dostarczenia]])</f>
        <v>1</v>
      </c>
    </row>
    <row r="121" spans="1:5" x14ac:dyDescent="0.25">
      <c r="A121" s="1">
        <v>42754</v>
      </c>
      <c r="B121" s="2" t="s">
        <v>97</v>
      </c>
      <c r="C121" s="2" t="s">
        <v>181</v>
      </c>
      <c r="D121">
        <v>34</v>
      </c>
      <c r="E121">
        <f>MONTH(makulatura3[[#This Row],[Data_dostarczenia]])</f>
        <v>1</v>
      </c>
    </row>
    <row r="122" spans="1:5" x14ac:dyDescent="0.25">
      <c r="A122" s="1">
        <v>42754</v>
      </c>
      <c r="B122" s="2" t="s">
        <v>34</v>
      </c>
      <c r="C122" s="2" t="s">
        <v>182</v>
      </c>
      <c r="D122">
        <v>43</v>
      </c>
      <c r="E122">
        <f>MONTH(makulatura3[[#This Row],[Data_dostarczenia]])</f>
        <v>1</v>
      </c>
    </row>
    <row r="123" spans="1:5" x14ac:dyDescent="0.25">
      <c r="A123" s="1">
        <v>42754</v>
      </c>
      <c r="B123" s="2" t="s">
        <v>114</v>
      </c>
      <c r="C123" s="2" t="s">
        <v>173</v>
      </c>
      <c r="D123">
        <v>24</v>
      </c>
      <c r="E123">
        <f>MONTH(makulatura3[[#This Row],[Data_dostarczenia]])</f>
        <v>1</v>
      </c>
    </row>
    <row r="124" spans="1:5" x14ac:dyDescent="0.25">
      <c r="A124" s="1">
        <v>42754</v>
      </c>
      <c r="B124" s="2" t="s">
        <v>117</v>
      </c>
      <c r="C124" s="2" t="s">
        <v>183</v>
      </c>
      <c r="D124">
        <v>29</v>
      </c>
      <c r="E124">
        <f>MONTH(makulatura3[[#This Row],[Data_dostarczenia]])</f>
        <v>1</v>
      </c>
    </row>
    <row r="125" spans="1:5" x14ac:dyDescent="0.25">
      <c r="A125" s="1">
        <v>42754</v>
      </c>
      <c r="B125" s="2" t="s">
        <v>55</v>
      </c>
      <c r="C125" s="2" t="s">
        <v>184</v>
      </c>
      <c r="D125">
        <v>5</v>
      </c>
      <c r="E125">
        <f>MONTH(makulatura3[[#This Row],[Data_dostarczenia]])</f>
        <v>1</v>
      </c>
    </row>
    <row r="126" spans="1:5" x14ac:dyDescent="0.25">
      <c r="A126" s="1">
        <v>42754</v>
      </c>
      <c r="B126" s="2" t="s">
        <v>41</v>
      </c>
      <c r="C126" s="2" t="s">
        <v>42</v>
      </c>
      <c r="D126">
        <v>54</v>
      </c>
      <c r="E126">
        <f>MONTH(makulatura3[[#This Row],[Data_dostarczenia]])</f>
        <v>1</v>
      </c>
    </row>
    <row r="127" spans="1:5" x14ac:dyDescent="0.25">
      <c r="A127" s="1">
        <v>42754</v>
      </c>
      <c r="B127" s="2" t="s">
        <v>30</v>
      </c>
      <c r="C127" s="2" t="s">
        <v>185</v>
      </c>
      <c r="D127">
        <v>29</v>
      </c>
      <c r="E127">
        <f>MONTH(makulatura3[[#This Row],[Data_dostarczenia]])</f>
        <v>1</v>
      </c>
    </row>
    <row r="128" spans="1:5" x14ac:dyDescent="0.25">
      <c r="A128" s="1">
        <v>42754</v>
      </c>
      <c r="B128" s="2" t="s">
        <v>155</v>
      </c>
      <c r="C128" s="2" t="s">
        <v>186</v>
      </c>
      <c r="D128">
        <v>4</v>
      </c>
      <c r="E128">
        <f>MONTH(makulatura3[[#This Row],[Data_dostarczenia]])</f>
        <v>1</v>
      </c>
    </row>
    <row r="129" spans="1:5" x14ac:dyDescent="0.25">
      <c r="A129" s="1">
        <v>42755</v>
      </c>
      <c r="B129" s="2" t="s">
        <v>101</v>
      </c>
      <c r="C129" s="2" t="s">
        <v>187</v>
      </c>
      <c r="D129">
        <v>12</v>
      </c>
      <c r="E129">
        <f>MONTH(makulatura3[[#This Row],[Data_dostarczenia]])</f>
        <v>1</v>
      </c>
    </row>
    <row r="130" spans="1:5" x14ac:dyDescent="0.25">
      <c r="A130" s="1">
        <v>42755</v>
      </c>
      <c r="B130" s="2" t="s">
        <v>97</v>
      </c>
      <c r="C130" s="2" t="s">
        <v>181</v>
      </c>
      <c r="D130">
        <v>14</v>
      </c>
      <c r="E130">
        <f>MONTH(makulatura3[[#This Row],[Data_dostarczenia]])</f>
        <v>1</v>
      </c>
    </row>
    <row r="131" spans="1:5" x14ac:dyDescent="0.25">
      <c r="A131" s="1">
        <v>42755</v>
      </c>
      <c r="B131" s="2" t="s">
        <v>97</v>
      </c>
      <c r="C131" s="2" t="s">
        <v>188</v>
      </c>
      <c r="D131">
        <v>46</v>
      </c>
      <c r="E131">
        <f>MONTH(makulatura3[[#This Row],[Data_dostarczenia]])</f>
        <v>1</v>
      </c>
    </row>
    <row r="132" spans="1:5" x14ac:dyDescent="0.25">
      <c r="A132" s="1">
        <v>42755</v>
      </c>
      <c r="B132" s="2" t="s">
        <v>189</v>
      </c>
      <c r="C132" s="2" t="s">
        <v>190</v>
      </c>
      <c r="D132">
        <v>13</v>
      </c>
      <c r="E132">
        <f>MONTH(makulatura3[[#This Row],[Data_dostarczenia]])</f>
        <v>1</v>
      </c>
    </row>
    <row r="133" spans="1:5" x14ac:dyDescent="0.25">
      <c r="A133" s="1">
        <v>42755</v>
      </c>
      <c r="B133" s="2" t="s">
        <v>53</v>
      </c>
      <c r="C133" s="2" t="s">
        <v>191</v>
      </c>
      <c r="D133">
        <v>15</v>
      </c>
      <c r="E133">
        <f>MONTH(makulatura3[[#This Row],[Data_dostarczenia]])</f>
        <v>1</v>
      </c>
    </row>
    <row r="134" spans="1:5" x14ac:dyDescent="0.25">
      <c r="A134" s="1">
        <v>42755</v>
      </c>
      <c r="B134" s="2" t="s">
        <v>47</v>
      </c>
      <c r="C134" s="2" t="s">
        <v>192</v>
      </c>
      <c r="D134">
        <v>38</v>
      </c>
      <c r="E134">
        <f>MONTH(makulatura3[[#This Row],[Data_dostarczenia]])</f>
        <v>1</v>
      </c>
    </row>
    <row r="135" spans="1:5" x14ac:dyDescent="0.25">
      <c r="A135" s="1">
        <v>42755</v>
      </c>
      <c r="B135" s="2" t="s">
        <v>193</v>
      </c>
      <c r="C135" s="2" t="s">
        <v>194</v>
      </c>
      <c r="D135">
        <v>27</v>
      </c>
      <c r="E135">
        <f>MONTH(makulatura3[[#This Row],[Data_dostarczenia]])</f>
        <v>1</v>
      </c>
    </row>
    <row r="136" spans="1:5" x14ac:dyDescent="0.25">
      <c r="A136" s="1">
        <v>42755</v>
      </c>
      <c r="B136" s="2" t="s">
        <v>87</v>
      </c>
      <c r="C136" s="2" t="s">
        <v>88</v>
      </c>
      <c r="D136">
        <v>49</v>
      </c>
      <c r="E136">
        <f>MONTH(makulatura3[[#This Row],[Data_dostarczenia]])</f>
        <v>1</v>
      </c>
    </row>
    <row r="137" spans="1:5" x14ac:dyDescent="0.25">
      <c r="A137" s="1">
        <v>42755</v>
      </c>
      <c r="B137" s="2" t="s">
        <v>51</v>
      </c>
      <c r="C137" s="2" t="s">
        <v>52</v>
      </c>
      <c r="D137">
        <v>17</v>
      </c>
      <c r="E137">
        <f>MONTH(makulatura3[[#This Row],[Data_dostarczenia]])</f>
        <v>1</v>
      </c>
    </row>
    <row r="138" spans="1:5" x14ac:dyDescent="0.25">
      <c r="A138" s="1">
        <v>42758</v>
      </c>
      <c r="B138" s="2" t="s">
        <v>195</v>
      </c>
      <c r="C138" s="2" t="s">
        <v>196</v>
      </c>
      <c r="D138">
        <v>10</v>
      </c>
      <c r="E138">
        <f>MONTH(makulatura3[[#This Row],[Data_dostarczenia]])</f>
        <v>1</v>
      </c>
    </row>
    <row r="139" spans="1:5" x14ac:dyDescent="0.25">
      <c r="A139" s="1">
        <v>42758</v>
      </c>
      <c r="B139" s="2" t="s">
        <v>101</v>
      </c>
      <c r="C139" s="2" t="s">
        <v>187</v>
      </c>
      <c r="D139">
        <v>12</v>
      </c>
      <c r="E139">
        <f>MONTH(makulatura3[[#This Row],[Data_dostarczenia]])</f>
        <v>1</v>
      </c>
    </row>
    <row r="140" spans="1:5" x14ac:dyDescent="0.25">
      <c r="A140" s="1">
        <v>42758</v>
      </c>
      <c r="B140" s="2" t="s">
        <v>4</v>
      </c>
      <c r="C140" s="2" t="s">
        <v>197</v>
      </c>
      <c r="D140">
        <v>42</v>
      </c>
      <c r="E140">
        <f>MONTH(makulatura3[[#This Row],[Data_dostarczenia]])</f>
        <v>1</v>
      </c>
    </row>
    <row r="141" spans="1:5" x14ac:dyDescent="0.25">
      <c r="A141" s="1">
        <v>42758</v>
      </c>
      <c r="B141" s="2" t="s">
        <v>198</v>
      </c>
      <c r="C141" s="2" t="s">
        <v>199</v>
      </c>
      <c r="D141">
        <v>25</v>
      </c>
      <c r="E141">
        <f>MONTH(makulatura3[[#This Row],[Data_dostarczenia]])</f>
        <v>1</v>
      </c>
    </row>
    <row r="142" spans="1:5" x14ac:dyDescent="0.25">
      <c r="A142" s="1">
        <v>42758</v>
      </c>
      <c r="B142" s="2" t="s">
        <v>117</v>
      </c>
      <c r="C142" s="2" t="s">
        <v>118</v>
      </c>
      <c r="D142">
        <v>47</v>
      </c>
      <c r="E142">
        <f>MONTH(makulatura3[[#This Row],[Data_dostarczenia]])</f>
        <v>1</v>
      </c>
    </row>
    <row r="143" spans="1:5" x14ac:dyDescent="0.25">
      <c r="A143" s="1">
        <v>42758</v>
      </c>
      <c r="B143" s="2" t="s">
        <v>150</v>
      </c>
      <c r="C143" s="2" t="s">
        <v>200</v>
      </c>
      <c r="D143">
        <v>14</v>
      </c>
      <c r="E143">
        <f>MONTH(makulatura3[[#This Row],[Data_dostarczenia]])</f>
        <v>1</v>
      </c>
    </row>
    <row r="144" spans="1:5" x14ac:dyDescent="0.25">
      <c r="A144" s="1">
        <v>42758</v>
      </c>
      <c r="B144" s="2" t="s">
        <v>201</v>
      </c>
      <c r="C144" s="2" t="s">
        <v>202</v>
      </c>
      <c r="D144">
        <v>6</v>
      </c>
      <c r="E144">
        <f>MONTH(makulatura3[[#This Row],[Data_dostarczenia]])</f>
        <v>1</v>
      </c>
    </row>
    <row r="145" spans="1:5" x14ac:dyDescent="0.25">
      <c r="A145" s="1">
        <v>42758</v>
      </c>
      <c r="B145" s="2" t="s">
        <v>203</v>
      </c>
      <c r="C145" s="2" t="s">
        <v>204</v>
      </c>
      <c r="D145">
        <v>55</v>
      </c>
      <c r="E145">
        <f>MONTH(makulatura3[[#This Row],[Data_dostarczenia]])</f>
        <v>1</v>
      </c>
    </row>
    <row r="146" spans="1:5" x14ac:dyDescent="0.25">
      <c r="A146" s="1">
        <v>42758</v>
      </c>
      <c r="B146" s="2" t="s">
        <v>65</v>
      </c>
      <c r="C146" s="2" t="s">
        <v>205</v>
      </c>
      <c r="D146">
        <v>22</v>
      </c>
      <c r="E146">
        <f>MONTH(makulatura3[[#This Row],[Data_dostarczenia]])</f>
        <v>1</v>
      </c>
    </row>
    <row r="147" spans="1:5" x14ac:dyDescent="0.25">
      <c r="A147" s="1">
        <v>42759</v>
      </c>
      <c r="B147" s="2" t="s">
        <v>206</v>
      </c>
      <c r="C147" s="2" t="s">
        <v>192</v>
      </c>
      <c r="D147">
        <v>45</v>
      </c>
      <c r="E147">
        <f>MONTH(makulatura3[[#This Row],[Data_dostarczenia]])</f>
        <v>1</v>
      </c>
    </row>
    <row r="148" spans="1:5" x14ac:dyDescent="0.25">
      <c r="A148" s="1">
        <v>42759</v>
      </c>
      <c r="B148" s="2" t="s">
        <v>4</v>
      </c>
      <c r="C148" s="2" t="s">
        <v>207</v>
      </c>
      <c r="D148">
        <v>20</v>
      </c>
      <c r="E148">
        <f>MONTH(makulatura3[[#This Row],[Data_dostarczenia]])</f>
        <v>1</v>
      </c>
    </row>
    <row r="149" spans="1:5" x14ac:dyDescent="0.25">
      <c r="A149" s="1">
        <v>42759</v>
      </c>
      <c r="B149" s="2" t="s">
        <v>208</v>
      </c>
      <c r="C149" s="2" t="s">
        <v>209</v>
      </c>
      <c r="D149">
        <v>52</v>
      </c>
      <c r="E149">
        <f>MONTH(makulatura3[[#This Row],[Data_dostarczenia]])</f>
        <v>1</v>
      </c>
    </row>
    <row r="150" spans="1:5" x14ac:dyDescent="0.25">
      <c r="A150" s="1">
        <v>42759</v>
      </c>
      <c r="B150" s="2" t="s">
        <v>65</v>
      </c>
      <c r="C150" s="2" t="s">
        <v>210</v>
      </c>
      <c r="D150">
        <v>47</v>
      </c>
      <c r="E150">
        <f>MONTH(makulatura3[[#This Row],[Data_dostarczenia]])</f>
        <v>1</v>
      </c>
    </row>
    <row r="151" spans="1:5" x14ac:dyDescent="0.25">
      <c r="A151" s="1">
        <v>42759</v>
      </c>
      <c r="B151" s="2" t="s">
        <v>150</v>
      </c>
      <c r="C151" s="2" t="s">
        <v>211</v>
      </c>
      <c r="D151">
        <v>13</v>
      </c>
      <c r="E151">
        <f>MONTH(makulatura3[[#This Row],[Data_dostarczenia]])</f>
        <v>1</v>
      </c>
    </row>
    <row r="152" spans="1:5" x14ac:dyDescent="0.25">
      <c r="A152" s="1">
        <v>42759</v>
      </c>
      <c r="B152" s="2" t="s">
        <v>101</v>
      </c>
      <c r="C152" s="2" t="s">
        <v>212</v>
      </c>
      <c r="D152">
        <v>23</v>
      </c>
      <c r="E152">
        <f>MONTH(makulatura3[[#This Row],[Data_dostarczenia]])</f>
        <v>1</v>
      </c>
    </row>
    <row r="153" spans="1:5" x14ac:dyDescent="0.25">
      <c r="A153" s="1">
        <v>42759</v>
      </c>
      <c r="B153" s="2" t="s">
        <v>27</v>
      </c>
      <c r="C153" s="2" t="s">
        <v>28</v>
      </c>
      <c r="D153">
        <v>11</v>
      </c>
      <c r="E153">
        <f>MONTH(makulatura3[[#This Row],[Data_dostarczenia]])</f>
        <v>1</v>
      </c>
    </row>
    <row r="154" spans="1:5" x14ac:dyDescent="0.25">
      <c r="A154" s="1">
        <v>42759</v>
      </c>
      <c r="B154" s="2" t="s">
        <v>141</v>
      </c>
      <c r="C154" s="2" t="s">
        <v>142</v>
      </c>
      <c r="D154">
        <v>35</v>
      </c>
      <c r="E154">
        <f>MONTH(makulatura3[[#This Row],[Data_dostarczenia]])</f>
        <v>1</v>
      </c>
    </row>
    <row r="155" spans="1:5" x14ac:dyDescent="0.25">
      <c r="A155" s="1">
        <v>42759</v>
      </c>
      <c r="B155" s="2" t="s">
        <v>75</v>
      </c>
      <c r="C155" s="2" t="s">
        <v>213</v>
      </c>
      <c r="D155">
        <v>42</v>
      </c>
      <c r="E155">
        <f>MONTH(makulatura3[[#This Row],[Data_dostarczenia]])</f>
        <v>1</v>
      </c>
    </row>
    <row r="156" spans="1:5" x14ac:dyDescent="0.25">
      <c r="A156" s="1">
        <v>42760</v>
      </c>
      <c r="B156" s="2" t="s">
        <v>161</v>
      </c>
      <c r="C156" s="2" t="s">
        <v>214</v>
      </c>
      <c r="D156">
        <v>15</v>
      </c>
      <c r="E156">
        <f>MONTH(makulatura3[[#This Row],[Data_dostarczenia]])</f>
        <v>1</v>
      </c>
    </row>
    <row r="157" spans="1:5" x14ac:dyDescent="0.25">
      <c r="A157" s="1">
        <v>42760</v>
      </c>
      <c r="B157" s="2" t="s">
        <v>193</v>
      </c>
      <c r="C157" s="2" t="s">
        <v>215</v>
      </c>
      <c r="D157">
        <v>9</v>
      </c>
      <c r="E157">
        <f>MONTH(makulatura3[[#This Row],[Data_dostarczenia]])</f>
        <v>1</v>
      </c>
    </row>
    <row r="158" spans="1:5" x14ac:dyDescent="0.25">
      <c r="A158" s="1">
        <v>42760</v>
      </c>
      <c r="B158" s="2" t="s">
        <v>119</v>
      </c>
      <c r="C158" s="2" t="s">
        <v>216</v>
      </c>
      <c r="D158">
        <v>33</v>
      </c>
      <c r="E158">
        <f>MONTH(makulatura3[[#This Row],[Data_dostarczenia]])</f>
        <v>1</v>
      </c>
    </row>
    <row r="159" spans="1:5" x14ac:dyDescent="0.25">
      <c r="A159" s="1">
        <v>42760</v>
      </c>
      <c r="B159" s="2" t="s">
        <v>27</v>
      </c>
      <c r="C159" s="2" t="s">
        <v>94</v>
      </c>
      <c r="D159">
        <v>17</v>
      </c>
      <c r="E159">
        <f>MONTH(makulatura3[[#This Row],[Data_dostarczenia]])</f>
        <v>1</v>
      </c>
    </row>
    <row r="160" spans="1:5" x14ac:dyDescent="0.25">
      <c r="A160" s="1">
        <v>42760</v>
      </c>
      <c r="B160" s="2" t="s">
        <v>95</v>
      </c>
      <c r="C160" s="2" t="s">
        <v>96</v>
      </c>
      <c r="D160">
        <v>11</v>
      </c>
      <c r="E160">
        <f>MONTH(makulatura3[[#This Row],[Data_dostarczenia]])</f>
        <v>1</v>
      </c>
    </row>
    <row r="161" spans="1:5" x14ac:dyDescent="0.25">
      <c r="A161" s="1">
        <v>42760</v>
      </c>
      <c r="B161" s="2" t="s">
        <v>217</v>
      </c>
      <c r="C161" s="2" t="s">
        <v>218</v>
      </c>
      <c r="D161">
        <v>19</v>
      </c>
      <c r="E161">
        <f>MONTH(makulatura3[[#This Row],[Data_dostarczenia]])</f>
        <v>1</v>
      </c>
    </row>
    <row r="162" spans="1:5" x14ac:dyDescent="0.25">
      <c r="A162" s="1">
        <v>42760</v>
      </c>
      <c r="B162" s="2" t="s">
        <v>32</v>
      </c>
      <c r="C162" s="2" t="s">
        <v>33</v>
      </c>
      <c r="D162">
        <v>14</v>
      </c>
      <c r="E162">
        <f>MONTH(makulatura3[[#This Row],[Data_dostarczenia]])</f>
        <v>1</v>
      </c>
    </row>
    <row r="163" spans="1:5" x14ac:dyDescent="0.25">
      <c r="A163" s="1">
        <v>42760</v>
      </c>
      <c r="B163" s="2" t="s">
        <v>23</v>
      </c>
      <c r="C163" s="2" t="s">
        <v>163</v>
      </c>
      <c r="D163">
        <v>6</v>
      </c>
      <c r="E163">
        <f>MONTH(makulatura3[[#This Row],[Data_dostarczenia]])</f>
        <v>1</v>
      </c>
    </row>
    <row r="164" spans="1:5" x14ac:dyDescent="0.25">
      <c r="A164" s="1">
        <v>42760</v>
      </c>
      <c r="B164" s="2" t="s">
        <v>61</v>
      </c>
      <c r="C164" s="2" t="s">
        <v>62</v>
      </c>
      <c r="D164">
        <v>47</v>
      </c>
      <c r="E164">
        <f>MONTH(makulatura3[[#This Row],[Data_dostarczenia]])</f>
        <v>1</v>
      </c>
    </row>
    <row r="165" spans="1:5" x14ac:dyDescent="0.25">
      <c r="A165" s="1">
        <v>42760</v>
      </c>
      <c r="B165" s="2" t="s">
        <v>219</v>
      </c>
      <c r="C165" s="2" t="s">
        <v>220</v>
      </c>
      <c r="D165">
        <v>4</v>
      </c>
      <c r="E165">
        <f>MONTH(makulatura3[[#This Row],[Data_dostarczenia]])</f>
        <v>1</v>
      </c>
    </row>
    <row r="166" spans="1:5" x14ac:dyDescent="0.25">
      <c r="A166" s="1">
        <v>42760</v>
      </c>
      <c r="B166" s="2" t="s">
        <v>221</v>
      </c>
      <c r="C166" s="2" t="s">
        <v>222</v>
      </c>
      <c r="D166">
        <v>45</v>
      </c>
      <c r="E166">
        <f>MONTH(makulatura3[[#This Row],[Data_dostarczenia]])</f>
        <v>1</v>
      </c>
    </row>
    <row r="167" spans="1:5" x14ac:dyDescent="0.25">
      <c r="A167" s="1">
        <v>42761</v>
      </c>
      <c r="B167" s="2" t="s">
        <v>14</v>
      </c>
      <c r="C167" s="2" t="s">
        <v>15</v>
      </c>
      <c r="D167">
        <v>39</v>
      </c>
      <c r="E167">
        <f>MONTH(makulatura3[[#This Row],[Data_dostarczenia]])</f>
        <v>1</v>
      </c>
    </row>
    <row r="168" spans="1:5" x14ac:dyDescent="0.25">
      <c r="A168" s="1">
        <v>42761</v>
      </c>
      <c r="B168" s="2" t="s">
        <v>101</v>
      </c>
      <c r="C168" s="2" t="s">
        <v>223</v>
      </c>
      <c r="D168">
        <v>34</v>
      </c>
      <c r="E168">
        <f>MONTH(makulatura3[[#This Row],[Data_dostarczenia]])</f>
        <v>1</v>
      </c>
    </row>
    <row r="169" spans="1:5" x14ac:dyDescent="0.25">
      <c r="A169" s="1">
        <v>42761</v>
      </c>
      <c r="B169" s="2" t="s">
        <v>195</v>
      </c>
      <c r="C169" s="2" t="s">
        <v>224</v>
      </c>
      <c r="D169">
        <v>9</v>
      </c>
      <c r="E169">
        <f>MONTH(makulatura3[[#This Row],[Data_dostarczenia]])</f>
        <v>1</v>
      </c>
    </row>
    <row r="170" spans="1:5" x14ac:dyDescent="0.25">
      <c r="A170" s="1">
        <v>42761</v>
      </c>
      <c r="B170" s="2" t="s">
        <v>225</v>
      </c>
      <c r="C170" s="2" t="s">
        <v>226</v>
      </c>
      <c r="D170">
        <v>23</v>
      </c>
      <c r="E170">
        <f>MONTH(makulatura3[[#This Row],[Data_dostarczenia]])</f>
        <v>1</v>
      </c>
    </row>
    <row r="171" spans="1:5" x14ac:dyDescent="0.25">
      <c r="A171" s="1">
        <v>42761</v>
      </c>
      <c r="B171" s="2" t="s">
        <v>34</v>
      </c>
      <c r="C171" s="2" t="s">
        <v>160</v>
      </c>
      <c r="D171">
        <v>3</v>
      </c>
      <c r="E171">
        <f>MONTH(makulatura3[[#This Row],[Data_dostarczenia]])</f>
        <v>1</v>
      </c>
    </row>
    <row r="172" spans="1:5" x14ac:dyDescent="0.25">
      <c r="A172" s="1">
        <v>42761</v>
      </c>
      <c r="B172" s="2" t="s">
        <v>193</v>
      </c>
      <c r="C172" s="2" t="s">
        <v>227</v>
      </c>
      <c r="D172">
        <v>13</v>
      </c>
      <c r="E172">
        <f>MONTH(makulatura3[[#This Row],[Data_dostarczenia]])</f>
        <v>1</v>
      </c>
    </row>
    <row r="173" spans="1:5" x14ac:dyDescent="0.25">
      <c r="A173" s="1">
        <v>42761</v>
      </c>
      <c r="B173" s="2" t="s">
        <v>193</v>
      </c>
      <c r="C173" s="2" t="s">
        <v>228</v>
      </c>
      <c r="D173">
        <v>16</v>
      </c>
      <c r="E173">
        <f>MONTH(makulatura3[[#This Row],[Data_dostarczenia]])</f>
        <v>1</v>
      </c>
    </row>
    <row r="174" spans="1:5" x14ac:dyDescent="0.25">
      <c r="A174" s="1">
        <v>42761</v>
      </c>
      <c r="B174" s="2" t="s">
        <v>36</v>
      </c>
      <c r="C174" s="2" t="s">
        <v>229</v>
      </c>
      <c r="D174">
        <v>19</v>
      </c>
      <c r="E174">
        <f>MONTH(makulatura3[[#This Row],[Data_dostarczenia]])</f>
        <v>1</v>
      </c>
    </row>
    <row r="175" spans="1:5" x14ac:dyDescent="0.25">
      <c r="A175" s="1">
        <v>42761</v>
      </c>
      <c r="B175" s="2" t="s">
        <v>47</v>
      </c>
      <c r="C175" s="2" t="s">
        <v>230</v>
      </c>
      <c r="D175">
        <v>49</v>
      </c>
      <c r="E175">
        <f>MONTH(makulatura3[[#This Row],[Data_dostarczenia]])</f>
        <v>1</v>
      </c>
    </row>
    <row r="176" spans="1:5" x14ac:dyDescent="0.25">
      <c r="A176" s="1">
        <v>42761</v>
      </c>
      <c r="B176" s="2" t="s">
        <v>63</v>
      </c>
      <c r="C176" s="2" t="s">
        <v>231</v>
      </c>
      <c r="D176">
        <v>45</v>
      </c>
      <c r="E176">
        <f>MONTH(makulatura3[[#This Row],[Data_dostarczenia]])</f>
        <v>1</v>
      </c>
    </row>
    <row r="177" spans="1:5" x14ac:dyDescent="0.25">
      <c r="A177" s="1">
        <v>42761</v>
      </c>
      <c r="B177" s="2" t="s">
        <v>232</v>
      </c>
      <c r="C177" s="2" t="s">
        <v>233</v>
      </c>
      <c r="D177">
        <v>14</v>
      </c>
      <c r="E177">
        <f>MONTH(makulatura3[[#This Row],[Data_dostarczenia]])</f>
        <v>1</v>
      </c>
    </row>
    <row r="178" spans="1:5" x14ac:dyDescent="0.25">
      <c r="A178" s="1">
        <v>42762</v>
      </c>
      <c r="B178" s="2" t="s">
        <v>83</v>
      </c>
      <c r="C178" s="2" t="s">
        <v>110</v>
      </c>
      <c r="D178">
        <v>23</v>
      </c>
      <c r="E178">
        <f>MONTH(makulatura3[[#This Row],[Data_dostarczenia]])</f>
        <v>1</v>
      </c>
    </row>
    <row r="179" spans="1:5" x14ac:dyDescent="0.25">
      <c r="A179" s="1">
        <v>42762</v>
      </c>
      <c r="B179" s="2" t="s">
        <v>234</v>
      </c>
      <c r="C179" s="2" t="s">
        <v>235</v>
      </c>
      <c r="D179">
        <v>42</v>
      </c>
      <c r="E179">
        <f>MONTH(makulatura3[[#This Row],[Data_dostarczenia]])</f>
        <v>1</v>
      </c>
    </row>
    <row r="180" spans="1:5" x14ac:dyDescent="0.25">
      <c r="A180" s="1">
        <v>42762</v>
      </c>
      <c r="B180" s="2" t="s">
        <v>236</v>
      </c>
      <c r="C180" s="2" t="s">
        <v>237</v>
      </c>
      <c r="D180">
        <v>30</v>
      </c>
      <c r="E180">
        <f>MONTH(makulatura3[[#This Row],[Data_dostarczenia]])</f>
        <v>1</v>
      </c>
    </row>
    <row r="181" spans="1:5" x14ac:dyDescent="0.25">
      <c r="A181" s="1">
        <v>42762</v>
      </c>
      <c r="B181" s="2" t="s">
        <v>41</v>
      </c>
      <c r="C181" s="2" t="s">
        <v>238</v>
      </c>
      <c r="D181">
        <v>42</v>
      </c>
      <c r="E181">
        <f>MONTH(makulatura3[[#This Row],[Data_dostarczenia]])</f>
        <v>1</v>
      </c>
    </row>
    <row r="182" spans="1:5" x14ac:dyDescent="0.25">
      <c r="A182" s="1">
        <v>42762</v>
      </c>
      <c r="B182" s="2" t="s">
        <v>12</v>
      </c>
      <c r="C182" s="2" t="s">
        <v>38</v>
      </c>
      <c r="D182">
        <v>29</v>
      </c>
      <c r="E182">
        <f>MONTH(makulatura3[[#This Row],[Data_dostarczenia]])</f>
        <v>1</v>
      </c>
    </row>
    <row r="183" spans="1:5" x14ac:dyDescent="0.25">
      <c r="A183" s="1">
        <v>42762</v>
      </c>
      <c r="B183" s="2" t="s">
        <v>72</v>
      </c>
      <c r="C183" s="2" t="s">
        <v>239</v>
      </c>
      <c r="D183">
        <v>6</v>
      </c>
      <c r="E183">
        <f>MONTH(makulatura3[[#This Row],[Data_dostarczenia]])</f>
        <v>1</v>
      </c>
    </row>
    <row r="184" spans="1:5" x14ac:dyDescent="0.25">
      <c r="A184" s="1">
        <v>42762</v>
      </c>
      <c r="B184" s="2" t="s">
        <v>106</v>
      </c>
      <c r="C184" s="2" t="s">
        <v>240</v>
      </c>
      <c r="D184">
        <v>17</v>
      </c>
      <c r="E184">
        <f>MONTH(makulatura3[[#This Row],[Data_dostarczenia]])</f>
        <v>1</v>
      </c>
    </row>
    <row r="185" spans="1:5" x14ac:dyDescent="0.25">
      <c r="A185" s="1">
        <v>42762</v>
      </c>
      <c r="B185" s="2" t="s">
        <v>30</v>
      </c>
      <c r="C185" s="2" t="s">
        <v>241</v>
      </c>
      <c r="D185">
        <v>41</v>
      </c>
      <c r="E185">
        <f>MONTH(makulatura3[[#This Row],[Data_dostarczenia]])</f>
        <v>1</v>
      </c>
    </row>
    <row r="186" spans="1:5" x14ac:dyDescent="0.25">
      <c r="A186" s="1">
        <v>42762</v>
      </c>
      <c r="B186" s="2" t="s">
        <v>178</v>
      </c>
      <c r="C186" s="2" t="s">
        <v>242</v>
      </c>
      <c r="D186">
        <v>23</v>
      </c>
      <c r="E186">
        <f>MONTH(makulatura3[[#This Row],[Data_dostarczenia]])</f>
        <v>1</v>
      </c>
    </row>
    <row r="187" spans="1:5" x14ac:dyDescent="0.25">
      <c r="A187" s="1">
        <v>42762</v>
      </c>
      <c r="B187" s="2" t="s">
        <v>53</v>
      </c>
      <c r="C187" s="2" t="s">
        <v>191</v>
      </c>
      <c r="D187">
        <v>4</v>
      </c>
      <c r="E187">
        <f>MONTH(makulatura3[[#This Row],[Data_dostarczenia]])</f>
        <v>1</v>
      </c>
    </row>
    <row r="188" spans="1:5" x14ac:dyDescent="0.25">
      <c r="A188" s="1">
        <v>42762</v>
      </c>
      <c r="B188" s="2" t="s">
        <v>243</v>
      </c>
      <c r="C188" s="2" t="s">
        <v>82</v>
      </c>
      <c r="D188">
        <v>52</v>
      </c>
      <c r="E188">
        <f>MONTH(makulatura3[[#This Row],[Data_dostarczenia]])</f>
        <v>1</v>
      </c>
    </row>
    <row r="189" spans="1:5" x14ac:dyDescent="0.25">
      <c r="A189" s="1">
        <v>42765</v>
      </c>
      <c r="B189" s="2" t="s">
        <v>59</v>
      </c>
      <c r="C189" s="2" t="s">
        <v>60</v>
      </c>
      <c r="D189">
        <v>7</v>
      </c>
      <c r="E189">
        <f>MONTH(makulatura3[[#This Row],[Data_dostarczenia]])</f>
        <v>1</v>
      </c>
    </row>
    <row r="190" spans="1:5" x14ac:dyDescent="0.25">
      <c r="A190" s="1">
        <v>42765</v>
      </c>
      <c r="B190" s="2" t="s">
        <v>18</v>
      </c>
      <c r="C190" s="2" t="s">
        <v>74</v>
      </c>
      <c r="D190">
        <v>33</v>
      </c>
      <c r="E190">
        <f>MONTH(makulatura3[[#This Row],[Data_dostarczenia]])</f>
        <v>1</v>
      </c>
    </row>
    <row r="191" spans="1:5" x14ac:dyDescent="0.25">
      <c r="A191" s="1">
        <v>42765</v>
      </c>
      <c r="B191" s="2" t="s">
        <v>244</v>
      </c>
      <c r="C191" s="2" t="s">
        <v>245</v>
      </c>
      <c r="D191">
        <v>55</v>
      </c>
      <c r="E191">
        <f>MONTH(makulatura3[[#This Row],[Data_dostarczenia]])</f>
        <v>1</v>
      </c>
    </row>
    <row r="192" spans="1:5" x14ac:dyDescent="0.25">
      <c r="A192" s="1">
        <v>42765</v>
      </c>
      <c r="B192" s="2" t="s">
        <v>246</v>
      </c>
      <c r="C192" s="2" t="s">
        <v>247</v>
      </c>
      <c r="D192">
        <v>13</v>
      </c>
      <c r="E192">
        <f>MONTH(makulatura3[[#This Row],[Data_dostarczenia]])</f>
        <v>1</v>
      </c>
    </row>
    <row r="193" spans="1:5" x14ac:dyDescent="0.25">
      <c r="A193" s="1">
        <v>42765</v>
      </c>
      <c r="B193" s="2" t="s">
        <v>248</v>
      </c>
      <c r="C193" s="2" t="s">
        <v>249</v>
      </c>
      <c r="D193">
        <v>2</v>
      </c>
      <c r="E193">
        <f>MONTH(makulatura3[[#This Row],[Data_dostarczenia]])</f>
        <v>1</v>
      </c>
    </row>
    <row r="194" spans="1:5" x14ac:dyDescent="0.25">
      <c r="A194" s="1">
        <v>42765</v>
      </c>
      <c r="B194" s="2" t="s">
        <v>81</v>
      </c>
      <c r="C194" s="2" t="s">
        <v>82</v>
      </c>
      <c r="D194">
        <v>19</v>
      </c>
      <c r="E194">
        <f>MONTH(makulatura3[[#This Row],[Data_dostarczenia]])</f>
        <v>1</v>
      </c>
    </row>
    <row r="195" spans="1:5" x14ac:dyDescent="0.25">
      <c r="A195" s="1">
        <v>42765</v>
      </c>
      <c r="B195" s="2" t="s">
        <v>128</v>
      </c>
      <c r="C195" s="2" t="s">
        <v>250</v>
      </c>
      <c r="D195">
        <v>28</v>
      </c>
      <c r="E195">
        <f>MONTH(makulatura3[[#This Row],[Data_dostarczenia]])</f>
        <v>1</v>
      </c>
    </row>
    <row r="196" spans="1:5" x14ac:dyDescent="0.25">
      <c r="A196" s="1">
        <v>42765</v>
      </c>
      <c r="B196" s="2" t="s">
        <v>87</v>
      </c>
      <c r="C196" s="2" t="s">
        <v>251</v>
      </c>
      <c r="D196">
        <v>43</v>
      </c>
      <c r="E196">
        <f>MONTH(makulatura3[[#This Row],[Data_dostarczenia]])</f>
        <v>1</v>
      </c>
    </row>
    <row r="197" spans="1:5" x14ac:dyDescent="0.25">
      <c r="A197" s="1">
        <v>42765</v>
      </c>
      <c r="B197" s="2" t="s">
        <v>252</v>
      </c>
      <c r="C197" s="2" t="s">
        <v>253</v>
      </c>
      <c r="D197">
        <v>20</v>
      </c>
      <c r="E197">
        <f>MONTH(makulatura3[[#This Row],[Data_dostarczenia]])</f>
        <v>1</v>
      </c>
    </row>
    <row r="198" spans="1:5" x14ac:dyDescent="0.25">
      <c r="A198" s="1">
        <v>42765</v>
      </c>
      <c r="B198" s="2" t="s">
        <v>219</v>
      </c>
      <c r="C198" s="2" t="s">
        <v>254</v>
      </c>
      <c r="D198">
        <v>22</v>
      </c>
      <c r="E198">
        <f>MONTH(makulatura3[[#This Row],[Data_dostarczenia]])</f>
        <v>1</v>
      </c>
    </row>
    <row r="199" spans="1:5" x14ac:dyDescent="0.25">
      <c r="A199" s="1">
        <v>42765</v>
      </c>
      <c r="B199" s="2" t="s">
        <v>87</v>
      </c>
      <c r="C199" s="2" t="s">
        <v>255</v>
      </c>
      <c r="D199">
        <v>9</v>
      </c>
      <c r="E199">
        <f>MONTH(makulatura3[[#This Row],[Data_dostarczenia]])</f>
        <v>1</v>
      </c>
    </row>
    <row r="200" spans="1:5" x14ac:dyDescent="0.25">
      <c r="A200" s="1">
        <v>42766</v>
      </c>
      <c r="B200" s="2" t="s">
        <v>12</v>
      </c>
      <c r="C200" s="2" t="s">
        <v>13</v>
      </c>
      <c r="D200">
        <v>26</v>
      </c>
      <c r="E200">
        <f>MONTH(makulatura3[[#This Row],[Data_dostarczenia]])</f>
        <v>1</v>
      </c>
    </row>
    <row r="201" spans="1:5" x14ac:dyDescent="0.25">
      <c r="A201" s="1">
        <v>42766</v>
      </c>
      <c r="B201" s="2" t="s">
        <v>47</v>
      </c>
      <c r="C201" s="2" t="s">
        <v>256</v>
      </c>
      <c r="D201">
        <v>38</v>
      </c>
      <c r="E201">
        <f>MONTH(makulatura3[[#This Row],[Data_dostarczenia]])</f>
        <v>1</v>
      </c>
    </row>
    <row r="202" spans="1:5" x14ac:dyDescent="0.25">
      <c r="A202" s="1">
        <v>42766</v>
      </c>
      <c r="B202" s="2" t="s">
        <v>55</v>
      </c>
      <c r="C202" s="2" t="s">
        <v>199</v>
      </c>
      <c r="D202">
        <v>40</v>
      </c>
      <c r="E202">
        <f>MONTH(makulatura3[[#This Row],[Data_dostarczenia]])</f>
        <v>1</v>
      </c>
    </row>
    <row r="203" spans="1:5" x14ac:dyDescent="0.25">
      <c r="A203" s="1">
        <v>42766</v>
      </c>
      <c r="B203" s="2" t="s">
        <v>152</v>
      </c>
      <c r="C203" s="2" t="s">
        <v>257</v>
      </c>
      <c r="D203">
        <v>56</v>
      </c>
      <c r="E203">
        <f>MONTH(makulatura3[[#This Row],[Data_dostarczenia]])</f>
        <v>1</v>
      </c>
    </row>
    <row r="204" spans="1:5" x14ac:dyDescent="0.25">
      <c r="A204" s="1">
        <v>42766</v>
      </c>
      <c r="B204" s="2" t="s">
        <v>150</v>
      </c>
      <c r="C204" s="2" t="s">
        <v>258</v>
      </c>
      <c r="D204">
        <v>18</v>
      </c>
      <c r="E204">
        <f>MONTH(makulatura3[[#This Row],[Data_dostarczenia]])</f>
        <v>1</v>
      </c>
    </row>
    <row r="205" spans="1:5" x14ac:dyDescent="0.25">
      <c r="A205" s="1">
        <v>42766</v>
      </c>
      <c r="B205" s="2" t="s">
        <v>101</v>
      </c>
      <c r="C205" s="2" t="s">
        <v>102</v>
      </c>
      <c r="D205">
        <v>14</v>
      </c>
      <c r="E205">
        <f>MONTH(makulatura3[[#This Row],[Data_dostarczenia]])</f>
        <v>1</v>
      </c>
    </row>
    <row r="206" spans="1:5" x14ac:dyDescent="0.25">
      <c r="A206" s="1">
        <v>42766</v>
      </c>
      <c r="B206" s="2" t="s">
        <v>87</v>
      </c>
      <c r="C206" s="2" t="s">
        <v>259</v>
      </c>
      <c r="D206">
        <v>16</v>
      </c>
      <c r="E206">
        <f>MONTH(makulatura3[[#This Row],[Data_dostarczenia]])</f>
        <v>1</v>
      </c>
    </row>
    <row r="207" spans="1:5" x14ac:dyDescent="0.25">
      <c r="A207" s="1">
        <v>42766</v>
      </c>
      <c r="B207" s="2" t="s">
        <v>141</v>
      </c>
      <c r="C207" s="2" t="s">
        <v>260</v>
      </c>
      <c r="D207">
        <v>41</v>
      </c>
      <c r="E207">
        <f>MONTH(makulatura3[[#This Row],[Data_dostarczenia]])</f>
        <v>1</v>
      </c>
    </row>
    <row r="208" spans="1:5" x14ac:dyDescent="0.25">
      <c r="A208" s="1">
        <v>42766</v>
      </c>
      <c r="B208" s="2" t="s">
        <v>261</v>
      </c>
      <c r="C208" s="2" t="s">
        <v>262</v>
      </c>
      <c r="D208">
        <v>52</v>
      </c>
      <c r="E208">
        <f>MONTH(makulatura3[[#This Row],[Data_dostarczenia]])</f>
        <v>1</v>
      </c>
    </row>
    <row r="209" spans="1:5" x14ac:dyDescent="0.25">
      <c r="A209" s="1">
        <v>42766</v>
      </c>
      <c r="B209" s="2" t="s">
        <v>101</v>
      </c>
      <c r="C209" s="2" t="s">
        <v>263</v>
      </c>
      <c r="D209">
        <v>50</v>
      </c>
      <c r="E209">
        <f>MONTH(makulatura3[[#This Row],[Data_dostarczenia]])</f>
        <v>1</v>
      </c>
    </row>
    <row r="210" spans="1:5" x14ac:dyDescent="0.25">
      <c r="A210" s="1">
        <v>42766</v>
      </c>
      <c r="B210" s="2" t="s">
        <v>75</v>
      </c>
      <c r="C210" s="2" t="s">
        <v>264</v>
      </c>
      <c r="D210">
        <v>34</v>
      </c>
      <c r="E210">
        <f>MONTH(makulatura3[[#This Row],[Data_dostarczenia]])</f>
        <v>1</v>
      </c>
    </row>
    <row r="211" spans="1:5" x14ac:dyDescent="0.25">
      <c r="A211" s="1">
        <v>42767</v>
      </c>
      <c r="B211" s="2" t="s">
        <v>55</v>
      </c>
      <c r="C211" s="2" t="s">
        <v>265</v>
      </c>
      <c r="D211">
        <v>17</v>
      </c>
      <c r="E211">
        <f>MONTH(makulatura3[[#This Row],[Data_dostarczenia]])</f>
        <v>2</v>
      </c>
    </row>
    <row r="212" spans="1:5" x14ac:dyDescent="0.25">
      <c r="A212" s="1">
        <v>42767</v>
      </c>
      <c r="B212" s="2" t="s">
        <v>10</v>
      </c>
      <c r="C212" s="2" t="s">
        <v>266</v>
      </c>
      <c r="D212">
        <v>3</v>
      </c>
      <c r="E212">
        <f>MONTH(makulatura3[[#This Row],[Data_dostarczenia]])</f>
        <v>2</v>
      </c>
    </row>
    <row r="213" spans="1:5" x14ac:dyDescent="0.25">
      <c r="A213" s="1">
        <v>42767</v>
      </c>
      <c r="B213" s="2" t="s">
        <v>267</v>
      </c>
      <c r="C213" s="2" t="s">
        <v>268</v>
      </c>
      <c r="D213">
        <v>3</v>
      </c>
      <c r="E213">
        <f>MONTH(makulatura3[[#This Row],[Data_dostarczenia]])</f>
        <v>2</v>
      </c>
    </row>
    <row r="214" spans="1:5" x14ac:dyDescent="0.25">
      <c r="A214" s="1">
        <v>42767</v>
      </c>
      <c r="B214" s="2" t="s">
        <v>161</v>
      </c>
      <c r="C214" s="2" t="s">
        <v>214</v>
      </c>
      <c r="D214">
        <v>26</v>
      </c>
      <c r="E214">
        <f>MONTH(makulatura3[[#This Row],[Data_dostarczenia]])</f>
        <v>2</v>
      </c>
    </row>
    <row r="215" spans="1:5" x14ac:dyDescent="0.25">
      <c r="A215" s="1">
        <v>42767</v>
      </c>
      <c r="B215" s="2" t="s">
        <v>61</v>
      </c>
      <c r="C215" s="2" t="s">
        <v>62</v>
      </c>
      <c r="D215">
        <v>3</v>
      </c>
      <c r="E215">
        <f>MONTH(makulatura3[[#This Row],[Data_dostarczenia]])</f>
        <v>2</v>
      </c>
    </row>
    <row r="216" spans="1:5" x14ac:dyDescent="0.25">
      <c r="A216" s="1">
        <v>42767</v>
      </c>
      <c r="B216" s="2" t="s">
        <v>269</v>
      </c>
      <c r="C216" s="2" t="s">
        <v>270</v>
      </c>
      <c r="D216">
        <v>20</v>
      </c>
      <c r="E216">
        <f>MONTH(makulatura3[[#This Row],[Data_dostarczenia]])</f>
        <v>2</v>
      </c>
    </row>
    <row r="217" spans="1:5" x14ac:dyDescent="0.25">
      <c r="A217" s="1">
        <v>42767</v>
      </c>
      <c r="B217" s="2" t="s">
        <v>271</v>
      </c>
      <c r="C217" s="2" t="s">
        <v>272</v>
      </c>
      <c r="D217">
        <v>23</v>
      </c>
      <c r="E217">
        <f>MONTH(makulatura3[[#This Row],[Data_dostarczenia]])</f>
        <v>2</v>
      </c>
    </row>
    <row r="218" spans="1:5" x14ac:dyDescent="0.25">
      <c r="A218" s="1">
        <v>42767</v>
      </c>
      <c r="B218" s="2" t="s">
        <v>273</v>
      </c>
      <c r="C218" s="2" t="s">
        <v>274</v>
      </c>
      <c r="D218">
        <v>24</v>
      </c>
      <c r="E218">
        <f>MONTH(makulatura3[[#This Row],[Data_dostarczenia]])</f>
        <v>2</v>
      </c>
    </row>
    <row r="219" spans="1:5" x14ac:dyDescent="0.25">
      <c r="A219" s="1">
        <v>42767</v>
      </c>
      <c r="B219" s="2" t="s">
        <v>275</v>
      </c>
      <c r="C219" s="2" t="s">
        <v>276</v>
      </c>
      <c r="D219">
        <v>17</v>
      </c>
      <c r="E219">
        <f>MONTH(makulatura3[[#This Row],[Data_dostarczenia]])</f>
        <v>2</v>
      </c>
    </row>
    <row r="220" spans="1:5" x14ac:dyDescent="0.25">
      <c r="A220" s="1">
        <v>42767</v>
      </c>
      <c r="B220" s="2" t="s">
        <v>106</v>
      </c>
      <c r="C220" s="2" t="s">
        <v>277</v>
      </c>
      <c r="D220">
        <v>6</v>
      </c>
      <c r="E220">
        <f>MONTH(makulatura3[[#This Row],[Data_dostarczenia]])</f>
        <v>2</v>
      </c>
    </row>
    <row r="221" spans="1:5" x14ac:dyDescent="0.25">
      <c r="A221" s="1">
        <v>42767</v>
      </c>
      <c r="B221" s="2" t="s">
        <v>278</v>
      </c>
      <c r="C221" s="2" t="s">
        <v>279</v>
      </c>
      <c r="D221">
        <v>47</v>
      </c>
      <c r="E221">
        <f>MONTH(makulatura3[[#This Row],[Data_dostarczenia]])</f>
        <v>2</v>
      </c>
    </row>
    <row r="222" spans="1:5" x14ac:dyDescent="0.25">
      <c r="A222" s="1">
        <v>42768</v>
      </c>
      <c r="B222" s="2" t="s">
        <v>280</v>
      </c>
      <c r="C222" s="2" t="s">
        <v>281</v>
      </c>
      <c r="D222">
        <v>25</v>
      </c>
      <c r="E222">
        <f>MONTH(makulatura3[[#This Row],[Data_dostarczenia]])</f>
        <v>2</v>
      </c>
    </row>
    <row r="223" spans="1:5" x14ac:dyDescent="0.25">
      <c r="A223" s="1">
        <v>42768</v>
      </c>
      <c r="B223" s="2" t="s">
        <v>282</v>
      </c>
      <c r="C223" s="2" t="s">
        <v>283</v>
      </c>
      <c r="D223">
        <v>20</v>
      </c>
      <c r="E223">
        <f>MONTH(makulatura3[[#This Row],[Data_dostarczenia]])</f>
        <v>2</v>
      </c>
    </row>
    <row r="224" spans="1:5" x14ac:dyDescent="0.25">
      <c r="A224" s="1">
        <v>42768</v>
      </c>
      <c r="B224" s="2" t="s">
        <v>284</v>
      </c>
      <c r="C224" s="2" t="s">
        <v>285</v>
      </c>
      <c r="D224">
        <v>6</v>
      </c>
      <c r="E224">
        <f>MONTH(makulatura3[[#This Row],[Data_dostarczenia]])</f>
        <v>2</v>
      </c>
    </row>
    <row r="225" spans="1:5" x14ac:dyDescent="0.25">
      <c r="A225" s="1">
        <v>42768</v>
      </c>
      <c r="B225" s="2" t="s">
        <v>69</v>
      </c>
      <c r="C225" s="2" t="s">
        <v>286</v>
      </c>
      <c r="D225">
        <v>16</v>
      </c>
      <c r="E225">
        <f>MONTH(makulatura3[[#This Row],[Data_dostarczenia]])</f>
        <v>2</v>
      </c>
    </row>
    <row r="226" spans="1:5" x14ac:dyDescent="0.25">
      <c r="A226" s="1">
        <v>42768</v>
      </c>
      <c r="B226" s="2" t="s">
        <v>267</v>
      </c>
      <c r="C226" s="2" t="s">
        <v>287</v>
      </c>
      <c r="D226">
        <v>16</v>
      </c>
      <c r="E226">
        <f>MONTH(makulatura3[[#This Row],[Data_dostarczenia]])</f>
        <v>2</v>
      </c>
    </row>
    <row r="227" spans="1:5" x14ac:dyDescent="0.25">
      <c r="A227" s="1">
        <v>42768</v>
      </c>
      <c r="B227" s="2" t="s">
        <v>252</v>
      </c>
      <c r="C227" s="2" t="s">
        <v>288</v>
      </c>
      <c r="D227">
        <v>8</v>
      </c>
      <c r="E227">
        <f>MONTH(makulatura3[[#This Row],[Data_dostarczenia]])</f>
        <v>2</v>
      </c>
    </row>
    <row r="228" spans="1:5" x14ac:dyDescent="0.25">
      <c r="A228" s="1">
        <v>42768</v>
      </c>
      <c r="B228" s="2" t="s">
        <v>178</v>
      </c>
      <c r="C228" s="2" t="s">
        <v>242</v>
      </c>
      <c r="D228">
        <v>17</v>
      </c>
      <c r="E228">
        <f>MONTH(makulatura3[[#This Row],[Data_dostarczenia]])</f>
        <v>2</v>
      </c>
    </row>
    <row r="229" spans="1:5" x14ac:dyDescent="0.25">
      <c r="A229" s="1">
        <v>42768</v>
      </c>
      <c r="B229" s="2" t="s">
        <v>39</v>
      </c>
      <c r="C229" s="2" t="s">
        <v>289</v>
      </c>
      <c r="D229">
        <v>8</v>
      </c>
      <c r="E229">
        <f>MONTH(makulatura3[[#This Row],[Data_dostarczenia]])</f>
        <v>2</v>
      </c>
    </row>
    <row r="230" spans="1:5" x14ac:dyDescent="0.25">
      <c r="A230" s="1">
        <v>42768</v>
      </c>
      <c r="B230" s="2" t="s">
        <v>30</v>
      </c>
      <c r="C230" s="2" t="s">
        <v>31</v>
      </c>
      <c r="D230">
        <v>29</v>
      </c>
      <c r="E230">
        <f>MONTH(makulatura3[[#This Row],[Data_dostarczenia]])</f>
        <v>2</v>
      </c>
    </row>
    <row r="231" spans="1:5" x14ac:dyDescent="0.25">
      <c r="A231" s="1">
        <v>42768</v>
      </c>
      <c r="B231" s="2" t="s">
        <v>206</v>
      </c>
      <c r="C231" s="2" t="s">
        <v>227</v>
      </c>
      <c r="D231">
        <v>43</v>
      </c>
      <c r="E231">
        <f>MONTH(makulatura3[[#This Row],[Data_dostarczenia]])</f>
        <v>2</v>
      </c>
    </row>
    <row r="232" spans="1:5" x14ac:dyDescent="0.25">
      <c r="A232" s="1">
        <v>42768</v>
      </c>
      <c r="B232" s="2" t="s">
        <v>290</v>
      </c>
      <c r="C232" s="2" t="s">
        <v>291</v>
      </c>
      <c r="D232">
        <v>17</v>
      </c>
      <c r="E232">
        <f>MONTH(makulatura3[[#This Row],[Data_dostarczenia]])</f>
        <v>2</v>
      </c>
    </row>
    <row r="233" spans="1:5" x14ac:dyDescent="0.25">
      <c r="A233" s="1">
        <v>42769</v>
      </c>
      <c r="B233" s="2" t="s">
        <v>67</v>
      </c>
      <c r="C233" s="2" t="s">
        <v>68</v>
      </c>
      <c r="D233">
        <v>29</v>
      </c>
      <c r="E233">
        <f>MONTH(makulatura3[[#This Row],[Data_dostarczenia]])</f>
        <v>2</v>
      </c>
    </row>
    <row r="234" spans="1:5" x14ac:dyDescent="0.25">
      <c r="A234" s="1">
        <v>42769</v>
      </c>
      <c r="B234" s="2" t="s">
        <v>117</v>
      </c>
      <c r="C234" s="2" t="s">
        <v>183</v>
      </c>
      <c r="D234">
        <v>7</v>
      </c>
      <c r="E234">
        <f>MONTH(makulatura3[[#This Row],[Data_dostarczenia]])</f>
        <v>2</v>
      </c>
    </row>
    <row r="235" spans="1:5" x14ac:dyDescent="0.25">
      <c r="A235" s="1">
        <v>42769</v>
      </c>
      <c r="B235" s="2" t="s">
        <v>141</v>
      </c>
      <c r="C235" s="2" t="s">
        <v>292</v>
      </c>
      <c r="D235">
        <v>16</v>
      </c>
      <c r="E235">
        <f>MONTH(makulatura3[[#This Row],[Data_dostarczenia]])</f>
        <v>2</v>
      </c>
    </row>
    <row r="236" spans="1:5" x14ac:dyDescent="0.25">
      <c r="A236" s="1">
        <v>42769</v>
      </c>
      <c r="B236" s="2" t="s">
        <v>150</v>
      </c>
      <c r="C236" s="2" t="s">
        <v>258</v>
      </c>
      <c r="D236">
        <v>3</v>
      </c>
      <c r="E236">
        <f>MONTH(makulatura3[[#This Row],[Data_dostarczenia]])</f>
        <v>2</v>
      </c>
    </row>
    <row r="237" spans="1:5" x14ac:dyDescent="0.25">
      <c r="A237" s="1">
        <v>42769</v>
      </c>
      <c r="B237" s="2" t="s">
        <v>12</v>
      </c>
      <c r="C237" s="2" t="s">
        <v>13</v>
      </c>
      <c r="D237">
        <v>26</v>
      </c>
      <c r="E237">
        <f>MONTH(makulatura3[[#This Row],[Data_dostarczenia]])</f>
        <v>2</v>
      </c>
    </row>
    <row r="238" spans="1:5" x14ac:dyDescent="0.25">
      <c r="A238" s="1">
        <v>42769</v>
      </c>
      <c r="B238" s="2" t="s">
        <v>101</v>
      </c>
      <c r="C238" s="2" t="s">
        <v>293</v>
      </c>
      <c r="D238">
        <v>5</v>
      </c>
      <c r="E238">
        <f>MONTH(makulatura3[[#This Row],[Data_dostarczenia]])</f>
        <v>2</v>
      </c>
    </row>
    <row r="239" spans="1:5" x14ac:dyDescent="0.25">
      <c r="A239" s="1">
        <v>42769</v>
      </c>
      <c r="B239" s="2" t="s">
        <v>39</v>
      </c>
      <c r="C239" s="2" t="s">
        <v>294</v>
      </c>
      <c r="D239">
        <v>16</v>
      </c>
      <c r="E239">
        <f>MONTH(makulatura3[[#This Row],[Data_dostarczenia]])</f>
        <v>2</v>
      </c>
    </row>
    <row r="240" spans="1:5" x14ac:dyDescent="0.25">
      <c r="A240" s="1">
        <v>42769</v>
      </c>
      <c r="B240" s="2" t="s">
        <v>36</v>
      </c>
      <c r="C240" s="2" t="s">
        <v>295</v>
      </c>
      <c r="D240">
        <v>19</v>
      </c>
      <c r="E240">
        <f>MONTH(makulatura3[[#This Row],[Data_dostarczenia]])</f>
        <v>2</v>
      </c>
    </row>
    <row r="241" spans="1:5" x14ac:dyDescent="0.25">
      <c r="A241" s="1">
        <v>42769</v>
      </c>
      <c r="B241" s="2" t="s">
        <v>217</v>
      </c>
      <c r="C241" s="2" t="s">
        <v>218</v>
      </c>
      <c r="D241">
        <v>13</v>
      </c>
      <c r="E241">
        <f>MONTH(makulatura3[[#This Row],[Data_dostarczenia]])</f>
        <v>2</v>
      </c>
    </row>
    <row r="242" spans="1:5" x14ac:dyDescent="0.25">
      <c r="A242" s="1">
        <v>42769</v>
      </c>
      <c r="B242" s="2" t="s">
        <v>206</v>
      </c>
      <c r="C242" s="2" t="s">
        <v>296</v>
      </c>
      <c r="D242">
        <v>8</v>
      </c>
      <c r="E242">
        <f>MONTH(makulatura3[[#This Row],[Data_dostarczenia]])</f>
        <v>2</v>
      </c>
    </row>
    <row r="243" spans="1:5" x14ac:dyDescent="0.25">
      <c r="A243" s="1">
        <v>42769</v>
      </c>
      <c r="B243" s="2" t="s">
        <v>150</v>
      </c>
      <c r="C243" s="2" t="s">
        <v>297</v>
      </c>
      <c r="D243">
        <v>13</v>
      </c>
      <c r="E243">
        <f>MONTH(makulatura3[[#This Row],[Data_dostarczenia]])</f>
        <v>2</v>
      </c>
    </row>
    <row r="244" spans="1:5" x14ac:dyDescent="0.25">
      <c r="A244" s="1">
        <v>42772</v>
      </c>
      <c r="B244" s="2" t="s">
        <v>150</v>
      </c>
      <c r="C244" s="2" t="s">
        <v>298</v>
      </c>
      <c r="D244">
        <v>25</v>
      </c>
      <c r="E244">
        <f>MONTH(makulatura3[[#This Row],[Data_dostarczenia]])</f>
        <v>2</v>
      </c>
    </row>
    <row r="245" spans="1:5" x14ac:dyDescent="0.25">
      <c r="A245" s="1">
        <v>42772</v>
      </c>
      <c r="B245" s="2" t="s">
        <v>299</v>
      </c>
      <c r="C245" s="2" t="s">
        <v>300</v>
      </c>
      <c r="D245">
        <v>25</v>
      </c>
      <c r="E245">
        <f>MONTH(makulatura3[[#This Row],[Data_dostarczenia]])</f>
        <v>2</v>
      </c>
    </row>
    <row r="246" spans="1:5" x14ac:dyDescent="0.25">
      <c r="A246" s="1">
        <v>42772</v>
      </c>
      <c r="B246" s="2" t="s">
        <v>67</v>
      </c>
      <c r="C246" s="2" t="s">
        <v>301</v>
      </c>
      <c r="D246">
        <v>56</v>
      </c>
      <c r="E246">
        <f>MONTH(makulatura3[[#This Row],[Data_dostarczenia]])</f>
        <v>2</v>
      </c>
    </row>
    <row r="247" spans="1:5" x14ac:dyDescent="0.25">
      <c r="A247" s="1">
        <v>42772</v>
      </c>
      <c r="B247" s="2" t="s">
        <v>198</v>
      </c>
      <c r="C247" s="2" t="s">
        <v>199</v>
      </c>
      <c r="D247">
        <v>3</v>
      </c>
      <c r="E247">
        <f>MONTH(makulatura3[[#This Row],[Data_dostarczenia]])</f>
        <v>2</v>
      </c>
    </row>
    <row r="248" spans="1:5" x14ac:dyDescent="0.25">
      <c r="A248" s="1">
        <v>42772</v>
      </c>
      <c r="B248" s="2" t="s">
        <v>41</v>
      </c>
      <c r="C248" s="2" t="s">
        <v>302</v>
      </c>
      <c r="D248">
        <v>18</v>
      </c>
      <c r="E248">
        <f>MONTH(makulatura3[[#This Row],[Data_dostarczenia]])</f>
        <v>2</v>
      </c>
    </row>
    <row r="249" spans="1:5" x14ac:dyDescent="0.25">
      <c r="A249" s="1">
        <v>42772</v>
      </c>
      <c r="B249" s="2" t="s">
        <v>67</v>
      </c>
      <c r="C249" s="2" t="s">
        <v>301</v>
      </c>
      <c r="D249">
        <v>14</v>
      </c>
      <c r="E249">
        <f>MONTH(makulatura3[[#This Row],[Data_dostarczenia]])</f>
        <v>2</v>
      </c>
    </row>
    <row r="250" spans="1:5" x14ac:dyDescent="0.25">
      <c r="A250" s="1">
        <v>42772</v>
      </c>
      <c r="B250" s="2" t="s">
        <v>303</v>
      </c>
      <c r="C250" s="2" t="s">
        <v>304</v>
      </c>
      <c r="D250">
        <v>5</v>
      </c>
      <c r="E250">
        <f>MONTH(makulatura3[[#This Row],[Data_dostarczenia]])</f>
        <v>2</v>
      </c>
    </row>
    <row r="251" spans="1:5" x14ac:dyDescent="0.25">
      <c r="A251" s="1">
        <v>42772</v>
      </c>
      <c r="B251" s="2" t="s">
        <v>161</v>
      </c>
      <c r="C251" s="2" t="s">
        <v>305</v>
      </c>
      <c r="D251">
        <v>3</v>
      </c>
      <c r="E251">
        <f>MONTH(makulatura3[[#This Row],[Data_dostarczenia]])</f>
        <v>2</v>
      </c>
    </row>
    <row r="252" spans="1:5" x14ac:dyDescent="0.25">
      <c r="A252" s="1">
        <v>42772</v>
      </c>
      <c r="B252" s="2" t="s">
        <v>36</v>
      </c>
      <c r="C252" s="2" t="s">
        <v>306</v>
      </c>
      <c r="D252">
        <v>27</v>
      </c>
      <c r="E252">
        <f>MONTH(makulatura3[[#This Row],[Data_dostarczenia]])</f>
        <v>2</v>
      </c>
    </row>
    <row r="253" spans="1:5" x14ac:dyDescent="0.25">
      <c r="A253" s="1">
        <v>42772</v>
      </c>
      <c r="B253" s="2" t="s">
        <v>307</v>
      </c>
      <c r="C253" s="2" t="s">
        <v>308</v>
      </c>
      <c r="D253">
        <v>28</v>
      </c>
      <c r="E253">
        <f>MONTH(makulatura3[[#This Row],[Data_dostarczenia]])</f>
        <v>2</v>
      </c>
    </row>
    <row r="254" spans="1:5" x14ac:dyDescent="0.25">
      <c r="A254" s="1">
        <v>42772</v>
      </c>
      <c r="B254" s="2" t="s">
        <v>128</v>
      </c>
      <c r="C254" s="2" t="s">
        <v>309</v>
      </c>
      <c r="D254">
        <v>2</v>
      </c>
      <c r="E254">
        <f>MONTH(makulatura3[[#This Row],[Data_dostarczenia]])</f>
        <v>2</v>
      </c>
    </row>
    <row r="255" spans="1:5" x14ac:dyDescent="0.25">
      <c r="A255" s="1">
        <v>42773</v>
      </c>
      <c r="B255" s="2" t="s">
        <v>269</v>
      </c>
      <c r="C255" s="2" t="s">
        <v>270</v>
      </c>
      <c r="D255">
        <v>29</v>
      </c>
      <c r="E255">
        <f>MONTH(makulatura3[[#This Row],[Data_dostarczenia]])</f>
        <v>2</v>
      </c>
    </row>
    <row r="256" spans="1:5" x14ac:dyDescent="0.25">
      <c r="A256" s="1">
        <v>42773</v>
      </c>
      <c r="B256" s="2" t="s">
        <v>310</v>
      </c>
      <c r="C256" s="2" t="s">
        <v>311</v>
      </c>
      <c r="D256">
        <v>54</v>
      </c>
      <c r="E256">
        <f>MONTH(makulatura3[[#This Row],[Data_dostarczenia]])</f>
        <v>2</v>
      </c>
    </row>
    <row r="257" spans="1:5" x14ac:dyDescent="0.25">
      <c r="A257" s="1">
        <v>42773</v>
      </c>
      <c r="B257" s="2" t="s">
        <v>312</v>
      </c>
      <c r="C257" s="2" t="s">
        <v>88</v>
      </c>
      <c r="D257">
        <v>4</v>
      </c>
      <c r="E257">
        <f>MONTH(makulatura3[[#This Row],[Data_dostarczenia]])</f>
        <v>2</v>
      </c>
    </row>
    <row r="258" spans="1:5" x14ac:dyDescent="0.25">
      <c r="A258" s="1">
        <v>42773</v>
      </c>
      <c r="B258" s="2" t="s">
        <v>150</v>
      </c>
      <c r="C258" s="2" t="s">
        <v>313</v>
      </c>
      <c r="D258">
        <v>29</v>
      </c>
      <c r="E258">
        <f>MONTH(makulatura3[[#This Row],[Data_dostarczenia]])</f>
        <v>2</v>
      </c>
    </row>
    <row r="259" spans="1:5" x14ac:dyDescent="0.25">
      <c r="A259" s="1">
        <v>42773</v>
      </c>
      <c r="B259" s="2" t="s">
        <v>314</v>
      </c>
      <c r="C259" s="2" t="s">
        <v>315</v>
      </c>
      <c r="D259">
        <v>22</v>
      </c>
      <c r="E259">
        <f>MONTH(makulatura3[[#This Row],[Data_dostarczenia]])</f>
        <v>2</v>
      </c>
    </row>
    <row r="260" spans="1:5" x14ac:dyDescent="0.25">
      <c r="A260" s="1">
        <v>42773</v>
      </c>
      <c r="B260" s="2" t="s">
        <v>150</v>
      </c>
      <c r="C260" s="2" t="s">
        <v>313</v>
      </c>
      <c r="D260">
        <v>6</v>
      </c>
      <c r="E260">
        <f>MONTH(makulatura3[[#This Row],[Data_dostarczenia]])</f>
        <v>2</v>
      </c>
    </row>
    <row r="261" spans="1:5" x14ac:dyDescent="0.25">
      <c r="A261" s="1">
        <v>42773</v>
      </c>
      <c r="B261" s="2" t="s">
        <v>169</v>
      </c>
      <c r="C261" s="2" t="s">
        <v>170</v>
      </c>
      <c r="D261">
        <v>7</v>
      </c>
      <c r="E261">
        <f>MONTH(makulatura3[[#This Row],[Data_dostarczenia]])</f>
        <v>2</v>
      </c>
    </row>
    <row r="262" spans="1:5" x14ac:dyDescent="0.25">
      <c r="A262" s="1">
        <v>42773</v>
      </c>
      <c r="B262" s="2" t="s">
        <v>133</v>
      </c>
      <c r="C262" s="2" t="s">
        <v>316</v>
      </c>
      <c r="D262">
        <v>21</v>
      </c>
      <c r="E262">
        <f>MONTH(makulatura3[[#This Row],[Data_dostarczenia]])</f>
        <v>2</v>
      </c>
    </row>
    <row r="263" spans="1:5" x14ac:dyDescent="0.25">
      <c r="A263" s="1">
        <v>42773</v>
      </c>
      <c r="B263" s="2" t="s">
        <v>39</v>
      </c>
      <c r="C263" s="2" t="s">
        <v>164</v>
      </c>
      <c r="D263">
        <v>19</v>
      </c>
      <c r="E263">
        <f>MONTH(makulatura3[[#This Row],[Data_dostarczenia]])</f>
        <v>2</v>
      </c>
    </row>
    <row r="264" spans="1:5" x14ac:dyDescent="0.25">
      <c r="A264" s="1">
        <v>42773</v>
      </c>
      <c r="B264" s="2" t="s">
        <v>317</v>
      </c>
      <c r="C264" s="2" t="s">
        <v>318</v>
      </c>
      <c r="D264">
        <v>8</v>
      </c>
      <c r="E264">
        <f>MONTH(makulatura3[[#This Row],[Data_dostarczenia]])</f>
        <v>2</v>
      </c>
    </row>
    <row r="265" spans="1:5" x14ac:dyDescent="0.25">
      <c r="A265" s="1">
        <v>42773</v>
      </c>
      <c r="B265" s="2" t="s">
        <v>39</v>
      </c>
      <c r="C265" s="2" t="s">
        <v>40</v>
      </c>
      <c r="D265">
        <v>2</v>
      </c>
      <c r="E265">
        <f>MONTH(makulatura3[[#This Row],[Data_dostarczenia]])</f>
        <v>2</v>
      </c>
    </row>
    <row r="266" spans="1:5" x14ac:dyDescent="0.25">
      <c r="A266" s="1">
        <v>42774</v>
      </c>
      <c r="B266" s="2" t="s">
        <v>267</v>
      </c>
      <c r="C266" s="2" t="s">
        <v>287</v>
      </c>
      <c r="D266">
        <v>45</v>
      </c>
      <c r="E266">
        <f>MONTH(makulatura3[[#This Row],[Data_dostarczenia]])</f>
        <v>2</v>
      </c>
    </row>
    <row r="267" spans="1:5" x14ac:dyDescent="0.25">
      <c r="A267" s="1">
        <v>42774</v>
      </c>
      <c r="B267" s="2" t="s">
        <v>152</v>
      </c>
      <c r="C267" s="2" t="s">
        <v>319</v>
      </c>
      <c r="D267">
        <v>3</v>
      </c>
      <c r="E267">
        <f>MONTH(makulatura3[[#This Row],[Data_dostarczenia]])</f>
        <v>2</v>
      </c>
    </row>
    <row r="268" spans="1:5" x14ac:dyDescent="0.25">
      <c r="A268" s="1">
        <v>42774</v>
      </c>
      <c r="B268" s="2" t="s">
        <v>320</v>
      </c>
      <c r="C268" s="2" t="s">
        <v>321</v>
      </c>
      <c r="D268">
        <v>36</v>
      </c>
      <c r="E268">
        <f>MONTH(makulatura3[[#This Row],[Data_dostarczenia]])</f>
        <v>2</v>
      </c>
    </row>
    <row r="269" spans="1:5" x14ac:dyDescent="0.25">
      <c r="A269" s="1">
        <v>42774</v>
      </c>
      <c r="B269" s="2" t="s">
        <v>152</v>
      </c>
      <c r="C269" s="2" t="s">
        <v>319</v>
      </c>
      <c r="D269">
        <v>9</v>
      </c>
      <c r="E269">
        <f>MONTH(makulatura3[[#This Row],[Data_dostarczenia]])</f>
        <v>2</v>
      </c>
    </row>
    <row r="270" spans="1:5" x14ac:dyDescent="0.25">
      <c r="A270" s="1">
        <v>42774</v>
      </c>
      <c r="B270" s="2" t="s">
        <v>8</v>
      </c>
      <c r="C270" s="2" t="s">
        <v>322</v>
      </c>
      <c r="D270">
        <v>24</v>
      </c>
      <c r="E270">
        <f>MONTH(makulatura3[[#This Row],[Data_dostarczenia]])</f>
        <v>2</v>
      </c>
    </row>
    <row r="271" spans="1:5" x14ac:dyDescent="0.25">
      <c r="A271" s="1">
        <v>42774</v>
      </c>
      <c r="B271" s="2" t="s">
        <v>51</v>
      </c>
      <c r="C271" s="2" t="s">
        <v>52</v>
      </c>
      <c r="D271">
        <v>5</v>
      </c>
      <c r="E271">
        <f>MONTH(makulatura3[[#This Row],[Data_dostarczenia]])</f>
        <v>2</v>
      </c>
    </row>
    <row r="272" spans="1:5" x14ac:dyDescent="0.25">
      <c r="A272" s="1">
        <v>42774</v>
      </c>
      <c r="B272" s="2" t="s">
        <v>323</v>
      </c>
      <c r="C272" s="2" t="s">
        <v>324</v>
      </c>
      <c r="D272">
        <v>22</v>
      </c>
      <c r="E272">
        <f>MONTH(makulatura3[[#This Row],[Data_dostarczenia]])</f>
        <v>2</v>
      </c>
    </row>
    <row r="273" spans="1:5" x14ac:dyDescent="0.25">
      <c r="A273" s="1">
        <v>42774</v>
      </c>
      <c r="B273" s="2" t="s">
        <v>307</v>
      </c>
      <c r="C273" s="2" t="s">
        <v>325</v>
      </c>
      <c r="D273">
        <v>9</v>
      </c>
      <c r="E273">
        <f>MONTH(makulatura3[[#This Row],[Data_dostarczenia]])</f>
        <v>2</v>
      </c>
    </row>
    <row r="274" spans="1:5" x14ac:dyDescent="0.25">
      <c r="A274" s="1">
        <v>42774</v>
      </c>
      <c r="B274" s="2" t="s">
        <v>55</v>
      </c>
      <c r="C274" s="2" t="s">
        <v>326</v>
      </c>
      <c r="D274">
        <v>6</v>
      </c>
      <c r="E274">
        <f>MONTH(makulatura3[[#This Row],[Data_dostarczenia]])</f>
        <v>2</v>
      </c>
    </row>
    <row r="275" spans="1:5" x14ac:dyDescent="0.25">
      <c r="A275" s="1">
        <v>42774</v>
      </c>
      <c r="B275" s="2" t="s">
        <v>327</v>
      </c>
      <c r="C275" s="2" t="s">
        <v>102</v>
      </c>
      <c r="D275">
        <v>9</v>
      </c>
      <c r="E275">
        <f>MONTH(makulatura3[[#This Row],[Data_dostarczenia]])</f>
        <v>2</v>
      </c>
    </row>
    <row r="276" spans="1:5" x14ac:dyDescent="0.25">
      <c r="A276" s="1">
        <v>42774</v>
      </c>
      <c r="B276" s="2" t="s">
        <v>133</v>
      </c>
      <c r="C276" s="2" t="s">
        <v>328</v>
      </c>
      <c r="D276">
        <v>19</v>
      </c>
      <c r="E276">
        <f>MONTH(makulatura3[[#This Row],[Data_dostarczenia]])</f>
        <v>2</v>
      </c>
    </row>
    <row r="277" spans="1:5" x14ac:dyDescent="0.25">
      <c r="A277" s="1">
        <v>42775</v>
      </c>
      <c r="B277" s="2" t="s">
        <v>329</v>
      </c>
      <c r="C277" s="2" t="s">
        <v>330</v>
      </c>
      <c r="D277">
        <v>14</v>
      </c>
      <c r="E277">
        <f>MONTH(makulatura3[[#This Row],[Data_dostarczenia]])</f>
        <v>2</v>
      </c>
    </row>
    <row r="278" spans="1:5" x14ac:dyDescent="0.25">
      <c r="A278" s="1">
        <v>42775</v>
      </c>
      <c r="B278" s="2" t="s">
        <v>331</v>
      </c>
      <c r="C278" s="2" t="s">
        <v>26</v>
      </c>
      <c r="D278">
        <v>44</v>
      </c>
      <c r="E278">
        <f>MONTH(makulatura3[[#This Row],[Data_dostarczenia]])</f>
        <v>2</v>
      </c>
    </row>
    <row r="279" spans="1:5" x14ac:dyDescent="0.25">
      <c r="A279" s="1">
        <v>42775</v>
      </c>
      <c r="B279" s="2" t="s">
        <v>206</v>
      </c>
      <c r="C279" s="2" t="s">
        <v>332</v>
      </c>
      <c r="D279">
        <v>38</v>
      </c>
      <c r="E279">
        <f>MONTH(makulatura3[[#This Row],[Data_dostarczenia]])</f>
        <v>2</v>
      </c>
    </row>
    <row r="280" spans="1:5" x14ac:dyDescent="0.25">
      <c r="A280" s="1">
        <v>42775</v>
      </c>
      <c r="B280" s="2" t="s">
        <v>178</v>
      </c>
      <c r="C280" s="2" t="s">
        <v>333</v>
      </c>
      <c r="D280">
        <v>18</v>
      </c>
      <c r="E280">
        <f>MONTH(makulatura3[[#This Row],[Data_dostarczenia]])</f>
        <v>2</v>
      </c>
    </row>
    <row r="281" spans="1:5" x14ac:dyDescent="0.25">
      <c r="A281" s="1">
        <v>42775</v>
      </c>
      <c r="B281" s="2" t="s">
        <v>47</v>
      </c>
      <c r="C281" s="2" t="s">
        <v>256</v>
      </c>
      <c r="D281">
        <v>51</v>
      </c>
      <c r="E281">
        <f>MONTH(makulatura3[[#This Row],[Data_dostarczenia]])</f>
        <v>2</v>
      </c>
    </row>
    <row r="282" spans="1:5" x14ac:dyDescent="0.25">
      <c r="A282" s="1">
        <v>42775</v>
      </c>
      <c r="B282" s="2" t="s">
        <v>47</v>
      </c>
      <c r="C282" s="2" t="s">
        <v>334</v>
      </c>
      <c r="D282">
        <v>10</v>
      </c>
      <c r="E282">
        <f>MONTH(makulatura3[[#This Row],[Data_dostarczenia]])</f>
        <v>2</v>
      </c>
    </row>
    <row r="283" spans="1:5" x14ac:dyDescent="0.25">
      <c r="A283" s="1">
        <v>42775</v>
      </c>
      <c r="B283" s="2" t="s">
        <v>178</v>
      </c>
      <c r="C283" s="2" t="s">
        <v>335</v>
      </c>
      <c r="D283">
        <v>47</v>
      </c>
      <c r="E283">
        <f>MONTH(makulatura3[[#This Row],[Data_dostarczenia]])</f>
        <v>2</v>
      </c>
    </row>
    <row r="284" spans="1:5" x14ac:dyDescent="0.25">
      <c r="A284" s="1">
        <v>42775</v>
      </c>
      <c r="B284" s="2" t="s">
        <v>47</v>
      </c>
      <c r="C284" s="2" t="s">
        <v>336</v>
      </c>
      <c r="D284">
        <v>54</v>
      </c>
      <c r="E284">
        <f>MONTH(makulatura3[[#This Row],[Data_dostarczenia]])</f>
        <v>2</v>
      </c>
    </row>
    <row r="285" spans="1:5" x14ac:dyDescent="0.25">
      <c r="A285" s="1">
        <v>42775</v>
      </c>
      <c r="B285" s="2" t="s">
        <v>87</v>
      </c>
      <c r="C285" s="2" t="s">
        <v>88</v>
      </c>
      <c r="D285">
        <v>32</v>
      </c>
      <c r="E285">
        <f>MONTH(makulatura3[[#This Row],[Data_dostarczenia]])</f>
        <v>2</v>
      </c>
    </row>
    <row r="286" spans="1:5" x14ac:dyDescent="0.25">
      <c r="A286" s="1">
        <v>42775</v>
      </c>
      <c r="B286" s="2" t="s">
        <v>248</v>
      </c>
      <c r="C286" s="2" t="s">
        <v>337</v>
      </c>
      <c r="D286">
        <v>16</v>
      </c>
      <c r="E286">
        <f>MONTH(makulatura3[[#This Row],[Data_dostarczenia]])</f>
        <v>2</v>
      </c>
    </row>
    <row r="287" spans="1:5" x14ac:dyDescent="0.25">
      <c r="A287" s="1">
        <v>42775</v>
      </c>
      <c r="B287" s="2" t="s">
        <v>34</v>
      </c>
      <c r="C287" s="2" t="s">
        <v>338</v>
      </c>
      <c r="D287">
        <v>18</v>
      </c>
      <c r="E287">
        <f>MONTH(makulatura3[[#This Row],[Data_dostarczenia]])</f>
        <v>2</v>
      </c>
    </row>
    <row r="288" spans="1:5" x14ac:dyDescent="0.25">
      <c r="A288" s="1">
        <v>42776</v>
      </c>
      <c r="B288" s="2" t="s">
        <v>339</v>
      </c>
      <c r="C288" s="2" t="s">
        <v>340</v>
      </c>
      <c r="D288">
        <v>38</v>
      </c>
      <c r="E288">
        <f>MONTH(makulatura3[[#This Row],[Data_dostarczenia]])</f>
        <v>2</v>
      </c>
    </row>
    <row r="289" spans="1:5" x14ac:dyDescent="0.25">
      <c r="A289" s="1">
        <v>42776</v>
      </c>
      <c r="B289" s="2" t="s">
        <v>341</v>
      </c>
      <c r="C289" s="2" t="s">
        <v>342</v>
      </c>
      <c r="D289">
        <v>7</v>
      </c>
      <c r="E289">
        <f>MONTH(makulatura3[[#This Row],[Data_dostarczenia]])</f>
        <v>2</v>
      </c>
    </row>
    <row r="290" spans="1:5" x14ac:dyDescent="0.25">
      <c r="A290" s="1">
        <v>42776</v>
      </c>
      <c r="B290" s="2" t="s">
        <v>343</v>
      </c>
      <c r="C290" s="2" t="s">
        <v>344</v>
      </c>
      <c r="D290">
        <v>16</v>
      </c>
      <c r="E290">
        <f>MONTH(makulatura3[[#This Row],[Data_dostarczenia]])</f>
        <v>2</v>
      </c>
    </row>
    <row r="291" spans="1:5" x14ac:dyDescent="0.25">
      <c r="A291" s="1">
        <v>42776</v>
      </c>
      <c r="B291" s="2" t="s">
        <v>161</v>
      </c>
      <c r="C291" s="2" t="s">
        <v>345</v>
      </c>
      <c r="D291">
        <v>42</v>
      </c>
      <c r="E291">
        <f>MONTH(makulatura3[[#This Row],[Data_dostarczenia]])</f>
        <v>2</v>
      </c>
    </row>
    <row r="292" spans="1:5" x14ac:dyDescent="0.25">
      <c r="A292" s="1">
        <v>42776</v>
      </c>
      <c r="B292" s="2" t="s">
        <v>346</v>
      </c>
      <c r="C292" s="2" t="s">
        <v>347</v>
      </c>
      <c r="D292">
        <v>27</v>
      </c>
      <c r="E292">
        <f>MONTH(makulatura3[[#This Row],[Data_dostarczenia]])</f>
        <v>2</v>
      </c>
    </row>
    <row r="293" spans="1:5" x14ac:dyDescent="0.25">
      <c r="A293" s="1">
        <v>42776</v>
      </c>
      <c r="B293" s="2" t="s">
        <v>30</v>
      </c>
      <c r="C293" s="2" t="s">
        <v>185</v>
      </c>
      <c r="D293">
        <v>19</v>
      </c>
      <c r="E293">
        <f>MONTH(makulatura3[[#This Row],[Data_dostarczenia]])</f>
        <v>2</v>
      </c>
    </row>
    <row r="294" spans="1:5" x14ac:dyDescent="0.25">
      <c r="A294" s="1">
        <v>42776</v>
      </c>
      <c r="B294" s="2" t="s">
        <v>267</v>
      </c>
      <c r="C294" s="2" t="s">
        <v>268</v>
      </c>
      <c r="D294">
        <v>37</v>
      </c>
      <c r="E294">
        <f>MONTH(makulatura3[[#This Row],[Data_dostarczenia]])</f>
        <v>2</v>
      </c>
    </row>
    <row r="295" spans="1:5" x14ac:dyDescent="0.25">
      <c r="A295" s="1">
        <v>42776</v>
      </c>
      <c r="B295" s="2" t="s">
        <v>221</v>
      </c>
      <c r="C295" s="2" t="s">
        <v>348</v>
      </c>
      <c r="D295">
        <v>49</v>
      </c>
      <c r="E295">
        <f>MONTH(makulatura3[[#This Row],[Data_dostarczenia]])</f>
        <v>2</v>
      </c>
    </row>
    <row r="296" spans="1:5" x14ac:dyDescent="0.25">
      <c r="A296" s="1">
        <v>42776</v>
      </c>
      <c r="B296" s="2" t="s">
        <v>119</v>
      </c>
      <c r="C296" s="2" t="s">
        <v>349</v>
      </c>
      <c r="D296">
        <v>38</v>
      </c>
      <c r="E296">
        <f>MONTH(makulatura3[[#This Row],[Data_dostarczenia]])</f>
        <v>2</v>
      </c>
    </row>
    <row r="297" spans="1:5" x14ac:dyDescent="0.25">
      <c r="A297" s="1">
        <v>42776</v>
      </c>
      <c r="B297" s="2" t="s">
        <v>79</v>
      </c>
      <c r="C297" s="2" t="s">
        <v>80</v>
      </c>
      <c r="D297">
        <v>8</v>
      </c>
      <c r="E297">
        <f>MONTH(makulatura3[[#This Row],[Data_dostarczenia]])</f>
        <v>2</v>
      </c>
    </row>
    <row r="298" spans="1:5" x14ac:dyDescent="0.25">
      <c r="A298" s="1">
        <v>42776</v>
      </c>
      <c r="B298" s="2" t="s">
        <v>106</v>
      </c>
      <c r="C298" s="2" t="s">
        <v>240</v>
      </c>
      <c r="D298">
        <v>9</v>
      </c>
      <c r="E298">
        <f>MONTH(makulatura3[[#This Row],[Data_dostarczenia]])</f>
        <v>2</v>
      </c>
    </row>
    <row r="299" spans="1:5" x14ac:dyDescent="0.25">
      <c r="A299" s="1">
        <v>42779</v>
      </c>
      <c r="B299" s="2" t="s">
        <v>278</v>
      </c>
      <c r="C299" s="2" t="s">
        <v>279</v>
      </c>
      <c r="D299">
        <v>48</v>
      </c>
      <c r="E299">
        <f>MONTH(makulatura3[[#This Row],[Data_dostarczenia]])</f>
        <v>2</v>
      </c>
    </row>
    <row r="300" spans="1:5" x14ac:dyDescent="0.25">
      <c r="A300" s="1">
        <v>42779</v>
      </c>
      <c r="B300" s="2" t="s">
        <v>280</v>
      </c>
      <c r="C300" s="2" t="s">
        <v>281</v>
      </c>
      <c r="D300">
        <v>19</v>
      </c>
      <c r="E300">
        <f>MONTH(makulatura3[[#This Row],[Data_dostarczenia]])</f>
        <v>2</v>
      </c>
    </row>
    <row r="301" spans="1:5" x14ac:dyDescent="0.25">
      <c r="A301" s="1">
        <v>42779</v>
      </c>
      <c r="B301" s="2" t="s">
        <v>97</v>
      </c>
      <c r="C301" s="2" t="s">
        <v>5</v>
      </c>
      <c r="D301">
        <v>5</v>
      </c>
      <c r="E301">
        <f>MONTH(makulatura3[[#This Row],[Data_dostarczenia]])</f>
        <v>2</v>
      </c>
    </row>
    <row r="302" spans="1:5" x14ac:dyDescent="0.25">
      <c r="A302" s="1">
        <v>42779</v>
      </c>
      <c r="B302" s="2" t="s">
        <v>83</v>
      </c>
      <c r="C302" s="2" t="s">
        <v>350</v>
      </c>
      <c r="D302">
        <v>25</v>
      </c>
      <c r="E302">
        <f>MONTH(makulatura3[[#This Row],[Data_dostarczenia]])</f>
        <v>2</v>
      </c>
    </row>
    <row r="303" spans="1:5" x14ac:dyDescent="0.25">
      <c r="A303" s="1">
        <v>42779</v>
      </c>
      <c r="B303" s="2" t="s">
        <v>248</v>
      </c>
      <c r="C303" s="2" t="s">
        <v>249</v>
      </c>
      <c r="D303">
        <v>21</v>
      </c>
      <c r="E303">
        <f>MONTH(makulatura3[[#This Row],[Data_dostarczenia]])</f>
        <v>2</v>
      </c>
    </row>
    <row r="304" spans="1:5" x14ac:dyDescent="0.25">
      <c r="A304" s="1">
        <v>42779</v>
      </c>
      <c r="B304" s="2" t="s">
        <v>351</v>
      </c>
      <c r="C304" s="2" t="s">
        <v>227</v>
      </c>
      <c r="D304">
        <v>6</v>
      </c>
      <c r="E304">
        <f>MONTH(makulatura3[[#This Row],[Data_dostarczenia]])</f>
        <v>2</v>
      </c>
    </row>
    <row r="305" spans="1:5" x14ac:dyDescent="0.25">
      <c r="A305" s="1">
        <v>42779</v>
      </c>
      <c r="B305" s="2" t="s">
        <v>133</v>
      </c>
      <c r="C305" s="2" t="s">
        <v>288</v>
      </c>
      <c r="D305">
        <v>4</v>
      </c>
      <c r="E305">
        <f>MONTH(makulatura3[[#This Row],[Data_dostarczenia]])</f>
        <v>2</v>
      </c>
    </row>
    <row r="306" spans="1:5" x14ac:dyDescent="0.25">
      <c r="A306" s="1">
        <v>42779</v>
      </c>
      <c r="B306" s="2" t="s">
        <v>352</v>
      </c>
      <c r="C306" s="2" t="s">
        <v>227</v>
      </c>
      <c r="D306">
        <v>9</v>
      </c>
      <c r="E306">
        <f>MONTH(makulatura3[[#This Row],[Data_dostarczenia]])</f>
        <v>2</v>
      </c>
    </row>
    <row r="307" spans="1:5" x14ac:dyDescent="0.25">
      <c r="A307" s="1">
        <v>42779</v>
      </c>
      <c r="B307" s="2" t="s">
        <v>81</v>
      </c>
      <c r="C307" s="2" t="s">
        <v>82</v>
      </c>
      <c r="D307">
        <v>10</v>
      </c>
      <c r="E307">
        <f>MONTH(makulatura3[[#This Row],[Data_dostarczenia]])</f>
        <v>2</v>
      </c>
    </row>
    <row r="308" spans="1:5" x14ac:dyDescent="0.25">
      <c r="A308" s="1">
        <v>42779</v>
      </c>
      <c r="B308" s="2" t="s">
        <v>133</v>
      </c>
      <c r="C308" s="2" t="s">
        <v>316</v>
      </c>
      <c r="D308">
        <v>26</v>
      </c>
      <c r="E308">
        <f>MONTH(makulatura3[[#This Row],[Data_dostarczenia]])</f>
        <v>2</v>
      </c>
    </row>
    <row r="309" spans="1:5" x14ac:dyDescent="0.25">
      <c r="A309" s="1">
        <v>42779</v>
      </c>
      <c r="B309" s="2" t="s">
        <v>30</v>
      </c>
      <c r="C309" s="2" t="s">
        <v>185</v>
      </c>
      <c r="D309">
        <v>26</v>
      </c>
      <c r="E309">
        <f>MONTH(makulatura3[[#This Row],[Data_dostarczenia]])</f>
        <v>2</v>
      </c>
    </row>
    <row r="310" spans="1:5" x14ac:dyDescent="0.25">
      <c r="A310" s="1">
        <v>42780</v>
      </c>
      <c r="B310" s="2" t="s">
        <v>69</v>
      </c>
      <c r="C310" s="2" t="s">
        <v>353</v>
      </c>
      <c r="D310">
        <v>42</v>
      </c>
      <c r="E310">
        <f>MONTH(makulatura3[[#This Row],[Data_dostarczenia]])</f>
        <v>2</v>
      </c>
    </row>
    <row r="311" spans="1:5" x14ac:dyDescent="0.25">
      <c r="A311" s="1">
        <v>42780</v>
      </c>
      <c r="B311" s="2" t="s">
        <v>331</v>
      </c>
      <c r="C311" s="2" t="s">
        <v>26</v>
      </c>
      <c r="D311">
        <v>8</v>
      </c>
      <c r="E311">
        <f>MONTH(makulatura3[[#This Row],[Data_dostarczenia]])</f>
        <v>2</v>
      </c>
    </row>
    <row r="312" spans="1:5" x14ac:dyDescent="0.25">
      <c r="A312" s="1">
        <v>42780</v>
      </c>
      <c r="B312" s="2" t="s">
        <v>18</v>
      </c>
      <c r="C312" s="2" t="s">
        <v>354</v>
      </c>
      <c r="D312">
        <v>8</v>
      </c>
      <c r="E312">
        <f>MONTH(makulatura3[[#This Row],[Data_dostarczenia]])</f>
        <v>2</v>
      </c>
    </row>
    <row r="313" spans="1:5" x14ac:dyDescent="0.25">
      <c r="A313" s="1">
        <v>42780</v>
      </c>
      <c r="B313" s="2" t="s">
        <v>355</v>
      </c>
      <c r="C313" s="2" t="s">
        <v>356</v>
      </c>
      <c r="D313">
        <v>45</v>
      </c>
      <c r="E313">
        <f>MONTH(makulatura3[[#This Row],[Data_dostarczenia]])</f>
        <v>2</v>
      </c>
    </row>
    <row r="314" spans="1:5" x14ac:dyDescent="0.25">
      <c r="A314" s="1">
        <v>42780</v>
      </c>
      <c r="B314" s="2" t="s">
        <v>201</v>
      </c>
      <c r="C314" s="2" t="s">
        <v>357</v>
      </c>
      <c r="D314">
        <v>41</v>
      </c>
      <c r="E314">
        <f>MONTH(makulatura3[[#This Row],[Data_dostarczenia]])</f>
        <v>2</v>
      </c>
    </row>
    <row r="315" spans="1:5" x14ac:dyDescent="0.25">
      <c r="A315" s="1">
        <v>42780</v>
      </c>
      <c r="B315" s="2" t="s">
        <v>51</v>
      </c>
      <c r="C315" s="2" t="s">
        <v>358</v>
      </c>
      <c r="D315">
        <v>5</v>
      </c>
      <c r="E315">
        <f>MONTH(makulatura3[[#This Row],[Data_dostarczenia]])</f>
        <v>2</v>
      </c>
    </row>
    <row r="316" spans="1:5" x14ac:dyDescent="0.25">
      <c r="A316" s="1">
        <v>42780</v>
      </c>
      <c r="B316" s="2" t="s">
        <v>359</v>
      </c>
      <c r="C316" s="2" t="s">
        <v>360</v>
      </c>
      <c r="D316">
        <v>54</v>
      </c>
      <c r="E316">
        <f>MONTH(makulatura3[[#This Row],[Data_dostarczenia]])</f>
        <v>2</v>
      </c>
    </row>
    <row r="317" spans="1:5" x14ac:dyDescent="0.25">
      <c r="A317" s="1">
        <v>42780</v>
      </c>
      <c r="B317" s="2" t="s">
        <v>101</v>
      </c>
      <c r="C317" s="2" t="s">
        <v>263</v>
      </c>
      <c r="D317">
        <v>6</v>
      </c>
      <c r="E317">
        <f>MONTH(makulatura3[[#This Row],[Data_dostarczenia]])</f>
        <v>2</v>
      </c>
    </row>
    <row r="318" spans="1:5" x14ac:dyDescent="0.25">
      <c r="A318" s="1">
        <v>42780</v>
      </c>
      <c r="B318" s="2" t="s">
        <v>361</v>
      </c>
      <c r="C318" s="2" t="s">
        <v>362</v>
      </c>
      <c r="D318">
        <v>3</v>
      </c>
      <c r="E318">
        <f>MONTH(makulatura3[[#This Row],[Data_dostarczenia]])</f>
        <v>2</v>
      </c>
    </row>
    <row r="319" spans="1:5" x14ac:dyDescent="0.25">
      <c r="A319" s="1">
        <v>42780</v>
      </c>
      <c r="B319" s="2" t="s">
        <v>97</v>
      </c>
      <c r="C319" s="2" t="s">
        <v>130</v>
      </c>
      <c r="D319">
        <v>49</v>
      </c>
      <c r="E319">
        <f>MONTH(makulatura3[[#This Row],[Data_dostarczenia]])</f>
        <v>2</v>
      </c>
    </row>
    <row r="320" spans="1:5" x14ac:dyDescent="0.25">
      <c r="A320" s="1">
        <v>42780</v>
      </c>
      <c r="B320" s="2" t="s">
        <v>39</v>
      </c>
      <c r="C320" s="2" t="s">
        <v>164</v>
      </c>
      <c r="D320">
        <v>19</v>
      </c>
      <c r="E320">
        <f>MONTH(makulatura3[[#This Row],[Data_dostarczenia]])</f>
        <v>2</v>
      </c>
    </row>
    <row r="321" spans="1:5" x14ac:dyDescent="0.25">
      <c r="A321" s="1">
        <v>42781</v>
      </c>
      <c r="B321" s="2" t="s">
        <v>47</v>
      </c>
      <c r="C321" s="2" t="s">
        <v>230</v>
      </c>
      <c r="D321">
        <v>29</v>
      </c>
      <c r="E321">
        <f>MONTH(makulatura3[[#This Row],[Data_dostarczenia]])</f>
        <v>2</v>
      </c>
    </row>
    <row r="322" spans="1:5" x14ac:dyDescent="0.25">
      <c r="A322" s="1">
        <v>42781</v>
      </c>
      <c r="B322" s="2" t="s">
        <v>352</v>
      </c>
      <c r="C322" s="2" t="s">
        <v>363</v>
      </c>
      <c r="D322">
        <v>14</v>
      </c>
      <c r="E322">
        <f>MONTH(makulatura3[[#This Row],[Data_dostarczenia]])</f>
        <v>2</v>
      </c>
    </row>
    <row r="323" spans="1:5" x14ac:dyDescent="0.25">
      <c r="A323" s="1">
        <v>42781</v>
      </c>
      <c r="B323" s="2" t="s">
        <v>141</v>
      </c>
      <c r="C323" s="2" t="s">
        <v>364</v>
      </c>
      <c r="D323">
        <v>12</v>
      </c>
      <c r="E323">
        <f>MONTH(makulatura3[[#This Row],[Data_dostarczenia]])</f>
        <v>2</v>
      </c>
    </row>
    <row r="324" spans="1:5" x14ac:dyDescent="0.25">
      <c r="A324" s="1">
        <v>42781</v>
      </c>
      <c r="B324" s="2" t="s">
        <v>365</v>
      </c>
      <c r="C324" s="2" t="s">
        <v>366</v>
      </c>
      <c r="D324">
        <v>4</v>
      </c>
      <c r="E324">
        <f>MONTH(makulatura3[[#This Row],[Data_dostarczenia]])</f>
        <v>2</v>
      </c>
    </row>
    <row r="325" spans="1:5" x14ac:dyDescent="0.25">
      <c r="A325" s="1">
        <v>42781</v>
      </c>
      <c r="B325" s="2" t="s">
        <v>178</v>
      </c>
      <c r="C325" s="2" t="s">
        <v>242</v>
      </c>
      <c r="D325">
        <v>14</v>
      </c>
      <c r="E325">
        <f>MONTH(makulatura3[[#This Row],[Data_dostarczenia]])</f>
        <v>2</v>
      </c>
    </row>
    <row r="326" spans="1:5" x14ac:dyDescent="0.25">
      <c r="A326" s="1">
        <v>42781</v>
      </c>
      <c r="B326" s="2" t="s">
        <v>367</v>
      </c>
      <c r="C326" s="2" t="s">
        <v>368</v>
      </c>
      <c r="D326">
        <v>12</v>
      </c>
      <c r="E326">
        <f>MONTH(makulatura3[[#This Row],[Data_dostarczenia]])</f>
        <v>2</v>
      </c>
    </row>
    <row r="327" spans="1:5" x14ac:dyDescent="0.25">
      <c r="A327" s="1">
        <v>42781</v>
      </c>
      <c r="B327" s="2" t="s">
        <v>193</v>
      </c>
      <c r="C327" s="2" t="s">
        <v>369</v>
      </c>
      <c r="D327">
        <v>52</v>
      </c>
      <c r="E327">
        <f>MONTH(makulatura3[[#This Row],[Data_dostarczenia]])</f>
        <v>2</v>
      </c>
    </row>
    <row r="328" spans="1:5" x14ac:dyDescent="0.25">
      <c r="A328" s="1">
        <v>42781</v>
      </c>
      <c r="B328" s="2" t="s">
        <v>203</v>
      </c>
      <c r="C328" s="2" t="s">
        <v>370</v>
      </c>
      <c r="D328">
        <v>9</v>
      </c>
      <c r="E328">
        <f>MONTH(makulatura3[[#This Row],[Data_dostarczenia]])</f>
        <v>2</v>
      </c>
    </row>
    <row r="329" spans="1:5" x14ac:dyDescent="0.25">
      <c r="A329" s="1">
        <v>42781</v>
      </c>
      <c r="B329" s="2" t="s">
        <v>39</v>
      </c>
      <c r="C329" s="2" t="s">
        <v>371</v>
      </c>
      <c r="D329">
        <v>13</v>
      </c>
      <c r="E329">
        <f>MONTH(makulatura3[[#This Row],[Data_dostarczenia]])</f>
        <v>2</v>
      </c>
    </row>
    <row r="330" spans="1:5" x14ac:dyDescent="0.25">
      <c r="A330" s="1">
        <v>42781</v>
      </c>
      <c r="B330" s="2" t="s">
        <v>372</v>
      </c>
      <c r="C330" s="2" t="s">
        <v>373</v>
      </c>
      <c r="D330">
        <v>29</v>
      </c>
      <c r="E330">
        <f>MONTH(makulatura3[[#This Row],[Data_dostarczenia]])</f>
        <v>2</v>
      </c>
    </row>
    <row r="331" spans="1:5" x14ac:dyDescent="0.25">
      <c r="A331" s="1">
        <v>42781</v>
      </c>
      <c r="B331" s="2" t="s">
        <v>374</v>
      </c>
      <c r="C331" s="2" t="s">
        <v>375</v>
      </c>
      <c r="D331">
        <v>18</v>
      </c>
      <c r="E331">
        <f>MONTH(makulatura3[[#This Row],[Data_dostarczenia]])</f>
        <v>2</v>
      </c>
    </row>
    <row r="332" spans="1:5" x14ac:dyDescent="0.25">
      <c r="A332" s="1">
        <v>42782</v>
      </c>
      <c r="B332" s="2" t="s">
        <v>193</v>
      </c>
      <c r="C332" s="2" t="s">
        <v>215</v>
      </c>
      <c r="D332">
        <v>17</v>
      </c>
      <c r="E332">
        <f>MONTH(makulatura3[[#This Row],[Data_dostarczenia]])</f>
        <v>2</v>
      </c>
    </row>
    <row r="333" spans="1:5" x14ac:dyDescent="0.25">
      <c r="A333" s="1">
        <v>42782</v>
      </c>
      <c r="B333" s="2" t="s">
        <v>178</v>
      </c>
      <c r="C333" s="2" t="s">
        <v>376</v>
      </c>
      <c r="D333">
        <v>9</v>
      </c>
      <c r="E333">
        <f>MONTH(makulatura3[[#This Row],[Data_dostarczenia]])</f>
        <v>2</v>
      </c>
    </row>
    <row r="334" spans="1:5" x14ac:dyDescent="0.25">
      <c r="A334" s="1">
        <v>42782</v>
      </c>
      <c r="B334" s="2" t="s">
        <v>83</v>
      </c>
      <c r="C334" s="2" t="s">
        <v>136</v>
      </c>
      <c r="D334">
        <v>20</v>
      </c>
      <c r="E334">
        <f>MONTH(makulatura3[[#This Row],[Data_dostarczenia]])</f>
        <v>2</v>
      </c>
    </row>
    <row r="335" spans="1:5" x14ac:dyDescent="0.25">
      <c r="A335" s="1">
        <v>42782</v>
      </c>
      <c r="B335" s="2" t="s">
        <v>30</v>
      </c>
      <c r="C335" s="2" t="s">
        <v>377</v>
      </c>
      <c r="D335">
        <v>50</v>
      </c>
      <c r="E335">
        <f>MONTH(makulatura3[[#This Row],[Data_dostarczenia]])</f>
        <v>2</v>
      </c>
    </row>
    <row r="336" spans="1:5" x14ac:dyDescent="0.25">
      <c r="A336" s="1">
        <v>42782</v>
      </c>
      <c r="B336" s="2" t="s">
        <v>232</v>
      </c>
      <c r="C336" s="2" t="s">
        <v>378</v>
      </c>
      <c r="D336">
        <v>9</v>
      </c>
      <c r="E336">
        <f>MONTH(makulatura3[[#This Row],[Data_dostarczenia]])</f>
        <v>2</v>
      </c>
    </row>
    <row r="337" spans="1:5" x14ac:dyDescent="0.25">
      <c r="A337" s="1">
        <v>42782</v>
      </c>
      <c r="B337" s="2" t="s">
        <v>83</v>
      </c>
      <c r="C337" s="2" t="s">
        <v>350</v>
      </c>
      <c r="D337">
        <v>4</v>
      </c>
      <c r="E337">
        <f>MONTH(makulatura3[[#This Row],[Data_dostarczenia]])</f>
        <v>2</v>
      </c>
    </row>
    <row r="338" spans="1:5" x14ac:dyDescent="0.25">
      <c r="A338" s="1">
        <v>42782</v>
      </c>
      <c r="B338" s="2" t="s">
        <v>39</v>
      </c>
      <c r="C338" s="2" t="s">
        <v>158</v>
      </c>
      <c r="D338">
        <v>41</v>
      </c>
      <c r="E338">
        <f>MONTH(makulatura3[[#This Row],[Data_dostarczenia]])</f>
        <v>2</v>
      </c>
    </row>
    <row r="339" spans="1:5" x14ac:dyDescent="0.25">
      <c r="A339" s="1">
        <v>42782</v>
      </c>
      <c r="B339" s="2" t="s">
        <v>8</v>
      </c>
      <c r="C339" s="2" t="s">
        <v>322</v>
      </c>
      <c r="D339">
        <v>11</v>
      </c>
      <c r="E339">
        <f>MONTH(makulatura3[[#This Row],[Data_dostarczenia]])</f>
        <v>2</v>
      </c>
    </row>
    <row r="340" spans="1:5" x14ac:dyDescent="0.25">
      <c r="A340" s="1">
        <v>42782</v>
      </c>
      <c r="B340" s="2" t="s">
        <v>152</v>
      </c>
      <c r="C340" s="2" t="s">
        <v>153</v>
      </c>
      <c r="D340">
        <v>22</v>
      </c>
      <c r="E340">
        <f>MONTH(makulatura3[[#This Row],[Data_dostarczenia]])</f>
        <v>2</v>
      </c>
    </row>
    <row r="341" spans="1:5" x14ac:dyDescent="0.25">
      <c r="A341" s="1">
        <v>42782</v>
      </c>
      <c r="B341" s="2" t="s">
        <v>43</v>
      </c>
      <c r="C341" s="2" t="s">
        <v>71</v>
      </c>
      <c r="D341">
        <v>23</v>
      </c>
      <c r="E341">
        <f>MONTH(makulatura3[[#This Row],[Data_dostarczenia]])</f>
        <v>2</v>
      </c>
    </row>
    <row r="342" spans="1:5" x14ac:dyDescent="0.25">
      <c r="A342" s="1">
        <v>42782</v>
      </c>
      <c r="B342" s="2" t="s">
        <v>137</v>
      </c>
      <c r="C342" s="2" t="s">
        <v>379</v>
      </c>
      <c r="D342">
        <v>33</v>
      </c>
      <c r="E342">
        <f>MONTH(makulatura3[[#This Row],[Data_dostarczenia]])</f>
        <v>2</v>
      </c>
    </row>
    <row r="343" spans="1:5" x14ac:dyDescent="0.25">
      <c r="A343" s="1">
        <v>42783</v>
      </c>
      <c r="B343" s="2" t="s">
        <v>97</v>
      </c>
      <c r="C343" s="2" t="s">
        <v>380</v>
      </c>
      <c r="D343">
        <v>14</v>
      </c>
      <c r="E343">
        <f>MONTH(makulatura3[[#This Row],[Data_dostarczenia]])</f>
        <v>2</v>
      </c>
    </row>
    <row r="344" spans="1:5" x14ac:dyDescent="0.25">
      <c r="A344" s="1">
        <v>42783</v>
      </c>
      <c r="B344" s="2" t="s">
        <v>20</v>
      </c>
      <c r="C344" s="2" t="s">
        <v>381</v>
      </c>
      <c r="D344">
        <v>28</v>
      </c>
      <c r="E344">
        <f>MONTH(makulatura3[[#This Row],[Data_dostarczenia]])</f>
        <v>2</v>
      </c>
    </row>
    <row r="345" spans="1:5" x14ac:dyDescent="0.25">
      <c r="A345" s="1">
        <v>42783</v>
      </c>
      <c r="B345" s="2" t="s">
        <v>4</v>
      </c>
      <c r="C345" s="2" t="s">
        <v>382</v>
      </c>
      <c r="D345">
        <v>12</v>
      </c>
      <c r="E345">
        <f>MONTH(makulatura3[[#This Row],[Data_dostarczenia]])</f>
        <v>2</v>
      </c>
    </row>
    <row r="346" spans="1:5" x14ac:dyDescent="0.25">
      <c r="A346" s="1">
        <v>42783</v>
      </c>
      <c r="B346" s="2" t="s">
        <v>155</v>
      </c>
      <c r="C346" s="2" t="s">
        <v>186</v>
      </c>
      <c r="D346">
        <v>55</v>
      </c>
      <c r="E346">
        <f>MONTH(makulatura3[[#This Row],[Data_dostarczenia]])</f>
        <v>2</v>
      </c>
    </row>
    <row r="347" spans="1:5" x14ac:dyDescent="0.25">
      <c r="A347" s="1">
        <v>42783</v>
      </c>
      <c r="B347" s="2" t="s">
        <v>106</v>
      </c>
      <c r="C347" s="2" t="s">
        <v>107</v>
      </c>
      <c r="D347">
        <v>27</v>
      </c>
      <c r="E347">
        <f>MONTH(makulatura3[[#This Row],[Data_dostarczenia]])</f>
        <v>2</v>
      </c>
    </row>
    <row r="348" spans="1:5" x14ac:dyDescent="0.25">
      <c r="A348" s="1">
        <v>42783</v>
      </c>
      <c r="B348" s="2" t="s">
        <v>367</v>
      </c>
      <c r="C348" s="2" t="s">
        <v>5</v>
      </c>
      <c r="D348">
        <v>12</v>
      </c>
      <c r="E348">
        <f>MONTH(makulatura3[[#This Row],[Data_dostarczenia]])</f>
        <v>2</v>
      </c>
    </row>
    <row r="349" spans="1:5" x14ac:dyDescent="0.25">
      <c r="A349" s="1">
        <v>42783</v>
      </c>
      <c r="B349" s="2" t="s">
        <v>128</v>
      </c>
      <c r="C349" s="2" t="s">
        <v>12</v>
      </c>
      <c r="D349">
        <v>50</v>
      </c>
      <c r="E349">
        <f>MONTH(makulatura3[[#This Row],[Data_dostarczenia]])</f>
        <v>2</v>
      </c>
    </row>
    <row r="350" spans="1:5" x14ac:dyDescent="0.25">
      <c r="A350" s="1">
        <v>42783</v>
      </c>
      <c r="B350" s="2" t="s">
        <v>341</v>
      </c>
      <c r="C350" s="2" t="s">
        <v>342</v>
      </c>
      <c r="D350">
        <v>23</v>
      </c>
      <c r="E350">
        <f>MONTH(makulatura3[[#This Row],[Data_dostarczenia]])</f>
        <v>2</v>
      </c>
    </row>
    <row r="351" spans="1:5" x14ac:dyDescent="0.25">
      <c r="A351" s="1">
        <v>42783</v>
      </c>
      <c r="B351" s="2" t="s">
        <v>87</v>
      </c>
      <c r="C351" s="2" t="s">
        <v>383</v>
      </c>
      <c r="D351">
        <v>24</v>
      </c>
      <c r="E351">
        <f>MONTH(makulatura3[[#This Row],[Data_dostarczenia]])</f>
        <v>2</v>
      </c>
    </row>
    <row r="352" spans="1:5" x14ac:dyDescent="0.25">
      <c r="A352" s="1">
        <v>42783</v>
      </c>
      <c r="B352" s="2" t="s">
        <v>77</v>
      </c>
      <c r="C352" s="2" t="s">
        <v>384</v>
      </c>
      <c r="D352">
        <v>29</v>
      </c>
      <c r="E352">
        <f>MONTH(makulatura3[[#This Row],[Data_dostarczenia]])</f>
        <v>2</v>
      </c>
    </row>
    <row r="353" spans="1:5" x14ac:dyDescent="0.25">
      <c r="A353" s="1">
        <v>42783</v>
      </c>
      <c r="B353" s="2" t="s">
        <v>119</v>
      </c>
      <c r="C353" s="2" t="s">
        <v>349</v>
      </c>
      <c r="D353">
        <v>25</v>
      </c>
      <c r="E353">
        <f>MONTH(makulatura3[[#This Row],[Data_dostarczenia]])</f>
        <v>2</v>
      </c>
    </row>
    <row r="354" spans="1:5" x14ac:dyDescent="0.25">
      <c r="A354" s="1">
        <v>42786</v>
      </c>
      <c r="B354" s="2" t="s">
        <v>206</v>
      </c>
      <c r="C354" s="2" t="s">
        <v>385</v>
      </c>
      <c r="D354">
        <v>17</v>
      </c>
      <c r="E354">
        <f>MONTH(makulatura3[[#This Row],[Data_dostarczenia]])</f>
        <v>2</v>
      </c>
    </row>
    <row r="355" spans="1:5" x14ac:dyDescent="0.25">
      <c r="A355" s="1">
        <v>42786</v>
      </c>
      <c r="B355" s="2" t="s">
        <v>4</v>
      </c>
      <c r="C355" s="2" t="s">
        <v>386</v>
      </c>
      <c r="D355">
        <v>5</v>
      </c>
      <c r="E355">
        <f>MONTH(makulatura3[[#This Row],[Data_dostarczenia]])</f>
        <v>2</v>
      </c>
    </row>
    <row r="356" spans="1:5" x14ac:dyDescent="0.25">
      <c r="A356" s="1">
        <v>42786</v>
      </c>
      <c r="B356" s="2" t="s">
        <v>97</v>
      </c>
      <c r="C356" s="2" t="s">
        <v>188</v>
      </c>
      <c r="D356">
        <v>12</v>
      </c>
      <c r="E356">
        <f>MONTH(makulatura3[[#This Row],[Data_dostarczenia]])</f>
        <v>2</v>
      </c>
    </row>
    <row r="357" spans="1:5" x14ac:dyDescent="0.25">
      <c r="A357" s="1">
        <v>42786</v>
      </c>
      <c r="B357" s="2" t="s">
        <v>198</v>
      </c>
      <c r="C357" s="2" t="s">
        <v>199</v>
      </c>
      <c r="D357">
        <v>31</v>
      </c>
      <c r="E357">
        <f>MONTH(makulatura3[[#This Row],[Data_dostarczenia]])</f>
        <v>2</v>
      </c>
    </row>
    <row r="358" spans="1:5" x14ac:dyDescent="0.25">
      <c r="A358" s="1">
        <v>42786</v>
      </c>
      <c r="B358" s="2" t="s">
        <v>30</v>
      </c>
      <c r="C358" s="2" t="s">
        <v>387</v>
      </c>
      <c r="D358">
        <v>7</v>
      </c>
      <c r="E358">
        <f>MONTH(makulatura3[[#This Row],[Data_dostarczenia]])</f>
        <v>2</v>
      </c>
    </row>
    <row r="359" spans="1:5" x14ac:dyDescent="0.25">
      <c r="A359" s="1">
        <v>42786</v>
      </c>
      <c r="B359" s="2" t="s">
        <v>150</v>
      </c>
      <c r="C359" s="2" t="s">
        <v>140</v>
      </c>
      <c r="D359">
        <v>26</v>
      </c>
      <c r="E359">
        <f>MONTH(makulatura3[[#This Row],[Data_dostarczenia]])</f>
        <v>2</v>
      </c>
    </row>
    <row r="360" spans="1:5" x14ac:dyDescent="0.25">
      <c r="A360" s="1">
        <v>42786</v>
      </c>
      <c r="B360" s="2" t="s">
        <v>83</v>
      </c>
      <c r="C360" s="2" t="s">
        <v>91</v>
      </c>
      <c r="D360">
        <v>28</v>
      </c>
      <c r="E360">
        <f>MONTH(makulatura3[[#This Row],[Data_dostarczenia]])</f>
        <v>2</v>
      </c>
    </row>
    <row r="361" spans="1:5" x14ac:dyDescent="0.25">
      <c r="A361" s="1">
        <v>42786</v>
      </c>
      <c r="B361" s="2" t="s">
        <v>45</v>
      </c>
      <c r="C361" s="2" t="s">
        <v>46</v>
      </c>
      <c r="D361">
        <v>19</v>
      </c>
      <c r="E361">
        <f>MONTH(makulatura3[[#This Row],[Data_dostarczenia]])</f>
        <v>2</v>
      </c>
    </row>
    <row r="362" spans="1:5" x14ac:dyDescent="0.25">
      <c r="A362" s="1">
        <v>42786</v>
      </c>
      <c r="B362" s="2" t="s">
        <v>8</v>
      </c>
      <c r="C362" s="2" t="s">
        <v>322</v>
      </c>
      <c r="D362">
        <v>3</v>
      </c>
      <c r="E362">
        <f>MONTH(makulatura3[[#This Row],[Data_dostarczenia]])</f>
        <v>2</v>
      </c>
    </row>
    <row r="363" spans="1:5" x14ac:dyDescent="0.25">
      <c r="A363" s="1">
        <v>42786</v>
      </c>
      <c r="B363" s="2" t="s">
        <v>69</v>
      </c>
      <c r="C363" s="2" t="s">
        <v>108</v>
      </c>
      <c r="D363">
        <v>12</v>
      </c>
      <c r="E363">
        <f>MONTH(makulatura3[[#This Row],[Data_dostarczenia]])</f>
        <v>2</v>
      </c>
    </row>
    <row r="364" spans="1:5" x14ac:dyDescent="0.25">
      <c r="A364" s="1">
        <v>42786</v>
      </c>
      <c r="B364" s="2" t="s">
        <v>45</v>
      </c>
      <c r="C364" s="2" t="s">
        <v>388</v>
      </c>
      <c r="D364">
        <v>11</v>
      </c>
      <c r="E364">
        <f>MONTH(makulatura3[[#This Row],[Data_dostarczenia]])</f>
        <v>2</v>
      </c>
    </row>
    <row r="365" spans="1:5" x14ac:dyDescent="0.25">
      <c r="A365" s="1">
        <v>42787</v>
      </c>
      <c r="B365" s="2" t="s">
        <v>280</v>
      </c>
      <c r="C365" s="2" t="s">
        <v>281</v>
      </c>
      <c r="D365">
        <v>29</v>
      </c>
      <c r="E365">
        <f>MONTH(makulatura3[[#This Row],[Data_dostarczenia]])</f>
        <v>2</v>
      </c>
    </row>
    <row r="366" spans="1:5" x14ac:dyDescent="0.25">
      <c r="A366" s="1">
        <v>42787</v>
      </c>
      <c r="B366" s="2" t="s">
        <v>53</v>
      </c>
      <c r="C366" s="2" t="s">
        <v>389</v>
      </c>
      <c r="D366">
        <v>4</v>
      </c>
      <c r="E366">
        <f>MONTH(makulatura3[[#This Row],[Data_dostarczenia]])</f>
        <v>2</v>
      </c>
    </row>
    <row r="367" spans="1:5" x14ac:dyDescent="0.25">
      <c r="A367" s="1">
        <v>42787</v>
      </c>
      <c r="B367" s="2" t="s">
        <v>144</v>
      </c>
      <c r="C367" s="2" t="s">
        <v>390</v>
      </c>
      <c r="D367">
        <v>2</v>
      </c>
      <c r="E367">
        <f>MONTH(makulatura3[[#This Row],[Data_dostarczenia]])</f>
        <v>2</v>
      </c>
    </row>
    <row r="368" spans="1:5" x14ac:dyDescent="0.25">
      <c r="A368" s="1">
        <v>42787</v>
      </c>
      <c r="B368" s="2" t="s">
        <v>39</v>
      </c>
      <c r="C368" s="2" t="s">
        <v>391</v>
      </c>
      <c r="D368">
        <v>45</v>
      </c>
      <c r="E368">
        <f>MONTH(makulatura3[[#This Row],[Data_dostarczenia]])</f>
        <v>2</v>
      </c>
    </row>
    <row r="369" spans="1:5" x14ac:dyDescent="0.25">
      <c r="A369" s="1">
        <v>42787</v>
      </c>
      <c r="B369" s="2" t="s">
        <v>18</v>
      </c>
      <c r="C369" s="2" t="s">
        <v>392</v>
      </c>
      <c r="D369">
        <v>46</v>
      </c>
      <c r="E369">
        <f>MONTH(makulatura3[[#This Row],[Data_dostarczenia]])</f>
        <v>2</v>
      </c>
    </row>
    <row r="370" spans="1:5" x14ac:dyDescent="0.25">
      <c r="A370" s="1">
        <v>42787</v>
      </c>
      <c r="B370" s="2" t="s">
        <v>393</v>
      </c>
      <c r="C370" s="2" t="s">
        <v>394</v>
      </c>
      <c r="D370">
        <v>21</v>
      </c>
      <c r="E370">
        <f>MONTH(makulatura3[[#This Row],[Data_dostarczenia]])</f>
        <v>2</v>
      </c>
    </row>
    <row r="371" spans="1:5" x14ac:dyDescent="0.25">
      <c r="A371" s="1">
        <v>42787</v>
      </c>
      <c r="B371" s="2" t="s">
        <v>395</v>
      </c>
      <c r="C371" s="2" t="s">
        <v>396</v>
      </c>
      <c r="D371">
        <v>24</v>
      </c>
      <c r="E371">
        <f>MONTH(makulatura3[[#This Row],[Data_dostarczenia]])</f>
        <v>2</v>
      </c>
    </row>
    <row r="372" spans="1:5" x14ac:dyDescent="0.25">
      <c r="A372" s="1">
        <v>42787</v>
      </c>
      <c r="B372" s="2" t="s">
        <v>87</v>
      </c>
      <c r="C372" s="2" t="s">
        <v>397</v>
      </c>
      <c r="D372">
        <v>53</v>
      </c>
      <c r="E372">
        <f>MONTH(makulatura3[[#This Row],[Data_dostarczenia]])</f>
        <v>2</v>
      </c>
    </row>
    <row r="373" spans="1:5" x14ac:dyDescent="0.25">
      <c r="A373" s="1">
        <v>42787</v>
      </c>
      <c r="B373" s="2" t="s">
        <v>393</v>
      </c>
      <c r="C373" s="2" t="s">
        <v>398</v>
      </c>
      <c r="D373">
        <v>45</v>
      </c>
      <c r="E373">
        <f>MONTH(makulatura3[[#This Row],[Data_dostarczenia]])</f>
        <v>2</v>
      </c>
    </row>
    <row r="374" spans="1:5" x14ac:dyDescent="0.25">
      <c r="A374" s="1">
        <v>42787</v>
      </c>
      <c r="B374" s="2" t="s">
        <v>57</v>
      </c>
      <c r="C374" s="2" t="s">
        <v>399</v>
      </c>
      <c r="D374">
        <v>56</v>
      </c>
      <c r="E374">
        <f>MONTH(makulatura3[[#This Row],[Data_dostarczenia]])</f>
        <v>2</v>
      </c>
    </row>
    <row r="375" spans="1:5" x14ac:dyDescent="0.25">
      <c r="A375" s="1">
        <v>42787</v>
      </c>
      <c r="B375" s="2" t="s">
        <v>97</v>
      </c>
      <c r="C375" s="2" t="s">
        <v>181</v>
      </c>
      <c r="D375">
        <v>28</v>
      </c>
      <c r="E375">
        <f>MONTH(makulatura3[[#This Row],[Data_dostarczenia]])</f>
        <v>2</v>
      </c>
    </row>
    <row r="376" spans="1:5" x14ac:dyDescent="0.25">
      <c r="A376" s="1">
        <v>42788</v>
      </c>
      <c r="B376" s="2" t="s">
        <v>144</v>
      </c>
      <c r="C376" s="2" t="s">
        <v>390</v>
      </c>
      <c r="D376">
        <v>45</v>
      </c>
      <c r="E376">
        <f>MONTH(makulatura3[[#This Row],[Data_dostarczenia]])</f>
        <v>2</v>
      </c>
    </row>
    <row r="377" spans="1:5" x14ac:dyDescent="0.25">
      <c r="A377" s="1">
        <v>42788</v>
      </c>
      <c r="B377" s="2" t="s">
        <v>39</v>
      </c>
      <c r="C377" s="2" t="s">
        <v>400</v>
      </c>
      <c r="D377">
        <v>43</v>
      </c>
      <c r="E377">
        <f>MONTH(makulatura3[[#This Row],[Data_dostarczenia]])</f>
        <v>2</v>
      </c>
    </row>
    <row r="378" spans="1:5" x14ac:dyDescent="0.25">
      <c r="A378" s="1">
        <v>42788</v>
      </c>
      <c r="B378" s="2" t="s">
        <v>87</v>
      </c>
      <c r="C378" s="2" t="s">
        <v>124</v>
      </c>
      <c r="D378">
        <v>6</v>
      </c>
      <c r="E378">
        <f>MONTH(makulatura3[[#This Row],[Data_dostarczenia]])</f>
        <v>2</v>
      </c>
    </row>
    <row r="379" spans="1:5" x14ac:dyDescent="0.25">
      <c r="A379" s="1">
        <v>42788</v>
      </c>
      <c r="B379" s="2" t="s">
        <v>195</v>
      </c>
      <c r="C379" s="2" t="s">
        <v>401</v>
      </c>
      <c r="D379">
        <v>5</v>
      </c>
      <c r="E379">
        <f>MONTH(makulatura3[[#This Row],[Data_dostarczenia]])</f>
        <v>2</v>
      </c>
    </row>
    <row r="380" spans="1:5" x14ac:dyDescent="0.25">
      <c r="A380" s="1">
        <v>42788</v>
      </c>
      <c r="B380" s="2" t="s">
        <v>402</v>
      </c>
      <c r="C380" s="2" t="s">
        <v>403</v>
      </c>
      <c r="D380">
        <v>47</v>
      </c>
      <c r="E380">
        <f>MONTH(makulatura3[[#This Row],[Data_dostarczenia]])</f>
        <v>2</v>
      </c>
    </row>
    <row r="381" spans="1:5" x14ac:dyDescent="0.25">
      <c r="A381" s="1">
        <v>42788</v>
      </c>
      <c r="B381" s="2" t="s">
        <v>36</v>
      </c>
      <c r="C381" s="2" t="s">
        <v>404</v>
      </c>
      <c r="D381">
        <v>6</v>
      </c>
      <c r="E381">
        <f>MONTH(makulatura3[[#This Row],[Data_dostarczenia]])</f>
        <v>2</v>
      </c>
    </row>
    <row r="382" spans="1:5" x14ac:dyDescent="0.25">
      <c r="A382" s="1">
        <v>42788</v>
      </c>
      <c r="B382" s="2" t="s">
        <v>117</v>
      </c>
      <c r="C382" s="2" t="s">
        <v>183</v>
      </c>
      <c r="D382">
        <v>55</v>
      </c>
      <c r="E382">
        <f>MONTH(makulatura3[[#This Row],[Data_dostarczenia]])</f>
        <v>2</v>
      </c>
    </row>
    <row r="383" spans="1:5" x14ac:dyDescent="0.25">
      <c r="A383" s="1">
        <v>42788</v>
      </c>
      <c r="B383" s="2" t="s">
        <v>23</v>
      </c>
      <c r="C383" s="2" t="s">
        <v>24</v>
      </c>
      <c r="D383">
        <v>37</v>
      </c>
      <c r="E383">
        <f>MONTH(makulatura3[[#This Row],[Data_dostarczenia]])</f>
        <v>2</v>
      </c>
    </row>
    <row r="384" spans="1:5" x14ac:dyDescent="0.25">
      <c r="A384" s="1">
        <v>42788</v>
      </c>
      <c r="B384" s="2" t="s">
        <v>128</v>
      </c>
      <c r="C384" s="2" t="s">
        <v>309</v>
      </c>
      <c r="D384">
        <v>10</v>
      </c>
      <c r="E384">
        <f>MONTH(makulatura3[[#This Row],[Data_dostarczenia]])</f>
        <v>2</v>
      </c>
    </row>
    <row r="385" spans="1:5" x14ac:dyDescent="0.25">
      <c r="A385" s="1">
        <v>42788</v>
      </c>
      <c r="B385" s="2" t="s">
        <v>27</v>
      </c>
      <c r="C385" s="2" t="s">
        <v>94</v>
      </c>
      <c r="D385">
        <v>39</v>
      </c>
      <c r="E385">
        <f>MONTH(makulatura3[[#This Row],[Data_dostarczenia]])</f>
        <v>2</v>
      </c>
    </row>
    <row r="386" spans="1:5" x14ac:dyDescent="0.25">
      <c r="A386" s="1">
        <v>42788</v>
      </c>
      <c r="B386" s="2" t="s">
        <v>232</v>
      </c>
      <c r="C386" s="2" t="s">
        <v>405</v>
      </c>
      <c r="D386">
        <v>23</v>
      </c>
      <c r="E386">
        <f>MONTH(makulatura3[[#This Row],[Data_dostarczenia]])</f>
        <v>2</v>
      </c>
    </row>
    <row r="387" spans="1:5" x14ac:dyDescent="0.25">
      <c r="A387" s="1">
        <v>42789</v>
      </c>
      <c r="B387" s="2" t="s">
        <v>41</v>
      </c>
      <c r="C387" s="2" t="s">
        <v>238</v>
      </c>
      <c r="D387">
        <v>19</v>
      </c>
      <c r="E387">
        <f>MONTH(makulatura3[[#This Row],[Data_dostarczenia]])</f>
        <v>2</v>
      </c>
    </row>
    <row r="388" spans="1:5" x14ac:dyDescent="0.25">
      <c r="A388" s="1">
        <v>42789</v>
      </c>
      <c r="B388" s="2" t="s">
        <v>87</v>
      </c>
      <c r="C388" s="2" t="s">
        <v>383</v>
      </c>
      <c r="D388">
        <v>28</v>
      </c>
      <c r="E388">
        <f>MONTH(makulatura3[[#This Row],[Data_dostarczenia]])</f>
        <v>2</v>
      </c>
    </row>
    <row r="389" spans="1:5" x14ac:dyDescent="0.25">
      <c r="A389" s="1">
        <v>42789</v>
      </c>
      <c r="B389" s="2" t="s">
        <v>128</v>
      </c>
      <c r="C389" s="2" t="s">
        <v>129</v>
      </c>
      <c r="D389">
        <v>2</v>
      </c>
      <c r="E389">
        <f>MONTH(makulatura3[[#This Row],[Data_dostarczenia]])</f>
        <v>2</v>
      </c>
    </row>
    <row r="390" spans="1:5" x14ac:dyDescent="0.25">
      <c r="A390" s="1">
        <v>42789</v>
      </c>
      <c r="B390" s="2" t="s">
        <v>47</v>
      </c>
      <c r="C390" s="2" t="s">
        <v>48</v>
      </c>
      <c r="D390">
        <v>6</v>
      </c>
      <c r="E390">
        <f>MONTH(makulatura3[[#This Row],[Data_dostarczenia]])</f>
        <v>2</v>
      </c>
    </row>
    <row r="391" spans="1:5" x14ac:dyDescent="0.25">
      <c r="A391" s="1">
        <v>42789</v>
      </c>
      <c r="B391" s="2" t="s">
        <v>32</v>
      </c>
      <c r="C391" s="2" t="s">
        <v>406</v>
      </c>
      <c r="D391">
        <v>26</v>
      </c>
      <c r="E391">
        <f>MONTH(makulatura3[[#This Row],[Data_dostarczenia]])</f>
        <v>2</v>
      </c>
    </row>
    <row r="392" spans="1:5" x14ac:dyDescent="0.25">
      <c r="A392" s="1">
        <v>42789</v>
      </c>
      <c r="B392" s="2" t="s">
        <v>407</v>
      </c>
      <c r="C392" s="2" t="s">
        <v>408</v>
      </c>
      <c r="D392">
        <v>55</v>
      </c>
      <c r="E392">
        <f>MONTH(makulatura3[[#This Row],[Data_dostarczenia]])</f>
        <v>2</v>
      </c>
    </row>
    <row r="393" spans="1:5" x14ac:dyDescent="0.25">
      <c r="A393" s="1">
        <v>42789</v>
      </c>
      <c r="B393" s="2" t="s">
        <v>409</v>
      </c>
      <c r="C393" s="2" t="s">
        <v>410</v>
      </c>
      <c r="D393">
        <v>52</v>
      </c>
      <c r="E393">
        <f>MONTH(makulatura3[[#This Row],[Data_dostarczenia]])</f>
        <v>2</v>
      </c>
    </row>
    <row r="394" spans="1:5" x14ac:dyDescent="0.25">
      <c r="A394" s="1">
        <v>42789</v>
      </c>
      <c r="B394" s="2" t="s">
        <v>367</v>
      </c>
      <c r="C394" s="2" t="s">
        <v>411</v>
      </c>
      <c r="D394">
        <v>55</v>
      </c>
      <c r="E394">
        <f>MONTH(makulatura3[[#This Row],[Data_dostarczenia]])</f>
        <v>2</v>
      </c>
    </row>
    <row r="395" spans="1:5" x14ac:dyDescent="0.25">
      <c r="A395" s="1">
        <v>42789</v>
      </c>
      <c r="B395" s="2" t="s">
        <v>412</v>
      </c>
      <c r="C395" s="2" t="s">
        <v>413</v>
      </c>
      <c r="D395">
        <v>15</v>
      </c>
      <c r="E395">
        <f>MONTH(makulatura3[[#This Row],[Data_dostarczenia]])</f>
        <v>2</v>
      </c>
    </row>
    <row r="396" spans="1:5" x14ac:dyDescent="0.25">
      <c r="A396" s="1">
        <v>42789</v>
      </c>
      <c r="B396" s="2" t="s">
        <v>155</v>
      </c>
      <c r="C396" s="2" t="s">
        <v>414</v>
      </c>
      <c r="D396">
        <v>44</v>
      </c>
      <c r="E396">
        <f>MONTH(makulatura3[[#This Row],[Data_dostarczenia]])</f>
        <v>2</v>
      </c>
    </row>
    <row r="397" spans="1:5" x14ac:dyDescent="0.25">
      <c r="A397" s="1">
        <v>42789</v>
      </c>
      <c r="B397" s="2" t="s">
        <v>41</v>
      </c>
      <c r="C397" s="2" t="s">
        <v>42</v>
      </c>
      <c r="D397">
        <v>28</v>
      </c>
      <c r="E397">
        <f>MONTH(makulatura3[[#This Row],[Data_dostarczenia]])</f>
        <v>2</v>
      </c>
    </row>
    <row r="398" spans="1:5" x14ac:dyDescent="0.25">
      <c r="A398" s="1">
        <v>42790</v>
      </c>
      <c r="B398" s="2" t="s">
        <v>174</v>
      </c>
      <c r="C398" s="2" t="s">
        <v>415</v>
      </c>
      <c r="D398">
        <v>19</v>
      </c>
      <c r="E398">
        <f>MONTH(makulatura3[[#This Row],[Data_dostarczenia]])</f>
        <v>2</v>
      </c>
    </row>
    <row r="399" spans="1:5" x14ac:dyDescent="0.25">
      <c r="A399" s="1">
        <v>42790</v>
      </c>
      <c r="B399" s="2" t="s">
        <v>193</v>
      </c>
      <c r="C399" s="2" t="s">
        <v>215</v>
      </c>
      <c r="D399">
        <v>20</v>
      </c>
      <c r="E399">
        <f>MONTH(makulatura3[[#This Row],[Data_dostarczenia]])</f>
        <v>2</v>
      </c>
    </row>
    <row r="400" spans="1:5" x14ac:dyDescent="0.25">
      <c r="A400" s="1">
        <v>42790</v>
      </c>
      <c r="B400" s="2" t="s">
        <v>416</v>
      </c>
      <c r="C400" s="2" t="s">
        <v>417</v>
      </c>
      <c r="D400">
        <v>24</v>
      </c>
      <c r="E400">
        <f>MONTH(makulatura3[[#This Row],[Data_dostarczenia]])</f>
        <v>2</v>
      </c>
    </row>
    <row r="401" spans="1:5" x14ac:dyDescent="0.25">
      <c r="A401" s="1">
        <v>42790</v>
      </c>
      <c r="B401" s="2" t="s">
        <v>34</v>
      </c>
      <c r="C401" s="2" t="s">
        <v>182</v>
      </c>
      <c r="D401">
        <v>8</v>
      </c>
      <c r="E401">
        <f>MONTH(makulatura3[[#This Row],[Data_dostarczenia]])</f>
        <v>2</v>
      </c>
    </row>
    <row r="402" spans="1:5" x14ac:dyDescent="0.25">
      <c r="A402" s="1">
        <v>42790</v>
      </c>
      <c r="B402" s="2" t="s">
        <v>57</v>
      </c>
      <c r="C402" s="2" t="s">
        <v>418</v>
      </c>
      <c r="D402">
        <v>8</v>
      </c>
      <c r="E402">
        <f>MONTH(makulatura3[[#This Row],[Data_dostarczenia]])</f>
        <v>2</v>
      </c>
    </row>
    <row r="403" spans="1:5" x14ac:dyDescent="0.25">
      <c r="A403" s="1">
        <v>42790</v>
      </c>
      <c r="B403" s="2" t="s">
        <v>275</v>
      </c>
      <c r="C403" s="2" t="s">
        <v>276</v>
      </c>
      <c r="D403">
        <v>18</v>
      </c>
      <c r="E403">
        <f>MONTH(makulatura3[[#This Row],[Data_dostarczenia]])</f>
        <v>2</v>
      </c>
    </row>
    <row r="404" spans="1:5" x14ac:dyDescent="0.25">
      <c r="A404" s="1">
        <v>42790</v>
      </c>
      <c r="B404" s="2" t="s">
        <v>67</v>
      </c>
      <c r="C404" s="2" t="s">
        <v>68</v>
      </c>
      <c r="D404">
        <v>26</v>
      </c>
      <c r="E404">
        <f>MONTH(makulatura3[[#This Row],[Data_dostarczenia]])</f>
        <v>2</v>
      </c>
    </row>
    <row r="405" spans="1:5" x14ac:dyDescent="0.25">
      <c r="A405" s="1">
        <v>42790</v>
      </c>
      <c r="B405" s="2" t="s">
        <v>77</v>
      </c>
      <c r="C405" s="2" t="s">
        <v>384</v>
      </c>
      <c r="D405">
        <v>5</v>
      </c>
      <c r="E405">
        <f>MONTH(makulatura3[[#This Row],[Data_dostarczenia]])</f>
        <v>2</v>
      </c>
    </row>
    <row r="406" spans="1:5" x14ac:dyDescent="0.25">
      <c r="A406" s="1">
        <v>42790</v>
      </c>
      <c r="B406" s="2" t="s">
        <v>219</v>
      </c>
      <c r="C406" s="2" t="s">
        <v>220</v>
      </c>
      <c r="D406">
        <v>39</v>
      </c>
      <c r="E406">
        <f>MONTH(makulatura3[[#This Row],[Data_dostarczenia]])</f>
        <v>2</v>
      </c>
    </row>
    <row r="407" spans="1:5" x14ac:dyDescent="0.25">
      <c r="A407" s="1">
        <v>42790</v>
      </c>
      <c r="B407" s="2" t="s">
        <v>57</v>
      </c>
      <c r="C407" s="2" t="s">
        <v>418</v>
      </c>
      <c r="D407">
        <v>13</v>
      </c>
      <c r="E407">
        <f>MONTH(makulatura3[[#This Row],[Data_dostarczenia]])</f>
        <v>2</v>
      </c>
    </row>
    <row r="408" spans="1:5" x14ac:dyDescent="0.25">
      <c r="A408" s="1">
        <v>42790</v>
      </c>
      <c r="B408" s="2" t="s">
        <v>317</v>
      </c>
      <c r="C408" s="2" t="s">
        <v>318</v>
      </c>
      <c r="D408">
        <v>52</v>
      </c>
      <c r="E408">
        <f>MONTH(makulatura3[[#This Row],[Data_dostarczenia]])</f>
        <v>2</v>
      </c>
    </row>
    <row r="409" spans="1:5" x14ac:dyDescent="0.25">
      <c r="A409" s="1">
        <v>42793</v>
      </c>
      <c r="B409" s="2" t="s">
        <v>393</v>
      </c>
      <c r="C409" s="2" t="s">
        <v>419</v>
      </c>
      <c r="D409">
        <v>21</v>
      </c>
      <c r="E409">
        <f>MONTH(makulatura3[[#This Row],[Data_dostarczenia]])</f>
        <v>2</v>
      </c>
    </row>
    <row r="410" spans="1:5" x14ac:dyDescent="0.25">
      <c r="A410" s="1">
        <v>42793</v>
      </c>
      <c r="B410" s="2" t="s">
        <v>97</v>
      </c>
      <c r="C410" s="2" t="s">
        <v>136</v>
      </c>
      <c r="D410">
        <v>50</v>
      </c>
      <c r="E410">
        <f>MONTH(makulatura3[[#This Row],[Data_dostarczenia]])</f>
        <v>2</v>
      </c>
    </row>
    <row r="411" spans="1:5" x14ac:dyDescent="0.25">
      <c r="A411" s="1">
        <v>42793</v>
      </c>
      <c r="B411" s="2" t="s">
        <v>63</v>
      </c>
      <c r="C411" s="2" t="s">
        <v>231</v>
      </c>
      <c r="D411">
        <v>17</v>
      </c>
      <c r="E411">
        <f>MONTH(makulatura3[[#This Row],[Data_dostarczenia]])</f>
        <v>2</v>
      </c>
    </row>
    <row r="412" spans="1:5" x14ac:dyDescent="0.25">
      <c r="A412" s="1">
        <v>42793</v>
      </c>
      <c r="B412" s="2" t="s">
        <v>420</v>
      </c>
      <c r="C412" s="2" t="s">
        <v>421</v>
      </c>
      <c r="D412">
        <v>45</v>
      </c>
      <c r="E412">
        <f>MONTH(makulatura3[[#This Row],[Data_dostarczenia]])</f>
        <v>2</v>
      </c>
    </row>
    <row r="413" spans="1:5" x14ac:dyDescent="0.25">
      <c r="A413" s="1">
        <v>42793</v>
      </c>
      <c r="B413" s="2" t="s">
        <v>150</v>
      </c>
      <c r="C413" s="2" t="s">
        <v>211</v>
      </c>
      <c r="D413">
        <v>10</v>
      </c>
      <c r="E413">
        <f>MONTH(makulatura3[[#This Row],[Data_dostarczenia]])</f>
        <v>2</v>
      </c>
    </row>
    <row r="414" spans="1:5" x14ac:dyDescent="0.25">
      <c r="A414" s="1">
        <v>42793</v>
      </c>
      <c r="B414" s="2" t="s">
        <v>14</v>
      </c>
      <c r="C414" s="2" t="s">
        <v>422</v>
      </c>
      <c r="D414">
        <v>24</v>
      </c>
      <c r="E414">
        <f>MONTH(makulatura3[[#This Row],[Data_dostarczenia]])</f>
        <v>2</v>
      </c>
    </row>
    <row r="415" spans="1:5" x14ac:dyDescent="0.25">
      <c r="A415" s="1">
        <v>42793</v>
      </c>
      <c r="B415" s="2" t="s">
        <v>34</v>
      </c>
      <c r="C415" s="2" t="s">
        <v>338</v>
      </c>
      <c r="D415">
        <v>7</v>
      </c>
      <c r="E415">
        <f>MONTH(makulatura3[[#This Row],[Data_dostarczenia]])</f>
        <v>2</v>
      </c>
    </row>
    <row r="416" spans="1:5" x14ac:dyDescent="0.25">
      <c r="A416" s="1">
        <v>42793</v>
      </c>
      <c r="B416" s="2" t="s">
        <v>10</v>
      </c>
      <c r="C416" s="2" t="s">
        <v>423</v>
      </c>
      <c r="D416">
        <v>30</v>
      </c>
      <c r="E416">
        <f>MONTH(makulatura3[[#This Row],[Data_dostarczenia]])</f>
        <v>2</v>
      </c>
    </row>
    <row r="417" spans="1:5" x14ac:dyDescent="0.25">
      <c r="A417" s="1">
        <v>42793</v>
      </c>
      <c r="B417" s="2" t="s">
        <v>87</v>
      </c>
      <c r="C417" s="2" t="s">
        <v>424</v>
      </c>
      <c r="D417">
        <v>41</v>
      </c>
      <c r="E417">
        <f>MONTH(makulatura3[[#This Row],[Data_dostarczenia]])</f>
        <v>2</v>
      </c>
    </row>
    <row r="418" spans="1:5" x14ac:dyDescent="0.25">
      <c r="A418" s="1">
        <v>42793</v>
      </c>
      <c r="B418" s="2" t="s">
        <v>45</v>
      </c>
      <c r="C418" s="2" t="s">
        <v>388</v>
      </c>
      <c r="D418">
        <v>22</v>
      </c>
      <c r="E418">
        <f>MONTH(makulatura3[[#This Row],[Data_dostarczenia]])</f>
        <v>2</v>
      </c>
    </row>
    <row r="419" spans="1:5" x14ac:dyDescent="0.25">
      <c r="A419" s="1">
        <v>42793</v>
      </c>
      <c r="B419" s="2" t="s">
        <v>352</v>
      </c>
      <c r="C419" s="2" t="s">
        <v>425</v>
      </c>
      <c r="D419">
        <v>18</v>
      </c>
      <c r="E419">
        <f>MONTH(makulatura3[[#This Row],[Data_dostarczenia]])</f>
        <v>2</v>
      </c>
    </row>
    <row r="420" spans="1:5" x14ac:dyDescent="0.25">
      <c r="A420" s="1">
        <v>42794</v>
      </c>
      <c r="B420" s="2" t="s">
        <v>83</v>
      </c>
      <c r="C420" s="2" t="s">
        <v>84</v>
      </c>
      <c r="D420">
        <v>9</v>
      </c>
      <c r="E420">
        <f>MONTH(makulatura3[[#This Row],[Data_dostarczenia]])</f>
        <v>2</v>
      </c>
    </row>
    <row r="421" spans="1:5" x14ac:dyDescent="0.25">
      <c r="A421" s="1">
        <v>42794</v>
      </c>
      <c r="B421" s="2" t="s">
        <v>53</v>
      </c>
      <c r="C421" s="2" t="s">
        <v>54</v>
      </c>
      <c r="D421">
        <v>19</v>
      </c>
      <c r="E421">
        <f>MONTH(makulatura3[[#This Row],[Data_dostarczenia]])</f>
        <v>2</v>
      </c>
    </row>
    <row r="422" spans="1:5" x14ac:dyDescent="0.25">
      <c r="A422" s="1">
        <v>42794</v>
      </c>
      <c r="B422" s="2" t="s">
        <v>30</v>
      </c>
      <c r="C422" s="2" t="s">
        <v>31</v>
      </c>
      <c r="D422">
        <v>16</v>
      </c>
      <c r="E422">
        <f>MONTH(makulatura3[[#This Row],[Data_dostarczenia]])</f>
        <v>2</v>
      </c>
    </row>
    <row r="423" spans="1:5" x14ac:dyDescent="0.25">
      <c r="A423" s="1">
        <v>42794</v>
      </c>
      <c r="B423" s="2" t="s">
        <v>95</v>
      </c>
      <c r="C423" s="2" t="s">
        <v>426</v>
      </c>
      <c r="D423">
        <v>27</v>
      </c>
      <c r="E423">
        <f>MONTH(makulatura3[[#This Row],[Data_dostarczenia]])</f>
        <v>2</v>
      </c>
    </row>
    <row r="424" spans="1:5" x14ac:dyDescent="0.25">
      <c r="A424" s="1">
        <v>42794</v>
      </c>
      <c r="B424" s="2" t="s">
        <v>427</v>
      </c>
      <c r="C424" s="2" t="s">
        <v>428</v>
      </c>
      <c r="D424">
        <v>13</v>
      </c>
      <c r="E424">
        <f>MONTH(makulatura3[[#This Row],[Data_dostarczenia]])</f>
        <v>2</v>
      </c>
    </row>
    <row r="425" spans="1:5" x14ac:dyDescent="0.25">
      <c r="A425" s="1">
        <v>42794</v>
      </c>
      <c r="B425" s="2" t="s">
        <v>252</v>
      </c>
      <c r="C425" s="2" t="s">
        <v>253</v>
      </c>
      <c r="D425">
        <v>44</v>
      </c>
      <c r="E425">
        <f>MONTH(makulatura3[[#This Row],[Data_dostarczenia]])</f>
        <v>2</v>
      </c>
    </row>
    <row r="426" spans="1:5" x14ac:dyDescent="0.25">
      <c r="A426" s="1">
        <v>42794</v>
      </c>
      <c r="B426" s="2" t="s">
        <v>147</v>
      </c>
      <c r="C426" s="2" t="s">
        <v>148</v>
      </c>
      <c r="D426">
        <v>16</v>
      </c>
      <c r="E426">
        <f>MONTH(makulatura3[[#This Row],[Data_dostarczenia]])</f>
        <v>2</v>
      </c>
    </row>
    <row r="427" spans="1:5" x14ac:dyDescent="0.25">
      <c r="A427" s="1">
        <v>42794</v>
      </c>
      <c r="B427" s="2" t="s">
        <v>244</v>
      </c>
      <c r="C427" s="2" t="s">
        <v>245</v>
      </c>
      <c r="D427">
        <v>13</v>
      </c>
      <c r="E427">
        <f>MONTH(makulatura3[[#This Row],[Data_dostarczenia]])</f>
        <v>2</v>
      </c>
    </row>
    <row r="428" spans="1:5" x14ac:dyDescent="0.25">
      <c r="A428" s="1">
        <v>42794</v>
      </c>
      <c r="B428" s="2" t="s">
        <v>57</v>
      </c>
      <c r="C428" s="2" t="s">
        <v>429</v>
      </c>
      <c r="D428">
        <v>42</v>
      </c>
      <c r="E428">
        <f>MONTH(makulatura3[[#This Row],[Data_dostarczenia]])</f>
        <v>2</v>
      </c>
    </row>
    <row r="429" spans="1:5" x14ac:dyDescent="0.25">
      <c r="A429" s="1">
        <v>42794</v>
      </c>
      <c r="B429" s="2" t="s">
        <v>217</v>
      </c>
      <c r="C429" s="2" t="s">
        <v>218</v>
      </c>
      <c r="D429">
        <v>28</v>
      </c>
      <c r="E429">
        <f>MONTH(makulatura3[[#This Row],[Data_dostarczenia]])</f>
        <v>2</v>
      </c>
    </row>
    <row r="430" spans="1:5" x14ac:dyDescent="0.25">
      <c r="A430" s="1">
        <v>42794</v>
      </c>
      <c r="B430" s="2" t="s">
        <v>14</v>
      </c>
      <c r="C430" s="2" t="s">
        <v>430</v>
      </c>
      <c r="D430">
        <v>54</v>
      </c>
      <c r="E430">
        <f>MONTH(makulatura3[[#This Row],[Data_dostarczenia]])</f>
        <v>2</v>
      </c>
    </row>
    <row r="431" spans="1:5" x14ac:dyDescent="0.25">
      <c r="A431" s="1">
        <v>42795</v>
      </c>
      <c r="B431" s="2" t="s">
        <v>359</v>
      </c>
      <c r="C431" s="2" t="s">
        <v>431</v>
      </c>
      <c r="D431">
        <v>40</v>
      </c>
      <c r="E431">
        <f>MONTH(makulatura3[[#This Row],[Data_dostarczenia]])</f>
        <v>3</v>
      </c>
    </row>
    <row r="432" spans="1:5" x14ac:dyDescent="0.25">
      <c r="A432" s="1">
        <v>42795</v>
      </c>
      <c r="B432" s="2" t="s">
        <v>30</v>
      </c>
      <c r="C432" s="2" t="s">
        <v>432</v>
      </c>
      <c r="D432">
        <v>19</v>
      </c>
      <c r="E432">
        <f>MONTH(makulatura3[[#This Row],[Data_dostarczenia]])</f>
        <v>3</v>
      </c>
    </row>
    <row r="433" spans="1:5" x14ac:dyDescent="0.25">
      <c r="A433" s="1">
        <v>42795</v>
      </c>
      <c r="B433" s="2" t="s">
        <v>147</v>
      </c>
      <c r="C433" s="2" t="s">
        <v>148</v>
      </c>
      <c r="D433">
        <v>18</v>
      </c>
      <c r="E433">
        <f>MONTH(makulatura3[[#This Row],[Data_dostarczenia]])</f>
        <v>3</v>
      </c>
    </row>
    <row r="434" spans="1:5" x14ac:dyDescent="0.25">
      <c r="A434" s="1">
        <v>42795</v>
      </c>
      <c r="B434" s="2" t="s">
        <v>393</v>
      </c>
      <c r="C434" s="2" t="s">
        <v>394</v>
      </c>
      <c r="D434">
        <v>24</v>
      </c>
      <c r="E434">
        <f>MONTH(makulatura3[[#This Row],[Data_dostarczenia]])</f>
        <v>3</v>
      </c>
    </row>
    <row r="435" spans="1:5" x14ac:dyDescent="0.25">
      <c r="A435" s="1">
        <v>42795</v>
      </c>
      <c r="B435" s="2" t="s">
        <v>81</v>
      </c>
      <c r="C435" s="2" t="s">
        <v>145</v>
      </c>
      <c r="D435">
        <v>25</v>
      </c>
      <c r="E435">
        <f>MONTH(makulatura3[[#This Row],[Data_dostarczenia]])</f>
        <v>3</v>
      </c>
    </row>
    <row r="436" spans="1:5" x14ac:dyDescent="0.25">
      <c r="A436" s="1">
        <v>42795</v>
      </c>
      <c r="B436" s="2" t="s">
        <v>201</v>
      </c>
      <c r="C436" s="2" t="s">
        <v>433</v>
      </c>
      <c r="D436">
        <v>7</v>
      </c>
      <c r="E436">
        <f>MONTH(makulatura3[[#This Row],[Data_dostarczenia]])</f>
        <v>3</v>
      </c>
    </row>
    <row r="437" spans="1:5" x14ac:dyDescent="0.25">
      <c r="A437" s="1">
        <v>42795</v>
      </c>
      <c r="B437" s="2" t="s">
        <v>34</v>
      </c>
      <c r="C437" s="2" t="s">
        <v>160</v>
      </c>
      <c r="D437">
        <v>52</v>
      </c>
      <c r="E437">
        <f>MONTH(makulatura3[[#This Row],[Data_dostarczenia]])</f>
        <v>3</v>
      </c>
    </row>
    <row r="438" spans="1:5" x14ac:dyDescent="0.25">
      <c r="A438" s="1">
        <v>42795</v>
      </c>
      <c r="B438" s="2" t="s">
        <v>30</v>
      </c>
      <c r="C438" s="2" t="s">
        <v>241</v>
      </c>
      <c r="D438">
        <v>23</v>
      </c>
      <c r="E438">
        <f>MONTH(makulatura3[[#This Row],[Data_dostarczenia]])</f>
        <v>3</v>
      </c>
    </row>
    <row r="439" spans="1:5" x14ac:dyDescent="0.25">
      <c r="A439" s="1">
        <v>42795</v>
      </c>
      <c r="B439" s="2" t="s">
        <v>217</v>
      </c>
      <c r="C439" s="2" t="s">
        <v>218</v>
      </c>
      <c r="D439">
        <v>45</v>
      </c>
      <c r="E439">
        <f>MONTH(makulatura3[[#This Row],[Data_dostarczenia]])</f>
        <v>3</v>
      </c>
    </row>
    <row r="440" spans="1:5" x14ac:dyDescent="0.25">
      <c r="A440" s="1">
        <v>42795</v>
      </c>
      <c r="B440" s="2" t="s">
        <v>14</v>
      </c>
      <c r="C440" s="2" t="s">
        <v>422</v>
      </c>
      <c r="D440">
        <v>12</v>
      </c>
      <c r="E440">
        <f>MONTH(makulatura3[[#This Row],[Data_dostarczenia]])</f>
        <v>3</v>
      </c>
    </row>
    <row r="441" spans="1:5" x14ac:dyDescent="0.25">
      <c r="A441" s="1">
        <v>42795</v>
      </c>
      <c r="B441" s="2" t="s">
        <v>39</v>
      </c>
      <c r="C441" s="2" t="s">
        <v>434</v>
      </c>
      <c r="D441">
        <v>25</v>
      </c>
      <c r="E441">
        <f>MONTH(makulatura3[[#This Row],[Data_dostarczenia]])</f>
        <v>3</v>
      </c>
    </row>
    <row r="442" spans="1:5" x14ac:dyDescent="0.25">
      <c r="A442" s="1">
        <v>42796</v>
      </c>
      <c r="B442" s="2" t="s">
        <v>141</v>
      </c>
      <c r="C442" s="2" t="s">
        <v>435</v>
      </c>
      <c r="D442">
        <v>4</v>
      </c>
      <c r="E442">
        <f>MONTH(makulatura3[[#This Row],[Data_dostarczenia]])</f>
        <v>3</v>
      </c>
    </row>
    <row r="443" spans="1:5" x14ac:dyDescent="0.25">
      <c r="A443" s="1">
        <v>42796</v>
      </c>
      <c r="B443" s="2" t="s">
        <v>39</v>
      </c>
      <c r="C443" s="2" t="s">
        <v>436</v>
      </c>
      <c r="D443">
        <v>10</v>
      </c>
      <c r="E443">
        <f>MONTH(makulatura3[[#This Row],[Data_dostarczenia]])</f>
        <v>3</v>
      </c>
    </row>
    <row r="444" spans="1:5" x14ac:dyDescent="0.25">
      <c r="A444" s="1">
        <v>42796</v>
      </c>
      <c r="B444" s="2" t="s">
        <v>77</v>
      </c>
      <c r="C444" s="2" t="s">
        <v>384</v>
      </c>
      <c r="D444">
        <v>23</v>
      </c>
      <c r="E444">
        <f>MONTH(makulatura3[[#This Row],[Data_dostarczenia]])</f>
        <v>3</v>
      </c>
    </row>
    <row r="445" spans="1:5" x14ac:dyDescent="0.25">
      <c r="A445" s="1">
        <v>42796</v>
      </c>
      <c r="B445" s="2" t="s">
        <v>437</v>
      </c>
      <c r="C445" s="2" t="s">
        <v>199</v>
      </c>
      <c r="D445">
        <v>56</v>
      </c>
      <c r="E445">
        <f>MONTH(makulatura3[[#This Row],[Data_dostarczenia]])</f>
        <v>3</v>
      </c>
    </row>
    <row r="446" spans="1:5" x14ac:dyDescent="0.25">
      <c r="A446" s="1">
        <v>42796</v>
      </c>
      <c r="B446" s="2" t="s">
        <v>18</v>
      </c>
      <c r="C446" s="2" t="s">
        <v>74</v>
      </c>
      <c r="D446">
        <v>38</v>
      </c>
      <c r="E446">
        <f>MONTH(makulatura3[[#This Row],[Data_dostarczenia]])</f>
        <v>3</v>
      </c>
    </row>
    <row r="447" spans="1:5" x14ac:dyDescent="0.25">
      <c r="A447" s="1">
        <v>42796</v>
      </c>
      <c r="B447" s="2" t="s">
        <v>438</v>
      </c>
      <c r="C447" s="2" t="s">
        <v>439</v>
      </c>
      <c r="D447">
        <v>27</v>
      </c>
      <c r="E447">
        <f>MONTH(makulatura3[[#This Row],[Data_dostarczenia]])</f>
        <v>3</v>
      </c>
    </row>
    <row r="448" spans="1:5" x14ac:dyDescent="0.25">
      <c r="A448" s="1">
        <v>42796</v>
      </c>
      <c r="B448" s="2" t="s">
        <v>206</v>
      </c>
      <c r="C448" s="2" t="s">
        <v>332</v>
      </c>
      <c r="D448">
        <v>28</v>
      </c>
      <c r="E448">
        <f>MONTH(makulatura3[[#This Row],[Data_dostarczenia]])</f>
        <v>3</v>
      </c>
    </row>
    <row r="449" spans="1:5" x14ac:dyDescent="0.25">
      <c r="A449" s="1">
        <v>42796</v>
      </c>
      <c r="B449" s="2" t="s">
        <v>36</v>
      </c>
      <c r="C449" s="2" t="s">
        <v>306</v>
      </c>
      <c r="D449">
        <v>8</v>
      </c>
      <c r="E449">
        <f>MONTH(makulatura3[[#This Row],[Data_dostarczenia]])</f>
        <v>3</v>
      </c>
    </row>
    <row r="450" spans="1:5" x14ac:dyDescent="0.25">
      <c r="A450" s="1">
        <v>42796</v>
      </c>
      <c r="B450" s="2" t="s">
        <v>101</v>
      </c>
      <c r="C450" s="2" t="s">
        <v>42</v>
      </c>
      <c r="D450">
        <v>39</v>
      </c>
      <c r="E450">
        <f>MONTH(makulatura3[[#This Row],[Data_dostarczenia]])</f>
        <v>3</v>
      </c>
    </row>
    <row r="451" spans="1:5" x14ac:dyDescent="0.25">
      <c r="A451" s="1">
        <v>42796</v>
      </c>
      <c r="B451" s="2" t="s">
        <v>16</v>
      </c>
      <c r="C451" s="2" t="s">
        <v>440</v>
      </c>
      <c r="D451">
        <v>4</v>
      </c>
      <c r="E451">
        <f>MONTH(makulatura3[[#This Row],[Data_dostarczenia]])</f>
        <v>3</v>
      </c>
    </row>
    <row r="452" spans="1:5" x14ac:dyDescent="0.25">
      <c r="A452" s="1">
        <v>42796</v>
      </c>
      <c r="B452" s="2" t="s">
        <v>112</v>
      </c>
      <c r="C452" s="2" t="s">
        <v>113</v>
      </c>
      <c r="D452">
        <v>56</v>
      </c>
      <c r="E452">
        <f>MONTH(makulatura3[[#This Row],[Data_dostarczenia]])</f>
        <v>3</v>
      </c>
    </row>
    <row r="453" spans="1:5" x14ac:dyDescent="0.25">
      <c r="A453" s="1">
        <v>42797</v>
      </c>
      <c r="B453" s="2" t="s">
        <v>101</v>
      </c>
      <c r="C453" s="2" t="s">
        <v>188</v>
      </c>
      <c r="D453">
        <v>33</v>
      </c>
      <c r="E453">
        <f>MONTH(makulatura3[[#This Row],[Data_dostarczenia]])</f>
        <v>3</v>
      </c>
    </row>
    <row r="454" spans="1:5" x14ac:dyDescent="0.25">
      <c r="A454" s="1">
        <v>42797</v>
      </c>
      <c r="B454" s="2" t="s">
        <v>63</v>
      </c>
      <c r="C454" s="2" t="s">
        <v>441</v>
      </c>
      <c r="D454">
        <v>53</v>
      </c>
      <c r="E454">
        <f>MONTH(makulatura3[[#This Row],[Data_dostarczenia]])</f>
        <v>3</v>
      </c>
    </row>
    <row r="455" spans="1:5" x14ac:dyDescent="0.25">
      <c r="A455" s="1">
        <v>42797</v>
      </c>
      <c r="B455" s="2" t="s">
        <v>442</v>
      </c>
      <c r="C455" s="2" t="s">
        <v>443</v>
      </c>
      <c r="D455">
        <v>26</v>
      </c>
      <c r="E455">
        <f>MONTH(makulatura3[[#This Row],[Data_dostarczenia]])</f>
        <v>3</v>
      </c>
    </row>
    <row r="456" spans="1:5" x14ac:dyDescent="0.25">
      <c r="A456" s="1">
        <v>42797</v>
      </c>
      <c r="B456" s="2" t="s">
        <v>55</v>
      </c>
      <c r="C456" s="2" t="s">
        <v>444</v>
      </c>
      <c r="D456">
        <v>27</v>
      </c>
      <c r="E456">
        <f>MONTH(makulatura3[[#This Row],[Data_dostarczenia]])</f>
        <v>3</v>
      </c>
    </row>
    <row r="457" spans="1:5" x14ac:dyDescent="0.25">
      <c r="A457" s="1">
        <v>42797</v>
      </c>
      <c r="B457" s="2" t="s">
        <v>34</v>
      </c>
      <c r="C457" s="2" t="s">
        <v>445</v>
      </c>
      <c r="D457">
        <v>49</v>
      </c>
      <c r="E457">
        <f>MONTH(makulatura3[[#This Row],[Data_dostarczenia]])</f>
        <v>3</v>
      </c>
    </row>
    <row r="458" spans="1:5" x14ac:dyDescent="0.25">
      <c r="A458" s="1">
        <v>42797</v>
      </c>
      <c r="B458" s="2" t="s">
        <v>32</v>
      </c>
      <c r="C458" s="2" t="s">
        <v>446</v>
      </c>
      <c r="D458">
        <v>20</v>
      </c>
      <c r="E458">
        <f>MONTH(makulatura3[[#This Row],[Data_dostarczenia]])</f>
        <v>3</v>
      </c>
    </row>
    <row r="459" spans="1:5" x14ac:dyDescent="0.25">
      <c r="A459" s="1">
        <v>42797</v>
      </c>
      <c r="B459" s="2" t="s">
        <v>352</v>
      </c>
      <c r="C459" s="2" t="s">
        <v>425</v>
      </c>
      <c r="D459">
        <v>7</v>
      </c>
      <c r="E459">
        <f>MONTH(makulatura3[[#This Row],[Data_dostarczenia]])</f>
        <v>3</v>
      </c>
    </row>
    <row r="460" spans="1:5" x14ac:dyDescent="0.25">
      <c r="A460" s="1">
        <v>42797</v>
      </c>
      <c r="B460" s="2" t="s">
        <v>141</v>
      </c>
      <c r="C460" s="2" t="s">
        <v>447</v>
      </c>
      <c r="D460">
        <v>3</v>
      </c>
      <c r="E460">
        <f>MONTH(makulatura3[[#This Row],[Data_dostarczenia]])</f>
        <v>3</v>
      </c>
    </row>
    <row r="461" spans="1:5" x14ac:dyDescent="0.25">
      <c r="A461" s="1">
        <v>42797</v>
      </c>
      <c r="B461" s="2" t="s">
        <v>141</v>
      </c>
      <c r="C461" s="2" t="s">
        <v>448</v>
      </c>
      <c r="D461">
        <v>47</v>
      </c>
      <c r="E461">
        <f>MONTH(makulatura3[[#This Row],[Data_dostarczenia]])</f>
        <v>3</v>
      </c>
    </row>
    <row r="462" spans="1:5" x14ac:dyDescent="0.25">
      <c r="A462" s="1">
        <v>42797</v>
      </c>
      <c r="B462" s="2" t="s">
        <v>150</v>
      </c>
      <c r="C462" s="2" t="s">
        <v>140</v>
      </c>
      <c r="D462">
        <v>48</v>
      </c>
      <c r="E462">
        <f>MONTH(makulatura3[[#This Row],[Data_dostarczenia]])</f>
        <v>3</v>
      </c>
    </row>
    <row r="463" spans="1:5" x14ac:dyDescent="0.25">
      <c r="A463" s="1">
        <v>42797</v>
      </c>
      <c r="B463" s="2" t="s">
        <v>449</v>
      </c>
      <c r="C463" s="2" t="s">
        <v>382</v>
      </c>
      <c r="D463">
        <v>24</v>
      </c>
      <c r="E463">
        <f>MONTH(makulatura3[[#This Row],[Data_dostarczenia]])</f>
        <v>3</v>
      </c>
    </row>
    <row r="464" spans="1:5" x14ac:dyDescent="0.25">
      <c r="A464" s="1">
        <v>42800</v>
      </c>
      <c r="B464" s="2" t="s">
        <v>47</v>
      </c>
      <c r="C464" s="2" t="s">
        <v>91</v>
      </c>
      <c r="D464">
        <v>33</v>
      </c>
      <c r="E464">
        <f>MONTH(makulatura3[[#This Row],[Data_dostarczenia]])</f>
        <v>3</v>
      </c>
    </row>
    <row r="465" spans="1:5" x14ac:dyDescent="0.25">
      <c r="A465" s="1">
        <v>42800</v>
      </c>
      <c r="B465" s="2" t="s">
        <v>55</v>
      </c>
      <c r="C465" s="2" t="s">
        <v>444</v>
      </c>
      <c r="D465">
        <v>20</v>
      </c>
      <c r="E465">
        <f>MONTH(makulatura3[[#This Row],[Data_dostarczenia]])</f>
        <v>3</v>
      </c>
    </row>
    <row r="466" spans="1:5" x14ac:dyDescent="0.25">
      <c r="A466" s="1">
        <v>42800</v>
      </c>
      <c r="B466" s="2" t="s">
        <v>32</v>
      </c>
      <c r="C466" s="2" t="s">
        <v>33</v>
      </c>
      <c r="D466">
        <v>35</v>
      </c>
      <c r="E466">
        <f>MONTH(makulatura3[[#This Row],[Data_dostarczenia]])</f>
        <v>3</v>
      </c>
    </row>
    <row r="467" spans="1:5" x14ac:dyDescent="0.25">
      <c r="A467" s="1">
        <v>42800</v>
      </c>
      <c r="B467" s="2" t="s">
        <v>314</v>
      </c>
      <c r="C467" s="2" t="s">
        <v>450</v>
      </c>
      <c r="D467">
        <v>10</v>
      </c>
      <c r="E467">
        <f>MONTH(makulatura3[[#This Row],[Data_dostarczenia]])</f>
        <v>3</v>
      </c>
    </row>
    <row r="468" spans="1:5" x14ac:dyDescent="0.25">
      <c r="A468" s="1">
        <v>42800</v>
      </c>
      <c r="B468" s="2" t="s">
        <v>20</v>
      </c>
      <c r="C468" s="2" t="s">
        <v>123</v>
      </c>
      <c r="D468">
        <v>43</v>
      </c>
      <c r="E468">
        <f>MONTH(makulatura3[[#This Row],[Data_dostarczenia]])</f>
        <v>3</v>
      </c>
    </row>
    <row r="469" spans="1:5" x14ac:dyDescent="0.25">
      <c r="A469" s="1">
        <v>42800</v>
      </c>
      <c r="B469" s="2" t="s">
        <v>280</v>
      </c>
      <c r="C469" s="2" t="s">
        <v>451</v>
      </c>
      <c r="D469">
        <v>15</v>
      </c>
      <c r="E469">
        <f>MONTH(makulatura3[[#This Row],[Data_dostarczenia]])</f>
        <v>3</v>
      </c>
    </row>
    <row r="470" spans="1:5" x14ac:dyDescent="0.25">
      <c r="A470" s="1">
        <v>42800</v>
      </c>
      <c r="B470" s="2" t="s">
        <v>352</v>
      </c>
      <c r="C470" s="2" t="s">
        <v>363</v>
      </c>
      <c r="D470">
        <v>8</v>
      </c>
      <c r="E470">
        <f>MONTH(makulatura3[[#This Row],[Data_dostarczenia]])</f>
        <v>3</v>
      </c>
    </row>
    <row r="471" spans="1:5" x14ac:dyDescent="0.25">
      <c r="A471" s="1">
        <v>42800</v>
      </c>
      <c r="B471" s="2" t="s">
        <v>81</v>
      </c>
      <c r="C471" s="2" t="s">
        <v>104</v>
      </c>
      <c r="D471">
        <v>20</v>
      </c>
      <c r="E471">
        <f>MONTH(makulatura3[[#This Row],[Data_dostarczenia]])</f>
        <v>3</v>
      </c>
    </row>
    <row r="472" spans="1:5" x14ac:dyDescent="0.25">
      <c r="A472" s="1">
        <v>42800</v>
      </c>
      <c r="B472" s="2" t="s">
        <v>65</v>
      </c>
      <c r="C472" s="2" t="s">
        <v>116</v>
      </c>
      <c r="D472">
        <v>35</v>
      </c>
      <c r="E472">
        <f>MONTH(makulatura3[[#This Row],[Data_dostarczenia]])</f>
        <v>3</v>
      </c>
    </row>
    <row r="473" spans="1:5" x14ac:dyDescent="0.25">
      <c r="A473" s="1">
        <v>42800</v>
      </c>
      <c r="B473" s="2" t="s">
        <v>267</v>
      </c>
      <c r="C473" s="2" t="s">
        <v>287</v>
      </c>
      <c r="D473">
        <v>26</v>
      </c>
      <c r="E473">
        <f>MONTH(makulatura3[[#This Row],[Data_dostarczenia]])</f>
        <v>3</v>
      </c>
    </row>
    <row r="474" spans="1:5" x14ac:dyDescent="0.25">
      <c r="A474" s="1">
        <v>42800</v>
      </c>
      <c r="B474" s="2" t="s">
        <v>72</v>
      </c>
      <c r="C474" s="2" t="s">
        <v>239</v>
      </c>
      <c r="D474">
        <v>39</v>
      </c>
      <c r="E474">
        <f>MONTH(makulatura3[[#This Row],[Data_dostarczenia]])</f>
        <v>3</v>
      </c>
    </row>
    <row r="475" spans="1:5" x14ac:dyDescent="0.25">
      <c r="A475" s="1">
        <v>42801</v>
      </c>
      <c r="B475" s="2" t="s">
        <v>97</v>
      </c>
      <c r="C475" s="2" t="s">
        <v>98</v>
      </c>
      <c r="D475">
        <v>52</v>
      </c>
      <c r="E475">
        <f>MONTH(makulatura3[[#This Row],[Data_dostarczenia]])</f>
        <v>3</v>
      </c>
    </row>
    <row r="476" spans="1:5" x14ac:dyDescent="0.25">
      <c r="A476" s="1">
        <v>42801</v>
      </c>
      <c r="B476" s="2" t="s">
        <v>193</v>
      </c>
      <c r="C476" s="2" t="s">
        <v>215</v>
      </c>
      <c r="D476">
        <v>13</v>
      </c>
      <c r="E476">
        <f>MONTH(makulatura3[[#This Row],[Data_dostarczenia]])</f>
        <v>3</v>
      </c>
    </row>
    <row r="477" spans="1:5" x14ac:dyDescent="0.25">
      <c r="A477" s="1">
        <v>42801</v>
      </c>
      <c r="B477" s="2" t="s">
        <v>83</v>
      </c>
      <c r="C477" s="2" t="s">
        <v>136</v>
      </c>
      <c r="D477">
        <v>16</v>
      </c>
      <c r="E477">
        <f>MONTH(makulatura3[[#This Row],[Data_dostarczenia]])</f>
        <v>3</v>
      </c>
    </row>
    <row r="478" spans="1:5" x14ac:dyDescent="0.25">
      <c r="A478" s="1">
        <v>42801</v>
      </c>
      <c r="B478" s="2" t="s">
        <v>141</v>
      </c>
      <c r="C478" s="2" t="s">
        <v>202</v>
      </c>
      <c r="D478">
        <v>17</v>
      </c>
      <c r="E478">
        <f>MONTH(makulatura3[[#This Row],[Data_dostarczenia]])</f>
        <v>3</v>
      </c>
    </row>
    <row r="479" spans="1:5" x14ac:dyDescent="0.25">
      <c r="A479" s="1">
        <v>42801</v>
      </c>
      <c r="B479" s="2" t="s">
        <v>243</v>
      </c>
      <c r="C479" s="2" t="s">
        <v>82</v>
      </c>
      <c r="D479">
        <v>7</v>
      </c>
      <c r="E479">
        <f>MONTH(makulatura3[[#This Row],[Data_dostarczenia]])</f>
        <v>3</v>
      </c>
    </row>
    <row r="480" spans="1:5" x14ac:dyDescent="0.25">
      <c r="A480" s="1">
        <v>42801</v>
      </c>
      <c r="B480" s="2" t="s">
        <v>32</v>
      </c>
      <c r="C480" s="2" t="s">
        <v>446</v>
      </c>
      <c r="D480">
        <v>48</v>
      </c>
      <c r="E480">
        <f>MONTH(makulatura3[[#This Row],[Data_dostarczenia]])</f>
        <v>3</v>
      </c>
    </row>
    <row r="481" spans="1:5" x14ac:dyDescent="0.25">
      <c r="A481" s="1">
        <v>42801</v>
      </c>
      <c r="B481" s="2" t="s">
        <v>97</v>
      </c>
      <c r="C481" s="2" t="s">
        <v>452</v>
      </c>
      <c r="D481">
        <v>20</v>
      </c>
      <c r="E481">
        <f>MONTH(makulatura3[[#This Row],[Data_dostarczenia]])</f>
        <v>3</v>
      </c>
    </row>
    <row r="482" spans="1:5" x14ac:dyDescent="0.25">
      <c r="A482" s="1">
        <v>42801</v>
      </c>
      <c r="B482" s="2" t="s">
        <v>97</v>
      </c>
      <c r="C482" s="2" t="s">
        <v>309</v>
      </c>
      <c r="D482">
        <v>3</v>
      </c>
      <c r="E482">
        <f>MONTH(makulatura3[[#This Row],[Data_dostarczenia]])</f>
        <v>3</v>
      </c>
    </row>
    <row r="483" spans="1:5" x14ac:dyDescent="0.25">
      <c r="A483" s="1">
        <v>42801</v>
      </c>
      <c r="B483" s="2" t="s">
        <v>87</v>
      </c>
      <c r="C483" s="2" t="s">
        <v>259</v>
      </c>
      <c r="D483">
        <v>22</v>
      </c>
      <c r="E483">
        <f>MONTH(makulatura3[[#This Row],[Data_dostarczenia]])</f>
        <v>3</v>
      </c>
    </row>
    <row r="484" spans="1:5" x14ac:dyDescent="0.25">
      <c r="A484" s="1">
        <v>42802</v>
      </c>
      <c r="B484" s="2" t="s">
        <v>87</v>
      </c>
      <c r="C484" s="2" t="s">
        <v>397</v>
      </c>
      <c r="D484">
        <v>14</v>
      </c>
      <c r="E484">
        <f>MONTH(makulatura3[[#This Row],[Data_dostarczenia]])</f>
        <v>3</v>
      </c>
    </row>
    <row r="485" spans="1:5" x14ac:dyDescent="0.25">
      <c r="A485" s="1">
        <v>42802</v>
      </c>
      <c r="B485" s="2" t="s">
        <v>155</v>
      </c>
      <c r="C485" s="2" t="s">
        <v>186</v>
      </c>
      <c r="D485">
        <v>17</v>
      </c>
      <c r="E485">
        <f>MONTH(makulatura3[[#This Row],[Data_dostarczenia]])</f>
        <v>3</v>
      </c>
    </row>
    <row r="486" spans="1:5" x14ac:dyDescent="0.25">
      <c r="A486" s="1">
        <v>42802</v>
      </c>
      <c r="B486" s="2" t="s">
        <v>30</v>
      </c>
      <c r="C486" s="2" t="s">
        <v>89</v>
      </c>
      <c r="D486">
        <v>3</v>
      </c>
      <c r="E486">
        <f>MONTH(makulatura3[[#This Row],[Data_dostarczenia]])</f>
        <v>3</v>
      </c>
    </row>
    <row r="487" spans="1:5" x14ac:dyDescent="0.25">
      <c r="A487" s="1">
        <v>42802</v>
      </c>
      <c r="B487" s="2" t="s">
        <v>453</v>
      </c>
      <c r="C487" s="2" t="s">
        <v>454</v>
      </c>
      <c r="D487">
        <v>10</v>
      </c>
      <c r="E487">
        <f>MONTH(makulatura3[[#This Row],[Data_dostarczenia]])</f>
        <v>3</v>
      </c>
    </row>
    <row r="488" spans="1:5" x14ac:dyDescent="0.25">
      <c r="A488" s="1">
        <v>42802</v>
      </c>
      <c r="B488" s="2" t="s">
        <v>178</v>
      </c>
      <c r="C488" s="2" t="s">
        <v>242</v>
      </c>
      <c r="D488">
        <v>14</v>
      </c>
      <c r="E488">
        <f>MONTH(makulatura3[[#This Row],[Data_dostarczenia]])</f>
        <v>3</v>
      </c>
    </row>
    <row r="489" spans="1:5" x14ac:dyDescent="0.25">
      <c r="A489" s="1">
        <v>42802</v>
      </c>
      <c r="B489" s="2" t="s">
        <v>393</v>
      </c>
      <c r="C489" s="2" t="s">
        <v>398</v>
      </c>
      <c r="D489">
        <v>3</v>
      </c>
      <c r="E489">
        <f>MONTH(makulatura3[[#This Row],[Data_dostarczenia]])</f>
        <v>3</v>
      </c>
    </row>
    <row r="490" spans="1:5" x14ac:dyDescent="0.25">
      <c r="A490" s="1">
        <v>42802</v>
      </c>
      <c r="B490" s="2" t="s">
        <v>141</v>
      </c>
      <c r="C490" s="2" t="s">
        <v>364</v>
      </c>
      <c r="D490">
        <v>22</v>
      </c>
      <c r="E490">
        <f>MONTH(makulatura3[[#This Row],[Data_dostarczenia]])</f>
        <v>3</v>
      </c>
    </row>
    <row r="491" spans="1:5" x14ac:dyDescent="0.25">
      <c r="A491" s="1">
        <v>42802</v>
      </c>
      <c r="B491" s="2" t="s">
        <v>83</v>
      </c>
      <c r="C491" s="2" t="s">
        <v>455</v>
      </c>
      <c r="D491">
        <v>11</v>
      </c>
      <c r="E491">
        <f>MONTH(makulatura3[[#This Row],[Data_dostarczenia]])</f>
        <v>3</v>
      </c>
    </row>
    <row r="492" spans="1:5" x14ac:dyDescent="0.25">
      <c r="A492" s="1">
        <v>42802</v>
      </c>
      <c r="B492" s="2" t="s">
        <v>32</v>
      </c>
      <c r="C492" s="2" t="s">
        <v>406</v>
      </c>
      <c r="D492">
        <v>7</v>
      </c>
      <c r="E492">
        <f>MONTH(makulatura3[[#This Row],[Data_dostarczenia]])</f>
        <v>3</v>
      </c>
    </row>
    <row r="493" spans="1:5" x14ac:dyDescent="0.25">
      <c r="A493" s="1">
        <v>42803</v>
      </c>
      <c r="B493" s="2" t="s">
        <v>87</v>
      </c>
      <c r="C493" s="2" t="s">
        <v>88</v>
      </c>
      <c r="D493">
        <v>13</v>
      </c>
      <c r="E493">
        <f>MONTH(makulatura3[[#This Row],[Data_dostarczenia]])</f>
        <v>3</v>
      </c>
    </row>
    <row r="494" spans="1:5" x14ac:dyDescent="0.25">
      <c r="A494" s="1">
        <v>42803</v>
      </c>
      <c r="B494" s="2" t="s">
        <v>55</v>
      </c>
      <c r="C494" s="2" t="s">
        <v>456</v>
      </c>
      <c r="D494">
        <v>47</v>
      </c>
      <c r="E494">
        <f>MONTH(makulatura3[[#This Row],[Data_dostarczenia]])</f>
        <v>3</v>
      </c>
    </row>
    <row r="495" spans="1:5" x14ac:dyDescent="0.25">
      <c r="A495" s="1">
        <v>42803</v>
      </c>
      <c r="B495" s="2" t="s">
        <v>155</v>
      </c>
      <c r="C495" s="2" t="s">
        <v>156</v>
      </c>
      <c r="D495">
        <v>22</v>
      </c>
      <c r="E495">
        <f>MONTH(makulatura3[[#This Row],[Data_dostarczenia]])</f>
        <v>3</v>
      </c>
    </row>
    <row r="496" spans="1:5" x14ac:dyDescent="0.25">
      <c r="A496" s="1">
        <v>42803</v>
      </c>
      <c r="B496" s="2" t="s">
        <v>97</v>
      </c>
      <c r="C496" s="2" t="s">
        <v>457</v>
      </c>
      <c r="D496">
        <v>10</v>
      </c>
      <c r="E496">
        <f>MONTH(makulatura3[[#This Row],[Data_dostarczenia]])</f>
        <v>3</v>
      </c>
    </row>
    <row r="497" spans="1:5" x14ac:dyDescent="0.25">
      <c r="A497" s="1">
        <v>42803</v>
      </c>
      <c r="B497" s="2" t="s">
        <v>310</v>
      </c>
      <c r="C497" s="2" t="s">
        <v>458</v>
      </c>
      <c r="D497">
        <v>38</v>
      </c>
      <c r="E497">
        <f>MONTH(makulatura3[[#This Row],[Data_dostarczenia]])</f>
        <v>3</v>
      </c>
    </row>
    <row r="498" spans="1:5" x14ac:dyDescent="0.25">
      <c r="A498" s="1">
        <v>42803</v>
      </c>
      <c r="B498" s="2" t="s">
        <v>55</v>
      </c>
      <c r="C498" s="2" t="s">
        <v>459</v>
      </c>
      <c r="D498">
        <v>48</v>
      </c>
      <c r="E498">
        <f>MONTH(makulatura3[[#This Row],[Data_dostarczenia]])</f>
        <v>3</v>
      </c>
    </row>
    <row r="499" spans="1:5" x14ac:dyDescent="0.25">
      <c r="A499" s="1">
        <v>42803</v>
      </c>
      <c r="B499" s="2" t="s">
        <v>67</v>
      </c>
      <c r="C499" s="2" t="s">
        <v>460</v>
      </c>
      <c r="D499">
        <v>9</v>
      </c>
      <c r="E499">
        <f>MONTH(makulatura3[[#This Row],[Data_dostarczenia]])</f>
        <v>3</v>
      </c>
    </row>
    <row r="500" spans="1:5" x14ac:dyDescent="0.25">
      <c r="A500" s="1">
        <v>42803</v>
      </c>
      <c r="B500" s="2" t="s">
        <v>101</v>
      </c>
      <c r="C500" s="2" t="s">
        <v>212</v>
      </c>
      <c r="D500">
        <v>6</v>
      </c>
      <c r="E500">
        <f>MONTH(makulatura3[[#This Row],[Data_dostarczenia]])</f>
        <v>3</v>
      </c>
    </row>
    <row r="501" spans="1:5" x14ac:dyDescent="0.25">
      <c r="A501" s="1">
        <v>42803</v>
      </c>
      <c r="B501" s="2" t="s">
        <v>195</v>
      </c>
      <c r="C501" s="2" t="s">
        <v>196</v>
      </c>
      <c r="D501">
        <v>13</v>
      </c>
      <c r="E501">
        <f>MONTH(makulatura3[[#This Row],[Data_dostarczenia]])</f>
        <v>3</v>
      </c>
    </row>
    <row r="502" spans="1:5" x14ac:dyDescent="0.25">
      <c r="A502" s="1">
        <v>42804</v>
      </c>
      <c r="B502" s="2" t="s">
        <v>97</v>
      </c>
      <c r="C502" s="2" t="s">
        <v>181</v>
      </c>
      <c r="D502">
        <v>30</v>
      </c>
      <c r="E502">
        <f>MONTH(makulatura3[[#This Row],[Data_dostarczenia]])</f>
        <v>3</v>
      </c>
    </row>
    <row r="503" spans="1:5" x14ac:dyDescent="0.25">
      <c r="A503" s="1">
        <v>42804</v>
      </c>
      <c r="B503" s="2" t="s">
        <v>69</v>
      </c>
      <c r="C503" s="2" t="s">
        <v>461</v>
      </c>
      <c r="D503">
        <v>3</v>
      </c>
      <c r="E503">
        <f>MONTH(makulatura3[[#This Row],[Data_dostarczenia]])</f>
        <v>3</v>
      </c>
    </row>
    <row r="504" spans="1:5" x14ac:dyDescent="0.25">
      <c r="A504" s="1">
        <v>42804</v>
      </c>
      <c r="B504" s="2" t="s">
        <v>12</v>
      </c>
      <c r="C504" s="2" t="s">
        <v>38</v>
      </c>
      <c r="D504">
        <v>8</v>
      </c>
      <c r="E504">
        <f>MONTH(makulatura3[[#This Row],[Data_dostarczenia]])</f>
        <v>3</v>
      </c>
    </row>
    <row r="505" spans="1:5" x14ac:dyDescent="0.25">
      <c r="A505" s="1">
        <v>42804</v>
      </c>
      <c r="B505" s="2" t="s">
        <v>178</v>
      </c>
      <c r="C505" s="2" t="s">
        <v>242</v>
      </c>
      <c r="D505">
        <v>12</v>
      </c>
      <c r="E505">
        <f>MONTH(makulatura3[[#This Row],[Data_dostarczenia]])</f>
        <v>3</v>
      </c>
    </row>
    <row r="506" spans="1:5" x14ac:dyDescent="0.25">
      <c r="A506" s="1">
        <v>42804</v>
      </c>
      <c r="B506" s="2" t="s">
        <v>16</v>
      </c>
      <c r="C506" s="2" t="s">
        <v>440</v>
      </c>
      <c r="D506">
        <v>14</v>
      </c>
      <c r="E506">
        <f>MONTH(makulatura3[[#This Row],[Data_dostarczenia]])</f>
        <v>3</v>
      </c>
    </row>
    <row r="507" spans="1:5" x14ac:dyDescent="0.25">
      <c r="A507" s="1">
        <v>42804</v>
      </c>
      <c r="B507" s="2" t="s">
        <v>453</v>
      </c>
      <c r="C507" s="2" t="s">
        <v>454</v>
      </c>
      <c r="D507">
        <v>4</v>
      </c>
      <c r="E507">
        <f>MONTH(makulatura3[[#This Row],[Data_dostarczenia]])</f>
        <v>3</v>
      </c>
    </row>
    <row r="508" spans="1:5" x14ac:dyDescent="0.25">
      <c r="A508" s="1">
        <v>42804</v>
      </c>
      <c r="B508" s="2" t="s">
        <v>99</v>
      </c>
      <c r="C508" s="2" t="s">
        <v>100</v>
      </c>
      <c r="D508">
        <v>5</v>
      </c>
      <c r="E508">
        <f>MONTH(makulatura3[[#This Row],[Data_dostarczenia]])</f>
        <v>3</v>
      </c>
    </row>
    <row r="509" spans="1:5" x14ac:dyDescent="0.25">
      <c r="A509" s="1">
        <v>42804</v>
      </c>
      <c r="B509" s="2" t="s">
        <v>150</v>
      </c>
      <c r="C509" s="2" t="s">
        <v>462</v>
      </c>
      <c r="D509">
        <v>13</v>
      </c>
      <c r="E509">
        <f>MONTH(makulatura3[[#This Row],[Data_dostarczenia]])</f>
        <v>3</v>
      </c>
    </row>
    <row r="510" spans="1:5" x14ac:dyDescent="0.25">
      <c r="A510" s="1">
        <v>42804</v>
      </c>
      <c r="B510" s="2" t="s">
        <v>30</v>
      </c>
      <c r="C510" s="2" t="s">
        <v>463</v>
      </c>
      <c r="D510">
        <v>9</v>
      </c>
      <c r="E510">
        <f>MONTH(makulatura3[[#This Row],[Data_dostarczenia]])</f>
        <v>3</v>
      </c>
    </row>
    <row r="511" spans="1:5" x14ac:dyDescent="0.25">
      <c r="A511" s="1">
        <v>42807</v>
      </c>
      <c r="B511" s="2" t="s">
        <v>97</v>
      </c>
      <c r="C511" s="2" t="s">
        <v>464</v>
      </c>
      <c r="D511">
        <v>14</v>
      </c>
      <c r="E511">
        <f>MONTH(makulatura3[[#This Row],[Data_dostarczenia]])</f>
        <v>3</v>
      </c>
    </row>
    <row r="512" spans="1:5" x14ac:dyDescent="0.25">
      <c r="A512" s="1">
        <v>42807</v>
      </c>
      <c r="B512" s="2" t="s">
        <v>47</v>
      </c>
      <c r="C512" s="2" t="s">
        <v>465</v>
      </c>
      <c r="D512">
        <v>19</v>
      </c>
      <c r="E512">
        <f>MONTH(makulatura3[[#This Row],[Data_dostarczenia]])</f>
        <v>3</v>
      </c>
    </row>
    <row r="513" spans="1:5" x14ac:dyDescent="0.25">
      <c r="A513" s="1">
        <v>42807</v>
      </c>
      <c r="B513" s="2" t="s">
        <v>282</v>
      </c>
      <c r="C513" s="2" t="s">
        <v>283</v>
      </c>
      <c r="D513">
        <v>21</v>
      </c>
      <c r="E513">
        <f>MONTH(makulatura3[[#This Row],[Data_dostarczenia]])</f>
        <v>3</v>
      </c>
    </row>
    <row r="514" spans="1:5" x14ac:dyDescent="0.25">
      <c r="A514" s="1">
        <v>42807</v>
      </c>
      <c r="B514" s="2" t="s">
        <v>141</v>
      </c>
      <c r="C514" s="2" t="s">
        <v>292</v>
      </c>
      <c r="D514">
        <v>5</v>
      </c>
      <c r="E514">
        <f>MONTH(makulatura3[[#This Row],[Data_dostarczenia]])</f>
        <v>3</v>
      </c>
    </row>
    <row r="515" spans="1:5" x14ac:dyDescent="0.25">
      <c r="A515" s="1">
        <v>42807</v>
      </c>
      <c r="B515" s="2" t="s">
        <v>314</v>
      </c>
      <c r="C515" s="2" t="s">
        <v>466</v>
      </c>
      <c r="D515">
        <v>18</v>
      </c>
      <c r="E515">
        <f>MONTH(makulatura3[[#This Row],[Data_dostarczenia]])</f>
        <v>3</v>
      </c>
    </row>
    <row r="516" spans="1:5" x14ac:dyDescent="0.25">
      <c r="A516" s="1">
        <v>42807</v>
      </c>
      <c r="B516" s="2" t="s">
        <v>55</v>
      </c>
      <c r="C516" s="2" t="s">
        <v>56</v>
      </c>
      <c r="D516">
        <v>4</v>
      </c>
      <c r="E516">
        <f>MONTH(makulatura3[[#This Row],[Data_dostarczenia]])</f>
        <v>3</v>
      </c>
    </row>
    <row r="517" spans="1:5" x14ac:dyDescent="0.25">
      <c r="A517" s="1">
        <v>42807</v>
      </c>
      <c r="B517" s="2" t="s">
        <v>395</v>
      </c>
      <c r="C517" s="2" t="s">
        <v>467</v>
      </c>
      <c r="D517">
        <v>34</v>
      </c>
      <c r="E517">
        <f>MONTH(makulatura3[[#This Row],[Data_dostarczenia]])</f>
        <v>3</v>
      </c>
    </row>
    <row r="518" spans="1:5" x14ac:dyDescent="0.25">
      <c r="A518" s="1">
        <v>42807</v>
      </c>
      <c r="B518" s="2" t="s">
        <v>36</v>
      </c>
      <c r="C518" s="2" t="s">
        <v>37</v>
      </c>
      <c r="D518">
        <v>7</v>
      </c>
      <c r="E518">
        <f>MONTH(makulatura3[[#This Row],[Data_dostarczenia]])</f>
        <v>3</v>
      </c>
    </row>
    <row r="519" spans="1:5" x14ac:dyDescent="0.25">
      <c r="A519" s="1">
        <v>42807</v>
      </c>
      <c r="B519" s="2" t="s">
        <v>171</v>
      </c>
      <c r="C519" s="2" t="s">
        <v>468</v>
      </c>
      <c r="D519">
        <v>41</v>
      </c>
      <c r="E519">
        <f>MONTH(makulatura3[[#This Row],[Data_dostarczenia]])</f>
        <v>3</v>
      </c>
    </row>
    <row r="520" spans="1:5" x14ac:dyDescent="0.25">
      <c r="A520" s="1">
        <v>42808</v>
      </c>
      <c r="B520" s="2" t="s">
        <v>41</v>
      </c>
      <c r="C520" s="2" t="s">
        <v>42</v>
      </c>
      <c r="D520">
        <v>10</v>
      </c>
      <c r="E520">
        <f>MONTH(makulatura3[[#This Row],[Data_dostarczenia]])</f>
        <v>3</v>
      </c>
    </row>
    <row r="521" spans="1:5" x14ac:dyDescent="0.25">
      <c r="A521" s="1">
        <v>42808</v>
      </c>
      <c r="B521" s="2" t="s">
        <v>87</v>
      </c>
      <c r="C521" s="2" t="s">
        <v>124</v>
      </c>
      <c r="D521">
        <v>42</v>
      </c>
      <c r="E521">
        <f>MONTH(makulatura3[[#This Row],[Data_dostarczenia]])</f>
        <v>3</v>
      </c>
    </row>
    <row r="522" spans="1:5" x14ac:dyDescent="0.25">
      <c r="A522" s="1">
        <v>42808</v>
      </c>
      <c r="B522" s="2" t="s">
        <v>178</v>
      </c>
      <c r="C522" s="2" t="s">
        <v>335</v>
      </c>
      <c r="D522">
        <v>10</v>
      </c>
      <c r="E522">
        <f>MONTH(makulatura3[[#This Row],[Data_dostarczenia]])</f>
        <v>3</v>
      </c>
    </row>
    <row r="523" spans="1:5" x14ac:dyDescent="0.25">
      <c r="A523" s="1">
        <v>42808</v>
      </c>
      <c r="B523" s="2" t="s">
        <v>51</v>
      </c>
      <c r="C523" s="2" t="s">
        <v>469</v>
      </c>
      <c r="D523">
        <v>4</v>
      </c>
      <c r="E523">
        <f>MONTH(makulatura3[[#This Row],[Data_dostarczenia]])</f>
        <v>3</v>
      </c>
    </row>
    <row r="524" spans="1:5" x14ac:dyDescent="0.25">
      <c r="A524" s="1">
        <v>42808</v>
      </c>
      <c r="B524" s="2" t="s">
        <v>442</v>
      </c>
      <c r="C524" s="2" t="s">
        <v>443</v>
      </c>
      <c r="D524">
        <v>17</v>
      </c>
      <c r="E524">
        <f>MONTH(makulatura3[[#This Row],[Data_dostarczenia]])</f>
        <v>3</v>
      </c>
    </row>
    <row r="525" spans="1:5" x14ac:dyDescent="0.25">
      <c r="A525" s="1">
        <v>42808</v>
      </c>
      <c r="B525" s="2" t="s">
        <v>121</v>
      </c>
      <c r="C525" s="2" t="s">
        <v>122</v>
      </c>
      <c r="D525">
        <v>29</v>
      </c>
      <c r="E525">
        <f>MONTH(makulatura3[[#This Row],[Data_dostarczenia]])</f>
        <v>3</v>
      </c>
    </row>
    <row r="526" spans="1:5" x14ac:dyDescent="0.25">
      <c r="A526" s="1">
        <v>42808</v>
      </c>
      <c r="B526" s="2" t="s">
        <v>83</v>
      </c>
      <c r="C526" s="2" t="s">
        <v>470</v>
      </c>
      <c r="D526">
        <v>6</v>
      </c>
      <c r="E526">
        <f>MONTH(makulatura3[[#This Row],[Data_dostarczenia]])</f>
        <v>3</v>
      </c>
    </row>
    <row r="527" spans="1:5" x14ac:dyDescent="0.25">
      <c r="A527" s="1">
        <v>42808</v>
      </c>
      <c r="B527" s="2" t="s">
        <v>8</v>
      </c>
      <c r="C527" s="2" t="s">
        <v>9</v>
      </c>
      <c r="D527">
        <v>12</v>
      </c>
      <c r="E527">
        <f>MONTH(makulatura3[[#This Row],[Data_dostarczenia]])</f>
        <v>3</v>
      </c>
    </row>
    <row r="528" spans="1:5" x14ac:dyDescent="0.25">
      <c r="A528" s="1">
        <v>42808</v>
      </c>
      <c r="B528" s="2" t="s">
        <v>193</v>
      </c>
      <c r="C528" s="2" t="s">
        <v>406</v>
      </c>
      <c r="D528">
        <v>14</v>
      </c>
      <c r="E528">
        <f>MONTH(makulatura3[[#This Row],[Data_dostarczenia]])</f>
        <v>3</v>
      </c>
    </row>
    <row r="529" spans="1:5" x14ac:dyDescent="0.25">
      <c r="A529" s="1">
        <v>42809</v>
      </c>
      <c r="B529" s="2" t="s">
        <v>47</v>
      </c>
      <c r="C529" s="2" t="s">
        <v>471</v>
      </c>
      <c r="D529">
        <v>28</v>
      </c>
      <c r="E529">
        <f>MONTH(makulatura3[[#This Row],[Data_dostarczenia]])</f>
        <v>3</v>
      </c>
    </row>
    <row r="530" spans="1:5" x14ac:dyDescent="0.25">
      <c r="A530" s="1">
        <v>42809</v>
      </c>
      <c r="B530" s="2" t="s">
        <v>131</v>
      </c>
      <c r="C530" s="2" t="s">
        <v>472</v>
      </c>
      <c r="D530">
        <v>19</v>
      </c>
      <c r="E530">
        <f>MONTH(makulatura3[[#This Row],[Data_dostarczenia]])</f>
        <v>3</v>
      </c>
    </row>
    <row r="531" spans="1:5" x14ac:dyDescent="0.25">
      <c r="A531" s="1">
        <v>42809</v>
      </c>
      <c r="B531" s="2" t="s">
        <v>87</v>
      </c>
      <c r="C531" s="2" t="s">
        <v>135</v>
      </c>
      <c r="D531">
        <v>30</v>
      </c>
      <c r="E531">
        <f>MONTH(makulatura3[[#This Row],[Data_dostarczenia]])</f>
        <v>3</v>
      </c>
    </row>
    <row r="532" spans="1:5" x14ac:dyDescent="0.25">
      <c r="A532" s="1">
        <v>42809</v>
      </c>
      <c r="B532" s="2" t="s">
        <v>137</v>
      </c>
      <c r="C532" s="2" t="s">
        <v>473</v>
      </c>
      <c r="D532">
        <v>54</v>
      </c>
      <c r="E532">
        <f>MONTH(makulatura3[[#This Row],[Data_dostarczenia]])</f>
        <v>3</v>
      </c>
    </row>
    <row r="533" spans="1:5" x14ac:dyDescent="0.25">
      <c r="A533" s="1">
        <v>42809</v>
      </c>
      <c r="B533" s="2" t="s">
        <v>131</v>
      </c>
      <c r="C533" s="2" t="s">
        <v>132</v>
      </c>
      <c r="D533">
        <v>21</v>
      </c>
      <c r="E533">
        <f>MONTH(makulatura3[[#This Row],[Data_dostarczenia]])</f>
        <v>3</v>
      </c>
    </row>
    <row r="534" spans="1:5" x14ac:dyDescent="0.25">
      <c r="A534" s="1">
        <v>42809</v>
      </c>
      <c r="B534" s="2" t="s">
        <v>4</v>
      </c>
      <c r="C534" s="2" t="s">
        <v>386</v>
      </c>
      <c r="D534">
        <v>10</v>
      </c>
      <c r="E534">
        <f>MONTH(makulatura3[[#This Row],[Data_dostarczenia]])</f>
        <v>3</v>
      </c>
    </row>
    <row r="535" spans="1:5" x14ac:dyDescent="0.25">
      <c r="A535" s="1">
        <v>42809</v>
      </c>
      <c r="B535" s="2" t="s">
        <v>97</v>
      </c>
      <c r="C535" s="2" t="s">
        <v>464</v>
      </c>
      <c r="D535">
        <v>25</v>
      </c>
      <c r="E535">
        <f>MONTH(makulatura3[[#This Row],[Data_dostarczenia]])</f>
        <v>3</v>
      </c>
    </row>
    <row r="536" spans="1:5" x14ac:dyDescent="0.25">
      <c r="A536" s="1">
        <v>42809</v>
      </c>
      <c r="B536" s="2" t="s">
        <v>36</v>
      </c>
      <c r="C536" s="2" t="s">
        <v>295</v>
      </c>
      <c r="D536">
        <v>5</v>
      </c>
      <c r="E536">
        <f>MONTH(makulatura3[[#This Row],[Data_dostarczenia]])</f>
        <v>3</v>
      </c>
    </row>
    <row r="537" spans="1:5" x14ac:dyDescent="0.25">
      <c r="A537" s="1">
        <v>42809</v>
      </c>
      <c r="B537" s="2" t="s">
        <v>30</v>
      </c>
      <c r="C537" s="2" t="s">
        <v>109</v>
      </c>
      <c r="D537">
        <v>12</v>
      </c>
      <c r="E537">
        <f>MONTH(makulatura3[[#This Row],[Data_dostarczenia]])</f>
        <v>3</v>
      </c>
    </row>
    <row r="538" spans="1:5" x14ac:dyDescent="0.25">
      <c r="A538" s="1">
        <v>42810</v>
      </c>
      <c r="B538" s="2" t="s">
        <v>150</v>
      </c>
      <c r="C538" s="2" t="s">
        <v>313</v>
      </c>
      <c r="D538">
        <v>24</v>
      </c>
      <c r="E538">
        <f>MONTH(makulatura3[[#This Row],[Data_dostarczenia]])</f>
        <v>3</v>
      </c>
    </row>
    <row r="539" spans="1:5" x14ac:dyDescent="0.25">
      <c r="A539" s="1">
        <v>42810</v>
      </c>
      <c r="B539" s="2" t="s">
        <v>106</v>
      </c>
      <c r="C539" s="2" t="s">
        <v>240</v>
      </c>
      <c r="D539">
        <v>11</v>
      </c>
      <c r="E539">
        <f>MONTH(makulatura3[[#This Row],[Data_dostarczenia]])</f>
        <v>3</v>
      </c>
    </row>
    <row r="540" spans="1:5" x14ac:dyDescent="0.25">
      <c r="A540" s="1">
        <v>42810</v>
      </c>
      <c r="B540" s="2" t="s">
        <v>36</v>
      </c>
      <c r="C540" s="2" t="s">
        <v>474</v>
      </c>
      <c r="D540">
        <v>37</v>
      </c>
      <c r="E540">
        <f>MONTH(makulatura3[[#This Row],[Data_dostarczenia]])</f>
        <v>3</v>
      </c>
    </row>
    <row r="541" spans="1:5" x14ac:dyDescent="0.25">
      <c r="A541" s="1">
        <v>42810</v>
      </c>
      <c r="B541" s="2" t="s">
        <v>178</v>
      </c>
      <c r="C541" s="2" t="s">
        <v>333</v>
      </c>
      <c r="D541">
        <v>26</v>
      </c>
      <c r="E541">
        <f>MONTH(makulatura3[[#This Row],[Data_dostarczenia]])</f>
        <v>3</v>
      </c>
    </row>
    <row r="542" spans="1:5" x14ac:dyDescent="0.25">
      <c r="A542" s="1">
        <v>42810</v>
      </c>
      <c r="B542" s="2" t="s">
        <v>208</v>
      </c>
      <c r="C542" s="2" t="s">
        <v>475</v>
      </c>
      <c r="D542">
        <v>3</v>
      </c>
      <c r="E542">
        <f>MONTH(makulatura3[[#This Row],[Data_dostarczenia]])</f>
        <v>3</v>
      </c>
    </row>
    <row r="543" spans="1:5" x14ac:dyDescent="0.25">
      <c r="A543" s="1">
        <v>42810</v>
      </c>
      <c r="B543" s="2" t="s">
        <v>476</v>
      </c>
      <c r="C543" s="2" t="s">
        <v>477</v>
      </c>
      <c r="D543">
        <v>52</v>
      </c>
      <c r="E543">
        <f>MONTH(makulatura3[[#This Row],[Data_dostarczenia]])</f>
        <v>3</v>
      </c>
    </row>
    <row r="544" spans="1:5" x14ac:dyDescent="0.25">
      <c r="A544" s="1">
        <v>42810</v>
      </c>
      <c r="B544" s="2" t="s">
        <v>10</v>
      </c>
      <c r="C544" s="2" t="s">
        <v>266</v>
      </c>
      <c r="D544">
        <v>24</v>
      </c>
      <c r="E544">
        <f>MONTH(makulatura3[[#This Row],[Data_dostarczenia]])</f>
        <v>3</v>
      </c>
    </row>
    <row r="545" spans="1:5" x14ac:dyDescent="0.25">
      <c r="A545" s="1">
        <v>42810</v>
      </c>
      <c r="B545" s="2" t="s">
        <v>12</v>
      </c>
      <c r="C545" s="2" t="s">
        <v>386</v>
      </c>
      <c r="D545">
        <v>43</v>
      </c>
      <c r="E545">
        <f>MONTH(makulatura3[[#This Row],[Data_dostarczenia]])</f>
        <v>3</v>
      </c>
    </row>
    <row r="546" spans="1:5" x14ac:dyDescent="0.25">
      <c r="A546" s="1">
        <v>42810</v>
      </c>
      <c r="B546" s="2" t="s">
        <v>128</v>
      </c>
      <c r="C546" s="2" t="s">
        <v>478</v>
      </c>
      <c r="D546">
        <v>54</v>
      </c>
      <c r="E546">
        <f>MONTH(makulatura3[[#This Row],[Data_dostarczenia]])</f>
        <v>3</v>
      </c>
    </row>
    <row r="547" spans="1:5" x14ac:dyDescent="0.25">
      <c r="A547" s="1">
        <v>42810</v>
      </c>
      <c r="B547" s="2" t="s">
        <v>119</v>
      </c>
      <c r="C547" s="2" t="s">
        <v>120</v>
      </c>
      <c r="D547">
        <v>42</v>
      </c>
      <c r="E547">
        <f>MONTH(makulatura3[[#This Row],[Data_dostarczenia]])</f>
        <v>3</v>
      </c>
    </row>
    <row r="548" spans="1:5" x14ac:dyDescent="0.25">
      <c r="A548" s="1">
        <v>42811</v>
      </c>
      <c r="B548" s="2" t="s">
        <v>479</v>
      </c>
      <c r="C548" s="2" t="s">
        <v>480</v>
      </c>
      <c r="D548">
        <v>10</v>
      </c>
      <c r="E548">
        <f>MONTH(makulatura3[[#This Row],[Data_dostarczenia]])</f>
        <v>3</v>
      </c>
    </row>
    <row r="549" spans="1:5" x14ac:dyDescent="0.25">
      <c r="A549" s="1">
        <v>42811</v>
      </c>
      <c r="B549" s="2" t="s">
        <v>232</v>
      </c>
      <c r="C549" s="2" t="s">
        <v>405</v>
      </c>
      <c r="D549">
        <v>40</v>
      </c>
      <c r="E549">
        <f>MONTH(makulatura3[[#This Row],[Data_dostarczenia]])</f>
        <v>3</v>
      </c>
    </row>
    <row r="550" spans="1:5" x14ac:dyDescent="0.25">
      <c r="A550" s="1">
        <v>42811</v>
      </c>
      <c r="B550" s="2" t="s">
        <v>34</v>
      </c>
      <c r="C550" s="2" t="s">
        <v>481</v>
      </c>
      <c r="D550">
        <v>16</v>
      </c>
      <c r="E550">
        <f>MONTH(makulatura3[[#This Row],[Data_dostarczenia]])</f>
        <v>3</v>
      </c>
    </row>
    <row r="551" spans="1:5" x14ac:dyDescent="0.25">
      <c r="A551" s="1">
        <v>42811</v>
      </c>
      <c r="B551" s="2" t="s">
        <v>299</v>
      </c>
      <c r="C551" s="2" t="s">
        <v>482</v>
      </c>
      <c r="D551">
        <v>27</v>
      </c>
      <c r="E551">
        <f>MONTH(makulatura3[[#This Row],[Data_dostarczenia]])</f>
        <v>3</v>
      </c>
    </row>
    <row r="552" spans="1:5" x14ac:dyDescent="0.25">
      <c r="A552" s="1">
        <v>42811</v>
      </c>
      <c r="B552" s="2" t="s">
        <v>8</v>
      </c>
      <c r="C552" s="2" t="s">
        <v>9</v>
      </c>
      <c r="D552">
        <v>14</v>
      </c>
      <c r="E552">
        <f>MONTH(makulatura3[[#This Row],[Data_dostarczenia]])</f>
        <v>3</v>
      </c>
    </row>
    <row r="553" spans="1:5" x14ac:dyDescent="0.25">
      <c r="A553" s="1">
        <v>42811</v>
      </c>
      <c r="B553" s="2" t="s">
        <v>131</v>
      </c>
      <c r="C553" s="2" t="s">
        <v>132</v>
      </c>
      <c r="D553">
        <v>5</v>
      </c>
      <c r="E553">
        <f>MONTH(makulatura3[[#This Row],[Data_dostarczenia]])</f>
        <v>3</v>
      </c>
    </row>
    <row r="554" spans="1:5" x14ac:dyDescent="0.25">
      <c r="A554" s="1">
        <v>42811</v>
      </c>
      <c r="B554" s="2" t="s">
        <v>101</v>
      </c>
      <c r="C554" s="2" t="s">
        <v>263</v>
      </c>
      <c r="D554">
        <v>23</v>
      </c>
      <c r="E554">
        <f>MONTH(makulatura3[[#This Row],[Data_dostarczenia]])</f>
        <v>3</v>
      </c>
    </row>
    <row r="555" spans="1:5" x14ac:dyDescent="0.25">
      <c r="A555" s="1">
        <v>42811</v>
      </c>
      <c r="B555" s="2" t="s">
        <v>67</v>
      </c>
      <c r="C555" s="2" t="s">
        <v>460</v>
      </c>
      <c r="D555">
        <v>17</v>
      </c>
      <c r="E555">
        <f>MONTH(makulatura3[[#This Row],[Data_dostarczenia]])</f>
        <v>3</v>
      </c>
    </row>
    <row r="556" spans="1:5" x14ac:dyDescent="0.25">
      <c r="A556" s="1">
        <v>42811</v>
      </c>
      <c r="B556" s="2" t="s">
        <v>193</v>
      </c>
      <c r="C556" s="2" t="s">
        <v>483</v>
      </c>
      <c r="D556">
        <v>54</v>
      </c>
      <c r="E556">
        <f>MONTH(makulatura3[[#This Row],[Data_dostarczenia]])</f>
        <v>3</v>
      </c>
    </row>
    <row r="557" spans="1:5" x14ac:dyDescent="0.25">
      <c r="A557" s="1">
        <v>42811</v>
      </c>
      <c r="B557" s="2" t="s">
        <v>484</v>
      </c>
      <c r="C557" s="2" t="s">
        <v>485</v>
      </c>
      <c r="D557">
        <v>24</v>
      </c>
      <c r="E557">
        <f>MONTH(makulatura3[[#This Row],[Data_dostarczenia]])</f>
        <v>3</v>
      </c>
    </row>
    <row r="558" spans="1:5" x14ac:dyDescent="0.25">
      <c r="A558" s="1">
        <v>42814</v>
      </c>
      <c r="B558" s="2" t="s">
        <v>176</v>
      </c>
      <c r="C558" s="2" t="s">
        <v>486</v>
      </c>
      <c r="D558">
        <v>19</v>
      </c>
      <c r="E558">
        <f>MONTH(makulatura3[[#This Row],[Data_dostarczenia]])</f>
        <v>3</v>
      </c>
    </row>
    <row r="559" spans="1:5" x14ac:dyDescent="0.25">
      <c r="A559" s="1">
        <v>42814</v>
      </c>
      <c r="B559" s="2" t="s">
        <v>232</v>
      </c>
      <c r="C559" s="2" t="s">
        <v>487</v>
      </c>
      <c r="D559">
        <v>17</v>
      </c>
      <c r="E559">
        <f>MONTH(makulatura3[[#This Row],[Data_dostarczenia]])</f>
        <v>3</v>
      </c>
    </row>
    <row r="560" spans="1:5" x14ac:dyDescent="0.25">
      <c r="A560" s="1">
        <v>42814</v>
      </c>
      <c r="B560" s="2" t="s">
        <v>81</v>
      </c>
      <c r="C560" s="2" t="s">
        <v>488</v>
      </c>
      <c r="D560">
        <v>20</v>
      </c>
      <c r="E560">
        <f>MONTH(makulatura3[[#This Row],[Data_dostarczenia]])</f>
        <v>3</v>
      </c>
    </row>
    <row r="561" spans="1:5" x14ac:dyDescent="0.25">
      <c r="A561" s="1">
        <v>42814</v>
      </c>
      <c r="B561" s="2" t="s">
        <v>193</v>
      </c>
      <c r="C561" s="2" t="s">
        <v>194</v>
      </c>
      <c r="D561">
        <v>42</v>
      </c>
      <c r="E561">
        <f>MONTH(makulatura3[[#This Row],[Data_dostarczenia]])</f>
        <v>3</v>
      </c>
    </row>
    <row r="562" spans="1:5" x14ac:dyDescent="0.25">
      <c r="A562" s="1">
        <v>42814</v>
      </c>
      <c r="B562" s="2" t="s">
        <v>36</v>
      </c>
      <c r="C562" s="2" t="s">
        <v>37</v>
      </c>
      <c r="D562">
        <v>14</v>
      </c>
      <c r="E562">
        <f>MONTH(makulatura3[[#This Row],[Data_dostarczenia]])</f>
        <v>3</v>
      </c>
    </row>
    <row r="563" spans="1:5" x14ac:dyDescent="0.25">
      <c r="A563" s="1">
        <v>42814</v>
      </c>
      <c r="B563" s="2" t="s">
        <v>4</v>
      </c>
      <c r="C563" s="2" t="s">
        <v>489</v>
      </c>
      <c r="D563">
        <v>10</v>
      </c>
      <c r="E563">
        <f>MONTH(makulatura3[[#This Row],[Data_dostarczenia]])</f>
        <v>3</v>
      </c>
    </row>
    <row r="564" spans="1:5" x14ac:dyDescent="0.25">
      <c r="A564" s="1">
        <v>42814</v>
      </c>
      <c r="B564" s="2" t="s">
        <v>36</v>
      </c>
      <c r="C564" s="2" t="s">
        <v>490</v>
      </c>
      <c r="D564">
        <v>24</v>
      </c>
      <c r="E564">
        <f>MONTH(makulatura3[[#This Row],[Data_dostarczenia]])</f>
        <v>3</v>
      </c>
    </row>
    <row r="565" spans="1:5" x14ac:dyDescent="0.25">
      <c r="A565" s="1">
        <v>42814</v>
      </c>
      <c r="B565" s="2" t="s">
        <v>97</v>
      </c>
      <c r="C565" s="2" t="s">
        <v>309</v>
      </c>
      <c r="D565">
        <v>10</v>
      </c>
      <c r="E565">
        <f>MONTH(makulatura3[[#This Row],[Data_dostarczenia]])</f>
        <v>3</v>
      </c>
    </row>
    <row r="566" spans="1:5" x14ac:dyDescent="0.25">
      <c r="A566" s="1">
        <v>42814</v>
      </c>
      <c r="B566" s="2" t="s">
        <v>314</v>
      </c>
      <c r="C566" s="2" t="s">
        <v>315</v>
      </c>
      <c r="D566">
        <v>17</v>
      </c>
      <c r="E566">
        <f>MONTH(makulatura3[[#This Row],[Data_dostarczenia]])</f>
        <v>3</v>
      </c>
    </row>
    <row r="567" spans="1:5" x14ac:dyDescent="0.25">
      <c r="A567" s="1">
        <v>42814</v>
      </c>
      <c r="B567" s="2" t="s">
        <v>8</v>
      </c>
      <c r="C567" s="2" t="s">
        <v>491</v>
      </c>
      <c r="D567">
        <v>4</v>
      </c>
      <c r="E567">
        <f>MONTH(makulatura3[[#This Row],[Data_dostarczenia]])</f>
        <v>3</v>
      </c>
    </row>
    <row r="568" spans="1:5" x14ac:dyDescent="0.25">
      <c r="A568" s="1">
        <v>42815</v>
      </c>
      <c r="B568" s="2" t="s">
        <v>55</v>
      </c>
      <c r="C568" s="2" t="s">
        <v>492</v>
      </c>
      <c r="D568">
        <v>30</v>
      </c>
      <c r="E568">
        <f>MONTH(makulatura3[[#This Row],[Data_dostarczenia]])</f>
        <v>3</v>
      </c>
    </row>
    <row r="569" spans="1:5" x14ac:dyDescent="0.25">
      <c r="A569" s="1">
        <v>42815</v>
      </c>
      <c r="B569" s="2" t="s">
        <v>374</v>
      </c>
      <c r="C569" s="2" t="s">
        <v>375</v>
      </c>
      <c r="D569">
        <v>13</v>
      </c>
      <c r="E569">
        <f>MONTH(makulatura3[[#This Row],[Data_dostarczenia]])</f>
        <v>3</v>
      </c>
    </row>
    <row r="570" spans="1:5" x14ac:dyDescent="0.25">
      <c r="A570" s="1">
        <v>42815</v>
      </c>
      <c r="B570" s="2" t="s">
        <v>206</v>
      </c>
      <c r="C570" s="2" t="s">
        <v>332</v>
      </c>
      <c r="D570">
        <v>8</v>
      </c>
      <c r="E570">
        <f>MONTH(makulatura3[[#This Row],[Data_dostarczenia]])</f>
        <v>3</v>
      </c>
    </row>
    <row r="571" spans="1:5" x14ac:dyDescent="0.25">
      <c r="A571" s="1">
        <v>42815</v>
      </c>
      <c r="B571" s="2" t="s">
        <v>55</v>
      </c>
      <c r="C571" s="2" t="s">
        <v>493</v>
      </c>
      <c r="D571">
        <v>21</v>
      </c>
      <c r="E571">
        <f>MONTH(makulatura3[[#This Row],[Data_dostarczenia]])</f>
        <v>3</v>
      </c>
    </row>
    <row r="572" spans="1:5" x14ac:dyDescent="0.25">
      <c r="A572" s="1">
        <v>42815</v>
      </c>
      <c r="B572" s="2" t="s">
        <v>494</v>
      </c>
      <c r="C572" s="2" t="s">
        <v>495</v>
      </c>
      <c r="D572">
        <v>7</v>
      </c>
      <c r="E572">
        <f>MONTH(makulatura3[[#This Row],[Data_dostarczenia]])</f>
        <v>3</v>
      </c>
    </row>
    <row r="573" spans="1:5" x14ac:dyDescent="0.25">
      <c r="A573" s="1">
        <v>42815</v>
      </c>
      <c r="B573" s="2" t="s">
        <v>97</v>
      </c>
      <c r="C573" s="2" t="s">
        <v>188</v>
      </c>
      <c r="D573">
        <v>13</v>
      </c>
      <c r="E573">
        <f>MONTH(makulatura3[[#This Row],[Data_dostarczenia]])</f>
        <v>3</v>
      </c>
    </row>
    <row r="574" spans="1:5" x14ac:dyDescent="0.25">
      <c r="A574" s="1">
        <v>42815</v>
      </c>
      <c r="B574" s="2" t="s">
        <v>81</v>
      </c>
      <c r="C574" s="2" t="s">
        <v>496</v>
      </c>
      <c r="D574">
        <v>19</v>
      </c>
      <c r="E574">
        <f>MONTH(makulatura3[[#This Row],[Data_dostarczenia]])</f>
        <v>3</v>
      </c>
    </row>
    <row r="575" spans="1:5" x14ac:dyDescent="0.25">
      <c r="A575" s="1">
        <v>42815</v>
      </c>
      <c r="B575" s="2" t="s">
        <v>128</v>
      </c>
      <c r="C575" s="2" t="s">
        <v>309</v>
      </c>
      <c r="D575">
        <v>47</v>
      </c>
      <c r="E575">
        <f>MONTH(makulatura3[[#This Row],[Data_dostarczenia]])</f>
        <v>3</v>
      </c>
    </row>
    <row r="576" spans="1:5" x14ac:dyDescent="0.25">
      <c r="A576" s="1">
        <v>42815</v>
      </c>
      <c r="B576" s="2" t="s">
        <v>355</v>
      </c>
      <c r="C576" s="2" t="s">
        <v>356</v>
      </c>
      <c r="D576">
        <v>15</v>
      </c>
      <c r="E576">
        <f>MONTH(makulatura3[[#This Row],[Data_dostarczenia]])</f>
        <v>3</v>
      </c>
    </row>
    <row r="577" spans="1:5" x14ac:dyDescent="0.25">
      <c r="A577" s="1">
        <v>42815</v>
      </c>
      <c r="B577" s="2" t="s">
        <v>355</v>
      </c>
      <c r="C577" s="2" t="s">
        <v>497</v>
      </c>
      <c r="D577">
        <v>50</v>
      </c>
      <c r="E577">
        <f>MONTH(makulatura3[[#This Row],[Data_dostarczenia]])</f>
        <v>3</v>
      </c>
    </row>
    <row r="578" spans="1:5" x14ac:dyDescent="0.25">
      <c r="A578" s="1">
        <v>42816</v>
      </c>
      <c r="B578" s="2" t="s">
        <v>498</v>
      </c>
      <c r="C578" s="2" t="s">
        <v>110</v>
      </c>
      <c r="D578">
        <v>10</v>
      </c>
      <c r="E578">
        <f>MONTH(makulatura3[[#This Row],[Data_dostarczenia]])</f>
        <v>3</v>
      </c>
    </row>
    <row r="579" spans="1:5" x14ac:dyDescent="0.25">
      <c r="A579" s="1">
        <v>42816</v>
      </c>
      <c r="B579" s="2" t="s">
        <v>267</v>
      </c>
      <c r="C579" s="2" t="s">
        <v>268</v>
      </c>
      <c r="D579">
        <v>21</v>
      </c>
      <c r="E579">
        <f>MONTH(makulatura3[[#This Row],[Data_dostarczenia]])</f>
        <v>3</v>
      </c>
    </row>
    <row r="580" spans="1:5" x14ac:dyDescent="0.25">
      <c r="A580" s="1">
        <v>42816</v>
      </c>
      <c r="B580" s="2" t="s">
        <v>133</v>
      </c>
      <c r="C580" s="2" t="s">
        <v>499</v>
      </c>
      <c r="D580">
        <v>7</v>
      </c>
      <c r="E580">
        <f>MONTH(makulatura3[[#This Row],[Data_dostarczenia]])</f>
        <v>3</v>
      </c>
    </row>
    <row r="581" spans="1:5" x14ac:dyDescent="0.25">
      <c r="A581" s="1">
        <v>42816</v>
      </c>
      <c r="B581" s="2" t="s">
        <v>47</v>
      </c>
      <c r="C581" s="2" t="s">
        <v>334</v>
      </c>
      <c r="D581">
        <v>13</v>
      </c>
      <c r="E581">
        <f>MONTH(makulatura3[[#This Row],[Data_dostarczenia]])</f>
        <v>3</v>
      </c>
    </row>
    <row r="582" spans="1:5" x14ac:dyDescent="0.25">
      <c r="A582" s="1">
        <v>42816</v>
      </c>
      <c r="B582" s="2" t="s">
        <v>18</v>
      </c>
      <c r="C582" s="2" t="s">
        <v>19</v>
      </c>
      <c r="D582">
        <v>27</v>
      </c>
      <c r="E582">
        <f>MONTH(makulatura3[[#This Row],[Data_dostarczenia]])</f>
        <v>3</v>
      </c>
    </row>
    <row r="583" spans="1:5" x14ac:dyDescent="0.25">
      <c r="A583" s="1">
        <v>42816</v>
      </c>
      <c r="B583" s="2" t="s">
        <v>75</v>
      </c>
      <c r="C583" s="2" t="s">
        <v>500</v>
      </c>
      <c r="D583">
        <v>23</v>
      </c>
      <c r="E583">
        <f>MONTH(makulatura3[[#This Row],[Data_dostarczenia]])</f>
        <v>3</v>
      </c>
    </row>
    <row r="584" spans="1:5" x14ac:dyDescent="0.25">
      <c r="A584" s="1">
        <v>42816</v>
      </c>
      <c r="B584" s="2" t="s">
        <v>18</v>
      </c>
      <c r="C584" s="2" t="s">
        <v>19</v>
      </c>
      <c r="D584">
        <v>18</v>
      </c>
      <c r="E584">
        <f>MONTH(makulatura3[[#This Row],[Data_dostarczenia]])</f>
        <v>3</v>
      </c>
    </row>
    <row r="585" spans="1:5" x14ac:dyDescent="0.25">
      <c r="A585" s="1">
        <v>42816</v>
      </c>
      <c r="B585" s="2" t="s">
        <v>178</v>
      </c>
      <c r="C585" s="2" t="s">
        <v>376</v>
      </c>
      <c r="D585">
        <v>16</v>
      </c>
      <c r="E585">
        <f>MONTH(makulatura3[[#This Row],[Data_dostarczenia]])</f>
        <v>3</v>
      </c>
    </row>
    <row r="586" spans="1:5" x14ac:dyDescent="0.25">
      <c r="A586" s="1">
        <v>42816</v>
      </c>
      <c r="B586" s="2" t="s">
        <v>83</v>
      </c>
      <c r="C586" s="2" t="s">
        <v>350</v>
      </c>
      <c r="D586">
        <v>21</v>
      </c>
      <c r="E586">
        <f>MONTH(makulatura3[[#This Row],[Data_dostarczenia]])</f>
        <v>3</v>
      </c>
    </row>
    <row r="587" spans="1:5" x14ac:dyDescent="0.25">
      <c r="A587" s="1">
        <v>42816</v>
      </c>
      <c r="B587" s="2" t="s">
        <v>393</v>
      </c>
      <c r="C587" s="2" t="s">
        <v>419</v>
      </c>
      <c r="D587">
        <v>17</v>
      </c>
      <c r="E587">
        <f>MONTH(makulatura3[[#This Row],[Data_dostarczenia]])</f>
        <v>3</v>
      </c>
    </row>
    <row r="588" spans="1:5" x14ac:dyDescent="0.25">
      <c r="A588" s="1">
        <v>42817</v>
      </c>
      <c r="B588" s="2" t="s">
        <v>30</v>
      </c>
      <c r="C588" s="2" t="s">
        <v>89</v>
      </c>
      <c r="D588">
        <v>21</v>
      </c>
      <c r="E588">
        <f>MONTH(makulatura3[[#This Row],[Data_dostarczenia]])</f>
        <v>3</v>
      </c>
    </row>
    <row r="589" spans="1:5" x14ac:dyDescent="0.25">
      <c r="A589" s="1">
        <v>42817</v>
      </c>
      <c r="B589" s="2" t="s">
        <v>343</v>
      </c>
      <c r="C589" s="2" t="s">
        <v>501</v>
      </c>
      <c r="D589">
        <v>19</v>
      </c>
      <c r="E589">
        <f>MONTH(makulatura3[[#This Row],[Data_dostarczenia]])</f>
        <v>3</v>
      </c>
    </row>
    <row r="590" spans="1:5" x14ac:dyDescent="0.25">
      <c r="A590" s="1">
        <v>42817</v>
      </c>
      <c r="B590" s="2" t="s">
        <v>393</v>
      </c>
      <c r="C590" s="2" t="s">
        <v>398</v>
      </c>
      <c r="D590">
        <v>24</v>
      </c>
      <c r="E590">
        <f>MONTH(makulatura3[[#This Row],[Data_dostarczenia]])</f>
        <v>3</v>
      </c>
    </row>
    <row r="591" spans="1:5" x14ac:dyDescent="0.25">
      <c r="A591" s="1">
        <v>42817</v>
      </c>
      <c r="B591" s="2" t="s">
        <v>442</v>
      </c>
      <c r="C591" s="2" t="s">
        <v>502</v>
      </c>
      <c r="D591">
        <v>16</v>
      </c>
      <c r="E591">
        <f>MONTH(makulatura3[[#This Row],[Data_dostarczenia]])</f>
        <v>3</v>
      </c>
    </row>
    <row r="592" spans="1:5" x14ac:dyDescent="0.25">
      <c r="A592" s="1">
        <v>42817</v>
      </c>
      <c r="B592" s="2" t="s">
        <v>503</v>
      </c>
      <c r="C592" s="2" t="s">
        <v>183</v>
      </c>
      <c r="D592">
        <v>8</v>
      </c>
      <c r="E592">
        <f>MONTH(makulatura3[[#This Row],[Data_dostarczenia]])</f>
        <v>3</v>
      </c>
    </row>
    <row r="593" spans="1:5" x14ac:dyDescent="0.25">
      <c r="A593" s="1">
        <v>42817</v>
      </c>
      <c r="B593" s="2" t="s">
        <v>232</v>
      </c>
      <c r="C593" s="2" t="s">
        <v>233</v>
      </c>
      <c r="D593">
        <v>27</v>
      </c>
      <c r="E593">
        <f>MONTH(makulatura3[[#This Row],[Data_dostarczenia]])</f>
        <v>3</v>
      </c>
    </row>
    <row r="594" spans="1:5" x14ac:dyDescent="0.25">
      <c r="A594" s="1">
        <v>42817</v>
      </c>
      <c r="B594" s="2" t="s">
        <v>393</v>
      </c>
      <c r="C594" s="2" t="s">
        <v>394</v>
      </c>
      <c r="D594">
        <v>25</v>
      </c>
      <c r="E594">
        <f>MONTH(makulatura3[[#This Row],[Data_dostarczenia]])</f>
        <v>3</v>
      </c>
    </row>
    <row r="595" spans="1:5" x14ac:dyDescent="0.25">
      <c r="A595" s="1">
        <v>42817</v>
      </c>
      <c r="B595" s="2" t="s">
        <v>36</v>
      </c>
      <c r="C595" s="2" t="s">
        <v>295</v>
      </c>
      <c r="D595">
        <v>10</v>
      </c>
      <c r="E595">
        <f>MONTH(makulatura3[[#This Row],[Data_dostarczenia]])</f>
        <v>3</v>
      </c>
    </row>
    <row r="596" spans="1:5" x14ac:dyDescent="0.25">
      <c r="A596" s="1">
        <v>42817</v>
      </c>
      <c r="B596" s="2" t="s">
        <v>10</v>
      </c>
      <c r="C596" s="2" t="s">
        <v>504</v>
      </c>
      <c r="D596">
        <v>11</v>
      </c>
      <c r="E596">
        <f>MONTH(makulatura3[[#This Row],[Data_dostarczenia]])</f>
        <v>3</v>
      </c>
    </row>
    <row r="597" spans="1:5" x14ac:dyDescent="0.25">
      <c r="A597" s="1">
        <v>42817</v>
      </c>
      <c r="B597" s="2" t="s">
        <v>310</v>
      </c>
      <c r="C597" s="2" t="s">
        <v>505</v>
      </c>
      <c r="D597">
        <v>3</v>
      </c>
      <c r="E597">
        <f>MONTH(makulatura3[[#This Row],[Data_dostarczenia]])</f>
        <v>3</v>
      </c>
    </row>
    <row r="598" spans="1:5" x14ac:dyDescent="0.25">
      <c r="A598" s="1">
        <v>42818</v>
      </c>
      <c r="B598" s="2" t="s">
        <v>4</v>
      </c>
      <c r="C598" s="2" t="s">
        <v>489</v>
      </c>
      <c r="D598">
        <v>15</v>
      </c>
      <c r="E598">
        <f>MONTH(makulatura3[[#This Row],[Data_dostarczenia]])</f>
        <v>3</v>
      </c>
    </row>
    <row r="599" spans="1:5" x14ac:dyDescent="0.25">
      <c r="A599" s="1">
        <v>42818</v>
      </c>
      <c r="B599" s="2" t="s">
        <v>87</v>
      </c>
      <c r="C599" s="2" t="s">
        <v>124</v>
      </c>
      <c r="D599">
        <v>14</v>
      </c>
      <c r="E599">
        <f>MONTH(makulatura3[[#This Row],[Data_dostarczenia]])</f>
        <v>3</v>
      </c>
    </row>
    <row r="600" spans="1:5" x14ac:dyDescent="0.25">
      <c r="A600" s="1">
        <v>42818</v>
      </c>
      <c r="B600" s="2" t="s">
        <v>55</v>
      </c>
      <c r="C600" s="2" t="s">
        <v>506</v>
      </c>
      <c r="D600">
        <v>37</v>
      </c>
      <c r="E600">
        <f>MONTH(makulatura3[[#This Row],[Data_dostarczenia]])</f>
        <v>3</v>
      </c>
    </row>
    <row r="601" spans="1:5" x14ac:dyDescent="0.25">
      <c r="A601" s="1">
        <v>42818</v>
      </c>
      <c r="B601" s="2" t="s">
        <v>43</v>
      </c>
      <c r="C601" s="2" t="s">
        <v>507</v>
      </c>
      <c r="D601">
        <v>22</v>
      </c>
      <c r="E601">
        <f>MONTH(makulatura3[[#This Row],[Data_dostarczenia]])</f>
        <v>3</v>
      </c>
    </row>
    <row r="602" spans="1:5" x14ac:dyDescent="0.25">
      <c r="A602" s="1">
        <v>42818</v>
      </c>
      <c r="B602" s="2" t="s">
        <v>67</v>
      </c>
      <c r="C602" s="2" t="s">
        <v>301</v>
      </c>
      <c r="D602">
        <v>5</v>
      </c>
      <c r="E602">
        <f>MONTH(makulatura3[[#This Row],[Data_dostarczenia]])</f>
        <v>3</v>
      </c>
    </row>
    <row r="603" spans="1:5" x14ac:dyDescent="0.25">
      <c r="A603" s="1">
        <v>42818</v>
      </c>
      <c r="B603" s="2" t="s">
        <v>30</v>
      </c>
      <c r="C603" s="2" t="s">
        <v>227</v>
      </c>
      <c r="D603">
        <v>29</v>
      </c>
      <c r="E603">
        <f>MONTH(makulatura3[[#This Row],[Data_dostarczenia]])</f>
        <v>3</v>
      </c>
    </row>
    <row r="604" spans="1:5" x14ac:dyDescent="0.25">
      <c r="A604" s="1">
        <v>42818</v>
      </c>
      <c r="B604" s="2" t="s">
        <v>32</v>
      </c>
      <c r="C604" s="2" t="s">
        <v>33</v>
      </c>
      <c r="D604">
        <v>25</v>
      </c>
      <c r="E604">
        <f>MONTH(makulatura3[[#This Row],[Data_dostarczenia]])</f>
        <v>3</v>
      </c>
    </row>
    <row r="605" spans="1:5" x14ac:dyDescent="0.25">
      <c r="A605" s="1">
        <v>42818</v>
      </c>
      <c r="B605" s="2" t="s">
        <v>101</v>
      </c>
      <c r="C605" s="2" t="s">
        <v>223</v>
      </c>
      <c r="D605">
        <v>52</v>
      </c>
      <c r="E605">
        <f>MONTH(makulatura3[[#This Row],[Data_dostarczenia]])</f>
        <v>3</v>
      </c>
    </row>
    <row r="606" spans="1:5" x14ac:dyDescent="0.25">
      <c r="A606" s="1">
        <v>42818</v>
      </c>
      <c r="B606" s="2" t="s">
        <v>508</v>
      </c>
      <c r="C606" s="2" t="s">
        <v>509</v>
      </c>
      <c r="D606">
        <v>2</v>
      </c>
      <c r="E606">
        <f>MONTH(makulatura3[[#This Row],[Data_dostarczenia]])</f>
        <v>3</v>
      </c>
    </row>
    <row r="607" spans="1:5" x14ac:dyDescent="0.25">
      <c r="A607" s="1">
        <v>42818</v>
      </c>
      <c r="B607" s="2" t="s">
        <v>75</v>
      </c>
      <c r="C607" s="2" t="s">
        <v>76</v>
      </c>
      <c r="D607">
        <v>27</v>
      </c>
      <c r="E607">
        <f>MONTH(makulatura3[[#This Row],[Data_dostarczenia]])</f>
        <v>3</v>
      </c>
    </row>
    <row r="608" spans="1:5" x14ac:dyDescent="0.25">
      <c r="A608" s="1">
        <v>42821</v>
      </c>
      <c r="B608" s="2" t="s">
        <v>121</v>
      </c>
      <c r="C608" s="2" t="s">
        <v>122</v>
      </c>
      <c r="D608">
        <v>43</v>
      </c>
      <c r="E608">
        <f>MONTH(makulatura3[[#This Row],[Data_dostarczenia]])</f>
        <v>3</v>
      </c>
    </row>
    <row r="609" spans="1:5" x14ac:dyDescent="0.25">
      <c r="A609" s="1">
        <v>42821</v>
      </c>
      <c r="B609" s="2" t="s">
        <v>169</v>
      </c>
      <c r="C609" s="2" t="s">
        <v>170</v>
      </c>
      <c r="D609">
        <v>23</v>
      </c>
      <c r="E609">
        <f>MONTH(makulatura3[[#This Row],[Data_dostarczenia]])</f>
        <v>3</v>
      </c>
    </row>
    <row r="610" spans="1:5" x14ac:dyDescent="0.25">
      <c r="A610" s="1">
        <v>42821</v>
      </c>
      <c r="B610" s="2" t="s">
        <v>361</v>
      </c>
      <c r="C610" s="2" t="s">
        <v>362</v>
      </c>
      <c r="D610">
        <v>19</v>
      </c>
      <c r="E610">
        <f>MONTH(makulatura3[[#This Row],[Data_dostarczenia]])</f>
        <v>3</v>
      </c>
    </row>
    <row r="611" spans="1:5" x14ac:dyDescent="0.25">
      <c r="A611" s="1">
        <v>42821</v>
      </c>
      <c r="B611" s="2" t="s">
        <v>16</v>
      </c>
      <c r="C611" s="2" t="s">
        <v>440</v>
      </c>
      <c r="D611">
        <v>36</v>
      </c>
      <c r="E611">
        <f>MONTH(makulatura3[[#This Row],[Data_dostarczenia]])</f>
        <v>3</v>
      </c>
    </row>
    <row r="612" spans="1:5" x14ac:dyDescent="0.25">
      <c r="A612" s="1">
        <v>42821</v>
      </c>
      <c r="B612" s="2" t="s">
        <v>57</v>
      </c>
      <c r="C612" s="2" t="s">
        <v>418</v>
      </c>
      <c r="D612">
        <v>26</v>
      </c>
      <c r="E612">
        <f>MONTH(makulatura3[[#This Row],[Data_dostarczenia]])</f>
        <v>3</v>
      </c>
    </row>
    <row r="613" spans="1:5" x14ac:dyDescent="0.25">
      <c r="A613" s="1">
        <v>42821</v>
      </c>
      <c r="B613" s="2" t="s">
        <v>143</v>
      </c>
      <c r="C613" s="2" t="s">
        <v>510</v>
      </c>
      <c r="D613">
        <v>24</v>
      </c>
      <c r="E613">
        <f>MONTH(makulatura3[[#This Row],[Data_dostarczenia]])</f>
        <v>3</v>
      </c>
    </row>
    <row r="614" spans="1:5" x14ac:dyDescent="0.25">
      <c r="A614" s="1">
        <v>42821</v>
      </c>
      <c r="B614" s="2" t="s">
        <v>119</v>
      </c>
      <c r="C614" s="2" t="s">
        <v>380</v>
      </c>
      <c r="D614">
        <v>5</v>
      </c>
      <c r="E614">
        <f>MONTH(makulatura3[[#This Row],[Data_dostarczenia]])</f>
        <v>3</v>
      </c>
    </row>
    <row r="615" spans="1:5" x14ac:dyDescent="0.25">
      <c r="A615" s="1">
        <v>42821</v>
      </c>
      <c r="B615" s="2" t="s">
        <v>39</v>
      </c>
      <c r="C615" s="2" t="s">
        <v>391</v>
      </c>
      <c r="D615">
        <v>53</v>
      </c>
      <c r="E615">
        <f>MONTH(makulatura3[[#This Row],[Data_dostarczenia]])</f>
        <v>3</v>
      </c>
    </row>
    <row r="616" spans="1:5" x14ac:dyDescent="0.25">
      <c r="A616" s="1">
        <v>42821</v>
      </c>
      <c r="B616" s="2" t="s">
        <v>10</v>
      </c>
      <c r="C616" s="2" t="s">
        <v>504</v>
      </c>
      <c r="D616">
        <v>18</v>
      </c>
      <c r="E616">
        <f>MONTH(makulatura3[[#This Row],[Data_dostarczenia]])</f>
        <v>3</v>
      </c>
    </row>
    <row r="617" spans="1:5" x14ac:dyDescent="0.25">
      <c r="A617" s="1">
        <v>42821</v>
      </c>
      <c r="B617" s="2" t="s">
        <v>36</v>
      </c>
      <c r="C617" s="2" t="s">
        <v>490</v>
      </c>
      <c r="D617">
        <v>15</v>
      </c>
      <c r="E617">
        <f>MONTH(makulatura3[[#This Row],[Data_dostarczenia]])</f>
        <v>3</v>
      </c>
    </row>
    <row r="618" spans="1:5" x14ac:dyDescent="0.25">
      <c r="A618" s="1">
        <v>42822</v>
      </c>
      <c r="B618" s="2" t="s">
        <v>152</v>
      </c>
      <c r="C618" s="2" t="s">
        <v>511</v>
      </c>
      <c r="D618">
        <v>20</v>
      </c>
      <c r="E618">
        <f>MONTH(makulatura3[[#This Row],[Data_dostarczenia]])</f>
        <v>3</v>
      </c>
    </row>
    <row r="619" spans="1:5" x14ac:dyDescent="0.25">
      <c r="A619" s="1">
        <v>42822</v>
      </c>
      <c r="B619" s="2" t="s">
        <v>141</v>
      </c>
      <c r="C619" s="2" t="s">
        <v>512</v>
      </c>
      <c r="D619">
        <v>34</v>
      </c>
      <c r="E619">
        <f>MONTH(makulatura3[[#This Row],[Data_dostarczenia]])</f>
        <v>3</v>
      </c>
    </row>
    <row r="620" spans="1:5" x14ac:dyDescent="0.25">
      <c r="A620" s="1">
        <v>42822</v>
      </c>
      <c r="B620" s="2" t="s">
        <v>63</v>
      </c>
      <c r="C620" s="2" t="s">
        <v>64</v>
      </c>
      <c r="D620">
        <v>35</v>
      </c>
      <c r="E620">
        <f>MONTH(makulatura3[[#This Row],[Data_dostarczenia]])</f>
        <v>3</v>
      </c>
    </row>
    <row r="621" spans="1:5" x14ac:dyDescent="0.25">
      <c r="A621" s="1">
        <v>42822</v>
      </c>
      <c r="B621" s="2" t="s">
        <v>83</v>
      </c>
      <c r="C621" s="2" t="s">
        <v>513</v>
      </c>
      <c r="D621">
        <v>29</v>
      </c>
      <c r="E621">
        <f>MONTH(makulatura3[[#This Row],[Data_dostarczenia]])</f>
        <v>3</v>
      </c>
    </row>
    <row r="622" spans="1:5" x14ac:dyDescent="0.25">
      <c r="A622" s="1">
        <v>42822</v>
      </c>
      <c r="B622" s="2" t="s">
        <v>442</v>
      </c>
      <c r="C622" s="2" t="s">
        <v>502</v>
      </c>
      <c r="D622">
        <v>7</v>
      </c>
      <c r="E622">
        <f>MONTH(makulatura3[[#This Row],[Data_dostarczenia]])</f>
        <v>3</v>
      </c>
    </row>
    <row r="623" spans="1:5" x14ac:dyDescent="0.25">
      <c r="A623" s="1">
        <v>42822</v>
      </c>
      <c r="B623" s="2" t="s">
        <v>41</v>
      </c>
      <c r="C623" s="2" t="s">
        <v>238</v>
      </c>
      <c r="D623">
        <v>10</v>
      </c>
      <c r="E623">
        <f>MONTH(makulatura3[[#This Row],[Data_dostarczenia]])</f>
        <v>3</v>
      </c>
    </row>
    <row r="624" spans="1:5" x14ac:dyDescent="0.25">
      <c r="A624" s="1">
        <v>42822</v>
      </c>
      <c r="B624" s="2" t="s">
        <v>514</v>
      </c>
      <c r="C624" s="2" t="s">
        <v>515</v>
      </c>
      <c r="D624">
        <v>14</v>
      </c>
      <c r="E624">
        <f>MONTH(makulatura3[[#This Row],[Data_dostarczenia]])</f>
        <v>3</v>
      </c>
    </row>
    <row r="625" spans="1:5" x14ac:dyDescent="0.25">
      <c r="A625" s="1">
        <v>42822</v>
      </c>
      <c r="B625" s="2" t="s">
        <v>234</v>
      </c>
      <c r="C625" s="2" t="s">
        <v>516</v>
      </c>
      <c r="D625">
        <v>23</v>
      </c>
      <c r="E625">
        <f>MONTH(makulatura3[[#This Row],[Data_dostarczenia]])</f>
        <v>3</v>
      </c>
    </row>
    <row r="626" spans="1:5" x14ac:dyDescent="0.25">
      <c r="A626" s="1">
        <v>42822</v>
      </c>
      <c r="B626" s="2" t="s">
        <v>232</v>
      </c>
      <c r="C626" s="2" t="s">
        <v>487</v>
      </c>
      <c r="D626">
        <v>26</v>
      </c>
      <c r="E626">
        <f>MONTH(makulatura3[[#This Row],[Data_dostarczenia]])</f>
        <v>3</v>
      </c>
    </row>
    <row r="627" spans="1:5" x14ac:dyDescent="0.25">
      <c r="A627" s="1">
        <v>42822</v>
      </c>
      <c r="B627" s="2" t="s">
        <v>280</v>
      </c>
      <c r="C627" s="2" t="s">
        <v>281</v>
      </c>
      <c r="D627">
        <v>2</v>
      </c>
      <c r="E627">
        <f>MONTH(makulatura3[[#This Row],[Data_dostarczenia]])</f>
        <v>3</v>
      </c>
    </row>
    <row r="628" spans="1:5" x14ac:dyDescent="0.25">
      <c r="A628" s="1">
        <v>42823</v>
      </c>
      <c r="B628" s="2" t="s">
        <v>119</v>
      </c>
      <c r="C628" s="2" t="s">
        <v>319</v>
      </c>
      <c r="D628">
        <v>36</v>
      </c>
      <c r="E628">
        <f>MONTH(makulatura3[[#This Row],[Data_dostarczenia]])</f>
        <v>3</v>
      </c>
    </row>
    <row r="629" spans="1:5" x14ac:dyDescent="0.25">
      <c r="A629" s="1">
        <v>42823</v>
      </c>
      <c r="B629" s="2" t="s">
        <v>119</v>
      </c>
      <c r="C629" s="2" t="s">
        <v>517</v>
      </c>
      <c r="D629">
        <v>18</v>
      </c>
      <c r="E629">
        <f>MONTH(makulatura3[[#This Row],[Data_dostarczenia]])</f>
        <v>3</v>
      </c>
    </row>
    <row r="630" spans="1:5" x14ac:dyDescent="0.25">
      <c r="A630" s="1">
        <v>42823</v>
      </c>
      <c r="B630" s="2" t="s">
        <v>83</v>
      </c>
      <c r="C630" s="2" t="s">
        <v>518</v>
      </c>
      <c r="D630">
        <v>23</v>
      </c>
      <c r="E630">
        <f>MONTH(makulatura3[[#This Row],[Data_dostarczenia]])</f>
        <v>3</v>
      </c>
    </row>
    <row r="631" spans="1:5" x14ac:dyDescent="0.25">
      <c r="A631" s="1">
        <v>42823</v>
      </c>
      <c r="B631" s="2" t="s">
        <v>143</v>
      </c>
      <c r="C631" s="2" t="s">
        <v>510</v>
      </c>
      <c r="D631">
        <v>20</v>
      </c>
      <c r="E631">
        <f>MONTH(makulatura3[[#This Row],[Data_dostarczenia]])</f>
        <v>3</v>
      </c>
    </row>
    <row r="632" spans="1:5" x14ac:dyDescent="0.25">
      <c r="A632" s="1">
        <v>42823</v>
      </c>
      <c r="B632" s="2" t="s">
        <v>193</v>
      </c>
      <c r="C632" s="2" t="s">
        <v>369</v>
      </c>
      <c r="D632">
        <v>16</v>
      </c>
      <c r="E632">
        <f>MONTH(makulatura3[[#This Row],[Data_dostarczenia]])</f>
        <v>3</v>
      </c>
    </row>
    <row r="633" spans="1:5" x14ac:dyDescent="0.25">
      <c r="A633" s="1">
        <v>42823</v>
      </c>
      <c r="B633" s="2" t="s">
        <v>519</v>
      </c>
      <c r="C633" s="2" t="s">
        <v>520</v>
      </c>
      <c r="D633">
        <v>7</v>
      </c>
      <c r="E633">
        <f>MONTH(makulatura3[[#This Row],[Data_dostarczenia]])</f>
        <v>3</v>
      </c>
    </row>
    <row r="634" spans="1:5" x14ac:dyDescent="0.25">
      <c r="A634" s="1">
        <v>42823</v>
      </c>
      <c r="B634" s="2" t="s">
        <v>521</v>
      </c>
      <c r="C634" s="2" t="s">
        <v>410</v>
      </c>
      <c r="D634">
        <v>47</v>
      </c>
      <c r="E634">
        <f>MONTH(makulatura3[[#This Row],[Data_dostarczenia]])</f>
        <v>3</v>
      </c>
    </row>
    <row r="635" spans="1:5" x14ac:dyDescent="0.25">
      <c r="A635" s="1">
        <v>42823</v>
      </c>
      <c r="B635" s="2" t="s">
        <v>314</v>
      </c>
      <c r="C635" s="2" t="s">
        <v>366</v>
      </c>
      <c r="D635">
        <v>9</v>
      </c>
      <c r="E635">
        <f>MONTH(makulatura3[[#This Row],[Data_dostarczenia]])</f>
        <v>3</v>
      </c>
    </row>
    <row r="636" spans="1:5" x14ac:dyDescent="0.25">
      <c r="A636" s="1">
        <v>42823</v>
      </c>
      <c r="B636" s="2" t="s">
        <v>51</v>
      </c>
      <c r="C636" s="2" t="s">
        <v>522</v>
      </c>
      <c r="D636">
        <v>11</v>
      </c>
      <c r="E636">
        <f>MONTH(makulatura3[[#This Row],[Data_dostarczenia]])</f>
        <v>3</v>
      </c>
    </row>
    <row r="637" spans="1:5" x14ac:dyDescent="0.25">
      <c r="A637" s="1">
        <v>42823</v>
      </c>
      <c r="B637" s="2" t="s">
        <v>523</v>
      </c>
      <c r="C637" s="2" t="s">
        <v>524</v>
      </c>
      <c r="D637">
        <v>12</v>
      </c>
      <c r="E637">
        <f>MONTH(makulatura3[[#This Row],[Data_dostarczenia]])</f>
        <v>3</v>
      </c>
    </row>
    <row r="638" spans="1:5" x14ac:dyDescent="0.25">
      <c r="A638" s="1">
        <v>42824</v>
      </c>
      <c r="B638" s="2" t="s">
        <v>144</v>
      </c>
      <c r="C638" s="2" t="s">
        <v>525</v>
      </c>
      <c r="D638">
        <v>2</v>
      </c>
      <c r="E638">
        <f>MONTH(makulatura3[[#This Row],[Data_dostarczenia]])</f>
        <v>3</v>
      </c>
    </row>
    <row r="639" spans="1:5" x14ac:dyDescent="0.25">
      <c r="A639" s="1">
        <v>42824</v>
      </c>
      <c r="B639" s="2" t="s">
        <v>280</v>
      </c>
      <c r="C639" s="2" t="s">
        <v>281</v>
      </c>
      <c r="D639">
        <v>23</v>
      </c>
      <c r="E639">
        <f>MONTH(makulatura3[[#This Row],[Data_dostarczenia]])</f>
        <v>3</v>
      </c>
    </row>
    <row r="640" spans="1:5" x14ac:dyDescent="0.25">
      <c r="A640" s="1">
        <v>42824</v>
      </c>
      <c r="B640" s="2" t="s">
        <v>23</v>
      </c>
      <c r="C640" s="2" t="s">
        <v>24</v>
      </c>
      <c r="D640">
        <v>52</v>
      </c>
      <c r="E640">
        <f>MONTH(makulatura3[[#This Row],[Data_dostarczenia]])</f>
        <v>3</v>
      </c>
    </row>
    <row r="641" spans="1:5" x14ac:dyDescent="0.25">
      <c r="A641" s="1">
        <v>42824</v>
      </c>
      <c r="B641" s="2" t="s">
        <v>81</v>
      </c>
      <c r="C641" s="2" t="s">
        <v>145</v>
      </c>
      <c r="D641">
        <v>10</v>
      </c>
      <c r="E641">
        <f>MONTH(makulatura3[[#This Row],[Data_dostarczenia]])</f>
        <v>3</v>
      </c>
    </row>
    <row r="642" spans="1:5" x14ac:dyDescent="0.25">
      <c r="A642" s="1">
        <v>42824</v>
      </c>
      <c r="B642" s="2" t="s">
        <v>43</v>
      </c>
      <c r="C642" s="2" t="s">
        <v>124</v>
      </c>
      <c r="D642">
        <v>47</v>
      </c>
      <c r="E642">
        <f>MONTH(makulatura3[[#This Row],[Data_dostarczenia]])</f>
        <v>3</v>
      </c>
    </row>
    <row r="643" spans="1:5" x14ac:dyDescent="0.25">
      <c r="A643" s="1">
        <v>42824</v>
      </c>
      <c r="B643" s="2" t="s">
        <v>503</v>
      </c>
      <c r="C643" s="2" t="s">
        <v>183</v>
      </c>
      <c r="D643">
        <v>20</v>
      </c>
      <c r="E643">
        <f>MONTH(makulatura3[[#This Row],[Data_dostarczenia]])</f>
        <v>3</v>
      </c>
    </row>
    <row r="644" spans="1:5" x14ac:dyDescent="0.25">
      <c r="A644" s="1">
        <v>42824</v>
      </c>
      <c r="B644" s="2" t="s">
        <v>30</v>
      </c>
      <c r="C644" s="2" t="s">
        <v>241</v>
      </c>
      <c r="D644">
        <v>3</v>
      </c>
      <c r="E644">
        <f>MONTH(makulatura3[[#This Row],[Data_dostarczenia]])</f>
        <v>3</v>
      </c>
    </row>
    <row r="645" spans="1:5" x14ac:dyDescent="0.25">
      <c r="A645" s="1">
        <v>42824</v>
      </c>
      <c r="B645" s="2" t="s">
        <v>232</v>
      </c>
      <c r="C645" s="2" t="s">
        <v>526</v>
      </c>
      <c r="D645">
        <v>9</v>
      </c>
      <c r="E645">
        <f>MONTH(makulatura3[[#This Row],[Data_dostarczenia]])</f>
        <v>3</v>
      </c>
    </row>
    <row r="646" spans="1:5" x14ac:dyDescent="0.25">
      <c r="A646" s="1">
        <v>42824</v>
      </c>
      <c r="B646" s="2" t="s">
        <v>147</v>
      </c>
      <c r="C646" s="2" t="s">
        <v>527</v>
      </c>
      <c r="D646">
        <v>22</v>
      </c>
      <c r="E646">
        <f>MONTH(makulatura3[[#This Row],[Data_dostarczenia]])</f>
        <v>3</v>
      </c>
    </row>
    <row r="647" spans="1:5" x14ac:dyDescent="0.25">
      <c r="A647" s="1">
        <v>42824</v>
      </c>
      <c r="B647" s="2" t="s">
        <v>55</v>
      </c>
      <c r="C647" s="2" t="s">
        <v>326</v>
      </c>
      <c r="D647">
        <v>9</v>
      </c>
      <c r="E647">
        <f>MONTH(makulatura3[[#This Row],[Data_dostarczenia]])</f>
        <v>3</v>
      </c>
    </row>
    <row r="648" spans="1:5" x14ac:dyDescent="0.25">
      <c r="A648" s="1">
        <v>42825</v>
      </c>
      <c r="B648" s="2" t="s">
        <v>47</v>
      </c>
      <c r="C648" s="2" t="s">
        <v>334</v>
      </c>
      <c r="D648">
        <v>30</v>
      </c>
      <c r="E648">
        <f>MONTH(makulatura3[[#This Row],[Data_dostarczenia]])</f>
        <v>3</v>
      </c>
    </row>
    <row r="649" spans="1:5" x14ac:dyDescent="0.25">
      <c r="A649" s="1">
        <v>42825</v>
      </c>
      <c r="B649" s="2" t="s">
        <v>528</v>
      </c>
      <c r="C649" s="2" t="s">
        <v>428</v>
      </c>
      <c r="D649">
        <v>18</v>
      </c>
      <c r="E649">
        <f>MONTH(makulatura3[[#This Row],[Data_dostarczenia]])</f>
        <v>3</v>
      </c>
    </row>
    <row r="650" spans="1:5" x14ac:dyDescent="0.25">
      <c r="A650" s="1">
        <v>42825</v>
      </c>
      <c r="B650" s="2" t="s">
        <v>30</v>
      </c>
      <c r="C650" s="2" t="s">
        <v>86</v>
      </c>
      <c r="D650">
        <v>55</v>
      </c>
      <c r="E650">
        <f>MONTH(makulatura3[[#This Row],[Data_dostarczenia]])</f>
        <v>3</v>
      </c>
    </row>
    <row r="651" spans="1:5" x14ac:dyDescent="0.25">
      <c r="A651" s="1">
        <v>42825</v>
      </c>
      <c r="B651" s="2" t="s">
        <v>20</v>
      </c>
      <c r="C651" s="2" t="s">
        <v>381</v>
      </c>
      <c r="D651">
        <v>17</v>
      </c>
      <c r="E651">
        <f>MONTH(makulatura3[[#This Row],[Data_dostarczenia]])</f>
        <v>3</v>
      </c>
    </row>
    <row r="652" spans="1:5" x14ac:dyDescent="0.25">
      <c r="A652" s="1">
        <v>42825</v>
      </c>
      <c r="B652" s="2" t="s">
        <v>97</v>
      </c>
      <c r="C652" s="2" t="s">
        <v>529</v>
      </c>
      <c r="D652">
        <v>30</v>
      </c>
      <c r="E652">
        <f>MONTH(makulatura3[[#This Row],[Data_dostarczenia]])</f>
        <v>3</v>
      </c>
    </row>
    <row r="653" spans="1:5" x14ac:dyDescent="0.25">
      <c r="A653" s="1">
        <v>42825</v>
      </c>
      <c r="B653" s="2" t="s">
        <v>508</v>
      </c>
      <c r="C653" s="2" t="s">
        <v>509</v>
      </c>
      <c r="D653">
        <v>4</v>
      </c>
      <c r="E653">
        <f>MONTH(makulatura3[[#This Row],[Data_dostarczenia]])</f>
        <v>3</v>
      </c>
    </row>
    <row r="654" spans="1:5" x14ac:dyDescent="0.25">
      <c r="A654" s="1">
        <v>42825</v>
      </c>
      <c r="B654" s="2" t="s">
        <v>361</v>
      </c>
      <c r="C654" s="2" t="s">
        <v>362</v>
      </c>
      <c r="D654">
        <v>21</v>
      </c>
      <c r="E654">
        <f>MONTH(makulatura3[[#This Row],[Data_dostarczenia]])</f>
        <v>3</v>
      </c>
    </row>
    <row r="655" spans="1:5" x14ac:dyDescent="0.25">
      <c r="A655" s="1">
        <v>42825</v>
      </c>
      <c r="B655" s="2" t="s">
        <v>6</v>
      </c>
      <c r="C655" s="2" t="s">
        <v>7</v>
      </c>
      <c r="D655">
        <v>7</v>
      </c>
      <c r="E655">
        <f>MONTH(makulatura3[[#This Row],[Data_dostarczenia]])</f>
        <v>3</v>
      </c>
    </row>
    <row r="656" spans="1:5" x14ac:dyDescent="0.25">
      <c r="A656" s="1">
        <v>42825</v>
      </c>
      <c r="B656" s="2" t="s">
        <v>39</v>
      </c>
      <c r="C656" s="2" t="s">
        <v>40</v>
      </c>
      <c r="D656">
        <v>20</v>
      </c>
      <c r="E656">
        <f>MONTH(makulatura3[[#This Row],[Data_dostarczenia]])</f>
        <v>3</v>
      </c>
    </row>
    <row r="657" spans="1:5" x14ac:dyDescent="0.25">
      <c r="A657" s="1">
        <v>42825</v>
      </c>
      <c r="B657" s="2" t="s">
        <v>341</v>
      </c>
      <c r="C657" s="2" t="s">
        <v>342</v>
      </c>
      <c r="D657">
        <v>6</v>
      </c>
      <c r="E657">
        <f>MONTH(makulatura3[[#This Row],[Data_dostarczenia]])</f>
        <v>3</v>
      </c>
    </row>
    <row r="658" spans="1:5" x14ac:dyDescent="0.25">
      <c r="A658" s="1">
        <v>42828</v>
      </c>
      <c r="B658" s="2" t="s">
        <v>278</v>
      </c>
      <c r="C658" s="2" t="s">
        <v>530</v>
      </c>
      <c r="D658">
        <v>12</v>
      </c>
      <c r="E658">
        <f>MONTH(makulatura3[[#This Row],[Data_dostarczenia]])</f>
        <v>4</v>
      </c>
    </row>
    <row r="659" spans="1:5" x14ac:dyDescent="0.25">
      <c r="A659" s="1">
        <v>42828</v>
      </c>
      <c r="B659" s="2" t="s">
        <v>41</v>
      </c>
      <c r="C659" s="2" t="s">
        <v>238</v>
      </c>
      <c r="D659">
        <v>29</v>
      </c>
      <c r="E659">
        <f>MONTH(makulatura3[[#This Row],[Data_dostarczenia]])</f>
        <v>4</v>
      </c>
    </row>
    <row r="660" spans="1:5" x14ac:dyDescent="0.25">
      <c r="A660" s="1">
        <v>42828</v>
      </c>
      <c r="B660" s="2" t="s">
        <v>278</v>
      </c>
      <c r="C660" s="2" t="s">
        <v>202</v>
      </c>
      <c r="D660">
        <v>2</v>
      </c>
      <c r="E660">
        <f>MONTH(makulatura3[[#This Row],[Data_dostarczenia]])</f>
        <v>4</v>
      </c>
    </row>
    <row r="661" spans="1:5" x14ac:dyDescent="0.25">
      <c r="A661" s="1">
        <v>42828</v>
      </c>
      <c r="B661" s="2" t="s">
        <v>69</v>
      </c>
      <c r="C661" s="2" t="s">
        <v>353</v>
      </c>
      <c r="D661">
        <v>27</v>
      </c>
      <c r="E661">
        <f>MONTH(makulatura3[[#This Row],[Data_dostarczenia]])</f>
        <v>4</v>
      </c>
    </row>
    <row r="662" spans="1:5" x14ac:dyDescent="0.25">
      <c r="A662" s="1">
        <v>42828</v>
      </c>
      <c r="B662" s="2" t="s">
        <v>57</v>
      </c>
      <c r="C662" s="2" t="s">
        <v>531</v>
      </c>
      <c r="D662">
        <v>9</v>
      </c>
      <c r="E662">
        <f>MONTH(makulatura3[[#This Row],[Data_dostarczenia]])</f>
        <v>4</v>
      </c>
    </row>
    <row r="663" spans="1:5" x14ac:dyDescent="0.25">
      <c r="A663" s="1">
        <v>42828</v>
      </c>
      <c r="B663" s="2" t="s">
        <v>141</v>
      </c>
      <c r="C663" s="2" t="s">
        <v>202</v>
      </c>
      <c r="D663">
        <v>25</v>
      </c>
      <c r="E663">
        <f>MONTH(makulatura3[[#This Row],[Data_dostarczenia]])</f>
        <v>4</v>
      </c>
    </row>
    <row r="664" spans="1:5" x14ac:dyDescent="0.25">
      <c r="A664" s="1">
        <v>42828</v>
      </c>
      <c r="B664" s="2" t="s">
        <v>12</v>
      </c>
      <c r="C664" s="2" t="s">
        <v>532</v>
      </c>
      <c r="D664">
        <v>45</v>
      </c>
      <c r="E664">
        <f>MONTH(makulatura3[[#This Row],[Data_dostarczenia]])</f>
        <v>4</v>
      </c>
    </row>
    <row r="665" spans="1:5" x14ac:dyDescent="0.25">
      <c r="A665" s="1">
        <v>42828</v>
      </c>
      <c r="B665" s="2" t="s">
        <v>36</v>
      </c>
      <c r="C665" s="2" t="s">
        <v>533</v>
      </c>
      <c r="D665">
        <v>12</v>
      </c>
      <c r="E665">
        <f>MONTH(makulatura3[[#This Row],[Data_dostarczenia]])</f>
        <v>4</v>
      </c>
    </row>
    <row r="666" spans="1:5" x14ac:dyDescent="0.25">
      <c r="A666" s="1">
        <v>42828</v>
      </c>
      <c r="B666" s="2" t="s">
        <v>225</v>
      </c>
      <c r="C666" s="2" t="s">
        <v>226</v>
      </c>
      <c r="D666">
        <v>44</v>
      </c>
      <c r="E666">
        <f>MONTH(makulatura3[[#This Row],[Data_dostarczenia]])</f>
        <v>4</v>
      </c>
    </row>
    <row r="667" spans="1:5" x14ac:dyDescent="0.25">
      <c r="A667" s="1">
        <v>42828</v>
      </c>
      <c r="B667" s="2" t="s">
        <v>53</v>
      </c>
      <c r="C667" s="2" t="s">
        <v>227</v>
      </c>
      <c r="D667">
        <v>18</v>
      </c>
      <c r="E667">
        <f>MONTH(makulatura3[[#This Row],[Data_dostarczenia]])</f>
        <v>4</v>
      </c>
    </row>
    <row r="668" spans="1:5" x14ac:dyDescent="0.25">
      <c r="A668" s="1">
        <v>42829</v>
      </c>
      <c r="B668" s="2" t="s">
        <v>152</v>
      </c>
      <c r="C668" s="2" t="s">
        <v>534</v>
      </c>
      <c r="D668">
        <v>16</v>
      </c>
      <c r="E668">
        <f>MONTH(makulatura3[[#This Row],[Data_dostarczenia]])</f>
        <v>4</v>
      </c>
    </row>
    <row r="669" spans="1:5" x14ac:dyDescent="0.25">
      <c r="A669" s="1">
        <v>42829</v>
      </c>
      <c r="B669" s="2" t="s">
        <v>217</v>
      </c>
      <c r="C669" s="2" t="s">
        <v>218</v>
      </c>
      <c r="D669">
        <v>18</v>
      </c>
      <c r="E669">
        <f>MONTH(makulatura3[[#This Row],[Data_dostarczenia]])</f>
        <v>4</v>
      </c>
    </row>
    <row r="670" spans="1:5" x14ac:dyDescent="0.25">
      <c r="A670" s="1">
        <v>42829</v>
      </c>
      <c r="B670" s="2" t="s">
        <v>437</v>
      </c>
      <c r="C670" s="2" t="s">
        <v>199</v>
      </c>
      <c r="D670">
        <v>6</v>
      </c>
      <c r="E670">
        <f>MONTH(makulatura3[[#This Row],[Data_dostarczenia]])</f>
        <v>4</v>
      </c>
    </row>
    <row r="671" spans="1:5" x14ac:dyDescent="0.25">
      <c r="A671" s="1">
        <v>42829</v>
      </c>
      <c r="B671" s="2" t="s">
        <v>246</v>
      </c>
      <c r="C671" s="2" t="s">
        <v>247</v>
      </c>
      <c r="D671">
        <v>17</v>
      </c>
      <c r="E671">
        <f>MONTH(makulatura3[[#This Row],[Data_dostarczenia]])</f>
        <v>4</v>
      </c>
    </row>
    <row r="672" spans="1:5" x14ac:dyDescent="0.25">
      <c r="A672" s="1">
        <v>42829</v>
      </c>
      <c r="B672" s="2" t="s">
        <v>55</v>
      </c>
      <c r="C672" s="2" t="s">
        <v>265</v>
      </c>
      <c r="D672">
        <v>18</v>
      </c>
      <c r="E672">
        <f>MONTH(makulatura3[[#This Row],[Data_dostarczenia]])</f>
        <v>4</v>
      </c>
    </row>
    <row r="673" spans="1:5" x14ac:dyDescent="0.25">
      <c r="A673" s="1">
        <v>42829</v>
      </c>
      <c r="B673" s="2" t="s">
        <v>234</v>
      </c>
      <c r="C673" s="2" t="s">
        <v>516</v>
      </c>
      <c r="D673">
        <v>4</v>
      </c>
      <c r="E673">
        <f>MONTH(makulatura3[[#This Row],[Data_dostarczenia]])</f>
        <v>4</v>
      </c>
    </row>
    <row r="674" spans="1:5" x14ac:dyDescent="0.25">
      <c r="A674" s="1">
        <v>42829</v>
      </c>
      <c r="B674" s="2" t="s">
        <v>8</v>
      </c>
      <c r="C674" s="2" t="s">
        <v>9</v>
      </c>
      <c r="D674">
        <v>13</v>
      </c>
      <c r="E674">
        <f>MONTH(makulatura3[[#This Row],[Data_dostarczenia]])</f>
        <v>4</v>
      </c>
    </row>
    <row r="675" spans="1:5" x14ac:dyDescent="0.25">
      <c r="A675" s="1">
        <v>42829</v>
      </c>
      <c r="B675" s="2" t="s">
        <v>41</v>
      </c>
      <c r="C675" s="2" t="s">
        <v>302</v>
      </c>
      <c r="D675">
        <v>52</v>
      </c>
      <c r="E675">
        <f>MONTH(makulatura3[[#This Row],[Data_dostarczenia]])</f>
        <v>4</v>
      </c>
    </row>
    <row r="676" spans="1:5" x14ac:dyDescent="0.25">
      <c r="A676" s="1">
        <v>42829</v>
      </c>
      <c r="B676" s="2" t="s">
        <v>83</v>
      </c>
      <c r="C676" s="2" t="s">
        <v>470</v>
      </c>
      <c r="D676">
        <v>10</v>
      </c>
      <c r="E676">
        <f>MONTH(makulatura3[[#This Row],[Data_dostarczenia]])</f>
        <v>4</v>
      </c>
    </row>
    <row r="677" spans="1:5" x14ac:dyDescent="0.25">
      <c r="A677" s="1">
        <v>42829</v>
      </c>
      <c r="B677" s="2" t="s">
        <v>47</v>
      </c>
      <c r="C677" s="2" t="s">
        <v>48</v>
      </c>
      <c r="D677">
        <v>33</v>
      </c>
      <c r="E677">
        <f>MONTH(makulatura3[[#This Row],[Data_dostarczenia]])</f>
        <v>4</v>
      </c>
    </row>
    <row r="678" spans="1:5" x14ac:dyDescent="0.25">
      <c r="A678" s="1">
        <v>42830</v>
      </c>
      <c r="B678" s="2" t="s">
        <v>95</v>
      </c>
      <c r="C678" s="2" t="s">
        <v>96</v>
      </c>
      <c r="D678">
        <v>6</v>
      </c>
      <c r="E678">
        <f>MONTH(makulatura3[[#This Row],[Data_dostarczenia]])</f>
        <v>4</v>
      </c>
    </row>
    <row r="679" spans="1:5" x14ac:dyDescent="0.25">
      <c r="A679" s="1">
        <v>42830</v>
      </c>
      <c r="B679" s="2" t="s">
        <v>87</v>
      </c>
      <c r="C679" s="2" t="s">
        <v>255</v>
      </c>
      <c r="D679">
        <v>21</v>
      </c>
      <c r="E679">
        <f>MONTH(makulatura3[[#This Row],[Data_dostarczenia]])</f>
        <v>4</v>
      </c>
    </row>
    <row r="680" spans="1:5" x14ac:dyDescent="0.25">
      <c r="A680" s="1">
        <v>42830</v>
      </c>
      <c r="B680" s="2" t="s">
        <v>45</v>
      </c>
      <c r="C680" s="2" t="s">
        <v>46</v>
      </c>
      <c r="D680">
        <v>2</v>
      </c>
      <c r="E680">
        <f>MONTH(makulatura3[[#This Row],[Data_dostarczenia]])</f>
        <v>4</v>
      </c>
    </row>
    <row r="681" spans="1:5" x14ac:dyDescent="0.25">
      <c r="A681" s="1">
        <v>42830</v>
      </c>
      <c r="B681" s="2" t="s">
        <v>51</v>
      </c>
      <c r="C681" s="2" t="s">
        <v>469</v>
      </c>
      <c r="D681">
        <v>16</v>
      </c>
      <c r="E681">
        <f>MONTH(makulatura3[[#This Row],[Data_dostarczenia]])</f>
        <v>4</v>
      </c>
    </row>
    <row r="682" spans="1:5" x14ac:dyDescent="0.25">
      <c r="A682" s="1">
        <v>42830</v>
      </c>
      <c r="B682" s="2" t="s">
        <v>314</v>
      </c>
      <c r="C682" s="2" t="s">
        <v>466</v>
      </c>
      <c r="D682">
        <v>23</v>
      </c>
      <c r="E682">
        <f>MONTH(makulatura3[[#This Row],[Data_dostarczenia]])</f>
        <v>4</v>
      </c>
    </row>
    <row r="683" spans="1:5" x14ac:dyDescent="0.25">
      <c r="A683" s="1">
        <v>42830</v>
      </c>
      <c r="B683" s="2" t="s">
        <v>314</v>
      </c>
      <c r="C683" s="2" t="s">
        <v>535</v>
      </c>
      <c r="D683">
        <v>50</v>
      </c>
      <c r="E683">
        <f>MONTH(makulatura3[[#This Row],[Data_dostarczenia]])</f>
        <v>4</v>
      </c>
    </row>
    <row r="684" spans="1:5" x14ac:dyDescent="0.25">
      <c r="A684" s="1">
        <v>42830</v>
      </c>
      <c r="B684" s="2" t="s">
        <v>43</v>
      </c>
      <c r="C684" s="2" t="s">
        <v>71</v>
      </c>
      <c r="D684">
        <v>26</v>
      </c>
      <c r="E684">
        <f>MONTH(makulatura3[[#This Row],[Data_dostarczenia]])</f>
        <v>4</v>
      </c>
    </row>
    <row r="685" spans="1:5" x14ac:dyDescent="0.25">
      <c r="A685" s="1">
        <v>42830</v>
      </c>
      <c r="B685" s="2" t="s">
        <v>536</v>
      </c>
      <c r="C685" s="2" t="s">
        <v>537</v>
      </c>
      <c r="D685">
        <v>42</v>
      </c>
      <c r="E685">
        <f>MONTH(makulatura3[[#This Row],[Data_dostarczenia]])</f>
        <v>4</v>
      </c>
    </row>
    <row r="686" spans="1:5" x14ac:dyDescent="0.25">
      <c r="A686" s="1">
        <v>42830</v>
      </c>
      <c r="B686" s="2" t="s">
        <v>538</v>
      </c>
      <c r="C686" s="2" t="s">
        <v>539</v>
      </c>
      <c r="D686">
        <v>39</v>
      </c>
      <c r="E686">
        <f>MONTH(makulatura3[[#This Row],[Data_dostarczenia]])</f>
        <v>4</v>
      </c>
    </row>
    <row r="687" spans="1:5" x14ac:dyDescent="0.25">
      <c r="A687" s="1">
        <v>42831</v>
      </c>
      <c r="B687" s="2" t="s">
        <v>30</v>
      </c>
      <c r="C687" s="2" t="s">
        <v>432</v>
      </c>
      <c r="D687">
        <v>17</v>
      </c>
      <c r="E687">
        <f>MONTH(makulatura3[[#This Row],[Data_dostarczenia]])</f>
        <v>4</v>
      </c>
    </row>
    <row r="688" spans="1:5" x14ac:dyDescent="0.25">
      <c r="A688" s="1">
        <v>42831</v>
      </c>
      <c r="B688" s="2" t="s">
        <v>4</v>
      </c>
      <c r="C688" s="2" t="s">
        <v>386</v>
      </c>
      <c r="D688">
        <v>10</v>
      </c>
      <c r="E688">
        <f>MONTH(makulatura3[[#This Row],[Data_dostarczenia]])</f>
        <v>4</v>
      </c>
    </row>
    <row r="689" spans="1:5" x14ac:dyDescent="0.25">
      <c r="A689" s="1">
        <v>42831</v>
      </c>
      <c r="B689" s="2" t="s">
        <v>508</v>
      </c>
      <c r="C689" s="2" t="s">
        <v>509</v>
      </c>
      <c r="D689">
        <v>13</v>
      </c>
      <c r="E689">
        <f>MONTH(makulatura3[[#This Row],[Data_dostarczenia]])</f>
        <v>4</v>
      </c>
    </row>
    <row r="690" spans="1:5" x14ac:dyDescent="0.25">
      <c r="A690" s="1">
        <v>42831</v>
      </c>
      <c r="B690" s="2" t="s">
        <v>523</v>
      </c>
      <c r="C690" s="2" t="s">
        <v>524</v>
      </c>
      <c r="D690">
        <v>7</v>
      </c>
      <c r="E690">
        <f>MONTH(makulatura3[[#This Row],[Data_dostarczenia]])</f>
        <v>4</v>
      </c>
    </row>
    <row r="691" spans="1:5" x14ac:dyDescent="0.25">
      <c r="A691" s="1">
        <v>42831</v>
      </c>
      <c r="B691" s="2" t="s">
        <v>128</v>
      </c>
      <c r="C691" s="2" t="s">
        <v>129</v>
      </c>
      <c r="D691">
        <v>32</v>
      </c>
      <c r="E691">
        <f>MONTH(makulatura3[[#This Row],[Data_dostarczenia]])</f>
        <v>4</v>
      </c>
    </row>
    <row r="692" spans="1:5" x14ac:dyDescent="0.25">
      <c r="A692" s="1">
        <v>42831</v>
      </c>
      <c r="B692" s="2" t="s">
        <v>53</v>
      </c>
      <c r="C692" s="2" t="s">
        <v>389</v>
      </c>
      <c r="D692">
        <v>16</v>
      </c>
      <c r="E692">
        <f>MONTH(makulatura3[[#This Row],[Data_dostarczenia]])</f>
        <v>4</v>
      </c>
    </row>
    <row r="693" spans="1:5" x14ac:dyDescent="0.25">
      <c r="A693" s="1">
        <v>42831</v>
      </c>
      <c r="B693" s="2" t="s">
        <v>63</v>
      </c>
      <c r="C693" s="2" t="s">
        <v>411</v>
      </c>
      <c r="D693">
        <v>38</v>
      </c>
      <c r="E693">
        <f>MONTH(makulatura3[[#This Row],[Data_dostarczenia]])</f>
        <v>4</v>
      </c>
    </row>
    <row r="694" spans="1:5" x14ac:dyDescent="0.25">
      <c r="A694" s="1">
        <v>42831</v>
      </c>
      <c r="B694" s="2" t="s">
        <v>161</v>
      </c>
      <c r="C694" s="2" t="s">
        <v>214</v>
      </c>
      <c r="D694">
        <v>10</v>
      </c>
      <c r="E694">
        <f>MONTH(makulatura3[[#This Row],[Data_dostarczenia]])</f>
        <v>4</v>
      </c>
    </row>
    <row r="695" spans="1:5" x14ac:dyDescent="0.25">
      <c r="A695" s="1">
        <v>42832</v>
      </c>
      <c r="B695" s="2" t="s">
        <v>442</v>
      </c>
      <c r="C695" s="2" t="s">
        <v>540</v>
      </c>
      <c r="D695">
        <v>19</v>
      </c>
      <c r="E695">
        <f>MONTH(makulatura3[[#This Row],[Data_dostarczenia]])</f>
        <v>4</v>
      </c>
    </row>
    <row r="696" spans="1:5" x14ac:dyDescent="0.25">
      <c r="A696" s="1">
        <v>42832</v>
      </c>
      <c r="B696" s="2" t="s">
        <v>171</v>
      </c>
      <c r="C696" s="2" t="s">
        <v>468</v>
      </c>
      <c r="D696">
        <v>17</v>
      </c>
      <c r="E696">
        <f>MONTH(makulatura3[[#This Row],[Data_dostarczenia]])</f>
        <v>4</v>
      </c>
    </row>
    <row r="697" spans="1:5" x14ac:dyDescent="0.25">
      <c r="A697" s="1">
        <v>42832</v>
      </c>
      <c r="B697" s="2" t="s">
        <v>79</v>
      </c>
      <c r="C697" s="2" t="s">
        <v>80</v>
      </c>
      <c r="D697">
        <v>2</v>
      </c>
      <c r="E697">
        <f>MONTH(makulatura3[[#This Row],[Data_dostarczenia]])</f>
        <v>4</v>
      </c>
    </row>
    <row r="698" spans="1:5" x14ac:dyDescent="0.25">
      <c r="A698" s="1">
        <v>42832</v>
      </c>
      <c r="B698" s="2" t="s">
        <v>541</v>
      </c>
      <c r="C698" s="2" t="s">
        <v>542</v>
      </c>
      <c r="D698">
        <v>15</v>
      </c>
      <c r="E698">
        <f>MONTH(makulatura3[[#This Row],[Data_dostarczenia]])</f>
        <v>4</v>
      </c>
    </row>
    <row r="699" spans="1:5" x14ac:dyDescent="0.25">
      <c r="A699" s="1">
        <v>42832</v>
      </c>
      <c r="B699" s="2" t="s">
        <v>244</v>
      </c>
      <c r="C699" s="2" t="s">
        <v>245</v>
      </c>
      <c r="D699">
        <v>12</v>
      </c>
      <c r="E699">
        <f>MONTH(makulatura3[[#This Row],[Data_dostarczenia]])</f>
        <v>4</v>
      </c>
    </row>
    <row r="700" spans="1:5" x14ac:dyDescent="0.25">
      <c r="A700" s="1">
        <v>42832</v>
      </c>
      <c r="B700" s="2" t="s">
        <v>206</v>
      </c>
      <c r="C700" s="2" t="s">
        <v>332</v>
      </c>
      <c r="D700">
        <v>25</v>
      </c>
      <c r="E700">
        <f>MONTH(makulatura3[[#This Row],[Data_dostarczenia]])</f>
        <v>4</v>
      </c>
    </row>
    <row r="701" spans="1:5" x14ac:dyDescent="0.25">
      <c r="A701" s="1">
        <v>42832</v>
      </c>
      <c r="B701" s="2" t="s">
        <v>150</v>
      </c>
      <c r="C701" s="2" t="s">
        <v>258</v>
      </c>
      <c r="D701">
        <v>6</v>
      </c>
      <c r="E701">
        <f>MONTH(makulatura3[[#This Row],[Data_dostarczenia]])</f>
        <v>4</v>
      </c>
    </row>
    <row r="702" spans="1:5" x14ac:dyDescent="0.25">
      <c r="A702" s="1">
        <v>42832</v>
      </c>
      <c r="B702" s="2" t="s">
        <v>161</v>
      </c>
      <c r="C702" s="2" t="s">
        <v>162</v>
      </c>
      <c r="D702">
        <v>19</v>
      </c>
      <c r="E702">
        <f>MONTH(makulatura3[[#This Row],[Data_dostarczenia]])</f>
        <v>4</v>
      </c>
    </row>
    <row r="703" spans="1:5" x14ac:dyDescent="0.25">
      <c r="A703" s="1">
        <v>42835</v>
      </c>
      <c r="B703" s="2" t="s">
        <v>352</v>
      </c>
      <c r="C703" s="2" t="s">
        <v>363</v>
      </c>
      <c r="D703">
        <v>15</v>
      </c>
      <c r="E703">
        <f>MONTH(makulatura3[[#This Row],[Data_dostarczenia]])</f>
        <v>4</v>
      </c>
    </row>
    <row r="704" spans="1:5" x14ac:dyDescent="0.25">
      <c r="A704" s="1">
        <v>42835</v>
      </c>
      <c r="B704" s="2" t="s">
        <v>219</v>
      </c>
      <c r="C704" s="2" t="s">
        <v>543</v>
      </c>
      <c r="D704">
        <v>9</v>
      </c>
      <c r="E704">
        <f>MONTH(makulatura3[[#This Row],[Data_dostarczenia]])</f>
        <v>4</v>
      </c>
    </row>
    <row r="705" spans="1:5" x14ac:dyDescent="0.25">
      <c r="A705" s="1">
        <v>42835</v>
      </c>
      <c r="B705" s="2" t="s">
        <v>544</v>
      </c>
      <c r="C705" s="2" t="s">
        <v>145</v>
      </c>
      <c r="D705">
        <v>35</v>
      </c>
      <c r="E705">
        <f>MONTH(makulatura3[[#This Row],[Data_dostarczenia]])</f>
        <v>4</v>
      </c>
    </row>
    <row r="706" spans="1:5" x14ac:dyDescent="0.25">
      <c r="A706" s="1">
        <v>42835</v>
      </c>
      <c r="B706" s="2" t="s">
        <v>8</v>
      </c>
      <c r="C706" s="2" t="s">
        <v>545</v>
      </c>
      <c r="D706">
        <v>44</v>
      </c>
      <c r="E706">
        <f>MONTH(makulatura3[[#This Row],[Data_dostarczenia]])</f>
        <v>4</v>
      </c>
    </row>
    <row r="707" spans="1:5" x14ac:dyDescent="0.25">
      <c r="A707" s="1">
        <v>42835</v>
      </c>
      <c r="B707" s="2" t="s">
        <v>83</v>
      </c>
      <c r="C707" s="2" t="s">
        <v>84</v>
      </c>
      <c r="D707">
        <v>36</v>
      </c>
      <c r="E707">
        <f>MONTH(makulatura3[[#This Row],[Data_dostarczenia]])</f>
        <v>4</v>
      </c>
    </row>
    <row r="708" spans="1:5" x14ac:dyDescent="0.25">
      <c r="A708" s="1">
        <v>42835</v>
      </c>
      <c r="B708" s="2" t="s">
        <v>45</v>
      </c>
      <c r="C708" s="2" t="s">
        <v>546</v>
      </c>
      <c r="D708">
        <v>53</v>
      </c>
      <c r="E708">
        <f>MONTH(makulatura3[[#This Row],[Data_dostarczenia]])</f>
        <v>4</v>
      </c>
    </row>
    <row r="709" spans="1:5" x14ac:dyDescent="0.25">
      <c r="A709" s="1">
        <v>42835</v>
      </c>
      <c r="B709" s="2" t="s">
        <v>83</v>
      </c>
      <c r="C709" s="2" t="s">
        <v>547</v>
      </c>
      <c r="D709">
        <v>12</v>
      </c>
      <c r="E709">
        <f>MONTH(makulatura3[[#This Row],[Data_dostarczenia]])</f>
        <v>4</v>
      </c>
    </row>
    <row r="710" spans="1:5" x14ac:dyDescent="0.25">
      <c r="A710" s="1">
        <v>42835</v>
      </c>
      <c r="B710" s="2" t="s">
        <v>141</v>
      </c>
      <c r="C710" s="2" t="s">
        <v>202</v>
      </c>
      <c r="D710">
        <v>29</v>
      </c>
      <c r="E710">
        <f>MONTH(makulatura3[[#This Row],[Data_dostarczenia]])</f>
        <v>4</v>
      </c>
    </row>
    <row r="711" spans="1:5" x14ac:dyDescent="0.25">
      <c r="A711" s="1">
        <v>42836</v>
      </c>
      <c r="B711" s="2" t="s">
        <v>36</v>
      </c>
      <c r="C711" s="2" t="s">
        <v>404</v>
      </c>
      <c r="D711">
        <v>9</v>
      </c>
      <c r="E711">
        <f>MONTH(makulatura3[[#This Row],[Data_dostarczenia]])</f>
        <v>4</v>
      </c>
    </row>
    <row r="712" spans="1:5" x14ac:dyDescent="0.25">
      <c r="A712" s="1">
        <v>42836</v>
      </c>
      <c r="B712" s="2" t="s">
        <v>8</v>
      </c>
      <c r="C712" s="2" t="s">
        <v>322</v>
      </c>
      <c r="D712">
        <v>29</v>
      </c>
      <c r="E712">
        <f>MONTH(makulatura3[[#This Row],[Data_dostarczenia]])</f>
        <v>4</v>
      </c>
    </row>
    <row r="713" spans="1:5" x14ac:dyDescent="0.25">
      <c r="A713" s="1">
        <v>42836</v>
      </c>
      <c r="B713" s="2" t="s">
        <v>75</v>
      </c>
      <c r="C713" s="2" t="s">
        <v>46</v>
      </c>
      <c r="D713">
        <v>6</v>
      </c>
      <c r="E713">
        <f>MONTH(makulatura3[[#This Row],[Data_dostarczenia]])</f>
        <v>4</v>
      </c>
    </row>
    <row r="714" spans="1:5" x14ac:dyDescent="0.25">
      <c r="A714" s="1">
        <v>42836</v>
      </c>
      <c r="B714" s="2" t="s">
        <v>189</v>
      </c>
      <c r="C714" s="2" t="s">
        <v>190</v>
      </c>
      <c r="D714">
        <v>12</v>
      </c>
      <c r="E714">
        <f>MONTH(makulatura3[[#This Row],[Data_dostarczenia]])</f>
        <v>4</v>
      </c>
    </row>
    <row r="715" spans="1:5" x14ac:dyDescent="0.25">
      <c r="A715" s="1">
        <v>42836</v>
      </c>
      <c r="B715" s="2" t="s">
        <v>83</v>
      </c>
      <c r="C715" s="2" t="s">
        <v>91</v>
      </c>
      <c r="D715">
        <v>23</v>
      </c>
      <c r="E715">
        <f>MONTH(makulatura3[[#This Row],[Data_dostarczenia]])</f>
        <v>4</v>
      </c>
    </row>
    <row r="716" spans="1:5" x14ac:dyDescent="0.25">
      <c r="A716" s="1">
        <v>42836</v>
      </c>
      <c r="B716" s="2" t="s">
        <v>498</v>
      </c>
      <c r="C716" s="2" t="s">
        <v>110</v>
      </c>
      <c r="D716">
        <v>21</v>
      </c>
      <c r="E716">
        <f>MONTH(makulatura3[[#This Row],[Data_dostarczenia]])</f>
        <v>4</v>
      </c>
    </row>
    <row r="717" spans="1:5" x14ac:dyDescent="0.25">
      <c r="A717" s="1">
        <v>42836</v>
      </c>
      <c r="B717" s="2" t="s">
        <v>271</v>
      </c>
      <c r="C717" s="2" t="s">
        <v>548</v>
      </c>
      <c r="D717">
        <v>16</v>
      </c>
      <c r="E717">
        <f>MONTH(makulatura3[[#This Row],[Data_dostarczenia]])</f>
        <v>4</v>
      </c>
    </row>
    <row r="718" spans="1:5" x14ac:dyDescent="0.25">
      <c r="A718" s="1">
        <v>42836</v>
      </c>
      <c r="B718" s="2" t="s">
        <v>365</v>
      </c>
      <c r="C718" s="2" t="s">
        <v>366</v>
      </c>
      <c r="D718">
        <v>21</v>
      </c>
      <c r="E718">
        <f>MONTH(makulatura3[[#This Row],[Data_dostarczenia]])</f>
        <v>4</v>
      </c>
    </row>
    <row r="719" spans="1:5" x14ac:dyDescent="0.25">
      <c r="A719" s="1">
        <v>42837</v>
      </c>
      <c r="B719" s="2" t="s">
        <v>246</v>
      </c>
      <c r="C719" s="2" t="s">
        <v>247</v>
      </c>
      <c r="D719">
        <v>25</v>
      </c>
      <c r="E719">
        <f>MONTH(makulatura3[[#This Row],[Data_dostarczenia]])</f>
        <v>4</v>
      </c>
    </row>
    <row r="720" spans="1:5" x14ac:dyDescent="0.25">
      <c r="A720" s="1">
        <v>42837</v>
      </c>
      <c r="B720" s="2" t="s">
        <v>484</v>
      </c>
      <c r="C720" s="2" t="s">
        <v>485</v>
      </c>
      <c r="D720">
        <v>4</v>
      </c>
      <c r="E720">
        <f>MONTH(makulatura3[[#This Row],[Data_dostarczenia]])</f>
        <v>4</v>
      </c>
    </row>
    <row r="721" spans="1:5" x14ac:dyDescent="0.25">
      <c r="A721" s="1">
        <v>42837</v>
      </c>
      <c r="B721" s="2" t="s">
        <v>53</v>
      </c>
      <c r="C721" s="2" t="s">
        <v>191</v>
      </c>
      <c r="D721">
        <v>19</v>
      </c>
      <c r="E721">
        <f>MONTH(makulatura3[[#This Row],[Data_dostarczenia]])</f>
        <v>4</v>
      </c>
    </row>
    <row r="722" spans="1:5" x14ac:dyDescent="0.25">
      <c r="A722" s="1">
        <v>42837</v>
      </c>
      <c r="B722" s="2" t="s">
        <v>92</v>
      </c>
      <c r="C722" s="2" t="s">
        <v>93</v>
      </c>
      <c r="D722">
        <v>17</v>
      </c>
      <c r="E722">
        <f>MONTH(makulatura3[[#This Row],[Data_dostarczenia]])</f>
        <v>4</v>
      </c>
    </row>
    <row r="723" spans="1:5" x14ac:dyDescent="0.25">
      <c r="A723" s="1">
        <v>42837</v>
      </c>
      <c r="B723" s="2" t="s">
        <v>12</v>
      </c>
      <c r="C723" s="2" t="s">
        <v>549</v>
      </c>
      <c r="D723">
        <v>9</v>
      </c>
      <c r="E723">
        <f>MONTH(makulatura3[[#This Row],[Data_dostarczenia]])</f>
        <v>4</v>
      </c>
    </row>
    <row r="724" spans="1:5" x14ac:dyDescent="0.25">
      <c r="A724" s="1">
        <v>42837</v>
      </c>
      <c r="B724" s="2" t="s">
        <v>329</v>
      </c>
      <c r="C724" s="2" t="s">
        <v>330</v>
      </c>
      <c r="D724">
        <v>8</v>
      </c>
      <c r="E724">
        <f>MONTH(makulatura3[[#This Row],[Data_dostarczenia]])</f>
        <v>4</v>
      </c>
    </row>
    <row r="725" spans="1:5" x14ac:dyDescent="0.25">
      <c r="A725" s="1">
        <v>42837</v>
      </c>
      <c r="B725" s="2" t="s">
        <v>232</v>
      </c>
      <c r="C725" s="2" t="s">
        <v>378</v>
      </c>
      <c r="D725">
        <v>11</v>
      </c>
      <c r="E725">
        <f>MONTH(makulatura3[[#This Row],[Data_dostarczenia]])</f>
        <v>4</v>
      </c>
    </row>
    <row r="726" spans="1:5" x14ac:dyDescent="0.25">
      <c r="A726" s="1">
        <v>42837</v>
      </c>
      <c r="B726" s="2" t="s">
        <v>244</v>
      </c>
      <c r="C726" s="2" t="s">
        <v>245</v>
      </c>
      <c r="D726">
        <v>26</v>
      </c>
      <c r="E726">
        <f>MONTH(makulatura3[[#This Row],[Data_dostarczenia]])</f>
        <v>4</v>
      </c>
    </row>
    <row r="727" spans="1:5" x14ac:dyDescent="0.25">
      <c r="A727" s="1">
        <v>42837</v>
      </c>
      <c r="B727" s="2" t="s">
        <v>141</v>
      </c>
      <c r="C727" s="2" t="s">
        <v>550</v>
      </c>
      <c r="D727">
        <v>23</v>
      </c>
      <c r="E727">
        <f>MONTH(makulatura3[[#This Row],[Data_dostarczenia]])</f>
        <v>4</v>
      </c>
    </row>
    <row r="728" spans="1:5" x14ac:dyDescent="0.25">
      <c r="A728" s="1">
        <v>42838</v>
      </c>
      <c r="B728" s="2" t="s">
        <v>203</v>
      </c>
      <c r="C728" s="2" t="s">
        <v>370</v>
      </c>
      <c r="D728">
        <v>55</v>
      </c>
      <c r="E728">
        <f>MONTH(makulatura3[[#This Row],[Data_dostarczenia]])</f>
        <v>4</v>
      </c>
    </row>
    <row r="729" spans="1:5" x14ac:dyDescent="0.25">
      <c r="A729" s="1">
        <v>42838</v>
      </c>
      <c r="B729" s="2" t="s">
        <v>171</v>
      </c>
      <c r="C729" s="2" t="s">
        <v>172</v>
      </c>
      <c r="D729">
        <v>38</v>
      </c>
      <c r="E729">
        <f>MONTH(makulatura3[[#This Row],[Data_dostarczenia]])</f>
        <v>4</v>
      </c>
    </row>
    <row r="730" spans="1:5" x14ac:dyDescent="0.25">
      <c r="A730" s="1">
        <v>42838</v>
      </c>
      <c r="B730" s="2" t="s">
        <v>97</v>
      </c>
      <c r="C730" s="2" t="s">
        <v>309</v>
      </c>
      <c r="D730">
        <v>9</v>
      </c>
      <c r="E730">
        <f>MONTH(makulatura3[[#This Row],[Data_dostarczenia]])</f>
        <v>4</v>
      </c>
    </row>
    <row r="731" spans="1:5" x14ac:dyDescent="0.25">
      <c r="A731" s="1">
        <v>42838</v>
      </c>
      <c r="B731" s="2" t="s">
        <v>221</v>
      </c>
      <c r="C731" s="2" t="s">
        <v>551</v>
      </c>
      <c r="D731">
        <v>34</v>
      </c>
      <c r="E731">
        <f>MONTH(makulatura3[[#This Row],[Data_dostarczenia]])</f>
        <v>4</v>
      </c>
    </row>
    <row r="732" spans="1:5" x14ac:dyDescent="0.25">
      <c r="A732" s="1">
        <v>42838</v>
      </c>
      <c r="B732" s="2" t="s">
        <v>232</v>
      </c>
      <c r="C732" s="2" t="s">
        <v>487</v>
      </c>
      <c r="D732">
        <v>14</v>
      </c>
      <c r="E732">
        <f>MONTH(makulatura3[[#This Row],[Data_dostarczenia]])</f>
        <v>4</v>
      </c>
    </row>
    <row r="733" spans="1:5" x14ac:dyDescent="0.25">
      <c r="A733" s="1">
        <v>42838</v>
      </c>
      <c r="B733" s="2" t="s">
        <v>69</v>
      </c>
      <c r="C733" s="2" t="s">
        <v>70</v>
      </c>
      <c r="D733">
        <v>5</v>
      </c>
      <c r="E733">
        <f>MONTH(makulatura3[[#This Row],[Data_dostarczenia]])</f>
        <v>4</v>
      </c>
    </row>
    <row r="734" spans="1:5" x14ac:dyDescent="0.25">
      <c r="A734" s="1">
        <v>42838</v>
      </c>
      <c r="B734" s="2" t="s">
        <v>41</v>
      </c>
      <c r="C734" s="2" t="s">
        <v>302</v>
      </c>
      <c r="D734">
        <v>2</v>
      </c>
      <c r="E734">
        <f>MONTH(makulatura3[[#This Row],[Data_dostarczenia]])</f>
        <v>4</v>
      </c>
    </row>
    <row r="735" spans="1:5" x14ac:dyDescent="0.25">
      <c r="A735" s="1">
        <v>42838</v>
      </c>
      <c r="B735" s="2" t="s">
        <v>144</v>
      </c>
      <c r="C735" s="2" t="s">
        <v>145</v>
      </c>
      <c r="D735">
        <v>20</v>
      </c>
      <c r="E735">
        <f>MONTH(makulatura3[[#This Row],[Data_dostarczenia]])</f>
        <v>4</v>
      </c>
    </row>
    <row r="736" spans="1:5" x14ac:dyDescent="0.25">
      <c r="A736" s="1">
        <v>42838</v>
      </c>
      <c r="B736" s="2" t="s">
        <v>18</v>
      </c>
      <c r="C736" s="2" t="s">
        <v>19</v>
      </c>
      <c r="D736">
        <v>6</v>
      </c>
      <c r="E736">
        <f>MONTH(makulatura3[[#This Row],[Data_dostarczenia]])</f>
        <v>4</v>
      </c>
    </row>
    <row r="737" spans="1:5" x14ac:dyDescent="0.25">
      <c r="A737" s="1">
        <v>42838</v>
      </c>
      <c r="B737" s="2" t="s">
        <v>83</v>
      </c>
      <c r="C737" s="2" t="s">
        <v>136</v>
      </c>
      <c r="D737">
        <v>22</v>
      </c>
      <c r="E737">
        <f>MONTH(makulatura3[[#This Row],[Data_dostarczenia]])</f>
        <v>4</v>
      </c>
    </row>
    <row r="738" spans="1:5" x14ac:dyDescent="0.25">
      <c r="A738" s="1">
        <v>42838</v>
      </c>
      <c r="B738" s="2" t="s">
        <v>169</v>
      </c>
      <c r="C738" s="2" t="s">
        <v>170</v>
      </c>
      <c r="D738">
        <v>26</v>
      </c>
      <c r="E738">
        <f>MONTH(makulatura3[[#This Row],[Data_dostarczenia]])</f>
        <v>4</v>
      </c>
    </row>
    <row r="739" spans="1:5" x14ac:dyDescent="0.25">
      <c r="A739" s="1">
        <v>42838</v>
      </c>
      <c r="B739" s="2" t="s">
        <v>69</v>
      </c>
      <c r="C739" s="2" t="s">
        <v>286</v>
      </c>
      <c r="D739">
        <v>27</v>
      </c>
      <c r="E739">
        <f>MONTH(makulatura3[[#This Row],[Data_dostarczenia]])</f>
        <v>4</v>
      </c>
    </row>
    <row r="740" spans="1:5" x14ac:dyDescent="0.25">
      <c r="A740" s="1">
        <v>42838</v>
      </c>
      <c r="B740" s="2" t="s">
        <v>141</v>
      </c>
      <c r="C740" s="2" t="s">
        <v>202</v>
      </c>
      <c r="D740">
        <v>26</v>
      </c>
      <c r="E740">
        <f>MONTH(makulatura3[[#This Row],[Data_dostarczenia]])</f>
        <v>4</v>
      </c>
    </row>
    <row r="741" spans="1:5" x14ac:dyDescent="0.25">
      <c r="A741" s="1">
        <v>42838</v>
      </c>
      <c r="B741" s="2" t="s">
        <v>43</v>
      </c>
      <c r="C741" s="2" t="s">
        <v>507</v>
      </c>
      <c r="D741">
        <v>29</v>
      </c>
      <c r="E741">
        <f>MONTH(makulatura3[[#This Row],[Data_dostarczenia]])</f>
        <v>4</v>
      </c>
    </row>
    <row r="742" spans="1:5" x14ac:dyDescent="0.25">
      <c r="A742" s="1">
        <v>42838</v>
      </c>
      <c r="B742" s="2" t="s">
        <v>106</v>
      </c>
      <c r="C742" s="2" t="s">
        <v>277</v>
      </c>
      <c r="D742">
        <v>10</v>
      </c>
      <c r="E742">
        <f>MONTH(makulatura3[[#This Row],[Data_dostarczenia]])</f>
        <v>4</v>
      </c>
    </row>
    <row r="743" spans="1:5" x14ac:dyDescent="0.25">
      <c r="A743" s="1">
        <v>42839</v>
      </c>
      <c r="B743" s="2" t="s">
        <v>167</v>
      </c>
      <c r="C743" s="2" t="s">
        <v>552</v>
      </c>
      <c r="D743">
        <v>37</v>
      </c>
      <c r="E743">
        <f>MONTH(makulatura3[[#This Row],[Data_dostarczenia]])</f>
        <v>4</v>
      </c>
    </row>
    <row r="744" spans="1:5" x14ac:dyDescent="0.25">
      <c r="A744" s="1">
        <v>42839</v>
      </c>
      <c r="B744" s="2" t="s">
        <v>232</v>
      </c>
      <c r="C744" s="2" t="s">
        <v>405</v>
      </c>
      <c r="D744">
        <v>7</v>
      </c>
      <c r="E744">
        <f>MONTH(makulatura3[[#This Row],[Data_dostarczenia]])</f>
        <v>4</v>
      </c>
    </row>
    <row r="745" spans="1:5" x14ac:dyDescent="0.25">
      <c r="A745" s="1">
        <v>42839</v>
      </c>
      <c r="B745" s="2" t="s">
        <v>101</v>
      </c>
      <c r="C745" s="2" t="s">
        <v>293</v>
      </c>
      <c r="D745">
        <v>44</v>
      </c>
      <c r="E745">
        <f>MONTH(makulatura3[[#This Row],[Data_dostarczenia]])</f>
        <v>4</v>
      </c>
    </row>
    <row r="746" spans="1:5" x14ac:dyDescent="0.25">
      <c r="A746" s="1">
        <v>42839</v>
      </c>
      <c r="B746" s="2" t="s">
        <v>367</v>
      </c>
      <c r="C746" s="2" t="s">
        <v>368</v>
      </c>
      <c r="D746">
        <v>11</v>
      </c>
      <c r="E746">
        <f>MONTH(makulatura3[[#This Row],[Data_dostarczenia]])</f>
        <v>4</v>
      </c>
    </row>
    <row r="747" spans="1:5" x14ac:dyDescent="0.25">
      <c r="A747" s="1">
        <v>42839</v>
      </c>
      <c r="B747" s="2" t="s">
        <v>553</v>
      </c>
      <c r="C747" s="2" t="s">
        <v>554</v>
      </c>
      <c r="D747">
        <v>25</v>
      </c>
      <c r="E747">
        <f>MONTH(makulatura3[[#This Row],[Data_dostarczenia]])</f>
        <v>4</v>
      </c>
    </row>
    <row r="748" spans="1:5" x14ac:dyDescent="0.25">
      <c r="A748" s="1">
        <v>42839</v>
      </c>
      <c r="B748" s="2" t="s">
        <v>412</v>
      </c>
      <c r="C748" s="2" t="s">
        <v>413</v>
      </c>
      <c r="D748">
        <v>18</v>
      </c>
      <c r="E748">
        <f>MONTH(makulatura3[[#This Row],[Data_dostarczenia]])</f>
        <v>4</v>
      </c>
    </row>
    <row r="749" spans="1:5" x14ac:dyDescent="0.25">
      <c r="A749" s="1">
        <v>42842</v>
      </c>
      <c r="B749" s="2" t="s">
        <v>528</v>
      </c>
      <c r="C749" s="2" t="s">
        <v>428</v>
      </c>
      <c r="D749">
        <v>44</v>
      </c>
      <c r="E749">
        <f>MONTH(makulatura3[[#This Row],[Data_dostarczenia]])</f>
        <v>4</v>
      </c>
    </row>
    <row r="750" spans="1:5" x14ac:dyDescent="0.25">
      <c r="A750" s="1">
        <v>42842</v>
      </c>
      <c r="B750" s="2" t="s">
        <v>119</v>
      </c>
      <c r="C750" s="2" t="s">
        <v>319</v>
      </c>
      <c r="D750">
        <v>26</v>
      </c>
      <c r="E750">
        <f>MONTH(makulatura3[[#This Row],[Data_dostarczenia]])</f>
        <v>4</v>
      </c>
    </row>
    <row r="751" spans="1:5" x14ac:dyDescent="0.25">
      <c r="A751" s="1">
        <v>42842</v>
      </c>
      <c r="B751" s="2" t="s">
        <v>193</v>
      </c>
      <c r="C751" s="2" t="s">
        <v>555</v>
      </c>
      <c r="D751">
        <v>7</v>
      </c>
      <c r="E751">
        <f>MONTH(makulatura3[[#This Row],[Data_dostarczenia]])</f>
        <v>4</v>
      </c>
    </row>
    <row r="752" spans="1:5" x14ac:dyDescent="0.25">
      <c r="A752" s="1">
        <v>42842</v>
      </c>
      <c r="B752" s="2" t="s">
        <v>43</v>
      </c>
      <c r="C752" s="2" t="s">
        <v>71</v>
      </c>
      <c r="D752">
        <v>41</v>
      </c>
      <c r="E752">
        <f>MONTH(makulatura3[[#This Row],[Data_dostarczenia]])</f>
        <v>4</v>
      </c>
    </row>
    <row r="753" spans="1:5" x14ac:dyDescent="0.25">
      <c r="A753" s="1">
        <v>42842</v>
      </c>
      <c r="B753" s="2" t="s">
        <v>232</v>
      </c>
      <c r="C753" s="2" t="s">
        <v>526</v>
      </c>
      <c r="D753">
        <v>46</v>
      </c>
      <c r="E753">
        <f>MONTH(makulatura3[[#This Row],[Data_dostarczenia]])</f>
        <v>4</v>
      </c>
    </row>
    <row r="754" spans="1:5" x14ac:dyDescent="0.25">
      <c r="A754" s="1">
        <v>42842</v>
      </c>
      <c r="B754" s="2" t="s">
        <v>18</v>
      </c>
      <c r="C754" s="2" t="s">
        <v>392</v>
      </c>
      <c r="D754">
        <v>52</v>
      </c>
      <c r="E754">
        <f>MONTH(makulatura3[[#This Row],[Data_dostarczenia]])</f>
        <v>4</v>
      </c>
    </row>
    <row r="755" spans="1:5" x14ac:dyDescent="0.25">
      <c r="A755" s="1">
        <v>42843</v>
      </c>
      <c r="B755" s="2" t="s">
        <v>12</v>
      </c>
      <c r="C755" s="2" t="s">
        <v>386</v>
      </c>
      <c r="D755">
        <v>6</v>
      </c>
      <c r="E755">
        <f>MONTH(makulatura3[[#This Row],[Data_dostarczenia]])</f>
        <v>4</v>
      </c>
    </row>
    <row r="756" spans="1:5" x14ac:dyDescent="0.25">
      <c r="A756" s="1">
        <v>42843</v>
      </c>
      <c r="B756" s="2" t="s">
        <v>51</v>
      </c>
      <c r="C756" s="2" t="s">
        <v>358</v>
      </c>
      <c r="D756">
        <v>23</v>
      </c>
      <c r="E756">
        <f>MONTH(makulatura3[[#This Row],[Data_dostarczenia]])</f>
        <v>4</v>
      </c>
    </row>
    <row r="757" spans="1:5" x14ac:dyDescent="0.25">
      <c r="A757" s="1">
        <v>42843</v>
      </c>
      <c r="B757" s="2" t="s">
        <v>275</v>
      </c>
      <c r="C757" s="2" t="s">
        <v>276</v>
      </c>
      <c r="D757">
        <v>22</v>
      </c>
      <c r="E757">
        <f>MONTH(makulatura3[[#This Row],[Data_dostarczenia]])</f>
        <v>4</v>
      </c>
    </row>
    <row r="758" spans="1:5" x14ac:dyDescent="0.25">
      <c r="A758" s="1">
        <v>42843</v>
      </c>
      <c r="B758" s="2" t="s">
        <v>131</v>
      </c>
      <c r="C758" s="2" t="s">
        <v>451</v>
      </c>
      <c r="D758">
        <v>21</v>
      </c>
      <c r="E758">
        <f>MONTH(makulatura3[[#This Row],[Data_dostarczenia]])</f>
        <v>4</v>
      </c>
    </row>
    <row r="759" spans="1:5" x14ac:dyDescent="0.25">
      <c r="A759" s="1">
        <v>42843</v>
      </c>
      <c r="B759" s="2" t="s">
        <v>30</v>
      </c>
      <c r="C759" s="2" t="s">
        <v>387</v>
      </c>
      <c r="D759">
        <v>29</v>
      </c>
      <c r="E759">
        <f>MONTH(makulatura3[[#This Row],[Data_dostarczenia]])</f>
        <v>4</v>
      </c>
    </row>
    <row r="760" spans="1:5" x14ac:dyDescent="0.25">
      <c r="A760" s="1">
        <v>42843</v>
      </c>
      <c r="B760" s="2" t="s">
        <v>150</v>
      </c>
      <c r="C760" s="2" t="s">
        <v>556</v>
      </c>
      <c r="D760">
        <v>21</v>
      </c>
      <c r="E760">
        <f>MONTH(makulatura3[[#This Row],[Data_dostarczenia]])</f>
        <v>4</v>
      </c>
    </row>
    <row r="761" spans="1:5" x14ac:dyDescent="0.25">
      <c r="A761" s="1">
        <v>42844</v>
      </c>
      <c r="B761" s="2" t="s">
        <v>484</v>
      </c>
      <c r="C761" s="2" t="s">
        <v>485</v>
      </c>
      <c r="D761">
        <v>3</v>
      </c>
      <c r="E761">
        <f>MONTH(makulatura3[[#This Row],[Data_dostarczenia]])</f>
        <v>4</v>
      </c>
    </row>
    <row r="762" spans="1:5" x14ac:dyDescent="0.25">
      <c r="A762" s="1">
        <v>42844</v>
      </c>
      <c r="B762" s="2" t="s">
        <v>34</v>
      </c>
      <c r="C762" s="2" t="s">
        <v>557</v>
      </c>
      <c r="D762">
        <v>29</v>
      </c>
      <c r="E762">
        <f>MONTH(makulatura3[[#This Row],[Data_dostarczenia]])</f>
        <v>4</v>
      </c>
    </row>
    <row r="763" spans="1:5" x14ac:dyDescent="0.25">
      <c r="A763" s="1">
        <v>42844</v>
      </c>
      <c r="B763" s="2" t="s">
        <v>427</v>
      </c>
      <c r="C763" s="2" t="s">
        <v>558</v>
      </c>
      <c r="D763">
        <v>56</v>
      </c>
      <c r="E763">
        <f>MONTH(makulatura3[[#This Row],[Data_dostarczenia]])</f>
        <v>4</v>
      </c>
    </row>
    <row r="764" spans="1:5" x14ac:dyDescent="0.25">
      <c r="A764" s="1">
        <v>42844</v>
      </c>
      <c r="B764" s="2" t="s">
        <v>201</v>
      </c>
      <c r="C764" s="2" t="s">
        <v>202</v>
      </c>
      <c r="D764">
        <v>15</v>
      </c>
      <c r="E764">
        <f>MONTH(makulatura3[[#This Row],[Data_dostarczenia]])</f>
        <v>4</v>
      </c>
    </row>
    <row r="765" spans="1:5" x14ac:dyDescent="0.25">
      <c r="A765" s="1">
        <v>42844</v>
      </c>
      <c r="B765" s="2" t="s">
        <v>193</v>
      </c>
      <c r="C765" s="2" t="s">
        <v>194</v>
      </c>
      <c r="D765">
        <v>12</v>
      </c>
      <c r="E765">
        <f>MONTH(makulatura3[[#This Row],[Data_dostarczenia]])</f>
        <v>4</v>
      </c>
    </row>
    <row r="766" spans="1:5" x14ac:dyDescent="0.25">
      <c r="A766" s="1">
        <v>42844</v>
      </c>
      <c r="B766" s="2" t="s">
        <v>55</v>
      </c>
      <c r="C766" s="2" t="s">
        <v>56</v>
      </c>
      <c r="D766">
        <v>19</v>
      </c>
      <c r="E766">
        <f>MONTH(makulatura3[[#This Row],[Data_dostarczenia]])</f>
        <v>4</v>
      </c>
    </row>
    <row r="767" spans="1:5" x14ac:dyDescent="0.25">
      <c r="A767" s="1">
        <v>42845</v>
      </c>
      <c r="B767" s="2" t="s">
        <v>416</v>
      </c>
      <c r="C767" s="2" t="s">
        <v>417</v>
      </c>
      <c r="D767">
        <v>14</v>
      </c>
      <c r="E767">
        <f>MONTH(makulatura3[[#This Row],[Data_dostarczenia]])</f>
        <v>4</v>
      </c>
    </row>
    <row r="768" spans="1:5" x14ac:dyDescent="0.25">
      <c r="A768" s="1">
        <v>42845</v>
      </c>
      <c r="B768" s="2" t="s">
        <v>234</v>
      </c>
      <c r="C768" s="2" t="s">
        <v>516</v>
      </c>
      <c r="D768">
        <v>42</v>
      </c>
      <c r="E768">
        <f>MONTH(makulatura3[[#This Row],[Data_dostarczenia]])</f>
        <v>4</v>
      </c>
    </row>
    <row r="769" spans="1:5" x14ac:dyDescent="0.25">
      <c r="A769" s="1">
        <v>42845</v>
      </c>
      <c r="B769" s="2" t="s">
        <v>128</v>
      </c>
      <c r="C769" s="2" t="s">
        <v>559</v>
      </c>
      <c r="D769">
        <v>10</v>
      </c>
      <c r="E769">
        <f>MONTH(makulatura3[[#This Row],[Data_dostarczenia]])</f>
        <v>4</v>
      </c>
    </row>
    <row r="770" spans="1:5" x14ac:dyDescent="0.25">
      <c r="A770" s="1">
        <v>42845</v>
      </c>
      <c r="B770" s="2" t="s">
        <v>55</v>
      </c>
      <c r="C770" s="2" t="s">
        <v>184</v>
      </c>
      <c r="D770">
        <v>20</v>
      </c>
      <c r="E770">
        <f>MONTH(makulatura3[[#This Row],[Data_dostarczenia]])</f>
        <v>4</v>
      </c>
    </row>
    <row r="771" spans="1:5" x14ac:dyDescent="0.25">
      <c r="A771" s="1">
        <v>42845</v>
      </c>
      <c r="B771" s="2" t="s">
        <v>361</v>
      </c>
      <c r="C771" s="2" t="s">
        <v>362</v>
      </c>
      <c r="D771">
        <v>51</v>
      </c>
      <c r="E771">
        <f>MONTH(makulatura3[[#This Row],[Data_dostarczenia]])</f>
        <v>4</v>
      </c>
    </row>
    <row r="772" spans="1:5" x14ac:dyDescent="0.25">
      <c r="A772" s="1">
        <v>42845</v>
      </c>
      <c r="B772" s="2" t="s">
        <v>36</v>
      </c>
      <c r="C772" s="2" t="s">
        <v>560</v>
      </c>
      <c r="D772">
        <v>35</v>
      </c>
      <c r="E772">
        <f>MONTH(makulatura3[[#This Row],[Data_dostarczenia]])</f>
        <v>4</v>
      </c>
    </row>
    <row r="773" spans="1:5" x14ac:dyDescent="0.25">
      <c r="A773" s="1">
        <v>42846</v>
      </c>
      <c r="B773" s="2" t="s">
        <v>83</v>
      </c>
      <c r="C773" s="2" t="s">
        <v>561</v>
      </c>
      <c r="D773">
        <v>45</v>
      </c>
      <c r="E773">
        <f>MONTH(makulatura3[[#This Row],[Data_dostarczenia]])</f>
        <v>4</v>
      </c>
    </row>
    <row r="774" spans="1:5" x14ac:dyDescent="0.25">
      <c r="A774" s="1">
        <v>42846</v>
      </c>
      <c r="B774" s="2" t="s">
        <v>87</v>
      </c>
      <c r="C774" s="2" t="s">
        <v>255</v>
      </c>
      <c r="D774">
        <v>29</v>
      </c>
      <c r="E774">
        <f>MONTH(makulatura3[[#This Row],[Data_dostarczenia]])</f>
        <v>4</v>
      </c>
    </row>
    <row r="775" spans="1:5" x14ac:dyDescent="0.25">
      <c r="A775" s="1">
        <v>42846</v>
      </c>
      <c r="B775" s="2" t="s">
        <v>43</v>
      </c>
      <c r="C775" s="2" t="s">
        <v>507</v>
      </c>
      <c r="D775">
        <v>5</v>
      </c>
      <c r="E775">
        <f>MONTH(makulatura3[[#This Row],[Data_dostarczenia]])</f>
        <v>4</v>
      </c>
    </row>
    <row r="776" spans="1:5" x14ac:dyDescent="0.25">
      <c r="A776" s="1">
        <v>42846</v>
      </c>
      <c r="B776" s="2" t="s">
        <v>4</v>
      </c>
      <c r="C776" s="2" t="s">
        <v>197</v>
      </c>
      <c r="D776">
        <v>16</v>
      </c>
      <c r="E776">
        <f>MONTH(makulatura3[[#This Row],[Data_dostarczenia]])</f>
        <v>4</v>
      </c>
    </row>
    <row r="777" spans="1:5" x14ac:dyDescent="0.25">
      <c r="A777" s="1">
        <v>42846</v>
      </c>
      <c r="B777" s="2" t="s">
        <v>352</v>
      </c>
      <c r="C777" s="2" t="s">
        <v>363</v>
      </c>
      <c r="D777">
        <v>25</v>
      </c>
      <c r="E777">
        <f>MONTH(makulatura3[[#This Row],[Data_dostarczenia]])</f>
        <v>4</v>
      </c>
    </row>
    <row r="778" spans="1:5" x14ac:dyDescent="0.25">
      <c r="A778" s="1">
        <v>42846</v>
      </c>
      <c r="B778" s="2" t="s">
        <v>171</v>
      </c>
      <c r="C778" s="2" t="s">
        <v>562</v>
      </c>
      <c r="D778">
        <v>38</v>
      </c>
      <c r="E778">
        <f>MONTH(makulatura3[[#This Row],[Data_dostarczenia]])</f>
        <v>4</v>
      </c>
    </row>
    <row r="779" spans="1:5" x14ac:dyDescent="0.25">
      <c r="A779" s="1">
        <v>42849</v>
      </c>
      <c r="B779" s="2" t="s">
        <v>178</v>
      </c>
      <c r="C779" s="2" t="s">
        <v>179</v>
      </c>
      <c r="D779">
        <v>33</v>
      </c>
      <c r="E779">
        <f>MONTH(makulatura3[[#This Row],[Data_dostarczenia]])</f>
        <v>4</v>
      </c>
    </row>
    <row r="780" spans="1:5" x14ac:dyDescent="0.25">
      <c r="A780" s="1">
        <v>42849</v>
      </c>
      <c r="B780" s="2" t="s">
        <v>206</v>
      </c>
      <c r="C780" s="2" t="s">
        <v>563</v>
      </c>
      <c r="D780">
        <v>48</v>
      </c>
      <c r="E780">
        <f>MONTH(makulatura3[[#This Row],[Data_dostarczenia]])</f>
        <v>4</v>
      </c>
    </row>
    <row r="781" spans="1:5" x14ac:dyDescent="0.25">
      <c r="A781" s="1">
        <v>42849</v>
      </c>
      <c r="B781" s="2" t="s">
        <v>201</v>
      </c>
      <c r="C781" s="2" t="s">
        <v>433</v>
      </c>
      <c r="D781">
        <v>14</v>
      </c>
      <c r="E781">
        <f>MONTH(makulatura3[[#This Row],[Data_dostarczenia]])</f>
        <v>4</v>
      </c>
    </row>
    <row r="782" spans="1:5" x14ac:dyDescent="0.25">
      <c r="A782" s="1">
        <v>42849</v>
      </c>
      <c r="B782" s="2" t="s">
        <v>275</v>
      </c>
      <c r="C782" s="2" t="s">
        <v>276</v>
      </c>
      <c r="D782">
        <v>13</v>
      </c>
      <c r="E782">
        <f>MONTH(makulatura3[[#This Row],[Data_dostarczenia]])</f>
        <v>4</v>
      </c>
    </row>
    <row r="783" spans="1:5" x14ac:dyDescent="0.25">
      <c r="A783" s="1">
        <v>42849</v>
      </c>
      <c r="B783" s="2" t="s">
        <v>34</v>
      </c>
      <c r="C783" s="2" t="s">
        <v>564</v>
      </c>
      <c r="D783">
        <v>24</v>
      </c>
      <c r="E783">
        <f>MONTH(makulatura3[[#This Row],[Data_dostarczenia]])</f>
        <v>4</v>
      </c>
    </row>
    <row r="784" spans="1:5" x14ac:dyDescent="0.25">
      <c r="A784" s="1">
        <v>42849</v>
      </c>
      <c r="B784" s="2" t="s">
        <v>101</v>
      </c>
      <c r="C784" s="2" t="s">
        <v>102</v>
      </c>
      <c r="D784">
        <v>23</v>
      </c>
      <c r="E784">
        <f>MONTH(makulatura3[[#This Row],[Data_dostarczenia]])</f>
        <v>4</v>
      </c>
    </row>
    <row r="785" spans="1:5" x14ac:dyDescent="0.25">
      <c r="A785" s="1">
        <v>42850</v>
      </c>
      <c r="B785" s="2" t="s">
        <v>150</v>
      </c>
      <c r="C785" s="2" t="s">
        <v>297</v>
      </c>
      <c r="D785">
        <v>23</v>
      </c>
      <c r="E785">
        <f>MONTH(makulatura3[[#This Row],[Data_dostarczenia]])</f>
        <v>4</v>
      </c>
    </row>
    <row r="786" spans="1:5" x14ac:dyDescent="0.25">
      <c r="A786" s="1">
        <v>42850</v>
      </c>
      <c r="B786" s="2" t="s">
        <v>339</v>
      </c>
      <c r="C786" s="2" t="s">
        <v>565</v>
      </c>
      <c r="D786">
        <v>32</v>
      </c>
      <c r="E786">
        <f>MONTH(makulatura3[[#This Row],[Data_dostarczenia]])</f>
        <v>4</v>
      </c>
    </row>
    <row r="787" spans="1:5" x14ac:dyDescent="0.25">
      <c r="A787" s="1">
        <v>42850</v>
      </c>
      <c r="B787" s="2" t="s">
        <v>566</v>
      </c>
      <c r="C787" s="2" t="s">
        <v>567</v>
      </c>
      <c r="D787">
        <v>34</v>
      </c>
      <c r="E787">
        <f>MONTH(makulatura3[[#This Row],[Data_dostarczenia]])</f>
        <v>4</v>
      </c>
    </row>
    <row r="788" spans="1:5" x14ac:dyDescent="0.25">
      <c r="A788" s="1">
        <v>42850</v>
      </c>
      <c r="B788" s="2" t="s">
        <v>30</v>
      </c>
      <c r="C788" s="2" t="s">
        <v>387</v>
      </c>
      <c r="D788">
        <v>48</v>
      </c>
      <c r="E788">
        <f>MONTH(makulatura3[[#This Row],[Data_dostarczenia]])</f>
        <v>4</v>
      </c>
    </row>
    <row r="789" spans="1:5" x14ac:dyDescent="0.25">
      <c r="A789" s="1">
        <v>42850</v>
      </c>
      <c r="B789" s="2" t="s">
        <v>30</v>
      </c>
      <c r="C789" s="2" t="s">
        <v>568</v>
      </c>
      <c r="D789">
        <v>26</v>
      </c>
      <c r="E789">
        <f>MONTH(makulatura3[[#This Row],[Data_dostarczenia]])</f>
        <v>4</v>
      </c>
    </row>
    <row r="790" spans="1:5" x14ac:dyDescent="0.25">
      <c r="A790" s="1">
        <v>42850</v>
      </c>
      <c r="B790" s="2" t="s">
        <v>314</v>
      </c>
      <c r="C790" s="2" t="s">
        <v>315</v>
      </c>
      <c r="D790">
        <v>11</v>
      </c>
      <c r="E790">
        <f>MONTH(makulatura3[[#This Row],[Data_dostarczenia]])</f>
        <v>4</v>
      </c>
    </row>
    <row r="791" spans="1:5" x14ac:dyDescent="0.25">
      <c r="A791" s="1">
        <v>42851</v>
      </c>
      <c r="B791" s="2" t="s">
        <v>75</v>
      </c>
      <c r="C791" s="2" t="s">
        <v>264</v>
      </c>
      <c r="D791">
        <v>23</v>
      </c>
      <c r="E791">
        <f>MONTH(makulatura3[[#This Row],[Data_dostarczenia]])</f>
        <v>4</v>
      </c>
    </row>
    <row r="792" spans="1:5" x14ac:dyDescent="0.25">
      <c r="A792" s="1">
        <v>42851</v>
      </c>
      <c r="B792" s="2" t="s">
        <v>152</v>
      </c>
      <c r="C792" s="2" t="s">
        <v>153</v>
      </c>
      <c r="D792">
        <v>50</v>
      </c>
      <c r="E792">
        <f>MONTH(makulatura3[[#This Row],[Data_dostarczenia]])</f>
        <v>4</v>
      </c>
    </row>
    <row r="793" spans="1:5" x14ac:dyDescent="0.25">
      <c r="A793" s="1">
        <v>42851</v>
      </c>
      <c r="B793" s="2" t="s">
        <v>34</v>
      </c>
      <c r="C793" s="2" t="s">
        <v>564</v>
      </c>
      <c r="D793">
        <v>14</v>
      </c>
      <c r="E793">
        <f>MONTH(makulatura3[[#This Row],[Data_dostarczenia]])</f>
        <v>4</v>
      </c>
    </row>
    <row r="794" spans="1:5" x14ac:dyDescent="0.25">
      <c r="A794" s="1">
        <v>42851</v>
      </c>
      <c r="B794" s="2" t="s">
        <v>374</v>
      </c>
      <c r="C794" s="2" t="s">
        <v>375</v>
      </c>
      <c r="D794">
        <v>12</v>
      </c>
      <c r="E794">
        <f>MONTH(makulatura3[[#This Row],[Data_dostarczenia]])</f>
        <v>4</v>
      </c>
    </row>
    <row r="795" spans="1:5" x14ac:dyDescent="0.25">
      <c r="A795" s="1">
        <v>42851</v>
      </c>
      <c r="B795" s="2" t="s">
        <v>55</v>
      </c>
      <c r="C795" s="2" t="s">
        <v>456</v>
      </c>
      <c r="D795">
        <v>39</v>
      </c>
      <c r="E795">
        <f>MONTH(makulatura3[[#This Row],[Data_dostarczenia]])</f>
        <v>4</v>
      </c>
    </row>
    <row r="796" spans="1:5" x14ac:dyDescent="0.25">
      <c r="A796" s="1">
        <v>42851</v>
      </c>
      <c r="B796" s="2" t="s">
        <v>43</v>
      </c>
      <c r="C796" s="2" t="s">
        <v>569</v>
      </c>
      <c r="D796">
        <v>20</v>
      </c>
      <c r="E796">
        <f>MONTH(makulatura3[[#This Row],[Data_dostarczenia]])</f>
        <v>4</v>
      </c>
    </row>
    <row r="797" spans="1:5" x14ac:dyDescent="0.25">
      <c r="A797" s="1">
        <v>42852</v>
      </c>
      <c r="B797" s="2" t="s">
        <v>174</v>
      </c>
      <c r="C797" s="2" t="s">
        <v>570</v>
      </c>
      <c r="D797">
        <v>51</v>
      </c>
      <c r="E797">
        <f>MONTH(makulatura3[[#This Row],[Data_dostarczenia]])</f>
        <v>4</v>
      </c>
    </row>
    <row r="798" spans="1:5" x14ac:dyDescent="0.25">
      <c r="A798" s="1">
        <v>42852</v>
      </c>
      <c r="B798" s="2" t="s">
        <v>55</v>
      </c>
      <c r="C798" s="2" t="s">
        <v>571</v>
      </c>
      <c r="D798">
        <v>47</v>
      </c>
      <c r="E798">
        <f>MONTH(makulatura3[[#This Row],[Data_dostarczenia]])</f>
        <v>4</v>
      </c>
    </row>
    <row r="799" spans="1:5" x14ac:dyDescent="0.25">
      <c r="A799" s="1">
        <v>42852</v>
      </c>
      <c r="B799" s="2" t="s">
        <v>95</v>
      </c>
      <c r="C799" s="2" t="s">
        <v>426</v>
      </c>
      <c r="D799">
        <v>29</v>
      </c>
      <c r="E799">
        <f>MONTH(makulatura3[[#This Row],[Data_dostarczenia]])</f>
        <v>4</v>
      </c>
    </row>
    <row r="800" spans="1:5" x14ac:dyDescent="0.25">
      <c r="A800" s="1">
        <v>42852</v>
      </c>
      <c r="B800" s="2" t="s">
        <v>521</v>
      </c>
      <c r="C800" s="2" t="s">
        <v>410</v>
      </c>
      <c r="D800">
        <v>34</v>
      </c>
      <c r="E800">
        <f>MONTH(makulatura3[[#This Row],[Data_dostarczenia]])</f>
        <v>4</v>
      </c>
    </row>
    <row r="801" spans="1:5" x14ac:dyDescent="0.25">
      <c r="A801" s="1">
        <v>42852</v>
      </c>
      <c r="B801" s="2" t="s">
        <v>416</v>
      </c>
      <c r="C801" s="2" t="s">
        <v>572</v>
      </c>
      <c r="D801">
        <v>12</v>
      </c>
      <c r="E801">
        <f>MONTH(makulatura3[[#This Row],[Data_dostarczenia]])</f>
        <v>4</v>
      </c>
    </row>
    <row r="802" spans="1:5" x14ac:dyDescent="0.25">
      <c r="A802" s="1">
        <v>42852</v>
      </c>
      <c r="B802" s="2" t="s">
        <v>117</v>
      </c>
      <c r="C802" s="2" t="s">
        <v>183</v>
      </c>
      <c r="D802">
        <v>6</v>
      </c>
      <c r="E802">
        <f>MONTH(makulatura3[[#This Row],[Data_dostarczenia]])</f>
        <v>4</v>
      </c>
    </row>
    <row r="803" spans="1:5" x14ac:dyDescent="0.25">
      <c r="A803" s="1">
        <v>42853</v>
      </c>
      <c r="B803" s="2" t="s">
        <v>232</v>
      </c>
      <c r="C803" s="2" t="s">
        <v>573</v>
      </c>
      <c r="D803">
        <v>5</v>
      </c>
      <c r="E803">
        <f>MONTH(makulatura3[[#This Row],[Data_dostarczenia]])</f>
        <v>4</v>
      </c>
    </row>
    <row r="804" spans="1:5" x14ac:dyDescent="0.25">
      <c r="A804" s="1">
        <v>42853</v>
      </c>
      <c r="B804" s="2" t="s">
        <v>171</v>
      </c>
      <c r="C804" s="2" t="s">
        <v>562</v>
      </c>
      <c r="D804">
        <v>13</v>
      </c>
      <c r="E804">
        <f>MONTH(makulatura3[[#This Row],[Data_dostarczenia]])</f>
        <v>4</v>
      </c>
    </row>
    <row r="805" spans="1:5" x14ac:dyDescent="0.25">
      <c r="A805" s="1">
        <v>42853</v>
      </c>
      <c r="B805" s="2" t="s">
        <v>361</v>
      </c>
      <c r="C805" s="2" t="s">
        <v>424</v>
      </c>
      <c r="D805">
        <v>18</v>
      </c>
      <c r="E805">
        <f>MONTH(makulatura3[[#This Row],[Data_dostarczenia]])</f>
        <v>4</v>
      </c>
    </row>
    <row r="806" spans="1:5" x14ac:dyDescent="0.25">
      <c r="A806" s="1">
        <v>42853</v>
      </c>
      <c r="B806" s="2" t="s">
        <v>574</v>
      </c>
      <c r="C806" s="2" t="s">
        <v>421</v>
      </c>
      <c r="D806">
        <v>7</v>
      </c>
      <c r="E806">
        <f>MONTH(makulatura3[[#This Row],[Data_dostarczenia]])</f>
        <v>4</v>
      </c>
    </row>
    <row r="807" spans="1:5" x14ac:dyDescent="0.25">
      <c r="A807" s="1">
        <v>42853</v>
      </c>
      <c r="B807" s="2" t="s">
        <v>77</v>
      </c>
      <c r="C807" s="2" t="s">
        <v>575</v>
      </c>
      <c r="D807">
        <v>28</v>
      </c>
      <c r="E807">
        <f>MONTH(makulatura3[[#This Row],[Data_dostarczenia]])</f>
        <v>4</v>
      </c>
    </row>
    <row r="808" spans="1:5" x14ac:dyDescent="0.25">
      <c r="A808" s="1">
        <v>42853</v>
      </c>
      <c r="B808" s="2" t="s">
        <v>55</v>
      </c>
      <c r="C808" s="2" t="s">
        <v>184</v>
      </c>
      <c r="D808">
        <v>37</v>
      </c>
      <c r="E808">
        <f>MONTH(makulatura3[[#This Row],[Data_dostarczenia]])</f>
        <v>4</v>
      </c>
    </row>
    <row r="809" spans="1:5" x14ac:dyDescent="0.25">
      <c r="A809" s="1">
        <v>42856</v>
      </c>
      <c r="B809" s="2" t="s">
        <v>352</v>
      </c>
      <c r="C809" s="2" t="s">
        <v>227</v>
      </c>
      <c r="D809">
        <v>23</v>
      </c>
      <c r="E809">
        <f>MONTH(makulatura3[[#This Row],[Data_dostarczenia]])</f>
        <v>5</v>
      </c>
    </row>
    <row r="810" spans="1:5" x14ac:dyDescent="0.25">
      <c r="A810" s="1">
        <v>42856</v>
      </c>
      <c r="B810" s="2" t="s">
        <v>97</v>
      </c>
      <c r="C810" s="2" t="s">
        <v>188</v>
      </c>
      <c r="D810">
        <v>26</v>
      </c>
      <c r="E810">
        <f>MONTH(makulatura3[[#This Row],[Data_dostarczenia]])</f>
        <v>5</v>
      </c>
    </row>
    <row r="811" spans="1:5" x14ac:dyDescent="0.25">
      <c r="A811" s="1">
        <v>42856</v>
      </c>
      <c r="B811" s="2" t="s">
        <v>34</v>
      </c>
      <c r="C811" s="2" t="s">
        <v>338</v>
      </c>
      <c r="D811">
        <v>11</v>
      </c>
      <c r="E811">
        <f>MONTH(makulatura3[[#This Row],[Data_dostarczenia]])</f>
        <v>5</v>
      </c>
    </row>
    <row r="812" spans="1:5" x14ac:dyDescent="0.25">
      <c r="A812" s="1">
        <v>42856</v>
      </c>
      <c r="B812" s="2" t="s">
        <v>438</v>
      </c>
      <c r="C812" s="2" t="s">
        <v>439</v>
      </c>
      <c r="D812">
        <v>25</v>
      </c>
      <c r="E812">
        <f>MONTH(makulatura3[[#This Row],[Data_dostarczenia]])</f>
        <v>5</v>
      </c>
    </row>
    <row r="813" spans="1:5" x14ac:dyDescent="0.25">
      <c r="A813" s="1">
        <v>42856</v>
      </c>
      <c r="B813" s="2" t="s">
        <v>36</v>
      </c>
      <c r="C813" s="2" t="s">
        <v>180</v>
      </c>
      <c r="D813">
        <v>3</v>
      </c>
      <c r="E813">
        <f>MONTH(makulatura3[[#This Row],[Data_dostarczenia]])</f>
        <v>5</v>
      </c>
    </row>
    <row r="814" spans="1:5" x14ac:dyDescent="0.25">
      <c r="A814" s="1">
        <v>42856</v>
      </c>
      <c r="B814" s="2" t="s">
        <v>87</v>
      </c>
      <c r="C814" s="2" t="s">
        <v>383</v>
      </c>
      <c r="D814">
        <v>30</v>
      </c>
      <c r="E814">
        <f>MONTH(makulatura3[[#This Row],[Data_dostarczenia]])</f>
        <v>5</v>
      </c>
    </row>
    <row r="815" spans="1:5" x14ac:dyDescent="0.25">
      <c r="A815" s="1">
        <v>42857</v>
      </c>
      <c r="B815" s="2" t="s">
        <v>574</v>
      </c>
      <c r="C815" s="2" t="s">
        <v>421</v>
      </c>
      <c r="D815">
        <v>12</v>
      </c>
      <c r="E815">
        <f>MONTH(makulatura3[[#This Row],[Data_dostarczenia]])</f>
        <v>5</v>
      </c>
    </row>
    <row r="816" spans="1:5" x14ac:dyDescent="0.25">
      <c r="A816" s="1">
        <v>42857</v>
      </c>
      <c r="B816" s="2" t="s">
        <v>101</v>
      </c>
      <c r="C816" s="2" t="s">
        <v>212</v>
      </c>
      <c r="D816">
        <v>27</v>
      </c>
      <c r="E816">
        <f>MONTH(makulatura3[[#This Row],[Data_dostarczenia]])</f>
        <v>5</v>
      </c>
    </row>
    <row r="817" spans="1:5" x14ac:dyDescent="0.25">
      <c r="A817" s="1">
        <v>42857</v>
      </c>
      <c r="B817" s="2" t="s">
        <v>217</v>
      </c>
      <c r="C817" s="2" t="s">
        <v>218</v>
      </c>
      <c r="D817">
        <v>16</v>
      </c>
      <c r="E817">
        <f>MONTH(makulatura3[[#This Row],[Data_dostarczenia]])</f>
        <v>5</v>
      </c>
    </row>
    <row r="818" spans="1:5" x14ac:dyDescent="0.25">
      <c r="A818" s="1">
        <v>42857</v>
      </c>
      <c r="B818" s="2" t="s">
        <v>49</v>
      </c>
      <c r="C818" s="2" t="s">
        <v>50</v>
      </c>
      <c r="D818">
        <v>38</v>
      </c>
      <c r="E818">
        <f>MONTH(makulatura3[[#This Row],[Data_dostarczenia]])</f>
        <v>5</v>
      </c>
    </row>
    <row r="819" spans="1:5" x14ac:dyDescent="0.25">
      <c r="A819" s="1">
        <v>42857</v>
      </c>
      <c r="B819" s="2" t="s">
        <v>193</v>
      </c>
      <c r="C819" s="2" t="s">
        <v>160</v>
      </c>
      <c r="D819">
        <v>35</v>
      </c>
      <c r="E819">
        <f>MONTH(makulatura3[[#This Row],[Data_dostarczenia]])</f>
        <v>5</v>
      </c>
    </row>
    <row r="820" spans="1:5" x14ac:dyDescent="0.25">
      <c r="A820" s="1">
        <v>42857</v>
      </c>
      <c r="B820" s="2" t="s">
        <v>97</v>
      </c>
      <c r="C820" s="2" t="s">
        <v>309</v>
      </c>
      <c r="D820">
        <v>16</v>
      </c>
      <c r="E820">
        <f>MONTH(makulatura3[[#This Row],[Data_dostarczenia]])</f>
        <v>5</v>
      </c>
    </row>
    <row r="821" spans="1:5" x14ac:dyDescent="0.25">
      <c r="A821" s="1">
        <v>42858</v>
      </c>
      <c r="B821" s="2" t="s">
        <v>10</v>
      </c>
      <c r="C821" s="2" t="s">
        <v>266</v>
      </c>
      <c r="D821">
        <v>6</v>
      </c>
      <c r="E821">
        <f>MONTH(makulatura3[[#This Row],[Data_dostarczenia]])</f>
        <v>5</v>
      </c>
    </row>
    <row r="822" spans="1:5" x14ac:dyDescent="0.25">
      <c r="A822" s="1">
        <v>42858</v>
      </c>
      <c r="B822" s="2" t="s">
        <v>217</v>
      </c>
      <c r="C822" s="2" t="s">
        <v>218</v>
      </c>
      <c r="D822">
        <v>23</v>
      </c>
      <c r="E822">
        <f>MONTH(makulatura3[[#This Row],[Data_dostarczenia]])</f>
        <v>5</v>
      </c>
    </row>
    <row r="823" spans="1:5" x14ac:dyDescent="0.25">
      <c r="A823" s="1">
        <v>42858</v>
      </c>
      <c r="B823" s="2" t="s">
        <v>280</v>
      </c>
      <c r="C823" s="2" t="s">
        <v>466</v>
      </c>
      <c r="D823">
        <v>22</v>
      </c>
      <c r="E823">
        <f>MONTH(makulatura3[[#This Row],[Data_dostarczenia]])</f>
        <v>5</v>
      </c>
    </row>
    <row r="824" spans="1:5" x14ac:dyDescent="0.25">
      <c r="A824" s="1">
        <v>42858</v>
      </c>
      <c r="B824" s="2" t="s">
        <v>77</v>
      </c>
      <c r="C824" s="2" t="s">
        <v>85</v>
      </c>
      <c r="D824">
        <v>5</v>
      </c>
      <c r="E824">
        <f>MONTH(makulatura3[[#This Row],[Data_dostarczenia]])</f>
        <v>5</v>
      </c>
    </row>
    <row r="825" spans="1:5" x14ac:dyDescent="0.25">
      <c r="A825" s="1">
        <v>42858</v>
      </c>
      <c r="B825" s="2" t="s">
        <v>206</v>
      </c>
      <c r="C825" s="2" t="s">
        <v>332</v>
      </c>
      <c r="D825">
        <v>2</v>
      </c>
      <c r="E825">
        <f>MONTH(makulatura3[[#This Row],[Data_dostarczenia]])</f>
        <v>5</v>
      </c>
    </row>
    <row r="826" spans="1:5" x14ac:dyDescent="0.25">
      <c r="A826" s="1">
        <v>42858</v>
      </c>
      <c r="B826" s="2" t="s">
        <v>92</v>
      </c>
      <c r="C826" s="2" t="s">
        <v>93</v>
      </c>
      <c r="D826">
        <v>29</v>
      </c>
      <c r="E826">
        <f>MONTH(makulatura3[[#This Row],[Data_dostarczenia]])</f>
        <v>5</v>
      </c>
    </row>
    <row r="827" spans="1:5" x14ac:dyDescent="0.25">
      <c r="A827" s="1">
        <v>42859</v>
      </c>
      <c r="B827" s="2" t="s">
        <v>97</v>
      </c>
      <c r="C827" s="2" t="s">
        <v>181</v>
      </c>
      <c r="D827">
        <v>19</v>
      </c>
      <c r="E827">
        <f>MONTH(makulatura3[[#This Row],[Data_dostarczenia]])</f>
        <v>5</v>
      </c>
    </row>
    <row r="828" spans="1:5" x14ac:dyDescent="0.25">
      <c r="A828" s="1">
        <v>42859</v>
      </c>
      <c r="B828" s="2" t="s">
        <v>133</v>
      </c>
      <c r="C828" s="2" t="s">
        <v>499</v>
      </c>
      <c r="D828">
        <v>23</v>
      </c>
      <c r="E828">
        <f>MONTH(makulatura3[[#This Row],[Data_dostarczenia]])</f>
        <v>5</v>
      </c>
    </row>
    <row r="829" spans="1:5" x14ac:dyDescent="0.25">
      <c r="A829" s="1">
        <v>42859</v>
      </c>
      <c r="B829" s="2" t="s">
        <v>442</v>
      </c>
      <c r="C829" s="2" t="s">
        <v>540</v>
      </c>
      <c r="D829">
        <v>27</v>
      </c>
      <c r="E829">
        <f>MONTH(makulatura3[[#This Row],[Data_dostarczenia]])</f>
        <v>5</v>
      </c>
    </row>
    <row r="830" spans="1:5" x14ac:dyDescent="0.25">
      <c r="A830" s="1">
        <v>42859</v>
      </c>
      <c r="B830" s="2" t="s">
        <v>299</v>
      </c>
      <c r="C830" s="2" t="s">
        <v>482</v>
      </c>
      <c r="D830">
        <v>53</v>
      </c>
      <c r="E830">
        <f>MONTH(makulatura3[[#This Row],[Data_dostarczenia]])</f>
        <v>5</v>
      </c>
    </row>
    <row r="831" spans="1:5" x14ac:dyDescent="0.25">
      <c r="A831" s="1">
        <v>42859</v>
      </c>
      <c r="B831" s="2" t="s">
        <v>87</v>
      </c>
      <c r="C831" s="2" t="s">
        <v>124</v>
      </c>
      <c r="D831">
        <v>35</v>
      </c>
      <c r="E831">
        <f>MONTH(makulatura3[[#This Row],[Data_dostarczenia]])</f>
        <v>5</v>
      </c>
    </row>
    <row r="832" spans="1:5" x14ac:dyDescent="0.25">
      <c r="A832" s="1">
        <v>42859</v>
      </c>
      <c r="B832" s="2" t="s">
        <v>30</v>
      </c>
      <c r="C832" s="2" t="s">
        <v>241</v>
      </c>
      <c r="D832">
        <v>3</v>
      </c>
      <c r="E832">
        <f>MONTH(makulatura3[[#This Row],[Data_dostarczenia]])</f>
        <v>5</v>
      </c>
    </row>
    <row r="833" spans="1:5" x14ac:dyDescent="0.25">
      <c r="A833" s="1">
        <v>42860</v>
      </c>
      <c r="B833" s="2" t="s">
        <v>141</v>
      </c>
      <c r="C833" s="2" t="s">
        <v>364</v>
      </c>
      <c r="D833">
        <v>15</v>
      </c>
      <c r="E833">
        <f>MONTH(makulatura3[[#This Row],[Data_dostarczenia]])</f>
        <v>5</v>
      </c>
    </row>
    <row r="834" spans="1:5" x14ac:dyDescent="0.25">
      <c r="A834" s="1">
        <v>42860</v>
      </c>
      <c r="B834" s="2" t="s">
        <v>55</v>
      </c>
      <c r="C834" s="2" t="s">
        <v>326</v>
      </c>
      <c r="D834">
        <v>3</v>
      </c>
      <c r="E834">
        <f>MONTH(makulatura3[[#This Row],[Data_dostarczenia]])</f>
        <v>5</v>
      </c>
    </row>
    <row r="835" spans="1:5" x14ac:dyDescent="0.25">
      <c r="A835" s="1">
        <v>42860</v>
      </c>
      <c r="B835" s="2" t="s">
        <v>367</v>
      </c>
      <c r="C835" s="2" t="s">
        <v>368</v>
      </c>
      <c r="D835">
        <v>2</v>
      </c>
      <c r="E835">
        <f>MONTH(makulatura3[[#This Row],[Data_dostarczenia]])</f>
        <v>5</v>
      </c>
    </row>
    <row r="836" spans="1:5" x14ac:dyDescent="0.25">
      <c r="A836" s="1">
        <v>42860</v>
      </c>
      <c r="B836" s="2" t="s">
        <v>141</v>
      </c>
      <c r="C836" s="2" t="s">
        <v>550</v>
      </c>
      <c r="D836">
        <v>28</v>
      </c>
      <c r="E836">
        <f>MONTH(makulatura3[[#This Row],[Data_dostarczenia]])</f>
        <v>5</v>
      </c>
    </row>
    <row r="837" spans="1:5" x14ac:dyDescent="0.25">
      <c r="A837" s="1">
        <v>42860</v>
      </c>
      <c r="B837" s="2" t="s">
        <v>395</v>
      </c>
      <c r="C837" s="2" t="s">
        <v>461</v>
      </c>
      <c r="D837">
        <v>23</v>
      </c>
      <c r="E837">
        <f>MONTH(makulatura3[[#This Row],[Data_dostarczenia]])</f>
        <v>5</v>
      </c>
    </row>
    <row r="838" spans="1:5" x14ac:dyDescent="0.25">
      <c r="A838" s="1">
        <v>42860</v>
      </c>
      <c r="B838" s="2" t="s">
        <v>39</v>
      </c>
      <c r="C838" s="2" t="s">
        <v>164</v>
      </c>
      <c r="D838">
        <v>20</v>
      </c>
      <c r="E838">
        <f>MONTH(makulatura3[[#This Row],[Data_dostarczenia]])</f>
        <v>5</v>
      </c>
    </row>
    <row r="839" spans="1:5" x14ac:dyDescent="0.25">
      <c r="A839" s="1">
        <v>42863</v>
      </c>
      <c r="B839" s="2" t="s">
        <v>193</v>
      </c>
      <c r="C839" s="2" t="s">
        <v>160</v>
      </c>
      <c r="D839">
        <v>35</v>
      </c>
      <c r="E839">
        <f>MONTH(makulatura3[[#This Row],[Data_dostarczenia]])</f>
        <v>5</v>
      </c>
    </row>
    <row r="840" spans="1:5" x14ac:dyDescent="0.25">
      <c r="A840" s="1">
        <v>42863</v>
      </c>
      <c r="B840" s="2" t="s">
        <v>206</v>
      </c>
      <c r="C840" s="2" t="s">
        <v>563</v>
      </c>
      <c r="D840">
        <v>45</v>
      </c>
      <c r="E840">
        <f>MONTH(makulatura3[[#This Row],[Data_dostarczenia]])</f>
        <v>5</v>
      </c>
    </row>
    <row r="841" spans="1:5" x14ac:dyDescent="0.25">
      <c r="A841" s="1">
        <v>42863</v>
      </c>
      <c r="B841" s="2" t="s">
        <v>519</v>
      </c>
      <c r="C841" s="2" t="s">
        <v>520</v>
      </c>
      <c r="D841">
        <v>39</v>
      </c>
      <c r="E841">
        <f>MONTH(makulatura3[[#This Row],[Data_dostarczenia]])</f>
        <v>5</v>
      </c>
    </row>
    <row r="842" spans="1:5" x14ac:dyDescent="0.25">
      <c r="A842" s="1">
        <v>42863</v>
      </c>
      <c r="B842" s="2" t="s">
        <v>34</v>
      </c>
      <c r="C842" s="2" t="s">
        <v>564</v>
      </c>
      <c r="D842">
        <v>13</v>
      </c>
      <c r="E842">
        <f>MONTH(makulatura3[[#This Row],[Data_dostarczenia]])</f>
        <v>5</v>
      </c>
    </row>
    <row r="843" spans="1:5" x14ac:dyDescent="0.25">
      <c r="A843" s="1">
        <v>42863</v>
      </c>
      <c r="B843" s="2" t="s">
        <v>87</v>
      </c>
      <c r="C843" s="2" t="s">
        <v>154</v>
      </c>
      <c r="D843">
        <v>2</v>
      </c>
      <c r="E843">
        <f>MONTH(makulatura3[[#This Row],[Data_dostarczenia]])</f>
        <v>5</v>
      </c>
    </row>
    <row r="844" spans="1:5" x14ac:dyDescent="0.25">
      <c r="A844" s="1">
        <v>42863</v>
      </c>
      <c r="B844" s="2" t="s">
        <v>195</v>
      </c>
      <c r="C844" s="2" t="s">
        <v>196</v>
      </c>
      <c r="D844">
        <v>38</v>
      </c>
      <c r="E844">
        <f>MONTH(makulatura3[[#This Row],[Data_dostarczenia]])</f>
        <v>5</v>
      </c>
    </row>
    <row r="845" spans="1:5" x14ac:dyDescent="0.25">
      <c r="A845" s="1">
        <v>42864</v>
      </c>
      <c r="B845" s="2" t="s">
        <v>161</v>
      </c>
      <c r="C845" s="2" t="s">
        <v>345</v>
      </c>
      <c r="D845">
        <v>48</v>
      </c>
      <c r="E845">
        <f>MONTH(makulatura3[[#This Row],[Data_dostarczenia]])</f>
        <v>5</v>
      </c>
    </row>
    <row r="846" spans="1:5" x14ac:dyDescent="0.25">
      <c r="A846" s="1">
        <v>42864</v>
      </c>
      <c r="B846" s="2" t="s">
        <v>51</v>
      </c>
      <c r="C846" s="2" t="s">
        <v>469</v>
      </c>
      <c r="D846">
        <v>41</v>
      </c>
      <c r="E846">
        <f>MONTH(makulatura3[[#This Row],[Data_dostarczenia]])</f>
        <v>5</v>
      </c>
    </row>
    <row r="847" spans="1:5" x14ac:dyDescent="0.25">
      <c r="A847" s="1">
        <v>42864</v>
      </c>
      <c r="B847" s="2" t="s">
        <v>101</v>
      </c>
      <c r="C847" s="2" t="s">
        <v>102</v>
      </c>
      <c r="D847">
        <v>6</v>
      </c>
      <c r="E847">
        <f>MONTH(makulatura3[[#This Row],[Data_dostarczenia]])</f>
        <v>5</v>
      </c>
    </row>
    <row r="848" spans="1:5" x14ac:dyDescent="0.25">
      <c r="A848" s="1">
        <v>42864</v>
      </c>
      <c r="B848" s="2" t="s">
        <v>367</v>
      </c>
      <c r="C848" s="2" t="s">
        <v>411</v>
      </c>
      <c r="D848">
        <v>14</v>
      </c>
      <c r="E848">
        <f>MONTH(makulatura3[[#This Row],[Data_dostarczenia]])</f>
        <v>5</v>
      </c>
    </row>
    <row r="849" spans="1:5" x14ac:dyDescent="0.25">
      <c r="A849" s="1">
        <v>42864</v>
      </c>
      <c r="B849" s="2" t="s">
        <v>576</v>
      </c>
      <c r="C849" s="2" t="s">
        <v>577</v>
      </c>
      <c r="D849">
        <v>35</v>
      </c>
      <c r="E849">
        <f>MONTH(makulatura3[[#This Row],[Data_dostarczenia]])</f>
        <v>5</v>
      </c>
    </row>
    <row r="850" spans="1:5" x14ac:dyDescent="0.25">
      <c r="A850" s="1">
        <v>42864</v>
      </c>
      <c r="B850" s="2" t="s">
        <v>147</v>
      </c>
      <c r="C850" s="2" t="s">
        <v>578</v>
      </c>
      <c r="D850">
        <v>26</v>
      </c>
      <c r="E850">
        <f>MONTH(makulatura3[[#This Row],[Data_dostarczenia]])</f>
        <v>5</v>
      </c>
    </row>
    <row r="851" spans="1:5" x14ac:dyDescent="0.25">
      <c r="A851" s="1">
        <v>42865</v>
      </c>
      <c r="B851" s="2" t="s">
        <v>83</v>
      </c>
      <c r="C851" s="2" t="s">
        <v>84</v>
      </c>
      <c r="D851">
        <v>49</v>
      </c>
      <c r="E851">
        <f>MONTH(makulatura3[[#This Row],[Data_dostarczenia]])</f>
        <v>5</v>
      </c>
    </row>
    <row r="852" spans="1:5" x14ac:dyDescent="0.25">
      <c r="A852" s="1">
        <v>42865</v>
      </c>
      <c r="B852" s="2" t="s">
        <v>280</v>
      </c>
      <c r="C852" s="2" t="s">
        <v>281</v>
      </c>
      <c r="D852">
        <v>22</v>
      </c>
      <c r="E852">
        <f>MONTH(makulatura3[[#This Row],[Data_dostarczenia]])</f>
        <v>5</v>
      </c>
    </row>
    <row r="853" spans="1:5" x14ac:dyDescent="0.25">
      <c r="A853" s="1">
        <v>42865</v>
      </c>
      <c r="B853" s="2" t="s">
        <v>97</v>
      </c>
      <c r="C853" s="2" t="s">
        <v>579</v>
      </c>
      <c r="D853">
        <v>56</v>
      </c>
      <c r="E853">
        <f>MONTH(makulatura3[[#This Row],[Data_dostarczenia]])</f>
        <v>5</v>
      </c>
    </row>
    <row r="854" spans="1:5" x14ac:dyDescent="0.25">
      <c r="A854" s="1">
        <v>42865</v>
      </c>
      <c r="B854" s="2" t="s">
        <v>367</v>
      </c>
      <c r="C854" s="2" t="s">
        <v>368</v>
      </c>
      <c r="D854">
        <v>6</v>
      </c>
      <c r="E854">
        <f>MONTH(makulatura3[[#This Row],[Data_dostarczenia]])</f>
        <v>5</v>
      </c>
    </row>
    <row r="855" spans="1:5" x14ac:dyDescent="0.25">
      <c r="A855" s="1">
        <v>42865</v>
      </c>
      <c r="B855" s="2" t="s">
        <v>232</v>
      </c>
      <c r="C855" s="2" t="s">
        <v>378</v>
      </c>
      <c r="D855">
        <v>13</v>
      </c>
      <c r="E855">
        <f>MONTH(makulatura3[[#This Row],[Data_dostarczenia]])</f>
        <v>5</v>
      </c>
    </row>
    <row r="856" spans="1:5" x14ac:dyDescent="0.25">
      <c r="A856" s="1">
        <v>42865</v>
      </c>
      <c r="B856" s="2" t="s">
        <v>574</v>
      </c>
      <c r="C856" s="2" t="s">
        <v>421</v>
      </c>
      <c r="D856">
        <v>3</v>
      </c>
      <c r="E856">
        <f>MONTH(makulatura3[[#This Row],[Data_dostarczenia]])</f>
        <v>5</v>
      </c>
    </row>
    <row r="857" spans="1:5" x14ac:dyDescent="0.25">
      <c r="A857" s="1">
        <v>42866</v>
      </c>
      <c r="B857" s="2" t="s">
        <v>47</v>
      </c>
      <c r="C857" s="2" t="s">
        <v>336</v>
      </c>
      <c r="D857">
        <v>7</v>
      </c>
      <c r="E857">
        <f>MONTH(makulatura3[[#This Row],[Data_dostarczenia]])</f>
        <v>5</v>
      </c>
    </row>
    <row r="858" spans="1:5" x14ac:dyDescent="0.25">
      <c r="A858" s="1">
        <v>42866</v>
      </c>
      <c r="B858" s="2" t="s">
        <v>83</v>
      </c>
      <c r="C858" s="2" t="s">
        <v>136</v>
      </c>
      <c r="D858">
        <v>29</v>
      </c>
      <c r="E858">
        <f>MONTH(makulatura3[[#This Row],[Data_dostarczenia]])</f>
        <v>5</v>
      </c>
    </row>
    <row r="859" spans="1:5" x14ac:dyDescent="0.25">
      <c r="A859" s="1">
        <v>42866</v>
      </c>
      <c r="B859" s="2" t="s">
        <v>45</v>
      </c>
      <c r="C859" s="2" t="s">
        <v>388</v>
      </c>
      <c r="D859">
        <v>53</v>
      </c>
      <c r="E859">
        <f>MONTH(makulatura3[[#This Row],[Data_dostarczenia]])</f>
        <v>5</v>
      </c>
    </row>
    <row r="860" spans="1:5" x14ac:dyDescent="0.25">
      <c r="A860" s="1">
        <v>42866</v>
      </c>
      <c r="B860" s="2" t="s">
        <v>16</v>
      </c>
      <c r="C860" s="2" t="s">
        <v>440</v>
      </c>
      <c r="D860">
        <v>52</v>
      </c>
      <c r="E860">
        <f>MONTH(makulatura3[[#This Row],[Data_dostarczenia]])</f>
        <v>5</v>
      </c>
    </row>
    <row r="861" spans="1:5" x14ac:dyDescent="0.25">
      <c r="A861" s="1">
        <v>42866</v>
      </c>
      <c r="B861" s="2" t="s">
        <v>280</v>
      </c>
      <c r="C861" s="2" t="s">
        <v>580</v>
      </c>
      <c r="D861">
        <v>26</v>
      </c>
      <c r="E861">
        <f>MONTH(makulatura3[[#This Row],[Data_dostarczenia]])</f>
        <v>5</v>
      </c>
    </row>
    <row r="862" spans="1:5" x14ac:dyDescent="0.25">
      <c r="A862" s="1">
        <v>42866</v>
      </c>
      <c r="B862" s="2" t="s">
        <v>101</v>
      </c>
      <c r="C862" s="2" t="s">
        <v>293</v>
      </c>
      <c r="D862">
        <v>28</v>
      </c>
      <c r="E862">
        <f>MONTH(makulatura3[[#This Row],[Data_dostarczenia]])</f>
        <v>5</v>
      </c>
    </row>
    <row r="863" spans="1:5" x14ac:dyDescent="0.25">
      <c r="A863" s="1">
        <v>42867</v>
      </c>
      <c r="B863" s="2" t="s">
        <v>69</v>
      </c>
      <c r="C863" s="2" t="s">
        <v>200</v>
      </c>
      <c r="D863">
        <v>12</v>
      </c>
      <c r="E863">
        <f>MONTH(makulatura3[[#This Row],[Data_dostarczenia]])</f>
        <v>5</v>
      </c>
    </row>
    <row r="864" spans="1:5" x14ac:dyDescent="0.25">
      <c r="A864" s="1">
        <v>42867</v>
      </c>
      <c r="B864" s="2" t="s">
        <v>161</v>
      </c>
      <c r="C864" s="2" t="s">
        <v>214</v>
      </c>
      <c r="D864">
        <v>10</v>
      </c>
      <c r="E864">
        <f>MONTH(makulatura3[[#This Row],[Data_dostarczenia]])</f>
        <v>5</v>
      </c>
    </row>
    <row r="865" spans="1:5" x14ac:dyDescent="0.25">
      <c r="A865" s="1">
        <v>42867</v>
      </c>
      <c r="B865" s="2" t="s">
        <v>72</v>
      </c>
      <c r="C865" s="2" t="s">
        <v>73</v>
      </c>
      <c r="D865">
        <v>10</v>
      </c>
      <c r="E865">
        <f>MONTH(makulatura3[[#This Row],[Data_dostarczenia]])</f>
        <v>5</v>
      </c>
    </row>
    <row r="866" spans="1:5" x14ac:dyDescent="0.25">
      <c r="A866" s="1">
        <v>42867</v>
      </c>
      <c r="B866" s="2" t="s">
        <v>119</v>
      </c>
      <c r="C866" s="2" t="s">
        <v>380</v>
      </c>
      <c r="D866">
        <v>54</v>
      </c>
      <c r="E866">
        <f>MONTH(makulatura3[[#This Row],[Data_dostarczenia]])</f>
        <v>5</v>
      </c>
    </row>
    <row r="867" spans="1:5" x14ac:dyDescent="0.25">
      <c r="A867" s="1">
        <v>42867</v>
      </c>
      <c r="B867" s="2" t="s">
        <v>374</v>
      </c>
      <c r="C867" s="2" t="s">
        <v>581</v>
      </c>
      <c r="D867">
        <v>19</v>
      </c>
      <c r="E867">
        <f>MONTH(makulatura3[[#This Row],[Data_dostarczenia]])</f>
        <v>5</v>
      </c>
    </row>
    <row r="868" spans="1:5" x14ac:dyDescent="0.25">
      <c r="A868" s="1">
        <v>42867</v>
      </c>
      <c r="B868" s="2" t="s">
        <v>152</v>
      </c>
      <c r="C868" s="2" t="s">
        <v>257</v>
      </c>
      <c r="D868">
        <v>53</v>
      </c>
      <c r="E868">
        <f>MONTH(makulatura3[[#This Row],[Data_dostarczenia]])</f>
        <v>5</v>
      </c>
    </row>
    <row r="869" spans="1:5" x14ac:dyDescent="0.25">
      <c r="A869" s="1">
        <v>42870</v>
      </c>
      <c r="B869" s="2" t="s">
        <v>47</v>
      </c>
      <c r="C869" s="2" t="s">
        <v>334</v>
      </c>
      <c r="D869">
        <v>18</v>
      </c>
      <c r="E869">
        <f>MONTH(makulatura3[[#This Row],[Data_dostarczenia]])</f>
        <v>5</v>
      </c>
    </row>
    <row r="870" spans="1:5" x14ac:dyDescent="0.25">
      <c r="A870" s="1">
        <v>42870</v>
      </c>
      <c r="B870" s="2" t="s">
        <v>393</v>
      </c>
      <c r="C870" s="2" t="s">
        <v>582</v>
      </c>
      <c r="D870">
        <v>27</v>
      </c>
      <c r="E870">
        <f>MONTH(makulatura3[[#This Row],[Data_dostarczenia]])</f>
        <v>5</v>
      </c>
    </row>
    <row r="871" spans="1:5" x14ac:dyDescent="0.25">
      <c r="A871" s="1">
        <v>42870</v>
      </c>
      <c r="B871" s="2" t="s">
        <v>479</v>
      </c>
      <c r="C871" s="2" t="s">
        <v>480</v>
      </c>
      <c r="D871">
        <v>26</v>
      </c>
      <c r="E871">
        <f>MONTH(makulatura3[[#This Row],[Data_dostarczenia]])</f>
        <v>5</v>
      </c>
    </row>
    <row r="872" spans="1:5" x14ac:dyDescent="0.25">
      <c r="A872" s="1">
        <v>42870</v>
      </c>
      <c r="B872" s="2" t="s">
        <v>339</v>
      </c>
      <c r="C872" s="2" t="s">
        <v>583</v>
      </c>
      <c r="D872">
        <v>52</v>
      </c>
      <c r="E872">
        <f>MONTH(makulatura3[[#This Row],[Data_dostarczenia]])</f>
        <v>5</v>
      </c>
    </row>
    <row r="873" spans="1:5" x14ac:dyDescent="0.25">
      <c r="A873" s="1">
        <v>42870</v>
      </c>
      <c r="B873" s="2" t="s">
        <v>81</v>
      </c>
      <c r="C873" s="2" t="s">
        <v>104</v>
      </c>
      <c r="D873">
        <v>10</v>
      </c>
      <c r="E873">
        <f>MONTH(makulatura3[[#This Row],[Data_dostarczenia]])</f>
        <v>5</v>
      </c>
    </row>
    <row r="874" spans="1:5" x14ac:dyDescent="0.25">
      <c r="A874" s="1">
        <v>42870</v>
      </c>
      <c r="B874" s="2" t="s">
        <v>34</v>
      </c>
      <c r="C874" s="2" t="s">
        <v>557</v>
      </c>
      <c r="D874">
        <v>5</v>
      </c>
      <c r="E874">
        <f>MONTH(makulatura3[[#This Row],[Data_dostarczenia]])</f>
        <v>5</v>
      </c>
    </row>
    <row r="875" spans="1:5" x14ac:dyDescent="0.25">
      <c r="A875" s="1">
        <v>42871</v>
      </c>
      <c r="B875" s="2" t="s">
        <v>81</v>
      </c>
      <c r="C875" s="2" t="s">
        <v>584</v>
      </c>
      <c r="D875">
        <v>38</v>
      </c>
      <c r="E875">
        <f>MONTH(makulatura3[[#This Row],[Data_dostarczenia]])</f>
        <v>5</v>
      </c>
    </row>
    <row r="876" spans="1:5" x14ac:dyDescent="0.25">
      <c r="A876" s="1">
        <v>42871</v>
      </c>
      <c r="B876" s="2" t="s">
        <v>55</v>
      </c>
      <c r="C876" s="2" t="s">
        <v>466</v>
      </c>
      <c r="D876">
        <v>20</v>
      </c>
      <c r="E876">
        <f>MONTH(makulatura3[[#This Row],[Data_dostarczenia]])</f>
        <v>5</v>
      </c>
    </row>
    <row r="877" spans="1:5" x14ac:dyDescent="0.25">
      <c r="A877" s="1">
        <v>42871</v>
      </c>
      <c r="B877" s="2" t="s">
        <v>77</v>
      </c>
      <c r="C877" s="2" t="s">
        <v>78</v>
      </c>
      <c r="D877">
        <v>2</v>
      </c>
      <c r="E877">
        <f>MONTH(makulatura3[[#This Row],[Data_dostarczenia]])</f>
        <v>5</v>
      </c>
    </row>
    <row r="878" spans="1:5" x14ac:dyDescent="0.25">
      <c r="A878" s="1">
        <v>42871</v>
      </c>
      <c r="B878" s="2" t="s">
        <v>83</v>
      </c>
      <c r="C878" s="2" t="s">
        <v>91</v>
      </c>
      <c r="D878">
        <v>25</v>
      </c>
      <c r="E878">
        <f>MONTH(makulatura3[[#This Row],[Data_dostarczenia]])</f>
        <v>5</v>
      </c>
    </row>
    <row r="879" spans="1:5" x14ac:dyDescent="0.25">
      <c r="A879" s="1">
        <v>42871</v>
      </c>
      <c r="B879" s="2" t="s">
        <v>101</v>
      </c>
      <c r="C879" s="2" t="s">
        <v>188</v>
      </c>
      <c r="D879">
        <v>13</v>
      </c>
      <c r="E879">
        <f>MONTH(makulatura3[[#This Row],[Data_dostarczenia]])</f>
        <v>5</v>
      </c>
    </row>
    <row r="880" spans="1:5" x14ac:dyDescent="0.25">
      <c r="A880" s="1">
        <v>42871</v>
      </c>
      <c r="B880" s="2" t="s">
        <v>402</v>
      </c>
      <c r="C880" s="2" t="s">
        <v>403</v>
      </c>
      <c r="D880">
        <v>54</v>
      </c>
      <c r="E880">
        <f>MONTH(makulatura3[[#This Row],[Data_dostarczenia]])</f>
        <v>5</v>
      </c>
    </row>
    <row r="881" spans="1:5" x14ac:dyDescent="0.25">
      <c r="A881" s="1">
        <v>42872</v>
      </c>
      <c r="B881" s="2" t="s">
        <v>372</v>
      </c>
      <c r="C881" s="2" t="s">
        <v>373</v>
      </c>
      <c r="D881">
        <v>27</v>
      </c>
      <c r="E881">
        <f>MONTH(makulatura3[[#This Row],[Data_dostarczenia]])</f>
        <v>5</v>
      </c>
    </row>
    <row r="882" spans="1:5" x14ac:dyDescent="0.25">
      <c r="A882" s="1">
        <v>42872</v>
      </c>
      <c r="B882" s="2" t="s">
        <v>18</v>
      </c>
      <c r="C882" s="2" t="s">
        <v>29</v>
      </c>
      <c r="D882">
        <v>15</v>
      </c>
      <c r="E882">
        <f>MONTH(makulatura3[[#This Row],[Data_dostarczenia]])</f>
        <v>5</v>
      </c>
    </row>
    <row r="883" spans="1:5" x14ac:dyDescent="0.25">
      <c r="A883" s="1">
        <v>42872</v>
      </c>
      <c r="B883" s="2" t="s">
        <v>4</v>
      </c>
      <c r="C883" s="2" t="s">
        <v>489</v>
      </c>
      <c r="D883">
        <v>19</v>
      </c>
      <c r="E883">
        <f>MONTH(makulatura3[[#This Row],[Data_dostarczenia]])</f>
        <v>5</v>
      </c>
    </row>
    <row r="884" spans="1:5" x14ac:dyDescent="0.25">
      <c r="A884" s="1">
        <v>42872</v>
      </c>
      <c r="B884" s="2" t="s">
        <v>69</v>
      </c>
      <c r="C884" s="2" t="s">
        <v>286</v>
      </c>
      <c r="D884">
        <v>22</v>
      </c>
      <c r="E884">
        <f>MONTH(makulatura3[[#This Row],[Data_dostarczenia]])</f>
        <v>5</v>
      </c>
    </row>
    <row r="885" spans="1:5" x14ac:dyDescent="0.25">
      <c r="A885" s="1">
        <v>42872</v>
      </c>
      <c r="B885" s="2" t="s">
        <v>143</v>
      </c>
      <c r="C885" s="2" t="s">
        <v>585</v>
      </c>
      <c r="D885">
        <v>12</v>
      </c>
      <c r="E885">
        <f>MONTH(makulatura3[[#This Row],[Data_dostarczenia]])</f>
        <v>5</v>
      </c>
    </row>
    <row r="886" spans="1:5" x14ac:dyDescent="0.25">
      <c r="A886" s="1">
        <v>42872</v>
      </c>
      <c r="B886" s="2" t="s">
        <v>479</v>
      </c>
      <c r="C886" s="2" t="s">
        <v>480</v>
      </c>
      <c r="D886">
        <v>6</v>
      </c>
      <c r="E886">
        <f>MONTH(makulatura3[[#This Row],[Data_dostarczenia]])</f>
        <v>5</v>
      </c>
    </row>
    <row r="887" spans="1:5" x14ac:dyDescent="0.25">
      <c r="A887" s="1">
        <v>42873</v>
      </c>
      <c r="B887" s="2" t="s">
        <v>343</v>
      </c>
      <c r="C887" s="2" t="s">
        <v>344</v>
      </c>
      <c r="D887">
        <v>27</v>
      </c>
      <c r="E887">
        <f>MONTH(makulatura3[[#This Row],[Data_dostarczenia]])</f>
        <v>5</v>
      </c>
    </row>
    <row r="888" spans="1:5" x14ac:dyDescent="0.25">
      <c r="A888" s="1">
        <v>42873</v>
      </c>
      <c r="B888" s="2" t="s">
        <v>137</v>
      </c>
      <c r="C888" s="2" t="s">
        <v>379</v>
      </c>
      <c r="D888">
        <v>6</v>
      </c>
      <c r="E888">
        <f>MONTH(makulatura3[[#This Row],[Data_dostarczenia]])</f>
        <v>5</v>
      </c>
    </row>
    <row r="889" spans="1:5" x14ac:dyDescent="0.25">
      <c r="A889" s="1">
        <v>42873</v>
      </c>
      <c r="B889" s="2" t="s">
        <v>484</v>
      </c>
      <c r="C889" s="2" t="s">
        <v>485</v>
      </c>
      <c r="D889">
        <v>6</v>
      </c>
      <c r="E889">
        <f>MONTH(makulatura3[[#This Row],[Data_dostarczenia]])</f>
        <v>5</v>
      </c>
    </row>
    <row r="890" spans="1:5" x14ac:dyDescent="0.25">
      <c r="A890" s="1">
        <v>42873</v>
      </c>
      <c r="B890" s="2" t="s">
        <v>39</v>
      </c>
      <c r="C890" s="2" t="s">
        <v>586</v>
      </c>
      <c r="D890">
        <v>4</v>
      </c>
      <c r="E890">
        <f>MONTH(makulatura3[[#This Row],[Data_dostarczenia]])</f>
        <v>5</v>
      </c>
    </row>
    <row r="891" spans="1:5" x14ac:dyDescent="0.25">
      <c r="A891" s="1">
        <v>42873</v>
      </c>
      <c r="B891" s="2" t="s">
        <v>201</v>
      </c>
      <c r="C891" s="2" t="s">
        <v>433</v>
      </c>
      <c r="D891">
        <v>28</v>
      </c>
      <c r="E891">
        <f>MONTH(makulatura3[[#This Row],[Data_dostarczenia]])</f>
        <v>5</v>
      </c>
    </row>
    <row r="892" spans="1:5" x14ac:dyDescent="0.25">
      <c r="A892" s="1">
        <v>42873</v>
      </c>
      <c r="B892" s="2" t="s">
        <v>143</v>
      </c>
      <c r="C892" s="2" t="s">
        <v>585</v>
      </c>
      <c r="D892">
        <v>48</v>
      </c>
      <c r="E892">
        <f>MONTH(makulatura3[[#This Row],[Data_dostarczenia]])</f>
        <v>5</v>
      </c>
    </row>
    <row r="893" spans="1:5" x14ac:dyDescent="0.25">
      <c r="A893" s="1">
        <v>42874</v>
      </c>
      <c r="B893" s="2" t="s">
        <v>69</v>
      </c>
      <c r="C893" s="2" t="s">
        <v>461</v>
      </c>
      <c r="D893">
        <v>40</v>
      </c>
      <c r="E893">
        <f>MONTH(makulatura3[[#This Row],[Data_dostarczenia]])</f>
        <v>5</v>
      </c>
    </row>
    <row r="894" spans="1:5" x14ac:dyDescent="0.25">
      <c r="A894" s="1">
        <v>42874</v>
      </c>
      <c r="B894" s="2" t="s">
        <v>101</v>
      </c>
      <c r="C894" s="2" t="s">
        <v>187</v>
      </c>
      <c r="D894">
        <v>17</v>
      </c>
      <c r="E894">
        <f>MONTH(makulatura3[[#This Row],[Data_dostarczenia]])</f>
        <v>5</v>
      </c>
    </row>
    <row r="895" spans="1:5" x14ac:dyDescent="0.25">
      <c r="A895" s="1">
        <v>42874</v>
      </c>
      <c r="B895" s="2" t="s">
        <v>203</v>
      </c>
      <c r="C895" s="2" t="s">
        <v>370</v>
      </c>
      <c r="D895">
        <v>22</v>
      </c>
      <c r="E895">
        <f>MONTH(makulatura3[[#This Row],[Data_dostarczenia]])</f>
        <v>5</v>
      </c>
    </row>
    <row r="896" spans="1:5" x14ac:dyDescent="0.25">
      <c r="A896" s="1">
        <v>42874</v>
      </c>
      <c r="B896" s="2" t="s">
        <v>174</v>
      </c>
      <c r="C896" s="2" t="s">
        <v>175</v>
      </c>
      <c r="D896">
        <v>2</v>
      </c>
      <c r="E896">
        <f>MONTH(makulatura3[[#This Row],[Data_dostarczenia]])</f>
        <v>5</v>
      </c>
    </row>
    <row r="897" spans="1:5" x14ac:dyDescent="0.25">
      <c r="A897" s="1">
        <v>42874</v>
      </c>
      <c r="B897" s="2" t="s">
        <v>30</v>
      </c>
      <c r="C897" s="2" t="s">
        <v>31</v>
      </c>
      <c r="D897">
        <v>5</v>
      </c>
      <c r="E897">
        <f>MONTH(makulatura3[[#This Row],[Data_dostarczenia]])</f>
        <v>5</v>
      </c>
    </row>
    <row r="898" spans="1:5" x14ac:dyDescent="0.25">
      <c r="A898" s="1">
        <v>42874</v>
      </c>
      <c r="B898" s="2" t="s">
        <v>280</v>
      </c>
      <c r="C898" s="2" t="s">
        <v>451</v>
      </c>
      <c r="D898">
        <v>25</v>
      </c>
      <c r="E898">
        <f>MONTH(makulatura3[[#This Row],[Data_dostarczenia]])</f>
        <v>5</v>
      </c>
    </row>
    <row r="899" spans="1:5" x14ac:dyDescent="0.25">
      <c r="A899" s="1">
        <v>42877</v>
      </c>
      <c r="B899" s="2" t="s">
        <v>167</v>
      </c>
      <c r="C899" s="2" t="s">
        <v>552</v>
      </c>
      <c r="D899">
        <v>21</v>
      </c>
      <c r="E899">
        <f>MONTH(makulatura3[[#This Row],[Data_dostarczenia]])</f>
        <v>5</v>
      </c>
    </row>
    <row r="900" spans="1:5" x14ac:dyDescent="0.25">
      <c r="A900" s="1">
        <v>42877</v>
      </c>
      <c r="B900" s="2" t="s">
        <v>30</v>
      </c>
      <c r="C900" s="2" t="s">
        <v>432</v>
      </c>
      <c r="D900">
        <v>31</v>
      </c>
      <c r="E900">
        <f>MONTH(makulatura3[[#This Row],[Data_dostarczenia]])</f>
        <v>5</v>
      </c>
    </row>
    <row r="901" spans="1:5" x14ac:dyDescent="0.25">
      <c r="A901" s="1">
        <v>42877</v>
      </c>
      <c r="B901" s="2" t="s">
        <v>75</v>
      </c>
      <c r="C901" s="2" t="s">
        <v>213</v>
      </c>
      <c r="D901">
        <v>21</v>
      </c>
      <c r="E901">
        <f>MONTH(makulatura3[[#This Row],[Data_dostarczenia]])</f>
        <v>5</v>
      </c>
    </row>
    <row r="902" spans="1:5" x14ac:dyDescent="0.25">
      <c r="A902" s="1">
        <v>42877</v>
      </c>
      <c r="B902" s="2" t="s">
        <v>232</v>
      </c>
      <c r="C902" s="2" t="s">
        <v>573</v>
      </c>
      <c r="D902">
        <v>19</v>
      </c>
      <c r="E902">
        <f>MONTH(makulatura3[[#This Row],[Data_dostarczenia]])</f>
        <v>5</v>
      </c>
    </row>
    <row r="903" spans="1:5" x14ac:dyDescent="0.25">
      <c r="A903" s="1">
        <v>42877</v>
      </c>
      <c r="B903" s="2" t="s">
        <v>57</v>
      </c>
      <c r="C903" s="2" t="s">
        <v>58</v>
      </c>
      <c r="D903">
        <v>6</v>
      </c>
      <c r="E903">
        <f>MONTH(makulatura3[[#This Row],[Data_dostarczenia]])</f>
        <v>5</v>
      </c>
    </row>
    <row r="904" spans="1:5" x14ac:dyDescent="0.25">
      <c r="A904" s="1">
        <v>42877</v>
      </c>
      <c r="B904" s="2" t="s">
        <v>150</v>
      </c>
      <c r="C904" s="2" t="s">
        <v>140</v>
      </c>
      <c r="D904">
        <v>24</v>
      </c>
      <c r="E904">
        <f>MONTH(makulatura3[[#This Row],[Data_dostarczenia]])</f>
        <v>5</v>
      </c>
    </row>
    <row r="905" spans="1:5" x14ac:dyDescent="0.25">
      <c r="A905" s="1">
        <v>42878</v>
      </c>
      <c r="B905" s="2" t="s">
        <v>343</v>
      </c>
      <c r="C905" s="2" t="s">
        <v>344</v>
      </c>
      <c r="D905">
        <v>54</v>
      </c>
      <c r="E905">
        <f>MONTH(makulatura3[[#This Row],[Data_dostarczenia]])</f>
        <v>5</v>
      </c>
    </row>
    <row r="906" spans="1:5" x14ac:dyDescent="0.25">
      <c r="A906" s="1">
        <v>42878</v>
      </c>
      <c r="B906" s="2" t="s">
        <v>53</v>
      </c>
      <c r="C906" s="2" t="s">
        <v>54</v>
      </c>
      <c r="D906">
        <v>18</v>
      </c>
      <c r="E906">
        <f>MONTH(makulatura3[[#This Row],[Data_dostarczenia]])</f>
        <v>5</v>
      </c>
    </row>
    <row r="907" spans="1:5" x14ac:dyDescent="0.25">
      <c r="A907" s="1">
        <v>42878</v>
      </c>
      <c r="B907" s="2" t="s">
        <v>343</v>
      </c>
      <c r="C907" s="2" t="s">
        <v>501</v>
      </c>
      <c r="D907">
        <v>8</v>
      </c>
      <c r="E907">
        <f>MONTH(makulatura3[[#This Row],[Data_dostarczenia]])</f>
        <v>5</v>
      </c>
    </row>
    <row r="908" spans="1:5" x14ac:dyDescent="0.25">
      <c r="A908" s="1">
        <v>42878</v>
      </c>
      <c r="B908" s="2" t="s">
        <v>243</v>
      </c>
      <c r="C908" s="2" t="s">
        <v>82</v>
      </c>
      <c r="D908">
        <v>4</v>
      </c>
      <c r="E908">
        <f>MONTH(makulatura3[[#This Row],[Data_dostarczenia]])</f>
        <v>5</v>
      </c>
    </row>
    <row r="909" spans="1:5" x14ac:dyDescent="0.25">
      <c r="A909" s="1">
        <v>42878</v>
      </c>
      <c r="B909" s="2" t="s">
        <v>53</v>
      </c>
      <c r="C909" s="2" t="s">
        <v>227</v>
      </c>
      <c r="D909">
        <v>16</v>
      </c>
      <c r="E909">
        <f>MONTH(makulatura3[[#This Row],[Data_dostarczenia]])</f>
        <v>5</v>
      </c>
    </row>
    <row r="910" spans="1:5" x14ac:dyDescent="0.25">
      <c r="A910" s="1">
        <v>42878</v>
      </c>
      <c r="B910" s="2" t="s">
        <v>34</v>
      </c>
      <c r="C910" s="2" t="s">
        <v>557</v>
      </c>
      <c r="D910">
        <v>6</v>
      </c>
      <c r="E910">
        <f>MONTH(makulatura3[[#This Row],[Data_dostarczenia]])</f>
        <v>5</v>
      </c>
    </row>
    <row r="911" spans="1:5" x14ac:dyDescent="0.25">
      <c r="A911" s="1">
        <v>42879</v>
      </c>
      <c r="B911" s="2" t="s">
        <v>43</v>
      </c>
      <c r="C911" s="2" t="s">
        <v>124</v>
      </c>
      <c r="D911">
        <v>54</v>
      </c>
      <c r="E911">
        <f>MONTH(makulatura3[[#This Row],[Data_dostarczenia]])</f>
        <v>5</v>
      </c>
    </row>
    <row r="912" spans="1:5" x14ac:dyDescent="0.25">
      <c r="A912" s="1">
        <v>42879</v>
      </c>
      <c r="B912" s="2" t="s">
        <v>83</v>
      </c>
      <c r="C912" s="2" t="s">
        <v>459</v>
      </c>
      <c r="D912">
        <v>35</v>
      </c>
      <c r="E912">
        <f>MONTH(makulatura3[[#This Row],[Data_dostarczenia]])</f>
        <v>5</v>
      </c>
    </row>
    <row r="913" spans="1:5" x14ac:dyDescent="0.25">
      <c r="A913" s="1">
        <v>42879</v>
      </c>
      <c r="B913" s="2" t="s">
        <v>234</v>
      </c>
      <c r="C913" s="2" t="s">
        <v>235</v>
      </c>
      <c r="D913">
        <v>23</v>
      </c>
      <c r="E913">
        <f>MONTH(makulatura3[[#This Row],[Data_dostarczenia]])</f>
        <v>5</v>
      </c>
    </row>
    <row r="914" spans="1:5" x14ac:dyDescent="0.25">
      <c r="A914" s="1">
        <v>42879</v>
      </c>
      <c r="B914" s="2" t="s">
        <v>72</v>
      </c>
      <c r="C914" s="2" t="s">
        <v>227</v>
      </c>
      <c r="D914">
        <v>52</v>
      </c>
      <c r="E914">
        <f>MONTH(makulatura3[[#This Row],[Data_dostarczenia]])</f>
        <v>5</v>
      </c>
    </row>
    <row r="915" spans="1:5" x14ac:dyDescent="0.25">
      <c r="A915" s="1">
        <v>42879</v>
      </c>
      <c r="B915" s="2" t="s">
        <v>367</v>
      </c>
      <c r="C915" s="2" t="s">
        <v>411</v>
      </c>
      <c r="D915">
        <v>26</v>
      </c>
      <c r="E915">
        <f>MONTH(makulatura3[[#This Row],[Data_dostarczenia]])</f>
        <v>5</v>
      </c>
    </row>
    <row r="916" spans="1:5" x14ac:dyDescent="0.25">
      <c r="A916" s="1">
        <v>42879</v>
      </c>
      <c r="B916" s="2" t="s">
        <v>343</v>
      </c>
      <c r="C916" s="2" t="s">
        <v>501</v>
      </c>
      <c r="D916">
        <v>26</v>
      </c>
      <c r="E916">
        <f>MONTH(makulatura3[[#This Row],[Data_dostarczenia]])</f>
        <v>5</v>
      </c>
    </row>
    <row r="917" spans="1:5" x14ac:dyDescent="0.25">
      <c r="A917" s="1">
        <v>42880</v>
      </c>
      <c r="B917" s="2" t="s">
        <v>97</v>
      </c>
      <c r="C917" s="2" t="s">
        <v>457</v>
      </c>
      <c r="D917">
        <v>2</v>
      </c>
      <c r="E917">
        <f>MONTH(makulatura3[[#This Row],[Data_dostarczenia]])</f>
        <v>5</v>
      </c>
    </row>
    <row r="918" spans="1:5" x14ac:dyDescent="0.25">
      <c r="A918" s="1">
        <v>42880</v>
      </c>
      <c r="B918" s="2" t="s">
        <v>51</v>
      </c>
      <c r="C918" s="2" t="s">
        <v>469</v>
      </c>
      <c r="D918">
        <v>31</v>
      </c>
      <c r="E918">
        <f>MONTH(makulatura3[[#This Row],[Data_dostarczenia]])</f>
        <v>5</v>
      </c>
    </row>
    <row r="919" spans="1:5" x14ac:dyDescent="0.25">
      <c r="A919" s="1">
        <v>42880</v>
      </c>
      <c r="B919" s="2" t="s">
        <v>20</v>
      </c>
      <c r="C919" s="2" t="s">
        <v>21</v>
      </c>
      <c r="D919">
        <v>38</v>
      </c>
      <c r="E919">
        <f>MONTH(makulatura3[[#This Row],[Data_dostarczenia]])</f>
        <v>5</v>
      </c>
    </row>
    <row r="920" spans="1:5" x14ac:dyDescent="0.25">
      <c r="A920" s="1">
        <v>42880</v>
      </c>
      <c r="B920" s="2" t="s">
        <v>4</v>
      </c>
      <c r="C920" s="2" t="s">
        <v>386</v>
      </c>
      <c r="D920">
        <v>8</v>
      </c>
      <c r="E920">
        <f>MONTH(makulatura3[[#This Row],[Data_dostarczenia]])</f>
        <v>5</v>
      </c>
    </row>
    <row r="921" spans="1:5" x14ac:dyDescent="0.25">
      <c r="A921" s="1">
        <v>42880</v>
      </c>
      <c r="B921" s="2" t="s">
        <v>36</v>
      </c>
      <c r="C921" s="2" t="s">
        <v>295</v>
      </c>
      <c r="D921">
        <v>53</v>
      </c>
      <c r="E921">
        <f>MONTH(makulatura3[[#This Row],[Data_dostarczenia]])</f>
        <v>5</v>
      </c>
    </row>
    <row r="922" spans="1:5" x14ac:dyDescent="0.25">
      <c r="A922" s="1">
        <v>42880</v>
      </c>
      <c r="B922" s="2" t="s">
        <v>484</v>
      </c>
      <c r="C922" s="2" t="s">
        <v>485</v>
      </c>
      <c r="D922">
        <v>6</v>
      </c>
      <c r="E922">
        <f>MONTH(makulatura3[[#This Row],[Data_dostarczenia]])</f>
        <v>5</v>
      </c>
    </row>
    <row r="923" spans="1:5" x14ac:dyDescent="0.25">
      <c r="A923" s="1">
        <v>42881</v>
      </c>
      <c r="B923" s="2" t="s">
        <v>72</v>
      </c>
      <c r="C923" s="2" t="s">
        <v>73</v>
      </c>
      <c r="D923">
        <v>55</v>
      </c>
      <c r="E923">
        <f>MONTH(makulatura3[[#This Row],[Data_dostarczenia]])</f>
        <v>5</v>
      </c>
    </row>
    <row r="924" spans="1:5" x14ac:dyDescent="0.25">
      <c r="A924" s="1">
        <v>42881</v>
      </c>
      <c r="B924" s="2" t="s">
        <v>395</v>
      </c>
      <c r="C924" s="2" t="s">
        <v>587</v>
      </c>
      <c r="D924">
        <v>15</v>
      </c>
      <c r="E924">
        <f>MONTH(makulatura3[[#This Row],[Data_dostarczenia]])</f>
        <v>5</v>
      </c>
    </row>
    <row r="925" spans="1:5" x14ac:dyDescent="0.25">
      <c r="A925" s="1">
        <v>42881</v>
      </c>
      <c r="B925" s="2" t="s">
        <v>155</v>
      </c>
      <c r="C925" s="2" t="s">
        <v>414</v>
      </c>
      <c r="D925">
        <v>25</v>
      </c>
      <c r="E925">
        <f>MONTH(makulatura3[[#This Row],[Data_dostarczenia]])</f>
        <v>5</v>
      </c>
    </row>
    <row r="926" spans="1:5" x14ac:dyDescent="0.25">
      <c r="A926" s="1">
        <v>42881</v>
      </c>
      <c r="B926" s="2" t="s">
        <v>69</v>
      </c>
      <c r="C926" s="2" t="s">
        <v>588</v>
      </c>
      <c r="D926">
        <v>39</v>
      </c>
      <c r="E926">
        <f>MONTH(makulatura3[[#This Row],[Data_dostarczenia]])</f>
        <v>5</v>
      </c>
    </row>
    <row r="927" spans="1:5" x14ac:dyDescent="0.25">
      <c r="A927" s="1">
        <v>42881</v>
      </c>
      <c r="B927" s="2" t="s">
        <v>201</v>
      </c>
      <c r="C927" s="2" t="s">
        <v>357</v>
      </c>
      <c r="D927">
        <v>25</v>
      </c>
      <c r="E927">
        <f>MONTH(makulatura3[[#This Row],[Data_dostarczenia]])</f>
        <v>5</v>
      </c>
    </row>
    <row r="928" spans="1:5" x14ac:dyDescent="0.25">
      <c r="A928" s="1">
        <v>42881</v>
      </c>
      <c r="B928" s="2" t="s">
        <v>55</v>
      </c>
      <c r="C928" s="2" t="s">
        <v>265</v>
      </c>
      <c r="D928">
        <v>22</v>
      </c>
      <c r="E928">
        <f>MONTH(makulatura3[[#This Row],[Data_dostarczenia]])</f>
        <v>5</v>
      </c>
    </row>
    <row r="929" spans="1:5" x14ac:dyDescent="0.25">
      <c r="A929" s="1">
        <v>42884</v>
      </c>
      <c r="B929" s="2" t="s">
        <v>589</v>
      </c>
      <c r="C929" s="2" t="s">
        <v>590</v>
      </c>
      <c r="D929">
        <v>22</v>
      </c>
      <c r="E929">
        <f>MONTH(makulatura3[[#This Row],[Data_dostarczenia]])</f>
        <v>5</v>
      </c>
    </row>
    <row r="930" spans="1:5" x14ac:dyDescent="0.25">
      <c r="A930" s="1">
        <v>42884</v>
      </c>
      <c r="B930" s="2" t="s">
        <v>150</v>
      </c>
      <c r="C930" s="2" t="s">
        <v>200</v>
      </c>
      <c r="D930">
        <v>2</v>
      </c>
      <c r="E930">
        <f>MONTH(makulatura3[[#This Row],[Data_dostarczenia]])</f>
        <v>5</v>
      </c>
    </row>
    <row r="931" spans="1:5" x14ac:dyDescent="0.25">
      <c r="A931" s="1">
        <v>42884</v>
      </c>
      <c r="B931" s="2" t="s">
        <v>101</v>
      </c>
      <c r="C931" s="2" t="s">
        <v>293</v>
      </c>
      <c r="D931">
        <v>8</v>
      </c>
      <c r="E931">
        <f>MONTH(makulatura3[[#This Row],[Data_dostarczenia]])</f>
        <v>5</v>
      </c>
    </row>
    <row r="932" spans="1:5" x14ac:dyDescent="0.25">
      <c r="A932" s="1">
        <v>42884</v>
      </c>
      <c r="B932" s="2" t="s">
        <v>83</v>
      </c>
      <c r="C932" s="2" t="s">
        <v>591</v>
      </c>
      <c r="D932">
        <v>50</v>
      </c>
      <c r="E932">
        <f>MONTH(makulatura3[[#This Row],[Data_dostarczenia]])</f>
        <v>5</v>
      </c>
    </row>
    <row r="933" spans="1:5" x14ac:dyDescent="0.25">
      <c r="A933" s="1">
        <v>42884</v>
      </c>
      <c r="B933" s="2" t="s">
        <v>95</v>
      </c>
      <c r="C933" s="2" t="s">
        <v>96</v>
      </c>
      <c r="D933">
        <v>17</v>
      </c>
      <c r="E933">
        <f>MONTH(makulatura3[[#This Row],[Data_dostarczenia]])</f>
        <v>5</v>
      </c>
    </row>
    <row r="934" spans="1:5" x14ac:dyDescent="0.25">
      <c r="A934" s="1">
        <v>42884</v>
      </c>
      <c r="B934" s="2" t="s">
        <v>65</v>
      </c>
      <c r="C934" s="2" t="s">
        <v>66</v>
      </c>
      <c r="D934">
        <v>9</v>
      </c>
      <c r="E934">
        <f>MONTH(makulatura3[[#This Row],[Data_dostarczenia]])</f>
        <v>5</v>
      </c>
    </row>
    <row r="935" spans="1:5" x14ac:dyDescent="0.25">
      <c r="A935" s="1">
        <v>42885</v>
      </c>
      <c r="B935" s="2" t="s">
        <v>307</v>
      </c>
      <c r="C935" s="2" t="s">
        <v>325</v>
      </c>
      <c r="D935">
        <v>52</v>
      </c>
      <c r="E935">
        <f>MONTH(makulatura3[[#This Row],[Data_dostarczenia]])</f>
        <v>5</v>
      </c>
    </row>
    <row r="936" spans="1:5" x14ac:dyDescent="0.25">
      <c r="A936" s="1">
        <v>42885</v>
      </c>
      <c r="B936" s="2" t="s">
        <v>232</v>
      </c>
      <c r="C936" s="2" t="s">
        <v>451</v>
      </c>
      <c r="D936">
        <v>18</v>
      </c>
      <c r="E936">
        <f>MONTH(makulatura3[[#This Row],[Data_dostarczenia]])</f>
        <v>5</v>
      </c>
    </row>
    <row r="937" spans="1:5" x14ac:dyDescent="0.25">
      <c r="A937" s="1">
        <v>42885</v>
      </c>
      <c r="B937" s="2" t="s">
        <v>23</v>
      </c>
      <c r="C937" s="2" t="s">
        <v>592</v>
      </c>
      <c r="D937">
        <v>17</v>
      </c>
      <c r="E937">
        <f>MONTH(makulatura3[[#This Row],[Data_dostarczenia]])</f>
        <v>5</v>
      </c>
    </row>
    <row r="938" spans="1:5" x14ac:dyDescent="0.25">
      <c r="A938" s="1">
        <v>42885</v>
      </c>
      <c r="B938" s="2" t="s">
        <v>299</v>
      </c>
      <c r="C938" s="2" t="s">
        <v>300</v>
      </c>
      <c r="D938">
        <v>52</v>
      </c>
      <c r="E938">
        <f>MONTH(makulatura3[[#This Row],[Data_dostarczenia]])</f>
        <v>5</v>
      </c>
    </row>
    <row r="939" spans="1:5" x14ac:dyDescent="0.25">
      <c r="A939" s="1">
        <v>42885</v>
      </c>
      <c r="B939" s="2" t="s">
        <v>65</v>
      </c>
      <c r="C939" s="2" t="s">
        <v>116</v>
      </c>
      <c r="D939">
        <v>13</v>
      </c>
      <c r="E939">
        <f>MONTH(makulatura3[[#This Row],[Data_dostarczenia]])</f>
        <v>5</v>
      </c>
    </row>
    <row r="940" spans="1:5" x14ac:dyDescent="0.25">
      <c r="A940" s="1">
        <v>42885</v>
      </c>
      <c r="B940" s="2" t="s">
        <v>25</v>
      </c>
      <c r="C940" s="2" t="s">
        <v>26</v>
      </c>
      <c r="D940">
        <v>10</v>
      </c>
      <c r="E940">
        <f>MONTH(makulatura3[[#This Row],[Data_dostarczenia]])</f>
        <v>5</v>
      </c>
    </row>
    <row r="941" spans="1:5" x14ac:dyDescent="0.25">
      <c r="A941" s="1">
        <v>42886</v>
      </c>
      <c r="B941" s="2" t="s">
        <v>593</v>
      </c>
      <c r="C941" s="2" t="s">
        <v>594</v>
      </c>
      <c r="D941">
        <v>18</v>
      </c>
      <c r="E941">
        <f>MONTH(makulatura3[[#This Row],[Data_dostarczenia]])</f>
        <v>5</v>
      </c>
    </row>
    <row r="942" spans="1:5" x14ac:dyDescent="0.25">
      <c r="A942" s="1">
        <v>42886</v>
      </c>
      <c r="B942" s="2" t="s">
        <v>67</v>
      </c>
      <c r="C942" s="2" t="s">
        <v>301</v>
      </c>
      <c r="D942">
        <v>16</v>
      </c>
      <c r="E942">
        <f>MONTH(makulatura3[[#This Row],[Data_dostarczenia]])</f>
        <v>5</v>
      </c>
    </row>
    <row r="943" spans="1:5" x14ac:dyDescent="0.25">
      <c r="A943" s="1">
        <v>42886</v>
      </c>
      <c r="B943" s="2" t="s">
        <v>193</v>
      </c>
      <c r="C943" s="2" t="s">
        <v>595</v>
      </c>
      <c r="D943">
        <v>8</v>
      </c>
      <c r="E943">
        <f>MONTH(makulatura3[[#This Row],[Data_dostarczenia]])</f>
        <v>5</v>
      </c>
    </row>
    <row r="944" spans="1:5" x14ac:dyDescent="0.25">
      <c r="A944" s="1">
        <v>42886</v>
      </c>
      <c r="B944" s="2" t="s">
        <v>30</v>
      </c>
      <c r="C944" s="2" t="s">
        <v>241</v>
      </c>
      <c r="D944">
        <v>26</v>
      </c>
      <c r="E944">
        <f>MONTH(makulatura3[[#This Row],[Data_dostarczenia]])</f>
        <v>5</v>
      </c>
    </row>
    <row r="945" spans="1:5" x14ac:dyDescent="0.25">
      <c r="A945" s="1">
        <v>42886</v>
      </c>
      <c r="B945" s="2" t="s">
        <v>12</v>
      </c>
      <c r="C945" s="2" t="s">
        <v>532</v>
      </c>
      <c r="D945">
        <v>53</v>
      </c>
      <c r="E945">
        <f>MONTH(makulatura3[[#This Row],[Data_dostarczenia]])</f>
        <v>5</v>
      </c>
    </row>
    <row r="946" spans="1:5" x14ac:dyDescent="0.25">
      <c r="A946" s="1">
        <v>42886</v>
      </c>
      <c r="B946" s="2" t="s">
        <v>77</v>
      </c>
      <c r="C946" s="2" t="s">
        <v>575</v>
      </c>
      <c r="D946">
        <v>3</v>
      </c>
      <c r="E946">
        <f>MONTH(makulatura3[[#This Row],[Data_dostarczenia]])</f>
        <v>5</v>
      </c>
    </row>
    <row r="947" spans="1:5" x14ac:dyDescent="0.25">
      <c r="A947" s="1">
        <v>42887</v>
      </c>
      <c r="B947" s="2" t="s">
        <v>65</v>
      </c>
      <c r="C947" s="2" t="s">
        <v>83</v>
      </c>
      <c r="D947">
        <v>36</v>
      </c>
      <c r="E947">
        <f>MONTH(makulatura3[[#This Row],[Data_dostarczenia]])</f>
        <v>6</v>
      </c>
    </row>
    <row r="948" spans="1:5" x14ac:dyDescent="0.25">
      <c r="A948" s="1">
        <v>42887</v>
      </c>
      <c r="B948" s="2" t="s">
        <v>203</v>
      </c>
      <c r="C948" s="2" t="s">
        <v>370</v>
      </c>
      <c r="D948">
        <v>17</v>
      </c>
      <c r="E948">
        <f>MONTH(makulatura3[[#This Row],[Data_dostarczenia]])</f>
        <v>6</v>
      </c>
    </row>
    <row r="949" spans="1:5" x14ac:dyDescent="0.25">
      <c r="A949" s="1">
        <v>42887</v>
      </c>
      <c r="B949" s="2" t="s">
        <v>63</v>
      </c>
      <c r="C949" s="2" t="s">
        <v>105</v>
      </c>
      <c r="D949">
        <v>14</v>
      </c>
      <c r="E949">
        <f>MONTH(makulatura3[[#This Row],[Data_dostarczenia]])</f>
        <v>6</v>
      </c>
    </row>
    <row r="950" spans="1:5" x14ac:dyDescent="0.25">
      <c r="A950" s="1">
        <v>42887</v>
      </c>
      <c r="B950" s="2" t="s">
        <v>34</v>
      </c>
      <c r="C950" s="2" t="s">
        <v>557</v>
      </c>
      <c r="D950">
        <v>54</v>
      </c>
      <c r="E950">
        <f>MONTH(makulatura3[[#This Row],[Data_dostarczenia]])</f>
        <v>6</v>
      </c>
    </row>
    <row r="951" spans="1:5" x14ac:dyDescent="0.25">
      <c r="A951" s="1">
        <v>42887</v>
      </c>
      <c r="B951" s="2" t="s">
        <v>12</v>
      </c>
      <c r="C951" s="2" t="s">
        <v>386</v>
      </c>
      <c r="D951">
        <v>22</v>
      </c>
      <c r="E951">
        <f>MONTH(makulatura3[[#This Row],[Data_dostarczenia]])</f>
        <v>6</v>
      </c>
    </row>
    <row r="952" spans="1:5" x14ac:dyDescent="0.25">
      <c r="A952" s="1">
        <v>42887</v>
      </c>
      <c r="B952" s="2" t="s">
        <v>339</v>
      </c>
      <c r="C952" s="2" t="s">
        <v>565</v>
      </c>
      <c r="D952">
        <v>33</v>
      </c>
      <c r="E952">
        <f>MONTH(makulatura3[[#This Row],[Data_dostarczenia]])</f>
        <v>6</v>
      </c>
    </row>
    <row r="953" spans="1:5" x14ac:dyDescent="0.25">
      <c r="A953" s="1">
        <v>42888</v>
      </c>
      <c r="B953" s="2" t="s">
        <v>101</v>
      </c>
      <c r="C953" s="2" t="s">
        <v>187</v>
      </c>
      <c r="D953">
        <v>22</v>
      </c>
      <c r="E953">
        <f>MONTH(makulatura3[[#This Row],[Data_dostarczenia]])</f>
        <v>6</v>
      </c>
    </row>
    <row r="954" spans="1:5" x14ac:dyDescent="0.25">
      <c r="A954" s="1">
        <v>42888</v>
      </c>
      <c r="B954" s="2" t="s">
        <v>367</v>
      </c>
      <c r="C954" s="2" t="s">
        <v>368</v>
      </c>
      <c r="D954">
        <v>2</v>
      </c>
      <c r="E954">
        <f>MONTH(makulatura3[[#This Row],[Data_dostarczenia]])</f>
        <v>6</v>
      </c>
    </row>
    <row r="955" spans="1:5" x14ac:dyDescent="0.25">
      <c r="A955" s="1">
        <v>42888</v>
      </c>
      <c r="B955" s="2" t="s">
        <v>246</v>
      </c>
      <c r="C955" s="2" t="s">
        <v>247</v>
      </c>
      <c r="D955">
        <v>8</v>
      </c>
      <c r="E955">
        <f>MONTH(makulatura3[[#This Row],[Data_dostarczenia]])</f>
        <v>6</v>
      </c>
    </row>
    <row r="956" spans="1:5" x14ac:dyDescent="0.25">
      <c r="A956" s="1">
        <v>42888</v>
      </c>
      <c r="B956" s="2" t="s">
        <v>83</v>
      </c>
      <c r="C956" s="2" t="s">
        <v>596</v>
      </c>
      <c r="D956">
        <v>5</v>
      </c>
      <c r="E956">
        <f>MONTH(makulatura3[[#This Row],[Data_dostarczenia]])</f>
        <v>6</v>
      </c>
    </row>
    <row r="957" spans="1:5" x14ac:dyDescent="0.25">
      <c r="A957" s="1">
        <v>42888</v>
      </c>
      <c r="B957" s="2" t="s">
        <v>63</v>
      </c>
      <c r="C957" s="2" t="s">
        <v>441</v>
      </c>
      <c r="D957">
        <v>25</v>
      </c>
      <c r="E957">
        <f>MONTH(makulatura3[[#This Row],[Data_dostarczenia]])</f>
        <v>6</v>
      </c>
    </row>
    <row r="958" spans="1:5" x14ac:dyDescent="0.25">
      <c r="A958" s="1">
        <v>42888</v>
      </c>
      <c r="B958" s="2" t="s">
        <v>143</v>
      </c>
      <c r="C958" s="2" t="s">
        <v>585</v>
      </c>
      <c r="D958">
        <v>18</v>
      </c>
      <c r="E958">
        <f>MONTH(makulatura3[[#This Row],[Data_dostarczenia]])</f>
        <v>6</v>
      </c>
    </row>
    <row r="959" spans="1:5" x14ac:dyDescent="0.25">
      <c r="A959" s="1">
        <v>42891</v>
      </c>
      <c r="B959" s="2" t="s">
        <v>131</v>
      </c>
      <c r="C959" s="2" t="s">
        <v>451</v>
      </c>
      <c r="D959">
        <v>8</v>
      </c>
      <c r="E959">
        <f>MONTH(makulatura3[[#This Row],[Data_dostarczenia]])</f>
        <v>6</v>
      </c>
    </row>
    <row r="960" spans="1:5" x14ac:dyDescent="0.25">
      <c r="A960" s="1">
        <v>42891</v>
      </c>
      <c r="B960" s="2" t="s">
        <v>106</v>
      </c>
      <c r="C960" s="2" t="s">
        <v>107</v>
      </c>
      <c r="D960">
        <v>20</v>
      </c>
      <c r="E960">
        <f>MONTH(makulatura3[[#This Row],[Data_dostarczenia]])</f>
        <v>6</v>
      </c>
    </row>
    <row r="961" spans="1:5" x14ac:dyDescent="0.25">
      <c r="A961" s="1">
        <v>42891</v>
      </c>
      <c r="B961" s="2" t="s">
        <v>57</v>
      </c>
      <c r="C961" s="2" t="s">
        <v>399</v>
      </c>
      <c r="D961">
        <v>23</v>
      </c>
      <c r="E961">
        <f>MONTH(makulatura3[[#This Row],[Data_dostarczenia]])</f>
        <v>6</v>
      </c>
    </row>
    <row r="962" spans="1:5" x14ac:dyDescent="0.25">
      <c r="A962" s="1">
        <v>42891</v>
      </c>
      <c r="B962" s="2" t="s">
        <v>25</v>
      </c>
      <c r="C962" s="2" t="s">
        <v>26</v>
      </c>
      <c r="D962">
        <v>52</v>
      </c>
      <c r="E962">
        <f>MONTH(makulatura3[[#This Row],[Data_dostarczenia]])</f>
        <v>6</v>
      </c>
    </row>
    <row r="963" spans="1:5" x14ac:dyDescent="0.25">
      <c r="A963" s="1">
        <v>42891</v>
      </c>
      <c r="B963" s="2" t="s">
        <v>65</v>
      </c>
      <c r="C963" s="2" t="s">
        <v>210</v>
      </c>
      <c r="D963">
        <v>14</v>
      </c>
      <c r="E963">
        <f>MONTH(makulatura3[[#This Row],[Data_dostarczenia]])</f>
        <v>6</v>
      </c>
    </row>
    <row r="964" spans="1:5" x14ac:dyDescent="0.25">
      <c r="A964" s="1">
        <v>42891</v>
      </c>
      <c r="B964" s="2" t="s">
        <v>8</v>
      </c>
      <c r="C964" s="2" t="s">
        <v>545</v>
      </c>
      <c r="D964">
        <v>27</v>
      </c>
      <c r="E964">
        <f>MONTH(makulatura3[[#This Row],[Data_dostarczenia]])</f>
        <v>6</v>
      </c>
    </row>
    <row r="965" spans="1:5" x14ac:dyDescent="0.25">
      <c r="A965" s="1">
        <v>42892</v>
      </c>
      <c r="B965" s="2" t="s">
        <v>47</v>
      </c>
      <c r="C965" s="2" t="s">
        <v>48</v>
      </c>
      <c r="D965">
        <v>21</v>
      </c>
      <c r="E965">
        <f>MONTH(makulatura3[[#This Row],[Data_dostarczenia]])</f>
        <v>6</v>
      </c>
    </row>
    <row r="966" spans="1:5" x14ac:dyDescent="0.25">
      <c r="A966" s="1">
        <v>42892</v>
      </c>
      <c r="B966" s="2" t="s">
        <v>23</v>
      </c>
      <c r="C966" s="2" t="s">
        <v>24</v>
      </c>
      <c r="D966">
        <v>28</v>
      </c>
      <c r="E966">
        <f>MONTH(makulatura3[[#This Row],[Data_dostarczenia]])</f>
        <v>6</v>
      </c>
    </row>
    <row r="967" spans="1:5" x14ac:dyDescent="0.25">
      <c r="A967" s="1">
        <v>42892</v>
      </c>
      <c r="B967" s="2" t="s">
        <v>18</v>
      </c>
      <c r="C967" s="2" t="s">
        <v>597</v>
      </c>
      <c r="D967">
        <v>50</v>
      </c>
      <c r="E967">
        <f>MONTH(makulatura3[[#This Row],[Data_dostarczenia]])</f>
        <v>6</v>
      </c>
    </row>
    <row r="968" spans="1:5" x14ac:dyDescent="0.25">
      <c r="A968" s="1">
        <v>42892</v>
      </c>
      <c r="B968" s="2" t="s">
        <v>77</v>
      </c>
      <c r="C968" s="2" t="s">
        <v>78</v>
      </c>
      <c r="D968">
        <v>5</v>
      </c>
      <c r="E968">
        <f>MONTH(makulatura3[[#This Row],[Data_dostarczenia]])</f>
        <v>6</v>
      </c>
    </row>
    <row r="969" spans="1:5" x14ac:dyDescent="0.25">
      <c r="A969" s="1">
        <v>42892</v>
      </c>
      <c r="B969" s="2" t="s">
        <v>201</v>
      </c>
      <c r="C969" s="2" t="s">
        <v>598</v>
      </c>
      <c r="D969">
        <v>7</v>
      </c>
      <c r="E969">
        <f>MONTH(makulatura3[[#This Row],[Data_dostarczenia]])</f>
        <v>6</v>
      </c>
    </row>
    <row r="970" spans="1:5" x14ac:dyDescent="0.25">
      <c r="A970" s="1">
        <v>42892</v>
      </c>
      <c r="B970" s="2" t="s">
        <v>395</v>
      </c>
      <c r="C970" s="2" t="s">
        <v>599</v>
      </c>
      <c r="D970">
        <v>11</v>
      </c>
      <c r="E970">
        <f>MONTH(makulatura3[[#This Row],[Data_dostarczenia]])</f>
        <v>6</v>
      </c>
    </row>
    <row r="971" spans="1:5" x14ac:dyDescent="0.25">
      <c r="A971" s="1">
        <v>42893</v>
      </c>
      <c r="B971" s="2" t="s">
        <v>101</v>
      </c>
      <c r="C971" s="2" t="s">
        <v>187</v>
      </c>
      <c r="D971">
        <v>17</v>
      </c>
      <c r="E971">
        <f>MONTH(makulatura3[[#This Row],[Data_dostarczenia]])</f>
        <v>6</v>
      </c>
    </row>
    <row r="972" spans="1:5" x14ac:dyDescent="0.25">
      <c r="A972" s="1">
        <v>42893</v>
      </c>
      <c r="B972" s="2" t="s">
        <v>119</v>
      </c>
      <c r="C972" s="2" t="s">
        <v>120</v>
      </c>
      <c r="D972">
        <v>12</v>
      </c>
      <c r="E972">
        <f>MONTH(makulatura3[[#This Row],[Data_dostarczenia]])</f>
        <v>6</v>
      </c>
    </row>
    <row r="973" spans="1:5" x14ac:dyDescent="0.25">
      <c r="A973" s="1">
        <v>42893</v>
      </c>
      <c r="B973" s="2" t="s">
        <v>171</v>
      </c>
      <c r="C973" s="2" t="s">
        <v>5</v>
      </c>
      <c r="D973">
        <v>49</v>
      </c>
      <c r="E973">
        <f>MONTH(makulatura3[[#This Row],[Data_dostarczenia]])</f>
        <v>6</v>
      </c>
    </row>
    <row r="974" spans="1:5" x14ac:dyDescent="0.25">
      <c r="A974" s="1">
        <v>42893</v>
      </c>
      <c r="B974" s="2" t="s">
        <v>41</v>
      </c>
      <c r="C974" s="2" t="s">
        <v>42</v>
      </c>
      <c r="D974">
        <v>6</v>
      </c>
      <c r="E974">
        <f>MONTH(makulatura3[[#This Row],[Data_dostarczenia]])</f>
        <v>6</v>
      </c>
    </row>
    <row r="975" spans="1:5" x14ac:dyDescent="0.25">
      <c r="A975" s="1">
        <v>42893</v>
      </c>
      <c r="B975" s="2" t="s">
        <v>8</v>
      </c>
      <c r="C975" s="2" t="s">
        <v>9</v>
      </c>
      <c r="D975">
        <v>13</v>
      </c>
      <c r="E975">
        <f>MONTH(makulatura3[[#This Row],[Data_dostarczenia]])</f>
        <v>6</v>
      </c>
    </row>
    <row r="976" spans="1:5" x14ac:dyDescent="0.25">
      <c r="A976" s="1">
        <v>42893</v>
      </c>
      <c r="B976" s="2" t="s">
        <v>121</v>
      </c>
      <c r="C976" s="2" t="s">
        <v>600</v>
      </c>
      <c r="D976">
        <v>40</v>
      </c>
      <c r="E976">
        <f>MONTH(makulatura3[[#This Row],[Data_dostarczenia]])</f>
        <v>6</v>
      </c>
    </row>
    <row r="977" spans="1:5" x14ac:dyDescent="0.25">
      <c r="A977" s="1">
        <v>42894</v>
      </c>
      <c r="B977" s="2" t="s">
        <v>150</v>
      </c>
      <c r="C977" s="2" t="s">
        <v>601</v>
      </c>
      <c r="D977">
        <v>26</v>
      </c>
      <c r="E977">
        <f>MONTH(makulatura3[[#This Row],[Data_dostarczenia]])</f>
        <v>6</v>
      </c>
    </row>
    <row r="978" spans="1:5" x14ac:dyDescent="0.25">
      <c r="A978" s="1">
        <v>42894</v>
      </c>
      <c r="B978" s="2" t="s">
        <v>106</v>
      </c>
      <c r="C978" s="2" t="s">
        <v>602</v>
      </c>
      <c r="D978">
        <v>16</v>
      </c>
      <c r="E978">
        <f>MONTH(makulatura3[[#This Row],[Data_dostarczenia]])</f>
        <v>6</v>
      </c>
    </row>
    <row r="979" spans="1:5" x14ac:dyDescent="0.25">
      <c r="A979" s="1">
        <v>42894</v>
      </c>
      <c r="B979" s="2" t="s">
        <v>416</v>
      </c>
      <c r="C979" s="2" t="s">
        <v>572</v>
      </c>
      <c r="D979">
        <v>36</v>
      </c>
      <c r="E979">
        <f>MONTH(makulatura3[[#This Row],[Data_dostarczenia]])</f>
        <v>6</v>
      </c>
    </row>
    <row r="980" spans="1:5" x14ac:dyDescent="0.25">
      <c r="A980" s="1">
        <v>42894</v>
      </c>
      <c r="B980" s="2" t="s">
        <v>206</v>
      </c>
      <c r="C980" s="2" t="s">
        <v>192</v>
      </c>
      <c r="D980">
        <v>8</v>
      </c>
      <c r="E980">
        <f>MONTH(makulatura3[[#This Row],[Data_dostarczenia]])</f>
        <v>6</v>
      </c>
    </row>
    <row r="981" spans="1:5" x14ac:dyDescent="0.25">
      <c r="A981" s="1">
        <v>42894</v>
      </c>
      <c r="B981" s="2" t="s">
        <v>36</v>
      </c>
      <c r="C981" s="2" t="s">
        <v>306</v>
      </c>
      <c r="D981">
        <v>7</v>
      </c>
      <c r="E981">
        <f>MONTH(makulatura3[[#This Row],[Data_dostarczenia]])</f>
        <v>6</v>
      </c>
    </row>
    <row r="982" spans="1:5" x14ac:dyDescent="0.25">
      <c r="A982" s="1">
        <v>42894</v>
      </c>
      <c r="B982" s="2" t="s">
        <v>232</v>
      </c>
      <c r="C982" s="2" t="s">
        <v>573</v>
      </c>
      <c r="D982">
        <v>25</v>
      </c>
      <c r="E982">
        <f>MONTH(makulatura3[[#This Row],[Data_dostarczenia]])</f>
        <v>6</v>
      </c>
    </row>
    <row r="983" spans="1:5" x14ac:dyDescent="0.25">
      <c r="A983" s="1">
        <v>42895</v>
      </c>
      <c r="B983" s="2" t="s">
        <v>603</v>
      </c>
      <c r="C983" s="2" t="s">
        <v>439</v>
      </c>
      <c r="D983">
        <v>43</v>
      </c>
      <c r="E983">
        <f>MONTH(makulatura3[[#This Row],[Data_dostarczenia]])</f>
        <v>6</v>
      </c>
    </row>
    <row r="984" spans="1:5" x14ac:dyDescent="0.25">
      <c r="A984" s="1">
        <v>42895</v>
      </c>
      <c r="B984" s="2" t="s">
        <v>39</v>
      </c>
      <c r="C984" s="2" t="s">
        <v>164</v>
      </c>
      <c r="D984">
        <v>23</v>
      </c>
      <c r="E984">
        <f>MONTH(makulatura3[[#This Row],[Data_dostarczenia]])</f>
        <v>6</v>
      </c>
    </row>
    <row r="985" spans="1:5" x14ac:dyDescent="0.25">
      <c r="A985" s="1">
        <v>42895</v>
      </c>
      <c r="B985" s="2" t="s">
        <v>243</v>
      </c>
      <c r="C985" s="2" t="s">
        <v>82</v>
      </c>
      <c r="D985">
        <v>5</v>
      </c>
      <c r="E985">
        <f>MONTH(makulatura3[[#This Row],[Data_dostarczenia]])</f>
        <v>6</v>
      </c>
    </row>
    <row r="986" spans="1:5" x14ac:dyDescent="0.25">
      <c r="A986" s="1">
        <v>42895</v>
      </c>
      <c r="B986" s="2" t="s">
        <v>232</v>
      </c>
      <c r="C986" s="2" t="s">
        <v>378</v>
      </c>
      <c r="D986">
        <v>2</v>
      </c>
      <c r="E986">
        <f>MONTH(makulatura3[[#This Row],[Data_dostarczenia]])</f>
        <v>6</v>
      </c>
    </row>
    <row r="987" spans="1:5" x14ac:dyDescent="0.25">
      <c r="A987" s="1">
        <v>42895</v>
      </c>
      <c r="B987" s="2" t="s">
        <v>178</v>
      </c>
      <c r="C987" s="2" t="s">
        <v>335</v>
      </c>
      <c r="D987">
        <v>5</v>
      </c>
      <c r="E987">
        <f>MONTH(makulatura3[[#This Row],[Data_dostarczenia]])</f>
        <v>6</v>
      </c>
    </row>
    <row r="988" spans="1:5" x14ac:dyDescent="0.25">
      <c r="A988" s="1">
        <v>42895</v>
      </c>
      <c r="B988" s="2" t="s">
        <v>23</v>
      </c>
      <c r="C988" s="2" t="s">
        <v>604</v>
      </c>
      <c r="D988">
        <v>50</v>
      </c>
      <c r="E988">
        <f>MONTH(makulatura3[[#This Row],[Data_dostarczenia]])</f>
        <v>6</v>
      </c>
    </row>
    <row r="989" spans="1:5" x14ac:dyDescent="0.25">
      <c r="A989" s="1">
        <v>42898</v>
      </c>
      <c r="B989" s="2" t="s">
        <v>25</v>
      </c>
      <c r="C989" s="2" t="s">
        <v>146</v>
      </c>
      <c r="D989">
        <v>11</v>
      </c>
      <c r="E989">
        <f>MONTH(makulatura3[[#This Row],[Data_dostarczenia]])</f>
        <v>6</v>
      </c>
    </row>
    <row r="990" spans="1:5" x14ac:dyDescent="0.25">
      <c r="A990" s="1">
        <v>42898</v>
      </c>
      <c r="B990" s="2" t="s">
        <v>30</v>
      </c>
      <c r="C990" s="2" t="s">
        <v>109</v>
      </c>
      <c r="D990">
        <v>18</v>
      </c>
      <c r="E990">
        <f>MONTH(makulatura3[[#This Row],[Data_dostarczenia]])</f>
        <v>6</v>
      </c>
    </row>
    <row r="991" spans="1:5" x14ac:dyDescent="0.25">
      <c r="A991" s="1">
        <v>42898</v>
      </c>
      <c r="B991" s="2" t="s">
        <v>97</v>
      </c>
      <c r="C991" s="2" t="s">
        <v>181</v>
      </c>
      <c r="D991">
        <v>24</v>
      </c>
      <c r="E991">
        <f>MONTH(makulatura3[[#This Row],[Data_dostarczenia]])</f>
        <v>6</v>
      </c>
    </row>
    <row r="992" spans="1:5" x14ac:dyDescent="0.25">
      <c r="A992" s="1">
        <v>42898</v>
      </c>
      <c r="B992" s="2" t="s">
        <v>4</v>
      </c>
      <c r="C992" s="2" t="s">
        <v>382</v>
      </c>
      <c r="D992">
        <v>20</v>
      </c>
      <c r="E992">
        <f>MONTH(makulatura3[[#This Row],[Data_dostarczenia]])</f>
        <v>6</v>
      </c>
    </row>
    <row r="993" spans="1:5" x14ac:dyDescent="0.25">
      <c r="A993" s="1">
        <v>42898</v>
      </c>
      <c r="B993" s="2" t="s">
        <v>267</v>
      </c>
      <c r="C993" s="2" t="s">
        <v>287</v>
      </c>
      <c r="D993">
        <v>55</v>
      </c>
      <c r="E993">
        <f>MONTH(makulatura3[[#This Row],[Data_dostarczenia]])</f>
        <v>6</v>
      </c>
    </row>
    <row r="994" spans="1:5" x14ac:dyDescent="0.25">
      <c r="A994" s="1">
        <v>42898</v>
      </c>
      <c r="B994" s="2" t="s">
        <v>269</v>
      </c>
      <c r="C994" s="2" t="s">
        <v>605</v>
      </c>
      <c r="D994">
        <v>52</v>
      </c>
      <c r="E994">
        <f>MONTH(makulatura3[[#This Row],[Data_dostarczenia]])</f>
        <v>6</v>
      </c>
    </row>
    <row r="995" spans="1:5" x14ac:dyDescent="0.25">
      <c r="A995" s="1">
        <v>42899</v>
      </c>
      <c r="B995" s="2" t="s">
        <v>121</v>
      </c>
      <c r="C995" s="2" t="s">
        <v>606</v>
      </c>
      <c r="D995">
        <v>41</v>
      </c>
      <c r="E995">
        <f>MONTH(makulatura3[[#This Row],[Data_dostarczenia]])</f>
        <v>6</v>
      </c>
    </row>
    <row r="996" spans="1:5" x14ac:dyDescent="0.25">
      <c r="A996" s="1">
        <v>42899</v>
      </c>
      <c r="B996" s="2" t="s">
        <v>87</v>
      </c>
      <c r="C996" s="2" t="s">
        <v>255</v>
      </c>
      <c r="D996">
        <v>27</v>
      </c>
      <c r="E996">
        <f>MONTH(makulatura3[[#This Row],[Data_dostarczenia]])</f>
        <v>6</v>
      </c>
    </row>
    <row r="997" spans="1:5" x14ac:dyDescent="0.25">
      <c r="A997" s="1">
        <v>42899</v>
      </c>
      <c r="B997" s="2" t="s">
        <v>36</v>
      </c>
      <c r="C997" s="2" t="s">
        <v>404</v>
      </c>
      <c r="D997">
        <v>12</v>
      </c>
      <c r="E997">
        <f>MONTH(makulatura3[[#This Row],[Data_dostarczenia]])</f>
        <v>6</v>
      </c>
    </row>
    <row r="998" spans="1:5" x14ac:dyDescent="0.25">
      <c r="A998" s="1">
        <v>42899</v>
      </c>
      <c r="B998" s="2" t="s">
        <v>97</v>
      </c>
      <c r="C998" s="2" t="s">
        <v>464</v>
      </c>
      <c r="D998">
        <v>23</v>
      </c>
      <c r="E998">
        <f>MONTH(makulatura3[[#This Row],[Data_dostarczenia]])</f>
        <v>6</v>
      </c>
    </row>
    <row r="999" spans="1:5" x14ac:dyDescent="0.25">
      <c r="A999" s="1">
        <v>42899</v>
      </c>
      <c r="B999" s="2" t="s">
        <v>327</v>
      </c>
      <c r="C999" s="2" t="s">
        <v>102</v>
      </c>
      <c r="D999">
        <v>4</v>
      </c>
      <c r="E999">
        <f>MONTH(makulatura3[[#This Row],[Data_dostarczenia]])</f>
        <v>6</v>
      </c>
    </row>
    <row r="1000" spans="1:5" x14ac:dyDescent="0.25">
      <c r="A1000" s="1">
        <v>42899</v>
      </c>
      <c r="B1000" s="2" t="s">
        <v>77</v>
      </c>
      <c r="C1000" s="2" t="s">
        <v>384</v>
      </c>
      <c r="D1000">
        <v>27</v>
      </c>
      <c r="E1000">
        <f>MONTH(makulatura3[[#This Row],[Data_dostarczenia]])</f>
        <v>6</v>
      </c>
    </row>
    <row r="1001" spans="1:5" x14ac:dyDescent="0.25">
      <c r="A1001" s="1">
        <v>42900</v>
      </c>
      <c r="B1001" s="2" t="s">
        <v>72</v>
      </c>
      <c r="C1001" s="2" t="s">
        <v>73</v>
      </c>
      <c r="D1001">
        <v>36</v>
      </c>
      <c r="E1001">
        <f>MONTH(makulatura3[[#This Row],[Data_dostarczenia]])</f>
        <v>6</v>
      </c>
    </row>
    <row r="1002" spans="1:5" x14ac:dyDescent="0.25">
      <c r="A1002" s="1">
        <v>42900</v>
      </c>
      <c r="B1002" s="2" t="s">
        <v>51</v>
      </c>
      <c r="C1002" s="2" t="s">
        <v>522</v>
      </c>
      <c r="D1002">
        <v>20</v>
      </c>
      <c r="E1002">
        <f>MONTH(makulatura3[[#This Row],[Data_dostarczenia]])</f>
        <v>6</v>
      </c>
    </row>
    <row r="1003" spans="1:5" x14ac:dyDescent="0.25">
      <c r="A1003" s="1">
        <v>42900</v>
      </c>
      <c r="B1003" s="2" t="s">
        <v>442</v>
      </c>
      <c r="C1003" s="2" t="s">
        <v>502</v>
      </c>
      <c r="D1003">
        <v>26</v>
      </c>
      <c r="E1003">
        <f>MONTH(makulatura3[[#This Row],[Data_dostarczenia]])</f>
        <v>6</v>
      </c>
    </row>
    <row r="1004" spans="1:5" x14ac:dyDescent="0.25">
      <c r="A1004" s="1">
        <v>42900</v>
      </c>
      <c r="B1004" s="2" t="s">
        <v>442</v>
      </c>
      <c r="C1004" s="2" t="s">
        <v>540</v>
      </c>
      <c r="D1004">
        <v>8</v>
      </c>
      <c r="E1004">
        <f>MONTH(makulatura3[[#This Row],[Data_dostarczenia]])</f>
        <v>6</v>
      </c>
    </row>
    <row r="1005" spans="1:5" x14ac:dyDescent="0.25">
      <c r="A1005" s="1">
        <v>42900</v>
      </c>
      <c r="B1005" s="2" t="s">
        <v>141</v>
      </c>
      <c r="C1005" s="2" t="s">
        <v>448</v>
      </c>
      <c r="D1005">
        <v>6</v>
      </c>
      <c r="E1005">
        <f>MONTH(makulatura3[[#This Row],[Data_dostarczenia]])</f>
        <v>6</v>
      </c>
    </row>
    <row r="1006" spans="1:5" x14ac:dyDescent="0.25">
      <c r="A1006" s="1">
        <v>42900</v>
      </c>
      <c r="B1006" s="2" t="s">
        <v>232</v>
      </c>
      <c r="C1006" s="2" t="s">
        <v>573</v>
      </c>
      <c r="D1006">
        <v>5</v>
      </c>
      <c r="E1006">
        <f>MONTH(makulatura3[[#This Row],[Data_dostarczenia]])</f>
        <v>6</v>
      </c>
    </row>
    <row r="1007" spans="1:5" x14ac:dyDescent="0.25">
      <c r="A1007" s="1">
        <v>42901</v>
      </c>
      <c r="B1007" s="2" t="s">
        <v>39</v>
      </c>
      <c r="C1007" s="2" t="s">
        <v>391</v>
      </c>
      <c r="D1007">
        <v>8</v>
      </c>
      <c r="E1007">
        <f>MONTH(makulatura3[[#This Row],[Data_dostarczenia]])</f>
        <v>6</v>
      </c>
    </row>
    <row r="1008" spans="1:5" x14ac:dyDescent="0.25">
      <c r="A1008" s="1">
        <v>42901</v>
      </c>
      <c r="B1008" s="2" t="s">
        <v>150</v>
      </c>
      <c r="C1008" s="2" t="s">
        <v>140</v>
      </c>
      <c r="D1008">
        <v>4</v>
      </c>
      <c r="E1008">
        <f>MONTH(makulatura3[[#This Row],[Data_dostarczenia]])</f>
        <v>6</v>
      </c>
    </row>
    <row r="1009" spans="1:5" x14ac:dyDescent="0.25">
      <c r="A1009" s="1">
        <v>42901</v>
      </c>
      <c r="B1009" s="2" t="s">
        <v>195</v>
      </c>
      <c r="C1009" s="2" t="s">
        <v>401</v>
      </c>
      <c r="D1009">
        <v>31</v>
      </c>
      <c r="E1009">
        <f>MONTH(makulatura3[[#This Row],[Data_dostarczenia]])</f>
        <v>6</v>
      </c>
    </row>
    <row r="1010" spans="1:5" x14ac:dyDescent="0.25">
      <c r="A1010" s="1">
        <v>42901</v>
      </c>
      <c r="B1010" s="2" t="s">
        <v>57</v>
      </c>
      <c r="C1010" s="2" t="s">
        <v>418</v>
      </c>
      <c r="D1010">
        <v>36</v>
      </c>
      <c r="E1010">
        <f>MONTH(makulatura3[[#This Row],[Data_dostarczenia]])</f>
        <v>6</v>
      </c>
    </row>
    <row r="1011" spans="1:5" x14ac:dyDescent="0.25">
      <c r="A1011" s="1">
        <v>42901</v>
      </c>
      <c r="B1011" s="2" t="s">
        <v>271</v>
      </c>
      <c r="C1011" s="2" t="s">
        <v>548</v>
      </c>
      <c r="D1011">
        <v>3</v>
      </c>
      <c r="E1011">
        <f>MONTH(makulatura3[[#This Row],[Data_dostarczenia]])</f>
        <v>6</v>
      </c>
    </row>
    <row r="1012" spans="1:5" x14ac:dyDescent="0.25">
      <c r="A1012" s="1">
        <v>42901</v>
      </c>
      <c r="B1012" s="2" t="s">
        <v>83</v>
      </c>
      <c r="C1012" s="2" t="s">
        <v>518</v>
      </c>
      <c r="D1012">
        <v>31</v>
      </c>
      <c r="E1012">
        <f>MONTH(makulatura3[[#This Row],[Data_dostarczenia]])</f>
        <v>6</v>
      </c>
    </row>
    <row r="1013" spans="1:5" x14ac:dyDescent="0.25">
      <c r="A1013" s="1">
        <v>42902</v>
      </c>
      <c r="B1013" s="2" t="s">
        <v>55</v>
      </c>
      <c r="C1013" s="2" t="s">
        <v>184</v>
      </c>
      <c r="D1013">
        <v>3</v>
      </c>
      <c r="E1013">
        <f>MONTH(makulatura3[[#This Row],[Data_dostarczenia]])</f>
        <v>6</v>
      </c>
    </row>
    <row r="1014" spans="1:5" x14ac:dyDescent="0.25">
      <c r="A1014" s="1">
        <v>42902</v>
      </c>
      <c r="B1014" s="2" t="s">
        <v>574</v>
      </c>
      <c r="C1014" s="2" t="s">
        <v>607</v>
      </c>
      <c r="D1014">
        <v>2</v>
      </c>
      <c r="E1014">
        <f>MONTH(makulatura3[[#This Row],[Data_dostarczenia]])</f>
        <v>6</v>
      </c>
    </row>
    <row r="1015" spans="1:5" x14ac:dyDescent="0.25">
      <c r="A1015" s="1">
        <v>42902</v>
      </c>
      <c r="B1015" s="2" t="s">
        <v>143</v>
      </c>
      <c r="C1015" s="2" t="s">
        <v>510</v>
      </c>
      <c r="D1015">
        <v>53</v>
      </c>
      <c r="E1015">
        <f>MONTH(makulatura3[[#This Row],[Data_dostarczenia]])</f>
        <v>6</v>
      </c>
    </row>
    <row r="1016" spans="1:5" x14ac:dyDescent="0.25">
      <c r="A1016" s="1">
        <v>42902</v>
      </c>
      <c r="B1016" s="2" t="s">
        <v>327</v>
      </c>
      <c r="C1016" s="2" t="s">
        <v>608</v>
      </c>
      <c r="D1016">
        <v>7</v>
      </c>
      <c r="E1016">
        <f>MONTH(makulatura3[[#This Row],[Data_dostarczenia]])</f>
        <v>6</v>
      </c>
    </row>
    <row r="1017" spans="1:5" x14ac:dyDescent="0.25">
      <c r="A1017" s="1">
        <v>42902</v>
      </c>
      <c r="B1017" s="2" t="s">
        <v>139</v>
      </c>
      <c r="C1017" s="2" t="s">
        <v>140</v>
      </c>
      <c r="D1017">
        <v>27</v>
      </c>
      <c r="E1017">
        <f>MONTH(makulatura3[[#This Row],[Data_dostarczenia]])</f>
        <v>6</v>
      </c>
    </row>
    <row r="1018" spans="1:5" x14ac:dyDescent="0.25">
      <c r="A1018" s="1">
        <v>42902</v>
      </c>
      <c r="B1018" s="2" t="s">
        <v>4</v>
      </c>
      <c r="C1018" s="2" t="s">
        <v>489</v>
      </c>
      <c r="D1018">
        <v>29</v>
      </c>
      <c r="E1018">
        <f>MONTH(makulatura3[[#This Row],[Data_dostarczenia]])</f>
        <v>6</v>
      </c>
    </row>
    <row r="1019" spans="1:5" x14ac:dyDescent="0.25">
      <c r="A1019" s="1">
        <v>42905</v>
      </c>
      <c r="B1019" s="2" t="s">
        <v>25</v>
      </c>
      <c r="C1019" s="2" t="s">
        <v>26</v>
      </c>
      <c r="D1019">
        <v>19</v>
      </c>
      <c r="E1019">
        <f>MONTH(makulatura3[[#This Row],[Data_dostarczenia]])</f>
        <v>6</v>
      </c>
    </row>
    <row r="1020" spans="1:5" x14ac:dyDescent="0.25">
      <c r="A1020" s="1">
        <v>42905</v>
      </c>
      <c r="B1020" s="2" t="s">
        <v>152</v>
      </c>
      <c r="C1020" s="2" t="s">
        <v>17</v>
      </c>
      <c r="D1020">
        <v>15</v>
      </c>
      <c r="E1020">
        <f>MONTH(makulatura3[[#This Row],[Data_dostarczenia]])</f>
        <v>6</v>
      </c>
    </row>
    <row r="1021" spans="1:5" x14ac:dyDescent="0.25">
      <c r="A1021" s="1">
        <v>42905</v>
      </c>
      <c r="B1021" s="2" t="s">
        <v>128</v>
      </c>
      <c r="C1021" s="2" t="s">
        <v>478</v>
      </c>
      <c r="D1021">
        <v>24</v>
      </c>
      <c r="E1021">
        <f>MONTH(makulatura3[[#This Row],[Data_dostarczenia]])</f>
        <v>6</v>
      </c>
    </row>
    <row r="1022" spans="1:5" x14ac:dyDescent="0.25">
      <c r="A1022" s="1">
        <v>42905</v>
      </c>
      <c r="B1022" s="2" t="s">
        <v>87</v>
      </c>
      <c r="C1022" s="2" t="s">
        <v>255</v>
      </c>
      <c r="D1022">
        <v>50</v>
      </c>
      <c r="E1022">
        <f>MONTH(makulatura3[[#This Row],[Data_dostarczenia]])</f>
        <v>6</v>
      </c>
    </row>
    <row r="1023" spans="1:5" x14ac:dyDescent="0.25">
      <c r="A1023" s="1">
        <v>42905</v>
      </c>
      <c r="B1023" s="2" t="s">
        <v>36</v>
      </c>
      <c r="C1023" s="2" t="s">
        <v>166</v>
      </c>
      <c r="D1023">
        <v>18</v>
      </c>
      <c r="E1023">
        <f>MONTH(makulatura3[[#This Row],[Data_dostarczenia]])</f>
        <v>6</v>
      </c>
    </row>
    <row r="1024" spans="1:5" x14ac:dyDescent="0.25">
      <c r="A1024" s="1">
        <v>42905</v>
      </c>
      <c r="B1024" s="2" t="s">
        <v>39</v>
      </c>
      <c r="C1024" s="2" t="s">
        <v>609</v>
      </c>
      <c r="D1024">
        <v>36</v>
      </c>
      <c r="E1024">
        <f>MONTH(makulatura3[[#This Row],[Data_dostarczenia]])</f>
        <v>6</v>
      </c>
    </row>
    <row r="1025" spans="1:5" x14ac:dyDescent="0.25">
      <c r="A1025" s="1">
        <v>42906</v>
      </c>
      <c r="B1025" s="2" t="s">
        <v>352</v>
      </c>
      <c r="C1025" s="2" t="s">
        <v>425</v>
      </c>
      <c r="D1025">
        <v>13</v>
      </c>
      <c r="E1025">
        <f>MONTH(makulatura3[[#This Row],[Data_dostarczenia]])</f>
        <v>6</v>
      </c>
    </row>
    <row r="1026" spans="1:5" x14ac:dyDescent="0.25">
      <c r="A1026" s="1">
        <v>42906</v>
      </c>
      <c r="B1026" s="2" t="s">
        <v>101</v>
      </c>
      <c r="C1026" s="2" t="s">
        <v>610</v>
      </c>
      <c r="D1026">
        <v>29</v>
      </c>
      <c r="E1026">
        <f>MONTH(makulatura3[[#This Row],[Data_dostarczenia]])</f>
        <v>6</v>
      </c>
    </row>
    <row r="1027" spans="1:5" x14ac:dyDescent="0.25">
      <c r="A1027" s="1">
        <v>42906</v>
      </c>
      <c r="B1027" s="2" t="s">
        <v>412</v>
      </c>
      <c r="C1027" s="2" t="s">
        <v>413</v>
      </c>
      <c r="D1027">
        <v>47</v>
      </c>
      <c r="E1027">
        <f>MONTH(makulatura3[[#This Row],[Data_dostarczenia]])</f>
        <v>6</v>
      </c>
    </row>
    <row r="1028" spans="1:5" x14ac:dyDescent="0.25">
      <c r="A1028" s="1">
        <v>42906</v>
      </c>
      <c r="B1028" s="2" t="s">
        <v>67</v>
      </c>
      <c r="C1028" s="2" t="s">
        <v>460</v>
      </c>
      <c r="D1028">
        <v>17</v>
      </c>
      <c r="E1028">
        <f>MONTH(makulatura3[[#This Row],[Data_dostarczenia]])</f>
        <v>6</v>
      </c>
    </row>
    <row r="1029" spans="1:5" x14ac:dyDescent="0.25">
      <c r="A1029" s="1">
        <v>42906</v>
      </c>
      <c r="B1029" s="2" t="s">
        <v>155</v>
      </c>
      <c r="C1029" s="2" t="s">
        <v>186</v>
      </c>
      <c r="D1029">
        <v>9</v>
      </c>
      <c r="E1029">
        <f>MONTH(makulatura3[[#This Row],[Data_dostarczenia]])</f>
        <v>6</v>
      </c>
    </row>
    <row r="1030" spans="1:5" x14ac:dyDescent="0.25">
      <c r="A1030" s="1">
        <v>42906</v>
      </c>
      <c r="B1030" s="2" t="s">
        <v>139</v>
      </c>
      <c r="C1030" s="2" t="s">
        <v>140</v>
      </c>
      <c r="D1030">
        <v>8</v>
      </c>
      <c r="E1030">
        <f>MONTH(makulatura3[[#This Row],[Data_dostarczenia]])</f>
        <v>6</v>
      </c>
    </row>
    <row r="1031" spans="1:5" x14ac:dyDescent="0.25">
      <c r="A1031" s="1">
        <v>42907</v>
      </c>
      <c r="B1031" s="2" t="s">
        <v>395</v>
      </c>
      <c r="C1031" s="2" t="s">
        <v>599</v>
      </c>
      <c r="D1031">
        <v>4</v>
      </c>
      <c r="E1031">
        <f>MONTH(makulatura3[[#This Row],[Data_dostarczenia]])</f>
        <v>6</v>
      </c>
    </row>
    <row r="1032" spans="1:5" x14ac:dyDescent="0.25">
      <c r="A1032" s="1">
        <v>42907</v>
      </c>
      <c r="B1032" s="2" t="s">
        <v>314</v>
      </c>
      <c r="C1032" s="2" t="s">
        <v>466</v>
      </c>
      <c r="D1032">
        <v>53</v>
      </c>
      <c r="E1032">
        <f>MONTH(makulatura3[[#This Row],[Data_dostarczenia]])</f>
        <v>6</v>
      </c>
    </row>
    <row r="1033" spans="1:5" x14ac:dyDescent="0.25">
      <c r="A1033" s="1">
        <v>42907</v>
      </c>
      <c r="B1033" s="2" t="s">
        <v>329</v>
      </c>
      <c r="C1033" s="2" t="s">
        <v>330</v>
      </c>
      <c r="D1033">
        <v>29</v>
      </c>
      <c r="E1033">
        <f>MONTH(makulatura3[[#This Row],[Data_dostarczenia]])</f>
        <v>6</v>
      </c>
    </row>
    <row r="1034" spans="1:5" x14ac:dyDescent="0.25">
      <c r="A1034" s="1">
        <v>42907</v>
      </c>
      <c r="B1034" s="2" t="s">
        <v>69</v>
      </c>
      <c r="C1034" s="2" t="s">
        <v>70</v>
      </c>
      <c r="D1034">
        <v>52</v>
      </c>
      <c r="E1034">
        <f>MONTH(makulatura3[[#This Row],[Data_dostarczenia]])</f>
        <v>6</v>
      </c>
    </row>
    <row r="1035" spans="1:5" x14ac:dyDescent="0.25">
      <c r="A1035" s="1">
        <v>42907</v>
      </c>
      <c r="B1035" s="2" t="s">
        <v>395</v>
      </c>
      <c r="C1035" s="2" t="s">
        <v>599</v>
      </c>
      <c r="D1035">
        <v>8</v>
      </c>
      <c r="E1035">
        <f>MONTH(makulatura3[[#This Row],[Data_dostarczenia]])</f>
        <v>6</v>
      </c>
    </row>
    <row r="1036" spans="1:5" x14ac:dyDescent="0.25">
      <c r="A1036" s="1">
        <v>42907</v>
      </c>
      <c r="B1036" s="2" t="s">
        <v>87</v>
      </c>
      <c r="C1036" s="2" t="s">
        <v>154</v>
      </c>
      <c r="D1036">
        <v>32</v>
      </c>
      <c r="E1036">
        <f>MONTH(makulatura3[[#This Row],[Data_dostarczenia]])</f>
        <v>6</v>
      </c>
    </row>
    <row r="1037" spans="1:5" x14ac:dyDescent="0.25">
      <c r="A1037" s="1">
        <v>42908</v>
      </c>
      <c r="B1037" s="2" t="s">
        <v>208</v>
      </c>
      <c r="C1037" s="2" t="s">
        <v>611</v>
      </c>
      <c r="D1037">
        <v>11</v>
      </c>
      <c r="E1037">
        <f>MONTH(makulatura3[[#This Row],[Data_dostarczenia]])</f>
        <v>6</v>
      </c>
    </row>
    <row r="1038" spans="1:5" x14ac:dyDescent="0.25">
      <c r="A1038" s="1">
        <v>42908</v>
      </c>
      <c r="B1038" s="2" t="s">
        <v>395</v>
      </c>
      <c r="C1038" s="2" t="s">
        <v>467</v>
      </c>
      <c r="D1038">
        <v>35</v>
      </c>
      <c r="E1038">
        <f>MONTH(makulatura3[[#This Row],[Data_dostarczenia]])</f>
        <v>6</v>
      </c>
    </row>
    <row r="1039" spans="1:5" x14ac:dyDescent="0.25">
      <c r="A1039" s="1">
        <v>42908</v>
      </c>
      <c r="B1039" s="2" t="s">
        <v>141</v>
      </c>
      <c r="C1039" s="2" t="s">
        <v>612</v>
      </c>
      <c r="D1039">
        <v>4</v>
      </c>
      <c r="E1039">
        <f>MONTH(makulatura3[[#This Row],[Data_dostarczenia]])</f>
        <v>6</v>
      </c>
    </row>
    <row r="1040" spans="1:5" x14ac:dyDescent="0.25">
      <c r="A1040" s="1">
        <v>42908</v>
      </c>
      <c r="B1040" s="2" t="s">
        <v>141</v>
      </c>
      <c r="C1040" s="2" t="s">
        <v>435</v>
      </c>
      <c r="D1040">
        <v>18</v>
      </c>
      <c r="E1040">
        <f>MONTH(makulatura3[[#This Row],[Data_dostarczenia]])</f>
        <v>6</v>
      </c>
    </row>
    <row r="1041" spans="1:5" x14ac:dyDescent="0.25">
      <c r="A1041" s="1">
        <v>42908</v>
      </c>
      <c r="B1041" s="2" t="s">
        <v>83</v>
      </c>
      <c r="C1041" s="2" t="s">
        <v>591</v>
      </c>
      <c r="D1041">
        <v>5</v>
      </c>
      <c r="E1041">
        <f>MONTH(makulatura3[[#This Row],[Data_dostarczenia]])</f>
        <v>6</v>
      </c>
    </row>
    <row r="1042" spans="1:5" x14ac:dyDescent="0.25">
      <c r="A1042" s="1">
        <v>42908</v>
      </c>
      <c r="B1042" s="2" t="s">
        <v>30</v>
      </c>
      <c r="C1042" s="2" t="s">
        <v>432</v>
      </c>
      <c r="D1042">
        <v>32</v>
      </c>
      <c r="E1042">
        <f>MONTH(makulatura3[[#This Row],[Data_dostarczenia]])</f>
        <v>6</v>
      </c>
    </row>
    <row r="1043" spans="1:5" x14ac:dyDescent="0.25">
      <c r="A1043" s="1">
        <v>42909</v>
      </c>
      <c r="B1043" s="2" t="s">
        <v>161</v>
      </c>
      <c r="C1043" s="2" t="s">
        <v>345</v>
      </c>
      <c r="D1043">
        <v>18</v>
      </c>
      <c r="E1043">
        <f>MONTH(makulatura3[[#This Row],[Data_dostarczenia]])</f>
        <v>6</v>
      </c>
    </row>
    <row r="1044" spans="1:5" x14ac:dyDescent="0.25">
      <c r="A1044" s="1">
        <v>42909</v>
      </c>
      <c r="B1044" s="2" t="s">
        <v>32</v>
      </c>
      <c r="C1044" s="2" t="s">
        <v>406</v>
      </c>
      <c r="D1044">
        <v>19</v>
      </c>
      <c r="E1044">
        <f>MONTH(makulatura3[[#This Row],[Data_dostarczenia]])</f>
        <v>6</v>
      </c>
    </row>
    <row r="1045" spans="1:5" x14ac:dyDescent="0.25">
      <c r="A1045" s="1">
        <v>42909</v>
      </c>
      <c r="B1045" s="2" t="s">
        <v>161</v>
      </c>
      <c r="C1045" s="2" t="s">
        <v>162</v>
      </c>
      <c r="D1045">
        <v>8</v>
      </c>
      <c r="E1045">
        <f>MONTH(makulatura3[[#This Row],[Data_dostarczenia]])</f>
        <v>6</v>
      </c>
    </row>
    <row r="1046" spans="1:5" x14ac:dyDescent="0.25">
      <c r="A1046" s="1">
        <v>42909</v>
      </c>
      <c r="B1046" s="2" t="s">
        <v>449</v>
      </c>
      <c r="C1046" s="2" t="s">
        <v>613</v>
      </c>
      <c r="D1046">
        <v>16</v>
      </c>
      <c r="E1046">
        <f>MONTH(makulatura3[[#This Row],[Data_dostarczenia]])</f>
        <v>6</v>
      </c>
    </row>
    <row r="1047" spans="1:5" x14ac:dyDescent="0.25">
      <c r="A1047" s="1">
        <v>42909</v>
      </c>
      <c r="B1047" s="2" t="s">
        <v>41</v>
      </c>
      <c r="C1047" s="2" t="s">
        <v>614</v>
      </c>
      <c r="D1047">
        <v>39</v>
      </c>
      <c r="E1047">
        <f>MONTH(makulatura3[[#This Row],[Data_dostarczenia]])</f>
        <v>6</v>
      </c>
    </row>
    <row r="1048" spans="1:5" x14ac:dyDescent="0.25">
      <c r="A1048" s="1">
        <v>42909</v>
      </c>
      <c r="B1048" s="2" t="s">
        <v>101</v>
      </c>
      <c r="C1048" s="2" t="s">
        <v>610</v>
      </c>
      <c r="D1048">
        <v>45</v>
      </c>
      <c r="E1048">
        <f>MONTH(makulatura3[[#This Row],[Data_dostarczenia]])</f>
        <v>6</v>
      </c>
    </row>
    <row r="1049" spans="1:5" x14ac:dyDescent="0.25">
      <c r="A1049" s="1">
        <v>42912</v>
      </c>
      <c r="B1049" s="2" t="s">
        <v>141</v>
      </c>
      <c r="C1049" s="2" t="s">
        <v>435</v>
      </c>
      <c r="D1049">
        <v>46</v>
      </c>
      <c r="E1049">
        <f>MONTH(makulatura3[[#This Row],[Data_dostarczenia]])</f>
        <v>6</v>
      </c>
    </row>
    <row r="1050" spans="1:5" x14ac:dyDescent="0.25">
      <c r="A1050" s="1">
        <v>42912</v>
      </c>
      <c r="B1050" s="2" t="s">
        <v>83</v>
      </c>
      <c r="C1050" s="2" t="s">
        <v>91</v>
      </c>
      <c r="D1050">
        <v>26</v>
      </c>
      <c r="E1050">
        <f>MONTH(makulatura3[[#This Row],[Data_dostarczenia]])</f>
        <v>6</v>
      </c>
    </row>
    <row r="1051" spans="1:5" x14ac:dyDescent="0.25">
      <c r="A1051" s="1">
        <v>42912</v>
      </c>
      <c r="B1051" s="2" t="s">
        <v>351</v>
      </c>
      <c r="C1051" s="2" t="s">
        <v>227</v>
      </c>
      <c r="D1051">
        <v>53</v>
      </c>
      <c r="E1051">
        <f>MONTH(makulatura3[[#This Row],[Data_dostarczenia]])</f>
        <v>6</v>
      </c>
    </row>
    <row r="1052" spans="1:5" x14ac:dyDescent="0.25">
      <c r="A1052" s="1">
        <v>42912</v>
      </c>
      <c r="B1052" s="2" t="s">
        <v>503</v>
      </c>
      <c r="C1052" s="2" t="s">
        <v>183</v>
      </c>
      <c r="D1052">
        <v>26</v>
      </c>
      <c r="E1052">
        <f>MONTH(makulatura3[[#This Row],[Data_dostarczenia]])</f>
        <v>6</v>
      </c>
    </row>
    <row r="1053" spans="1:5" x14ac:dyDescent="0.25">
      <c r="A1053" s="1">
        <v>42912</v>
      </c>
      <c r="B1053" s="2" t="s">
        <v>4</v>
      </c>
      <c r="C1053" s="2" t="s">
        <v>5</v>
      </c>
      <c r="D1053">
        <v>16</v>
      </c>
      <c r="E1053">
        <f>MONTH(makulatura3[[#This Row],[Data_dostarczenia]])</f>
        <v>6</v>
      </c>
    </row>
    <row r="1054" spans="1:5" x14ac:dyDescent="0.25">
      <c r="A1054" s="1">
        <v>42912</v>
      </c>
      <c r="B1054" s="2" t="s">
        <v>83</v>
      </c>
      <c r="C1054" s="2" t="s">
        <v>615</v>
      </c>
      <c r="D1054">
        <v>10</v>
      </c>
      <c r="E1054">
        <f>MONTH(makulatura3[[#This Row],[Data_dostarczenia]])</f>
        <v>6</v>
      </c>
    </row>
    <row r="1055" spans="1:5" x14ac:dyDescent="0.25">
      <c r="A1055" s="1">
        <v>42913</v>
      </c>
      <c r="B1055" s="2" t="s">
        <v>161</v>
      </c>
      <c r="C1055" s="2" t="s">
        <v>214</v>
      </c>
      <c r="D1055">
        <v>23</v>
      </c>
      <c r="E1055">
        <f>MONTH(makulatura3[[#This Row],[Data_dostarczenia]])</f>
        <v>6</v>
      </c>
    </row>
    <row r="1056" spans="1:5" x14ac:dyDescent="0.25">
      <c r="A1056" s="1">
        <v>42913</v>
      </c>
      <c r="B1056" s="2" t="s">
        <v>32</v>
      </c>
      <c r="C1056" s="2" t="s">
        <v>33</v>
      </c>
      <c r="D1056">
        <v>22</v>
      </c>
      <c r="E1056">
        <f>MONTH(makulatura3[[#This Row],[Data_dostarczenia]])</f>
        <v>6</v>
      </c>
    </row>
    <row r="1057" spans="1:5" x14ac:dyDescent="0.25">
      <c r="A1057" s="1">
        <v>42913</v>
      </c>
      <c r="B1057" s="2" t="s">
        <v>41</v>
      </c>
      <c r="C1057" s="2" t="s">
        <v>302</v>
      </c>
      <c r="D1057">
        <v>29</v>
      </c>
      <c r="E1057">
        <f>MONTH(makulatura3[[#This Row],[Data_dostarczenia]])</f>
        <v>6</v>
      </c>
    </row>
    <row r="1058" spans="1:5" x14ac:dyDescent="0.25">
      <c r="A1058" s="1">
        <v>42913</v>
      </c>
      <c r="B1058" s="2" t="s">
        <v>150</v>
      </c>
      <c r="C1058" s="2" t="s">
        <v>151</v>
      </c>
      <c r="D1058">
        <v>26</v>
      </c>
      <c r="E1058">
        <f>MONTH(makulatura3[[#This Row],[Data_dostarczenia]])</f>
        <v>6</v>
      </c>
    </row>
    <row r="1059" spans="1:5" x14ac:dyDescent="0.25">
      <c r="A1059" s="1">
        <v>42913</v>
      </c>
      <c r="B1059" s="2" t="s">
        <v>51</v>
      </c>
      <c r="C1059" s="2" t="s">
        <v>358</v>
      </c>
      <c r="D1059">
        <v>9</v>
      </c>
      <c r="E1059">
        <f>MONTH(makulatura3[[#This Row],[Data_dostarczenia]])</f>
        <v>6</v>
      </c>
    </row>
    <row r="1060" spans="1:5" x14ac:dyDescent="0.25">
      <c r="A1060" s="1">
        <v>42913</v>
      </c>
      <c r="B1060" s="2" t="s">
        <v>81</v>
      </c>
      <c r="C1060" s="2" t="s">
        <v>104</v>
      </c>
      <c r="D1060">
        <v>20</v>
      </c>
      <c r="E1060">
        <f>MONTH(makulatura3[[#This Row],[Data_dostarczenia]])</f>
        <v>6</v>
      </c>
    </row>
    <row r="1061" spans="1:5" x14ac:dyDescent="0.25">
      <c r="A1061" s="1">
        <v>42914</v>
      </c>
      <c r="B1061" s="2" t="s">
        <v>128</v>
      </c>
      <c r="C1061" s="2" t="s">
        <v>250</v>
      </c>
      <c r="D1061">
        <v>7</v>
      </c>
      <c r="E1061">
        <f>MONTH(makulatura3[[#This Row],[Data_dostarczenia]])</f>
        <v>6</v>
      </c>
    </row>
    <row r="1062" spans="1:5" x14ac:dyDescent="0.25">
      <c r="A1062" s="1">
        <v>42914</v>
      </c>
      <c r="B1062" s="2" t="s">
        <v>176</v>
      </c>
      <c r="C1062" s="2" t="s">
        <v>486</v>
      </c>
      <c r="D1062">
        <v>27</v>
      </c>
      <c r="E1062">
        <f>MONTH(makulatura3[[#This Row],[Data_dostarczenia]])</f>
        <v>6</v>
      </c>
    </row>
    <row r="1063" spans="1:5" x14ac:dyDescent="0.25">
      <c r="A1063" s="1">
        <v>42914</v>
      </c>
      <c r="B1063" s="2" t="s">
        <v>119</v>
      </c>
      <c r="C1063" s="2" t="s">
        <v>120</v>
      </c>
      <c r="D1063">
        <v>35</v>
      </c>
      <c r="E1063">
        <f>MONTH(makulatura3[[#This Row],[Data_dostarczenia]])</f>
        <v>6</v>
      </c>
    </row>
    <row r="1064" spans="1:5" x14ac:dyDescent="0.25">
      <c r="A1064" s="1">
        <v>42914</v>
      </c>
      <c r="B1064" s="2" t="s">
        <v>395</v>
      </c>
      <c r="C1064" s="2" t="s">
        <v>599</v>
      </c>
      <c r="D1064">
        <v>15</v>
      </c>
      <c r="E1064">
        <f>MONTH(makulatura3[[#This Row],[Data_dostarczenia]])</f>
        <v>6</v>
      </c>
    </row>
    <row r="1065" spans="1:5" x14ac:dyDescent="0.25">
      <c r="A1065" s="1">
        <v>42914</v>
      </c>
      <c r="B1065" s="2" t="s">
        <v>83</v>
      </c>
      <c r="C1065" s="2" t="s">
        <v>596</v>
      </c>
      <c r="D1065">
        <v>29</v>
      </c>
      <c r="E1065">
        <f>MONTH(makulatura3[[#This Row],[Data_dostarczenia]])</f>
        <v>6</v>
      </c>
    </row>
    <row r="1066" spans="1:5" x14ac:dyDescent="0.25">
      <c r="A1066" s="1">
        <v>42914</v>
      </c>
      <c r="B1066" s="2" t="s">
        <v>133</v>
      </c>
      <c r="C1066" s="2" t="s">
        <v>616</v>
      </c>
      <c r="D1066">
        <v>42</v>
      </c>
      <c r="E1066">
        <f>MONTH(makulatura3[[#This Row],[Data_dostarczenia]])</f>
        <v>6</v>
      </c>
    </row>
    <row r="1067" spans="1:5" x14ac:dyDescent="0.25">
      <c r="A1067" s="1">
        <v>42915</v>
      </c>
      <c r="B1067" s="2" t="s">
        <v>280</v>
      </c>
      <c r="C1067" s="2" t="s">
        <v>451</v>
      </c>
      <c r="D1067">
        <v>9</v>
      </c>
      <c r="E1067">
        <f>MONTH(makulatura3[[#This Row],[Data_dostarczenia]])</f>
        <v>6</v>
      </c>
    </row>
    <row r="1068" spans="1:5" x14ac:dyDescent="0.25">
      <c r="A1068" s="1">
        <v>42915</v>
      </c>
      <c r="B1068" s="2" t="s">
        <v>137</v>
      </c>
      <c r="C1068" s="2" t="s">
        <v>617</v>
      </c>
      <c r="D1068">
        <v>50</v>
      </c>
      <c r="E1068">
        <f>MONTH(makulatura3[[#This Row],[Data_dostarczenia]])</f>
        <v>6</v>
      </c>
    </row>
    <row r="1069" spans="1:5" x14ac:dyDescent="0.25">
      <c r="A1069" s="1">
        <v>42915</v>
      </c>
      <c r="B1069" s="2" t="s">
        <v>95</v>
      </c>
      <c r="C1069" s="2" t="s">
        <v>426</v>
      </c>
      <c r="D1069">
        <v>6</v>
      </c>
      <c r="E1069">
        <f>MONTH(makulatura3[[#This Row],[Data_dostarczenia]])</f>
        <v>6</v>
      </c>
    </row>
    <row r="1070" spans="1:5" x14ac:dyDescent="0.25">
      <c r="A1070" s="1">
        <v>42915</v>
      </c>
      <c r="B1070" s="2" t="s">
        <v>87</v>
      </c>
      <c r="C1070" s="2" t="s">
        <v>383</v>
      </c>
      <c r="D1070">
        <v>18</v>
      </c>
      <c r="E1070">
        <f>MONTH(makulatura3[[#This Row],[Data_dostarczenia]])</f>
        <v>6</v>
      </c>
    </row>
    <row r="1071" spans="1:5" x14ac:dyDescent="0.25">
      <c r="A1071" s="1">
        <v>42915</v>
      </c>
      <c r="B1071" s="2" t="s">
        <v>83</v>
      </c>
      <c r="C1071" s="2" t="s">
        <v>615</v>
      </c>
      <c r="D1071">
        <v>28</v>
      </c>
      <c r="E1071">
        <f>MONTH(makulatura3[[#This Row],[Data_dostarczenia]])</f>
        <v>6</v>
      </c>
    </row>
    <row r="1072" spans="1:5" x14ac:dyDescent="0.25">
      <c r="A1072" s="1">
        <v>42915</v>
      </c>
      <c r="B1072" s="2" t="s">
        <v>83</v>
      </c>
      <c r="C1072" s="2" t="s">
        <v>455</v>
      </c>
      <c r="D1072">
        <v>7</v>
      </c>
      <c r="E1072">
        <f>MONTH(makulatura3[[#This Row],[Data_dostarczenia]])</f>
        <v>6</v>
      </c>
    </row>
    <row r="1073" spans="1:5" x14ac:dyDescent="0.25">
      <c r="A1073" s="1">
        <v>42916</v>
      </c>
      <c r="B1073" s="2" t="s">
        <v>618</v>
      </c>
      <c r="C1073" s="2" t="s">
        <v>619</v>
      </c>
      <c r="D1073">
        <v>28</v>
      </c>
      <c r="E1073">
        <f>MONTH(makulatura3[[#This Row],[Data_dostarczenia]])</f>
        <v>6</v>
      </c>
    </row>
    <row r="1074" spans="1:5" x14ac:dyDescent="0.25">
      <c r="A1074" s="1">
        <v>42916</v>
      </c>
      <c r="B1074" s="2" t="s">
        <v>95</v>
      </c>
      <c r="C1074" s="2" t="s">
        <v>96</v>
      </c>
      <c r="D1074">
        <v>27</v>
      </c>
      <c r="E1074">
        <f>MONTH(makulatura3[[#This Row],[Data_dostarczenia]])</f>
        <v>6</v>
      </c>
    </row>
    <row r="1075" spans="1:5" x14ac:dyDescent="0.25">
      <c r="A1075" s="1">
        <v>42916</v>
      </c>
      <c r="B1075" s="2" t="s">
        <v>36</v>
      </c>
      <c r="C1075" s="2" t="s">
        <v>166</v>
      </c>
      <c r="D1075">
        <v>19</v>
      </c>
      <c r="E1075">
        <f>MONTH(makulatura3[[#This Row],[Data_dostarczenia]])</f>
        <v>6</v>
      </c>
    </row>
    <row r="1076" spans="1:5" x14ac:dyDescent="0.25">
      <c r="A1076" s="1">
        <v>42916</v>
      </c>
      <c r="B1076" s="2" t="s">
        <v>77</v>
      </c>
      <c r="C1076" s="2" t="s">
        <v>384</v>
      </c>
      <c r="D1076">
        <v>19</v>
      </c>
      <c r="E1076">
        <f>MONTH(makulatura3[[#This Row],[Data_dostarczenia]])</f>
        <v>6</v>
      </c>
    </row>
    <row r="1077" spans="1:5" x14ac:dyDescent="0.25">
      <c r="A1077" s="1">
        <v>42916</v>
      </c>
      <c r="B1077" s="2" t="s">
        <v>34</v>
      </c>
      <c r="C1077" s="2" t="s">
        <v>35</v>
      </c>
      <c r="D1077">
        <v>18</v>
      </c>
      <c r="E1077">
        <f>MONTH(makulatura3[[#This Row],[Data_dostarczenia]])</f>
        <v>6</v>
      </c>
    </row>
    <row r="1078" spans="1:5" x14ac:dyDescent="0.25">
      <c r="A1078" s="1">
        <v>42916</v>
      </c>
      <c r="B1078" s="2" t="s">
        <v>141</v>
      </c>
      <c r="C1078" s="2" t="s">
        <v>364</v>
      </c>
      <c r="D1078">
        <v>27</v>
      </c>
      <c r="E1078">
        <f>MONTH(makulatura3[[#This Row],[Data_dostarczenia]])</f>
        <v>6</v>
      </c>
    </row>
    <row r="1079" spans="1:5" x14ac:dyDescent="0.25">
      <c r="A1079" s="1">
        <v>42919</v>
      </c>
      <c r="B1079" s="2" t="s">
        <v>339</v>
      </c>
      <c r="C1079" s="2" t="s">
        <v>565</v>
      </c>
      <c r="D1079">
        <v>21</v>
      </c>
      <c r="E1079">
        <f>MONTH(makulatura3[[#This Row],[Data_dostarczenia]])</f>
        <v>7</v>
      </c>
    </row>
    <row r="1080" spans="1:5" x14ac:dyDescent="0.25">
      <c r="A1080" s="1">
        <v>42919</v>
      </c>
      <c r="B1080" s="2" t="s">
        <v>106</v>
      </c>
      <c r="C1080" s="2" t="s">
        <v>277</v>
      </c>
      <c r="D1080">
        <v>14</v>
      </c>
      <c r="E1080">
        <f>MONTH(makulatura3[[#This Row],[Data_dostarczenia]])</f>
        <v>7</v>
      </c>
    </row>
    <row r="1081" spans="1:5" x14ac:dyDescent="0.25">
      <c r="A1081" s="1">
        <v>42919</v>
      </c>
      <c r="B1081" s="2" t="s">
        <v>147</v>
      </c>
      <c r="C1081" s="2" t="s">
        <v>527</v>
      </c>
      <c r="D1081">
        <v>34</v>
      </c>
      <c r="E1081">
        <f>MONTH(makulatura3[[#This Row],[Data_dostarczenia]])</f>
        <v>7</v>
      </c>
    </row>
    <row r="1082" spans="1:5" x14ac:dyDescent="0.25">
      <c r="A1082" s="1">
        <v>42919</v>
      </c>
      <c r="B1082" s="2" t="s">
        <v>97</v>
      </c>
      <c r="C1082" s="2" t="s">
        <v>464</v>
      </c>
      <c r="D1082">
        <v>29</v>
      </c>
      <c r="E1082">
        <f>MONTH(makulatura3[[#This Row],[Data_dostarczenia]])</f>
        <v>7</v>
      </c>
    </row>
    <row r="1083" spans="1:5" x14ac:dyDescent="0.25">
      <c r="A1083" s="1">
        <v>42919</v>
      </c>
      <c r="B1083" s="2" t="s">
        <v>126</v>
      </c>
      <c r="C1083" s="2" t="s">
        <v>127</v>
      </c>
      <c r="D1083">
        <v>37</v>
      </c>
      <c r="E1083">
        <f>MONTH(makulatura3[[#This Row],[Data_dostarczenia]])</f>
        <v>7</v>
      </c>
    </row>
    <row r="1084" spans="1:5" x14ac:dyDescent="0.25">
      <c r="A1084" s="1">
        <v>42919</v>
      </c>
      <c r="B1084" s="2" t="s">
        <v>39</v>
      </c>
      <c r="C1084" s="2" t="s">
        <v>391</v>
      </c>
      <c r="D1084">
        <v>28</v>
      </c>
      <c r="E1084">
        <f>MONTH(makulatura3[[#This Row],[Data_dostarczenia]])</f>
        <v>7</v>
      </c>
    </row>
    <row r="1085" spans="1:5" x14ac:dyDescent="0.25">
      <c r="A1085" s="1">
        <v>42920</v>
      </c>
      <c r="B1085" s="2" t="s">
        <v>234</v>
      </c>
      <c r="C1085" s="2" t="s">
        <v>516</v>
      </c>
      <c r="D1085">
        <v>8</v>
      </c>
      <c r="E1085">
        <f>MONTH(makulatura3[[#This Row],[Data_dostarczenia]])</f>
        <v>7</v>
      </c>
    </row>
    <row r="1086" spans="1:5" x14ac:dyDescent="0.25">
      <c r="A1086" s="1">
        <v>42920</v>
      </c>
      <c r="B1086" s="2" t="s">
        <v>14</v>
      </c>
      <c r="C1086" s="2" t="s">
        <v>430</v>
      </c>
      <c r="D1086">
        <v>16</v>
      </c>
      <c r="E1086">
        <f>MONTH(makulatura3[[#This Row],[Data_dostarczenia]])</f>
        <v>7</v>
      </c>
    </row>
    <row r="1087" spans="1:5" x14ac:dyDescent="0.25">
      <c r="A1087" s="1">
        <v>42920</v>
      </c>
      <c r="B1087" s="2" t="s">
        <v>139</v>
      </c>
      <c r="C1087" s="2" t="s">
        <v>140</v>
      </c>
      <c r="D1087">
        <v>7</v>
      </c>
      <c r="E1087">
        <f>MONTH(makulatura3[[#This Row],[Data_dostarczenia]])</f>
        <v>7</v>
      </c>
    </row>
    <row r="1088" spans="1:5" x14ac:dyDescent="0.25">
      <c r="A1088" s="1">
        <v>42920</v>
      </c>
      <c r="B1088" s="2" t="s">
        <v>171</v>
      </c>
      <c r="C1088" s="2" t="s">
        <v>562</v>
      </c>
      <c r="D1088">
        <v>29</v>
      </c>
      <c r="E1088">
        <f>MONTH(makulatura3[[#This Row],[Data_dostarczenia]])</f>
        <v>7</v>
      </c>
    </row>
    <row r="1089" spans="1:5" x14ac:dyDescent="0.25">
      <c r="A1089" s="1">
        <v>42920</v>
      </c>
      <c r="B1089" s="2" t="s">
        <v>47</v>
      </c>
      <c r="C1089" s="2" t="s">
        <v>334</v>
      </c>
      <c r="D1089">
        <v>4</v>
      </c>
      <c r="E1089">
        <f>MONTH(makulatura3[[#This Row],[Data_dostarczenia]])</f>
        <v>7</v>
      </c>
    </row>
    <row r="1090" spans="1:5" x14ac:dyDescent="0.25">
      <c r="A1090" s="1">
        <v>42920</v>
      </c>
      <c r="B1090" s="2" t="s">
        <v>81</v>
      </c>
      <c r="C1090" s="2" t="s">
        <v>488</v>
      </c>
      <c r="D1090">
        <v>3</v>
      </c>
      <c r="E1090">
        <f>MONTH(makulatura3[[#This Row],[Data_dostarczenia]])</f>
        <v>7</v>
      </c>
    </row>
    <row r="1091" spans="1:5" x14ac:dyDescent="0.25">
      <c r="A1091" s="1">
        <v>42921</v>
      </c>
      <c r="B1091" s="2" t="s">
        <v>420</v>
      </c>
      <c r="C1091" s="2" t="s">
        <v>421</v>
      </c>
      <c r="D1091">
        <v>35</v>
      </c>
      <c r="E1091">
        <f>MONTH(makulatura3[[#This Row],[Data_dostarczenia]])</f>
        <v>7</v>
      </c>
    </row>
    <row r="1092" spans="1:5" x14ac:dyDescent="0.25">
      <c r="A1092" s="1">
        <v>42921</v>
      </c>
      <c r="B1092" s="2" t="s">
        <v>152</v>
      </c>
      <c r="C1092" s="2" t="s">
        <v>534</v>
      </c>
      <c r="D1092">
        <v>24</v>
      </c>
      <c r="E1092">
        <f>MONTH(makulatura3[[#This Row],[Data_dostarczenia]])</f>
        <v>7</v>
      </c>
    </row>
    <row r="1093" spans="1:5" x14ac:dyDescent="0.25">
      <c r="A1093" s="1">
        <v>42921</v>
      </c>
      <c r="B1093" s="2" t="s">
        <v>36</v>
      </c>
      <c r="C1093" s="2" t="s">
        <v>180</v>
      </c>
      <c r="D1093">
        <v>39</v>
      </c>
      <c r="E1093">
        <f>MONTH(makulatura3[[#This Row],[Data_dostarczenia]])</f>
        <v>7</v>
      </c>
    </row>
    <row r="1094" spans="1:5" x14ac:dyDescent="0.25">
      <c r="A1094" s="1">
        <v>42921</v>
      </c>
      <c r="B1094" s="2" t="s">
        <v>269</v>
      </c>
      <c r="C1094" s="2" t="s">
        <v>270</v>
      </c>
      <c r="D1094">
        <v>56</v>
      </c>
      <c r="E1094">
        <f>MONTH(makulatura3[[#This Row],[Data_dostarczenia]])</f>
        <v>7</v>
      </c>
    </row>
    <row r="1095" spans="1:5" x14ac:dyDescent="0.25">
      <c r="A1095" s="1">
        <v>42921</v>
      </c>
      <c r="B1095" s="2" t="s">
        <v>476</v>
      </c>
      <c r="C1095" s="2" t="s">
        <v>620</v>
      </c>
      <c r="D1095">
        <v>54</v>
      </c>
      <c r="E1095">
        <f>MONTH(makulatura3[[#This Row],[Data_dostarczenia]])</f>
        <v>7</v>
      </c>
    </row>
    <row r="1096" spans="1:5" x14ac:dyDescent="0.25">
      <c r="A1096" s="1">
        <v>42921</v>
      </c>
      <c r="B1096" s="2" t="s">
        <v>43</v>
      </c>
      <c r="C1096" s="2" t="s">
        <v>44</v>
      </c>
      <c r="D1096">
        <v>12</v>
      </c>
      <c r="E1096">
        <f>MONTH(makulatura3[[#This Row],[Data_dostarczenia]])</f>
        <v>7</v>
      </c>
    </row>
    <row r="1097" spans="1:5" x14ac:dyDescent="0.25">
      <c r="A1097" s="1">
        <v>42922</v>
      </c>
      <c r="B1097" s="2" t="s">
        <v>341</v>
      </c>
      <c r="C1097" s="2" t="s">
        <v>342</v>
      </c>
      <c r="D1097">
        <v>7</v>
      </c>
      <c r="E1097">
        <f>MONTH(makulatura3[[#This Row],[Data_dostarczenia]])</f>
        <v>7</v>
      </c>
    </row>
    <row r="1098" spans="1:5" x14ac:dyDescent="0.25">
      <c r="A1098" s="1">
        <v>42922</v>
      </c>
      <c r="B1098" s="2" t="s">
        <v>178</v>
      </c>
      <c r="C1098" s="2" t="s">
        <v>335</v>
      </c>
      <c r="D1098">
        <v>11</v>
      </c>
      <c r="E1098">
        <f>MONTH(makulatura3[[#This Row],[Data_dostarczenia]])</f>
        <v>7</v>
      </c>
    </row>
    <row r="1099" spans="1:5" x14ac:dyDescent="0.25">
      <c r="A1099" s="1">
        <v>42922</v>
      </c>
      <c r="B1099" s="2" t="s">
        <v>30</v>
      </c>
      <c r="C1099" s="2" t="s">
        <v>432</v>
      </c>
      <c r="D1099">
        <v>7</v>
      </c>
      <c r="E1099">
        <f>MONTH(makulatura3[[#This Row],[Data_dostarczenia]])</f>
        <v>7</v>
      </c>
    </row>
    <row r="1100" spans="1:5" x14ac:dyDescent="0.25">
      <c r="A1100" s="1">
        <v>42922</v>
      </c>
      <c r="B1100" s="2" t="s">
        <v>193</v>
      </c>
      <c r="C1100" s="2" t="s">
        <v>194</v>
      </c>
      <c r="D1100">
        <v>28</v>
      </c>
      <c r="E1100">
        <f>MONTH(makulatura3[[#This Row],[Data_dostarczenia]])</f>
        <v>7</v>
      </c>
    </row>
    <row r="1101" spans="1:5" x14ac:dyDescent="0.25">
      <c r="A1101" s="1">
        <v>42922</v>
      </c>
      <c r="B1101" s="2" t="s">
        <v>14</v>
      </c>
      <c r="C1101" s="2" t="s">
        <v>430</v>
      </c>
      <c r="D1101">
        <v>20</v>
      </c>
      <c r="E1101">
        <f>MONTH(makulatura3[[#This Row],[Data_dostarczenia]])</f>
        <v>7</v>
      </c>
    </row>
    <row r="1102" spans="1:5" x14ac:dyDescent="0.25">
      <c r="A1102" s="1">
        <v>42922</v>
      </c>
      <c r="B1102" s="2" t="s">
        <v>143</v>
      </c>
      <c r="C1102" s="2" t="s">
        <v>510</v>
      </c>
      <c r="D1102">
        <v>11</v>
      </c>
      <c r="E1102">
        <f>MONTH(makulatura3[[#This Row],[Data_dostarczenia]])</f>
        <v>7</v>
      </c>
    </row>
    <row r="1103" spans="1:5" x14ac:dyDescent="0.25">
      <c r="A1103" s="1">
        <v>42923</v>
      </c>
      <c r="B1103" s="2" t="s">
        <v>51</v>
      </c>
      <c r="C1103" s="2" t="s">
        <v>621</v>
      </c>
      <c r="D1103">
        <v>55</v>
      </c>
      <c r="E1103">
        <f>MONTH(makulatura3[[#This Row],[Data_dostarczenia]])</f>
        <v>7</v>
      </c>
    </row>
    <row r="1104" spans="1:5" x14ac:dyDescent="0.25">
      <c r="A1104" s="1">
        <v>42923</v>
      </c>
      <c r="B1104" s="2" t="s">
        <v>97</v>
      </c>
      <c r="C1104" s="2" t="s">
        <v>464</v>
      </c>
      <c r="D1104">
        <v>41</v>
      </c>
      <c r="E1104">
        <f>MONTH(makulatura3[[#This Row],[Data_dostarczenia]])</f>
        <v>7</v>
      </c>
    </row>
    <row r="1105" spans="1:5" x14ac:dyDescent="0.25">
      <c r="A1105" s="1">
        <v>42923</v>
      </c>
      <c r="B1105" s="2" t="s">
        <v>476</v>
      </c>
      <c r="C1105" s="2" t="s">
        <v>622</v>
      </c>
      <c r="D1105">
        <v>21</v>
      </c>
      <c r="E1105">
        <f>MONTH(makulatura3[[#This Row],[Data_dostarczenia]])</f>
        <v>7</v>
      </c>
    </row>
    <row r="1106" spans="1:5" x14ac:dyDescent="0.25">
      <c r="A1106" s="1">
        <v>42923</v>
      </c>
      <c r="B1106" s="2" t="s">
        <v>339</v>
      </c>
      <c r="C1106" s="2" t="s">
        <v>583</v>
      </c>
      <c r="D1106">
        <v>33</v>
      </c>
      <c r="E1106">
        <f>MONTH(makulatura3[[#This Row],[Data_dostarczenia]])</f>
        <v>7</v>
      </c>
    </row>
    <row r="1107" spans="1:5" x14ac:dyDescent="0.25">
      <c r="A1107" s="1">
        <v>42923</v>
      </c>
      <c r="B1107" s="2" t="s">
        <v>18</v>
      </c>
      <c r="C1107" s="2" t="s">
        <v>597</v>
      </c>
      <c r="D1107">
        <v>7</v>
      </c>
      <c r="E1107">
        <f>MONTH(makulatura3[[#This Row],[Data_dostarczenia]])</f>
        <v>7</v>
      </c>
    </row>
    <row r="1108" spans="1:5" x14ac:dyDescent="0.25">
      <c r="A1108" s="1">
        <v>42923</v>
      </c>
      <c r="B1108" s="2" t="s">
        <v>45</v>
      </c>
      <c r="C1108" s="2" t="s">
        <v>388</v>
      </c>
      <c r="D1108">
        <v>15</v>
      </c>
      <c r="E1108">
        <f>MONTH(makulatura3[[#This Row],[Data_dostarczenia]])</f>
        <v>7</v>
      </c>
    </row>
    <row r="1109" spans="1:5" x14ac:dyDescent="0.25">
      <c r="A1109" s="1">
        <v>42926</v>
      </c>
      <c r="B1109" s="2" t="s">
        <v>141</v>
      </c>
      <c r="C1109" s="2" t="s">
        <v>260</v>
      </c>
      <c r="D1109">
        <v>39</v>
      </c>
      <c r="E1109">
        <f>MONTH(makulatura3[[#This Row],[Data_dostarczenia]])</f>
        <v>7</v>
      </c>
    </row>
    <row r="1110" spans="1:5" x14ac:dyDescent="0.25">
      <c r="A1110" s="1">
        <v>42926</v>
      </c>
      <c r="B1110" s="2" t="s">
        <v>479</v>
      </c>
      <c r="C1110" s="2" t="s">
        <v>480</v>
      </c>
      <c r="D1110">
        <v>20</v>
      </c>
      <c r="E1110">
        <f>MONTH(makulatura3[[#This Row],[Data_dostarczenia]])</f>
        <v>7</v>
      </c>
    </row>
    <row r="1111" spans="1:5" x14ac:dyDescent="0.25">
      <c r="A1111" s="1">
        <v>42926</v>
      </c>
      <c r="B1111" s="2" t="s">
        <v>83</v>
      </c>
      <c r="C1111" s="2" t="s">
        <v>455</v>
      </c>
      <c r="D1111">
        <v>11</v>
      </c>
      <c r="E1111">
        <f>MONTH(makulatura3[[#This Row],[Data_dostarczenia]])</f>
        <v>7</v>
      </c>
    </row>
    <row r="1112" spans="1:5" x14ac:dyDescent="0.25">
      <c r="A1112" s="1">
        <v>42926</v>
      </c>
      <c r="B1112" s="2" t="s">
        <v>623</v>
      </c>
      <c r="C1112" s="2" t="s">
        <v>624</v>
      </c>
      <c r="D1112">
        <v>55</v>
      </c>
      <c r="E1112">
        <f>MONTH(makulatura3[[#This Row],[Data_dostarczenia]])</f>
        <v>7</v>
      </c>
    </row>
    <row r="1113" spans="1:5" x14ac:dyDescent="0.25">
      <c r="A1113" s="1">
        <v>42926</v>
      </c>
      <c r="B1113" s="2" t="s">
        <v>69</v>
      </c>
      <c r="C1113" s="2" t="s">
        <v>588</v>
      </c>
      <c r="D1113">
        <v>36</v>
      </c>
      <c r="E1113">
        <f>MONTH(makulatura3[[#This Row],[Data_dostarczenia]])</f>
        <v>7</v>
      </c>
    </row>
    <row r="1114" spans="1:5" x14ac:dyDescent="0.25">
      <c r="A1114" s="1">
        <v>42926</v>
      </c>
      <c r="B1114" s="2" t="s">
        <v>20</v>
      </c>
      <c r="C1114" s="2" t="s">
        <v>381</v>
      </c>
      <c r="D1114">
        <v>19</v>
      </c>
      <c r="E1114">
        <f>MONTH(makulatura3[[#This Row],[Data_dostarczenia]])</f>
        <v>7</v>
      </c>
    </row>
    <row r="1115" spans="1:5" x14ac:dyDescent="0.25">
      <c r="A1115" s="1">
        <v>42927</v>
      </c>
      <c r="B1115" s="2" t="s">
        <v>416</v>
      </c>
      <c r="C1115" s="2" t="s">
        <v>417</v>
      </c>
      <c r="D1115">
        <v>15</v>
      </c>
      <c r="E1115">
        <f>MONTH(makulatura3[[#This Row],[Data_dostarczenia]])</f>
        <v>7</v>
      </c>
    </row>
    <row r="1116" spans="1:5" x14ac:dyDescent="0.25">
      <c r="A1116" s="1">
        <v>42927</v>
      </c>
      <c r="B1116" s="2" t="s">
        <v>131</v>
      </c>
      <c r="C1116" s="2" t="s">
        <v>132</v>
      </c>
      <c r="D1116">
        <v>11</v>
      </c>
      <c r="E1116">
        <f>MONTH(makulatura3[[#This Row],[Data_dostarczenia]])</f>
        <v>7</v>
      </c>
    </row>
    <row r="1117" spans="1:5" x14ac:dyDescent="0.25">
      <c r="A1117" s="1">
        <v>42927</v>
      </c>
      <c r="B1117" s="2" t="s">
        <v>34</v>
      </c>
      <c r="C1117" s="2" t="s">
        <v>35</v>
      </c>
      <c r="D1117">
        <v>30</v>
      </c>
      <c r="E1117">
        <f>MONTH(makulatura3[[#This Row],[Data_dostarczenia]])</f>
        <v>7</v>
      </c>
    </row>
    <row r="1118" spans="1:5" x14ac:dyDescent="0.25">
      <c r="A1118" s="1">
        <v>42927</v>
      </c>
      <c r="B1118" s="2" t="s">
        <v>278</v>
      </c>
      <c r="C1118" s="2" t="s">
        <v>202</v>
      </c>
      <c r="D1118">
        <v>6</v>
      </c>
      <c r="E1118">
        <f>MONTH(makulatura3[[#This Row],[Data_dostarczenia]])</f>
        <v>7</v>
      </c>
    </row>
    <row r="1119" spans="1:5" x14ac:dyDescent="0.25">
      <c r="A1119" s="1">
        <v>42927</v>
      </c>
      <c r="B1119" s="2" t="s">
        <v>83</v>
      </c>
      <c r="C1119" s="2" t="s">
        <v>455</v>
      </c>
      <c r="D1119">
        <v>16</v>
      </c>
      <c r="E1119">
        <f>MONTH(makulatura3[[#This Row],[Data_dostarczenia]])</f>
        <v>7</v>
      </c>
    </row>
    <row r="1120" spans="1:5" x14ac:dyDescent="0.25">
      <c r="A1120" s="1">
        <v>42927</v>
      </c>
      <c r="B1120" s="2" t="s">
        <v>51</v>
      </c>
      <c r="C1120" s="2" t="s">
        <v>522</v>
      </c>
      <c r="D1120">
        <v>26</v>
      </c>
      <c r="E1120">
        <f>MONTH(makulatura3[[#This Row],[Data_dostarczenia]])</f>
        <v>7</v>
      </c>
    </row>
    <row r="1121" spans="1:5" x14ac:dyDescent="0.25">
      <c r="A1121" s="1">
        <v>42928</v>
      </c>
      <c r="B1121" s="2" t="s">
        <v>55</v>
      </c>
      <c r="C1121" s="2" t="s">
        <v>493</v>
      </c>
      <c r="D1121">
        <v>48</v>
      </c>
      <c r="E1121">
        <f>MONTH(makulatura3[[#This Row],[Data_dostarczenia]])</f>
        <v>7</v>
      </c>
    </row>
    <row r="1122" spans="1:5" x14ac:dyDescent="0.25">
      <c r="A1122" s="1">
        <v>42928</v>
      </c>
      <c r="B1122" s="2" t="s">
        <v>101</v>
      </c>
      <c r="C1122" s="2" t="s">
        <v>263</v>
      </c>
      <c r="D1122">
        <v>24</v>
      </c>
      <c r="E1122">
        <f>MONTH(makulatura3[[#This Row],[Data_dostarczenia]])</f>
        <v>7</v>
      </c>
    </row>
    <row r="1123" spans="1:5" x14ac:dyDescent="0.25">
      <c r="A1123" s="1">
        <v>42928</v>
      </c>
      <c r="B1123" s="2" t="s">
        <v>55</v>
      </c>
      <c r="C1123" s="2" t="s">
        <v>625</v>
      </c>
      <c r="D1123">
        <v>9</v>
      </c>
      <c r="E1123">
        <f>MONTH(makulatura3[[#This Row],[Data_dostarczenia]])</f>
        <v>7</v>
      </c>
    </row>
    <row r="1124" spans="1:5" x14ac:dyDescent="0.25">
      <c r="A1124" s="1">
        <v>42928</v>
      </c>
      <c r="B1124" s="2" t="s">
        <v>65</v>
      </c>
      <c r="C1124" s="2" t="s">
        <v>159</v>
      </c>
      <c r="D1124">
        <v>55</v>
      </c>
      <c r="E1124">
        <f>MONTH(makulatura3[[#This Row],[Data_dostarczenia]])</f>
        <v>7</v>
      </c>
    </row>
    <row r="1125" spans="1:5" x14ac:dyDescent="0.25">
      <c r="A1125" s="1">
        <v>42928</v>
      </c>
      <c r="B1125" s="2" t="s">
        <v>331</v>
      </c>
      <c r="C1125" s="2" t="s">
        <v>26</v>
      </c>
      <c r="D1125">
        <v>51</v>
      </c>
      <c r="E1125">
        <f>MONTH(makulatura3[[#This Row],[Data_dostarczenia]])</f>
        <v>7</v>
      </c>
    </row>
    <row r="1126" spans="1:5" x14ac:dyDescent="0.25">
      <c r="A1126" s="1">
        <v>42928</v>
      </c>
      <c r="B1126" s="2" t="s">
        <v>41</v>
      </c>
      <c r="C1126" s="2" t="s">
        <v>42</v>
      </c>
      <c r="D1126">
        <v>10</v>
      </c>
      <c r="E1126">
        <f>MONTH(makulatura3[[#This Row],[Data_dostarczenia]])</f>
        <v>7</v>
      </c>
    </row>
    <row r="1127" spans="1:5" x14ac:dyDescent="0.25">
      <c r="A1127" s="1">
        <v>42929</v>
      </c>
      <c r="B1127" s="2" t="s">
        <v>155</v>
      </c>
      <c r="C1127" s="2" t="s">
        <v>156</v>
      </c>
      <c r="D1127">
        <v>15</v>
      </c>
      <c r="E1127">
        <f>MONTH(makulatura3[[#This Row],[Data_dostarczenia]])</f>
        <v>7</v>
      </c>
    </row>
    <row r="1128" spans="1:5" x14ac:dyDescent="0.25">
      <c r="A1128" s="1">
        <v>42929</v>
      </c>
      <c r="B1128" s="2" t="s">
        <v>131</v>
      </c>
      <c r="C1128" s="2" t="s">
        <v>626</v>
      </c>
      <c r="D1128">
        <v>26</v>
      </c>
      <c r="E1128">
        <f>MONTH(makulatura3[[#This Row],[Data_dostarczenia]])</f>
        <v>7</v>
      </c>
    </row>
    <row r="1129" spans="1:5" x14ac:dyDescent="0.25">
      <c r="A1129" s="1">
        <v>42929</v>
      </c>
      <c r="B1129" s="2" t="s">
        <v>541</v>
      </c>
      <c r="C1129" s="2" t="s">
        <v>542</v>
      </c>
      <c r="D1129">
        <v>21</v>
      </c>
      <c r="E1129">
        <f>MONTH(makulatura3[[#This Row],[Data_dostarczenia]])</f>
        <v>7</v>
      </c>
    </row>
    <row r="1130" spans="1:5" x14ac:dyDescent="0.25">
      <c r="A1130" s="1">
        <v>42929</v>
      </c>
      <c r="B1130" s="2" t="s">
        <v>290</v>
      </c>
      <c r="C1130" s="2" t="s">
        <v>291</v>
      </c>
      <c r="D1130">
        <v>4</v>
      </c>
      <c r="E1130">
        <f>MONTH(makulatura3[[#This Row],[Data_dostarczenia]])</f>
        <v>7</v>
      </c>
    </row>
    <row r="1131" spans="1:5" x14ac:dyDescent="0.25">
      <c r="A1131" s="1">
        <v>42929</v>
      </c>
      <c r="B1131" s="2" t="s">
        <v>63</v>
      </c>
      <c r="C1131" s="2" t="s">
        <v>411</v>
      </c>
      <c r="D1131">
        <v>43</v>
      </c>
      <c r="E1131">
        <f>MONTH(makulatura3[[#This Row],[Data_dostarczenia]])</f>
        <v>7</v>
      </c>
    </row>
    <row r="1132" spans="1:5" x14ac:dyDescent="0.25">
      <c r="A1132" s="1">
        <v>42929</v>
      </c>
      <c r="B1132" s="2" t="s">
        <v>141</v>
      </c>
      <c r="C1132" s="2" t="s">
        <v>202</v>
      </c>
      <c r="D1132">
        <v>7</v>
      </c>
      <c r="E1132">
        <f>MONTH(makulatura3[[#This Row],[Data_dostarczenia]])</f>
        <v>7</v>
      </c>
    </row>
    <row r="1133" spans="1:5" x14ac:dyDescent="0.25">
      <c r="A1133" s="1">
        <v>42929</v>
      </c>
      <c r="B1133" s="2" t="s">
        <v>101</v>
      </c>
      <c r="C1133" s="2" t="s">
        <v>263</v>
      </c>
      <c r="D1133">
        <v>44</v>
      </c>
      <c r="E1133">
        <f>MONTH(makulatura3[[#This Row],[Data_dostarczenia]])</f>
        <v>7</v>
      </c>
    </row>
    <row r="1134" spans="1:5" x14ac:dyDescent="0.25">
      <c r="A1134" s="1">
        <v>42930</v>
      </c>
      <c r="B1134" s="2" t="s">
        <v>97</v>
      </c>
      <c r="C1134" s="2" t="s">
        <v>529</v>
      </c>
      <c r="D1134">
        <v>19</v>
      </c>
      <c r="E1134">
        <f>MONTH(makulatura3[[#This Row],[Data_dostarczenia]])</f>
        <v>7</v>
      </c>
    </row>
    <row r="1135" spans="1:5" x14ac:dyDescent="0.25">
      <c r="A1135" s="1">
        <v>42930</v>
      </c>
      <c r="B1135" s="2" t="s">
        <v>232</v>
      </c>
      <c r="C1135" s="2" t="s">
        <v>627</v>
      </c>
      <c r="D1135">
        <v>29</v>
      </c>
      <c r="E1135">
        <f>MONTH(makulatura3[[#This Row],[Data_dostarczenia]])</f>
        <v>7</v>
      </c>
    </row>
    <row r="1136" spans="1:5" x14ac:dyDescent="0.25">
      <c r="A1136" s="1">
        <v>42930</v>
      </c>
      <c r="B1136" s="2" t="s">
        <v>161</v>
      </c>
      <c r="C1136" s="2" t="s">
        <v>305</v>
      </c>
      <c r="D1136">
        <v>33</v>
      </c>
      <c r="E1136">
        <f>MONTH(makulatura3[[#This Row],[Data_dostarczenia]])</f>
        <v>7</v>
      </c>
    </row>
    <row r="1137" spans="1:5" x14ac:dyDescent="0.25">
      <c r="A1137" s="1">
        <v>42930</v>
      </c>
      <c r="B1137" s="2" t="s">
        <v>65</v>
      </c>
      <c r="C1137" s="2" t="s">
        <v>116</v>
      </c>
      <c r="D1137">
        <v>2</v>
      </c>
      <c r="E1137">
        <f>MONTH(makulatura3[[#This Row],[Data_dostarczenia]])</f>
        <v>7</v>
      </c>
    </row>
    <row r="1138" spans="1:5" x14ac:dyDescent="0.25">
      <c r="A1138" s="1">
        <v>42930</v>
      </c>
      <c r="B1138" s="2" t="s">
        <v>141</v>
      </c>
      <c r="C1138" s="2" t="s">
        <v>292</v>
      </c>
      <c r="D1138">
        <v>15</v>
      </c>
      <c r="E1138">
        <f>MONTH(makulatura3[[#This Row],[Data_dostarczenia]])</f>
        <v>7</v>
      </c>
    </row>
    <row r="1139" spans="1:5" x14ac:dyDescent="0.25">
      <c r="A1139" s="1">
        <v>42930</v>
      </c>
      <c r="B1139" s="2" t="s">
        <v>27</v>
      </c>
      <c r="C1139" s="2" t="s">
        <v>28</v>
      </c>
      <c r="D1139">
        <v>30</v>
      </c>
      <c r="E1139">
        <f>MONTH(makulatura3[[#This Row],[Data_dostarczenia]])</f>
        <v>7</v>
      </c>
    </row>
    <row r="1140" spans="1:5" x14ac:dyDescent="0.25">
      <c r="A1140" s="1">
        <v>42930</v>
      </c>
      <c r="B1140" s="2" t="s">
        <v>39</v>
      </c>
      <c r="C1140" s="2" t="s">
        <v>400</v>
      </c>
      <c r="D1140">
        <v>5</v>
      </c>
      <c r="E1140">
        <f>MONTH(makulatura3[[#This Row],[Data_dostarczenia]])</f>
        <v>7</v>
      </c>
    </row>
    <row r="1141" spans="1:5" x14ac:dyDescent="0.25">
      <c r="A1141" s="1">
        <v>42933</v>
      </c>
      <c r="B1141" s="2" t="s">
        <v>97</v>
      </c>
      <c r="C1141" s="2" t="s">
        <v>464</v>
      </c>
      <c r="D1141">
        <v>14</v>
      </c>
      <c r="E1141">
        <f>MONTH(makulatura3[[#This Row],[Data_dostarczenia]])</f>
        <v>7</v>
      </c>
    </row>
    <row r="1142" spans="1:5" x14ac:dyDescent="0.25">
      <c r="A1142" s="1">
        <v>42933</v>
      </c>
      <c r="B1142" s="2" t="s">
        <v>30</v>
      </c>
      <c r="C1142" s="2" t="s">
        <v>628</v>
      </c>
      <c r="D1142">
        <v>8</v>
      </c>
      <c r="E1142">
        <f>MONTH(makulatura3[[#This Row],[Data_dostarczenia]])</f>
        <v>7</v>
      </c>
    </row>
    <row r="1143" spans="1:5" x14ac:dyDescent="0.25">
      <c r="A1143" s="1">
        <v>42933</v>
      </c>
      <c r="B1143" s="2" t="s">
        <v>81</v>
      </c>
      <c r="C1143" s="2" t="s">
        <v>104</v>
      </c>
      <c r="D1143">
        <v>44</v>
      </c>
      <c r="E1143">
        <f>MONTH(makulatura3[[#This Row],[Data_dostarczenia]])</f>
        <v>7</v>
      </c>
    </row>
    <row r="1144" spans="1:5" x14ac:dyDescent="0.25">
      <c r="A1144" s="1">
        <v>42933</v>
      </c>
      <c r="B1144" s="2" t="s">
        <v>476</v>
      </c>
      <c r="C1144" s="2" t="s">
        <v>477</v>
      </c>
      <c r="D1144">
        <v>50</v>
      </c>
      <c r="E1144">
        <f>MONTH(makulatura3[[#This Row],[Data_dostarczenia]])</f>
        <v>7</v>
      </c>
    </row>
    <row r="1145" spans="1:5" x14ac:dyDescent="0.25">
      <c r="A1145" s="1">
        <v>42933</v>
      </c>
      <c r="B1145" s="2" t="s">
        <v>83</v>
      </c>
      <c r="C1145" s="2" t="s">
        <v>91</v>
      </c>
      <c r="D1145">
        <v>15</v>
      </c>
      <c r="E1145">
        <f>MONTH(makulatura3[[#This Row],[Data_dostarczenia]])</f>
        <v>7</v>
      </c>
    </row>
    <row r="1146" spans="1:5" x14ac:dyDescent="0.25">
      <c r="A1146" s="1">
        <v>42933</v>
      </c>
      <c r="B1146" s="2" t="s">
        <v>393</v>
      </c>
      <c r="C1146" s="2" t="s">
        <v>582</v>
      </c>
      <c r="D1146">
        <v>46</v>
      </c>
      <c r="E1146">
        <f>MONTH(makulatura3[[#This Row],[Data_dostarczenia]])</f>
        <v>7</v>
      </c>
    </row>
    <row r="1147" spans="1:5" x14ac:dyDescent="0.25">
      <c r="A1147" s="1">
        <v>42933</v>
      </c>
      <c r="B1147" s="2" t="s">
        <v>34</v>
      </c>
      <c r="C1147" s="2" t="s">
        <v>338</v>
      </c>
      <c r="D1147">
        <v>5</v>
      </c>
      <c r="E1147">
        <f>MONTH(makulatura3[[#This Row],[Data_dostarczenia]])</f>
        <v>7</v>
      </c>
    </row>
    <row r="1148" spans="1:5" x14ac:dyDescent="0.25">
      <c r="A1148" s="1">
        <v>42934</v>
      </c>
      <c r="B1148" s="2" t="s">
        <v>407</v>
      </c>
      <c r="C1148" s="2" t="s">
        <v>408</v>
      </c>
      <c r="D1148">
        <v>27</v>
      </c>
      <c r="E1148">
        <f>MONTH(makulatura3[[#This Row],[Data_dostarczenia]])</f>
        <v>7</v>
      </c>
    </row>
    <row r="1149" spans="1:5" x14ac:dyDescent="0.25">
      <c r="A1149" s="1">
        <v>42934</v>
      </c>
      <c r="B1149" s="2" t="s">
        <v>10</v>
      </c>
      <c r="C1149" s="2" t="s">
        <v>266</v>
      </c>
      <c r="D1149">
        <v>25</v>
      </c>
      <c r="E1149">
        <f>MONTH(makulatura3[[#This Row],[Data_dostarczenia]])</f>
        <v>7</v>
      </c>
    </row>
    <row r="1150" spans="1:5" x14ac:dyDescent="0.25">
      <c r="A1150" s="1">
        <v>42934</v>
      </c>
      <c r="B1150" s="2" t="s">
        <v>101</v>
      </c>
      <c r="C1150" s="2" t="s">
        <v>610</v>
      </c>
      <c r="D1150">
        <v>22</v>
      </c>
      <c r="E1150">
        <f>MONTH(makulatura3[[#This Row],[Data_dostarczenia]])</f>
        <v>7</v>
      </c>
    </row>
    <row r="1151" spans="1:5" x14ac:dyDescent="0.25">
      <c r="A1151" s="1">
        <v>42934</v>
      </c>
      <c r="B1151" s="2" t="s">
        <v>343</v>
      </c>
      <c r="C1151" s="2" t="s">
        <v>344</v>
      </c>
      <c r="D1151">
        <v>3</v>
      </c>
      <c r="E1151">
        <f>MONTH(makulatura3[[#This Row],[Data_dostarczenia]])</f>
        <v>7</v>
      </c>
    </row>
    <row r="1152" spans="1:5" x14ac:dyDescent="0.25">
      <c r="A1152" s="1">
        <v>42934</v>
      </c>
      <c r="B1152" s="2" t="s">
        <v>346</v>
      </c>
      <c r="C1152" s="2" t="s">
        <v>347</v>
      </c>
      <c r="D1152">
        <v>28</v>
      </c>
      <c r="E1152">
        <f>MONTH(makulatura3[[#This Row],[Data_dostarczenia]])</f>
        <v>7</v>
      </c>
    </row>
    <row r="1153" spans="1:5" x14ac:dyDescent="0.25">
      <c r="A1153" s="1">
        <v>42934</v>
      </c>
      <c r="B1153" s="2" t="s">
        <v>30</v>
      </c>
      <c r="C1153" s="2" t="s">
        <v>241</v>
      </c>
      <c r="D1153">
        <v>8</v>
      </c>
      <c r="E1153">
        <f>MONTH(makulatura3[[#This Row],[Data_dostarczenia]])</f>
        <v>7</v>
      </c>
    </row>
    <row r="1154" spans="1:5" x14ac:dyDescent="0.25">
      <c r="A1154" s="1">
        <v>42934</v>
      </c>
      <c r="B1154" s="2" t="s">
        <v>395</v>
      </c>
      <c r="C1154" s="2" t="s">
        <v>467</v>
      </c>
      <c r="D1154">
        <v>8</v>
      </c>
      <c r="E1154">
        <f>MONTH(makulatura3[[#This Row],[Data_dostarczenia]])</f>
        <v>7</v>
      </c>
    </row>
    <row r="1155" spans="1:5" x14ac:dyDescent="0.25">
      <c r="A1155" s="1">
        <v>42935</v>
      </c>
      <c r="B1155" s="2" t="s">
        <v>106</v>
      </c>
      <c r="C1155" s="2" t="s">
        <v>107</v>
      </c>
      <c r="D1155">
        <v>18</v>
      </c>
      <c r="E1155">
        <f>MONTH(makulatura3[[#This Row],[Data_dostarczenia]])</f>
        <v>7</v>
      </c>
    </row>
    <row r="1156" spans="1:5" x14ac:dyDescent="0.25">
      <c r="A1156" s="1">
        <v>42935</v>
      </c>
      <c r="B1156" s="2" t="s">
        <v>201</v>
      </c>
      <c r="C1156" s="2" t="s">
        <v>598</v>
      </c>
      <c r="D1156">
        <v>27</v>
      </c>
      <c r="E1156">
        <f>MONTH(makulatura3[[#This Row],[Data_dostarczenia]])</f>
        <v>7</v>
      </c>
    </row>
    <row r="1157" spans="1:5" x14ac:dyDescent="0.25">
      <c r="A1157" s="1">
        <v>42935</v>
      </c>
      <c r="B1157" s="2" t="s">
        <v>278</v>
      </c>
      <c r="C1157" s="2" t="s">
        <v>530</v>
      </c>
      <c r="D1157">
        <v>23</v>
      </c>
      <c r="E1157">
        <f>MONTH(makulatura3[[#This Row],[Data_dostarczenia]])</f>
        <v>7</v>
      </c>
    </row>
    <row r="1158" spans="1:5" x14ac:dyDescent="0.25">
      <c r="A1158" s="1">
        <v>42935</v>
      </c>
      <c r="B1158" s="2" t="s">
        <v>12</v>
      </c>
      <c r="C1158" s="2" t="s">
        <v>13</v>
      </c>
      <c r="D1158">
        <v>46</v>
      </c>
      <c r="E1158">
        <f>MONTH(makulatura3[[#This Row],[Data_dostarczenia]])</f>
        <v>7</v>
      </c>
    </row>
    <row r="1159" spans="1:5" x14ac:dyDescent="0.25">
      <c r="A1159" s="1">
        <v>42935</v>
      </c>
      <c r="B1159" s="2" t="s">
        <v>150</v>
      </c>
      <c r="C1159" s="2" t="s">
        <v>200</v>
      </c>
      <c r="D1159">
        <v>16</v>
      </c>
      <c r="E1159">
        <f>MONTH(makulatura3[[#This Row],[Data_dostarczenia]])</f>
        <v>7</v>
      </c>
    </row>
    <row r="1160" spans="1:5" x14ac:dyDescent="0.25">
      <c r="A1160" s="1">
        <v>42935</v>
      </c>
      <c r="B1160" s="2" t="s">
        <v>39</v>
      </c>
      <c r="C1160" s="2" t="s">
        <v>289</v>
      </c>
      <c r="D1160">
        <v>27</v>
      </c>
      <c r="E1160">
        <f>MONTH(makulatura3[[#This Row],[Data_dostarczenia]])</f>
        <v>7</v>
      </c>
    </row>
    <row r="1161" spans="1:5" x14ac:dyDescent="0.25">
      <c r="A1161" s="1">
        <v>42935</v>
      </c>
      <c r="B1161" s="2" t="s">
        <v>83</v>
      </c>
      <c r="C1161" s="2" t="s">
        <v>547</v>
      </c>
      <c r="D1161">
        <v>12</v>
      </c>
      <c r="E1161">
        <f>MONTH(makulatura3[[#This Row],[Data_dostarczenia]])</f>
        <v>7</v>
      </c>
    </row>
    <row r="1162" spans="1:5" x14ac:dyDescent="0.25">
      <c r="A1162" s="1">
        <v>42936</v>
      </c>
      <c r="B1162" s="2" t="s">
        <v>150</v>
      </c>
      <c r="C1162" s="2" t="s">
        <v>556</v>
      </c>
      <c r="D1162">
        <v>21</v>
      </c>
      <c r="E1162">
        <f>MONTH(makulatura3[[#This Row],[Data_dostarczenia]])</f>
        <v>7</v>
      </c>
    </row>
    <row r="1163" spans="1:5" x14ac:dyDescent="0.25">
      <c r="A1163" s="1">
        <v>42936</v>
      </c>
      <c r="B1163" s="2" t="s">
        <v>407</v>
      </c>
      <c r="C1163" s="2" t="s">
        <v>408</v>
      </c>
      <c r="D1163">
        <v>45</v>
      </c>
      <c r="E1163">
        <f>MONTH(makulatura3[[#This Row],[Data_dostarczenia]])</f>
        <v>7</v>
      </c>
    </row>
    <row r="1164" spans="1:5" x14ac:dyDescent="0.25">
      <c r="A1164" s="1">
        <v>42936</v>
      </c>
      <c r="B1164" s="2" t="s">
        <v>150</v>
      </c>
      <c r="C1164" s="2" t="s">
        <v>200</v>
      </c>
      <c r="D1164">
        <v>22</v>
      </c>
      <c r="E1164">
        <f>MONTH(makulatura3[[#This Row],[Data_dostarczenia]])</f>
        <v>7</v>
      </c>
    </row>
    <row r="1165" spans="1:5" x14ac:dyDescent="0.25">
      <c r="A1165" s="1">
        <v>42936</v>
      </c>
      <c r="B1165" s="2" t="s">
        <v>32</v>
      </c>
      <c r="C1165" s="2" t="s">
        <v>406</v>
      </c>
      <c r="D1165">
        <v>40</v>
      </c>
      <c r="E1165">
        <f>MONTH(makulatura3[[#This Row],[Data_dostarczenia]])</f>
        <v>7</v>
      </c>
    </row>
    <row r="1166" spans="1:5" x14ac:dyDescent="0.25">
      <c r="A1166" s="1">
        <v>42936</v>
      </c>
      <c r="B1166" s="2" t="s">
        <v>278</v>
      </c>
      <c r="C1166" s="2" t="s">
        <v>530</v>
      </c>
      <c r="D1166">
        <v>10</v>
      </c>
      <c r="E1166">
        <f>MONTH(makulatura3[[#This Row],[Data_dostarczenia]])</f>
        <v>7</v>
      </c>
    </row>
    <row r="1167" spans="1:5" x14ac:dyDescent="0.25">
      <c r="A1167" s="1">
        <v>42936</v>
      </c>
      <c r="B1167" s="2" t="s">
        <v>65</v>
      </c>
      <c r="C1167" s="2" t="s">
        <v>116</v>
      </c>
      <c r="D1167">
        <v>33</v>
      </c>
      <c r="E1167">
        <f>MONTH(makulatura3[[#This Row],[Data_dostarczenia]])</f>
        <v>7</v>
      </c>
    </row>
    <row r="1168" spans="1:5" x14ac:dyDescent="0.25">
      <c r="A1168" s="1">
        <v>42936</v>
      </c>
      <c r="B1168" s="2" t="s">
        <v>57</v>
      </c>
      <c r="C1168" s="2" t="s">
        <v>58</v>
      </c>
      <c r="D1168">
        <v>15</v>
      </c>
      <c r="E1168">
        <f>MONTH(makulatura3[[#This Row],[Data_dostarczenia]])</f>
        <v>7</v>
      </c>
    </row>
    <row r="1169" spans="1:5" x14ac:dyDescent="0.25">
      <c r="A1169" s="1">
        <v>42937</v>
      </c>
      <c r="B1169" s="2" t="s">
        <v>282</v>
      </c>
      <c r="C1169" s="2" t="s">
        <v>283</v>
      </c>
      <c r="D1169">
        <v>12</v>
      </c>
      <c r="E1169">
        <f>MONTH(makulatura3[[#This Row],[Data_dostarczenia]])</f>
        <v>7</v>
      </c>
    </row>
    <row r="1170" spans="1:5" x14ac:dyDescent="0.25">
      <c r="A1170" s="1">
        <v>42937</v>
      </c>
      <c r="B1170" s="2" t="s">
        <v>69</v>
      </c>
      <c r="C1170" s="2" t="s">
        <v>70</v>
      </c>
      <c r="D1170">
        <v>32</v>
      </c>
      <c r="E1170">
        <f>MONTH(makulatura3[[#This Row],[Data_dostarczenia]])</f>
        <v>7</v>
      </c>
    </row>
    <row r="1171" spans="1:5" x14ac:dyDescent="0.25">
      <c r="A1171" s="1">
        <v>42937</v>
      </c>
      <c r="B1171" s="2" t="s">
        <v>232</v>
      </c>
      <c r="C1171" s="2" t="s">
        <v>405</v>
      </c>
      <c r="D1171">
        <v>10</v>
      </c>
      <c r="E1171">
        <f>MONTH(makulatura3[[#This Row],[Data_dostarczenia]])</f>
        <v>7</v>
      </c>
    </row>
    <row r="1172" spans="1:5" x14ac:dyDescent="0.25">
      <c r="A1172" s="1">
        <v>42937</v>
      </c>
      <c r="B1172" s="2" t="s">
        <v>69</v>
      </c>
      <c r="C1172" s="2" t="s">
        <v>70</v>
      </c>
      <c r="D1172">
        <v>5</v>
      </c>
      <c r="E1172">
        <f>MONTH(makulatura3[[#This Row],[Data_dostarczenia]])</f>
        <v>7</v>
      </c>
    </row>
    <row r="1173" spans="1:5" x14ac:dyDescent="0.25">
      <c r="A1173" s="1">
        <v>42937</v>
      </c>
      <c r="B1173" s="2" t="s">
        <v>442</v>
      </c>
      <c r="C1173" s="2" t="s">
        <v>540</v>
      </c>
      <c r="D1173">
        <v>28</v>
      </c>
      <c r="E1173">
        <f>MONTH(makulatura3[[#This Row],[Data_dostarczenia]])</f>
        <v>7</v>
      </c>
    </row>
    <row r="1174" spans="1:5" x14ac:dyDescent="0.25">
      <c r="A1174" s="1">
        <v>42937</v>
      </c>
      <c r="B1174" s="2" t="s">
        <v>144</v>
      </c>
      <c r="C1174" s="2" t="s">
        <v>390</v>
      </c>
      <c r="D1174">
        <v>11</v>
      </c>
      <c r="E1174">
        <f>MONTH(makulatura3[[#This Row],[Data_dostarczenia]])</f>
        <v>7</v>
      </c>
    </row>
    <row r="1175" spans="1:5" x14ac:dyDescent="0.25">
      <c r="A1175" s="1">
        <v>42937</v>
      </c>
      <c r="B1175" s="2" t="s">
        <v>589</v>
      </c>
      <c r="C1175" s="2" t="s">
        <v>590</v>
      </c>
      <c r="D1175">
        <v>11</v>
      </c>
      <c r="E1175">
        <f>MONTH(makulatura3[[#This Row],[Data_dostarczenia]])</f>
        <v>7</v>
      </c>
    </row>
    <row r="1176" spans="1:5" x14ac:dyDescent="0.25">
      <c r="A1176" s="1">
        <v>42940</v>
      </c>
      <c r="B1176" s="2" t="s">
        <v>39</v>
      </c>
      <c r="C1176" s="2" t="s">
        <v>391</v>
      </c>
      <c r="D1176">
        <v>28</v>
      </c>
      <c r="E1176">
        <f>MONTH(makulatura3[[#This Row],[Data_dostarczenia]])</f>
        <v>7</v>
      </c>
    </row>
    <row r="1177" spans="1:5" x14ac:dyDescent="0.25">
      <c r="A1177" s="1">
        <v>42940</v>
      </c>
      <c r="B1177" s="2" t="s">
        <v>346</v>
      </c>
      <c r="C1177" s="2" t="s">
        <v>347</v>
      </c>
      <c r="D1177">
        <v>13</v>
      </c>
      <c r="E1177">
        <f>MONTH(makulatura3[[#This Row],[Data_dostarczenia]])</f>
        <v>7</v>
      </c>
    </row>
    <row r="1178" spans="1:5" x14ac:dyDescent="0.25">
      <c r="A1178" s="1">
        <v>42940</v>
      </c>
      <c r="B1178" s="2" t="s">
        <v>10</v>
      </c>
      <c r="C1178" s="2" t="s">
        <v>629</v>
      </c>
      <c r="D1178">
        <v>22</v>
      </c>
      <c r="E1178">
        <f>MONTH(makulatura3[[#This Row],[Data_dostarczenia]])</f>
        <v>7</v>
      </c>
    </row>
    <row r="1179" spans="1:5" x14ac:dyDescent="0.25">
      <c r="A1179" s="1">
        <v>42940</v>
      </c>
      <c r="B1179" s="2" t="s">
        <v>47</v>
      </c>
      <c r="C1179" s="2" t="s">
        <v>630</v>
      </c>
      <c r="D1179">
        <v>19</v>
      </c>
      <c r="E1179">
        <f>MONTH(makulatura3[[#This Row],[Data_dostarczenia]])</f>
        <v>7</v>
      </c>
    </row>
    <row r="1180" spans="1:5" x14ac:dyDescent="0.25">
      <c r="A1180" s="1">
        <v>42940</v>
      </c>
      <c r="B1180" s="2" t="s">
        <v>157</v>
      </c>
      <c r="C1180" s="2" t="s">
        <v>115</v>
      </c>
      <c r="D1180">
        <v>46</v>
      </c>
      <c r="E1180">
        <f>MONTH(makulatura3[[#This Row],[Data_dostarczenia]])</f>
        <v>7</v>
      </c>
    </row>
    <row r="1181" spans="1:5" x14ac:dyDescent="0.25">
      <c r="A1181" s="1">
        <v>42940</v>
      </c>
      <c r="B1181" s="2" t="s">
        <v>203</v>
      </c>
      <c r="C1181" s="2" t="s">
        <v>204</v>
      </c>
      <c r="D1181">
        <v>17</v>
      </c>
      <c r="E1181">
        <f>MONTH(makulatura3[[#This Row],[Data_dostarczenia]])</f>
        <v>7</v>
      </c>
    </row>
    <row r="1182" spans="1:5" x14ac:dyDescent="0.25">
      <c r="A1182" s="1">
        <v>42940</v>
      </c>
      <c r="B1182" s="2" t="s">
        <v>101</v>
      </c>
      <c r="C1182" s="2" t="s">
        <v>212</v>
      </c>
      <c r="D1182">
        <v>27</v>
      </c>
      <c r="E1182">
        <f>MONTH(makulatura3[[#This Row],[Data_dostarczenia]])</f>
        <v>7</v>
      </c>
    </row>
    <row r="1183" spans="1:5" x14ac:dyDescent="0.25">
      <c r="A1183" s="1">
        <v>42941</v>
      </c>
      <c r="B1183" s="2" t="s">
        <v>133</v>
      </c>
      <c r="C1183" s="2" t="s">
        <v>499</v>
      </c>
      <c r="D1183">
        <v>3</v>
      </c>
      <c r="E1183">
        <f>MONTH(makulatura3[[#This Row],[Data_dostarczenia]])</f>
        <v>7</v>
      </c>
    </row>
    <row r="1184" spans="1:5" x14ac:dyDescent="0.25">
      <c r="A1184" s="1">
        <v>42941</v>
      </c>
      <c r="B1184" s="2" t="s">
        <v>393</v>
      </c>
      <c r="C1184" s="2" t="s">
        <v>394</v>
      </c>
      <c r="D1184">
        <v>11</v>
      </c>
      <c r="E1184">
        <f>MONTH(makulatura3[[#This Row],[Data_dostarczenia]])</f>
        <v>7</v>
      </c>
    </row>
    <row r="1185" spans="1:5" x14ac:dyDescent="0.25">
      <c r="A1185" s="1">
        <v>42941</v>
      </c>
      <c r="B1185" s="2" t="s">
        <v>176</v>
      </c>
      <c r="C1185" s="2" t="s">
        <v>177</v>
      </c>
      <c r="D1185">
        <v>17</v>
      </c>
      <c r="E1185">
        <f>MONTH(makulatura3[[#This Row],[Data_dostarczenia]])</f>
        <v>7</v>
      </c>
    </row>
    <row r="1186" spans="1:5" x14ac:dyDescent="0.25">
      <c r="A1186" s="1">
        <v>42941</v>
      </c>
      <c r="B1186" s="2" t="s">
        <v>217</v>
      </c>
      <c r="C1186" s="2" t="s">
        <v>218</v>
      </c>
      <c r="D1186">
        <v>16</v>
      </c>
      <c r="E1186">
        <f>MONTH(makulatura3[[#This Row],[Data_dostarczenia]])</f>
        <v>7</v>
      </c>
    </row>
    <row r="1187" spans="1:5" x14ac:dyDescent="0.25">
      <c r="A1187" s="1">
        <v>42941</v>
      </c>
      <c r="B1187" s="2" t="s">
        <v>39</v>
      </c>
      <c r="C1187" s="2" t="s">
        <v>40</v>
      </c>
      <c r="D1187">
        <v>25</v>
      </c>
      <c r="E1187">
        <f>MONTH(makulatura3[[#This Row],[Data_dostarczenia]])</f>
        <v>7</v>
      </c>
    </row>
    <row r="1188" spans="1:5" x14ac:dyDescent="0.25">
      <c r="A1188" s="1">
        <v>42941</v>
      </c>
      <c r="B1188" s="2" t="s">
        <v>271</v>
      </c>
      <c r="C1188" s="2" t="s">
        <v>272</v>
      </c>
      <c r="D1188">
        <v>43</v>
      </c>
      <c r="E1188">
        <f>MONTH(makulatura3[[#This Row],[Data_dostarczenia]])</f>
        <v>7</v>
      </c>
    </row>
    <row r="1189" spans="1:5" x14ac:dyDescent="0.25">
      <c r="A1189" s="1">
        <v>42941</v>
      </c>
      <c r="B1189" s="2" t="s">
        <v>208</v>
      </c>
      <c r="C1189" s="2" t="s">
        <v>209</v>
      </c>
      <c r="D1189">
        <v>5</v>
      </c>
      <c r="E1189">
        <f>MONTH(makulatura3[[#This Row],[Data_dostarczenia]])</f>
        <v>7</v>
      </c>
    </row>
    <row r="1190" spans="1:5" x14ac:dyDescent="0.25">
      <c r="A1190" s="1">
        <v>42942</v>
      </c>
      <c r="B1190" s="2" t="s">
        <v>343</v>
      </c>
      <c r="C1190" s="2" t="s">
        <v>344</v>
      </c>
      <c r="D1190">
        <v>21</v>
      </c>
      <c r="E1190">
        <f>MONTH(makulatura3[[#This Row],[Data_dostarczenia]])</f>
        <v>7</v>
      </c>
    </row>
    <row r="1191" spans="1:5" x14ac:dyDescent="0.25">
      <c r="A1191" s="1">
        <v>42942</v>
      </c>
      <c r="B1191" s="2" t="s">
        <v>252</v>
      </c>
      <c r="C1191" s="2" t="s">
        <v>253</v>
      </c>
      <c r="D1191">
        <v>48</v>
      </c>
      <c r="E1191">
        <f>MONTH(makulatura3[[#This Row],[Data_dostarczenia]])</f>
        <v>7</v>
      </c>
    </row>
    <row r="1192" spans="1:5" x14ac:dyDescent="0.25">
      <c r="A1192" s="1">
        <v>42942</v>
      </c>
      <c r="B1192" s="2" t="s">
        <v>97</v>
      </c>
      <c r="C1192" s="2" t="s">
        <v>529</v>
      </c>
      <c r="D1192">
        <v>29</v>
      </c>
      <c r="E1192">
        <f>MONTH(makulatura3[[#This Row],[Data_dostarczenia]])</f>
        <v>7</v>
      </c>
    </row>
    <row r="1193" spans="1:5" x14ac:dyDescent="0.25">
      <c r="A1193" s="1">
        <v>42942</v>
      </c>
      <c r="B1193" s="2" t="s">
        <v>273</v>
      </c>
      <c r="C1193" s="2" t="s">
        <v>274</v>
      </c>
      <c r="D1193">
        <v>23</v>
      </c>
      <c r="E1193">
        <f>MONTH(makulatura3[[#This Row],[Data_dostarczenia]])</f>
        <v>7</v>
      </c>
    </row>
    <row r="1194" spans="1:5" x14ac:dyDescent="0.25">
      <c r="A1194" s="1">
        <v>42942</v>
      </c>
      <c r="B1194" s="2" t="s">
        <v>133</v>
      </c>
      <c r="C1194" s="2" t="s">
        <v>616</v>
      </c>
      <c r="D1194">
        <v>52</v>
      </c>
      <c r="E1194">
        <f>MONTH(makulatura3[[#This Row],[Data_dostarczenia]])</f>
        <v>7</v>
      </c>
    </row>
    <row r="1195" spans="1:5" x14ac:dyDescent="0.25">
      <c r="A1195" s="1">
        <v>42942</v>
      </c>
      <c r="B1195" s="2" t="s">
        <v>87</v>
      </c>
      <c r="C1195" s="2" t="s">
        <v>124</v>
      </c>
      <c r="D1195">
        <v>6</v>
      </c>
      <c r="E1195">
        <f>MONTH(makulatura3[[#This Row],[Data_dostarczenia]])</f>
        <v>7</v>
      </c>
    </row>
    <row r="1196" spans="1:5" x14ac:dyDescent="0.25">
      <c r="A1196" s="1">
        <v>42942</v>
      </c>
      <c r="B1196" s="2" t="s">
        <v>393</v>
      </c>
      <c r="C1196" s="2" t="s">
        <v>419</v>
      </c>
      <c r="D1196">
        <v>29</v>
      </c>
      <c r="E1196">
        <f>MONTH(makulatura3[[#This Row],[Data_dostarczenia]])</f>
        <v>7</v>
      </c>
    </row>
    <row r="1197" spans="1:5" x14ac:dyDescent="0.25">
      <c r="A1197" s="1">
        <v>42943</v>
      </c>
      <c r="B1197" s="2" t="s">
        <v>494</v>
      </c>
      <c r="C1197" s="2" t="s">
        <v>495</v>
      </c>
      <c r="D1197">
        <v>26</v>
      </c>
      <c r="E1197">
        <f>MONTH(makulatura3[[#This Row],[Data_dostarczenia]])</f>
        <v>7</v>
      </c>
    </row>
    <row r="1198" spans="1:5" x14ac:dyDescent="0.25">
      <c r="A1198" s="1">
        <v>42943</v>
      </c>
      <c r="B1198" s="2" t="s">
        <v>232</v>
      </c>
      <c r="C1198" s="2" t="s">
        <v>573</v>
      </c>
      <c r="D1198">
        <v>13</v>
      </c>
      <c r="E1198">
        <f>MONTH(makulatura3[[#This Row],[Data_dostarczenia]])</f>
        <v>7</v>
      </c>
    </row>
    <row r="1199" spans="1:5" x14ac:dyDescent="0.25">
      <c r="A1199" s="1">
        <v>42943</v>
      </c>
      <c r="B1199" s="2" t="s">
        <v>87</v>
      </c>
      <c r="C1199" s="2" t="s">
        <v>397</v>
      </c>
      <c r="D1199">
        <v>28</v>
      </c>
      <c r="E1199">
        <f>MONTH(makulatura3[[#This Row],[Data_dostarczenia]])</f>
        <v>7</v>
      </c>
    </row>
    <row r="1200" spans="1:5" x14ac:dyDescent="0.25">
      <c r="A1200" s="1">
        <v>42943</v>
      </c>
      <c r="B1200" s="2" t="s">
        <v>416</v>
      </c>
      <c r="C1200" s="2" t="s">
        <v>572</v>
      </c>
      <c r="D1200">
        <v>3</v>
      </c>
      <c r="E1200">
        <f>MONTH(makulatura3[[#This Row],[Data_dostarczenia]])</f>
        <v>7</v>
      </c>
    </row>
    <row r="1201" spans="1:5" x14ac:dyDescent="0.25">
      <c r="A1201" s="1">
        <v>42943</v>
      </c>
      <c r="B1201" s="2" t="s">
        <v>442</v>
      </c>
      <c r="C1201" s="2" t="s">
        <v>443</v>
      </c>
      <c r="D1201">
        <v>42</v>
      </c>
      <c r="E1201">
        <f>MONTH(makulatura3[[#This Row],[Data_dostarczenia]])</f>
        <v>7</v>
      </c>
    </row>
    <row r="1202" spans="1:5" x14ac:dyDescent="0.25">
      <c r="A1202" s="1">
        <v>42943</v>
      </c>
      <c r="B1202" s="2" t="s">
        <v>121</v>
      </c>
      <c r="C1202" s="2" t="s">
        <v>122</v>
      </c>
      <c r="D1202">
        <v>15</v>
      </c>
      <c r="E1202">
        <f>MONTH(makulatura3[[#This Row],[Data_dostarczenia]])</f>
        <v>7</v>
      </c>
    </row>
    <row r="1203" spans="1:5" x14ac:dyDescent="0.25">
      <c r="A1203" s="1">
        <v>42943</v>
      </c>
      <c r="B1203" s="2" t="s">
        <v>234</v>
      </c>
      <c r="C1203" s="2" t="s">
        <v>227</v>
      </c>
      <c r="D1203">
        <v>3</v>
      </c>
      <c r="E1203">
        <f>MONTH(makulatura3[[#This Row],[Data_dostarczenia]])</f>
        <v>7</v>
      </c>
    </row>
    <row r="1204" spans="1:5" x14ac:dyDescent="0.25">
      <c r="A1204" s="1">
        <v>42944</v>
      </c>
      <c r="B1204" s="2" t="s">
        <v>10</v>
      </c>
      <c r="C1204" s="2" t="s">
        <v>11</v>
      </c>
      <c r="D1204">
        <v>17</v>
      </c>
      <c r="E1204">
        <f>MONTH(makulatura3[[#This Row],[Data_dostarczenia]])</f>
        <v>7</v>
      </c>
    </row>
    <row r="1205" spans="1:5" x14ac:dyDescent="0.25">
      <c r="A1205" s="1">
        <v>42944</v>
      </c>
      <c r="B1205" s="2" t="s">
        <v>20</v>
      </c>
      <c r="C1205" s="2" t="s">
        <v>381</v>
      </c>
      <c r="D1205">
        <v>18</v>
      </c>
      <c r="E1205">
        <f>MONTH(makulatura3[[#This Row],[Data_dostarczenia]])</f>
        <v>7</v>
      </c>
    </row>
    <row r="1206" spans="1:5" x14ac:dyDescent="0.25">
      <c r="A1206" s="1">
        <v>42944</v>
      </c>
      <c r="B1206" s="2" t="s">
        <v>32</v>
      </c>
      <c r="C1206" s="2" t="s">
        <v>33</v>
      </c>
      <c r="D1206">
        <v>23</v>
      </c>
      <c r="E1206">
        <f>MONTH(makulatura3[[#This Row],[Data_dostarczenia]])</f>
        <v>7</v>
      </c>
    </row>
    <row r="1207" spans="1:5" x14ac:dyDescent="0.25">
      <c r="A1207" s="1">
        <v>42944</v>
      </c>
      <c r="B1207" s="2" t="s">
        <v>374</v>
      </c>
      <c r="C1207" s="2" t="s">
        <v>581</v>
      </c>
      <c r="D1207">
        <v>34</v>
      </c>
      <c r="E1207">
        <f>MONTH(makulatura3[[#This Row],[Data_dostarczenia]])</f>
        <v>7</v>
      </c>
    </row>
    <row r="1208" spans="1:5" x14ac:dyDescent="0.25">
      <c r="A1208" s="1">
        <v>42944</v>
      </c>
      <c r="B1208" s="2" t="s">
        <v>133</v>
      </c>
      <c r="C1208" s="2" t="s">
        <v>616</v>
      </c>
      <c r="D1208">
        <v>16</v>
      </c>
      <c r="E1208">
        <f>MONTH(makulatura3[[#This Row],[Data_dostarczenia]])</f>
        <v>7</v>
      </c>
    </row>
    <row r="1209" spans="1:5" x14ac:dyDescent="0.25">
      <c r="A1209" s="1">
        <v>42944</v>
      </c>
      <c r="B1209" s="2" t="s">
        <v>290</v>
      </c>
      <c r="C1209" s="2" t="s">
        <v>291</v>
      </c>
      <c r="D1209">
        <v>29</v>
      </c>
      <c r="E1209">
        <f>MONTH(makulatura3[[#This Row],[Data_dostarczenia]])</f>
        <v>7</v>
      </c>
    </row>
    <row r="1210" spans="1:5" x14ac:dyDescent="0.25">
      <c r="A1210" s="1">
        <v>42944</v>
      </c>
      <c r="B1210" s="2" t="s">
        <v>67</v>
      </c>
      <c r="C1210" s="2" t="s">
        <v>301</v>
      </c>
      <c r="D1210">
        <v>14</v>
      </c>
      <c r="E1210">
        <f>MONTH(makulatura3[[#This Row],[Data_dostarczenia]])</f>
        <v>7</v>
      </c>
    </row>
    <row r="1211" spans="1:5" x14ac:dyDescent="0.25">
      <c r="A1211" s="1">
        <v>42947</v>
      </c>
      <c r="B1211" s="2" t="s">
        <v>178</v>
      </c>
      <c r="C1211" s="2" t="s">
        <v>242</v>
      </c>
      <c r="D1211">
        <v>2</v>
      </c>
      <c r="E1211">
        <f>MONTH(makulatura3[[#This Row],[Data_dostarczenia]])</f>
        <v>7</v>
      </c>
    </row>
    <row r="1212" spans="1:5" x14ac:dyDescent="0.25">
      <c r="A1212" s="1">
        <v>42947</v>
      </c>
      <c r="B1212" s="2" t="s">
        <v>34</v>
      </c>
      <c r="C1212" s="2" t="s">
        <v>564</v>
      </c>
      <c r="D1212">
        <v>55</v>
      </c>
      <c r="E1212">
        <f>MONTH(makulatura3[[#This Row],[Data_dostarczenia]])</f>
        <v>7</v>
      </c>
    </row>
    <row r="1213" spans="1:5" x14ac:dyDescent="0.25">
      <c r="A1213" s="1">
        <v>42947</v>
      </c>
      <c r="B1213" s="2" t="s">
        <v>201</v>
      </c>
      <c r="C1213" s="2" t="s">
        <v>357</v>
      </c>
      <c r="D1213">
        <v>20</v>
      </c>
      <c r="E1213">
        <f>MONTH(makulatura3[[#This Row],[Data_dostarczenia]])</f>
        <v>7</v>
      </c>
    </row>
    <row r="1214" spans="1:5" x14ac:dyDescent="0.25">
      <c r="A1214" s="1">
        <v>42947</v>
      </c>
      <c r="B1214" s="2" t="s">
        <v>10</v>
      </c>
      <c r="C1214" s="2" t="s">
        <v>423</v>
      </c>
      <c r="D1214">
        <v>40</v>
      </c>
      <c r="E1214">
        <f>MONTH(makulatura3[[#This Row],[Data_dostarczenia]])</f>
        <v>7</v>
      </c>
    </row>
    <row r="1215" spans="1:5" x14ac:dyDescent="0.25">
      <c r="A1215" s="1">
        <v>42947</v>
      </c>
      <c r="B1215" s="2" t="s">
        <v>36</v>
      </c>
      <c r="C1215" s="2" t="s">
        <v>306</v>
      </c>
      <c r="D1215">
        <v>13</v>
      </c>
      <c r="E1215">
        <f>MONTH(makulatura3[[#This Row],[Data_dostarczenia]])</f>
        <v>7</v>
      </c>
    </row>
    <row r="1216" spans="1:5" x14ac:dyDescent="0.25">
      <c r="A1216" s="1">
        <v>42947</v>
      </c>
      <c r="B1216" s="2" t="s">
        <v>83</v>
      </c>
      <c r="C1216" s="2" t="s">
        <v>513</v>
      </c>
      <c r="D1216">
        <v>53</v>
      </c>
      <c r="E1216">
        <f>MONTH(makulatura3[[#This Row],[Data_dostarczenia]])</f>
        <v>7</v>
      </c>
    </row>
    <row r="1217" spans="1:5" x14ac:dyDescent="0.25">
      <c r="A1217" s="1">
        <v>42947</v>
      </c>
      <c r="B1217" s="2" t="s">
        <v>65</v>
      </c>
      <c r="C1217" s="2" t="s">
        <v>631</v>
      </c>
      <c r="D1217">
        <v>51</v>
      </c>
      <c r="E1217">
        <f>MONTH(makulatura3[[#This Row],[Data_dostarczenia]])</f>
        <v>7</v>
      </c>
    </row>
    <row r="1218" spans="1:5" x14ac:dyDescent="0.25">
      <c r="A1218" s="1">
        <v>42948</v>
      </c>
      <c r="B1218" s="2" t="s">
        <v>47</v>
      </c>
      <c r="C1218" s="2" t="s">
        <v>336</v>
      </c>
      <c r="D1218">
        <v>17</v>
      </c>
      <c r="E1218">
        <f>MONTH(makulatura3[[#This Row],[Data_dostarczenia]])</f>
        <v>8</v>
      </c>
    </row>
    <row r="1219" spans="1:5" x14ac:dyDescent="0.25">
      <c r="A1219" s="1">
        <v>42948</v>
      </c>
      <c r="B1219" s="2" t="s">
        <v>39</v>
      </c>
      <c r="C1219" s="2" t="s">
        <v>436</v>
      </c>
      <c r="D1219">
        <v>10</v>
      </c>
      <c r="E1219">
        <f>MONTH(makulatura3[[#This Row],[Data_dostarczenia]])</f>
        <v>8</v>
      </c>
    </row>
    <row r="1220" spans="1:5" x14ac:dyDescent="0.25">
      <c r="A1220" s="1">
        <v>42948</v>
      </c>
      <c r="B1220" s="2" t="s">
        <v>195</v>
      </c>
      <c r="C1220" s="2" t="s">
        <v>401</v>
      </c>
      <c r="D1220">
        <v>24</v>
      </c>
      <c r="E1220">
        <f>MONTH(makulatura3[[#This Row],[Data_dostarczenia]])</f>
        <v>8</v>
      </c>
    </row>
    <row r="1221" spans="1:5" x14ac:dyDescent="0.25">
      <c r="A1221" s="1">
        <v>42948</v>
      </c>
      <c r="B1221" s="2" t="s">
        <v>155</v>
      </c>
      <c r="C1221" s="2" t="s">
        <v>156</v>
      </c>
      <c r="D1221">
        <v>11</v>
      </c>
      <c r="E1221">
        <f>MONTH(makulatura3[[#This Row],[Data_dostarczenia]])</f>
        <v>8</v>
      </c>
    </row>
    <row r="1222" spans="1:5" x14ac:dyDescent="0.25">
      <c r="A1222" s="1">
        <v>42948</v>
      </c>
      <c r="B1222" s="2" t="s">
        <v>36</v>
      </c>
      <c r="C1222" s="2" t="s">
        <v>490</v>
      </c>
      <c r="D1222">
        <v>18</v>
      </c>
      <c r="E1222">
        <f>MONTH(makulatura3[[#This Row],[Data_dostarczenia]])</f>
        <v>8</v>
      </c>
    </row>
    <row r="1223" spans="1:5" x14ac:dyDescent="0.25">
      <c r="A1223" s="1">
        <v>42948</v>
      </c>
      <c r="B1223" s="2" t="s">
        <v>267</v>
      </c>
      <c r="C1223" s="2" t="s">
        <v>287</v>
      </c>
      <c r="D1223">
        <v>12</v>
      </c>
      <c r="E1223">
        <f>MONTH(makulatura3[[#This Row],[Data_dostarczenia]])</f>
        <v>8</v>
      </c>
    </row>
    <row r="1224" spans="1:5" x14ac:dyDescent="0.25">
      <c r="A1224" s="1">
        <v>42948</v>
      </c>
      <c r="B1224" s="2" t="s">
        <v>395</v>
      </c>
      <c r="C1224" s="2" t="s">
        <v>599</v>
      </c>
      <c r="D1224">
        <v>8</v>
      </c>
      <c r="E1224">
        <f>MONTH(makulatura3[[#This Row],[Data_dostarczenia]])</f>
        <v>8</v>
      </c>
    </row>
    <row r="1225" spans="1:5" x14ac:dyDescent="0.25">
      <c r="A1225" s="1">
        <v>42949</v>
      </c>
      <c r="B1225" s="2" t="s">
        <v>155</v>
      </c>
      <c r="C1225" s="2" t="s">
        <v>384</v>
      </c>
      <c r="D1225">
        <v>36</v>
      </c>
      <c r="E1225">
        <f>MONTH(makulatura3[[#This Row],[Data_dostarczenia]])</f>
        <v>8</v>
      </c>
    </row>
    <row r="1226" spans="1:5" x14ac:dyDescent="0.25">
      <c r="A1226" s="1">
        <v>42949</v>
      </c>
      <c r="B1226" s="2" t="s">
        <v>57</v>
      </c>
      <c r="C1226" s="2" t="s">
        <v>135</v>
      </c>
      <c r="D1226">
        <v>24</v>
      </c>
      <c r="E1226">
        <f>MONTH(makulatura3[[#This Row],[Data_dostarczenia]])</f>
        <v>8</v>
      </c>
    </row>
    <row r="1227" spans="1:5" x14ac:dyDescent="0.25">
      <c r="A1227" s="1">
        <v>42949</v>
      </c>
      <c r="B1227" s="2" t="s">
        <v>290</v>
      </c>
      <c r="C1227" s="2" t="s">
        <v>291</v>
      </c>
      <c r="D1227">
        <v>13</v>
      </c>
      <c r="E1227">
        <f>MONTH(makulatura3[[#This Row],[Data_dostarczenia]])</f>
        <v>8</v>
      </c>
    </row>
    <row r="1228" spans="1:5" x14ac:dyDescent="0.25">
      <c r="A1228" s="1">
        <v>42949</v>
      </c>
      <c r="B1228" s="2" t="s">
        <v>128</v>
      </c>
      <c r="C1228" s="2" t="s">
        <v>559</v>
      </c>
      <c r="D1228">
        <v>51</v>
      </c>
      <c r="E1228">
        <f>MONTH(makulatura3[[#This Row],[Data_dostarczenia]])</f>
        <v>8</v>
      </c>
    </row>
    <row r="1229" spans="1:5" x14ac:dyDescent="0.25">
      <c r="A1229" s="1">
        <v>42949</v>
      </c>
      <c r="B1229" s="2" t="s">
        <v>169</v>
      </c>
      <c r="C1229" s="2" t="s">
        <v>170</v>
      </c>
      <c r="D1229">
        <v>31</v>
      </c>
      <c r="E1229">
        <f>MONTH(makulatura3[[#This Row],[Data_dostarczenia]])</f>
        <v>8</v>
      </c>
    </row>
    <row r="1230" spans="1:5" x14ac:dyDescent="0.25">
      <c r="A1230" s="1">
        <v>42949</v>
      </c>
      <c r="B1230" s="2" t="s">
        <v>69</v>
      </c>
      <c r="C1230" s="2" t="s">
        <v>108</v>
      </c>
      <c r="D1230">
        <v>17</v>
      </c>
      <c r="E1230">
        <f>MONTH(makulatura3[[#This Row],[Data_dostarczenia]])</f>
        <v>8</v>
      </c>
    </row>
    <row r="1231" spans="1:5" x14ac:dyDescent="0.25">
      <c r="A1231" s="1">
        <v>42949</v>
      </c>
      <c r="B1231" s="2" t="s">
        <v>395</v>
      </c>
      <c r="C1231" s="2" t="s">
        <v>587</v>
      </c>
      <c r="D1231">
        <v>6</v>
      </c>
      <c r="E1231">
        <f>MONTH(makulatura3[[#This Row],[Data_dostarczenia]])</f>
        <v>8</v>
      </c>
    </row>
    <row r="1232" spans="1:5" x14ac:dyDescent="0.25">
      <c r="A1232" s="1">
        <v>42950</v>
      </c>
      <c r="B1232" s="2" t="s">
        <v>248</v>
      </c>
      <c r="C1232" s="2" t="s">
        <v>249</v>
      </c>
      <c r="D1232">
        <v>47</v>
      </c>
      <c r="E1232">
        <f>MONTH(makulatura3[[#This Row],[Data_dostarczenia]])</f>
        <v>8</v>
      </c>
    </row>
    <row r="1233" spans="1:5" x14ac:dyDescent="0.25">
      <c r="A1233" s="1">
        <v>42950</v>
      </c>
      <c r="B1233" s="2" t="s">
        <v>632</v>
      </c>
      <c r="C1233" s="2" t="s">
        <v>633</v>
      </c>
      <c r="D1233">
        <v>52</v>
      </c>
      <c r="E1233">
        <f>MONTH(makulatura3[[#This Row],[Data_dostarczenia]])</f>
        <v>8</v>
      </c>
    </row>
    <row r="1234" spans="1:5" x14ac:dyDescent="0.25">
      <c r="A1234" s="1">
        <v>42950</v>
      </c>
      <c r="B1234" s="2" t="s">
        <v>395</v>
      </c>
      <c r="C1234" s="2" t="s">
        <v>467</v>
      </c>
      <c r="D1234">
        <v>10</v>
      </c>
      <c r="E1234">
        <f>MONTH(makulatura3[[#This Row],[Data_dostarczenia]])</f>
        <v>8</v>
      </c>
    </row>
    <row r="1235" spans="1:5" x14ac:dyDescent="0.25">
      <c r="A1235" s="1">
        <v>42950</v>
      </c>
      <c r="B1235" s="2" t="s">
        <v>4</v>
      </c>
      <c r="C1235" s="2" t="s">
        <v>489</v>
      </c>
      <c r="D1235">
        <v>3</v>
      </c>
      <c r="E1235">
        <f>MONTH(makulatura3[[#This Row],[Data_dostarczenia]])</f>
        <v>8</v>
      </c>
    </row>
    <row r="1236" spans="1:5" x14ac:dyDescent="0.25">
      <c r="A1236" s="1">
        <v>42950</v>
      </c>
      <c r="B1236" s="2" t="s">
        <v>420</v>
      </c>
      <c r="C1236" s="2" t="s">
        <v>634</v>
      </c>
      <c r="D1236">
        <v>10</v>
      </c>
      <c r="E1236">
        <f>MONTH(makulatura3[[#This Row],[Data_dostarczenia]])</f>
        <v>8</v>
      </c>
    </row>
    <row r="1237" spans="1:5" x14ac:dyDescent="0.25">
      <c r="A1237" s="1">
        <v>42950</v>
      </c>
      <c r="B1237" s="2" t="s">
        <v>635</v>
      </c>
      <c r="C1237" s="2" t="s">
        <v>636</v>
      </c>
      <c r="D1237">
        <v>15</v>
      </c>
      <c r="E1237">
        <f>MONTH(makulatura3[[#This Row],[Data_dostarczenia]])</f>
        <v>8</v>
      </c>
    </row>
    <row r="1238" spans="1:5" x14ac:dyDescent="0.25">
      <c r="A1238" s="1">
        <v>42950</v>
      </c>
      <c r="B1238" s="2" t="s">
        <v>178</v>
      </c>
      <c r="C1238" s="2" t="s">
        <v>335</v>
      </c>
      <c r="D1238">
        <v>26</v>
      </c>
      <c r="E1238">
        <f>MONTH(makulatura3[[#This Row],[Data_dostarczenia]])</f>
        <v>8</v>
      </c>
    </row>
    <row r="1239" spans="1:5" x14ac:dyDescent="0.25">
      <c r="A1239" s="1">
        <v>42951</v>
      </c>
      <c r="B1239" s="2" t="s">
        <v>83</v>
      </c>
      <c r="C1239" s="2" t="s">
        <v>637</v>
      </c>
      <c r="D1239">
        <v>41</v>
      </c>
      <c r="E1239">
        <f>MONTH(makulatura3[[#This Row],[Data_dostarczenia]])</f>
        <v>8</v>
      </c>
    </row>
    <row r="1240" spans="1:5" x14ac:dyDescent="0.25">
      <c r="A1240" s="1">
        <v>42951</v>
      </c>
      <c r="B1240" s="2" t="s">
        <v>45</v>
      </c>
      <c r="C1240" s="2" t="s">
        <v>388</v>
      </c>
      <c r="D1240">
        <v>20</v>
      </c>
      <c r="E1240">
        <f>MONTH(makulatura3[[#This Row],[Data_dostarczenia]])</f>
        <v>8</v>
      </c>
    </row>
    <row r="1241" spans="1:5" x14ac:dyDescent="0.25">
      <c r="A1241" s="1">
        <v>42951</v>
      </c>
      <c r="B1241" s="2" t="s">
        <v>101</v>
      </c>
      <c r="C1241" s="2" t="s">
        <v>188</v>
      </c>
      <c r="D1241">
        <v>9</v>
      </c>
      <c r="E1241">
        <f>MONTH(makulatura3[[#This Row],[Data_dostarczenia]])</f>
        <v>8</v>
      </c>
    </row>
    <row r="1242" spans="1:5" x14ac:dyDescent="0.25">
      <c r="A1242" s="1">
        <v>42951</v>
      </c>
      <c r="B1242" s="2" t="s">
        <v>92</v>
      </c>
      <c r="C1242" s="2" t="s">
        <v>638</v>
      </c>
      <c r="D1242">
        <v>14</v>
      </c>
      <c r="E1242">
        <f>MONTH(makulatura3[[#This Row],[Data_dostarczenia]])</f>
        <v>8</v>
      </c>
    </row>
    <row r="1243" spans="1:5" x14ac:dyDescent="0.25">
      <c r="A1243" s="1">
        <v>42951</v>
      </c>
      <c r="B1243" s="2" t="s">
        <v>147</v>
      </c>
      <c r="C1243" s="2" t="s">
        <v>578</v>
      </c>
      <c r="D1243">
        <v>14</v>
      </c>
      <c r="E1243">
        <f>MONTH(makulatura3[[#This Row],[Data_dostarczenia]])</f>
        <v>8</v>
      </c>
    </row>
    <row r="1244" spans="1:5" x14ac:dyDescent="0.25">
      <c r="A1244" s="1">
        <v>42951</v>
      </c>
      <c r="B1244" s="2" t="s">
        <v>65</v>
      </c>
      <c r="C1244" s="2" t="s">
        <v>83</v>
      </c>
      <c r="D1244">
        <v>16</v>
      </c>
      <c r="E1244">
        <f>MONTH(makulatura3[[#This Row],[Data_dostarczenia]])</f>
        <v>8</v>
      </c>
    </row>
    <row r="1245" spans="1:5" x14ac:dyDescent="0.25">
      <c r="A1245" s="1">
        <v>42951</v>
      </c>
      <c r="B1245" s="2" t="s">
        <v>367</v>
      </c>
      <c r="C1245" s="2" t="s">
        <v>5</v>
      </c>
      <c r="D1245">
        <v>54</v>
      </c>
      <c r="E1245">
        <f>MONTH(makulatura3[[#This Row],[Data_dostarczenia]])</f>
        <v>8</v>
      </c>
    </row>
    <row r="1246" spans="1:5" x14ac:dyDescent="0.25">
      <c r="A1246" s="1">
        <v>42954</v>
      </c>
      <c r="B1246" s="2" t="s">
        <v>23</v>
      </c>
      <c r="C1246" s="2" t="s">
        <v>592</v>
      </c>
      <c r="D1246">
        <v>11</v>
      </c>
      <c r="E1246">
        <f>MONTH(makulatura3[[#This Row],[Data_dostarczenia]])</f>
        <v>8</v>
      </c>
    </row>
    <row r="1247" spans="1:5" x14ac:dyDescent="0.25">
      <c r="A1247" s="1">
        <v>42954</v>
      </c>
      <c r="B1247" s="2" t="s">
        <v>339</v>
      </c>
      <c r="C1247" s="2" t="s">
        <v>340</v>
      </c>
      <c r="D1247">
        <v>6</v>
      </c>
      <c r="E1247">
        <f>MONTH(makulatura3[[#This Row],[Data_dostarczenia]])</f>
        <v>8</v>
      </c>
    </row>
    <row r="1248" spans="1:5" x14ac:dyDescent="0.25">
      <c r="A1248" s="1">
        <v>42954</v>
      </c>
      <c r="B1248" s="2" t="s">
        <v>83</v>
      </c>
      <c r="C1248" s="2" t="s">
        <v>596</v>
      </c>
      <c r="D1248">
        <v>19</v>
      </c>
      <c r="E1248">
        <f>MONTH(makulatura3[[#This Row],[Data_dostarczenia]])</f>
        <v>8</v>
      </c>
    </row>
    <row r="1249" spans="1:5" x14ac:dyDescent="0.25">
      <c r="A1249" s="1">
        <v>42954</v>
      </c>
      <c r="B1249" s="2" t="s">
        <v>314</v>
      </c>
      <c r="C1249" s="2" t="s">
        <v>466</v>
      </c>
      <c r="D1249">
        <v>13</v>
      </c>
      <c r="E1249">
        <f>MONTH(makulatura3[[#This Row],[Data_dostarczenia]])</f>
        <v>8</v>
      </c>
    </row>
    <row r="1250" spans="1:5" x14ac:dyDescent="0.25">
      <c r="A1250" s="1">
        <v>42954</v>
      </c>
      <c r="B1250" s="2" t="s">
        <v>43</v>
      </c>
      <c r="C1250" s="2" t="s">
        <v>507</v>
      </c>
      <c r="D1250">
        <v>35</v>
      </c>
      <c r="E1250">
        <f>MONTH(makulatura3[[#This Row],[Data_dostarczenia]])</f>
        <v>8</v>
      </c>
    </row>
    <row r="1251" spans="1:5" x14ac:dyDescent="0.25">
      <c r="A1251" s="1">
        <v>42954</v>
      </c>
      <c r="B1251" s="2" t="s">
        <v>83</v>
      </c>
      <c r="C1251" s="2" t="s">
        <v>513</v>
      </c>
      <c r="D1251">
        <v>14</v>
      </c>
      <c r="E1251">
        <f>MONTH(makulatura3[[#This Row],[Data_dostarczenia]])</f>
        <v>8</v>
      </c>
    </row>
    <row r="1252" spans="1:5" x14ac:dyDescent="0.25">
      <c r="A1252" s="1">
        <v>42954</v>
      </c>
      <c r="B1252" s="2" t="s">
        <v>106</v>
      </c>
      <c r="C1252" s="2" t="s">
        <v>277</v>
      </c>
      <c r="D1252">
        <v>7</v>
      </c>
      <c r="E1252">
        <f>MONTH(makulatura3[[#This Row],[Data_dostarczenia]])</f>
        <v>8</v>
      </c>
    </row>
    <row r="1253" spans="1:5" x14ac:dyDescent="0.25">
      <c r="A1253" s="1">
        <v>42955</v>
      </c>
      <c r="B1253" s="2" t="s">
        <v>141</v>
      </c>
      <c r="C1253" s="2" t="s">
        <v>447</v>
      </c>
      <c r="D1253">
        <v>54</v>
      </c>
      <c r="E1253">
        <f>MONTH(makulatura3[[#This Row],[Data_dostarczenia]])</f>
        <v>8</v>
      </c>
    </row>
    <row r="1254" spans="1:5" x14ac:dyDescent="0.25">
      <c r="A1254" s="1">
        <v>42955</v>
      </c>
      <c r="B1254" s="2" t="s">
        <v>4</v>
      </c>
      <c r="C1254" s="2" t="s">
        <v>5</v>
      </c>
      <c r="D1254">
        <v>11</v>
      </c>
      <c r="E1254">
        <f>MONTH(makulatura3[[#This Row],[Data_dostarczenia]])</f>
        <v>8</v>
      </c>
    </row>
    <row r="1255" spans="1:5" x14ac:dyDescent="0.25">
      <c r="A1255" s="1">
        <v>42955</v>
      </c>
      <c r="B1255" s="2" t="s">
        <v>83</v>
      </c>
      <c r="C1255" s="2" t="s">
        <v>591</v>
      </c>
      <c r="D1255">
        <v>8</v>
      </c>
      <c r="E1255">
        <f>MONTH(makulatura3[[#This Row],[Data_dostarczenia]])</f>
        <v>8</v>
      </c>
    </row>
    <row r="1256" spans="1:5" x14ac:dyDescent="0.25">
      <c r="A1256" s="1">
        <v>42955</v>
      </c>
      <c r="B1256" s="2" t="s">
        <v>412</v>
      </c>
      <c r="C1256" s="2" t="s">
        <v>413</v>
      </c>
      <c r="D1256">
        <v>3</v>
      </c>
      <c r="E1256">
        <f>MONTH(makulatura3[[#This Row],[Data_dostarczenia]])</f>
        <v>8</v>
      </c>
    </row>
    <row r="1257" spans="1:5" x14ac:dyDescent="0.25">
      <c r="A1257" s="1">
        <v>42955</v>
      </c>
      <c r="B1257" s="2" t="s">
        <v>314</v>
      </c>
      <c r="C1257" s="2" t="s">
        <v>535</v>
      </c>
      <c r="D1257">
        <v>2</v>
      </c>
      <c r="E1257">
        <f>MONTH(makulatura3[[#This Row],[Data_dostarczenia]])</f>
        <v>8</v>
      </c>
    </row>
    <row r="1258" spans="1:5" x14ac:dyDescent="0.25">
      <c r="A1258" s="1">
        <v>42955</v>
      </c>
      <c r="B1258" s="2" t="s">
        <v>81</v>
      </c>
      <c r="C1258" s="2" t="s">
        <v>165</v>
      </c>
      <c r="D1258">
        <v>25</v>
      </c>
      <c r="E1258">
        <f>MONTH(makulatura3[[#This Row],[Data_dostarczenia]])</f>
        <v>8</v>
      </c>
    </row>
    <row r="1259" spans="1:5" x14ac:dyDescent="0.25">
      <c r="A1259" s="1">
        <v>42955</v>
      </c>
      <c r="B1259" s="2" t="s">
        <v>412</v>
      </c>
      <c r="C1259" s="2" t="s">
        <v>413</v>
      </c>
      <c r="D1259">
        <v>44</v>
      </c>
      <c r="E1259">
        <f>MONTH(makulatura3[[#This Row],[Data_dostarczenia]])</f>
        <v>8</v>
      </c>
    </row>
    <row r="1260" spans="1:5" x14ac:dyDescent="0.25">
      <c r="A1260" s="1">
        <v>42956</v>
      </c>
      <c r="B1260" s="2" t="s">
        <v>553</v>
      </c>
      <c r="C1260" s="2" t="s">
        <v>554</v>
      </c>
      <c r="D1260">
        <v>13</v>
      </c>
      <c r="E1260">
        <f>MONTH(makulatura3[[#This Row],[Data_dostarczenia]])</f>
        <v>8</v>
      </c>
    </row>
    <row r="1261" spans="1:5" x14ac:dyDescent="0.25">
      <c r="A1261" s="1">
        <v>42956</v>
      </c>
      <c r="B1261" s="2" t="s">
        <v>81</v>
      </c>
      <c r="C1261" s="2" t="s">
        <v>584</v>
      </c>
      <c r="D1261">
        <v>44</v>
      </c>
      <c r="E1261">
        <f>MONTH(makulatura3[[#This Row],[Data_dostarczenia]])</f>
        <v>8</v>
      </c>
    </row>
    <row r="1262" spans="1:5" x14ac:dyDescent="0.25">
      <c r="A1262" s="1">
        <v>42956</v>
      </c>
      <c r="B1262" s="2" t="s">
        <v>232</v>
      </c>
      <c r="C1262" s="2" t="s">
        <v>451</v>
      </c>
      <c r="D1262">
        <v>21</v>
      </c>
      <c r="E1262">
        <f>MONTH(makulatura3[[#This Row],[Data_dostarczenia]])</f>
        <v>8</v>
      </c>
    </row>
    <row r="1263" spans="1:5" x14ac:dyDescent="0.25">
      <c r="A1263" s="1">
        <v>42956</v>
      </c>
      <c r="B1263" s="2" t="s">
        <v>87</v>
      </c>
      <c r="C1263" s="2" t="s">
        <v>255</v>
      </c>
      <c r="D1263">
        <v>4</v>
      </c>
      <c r="E1263">
        <f>MONTH(makulatura3[[#This Row],[Data_dostarczenia]])</f>
        <v>8</v>
      </c>
    </row>
    <row r="1264" spans="1:5" x14ac:dyDescent="0.25">
      <c r="A1264" s="1">
        <v>42956</v>
      </c>
      <c r="B1264" s="2" t="s">
        <v>128</v>
      </c>
      <c r="C1264" s="2" t="s">
        <v>639</v>
      </c>
      <c r="D1264">
        <v>6</v>
      </c>
      <c r="E1264">
        <f>MONTH(makulatura3[[#This Row],[Data_dostarczenia]])</f>
        <v>8</v>
      </c>
    </row>
    <row r="1265" spans="1:5" x14ac:dyDescent="0.25">
      <c r="A1265" s="1">
        <v>42956</v>
      </c>
      <c r="B1265" s="2" t="s">
        <v>81</v>
      </c>
      <c r="C1265" s="2" t="s">
        <v>82</v>
      </c>
      <c r="D1265">
        <v>17</v>
      </c>
      <c r="E1265">
        <f>MONTH(makulatura3[[#This Row],[Data_dostarczenia]])</f>
        <v>8</v>
      </c>
    </row>
    <row r="1266" spans="1:5" x14ac:dyDescent="0.25">
      <c r="A1266" s="1">
        <v>42956</v>
      </c>
      <c r="B1266" s="2" t="s">
        <v>14</v>
      </c>
      <c r="C1266" s="2" t="s">
        <v>430</v>
      </c>
      <c r="D1266">
        <v>12</v>
      </c>
      <c r="E1266">
        <f>MONTH(makulatura3[[#This Row],[Data_dostarczenia]])</f>
        <v>8</v>
      </c>
    </row>
    <row r="1267" spans="1:5" x14ac:dyDescent="0.25">
      <c r="A1267" s="1">
        <v>42957</v>
      </c>
      <c r="B1267" s="2" t="s">
        <v>141</v>
      </c>
      <c r="C1267" s="2" t="s">
        <v>435</v>
      </c>
      <c r="D1267">
        <v>21</v>
      </c>
      <c r="E1267">
        <f>MONTH(makulatura3[[#This Row],[Data_dostarczenia]])</f>
        <v>8</v>
      </c>
    </row>
    <row r="1268" spans="1:5" x14ac:dyDescent="0.25">
      <c r="A1268" s="1">
        <v>42957</v>
      </c>
      <c r="B1268" s="2" t="s">
        <v>640</v>
      </c>
      <c r="C1268" s="2" t="s">
        <v>199</v>
      </c>
      <c r="D1268">
        <v>12</v>
      </c>
      <c r="E1268">
        <f>MONTH(makulatura3[[#This Row],[Data_dostarczenia]])</f>
        <v>8</v>
      </c>
    </row>
    <row r="1269" spans="1:5" x14ac:dyDescent="0.25">
      <c r="A1269" s="1">
        <v>42957</v>
      </c>
      <c r="B1269" s="2" t="s">
        <v>63</v>
      </c>
      <c r="C1269" s="2" t="s">
        <v>231</v>
      </c>
      <c r="D1269">
        <v>54</v>
      </c>
      <c r="E1269">
        <f>MONTH(makulatura3[[#This Row],[Data_dostarczenia]])</f>
        <v>8</v>
      </c>
    </row>
    <row r="1270" spans="1:5" x14ac:dyDescent="0.25">
      <c r="A1270" s="1">
        <v>42957</v>
      </c>
      <c r="B1270" s="2" t="s">
        <v>150</v>
      </c>
      <c r="C1270" s="2" t="s">
        <v>641</v>
      </c>
      <c r="D1270">
        <v>11</v>
      </c>
      <c r="E1270">
        <f>MONTH(makulatura3[[#This Row],[Data_dostarczenia]])</f>
        <v>8</v>
      </c>
    </row>
    <row r="1271" spans="1:5" x14ac:dyDescent="0.25">
      <c r="A1271" s="1">
        <v>42957</v>
      </c>
      <c r="B1271" s="2" t="s">
        <v>39</v>
      </c>
      <c r="C1271" s="2" t="s">
        <v>609</v>
      </c>
      <c r="D1271">
        <v>47</v>
      </c>
      <c r="E1271">
        <f>MONTH(makulatura3[[#This Row],[Data_dostarczenia]])</f>
        <v>8</v>
      </c>
    </row>
    <row r="1272" spans="1:5" x14ac:dyDescent="0.25">
      <c r="A1272" s="1">
        <v>42957</v>
      </c>
      <c r="B1272" s="2" t="s">
        <v>77</v>
      </c>
      <c r="C1272" s="2" t="s">
        <v>384</v>
      </c>
      <c r="D1272">
        <v>55</v>
      </c>
      <c r="E1272">
        <f>MONTH(makulatura3[[#This Row],[Data_dostarczenia]])</f>
        <v>8</v>
      </c>
    </row>
    <row r="1273" spans="1:5" x14ac:dyDescent="0.25">
      <c r="A1273" s="1">
        <v>42957</v>
      </c>
      <c r="B1273" s="2" t="s">
        <v>14</v>
      </c>
      <c r="C1273" s="2" t="s">
        <v>422</v>
      </c>
      <c r="D1273">
        <v>24</v>
      </c>
      <c r="E1273">
        <f>MONTH(makulatura3[[#This Row],[Data_dostarczenia]])</f>
        <v>8</v>
      </c>
    </row>
    <row r="1274" spans="1:5" x14ac:dyDescent="0.25">
      <c r="A1274" s="1">
        <v>42958</v>
      </c>
      <c r="B1274" s="2" t="s">
        <v>16</v>
      </c>
      <c r="C1274" s="2" t="s">
        <v>642</v>
      </c>
      <c r="D1274">
        <v>3</v>
      </c>
      <c r="E1274">
        <f>MONTH(makulatura3[[#This Row],[Data_dostarczenia]])</f>
        <v>8</v>
      </c>
    </row>
    <row r="1275" spans="1:5" x14ac:dyDescent="0.25">
      <c r="A1275" s="1">
        <v>42958</v>
      </c>
      <c r="B1275" s="2" t="s">
        <v>39</v>
      </c>
      <c r="C1275" s="2" t="s">
        <v>289</v>
      </c>
      <c r="D1275">
        <v>15</v>
      </c>
      <c r="E1275">
        <f>MONTH(makulatura3[[#This Row],[Data_dostarczenia]])</f>
        <v>8</v>
      </c>
    </row>
    <row r="1276" spans="1:5" x14ac:dyDescent="0.25">
      <c r="A1276" s="1">
        <v>42958</v>
      </c>
      <c r="B1276" s="2" t="s">
        <v>201</v>
      </c>
      <c r="C1276" s="2" t="s">
        <v>643</v>
      </c>
      <c r="D1276">
        <v>15</v>
      </c>
      <c r="E1276">
        <f>MONTH(makulatura3[[#This Row],[Data_dostarczenia]])</f>
        <v>8</v>
      </c>
    </row>
    <row r="1277" spans="1:5" x14ac:dyDescent="0.25">
      <c r="A1277" s="1">
        <v>42958</v>
      </c>
      <c r="B1277" s="2" t="s">
        <v>34</v>
      </c>
      <c r="C1277" s="2" t="s">
        <v>35</v>
      </c>
      <c r="D1277">
        <v>27</v>
      </c>
      <c r="E1277">
        <f>MONTH(makulatura3[[#This Row],[Data_dostarczenia]])</f>
        <v>8</v>
      </c>
    </row>
    <row r="1278" spans="1:5" x14ac:dyDescent="0.25">
      <c r="A1278" s="1">
        <v>42958</v>
      </c>
      <c r="B1278" s="2" t="s">
        <v>55</v>
      </c>
      <c r="C1278" s="2" t="s">
        <v>493</v>
      </c>
      <c r="D1278">
        <v>31</v>
      </c>
      <c r="E1278">
        <f>MONTH(makulatura3[[#This Row],[Data_dostarczenia]])</f>
        <v>8</v>
      </c>
    </row>
    <row r="1279" spans="1:5" x14ac:dyDescent="0.25">
      <c r="A1279" s="1">
        <v>42958</v>
      </c>
      <c r="B1279" s="2" t="s">
        <v>150</v>
      </c>
      <c r="C1279" s="2" t="s">
        <v>140</v>
      </c>
      <c r="D1279">
        <v>7</v>
      </c>
      <c r="E1279">
        <f>MONTH(makulatura3[[#This Row],[Data_dostarczenia]])</f>
        <v>8</v>
      </c>
    </row>
    <row r="1280" spans="1:5" x14ac:dyDescent="0.25">
      <c r="A1280" s="1">
        <v>42958</v>
      </c>
      <c r="B1280" s="2" t="s">
        <v>427</v>
      </c>
      <c r="C1280" s="2" t="s">
        <v>118</v>
      </c>
      <c r="D1280">
        <v>20</v>
      </c>
      <c r="E1280">
        <f>MONTH(makulatura3[[#This Row],[Data_dostarczenia]])</f>
        <v>8</v>
      </c>
    </row>
    <row r="1281" spans="1:5" x14ac:dyDescent="0.25">
      <c r="A1281" s="1">
        <v>42958</v>
      </c>
      <c r="B1281" s="2" t="s">
        <v>36</v>
      </c>
      <c r="C1281" s="2" t="s">
        <v>533</v>
      </c>
      <c r="D1281">
        <v>30</v>
      </c>
      <c r="E1281">
        <f>MONTH(makulatura3[[#This Row],[Data_dostarczenia]])</f>
        <v>8</v>
      </c>
    </row>
    <row r="1282" spans="1:5" x14ac:dyDescent="0.25">
      <c r="A1282" s="1">
        <v>42961</v>
      </c>
      <c r="B1282" s="2" t="s">
        <v>25</v>
      </c>
      <c r="C1282" s="2" t="s">
        <v>146</v>
      </c>
      <c r="D1282">
        <v>22</v>
      </c>
      <c r="E1282">
        <f>MONTH(makulatura3[[#This Row],[Data_dostarczenia]])</f>
        <v>8</v>
      </c>
    </row>
    <row r="1283" spans="1:5" x14ac:dyDescent="0.25">
      <c r="A1283" s="1">
        <v>42961</v>
      </c>
      <c r="B1283" s="2" t="s">
        <v>32</v>
      </c>
      <c r="C1283" s="2" t="s">
        <v>276</v>
      </c>
      <c r="D1283">
        <v>44</v>
      </c>
      <c r="E1283">
        <f>MONTH(makulatura3[[#This Row],[Data_dostarczenia]])</f>
        <v>8</v>
      </c>
    </row>
    <row r="1284" spans="1:5" x14ac:dyDescent="0.25">
      <c r="A1284" s="1">
        <v>42961</v>
      </c>
      <c r="B1284" s="2" t="s">
        <v>51</v>
      </c>
      <c r="C1284" s="2" t="s">
        <v>358</v>
      </c>
      <c r="D1284">
        <v>5</v>
      </c>
      <c r="E1284">
        <f>MONTH(makulatura3[[#This Row],[Data_dostarczenia]])</f>
        <v>8</v>
      </c>
    </row>
    <row r="1285" spans="1:5" x14ac:dyDescent="0.25">
      <c r="A1285" s="1">
        <v>42961</v>
      </c>
      <c r="B1285" s="2" t="s">
        <v>45</v>
      </c>
      <c r="C1285" s="2" t="s">
        <v>388</v>
      </c>
      <c r="D1285">
        <v>3</v>
      </c>
      <c r="E1285">
        <f>MONTH(makulatura3[[#This Row],[Data_dostarczenia]])</f>
        <v>8</v>
      </c>
    </row>
    <row r="1286" spans="1:5" x14ac:dyDescent="0.25">
      <c r="A1286" s="1">
        <v>42961</v>
      </c>
      <c r="B1286" s="2" t="s">
        <v>128</v>
      </c>
      <c r="C1286" s="2" t="s">
        <v>12</v>
      </c>
      <c r="D1286">
        <v>6</v>
      </c>
      <c r="E1286">
        <f>MONTH(makulatura3[[#This Row],[Data_dostarczenia]])</f>
        <v>8</v>
      </c>
    </row>
    <row r="1287" spans="1:5" x14ac:dyDescent="0.25">
      <c r="A1287" s="1">
        <v>42961</v>
      </c>
      <c r="B1287" s="2" t="s">
        <v>30</v>
      </c>
      <c r="C1287" s="2" t="s">
        <v>185</v>
      </c>
      <c r="D1287">
        <v>12</v>
      </c>
      <c r="E1287">
        <f>MONTH(makulatura3[[#This Row],[Data_dostarczenia]])</f>
        <v>8</v>
      </c>
    </row>
    <row r="1288" spans="1:5" x14ac:dyDescent="0.25">
      <c r="A1288" s="1">
        <v>42961</v>
      </c>
      <c r="B1288" s="2" t="s">
        <v>155</v>
      </c>
      <c r="C1288" s="2" t="s">
        <v>156</v>
      </c>
      <c r="D1288">
        <v>5</v>
      </c>
      <c r="E1288">
        <f>MONTH(makulatura3[[#This Row],[Data_dostarczenia]])</f>
        <v>8</v>
      </c>
    </row>
    <row r="1289" spans="1:5" x14ac:dyDescent="0.25">
      <c r="A1289" s="1">
        <v>42961</v>
      </c>
      <c r="B1289" s="2" t="s">
        <v>147</v>
      </c>
      <c r="C1289" s="2" t="s">
        <v>644</v>
      </c>
      <c r="D1289">
        <v>6</v>
      </c>
      <c r="E1289">
        <f>MONTH(makulatura3[[#This Row],[Data_dostarczenia]])</f>
        <v>8</v>
      </c>
    </row>
    <row r="1290" spans="1:5" x14ac:dyDescent="0.25">
      <c r="A1290" s="1">
        <v>42962</v>
      </c>
      <c r="B1290" s="2" t="s">
        <v>30</v>
      </c>
      <c r="C1290" s="2" t="s">
        <v>89</v>
      </c>
      <c r="D1290">
        <v>29</v>
      </c>
      <c r="E1290">
        <f>MONTH(makulatura3[[#This Row],[Data_dostarczenia]])</f>
        <v>8</v>
      </c>
    </row>
    <row r="1291" spans="1:5" x14ac:dyDescent="0.25">
      <c r="A1291" s="1">
        <v>42962</v>
      </c>
      <c r="B1291" s="2" t="s">
        <v>55</v>
      </c>
      <c r="C1291" s="2" t="s">
        <v>326</v>
      </c>
      <c r="D1291">
        <v>46</v>
      </c>
      <c r="E1291">
        <f>MONTH(makulatura3[[#This Row],[Data_dostarczenia]])</f>
        <v>8</v>
      </c>
    </row>
    <row r="1292" spans="1:5" x14ac:dyDescent="0.25">
      <c r="A1292" s="1">
        <v>42962</v>
      </c>
      <c r="B1292" s="2" t="s">
        <v>171</v>
      </c>
      <c r="C1292" s="2" t="s">
        <v>645</v>
      </c>
      <c r="D1292">
        <v>20</v>
      </c>
      <c r="E1292">
        <f>MONTH(makulatura3[[#This Row],[Data_dostarczenia]])</f>
        <v>8</v>
      </c>
    </row>
    <row r="1293" spans="1:5" x14ac:dyDescent="0.25">
      <c r="A1293" s="1">
        <v>42962</v>
      </c>
      <c r="B1293" s="2" t="s">
        <v>47</v>
      </c>
      <c r="C1293" s="2" t="s">
        <v>471</v>
      </c>
      <c r="D1293">
        <v>28</v>
      </c>
      <c r="E1293">
        <f>MONTH(makulatura3[[#This Row],[Data_dostarczenia]])</f>
        <v>8</v>
      </c>
    </row>
    <row r="1294" spans="1:5" x14ac:dyDescent="0.25">
      <c r="A1294" s="1">
        <v>42962</v>
      </c>
      <c r="B1294" s="2" t="s">
        <v>574</v>
      </c>
      <c r="C1294" s="2" t="s">
        <v>421</v>
      </c>
      <c r="D1294">
        <v>5</v>
      </c>
      <c r="E1294">
        <f>MONTH(makulatura3[[#This Row],[Data_dostarczenia]])</f>
        <v>8</v>
      </c>
    </row>
    <row r="1295" spans="1:5" x14ac:dyDescent="0.25">
      <c r="A1295" s="1">
        <v>42962</v>
      </c>
      <c r="B1295" s="2" t="s">
        <v>87</v>
      </c>
      <c r="C1295" s="2" t="s">
        <v>383</v>
      </c>
      <c r="D1295">
        <v>12</v>
      </c>
      <c r="E1295">
        <f>MONTH(makulatura3[[#This Row],[Data_dostarczenia]])</f>
        <v>8</v>
      </c>
    </row>
    <row r="1296" spans="1:5" x14ac:dyDescent="0.25">
      <c r="A1296" s="1">
        <v>42962</v>
      </c>
      <c r="B1296" s="2" t="s">
        <v>57</v>
      </c>
      <c r="C1296" s="2" t="s">
        <v>399</v>
      </c>
      <c r="D1296">
        <v>29</v>
      </c>
      <c r="E1296">
        <f>MONTH(makulatura3[[#This Row],[Data_dostarczenia]])</f>
        <v>8</v>
      </c>
    </row>
    <row r="1297" spans="1:5" x14ac:dyDescent="0.25">
      <c r="A1297" s="1">
        <v>42962</v>
      </c>
      <c r="B1297" s="2" t="s">
        <v>41</v>
      </c>
      <c r="C1297" s="2" t="s">
        <v>302</v>
      </c>
      <c r="D1297">
        <v>14</v>
      </c>
      <c r="E1297">
        <f>MONTH(makulatura3[[#This Row],[Data_dostarczenia]])</f>
        <v>8</v>
      </c>
    </row>
    <row r="1298" spans="1:5" x14ac:dyDescent="0.25">
      <c r="A1298" s="1">
        <v>42963</v>
      </c>
      <c r="B1298" s="2" t="s">
        <v>476</v>
      </c>
      <c r="C1298" s="2" t="s">
        <v>622</v>
      </c>
      <c r="D1298">
        <v>29</v>
      </c>
      <c r="E1298">
        <f>MONTH(makulatura3[[#This Row],[Data_dostarczenia]])</f>
        <v>8</v>
      </c>
    </row>
    <row r="1299" spans="1:5" x14ac:dyDescent="0.25">
      <c r="A1299" s="1">
        <v>42963</v>
      </c>
      <c r="B1299" s="2" t="s">
        <v>208</v>
      </c>
      <c r="C1299" s="2" t="s">
        <v>209</v>
      </c>
      <c r="D1299">
        <v>15</v>
      </c>
      <c r="E1299">
        <f>MONTH(makulatura3[[#This Row],[Data_dostarczenia]])</f>
        <v>8</v>
      </c>
    </row>
    <row r="1300" spans="1:5" x14ac:dyDescent="0.25">
      <c r="A1300" s="1">
        <v>42963</v>
      </c>
      <c r="B1300" s="2" t="s">
        <v>36</v>
      </c>
      <c r="C1300" s="2" t="s">
        <v>560</v>
      </c>
      <c r="D1300">
        <v>35</v>
      </c>
      <c r="E1300">
        <f>MONTH(makulatura3[[#This Row],[Data_dostarczenia]])</f>
        <v>8</v>
      </c>
    </row>
    <row r="1301" spans="1:5" x14ac:dyDescent="0.25">
      <c r="A1301" s="1">
        <v>42963</v>
      </c>
      <c r="B1301" s="2" t="s">
        <v>169</v>
      </c>
      <c r="C1301" s="2" t="s">
        <v>170</v>
      </c>
      <c r="D1301">
        <v>28</v>
      </c>
      <c r="E1301">
        <f>MONTH(makulatura3[[#This Row],[Data_dostarczenia]])</f>
        <v>8</v>
      </c>
    </row>
    <row r="1302" spans="1:5" x14ac:dyDescent="0.25">
      <c r="A1302" s="1">
        <v>42963</v>
      </c>
      <c r="B1302" s="2" t="s">
        <v>248</v>
      </c>
      <c r="C1302" s="2" t="s">
        <v>249</v>
      </c>
      <c r="D1302">
        <v>3</v>
      </c>
      <c r="E1302">
        <f>MONTH(makulatura3[[#This Row],[Data_dostarczenia]])</f>
        <v>8</v>
      </c>
    </row>
    <row r="1303" spans="1:5" x14ac:dyDescent="0.25">
      <c r="A1303" s="1">
        <v>42963</v>
      </c>
      <c r="B1303" s="2" t="s">
        <v>106</v>
      </c>
      <c r="C1303" s="2" t="s">
        <v>240</v>
      </c>
      <c r="D1303">
        <v>49</v>
      </c>
      <c r="E1303">
        <f>MONTH(makulatura3[[#This Row],[Data_dostarczenia]])</f>
        <v>8</v>
      </c>
    </row>
    <row r="1304" spans="1:5" x14ac:dyDescent="0.25">
      <c r="A1304" s="1">
        <v>42963</v>
      </c>
      <c r="B1304" s="2" t="s">
        <v>407</v>
      </c>
      <c r="C1304" s="2" t="s">
        <v>408</v>
      </c>
      <c r="D1304">
        <v>21</v>
      </c>
      <c r="E1304">
        <f>MONTH(makulatura3[[#This Row],[Data_dostarczenia]])</f>
        <v>8</v>
      </c>
    </row>
    <row r="1305" spans="1:5" x14ac:dyDescent="0.25">
      <c r="A1305" s="1">
        <v>42963</v>
      </c>
      <c r="B1305" s="2" t="s">
        <v>83</v>
      </c>
      <c r="C1305" s="2" t="s">
        <v>646</v>
      </c>
      <c r="D1305">
        <v>43</v>
      </c>
      <c r="E1305">
        <f>MONTH(makulatura3[[#This Row],[Data_dostarczenia]])</f>
        <v>8</v>
      </c>
    </row>
    <row r="1306" spans="1:5" x14ac:dyDescent="0.25">
      <c r="A1306" s="1">
        <v>42964</v>
      </c>
      <c r="B1306" s="2" t="s">
        <v>128</v>
      </c>
      <c r="C1306" s="2" t="s">
        <v>12</v>
      </c>
      <c r="D1306">
        <v>6</v>
      </c>
      <c r="E1306">
        <f>MONTH(makulatura3[[#This Row],[Data_dostarczenia]])</f>
        <v>8</v>
      </c>
    </row>
    <row r="1307" spans="1:5" x14ac:dyDescent="0.25">
      <c r="A1307" s="1">
        <v>42964</v>
      </c>
      <c r="B1307" s="2" t="s">
        <v>36</v>
      </c>
      <c r="C1307" s="2" t="s">
        <v>180</v>
      </c>
      <c r="D1307">
        <v>10</v>
      </c>
      <c r="E1307">
        <f>MONTH(makulatura3[[#This Row],[Data_dostarczenia]])</f>
        <v>8</v>
      </c>
    </row>
    <row r="1308" spans="1:5" x14ac:dyDescent="0.25">
      <c r="A1308" s="1">
        <v>42964</v>
      </c>
      <c r="B1308" s="2" t="s">
        <v>97</v>
      </c>
      <c r="C1308" s="2" t="s">
        <v>188</v>
      </c>
      <c r="D1308">
        <v>7</v>
      </c>
      <c r="E1308">
        <f>MONTH(makulatura3[[#This Row],[Data_dostarczenia]])</f>
        <v>8</v>
      </c>
    </row>
    <row r="1309" spans="1:5" x14ac:dyDescent="0.25">
      <c r="A1309" s="1">
        <v>42964</v>
      </c>
      <c r="B1309" s="2" t="s">
        <v>23</v>
      </c>
      <c r="C1309" s="2" t="s">
        <v>163</v>
      </c>
      <c r="D1309">
        <v>7</v>
      </c>
      <c r="E1309">
        <f>MONTH(makulatura3[[#This Row],[Data_dostarczenia]])</f>
        <v>8</v>
      </c>
    </row>
    <row r="1310" spans="1:5" x14ac:dyDescent="0.25">
      <c r="A1310" s="1">
        <v>42964</v>
      </c>
      <c r="B1310" s="2" t="s">
        <v>152</v>
      </c>
      <c r="C1310" s="2" t="s">
        <v>319</v>
      </c>
      <c r="D1310">
        <v>22</v>
      </c>
      <c r="E1310">
        <f>MONTH(makulatura3[[#This Row],[Data_dostarczenia]])</f>
        <v>8</v>
      </c>
    </row>
    <row r="1311" spans="1:5" x14ac:dyDescent="0.25">
      <c r="A1311" s="1">
        <v>42964</v>
      </c>
      <c r="B1311" s="2" t="s">
        <v>171</v>
      </c>
      <c r="C1311" s="2" t="s">
        <v>562</v>
      </c>
      <c r="D1311">
        <v>36</v>
      </c>
      <c r="E1311">
        <f>MONTH(makulatura3[[#This Row],[Data_dostarczenia]])</f>
        <v>8</v>
      </c>
    </row>
    <row r="1312" spans="1:5" x14ac:dyDescent="0.25">
      <c r="A1312" s="1">
        <v>42964</v>
      </c>
      <c r="B1312" s="2" t="s">
        <v>206</v>
      </c>
      <c r="C1312" s="2" t="s">
        <v>192</v>
      </c>
      <c r="D1312">
        <v>13</v>
      </c>
      <c r="E1312">
        <f>MONTH(makulatura3[[#This Row],[Data_dostarczenia]])</f>
        <v>8</v>
      </c>
    </row>
    <row r="1313" spans="1:5" x14ac:dyDescent="0.25">
      <c r="A1313" s="1">
        <v>42964</v>
      </c>
      <c r="B1313" s="2" t="s">
        <v>155</v>
      </c>
      <c r="C1313" s="2" t="s">
        <v>156</v>
      </c>
      <c r="D1313">
        <v>14</v>
      </c>
      <c r="E1313">
        <f>MONTH(makulatura3[[#This Row],[Data_dostarczenia]])</f>
        <v>8</v>
      </c>
    </row>
    <row r="1314" spans="1:5" x14ac:dyDescent="0.25">
      <c r="A1314" s="1">
        <v>42965</v>
      </c>
      <c r="B1314" s="2" t="s">
        <v>150</v>
      </c>
      <c r="C1314" s="2" t="s">
        <v>462</v>
      </c>
      <c r="D1314">
        <v>6</v>
      </c>
      <c r="E1314">
        <f>MONTH(makulatura3[[#This Row],[Data_dostarczenia]])</f>
        <v>8</v>
      </c>
    </row>
    <row r="1315" spans="1:5" x14ac:dyDescent="0.25">
      <c r="A1315" s="1">
        <v>42965</v>
      </c>
      <c r="B1315" s="2" t="s">
        <v>193</v>
      </c>
      <c r="C1315" s="2" t="s">
        <v>228</v>
      </c>
      <c r="D1315">
        <v>11</v>
      </c>
      <c r="E1315">
        <f>MONTH(makulatura3[[#This Row],[Data_dostarczenia]])</f>
        <v>8</v>
      </c>
    </row>
    <row r="1316" spans="1:5" x14ac:dyDescent="0.25">
      <c r="A1316" s="1">
        <v>42965</v>
      </c>
      <c r="B1316" s="2" t="s">
        <v>147</v>
      </c>
      <c r="C1316" s="2" t="s">
        <v>644</v>
      </c>
      <c r="D1316">
        <v>22</v>
      </c>
      <c r="E1316">
        <f>MONTH(makulatura3[[#This Row],[Data_dostarczenia]])</f>
        <v>8</v>
      </c>
    </row>
    <row r="1317" spans="1:5" x14ac:dyDescent="0.25">
      <c r="A1317" s="1">
        <v>42965</v>
      </c>
      <c r="B1317" s="2" t="s">
        <v>47</v>
      </c>
      <c r="C1317" s="2" t="s">
        <v>48</v>
      </c>
      <c r="D1317">
        <v>56</v>
      </c>
      <c r="E1317">
        <f>MONTH(makulatura3[[#This Row],[Data_dostarczenia]])</f>
        <v>8</v>
      </c>
    </row>
    <row r="1318" spans="1:5" x14ac:dyDescent="0.25">
      <c r="A1318" s="1">
        <v>42965</v>
      </c>
      <c r="B1318" s="2" t="s">
        <v>55</v>
      </c>
      <c r="C1318" s="2" t="s">
        <v>459</v>
      </c>
      <c r="D1318">
        <v>55</v>
      </c>
      <c r="E1318">
        <f>MONTH(makulatura3[[#This Row],[Data_dostarczenia]])</f>
        <v>8</v>
      </c>
    </row>
    <row r="1319" spans="1:5" x14ac:dyDescent="0.25">
      <c r="A1319" s="1">
        <v>42965</v>
      </c>
      <c r="B1319" s="2" t="s">
        <v>176</v>
      </c>
      <c r="C1319" s="2" t="s">
        <v>177</v>
      </c>
      <c r="D1319">
        <v>45</v>
      </c>
      <c r="E1319">
        <f>MONTH(makulatura3[[#This Row],[Data_dostarczenia]])</f>
        <v>8</v>
      </c>
    </row>
    <row r="1320" spans="1:5" x14ac:dyDescent="0.25">
      <c r="A1320" s="1">
        <v>42965</v>
      </c>
      <c r="B1320" s="2" t="s">
        <v>63</v>
      </c>
      <c r="C1320" s="2" t="s">
        <v>231</v>
      </c>
      <c r="D1320">
        <v>12</v>
      </c>
      <c r="E1320">
        <f>MONTH(makulatura3[[#This Row],[Data_dostarczenia]])</f>
        <v>8</v>
      </c>
    </row>
    <row r="1321" spans="1:5" x14ac:dyDescent="0.25">
      <c r="A1321" s="1">
        <v>42965</v>
      </c>
      <c r="B1321" s="2" t="s">
        <v>81</v>
      </c>
      <c r="C1321" s="2" t="s">
        <v>82</v>
      </c>
      <c r="D1321">
        <v>20</v>
      </c>
      <c r="E1321">
        <f>MONTH(makulatura3[[#This Row],[Data_dostarczenia]])</f>
        <v>8</v>
      </c>
    </row>
    <row r="1322" spans="1:5" x14ac:dyDescent="0.25">
      <c r="A1322" s="1">
        <v>42968</v>
      </c>
      <c r="B1322" s="2" t="s">
        <v>514</v>
      </c>
      <c r="C1322" s="2" t="s">
        <v>515</v>
      </c>
      <c r="D1322">
        <v>8</v>
      </c>
      <c r="E1322">
        <f>MONTH(makulatura3[[#This Row],[Data_dostarczenia]])</f>
        <v>8</v>
      </c>
    </row>
    <row r="1323" spans="1:5" x14ac:dyDescent="0.25">
      <c r="A1323" s="1">
        <v>42968</v>
      </c>
      <c r="B1323" s="2" t="s">
        <v>36</v>
      </c>
      <c r="C1323" s="2" t="s">
        <v>229</v>
      </c>
      <c r="D1323">
        <v>33</v>
      </c>
      <c r="E1323">
        <f>MONTH(makulatura3[[#This Row],[Data_dostarczenia]])</f>
        <v>8</v>
      </c>
    </row>
    <row r="1324" spans="1:5" x14ac:dyDescent="0.25">
      <c r="A1324" s="1">
        <v>42968</v>
      </c>
      <c r="B1324" s="2" t="s">
        <v>41</v>
      </c>
      <c r="C1324" s="2" t="s">
        <v>302</v>
      </c>
      <c r="D1324">
        <v>9</v>
      </c>
      <c r="E1324">
        <f>MONTH(makulatura3[[#This Row],[Data_dostarczenia]])</f>
        <v>8</v>
      </c>
    </row>
    <row r="1325" spans="1:5" x14ac:dyDescent="0.25">
      <c r="A1325" s="1">
        <v>42968</v>
      </c>
      <c r="B1325" s="2" t="s">
        <v>523</v>
      </c>
      <c r="C1325" s="2" t="s">
        <v>524</v>
      </c>
      <c r="D1325">
        <v>52</v>
      </c>
      <c r="E1325">
        <f>MONTH(makulatura3[[#This Row],[Data_dostarczenia]])</f>
        <v>8</v>
      </c>
    </row>
    <row r="1326" spans="1:5" x14ac:dyDescent="0.25">
      <c r="A1326" s="1">
        <v>42968</v>
      </c>
      <c r="B1326" s="2" t="s">
        <v>232</v>
      </c>
      <c r="C1326" s="2" t="s">
        <v>627</v>
      </c>
      <c r="D1326">
        <v>48</v>
      </c>
      <c r="E1326">
        <f>MONTH(makulatura3[[#This Row],[Data_dostarczenia]])</f>
        <v>8</v>
      </c>
    </row>
    <row r="1327" spans="1:5" x14ac:dyDescent="0.25">
      <c r="A1327" s="1">
        <v>42968</v>
      </c>
      <c r="B1327" s="2" t="s">
        <v>632</v>
      </c>
      <c r="C1327" s="2" t="s">
        <v>647</v>
      </c>
      <c r="D1327">
        <v>40</v>
      </c>
      <c r="E1327">
        <f>MONTH(makulatura3[[#This Row],[Data_dostarczenia]])</f>
        <v>8</v>
      </c>
    </row>
    <row r="1328" spans="1:5" x14ac:dyDescent="0.25">
      <c r="A1328" s="1">
        <v>42968</v>
      </c>
      <c r="B1328" s="2" t="s">
        <v>81</v>
      </c>
      <c r="C1328" s="2" t="s">
        <v>648</v>
      </c>
      <c r="D1328">
        <v>52</v>
      </c>
      <c r="E1328">
        <f>MONTH(makulatura3[[#This Row],[Data_dostarczenia]])</f>
        <v>8</v>
      </c>
    </row>
    <row r="1329" spans="1:5" x14ac:dyDescent="0.25">
      <c r="A1329" s="1">
        <v>42968</v>
      </c>
      <c r="B1329" s="2" t="s">
        <v>92</v>
      </c>
      <c r="C1329" s="2" t="s">
        <v>638</v>
      </c>
      <c r="D1329">
        <v>34</v>
      </c>
      <c r="E1329">
        <f>MONTH(makulatura3[[#This Row],[Data_dostarczenia]])</f>
        <v>8</v>
      </c>
    </row>
    <row r="1330" spans="1:5" x14ac:dyDescent="0.25">
      <c r="A1330" s="1">
        <v>42969</v>
      </c>
      <c r="B1330" s="2" t="s">
        <v>416</v>
      </c>
      <c r="C1330" s="2" t="s">
        <v>572</v>
      </c>
      <c r="D1330">
        <v>2</v>
      </c>
      <c r="E1330">
        <f>MONTH(makulatura3[[#This Row],[Data_dostarczenia]])</f>
        <v>8</v>
      </c>
    </row>
    <row r="1331" spans="1:5" x14ac:dyDescent="0.25">
      <c r="A1331" s="1">
        <v>42969</v>
      </c>
      <c r="B1331" s="2" t="s">
        <v>34</v>
      </c>
      <c r="C1331" s="2" t="s">
        <v>35</v>
      </c>
      <c r="D1331">
        <v>9</v>
      </c>
      <c r="E1331">
        <f>MONTH(makulatura3[[#This Row],[Data_dostarczenia]])</f>
        <v>8</v>
      </c>
    </row>
    <row r="1332" spans="1:5" x14ac:dyDescent="0.25">
      <c r="A1332" s="1">
        <v>42969</v>
      </c>
      <c r="B1332" s="2" t="s">
        <v>97</v>
      </c>
      <c r="C1332" s="2" t="s">
        <v>380</v>
      </c>
      <c r="D1332">
        <v>24</v>
      </c>
      <c r="E1332">
        <f>MONTH(makulatura3[[#This Row],[Data_dostarczenia]])</f>
        <v>8</v>
      </c>
    </row>
    <row r="1333" spans="1:5" x14ac:dyDescent="0.25">
      <c r="A1333" s="1">
        <v>42969</v>
      </c>
      <c r="B1333" s="2" t="s">
        <v>327</v>
      </c>
      <c r="C1333" s="2" t="s">
        <v>102</v>
      </c>
      <c r="D1333">
        <v>28</v>
      </c>
      <c r="E1333">
        <f>MONTH(makulatura3[[#This Row],[Data_dostarczenia]])</f>
        <v>8</v>
      </c>
    </row>
    <row r="1334" spans="1:5" x14ac:dyDescent="0.25">
      <c r="A1334" s="1">
        <v>42969</v>
      </c>
      <c r="B1334" s="2" t="s">
        <v>243</v>
      </c>
      <c r="C1334" s="2" t="s">
        <v>82</v>
      </c>
      <c r="D1334">
        <v>16</v>
      </c>
      <c r="E1334">
        <f>MONTH(makulatura3[[#This Row],[Data_dostarczenia]])</f>
        <v>8</v>
      </c>
    </row>
    <row r="1335" spans="1:5" x14ac:dyDescent="0.25">
      <c r="A1335" s="1">
        <v>42969</v>
      </c>
      <c r="B1335" s="2" t="s">
        <v>195</v>
      </c>
      <c r="C1335" s="2" t="s">
        <v>401</v>
      </c>
      <c r="D1335">
        <v>19</v>
      </c>
      <c r="E1335">
        <f>MONTH(makulatura3[[#This Row],[Data_dostarczenia]])</f>
        <v>8</v>
      </c>
    </row>
    <row r="1336" spans="1:5" x14ac:dyDescent="0.25">
      <c r="A1336" s="1">
        <v>42969</v>
      </c>
      <c r="B1336" s="2" t="s">
        <v>30</v>
      </c>
      <c r="C1336" s="2" t="s">
        <v>185</v>
      </c>
      <c r="D1336">
        <v>26</v>
      </c>
      <c r="E1336">
        <f>MONTH(makulatura3[[#This Row],[Data_dostarczenia]])</f>
        <v>8</v>
      </c>
    </row>
    <row r="1337" spans="1:5" x14ac:dyDescent="0.25">
      <c r="A1337" s="1">
        <v>42969</v>
      </c>
      <c r="B1337" s="2" t="s">
        <v>30</v>
      </c>
      <c r="C1337" s="2" t="s">
        <v>387</v>
      </c>
      <c r="D1337">
        <v>29</v>
      </c>
      <c r="E1337">
        <f>MONTH(makulatura3[[#This Row],[Data_dostarczenia]])</f>
        <v>8</v>
      </c>
    </row>
    <row r="1338" spans="1:5" x14ac:dyDescent="0.25">
      <c r="A1338" s="1">
        <v>42970</v>
      </c>
      <c r="B1338" s="2" t="s">
        <v>141</v>
      </c>
      <c r="C1338" s="2" t="s">
        <v>649</v>
      </c>
      <c r="D1338">
        <v>51</v>
      </c>
      <c r="E1338">
        <f>MONTH(makulatura3[[#This Row],[Data_dostarczenia]])</f>
        <v>8</v>
      </c>
    </row>
    <row r="1339" spans="1:5" x14ac:dyDescent="0.25">
      <c r="A1339" s="1">
        <v>42970</v>
      </c>
      <c r="B1339" s="2" t="s">
        <v>53</v>
      </c>
      <c r="C1339" s="2" t="s">
        <v>54</v>
      </c>
      <c r="D1339">
        <v>25</v>
      </c>
      <c r="E1339">
        <f>MONTH(makulatura3[[#This Row],[Data_dostarczenia]])</f>
        <v>8</v>
      </c>
    </row>
    <row r="1340" spans="1:5" x14ac:dyDescent="0.25">
      <c r="A1340" s="1">
        <v>42970</v>
      </c>
      <c r="B1340" s="2" t="s">
        <v>23</v>
      </c>
      <c r="C1340" s="2" t="s">
        <v>604</v>
      </c>
      <c r="D1340">
        <v>33</v>
      </c>
      <c r="E1340">
        <f>MONTH(makulatura3[[#This Row],[Data_dostarczenia]])</f>
        <v>8</v>
      </c>
    </row>
    <row r="1341" spans="1:5" x14ac:dyDescent="0.25">
      <c r="A1341" s="1">
        <v>42970</v>
      </c>
      <c r="B1341" s="2" t="s">
        <v>267</v>
      </c>
      <c r="C1341" s="2" t="s">
        <v>268</v>
      </c>
      <c r="D1341">
        <v>18</v>
      </c>
      <c r="E1341">
        <f>MONTH(makulatura3[[#This Row],[Data_dostarczenia]])</f>
        <v>8</v>
      </c>
    </row>
    <row r="1342" spans="1:5" x14ac:dyDescent="0.25">
      <c r="A1342" s="1">
        <v>42970</v>
      </c>
      <c r="B1342" s="2" t="s">
        <v>92</v>
      </c>
      <c r="C1342" s="2" t="s">
        <v>638</v>
      </c>
      <c r="D1342">
        <v>19</v>
      </c>
      <c r="E1342">
        <f>MONTH(makulatura3[[#This Row],[Data_dostarczenia]])</f>
        <v>8</v>
      </c>
    </row>
    <row r="1343" spans="1:5" x14ac:dyDescent="0.25">
      <c r="A1343" s="1">
        <v>42970</v>
      </c>
      <c r="B1343" s="2" t="s">
        <v>30</v>
      </c>
      <c r="C1343" s="2" t="s">
        <v>89</v>
      </c>
      <c r="D1343">
        <v>42</v>
      </c>
      <c r="E1343">
        <f>MONTH(makulatura3[[#This Row],[Data_dostarczenia]])</f>
        <v>8</v>
      </c>
    </row>
    <row r="1344" spans="1:5" x14ac:dyDescent="0.25">
      <c r="A1344" s="1">
        <v>42970</v>
      </c>
      <c r="B1344" s="2" t="s">
        <v>30</v>
      </c>
      <c r="C1344" s="2" t="s">
        <v>387</v>
      </c>
      <c r="D1344">
        <v>15</v>
      </c>
      <c r="E1344">
        <f>MONTH(makulatura3[[#This Row],[Data_dostarczenia]])</f>
        <v>8</v>
      </c>
    </row>
    <row r="1345" spans="1:5" x14ac:dyDescent="0.25">
      <c r="A1345" s="1">
        <v>42970</v>
      </c>
      <c r="B1345" s="2" t="s">
        <v>361</v>
      </c>
      <c r="C1345" s="2" t="s">
        <v>424</v>
      </c>
      <c r="D1345">
        <v>15</v>
      </c>
      <c r="E1345">
        <f>MONTH(makulatura3[[#This Row],[Data_dostarczenia]])</f>
        <v>8</v>
      </c>
    </row>
    <row r="1346" spans="1:5" x14ac:dyDescent="0.25">
      <c r="A1346" s="1">
        <v>42971</v>
      </c>
      <c r="B1346" s="2" t="s">
        <v>174</v>
      </c>
      <c r="C1346" s="2" t="s">
        <v>175</v>
      </c>
      <c r="D1346">
        <v>3</v>
      </c>
      <c r="E1346">
        <f>MONTH(makulatura3[[#This Row],[Data_dostarczenia]])</f>
        <v>8</v>
      </c>
    </row>
    <row r="1347" spans="1:5" x14ac:dyDescent="0.25">
      <c r="A1347" s="1">
        <v>42971</v>
      </c>
      <c r="B1347" s="2" t="s">
        <v>284</v>
      </c>
      <c r="C1347" s="2" t="s">
        <v>285</v>
      </c>
      <c r="D1347">
        <v>13</v>
      </c>
      <c r="E1347">
        <f>MONTH(makulatura3[[#This Row],[Data_dostarczenia]])</f>
        <v>8</v>
      </c>
    </row>
    <row r="1348" spans="1:5" x14ac:dyDescent="0.25">
      <c r="A1348" s="1">
        <v>42971</v>
      </c>
      <c r="B1348" s="2" t="s">
        <v>393</v>
      </c>
      <c r="C1348" s="2" t="s">
        <v>398</v>
      </c>
      <c r="D1348">
        <v>27</v>
      </c>
      <c r="E1348">
        <f>MONTH(makulatura3[[#This Row],[Data_dostarczenia]])</f>
        <v>8</v>
      </c>
    </row>
    <row r="1349" spans="1:5" x14ac:dyDescent="0.25">
      <c r="A1349" s="1">
        <v>42971</v>
      </c>
      <c r="B1349" s="2" t="s">
        <v>155</v>
      </c>
      <c r="C1349" s="2" t="s">
        <v>650</v>
      </c>
      <c r="D1349">
        <v>18</v>
      </c>
      <c r="E1349">
        <f>MONTH(makulatura3[[#This Row],[Data_dostarczenia]])</f>
        <v>8</v>
      </c>
    </row>
    <row r="1350" spans="1:5" x14ac:dyDescent="0.25">
      <c r="A1350" s="1">
        <v>42971</v>
      </c>
      <c r="B1350" s="2" t="s">
        <v>171</v>
      </c>
      <c r="C1350" s="2" t="s">
        <v>651</v>
      </c>
      <c r="D1350">
        <v>42</v>
      </c>
      <c r="E1350">
        <f>MONTH(makulatura3[[#This Row],[Data_dostarczenia]])</f>
        <v>8</v>
      </c>
    </row>
    <row r="1351" spans="1:5" x14ac:dyDescent="0.25">
      <c r="A1351" s="1">
        <v>42971</v>
      </c>
      <c r="B1351" s="2" t="s">
        <v>280</v>
      </c>
      <c r="C1351" s="2" t="s">
        <v>281</v>
      </c>
      <c r="D1351">
        <v>9</v>
      </c>
      <c r="E1351">
        <f>MONTH(makulatura3[[#This Row],[Data_dostarczenia]])</f>
        <v>8</v>
      </c>
    </row>
    <row r="1352" spans="1:5" x14ac:dyDescent="0.25">
      <c r="A1352" s="1">
        <v>42971</v>
      </c>
      <c r="B1352" s="2" t="s">
        <v>83</v>
      </c>
      <c r="C1352" s="2" t="s">
        <v>513</v>
      </c>
      <c r="D1352">
        <v>22</v>
      </c>
      <c r="E1352">
        <f>MONTH(makulatura3[[#This Row],[Data_dostarczenia]])</f>
        <v>8</v>
      </c>
    </row>
    <row r="1353" spans="1:5" x14ac:dyDescent="0.25">
      <c r="A1353" s="1">
        <v>42971</v>
      </c>
      <c r="B1353" s="2" t="s">
        <v>34</v>
      </c>
      <c r="C1353" s="2" t="s">
        <v>481</v>
      </c>
      <c r="D1353">
        <v>47</v>
      </c>
      <c r="E1353">
        <f>MONTH(makulatura3[[#This Row],[Data_dostarczenia]])</f>
        <v>8</v>
      </c>
    </row>
    <row r="1354" spans="1:5" x14ac:dyDescent="0.25">
      <c r="A1354" s="1">
        <v>42972</v>
      </c>
      <c r="B1354" s="2" t="s">
        <v>632</v>
      </c>
      <c r="C1354" s="2" t="s">
        <v>647</v>
      </c>
      <c r="D1354">
        <v>55</v>
      </c>
      <c r="E1354">
        <f>MONTH(makulatura3[[#This Row],[Data_dostarczenia]])</f>
        <v>8</v>
      </c>
    </row>
    <row r="1355" spans="1:5" x14ac:dyDescent="0.25">
      <c r="A1355" s="1">
        <v>42972</v>
      </c>
      <c r="B1355" s="2" t="s">
        <v>41</v>
      </c>
      <c r="C1355" s="2" t="s">
        <v>238</v>
      </c>
      <c r="D1355">
        <v>9</v>
      </c>
      <c r="E1355">
        <f>MONTH(makulatura3[[#This Row],[Data_dostarczenia]])</f>
        <v>8</v>
      </c>
    </row>
    <row r="1356" spans="1:5" x14ac:dyDescent="0.25">
      <c r="A1356" s="1">
        <v>42972</v>
      </c>
      <c r="B1356" s="2" t="s">
        <v>12</v>
      </c>
      <c r="C1356" s="2" t="s">
        <v>13</v>
      </c>
      <c r="D1356">
        <v>27</v>
      </c>
      <c r="E1356">
        <f>MONTH(makulatura3[[#This Row],[Data_dostarczenia]])</f>
        <v>8</v>
      </c>
    </row>
    <row r="1357" spans="1:5" x14ac:dyDescent="0.25">
      <c r="A1357" s="1">
        <v>42972</v>
      </c>
      <c r="B1357" s="2" t="s">
        <v>131</v>
      </c>
      <c r="C1357" s="2" t="s">
        <v>451</v>
      </c>
      <c r="D1357">
        <v>11</v>
      </c>
      <c r="E1357">
        <f>MONTH(makulatura3[[#This Row],[Data_dostarczenia]])</f>
        <v>8</v>
      </c>
    </row>
    <row r="1358" spans="1:5" x14ac:dyDescent="0.25">
      <c r="A1358" s="1">
        <v>42972</v>
      </c>
      <c r="B1358" s="2" t="s">
        <v>39</v>
      </c>
      <c r="C1358" s="2" t="s">
        <v>289</v>
      </c>
      <c r="D1358">
        <v>42</v>
      </c>
      <c r="E1358">
        <f>MONTH(makulatura3[[#This Row],[Data_dostarczenia]])</f>
        <v>8</v>
      </c>
    </row>
    <row r="1359" spans="1:5" x14ac:dyDescent="0.25">
      <c r="A1359" s="1">
        <v>42972</v>
      </c>
      <c r="B1359" s="2" t="s">
        <v>133</v>
      </c>
      <c r="C1359" s="2" t="s">
        <v>652</v>
      </c>
      <c r="D1359">
        <v>8</v>
      </c>
      <c r="E1359">
        <f>MONTH(makulatura3[[#This Row],[Data_dostarczenia]])</f>
        <v>8</v>
      </c>
    </row>
    <row r="1360" spans="1:5" x14ac:dyDescent="0.25">
      <c r="A1360" s="1">
        <v>42972</v>
      </c>
      <c r="B1360" s="2" t="s">
        <v>244</v>
      </c>
      <c r="C1360" s="2" t="s">
        <v>245</v>
      </c>
      <c r="D1360">
        <v>39</v>
      </c>
      <c r="E1360">
        <f>MONTH(makulatura3[[#This Row],[Data_dostarczenia]])</f>
        <v>8</v>
      </c>
    </row>
    <row r="1361" spans="1:5" x14ac:dyDescent="0.25">
      <c r="A1361" s="1">
        <v>42972</v>
      </c>
      <c r="B1361" s="2" t="s">
        <v>193</v>
      </c>
      <c r="C1361" s="2" t="s">
        <v>406</v>
      </c>
      <c r="D1361">
        <v>26</v>
      </c>
      <c r="E1361">
        <f>MONTH(makulatura3[[#This Row],[Data_dostarczenia]])</f>
        <v>8</v>
      </c>
    </row>
    <row r="1362" spans="1:5" x14ac:dyDescent="0.25">
      <c r="A1362" s="1">
        <v>42975</v>
      </c>
      <c r="B1362" s="2" t="s">
        <v>32</v>
      </c>
      <c r="C1362" s="2" t="s">
        <v>33</v>
      </c>
      <c r="D1362">
        <v>28</v>
      </c>
      <c r="E1362">
        <f>MONTH(makulatura3[[#This Row],[Data_dostarczenia]])</f>
        <v>8</v>
      </c>
    </row>
    <row r="1363" spans="1:5" x14ac:dyDescent="0.25">
      <c r="A1363" s="1">
        <v>42975</v>
      </c>
      <c r="B1363" s="2" t="s">
        <v>114</v>
      </c>
      <c r="C1363" s="2" t="s">
        <v>653</v>
      </c>
      <c r="D1363">
        <v>40</v>
      </c>
      <c r="E1363">
        <f>MONTH(makulatura3[[#This Row],[Data_dostarczenia]])</f>
        <v>8</v>
      </c>
    </row>
    <row r="1364" spans="1:5" x14ac:dyDescent="0.25">
      <c r="A1364" s="1">
        <v>42975</v>
      </c>
      <c r="B1364" s="2" t="s">
        <v>203</v>
      </c>
      <c r="C1364" s="2" t="s">
        <v>370</v>
      </c>
      <c r="D1364">
        <v>17</v>
      </c>
      <c r="E1364">
        <f>MONTH(makulatura3[[#This Row],[Data_dostarczenia]])</f>
        <v>8</v>
      </c>
    </row>
    <row r="1365" spans="1:5" x14ac:dyDescent="0.25">
      <c r="A1365" s="1">
        <v>42975</v>
      </c>
      <c r="B1365" s="2" t="s">
        <v>299</v>
      </c>
      <c r="C1365" s="2" t="s">
        <v>482</v>
      </c>
      <c r="D1365">
        <v>2</v>
      </c>
      <c r="E1365">
        <f>MONTH(makulatura3[[#This Row],[Data_dostarczenia]])</f>
        <v>8</v>
      </c>
    </row>
    <row r="1366" spans="1:5" x14ac:dyDescent="0.25">
      <c r="A1366" s="1">
        <v>42975</v>
      </c>
      <c r="B1366" s="2" t="s">
        <v>106</v>
      </c>
      <c r="C1366" s="2" t="s">
        <v>277</v>
      </c>
      <c r="D1366">
        <v>22</v>
      </c>
      <c r="E1366">
        <f>MONTH(makulatura3[[#This Row],[Data_dostarczenia]])</f>
        <v>8</v>
      </c>
    </row>
    <row r="1367" spans="1:5" x14ac:dyDescent="0.25">
      <c r="A1367" s="1">
        <v>42975</v>
      </c>
      <c r="B1367" s="2" t="s">
        <v>39</v>
      </c>
      <c r="C1367" s="2" t="s">
        <v>289</v>
      </c>
      <c r="D1367">
        <v>18</v>
      </c>
      <c r="E1367">
        <f>MONTH(makulatura3[[#This Row],[Data_dostarczenia]])</f>
        <v>8</v>
      </c>
    </row>
    <row r="1368" spans="1:5" x14ac:dyDescent="0.25">
      <c r="A1368" s="1">
        <v>42975</v>
      </c>
      <c r="B1368" s="2" t="s">
        <v>83</v>
      </c>
      <c r="C1368" s="2" t="s">
        <v>561</v>
      </c>
      <c r="D1368">
        <v>35</v>
      </c>
      <c r="E1368">
        <f>MONTH(makulatura3[[#This Row],[Data_dostarczenia]])</f>
        <v>8</v>
      </c>
    </row>
    <row r="1369" spans="1:5" x14ac:dyDescent="0.25">
      <c r="A1369" s="1">
        <v>42975</v>
      </c>
      <c r="B1369" s="2" t="s">
        <v>178</v>
      </c>
      <c r="C1369" s="2" t="s">
        <v>335</v>
      </c>
      <c r="D1369">
        <v>7</v>
      </c>
      <c r="E1369">
        <f>MONTH(makulatura3[[#This Row],[Data_dostarczenia]])</f>
        <v>8</v>
      </c>
    </row>
    <row r="1370" spans="1:5" x14ac:dyDescent="0.25">
      <c r="A1370" s="1">
        <v>42975</v>
      </c>
      <c r="B1370" s="2" t="s">
        <v>280</v>
      </c>
      <c r="C1370" s="2" t="s">
        <v>447</v>
      </c>
      <c r="D1370">
        <v>12</v>
      </c>
      <c r="E1370">
        <f>MONTH(makulatura3[[#This Row],[Data_dostarczenia]])</f>
        <v>8</v>
      </c>
    </row>
    <row r="1371" spans="1:5" x14ac:dyDescent="0.25">
      <c r="A1371" s="1">
        <v>42975</v>
      </c>
      <c r="B1371" s="2" t="s">
        <v>139</v>
      </c>
      <c r="C1371" s="2" t="s">
        <v>654</v>
      </c>
      <c r="D1371">
        <v>32</v>
      </c>
      <c r="E1371">
        <f>MONTH(makulatura3[[#This Row],[Data_dostarczenia]])</f>
        <v>8</v>
      </c>
    </row>
    <row r="1372" spans="1:5" x14ac:dyDescent="0.25">
      <c r="A1372" s="1">
        <v>42976</v>
      </c>
      <c r="B1372" s="2" t="s">
        <v>45</v>
      </c>
      <c r="C1372" s="2" t="s">
        <v>388</v>
      </c>
      <c r="D1372">
        <v>22</v>
      </c>
      <c r="E1372">
        <f>MONTH(makulatura3[[#This Row],[Data_dostarczenia]])</f>
        <v>8</v>
      </c>
    </row>
    <row r="1373" spans="1:5" x14ac:dyDescent="0.25">
      <c r="A1373" s="1">
        <v>42976</v>
      </c>
      <c r="B1373" s="2" t="s">
        <v>97</v>
      </c>
      <c r="C1373" s="2" t="s">
        <v>579</v>
      </c>
      <c r="D1373">
        <v>25</v>
      </c>
      <c r="E1373">
        <f>MONTH(makulatura3[[#This Row],[Data_dostarczenia]])</f>
        <v>8</v>
      </c>
    </row>
    <row r="1374" spans="1:5" x14ac:dyDescent="0.25">
      <c r="A1374" s="1">
        <v>42976</v>
      </c>
      <c r="B1374" s="2" t="s">
        <v>640</v>
      </c>
      <c r="C1374" s="2" t="s">
        <v>655</v>
      </c>
      <c r="D1374">
        <v>25</v>
      </c>
      <c r="E1374">
        <f>MONTH(makulatura3[[#This Row],[Data_dostarczenia]])</f>
        <v>8</v>
      </c>
    </row>
    <row r="1375" spans="1:5" x14ac:dyDescent="0.25">
      <c r="A1375" s="1">
        <v>42976</v>
      </c>
      <c r="B1375" s="2" t="s">
        <v>409</v>
      </c>
      <c r="C1375" s="2" t="s">
        <v>656</v>
      </c>
      <c r="D1375">
        <v>6</v>
      </c>
      <c r="E1375">
        <f>MONTH(makulatura3[[#This Row],[Data_dostarczenia]])</f>
        <v>8</v>
      </c>
    </row>
    <row r="1376" spans="1:5" x14ac:dyDescent="0.25">
      <c r="A1376" s="1">
        <v>42976</v>
      </c>
      <c r="B1376" s="2" t="s">
        <v>310</v>
      </c>
      <c r="C1376" s="2" t="s">
        <v>641</v>
      </c>
      <c r="D1376">
        <v>50</v>
      </c>
      <c r="E1376">
        <f>MONTH(makulatura3[[#This Row],[Data_dostarczenia]])</f>
        <v>8</v>
      </c>
    </row>
    <row r="1377" spans="1:5" x14ac:dyDescent="0.25">
      <c r="A1377" s="1">
        <v>42976</v>
      </c>
      <c r="B1377" s="2" t="s">
        <v>77</v>
      </c>
      <c r="C1377" s="2" t="s">
        <v>78</v>
      </c>
      <c r="D1377">
        <v>16</v>
      </c>
      <c r="E1377">
        <f>MONTH(makulatura3[[#This Row],[Data_dostarczenia]])</f>
        <v>8</v>
      </c>
    </row>
    <row r="1378" spans="1:5" x14ac:dyDescent="0.25">
      <c r="A1378" s="1">
        <v>42976</v>
      </c>
      <c r="B1378" s="2" t="s">
        <v>201</v>
      </c>
      <c r="C1378" s="2" t="s">
        <v>357</v>
      </c>
      <c r="D1378">
        <v>23</v>
      </c>
      <c r="E1378">
        <f>MONTH(makulatura3[[#This Row],[Data_dostarczenia]])</f>
        <v>8</v>
      </c>
    </row>
    <row r="1379" spans="1:5" x14ac:dyDescent="0.25">
      <c r="A1379" s="1">
        <v>42976</v>
      </c>
      <c r="B1379" s="2" t="s">
        <v>83</v>
      </c>
      <c r="C1379" s="2" t="s">
        <v>615</v>
      </c>
      <c r="D1379">
        <v>7</v>
      </c>
      <c r="E1379">
        <f>MONTH(makulatura3[[#This Row],[Data_dostarczenia]])</f>
        <v>8</v>
      </c>
    </row>
    <row r="1380" spans="1:5" x14ac:dyDescent="0.25">
      <c r="A1380" s="1">
        <v>42976</v>
      </c>
      <c r="B1380" s="2" t="s">
        <v>416</v>
      </c>
      <c r="C1380" s="2" t="s">
        <v>417</v>
      </c>
      <c r="D1380">
        <v>6</v>
      </c>
      <c r="E1380">
        <f>MONTH(makulatura3[[#This Row],[Data_dostarczenia]])</f>
        <v>8</v>
      </c>
    </row>
    <row r="1381" spans="1:5" x14ac:dyDescent="0.25">
      <c r="A1381" s="1">
        <v>42976</v>
      </c>
      <c r="B1381" s="2" t="s">
        <v>206</v>
      </c>
      <c r="C1381" s="2" t="s">
        <v>192</v>
      </c>
      <c r="D1381">
        <v>44</v>
      </c>
      <c r="E1381">
        <f>MONTH(makulatura3[[#This Row],[Data_dostarczenia]])</f>
        <v>8</v>
      </c>
    </row>
    <row r="1382" spans="1:5" x14ac:dyDescent="0.25">
      <c r="A1382" s="1">
        <v>42977</v>
      </c>
      <c r="B1382" s="2" t="s">
        <v>51</v>
      </c>
      <c r="C1382" s="2" t="s">
        <v>621</v>
      </c>
      <c r="D1382">
        <v>33</v>
      </c>
      <c r="E1382">
        <f>MONTH(makulatura3[[#This Row],[Data_dostarczenia]])</f>
        <v>8</v>
      </c>
    </row>
    <row r="1383" spans="1:5" x14ac:dyDescent="0.25">
      <c r="A1383" s="1">
        <v>42977</v>
      </c>
      <c r="B1383" s="2" t="s">
        <v>43</v>
      </c>
      <c r="C1383" s="2" t="s">
        <v>507</v>
      </c>
      <c r="D1383">
        <v>26</v>
      </c>
      <c r="E1383">
        <f>MONTH(makulatura3[[#This Row],[Data_dostarczenia]])</f>
        <v>8</v>
      </c>
    </row>
    <row r="1384" spans="1:5" x14ac:dyDescent="0.25">
      <c r="A1384" s="1">
        <v>42977</v>
      </c>
      <c r="B1384" s="2" t="s">
        <v>39</v>
      </c>
      <c r="C1384" s="2" t="s">
        <v>609</v>
      </c>
      <c r="D1384">
        <v>18</v>
      </c>
      <c r="E1384">
        <f>MONTH(makulatura3[[#This Row],[Data_dostarczenia]])</f>
        <v>8</v>
      </c>
    </row>
    <row r="1385" spans="1:5" x14ac:dyDescent="0.25">
      <c r="A1385" s="1">
        <v>42977</v>
      </c>
      <c r="B1385" s="2" t="s">
        <v>16</v>
      </c>
      <c r="C1385" s="2" t="s">
        <v>440</v>
      </c>
      <c r="D1385">
        <v>5</v>
      </c>
      <c r="E1385">
        <f>MONTH(makulatura3[[#This Row],[Data_dostarczenia]])</f>
        <v>8</v>
      </c>
    </row>
    <row r="1386" spans="1:5" x14ac:dyDescent="0.25">
      <c r="A1386" s="1">
        <v>42977</v>
      </c>
      <c r="B1386" s="2" t="s">
        <v>150</v>
      </c>
      <c r="C1386" s="2" t="s">
        <v>556</v>
      </c>
      <c r="D1386">
        <v>4</v>
      </c>
      <c r="E1386">
        <f>MONTH(makulatura3[[#This Row],[Data_dostarczenia]])</f>
        <v>8</v>
      </c>
    </row>
    <row r="1387" spans="1:5" x14ac:dyDescent="0.25">
      <c r="A1387" s="1">
        <v>42977</v>
      </c>
      <c r="B1387" s="2" t="s">
        <v>34</v>
      </c>
      <c r="C1387" s="2" t="s">
        <v>182</v>
      </c>
      <c r="D1387">
        <v>4</v>
      </c>
      <c r="E1387">
        <f>MONTH(makulatura3[[#This Row],[Data_dostarczenia]])</f>
        <v>8</v>
      </c>
    </row>
    <row r="1388" spans="1:5" x14ac:dyDescent="0.25">
      <c r="A1388" s="1">
        <v>42977</v>
      </c>
      <c r="B1388" s="2" t="s">
        <v>39</v>
      </c>
      <c r="C1388" s="2" t="s">
        <v>436</v>
      </c>
      <c r="D1388">
        <v>43</v>
      </c>
      <c r="E1388">
        <f>MONTH(makulatura3[[#This Row],[Data_dostarczenia]])</f>
        <v>8</v>
      </c>
    </row>
    <row r="1389" spans="1:5" x14ac:dyDescent="0.25">
      <c r="A1389" s="1">
        <v>42977</v>
      </c>
      <c r="B1389" s="2" t="s">
        <v>75</v>
      </c>
      <c r="C1389" s="2" t="s">
        <v>500</v>
      </c>
      <c r="D1389">
        <v>48</v>
      </c>
      <c r="E1389">
        <f>MONTH(makulatura3[[#This Row],[Data_dostarczenia]])</f>
        <v>8</v>
      </c>
    </row>
    <row r="1390" spans="1:5" x14ac:dyDescent="0.25">
      <c r="A1390" s="1">
        <v>42977</v>
      </c>
      <c r="B1390" s="2" t="s">
        <v>273</v>
      </c>
      <c r="C1390" s="2" t="s">
        <v>274</v>
      </c>
      <c r="D1390">
        <v>12</v>
      </c>
      <c r="E1390">
        <f>MONTH(makulatura3[[#This Row],[Data_dostarczenia]])</f>
        <v>8</v>
      </c>
    </row>
    <row r="1391" spans="1:5" x14ac:dyDescent="0.25">
      <c r="A1391" s="1">
        <v>42977</v>
      </c>
      <c r="B1391" s="2" t="s">
        <v>503</v>
      </c>
      <c r="C1391" s="2" t="s">
        <v>183</v>
      </c>
      <c r="D1391">
        <v>21</v>
      </c>
      <c r="E1391">
        <f>MONTH(makulatura3[[#This Row],[Data_dostarczenia]])</f>
        <v>8</v>
      </c>
    </row>
    <row r="1392" spans="1:5" x14ac:dyDescent="0.25">
      <c r="A1392" s="1">
        <v>42978</v>
      </c>
      <c r="B1392" s="2" t="s">
        <v>39</v>
      </c>
      <c r="C1392" s="2" t="s">
        <v>657</v>
      </c>
      <c r="D1392">
        <v>21</v>
      </c>
      <c r="E1392">
        <f>MONTH(makulatura3[[#This Row],[Data_dostarczenia]])</f>
        <v>8</v>
      </c>
    </row>
    <row r="1393" spans="1:5" x14ac:dyDescent="0.25">
      <c r="A1393" s="1">
        <v>42978</v>
      </c>
      <c r="B1393" s="2" t="s">
        <v>36</v>
      </c>
      <c r="C1393" s="2" t="s">
        <v>306</v>
      </c>
      <c r="D1393">
        <v>2</v>
      </c>
      <c r="E1393">
        <f>MONTH(makulatura3[[#This Row],[Data_dostarczenia]])</f>
        <v>8</v>
      </c>
    </row>
    <row r="1394" spans="1:5" x14ac:dyDescent="0.25">
      <c r="A1394" s="1">
        <v>42978</v>
      </c>
      <c r="B1394" s="2" t="s">
        <v>83</v>
      </c>
      <c r="C1394" s="2" t="s">
        <v>658</v>
      </c>
      <c r="D1394">
        <v>14</v>
      </c>
      <c r="E1394">
        <f>MONTH(makulatura3[[#This Row],[Data_dostarczenia]])</f>
        <v>8</v>
      </c>
    </row>
    <row r="1395" spans="1:5" x14ac:dyDescent="0.25">
      <c r="A1395" s="1">
        <v>42978</v>
      </c>
      <c r="B1395" s="2" t="s">
        <v>67</v>
      </c>
      <c r="C1395" s="2" t="s">
        <v>301</v>
      </c>
      <c r="D1395">
        <v>26</v>
      </c>
      <c r="E1395">
        <f>MONTH(makulatura3[[#This Row],[Data_dostarczenia]])</f>
        <v>8</v>
      </c>
    </row>
    <row r="1396" spans="1:5" x14ac:dyDescent="0.25">
      <c r="A1396" s="1">
        <v>42978</v>
      </c>
      <c r="B1396" s="2" t="s">
        <v>97</v>
      </c>
      <c r="C1396" s="2" t="s">
        <v>309</v>
      </c>
      <c r="D1396">
        <v>44</v>
      </c>
      <c r="E1396">
        <f>MONTH(makulatura3[[#This Row],[Data_dostarczenia]])</f>
        <v>8</v>
      </c>
    </row>
    <row r="1397" spans="1:5" x14ac:dyDescent="0.25">
      <c r="A1397" s="1">
        <v>42978</v>
      </c>
      <c r="B1397" s="2" t="s">
        <v>133</v>
      </c>
      <c r="C1397" s="2" t="s">
        <v>499</v>
      </c>
      <c r="D1397">
        <v>31</v>
      </c>
      <c r="E1397">
        <f>MONTH(makulatura3[[#This Row],[Data_dostarczenia]])</f>
        <v>8</v>
      </c>
    </row>
    <row r="1398" spans="1:5" x14ac:dyDescent="0.25">
      <c r="A1398" s="1">
        <v>42978</v>
      </c>
      <c r="B1398" s="2" t="s">
        <v>63</v>
      </c>
      <c r="C1398" s="2" t="s">
        <v>231</v>
      </c>
      <c r="D1398">
        <v>29</v>
      </c>
      <c r="E1398">
        <f>MONTH(makulatura3[[#This Row],[Data_dostarczenia]])</f>
        <v>8</v>
      </c>
    </row>
    <row r="1399" spans="1:5" x14ac:dyDescent="0.25">
      <c r="A1399" s="1">
        <v>42978</v>
      </c>
      <c r="B1399" s="2" t="s">
        <v>39</v>
      </c>
      <c r="C1399" s="2" t="s">
        <v>436</v>
      </c>
      <c r="D1399">
        <v>13</v>
      </c>
      <c r="E1399">
        <f>MONTH(makulatura3[[#This Row],[Data_dostarczenia]])</f>
        <v>8</v>
      </c>
    </row>
    <row r="1400" spans="1:5" x14ac:dyDescent="0.25">
      <c r="A1400" s="1">
        <v>42978</v>
      </c>
      <c r="B1400" s="2" t="s">
        <v>593</v>
      </c>
      <c r="C1400" s="2" t="s">
        <v>659</v>
      </c>
      <c r="D1400">
        <v>28</v>
      </c>
      <c r="E1400">
        <f>MONTH(makulatura3[[#This Row],[Data_dostarczenia]])</f>
        <v>8</v>
      </c>
    </row>
    <row r="1401" spans="1:5" x14ac:dyDescent="0.25">
      <c r="A1401" s="1">
        <v>42978</v>
      </c>
      <c r="B1401" s="2" t="s">
        <v>23</v>
      </c>
      <c r="C1401" s="2" t="s">
        <v>163</v>
      </c>
      <c r="D1401">
        <v>23</v>
      </c>
      <c r="E1401">
        <f>MONTH(makulatura3[[#This Row],[Data_dostarczenia]])</f>
        <v>8</v>
      </c>
    </row>
    <row r="1402" spans="1:5" x14ac:dyDescent="0.25">
      <c r="A1402" s="1">
        <v>42979</v>
      </c>
      <c r="B1402" s="2" t="s">
        <v>57</v>
      </c>
      <c r="C1402" s="2" t="s">
        <v>58</v>
      </c>
      <c r="D1402">
        <v>5</v>
      </c>
      <c r="E1402">
        <f>MONTH(makulatura3[[#This Row],[Data_dostarczenia]])</f>
        <v>9</v>
      </c>
    </row>
    <row r="1403" spans="1:5" x14ac:dyDescent="0.25">
      <c r="A1403" s="1">
        <v>42979</v>
      </c>
      <c r="B1403" s="2" t="s">
        <v>14</v>
      </c>
      <c r="C1403" s="2" t="s">
        <v>660</v>
      </c>
      <c r="D1403">
        <v>16</v>
      </c>
      <c r="E1403">
        <f>MONTH(makulatura3[[#This Row],[Data_dostarczenia]])</f>
        <v>9</v>
      </c>
    </row>
    <row r="1404" spans="1:5" x14ac:dyDescent="0.25">
      <c r="A1404" s="1">
        <v>42979</v>
      </c>
      <c r="B1404" s="2" t="s">
        <v>327</v>
      </c>
      <c r="C1404" s="2" t="s">
        <v>102</v>
      </c>
      <c r="D1404">
        <v>21</v>
      </c>
      <c r="E1404">
        <f>MONTH(makulatura3[[#This Row],[Data_dostarczenia]])</f>
        <v>9</v>
      </c>
    </row>
    <row r="1405" spans="1:5" x14ac:dyDescent="0.25">
      <c r="A1405" s="1">
        <v>42979</v>
      </c>
      <c r="B1405" s="2" t="s">
        <v>593</v>
      </c>
      <c r="C1405" s="2" t="s">
        <v>659</v>
      </c>
      <c r="D1405">
        <v>46</v>
      </c>
      <c r="E1405">
        <f>MONTH(makulatura3[[#This Row],[Data_dostarczenia]])</f>
        <v>9</v>
      </c>
    </row>
    <row r="1406" spans="1:5" x14ac:dyDescent="0.25">
      <c r="A1406" s="1">
        <v>42979</v>
      </c>
      <c r="B1406" s="2" t="s">
        <v>576</v>
      </c>
      <c r="C1406" s="2" t="s">
        <v>577</v>
      </c>
      <c r="D1406">
        <v>39</v>
      </c>
      <c r="E1406">
        <f>MONTH(makulatura3[[#This Row],[Data_dostarczenia]])</f>
        <v>9</v>
      </c>
    </row>
    <row r="1407" spans="1:5" x14ac:dyDescent="0.25">
      <c r="A1407" s="1">
        <v>42979</v>
      </c>
      <c r="B1407" s="2" t="s">
        <v>178</v>
      </c>
      <c r="C1407" s="2" t="s">
        <v>333</v>
      </c>
      <c r="D1407">
        <v>18</v>
      </c>
      <c r="E1407">
        <f>MONTH(makulatura3[[#This Row],[Data_dostarczenia]])</f>
        <v>9</v>
      </c>
    </row>
    <row r="1408" spans="1:5" x14ac:dyDescent="0.25">
      <c r="A1408" s="1">
        <v>42979</v>
      </c>
      <c r="B1408" s="2" t="s">
        <v>519</v>
      </c>
      <c r="C1408" s="2" t="s">
        <v>661</v>
      </c>
      <c r="D1408">
        <v>47</v>
      </c>
      <c r="E1408">
        <f>MONTH(makulatura3[[#This Row],[Data_dostarczenia]])</f>
        <v>9</v>
      </c>
    </row>
    <row r="1409" spans="1:5" x14ac:dyDescent="0.25">
      <c r="A1409" s="1">
        <v>42979</v>
      </c>
      <c r="B1409" s="2" t="s">
        <v>128</v>
      </c>
      <c r="C1409" s="2" t="s">
        <v>129</v>
      </c>
      <c r="D1409">
        <v>23</v>
      </c>
      <c r="E1409">
        <f>MONTH(makulatura3[[#This Row],[Data_dostarczenia]])</f>
        <v>9</v>
      </c>
    </row>
    <row r="1410" spans="1:5" x14ac:dyDescent="0.25">
      <c r="A1410" s="1">
        <v>42979</v>
      </c>
      <c r="B1410" s="2" t="s">
        <v>14</v>
      </c>
      <c r="C1410" s="2" t="s">
        <v>422</v>
      </c>
      <c r="D1410">
        <v>27</v>
      </c>
      <c r="E1410">
        <f>MONTH(makulatura3[[#This Row],[Data_dostarczenia]])</f>
        <v>9</v>
      </c>
    </row>
    <row r="1411" spans="1:5" x14ac:dyDescent="0.25">
      <c r="A1411" s="1">
        <v>42979</v>
      </c>
      <c r="B1411" s="2" t="s">
        <v>20</v>
      </c>
      <c r="C1411" s="2" t="s">
        <v>123</v>
      </c>
      <c r="D1411">
        <v>25</v>
      </c>
      <c r="E1411">
        <f>MONTH(makulatura3[[#This Row],[Data_dostarczenia]])</f>
        <v>9</v>
      </c>
    </row>
    <row r="1412" spans="1:5" x14ac:dyDescent="0.25">
      <c r="A1412" s="1">
        <v>42982</v>
      </c>
      <c r="B1412" s="2" t="s">
        <v>269</v>
      </c>
      <c r="C1412" s="2" t="s">
        <v>605</v>
      </c>
      <c r="D1412">
        <v>23</v>
      </c>
      <c r="E1412">
        <f>MONTH(makulatura3[[#This Row],[Data_dostarczenia]])</f>
        <v>9</v>
      </c>
    </row>
    <row r="1413" spans="1:5" x14ac:dyDescent="0.25">
      <c r="A1413" s="1">
        <v>42982</v>
      </c>
      <c r="B1413" s="2" t="s">
        <v>514</v>
      </c>
      <c r="C1413" s="2" t="s">
        <v>515</v>
      </c>
      <c r="D1413">
        <v>25</v>
      </c>
      <c r="E1413">
        <f>MONTH(makulatura3[[#This Row],[Data_dostarczenia]])</f>
        <v>9</v>
      </c>
    </row>
    <row r="1414" spans="1:5" x14ac:dyDescent="0.25">
      <c r="A1414" s="1">
        <v>42982</v>
      </c>
      <c r="B1414" s="2" t="s">
        <v>39</v>
      </c>
      <c r="C1414" s="2" t="s">
        <v>657</v>
      </c>
      <c r="D1414">
        <v>16</v>
      </c>
      <c r="E1414">
        <f>MONTH(makulatura3[[#This Row],[Data_dostarczenia]])</f>
        <v>9</v>
      </c>
    </row>
    <row r="1415" spans="1:5" x14ac:dyDescent="0.25">
      <c r="A1415" s="1">
        <v>42982</v>
      </c>
      <c r="B1415" s="2" t="s">
        <v>69</v>
      </c>
      <c r="C1415" s="2" t="s">
        <v>461</v>
      </c>
      <c r="D1415">
        <v>29</v>
      </c>
      <c r="E1415">
        <f>MONTH(makulatura3[[#This Row],[Data_dostarczenia]])</f>
        <v>9</v>
      </c>
    </row>
    <row r="1416" spans="1:5" x14ac:dyDescent="0.25">
      <c r="A1416" s="1">
        <v>42982</v>
      </c>
      <c r="B1416" s="2" t="s">
        <v>329</v>
      </c>
      <c r="C1416" s="2" t="s">
        <v>330</v>
      </c>
      <c r="D1416">
        <v>23</v>
      </c>
      <c r="E1416">
        <f>MONTH(makulatura3[[#This Row],[Data_dostarczenia]])</f>
        <v>9</v>
      </c>
    </row>
    <row r="1417" spans="1:5" x14ac:dyDescent="0.25">
      <c r="A1417" s="1">
        <v>42982</v>
      </c>
      <c r="B1417" s="2" t="s">
        <v>47</v>
      </c>
      <c r="C1417" s="2" t="s">
        <v>48</v>
      </c>
      <c r="D1417">
        <v>25</v>
      </c>
      <c r="E1417">
        <f>MONTH(makulatura3[[#This Row],[Data_dostarczenia]])</f>
        <v>9</v>
      </c>
    </row>
    <row r="1418" spans="1:5" x14ac:dyDescent="0.25">
      <c r="A1418" s="1">
        <v>42982</v>
      </c>
      <c r="B1418" s="2" t="s">
        <v>278</v>
      </c>
      <c r="C1418" s="2" t="s">
        <v>202</v>
      </c>
      <c r="D1418">
        <v>14</v>
      </c>
      <c r="E1418">
        <f>MONTH(makulatura3[[#This Row],[Data_dostarczenia]])</f>
        <v>9</v>
      </c>
    </row>
    <row r="1419" spans="1:5" x14ac:dyDescent="0.25">
      <c r="A1419" s="1">
        <v>42982</v>
      </c>
      <c r="B1419" s="2" t="s">
        <v>114</v>
      </c>
      <c r="C1419" s="2" t="s">
        <v>173</v>
      </c>
      <c r="D1419">
        <v>20</v>
      </c>
      <c r="E1419">
        <f>MONTH(makulatura3[[#This Row],[Data_dostarczenia]])</f>
        <v>9</v>
      </c>
    </row>
    <row r="1420" spans="1:5" x14ac:dyDescent="0.25">
      <c r="A1420" s="1">
        <v>42982</v>
      </c>
      <c r="B1420" s="2" t="s">
        <v>343</v>
      </c>
      <c r="C1420" s="2" t="s">
        <v>344</v>
      </c>
      <c r="D1420">
        <v>12</v>
      </c>
      <c r="E1420">
        <f>MONTH(makulatura3[[#This Row],[Data_dostarczenia]])</f>
        <v>9</v>
      </c>
    </row>
    <row r="1421" spans="1:5" x14ac:dyDescent="0.25">
      <c r="A1421" s="1">
        <v>42982</v>
      </c>
      <c r="B1421" s="2" t="s">
        <v>97</v>
      </c>
      <c r="C1421" s="2" t="s">
        <v>529</v>
      </c>
      <c r="D1421">
        <v>2</v>
      </c>
      <c r="E1421">
        <f>MONTH(makulatura3[[#This Row],[Data_dostarczenia]])</f>
        <v>9</v>
      </c>
    </row>
    <row r="1422" spans="1:5" x14ac:dyDescent="0.25">
      <c r="A1422" s="1">
        <v>42983</v>
      </c>
      <c r="B1422" s="2" t="s">
        <v>34</v>
      </c>
      <c r="C1422" s="2" t="s">
        <v>662</v>
      </c>
      <c r="D1422">
        <v>53</v>
      </c>
      <c r="E1422">
        <f>MONTH(makulatura3[[#This Row],[Data_dostarczenia]])</f>
        <v>9</v>
      </c>
    </row>
    <row r="1423" spans="1:5" x14ac:dyDescent="0.25">
      <c r="A1423" s="1">
        <v>42983</v>
      </c>
      <c r="B1423" s="2" t="s">
        <v>280</v>
      </c>
      <c r="C1423" s="2" t="s">
        <v>466</v>
      </c>
      <c r="D1423">
        <v>20</v>
      </c>
      <c r="E1423">
        <f>MONTH(makulatura3[[#This Row],[Data_dostarczenia]])</f>
        <v>9</v>
      </c>
    </row>
    <row r="1424" spans="1:5" x14ac:dyDescent="0.25">
      <c r="A1424" s="1">
        <v>42983</v>
      </c>
      <c r="B1424" s="2" t="s">
        <v>479</v>
      </c>
      <c r="C1424" s="2" t="s">
        <v>480</v>
      </c>
      <c r="D1424">
        <v>4</v>
      </c>
      <c r="E1424">
        <f>MONTH(makulatura3[[#This Row],[Data_dostarczenia]])</f>
        <v>9</v>
      </c>
    </row>
    <row r="1425" spans="1:5" x14ac:dyDescent="0.25">
      <c r="A1425" s="1">
        <v>42983</v>
      </c>
      <c r="B1425" s="2" t="s">
        <v>141</v>
      </c>
      <c r="C1425" s="2" t="s">
        <v>292</v>
      </c>
      <c r="D1425">
        <v>5</v>
      </c>
      <c r="E1425">
        <f>MONTH(makulatura3[[#This Row],[Data_dostarczenia]])</f>
        <v>9</v>
      </c>
    </row>
    <row r="1426" spans="1:5" x14ac:dyDescent="0.25">
      <c r="A1426" s="1">
        <v>42983</v>
      </c>
      <c r="B1426" s="2" t="s">
        <v>34</v>
      </c>
      <c r="C1426" s="2" t="s">
        <v>182</v>
      </c>
      <c r="D1426">
        <v>36</v>
      </c>
      <c r="E1426">
        <f>MONTH(makulatura3[[#This Row],[Data_dostarczenia]])</f>
        <v>9</v>
      </c>
    </row>
    <row r="1427" spans="1:5" x14ac:dyDescent="0.25">
      <c r="A1427" s="1">
        <v>42983</v>
      </c>
      <c r="B1427" s="2" t="s">
        <v>442</v>
      </c>
      <c r="C1427" s="2" t="s">
        <v>540</v>
      </c>
      <c r="D1427">
        <v>23</v>
      </c>
      <c r="E1427">
        <f>MONTH(makulatura3[[#This Row],[Data_dostarczenia]])</f>
        <v>9</v>
      </c>
    </row>
    <row r="1428" spans="1:5" x14ac:dyDescent="0.25">
      <c r="A1428" s="1">
        <v>42983</v>
      </c>
      <c r="B1428" s="2" t="s">
        <v>137</v>
      </c>
      <c r="C1428" s="2" t="s">
        <v>138</v>
      </c>
      <c r="D1428">
        <v>6</v>
      </c>
      <c r="E1428">
        <f>MONTH(makulatura3[[#This Row],[Data_dostarczenia]])</f>
        <v>9</v>
      </c>
    </row>
    <row r="1429" spans="1:5" x14ac:dyDescent="0.25">
      <c r="A1429" s="1">
        <v>42983</v>
      </c>
      <c r="B1429" s="2" t="s">
        <v>133</v>
      </c>
      <c r="C1429" s="2" t="s">
        <v>652</v>
      </c>
      <c r="D1429">
        <v>43</v>
      </c>
      <c r="E1429">
        <f>MONTH(makulatura3[[#This Row],[Data_dostarczenia]])</f>
        <v>9</v>
      </c>
    </row>
    <row r="1430" spans="1:5" x14ac:dyDescent="0.25">
      <c r="A1430" s="1">
        <v>42983</v>
      </c>
      <c r="B1430" s="2" t="s">
        <v>72</v>
      </c>
      <c r="C1430" s="2" t="s">
        <v>239</v>
      </c>
      <c r="D1430">
        <v>11</v>
      </c>
      <c r="E1430">
        <f>MONTH(makulatura3[[#This Row],[Data_dostarczenia]])</f>
        <v>9</v>
      </c>
    </row>
    <row r="1431" spans="1:5" x14ac:dyDescent="0.25">
      <c r="A1431" s="1">
        <v>42983</v>
      </c>
      <c r="B1431" s="2" t="s">
        <v>63</v>
      </c>
      <c r="C1431" s="2" t="s">
        <v>64</v>
      </c>
      <c r="D1431">
        <v>9</v>
      </c>
      <c r="E1431">
        <f>MONTH(makulatura3[[#This Row],[Data_dostarczenia]])</f>
        <v>9</v>
      </c>
    </row>
    <row r="1432" spans="1:5" x14ac:dyDescent="0.25">
      <c r="A1432" s="1">
        <v>42984</v>
      </c>
      <c r="B1432" s="2" t="s">
        <v>150</v>
      </c>
      <c r="C1432" s="2" t="s">
        <v>151</v>
      </c>
      <c r="D1432">
        <v>15</v>
      </c>
      <c r="E1432">
        <f>MONTH(makulatura3[[#This Row],[Data_dostarczenia]])</f>
        <v>9</v>
      </c>
    </row>
    <row r="1433" spans="1:5" x14ac:dyDescent="0.25">
      <c r="A1433" s="1">
        <v>42984</v>
      </c>
      <c r="B1433" s="2" t="s">
        <v>252</v>
      </c>
      <c r="C1433" s="2" t="s">
        <v>253</v>
      </c>
      <c r="D1433">
        <v>2</v>
      </c>
      <c r="E1433">
        <f>MONTH(makulatura3[[#This Row],[Data_dostarczenia]])</f>
        <v>9</v>
      </c>
    </row>
    <row r="1434" spans="1:5" x14ac:dyDescent="0.25">
      <c r="A1434" s="1">
        <v>42984</v>
      </c>
      <c r="B1434" s="2" t="s">
        <v>171</v>
      </c>
      <c r="C1434" s="2" t="s">
        <v>562</v>
      </c>
      <c r="D1434">
        <v>10</v>
      </c>
      <c r="E1434">
        <f>MONTH(makulatura3[[#This Row],[Data_dostarczenia]])</f>
        <v>9</v>
      </c>
    </row>
    <row r="1435" spans="1:5" x14ac:dyDescent="0.25">
      <c r="A1435" s="1">
        <v>42984</v>
      </c>
      <c r="B1435" s="2" t="s">
        <v>355</v>
      </c>
      <c r="C1435" s="2" t="s">
        <v>497</v>
      </c>
      <c r="D1435">
        <v>55</v>
      </c>
      <c r="E1435">
        <f>MONTH(makulatura3[[#This Row],[Data_dostarczenia]])</f>
        <v>9</v>
      </c>
    </row>
    <row r="1436" spans="1:5" x14ac:dyDescent="0.25">
      <c r="A1436" s="1">
        <v>42984</v>
      </c>
      <c r="B1436" s="2" t="s">
        <v>663</v>
      </c>
      <c r="C1436" s="2" t="s">
        <v>134</v>
      </c>
      <c r="D1436">
        <v>45</v>
      </c>
      <c r="E1436">
        <f>MONTH(makulatura3[[#This Row],[Data_dostarczenia]])</f>
        <v>9</v>
      </c>
    </row>
    <row r="1437" spans="1:5" x14ac:dyDescent="0.25">
      <c r="A1437" s="1">
        <v>42984</v>
      </c>
      <c r="B1437" s="2" t="s">
        <v>193</v>
      </c>
      <c r="C1437" s="2" t="s">
        <v>227</v>
      </c>
      <c r="D1437">
        <v>5</v>
      </c>
      <c r="E1437">
        <f>MONTH(makulatura3[[#This Row],[Data_dostarczenia]])</f>
        <v>9</v>
      </c>
    </row>
    <row r="1438" spans="1:5" x14ac:dyDescent="0.25">
      <c r="A1438" s="1">
        <v>42984</v>
      </c>
      <c r="B1438" s="2" t="s">
        <v>141</v>
      </c>
      <c r="C1438" s="2" t="s">
        <v>364</v>
      </c>
      <c r="D1438">
        <v>22</v>
      </c>
      <c r="E1438">
        <f>MONTH(makulatura3[[#This Row],[Data_dostarczenia]])</f>
        <v>9</v>
      </c>
    </row>
    <row r="1439" spans="1:5" x14ac:dyDescent="0.25">
      <c r="A1439" s="1">
        <v>42984</v>
      </c>
      <c r="B1439" s="2" t="s">
        <v>150</v>
      </c>
      <c r="C1439" s="2" t="s">
        <v>200</v>
      </c>
      <c r="D1439">
        <v>20</v>
      </c>
      <c r="E1439">
        <f>MONTH(makulatura3[[#This Row],[Data_dostarczenia]])</f>
        <v>9</v>
      </c>
    </row>
    <row r="1440" spans="1:5" x14ac:dyDescent="0.25">
      <c r="A1440" s="1">
        <v>42984</v>
      </c>
      <c r="B1440" s="2" t="s">
        <v>484</v>
      </c>
      <c r="C1440" s="2" t="s">
        <v>485</v>
      </c>
      <c r="D1440">
        <v>27</v>
      </c>
      <c r="E1440">
        <f>MONTH(makulatura3[[#This Row],[Data_dostarczenia]])</f>
        <v>9</v>
      </c>
    </row>
    <row r="1441" spans="1:5" x14ac:dyDescent="0.25">
      <c r="A1441" s="1">
        <v>42984</v>
      </c>
      <c r="B1441" s="2" t="s">
        <v>137</v>
      </c>
      <c r="C1441" s="2" t="s">
        <v>138</v>
      </c>
      <c r="D1441">
        <v>6</v>
      </c>
      <c r="E1441">
        <f>MONTH(makulatura3[[#This Row],[Data_dostarczenia]])</f>
        <v>9</v>
      </c>
    </row>
    <row r="1442" spans="1:5" x14ac:dyDescent="0.25">
      <c r="A1442" s="1">
        <v>42985</v>
      </c>
      <c r="B1442" s="2" t="s">
        <v>150</v>
      </c>
      <c r="C1442" s="2" t="s">
        <v>200</v>
      </c>
      <c r="D1442">
        <v>29</v>
      </c>
      <c r="E1442">
        <f>MONTH(makulatura3[[#This Row],[Data_dostarczenia]])</f>
        <v>9</v>
      </c>
    </row>
    <row r="1443" spans="1:5" x14ac:dyDescent="0.25">
      <c r="A1443" s="1">
        <v>42985</v>
      </c>
      <c r="B1443" s="2" t="s">
        <v>97</v>
      </c>
      <c r="C1443" s="2" t="s">
        <v>452</v>
      </c>
      <c r="D1443">
        <v>15</v>
      </c>
      <c r="E1443">
        <f>MONTH(makulatura3[[#This Row],[Data_dostarczenia]])</f>
        <v>9</v>
      </c>
    </row>
    <row r="1444" spans="1:5" x14ac:dyDescent="0.25">
      <c r="A1444" s="1">
        <v>42985</v>
      </c>
      <c r="B1444" s="2" t="s">
        <v>367</v>
      </c>
      <c r="C1444" s="2" t="s">
        <v>5</v>
      </c>
      <c r="D1444">
        <v>5</v>
      </c>
      <c r="E1444">
        <f>MONTH(makulatura3[[#This Row],[Data_dostarczenia]])</f>
        <v>9</v>
      </c>
    </row>
    <row r="1445" spans="1:5" x14ac:dyDescent="0.25">
      <c r="A1445" s="1">
        <v>42985</v>
      </c>
      <c r="B1445" s="2" t="s">
        <v>476</v>
      </c>
      <c r="C1445" s="2" t="s">
        <v>620</v>
      </c>
      <c r="D1445">
        <v>34</v>
      </c>
      <c r="E1445">
        <f>MONTH(makulatura3[[#This Row],[Data_dostarczenia]])</f>
        <v>9</v>
      </c>
    </row>
    <row r="1446" spans="1:5" x14ac:dyDescent="0.25">
      <c r="A1446" s="1">
        <v>42985</v>
      </c>
      <c r="B1446" s="2" t="s">
        <v>55</v>
      </c>
      <c r="C1446" s="2" t="s">
        <v>223</v>
      </c>
      <c r="D1446">
        <v>30</v>
      </c>
      <c r="E1446">
        <f>MONTH(makulatura3[[#This Row],[Data_dostarczenia]])</f>
        <v>9</v>
      </c>
    </row>
    <row r="1447" spans="1:5" x14ac:dyDescent="0.25">
      <c r="A1447" s="1">
        <v>42985</v>
      </c>
      <c r="B1447" s="2" t="s">
        <v>367</v>
      </c>
      <c r="C1447" s="2" t="s">
        <v>368</v>
      </c>
      <c r="D1447">
        <v>3</v>
      </c>
      <c r="E1447">
        <f>MONTH(makulatura3[[#This Row],[Data_dostarczenia]])</f>
        <v>9</v>
      </c>
    </row>
    <row r="1448" spans="1:5" x14ac:dyDescent="0.25">
      <c r="A1448" s="1">
        <v>42985</v>
      </c>
      <c r="B1448" s="2" t="s">
        <v>30</v>
      </c>
      <c r="C1448" s="2" t="s">
        <v>628</v>
      </c>
      <c r="D1448">
        <v>34</v>
      </c>
      <c r="E1448">
        <f>MONTH(makulatura3[[#This Row],[Data_dostarczenia]])</f>
        <v>9</v>
      </c>
    </row>
    <row r="1449" spans="1:5" x14ac:dyDescent="0.25">
      <c r="A1449" s="1">
        <v>42985</v>
      </c>
      <c r="B1449" s="2" t="s">
        <v>128</v>
      </c>
      <c r="C1449" s="2" t="s">
        <v>309</v>
      </c>
      <c r="D1449">
        <v>7</v>
      </c>
      <c r="E1449">
        <f>MONTH(makulatura3[[#This Row],[Data_dostarczenia]])</f>
        <v>9</v>
      </c>
    </row>
    <row r="1450" spans="1:5" x14ac:dyDescent="0.25">
      <c r="A1450" s="1">
        <v>42985</v>
      </c>
      <c r="B1450" s="2" t="s">
        <v>203</v>
      </c>
      <c r="C1450" s="2" t="s">
        <v>370</v>
      </c>
      <c r="D1450">
        <v>17</v>
      </c>
      <c r="E1450">
        <f>MONTH(makulatura3[[#This Row],[Data_dostarczenia]])</f>
        <v>9</v>
      </c>
    </row>
    <row r="1451" spans="1:5" x14ac:dyDescent="0.25">
      <c r="A1451" s="1">
        <v>42985</v>
      </c>
      <c r="B1451" s="2" t="s">
        <v>39</v>
      </c>
      <c r="C1451" s="2" t="s">
        <v>657</v>
      </c>
      <c r="D1451">
        <v>26</v>
      </c>
      <c r="E1451">
        <f>MONTH(makulatura3[[#This Row],[Data_dostarczenia]])</f>
        <v>9</v>
      </c>
    </row>
    <row r="1452" spans="1:5" x14ac:dyDescent="0.25">
      <c r="A1452" s="1">
        <v>42986</v>
      </c>
      <c r="B1452" s="2" t="s">
        <v>30</v>
      </c>
      <c r="C1452" s="2" t="s">
        <v>185</v>
      </c>
      <c r="D1452">
        <v>20</v>
      </c>
      <c r="E1452">
        <f>MONTH(makulatura3[[#This Row],[Data_dostarczenia]])</f>
        <v>9</v>
      </c>
    </row>
    <row r="1453" spans="1:5" x14ac:dyDescent="0.25">
      <c r="A1453" s="1">
        <v>42986</v>
      </c>
      <c r="B1453" s="2" t="s">
        <v>83</v>
      </c>
      <c r="C1453" s="2" t="s">
        <v>596</v>
      </c>
      <c r="D1453">
        <v>24</v>
      </c>
      <c r="E1453">
        <f>MONTH(makulatura3[[#This Row],[Data_dostarczenia]])</f>
        <v>9</v>
      </c>
    </row>
    <row r="1454" spans="1:5" x14ac:dyDescent="0.25">
      <c r="A1454" s="1">
        <v>42986</v>
      </c>
      <c r="B1454" s="2" t="s">
        <v>101</v>
      </c>
      <c r="C1454" s="2" t="s">
        <v>293</v>
      </c>
      <c r="D1454">
        <v>21</v>
      </c>
      <c r="E1454">
        <f>MONTH(makulatura3[[#This Row],[Data_dostarczenia]])</f>
        <v>9</v>
      </c>
    </row>
    <row r="1455" spans="1:5" x14ac:dyDescent="0.25">
      <c r="A1455" s="1">
        <v>42986</v>
      </c>
      <c r="B1455" s="2" t="s">
        <v>449</v>
      </c>
      <c r="C1455" s="2" t="s">
        <v>664</v>
      </c>
      <c r="D1455">
        <v>3</v>
      </c>
      <c r="E1455">
        <f>MONTH(makulatura3[[#This Row],[Data_dostarczenia]])</f>
        <v>9</v>
      </c>
    </row>
    <row r="1456" spans="1:5" x14ac:dyDescent="0.25">
      <c r="A1456" s="1">
        <v>42986</v>
      </c>
      <c r="B1456" s="2" t="s">
        <v>273</v>
      </c>
      <c r="C1456" s="2" t="s">
        <v>274</v>
      </c>
      <c r="D1456">
        <v>9</v>
      </c>
      <c r="E1456">
        <f>MONTH(makulatura3[[#This Row],[Data_dostarczenia]])</f>
        <v>9</v>
      </c>
    </row>
    <row r="1457" spans="1:5" x14ac:dyDescent="0.25">
      <c r="A1457" s="1">
        <v>42986</v>
      </c>
      <c r="B1457" s="2" t="s">
        <v>150</v>
      </c>
      <c r="C1457" s="2" t="s">
        <v>298</v>
      </c>
      <c r="D1457">
        <v>46</v>
      </c>
      <c r="E1457">
        <f>MONTH(makulatura3[[#This Row],[Data_dostarczenia]])</f>
        <v>9</v>
      </c>
    </row>
    <row r="1458" spans="1:5" x14ac:dyDescent="0.25">
      <c r="A1458" s="1">
        <v>42986</v>
      </c>
      <c r="B1458" s="2" t="s">
        <v>208</v>
      </c>
      <c r="C1458" s="2" t="s">
        <v>209</v>
      </c>
      <c r="D1458">
        <v>16</v>
      </c>
      <c r="E1458">
        <f>MONTH(makulatura3[[#This Row],[Data_dostarczenia]])</f>
        <v>9</v>
      </c>
    </row>
    <row r="1459" spans="1:5" x14ac:dyDescent="0.25">
      <c r="A1459" s="1">
        <v>42986</v>
      </c>
      <c r="B1459" s="2" t="s">
        <v>18</v>
      </c>
      <c r="C1459" s="2" t="s">
        <v>392</v>
      </c>
      <c r="D1459">
        <v>24</v>
      </c>
      <c r="E1459">
        <f>MONTH(makulatura3[[#This Row],[Data_dostarczenia]])</f>
        <v>9</v>
      </c>
    </row>
    <row r="1460" spans="1:5" x14ac:dyDescent="0.25">
      <c r="A1460" s="1">
        <v>42986</v>
      </c>
      <c r="B1460" s="2" t="s">
        <v>178</v>
      </c>
      <c r="C1460" s="2" t="s">
        <v>242</v>
      </c>
      <c r="D1460">
        <v>23</v>
      </c>
      <c r="E1460">
        <f>MONTH(makulatura3[[#This Row],[Data_dostarczenia]])</f>
        <v>9</v>
      </c>
    </row>
    <row r="1461" spans="1:5" x14ac:dyDescent="0.25">
      <c r="A1461" s="1">
        <v>42986</v>
      </c>
      <c r="B1461" s="2" t="s">
        <v>208</v>
      </c>
      <c r="C1461" s="2" t="s">
        <v>209</v>
      </c>
      <c r="D1461">
        <v>18</v>
      </c>
      <c r="E1461">
        <f>MONTH(makulatura3[[#This Row],[Data_dostarczenia]])</f>
        <v>9</v>
      </c>
    </row>
    <row r="1462" spans="1:5" x14ac:dyDescent="0.25">
      <c r="A1462" s="1">
        <v>42989</v>
      </c>
      <c r="B1462" s="2" t="s">
        <v>178</v>
      </c>
      <c r="C1462" s="2" t="s">
        <v>333</v>
      </c>
      <c r="D1462">
        <v>29</v>
      </c>
      <c r="E1462">
        <f>MONTH(makulatura3[[#This Row],[Data_dostarczenia]])</f>
        <v>9</v>
      </c>
    </row>
    <row r="1463" spans="1:5" x14ac:dyDescent="0.25">
      <c r="A1463" s="1">
        <v>42989</v>
      </c>
      <c r="B1463" s="2" t="s">
        <v>81</v>
      </c>
      <c r="C1463" s="2" t="s">
        <v>165</v>
      </c>
      <c r="D1463">
        <v>24</v>
      </c>
      <c r="E1463">
        <f>MONTH(makulatura3[[#This Row],[Data_dostarczenia]])</f>
        <v>9</v>
      </c>
    </row>
    <row r="1464" spans="1:5" x14ac:dyDescent="0.25">
      <c r="A1464" s="1">
        <v>42989</v>
      </c>
      <c r="B1464" s="2" t="s">
        <v>150</v>
      </c>
      <c r="C1464" s="2" t="s">
        <v>462</v>
      </c>
      <c r="D1464">
        <v>36</v>
      </c>
      <c r="E1464">
        <f>MONTH(makulatura3[[#This Row],[Data_dostarczenia]])</f>
        <v>9</v>
      </c>
    </row>
    <row r="1465" spans="1:5" x14ac:dyDescent="0.25">
      <c r="A1465" s="1">
        <v>42989</v>
      </c>
      <c r="B1465" s="2" t="s">
        <v>553</v>
      </c>
      <c r="C1465" s="2" t="s">
        <v>554</v>
      </c>
      <c r="D1465">
        <v>6</v>
      </c>
      <c r="E1465">
        <f>MONTH(makulatura3[[#This Row],[Data_dostarczenia]])</f>
        <v>9</v>
      </c>
    </row>
    <row r="1466" spans="1:5" x14ac:dyDescent="0.25">
      <c r="A1466" s="1">
        <v>42989</v>
      </c>
      <c r="B1466" s="2" t="s">
        <v>361</v>
      </c>
      <c r="C1466" s="2" t="s">
        <v>362</v>
      </c>
      <c r="D1466">
        <v>29</v>
      </c>
      <c r="E1466">
        <f>MONTH(makulatura3[[#This Row],[Data_dostarczenia]])</f>
        <v>9</v>
      </c>
    </row>
    <row r="1467" spans="1:5" x14ac:dyDescent="0.25">
      <c r="A1467" s="1">
        <v>42989</v>
      </c>
      <c r="B1467" s="2" t="s">
        <v>150</v>
      </c>
      <c r="C1467" s="2" t="s">
        <v>313</v>
      </c>
      <c r="D1467">
        <v>15</v>
      </c>
      <c r="E1467">
        <f>MONTH(makulatura3[[#This Row],[Data_dostarczenia]])</f>
        <v>9</v>
      </c>
    </row>
    <row r="1468" spans="1:5" x14ac:dyDescent="0.25">
      <c r="A1468" s="1">
        <v>42989</v>
      </c>
      <c r="B1468" s="2" t="s">
        <v>63</v>
      </c>
      <c r="C1468" s="2" t="s">
        <v>231</v>
      </c>
      <c r="D1468">
        <v>8</v>
      </c>
      <c r="E1468">
        <f>MONTH(makulatura3[[#This Row],[Data_dostarczenia]])</f>
        <v>9</v>
      </c>
    </row>
    <row r="1469" spans="1:5" x14ac:dyDescent="0.25">
      <c r="A1469" s="1">
        <v>42989</v>
      </c>
      <c r="B1469" s="2" t="s">
        <v>150</v>
      </c>
      <c r="C1469" s="2" t="s">
        <v>211</v>
      </c>
      <c r="D1469">
        <v>47</v>
      </c>
      <c r="E1469">
        <f>MONTH(makulatura3[[#This Row],[Data_dostarczenia]])</f>
        <v>9</v>
      </c>
    </row>
    <row r="1470" spans="1:5" x14ac:dyDescent="0.25">
      <c r="A1470" s="1">
        <v>42989</v>
      </c>
      <c r="B1470" s="2" t="s">
        <v>280</v>
      </c>
      <c r="C1470" s="2" t="s">
        <v>281</v>
      </c>
      <c r="D1470">
        <v>23</v>
      </c>
      <c r="E1470">
        <f>MONTH(makulatura3[[#This Row],[Data_dostarczenia]])</f>
        <v>9</v>
      </c>
    </row>
    <row r="1471" spans="1:5" x14ac:dyDescent="0.25">
      <c r="A1471" s="1">
        <v>42989</v>
      </c>
      <c r="B1471" s="2" t="s">
        <v>51</v>
      </c>
      <c r="C1471" s="2" t="s">
        <v>52</v>
      </c>
      <c r="D1471">
        <v>5</v>
      </c>
      <c r="E1471">
        <f>MONTH(makulatura3[[#This Row],[Data_dostarczenia]])</f>
        <v>9</v>
      </c>
    </row>
    <row r="1472" spans="1:5" x14ac:dyDescent="0.25">
      <c r="A1472" s="1">
        <v>42989</v>
      </c>
      <c r="B1472" s="2" t="s">
        <v>36</v>
      </c>
      <c r="C1472" s="2" t="s">
        <v>306</v>
      </c>
      <c r="D1472">
        <v>31</v>
      </c>
      <c r="E1472">
        <f>MONTH(makulatura3[[#This Row],[Data_dostarczenia]])</f>
        <v>9</v>
      </c>
    </row>
    <row r="1473" spans="1:5" x14ac:dyDescent="0.25">
      <c r="A1473" s="1">
        <v>42989</v>
      </c>
      <c r="B1473" s="2" t="s">
        <v>101</v>
      </c>
      <c r="C1473" s="2" t="s">
        <v>188</v>
      </c>
      <c r="D1473">
        <v>28</v>
      </c>
      <c r="E1473">
        <f>MONTH(makulatura3[[#This Row],[Data_dostarczenia]])</f>
        <v>9</v>
      </c>
    </row>
    <row r="1474" spans="1:5" x14ac:dyDescent="0.25">
      <c r="A1474" s="1">
        <v>42989</v>
      </c>
      <c r="B1474" s="2" t="s">
        <v>189</v>
      </c>
      <c r="C1474" s="2" t="s">
        <v>190</v>
      </c>
      <c r="D1474">
        <v>11</v>
      </c>
      <c r="E1474">
        <f>MONTH(makulatura3[[#This Row],[Data_dostarczenia]])</f>
        <v>9</v>
      </c>
    </row>
    <row r="1475" spans="1:5" x14ac:dyDescent="0.25">
      <c r="A1475" s="1">
        <v>42989</v>
      </c>
      <c r="B1475" s="2" t="s">
        <v>81</v>
      </c>
      <c r="C1475" s="2" t="s">
        <v>104</v>
      </c>
      <c r="D1475">
        <v>26</v>
      </c>
      <c r="E1475">
        <f>MONTH(makulatura3[[#This Row],[Data_dostarczenia]])</f>
        <v>9</v>
      </c>
    </row>
    <row r="1476" spans="1:5" x14ac:dyDescent="0.25">
      <c r="A1476" s="1">
        <v>42990</v>
      </c>
      <c r="B1476" s="2" t="s">
        <v>514</v>
      </c>
      <c r="C1476" s="2" t="s">
        <v>515</v>
      </c>
      <c r="D1476">
        <v>46</v>
      </c>
      <c r="E1476">
        <f>MONTH(makulatura3[[#This Row],[Data_dostarczenia]])</f>
        <v>9</v>
      </c>
    </row>
    <row r="1477" spans="1:5" x14ac:dyDescent="0.25">
      <c r="A1477" s="1">
        <v>42990</v>
      </c>
      <c r="B1477" s="2" t="s">
        <v>278</v>
      </c>
      <c r="C1477" s="2" t="s">
        <v>530</v>
      </c>
      <c r="D1477">
        <v>36</v>
      </c>
      <c r="E1477">
        <f>MONTH(makulatura3[[#This Row],[Data_dostarczenia]])</f>
        <v>9</v>
      </c>
    </row>
    <row r="1478" spans="1:5" x14ac:dyDescent="0.25">
      <c r="A1478" s="1">
        <v>42990</v>
      </c>
      <c r="B1478" s="2" t="s">
        <v>352</v>
      </c>
      <c r="C1478" s="2" t="s">
        <v>227</v>
      </c>
      <c r="D1478">
        <v>21</v>
      </c>
      <c r="E1478">
        <f>MONTH(makulatura3[[#This Row],[Data_dostarczenia]])</f>
        <v>9</v>
      </c>
    </row>
    <row r="1479" spans="1:5" x14ac:dyDescent="0.25">
      <c r="A1479" s="1">
        <v>42990</v>
      </c>
      <c r="B1479" s="2" t="s">
        <v>36</v>
      </c>
      <c r="C1479" s="2" t="s">
        <v>37</v>
      </c>
      <c r="D1479">
        <v>15</v>
      </c>
      <c r="E1479">
        <f>MONTH(makulatura3[[#This Row],[Data_dostarczenia]])</f>
        <v>9</v>
      </c>
    </row>
    <row r="1480" spans="1:5" x14ac:dyDescent="0.25">
      <c r="A1480" s="1">
        <v>42990</v>
      </c>
      <c r="B1480" s="2" t="s">
        <v>449</v>
      </c>
      <c r="C1480" s="2" t="s">
        <v>613</v>
      </c>
      <c r="D1480">
        <v>16</v>
      </c>
      <c r="E1480">
        <f>MONTH(makulatura3[[#This Row],[Data_dostarczenia]])</f>
        <v>9</v>
      </c>
    </row>
    <row r="1481" spans="1:5" x14ac:dyDescent="0.25">
      <c r="A1481" s="1">
        <v>42990</v>
      </c>
      <c r="B1481" s="2" t="s">
        <v>81</v>
      </c>
      <c r="C1481" s="2" t="s">
        <v>145</v>
      </c>
      <c r="D1481">
        <v>26</v>
      </c>
      <c r="E1481">
        <f>MONTH(makulatura3[[#This Row],[Data_dostarczenia]])</f>
        <v>9</v>
      </c>
    </row>
    <row r="1482" spans="1:5" x14ac:dyDescent="0.25">
      <c r="A1482" s="1">
        <v>42990</v>
      </c>
      <c r="B1482" s="2" t="s">
        <v>243</v>
      </c>
      <c r="C1482" s="2" t="s">
        <v>82</v>
      </c>
      <c r="D1482">
        <v>14</v>
      </c>
      <c r="E1482">
        <f>MONTH(makulatura3[[#This Row],[Data_dostarczenia]])</f>
        <v>9</v>
      </c>
    </row>
    <row r="1483" spans="1:5" x14ac:dyDescent="0.25">
      <c r="A1483" s="1">
        <v>42990</v>
      </c>
      <c r="B1483" s="2" t="s">
        <v>290</v>
      </c>
      <c r="C1483" s="2" t="s">
        <v>291</v>
      </c>
      <c r="D1483">
        <v>20</v>
      </c>
      <c r="E1483">
        <f>MONTH(makulatura3[[#This Row],[Data_dostarczenia]])</f>
        <v>9</v>
      </c>
    </row>
    <row r="1484" spans="1:5" x14ac:dyDescent="0.25">
      <c r="A1484" s="1">
        <v>42990</v>
      </c>
      <c r="B1484" s="2" t="s">
        <v>67</v>
      </c>
      <c r="C1484" s="2" t="s">
        <v>460</v>
      </c>
      <c r="D1484">
        <v>20</v>
      </c>
      <c r="E1484">
        <f>MONTH(makulatura3[[#This Row],[Data_dostarczenia]])</f>
        <v>9</v>
      </c>
    </row>
    <row r="1485" spans="1:5" x14ac:dyDescent="0.25">
      <c r="A1485" s="1">
        <v>42990</v>
      </c>
      <c r="B1485" s="2" t="s">
        <v>34</v>
      </c>
      <c r="C1485" s="2" t="s">
        <v>160</v>
      </c>
      <c r="D1485">
        <v>22</v>
      </c>
      <c r="E1485">
        <f>MONTH(makulatura3[[#This Row],[Data_dostarczenia]])</f>
        <v>9</v>
      </c>
    </row>
    <row r="1486" spans="1:5" x14ac:dyDescent="0.25">
      <c r="A1486" s="1">
        <v>42990</v>
      </c>
      <c r="B1486" s="2" t="s">
        <v>133</v>
      </c>
      <c r="C1486" s="2" t="s">
        <v>316</v>
      </c>
      <c r="D1486">
        <v>16</v>
      </c>
      <c r="E1486">
        <f>MONTH(makulatura3[[#This Row],[Data_dostarczenia]])</f>
        <v>9</v>
      </c>
    </row>
    <row r="1487" spans="1:5" x14ac:dyDescent="0.25">
      <c r="A1487" s="1">
        <v>42990</v>
      </c>
      <c r="B1487" s="2" t="s">
        <v>51</v>
      </c>
      <c r="C1487" s="2" t="s">
        <v>522</v>
      </c>
      <c r="D1487">
        <v>17</v>
      </c>
      <c r="E1487">
        <f>MONTH(makulatura3[[#This Row],[Data_dostarczenia]])</f>
        <v>9</v>
      </c>
    </row>
    <row r="1488" spans="1:5" x14ac:dyDescent="0.25">
      <c r="A1488" s="1">
        <v>42990</v>
      </c>
      <c r="B1488" s="2" t="s">
        <v>174</v>
      </c>
      <c r="C1488" s="2" t="s">
        <v>424</v>
      </c>
      <c r="D1488">
        <v>41</v>
      </c>
      <c r="E1488">
        <f>MONTH(makulatura3[[#This Row],[Data_dostarczenia]])</f>
        <v>9</v>
      </c>
    </row>
    <row r="1489" spans="1:5" x14ac:dyDescent="0.25">
      <c r="A1489" s="1">
        <v>42990</v>
      </c>
      <c r="B1489" s="2" t="s">
        <v>438</v>
      </c>
      <c r="C1489" s="2" t="s">
        <v>439</v>
      </c>
      <c r="D1489">
        <v>3</v>
      </c>
      <c r="E1489">
        <f>MONTH(makulatura3[[#This Row],[Data_dostarczenia]])</f>
        <v>9</v>
      </c>
    </row>
    <row r="1490" spans="1:5" x14ac:dyDescent="0.25">
      <c r="A1490" s="1">
        <v>42991</v>
      </c>
      <c r="B1490" s="2" t="s">
        <v>131</v>
      </c>
      <c r="C1490" s="2" t="s">
        <v>472</v>
      </c>
      <c r="D1490">
        <v>20</v>
      </c>
      <c r="E1490">
        <f>MONTH(makulatura3[[#This Row],[Data_dostarczenia]])</f>
        <v>9</v>
      </c>
    </row>
    <row r="1491" spans="1:5" x14ac:dyDescent="0.25">
      <c r="A1491" s="1">
        <v>42991</v>
      </c>
      <c r="B1491" s="2" t="s">
        <v>12</v>
      </c>
      <c r="C1491" s="2" t="s">
        <v>386</v>
      </c>
      <c r="D1491">
        <v>7</v>
      </c>
      <c r="E1491">
        <f>MONTH(makulatura3[[#This Row],[Data_dostarczenia]])</f>
        <v>9</v>
      </c>
    </row>
    <row r="1492" spans="1:5" x14ac:dyDescent="0.25">
      <c r="A1492" s="1">
        <v>42991</v>
      </c>
      <c r="B1492" s="2" t="s">
        <v>55</v>
      </c>
      <c r="C1492" s="2" t="s">
        <v>466</v>
      </c>
      <c r="D1492">
        <v>41</v>
      </c>
      <c r="E1492">
        <f>MONTH(makulatura3[[#This Row],[Data_dostarczenia]])</f>
        <v>9</v>
      </c>
    </row>
    <row r="1493" spans="1:5" x14ac:dyDescent="0.25">
      <c r="A1493" s="1">
        <v>42991</v>
      </c>
      <c r="B1493" s="2" t="s">
        <v>10</v>
      </c>
      <c r="C1493" s="2" t="s">
        <v>266</v>
      </c>
      <c r="D1493">
        <v>4</v>
      </c>
      <c r="E1493">
        <f>MONTH(makulatura3[[#This Row],[Data_dostarczenia]])</f>
        <v>9</v>
      </c>
    </row>
    <row r="1494" spans="1:5" x14ac:dyDescent="0.25">
      <c r="A1494" s="1">
        <v>42991</v>
      </c>
      <c r="B1494" s="2" t="s">
        <v>269</v>
      </c>
      <c r="C1494" s="2" t="s">
        <v>270</v>
      </c>
      <c r="D1494">
        <v>31</v>
      </c>
      <c r="E1494">
        <f>MONTH(makulatura3[[#This Row],[Data_dostarczenia]])</f>
        <v>9</v>
      </c>
    </row>
    <row r="1495" spans="1:5" x14ac:dyDescent="0.25">
      <c r="A1495" s="1">
        <v>42991</v>
      </c>
      <c r="B1495" s="2" t="s">
        <v>346</v>
      </c>
      <c r="C1495" s="2" t="s">
        <v>665</v>
      </c>
      <c r="D1495">
        <v>6</v>
      </c>
      <c r="E1495">
        <f>MONTH(makulatura3[[#This Row],[Data_dostarczenia]])</f>
        <v>9</v>
      </c>
    </row>
    <row r="1496" spans="1:5" x14ac:dyDescent="0.25">
      <c r="A1496" s="1">
        <v>42991</v>
      </c>
      <c r="B1496" s="2" t="s">
        <v>101</v>
      </c>
      <c r="C1496" s="2" t="s">
        <v>102</v>
      </c>
      <c r="D1496">
        <v>12</v>
      </c>
      <c r="E1496">
        <f>MONTH(makulatura3[[#This Row],[Data_dostarczenia]])</f>
        <v>9</v>
      </c>
    </row>
    <row r="1497" spans="1:5" x14ac:dyDescent="0.25">
      <c r="A1497" s="1">
        <v>42991</v>
      </c>
      <c r="B1497" s="2" t="s">
        <v>55</v>
      </c>
      <c r="C1497" s="2" t="s">
        <v>666</v>
      </c>
      <c r="D1497">
        <v>5</v>
      </c>
      <c r="E1497">
        <f>MONTH(makulatura3[[#This Row],[Data_dostarczenia]])</f>
        <v>9</v>
      </c>
    </row>
    <row r="1498" spans="1:5" x14ac:dyDescent="0.25">
      <c r="A1498" s="1">
        <v>42991</v>
      </c>
      <c r="B1498" s="2" t="s">
        <v>221</v>
      </c>
      <c r="C1498" s="2" t="s">
        <v>551</v>
      </c>
      <c r="D1498">
        <v>5</v>
      </c>
      <c r="E1498">
        <f>MONTH(makulatura3[[#This Row],[Data_dostarczenia]])</f>
        <v>9</v>
      </c>
    </row>
    <row r="1499" spans="1:5" x14ac:dyDescent="0.25">
      <c r="A1499" s="1">
        <v>42991</v>
      </c>
      <c r="B1499" s="2" t="s">
        <v>12</v>
      </c>
      <c r="C1499" s="2" t="s">
        <v>667</v>
      </c>
      <c r="D1499">
        <v>19</v>
      </c>
      <c r="E1499">
        <f>MONTH(makulatura3[[#This Row],[Data_dostarczenia]])</f>
        <v>9</v>
      </c>
    </row>
    <row r="1500" spans="1:5" x14ac:dyDescent="0.25">
      <c r="A1500" s="1">
        <v>42991</v>
      </c>
      <c r="B1500" s="2" t="s">
        <v>53</v>
      </c>
      <c r="C1500" s="2" t="s">
        <v>191</v>
      </c>
      <c r="D1500">
        <v>8</v>
      </c>
      <c r="E1500">
        <f>MONTH(makulatura3[[#This Row],[Data_dostarczenia]])</f>
        <v>9</v>
      </c>
    </row>
    <row r="1501" spans="1:5" x14ac:dyDescent="0.25">
      <c r="A1501" s="1">
        <v>42991</v>
      </c>
      <c r="B1501" s="2" t="s">
        <v>365</v>
      </c>
      <c r="C1501" s="2" t="s">
        <v>366</v>
      </c>
      <c r="D1501">
        <v>8</v>
      </c>
      <c r="E1501">
        <f>MONTH(makulatura3[[#This Row],[Data_dostarczenia]])</f>
        <v>9</v>
      </c>
    </row>
    <row r="1502" spans="1:5" x14ac:dyDescent="0.25">
      <c r="A1502" s="1">
        <v>42991</v>
      </c>
      <c r="B1502" s="2" t="s">
        <v>4</v>
      </c>
      <c r="C1502" s="2" t="s">
        <v>382</v>
      </c>
      <c r="D1502">
        <v>56</v>
      </c>
      <c r="E1502">
        <f>MONTH(makulatura3[[#This Row],[Data_dostarczenia]])</f>
        <v>9</v>
      </c>
    </row>
    <row r="1503" spans="1:5" x14ac:dyDescent="0.25">
      <c r="A1503" s="1">
        <v>42991</v>
      </c>
      <c r="B1503" s="2" t="s">
        <v>39</v>
      </c>
      <c r="C1503" s="2" t="s">
        <v>164</v>
      </c>
      <c r="D1503">
        <v>8</v>
      </c>
      <c r="E1503">
        <f>MONTH(makulatura3[[#This Row],[Data_dostarczenia]])</f>
        <v>9</v>
      </c>
    </row>
    <row r="1504" spans="1:5" x14ac:dyDescent="0.25">
      <c r="A1504" s="1">
        <v>42992</v>
      </c>
      <c r="B1504" s="2" t="s">
        <v>83</v>
      </c>
      <c r="C1504" s="2" t="s">
        <v>658</v>
      </c>
      <c r="D1504">
        <v>25</v>
      </c>
      <c r="E1504">
        <f>MONTH(makulatura3[[#This Row],[Data_dostarczenia]])</f>
        <v>9</v>
      </c>
    </row>
    <row r="1505" spans="1:5" x14ac:dyDescent="0.25">
      <c r="A1505" s="1">
        <v>42992</v>
      </c>
      <c r="B1505" s="2" t="s">
        <v>51</v>
      </c>
      <c r="C1505" s="2" t="s">
        <v>52</v>
      </c>
      <c r="D1505">
        <v>23</v>
      </c>
      <c r="E1505">
        <f>MONTH(makulatura3[[#This Row],[Data_dostarczenia]])</f>
        <v>9</v>
      </c>
    </row>
    <row r="1506" spans="1:5" x14ac:dyDescent="0.25">
      <c r="A1506" s="1">
        <v>42992</v>
      </c>
      <c r="B1506" s="2" t="s">
        <v>12</v>
      </c>
      <c r="C1506" s="2" t="s">
        <v>668</v>
      </c>
      <c r="D1506">
        <v>33</v>
      </c>
      <c r="E1506">
        <f>MONTH(makulatura3[[#This Row],[Data_dostarczenia]])</f>
        <v>9</v>
      </c>
    </row>
    <row r="1507" spans="1:5" x14ac:dyDescent="0.25">
      <c r="A1507" s="1">
        <v>42992</v>
      </c>
      <c r="B1507" s="2" t="s">
        <v>128</v>
      </c>
      <c r="C1507" s="2" t="s">
        <v>12</v>
      </c>
      <c r="D1507">
        <v>15</v>
      </c>
      <c r="E1507">
        <f>MONTH(makulatura3[[#This Row],[Data_dostarczenia]])</f>
        <v>9</v>
      </c>
    </row>
    <row r="1508" spans="1:5" x14ac:dyDescent="0.25">
      <c r="A1508" s="1">
        <v>42992</v>
      </c>
      <c r="B1508" s="2" t="s">
        <v>141</v>
      </c>
      <c r="C1508" s="2" t="s">
        <v>292</v>
      </c>
      <c r="D1508">
        <v>16</v>
      </c>
      <c r="E1508">
        <f>MONTH(makulatura3[[#This Row],[Data_dostarczenia]])</f>
        <v>9</v>
      </c>
    </row>
    <row r="1509" spans="1:5" x14ac:dyDescent="0.25">
      <c r="A1509" s="1">
        <v>42992</v>
      </c>
      <c r="B1509" s="2" t="s">
        <v>119</v>
      </c>
      <c r="C1509" s="2" t="s">
        <v>164</v>
      </c>
      <c r="D1509">
        <v>29</v>
      </c>
      <c r="E1509">
        <f>MONTH(makulatura3[[#This Row],[Data_dostarczenia]])</f>
        <v>9</v>
      </c>
    </row>
    <row r="1510" spans="1:5" x14ac:dyDescent="0.25">
      <c r="A1510" s="1">
        <v>42992</v>
      </c>
      <c r="B1510" s="2" t="s">
        <v>252</v>
      </c>
      <c r="C1510" s="2" t="s">
        <v>253</v>
      </c>
      <c r="D1510">
        <v>2</v>
      </c>
      <c r="E1510">
        <f>MONTH(makulatura3[[#This Row],[Data_dostarczenia]])</f>
        <v>9</v>
      </c>
    </row>
    <row r="1511" spans="1:5" x14ac:dyDescent="0.25">
      <c r="A1511" s="1">
        <v>42992</v>
      </c>
      <c r="B1511" s="2" t="s">
        <v>208</v>
      </c>
      <c r="C1511" s="2" t="s">
        <v>475</v>
      </c>
      <c r="D1511">
        <v>15</v>
      </c>
      <c r="E1511">
        <f>MONTH(makulatura3[[#This Row],[Data_dostarczenia]])</f>
        <v>9</v>
      </c>
    </row>
    <row r="1512" spans="1:5" x14ac:dyDescent="0.25">
      <c r="A1512" s="1">
        <v>42992</v>
      </c>
      <c r="B1512" s="2" t="s">
        <v>206</v>
      </c>
      <c r="C1512" s="2" t="s">
        <v>227</v>
      </c>
      <c r="D1512">
        <v>17</v>
      </c>
      <c r="E1512">
        <f>MONTH(makulatura3[[#This Row],[Data_dostarczenia]])</f>
        <v>9</v>
      </c>
    </row>
    <row r="1513" spans="1:5" x14ac:dyDescent="0.25">
      <c r="A1513" s="1">
        <v>42992</v>
      </c>
      <c r="B1513" s="2" t="s">
        <v>36</v>
      </c>
      <c r="C1513" s="2" t="s">
        <v>166</v>
      </c>
      <c r="D1513">
        <v>54</v>
      </c>
      <c r="E1513">
        <f>MONTH(makulatura3[[#This Row],[Data_dostarczenia]])</f>
        <v>9</v>
      </c>
    </row>
    <row r="1514" spans="1:5" x14ac:dyDescent="0.25">
      <c r="A1514" s="1">
        <v>42992</v>
      </c>
      <c r="B1514" s="2" t="s">
        <v>189</v>
      </c>
      <c r="C1514" s="2" t="s">
        <v>190</v>
      </c>
      <c r="D1514">
        <v>38</v>
      </c>
      <c r="E1514">
        <f>MONTH(makulatura3[[#This Row],[Data_dostarczenia]])</f>
        <v>9</v>
      </c>
    </row>
    <row r="1515" spans="1:5" x14ac:dyDescent="0.25">
      <c r="A1515" s="1">
        <v>42992</v>
      </c>
      <c r="B1515" s="2" t="s">
        <v>150</v>
      </c>
      <c r="C1515" s="2" t="s">
        <v>200</v>
      </c>
      <c r="D1515">
        <v>9</v>
      </c>
      <c r="E1515">
        <f>MONTH(makulatura3[[#This Row],[Data_dostarczenia]])</f>
        <v>9</v>
      </c>
    </row>
    <row r="1516" spans="1:5" x14ac:dyDescent="0.25">
      <c r="A1516" s="1">
        <v>42992</v>
      </c>
      <c r="B1516" s="2" t="s">
        <v>63</v>
      </c>
      <c r="C1516" s="2" t="s">
        <v>64</v>
      </c>
      <c r="D1516">
        <v>3</v>
      </c>
      <c r="E1516">
        <f>MONTH(makulatura3[[#This Row],[Data_dostarczenia]])</f>
        <v>9</v>
      </c>
    </row>
    <row r="1517" spans="1:5" x14ac:dyDescent="0.25">
      <c r="A1517" s="1">
        <v>42992</v>
      </c>
      <c r="B1517" s="2" t="s">
        <v>69</v>
      </c>
      <c r="C1517" s="2" t="s">
        <v>108</v>
      </c>
      <c r="D1517">
        <v>17</v>
      </c>
      <c r="E1517">
        <f>MONTH(makulatura3[[#This Row],[Data_dostarczenia]])</f>
        <v>9</v>
      </c>
    </row>
    <row r="1518" spans="1:5" x14ac:dyDescent="0.25">
      <c r="A1518" s="1">
        <v>42993</v>
      </c>
      <c r="B1518" s="2" t="s">
        <v>248</v>
      </c>
      <c r="C1518" s="2" t="s">
        <v>337</v>
      </c>
      <c r="D1518">
        <v>12</v>
      </c>
      <c r="E1518">
        <f>MONTH(makulatura3[[#This Row],[Data_dostarczenia]])</f>
        <v>9</v>
      </c>
    </row>
    <row r="1519" spans="1:5" x14ac:dyDescent="0.25">
      <c r="A1519" s="1">
        <v>42993</v>
      </c>
      <c r="B1519" s="2" t="s">
        <v>57</v>
      </c>
      <c r="C1519" s="2" t="s">
        <v>399</v>
      </c>
      <c r="D1519">
        <v>28</v>
      </c>
      <c r="E1519">
        <f>MONTH(makulatura3[[#This Row],[Data_dostarczenia]])</f>
        <v>9</v>
      </c>
    </row>
    <row r="1520" spans="1:5" x14ac:dyDescent="0.25">
      <c r="A1520" s="1">
        <v>42993</v>
      </c>
      <c r="B1520" s="2" t="s">
        <v>128</v>
      </c>
      <c r="C1520" s="2" t="s">
        <v>309</v>
      </c>
      <c r="D1520">
        <v>4</v>
      </c>
      <c r="E1520">
        <f>MONTH(makulatura3[[#This Row],[Data_dostarczenia]])</f>
        <v>9</v>
      </c>
    </row>
    <row r="1521" spans="1:5" x14ac:dyDescent="0.25">
      <c r="A1521" s="1">
        <v>42993</v>
      </c>
      <c r="B1521" s="2" t="s">
        <v>346</v>
      </c>
      <c r="C1521" s="2" t="s">
        <v>669</v>
      </c>
      <c r="D1521">
        <v>5</v>
      </c>
      <c r="E1521">
        <f>MONTH(makulatura3[[#This Row],[Data_dostarczenia]])</f>
        <v>9</v>
      </c>
    </row>
    <row r="1522" spans="1:5" x14ac:dyDescent="0.25">
      <c r="A1522" s="1">
        <v>42993</v>
      </c>
      <c r="B1522" s="2" t="s">
        <v>67</v>
      </c>
      <c r="C1522" s="2" t="s">
        <v>670</v>
      </c>
      <c r="D1522">
        <v>30</v>
      </c>
      <c r="E1522">
        <f>MONTH(makulatura3[[#This Row],[Data_dostarczenia]])</f>
        <v>9</v>
      </c>
    </row>
    <row r="1523" spans="1:5" x14ac:dyDescent="0.25">
      <c r="A1523" s="1">
        <v>42993</v>
      </c>
      <c r="B1523" s="2" t="s">
        <v>55</v>
      </c>
      <c r="C1523" s="2" t="s">
        <v>326</v>
      </c>
      <c r="D1523">
        <v>40</v>
      </c>
      <c r="E1523">
        <f>MONTH(makulatura3[[#This Row],[Data_dostarczenia]])</f>
        <v>9</v>
      </c>
    </row>
    <row r="1524" spans="1:5" x14ac:dyDescent="0.25">
      <c r="A1524" s="1">
        <v>42993</v>
      </c>
      <c r="B1524" s="2" t="s">
        <v>193</v>
      </c>
      <c r="C1524" s="2" t="s">
        <v>228</v>
      </c>
      <c r="D1524">
        <v>10</v>
      </c>
      <c r="E1524">
        <f>MONTH(makulatura3[[#This Row],[Data_dostarczenia]])</f>
        <v>9</v>
      </c>
    </row>
    <row r="1525" spans="1:5" x14ac:dyDescent="0.25">
      <c r="A1525" s="1">
        <v>42993</v>
      </c>
      <c r="B1525" s="2" t="s">
        <v>346</v>
      </c>
      <c r="C1525" s="2" t="s">
        <v>347</v>
      </c>
      <c r="D1525">
        <v>20</v>
      </c>
      <c r="E1525">
        <f>MONTH(makulatura3[[#This Row],[Data_dostarczenia]])</f>
        <v>9</v>
      </c>
    </row>
    <row r="1526" spans="1:5" x14ac:dyDescent="0.25">
      <c r="A1526" s="1">
        <v>42993</v>
      </c>
      <c r="B1526" s="2" t="s">
        <v>150</v>
      </c>
      <c r="C1526" s="2" t="s">
        <v>313</v>
      </c>
      <c r="D1526">
        <v>12</v>
      </c>
      <c r="E1526">
        <f>MONTH(makulatura3[[#This Row],[Data_dostarczenia]])</f>
        <v>9</v>
      </c>
    </row>
    <row r="1527" spans="1:5" x14ac:dyDescent="0.25">
      <c r="A1527" s="1">
        <v>42993</v>
      </c>
      <c r="B1527" s="2" t="s">
        <v>201</v>
      </c>
      <c r="C1527" s="2" t="s">
        <v>357</v>
      </c>
      <c r="D1527">
        <v>9</v>
      </c>
      <c r="E1527">
        <f>MONTH(makulatura3[[#This Row],[Data_dostarczenia]])</f>
        <v>9</v>
      </c>
    </row>
    <row r="1528" spans="1:5" x14ac:dyDescent="0.25">
      <c r="A1528" s="1">
        <v>42993</v>
      </c>
      <c r="B1528" s="2" t="s">
        <v>232</v>
      </c>
      <c r="C1528" s="2" t="s">
        <v>487</v>
      </c>
      <c r="D1528">
        <v>46</v>
      </c>
      <c r="E1528">
        <f>MONTH(makulatura3[[#This Row],[Data_dostarczenia]])</f>
        <v>9</v>
      </c>
    </row>
    <row r="1529" spans="1:5" x14ac:dyDescent="0.25">
      <c r="A1529" s="1">
        <v>42993</v>
      </c>
      <c r="B1529" s="2" t="s">
        <v>234</v>
      </c>
      <c r="C1529" s="2" t="s">
        <v>516</v>
      </c>
      <c r="D1529">
        <v>30</v>
      </c>
      <c r="E1529">
        <f>MONTH(makulatura3[[#This Row],[Data_dostarczenia]])</f>
        <v>9</v>
      </c>
    </row>
    <row r="1530" spans="1:5" x14ac:dyDescent="0.25">
      <c r="A1530" s="1">
        <v>42993</v>
      </c>
      <c r="B1530" s="2" t="s">
        <v>53</v>
      </c>
      <c r="C1530" s="2" t="s">
        <v>227</v>
      </c>
      <c r="D1530">
        <v>25</v>
      </c>
      <c r="E1530">
        <f>MONTH(makulatura3[[#This Row],[Data_dostarczenia]])</f>
        <v>9</v>
      </c>
    </row>
    <row r="1531" spans="1:5" x14ac:dyDescent="0.25">
      <c r="A1531" s="1">
        <v>42993</v>
      </c>
      <c r="B1531" s="2" t="s">
        <v>55</v>
      </c>
      <c r="C1531" s="2" t="s">
        <v>265</v>
      </c>
      <c r="D1531">
        <v>25</v>
      </c>
      <c r="E1531">
        <f>MONTH(makulatura3[[#This Row],[Data_dostarczenia]])</f>
        <v>9</v>
      </c>
    </row>
    <row r="1532" spans="1:5" x14ac:dyDescent="0.25">
      <c r="A1532" s="1">
        <v>42996</v>
      </c>
      <c r="B1532" s="2" t="s">
        <v>155</v>
      </c>
      <c r="C1532" s="2" t="s">
        <v>186</v>
      </c>
      <c r="D1532">
        <v>15</v>
      </c>
      <c r="E1532">
        <f>MONTH(makulatura3[[#This Row],[Data_dostarczenia]])</f>
        <v>9</v>
      </c>
    </row>
    <row r="1533" spans="1:5" x14ac:dyDescent="0.25">
      <c r="A1533" s="1">
        <v>42996</v>
      </c>
      <c r="B1533" s="2" t="s">
        <v>152</v>
      </c>
      <c r="C1533" s="2" t="s">
        <v>534</v>
      </c>
      <c r="D1533">
        <v>8</v>
      </c>
      <c r="E1533">
        <f>MONTH(makulatura3[[#This Row],[Data_dostarczenia]])</f>
        <v>9</v>
      </c>
    </row>
    <row r="1534" spans="1:5" x14ac:dyDescent="0.25">
      <c r="A1534" s="1">
        <v>42996</v>
      </c>
      <c r="B1534" s="2" t="s">
        <v>232</v>
      </c>
      <c r="C1534" s="2" t="s">
        <v>451</v>
      </c>
      <c r="D1534">
        <v>8</v>
      </c>
      <c r="E1534">
        <f>MONTH(makulatura3[[#This Row],[Data_dostarczenia]])</f>
        <v>9</v>
      </c>
    </row>
    <row r="1535" spans="1:5" x14ac:dyDescent="0.25">
      <c r="A1535" s="1">
        <v>42996</v>
      </c>
      <c r="B1535" s="2" t="s">
        <v>83</v>
      </c>
      <c r="C1535" s="2" t="s">
        <v>455</v>
      </c>
      <c r="D1535">
        <v>20</v>
      </c>
      <c r="E1535">
        <f>MONTH(makulatura3[[#This Row],[Data_dostarczenia]])</f>
        <v>9</v>
      </c>
    </row>
    <row r="1536" spans="1:5" x14ac:dyDescent="0.25">
      <c r="A1536" s="1">
        <v>42996</v>
      </c>
      <c r="B1536" s="2" t="s">
        <v>20</v>
      </c>
      <c r="C1536" s="2" t="s">
        <v>123</v>
      </c>
      <c r="D1536">
        <v>53</v>
      </c>
      <c r="E1536">
        <f>MONTH(makulatura3[[#This Row],[Data_dostarczenia]])</f>
        <v>9</v>
      </c>
    </row>
    <row r="1537" spans="1:5" x14ac:dyDescent="0.25">
      <c r="A1537" s="1">
        <v>42996</v>
      </c>
      <c r="B1537" s="2" t="s">
        <v>280</v>
      </c>
      <c r="C1537" s="2" t="s">
        <v>466</v>
      </c>
      <c r="D1537">
        <v>50</v>
      </c>
      <c r="E1537">
        <f>MONTH(makulatura3[[#This Row],[Data_dostarczenia]])</f>
        <v>9</v>
      </c>
    </row>
    <row r="1538" spans="1:5" x14ac:dyDescent="0.25">
      <c r="A1538" s="1">
        <v>42996</v>
      </c>
      <c r="B1538" s="2" t="s">
        <v>63</v>
      </c>
      <c r="C1538" s="2" t="s">
        <v>671</v>
      </c>
      <c r="D1538">
        <v>52</v>
      </c>
      <c r="E1538">
        <f>MONTH(makulatura3[[#This Row],[Data_dostarczenia]])</f>
        <v>9</v>
      </c>
    </row>
    <row r="1539" spans="1:5" x14ac:dyDescent="0.25">
      <c r="A1539" s="1">
        <v>42996</v>
      </c>
      <c r="B1539" s="2" t="s">
        <v>141</v>
      </c>
      <c r="C1539" s="2" t="s">
        <v>649</v>
      </c>
      <c r="D1539">
        <v>12</v>
      </c>
      <c r="E1539">
        <f>MONTH(makulatura3[[#This Row],[Data_dostarczenia]])</f>
        <v>9</v>
      </c>
    </row>
    <row r="1540" spans="1:5" x14ac:dyDescent="0.25">
      <c r="A1540" s="1">
        <v>42996</v>
      </c>
      <c r="B1540" s="2" t="s">
        <v>81</v>
      </c>
      <c r="C1540" s="2" t="s">
        <v>496</v>
      </c>
      <c r="D1540">
        <v>14</v>
      </c>
      <c r="E1540">
        <f>MONTH(makulatura3[[#This Row],[Data_dostarczenia]])</f>
        <v>9</v>
      </c>
    </row>
    <row r="1541" spans="1:5" x14ac:dyDescent="0.25">
      <c r="A1541" s="1">
        <v>42996</v>
      </c>
      <c r="B1541" s="2" t="s">
        <v>87</v>
      </c>
      <c r="C1541" s="2" t="s">
        <v>255</v>
      </c>
      <c r="D1541">
        <v>12</v>
      </c>
      <c r="E1541">
        <f>MONTH(makulatura3[[#This Row],[Data_dostarczenia]])</f>
        <v>9</v>
      </c>
    </row>
    <row r="1542" spans="1:5" x14ac:dyDescent="0.25">
      <c r="A1542" s="1">
        <v>42996</v>
      </c>
      <c r="B1542" s="2" t="s">
        <v>27</v>
      </c>
      <c r="C1542" s="2" t="s">
        <v>28</v>
      </c>
      <c r="D1542">
        <v>27</v>
      </c>
      <c r="E1542">
        <f>MONTH(makulatura3[[#This Row],[Data_dostarczenia]])</f>
        <v>9</v>
      </c>
    </row>
    <row r="1543" spans="1:5" x14ac:dyDescent="0.25">
      <c r="A1543" s="1">
        <v>42996</v>
      </c>
      <c r="B1543" s="2" t="s">
        <v>234</v>
      </c>
      <c r="C1543" s="2" t="s">
        <v>516</v>
      </c>
      <c r="D1543">
        <v>25</v>
      </c>
      <c r="E1543">
        <f>MONTH(makulatura3[[#This Row],[Data_dostarczenia]])</f>
        <v>9</v>
      </c>
    </row>
    <row r="1544" spans="1:5" x14ac:dyDescent="0.25">
      <c r="A1544" s="1">
        <v>42997</v>
      </c>
      <c r="B1544" s="2" t="s">
        <v>494</v>
      </c>
      <c r="C1544" s="2" t="s">
        <v>495</v>
      </c>
      <c r="D1544">
        <v>29</v>
      </c>
      <c r="E1544">
        <f>MONTH(makulatura3[[#This Row],[Data_dostarczenia]])</f>
        <v>9</v>
      </c>
    </row>
    <row r="1545" spans="1:5" x14ac:dyDescent="0.25">
      <c r="A1545" s="1">
        <v>42997</v>
      </c>
      <c r="B1545" s="2" t="s">
        <v>341</v>
      </c>
      <c r="C1545" s="2" t="s">
        <v>342</v>
      </c>
      <c r="D1545">
        <v>54</v>
      </c>
      <c r="E1545">
        <f>MONTH(makulatura3[[#This Row],[Data_dostarczenia]])</f>
        <v>9</v>
      </c>
    </row>
    <row r="1546" spans="1:5" x14ac:dyDescent="0.25">
      <c r="A1546" s="1">
        <v>42997</v>
      </c>
      <c r="B1546" s="2" t="s">
        <v>97</v>
      </c>
      <c r="C1546" s="2" t="s">
        <v>452</v>
      </c>
      <c r="D1546">
        <v>10</v>
      </c>
      <c r="E1546">
        <f>MONTH(makulatura3[[#This Row],[Data_dostarczenia]])</f>
        <v>9</v>
      </c>
    </row>
    <row r="1547" spans="1:5" x14ac:dyDescent="0.25">
      <c r="A1547" s="1">
        <v>42997</v>
      </c>
      <c r="B1547" s="2" t="s">
        <v>30</v>
      </c>
      <c r="C1547" s="2" t="s">
        <v>463</v>
      </c>
      <c r="D1547">
        <v>28</v>
      </c>
      <c r="E1547">
        <f>MONTH(makulatura3[[#This Row],[Data_dostarczenia]])</f>
        <v>9</v>
      </c>
    </row>
    <row r="1548" spans="1:5" x14ac:dyDescent="0.25">
      <c r="A1548" s="1">
        <v>42997</v>
      </c>
      <c r="B1548" s="2" t="s">
        <v>271</v>
      </c>
      <c r="C1548" s="2" t="s">
        <v>272</v>
      </c>
      <c r="D1548">
        <v>7</v>
      </c>
      <c r="E1548">
        <f>MONTH(makulatura3[[#This Row],[Data_dostarczenia]])</f>
        <v>9</v>
      </c>
    </row>
    <row r="1549" spans="1:5" x14ac:dyDescent="0.25">
      <c r="A1549" s="1">
        <v>42997</v>
      </c>
      <c r="B1549" s="2" t="s">
        <v>83</v>
      </c>
      <c r="C1549" s="2" t="s">
        <v>646</v>
      </c>
      <c r="D1549">
        <v>18</v>
      </c>
      <c r="E1549">
        <f>MONTH(makulatura3[[#This Row],[Data_dostarczenia]])</f>
        <v>9</v>
      </c>
    </row>
    <row r="1550" spans="1:5" x14ac:dyDescent="0.25">
      <c r="A1550" s="1">
        <v>42997</v>
      </c>
      <c r="B1550" s="2" t="s">
        <v>141</v>
      </c>
      <c r="C1550" s="2" t="s">
        <v>612</v>
      </c>
      <c r="D1550">
        <v>10</v>
      </c>
      <c r="E1550">
        <f>MONTH(makulatura3[[#This Row],[Data_dostarczenia]])</f>
        <v>9</v>
      </c>
    </row>
    <row r="1551" spans="1:5" x14ac:dyDescent="0.25">
      <c r="A1551" s="1">
        <v>42997</v>
      </c>
      <c r="B1551" s="2" t="s">
        <v>27</v>
      </c>
      <c r="C1551" s="2" t="s">
        <v>94</v>
      </c>
      <c r="D1551">
        <v>24</v>
      </c>
      <c r="E1551">
        <f>MONTH(makulatura3[[#This Row],[Data_dostarczenia]])</f>
        <v>9</v>
      </c>
    </row>
    <row r="1552" spans="1:5" x14ac:dyDescent="0.25">
      <c r="A1552" s="1">
        <v>42997</v>
      </c>
      <c r="B1552" s="2" t="s">
        <v>18</v>
      </c>
      <c r="C1552" s="2" t="s">
        <v>392</v>
      </c>
      <c r="D1552">
        <v>19</v>
      </c>
      <c r="E1552">
        <f>MONTH(makulatura3[[#This Row],[Data_dostarczenia]])</f>
        <v>9</v>
      </c>
    </row>
    <row r="1553" spans="1:5" x14ac:dyDescent="0.25">
      <c r="A1553" s="1">
        <v>42997</v>
      </c>
      <c r="B1553" s="2" t="s">
        <v>219</v>
      </c>
      <c r="C1553" s="2" t="s">
        <v>543</v>
      </c>
      <c r="D1553">
        <v>28</v>
      </c>
      <c r="E1553">
        <f>MONTH(makulatura3[[#This Row],[Data_dostarczenia]])</f>
        <v>9</v>
      </c>
    </row>
    <row r="1554" spans="1:5" x14ac:dyDescent="0.25">
      <c r="A1554" s="1">
        <v>42997</v>
      </c>
      <c r="B1554" s="2" t="s">
        <v>150</v>
      </c>
      <c r="C1554" s="2" t="s">
        <v>298</v>
      </c>
      <c r="D1554">
        <v>5</v>
      </c>
      <c r="E1554">
        <f>MONTH(makulatura3[[#This Row],[Data_dostarczenia]])</f>
        <v>9</v>
      </c>
    </row>
    <row r="1555" spans="1:5" x14ac:dyDescent="0.25">
      <c r="A1555" s="1">
        <v>42997</v>
      </c>
      <c r="B1555" s="2" t="s">
        <v>314</v>
      </c>
      <c r="C1555" s="2" t="s">
        <v>315</v>
      </c>
      <c r="D1555">
        <v>17</v>
      </c>
      <c r="E1555">
        <f>MONTH(makulatura3[[#This Row],[Data_dostarczenia]])</f>
        <v>9</v>
      </c>
    </row>
    <row r="1556" spans="1:5" x14ac:dyDescent="0.25">
      <c r="A1556" s="1">
        <v>42998</v>
      </c>
      <c r="B1556" s="2" t="s">
        <v>67</v>
      </c>
      <c r="C1556" s="2" t="s">
        <v>460</v>
      </c>
      <c r="D1556">
        <v>53</v>
      </c>
      <c r="E1556">
        <f>MONTH(makulatura3[[#This Row],[Data_dostarczenia]])</f>
        <v>9</v>
      </c>
    </row>
    <row r="1557" spans="1:5" x14ac:dyDescent="0.25">
      <c r="A1557" s="1">
        <v>42998</v>
      </c>
      <c r="B1557" s="2" t="s">
        <v>217</v>
      </c>
      <c r="C1557" s="2" t="s">
        <v>218</v>
      </c>
      <c r="D1557">
        <v>5</v>
      </c>
      <c r="E1557">
        <f>MONTH(makulatura3[[#This Row],[Data_dostarczenia]])</f>
        <v>9</v>
      </c>
    </row>
    <row r="1558" spans="1:5" x14ac:dyDescent="0.25">
      <c r="A1558" s="1">
        <v>42998</v>
      </c>
      <c r="B1558" s="2" t="s">
        <v>672</v>
      </c>
      <c r="C1558" s="2" t="s">
        <v>673</v>
      </c>
      <c r="D1558">
        <v>35</v>
      </c>
      <c r="E1558">
        <f>MONTH(makulatura3[[#This Row],[Data_dostarczenia]])</f>
        <v>9</v>
      </c>
    </row>
    <row r="1559" spans="1:5" x14ac:dyDescent="0.25">
      <c r="A1559" s="1">
        <v>42998</v>
      </c>
      <c r="B1559" s="2" t="s">
        <v>12</v>
      </c>
      <c r="C1559" s="2" t="s">
        <v>38</v>
      </c>
      <c r="D1559">
        <v>17</v>
      </c>
      <c r="E1559">
        <f>MONTH(makulatura3[[#This Row],[Data_dostarczenia]])</f>
        <v>9</v>
      </c>
    </row>
    <row r="1560" spans="1:5" x14ac:dyDescent="0.25">
      <c r="A1560" s="1">
        <v>42998</v>
      </c>
      <c r="B1560" s="2" t="s">
        <v>67</v>
      </c>
      <c r="C1560" s="2" t="s">
        <v>68</v>
      </c>
      <c r="D1560">
        <v>12</v>
      </c>
      <c r="E1560">
        <f>MONTH(makulatura3[[#This Row],[Data_dostarczenia]])</f>
        <v>9</v>
      </c>
    </row>
    <row r="1561" spans="1:5" x14ac:dyDescent="0.25">
      <c r="A1561" s="1">
        <v>42998</v>
      </c>
      <c r="B1561" s="2" t="s">
        <v>81</v>
      </c>
      <c r="C1561" s="2" t="s">
        <v>104</v>
      </c>
      <c r="D1561">
        <v>28</v>
      </c>
      <c r="E1561">
        <f>MONTH(makulatura3[[#This Row],[Data_dostarczenia]])</f>
        <v>9</v>
      </c>
    </row>
    <row r="1562" spans="1:5" x14ac:dyDescent="0.25">
      <c r="A1562" s="1">
        <v>42998</v>
      </c>
      <c r="B1562" s="2" t="s">
        <v>55</v>
      </c>
      <c r="C1562" s="2" t="s">
        <v>492</v>
      </c>
      <c r="D1562">
        <v>47</v>
      </c>
      <c r="E1562">
        <f>MONTH(makulatura3[[#This Row],[Data_dostarczenia]])</f>
        <v>9</v>
      </c>
    </row>
    <row r="1563" spans="1:5" x14ac:dyDescent="0.25">
      <c r="A1563" s="1">
        <v>42998</v>
      </c>
      <c r="B1563" s="2" t="s">
        <v>69</v>
      </c>
      <c r="C1563" s="2" t="s">
        <v>461</v>
      </c>
      <c r="D1563">
        <v>5</v>
      </c>
      <c r="E1563">
        <f>MONTH(makulatura3[[#This Row],[Data_dostarczenia]])</f>
        <v>9</v>
      </c>
    </row>
    <row r="1564" spans="1:5" x14ac:dyDescent="0.25">
      <c r="A1564" s="1">
        <v>42999</v>
      </c>
      <c r="B1564" s="2" t="s">
        <v>83</v>
      </c>
      <c r="C1564" s="2" t="s">
        <v>596</v>
      </c>
      <c r="D1564">
        <v>7</v>
      </c>
      <c r="E1564">
        <f>MONTH(makulatura3[[#This Row],[Data_dostarczenia]])</f>
        <v>9</v>
      </c>
    </row>
    <row r="1565" spans="1:5" x14ac:dyDescent="0.25">
      <c r="A1565" s="1">
        <v>42999</v>
      </c>
      <c r="B1565" s="2" t="s">
        <v>65</v>
      </c>
      <c r="C1565" s="2" t="s">
        <v>674</v>
      </c>
      <c r="D1565">
        <v>52</v>
      </c>
      <c r="E1565">
        <f>MONTH(makulatura3[[#This Row],[Data_dostarczenia]])</f>
        <v>9</v>
      </c>
    </row>
    <row r="1566" spans="1:5" x14ac:dyDescent="0.25">
      <c r="A1566" s="1">
        <v>42999</v>
      </c>
      <c r="B1566" s="2" t="s">
        <v>12</v>
      </c>
      <c r="C1566" s="2" t="s">
        <v>549</v>
      </c>
      <c r="D1566">
        <v>50</v>
      </c>
      <c r="E1566">
        <f>MONTH(makulatura3[[#This Row],[Data_dostarczenia]])</f>
        <v>9</v>
      </c>
    </row>
    <row r="1567" spans="1:5" x14ac:dyDescent="0.25">
      <c r="A1567" s="1">
        <v>42999</v>
      </c>
      <c r="B1567" s="2" t="s">
        <v>34</v>
      </c>
      <c r="C1567" s="2" t="s">
        <v>182</v>
      </c>
      <c r="D1567">
        <v>10</v>
      </c>
      <c r="E1567">
        <f>MONTH(makulatura3[[#This Row],[Data_dostarczenia]])</f>
        <v>9</v>
      </c>
    </row>
    <row r="1568" spans="1:5" x14ac:dyDescent="0.25">
      <c r="A1568" s="1">
        <v>42999</v>
      </c>
      <c r="B1568" s="2" t="s">
        <v>438</v>
      </c>
      <c r="C1568" s="2" t="s">
        <v>439</v>
      </c>
      <c r="D1568">
        <v>5</v>
      </c>
      <c r="E1568">
        <f>MONTH(makulatura3[[#This Row],[Data_dostarczenia]])</f>
        <v>9</v>
      </c>
    </row>
    <row r="1569" spans="1:5" x14ac:dyDescent="0.25">
      <c r="A1569" s="1">
        <v>42999</v>
      </c>
      <c r="B1569" s="2" t="s">
        <v>81</v>
      </c>
      <c r="C1569" s="2" t="s">
        <v>584</v>
      </c>
      <c r="D1569">
        <v>17</v>
      </c>
      <c r="E1569">
        <f>MONTH(makulatura3[[#This Row],[Data_dostarczenia]])</f>
        <v>9</v>
      </c>
    </row>
    <row r="1570" spans="1:5" x14ac:dyDescent="0.25">
      <c r="A1570" s="1">
        <v>42999</v>
      </c>
      <c r="B1570" s="2" t="s">
        <v>12</v>
      </c>
      <c r="C1570" s="2" t="s">
        <v>386</v>
      </c>
      <c r="D1570">
        <v>24</v>
      </c>
      <c r="E1570">
        <f>MONTH(makulatura3[[#This Row],[Data_dostarczenia]])</f>
        <v>9</v>
      </c>
    </row>
    <row r="1571" spans="1:5" x14ac:dyDescent="0.25">
      <c r="A1571" s="1">
        <v>42999</v>
      </c>
      <c r="B1571" s="2" t="s">
        <v>409</v>
      </c>
      <c r="C1571" s="2" t="s">
        <v>656</v>
      </c>
      <c r="D1571">
        <v>50</v>
      </c>
      <c r="E1571">
        <f>MONTH(makulatura3[[#This Row],[Data_dostarczenia]])</f>
        <v>9</v>
      </c>
    </row>
    <row r="1572" spans="1:5" x14ac:dyDescent="0.25">
      <c r="A1572" s="1">
        <v>43000</v>
      </c>
      <c r="B1572" s="2" t="s">
        <v>101</v>
      </c>
      <c r="C1572" s="2" t="s">
        <v>188</v>
      </c>
      <c r="D1572">
        <v>9</v>
      </c>
      <c r="E1572">
        <f>MONTH(makulatura3[[#This Row],[Data_dostarczenia]])</f>
        <v>9</v>
      </c>
    </row>
    <row r="1573" spans="1:5" x14ac:dyDescent="0.25">
      <c r="A1573" s="1">
        <v>43000</v>
      </c>
      <c r="B1573" s="2" t="s">
        <v>83</v>
      </c>
      <c r="C1573" s="2" t="s">
        <v>561</v>
      </c>
      <c r="D1573">
        <v>6</v>
      </c>
      <c r="E1573">
        <f>MONTH(makulatura3[[#This Row],[Data_dostarczenia]])</f>
        <v>9</v>
      </c>
    </row>
    <row r="1574" spans="1:5" x14ac:dyDescent="0.25">
      <c r="A1574" s="1">
        <v>43000</v>
      </c>
      <c r="B1574" s="2" t="s">
        <v>232</v>
      </c>
      <c r="C1574" s="2" t="s">
        <v>405</v>
      </c>
      <c r="D1574">
        <v>24</v>
      </c>
      <c r="E1574">
        <f>MONTH(makulatura3[[#This Row],[Data_dostarczenia]])</f>
        <v>9</v>
      </c>
    </row>
    <row r="1575" spans="1:5" x14ac:dyDescent="0.25">
      <c r="A1575" s="1">
        <v>43000</v>
      </c>
      <c r="B1575" s="2" t="s">
        <v>95</v>
      </c>
      <c r="C1575" s="2" t="s">
        <v>426</v>
      </c>
      <c r="D1575">
        <v>15</v>
      </c>
      <c r="E1575">
        <f>MONTH(makulatura3[[#This Row],[Data_dostarczenia]])</f>
        <v>9</v>
      </c>
    </row>
    <row r="1576" spans="1:5" x14ac:dyDescent="0.25">
      <c r="A1576" s="1">
        <v>43000</v>
      </c>
      <c r="B1576" s="2" t="s">
        <v>150</v>
      </c>
      <c r="C1576" s="2" t="s">
        <v>258</v>
      </c>
      <c r="D1576">
        <v>16</v>
      </c>
      <c r="E1576">
        <f>MONTH(makulatura3[[#This Row],[Data_dostarczenia]])</f>
        <v>9</v>
      </c>
    </row>
    <row r="1577" spans="1:5" x14ac:dyDescent="0.25">
      <c r="A1577" s="1">
        <v>43000</v>
      </c>
      <c r="B1577" s="2" t="s">
        <v>55</v>
      </c>
      <c r="C1577" s="2" t="s">
        <v>493</v>
      </c>
      <c r="D1577">
        <v>10</v>
      </c>
      <c r="E1577">
        <f>MONTH(makulatura3[[#This Row],[Data_dostarczenia]])</f>
        <v>9</v>
      </c>
    </row>
    <row r="1578" spans="1:5" x14ac:dyDescent="0.25">
      <c r="A1578" s="1">
        <v>43000</v>
      </c>
      <c r="B1578" s="2" t="s">
        <v>307</v>
      </c>
      <c r="C1578" s="2" t="s">
        <v>325</v>
      </c>
      <c r="D1578">
        <v>32</v>
      </c>
      <c r="E1578">
        <f>MONTH(makulatura3[[#This Row],[Data_dostarczenia]])</f>
        <v>9</v>
      </c>
    </row>
    <row r="1579" spans="1:5" x14ac:dyDescent="0.25">
      <c r="A1579" s="1">
        <v>43000</v>
      </c>
      <c r="B1579" s="2" t="s">
        <v>51</v>
      </c>
      <c r="C1579" s="2" t="s">
        <v>469</v>
      </c>
      <c r="D1579">
        <v>24</v>
      </c>
      <c r="E1579">
        <f>MONTH(makulatura3[[#This Row],[Data_dostarczenia]])</f>
        <v>9</v>
      </c>
    </row>
    <row r="1580" spans="1:5" x14ac:dyDescent="0.25">
      <c r="A1580" s="1">
        <v>43003</v>
      </c>
      <c r="B1580" s="2" t="s">
        <v>178</v>
      </c>
      <c r="C1580" s="2" t="s">
        <v>242</v>
      </c>
      <c r="D1580">
        <v>34</v>
      </c>
      <c r="E1580">
        <f>MONTH(makulatura3[[#This Row],[Data_dostarczenia]])</f>
        <v>9</v>
      </c>
    </row>
    <row r="1581" spans="1:5" x14ac:dyDescent="0.25">
      <c r="A1581" s="1">
        <v>43003</v>
      </c>
      <c r="B1581" s="2" t="s">
        <v>47</v>
      </c>
      <c r="C1581" s="2" t="s">
        <v>256</v>
      </c>
      <c r="D1581">
        <v>28</v>
      </c>
      <c r="E1581">
        <f>MONTH(makulatura3[[#This Row],[Data_dostarczenia]])</f>
        <v>9</v>
      </c>
    </row>
    <row r="1582" spans="1:5" x14ac:dyDescent="0.25">
      <c r="A1582" s="1">
        <v>43003</v>
      </c>
      <c r="B1582" s="2" t="s">
        <v>55</v>
      </c>
      <c r="C1582" s="2" t="s">
        <v>506</v>
      </c>
      <c r="D1582">
        <v>18</v>
      </c>
      <c r="E1582">
        <f>MONTH(makulatura3[[#This Row],[Data_dostarczenia]])</f>
        <v>9</v>
      </c>
    </row>
    <row r="1583" spans="1:5" x14ac:dyDescent="0.25">
      <c r="A1583" s="1">
        <v>43003</v>
      </c>
      <c r="B1583" s="2" t="s">
        <v>343</v>
      </c>
      <c r="C1583" s="2" t="s">
        <v>675</v>
      </c>
      <c r="D1583">
        <v>19</v>
      </c>
      <c r="E1583">
        <f>MONTH(makulatura3[[#This Row],[Data_dostarczenia]])</f>
        <v>9</v>
      </c>
    </row>
    <row r="1584" spans="1:5" x14ac:dyDescent="0.25">
      <c r="A1584" s="1">
        <v>43003</v>
      </c>
      <c r="B1584" s="2" t="s">
        <v>314</v>
      </c>
      <c r="C1584" s="2" t="s">
        <v>466</v>
      </c>
      <c r="D1584">
        <v>7</v>
      </c>
      <c r="E1584">
        <f>MONTH(makulatura3[[#This Row],[Data_dostarczenia]])</f>
        <v>9</v>
      </c>
    </row>
    <row r="1585" spans="1:5" x14ac:dyDescent="0.25">
      <c r="A1585" s="1">
        <v>43003</v>
      </c>
      <c r="B1585" s="2" t="s">
        <v>219</v>
      </c>
      <c r="C1585" s="2" t="s">
        <v>543</v>
      </c>
      <c r="D1585">
        <v>29</v>
      </c>
      <c r="E1585">
        <f>MONTH(makulatura3[[#This Row],[Data_dostarczenia]])</f>
        <v>9</v>
      </c>
    </row>
    <row r="1586" spans="1:5" x14ac:dyDescent="0.25">
      <c r="A1586" s="1">
        <v>43003</v>
      </c>
      <c r="B1586" s="2" t="s">
        <v>150</v>
      </c>
      <c r="C1586" s="2" t="s">
        <v>676</v>
      </c>
      <c r="D1586">
        <v>56</v>
      </c>
      <c r="E1586">
        <f>MONTH(makulatura3[[#This Row],[Data_dostarczenia]])</f>
        <v>9</v>
      </c>
    </row>
    <row r="1587" spans="1:5" x14ac:dyDescent="0.25">
      <c r="A1587" s="1">
        <v>43003</v>
      </c>
      <c r="B1587" s="2" t="s">
        <v>234</v>
      </c>
      <c r="C1587" s="2" t="s">
        <v>227</v>
      </c>
      <c r="D1587">
        <v>11</v>
      </c>
      <c r="E1587">
        <f>MONTH(makulatura3[[#This Row],[Data_dostarczenia]])</f>
        <v>9</v>
      </c>
    </row>
    <row r="1588" spans="1:5" x14ac:dyDescent="0.25">
      <c r="A1588" s="1">
        <v>43004</v>
      </c>
      <c r="B1588" s="2" t="s">
        <v>310</v>
      </c>
      <c r="C1588" s="2" t="s">
        <v>641</v>
      </c>
      <c r="D1588">
        <v>33</v>
      </c>
      <c r="E1588">
        <f>MONTH(makulatura3[[#This Row],[Data_dostarczenia]])</f>
        <v>9</v>
      </c>
    </row>
    <row r="1589" spans="1:5" x14ac:dyDescent="0.25">
      <c r="A1589" s="1">
        <v>43004</v>
      </c>
      <c r="B1589" s="2" t="s">
        <v>57</v>
      </c>
      <c r="C1589" s="2" t="s">
        <v>399</v>
      </c>
      <c r="D1589">
        <v>5</v>
      </c>
      <c r="E1589">
        <f>MONTH(makulatura3[[#This Row],[Data_dostarczenia]])</f>
        <v>9</v>
      </c>
    </row>
    <row r="1590" spans="1:5" x14ac:dyDescent="0.25">
      <c r="A1590" s="1">
        <v>43004</v>
      </c>
      <c r="B1590" s="2" t="s">
        <v>195</v>
      </c>
      <c r="C1590" s="2" t="s">
        <v>196</v>
      </c>
      <c r="D1590">
        <v>25</v>
      </c>
      <c r="E1590">
        <f>MONTH(makulatura3[[#This Row],[Data_dostarczenia]])</f>
        <v>9</v>
      </c>
    </row>
    <row r="1591" spans="1:5" x14ac:dyDescent="0.25">
      <c r="A1591" s="1">
        <v>43004</v>
      </c>
      <c r="B1591" s="2" t="s">
        <v>352</v>
      </c>
      <c r="C1591" s="2" t="s">
        <v>425</v>
      </c>
      <c r="D1591">
        <v>10</v>
      </c>
      <c r="E1591">
        <f>MONTH(makulatura3[[#This Row],[Data_dostarczenia]])</f>
        <v>9</v>
      </c>
    </row>
    <row r="1592" spans="1:5" x14ac:dyDescent="0.25">
      <c r="A1592" s="1">
        <v>43004</v>
      </c>
      <c r="B1592" s="2" t="s">
        <v>131</v>
      </c>
      <c r="C1592" s="2" t="s">
        <v>451</v>
      </c>
      <c r="D1592">
        <v>18</v>
      </c>
      <c r="E1592">
        <f>MONTH(makulatura3[[#This Row],[Data_dostarczenia]])</f>
        <v>9</v>
      </c>
    </row>
    <row r="1593" spans="1:5" x14ac:dyDescent="0.25">
      <c r="A1593" s="1">
        <v>43004</v>
      </c>
      <c r="B1593" s="2" t="s">
        <v>34</v>
      </c>
      <c r="C1593" s="2" t="s">
        <v>557</v>
      </c>
      <c r="D1593">
        <v>26</v>
      </c>
      <c r="E1593">
        <f>MONTH(makulatura3[[#This Row],[Data_dostarczenia]])</f>
        <v>9</v>
      </c>
    </row>
    <row r="1594" spans="1:5" x14ac:dyDescent="0.25">
      <c r="A1594" s="1">
        <v>43004</v>
      </c>
      <c r="B1594" s="2" t="s">
        <v>278</v>
      </c>
      <c r="C1594" s="2" t="s">
        <v>530</v>
      </c>
      <c r="D1594">
        <v>12</v>
      </c>
      <c r="E1594">
        <f>MONTH(makulatura3[[#This Row],[Data_dostarczenia]])</f>
        <v>9</v>
      </c>
    </row>
    <row r="1595" spans="1:5" x14ac:dyDescent="0.25">
      <c r="A1595" s="1">
        <v>43004</v>
      </c>
      <c r="B1595" s="2" t="s">
        <v>72</v>
      </c>
      <c r="C1595" s="2" t="s">
        <v>227</v>
      </c>
      <c r="D1595">
        <v>22</v>
      </c>
      <c r="E1595">
        <f>MONTH(makulatura3[[#This Row],[Data_dostarczenia]])</f>
        <v>9</v>
      </c>
    </row>
    <row r="1596" spans="1:5" x14ac:dyDescent="0.25">
      <c r="A1596" s="1">
        <v>43005</v>
      </c>
      <c r="B1596" s="2" t="s">
        <v>206</v>
      </c>
      <c r="C1596" s="2" t="s">
        <v>385</v>
      </c>
      <c r="D1596">
        <v>19</v>
      </c>
      <c r="E1596">
        <f>MONTH(makulatura3[[#This Row],[Data_dostarczenia]])</f>
        <v>9</v>
      </c>
    </row>
    <row r="1597" spans="1:5" x14ac:dyDescent="0.25">
      <c r="A1597" s="1">
        <v>43005</v>
      </c>
      <c r="B1597" s="2" t="s">
        <v>30</v>
      </c>
      <c r="C1597" s="2" t="s">
        <v>463</v>
      </c>
      <c r="D1597">
        <v>5</v>
      </c>
      <c r="E1597">
        <f>MONTH(makulatura3[[#This Row],[Data_dostarczenia]])</f>
        <v>9</v>
      </c>
    </row>
    <row r="1598" spans="1:5" x14ac:dyDescent="0.25">
      <c r="A1598" s="1">
        <v>43005</v>
      </c>
      <c r="B1598" s="2" t="s">
        <v>150</v>
      </c>
      <c r="C1598" s="2" t="s">
        <v>462</v>
      </c>
      <c r="D1598">
        <v>7</v>
      </c>
      <c r="E1598">
        <f>MONTH(makulatura3[[#This Row],[Data_dostarczenia]])</f>
        <v>9</v>
      </c>
    </row>
    <row r="1599" spans="1:5" x14ac:dyDescent="0.25">
      <c r="A1599" s="1">
        <v>43005</v>
      </c>
      <c r="B1599" s="2" t="s">
        <v>4</v>
      </c>
      <c r="C1599" s="2" t="s">
        <v>382</v>
      </c>
      <c r="D1599">
        <v>28</v>
      </c>
      <c r="E1599">
        <f>MONTH(makulatura3[[#This Row],[Data_dostarczenia]])</f>
        <v>9</v>
      </c>
    </row>
    <row r="1600" spans="1:5" x14ac:dyDescent="0.25">
      <c r="A1600" s="1">
        <v>43005</v>
      </c>
      <c r="B1600" s="2" t="s">
        <v>128</v>
      </c>
      <c r="C1600" s="2" t="s">
        <v>677</v>
      </c>
      <c r="D1600">
        <v>53</v>
      </c>
      <c r="E1600">
        <f>MONTH(makulatura3[[#This Row],[Data_dostarczenia]])</f>
        <v>9</v>
      </c>
    </row>
    <row r="1601" spans="1:5" x14ac:dyDescent="0.25">
      <c r="A1601" s="1">
        <v>43005</v>
      </c>
      <c r="B1601" s="2" t="s">
        <v>147</v>
      </c>
      <c r="C1601" s="2" t="s">
        <v>578</v>
      </c>
      <c r="D1601">
        <v>28</v>
      </c>
      <c r="E1601">
        <f>MONTH(makulatura3[[#This Row],[Data_dostarczenia]])</f>
        <v>9</v>
      </c>
    </row>
    <row r="1602" spans="1:5" x14ac:dyDescent="0.25">
      <c r="A1602" s="1">
        <v>43005</v>
      </c>
      <c r="B1602" s="2" t="s">
        <v>494</v>
      </c>
      <c r="C1602" s="2" t="s">
        <v>495</v>
      </c>
      <c r="D1602">
        <v>17</v>
      </c>
      <c r="E1602">
        <f>MONTH(makulatura3[[#This Row],[Data_dostarczenia]])</f>
        <v>9</v>
      </c>
    </row>
    <row r="1603" spans="1:5" x14ac:dyDescent="0.25">
      <c r="A1603" s="1">
        <v>43005</v>
      </c>
      <c r="B1603" s="2" t="s">
        <v>141</v>
      </c>
      <c r="C1603" s="2" t="s">
        <v>435</v>
      </c>
      <c r="D1603">
        <v>20</v>
      </c>
      <c r="E1603">
        <f>MONTH(makulatura3[[#This Row],[Data_dostarczenia]])</f>
        <v>9</v>
      </c>
    </row>
    <row r="1604" spans="1:5" x14ac:dyDescent="0.25">
      <c r="A1604" s="1">
        <v>43006</v>
      </c>
      <c r="B1604" s="2" t="s">
        <v>57</v>
      </c>
      <c r="C1604" s="2" t="s">
        <v>418</v>
      </c>
      <c r="D1604">
        <v>50</v>
      </c>
      <c r="E1604">
        <f>MONTH(makulatura3[[#This Row],[Data_dostarczenia]])</f>
        <v>9</v>
      </c>
    </row>
    <row r="1605" spans="1:5" x14ac:dyDescent="0.25">
      <c r="A1605" s="1">
        <v>43006</v>
      </c>
      <c r="B1605" s="2" t="s">
        <v>137</v>
      </c>
      <c r="C1605" s="2" t="s">
        <v>138</v>
      </c>
      <c r="D1605">
        <v>15</v>
      </c>
      <c r="E1605">
        <f>MONTH(makulatura3[[#This Row],[Data_dostarczenia]])</f>
        <v>9</v>
      </c>
    </row>
    <row r="1606" spans="1:5" x14ac:dyDescent="0.25">
      <c r="A1606" s="1">
        <v>43006</v>
      </c>
      <c r="B1606" s="2" t="s">
        <v>81</v>
      </c>
      <c r="C1606" s="2" t="s">
        <v>145</v>
      </c>
      <c r="D1606">
        <v>27</v>
      </c>
      <c r="E1606">
        <f>MONTH(makulatura3[[#This Row],[Data_dostarczenia]])</f>
        <v>9</v>
      </c>
    </row>
    <row r="1607" spans="1:5" x14ac:dyDescent="0.25">
      <c r="A1607" s="1">
        <v>43006</v>
      </c>
      <c r="B1607" s="2" t="s">
        <v>97</v>
      </c>
      <c r="C1607" s="2" t="s">
        <v>188</v>
      </c>
      <c r="D1607">
        <v>2</v>
      </c>
      <c r="E1607">
        <f>MONTH(makulatura3[[#This Row],[Data_dostarczenia]])</f>
        <v>9</v>
      </c>
    </row>
    <row r="1608" spans="1:5" x14ac:dyDescent="0.25">
      <c r="A1608" s="1">
        <v>43006</v>
      </c>
      <c r="B1608" s="2" t="s">
        <v>119</v>
      </c>
      <c r="C1608" s="2" t="s">
        <v>120</v>
      </c>
      <c r="D1608">
        <v>17</v>
      </c>
      <c r="E1608">
        <f>MONTH(makulatura3[[#This Row],[Data_dostarczenia]])</f>
        <v>9</v>
      </c>
    </row>
    <row r="1609" spans="1:5" x14ac:dyDescent="0.25">
      <c r="A1609" s="1">
        <v>43006</v>
      </c>
      <c r="B1609" s="2" t="s">
        <v>453</v>
      </c>
      <c r="C1609" s="2" t="s">
        <v>454</v>
      </c>
      <c r="D1609">
        <v>53</v>
      </c>
      <c r="E1609">
        <f>MONTH(makulatura3[[#This Row],[Data_dostarczenia]])</f>
        <v>9</v>
      </c>
    </row>
    <row r="1610" spans="1:5" x14ac:dyDescent="0.25">
      <c r="A1610" s="1">
        <v>43006</v>
      </c>
      <c r="B1610" s="2" t="s">
        <v>83</v>
      </c>
      <c r="C1610" s="2" t="s">
        <v>646</v>
      </c>
      <c r="D1610">
        <v>30</v>
      </c>
      <c r="E1610">
        <f>MONTH(makulatura3[[#This Row],[Data_dostarczenia]])</f>
        <v>9</v>
      </c>
    </row>
    <row r="1611" spans="1:5" x14ac:dyDescent="0.25">
      <c r="A1611" s="1">
        <v>43006</v>
      </c>
      <c r="B1611" s="2" t="s">
        <v>193</v>
      </c>
      <c r="C1611" s="2" t="s">
        <v>483</v>
      </c>
      <c r="D1611">
        <v>7</v>
      </c>
      <c r="E1611">
        <f>MONTH(makulatura3[[#This Row],[Data_dostarczenia]])</f>
        <v>9</v>
      </c>
    </row>
    <row r="1612" spans="1:5" x14ac:dyDescent="0.25">
      <c r="A1612" s="1">
        <v>43007</v>
      </c>
      <c r="B1612" s="2" t="s">
        <v>83</v>
      </c>
      <c r="C1612" s="2" t="s">
        <v>350</v>
      </c>
      <c r="D1612">
        <v>15</v>
      </c>
      <c r="E1612">
        <f>MONTH(makulatura3[[#This Row],[Data_dostarczenia]])</f>
        <v>9</v>
      </c>
    </row>
    <row r="1613" spans="1:5" x14ac:dyDescent="0.25">
      <c r="A1613" s="1">
        <v>43007</v>
      </c>
      <c r="B1613" s="2" t="s">
        <v>152</v>
      </c>
      <c r="C1613" s="2" t="s">
        <v>511</v>
      </c>
      <c r="D1613">
        <v>55</v>
      </c>
      <c r="E1613">
        <f>MONTH(makulatura3[[#This Row],[Data_dostarczenia]])</f>
        <v>9</v>
      </c>
    </row>
    <row r="1614" spans="1:5" x14ac:dyDescent="0.25">
      <c r="A1614" s="1">
        <v>43007</v>
      </c>
      <c r="B1614" s="2" t="s">
        <v>494</v>
      </c>
      <c r="C1614" s="2" t="s">
        <v>495</v>
      </c>
      <c r="D1614">
        <v>39</v>
      </c>
      <c r="E1614">
        <f>MONTH(makulatura3[[#This Row],[Data_dostarczenia]])</f>
        <v>9</v>
      </c>
    </row>
    <row r="1615" spans="1:5" x14ac:dyDescent="0.25">
      <c r="A1615" s="1">
        <v>43007</v>
      </c>
      <c r="B1615" s="2" t="s">
        <v>150</v>
      </c>
      <c r="C1615" s="2" t="s">
        <v>297</v>
      </c>
      <c r="D1615">
        <v>18</v>
      </c>
      <c r="E1615">
        <f>MONTH(makulatura3[[#This Row],[Data_dostarczenia]])</f>
        <v>9</v>
      </c>
    </row>
    <row r="1616" spans="1:5" x14ac:dyDescent="0.25">
      <c r="A1616" s="1">
        <v>43007</v>
      </c>
      <c r="B1616" s="2" t="s">
        <v>23</v>
      </c>
      <c r="C1616" s="2" t="s">
        <v>592</v>
      </c>
      <c r="D1616">
        <v>9</v>
      </c>
      <c r="E1616">
        <f>MONTH(makulatura3[[#This Row],[Data_dostarczenia]])</f>
        <v>9</v>
      </c>
    </row>
    <row r="1617" spans="1:5" x14ac:dyDescent="0.25">
      <c r="A1617" s="1">
        <v>43007</v>
      </c>
      <c r="B1617" s="2" t="s">
        <v>395</v>
      </c>
      <c r="C1617" s="2" t="s">
        <v>678</v>
      </c>
      <c r="D1617">
        <v>55</v>
      </c>
      <c r="E1617">
        <f>MONTH(makulatura3[[#This Row],[Data_dostarczenia]])</f>
        <v>9</v>
      </c>
    </row>
    <row r="1618" spans="1:5" x14ac:dyDescent="0.25">
      <c r="A1618" s="1">
        <v>43007</v>
      </c>
      <c r="B1618" s="2" t="s">
        <v>278</v>
      </c>
      <c r="C1618" s="2" t="s">
        <v>530</v>
      </c>
      <c r="D1618">
        <v>24</v>
      </c>
      <c r="E1618">
        <f>MONTH(makulatura3[[#This Row],[Data_dostarczenia]])</f>
        <v>9</v>
      </c>
    </row>
    <row r="1619" spans="1:5" x14ac:dyDescent="0.25">
      <c r="A1619" s="1">
        <v>43007</v>
      </c>
      <c r="B1619" s="2" t="s">
        <v>278</v>
      </c>
      <c r="C1619" s="2" t="s">
        <v>202</v>
      </c>
      <c r="D1619">
        <v>52</v>
      </c>
      <c r="E1619">
        <f>MONTH(makulatura3[[#This Row],[Data_dostarczenia]])</f>
        <v>9</v>
      </c>
    </row>
    <row r="1620" spans="1:5" x14ac:dyDescent="0.25">
      <c r="A1620" s="1">
        <v>43010</v>
      </c>
      <c r="B1620" s="2" t="s">
        <v>395</v>
      </c>
      <c r="C1620" s="2" t="s">
        <v>461</v>
      </c>
      <c r="D1620">
        <v>42</v>
      </c>
      <c r="E1620">
        <f>MONTH(makulatura3[[#This Row],[Data_dostarczenia]])</f>
        <v>10</v>
      </c>
    </row>
    <row r="1621" spans="1:5" x14ac:dyDescent="0.25">
      <c r="A1621" s="1">
        <v>43010</v>
      </c>
      <c r="B1621" s="2" t="s">
        <v>314</v>
      </c>
      <c r="C1621" s="2" t="s">
        <v>450</v>
      </c>
      <c r="D1621">
        <v>16</v>
      </c>
      <c r="E1621">
        <f>MONTH(makulatura3[[#This Row],[Data_dostarczenia]])</f>
        <v>10</v>
      </c>
    </row>
    <row r="1622" spans="1:5" x14ac:dyDescent="0.25">
      <c r="A1622" s="1">
        <v>43010</v>
      </c>
      <c r="B1622" s="2" t="s">
        <v>34</v>
      </c>
      <c r="C1622" s="2" t="s">
        <v>679</v>
      </c>
      <c r="D1622">
        <v>43</v>
      </c>
      <c r="E1622">
        <f>MONTH(makulatura3[[#This Row],[Data_dostarczenia]])</f>
        <v>10</v>
      </c>
    </row>
    <row r="1623" spans="1:5" x14ac:dyDescent="0.25">
      <c r="A1623" s="1">
        <v>43010</v>
      </c>
      <c r="B1623" s="2" t="s">
        <v>23</v>
      </c>
      <c r="C1623" s="2" t="s">
        <v>163</v>
      </c>
      <c r="D1623">
        <v>55</v>
      </c>
      <c r="E1623">
        <f>MONTH(makulatura3[[#This Row],[Data_dostarczenia]])</f>
        <v>10</v>
      </c>
    </row>
    <row r="1624" spans="1:5" x14ac:dyDescent="0.25">
      <c r="A1624" s="1">
        <v>43010</v>
      </c>
      <c r="B1624" s="2" t="s">
        <v>206</v>
      </c>
      <c r="C1624" s="2" t="s">
        <v>296</v>
      </c>
      <c r="D1624">
        <v>45</v>
      </c>
      <c r="E1624">
        <f>MONTH(makulatura3[[#This Row],[Data_dostarczenia]])</f>
        <v>10</v>
      </c>
    </row>
    <row r="1625" spans="1:5" x14ac:dyDescent="0.25">
      <c r="A1625" s="1">
        <v>43010</v>
      </c>
      <c r="B1625" s="2" t="s">
        <v>307</v>
      </c>
      <c r="C1625" s="2" t="s">
        <v>308</v>
      </c>
      <c r="D1625">
        <v>25</v>
      </c>
      <c r="E1625">
        <f>MONTH(makulatura3[[#This Row],[Data_dostarczenia]])</f>
        <v>10</v>
      </c>
    </row>
    <row r="1626" spans="1:5" x14ac:dyDescent="0.25">
      <c r="A1626" s="1">
        <v>43011</v>
      </c>
      <c r="B1626" s="2" t="s">
        <v>133</v>
      </c>
      <c r="C1626" s="2" t="s">
        <v>499</v>
      </c>
      <c r="D1626">
        <v>28</v>
      </c>
      <c r="E1626">
        <f>MONTH(makulatura3[[#This Row],[Data_dostarczenia]])</f>
        <v>10</v>
      </c>
    </row>
    <row r="1627" spans="1:5" x14ac:dyDescent="0.25">
      <c r="A1627" s="1">
        <v>43011</v>
      </c>
      <c r="B1627" s="2" t="s">
        <v>372</v>
      </c>
      <c r="C1627" s="2" t="s">
        <v>373</v>
      </c>
      <c r="D1627">
        <v>14</v>
      </c>
      <c r="E1627">
        <f>MONTH(makulatura3[[#This Row],[Data_dostarczenia]])</f>
        <v>10</v>
      </c>
    </row>
    <row r="1628" spans="1:5" x14ac:dyDescent="0.25">
      <c r="A1628" s="1">
        <v>43011</v>
      </c>
      <c r="B1628" s="2" t="s">
        <v>252</v>
      </c>
      <c r="C1628" s="2" t="s">
        <v>288</v>
      </c>
      <c r="D1628">
        <v>26</v>
      </c>
      <c r="E1628">
        <f>MONTH(makulatura3[[#This Row],[Data_dostarczenia]])</f>
        <v>10</v>
      </c>
    </row>
    <row r="1629" spans="1:5" x14ac:dyDescent="0.25">
      <c r="A1629" s="1">
        <v>43011</v>
      </c>
      <c r="B1629" s="2" t="s">
        <v>41</v>
      </c>
      <c r="C1629" s="2" t="s">
        <v>238</v>
      </c>
      <c r="D1629">
        <v>21</v>
      </c>
      <c r="E1629">
        <f>MONTH(makulatura3[[#This Row],[Data_dostarczenia]])</f>
        <v>10</v>
      </c>
    </row>
    <row r="1630" spans="1:5" x14ac:dyDescent="0.25">
      <c r="A1630" s="1">
        <v>43011</v>
      </c>
      <c r="B1630" s="2" t="s">
        <v>36</v>
      </c>
      <c r="C1630" s="2" t="s">
        <v>404</v>
      </c>
      <c r="D1630">
        <v>14</v>
      </c>
      <c r="E1630">
        <f>MONTH(makulatura3[[#This Row],[Data_dostarczenia]])</f>
        <v>10</v>
      </c>
    </row>
    <row r="1631" spans="1:5" x14ac:dyDescent="0.25">
      <c r="A1631" s="1">
        <v>43011</v>
      </c>
      <c r="B1631" s="2" t="s">
        <v>59</v>
      </c>
      <c r="C1631" s="2" t="s">
        <v>60</v>
      </c>
      <c r="D1631">
        <v>36</v>
      </c>
      <c r="E1631">
        <f>MONTH(makulatura3[[#This Row],[Data_dostarczenia]])</f>
        <v>10</v>
      </c>
    </row>
    <row r="1632" spans="1:5" x14ac:dyDescent="0.25">
      <c r="A1632" s="1">
        <v>43012</v>
      </c>
      <c r="B1632" s="2" t="s">
        <v>43</v>
      </c>
      <c r="C1632" s="2" t="s">
        <v>124</v>
      </c>
      <c r="D1632">
        <v>3</v>
      </c>
      <c r="E1632">
        <f>MONTH(makulatura3[[#This Row],[Data_dostarczenia]])</f>
        <v>10</v>
      </c>
    </row>
    <row r="1633" spans="1:5" x14ac:dyDescent="0.25">
      <c r="A1633" s="1">
        <v>43012</v>
      </c>
      <c r="B1633" s="2" t="s">
        <v>453</v>
      </c>
      <c r="C1633" s="2" t="s">
        <v>454</v>
      </c>
      <c r="D1633">
        <v>11</v>
      </c>
      <c r="E1633">
        <f>MONTH(makulatura3[[#This Row],[Data_dostarczenia]])</f>
        <v>10</v>
      </c>
    </row>
    <row r="1634" spans="1:5" x14ac:dyDescent="0.25">
      <c r="A1634" s="1">
        <v>43012</v>
      </c>
      <c r="B1634" s="2" t="s">
        <v>147</v>
      </c>
      <c r="C1634" s="2" t="s">
        <v>148</v>
      </c>
      <c r="D1634">
        <v>49</v>
      </c>
      <c r="E1634">
        <f>MONTH(makulatura3[[#This Row],[Data_dostarczenia]])</f>
        <v>10</v>
      </c>
    </row>
    <row r="1635" spans="1:5" x14ac:dyDescent="0.25">
      <c r="A1635" s="1">
        <v>43012</v>
      </c>
      <c r="B1635" s="2" t="s">
        <v>339</v>
      </c>
      <c r="C1635" s="2" t="s">
        <v>565</v>
      </c>
      <c r="D1635">
        <v>16</v>
      </c>
      <c r="E1635">
        <f>MONTH(makulatura3[[#This Row],[Data_dostarczenia]])</f>
        <v>10</v>
      </c>
    </row>
    <row r="1636" spans="1:5" x14ac:dyDescent="0.25">
      <c r="A1636" s="1">
        <v>43012</v>
      </c>
      <c r="B1636" s="2" t="s">
        <v>43</v>
      </c>
      <c r="C1636" s="2" t="s">
        <v>569</v>
      </c>
      <c r="D1636">
        <v>26</v>
      </c>
      <c r="E1636">
        <f>MONTH(makulatura3[[#This Row],[Data_dostarczenia]])</f>
        <v>10</v>
      </c>
    </row>
    <row r="1637" spans="1:5" x14ac:dyDescent="0.25">
      <c r="A1637" s="1">
        <v>43012</v>
      </c>
      <c r="B1637" s="2" t="s">
        <v>36</v>
      </c>
      <c r="C1637" s="2" t="s">
        <v>229</v>
      </c>
      <c r="D1637">
        <v>50</v>
      </c>
      <c r="E1637">
        <f>MONTH(makulatura3[[#This Row],[Data_dostarczenia]])</f>
        <v>10</v>
      </c>
    </row>
    <row r="1638" spans="1:5" x14ac:dyDescent="0.25">
      <c r="A1638" s="1">
        <v>43013</v>
      </c>
      <c r="B1638" s="2" t="s">
        <v>155</v>
      </c>
      <c r="C1638" s="2" t="s">
        <v>414</v>
      </c>
      <c r="D1638">
        <v>19</v>
      </c>
      <c r="E1638">
        <f>MONTH(makulatura3[[#This Row],[Data_dostarczenia]])</f>
        <v>10</v>
      </c>
    </row>
    <row r="1639" spans="1:5" x14ac:dyDescent="0.25">
      <c r="A1639" s="1">
        <v>43013</v>
      </c>
      <c r="B1639" s="2" t="s">
        <v>161</v>
      </c>
      <c r="C1639" s="2" t="s">
        <v>214</v>
      </c>
      <c r="D1639">
        <v>27</v>
      </c>
      <c r="E1639">
        <f>MONTH(makulatura3[[#This Row],[Data_dostarczenia]])</f>
        <v>10</v>
      </c>
    </row>
    <row r="1640" spans="1:5" x14ac:dyDescent="0.25">
      <c r="A1640" s="1">
        <v>43013</v>
      </c>
      <c r="B1640" s="2" t="s">
        <v>150</v>
      </c>
      <c r="C1640" s="2" t="s">
        <v>151</v>
      </c>
      <c r="D1640">
        <v>2</v>
      </c>
      <c r="E1640">
        <f>MONTH(makulatura3[[#This Row],[Data_dostarczenia]])</f>
        <v>10</v>
      </c>
    </row>
    <row r="1641" spans="1:5" x14ac:dyDescent="0.25">
      <c r="A1641" s="1">
        <v>43013</v>
      </c>
      <c r="B1641" s="2" t="s">
        <v>514</v>
      </c>
      <c r="C1641" s="2" t="s">
        <v>515</v>
      </c>
      <c r="D1641">
        <v>15</v>
      </c>
      <c r="E1641">
        <f>MONTH(makulatura3[[#This Row],[Data_dostarczenia]])</f>
        <v>10</v>
      </c>
    </row>
    <row r="1642" spans="1:5" x14ac:dyDescent="0.25">
      <c r="A1642" s="1">
        <v>43013</v>
      </c>
      <c r="B1642" s="2" t="s">
        <v>83</v>
      </c>
      <c r="C1642" s="2" t="s">
        <v>91</v>
      </c>
      <c r="D1642">
        <v>3</v>
      </c>
      <c r="E1642">
        <f>MONTH(makulatura3[[#This Row],[Data_dostarczenia]])</f>
        <v>10</v>
      </c>
    </row>
    <row r="1643" spans="1:5" x14ac:dyDescent="0.25">
      <c r="A1643" s="1">
        <v>43013</v>
      </c>
      <c r="B1643" s="2" t="s">
        <v>161</v>
      </c>
      <c r="C1643" s="2" t="s">
        <v>305</v>
      </c>
      <c r="D1643">
        <v>56</v>
      </c>
      <c r="E1643">
        <f>MONTH(makulatura3[[#This Row],[Data_dostarczenia]])</f>
        <v>10</v>
      </c>
    </row>
    <row r="1644" spans="1:5" x14ac:dyDescent="0.25">
      <c r="A1644" s="1">
        <v>43014</v>
      </c>
      <c r="B1644" s="2" t="s">
        <v>32</v>
      </c>
      <c r="C1644" s="2" t="s">
        <v>276</v>
      </c>
      <c r="D1644">
        <v>36</v>
      </c>
      <c r="E1644">
        <f>MONTH(makulatura3[[#This Row],[Data_dostarczenia]])</f>
        <v>10</v>
      </c>
    </row>
    <row r="1645" spans="1:5" x14ac:dyDescent="0.25">
      <c r="A1645" s="1">
        <v>43014</v>
      </c>
      <c r="B1645" s="2" t="s">
        <v>361</v>
      </c>
      <c r="C1645" s="2" t="s">
        <v>424</v>
      </c>
      <c r="D1645">
        <v>32</v>
      </c>
      <c r="E1645">
        <f>MONTH(makulatura3[[#This Row],[Data_dostarczenia]])</f>
        <v>10</v>
      </c>
    </row>
    <row r="1646" spans="1:5" x14ac:dyDescent="0.25">
      <c r="A1646" s="1">
        <v>43014</v>
      </c>
      <c r="B1646" s="2" t="s">
        <v>280</v>
      </c>
      <c r="C1646" s="2" t="s">
        <v>466</v>
      </c>
      <c r="D1646">
        <v>50</v>
      </c>
      <c r="E1646">
        <f>MONTH(makulatura3[[#This Row],[Data_dostarczenia]])</f>
        <v>10</v>
      </c>
    </row>
    <row r="1647" spans="1:5" x14ac:dyDescent="0.25">
      <c r="A1647" s="1">
        <v>43014</v>
      </c>
      <c r="B1647" s="2" t="s">
        <v>331</v>
      </c>
      <c r="C1647" s="2" t="s">
        <v>26</v>
      </c>
      <c r="D1647">
        <v>26</v>
      </c>
      <c r="E1647">
        <f>MONTH(makulatura3[[#This Row],[Data_dostarczenia]])</f>
        <v>10</v>
      </c>
    </row>
    <row r="1648" spans="1:5" x14ac:dyDescent="0.25">
      <c r="A1648" s="1">
        <v>43014</v>
      </c>
      <c r="B1648" s="2" t="s">
        <v>30</v>
      </c>
      <c r="C1648" s="2" t="s">
        <v>680</v>
      </c>
      <c r="D1648">
        <v>13</v>
      </c>
      <c r="E1648">
        <f>MONTH(makulatura3[[#This Row],[Data_dostarczenia]])</f>
        <v>10</v>
      </c>
    </row>
    <row r="1649" spans="1:5" x14ac:dyDescent="0.25">
      <c r="A1649" s="1">
        <v>43014</v>
      </c>
      <c r="B1649" s="2" t="s">
        <v>41</v>
      </c>
      <c r="C1649" s="2" t="s">
        <v>614</v>
      </c>
      <c r="D1649">
        <v>2</v>
      </c>
      <c r="E1649">
        <f>MONTH(makulatura3[[#This Row],[Data_dostarczenia]])</f>
        <v>10</v>
      </c>
    </row>
    <row r="1650" spans="1:5" x14ac:dyDescent="0.25">
      <c r="A1650" s="1">
        <v>43017</v>
      </c>
      <c r="B1650" s="2" t="s">
        <v>106</v>
      </c>
      <c r="C1650" s="2" t="s">
        <v>107</v>
      </c>
      <c r="D1650">
        <v>11</v>
      </c>
      <c r="E1650">
        <f>MONTH(makulatura3[[#This Row],[Data_dostarczenia]])</f>
        <v>10</v>
      </c>
    </row>
    <row r="1651" spans="1:5" x14ac:dyDescent="0.25">
      <c r="A1651" s="1">
        <v>43017</v>
      </c>
      <c r="B1651" s="2" t="s">
        <v>83</v>
      </c>
      <c r="C1651" s="2" t="s">
        <v>615</v>
      </c>
      <c r="D1651">
        <v>19</v>
      </c>
      <c r="E1651">
        <f>MONTH(makulatura3[[#This Row],[Data_dostarczenia]])</f>
        <v>10</v>
      </c>
    </row>
    <row r="1652" spans="1:5" x14ac:dyDescent="0.25">
      <c r="A1652" s="1">
        <v>43017</v>
      </c>
      <c r="B1652" s="2" t="s">
        <v>359</v>
      </c>
      <c r="C1652" s="2" t="s">
        <v>360</v>
      </c>
      <c r="D1652">
        <v>23</v>
      </c>
      <c r="E1652">
        <f>MONTH(makulatura3[[#This Row],[Data_dostarczenia]])</f>
        <v>10</v>
      </c>
    </row>
    <row r="1653" spans="1:5" x14ac:dyDescent="0.25">
      <c r="A1653" s="1">
        <v>43017</v>
      </c>
      <c r="B1653" s="2" t="s">
        <v>69</v>
      </c>
      <c r="C1653" s="2" t="s">
        <v>200</v>
      </c>
      <c r="D1653">
        <v>22</v>
      </c>
      <c r="E1653">
        <f>MONTH(makulatura3[[#This Row],[Data_dostarczenia]])</f>
        <v>10</v>
      </c>
    </row>
    <row r="1654" spans="1:5" x14ac:dyDescent="0.25">
      <c r="A1654" s="1">
        <v>43017</v>
      </c>
      <c r="B1654" s="2" t="s">
        <v>95</v>
      </c>
      <c r="C1654" s="2" t="s">
        <v>426</v>
      </c>
      <c r="D1654">
        <v>19</v>
      </c>
      <c r="E1654">
        <f>MONTH(makulatura3[[#This Row],[Data_dostarczenia]])</f>
        <v>10</v>
      </c>
    </row>
    <row r="1655" spans="1:5" x14ac:dyDescent="0.25">
      <c r="A1655" s="1">
        <v>43017</v>
      </c>
      <c r="B1655" s="2" t="s">
        <v>83</v>
      </c>
      <c r="C1655" s="2" t="s">
        <v>637</v>
      </c>
      <c r="D1655">
        <v>5</v>
      </c>
      <c r="E1655">
        <f>MONTH(makulatura3[[#This Row],[Data_dostarczenia]])</f>
        <v>10</v>
      </c>
    </row>
    <row r="1656" spans="1:5" x14ac:dyDescent="0.25">
      <c r="A1656" s="1">
        <v>43018</v>
      </c>
      <c r="B1656" s="2" t="s">
        <v>206</v>
      </c>
      <c r="C1656" s="2" t="s">
        <v>332</v>
      </c>
      <c r="D1656">
        <v>10</v>
      </c>
      <c r="E1656">
        <f>MONTH(makulatura3[[#This Row],[Data_dostarczenia]])</f>
        <v>10</v>
      </c>
    </row>
    <row r="1657" spans="1:5" x14ac:dyDescent="0.25">
      <c r="A1657" s="1">
        <v>43018</v>
      </c>
      <c r="B1657" s="2" t="s">
        <v>150</v>
      </c>
      <c r="C1657" s="2" t="s">
        <v>298</v>
      </c>
      <c r="D1657">
        <v>13</v>
      </c>
      <c r="E1657">
        <f>MONTH(makulatura3[[#This Row],[Data_dostarczenia]])</f>
        <v>10</v>
      </c>
    </row>
    <row r="1658" spans="1:5" x14ac:dyDescent="0.25">
      <c r="A1658" s="1">
        <v>43018</v>
      </c>
      <c r="B1658" s="2" t="s">
        <v>339</v>
      </c>
      <c r="C1658" s="2" t="s">
        <v>565</v>
      </c>
      <c r="D1658">
        <v>12</v>
      </c>
      <c r="E1658">
        <f>MONTH(makulatura3[[#This Row],[Data_dostarczenia]])</f>
        <v>10</v>
      </c>
    </row>
    <row r="1659" spans="1:5" x14ac:dyDescent="0.25">
      <c r="A1659" s="1">
        <v>43018</v>
      </c>
      <c r="B1659" s="2" t="s">
        <v>81</v>
      </c>
      <c r="C1659" s="2" t="s">
        <v>584</v>
      </c>
      <c r="D1659">
        <v>25</v>
      </c>
      <c r="E1659">
        <f>MONTH(makulatura3[[#This Row],[Data_dostarczenia]])</f>
        <v>10</v>
      </c>
    </row>
    <row r="1660" spans="1:5" x14ac:dyDescent="0.25">
      <c r="A1660" s="1">
        <v>43018</v>
      </c>
      <c r="B1660" s="2" t="s">
        <v>55</v>
      </c>
      <c r="C1660" s="2" t="s">
        <v>223</v>
      </c>
      <c r="D1660">
        <v>25</v>
      </c>
      <c r="E1660">
        <f>MONTH(makulatura3[[#This Row],[Data_dostarczenia]])</f>
        <v>10</v>
      </c>
    </row>
    <row r="1661" spans="1:5" x14ac:dyDescent="0.25">
      <c r="A1661" s="1">
        <v>43018</v>
      </c>
      <c r="B1661" s="2" t="s">
        <v>282</v>
      </c>
      <c r="C1661" s="2" t="s">
        <v>283</v>
      </c>
      <c r="D1661">
        <v>9</v>
      </c>
      <c r="E1661">
        <f>MONTH(makulatura3[[#This Row],[Data_dostarczenia]])</f>
        <v>10</v>
      </c>
    </row>
    <row r="1662" spans="1:5" x14ac:dyDescent="0.25">
      <c r="A1662" s="1">
        <v>43019</v>
      </c>
      <c r="B1662" s="2" t="s">
        <v>81</v>
      </c>
      <c r="C1662" s="2" t="s">
        <v>104</v>
      </c>
      <c r="D1662">
        <v>17</v>
      </c>
      <c r="E1662">
        <f>MONTH(makulatura3[[#This Row],[Data_dostarczenia]])</f>
        <v>10</v>
      </c>
    </row>
    <row r="1663" spans="1:5" x14ac:dyDescent="0.25">
      <c r="A1663" s="1">
        <v>43019</v>
      </c>
      <c r="B1663" s="2" t="s">
        <v>681</v>
      </c>
      <c r="C1663" s="2" t="s">
        <v>682</v>
      </c>
      <c r="D1663">
        <v>26</v>
      </c>
      <c r="E1663">
        <f>MONTH(makulatura3[[#This Row],[Data_dostarczenia]])</f>
        <v>10</v>
      </c>
    </row>
    <row r="1664" spans="1:5" x14ac:dyDescent="0.25">
      <c r="A1664" s="1">
        <v>43019</v>
      </c>
      <c r="B1664" s="2" t="s">
        <v>97</v>
      </c>
      <c r="C1664" s="2" t="s">
        <v>136</v>
      </c>
      <c r="D1664">
        <v>44</v>
      </c>
      <c r="E1664">
        <f>MONTH(makulatura3[[#This Row],[Data_dostarczenia]])</f>
        <v>10</v>
      </c>
    </row>
    <row r="1665" spans="1:5" x14ac:dyDescent="0.25">
      <c r="A1665" s="1">
        <v>43019</v>
      </c>
      <c r="B1665" s="2" t="s">
        <v>69</v>
      </c>
      <c r="C1665" s="2" t="s">
        <v>108</v>
      </c>
      <c r="D1665">
        <v>31</v>
      </c>
      <c r="E1665">
        <f>MONTH(makulatura3[[#This Row],[Data_dostarczenia]])</f>
        <v>10</v>
      </c>
    </row>
    <row r="1666" spans="1:5" x14ac:dyDescent="0.25">
      <c r="A1666" s="1">
        <v>43019</v>
      </c>
      <c r="B1666" s="2" t="s">
        <v>553</v>
      </c>
      <c r="C1666" s="2" t="s">
        <v>554</v>
      </c>
      <c r="D1666">
        <v>6</v>
      </c>
      <c r="E1666">
        <f>MONTH(makulatura3[[#This Row],[Data_dostarczenia]])</f>
        <v>10</v>
      </c>
    </row>
    <row r="1667" spans="1:5" x14ac:dyDescent="0.25">
      <c r="A1667" s="1">
        <v>43019</v>
      </c>
      <c r="B1667" s="2" t="s">
        <v>27</v>
      </c>
      <c r="C1667" s="2" t="s">
        <v>683</v>
      </c>
      <c r="D1667">
        <v>14</v>
      </c>
      <c r="E1667">
        <f>MONTH(makulatura3[[#This Row],[Data_dostarczenia]])</f>
        <v>10</v>
      </c>
    </row>
    <row r="1668" spans="1:5" x14ac:dyDescent="0.25">
      <c r="A1668" s="1">
        <v>43020</v>
      </c>
      <c r="B1668" s="2" t="s">
        <v>523</v>
      </c>
      <c r="C1668" s="2" t="s">
        <v>524</v>
      </c>
      <c r="D1668">
        <v>5</v>
      </c>
      <c r="E1668">
        <f>MONTH(makulatura3[[#This Row],[Data_dostarczenia]])</f>
        <v>10</v>
      </c>
    </row>
    <row r="1669" spans="1:5" x14ac:dyDescent="0.25">
      <c r="A1669" s="1">
        <v>43020</v>
      </c>
      <c r="B1669" s="2" t="s">
        <v>314</v>
      </c>
      <c r="C1669" s="2" t="s">
        <v>466</v>
      </c>
      <c r="D1669">
        <v>21</v>
      </c>
      <c r="E1669">
        <f>MONTH(makulatura3[[#This Row],[Data_dostarczenia]])</f>
        <v>10</v>
      </c>
    </row>
    <row r="1670" spans="1:5" x14ac:dyDescent="0.25">
      <c r="A1670" s="1">
        <v>43020</v>
      </c>
      <c r="B1670" s="2" t="s">
        <v>18</v>
      </c>
      <c r="C1670" s="2" t="s">
        <v>597</v>
      </c>
      <c r="D1670">
        <v>4</v>
      </c>
      <c r="E1670">
        <f>MONTH(makulatura3[[#This Row],[Data_dostarczenia]])</f>
        <v>10</v>
      </c>
    </row>
    <row r="1671" spans="1:5" x14ac:dyDescent="0.25">
      <c r="A1671" s="1">
        <v>43020</v>
      </c>
      <c r="B1671" s="2" t="s">
        <v>51</v>
      </c>
      <c r="C1671" s="2" t="s">
        <v>358</v>
      </c>
      <c r="D1671">
        <v>51</v>
      </c>
      <c r="E1671">
        <f>MONTH(makulatura3[[#This Row],[Data_dostarczenia]])</f>
        <v>10</v>
      </c>
    </row>
    <row r="1672" spans="1:5" x14ac:dyDescent="0.25">
      <c r="A1672" s="1">
        <v>43020</v>
      </c>
      <c r="B1672" s="2" t="s">
        <v>267</v>
      </c>
      <c r="C1672" s="2" t="s">
        <v>268</v>
      </c>
      <c r="D1672">
        <v>27</v>
      </c>
      <c r="E1672">
        <f>MONTH(makulatura3[[#This Row],[Data_dostarczenia]])</f>
        <v>10</v>
      </c>
    </row>
    <row r="1673" spans="1:5" x14ac:dyDescent="0.25">
      <c r="A1673" s="1">
        <v>43020</v>
      </c>
      <c r="B1673" s="2" t="s">
        <v>589</v>
      </c>
      <c r="C1673" s="2" t="s">
        <v>590</v>
      </c>
      <c r="D1673">
        <v>15</v>
      </c>
      <c r="E1673">
        <f>MONTH(makulatura3[[#This Row],[Data_dostarczenia]])</f>
        <v>10</v>
      </c>
    </row>
    <row r="1674" spans="1:5" x14ac:dyDescent="0.25">
      <c r="A1674" s="1">
        <v>43021</v>
      </c>
      <c r="B1674" s="2" t="s">
        <v>4</v>
      </c>
      <c r="C1674" s="2" t="s">
        <v>489</v>
      </c>
      <c r="D1674">
        <v>15</v>
      </c>
      <c r="E1674">
        <f>MONTH(makulatura3[[#This Row],[Data_dostarczenia]])</f>
        <v>10</v>
      </c>
    </row>
    <row r="1675" spans="1:5" x14ac:dyDescent="0.25">
      <c r="A1675" s="1">
        <v>43021</v>
      </c>
      <c r="B1675" s="2" t="s">
        <v>114</v>
      </c>
      <c r="C1675" s="2" t="s">
        <v>173</v>
      </c>
      <c r="D1675">
        <v>13</v>
      </c>
      <c r="E1675">
        <f>MONTH(makulatura3[[#This Row],[Data_dostarczenia]])</f>
        <v>10</v>
      </c>
    </row>
    <row r="1676" spans="1:5" x14ac:dyDescent="0.25">
      <c r="A1676" s="1">
        <v>43021</v>
      </c>
      <c r="B1676" s="2" t="s">
        <v>141</v>
      </c>
      <c r="C1676" s="2" t="s">
        <v>202</v>
      </c>
      <c r="D1676">
        <v>22</v>
      </c>
      <c r="E1676">
        <f>MONTH(makulatura3[[#This Row],[Data_dostarczenia]])</f>
        <v>10</v>
      </c>
    </row>
    <row r="1677" spans="1:5" x14ac:dyDescent="0.25">
      <c r="A1677" s="1">
        <v>43021</v>
      </c>
      <c r="B1677" s="2" t="s">
        <v>150</v>
      </c>
      <c r="C1677" s="2" t="s">
        <v>151</v>
      </c>
      <c r="D1677">
        <v>16</v>
      </c>
      <c r="E1677">
        <f>MONTH(makulatura3[[#This Row],[Data_dostarczenia]])</f>
        <v>10</v>
      </c>
    </row>
    <row r="1678" spans="1:5" x14ac:dyDescent="0.25">
      <c r="A1678" s="1">
        <v>43021</v>
      </c>
      <c r="B1678" s="2" t="s">
        <v>55</v>
      </c>
      <c r="C1678" s="2" t="s">
        <v>326</v>
      </c>
      <c r="D1678">
        <v>9</v>
      </c>
      <c r="E1678">
        <f>MONTH(makulatura3[[#This Row],[Data_dostarczenia]])</f>
        <v>10</v>
      </c>
    </row>
    <row r="1679" spans="1:5" x14ac:dyDescent="0.25">
      <c r="A1679" s="1">
        <v>43021</v>
      </c>
      <c r="B1679" s="2" t="s">
        <v>147</v>
      </c>
      <c r="C1679" s="2" t="s">
        <v>578</v>
      </c>
      <c r="D1679">
        <v>8</v>
      </c>
      <c r="E1679">
        <f>MONTH(makulatura3[[#This Row],[Data_dostarczenia]])</f>
        <v>10</v>
      </c>
    </row>
    <row r="1680" spans="1:5" x14ac:dyDescent="0.25">
      <c r="A1680" s="1">
        <v>43024</v>
      </c>
      <c r="B1680" s="2" t="s">
        <v>101</v>
      </c>
      <c r="C1680" s="2" t="s">
        <v>263</v>
      </c>
      <c r="D1680">
        <v>5</v>
      </c>
      <c r="E1680">
        <f>MONTH(makulatura3[[#This Row],[Data_dostarczenia]])</f>
        <v>10</v>
      </c>
    </row>
    <row r="1681" spans="1:5" x14ac:dyDescent="0.25">
      <c r="A1681" s="1">
        <v>43024</v>
      </c>
      <c r="B1681" s="2" t="s">
        <v>4</v>
      </c>
      <c r="C1681" s="2" t="s">
        <v>22</v>
      </c>
      <c r="D1681">
        <v>10</v>
      </c>
      <c r="E1681">
        <f>MONTH(makulatura3[[#This Row],[Data_dostarczenia]])</f>
        <v>10</v>
      </c>
    </row>
    <row r="1682" spans="1:5" x14ac:dyDescent="0.25">
      <c r="A1682" s="1">
        <v>43024</v>
      </c>
      <c r="B1682" s="2" t="s">
        <v>27</v>
      </c>
      <c r="C1682" s="2" t="s">
        <v>94</v>
      </c>
      <c r="D1682">
        <v>29</v>
      </c>
      <c r="E1682">
        <f>MONTH(makulatura3[[#This Row],[Data_dostarczenia]])</f>
        <v>10</v>
      </c>
    </row>
    <row r="1683" spans="1:5" x14ac:dyDescent="0.25">
      <c r="A1683" s="1">
        <v>43024</v>
      </c>
      <c r="B1683" s="2" t="s">
        <v>55</v>
      </c>
      <c r="C1683" s="2" t="s">
        <v>571</v>
      </c>
      <c r="D1683">
        <v>20</v>
      </c>
      <c r="E1683">
        <f>MONTH(makulatura3[[#This Row],[Data_dostarczenia]])</f>
        <v>10</v>
      </c>
    </row>
    <row r="1684" spans="1:5" x14ac:dyDescent="0.25">
      <c r="A1684" s="1">
        <v>43024</v>
      </c>
      <c r="B1684" s="2" t="s">
        <v>36</v>
      </c>
      <c r="C1684" s="2" t="s">
        <v>166</v>
      </c>
      <c r="D1684">
        <v>11</v>
      </c>
      <c r="E1684">
        <f>MONTH(makulatura3[[#This Row],[Data_dostarczenia]])</f>
        <v>10</v>
      </c>
    </row>
    <row r="1685" spans="1:5" x14ac:dyDescent="0.25">
      <c r="A1685" s="1">
        <v>43024</v>
      </c>
      <c r="B1685" s="2" t="s">
        <v>314</v>
      </c>
      <c r="C1685" s="2" t="s">
        <v>535</v>
      </c>
      <c r="D1685">
        <v>45</v>
      </c>
      <c r="E1685">
        <f>MONTH(makulatura3[[#This Row],[Data_dostarczenia]])</f>
        <v>10</v>
      </c>
    </row>
    <row r="1686" spans="1:5" x14ac:dyDescent="0.25">
      <c r="A1686" s="1">
        <v>43024</v>
      </c>
      <c r="B1686" s="2" t="s">
        <v>372</v>
      </c>
      <c r="C1686" s="2" t="s">
        <v>373</v>
      </c>
      <c r="D1686">
        <v>9</v>
      </c>
      <c r="E1686">
        <f>MONTH(makulatura3[[#This Row],[Data_dostarczenia]])</f>
        <v>10</v>
      </c>
    </row>
    <row r="1687" spans="1:5" x14ac:dyDescent="0.25">
      <c r="A1687" s="1">
        <v>43024</v>
      </c>
      <c r="B1687" s="2" t="s">
        <v>169</v>
      </c>
      <c r="C1687" s="2" t="s">
        <v>684</v>
      </c>
      <c r="D1687">
        <v>15</v>
      </c>
      <c r="E1687">
        <f>MONTH(makulatura3[[#This Row],[Data_dostarczenia]])</f>
        <v>10</v>
      </c>
    </row>
    <row r="1688" spans="1:5" x14ac:dyDescent="0.25">
      <c r="A1688" s="1">
        <v>43024</v>
      </c>
      <c r="B1688" s="2" t="s">
        <v>137</v>
      </c>
      <c r="C1688" s="2" t="s">
        <v>685</v>
      </c>
      <c r="D1688">
        <v>6</v>
      </c>
      <c r="E1688">
        <f>MONTH(makulatura3[[#This Row],[Data_dostarczenia]])</f>
        <v>10</v>
      </c>
    </row>
    <row r="1689" spans="1:5" x14ac:dyDescent="0.25">
      <c r="A1689" s="1">
        <v>43024</v>
      </c>
      <c r="B1689" s="2" t="s">
        <v>141</v>
      </c>
      <c r="C1689" s="2" t="s">
        <v>447</v>
      </c>
      <c r="D1689">
        <v>13</v>
      </c>
      <c r="E1689">
        <f>MONTH(makulatura3[[#This Row],[Data_dostarczenia]])</f>
        <v>10</v>
      </c>
    </row>
    <row r="1690" spans="1:5" x14ac:dyDescent="0.25">
      <c r="A1690" s="1">
        <v>43024</v>
      </c>
      <c r="B1690" s="2" t="s">
        <v>232</v>
      </c>
      <c r="C1690" s="2" t="s">
        <v>487</v>
      </c>
      <c r="D1690">
        <v>7</v>
      </c>
      <c r="E1690">
        <f>MONTH(makulatura3[[#This Row],[Data_dostarczenia]])</f>
        <v>10</v>
      </c>
    </row>
    <row r="1691" spans="1:5" x14ac:dyDescent="0.25">
      <c r="A1691" s="1">
        <v>43024</v>
      </c>
      <c r="B1691" s="2" t="s">
        <v>81</v>
      </c>
      <c r="C1691" s="2" t="s">
        <v>496</v>
      </c>
      <c r="D1691">
        <v>34</v>
      </c>
      <c r="E1691">
        <f>MONTH(makulatura3[[#This Row],[Data_dostarczenia]])</f>
        <v>10</v>
      </c>
    </row>
    <row r="1692" spans="1:5" x14ac:dyDescent="0.25">
      <c r="A1692" s="1">
        <v>43024</v>
      </c>
      <c r="B1692" s="2" t="s">
        <v>176</v>
      </c>
      <c r="C1692" s="2" t="s">
        <v>486</v>
      </c>
      <c r="D1692">
        <v>4</v>
      </c>
      <c r="E1692">
        <f>MONTH(makulatura3[[#This Row],[Data_dostarczenia]])</f>
        <v>10</v>
      </c>
    </row>
    <row r="1693" spans="1:5" x14ac:dyDescent="0.25">
      <c r="A1693" s="1">
        <v>43024</v>
      </c>
      <c r="B1693" s="2" t="s">
        <v>69</v>
      </c>
      <c r="C1693" s="2" t="s">
        <v>108</v>
      </c>
      <c r="D1693">
        <v>17</v>
      </c>
      <c r="E1693">
        <f>MONTH(makulatura3[[#This Row],[Data_dostarczenia]])</f>
        <v>10</v>
      </c>
    </row>
    <row r="1694" spans="1:5" x14ac:dyDescent="0.25">
      <c r="A1694" s="1">
        <v>43025</v>
      </c>
      <c r="B1694" s="2" t="s">
        <v>374</v>
      </c>
      <c r="C1694" s="2" t="s">
        <v>375</v>
      </c>
      <c r="D1694">
        <v>5</v>
      </c>
      <c r="E1694">
        <f>MONTH(makulatura3[[#This Row],[Data_dostarczenia]])</f>
        <v>10</v>
      </c>
    </row>
    <row r="1695" spans="1:5" x14ac:dyDescent="0.25">
      <c r="A1695" s="1">
        <v>43025</v>
      </c>
      <c r="B1695" s="2" t="s">
        <v>30</v>
      </c>
      <c r="C1695" s="2" t="s">
        <v>680</v>
      </c>
      <c r="D1695">
        <v>9</v>
      </c>
      <c r="E1695">
        <f>MONTH(makulatura3[[#This Row],[Data_dostarczenia]])</f>
        <v>10</v>
      </c>
    </row>
    <row r="1696" spans="1:5" x14ac:dyDescent="0.25">
      <c r="A1696" s="1">
        <v>43025</v>
      </c>
      <c r="B1696" s="2" t="s">
        <v>23</v>
      </c>
      <c r="C1696" s="2" t="s">
        <v>24</v>
      </c>
      <c r="D1696">
        <v>12</v>
      </c>
      <c r="E1696">
        <f>MONTH(makulatura3[[#This Row],[Data_dostarczenia]])</f>
        <v>10</v>
      </c>
    </row>
    <row r="1697" spans="1:5" x14ac:dyDescent="0.25">
      <c r="A1697" s="1">
        <v>43025</v>
      </c>
      <c r="B1697" s="2" t="s">
        <v>55</v>
      </c>
      <c r="C1697" s="2" t="s">
        <v>625</v>
      </c>
      <c r="D1697">
        <v>22</v>
      </c>
      <c r="E1697">
        <f>MONTH(makulatura3[[#This Row],[Data_dostarczenia]])</f>
        <v>10</v>
      </c>
    </row>
    <row r="1698" spans="1:5" x14ac:dyDescent="0.25">
      <c r="A1698" s="1">
        <v>43025</v>
      </c>
      <c r="B1698" s="2" t="s">
        <v>393</v>
      </c>
      <c r="C1698" s="2" t="s">
        <v>394</v>
      </c>
      <c r="D1698">
        <v>4</v>
      </c>
      <c r="E1698">
        <f>MONTH(makulatura3[[#This Row],[Data_dostarczenia]])</f>
        <v>10</v>
      </c>
    </row>
    <row r="1699" spans="1:5" x14ac:dyDescent="0.25">
      <c r="A1699" s="1">
        <v>43025</v>
      </c>
      <c r="B1699" s="2" t="s">
        <v>352</v>
      </c>
      <c r="C1699" s="2" t="s">
        <v>425</v>
      </c>
      <c r="D1699">
        <v>12</v>
      </c>
      <c r="E1699">
        <f>MONTH(makulatura3[[#This Row],[Data_dostarczenia]])</f>
        <v>10</v>
      </c>
    </row>
    <row r="1700" spans="1:5" x14ac:dyDescent="0.25">
      <c r="A1700" s="1">
        <v>43025</v>
      </c>
      <c r="B1700" s="2" t="s">
        <v>55</v>
      </c>
      <c r="C1700" s="2" t="s">
        <v>493</v>
      </c>
      <c r="D1700">
        <v>5</v>
      </c>
      <c r="E1700">
        <f>MONTH(makulatura3[[#This Row],[Data_dostarczenia]])</f>
        <v>10</v>
      </c>
    </row>
    <row r="1701" spans="1:5" x14ac:dyDescent="0.25">
      <c r="A1701" s="1">
        <v>43025</v>
      </c>
      <c r="B1701" s="2" t="s">
        <v>663</v>
      </c>
      <c r="C1701" s="2" t="s">
        <v>134</v>
      </c>
      <c r="D1701">
        <v>9</v>
      </c>
      <c r="E1701">
        <f>MONTH(makulatura3[[#This Row],[Data_dostarczenia]])</f>
        <v>10</v>
      </c>
    </row>
    <row r="1702" spans="1:5" x14ac:dyDescent="0.25">
      <c r="A1702" s="1">
        <v>43025</v>
      </c>
      <c r="B1702" s="2" t="s">
        <v>30</v>
      </c>
      <c r="C1702" s="2" t="s">
        <v>89</v>
      </c>
      <c r="D1702">
        <v>8</v>
      </c>
      <c r="E1702">
        <f>MONTH(makulatura3[[#This Row],[Data_dostarczenia]])</f>
        <v>10</v>
      </c>
    </row>
    <row r="1703" spans="1:5" x14ac:dyDescent="0.25">
      <c r="A1703" s="1">
        <v>43025</v>
      </c>
      <c r="B1703" s="2" t="s">
        <v>25</v>
      </c>
      <c r="C1703" s="2" t="s">
        <v>26</v>
      </c>
      <c r="D1703">
        <v>25</v>
      </c>
      <c r="E1703">
        <f>MONTH(makulatura3[[#This Row],[Data_dostarczenia]])</f>
        <v>10</v>
      </c>
    </row>
    <row r="1704" spans="1:5" x14ac:dyDescent="0.25">
      <c r="A1704" s="1">
        <v>43025</v>
      </c>
      <c r="B1704" s="2" t="s">
        <v>69</v>
      </c>
      <c r="C1704" s="2" t="s">
        <v>286</v>
      </c>
      <c r="D1704">
        <v>2</v>
      </c>
      <c r="E1704">
        <f>MONTH(makulatura3[[#This Row],[Data_dostarczenia]])</f>
        <v>10</v>
      </c>
    </row>
    <row r="1705" spans="1:5" x14ac:dyDescent="0.25">
      <c r="A1705" s="1">
        <v>43025</v>
      </c>
      <c r="B1705" s="2" t="s">
        <v>83</v>
      </c>
      <c r="C1705" s="2" t="s">
        <v>561</v>
      </c>
      <c r="D1705">
        <v>22</v>
      </c>
      <c r="E1705">
        <f>MONTH(makulatura3[[#This Row],[Data_dostarczenia]])</f>
        <v>10</v>
      </c>
    </row>
    <row r="1706" spans="1:5" x14ac:dyDescent="0.25">
      <c r="A1706" s="1">
        <v>43025</v>
      </c>
      <c r="B1706" s="2" t="s">
        <v>69</v>
      </c>
      <c r="C1706" s="2" t="s">
        <v>200</v>
      </c>
      <c r="D1706">
        <v>23</v>
      </c>
      <c r="E1706">
        <f>MONTH(makulatura3[[#This Row],[Data_dostarczenia]])</f>
        <v>10</v>
      </c>
    </row>
    <row r="1707" spans="1:5" x14ac:dyDescent="0.25">
      <c r="A1707" s="1">
        <v>43025</v>
      </c>
      <c r="B1707" s="2" t="s">
        <v>171</v>
      </c>
      <c r="C1707" s="2" t="s">
        <v>645</v>
      </c>
      <c r="D1707">
        <v>14</v>
      </c>
      <c r="E1707">
        <f>MONTH(makulatura3[[#This Row],[Data_dostarczenia]])</f>
        <v>10</v>
      </c>
    </row>
    <row r="1708" spans="1:5" x14ac:dyDescent="0.25">
      <c r="A1708" s="1">
        <v>43025</v>
      </c>
      <c r="B1708" s="2" t="s">
        <v>39</v>
      </c>
      <c r="C1708" s="2" t="s">
        <v>609</v>
      </c>
      <c r="D1708">
        <v>7</v>
      </c>
      <c r="E1708">
        <f>MONTH(makulatura3[[#This Row],[Data_dostarczenia]])</f>
        <v>10</v>
      </c>
    </row>
    <row r="1709" spans="1:5" x14ac:dyDescent="0.25">
      <c r="A1709" s="1">
        <v>43026</v>
      </c>
      <c r="B1709" s="2" t="s">
        <v>141</v>
      </c>
      <c r="C1709" s="2" t="s">
        <v>550</v>
      </c>
      <c r="D1709">
        <v>37</v>
      </c>
      <c r="E1709">
        <f>MONTH(makulatura3[[#This Row],[Data_dostarczenia]])</f>
        <v>10</v>
      </c>
    </row>
    <row r="1710" spans="1:5" x14ac:dyDescent="0.25">
      <c r="A1710" s="1">
        <v>43026</v>
      </c>
      <c r="B1710" s="2" t="s">
        <v>34</v>
      </c>
      <c r="C1710" s="2" t="s">
        <v>679</v>
      </c>
      <c r="D1710">
        <v>18</v>
      </c>
      <c r="E1710">
        <f>MONTH(makulatura3[[#This Row],[Data_dostarczenia]])</f>
        <v>10</v>
      </c>
    </row>
    <row r="1711" spans="1:5" x14ac:dyDescent="0.25">
      <c r="A1711" s="1">
        <v>43026</v>
      </c>
      <c r="B1711" s="2" t="s">
        <v>395</v>
      </c>
      <c r="C1711" s="2" t="s">
        <v>467</v>
      </c>
      <c r="D1711">
        <v>7</v>
      </c>
      <c r="E1711">
        <f>MONTH(makulatura3[[#This Row],[Data_dostarczenia]])</f>
        <v>10</v>
      </c>
    </row>
    <row r="1712" spans="1:5" x14ac:dyDescent="0.25">
      <c r="A1712" s="1">
        <v>43026</v>
      </c>
      <c r="B1712" s="2" t="s">
        <v>503</v>
      </c>
      <c r="C1712" s="2" t="s">
        <v>183</v>
      </c>
      <c r="D1712">
        <v>24</v>
      </c>
      <c r="E1712">
        <f>MONTH(makulatura3[[#This Row],[Data_dostarczenia]])</f>
        <v>10</v>
      </c>
    </row>
    <row r="1713" spans="1:5" x14ac:dyDescent="0.25">
      <c r="A1713" s="1">
        <v>43026</v>
      </c>
      <c r="B1713" s="2" t="s">
        <v>43</v>
      </c>
      <c r="C1713" s="2" t="s">
        <v>71</v>
      </c>
      <c r="D1713">
        <v>2</v>
      </c>
      <c r="E1713">
        <f>MONTH(makulatura3[[#This Row],[Data_dostarczenia]])</f>
        <v>10</v>
      </c>
    </row>
    <row r="1714" spans="1:5" x14ac:dyDescent="0.25">
      <c r="A1714" s="1">
        <v>43026</v>
      </c>
      <c r="B1714" s="2" t="s">
        <v>141</v>
      </c>
      <c r="C1714" s="2" t="s">
        <v>435</v>
      </c>
      <c r="D1714">
        <v>16</v>
      </c>
      <c r="E1714">
        <f>MONTH(makulatura3[[#This Row],[Data_dostarczenia]])</f>
        <v>10</v>
      </c>
    </row>
    <row r="1715" spans="1:5" x14ac:dyDescent="0.25">
      <c r="A1715" s="1">
        <v>43026</v>
      </c>
      <c r="B1715" s="2" t="s">
        <v>372</v>
      </c>
      <c r="C1715" s="2" t="s">
        <v>373</v>
      </c>
      <c r="D1715">
        <v>11</v>
      </c>
      <c r="E1715">
        <f>MONTH(makulatura3[[#This Row],[Data_dostarczenia]])</f>
        <v>10</v>
      </c>
    </row>
    <row r="1716" spans="1:5" x14ac:dyDescent="0.25">
      <c r="A1716" s="1">
        <v>43026</v>
      </c>
      <c r="B1716" s="2" t="s">
        <v>351</v>
      </c>
      <c r="C1716" s="2" t="s">
        <v>227</v>
      </c>
      <c r="D1716">
        <v>27</v>
      </c>
      <c r="E1716">
        <f>MONTH(makulatura3[[#This Row],[Data_dostarczenia]])</f>
        <v>10</v>
      </c>
    </row>
    <row r="1717" spans="1:5" x14ac:dyDescent="0.25">
      <c r="A1717" s="1">
        <v>43026</v>
      </c>
      <c r="B1717" s="2" t="s">
        <v>41</v>
      </c>
      <c r="C1717" s="2" t="s">
        <v>614</v>
      </c>
      <c r="D1717">
        <v>27</v>
      </c>
      <c r="E1717">
        <f>MONTH(makulatura3[[#This Row],[Data_dostarczenia]])</f>
        <v>10</v>
      </c>
    </row>
    <row r="1718" spans="1:5" x14ac:dyDescent="0.25">
      <c r="A1718" s="1">
        <v>43026</v>
      </c>
      <c r="B1718" s="2" t="s">
        <v>150</v>
      </c>
      <c r="C1718" s="2" t="s">
        <v>676</v>
      </c>
      <c r="D1718">
        <v>42</v>
      </c>
      <c r="E1718">
        <f>MONTH(makulatura3[[#This Row],[Data_dostarczenia]])</f>
        <v>10</v>
      </c>
    </row>
    <row r="1719" spans="1:5" x14ac:dyDescent="0.25">
      <c r="A1719" s="1">
        <v>43026</v>
      </c>
      <c r="B1719" s="2" t="s">
        <v>374</v>
      </c>
      <c r="C1719" s="2" t="s">
        <v>375</v>
      </c>
      <c r="D1719">
        <v>10</v>
      </c>
      <c r="E1719">
        <f>MONTH(makulatura3[[#This Row],[Data_dostarczenia]])</f>
        <v>10</v>
      </c>
    </row>
    <row r="1720" spans="1:5" x14ac:dyDescent="0.25">
      <c r="A1720" s="1">
        <v>43026</v>
      </c>
      <c r="B1720" s="2" t="s">
        <v>232</v>
      </c>
      <c r="C1720" s="2" t="s">
        <v>526</v>
      </c>
      <c r="D1720">
        <v>28</v>
      </c>
      <c r="E1720">
        <f>MONTH(makulatura3[[#This Row],[Data_dostarczenia]])</f>
        <v>10</v>
      </c>
    </row>
    <row r="1721" spans="1:5" x14ac:dyDescent="0.25">
      <c r="A1721" s="1">
        <v>43026</v>
      </c>
      <c r="B1721" s="2" t="s">
        <v>310</v>
      </c>
      <c r="C1721" s="2" t="s">
        <v>505</v>
      </c>
      <c r="D1721">
        <v>13</v>
      </c>
      <c r="E1721">
        <f>MONTH(makulatura3[[#This Row],[Data_dostarczenia]])</f>
        <v>10</v>
      </c>
    </row>
    <row r="1722" spans="1:5" x14ac:dyDescent="0.25">
      <c r="A1722" s="1">
        <v>43026</v>
      </c>
      <c r="B1722" s="2" t="s">
        <v>117</v>
      </c>
      <c r="C1722" s="2" t="s">
        <v>118</v>
      </c>
      <c r="D1722">
        <v>29</v>
      </c>
      <c r="E1722">
        <f>MONTH(makulatura3[[#This Row],[Data_dostarczenia]])</f>
        <v>10</v>
      </c>
    </row>
    <row r="1723" spans="1:5" x14ac:dyDescent="0.25">
      <c r="A1723" s="1">
        <v>43026</v>
      </c>
      <c r="B1723" s="2" t="s">
        <v>208</v>
      </c>
      <c r="C1723" s="2" t="s">
        <v>611</v>
      </c>
      <c r="D1723">
        <v>46</v>
      </c>
      <c r="E1723">
        <f>MONTH(makulatura3[[#This Row],[Data_dostarczenia]])</f>
        <v>10</v>
      </c>
    </row>
    <row r="1724" spans="1:5" x14ac:dyDescent="0.25">
      <c r="A1724" s="1">
        <v>43027</v>
      </c>
      <c r="B1724" s="2" t="s">
        <v>20</v>
      </c>
      <c r="C1724" s="2" t="s">
        <v>381</v>
      </c>
      <c r="D1724">
        <v>5</v>
      </c>
      <c r="E1724">
        <f>MONTH(makulatura3[[#This Row],[Data_dostarczenia]])</f>
        <v>10</v>
      </c>
    </row>
    <row r="1725" spans="1:5" x14ac:dyDescent="0.25">
      <c r="A1725" s="1">
        <v>43027</v>
      </c>
      <c r="B1725" s="2" t="s">
        <v>374</v>
      </c>
      <c r="C1725" s="2" t="s">
        <v>581</v>
      </c>
      <c r="D1725">
        <v>35</v>
      </c>
      <c r="E1725">
        <f>MONTH(makulatura3[[#This Row],[Data_dostarczenia]])</f>
        <v>10</v>
      </c>
    </row>
    <row r="1726" spans="1:5" x14ac:dyDescent="0.25">
      <c r="A1726" s="1">
        <v>43027</v>
      </c>
      <c r="B1726" s="2" t="s">
        <v>55</v>
      </c>
      <c r="C1726" s="2" t="s">
        <v>184</v>
      </c>
      <c r="D1726">
        <v>5</v>
      </c>
      <c r="E1726">
        <f>MONTH(makulatura3[[#This Row],[Data_dostarczenia]])</f>
        <v>10</v>
      </c>
    </row>
    <row r="1727" spans="1:5" x14ac:dyDescent="0.25">
      <c r="A1727" s="1">
        <v>43027</v>
      </c>
      <c r="B1727" s="2" t="s">
        <v>393</v>
      </c>
      <c r="C1727" s="2" t="s">
        <v>686</v>
      </c>
      <c r="D1727">
        <v>35</v>
      </c>
      <c r="E1727">
        <f>MONTH(makulatura3[[#This Row],[Data_dostarczenia]])</f>
        <v>10</v>
      </c>
    </row>
    <row r="1728" spans="1:5" x14ac:dyDescent="0.25">
      <c r="A1728" s="1">
        <v>43027</v>
      </c>
      <c r="B1728" s="2" t="s">
        <v>101</v>
      </c>
      <c r="C1728" s="2" t="s">
        <v>212</v>
      </c>
      <c r="D1728">
        <v>8</v>
      </c>
      <c r="E1728">
        <f>MONTH(makulatura3[[#This Row],[Data_dostarczenia]])</f>
        <v>10</v>
      </c>
    </row>
    <row r="1729" spans="1:5" x14ac:dyDescent="0.25">
      <c r="A1729" s="1">
        <v>43027</v>
      </c>
      <c r="B1729" s="2" t="s">
        <v>343</v>
      </c>
      <c r="C1729" s="2" t="s">
        <v>501</v>
      </c>
      <c r="D1729">
        <v>44</v>
      </c>
      <c r="E1729">
        <f>MONTH(makulatura3[[#This Row],[Data_dostarczenia]])</f>
        <v>10</v>
      </c>
    </row>
    <row r="1730" spans="1:5" x14ac:dyDescent="0.25">
      <c r="A1730" s="1">
        <v>43027</v>
      </c>
      <c r="B1730" s="2" t="s">
        <v>343</v>
      </c>
      <c r="C1730" s="2" t="s">
        <v>501</v>
      </c>
      <c r="D1730">
        <v>34</v>
      </c>
      <c r="E1730">
        <f>MONTH(makulatura3[[#This Row],[Data_dostarczenia]])</f>
        <v>10</v>
      </c>
    </row>
    <row r="1731" spans="1:5" x14ac:dyDescent="0.25">
      <c r="A1731" s="1">
        <v>43027</v>
      </c>
      <c r="B1731" s="2" t="s">
        <v>310</v>
      </c>
      <c r="C1731" s="2" t="s">
        <v>311</v>
      </c>
      <c r="D1731">
        <v>6</v>
      </c>
      <c r="E1731">
        <f>MONTH(makulatura3[[#This Row],[Data_dostarczenia]])</f>
        <v>10</v>
      </c>
    </row>
    <row r="1732" spans="1:5" x14ac:dyDescent="0.25">
      <c r="A1732" s="1">
        <v>43027</v>
      </c>
      <c r="B1732" s="2" t="s">
        <v>147</v>
      </c>
      <c r="C1732" s="2" t="s">
        <v>644</v>
      </c>
      <c r="D1732">
        <v>16</v>
      </c>
      <c r="E1732">
        <f>MONTH(makulatura3[[#This Row],[Data_dostarczenia]])</f>
        <v>10</v>
      </c>
    </row>
    <row r="1733" spans="1:5" x14ac:dyDescent="0.25">
      <c r="A1733" s="1">
        <v>43027</v>
      </c>
      <c r="B1733" s="2" t="s">
        <v>65</v>
      </c>
      <c r="C1733" s="2" t="s">
        <v>205</v>
      </c>
      <c r="D1733">
        <v>32</v>
      </c>
      <c r="E1733">
        <f>MONTH(makulatura3[[#This Row],[Data_dostarczenia]])</f>
        <v>10</v>
      </c>
    </row>
    <row r="1734" spans="1:5" x14ac:dyDescent="0.25">
      <c r="A1734" s="1">
        <v>43027</v>
      </c>
      <c r="B1734" s="2" t="s">
        <v>34</v>
      </c>
      <c r="C1734" s="2" t="s">
        <v>445</v>
      </c>
      <c r="D1734">
        <v>35</v>
      </c>
      <c r="E1734">
        <f>MONTH(makulatura3[[#This Row],[Data_dostarczenia]])</f>
        <v>10</v>
      </c>
    </row>
    <row r="1735" spans="1:5" x14ac:dyDescent="0.25">
      <c r="A1735" s="1">
        <v>43027</v>
      </c>
      <c r="B1735" s="2" t="s">
        <v>67</v>
      </c>
      <c r="C1735" s="2" t="s">
        <v>301</v>
      </c>
      <c r="D1735">
        <v>9</v>
      </c>
      <c r="E1735">
        <f>MONTH(makulatura3[[#This Row],[Data_dostarczenia]])</f>
        <v>10</v>
      </c>
    </row>
    <row r="1736" spans="1:5" x14ac:dyDescent="0.25">
      <c r="A1736" s="1">
        <v>43027</v>
      </c>
      <c r="B1736" s="2" t="s">
        <v>310</v>
      </c>
      <c r="C1736" s="2" t="s">
        <v>458</v>
      </c>
      <c r="D1736">
        <v>29</v>
      </c>
      <c r="E1736">
        <f>MONTH(makulatura3[[#This Row],[Data_dostarczenia]])</f>
        <v>10</v>
      </c>
    </row>
    <row r="1737" spans="1:5" x14ac:dyDescent="0.25">
      <c r="A1737" s="1">
        <v>43027</v>
      </c>
      <c r="B1737" s="2" t="s">
        <v>174</v>
      </c>
      <c r="C1737" s="2" t="s">
        <v>570</v>
      </c>
      <c r="D1737">
        <v>51</v>
      </c>
      <c r="E1737">
        <f>MONTH(makulatura3[[#This Row],[Data_dostarczenia]])</f>
        <v>10</v>
      </c>
    </row>
    <row r="1738" spans="1:5" x14ac:dyDescent="0.25">
      <c r="A1738" s="1">
        <v>43028</v>
      </c>
      <c r="B1738" s="2" t="s">
        <v>143</v>
      </c>
      <c r="C1738" s="2" t="s">
        <v>510</v>
      </c>
      <c r="D1738">
        <v>14</v>
      </c>
      <c r="E1738">
        <f>MONTH(makulatura3[[#This Row],[Data_dostarczenia]])</f>
        <v>10</v>
      </c>
    </row>
    <row r="1739" spans="1:5" x14ac:dyDescent="0.25">
      <c r="A1739" s="1">
        <v>43028</v>
      </c>
      <c r="B1739" s="2" t="s">
        <v>150</v>
      </c>
      <c r="C1739" s="2" t="s">
        <v>200</v>
      </c>
      <c r="D1739">
        <v>6</v>
      </c>
      <c r="E1739">
        <f>MONTH(makulatura3[[#This Row],[Data_dostarczenia]])</f>
        <v>10</v>
      </c>
    </row>
    <row r="1740" spans="1:5" x14ac:dyDescent="0.25">
      <c r="A1740" s="1">
        <v>43028</v>
      </c>
      <c r="B1740" s="2" t="s">
        <v>442</v>
      </c>
      <c r="C1740" s="2" t="s">
        <v>540</v>
      </c>
      <c r="D1740">
        <v>7</v>
      </c>
      <c r="E1740">
        <f>MONTH(makulatura3[[#This Row],[Data_dostarczenia]])</f>
        <v>10</v>
      </c>
    </row>
    <row r="1741" spans="1:5" x14ac:dyDescent="0.25">
      <c r="A1741" s="1">
        <v>43028</v>
      </c>
      <c r="B1741" s="2" t="s">
        <v>150</v>
      </c>
      <c r="C1741" s="2" t="s">
        <v>556</v>
      </c>
      <c r="D1741">
        <v>23</v>
      </c>
      <c r="E1741">
        <f>MONTH(makulatura3[[#This Row],[Data_dostarczenia]])</f>
        <v>10</v>
      </c>
    </row>
    <row r="1742" spans="1:5" x14ac:dyDescent="0.25">
      <c r="A1742" s="1">
        <v>43028</v>
      </c>
      <c r="B1742" s="2" t="s">
        <v>97</v>
      </c>
      <c r="C1742" s="2" t="s">
        <v>188</v>
      </c>
      <c r="D1742">
        <v>19</v>
      </c>
      <c r="E1742">
        <f>MONTH(makulatura3[[#This Row],[Data_dostarczenia]])</f>
        <v>10</v>
      </c>
    </row>
    <row r="1743" spans="1:5" x14ac:dyDescent="0.25">
      <c r="A1743" s="1">
        <v>43028</v>
      </c>
      <c r="B1743" s="2" t="s">
        <v>20</v>
      </c>
      <c r="C1743" s="2" t="s">
        <v>381</v>
      </c>
      <c r="D1743">
        <v>9</v>
      </c>
      <c r="E1743">
        <f>MONTH(makulatura3[[#This Row],[Data_dostarczenia]])</f>
        <v>10</v>
      </c>
    </row>
    <row r="1744" spans="1:5" x14ac:dyDescent="0.25">
      <c r="A1744" s="1">
        <v>43028</v>
      </c>
      <c r="B1744" s="2" t="s">
        <v>635</v>
      </c>
      <c r="C1744" s="2" t="s">
        <v>636</v>
      </c>
      <c r="D1744">
        <v>24</v>
      </c>
      <c r="E1744">
        <f>MONTH(makulatura3[[#This Row],[Data_dostarczenia]])</f>
        <v>10</v>
      </c>
    </row>
    <row r="1745" spans="1:5" x14ac:dyDescent="0.25">
      <c r="A1745" s="1">
        <v>43028</v>
      </c>
      <c r="B1745" s="2" t="s">
        <v>361</v>
      </c>
      <c r="C1745" s="2" t="s">
        <v>362</v>
      </c>
      <c r="D1745">
        <v>22</v>
      </c>
      <c r="E1745">
        <f>MONTH(makulatura3[[#This Row],[Data_dostarczenia]])</f>
        <v>10</v>
      </c>
    </row>
    <row r="1746" spans="1:5" x14ac:dyDescent="0.25">
      <c r="A1746" s="1">
        <v>43028</v>
      </c>
      <c r="B1746" s="2" t="s">
        <v>101</v>
      </c>
      <c r="C1746" s="2" t="s">
        <v>188</v>
      </c>
      <c r="D1746">
        <v>22</v>
      </c>
      <c r="E1746">
        <f>MONTH(makulatura3[[#This Row],[Data_dostarczenia]])</f>
        <v>10</v>
      </c>
    </row>
    <row r="1747" spans="1:5" x14ac:dyDescent="0.25">
      <c r="A1747" s="1">
        <v>43028</v>
      </c>
      <c r="B1747" s="2" t="s">
        <v>395</v>
      </c>
      <c r="C1747" s="2" t="s">
        <v>687</v>
      </c>
      <c r="D1747">
        <v>31</v>
      </c>
      <c r="E1747">
        <f>MONTH(makulatura3[[#This Row],[Data_dostarczenia]])</f>
        <v>10</v>
      </c>
    </row>
    <row r="1748" spans="1:5" x14ac:dyDescent="0.25">
      <c r="A1748" s="1">
        <v>43028</v>
      </c>
      <c r="B1748" s="2" t="s">
        <v>128</v>
      </c>
      <c r="C1748" s="2" t="s">
        <v>12</v>
      </c>
      <c r="D1748">
        <v>4</v>
      </c>
      <c r="E1748">
        <f>MONTH(makulatura3[[#This Row],[Data_dostarczenia]])</f>
        <v>10</v>
      </c>
    </row>
    <row r="1749" spans="1:5" x14ac:dyDescent="0.25">
      <c r="A1749" s="1">
        <v>43028</v>
      </c>
      <c r="B1749" s="2" t="s">
        <v>53</v>
      </c>
      <c r="C1749" s="2" t="s">
        <v>227</v>
      </c>
      <c r="D1749">
        <v>2</v>
      </c>
      <c r="E1749">
        <f>MONTH(makulatura3[[#This Row],[Data_dostarczenia]])</f>
        <v>10</v>
      </c>
    </row>
    <row r="1750" spans="1:5" x14ac:dyDescent="0.25">
      <c r="A1750" s="1">
        <v>43028</v>
      </c>
      <c r="B1750" s="2" t="s">
        <v>193</v>
      </c>
      <c r="C1750" s="2" t="s">
        <v>555</v>
      </c>
      <c r="D1750">
        <v>25</v>
      </c>
      <c r="E1750">
        <f>MONTH(makulatura3[[#This Row],[Data_dostarczenia]])</f>
        <v>10</v>
      </c>
    </row>
    <row r="1751" spans="1:5" x14ac:dyDescent="0.25">
      <c r="A1751" s="1">
        <v>43028</v>
      </c>
      <c r="B1751" s="2" t="s">
        <v>312</v>
      </c>
      <c r="C1751" s="2" t="s">
        <v>88</v>
      </c>
      <c r="D1751">
        <v>17</v>
      </c>
      <c r="E1751">
        <f>MONTH(makulatura3[[#This Row],[Data_dostarczenia]])</f>
        <v>10</v>
      </c>
    </row>
    <row r="1752" spans="1:5" x14ac:dyDescent="0.25">
      <c r="A1752" s="1">
        <v>43028</v>
      </c>
      <c r="B1752" s="2" t="s">
        <v>152</v>
      </c>
      <c r="C1752" s="2" t="s">
        <v>17</v>
      </c>
      <c r="D1752">
        <v>6</v>
      </c>
      <c r="E1752">
        <f>MONTH(makulatura3[[#This Row],[Data_dostarczenia]])</f>
        <v>10</v>
      </c>
    </row>
    <row r="1753" spans="1:5" x14ac:dyDescent="0.25">
      <c r="A1753" s="1">
        <v>43028</v>
      </c>
      <c r="B1753" s="2" t="s">
        <v>144</v>
      </c>
      <c r="C1753" s="2" t="s">
        <v>390</v>
      </c>
      <c r="D1753">
        <v>21</v>
      </c>
      <c r="E1753">
        <f>MONTH(makulatura3[[#This Row],[Data_dostarczenia]])</f>
        <v>10</v>
      </c>
    </row>
    <row r="1754" spans="1:5" x14ac:dyDescent="0.25">
      <c r="A1754" s="1">
        <v>43028</v>
      </c>
      <c r="B1754" s="2" t="s">
        <v>150</v>
      </c>
      <c r="C1754" s="2" t="s">
        <v>211</v>
      </c>
      <c r="D1754">
        <v>26</v>
      </c>
      <c r="E1754">
        <f>MONTH(makulatura3[[#This Row],[Data_dostarczenia]])</f>
        <v>10</v>
      </c>
    </row>
    <row r="1755" spans="1:5" x14ac:dyDescent="0.25">
      <c r="A1755" s="1">
        <v>43031</v>
      </c>
      <c r="B1755" s="2" t="s">
        <v>427</v>
      </c>
      <c r="C1755" s="2" t="s">
        <v>118</v>
      </c>
      <c r="D1755">
        <v>41</v>
      </c>
      <c r="E1755">
        <f>MONTH(makulatura3[[#This Row],[Data_dostarczenia]])</f>
        <v>10</v>
      </c>
    </row>
    <row r="1756" spans="1:5" x14ac:dyDescent="0.25">
      <c r="A1756" s="1">
        <v>43031</v>
      </c>
      <c r="B1756" s="2" t="s">
        <v>34</v>
      </c>
      <c r="C1756" s="2" t="s">
        <v>564</v>
      </c>
      <c r="D1756">
        <v>28</v>
      </c>
      <c r="E1756">
        <f>MONTH(makulatura3[[#This Row],[Data_dostarczenia]])</f>
        <v>10</v>
      </c>
    </row>
    <row r="1757" spans="1:5" x14ac:dyDescent="0.25">
      <c r="A1757" s="1">
        <v>43031</v>
      </c>
      <c r="B1757" s="2" t="s">
        <v>137</v>
      </c>
      <c r="C1757" s="2" t="s">
        <v>617</v>
      </c>
      <c r="D1757">
        <v>11</v>
      </c>
      <c r="E1757">
        <f>MONTH(makulatura3[[#This Row],[Data_dostarczenia]])</f>
        <v>10</v>
      </c>
    </row>
    <row r="1758" spans="1:5" x14ac:dyDescent="0.25">
      <c r="A1758" s="1">
        <v>43031</v>
      </c>
      <c r="B1758" s="2" t="s">
        <v>41</v>
      </c>
      <c r="C1758" s="2" t="s">
        <v>42</v>
      </c>
      <c r="D1758">
        <v>27</v>
      </c>
      <c r="E1758">
        <f>MONTH(makulatura3[[#This Row],[Data_dostarczenia]])</f>
        <v>10</v>
      </c>
    </row>
    <row r="1759" spans="1:5" x14ac:dyDescent="0.25">
      <c r="A1759" s="1">
        <v>43031</v>
      </c>
      <c r="B1759" s="2" t="s">
        <v>150</v>
      </c>
      <c r="C1759" s="2" t="s">
        <v>200</v>
      </c>
      <c r="D1759">
        <v>14</v>
      </c>
      <c r="E1759">
        <f>MONTH(makulatura3[[#This Row],[Data_dostarczenia]])</f>
        <v>10</v>
      </c>
    </row>
    <row r="1760" spans="1:5" x14ac:dyDescent="0.25">
      <c r="A1760" s="1">
        <v>43031</v>
      </c>
      <c r="B1760" s="2" t="s">
        <v>449</v>
      </c>
      <c r="C1760" s="2" t="s">
        <v>382</v>
      </c>
      <c r="D1760">
        <v>37</v>
      </c>
      <c r="E1760">
        <f>MONTH(makulatura3[[#This Row],[Data_dostarczenia]])</f>
        <v>10</v>
      </c>
    </row>
    <row r="1761" spans="1:5" x14ac:dyDescent="0.25">
      <c r="A1761" s="1">
        <v>43031</v>
      </c>
      <c r="B1761" s="2" t="s">
        <v>221</v>
      </c>
      <c r="C1761" s="2" t="s">
        <v>348</v>
      </c>
      <c r="D1761">
        <v>49</v>
      </c>
      <c r="E1761">
        <f>MONTH(makulatura3[[#This Row],[Data_dostarczenia]])</f>
        <v>10</v>
      </c>
    </row>
    <row r="1762" spans="1:5" x14ac:dyDescent="0.25">
      <c r="A1762" s="1">
        <v>43031</v>
      </c>
      <c r="B1762" s="2" t="s">
        <v>126</v>
      </c>
      <c r="C1762" s="2" t="s">
        <v>127</v>
      </c>
      <c r="D1762">
        <v>12</v>
      </c>
      <c r="E1762">
        <f>MONTH(makulatura3[[#This Row],[Data_dostarczenia]])</f>
        <v>10</v>
      </c>
    </row>
    <row r="1763" spans="1:5" x14ac:dyDescent="0.25">
      <c r="A1763" s="1">
        <v>43031</v>
      </c>
      <c r="B1763" s="2" t="s">
        <v>688</v>
      </c>
      <c r="C1763" s="2" t="s">
        <v>689</v>
      </c>
      <c r="D1763">
        <v>16</v>
      </c>
      <c r="E1763">
        <f>MONTH(makulatura3[[#This Row],[Data_dostarczenia]])</f>
        <v>10</v>
      </c>
    </row>
    <row r="1764" spans="1:5" x14ac:dyDescent="0.25">
      <c r="A1764" s="1">
        <v>43031</v>
      </c>
      <c r="B1764" s="2" t="s">
        <v>34</v>
      </c>
      <c r="C1764" s="2" t="s">
        <v>557</v>
      </c>
      <c r="D1764">
        <v>20</v>
      </c>
      <c r="E1764">
        <f>MONTH(makulatura3[[#This Row],[Data_dostarczenia]])</f>
        <v>10</v>
      </c>
    </row>
    <row r="1765" spans="1:5" x14ac:dyDescent="0.25">
      <c r="A1765" s="1">
        <v>43031</v>
      </c>
      <c r="B1765" s="2" t="s">
        <v>101</v>
      </c>
      <c r="C1765" s="2" t="s">
        <v>610</v>
      </c>
      <c r="D1765">
        <v>19</v>
      </c>
      <c r="E1765">
        <f>MONTH(makulatura3[[#This Row],[Data_dostarczenia]])</f>
        <v>10</v>
      </c>
    </row>
    <row r="1766" spans="1:5" x14ac:dyDescent="0.25">
      <c r="A1766" s="1">
        <v>43031</v>
      </c>
      <c r="B1766" s="2" t="s">
        <v>341</v>
      </c>
      <c r="C1766" s="2" t="s">
        <v>342</v>
      </c>
      <c r="D1766">
        <v>17</v>
      </c>
      <c r="E1766">
        <f>MONTH(makulatura3[[#This Row],[Data_dostarczenia]])</f>
        <v>10</v>
      </c>
    </row>
    <row r="1767" spans="1:5" x14ac:dyDescent="0.25">
      <c r="A1767" s="1">
        <v>43031</v>
      </c>
      <c r="B1767" s="2" t="s">
        <v>427</v>
      </c>
      <c r="C1767" s="2" t="s">
        <v>118</v>
      </c>
      <c r="D1767">
        <v>24</v>
      </c>
      <c r="E1767">
        <f>MONTH(makulatura3[[#This Row],[Data_dostarczenia]])</f>
        <v>10</v>
      </c>
    </row>
    <row r="1768" spans="1:5" x14ac:dyDescent="0.25">
      <c r="A1768" s="1">
        <v>43031</v>
      </c>
      <c r="B1768" s="2" t="s">
        <v>67</v>
      </c>
      <c r="C1768" s="2" t="s">
        <v>68</v>
      </c>
      <c r="D1768">
        <v>28</v>
      </c>
      <c r="E1768">
        <f>MONTH(makulatura3[[#This Row],[Data_dostarczenia]])</f>
        <v>10</v>
      </c>
    </row>
    <row r="1769" spans="1:5" x14ac:dyDescent="0.25">
      <c r="A1769" s="1">
        <v>43031</v>
      </c>
      <c r="B1769" s="2" t="s">
        <v>69</v>
      </c>
      <c r="C1769" s="2" t="s">
        <v>286</v>
      </c>
      <c r="D1769">
        <v>14</v>
      </c>
      <c r="E1769">
        <f>MONTH(makulatura3[[#This Row],[Data_dostarczenia]])</f>
        <v>10</v>
      </c>
    </row>
    <row r="1770" spans="1:5" x14ac:dyDescent="0.25">
      <c r="A1770" s="1">
        <v>43031</v>
      </c>
      <c r="B1770" s="2" t="s">
        <v>178</v>
      </c>
      <c r="C1770" s="2" t="s">
        <v>335</v>
      </c>
      <c r="D1770">
        <v>47</v>
      </c>
      <c r="E1770">
        <f>MONTH(makulatura3[[#This Row],[Data_dostarczenia]])</f>
        <v>10</v>
      </c>
    </row>
    <row r="1771" spans="1:5" x14ac:dyDescent="0.25">
      <c r="A1771" s="1">
        <v>43031</v>
      </c>
      <c r="B1771" s="2" t="s">
        <v>150</v>
      </c>
      <c r="C1771" s="2" t="s">
        <v>140</v>
      </c>
      <c r="D1771">
        <v>6</v>
      </c>
      <c r="E1771">
        <f>MONTH(makulatura3[[#This Row],[Data_dostarczenia]])</f>
        <v>10</v>
      </c>
    </row>
    <row r="1772" spans="1:5" x14ac:dyDescent="0.25">
      <c r="A1772" s="1">
        <v>43032</v>
      </c>
      <c r="B1772" s="2" t="s">
        <v>536</v>
      </c>
      <c r="C1772" s="2" t="s">
        <v>537</v>
      </c>
      <c r="D1772">
        <v>20</v>
      </c>
      <c r="E1772">
        <f>MONTH(makulatura3[[#This Row],[Data_dostarczenia]])</f>
        <v>10</v>
      </c>
    </row>
    <row r="1773" spans="1:5" x14ac:dyDescent="0.25">
      <c r="A1773" s="1">
        <v>43032</v>
      </c>
      <c r="B1773" s="2" t="s">
        <v>280</v>
      </c>
      <c r="C1773" s="2" t="s">
        <v>447</v>
      </c>
      <c r="D1773">
        <v>9</v>
      </c>
      <c r="E1773">
        <f>MONTH(makulatura3[[#This Row],[Data_dostarczenia]])</f>
        <v>10</v>
      </c>
    </row>
    <row r="1774" spans="1:5" x14ac:dyDescent="0.25">
      <c r="A1774" s="1">
        <v>43032</v>
      </c>
      <c r="B1774" s="2" t="s">
        <v>87</v>
      </c>
      <c r="C1774" s="2" t="s">
        <v>251</v>
      </c>
      <c r="D1774">
        <v>43</v>
      </c>
      <c r="E1774">
        <f>MONTH(makulatura3[[#This Row],[Data_dostarczenia]])</f>
        <v>10</v>
      </c>
    </row>
    <row r="1775" spans="1:5" x14ac:dyDescent="0.25">
      <c r="A1775" s="1">
        <v>43032</v>
      </c>
      <c r="B1775" s="2" t="s">
        <v>63</v>
      </c>
      <c r="C1775" s="2" t="s">
        <v>671</v>
      </c>
      <c r="D1775">
        <v>50</v>
      </c>
      <c r="E1775">
        <f>MONTH(makulatura3[[#This Row],[Data_dostarczenia]])</f>
        <v>10</v>
      </c>
    </row>
    <row r="1776" spans="1:5" x14ac:dyDescent="0.25">
      <c r="A1776" s="1">
        <v>43032</v>
      </c>
      <c r="B1776" s="2" t="s">
        <v>83</v>
      </c>
      <c r="C1776" s="2" t="s">
        <v>513</v>
      </c>
      <c r="D1776">
        <v>13</v>
      </c>
      <c r="E1776">
        <f>MONTH(makulatura3[[#This Row],[Data_dostarczenia]])</f>
        <v>10</v>
      </c>
    </row>
    <row r="1777" spans="1:5" x14ac:dyDescent="0.25">
      <c r="A1777" s="1">
        <v>43032</v>
      </c>
      <c r="B1777" s="2" t="s">
        <v>27</v>
      </c>
      <c r="C1777" s="2" t="s">
        <v>683</v>
      </c>
      <c r="D1777">
        <v>30</v>
      </c>
      <c r="E1777">
        <f>MONTH(makulatura3[[#This Row],[Data_dostarczenia]])</f>
        <v>10</v>
      </c>
    </row>
    <row r="1778" spans="1:5" x14ac:dyDescent="0.25">
      <c r="A1778" s="1">
        <v>43032</v>
      </c>
      <c r="B1778" s="2" t="s">
        <v>290</v>
      </c>
      <c r="C1778" s="2" t="s">
        <v>291</v>
      </c>
      <c r="D1778">
        <v>7</v>
      </c>
      <c r="E1778">
        <f>MONTH(makulatura3[[#This Row],[Data_dostarczenia]])</f>
        <v>10</v>
      </c>
    </row>
    <row r="1779" spans="1:5" x14ac:dyDescent="0.25">
      <c r="A1779" s="1">
        <v>43032</v>
      </c>
      <c r="B1779" s="2" t="s">
        <v>150</v>
      </c>
      <c r="C1779" s="2" t="s">
        <v>601</v>
      </c>
      <c r="D1779">
        <v>52</v>
      </c>
      <c r="E1779">
        <f>MONTH(makulatura3[[#This Row],[Data_dostarczenia]])</f>
        <v>10</v>
      </c>
    </row>
    <row r="1780" spans="1:5" x14ac:dyDescent="0.25">
      <c r="A1780" s="1">
        <v>43032</v>
      </c>
      <c r="B1780" s="2" t="s">
        <v>83</v>
      </c>
      <c r="C1780" s="2" t="s">
        <v>455</v>
      </c>
      <c r="D1780">
        <v>7</v>
      </c>
      <c r="E1780">
        <f>MONTH(makulatura3[[#This Row],[Data_dostarczenia]])</f>
        <v>10</v>
      </c>
    </row>
    <row r="1781" spans="1:5" x14ac:dyDescent="0.25">
      <c r="A1781" s="1">
        <v>43032</v>
      </c>
      <c r="B1781" s="2" t="s">
        <v>174</v>
      </c>
      <c r="C1781" s="2" t="s">
        <v>415</v>
      </c>
      <c r="D1781">
        <v>6</v>
      </c>
      <c r="E1781">
        <f>MONTH(makulatura3[[#This Row],[Data_dostarczenia]])</f>
        <v>10</v>
      </c>
    </row>
    <row r="1782" spans="1:5" x14ac:dyDescent="0.25">
      <c r="A1782" s="1">
        <v>43032</v>
      </c>
      <c r="B1782" s="2" t="s">
        <v>30</v>
      </c>
      <c r="C1782" s="2" t="s">
        <v>680</v>
      </c>
      <c r="D1782">
        <v>4</v>
      </c>
      <c r="E1782">
        <f>MONTH(makulatura3[[#This Row],[Data_dostarczenia]])</f>
        <v>10</v>
      </c>
    </row>
    <row r="1783" spans="1:5" x14ac:dyDescent="0.25">
      <c r="A1783" s="1">
        <v>43032</v>
      </c>
      <c r="B1783" s="2" t="s">
        <v>67</v>
      </c>
      <c r="C1783" s="2" t="s">
        <v>670</v>
      </c>
      <c r="D1783">
        <v>56</v>
      </c>
      <c r="E1783">
        <f>MONTH(makulatura3[[#This Row],[Data_dostarczenia]])</f>
        <v>10</v>
      </c>
    </row>
    <row r="1784" spans="1:5" x14ac:dyDescent="0.25">
      <c r="A1784" s="1">
        <v>43032</v>
      </c>
      <c r="B1784" s="2" t="s">
        <v>106</v>
      </c>
      <c r="C1784" s="2" t="s">
        <v>277</v>
      </c>
      <c r="D1784">
        <v>54</v>
      </c>
      <c r="E1784">
        <f>MONTH(makulatura3[[#This Row],[Data_dostarczenia]])</f>
        <v>10</v>
      </c>
    </row>
    <row r="1785" spans="1:5" x14ac:dyDescent="0.25">
      <c r="A1785" s="1">
        <v>43032</v>
      </c>
      <c r="B1785" s="2" t="s">
        <v>395</v>
      </c>
      <c r="C1785" s="2" t="s">
        <v>587</v>
      </c>
      <c r="D1785">
        <v>10</v>
      </c>
      <c r="E1785">
        <f>MONTH(makulatura3[[#This Row],[Data_dostarczenia]])</f>
        <v>10</v>
      </c>
    </row>
    <row r="1786" spans="1:5" x14ac:dyDescent="0.25">
      <c r="A1786" s="1">
        <v>43032</v>
      </c>
      <c r="B1786" s="2" t="s">
        <v>87</v>
      </c>
      <c r="C1786" s="2" t="s">
        <v>88</v>
      </c>
      <c r="D1786">
        <v>4</v>
      </c>
      <c r="E1786">
        <f>MONTH(makulatura3[[#This Row],[Data_dostarczenia]])</f>
        <v>10</v>
      </c>
    </row>
    <row r="1787" spans="1:5" x14ac:dyDescent="0.25">
      <c r="A1787" s="1">
        <v>43032</v>
      </c>
      <c r="B1787" s="2" t="s">
        <v>117</v>
      </c>
      <c r="C1787" s="2" t="s">
        <v>118</v>
      </c>
      <c r="D1787">
        <v>27</v>
      </c>
      <c r="E1787">
        <f>MONTH(makulatura3[[#This Row],[Data_dostarczenia]])</f>
        <v>10</v>
      </c>
    </row>
    <row r="1788" spans="1:5" x14ac:dyDescent="0.25">
      <c r="A1788" s="1">
        <v>43032</v>
      </c>
      <c r="B1788" s="2" t="s">
        <v>150</v>
      </c>
      <c r="C1788" s="2" t="s">
        <v>298</v>
      </c>
      <c r="D1788">
        <v>10</v>
      </c>
      <c r="E1788">
        <f>MONTH(makulatura3[[#This Row],[Data_dostarczenia]])</f>
        <v>10</v>
      </c>
    </row>
    <row r="1789" spans="1:5" x14ac:dyDescent="0.25">
      <c r="A1789" s="1">
        <v>43033</v>
      </c>
      <c r="B1789" s="2" t="s">
        <v>114</v>
      </c>
      <c r="C1789" s="2" t="s">
        <v>653</v>
      </c>
      <c r="D1789">
        <v>11</v>
      </c>
      <c r="E1789">
        <f>MONTH(makulatura3[[#This Row],[Data_dostarczenia]])</f>
        <v>10</v>
      </c>
    </row>
    <row r="1790" spans="1:5" x14ac:dyDescent="0.25">
      <c r="A1790" s="1">
        <v>43033</v>
      </c>
      <c r="B1790" s="2" t="s">
        <v>18</v>
      </c>
      <c r="C1790" s="2" t="s">
        <v>354</v>
      </c>
      <c r="D1790">
        <v>46</v>
      </c>
      <c r="E1790">
        <f>MONTH(makulatura3[[#This Row],[Data_dostarczenia]])</f>
        <v>10</v>
      </c>
    </row>
    <row r="1791" spans="1:5" x14ac:dyDescent="0.25">
      <c r="A1791" s="1">
        <v>43033</v>
      </c>
      <c r="B1791" s="2" t="s">
        <v>18</v>
      </c>
      <c r="C1791" s="2" t="s">
        <v>597</v>
      </c>
      <c r="D1791">
        <v>28</v>
      </c>
      <c r="E1791">
        <f>MONTH(makulatura3[[#This Row],[Data_dostarczenia]])</f>
        <v>10</v>
      </c>
    </row>
    <row r="1792" spans="1:5" x14ac:dyDescent="0.25">
      <c r="A1792" s="1">
        <v>43033</v>
      </c>
      <c r="B1792" s="2" t="s">
        <v>53</v>
      </c>
      <c r="C1792" s="2" t="s">
        <v>191</v>
      </c>
      <c r="D1792">
        <v>21</v>
      </c>
      <c r="E1792">
        <f>MONTH(makulatura3[[#This Row],[Data_dostarczenia]])</f>
        <v>10</v>
      </c>
    </row>
    <row r="1793" spans="1:5" x14ac:dyDescent="0.25">
      <c r="A1793" s="1">
        <v>43033</v>
      </c>
      <c r="B1793" s="2" t="s">
        <v>18</v>
      </c>
      <c r="C1793" s="2" t="s">
        <v>392</v>
      </c>
      <c r="D1793">
        <v>2</v>
      </c>
      <c r="E1793">
        <f>MONTH(makulatura3[[#This Row],[Data_dostarczenia]])</f>
        <v>10</v>
      </c>
    </row>
    <row r="1794" spans="1:5" x14ac:dyDescent="0.25">
      <c r="A1794" s="1">
        <v>43033</v>
      </c>
      <c r="B1794" s="2" t="s">
        <v>603</v>
      </c>
      <c r="C1794" s="2" t="s">
        <v>439</v>
      </c>
      <c r="D1794">
        <v>15</v>
      </c>
      <c r="E1794">
        <f>MONTH(makulatura3[[#This Row],[Data_dostarczenia]])</f>
        <v>10</v>
      </c>
    </row>
    <row r="1795" spans="1:5" x14ac:dyDescent="0.25">
      <c r="A1795" s="1">
        <v>43033</v>
      </c>
      <c r="B1795" s="2" t="s">
        <v>152</v>
      </c>
      <c r="C1795" s="2" t="s">
        <v>153</v>
      </c>
      <c r="D1795">
        <v>34</v>
      </c>
      <c r="E1795">
        <f>MONTH(makulatura3[[#This Row],[Data_dostarczenia]])</f>
        <v>10</v>
      </c>
    </row>
    <row r="1796" spans="1:5" x14ac:dyDescent="0.25">
      <c r="A1796" s="1">
        <v>43033</v>
      </c>
      <c r="B1796" s="2" t="s">
        <v>55</v>
      </c>
      <c r="C1796" s="2" t="s">
        <v>625</v>
      </c>
      <c r="D1796">
        <v>52</v>
      </c>
      <c r="E1796">
        <f>MONTH(makulatura3[[#This Row],[Data_dostarczenia]])</f>
        <v>10</v>
      </c>
    </row>
    <row r="1797" spans="1:5" x14ac:dyDescent="0.25">
      <c r="A1797" s="1">
        <v>43033</v>
      </c>
      <c r="B1797" s="2" t="s">
        <v>193</v>
      </c>
      <c r="C1797" s="2" t="s">
        <v>228</v>
      </c>
      <c r="D1797">
        <v>49</v>
      </c>
      <c r="E1797">
        <f>MONTH(makulatura3[[#This Row],[Data_dostarczenia]])</f>
        <v>10</v>
      </c>
    </row>
    <row r="1798" spans="1:5" x14ac:dyDescent="0.25">
      <c r="A1798" s="1">
        <v>43033</v>
      </c>
      <c r="B1798" s="2" t="s">
        <v>393</v>
      </c>
      <c r="C1798" s="2" t="s">
        <v>398</v>
      </c>
      <c r="D1798">
        <v>4</v>
      </c>
      <c r="E1798">
        <f>MONTH(makulatura3[[#This Row],[Data_dostarczenia]])</f>
        <v>10</v>
      </c>
    </row>
    <row r="1799" spans="1:5" x14ac:dyDescent="0.25">
      <c r="A1799" s="1">
        <v>43033</v>
      </c>
      <c r="B1799" s="2" t="s">
        <v>131</v>
      </c>
      <c r="C1799" s="2" t="s">
        <v>451</v>
      </c>
      <c r="D1799">
        <v>17</v>
      </c>
      <c r="E1799">
        <f>MONTH(makulatura3[[#This Row],[Data_dostarczenia]])</f>
        <v>10</v>
      </c>
    </row>
    <row r="1800" spans="1:5" x14ac:dyDescent="0.25">
      <c r="A1800" s="1">
        <v>43033</v>
      </c>
      <c r="B1800" s="2" t="s">
        <v>574</v>
      </c>
      <c r="C1800" s="2" t="s">
        <v>607</v>
      </c>
      <c r="D1800">
        <v>8</v>
      </c>
      <c r="E1800">
        <f>MONTH(makulatura3[[#This Row],[Data_dostarczenia]])</f>
        <v>10</v>
      </c>
    </row>
    <row r="1801" spans="1:5" x14ac:dyDescent="0.25">
      <c r="A1801" s="1">
        <v>43033</v>
      </c>
      <c r="B1801" s="2" t="s">
        <v>8</v>
      </c>
      <c r="C1801" s="2" t="s">
        <v>322</v>
      </c>
      <c r="D1801">
        <v>39</v>
      </c>
      <c r="E1801">
        <f>MONTH(makulatura3[[#This Row],[Data_dostarczenia]])</f>
        <v>10</v>
      </c>
    </row>
    <row r="1802" spans="1:5" x14ac:dyDescent="0.25">
      <c r="A1802" s="1">
        <v>43033</v>
      </c>
      <c r="B1802" s="2" t="s">
        <v>201</v>
      </c>
      <c r="C1802" s="2" t="s">
        <v>433</v>
      </c>
      <c r="D1802">
        <v>32</v>
      </c>
      <c r="E1802">
        <f>MONTH(makulatura3[[#This Row],[Data_dostarczenia]])</f>
        <v>10</v>
      </c>
    </row>
    <row r="1803" spans="1:5" x14ac:dyDescent="0.25">
      <c r="A1803" s="1">
        <v>43033</v>
      </c>
      <c r="B1803" s="2" t="s">
        <v>57</v>
      </c>
      <c r="C1803" s="2" t="s">
        <v>429</v>
      </c>
      <c r="D1803">
        <v>12</v>
      </c>
      <c r="E1803">
        <f>MONTH(makulatura3[[#This Row],[Data_dostarczenia]])</f>
        <v>10</v>
      </c>
    </row>
    <row r="1804" spans="1:5" x14ac:dyDescent="0.25">
      <c r="A1804" s="1">
        <v>43033</v>
      </c>
      <c r="B1804" s="2" t="s">
        <v>41</v>
      </c>
      <c r="C1804" s="2" t="s">
        <v>690</v>
      </c>
      <c r="D1804">
        <v>10</v>
      </c>
      <c r="E1804">
        <f>MONTH(makulatura3[[#This Row],[Data_dostarczenia]])</f>
        <v>10</v>
      </c>
    </row>
    <row r="1805" spans="1:5" x14ac:dyDescent="0.25">
      <c r="A1805" s="1">
        <v>43034</v>
      </c>
      <c r="B1805" s="2" t="s">
        <v>178</v>
      </c>
      <c r="C1805" s="2" t="s">
        <v>179</v>
      </c>
      <c r="D1805">
        <v>9</v>
      </c>
      <c r="E1805">
        <f>MONTH(makulatura3[[#This Row],[Data_dostarczenia]])</f>
        <v>10</v>
      </c>
    </row>
    <row r="1806" spans="1:5" x14ac:dyDescent="0.25">
      <c r="A1806" s="1">
        <v>43034</v>
      </c>
      <c r="B1806" s="2" t="s">
        <v>87</v>
      </c>
      <c r="C1806" s="2" t="s">
        <v>397</v>
      </c>
      <c r="D1806">
        <v>26</v>
      </c>
      <c r="E1806">
        <f>MONTH(makulatura3[[#This Row],[Data_dostarczenia]])</f>
        <v>10</v>
      </c>
    </row>
    <row r="1807" spans="1:5" x14ac:dyDescent="0.25">
      <c r="A1807" s="1">
        <v>43034</v>
      </c>
      <c r="B1807" s="2" t="s">
        <v>55</v>
      </c>
      <c r="C1807" s="2" t="s">
        <v>691</v>
      </c>
      <c r="D1807">
        <v>25</v>
      </c>
      <c r="E1807">
        <f>MONTH(makulatura3[[#This Row],[Data_dostarczenia]])</f>
        <v>10</v>
      </c>
    </row>
    <row r="1808" spans="1:5" x14ac:dyDescent="0.25">
      <c r="A1808" s="1">
        <v>43034</v>
      </c>
      <c r="B1808" s="2" t="s">
        <v>141</v>
      </c>
      <c r="C1808" s="2" t="s">
        <v>142</v>
      </c>
      <c r="D1808">
        <v>2</v>
      </c>
      <c r="E1808">
        <f>MONTH(makulatura3[[#This Row],[Data_dostarczenia]])</f>
        <v>10</v>
      </c>
    </row>
    <row r="1809" spans="1:5" x14ac:dyDescent="0.25">
      <c r="A1809" s="1">
        <v>43034</v>
      </c>
      <c r="B1809" s="2" t="s">
        <v>101</v>
      </c>
      <c r="C1809" s="2" t="s">
        <v>293</v>
      </c>
      <c r="D1809">
        <v>23</v>
      </c>
      <c r="E1809">
        <f>MONTH(makulatura3[[#This Row],[Data_dostarczenia]])</f>
        <v>10</v>
      </c>
    </row>
    <row r="1810" spans="1:5" x14ac:dyDescent="0.25">
      <c r="A1810" s="1">
        <v>43034</v>
      </c>
      <c r="B1810" s="2" t="s">
        <v>16</v>
      </c>
      <c r="C1810" s="2" t="s">
        <v>440</v>
      </c>
      <c r="D1810">
        <v>27</v>
      </c>
      <c r="E1810">
        <f>MONTH(makulatura3[[#This Row],[Data_dostarczenia]])</f>
        <v>10</v>
      </c>
    </row>
    <row r="1811" spans="1:5" x14ac:dyDescent="0.25">
      <c r="A1811" s="1">
        <v>43035</v>
      </c>
      <c r="B1811" s="2" t="s">
        <v>236</v>
      </c>
      <c r="C1811" s="2" t="s">
        <v>237</v>
      </c>
      <c r="D1811">
        <v>12</v>
      </c>
      <c r="E1811">
        <f>MONTH(makulatura3[[#This Row],[Data_dostarczenia]])</f>
        <v>10</v>
      </c>
    </row>
    <row r="1812" spans="1:5" x14ac:dyDescent="0.25">
      <c r="A1812" s="1">
        <v>43035</v>
      </c>
      <c r="B1812" s="2" t="s">
        <v>81</v>
      </c>
      <c r="C1812" s="2" t="s">
        <v>145</v>
      </c>
      <c r="D1812">
        <v>22</v>
      </c>
      <c r="E1812">
        <f>MONTH(makulatura3[[#This Row],[Data_dostarczenia]])</f>
        <v>10</v>
      </c>
    </row>
    <row r="1813" spans="1:5" x14ac:dyDescent="0.25">
      <c r="A1813" s="1">
        <v>43035</v>
      </c>
      <c r="B1813" s="2" t="s">
        <v>53</v>
      </c>
      <c r="C1813" s="2" t="s">
        <v>191</v>
      </c>
      <c r="D1813">
        <v>22</v>
      </c>
      <c r="E1813">
        <f>MONTH(makulatura3[[#This Row],[Data_dostarczenia]])</f>
        <v>10</v>
      </c>
    </row>
    <row r="1814" spans="1:5" x14ac:dyDescent="0.25">
      <c r="A1814" s="1">
        <v>43035</v>
      </c>
      <c r="B1814" s="2" t="s">
        <v>30</v>
      </c>
      <c r="C1814" s="2" t="s">
        <v>377</v>
      </c>
      <c r="D1814">
        <v>13</v>
      </c>
      <c r="E1814">
        <f>MONTH(makulatura3[[#This Row],[Data_dostarczenia]])</f>
        <v>10</v>
      </c>
    </row>
    <row r="1815" spans="1:5" x14ac:dyDescent="0.25">
      <c r="A1815" s="1">
        <v>43035</v>
      </c>
      <c r="B1815" s="2" t="s">
        <v>416</v>
      </c>
      <c r="C1815" s="2" t="s">
        <v>417</v>
      </c>
      <c r="D1815">
        <v>8</v>
      </c>
      <c r="E1815">
        <f>MONTH(makulatura3[[#This Row],[Data_dostarczenia]])</f>
        <v>10</v>
      </c>
    </row>
    <row r="1816" spans="1:5" x14ac:dyDescent="0.25">
      <c r="A1816" s="1">
        <v>43035</v>
      </c>
      <c r="B1816" s="2" t="s">
        <v>87</v>
      </c>
      <c r="C1816" s="2" t="s">
        <v>692</v>
      </c>
      <c r="D1816">
        <v>29</v>
      </c>
      <c r="E1816">
        <f>MONTH(makulatura3[[#This Row],[Data_dostarczenia]])</f>
        <v>10</v>
      </c>
    </row>
    <row r="1817" spans="1:5" x14ac:dyDescent="0.25">
      <c r="A1817" s="1">
        <v>43038</v>
      </c>
      <c r="B1817" s="2" t="s">
        <v>393</v>
      </c>
      <c r="C1817" s="2" t="s">
        <v>86</v>
      </c>
      <c r="D1817">
        <v>22</v>
      </c>
      <c r="E1817">
        <f>MONTH(makulatura3[[#This Row],[Data_dostarczenia]])</f>
        <v>10</v>
      </c>
    </row>
    <row r="1818" spans="1:5" x14ac:dyDescent="0.25">
      <c r="A1818" s="1">
        <v>43038</v>
      </c>
      <c r="B1818" s="2" t="s">
        <v>51</v>
      </c>
      <c r="C1818" s="2" t="s">
        <v>522</v>
      </c>
      <c r="D1818">
        <v>16</v>
      </c>
      <c r="E1818">
        <f>MONTH(makulatura3[[#This Row],[Data_dostarczenia]])</f>
        <v>10</v>
      </c>
    </row>
    <row r="1819" spans="1:5" x14ac:dyDescent="0.25">
      <c r="A1819" s="1">
        <v>43038</v>
      </c>
      <c r="B1819" s="2" t="s">
        <v>119</v>
      </c>
      <c r="C1819" s="2" t="s">
        <v>216</v>
      </c>
      <c r="D1819">
        <v>56</v>
      </c>
      <c r="E1819">
        <f>MONTH(makulatura3[[#This Row],[Data_dostarczenia]])</f>
        <v>10</v>
      </c>
    </row>
    <row r="1820" spans="1:5" x14ac:dyDescent="0.25">
      <c r="A1820" s="1">
        <v>43038</v>
      </c>
      <c r="B1820" s="2" t="s">
        <v>143</v>
      </c>
      <c r="C1820" s="2" t="s">
        <v>47</v>
      </c>
      <c r="D1820">
        <v>3</v>
      </c>
      <c r="E1820">
        <f>MONTH(makulatura3[[#This Row],[Data_dostarczenia]])</f>
        <v>10</v>
      </c>
    </row>
    <row r="1821" spans="1:5" x14ac:dyDescent="0.25">
      <c r="A1821" s="1">
        <v>43038</v>
      </c>
      <c r="B1821" s="2" t="s">
        <v>176</v>
      </c>
      <c r="C1821" s="2" t="s">
        <v>693</v>
      </c>
      <c r="D1821">
        <v>46</v>
      </c>
      <c r="E1821">
        <f>MONTH(makulatura3[[#This Row],[Data_dostarczenia]])</f>
        <v>10</v>
      </c>
    </row>
    <row r="1822" spans="1:5" x14ac:dyDescent="0.25">
      <c r="A1822" s="1">
        <v>43038</v>
      </c>
      <c r="B1822" s="2" t="s">
        <v>352</v>
      </c>
      <c r="C1822" s="2" t="s">
        <v>363</v>
      </c>
      <c r="D1822">
        <v>28</v>
      </c>
      <c r="E1822">
        <f>MONTH(makulatura3[[#This Row],[Data_dostarczenia]])</f>
        <v>10</v>
      </c>
    </row>
    <row r="1823" spans="1:5" x14ac:dyDescent="0.25">
      <c r="A1823" s="1">
        <v>43039</v>
      </c>
      <c r="B1823" s="2" t="s">
        <v>18</v>
      </c>
      <c r="C1823" s="2" t="s">
        <v>597</v>
      </c>
      <c r="D1823">
        <v>42</v>
      </c>
      <c r="E1823">
        <f>MONTH(makulatura3[[#This Row],[Data_dostarczenia]])</f>
        <v>10</v>
      </c>
    </row>
    <row r="1824" spans="1:5" x14ac:dyDescent="0.25">
      <c r="A1824" s="1">
        <v>43039</v>
      </c>
      <c r="B1824" s="2" t="s">
        <v>87</v>
      </c>
      <c r="C1824" s="2" t="s">
        <v>397</v>
      </c>
      <c r="D1824">
        <v>7</v>
      </c>
      <c r="E1824">
        <f>MONTH(makulatura3[[#This Row],[Data_dostarczenia]])</f>
        <v>10</v>
      </c>
    </row>
    <row r="1825" spans="1:5" x14ac:dyDescent="0.25">
      <c r="A1825" s="1">
        <v>43039</v>
      </c>
      <c r="B1825" s="2" t="s">
        <v>133</v>
      </c>
      <c r="C1825" s="2" t="s">
        <v>134</v>
      </c>
      <c r="D1825">
        <v>18</v>
      </c>
      <c r="E1825">
        <f>MONTH(makulatura3[[#This Row],[Data_dostarczenia]])</f>
        <v>10</v>
      </c>
    </row>
    <row r="1826" spans="1:5" x14ac:dyDescent="0.25">
      <c r="A1826" s="1">
        <v>43039</v>
      </c>
      <c r="B1826" s="2" t="s">
        <v>150</v>
      </c>
      <c r="C1826" s="2" t="s">
        <v>313</v>
      </c>
      <c r="D1826">
        <v>16</v>
      </c>
      <c r="E1826">
        <f>MONTH(makulatura3[[#This Row],[Data_dostarczenia]])</f>
        <v>10</v>
      </c>
    </row>
    <row r="1827" spans="1:5" x14ac:dyDescent="0.25">
      <c r="A1827" s="1">
        <v>43039</v>
      </c>
      <c r="B1827" s="2" t="s">
        <v>201</v>
      </c>
      <c r="C1827" s="2" t="s">
        <v>357</v>
      </c>
      <c r="D1827">
        <v>12</v>
      </c>
      <c r="E1827">
        <f>MONTH(makulatura3[[#This Row],[Data_dostarczenia]])</f>
        <v>10</v>
      </c>
    </row>
    <row r="1828" spans="1:5" x14ac:dyDescent="0.25">
      <c r="A1828" s="1">
        <v>43039</v>
      </c>
      <c r="B1828" s="2" t="s">
        <v>147</v>
      </c>
      <c r="C1828" s="2" t="s">
        <v>644</v>
      </c>
      <c r="D1828">
        <v>4</v>
      </c>
      <c r="E1828">
        <f>MONTH(makulatura3[[#This Row],[Data_dostarczenia]])</f>
        <v>10</v>
      </c>
    </row>
    <row r="1829" spans="1:5" x14ac:dyDescent="0.25">
      <c r="A1829" s="1">
        <v>43039</v>
      </c>
      <c r="B1829" s="2" t="s">
        <v>681</v>
      </c>
      <c r="C1829" s="2" t="s">
        <v>682</v>
      </c>
      <c r="D1829">
        <v>36</v>
      </c>
      <c r="E1829">
        <f>MONTH(makulatura3[[#This Row],[Data_dostarczenia]])</f>
        <v>10</v>
      </c>
    </row>
    <row r="1830" spans="1:5" x14ac:dyDescent="0.25">
      <c r="A1830" s="1">
        <v>43039</v>
      </c>
      <c r="B1830" s="2" t="s">
        <v>201</v>
      </c>
      <c r="C1830" s="2" t="s">
        <v>433</v>
      </c>
      <c r="D1830">
        <v>22</v>
      </c>
      <c r="E1830">
        <f>MONTH(makulatura3[[#This Row],[Data_dostarczenia]])</f>
        <v>10</v>
      </c>
    </row>
    <row r="1831" spans="1:5" x14ac:dyDescent="0.25">
      <c r="A1831" s="1">
        <v>43039</v>
      </c>
      <c r="B1831" s="2" t="s">
        <v>278</v>
      </c>
      <c r="C1831" s="2" t="s">
        <v>530</v>
      </c>
      <c r="D1831">
        <v>22</v>
      </c>
      <c r="E1831">
        <f>MONTH(makulatura3[[#This Row],[Data_dostarczenia]])</f>
        <v>10</v>
      </c>
    </row>
    <row r="1832" spans="1:5" x14ac:dyDescent="0.25">
      <c r="A1832" s="1">
        <v>43039</v>
      </c>
      <c r="B1832" s="2" t="s">
        <v>144</v>
      </c>
      <c r="C1832" s="2" t="s">
        <v>390</v>
      </c>
      <c r="D1832">
        <v>10</v>
      </c>
      <c r="E1832">
        <f>MONTH(makulatura3[[#This Row],[Data_dostarczenia]])</f>
        <v>10</v>
      </c>
    </row>
    <row r="1833" spans="1:5" x14ac:dyDescent="0.25">
      <c r="A1833" s="1">
        <v>43039</v>
      </c>
      <c r="B1833" s="2" t="s">
        <v>25</v>
      </c>
      <c r="C1833" s="2" t="s">
        <v>26</v>
      </c>
      <c r="D1833">
        <v>3</v>
      </c>
      <c r="E1833">
        <f>MONTH(makulatura3[[#This Row],[Data_dostarczenia]])</f>
        <v>10</v>
      </c>
    </row>
    <row r="1834" spans="1:5" x14ac:dyDescent="0.25">
      <c r="A1834" s="1">
        <v>43039</v>
      </c>
      <c r="B1834" s="2" t="s">
        <v>36</v>
      </c>
      <c r="C1834" s="2" t="s">
        <v>404</v>
      </c>
      <c r="D1834">
        <v>8</v>
      </c>
      <c r="E1834">
        <f>MONTH(makulatura3[[#This Row],[Data_dostarczenia]])</f>
        <v>10</v>
      </c>
    </row>
    <row r="1835" spans="1:5" x14ac:dyDescent="0.25">
      <c r="A1835" s="1">
        <v>43039</v>
      </c>
      <c r="B1835" s="2" t="s">
        <v>514</v>
      </c>
      <c r="C1835" s="2" t="s">
        <v>515</v>
      </c>
      <c r="D1835">
        <v>7</v>
      </c>
      <c r="E1835">
        <f>MONTH(makulatura3[[#This Row],[Data_dostarczenia]])</f>
        <v>10</v>
      </c>
    </row>
    <row r="1836" spans="1:5" x14ac:dyDescent="0.25">
      <c r="A1836" s="1">
        <v>43039</v>
      </c>
      <c r="B1836" s="2" t="s">
        <v>87</v>
      </c>
      <c r="C1836" s="2" t="s">
        <v>88</v>
      </c>
      <c r="D1836">
        <v>29</v>
      </c>
      <c r="E1836">
        <f>MONTH(makulatura3[[#This Row],[Data_dostarczenia]])</f>
        <v>10</v>
      </c>
    </row>
    <row r="1837" spans="1:5" x14ac:dyDescent="0.25">
      <c r="A1837" s="1">
        <v>43039</v>
      </c>
      <c r="B1837" s="2" t="s">
        <v>47</v>
      </c>
      <c r="C1837" s="2" t="s">
        <v>336</v>
      </c>
      <c r="D1837">
        <v>7</v>
      </c>
      <c r="E1837">
        <f>MONTH(makulatura3[[#This Row],[Data_dostarczenia]])</f>
        <v>10</v>
      </c>
    </row>
    <row r="1838" spans="1:5" x14ac:dyDescent="0.25">
      <c r="A1838" s="1">
        <v>43039</v>
      </c>
      <c r="B1838" s="2" t="s">
        <v>23</v>
      </c>
      <c r="C1838" s="2" t="s">
        <v>163</v>
      </c>
      <c r="D1838">
        <v>20</v>
      </c>
      <c r="E1838">
        <f>MONTH(makulatura3[[#This Row],[Data_dostarczenia]])</f>
        <v>10</v>
      </c>
    </row>
    <row r="1839" spans="1:5" x14ac:dyDescent="0.25">
      <c r="A1839" s="1">
        <v>43039</v>
      </c>
      <c r="B1839" s="2" t="s">
        <v>81</v>
      </c>
      <c r="C1839" s="2" t="s">
        <v>145</v>
      </c>
      <c r="D1839">
        <v>13</v>
      </c>
      <c r="E1839">
        <f>MONTH(makulatura3[[#This Row],[Data_dostarczenia]])</f>
        <v>10</v>
      </c>
    </row>
    <row r="1840" spans="1:5" x14ac:dyDescent="0.25">
      <c r="A1840" s="1">
        <v>43040</v>
      </c>
      <c r="B1840" s="2" t="s">
        <v>69</v>
      </c>
      <c r="C1840" s="2" t="s">
        <v>70</v>
      </c>
      <c r="D1840">
        <v>12</v>
      </c>
      <c r="E1840">
        <f>MONTH(makulatura3[[#This Row],[Data_dostarczenia]])</f>
        <v>11</v>
      </c>
    </row>
    <row r="1841" spans="1:5" x14ac:dyDescent="0.25">
      <c r="A1841" s="1">
        <v>43040</v>
      </c>
      <c r="B1841" s="2" t="s">
        <v>81</v>
      </c>
      <c r="C1841" s="2" t="s">
        <v>496</v>
      </c>
      <c r="D1841">
        <v>16</v>
      </c>
      <c r="E1841">
        <f>MONTH(makulatura3[[#This Row],[Data_dostarczenia]])</f>
        <v>11</v>
      </c>
    </row>
    <row r="1842" spans="1:5" x14ac:dyDescent="0.25">
      <c r="A1842" s="1">
        <v>43040</v>
      </c>
      <c r="B1842" s="2" t="s">
        <v>77</v>
      </c>
      <c r="C1842" s="2" t="s">
        <v>384</v>
      </c>
      <c r="D1842">
        <v>11</v>
      </c>
      <c r="E1842">
        <f>MONTH(makulatura3[[#This Row],[Data_dostarczenia]])</f>
        <v>11</v>
      </c>
    </row>
    <row r="1843" spans="1:5" x14ac:dyDescent="0.25">
      <c r="A1843" s="1">
        <v>43040</v>
      </c>
      <c r="B1843" s="2" t="s">
        <v>51</v>
      </c>
      <c r="C1843" s="2" t="s">
        <v>52</v>
      </c>
      <c r="D1843">
        <v>40</v>
      </c>
      <c r="E1843">
        <f>MONTH(makulatura3[[#This Row],[Data_dostarczenia]])</f>
        <v>11</v>
      </c>
    </row>
    <row r="1844" spans="1:5" x14ac:dyDescent="0.25">
      <c r="A1844" s="1">
        <v>43040</v>
      </c>
      <c r="B1844" s="2" t="s">
        <v>39</v>
      </c>
      <c r="C1844" s="2" t="s">
        <v>400</v>
      </c>
      <c r="D1844">
        <v>34</v>
      </c>
      <c r="E1844">
        <f>MONTH(makulatura3[[#This Row],[Data_dostarczenia]])</f>
        <v>11</v>
      </c>
    </row>
    <row r="1845" spans="1:5" x14ac:dyDescent="0.25">
      <c r="A1845" s="1">
        <v>43040</v>
      </c>
      <c r="B1845" s="2" t="s">
        <v>53</v>
      </c>
      <c r="C1845" s="2" t="s">
        <v>227</v>
      </c>
      <c r="D1845">
        <v>36</v>
      </c>
      <c r="E1845">
        <f>MONTH(makulatura3[[#This Row],[Data_dostarczenia]])</f>
        <v>11</v>
      </c>
    </row>
    <row r="1846" spans="1:5" x14ac:dyDescent="0.25">
      <c r="A1846" s="1">
        <v>43040</v>
      </c>
      <c r="B1846" s="2" t="s">
        <v>45</v>
      </c>
      <c r="C1846" s="2" t="s">
        <v>46</v>
      </c>
      <c r="D1846">
        <v>19</v>
      </c>
      <c r="E1846">
        <f>MONTH(makulatura3[[#This Row],[Data_dostarczenia]])</f>
        <v>11</v>
      </c>
    </row>
    <row r="1847" spans="1:5" x14ac:dyDescent="0.25">
      <c r="A1847" s="1">
        <v>43040</v>
      </c>
      <c r="B1847" s="2" t="s">
        <v>41</v>
      </c>
      <c r="C1847" s="2" t="s">
        <v>614</v>
      </c>
      <c r="D1847">
        <v>22</v>
      </c>
      <c r="E1847">
        <f>MONTH(makulatura3[[#This Row],[Data_dostarczenia]])</f>
        <v>11</v>
      </c>
    </row>
    <row r="1848" spans="1:5" x14ac:dyDescent="0.25">
      <c r="A1848" s="1">
        <v>43040</v>
      </c>
      <c r="B1848" s="2" t="s">
        <v>128</v>
      </c>
      <c r="C1848" s="2" t="s">
        <v>250</v>
      </c>
      <c r="D1848">
        <v>12</v>
      </c>
      <c r="E1848">
        <f>MONTH(makulatura3[[#This Row],[Data_dostarczenia]])</f>
        <v>11</v>
      </c>
    </row>
    <row r="1849" spans="1:5" x14ac:dyDescent="0.25">
      <c r="A1849" s="1">
        <v>43040</v>
      </c>
      <c r="B1849" s="2" t="s">
        <v>55</v>
      </c>
      <c r="C1849" s="2" t="s">
        <v>691</v>
      </c>
      <c r="D1849">
        <v>28</v>
      </c>
      <c r="E1849">
        <f>MONTH(makulatura3[[#This Row],[Data_dostarczenia]])</f>
        <v>11</v>
      </c>
    </row>
    <row r="1850" spans="1:5" x14ac:dyDescent="0.25">
      <c r="A1850" s="1">
        <v>43040</v>
      </c>
      <c r="B1850" s="2" t="s">
        <v>39</v>
      </c>
      <c r="C1850" s="2" t="s">
        <v>294</v>
      </c>
      <c r="D1850">
        <v>48</v>
      </c>
      <c r="E1850">
        <f>MONTH(makulatura3[[#This Row],[Data_dostarczenia]])</f>
        <v>11</v>
      </c>
    </row>
    <row r="1851" spans="1:5" x14ac:dyDescent="0.25">
      <c r="A1851" s="1">
        <v>43040</v>
      </c>
      <c r="B1851" s="2" t="s">
        <v>61</v>
      </c>
      <c r="C1851" s="2" t="s">
        <v>62</v>
      </c>
      <c r="D1851">
        <v>25</v>
      </c>
      <c r="E1851">
        <f>MONTH(makulatura3[[#This Row],[Data_dostarczenia]])</f>
        <v>11</v>
      </c>
    </row>
    <row r="1852" spans="1:5" x14ac:dyDescent="0.25">
      <c r="A1852" s="1">
        <v>43040</v>
      </c>
      <c r="B1852" s="2" t="s">
        <v>632</v>
      </c>
      <c r="C1852" s="2" t="s">
        <v>633</v>
      </c>
      <c r="D1852">
        <v>16</v>
      </c>
      <c r="E1852">
        <f>MONTH(makulatura3[[#This Row],[Data_dostarczenia]])</f>
        <v>11</v>
      </c>
    </row>
    <row r="1853" spans="1:5" x14ac:dyDescent="0.25">
      <c r="A1853" s="1">
        <v>43040</v>
      </c>
      <c r="B1853" s="2" t="s">
        <v>79</v>
      </c>
      <c r="C1853" s="2" t="s">
        <v>80</v>
      </c>
      <c r="D1853">
        <v>12</v>
      </c>
      <c r="E1853">
        <f>MONTH(makulatura3[[#This Row],[Data_dostarczenia]])</f>
        <v>11</v>
      </c>
    </row>
    <row r="1854" spans="1:5" x14ac:dyDescent="0.25">
      <c r="A1854" s="1">
        <v>43040</v>
      </c>
      <c r="B1854" s="2" t="s">
        <v>128</v>
      </c>
      <c r="C1854" s="2" t="s">
        <v>129</v>
      </c>
      <c r="D1854">
        <v>28</v>
      </c>
      <c r="E1854">
        <f>MONTH(makulatura3[[#This Row],[Data_dostarczenia]])</f>
        <v>11</v>
      </c>
    </row>
    <row r="1855" spans="1:5" x14ac:dyDescent="0.25">
      <c r="A1855" s="1">
        <v>43040</v>
      </c>
      <c r="B1855" s="2" t="s">
        <v>30</v>
      </c>
      <c r="C1855" s="2" t="s">
        <v>109</v>
      </c>
      <c r="D1855">
        <v>12</v>
      </c>
      <c r="E1855">
        <f>MONTH(makulatura3[[#This Row],[Data_dostarczenia]])</f>
        <v>11</v>
      </c>
    </row>
    <row r="1856" spans="1:5" x14ac:dyDescent="0.25">
      <c r="A1856" s="1">
        <v>43040</v>
      </c>
      <c r="B1856" s="2" t="s">
        <v>299</v>
      </c>
      <c r="C1856" s="2" t="s">
        <v>482</v>
      </c>
      <c r="D1856">
        <v>17</v>
      </c>
      <c r="E1856">
        <f>MONTH(makulatura3[[#This Row],[Data_dostarczenia]])</f>
        <v>11</v>
      </c>
    </row>
    <row r="1857" spans="1:5" x14ac:dyDescent="0.25">
      <c r="A1857" s="1">
        <v>43041</v>
      </c>
      <c r="B1857" s="2" t="s">
        <v>438</v>
      </c>
      <c r="C1857" s="2" t="s">
        <v>439</v>
      </c>
      <c r="D1857">
        <v>16</v>
      </c>
      <c r="E1857">
        <f>MONTH(makulatura3[[#This Row],[Data_dostarczenia]])</f>
        <v>11</v>
      </c>
    </row>
    <row r="1858" spans="1:5" x14ac:dyDescent="0.25">
      <c r="A1858" s="1">
        <v>43041</v>
      </c>
      <c r="B1858" s="2" t="s">
        <v>150</v>
      </c>
      <c r="C1858" s="2" t="s">
        <v>641</v>
      </c>
      <c r="D1858">
        <v>14</v>
      </c>
      <c r="E1858">
        <f>MONTH(makulatura3[[#This Row],[Data_dostarczenia]])</f>
        <v>11</v>
      </c>
    </row>
    <row r="1859" spans="1:5" x14ac:dyDescent="0.25">
      <c r="A1859" s="1">
        <v>43041</v>
      </c>
      <c r="B1859" s="2" t="s">
        <v>232</v>
      </c>
      <c r="C1859" s="2" t="s">
        <v>378</v>
      </c>
      <c r="D1859">
        <v>25</v>
      </c>
      <c r="E1859">
        <f>MONTH(makulatura3[[#This Row],[Data_dostarczenia]])</f>
        <v>11</v>
      </c>
    </row>
    <row r="1860" spans="1:5" x14ac:dyDescent="0.25">
      <c r="A1860" s="1">
        <v>43041</v>
      </c>
      <c r="B1860" s="2" t="s">
        <v>34</v>
      </c>
      <c r="C1860" s="2" t="s">
        <v>160</v>
      </c>
      <c r="D1860">
        <v>15</v>
      </c>
      <c r="E1860">
        <f>MONTH(makulatura3[[#This Row],[Data_dostarczenia]])</f>
        <v>11</v>
      </c>
    </row>
    <row r="1861" spans="1:5" x14ac:dyDescent="0.25">
      <c r="A1861" s="1">
        <v>43041</v>
      </c>
      <c r="B1861" s="2" t="s">
        <v>27</v>
      </c>
      <c r="C1861" s="2" t="s">
        <v>28</v>
      </c>
      <c r="D1861">
        <v>16</v>
      </c>
      <c r="E1861">
        <f>MONTH(makulatura3[[#This Row],[Data_dostarczenia]])</f>
        <v>11</v>
      </c>
    </row>
    <row r="1862" spans="1:5" x14ac:dyDescent="0.25">
      <c r="A1862" s="1">
        <v>43041</v>
      </c>
      <c r="B1862" s="2" t="s">
        <v>327</v>
      </c>
      <c r="C1862" s="2" t="s">
        <v>102</v>
      </c>
      <c r="D1862">
        <v>35</v>
      </c>
      <c r="E1862">
        <f>MONTH(makulatura3[[#This Row],[Data_dostarczenia]])</f>
        <v>11</v>
      </c>
    </row>
    <row r="1863" spans="1:5" x14ac:dyDescent="0.25">
      <c r="A1863" s="1">
        <v>43042</v>
      </c>
      <c r="B1863" s="2" t="s">
        <v>271</v>
      </c>
      <c r="C1863" s="2" t="s">
        <v>272</v>
      </c>
      <c r="D1863">
        <v>2</v>
      </c>
      <c r="E1863">
        <f>MONTH(makulatura3[[#This Row],[Data_dostarczenia]])</f>
        <v>11</v>
      </c>
    </row>
    <row r="1864" spans="1:5" x14ac:dyDescent="0.25">
      <c r="A1864" s="1">
        <v>43042</v>
      </c>
      <c r="B1864" s="2" t="s">
        <v>442</v>
      </c>
      <c r="C1864" s="2" t="s">
        <v>443</v>
      </c>
      <c r="D1864">
        <v>5</v>
      </c>
      <c r="E1864">
        <f>MONTH(makulatura3[[#This Row],[Data_dostarczenia]])</f>
        <v>11</v>
      </c>
    </row>
    <row r="1865" spans="1:5" x14ac:dyDescent="0.25">
      <c r="A1865" s="1">
        <v>43042</v>
      </c>
      <c r="B1865" s="2" t="s">
        <v>34</v>
      </c>
      <c r="C1865" s="2" t="s">
        <v>662</v>
      </c>
      <c r="D1865">
        <v>14</v>
      </c>
      <c r="E1865">
        <f>MONTH(makulatura3[[#This Row],[Data_dostarczenia]])</f>
        <v>11</v>
      </c>
    </row>
    <row r="1866" spans="1:5" x14ac:dyDescent="0.25">
      <c r="A1866" s="1">
        <v>43042</v>
      </c>
      <c r="B1866" s="2" t="s">
        <v>393</v>
      </c>
      <c r="C1866" s="2" t="s">
        <v>394</v>
      </c>
      <c r="D1866">
        <v>29</v>
      </c>
      <c r="E1866">
        <f>MONTH(makulatura3[[#This Row],[Data_dostarczenia]])</f>
        <v>11</v>
      </c>
    </row>
    <row r="1867" spans="1:5" x14ac:dyDescent="0.25">
      <c r="A1867" s="1">
        <v>43042</v>
      </c>
      <c r="B1867" s="2" t="s">
        <v>174</v>
      </c>
      <c r="C1867" s="2" t="s">
        <v>175</v>
      </c>
      <c r="D1867">
        <v>13</v>
      </c>
      <c r="E1867">
        <f>MONTH(makulatura3[[#This Row],[Data_dostarczenia]])</f>
        <v>11</v>
      </c>
    </row>
    <row r="1868" spans="1:5" x14ac:dyDescent="0.25">
      <c r="A1868" s="1">
        <v>43042</v>
      </c>
      <c r="B1868" s="2" t="s">
        <v>361</v>
      </c>
      <c r="C1868" s="2" t="s">
        <v>424</v>
      </c>
      <c r="D1868">
        <v>24</v>
      </c>
      <c r="E1868">
        <f>MONTH(makulatura3[[#This Row],[Data_dostarczenia]])</f>
        <v>11</v>
      </c>
    </row>
    <row r="1869" spans="1:5" x14ac:dyDescent="0.25">
      <c r="A1869" s="1">
        <v>43045</v>
      </c>
      <c r="B1869" s="2" t="s">
        <v>178</v>
      </c>
      <c r="C1869" s="2" t="s">
        <v>242</v>
      </c>
      <c r="D1869">
        <v>2</v>
      </c>
      <c r="E1869">
        <f>MONTH(makulatura3[[#This Row],[Data_dostarczenia]])</f>
        <v>11</v>
      </c>
    </row>
    <row r="1870" spans="1:5" x14ac:dyDescent="0.25">
      <c r="A1870" s="1">
        <v>43045</v>
      </c>
      <c r="B1870" s="2" t="s">
        <v>18</v>
      </c>
      <c r="C1870" s="2" t="s">
        <v>694</v>
      </c>
      <c r="D1870">
        <v>31</v>
      </c>
      <c r="E1870">
        <f>MONTH(makulatura3[[#This Row],[Data_dostarczenia]])</f>
        <v>11</v>
      </c>
    </row>
    <row r="1871" spans="1:5" x14ac:dyDescent="0.25">
      <c r="A1871" s="1">
        <v>43045</v>
      </c>
      <c r="B1871" s="2" t="s">
        <v>280</v>
      </c>
      <c r="C1871" s="2" t="s">
        <v>580</v>
      </c>
      <c r="D1871">
        <v>18</v>
      </c>
      <c r="E1871">
        <f>MONTH(makulatura3[[#This Row],[Data_dostarczenia]])</f>
        <v>11</v>
      </c>
    </row>
    <row r="1872" spans="1:5" x14ac:dyDescent="0.25">
      <c r="A1872" s="1">
        <v>43045</v>
      </c>
      <c r="B1872" s="2" t="s">
        <v>14</v>
      </c>
      <c r="C1872" s="2" t="s">
        <v>660</v>
      </c>
      <c r="D1872">
        <v>3</v>
      </c>
      <c r="E1872">
        <f>MONTH(makulatura3[[#This Row],[Data_dostarczenia]])</f>
        <v>11</v>
      </c>
    </row>
    <row r="1873" spans="1:5" x14ac:dyDescent="0.25">
      <c r="A1873" s="1">
        <v>43045</v>
      </c>
      <c r="B1873" s="2" t="s">
        <v>51</v>
      </c>
      <c r="C1873" s="2" t="s">
        <v>522</v>
      </c>
      <c r="D1873">
        <v>30</v>
      </c>
      <c r="E1873">
        <f>MONTH(makulatura3[[#This Row],[Data_dostarczenia]])</f>
        <v>11</v>
      </c>
    </row>
    <row r="1874" spans="1:5" x14ac:dyDescent="0.25">
      <c r="A1874" s="1">
        <v>43045</v>
      </c>
      <c r="B1874" s="2" t="s">
        <v>640</v>
      </c>
      <c r="C1874" s="2" t="s">
        <v>199</v>
      </c>
      <c r="D1874">
        <v>5</v>
      </c>
      <c r="E1874">
        <f>MONTH(makulatura3[[#This Row],[Data_dostarczenia]])</f>
        <v>11</v>
      </c>
    </row>
    <row r="1875" spans="1:5" x14ac:dyDescent="0.25">
      <c r="A1875" s="1">
        <v>43046</v>
      </c>
      <c r="B1875" s="2" t="s">
        <v>61</v>
      </c>
      <c r="C1875" s="2" t="s">
        <v>62</v>
      </c>
      <c r="D1875">
        <v>13</v>
      </c>
      <c r="E1875">
        <f>MONTH(makulatura3[[#This Row],[Data_dostarczenia]])</f>
        <v>11</v>
      </c>
    </row>
    <row r="1876" spans="1:5" x14ac:dyDescent="0.25">
      <c r="A1876" s="1">
        <v>43046</v>
      </c>
      <c r="B1876" s="2" t="s">
        <v>351</v>
      </c>
      <c r="C1876" s="2" t="s">
        <v>227</v>
      </c>
      <c r="D1876">
        <v>16</v>
      </c>
      <c r="E1876">
        <f>MONTH(makulatura3[[#This Row],[Data_dostarczenia]])</f>
        <v>11</v>
      </c>
    </row>
    <row r="1877" spans="1:5" x14ac:dyDescent="0.25">
      <c r="A1877" s="1">
        <v>43046</v>
      </c>
      <c r="B1877" s="2" t="s">
        <v>346</v>
      </c>
      <c r="C1877" s="2" t="s">
        <v>665</v>
      </c>
      <c r="D1877">
        <v>3</v>
      </c>
      <c r="E1877">
        <f>MONTH(makulatura3[[#This Row],[Data_dostarczenia]])</f>
        <v>11</v>
      </c>
    </row>
    <row r="1878" spans="1:5" x14ac:dyDescent="0.25">
      <c r="A1878" s="1">
        <v>43046</v>
      </c>
      <c r="B1878" s="2" t="s">
        <v>97</v>
      </c>
      <c r="C1878" s="2" t="s">
        <v>380</v>
      </c>
      <c r="D1878">
        <v>50</v>
      </c>
      <c r="E1878">
        <f>MONTH(makulatura3[[#This Row],[Data_dostarczenia]])</f>
        <v>11</v>
      </c>
    </row>
    <row r="1879" spans="1:5" x14ac:dyDescent="0.25">
      <c r="A1879" s="1">
        <v>43046</v>
      </c>
      <c r="B1879" s="2" t="s">
        <v>133</v>
      </c>
      <c r="C1879" s="2" t="s">
        <v>316</v>
      </c>
      <c r="D1879">
        <v>25</v>
      </c>
      <c r="E1879">
        <f>MONTH(makulatura3[[#This Row],[Data_dostarczenia]])</f>
        <v>11</v>
      </c>
    </row>
    <row r="1880" spans="1:5" x14ac:dyDescent="0.25">
      <c r="A1880" s="1">
        <v>43046</v>
      </c>
      <c r="B1880" s="2" t="s">
        <v>523</v>
      </c>
      <c r="C1880" s="2" t="s">
        <v>524</v>
      </c>
      <c r="D1880">
        <v>16</v>
      </c>
      <c r="E1880">
        <f>MONTH(makulatura3[[#This Row],[Data_dostarczenia]])</f>
        <v>11</v>
      </c>
    </row>
    <row r="1881" spans="1:5" x14ac:dyDescent="0.25">
      <c r="A1881" s="1">
        <v>43047</v>
      </c>
      <c r="B1881" s="2" t="s">
        <v>65</v>
      </c>
      <c r="C1881" s="2" t="s">
        <v>631</v>
      </c>
      <c r="D1881">
        <v>13</v>
      </c>
      <c r="E1881">
        <f>MONTH(makulatura3[[#This Row],[Data_dostarczenia]])</f>
        <v>11</v>
      </c>
    </row>
    <row r="1882" spans="1:5" x14ac:dyDescent="0.25">
      <c r="A1882" s="1">
        <v>43047</v>
      </c>
      <c r="B1882" s="2" t="s">
        <v>367</v>
      </c>
      <c r="C1882" s="2" t="s">
        <v>368</v>
      </c>
      <c r="D1882">
        <v>13</v>
      </c>
      <c r="E1882">
        <f>MONTH(makulatura3[[#This Row],[Data_dostarczenia]])</f>
        <v>11</v>
      </c>
    </row>
    <row r="1883" spans="1:5" x14ac:dyDescent="0.25">
      <c r="A1883" s="1">
        <v>43047</v>
      </c>
      <c r="B1883" s="2" t="s">
        <v>314</v>
      </c>
      <c r="C1883" s="2" t="s">
        <v>366</v>
      </c>
      <c r="D1883">
        <v>15</v>
      </c>
      <c r="E1883">
        <f>MONTH(makulatura3[[#This Row],[Data_dostarczenia]])</f>
        <v>11</v>
      </c>
    </row>
    <row r="1884" spans="1:5" x14ac:dyDescent="0.25">
      <c r="A1884" s="1">
        <v>43047</v>
      </c>
      <c r="B1884" s="2" t="s">
        <v>53</v>
      </c>
      <c r="C1884" s="2" t="s">
        <v>227</v>
      </c>
      <c r="D1884">
        <v>41</v>
      </c>
      <c r="E1884">
        <f>MONTH(makulatura3[[#This Row],[Data_dostarczenia]])</f>
        <v>11</v>
      </c>
    </row>
    <row r="1885" spans="1:5" x14ac:dyDescent="0.25">
      <c r="A1885" s="1">
        <v>43047</v>
      </c>
      <c r="B1885" s="2" t="s">
        <v>442</v>
      </c>
      <c r="C1885" s="2" t="s">
        <v>502</v>
      </c>
      <c r="D1885">
        <v>50</v>
      </c>
      <c r="E1885">
        <f>MONTH(makulatura3[[#This Row],[Data_dostarczenia]])</f>
        <v>11</v>
      </c>
    </row>
    <row r="1886" spans="1:5" x14ac:dyDescent="0.25">
      <c r="A1886" s="1">
        <v>43047</v>
      </c>
      <c r="B1886" s="2" t="s">
        <v>32</v>
      </c>
      <c r="C1886" s="2" t="s">
        <v>33</v>
      </c>
      <c r="D1886">
        <v>26</v>
      </c>
      <c r="E1886">
        <f>MONTH(makulatura3[[#This Row],[Data_dostarczenia]])</f>
        <v>11</v>
      </c>
    </row>
    <row r="1887" spans="1:5" x14ac:dyDescent="0.25">
      <c r="A1887" s="1">
        <v>43048</v>
      </c>
      <c r="B1887" s="2" t="s">
        <v>63</v>
      </c>
      <c r="C1887" s="2" t="s">
        <v>64</v>
      </c>
      <c r="D1887">
        <v>10</v>
      </c>
      <c r="E1887">
        <f>MONTH(makulatura3[[#This Row],[Data_dostarczenia]])</f>
        <v>11</v>
      </c>
    </row>
    <row r="1888" spans="1:5" x14ac:dyDescent="0.25">
      <c r="A1888" s="1">
        <v>43048</v>
      </c>
      <c r="B1888" s="2" t="s">
        <v>77</v>
      </c>
      <c r="C1888" s="2" t="s">
        <v>78</v>
      </c>
      <c r="D1888">
        <v>10</v>
      </c>
      <c r="E1888">
        <f>MONTH(makulatura3[[#This Row],[Data_dostarczenia]])</f>
        <v>11</v>
      </c>
    </row>
    <row r="1889" spans="1:5" x14ac:dyDescent="0.25">
      <c r="A1889" s="1">
        <v>43048</v>
      </c>
      <c r="B1889" s="2" t="s">
        <v>244</v>
      </c>
      <c r="C1889" s="2" t="s">
        <v>245</v>
      </c>
      <c r="D1889">
        <v>20</v>
      </c>
      <c r="E1889">
        <f>MONTH(makulatura3[[#This Row],[Data_dostarczenia]])</f>
        <v>11</v>
      </c>
    </row>
    <row r="1890" spans="1:5" x14ac:dyDescent="0.25">
      <c r="A1890" s="1">
        <v>43048</v>
      </c>
      <c r="B1890" s="2" t="s">
        <v>395</v>
      </c>
      <c r="C1890" s="2" t="s">
        <v>678</v>
      </c>
      <c r="D1890">
        <v>26</v>
      </c>
      <c r="E1890">
        <f>MONTH(makulatura3[[#This Row],[Data_dostarczenia]])</f>
        <v>11</v>
      </c>
    </row>
    <row r="1891" spans="1:5" x14ac:dyDescent="0.25">
      <c r="A1891" s="1">
        <v>43048</v>
      </c>
      <c r="B1891" s="2" t="s">
        <v>12</v>
      </c>
      <c r="C1891" s="2" t="s">
        <v>668</v>
      </c>
      <c r="D1891">
        <v>27</v>
      </c>
      <c r="E1891">
        <f>MONTH(makulatura3[[#This Row],[Data_dostarczenia]])</f>
        <v>11</v>
      </c>
    </row>
    <row r="1892" spans="1:5" x14ac:dyDescent="0.25">
      <c r="A1892" s="1">
        <v>43048</v>
      </c>
      <c r="B1892" s="2" t="s">
        <v>128</v>
      </c>
      <c r="C1892" s="2" t="s">
        <v>639</v>
      </c>
      <c r="D1892">
        <v>24</v>
      </c>
      <c r="E1892">
        <f>MONTH(makulatura3[[#This Row],[Data_dostarczenia]])</f>
        <v>11</v>
      </c>
    </row>
    <row r="1893" spans="1:5" x14ac:dyDescent="0.25">
      <c r="A1893" s="1">
        <v>43049</v>
      </c>
      <c r="B1893" s="2" t="s">
        <v>34</v>
      </c>
      <c r="C1893" s="2" t="s">
        <v>90</v>
      </c>
      <c r="D1893">
        <v>41</v>
      </c>
      <c r="E1893">
        <f>MONTH(makulatura3[[#This Row],[Data_dostarczenia]])</f>
        <v>11</v>
      </c>
    </row>
    <row r="1894" spans="1:5" x14ac:dyDescent="0.25">
      <c r="A1894" s="1">
        <v>43049</v>
      </c>
      <c r="B1894" s="2" t="s">
        <v>317</v>
      </c>
      <c r="C1894" s="2" t="s">
        <v>318</v>
      </c>
      <c r="D1894">
        <v>8</v>
      </c>
      <c r="E1894">
        <f>MONTH(makulatura3[[#This Row],[Data_dostarczenia]])</f>
        <v>11</v>
      </c>
    </row>
    <row r="1895" spans="1:5" x14ac:dyDescent="0.25">
      <c r="A1895" s="1">
        <v>43049</v>
      </c>
      <c r="B1895" s="2" t="s">
        <v>69</v>
      </c>
      <c r="C1895" s="2" t="s">
        <v>535</v>
      </c>
      <c r="D1895">
        <v>30</v>
      </c>
      <c r="E1895">
        <f>MONTH(makulatura3[[#This Row],[Data_dostarczenia]])</f>
        <v>11</v>
      </c>
    </row>
    <row r="1896" spans="1:5" x14ac:dyDescent="0.25">
      <c r="A1896" s="1">
        <v>43049</v>
      </c>
      <c r="B1896" s="2" t="s">
        <v>351</v>
      </c>
      <c r="C1896" s="2" t="s">
        <v>227</v>
      </c>
      <c r="D1896">
        <v>30</v>
      </c>
      <c r="E1896">
        <f>MONTH(makulatura3[[#This Row],[Data_dostarczenia]])</f>
        <v>11</v>
      </c>
    </row>
    <row r="1897" spans="1:5" x14ac:dyDescent="0.25">
      <c r="A1897" s="1">
        <v>43049</v>
      </c>
      <c r="B1897" s="2" t="s">
        <v>14</v>
      </c>
      <c r="C1897" s="2" t="s">
        <v>422</v>
      </c>
      <c r="D1897">
        <v>13</v>
      </c>
      <c r="E1897">
        <f>MONTH(makulatura3[[#This Row],[Data_dostarczenia]])</f>
        <v>11</v>
      </c>
    </row>
    <row r="1898" spans="1:5" x14ac:dyDescent="0.25">
      <c r="A1898" s="1">
        <v>43049</v>
      </c>
      <c r="B1898" s="2" t="s">
        <v>246</v>
      </c>
      <c r="C1898" s="2" t="s">
        <v>247</v>
      </c>
      <c r="D1898">
        <v>27</v>
      </c>
      <c r="E1898">
        <f>MONTH(makulatura3[[#This Row],[Data_dostarczenia]])</f>
        <v>11</v>
      </c>
    </row>
    <row r="1899" spans="1:5" x14ac:dyDescent="0.25">
      <c r="A1899" s="1">
        <v>43049</v>
      </c>
      <c r="B1899" s="2" t="s">
        <v>195</v>
      </c>
      <c r="C1899" s="2" t="s">
        <v>196</v>
      </c>
      <c r="D1899">
        <v>41</v>
      </c>
      <c r="E1899">
        <f>MONTH(makulatura3[[#This Row],[Data_dostarczenia]])</f>
        <v>11</v>
      </c>
    </row>
    <row r="1900" spans="1:5" x14ac:dyDescent="0.25">
      <c r="A1900" s="1">
        <v>43049</v>
      </c>
      <c r="B1900" s="2" t="s">
        <v>367</v>
      </c>
      <c r="C1900" s="2" t="s">
        <v>5</v>
      </c>
      <c r="D1900">
        <v>21</v>
      </c>
      <c r="E1900">
        <f>MONTH(makulatura3[[#This Row],[Data_dostarczenia]])</f>
        <v>11</v>
      </c>
    </row>
    <row r="1901" spans="1:5" x14ac:dyDescent="0.25">
      <c r="A1901" s="1">
        <v>43049</v>
      </c>
      <c r="B1901" s="2" t="s">
        <v>278</v>
      </c>
      <c r="C1901" s="2" t="s">
        <v>202</v>
      </c>
      <c r="D1901">
        <v>52</v>
      </c>
      <c r="E1901">
        <f>MONTH(makulatura3[[#This Row],[Data_dostarczenia]])</f>
        <v>11</v>
      </c>
    </row>
    <row r="1902" spans="1:5" x14ac:dyDescent="0.25">
      <c r="A1902" s="1">
        <v>43049</v>
      </c>
      <c r="B1902" s="2" t="s">
        <v>574</v>
      </c>
      <c r="C1902" s="2" t="s">
        <v>607</v>
      </c>
      <c r="D1902">
        <v>23</v>
      </c>
      <c r="E1902">
        <f>MONTH(makulatura3[[#This Row],[Data_dostarczenia]])</f>
        <v>11</v>
      </c>
    </row>
    <row r="1903" spans="1:5" x14ac:dyDescent="0.25">
      <c r="A1903" s="1">
        <v>43049</v>
      </c>
      <c r="B1903" s="2" t="s">
        <v>39</v>
      </c>
      <c r="C1903" s="2" t="s">
        <v>103</v>
      </c>
      <c r="D1903">
        <v>32</v>
      </c>
      <c r="E1903">
        <f>MONTH(makulatura3[[#This Row],[Data_dostarczenia]])</f>
        <v>11</v>
      </c>
    </row>
    <row r="1904" spans="1:5" x14ac:dyDescent="0.25">
      <c r="A1904" s="1">
        <v>43049</v>
      </c>
      <c r="B1904" s="2" t="s">
        <v>352</v>
      </c>
      <c r="C1904" s="2" t="s">
        <v>425</v>
      </c>
      <c r="D1904">
        <v>33</v>
      </c>
      <c r="E1904">
        <f>MONTH(makulatura3[[#This Row],[Data_dostarczenia]])</f>
        <v>11</v>
      </c>
    </row>
    <row r="1905" spans="1:5" x14ac:dyDescent="0.25">
      <c r="A1905" s="1">
        <v>43049</v>
      </c>
      <c r="B1905" s="2" t="s">
        <v>155</v>
      </c>
      <c r="C1905" s="2" t="s">
        <v>650</v>
      </c>
      <c r="D1905">
        <v>41</v>
      </c>
      <c r="E1905">
        <f>MONTH(makulatura3[[#This Row],[Data_dostarczenia]])</f>
        <v>11</v>
      </c>
    </row>
    <row r="1906" spans="1:5" x14ac:dyDescent="0.25">
      <c r="A1906" s="1">
        <v>43049</v>
      </c>
      <c r="B1906" s="2" t="s">
        <v>232</v>
      </c>
      <c r="C1906" s="2" t="s">
        <v>526</v>
      </c>
      <c r="D1906">
        <v>29</v>
      </c>
      <c r="E1906">
        <f>MONTH(makulatura3[[#This Row],[Data_dostarczenia]])</f>
        <v>11</v>
      </c>
    </row>
    <row r="1907" spans="1:5" x14ac:dyDescent="0.25">
      <c r="A1907" s="1">
        <v>43049</v>
      </c>
      <c r="B1907" s="2" t="s">
        <v>119</v>
      </c>
      <c r="C1907" s="2" t="s">
        <v>164</v>
      </c>
      <c r="D1907">
        <v>25</v>
      </c>
      <c r="E1907">
        <f>MONTH(makulatura3[[#This Row],[Data_dostarczenia]])</f>
        <v>11</v>
      </c>
    </row>
    <row r="1908" spans="1:5" x14ac:dyDescent="0.25">
      <c r="A1908" s="1">
        <v>43049</v>
      </c>
      <c r="B1908" s="2" t="s">
        <v>55</v>
      </c>
      <c r="C1908" s="2" t="s">
        <v>666</v>
      </c>
      <c r="D1908">
        <v>3</v>
      </c>
      <c r="E1908">
        <f>MONTH(makulatura3[[#This Row],[Data_dostarczenia]])</f>
        <v>11</v>
      </c>
    </row>
    <row r="1909" spans="1:5" x14ac:dyDescent="0.25">
      <c r="A1909" s="1">
        <v>43049</v>
      </c>
      <c r="B1909" s="2" t="s">
        <v>83</v>
      </c>
      <c r="C1909" s="2" t="s">
        <v>470</v>
      </c>
      <c r="D1909">
        <v>23</v>
      </c>
      <c r="E1909">
        <f>MONTH(makulatura3[[#This Row],[Data_dostarczenia]])</f>
        <v>11</v>
      </c>
    </row>
    <row r="1910" spans="1:5" x14ac:dyDescent="0.25">
      <c r="A1910" s="1">
        <v>43049</v>
      </c>
      <c r="B1910" s="2" t="s">
        <v>139</v>
      </c>
      <c r="C1910" s="2" t="s">
        <v>140</v>
      </c>
      <c r="D1910">
        <v>25</v>
      </c>
      <c r="E1910">
        <f>MONTH(makulatura3[[#This Row],[Data_dostarczenia]])</f>
        <v>11</v>
      </c>
    </row>
    <row r="1911" spans="1:5" x14ac:dyDescent="0.25">
      <c r="A1911" s="1">
        <v>43049</v>
      </c>
      <c r="B1911" s="2" t="s">
        <v>119</v>
      </c>
      <c r="C1911" s="2" t="s">
        <v>517</v>
      </c>
      <c r="D1911">
        <v>29</v>
      </c>
      <c r="E1911">
        <f>MONTH(makulatura3[[#This Row],[Data_dostarczenia]])</f>
        <v>11</v>
      </c>
    </row>
    <row r="1912" spans="1:5" x14ac:dyDescent="0.25">
      <c r="A1912" s="1">
        <v>43052</v>
      </c>
      <c r="B1912" s="2" t="s">
        <v>55</v>
      </c>
      <c r="C1912" s="2" t="s">
        <v>199</v>
      </c>
      <c r="D1912">
        <v>24</v>
      </c>
      <c r="E1912">
        <f>MONTH(makulatura3[[#This Row],[Data_dostarczenia]])</f>
        <v>11</v>
      </c>
    </row>
    <row r="1913" spans="1:5" x14ac:dyDescent="0.25">
      <c r="A1913" s="1">
        <v>43052</v>
      </c>
      <c r="B1913" s="2" t="s">
        <v>449</v>
      </c>
      <c r="C1913" s="2" t="s">
        <v>664</v>
      </c>
      <c r="D1913">
        <v>19</v>
      </c>
      <c r="E1913">
        <f>MONTH(makulatura3[[#This Row],[Data_dostarczenia]])</f>
        <v>11</v>
      </c>
    </row>
    <row r="1914" spans="1:5" x14ac:dyDescent="0.25">
      <c r="A1914" s="1">
        <v>43052</v>
      </c>
      <c r="B1914" s="2" t="s">
        <v>271</v>
      </c>
      <c r="C1914" s="2" t="s">
        <v>548</v>
      </c>
      <c r="D1914">
        <v>7</v>
      </c>
      <c r="E1914">
        <f>MONTH(makulatura3[[#This Row],[Data_dostarczenia]])</f>
        <v>11</v>
      </c>
    </row>
    <row r="1915" spans="1:5" x14ac:dyDescent="0.25">
      <c r="A1915" s="1">
        <v>43052</v>
      </c>
      <c r="B1915" s="2" t="s">
        <v>150</v>
      </c>
      <c r="C1915" s="2" t="s">
        <v>211</v>
      </c>
      <c r="D1915">
        <v>7</v>
      </c>
      <c r="E1915">
        <f>MONTH(makulatura3[[#This Row],[Data_dostarczenia]])</f>
        <v>11</v>
      </c>
    </row>
    <row r="1916" spans="1:5" x14ac:dyDescent="0.25">
      <c r="A1916" s="1">
        <v>43052</v>
      </c>
      <c r="B1916" s="2" t="s">
        <v>553</v>
      </c>
      <c r="C1916" s="2" t="s">
        <v>554</v>
      </c>
      <c r="D1916">
        <v>28</v>
      </c>
      <c r="E1916">
        <f>MONTH(makulatura3[[#This Row],[Data_dostarczenia]])</f>
        <v>11</v>
      </c>
    </row>
    <row r="1917" spans="1:5" x14ac:dyDescent="0.25">
      <c r="A1917" s="1">
        <v>43052</v>
      </c>
      <c r="B1917" s="2" t="s">
        <v>566</v>
      </c>
      <c r="C1917" s="2" t="s">
        <v>567</v>
      </c>
      <c r="D1917">
        <v>50</v>
      </c>
      <c r="E1917">
        <f>MONTH(makulatura3[[#This Row],[Data_dostarczenia]])</f>
        <v>11</v>
      </c>
    </row>
    <row r="1918" spans="1:5" x14ac:dyDescent="0.25">
      <c r="A1918" s="1">
        <v>43052</v>
      </c>
      <c r="B1918" s="2" t="s">
        <v>23</v>
      </c>
      <c r="C1918" s="2" t="s">
        <v>592</v>
      </c>
      <c r="D1918">
        <v>8</v>
      </c>
      <c r="E1918">
        <f>MONTH(makulatura3[[#This Row],[Data_dostarczenia]])</f>
        <v>11</v>
      </c>
    </row>
    <row r="1919" spans="1:5" x14ac:dyDescent="0.25">
      <c r="A1919" s="1">
        <v>43052</v>
      </c>
      <c r="B1919" s="2" t="s">
        <v>4</v>
      </c>
      <c r="C1919" s="2" t="s">
        <v>382</v>
      </c>
      <c r="D1919">
        <v>3</v>
      </c>
      <c r="E1919">
        <f>MONTH(makulatura3[[#This Row],[Data_dostarczenia]])</f>
        <v>11</v>
      </c>
    </row>
    <row r="1920" spans="1:5" x14ac:dyDescent="0.25">
      <c r="A1920" s="1">
        <v>43052</v>
      </c>
      <c r="B1920" s="2" t="s">
        <v>12</v>
      </c>
      <c r="C1920" s="2" t="s">
        <v>386</v>
      </c>
      <c r="D1920">
        <v>13</v>
      </c>
      <c r="E1920">
        <f>MONTH(makulatura3[[#This Row],[Data_dostarczenia]])</f>
        <v>11</v>
      </c>
    </row>
    <row r="1921" spans="1:5" x14ac:dyDescent="0.25">
      <c r="A1921" s="1">
        <v>43052</v>
      </c>
      <c r="B1921" s="2" t="s">
        <v>87</v>
      </c>
      <c r="C1921" s="2" t="s">
        <v>154</v>
      </c>
      <c r="D1921">
        <v>17</v>
      </c>
      <c r="E1921">
        <f>MONTH(makulatura3[[#This Row],[Data_dostarczenia]])</f>
        <v>11</v>
      </c>
    </row>
    <row r="1922" spans="1:5" x14ac:dyDescent="0.25">
      <c r="A1922" s="1">
        <v>43052</v>
      </c>
      <c r="B1922" s="2" t="s">
        <v>221</v>
      </c>
      <c r="C1922" s="2" t="s">
        <v>222</v>
      </c>
      <c r="D1922">
        <v>55</v>
      </c>
      <c r="E1922">
        <f>MONTH(makulatura3[[#This Row],[Data_dostarczenia]])</f>
        <v>11</v>
      </c>
    </row>
    <row r="1923" spans="1:5" x14ac:dyDescent="0.25">
      <c r="A1923" s="1">
        <v>43052</v>
      </c>
      <c r="B1923" s="2" t="s">
        <v>150</v>
      </c>
      <c r="C1923" s="2" t="s">
        <v>258</v>
      </c>
      <c r="D1923">
        <v>46</v>
      </c>
      <c r="E1923">
        <f>MONTH(makulatura3[[#This Row],[Data_dostarczenia]])</f>
        <v>11</v>
      </c>
    </row>
    <row r="1924" spans="1:5" x14ac:dyDescent="0.25">
      <c r="A1924" s="1">
        <v>43052</v>
      </c>
      <c r="B1924" s="2" t="s">
        <v>47</v>
      </c>
      <c r="C1924" s="2" t="s">
        <v>630</v>
      </c>
      <c r="D1924">
        <v>48</v>
      </c>
      <c r="E1924">
        <f>MONTH(makulatura3[[#This Row],[Data_dostarczenia]])</f>
        <v>11</v>
      </c>
    </row>
    <row r="1925" spans="1:5" x14ac:dyDescent="0.25">
      <c r="A1925" s="1">
        <v>43052</v>
      </c>
      <c r="B1925" s="2" t="s">
        <v>395</v>
      </c>
      <c r="C1925" s="2" t="s">
        <v>687</v>
      </c>
      <c r="D1925">
        <v>35</v>
      </c>
      <c r="E1925">
        <f>MONTH(makulatura3[[#This Row],[Data_dostarczenia]])</f>
        <v>11</v>
      </c>
    </row>
    <row r="1926" spans="1:5" x14ac:dyDescent="0.25">
      <c r="A1926" s="1">
        <v>43052</v>
      </c>
      <c r="B1926" s="2" t="s">
        <v>416</v>
      </c>
      <c r="C1926" s="2" t="s">
        <v>572</v>
      </c>
      <c r="D1926">
        <v>54</v>
      </c>
      <c r="E1926">
        <f>MONTH(makulatura3[[#This Row],[Data_dostarczenia]])</f>
        <v>11</v>
      </c>
    </row>
    <row r="1927" spans="1:5" x14ac:dyDescent="0.25">
      <c r="A1927" s="1">
        <v>43052</v>
      </c>
      <c r="B1927" s="2" t="s">
        <v>167</v>
      </c>
      <c r="C1927" s="2" t="s">
        <v>168</v>
      </c>
      <c r="D1927">
        <v>6</v>
      </c>
      <c r="E1927">
        <f>MONTH(makulatura3[[#This Row],[Data_dostarczenia]])</f>
        <v>11</v>
      </c>
    </row>
    <row r="1928" spans="1:5" x14ac:dyDescent="0.25">
      <c r="A1928" s="1">
        <v>43052</v>
      </c>
      <c r="B1928" s="2" t="s">
        <v>87</v>
      </c>
      <c r="C1928" s="2" t="s">
        <v>259</v>
      </c>
      <c r="D1928">
        <v>53</v>
      </c>
      <c r="E1928">
        <f>MONTH(makulatura3[[#This Row],[Data_dostarczenia]])</f>
        <v>11</v>
      </c>
    </row>
    <row r="1929" spans="1:5" x14ac:dyDescent="0.25">
      <c r="A1929" s="1">
        <v>43052</v>
      </c>
      <c r="B1929" s="2" t="s">
        <v>34</v>
      </c>
      <c r="C1929" s="2" t="s">
        <v>564</v>
      </c>
      <c r="D1929">
        <v>29</v>
      </c>
      <c r="E1929">
        <f>MONTH(makulatura3[[#This Row],[Data_dostarczenia]])</f>
        <v>11</v>
      </c>
    </row>
    <row r="1930" spans="1:5" x14ac:dyDescent="0.25">
      <c r="A1930" s="1">
        <v>43053</v>
      </c>
      <c r="B1930" s="2" t="s">
        <v>521</v>
      </c>
      <c r="C1930" s="2" t="s">
        <v>440</v>
      </c>
      <c r="D1930">
        <v>35</v>
      </c>
      <c r="E1930">
        <f>MONTH(makulatura3[[#This Row],[Data_dostarczenia]])</f>
        <v>11</v>
      </c>
    </row>
    <row r="1931" spans="1:5" x14ac:dyDescent="0.25">
      <c r="A1931" s="1">
        <v>43053</v>
      </c>
      <c r="B1931" s="2" t="s">
        <v>246</v>
      </c>
      <c r="C1931" s="2" t="s">
        <v>247</v>
      </c>
      <c r="D1931">
        <v>24</v>
      </c>
      <c r="E1931">
        <f>MONTH(makulatura3[[#This Row],[Data_dostarczenia]])</f>
        <v>11</v>
      </c>
    </row>
    <row r="1932" spans="1:5" x14ac:dyDescent="0.25">
      <c r="A1932" s="1">
        <v>43053</v>
      </c>
      <c r="B1932" s="2" t="s">
        <v>137</v>
      </c>
      <c r="C1932" s="2" t="s">
        <v>473</v>
      </c>
      <c r="D1932">
        <v>25</v>
      </c>
      <c r="E1932">
        <f>MONTH(makulatura3[[#This Row],[Data_dostarczenia]])</f>
        <v>11</v>
      </c>
    </row>
    <row r="1933" spans="1:5" x14ac:dyDescent="0.25">
      <c r="A1933" s="1">
        <v>43053</v>
      </c>
      <c r="B1933" s="2" t="s">
        <v>87</v>
      </c>
      <c r="C1933" s="2" t="s">
        <v>154</v>
      </c>
      <c r="D1933">
        <v>10</v>
      </c>
      <c r="E1933">
        <f>MONTH(makulatura3[[#This Row],[Data_dostarczenia]])</f>
        <v>11</v>
      </c>
    </row>
    <row r="1934" spans="1:5" x14ac:dyDescent="0.25">
      <c r="A1934" s="1">
        <v>43053</v>
      </c>
      <c r="B1934" s="2" t="s">
        <v>139</v>
      </c>
      <c r="C1934" s="2" t="s">
        <v>140</v>
      </c>
      <c r="D1934">
        <v>10</v>
      </c>
      <c r="E1934">
        <f>MONTH(makulatura3[[#This Row],[Data_dostarczenia]])</f>
        <v>11</v>
      </c>
    </row>
    <row r="1935" spans="1:5" x14ac:dyDescent="0.25">
      <c r="A1935" s="1">
        <v>43053</v>
      </c>
      <c r="B1935" s="2" t="s">
        <v>49</v>
      </c>
      <c r="C1935" s="2" t="s">
        <v>50</v>
      </c>
      <c r="D1935">
        <v>6</v>
      </c>
      <c r="E1935">
        <f>MONTH(makulatura3[[#This Row],[Data_dostarczenia]])</f>
        <v>11</v>
      </c>
    </row>
    <row r="1936" spans="1:5" x14ac:dyDescent="0.25">
      <c r="A1936" s="1">
        <v>43053</v>
      </c>
      <c r="B1936" s="2" t="s">
        <v>81</v>
      </c>
      <c r="C1936" s="2" t="s">
        <v>165</v>
      </c>
      <c r="D1936">
        <v>20</v>
      </c>
      <c r="E1936">
        <f>MONTH(makulatura3[[#This Row],[Data_dostarczenia]])</f>
        <v>11</v>
      </c>
    </row>
    <row r="1937" spans="1:5" x14ac:dyDescent="0.25">
      <c r="A1937" s="1">
        <v>43053</v>
      </c>
      <c r="B1937" s="2" t="s">
        <v>195</v>
      </c>
      <c r="C1937" s="2" t="s">
        <v>401</v>
      </c>
      <c r="D1937">
        <v>9</v>
      </c>
      <c r="E1937">
        <f>MONTH(makulatura3[[#This Row],[Data_dostarczenia]])</f>
        <v>11</v>
      </c>
    </row>
    <row r="1938" spans="1:5" x14ac:dyDescent="0.25">
      <c r="A1938" s="1">
        <v>43054</v>
      </c>
      <c r="B1938" s="2" t="s">
        <v>688</v>
      </c>
      <c r="C1938" s="2" t="s">
        <v>689</v>
      </c>
      <c r="D1938">
        <v>5</v>
      </c>
      <c r="E1938">
        <f>MONTH(makulatura3[[#This Row],[Data_dostarczenia]])</f>
        <v>11</v>
      </c>
    </row>
    <row r="1939" spans="1:5" x14ac:dyDescent="0.25">
      <c r="A1939" s="1">
        <v>43054</v>
      </c>
      <c r="B1939" s="2" t="s">
        <v>141</v>
      </c>
      <c r="C1939" s="2" t="s">
        <v>364</v>
      </c>
      <c r="D1939">
        <v>22</v>
      </c>
      <c r="E1939">
        <f>MONTH(makulatura3[[#This Row],[Data_dostarczenia]])</f>
        <v>11</v>
      </c>
    </row>
    <row r="1940" spans="1:5" x14ac:dyDescent="0.25">
      <c r="A1940" s="1">
        <v>43054</v>
      </c>
      <c r="B1940" s="2" t="s">
        <v>232</v>
      </c>
      <c r="C1940" s="2" t="s">
        <v>378</v>
      </c>
      <c r="D1940">
        <v>10</v>
      </c>
      <c r="E1940">
        <f>MONTH(makulatura3[[#This Row],[Data_dostarczenia]])</f>
        <v>11</v>
      </c>
    </row>
    <row r="1941" spans="1:5" x14ac:dyDescent="0.25">
      <c r="A1941" s="1">
        <v>43054</v>
      </c>
      <c r="B1941" s="2" t="s">
        <v>150</v>
      </c>
      <c r="C1941" s="2" t="s">
        <v>556</v>
      </c>
      <c r="D1941">
        <v>13</v>
      </c>
      <c r="E1941">
        <f>MONTH(makulatura3[[#This Row],[Data_dostarczenia]])</f>
        <v>11</v>
      </c>
    </row>
    <row r="1942" spans="1:5" x14ac:dyDescent="0.25">
      <c r="A1942" s="1">
        <v>43054</v>
      </c>
      <c r="B1942" s="2" t="s">
        <v>407</v>
      </c>
      <c r="C1942" s="2" t="s">
        <v>408</v>
      </c>
      <c r="D1942">
        <v>18</v>
      </c>
      <c r="E1942">
        <f>MONTH(makulatura3[[#This Row],[Data_dostarczenia]])</f>
        <v>11</v>
      </c>
    </row>
    <row r="1943" spans="1:5" x14ac:dyDescent="0.25">
      <c r="A1943" s="1">
        <v>43054</v>
      </c>
      <c r="B1943" s="2" t="s">
        <v>121</v>
      </c>
      <c r="C1943" s="2" t="s">
        <v>122</v>
      </c>
      <c r="D1943">
        <v>5</v>
      </c>
      <c r="E1943">
        <f>MONTH(makulatura3[[#This Row],[Data_dostarczenia]])</f>
        <v>11</v>
      </c>
    </row>
    <row r="1944" spans="1:5" x14ac:dyDescent="0.25">
      <c r="A1944" s="1">
        <v>43054</v>
      </c>
      <c r="B1944" s="2" t="s">
        <v>267</v>
      </c>
      <c r="C1944" s="2" t="s">
        <v>287</v>
      </c>
      <c r="D1944">
        <v>26</v>
      </c>
      <c r="E1944">
        <f>MONTH(makulatura3[[#This Row],[Data_dostarczenia]])</f>
        <v>11</v>
      </c>
    </row>
    <row r="1945" spans="1:5" x14ac:dyDescent="0.25">
      <c r="A1945" s="1">
        <v>43054</v>
      </c>
      <c r="B1945" s="2" t="s">
        <v>23</v>
      </c>
      <c r="C1945" s="2" t="s">
        <v>695</v>
      </c>
      <c r="D1945">
        <v>20</v>
      </c>
      <c r="E1945">
        <f>MONTH(makulatura3[[#This Row],[Data_dostarczenia]])</f>
        <v>11</v>
      </c>
    </row>
    <row r="1946" spans="1:5" x14ac:dyDescent="0.25">
      <c r="A1946" s="1">
        <v>43055</v>
      </c>
      <c r="B1946" s="2" t="s">
        <v>189</v>
      </c>
      <c r="C1946" s="2" t="s">
        <v>190</v>
      </c>
      <c r="D1946">
        <v>11</v>
      </c>
      <c r="E1946">
        <f>MONTH(makulatura3[[#This Row],[Data_dostarczenia]])</f>
        <v>11</v>
      </c>
    </row>
    <row r="1947" spans="1:5" x14ac:dyDescent="0.25">
      <c r="A1947" s="1">
        <v>43055</v>
      </c>
      <c r="B1947" s="2" t="s">
        <v>87</v>
      </c>
      <c r="C1947" s="2" t="s">
        <v>383</v>
      </c>
      <c r="D1947">
        <v>23</v>
      </c>
      <c r="E1947">
        <f>MONTH(makulatura3[[#This Row],[Data_dostarczenia]])</f>
        <v>11</v>
      </c>
    </row>
    <row r="1948" spans="1:5" x14ac:dyDescent="0.25">
      <c r="A1948" s="1">
        <v>43055</v>
      </c>
      <c r="B1948" s="2" t="s">
        <v>67</v>
      </c>
      <c r="C1948" s="2" t="s">
        <v>460</v>
      </c>
      <c r="D1948">
        <v>12</v>
      </c>
      <c r="E1948">
        <f>MONTH(makulatura3[[#This Row],[Data_dostarczenia]])</f>
        <v>11</v>
      </c>
    </row>
    <row r="1949" spans="1:5" x14ac:dyDescent="0.25">
      <c r="A1949" s="1">
        <v>43055</v>
      </c>
      <c r="B1949" s="2" t="s">
        <v>303</v>
      </c>
      <c r="C1949" s="2" t="s">
        <v>304</v>
      </c>
      <c r="D1949">
        <v>23</v>
      </c>
      <c r="E1949">
        <f>MONTH(makulatura3[[#This Row],[Data_dostarczenia]])</f>
        <v>11</v>
      </c>
    </row>
    <row r="1950" spans="1:5" x14ac:dyDescent="0.25">
      <c r="A1950" s="1">
        <v>43055</v>
      </c>
      <c r="B1950" s="2" t="s">
        <v>152</v>
      </c>
      <c r="C1950" s="2" t="s">
        <v>696</v>
      </c>
      <c r="D1950">
        <v>9</v>
      </c>
      <c r="E1950">
        <f>MONTH(makulatura3[[#This Row],[Data_dostarczenia]])</f>
        <v>11</v>
      </c>
    </row>
    <row r="1951" spans="1:5" x14ac:dyDescent="0.25">
      <c r="A1951" s="1">
        <v>43055</v>
      </c>
      <c r="B1951" s="2" t="s">
        <v>81</v>
      </c>
      <c r="C1951" s="2" t="s">
        <v>648</v>
      </c>
      <c r="D1951">
        <v>27</v>
      </c>
      <c r="E1951">
        <f>MONTH(makulatura3[[#This Row],[Data_dostarczenia]])</f>
        <v>11</v>
      </c>
    </row>
    <row r="1952" spans="1:5" x14ac:dyDescent="0.25">
      <c r="A1952" s="1">
        <v>43055</v>
      </c>
      <c r="B1952" s="2" t="s">
        <v>36</v>
      </c>
      <c r="C1952" s="2" t="s">
        <v>295</v>
      </c>
      <c r="D1952">
        <v>26</v>
      </c>
      <c r="E1952">
        <f>MONTH(makulatura3[[#This Row],[Data_dostarczenia]])</f>
        <v>11</v>
      </c>
    </row>
    <row r="1953" spans="1:5" x14ac:dyDescent="0.25">
      <c r="A1953" s="1">
        <v>43055</v>
      </c>
      <c r="B1953" s="2" t="s">
        <v>508</v>
      </c>
      <c r="C1953" s="2" t="s">
        <v>509</v>
      </c>
      <c r="D1953">
        <v>11</v>
      </c>
      <c r="E1953">
        <f>MONTH(makulatura3[[#This Row],[Data_dostarczenia]])</f>
        <v>11</v>
      </c>
    </row>
    <row r="1954" spans="1:5" x14ac:dyDescent="0.25">
      <c r="A1954" s="1">
        <v>43056</v>
      </c>
      <c r="B1954" s="2" t="s">
        <v>47</v>
      </c>
      <c r="C1954" s="2" t="s">
        <v>336</v>
      </c>
      <c r="D1954">
        <v>14</v>
      </c>
      <c r="E1954">
        <f>MONTH(makulatura3[[#This Row],[Data_dostarczenia]])</f>
        <v>11</v>
      </c>
    </row>
    <row r="1955" spans="1:5" x14ac:dyDescent="0.25">
      <c r="A1955" s="1">
        <v>43056</v>
      </c>
      <c r="B1955" s="2" t="s">
        <v>4</v>
      </c>
      <c r="C1955" s="2" t="s">
        <v>207</v>
      </c>
      <c r="D1955">
        <v>24</v>
      </c>
      <c r="E1955">
        <f>MONTH(makulatura3[[#This Row],[Data_dostarczenia]])</f>
        <v>11</v>
      </c>
    </row>
    <row r="1956" spans="1:5" x14ac:dyDescent="0.25">
      <c r="A1956" s="1">
        <v>43056</v>
      </c>
      <c r="B1956" s="2" t="s">
        <v>36</v>
      </c>
      <c r="C1956" s="2" t="s">
        <v>180</v>
      </c>
      <c r="D1956">
        <v>18</v>
      </c>
      <c r="E1956">
        <f>MONTH(makulatura3[[#This Row],[Data_dostarczenia]])</f>
        <v>11</v>
      </c>
    </row>
    <row r="1957" spans="1:5" x14ac:dyDescent="0.25">
      <c r="A1957" s="1">
        <v>43056</v>
      </c>
      <c r="B1957" s="2" t="s">
        <v>128</v>
      </c>
      <c r="C1957" s="2" t="s">
        <v>559</v>
      </c>
      <c r="D1957">
        <v>13</v>
      </c>
      <c r="E1957">
        <f>MONTH(makulatura3[[#This Row],[Data_dostarczenia]])</f>
        <v>11</v>
      </c>
    </row>
    <row r="1958" spans="1:5" x14ac:dyDescent="0.25">
      <c r="A1958" s="1">
        <v>43056</v>
      </c>
      <c r="B1958" s="2" t="s">
        <v>45</v>
      </c>
      <c r="C1958" s="2" t="s">
        <v>46</v>
      </c>
      <c r="D1958">
        <v>18</v>
      </c>
      <c r="E1958">
        <f>MONTH(makulatura3[[#This Row],[Data_dostarczenia]])</f>
        <v>11</v>
      </c>
    </row>
    <row r="1959" spans="1:5" x14ac:dyDescent="0.25">
      <c r="A1959" s="1">
        <v>43056</v>
      </c>
      <c r="B1959" s="2" t="s">
        <v>393</v>
      </c>
      <c r="C1959" s="2" t="s">
        <v>227</v>
      </c>
      <c r="D1959">
        <v>36</v>
      </c>
      <c r="E1959">
        <f>MONTH(makulatura3[[#This Row],[Data_dostarczenia]])</f>
        <v>11</v>
      </c>
    </row>
    <row r="1960" spans="1:5" x14ac:dyDescent="0.25">
      <c r="A1960" s="1">
        <v>43056</v>
      </c>
      <c r="B1960" s="2" t="s">
        <v>519</v>
      </c>
      <c r="C1960" s="2" t="s">
        <v>661</v>
      </c>
      <c r="D1960">
        <v>23</v>
      </c>
      <c r="E1960">
        <f>MONTH(makulatura3[[#This Row],[Data_dostarczenia]])</f>
        <v>11</v>
      </c>
    </row>
    <row r="1961" spans="1:5" x14ac:dyDescent="0.25">
      <c r="A1961" s="1">
        <v>43056</v>
      </c>
      <c r="B1961" s="2" t="s">
        <v>453</v>
      </c>
      <c r="C1961" s="2" t="s">
        <v>454</v>
      </c>
      <c r="D1961">
        <v>7</v>
      </c>
      <c r="E1961">
        <f>MONTH(makulatura3[[#This Row],[Data_dostarczenia]])</f>
        <v>11</v>
      </c>
    </row>
    <row r="1962" spans="1:5" x14ac:dyDescent="0.25">
      <c r="A1962" s="1">
        <v>43056</v>
      </c>
      <c r="B1962" s="2" t="s">
        <v>150</v>
      </c>
      <c r="C1962" s="2" t="s">
        <v>211</v>
      </c>
      <c r="D1962">
        <v>54</v>
      </c>
      <c r="E1962">
        <f>MONTH(makulatura3[[#This Row],[Data_dostarczenia]])</f>
        <v>11</v>
      </c>
    </row>
    <row r="1963" spans="1:5" x14ac:dyDescent="0.25">
      <c r="A1963" s="1">
        <v>43056</v>
      </c>
      <c r="B1963" s="2" t="s">
        <v>271</v>
      </c>
      <c r="C1963" s="2" t="s">
        <v>272</v>
      </c>
      <c r="D1963">
        <v>48</v>
      </c>
      <c r="E1963">
        <f>MONTH(makulatura3[[#This Row],[Data_dostarczenia]])</f>
        <v>11</v>
      </c>
    </row>
    <row r="1964" spans="1:5" x14ac:dyDescent="0.25">
      <c r="A1964" s="1">
        <v>43056</v>
      </c>
      <c r="B1964" s="2" t="s">
        <v>20</v>
      </c>
      <c r="C1964" s="2" t="s">
        <v>123</v>
      </c>
      <c r="D1964">
        <v>5</v>
      </c>
      <c r="E1964">
        <f>MONTH(makulatura3[[#This Row],[Data_dostarczenia]])</f>
        <v>11</v>
      </c>
    </row>
    <row r="1965" spans="1:5" x14ac:dyDescent="0.25">
      <c r="A1965" s="1">
        <v>43056</v>
      </c>
      <c r="B1965" s="2" t="s">
        <v>320</v>
      </c>
      <c r="C1965" s="2" t="s">
        <v>321</v>
      </c>
      <c r="D1965">
        <v>51</v>
      </c>
      <c r="E1965">
        <f>MONTH(makulatura3[[#This Row],[Data_dostarczenia]])</f>
        <v>11</v>
      </c>
    </row>
    <row r="1966" spans="1:5" x14ac:dyDescent="0.25">
      <c r="A1966" s="1">
        <v>43056</v>
      </c>
      <c r="B1966" s="2" t="s">
        <v>544</v>
      </c>
      <c r="C1966" s="2" t="s">
        <v>145</v>
      </c>
      <c r="D1966">
        <v>10</v>
      </c>
      <c r="E1966">
        <f>MONTH(makulatura3[[#This Row],[Data_dostarczenia]])</f>
        <v>11</v>
      </c>
    </row>
    <row r="1967" spans="1:5" x14ac:dyDescent="0.25">
      <c r="A1967" s="1">
        <v>43056</v>
      </c>
      <c r="B1967" s="2" t="s">
        <v>147</v>
      </c>
      <c r="C1967" s="2" t="s">
        <v>148</v>
      </c>
      <c r="D1967">
        <v>24</v>
      </c>
      <c r="E1967">
        <f>MONTH(makulatura3[[#This Row],[Data_dostarczenia]])</f>
        <v>11</v>
      </c>
    </row>
    <row r="1968" spans="1:5" x14ac:dyDescent="0.25">
      <c r="A1968" s="1">
        <v>43056</v>
      </c>
      <c r="B1968" s="2" t="s">
        <v>193</v>
      </c>
      <c r="C1968" s="2" t="s">
        <v>215</v>
      </c>
      <c r="D1968">
        <v>7</v>
      </c>
      <c r="E1968">
        <f>MONTH(makulatura3[[#This Row],[Data_dostarczenia]])</f>
        <v>11</v>
      </c>
    </row>
    <row r="1969" spans="1:5" x14ac:dyDescent="0.25">
      <c r="A1969" s="1">
        <v>43056</v>
      </c>
      <c r="B1969" s="2" t="s">
        <v>55</v>
      </c>
      <c r="C1969" s="2" t="s">
        <v>493</v>
      </c>
      <c r="D1969">
        <v>11</v>
      </c>
      <c r="E1969">
        <f>MONTH(makulatura3[[#This Row],[Data_dostarczenia]])</f>
        <v>11</v>
      </c>
    </row>
    <row r="1970" spans="1:5" x14ac:dyDescent="0.25">
      <c r="A1970" s="1">
        <v>43056</v>
      </c>
      <c r="B1970" s="2" t="s">
        <v>10</v>
      </c>
      <c r="C1970" s="2" t="s">
        <v>266</v>
      </c>
      <c r="D1970">
        <v>4</v>
      </c>
      <c r="E1970">
        <f>MONTH(makulatura3[[#This Row],[Data_dostarczenia]])</f>
        <v>11</v>
      </c>
    </row>
    <row r="1971" spans="1:5" x14ac:dyDescent="0.25">
      <c r="A1971" s="1">
        <v>43059</v>
      </c>
      <c r="B1971" s="2" t="s">
        <v>12</v>
      </c>
      <c r="C1971" s="2" t="s">
        <v>667</v>
      </c>
      <c r="D1971">
        <v>30</v>
      </c>
      <c r="E1971">
        <f>MONTH(makulatura3[[#This Row],[Data_dostarczenia]])</f>
        <v>11</v>
      </c>
    </row>
    <row r="1972" spans="1:5" x14ac:dyDescent="0.25">
      <c r="A1972" s="1">
        <v>43059</v>
      </c>
      <c r="B1972" s="2" t="s">
        <v>189</v>
      </c>
      <c r="C1972" s="2" t="s">
        <v>190</v>
      </c>
      <c r="D1972">
        <v>36</v>
      </c>
      <c r="E1972">
        <f>MONTH(makulatura3[[#This Row],[Data_dostarczenia]])</f>
        <v>11</v>
      </c>
    </row>
    <row r="1973" spans="1:5" x14ac:dyDescent="0.25">
      <c r="A1973" s="1">
        <v>43059</v>
      </c>
      <c r="B1973" s="2" t="s">
        <v>47</v>
      </c>
      <c r="C1973" s="2" t="s">
        <v>230</v>
      </c>
      <c r="D1973">
        <v>22</v>
      </c>
      <c r="E1973">
        <f>MONTH(makulatura3[[#This Row],[Data_dostarczenia]])</f>
        <v>11</v>
      </c>
    </row>
    <row r="1974" spans="1:5" x14ac:dyDescent="0.25">
      <c r="A1974" s="1">
        <v>43059</v>
      </c>
      <c r="B1974" s="2" t="s">
        <v>208</v>
      </c>
      <c r="C1974" s="2" t="s">
        <v>697</v>
      </c>
      <c r="D1974">
        <v>21</v>
      </c>
      <c r="E1974">
        <f>MONTH(makulatura3[[#This Row],[Data_dostarczenia]])</f>
        <v>11</v>
      </c>
    </row>
    <row r="1975" spans="1:5" x14ac:dyDescent="0.25">
      <c r="A1975" s="1">
        <v>43059</v>
      </c>
      <c r="B1975" s="2" t="s">
        <v>83</v>
      </c>
      <c r="C1975" s="2" t="s">
        <v>459</v>
      </c>
      <c r="D1975">
        <v>16</v>
      </c>
      <c r="E1975">
        <f>MONTH(makulatura3[[#This Row],[Data_dostarczenia]])</f>
        <v>11</v>
      </c>
    </row>
    <row r="1976" spans="1:5" x14ac:dyDescent="0.25">
      <c r="A1976" s="1">
        <v>43059</v>
      </c>
      <c r="B1976" s="2" t="s">
        <v>438</v>
      </c>
      <c r="C1976" s="2" t="s">
        <v>439</v>
      </c>
      <c r="D1976">
        <v>52</v>
      </c>
      <c r="E1976">
        <f>MONTH(makulatura3[[#This Row],[Data_dostarczenia]])</f>
        <v>11</v>
      </c>
    </row>
    <row r="1977" spans="1:5" x14ac:dyDescent="0.25">
      <c r="A1977" s="1">
        <v>43059</v>
      </c>
      <c r="B1977" s="2" t="s">
        <v>232</v>
      </c>
      <c r="C1977" s="2" t="s">
        <v>487</v>
      </c>
      <c r="D1977">
        <v>20</v>
      </c>
      <c r="E1977">
        <f>MONTH(makulatura3[[#This Row],[Data_dostarczenia]])</f>
        <v>11</v>
      </c>
    </row>
    <row r="1978" spans="1:5" x14ac:dyDescent="0.25">
      <c r="A1978" s="1">
        <v>43059</v>
      </c>
      <c r="B1978" s="2" t="s">
        <v>77</v>
      </c>
      <c r="C1978" s="2" t="s">
        <v>384</v>
      </c>
      <c r="D1978">
        <v>3</v>
      </c>
      <c r="E1978">
        <f>MONTH(makulatura3[[#This Row],[Data_dostarczenia]])</f>
        <v>11</v>
      </c>
    </row>
    <row r="1979" spans="1:5" x14ac:dyDescent="0.25">
      <c r="A1979" s="1">
        <v>43059</v>
      </c>
      <c r="B1979" s="2" t="s">
        <v>117</v>
      </c>
      <c r="C1979" s="2" t="s">
        <v>183</v>
      </c>
      <c r="D1979">
        <v>23</v>
      </c>
      <c r="E1979">
        <f>MONTH(makulatura3[[#This Row],[Data_dostarczenia]])</f>
        <v>11</v>
      </c>
    </row>
    <row r="1980" spans="1:5" x14ac:dyDescent="0.25">
      <c r="A1980" s="1">
        <v>43059</v>
      </c>
      <c r="B1980" s="2" t="s">
        <v>307</v>
      </c>
      <c r="C1980" s="2" t="s">
        <v>308</v>
      </c>
      <c r="D1980">
        <v>4</v>
      </c>
      <c r="E1980">
        <f>MONTH(makulatura3[[#This Row],[Data_dostarczenia]])</f>
        <v>11</v>
      </c>
    </row>
    <row r="1981" spans="1:5" x14ac:dyDescent="0.25">
      <c r="A1981" s="1">
        <v>43059</v>
      </c>
      <c r="B1981" s="2" t="s">
        <v>174</v>
      </c>
      <c r="C1981" s="2" t="s">
        <v>175</v>
      </c>
      <c r="D1981">
        <v>20</v>
      </c>
      <c r="E1981">
        <f>MONTH(makulatura3[[#This Row],[Data_dostarczenia]])</f>
        <v>11</v>
      </c>
    </row>
    <row r="1982" spans="1:5" x14ac:dyDescent="0.25">
      <c r="A1982" s="1">
        <v>43059</v>
      </c>
      <c r="B1982" s="2" t="s">
        <v>23</v>
      </c>
      <c r="C1982" s="2" t="s">
        <v>695</v>
      </c>
      <c r="D1982">
        <v>51</v>
      </c>
      <c r="E1982">
        <f>MONTH(makulatura3[[#This Row],[Data_dostarczenia]])</f>
        <v>11</v>
      </c>
    </row>
    <row r="1983" spans="1:5" x14ac:dyDescent="0.25">
      <c r="A1983" s="1">
        <v>43059</v>
      </c>
      <c r="B1983" s="2" t="s">
        <v>574</v>
      </c>
      <c r="C1983" s="2" t="s">
        <v>421</v>
      </c>
      <c r="D1983">
        <v>29</v>
      </c>
      <c r="E1983">
        <f>MONTH(makulatura3[[#This Row],[Data_dostarczenia]])</f>
        <v>11</v>
      </c>
    </row>
    <row r="1984" spans="1:5" x14ac:dyDescent="0.25">
      <c r="A1984" s="1">
        <v>43059</v>
      </c>
      <c r="B1984" s="2" t="s">
        <v>39</v>
      </c>
      <c r="C1984" s="2" t="s">
        <v>111</v>
      </c>
      <c r="D1984">
        <v>54</v>
      </c>
      <c r="E1984">
        <f>MONTH(makulatura3[[#This Row],[Data_dostarczenia]])</f>
        <v>11</v>
      </c>
    </row>
    <row r="1985" spans="1:5" x14ac:dyDescent="0.25">
      <c r="A1985" s="1">
        <v>43059</v>
      </c>
      <c r="B1985" s="2" t="s">
        <v>171</v>
      </c>
      <c r="C1985" s="2" t="s">
        <v>562</v>
      </c>
      <c r="D1985">
        <v>19</v>
      </c>
      <c r="E1985">
        <f>MONTH(makulatura3[[#This Row],[Data_dostarczenia]])</f>
        <v>11</v>
      </c>
    </row>
    <row r="1986" spans="1:5" x14ac:dyDescent="0.25">
      <c r="A1986" s="1">
        <v>43059</v>
      </c>
      <c r="B1986" s="2" t="s">
        <v>352</v>
      </c>
      <c r="C1986" s="2" t="s">
        <v>227</v>
      </c>
      <c r="D1986">
        <v>25</v>
      </c>
      <c r="E1986">
        <f>MONTH(makulatura3[[#This Row],[Data_dostarczenia]])</f>
        <v>11</v>
      </c>
    </row>
    <row r="1987" spans="1:5" x14ac:dyDescent="0.25">
      <c r="A1987" s="1">
        <v>43059</v>
      </c>
      <c r="B1987" s="2" t="s">
        <v>409</v>
      </c>
      <c r="C1987" s="2" t="s">
        <v>410</v>
      </c>
      <c r="D1987">
        <v>4</v>
      </c>
      <c r="E1987">
        <f>MONTH(makulatura3[[#This Row],[Data_dostarczenia]])</f>
        <v>11</v>
      </c>
    </row>
    <row r="1988" spans="1:5" x14ac:dyDescent="0.25">
      <c r="A1988" s="1">
        <v>43059</v>
      </c>
      <c r="B1988" s="2" t="s">
        <v>133</v>
      </c>
      <c r="C1988" s="2" t="s">
        <v>616</v>
      </c>
      <c r="D1988">
        <v>10</v>
      </c>
      <c r="E1988">
        <f>MONTH(makulatura3[[#This Row],[Data_dostarczenia]])</f>
        <v>11</v>
      </c>
    </row>
    <row r="1989" spans="1:5" x14ac:dyDescent="0.25">
      <c r="A1989" s="1">
        <v>43060</v>
      </c>
      <c r="B1989" s="2" t="s">
        <v>106</v>
      </c>
      <c r="C1989" s="2" t="s">
        <v>107</v>
      </c>
      <c r="D1989">
        <v>9</v>
      </c>
      <c r="E1989">
        <f>MONTH(makulatura3[[#This Row],[Data_dostarczenia]])</f>
        <v>11</v>
      </c>
    </row>
    <row r="1990" spans="1:5" x14ac:dyDescent="0.25">
      <c r="A1990" s="1">
        <v>43060</v>
      </c>
      <c r="B1990" s="2" t="s">
        <v>81</v>
      </c>
      <c r="C1990" s="2" t="s">
        <v>584</v>
      </c>
      <c r="D1990">
        <v>8</v>
      </c>
      <c r="E1990">
        <f>MONTH(makulatura3[[#This Row],[Data_dostarczenia]])</f>
        <v>11</v>
      </c>
    </row>
    <row r="1991" spans="1:5" x14ac:dyDescent="0.25">
      <c r="A1991" s="1">
        <v>43060</v>
      </c>
      <c r="B1991" s="2" t="s">
        <v>280</v>
      </c>
      <c r="C1991" s="2" t="s">
        <v>580</v>
      </c>
      <c r="D1991">
        <v>50</v>
      </c>
      <c r="E1991">
        <f>MONTH(makulatura3[[#This Row],[Data_dostarczenia]])</f>
        <v>11</v>
      </c>
    </row>
    <row r="1992" spans="1:5" x14ac:dyDescent="0.25">
      <c r="A1992" s="1">
        <v>43060</v>
      </c>
      <c r="B1992" s="2" t="s">
        <v>141</v>
      </c>
      <c r="C1992" s="2" t="s">
        <v>292</v>
      </c>
      <c r="D1992">
        <v>18</v>
      </c>
      <c r="E1992">
        <f>MONTH(makulatura3[[#This Row],[Data_dostarczenia]])</f>
        <v>11</v>
      </c>
    </row>
    <row r="1993" spans="1:5" x14ac:dyDescent="0.25">
      <c r="A1993" s="1">
        <v>43060</v>
      </c>
      <c r="B1993" s="2" t="s">
        <v>176</v>
      </c>
      <c r="C1993" s="2" t="s">
        <v>486</v>
      </c>
      <c r="D1993">
        <v>42</v>
      </c>
      <c r="E1993">
        <f>MONTH(makulatura3[[#This Row],[Data_dostarczenia]])</f>
        <v>11</v>
      </c>
    </row>
    <row r="1994" spans="1:5" x14ac:dyDescent="0.25">
      <c r="A1994" s="1">
        <v>43060</v>
      </c>
      <c r="B1994" s="2" t="s">
        <v>72</v>
      </c>
      <c r="C1994" s="2" t="s">
        <v>73</v>
      </c>
      <c r="D1994">
        <v>24</v>
      </c>
      <c r="E1994">
        <f>MONTH(makulatura3[[#This Row],[Data_dostarczenia]])</f>
        <v>11</v>
      </c>
    </row>
    <row r="1995" spans="1:5" x14ac:dyDescent="0.25">
      <c r="A1995" s="1">
        <v>43060</v>
      </c>
      <c r="B1995" s="2" t="s">
        <v>171</v>
      </c>
      <c r="C1995" s="2" t="s">
        <v>5</v>
      </c>
      <c r="D1995">
        <v>31</v>
      </c>
      <c r="E1995">
        <f>MONTH(makulatura3[[#This Row],[Data_dostarczenia]])</f>
        <v>11</v>
      </c>
    </row>
    <row r="1996" spans="1:5" x14ac:dyDescent="0.25">
      <c r="A1996" s="1">
        <v>43060</v>
      </c>
      <c r="B1996" s="2" t="s">
        <v>299</v>
      </c>
      <c r="C1996" s="2" t="s">
        <v>300</v>
      </c>
      <c r="D1996">
        <v>46</v>
      </c>
      <c r="E1996">
        <f>MONTH(makulatura3[[#This Row],[Data_dostarczenia]])</f>
        <v>11</v>
      </c>
    </row>
    <row r="1997" spans="1:5" x14ac:dyDescent="0.25">
      <c r="A1997" s="1">
        <v>43060</v>
      </c>
      <c r="B1997" s="2" t="s">
        <v>206</v>
      </c>
      <c r="C1997" s="2" t="s">
        <v>227</v>
      </c>
      <c r="D1997">
        <v>9</v>
      </c>
      <c r="E1997">
        <f>MONTH(makulatura3[[#This Row],[Data_dostarczenia]])</f>
        <v>11</v>
      </c>
    </row>
    <row r="1998" spans="1:5" x14ac:dyDescent="0.25">
      <c r="A1998" s="1">
        <v>43060</v>
      </c>
      <c r="B1998" s="2" t="s">
        <v>416</v>
      </c>
      <c r="C1998" s="2" t="s">
        <v>572</v>
      </c>
      <c r="D1998">
        <v>9</v>
      </c>
      <c r="E1998">
        <f>MONTH(makulatura3[[#This Row],[Data_dostarczenia]])</f>
        <v>11</v>
      </c>
    </row>
    <row r="1999" spans="1:5" x14ac:dyDescent="0.25">
      <c r="A1999" s="1">
        <v>43060</v>
      </c>
      <c r="B1999" s="2" t="s">
        <v>43</v>
      </c>
      <c r="C1999" s="2" t="s">
        <v>44</v>
      </c>
      <c r="D1999">
        <v>53</v>
      </c>
      <c r="E1999">
        <f>MONTH(makulatura3[[#This Row],[Data_dostarczenia]])</f>
        <v>11</v>
      </c>
    </row>
    <row r="2000" spans="1:5" x14ac:dyDescent="0.25">
      <c r="A2000" s="1">
        <v>43060</v>
      </c>
      <c r="B2000" s="2" t="s">
        <v>131</v>
      </c>
      <c r="C2000" s="2" t="s">
        <v>451</v>
      </c>
      <c r="D2000">
        <v>5</v>
      </c>
      <c r="E2000">
        <f>MONTH(makulatura3[[#This Row],[Data_dostarczenia]])</f>
        <v>11</v>
      </c>
    </row>
    <row r="2001" spans="1:5" x14ac:dyDescent="0.25">
      <c r="A2001" s="1">
        <v>43060</v>
      </c>
      <c r="B2001" s="2" t="s">
        <v>137</v>
      </c>
      <c r="C2001" s="2" t="s">
        <v>138</v>
      </c>
      <c r="D2001">
        <v>39</v>
      </c>
      <c r="E2001">
        <f>MONTH(makulatura3[[#This Row],[Data_dostarczenia]])</f>
        <v>11</v>
      </c>
    </row>
    <row r="2002" spans="1:5" x14ac:dyDescent="0.25">
      <c r="A2002" s="1">
        <v>43060</v>
      </c>
      <c r="B2002" s="2" t="s">
        <v>372</v>
      </c>
      <c r="C2002" s="2" t="s">
        <v>373</v>
      </c>
      <c r="D2002">
        <v>43</v>
      </c>
      <c r="E2002">
        <f>MONTH(makulatura3[[#This Row],[Data_dostarczenia]])</f>
        <v>11</v>
      </c>
    </row>
    <row r="2003" spans="1:5" x14ac:dyDescent="0.25">
      <c r="A2003" s="1">
        <v>43060</v>
      </c>
      <c r="B2003" s="2" t="s">
        <v>83</v>
      </c>
      <c r="C2003" s="2" t="s">
        <v>350</v>
      </c>
      <c r="D2003">
        <v>14</v>
      </c>
      <c r="E2003">
        <f>MONTH(makulatura3[[#This Row],[Data_dostarczenia]])</f>
        <v>11</v>
      </c>
    </row>
    <row r="2004" spans="1:5" x14ac:dyDescent="0.25">
      <c r="A2004" s="1">
        <v>43060</v>
      </c>
      <c r="B2004" s="2" t="s">
        <v>150</v>
      </c>
      <c r="C2004" s="2" t="s">
        <v>151</v>
      </c>
      <c r="D2004">
        <v>25</v>
      </c>
      <c r="E2004">
        <f>MONTH(makulatura3[[#This Row],[Data_dostarczenia]])</f>
        <v>11</v>
      </c>
    </row>
    <row r="2005" spans="1:5" x14ac:dyDescent="0.25">
      <c r="A2005" s="1">
        <v>43060</v>
      </c>
      <c r="B2005" s="2" t="s">
        <v>121</v>
      </c>
      <c r="C2005" s="2" t="s">
        <v>122</v>
      </c>
      <c r="D2005">
        <v>16</v>
      </c>
      <c r="E2005">
        <f>MONTH(makulatura3[[#This Row],[Data_dostarczenia]])</f>
        <v>11</v>
      </c>
    </row>
    <row r="2006" spans="1:5" x14ac:dyDescent="0.25">
      <c r="A2006" s="1">
        <v>43060</v>
      </c>
      <c r="B2006" s="2" t="s">
        <v>374</v>
      </c>
      <c r="C2006" s="2" t="s">
        <v>581</v>
      </c>
      <c r="D2006">
        <v>23</v>
      </c>
      <c r="E2006">
        <f>MONTH(makulatura3[[#This Row],[Data_dostarczenia]])</f>
        <v>11</v>
      </c>
    </row>
    <row r="2007" spans="1:5" x14ac:dyDescent="0.25">
      <c r="A2007" s="1">
        <v>43061</v>
      </c>
      <c r="B2007" s="2" t="s">
        <v>4</v>
      </c>
      <c r="C2007" s="2" t="s">
        <v>5</v>
      </c>
      <c r="D2007">
        <v>12</v>
      </c>
      <c r="E2007">
        <f>MONTH(makulatura3[[#This Row],[Data_dostarczenia]])</f>
        <v>11</v>
      </c>
    </row>
    <row r="2008" spans="1:5" x14ac:dyDescent="0.25">
      <c r="A2008" s="1">
        <v>43061</v>
      </c>
      <c r="B2008" s="2" t="s">
        <v>374</v>
      </c>
      <c r="C2008" s="2" t="s">
        <v>375</v>
      </c>
      <c r="D2008">
        <v>10</v>
      </c>
      <c r="E2008">
        <f>MONTH(makulatura3[[#This Row],[Data_dostarczenia]])</f>
        <v>11</v>
      </c>
    </row>
    <row r="2009" spans="1:5" x14ac:dyDescent="0.25">
      <c r="A2009" s="1">
        <v>43061</v>
      </c>
      <c r="B2009" s="2" t="s">
        <v>16</v>
      </c>
      <c r="C2009" s="2" t="s">
        <v>642</v>
      </c>
      <c r="D2009">
        <v>49</v>
      </c>
      <c r="E2009">
        <f>MONTH(makulatura3[[#This Row],[Data_dostarczenia]])</f>
        <v>11</v>
      </c>
    </row>
    <row r="2010" spans="1:5" x14ac:dyDescent="0.25">
      <c r="A2010" s="1">
        <v>43061</v>
      </c>
      <c r="B2010" s="2" t="s">
        <v>367</v>
      </c>
      <c r="C2010" s="2" t="s">
        <v>5</v>
      </c>
      <c r="D2010">
        <v>9</v>
      </c>
      <c r="E2010">
        <f>MONTH(makulatura3[[#This Row],[Data_dostarczenia]])</f>
        <v>11</v>
      </c>
    </row>
    <row r="2011" spans="1:5" x14ac:dyDescent="0.25">
      <c r="A2011" s="1">
        <v>43061</v>
      </c>
      <c r="B2011" s="2" t="s">
        <v>55</v>
      </c>
      <c r="C2011" s="2" t="s">
        <v>56</v>
      </c>
      <c r="D2011">
        <v>14</v>
      </c>
      <c r="E2011">
        <f>MONTH(makulatura3[[#This Row],[Data_dostarczenia]])</f>
        <v>11</v>
      </c>
    </row>
    <row r="2012" spans="1:5" x14ac:dyDescent="0.25">
      <c r="A2012" s="1">
        <v>43061</v>
      </c>
      <c r="B2012" s="2" t="s">
        <v>412</v>
      </c>
      <c r="C2012" s="2" t="s">
        <v>413</v>
      </c>
      <c r="D2012">
        <v>23</v>
      </c>
      <c r="E2012">
        <f>MONTH(makulatura3[[#This Row],[Data_dostarczenia]])</f>
        <v>11</v>
      </c>
    </row>
    <row r="2013" spans="1:5" x14ac:dyDescent="0.25">
      <c r="A2013" s="1">
        <v>43061</v>
      </c>
      <c r="B2013" s="2" t="s">
        <v>367</v>
      </c>
      <c r="C2013" s="2" t="s">
        <v>368</v>
      </c>
      <c r="D2013">
        <v>12</v>
      </c>
      <c r="E2013">
        <f>MONTH(makulatura3[[#This Row],[Data_dostarczenia]])</f>
        <v>11</v>
      </c>
    </row>
    <row r="2014" spans="1:5" x14ac:dyDescent="0.25">
      <c r="A2014" s="1">
        <v>43061</v>
      </c>
      <c r="B2014" s="2" t="s">
        <v>314</v>
      </c>
      <c r="C2014" s="2" t="s">
        <v>315</v>
      </c>
      <c r="D2014">
        <v>14</v>
      </c>
      <c r="E2014">
        <f>MONTH(makulatura3[[#This Row],[Data_dostarczenia]])</f>
        <v>11</v>
      </c>
    </row>
    <row r="2015" spans="1:5" x14ac:dyDescent="0.25">
      <c r="A2015" s="1">
        <v>43061</v>
      </c>
      <c r="B2015" s="2" t="s">
        <v>92</v>
      </c>
      <c r="C2015" s="2" t="s">
        <v>93</v>
      </c>
      <c r="D2015">
        <v>5</v>
      </c>
      <c r="E2015">
        <f>MONTH(makulatura3[[#This Row],[Data_dostarczenia]])</f>
        <v>11</v>
      </c>
    </row>
    <row r="2016" spans="1:5" x14ac:dyDescent="0.25">
      <c r="A2016" s="1">
        <v>43061</v>
      </c>
      <c r="B2016" s="2" t="s">
        <v>30</v>
      </c>
      <c r="C2016" s="2" t="s">
        <v>680</v>
      </c>
      <c r="D2016">
        <v>13</v>
      </c>
      <c r="E2016">
        <f>MONTH(makulatura3[[#This Row],[Data_dostarczenia]])</f>
        <v>11</v>
      </c>
    </row>
    <row r="2017" spans="1:5" x14ac:dyDescent="0.25">
      <c r="A2017" s="1">
        <v>43061</v>
      </c>
      <c r="B2017" s="2" t="s">
        <v>232</v>
      </c>
      <c r="C2017" s="2" t="s">
        <v>233</v>
      </c>
      <c r="D2017">
        <v>5</v>
      </c>
      <c r="E2017">
        <f>MONTH(makulatura3[[#This Row],[Data_dostarczenia]])</f>
        <v>11</v>
      </c>
    </row>
    <row r="2018" spans="1:5" x14ac:dyDescent="0.25">
      <c r="A2018" s="1">
        <v>43061</v>
      </c>
      <c r="B2018" s="2" t="s">
        <v>39</v>
      </c>
      <c r="C2018" s="2" t="s">
        <v>436</v>
      </c>
      <c r="D2018">
        <v>29</v>
      </c>
      <c r="E2018">
        <f>MONTH(makulatura3[[#This Row],[Data_dostarczenia]])</f>
        <v>11</v>
      </c>
    </row>
    <row r="2019" spans="1:5" x14ac:dyDescent="0.25">
      <c r="A2019" s="1">
        <v>43061</v>
      </c>
      <c r="B2019" s="2" t="s">
        <v>427</v>
      </c>
      <c r="C2019" s="2" t="s">
        <v>118</v>
      </c>
      <c r="D2019">
        <v>24</v>
      </c>
      <c r="E2019">
        <f>MONTH(makulatura3[[#This Row],[Data_dostarczenia]])</f>
        <v>11</v>
      </c>
    </row>
    <row r="2020" spans="1:5" x14ac:dyDescent="0.25">
      <c r="A2020" s="1">
        <v>43061</v>
      </c>
      <c r="B2020" s="2" t="s">
        <v>494</v>
      </c>
      <c r="C2020" s="2" t="s">
        <v>495</v>
      </c>
      <c r="D2020">
        <v>2</v>
      </c>
      <c r="E2020">
        <f>MONTH(makulatura3[[#This Row],[Data_dostarczenia]])</f>
        <v>11</v>
      </c>
    </row>
    <row r="2021" spans="1:5" x14ac:dyDescent="0.25">
      <c r="A2021" s="1">
        <v>43061</v>
      </c>
      <c r="B2021" s="2" t="s">
        <v>55</v>
      </c>
      <c r="C2021" s="2" t="s">
        <v>691</v>
      </c>
      <c r="D2021">
        <v>41</v>
      </c>
      <c r="E2021">
        <f>MONTH(makulatura3[[#This Row],[Data_dostarczenia]])</f>
        <v>11</v>
      </c>
    </row>
    <row r="2022" spans="1:5" x14ac:dyDescent="0.25">
      <c r="A2022" s="1">
        <v>43061</v>
      </c>
      <c r="B2022" s="2" t="s">
        <v>18</v>
      </c>
      <c r="C2022" s="2" t="s">
        <v>597</v>
      </c>
      <c r="D2022">
        <v>21</v>
      </c>
      <c r="E2022">
        <f>MONTH(makulatura3[[#This Row],[Data_dostarczenia]])</f>
        <v>11</v>
      </c>
    </row>
    <row r="2023" spans="1:5" x14ac:dyDescent="0.25">
      <c r="A2023" s="1">
        <v>43061</v>
      </c>
      <c r="B2023" s="2" t="s">
        <v>171</v>
      </c>
      <c r="C2023" s="2" t="s">
        <v>651</v>
      </c>
      <c r="D2023">
        <v>25</v>
      </c>
      <c r="E2023">
        <f>MONTH(makulatura3[[#This Row],[Data_dostarczenia]])</f>
        <v>11</v>
      </c>
    </row>
    <row r="2024" spans="1:5" x14ac:dyDescent="0.25">
      <c r="A2024" s="1">
        <v>43061</v>
      </c>
      <c r="B2024" s="2" t="s">
        <v>169</v>
      </c>
      <c r="C2024" s="2" t="s">
        <v>684</v>
      </c>
      <c r="D2024">
        <v>26</v>
      </c>
      <c r="E2024">
        <f>MONTH(makulatura3[[#This Row],[Data_dostarczenia]])</f>
        <v>11</v>
      </c>
    </row>
    <row r="2025" spans="1:5" x14ac:dyDescent="0.25">
      <c r="A2025" s="1">
        <v>43061</v>
      </c>
      <c r="B2025" s="2" t="s">
        <v>87</v>
      </c>
      <c r="C2025" s="2" t="s">
        <v>424</v>
      </c>
      <c r="D2025">
        <v>14</v>
      </c>
      <c r="E2025">
        <f>MONTH(makulatura3[[#This Row],[Data_dostarczenia]])</f>
        <v>11</v>
      </c>
    </row>
    <row r="2026" spans="1:5" x14ac:dyDescent="0.25">
      <c r="A2026" s="1">
        <v>43062</v>
      </c>
      <c r="B2026" s="2" t="s">
        <v>83</v>
      </c>
      <c r="C2026" s="2" t="s">
        <v>149</v>
      </c>
      <c r="D2026">
        <v>14</v>
      </c>
      <c r="E2026">
        <f>MONTH(makulatura3[[#This Row],[Data_dostarczenia]])</f>
        <v>11</v>
      </c>
    </row>
    <row r="2027" spans="1:5" x14ac:dyDescent="0.25">
      <c r="A2027" s="1">
        <v>43062</v>
      </c>
      <c r="B2027" s="2" t="s">
        <v>427</v>
      </c>
      <c r="C2027" s="2" t="s">
        <v>118</v>
      </c>
      <c r="D2027">
        <v>39</v>
      </c>
      <c r="E2027">
        <f>MONTH(makulatura3[[#This Row],[Data_dostarczenia]])</f>
        <v>11</v>
      </c>
    </row>
    <row r="2028" spans="1:5" x14ac:dyDescent="0.25">
      <c r="A2028" s="1">
        <v>43062</v>
      </c>
      <c r="B2028" s="2" t="s">
        <v>81</v>
      </c>
      <c r="C2028" s="2" t="s">
        <v>648</v>
      </c>
      <c r="D2028">
        <v>25</v>
      </c>
      <c r="E2028">
        <f>MONTH(makulatura3[[#This Row],[Data_dostarczenia]])</f>
        <v>11</v>
      </c>
    </row>
    <row r="2029" spans="1:5" x14ac:dyDescent="0.25">
      <c r="A2029" s="1">
        <v>43062</v>
      </c>
      <c r="B2029" s="2" t="s">
        <v>395</v>
      </c>
      <c r="C2029" s="2" t="s">
        <v>599</v>
      </c>
      <c r="D2029">
        <v>15</v>
      </c>
      <c r="E2029">
        <f>MONTH(makulatura3[[#This Row],[Data_dostarczenia]])</f>
        <v>11</v>
      </c>
    </row>
    <row r="2030" spans="1:5" x14ac:dyDescent="0.25">
      <c r="A2030" s="1">
        <v>43062</v>
      </c>
      <c r="B2030" s="2" t="s">
        <v>69</v>
      </c>
      <c r="C2030" s="2" t="s">
        <v>200</v>
      </c>
      <c r="D2030">
        <v>9</v>
      </c>
      <c r="E2030">
        <f>MONTH(makulatura3[[#This Row],[Data_dostarczenia]])</f>
        <v>11</v>
      </c>
    </row>
    <row r="2031" spans="1:5" x14ac:dyDescent="0.25">
      <c r="A2031" s="1">
        <v>43062</v>
      </c>
      <c r="B2031" s="2" t="s">
        <v>359</v>
      </c>
      <c r="C2031" s="2" t="s">
        <v>431</v>
      </c>
      <c r="D2031">
        <v>10</v>
      </c>
      <c r="E2031">
        <f>MONTH(makulatura3[[#This Row],[Data_dostarczenia]])</f>
        <v>11</v>
      </c>
    </row>
    <row r="2032" spans="1:5" x14ac:dyDescent="0.25">
      <c r="A2032" s="1">
        <v>43062</v>
      </c>
      <c r="B2032" s="2" t="s">
        <v>69</v>
      </c>
      <c r="C2032" s="2" t="s">
        <v>200</v>
      </c>
      <c r="D2032">
        <v>12</v>
      </c>
      <c r="E2032">
        <f>MONTH(makulatura3[[#This Row],[Data_dostarczenia]])</f>
        <v>11</v>
      </c>
    </row>
    <row r="2033" spans="1:5" x14ac:dyDescent="0.25">
      <c r="A2033" s="1">
        <v>43062</v>
      </c>
      <c r="B2033" s="2" t="s">
        <v>69</v>
      </c>
      <c r="C2033" s="2" t="s">
        <v>461</v>
      </c>
      <c r="D2033">
        <v>19</v>
      </c>
      <c r="E2033">
        <f>MONTH(makulatura3[[#This Row],[Data_dostarczenia]])</f>
        <v>11</v>
      </c>
    </row>
    <row r="2034" spans="1:5" x14ac:dyDescent="0.25">
      <c r="A2034" s="1">
        <v>43062</v>
      </c>
      <c r="B2034" s="2" t="s">
        <v>131</v>
      </c>
      <c r="C2034" s="2" t="s">
        <v>626</v>
      </c>
      <c r="D2034">
        <v>43</v>
      </c>
      <c r="E2034">
        <f>MONTH(makulatura3[[#This Row],[Data_dostarczenia]])</f>
        <v>11</v>
      </c>
    </row>
    <row r="2035" spans="1:5" x14ac:dyDescent="0.25">
      <c r="A2035" s="1">
        <v>43063</v>
      </c>
      <c r="B2035" s="2" t="s">
        <v>83</v>
      </c>
      <c r="C2035" s="2" t="s">
        <v>698</v>
      </c>
      <c r="D2035">
        <v>13</v>
      </c>
      <c r="E2035">
        <f>MONTH(makulatura3[[#This Row],[Data_dostarczenia]])</f>
        <v>11</v>
      </c>
    </row>
    <row r="2036" spans="1:5" x14ac:dyDescent="0.25">
      <c r="A2036" s="1">
        <v>43063</v>
      </c>
      <c r="B2036" s="2" t="s">
        <v>201</v>
      </c>
      <c r="C2036" s="2" t="s">
        <v>202</v>
      </c>
      <c r="D2036">
        <v>38</v>
      </c>
      <c r="E2036">
        <f>MONTH(makulatura3[[#This Row],[Data_dostarczenia]])</f>
        <v>11</v>
      </c>
    </row>
    <row r="2037" spans="1:5" x14ac:dyDescent="0.25">
      <c r="A2037" s="1">
        <v>43063</v>
      </c>
      <c r="B2037" s="2" t="s">
        <v>150</v>
      </c>
      <c r="C2037" s="2" t="s">
        <v>556</v>
      </c>
      <c r="D2037">
        <v>9</v>
      </c>
      <c r="E2037">
        <f>MONTH(makulatura3[[#This Row],[Data_dostarczenia]])</f>
        <v>11</v>
      </c>
    </row>
    <row r="2038" spans="1:5" x14ac:dyDescent="0.25">
      <c r="A2038" s="1">
        <v>43063</v>
      </c>
      <c r="B2038" s="2" t="s">
        <v>69</v>
      </c>
      <c r="C2038" s="2" t="s">
        <v>200</v>
      </c>
      <c r="D2038">
        <v>10</v>
      </c>
      <c r="E2038">
        <f>MONTH(makulatura3[[#This Row],[Data_dostarczenia]])</f>
        <v>11</v>
      </c>
    </row>
    <row r="2039" spans="1:5" x14ac:dyDescent="0.25">
      <c r="A2039" s="1">
        <v>43063</v>
      </c>
      <c r="B2039" s="2" t="s">
        <v>367</v>
      </c>
      <c r="C2039" s="2" t="s">
        <v>5</v>
      </c>
      <c r="D2039">
        <v>13</v>
      </c>
      <c r="E2039">
        <f>MONTH(makulatura3[[#This Row],[Data_dostarczenia]])</f>
        <v>11</v>
      </c>
    </row>
    <row r="2040" spans="1:5" x14ac:dyDescent="0.25">
      <c r="A2040" s="1">
        <v>43063</v>
      </c>
      <c r="B2040" s="2" t="s">
        <v>97</v>
      </c>
      <c r="C2040" s="2" t="s">
        <v>188</v>
      </c>
      <c r="D2040">
        <v>6</v>
      </c>
      <c r="E2040">
        <f>MONTH(makulatura3[[#This Row],[Data_dostarczenia]])</f>
        <v>11</v>
      </c>
    </row>
    <row r="2041" spans="1:5" x14ac:dyDescent="0.25">
      <c r="A2041" s="1">
        <v>43063</v>
      </c>
      <c r="B2041" s="2" t="s">
        <v>39</v>
      </c>
      <c r="C2041" s="2" t="s">
        <v>434</v>
      </c>
      <c r="D2041">
        <v>26</v>
      </c>
      <c r="E2041">
        <f>MONTH(makulatura3[[#This Row],[Data_dostarczenia]])</f>
        <v>11</v>
      </c>
    </row>
    <row r="2042" spans="1:5" x14ac:dyDescent="0.25">
      <c r="A2042" s="1">
        <v>43063</v>
      </c>
      <c r="B2042" s="2" t="s">
        <v>355</v>
      </c>
      <c r="C2042" s="2" t="s">
        <v>356</v>
      </c>
      <c r="D2042">
        <v>24</v>
      </c>
      <c r="E2042">
        <f>MONTH(makulatura3[[#This Row],[Data_dostarczenia]])</f>
        <v>11</v>
      </c>
    </row>
    <row r="2043" spans="1:5" x14ac:dyDescent="0.25">
      <c r="A2043" s="1">
        <v>43063</v>
      </c>
      <c r="B2043" s="2" t="s">
        <v>77</v>
      </c>
      <c r="C2043" s="2" t="s">
        <v>78</v>
      </c>
      <c r="D2043">
        <v>13</v>
      </c>
      <c r="E2043">
        <f>MONTH(makulatura3[[#This Row],[Data_dostarczenia]])</f>
        <v>11</v>
      </c>
    </row>
    <row r="2044" spans="1:5" x14ac:dyDescent="0.25">
      <c r="A2044" s="1">
        <v>43063</v>
      </c>
      <c r="B2044" s="2" t="s">
        <v>34</v>
      </c>
      <c r="C2044" s="2" t="s">
        <v>160</v>
      </c>
      <c r="D2044">
        <v>19</v>
      </c>
      <c r="E2044">
        <f>MONTH(makulatura3[[#This Row],[Data_dostarczenia]])</f>
        <v>11</v>
      </c>
    </row>
    <row r="2045" spans="1:5" x14ac:dyDescent="0.25">
      <c r="A2045" s="1">
        <v>43063</v>
      </c>
      <c r="B2045" s="2" t="s">
        <v>150</v>
      </c>
      <c r="C2045" s="2" t="s">
        <v>258</v>
      </c>
      <c r="D2045">
        <v>22</v>
      </c>
      <c r="E2045">
        <f>MONTH(makulatura3[[#This Row],[Data_dostarczenia]])</f>
        <v>11</v>
      </c>
    </row>
    <row r="2046" spans="1:5" x14ac:dyDescent="0.25">
      <c r="A2046" s="1">
        <v>43063</v>
      </c>
      <c r="B2046" s="2" t="s">
        <v>97</v>
      </c>
      <c r="C2046" s="2" t="s">
        <v>5</v>
      </c>
      <c r="D2046">
        <v>2</v>
      </c>
      <c r="E2046">
        <f>MONTH(makulatura3[[#This Row],[Data_dostarczenia]])</f>
        <v>11</v>
      </c>
    </row>
    <row r="2047" spans="1:5" x14ac:dyDescent="0.25">
      <c r="A2047" s="1">
        <v>43063</v>
      </c>
      <c r="B2047" s="2" t="s">
        <v>23</v>
      </c>
      <c r="C2047" s="2" t="s">
        <v>604</v>
      </c>
      <c r="D2047">
        <v>2</v>
      </c>
      <c r="E2047">
        <f>MONTH(makulatura3[[#This Row],[Data_dostarczenia]])</f>
        <v>11</v>
      </c>
    </row>
    <row r="2048" spans="1:5" x14ac:dyDescent="0.25">
      <c r="A2048" s="1">
        <v>43063</v>
      </c>
      <c r="B2048" s="2" t="s">
        <v>30</v>
      </c>
      <c r="C2048" s="2" t="s">
        <v>227</v>
      </c>
      <c r="D2048">
        <v>18</v>
      </c>
      <c r="E2048">
        <f>MONTH(makulatura3[[#This Row],[Data_dostarczenia]])</f>
        <v>11</v>
      </c>
    </row>
    <row r="2049" spans="1:5" x14ac:dyDescent="0.25">
      <c r="A2049" s="1">
        <v>43063</v>
      </c>
      <c r="B2049" s="2" t="s">
        <v>18</v>
      </c>
      <c r="C2049" s="2" t="s">
        <v>74</v>
      </c>
      <c r="D2049">
        <v>24</v>
      </c>
      <c r="E2049">
        <f>MONTH(makulatura3[[#This Row],[Data_dostarczenia]])</f>
        <v>11</v>
      </c>
    </row>
    <row r="2050" spans="1:5" x14ac:dyDescent="0.25">
      <c r="A2050" s="1">
        <v>43063</v>
      </c>
      <c r="B2050" s="2" t="s">
        <v>32</v>
      </c>
      <c r="C2050" s="2" t="s">
        <v>406</v>
      </c>
      <c r="D2050">
        <v>24</v>
      </c>
      <c r="E2050">
        <f>MONTH(makulatura3[[#This Row],[Data_dostarczenia]])</f>
        <v>11</v>
      </c>
    </row>
    <row r="2051" spans="1:5" x14ac:dyDescent="0.25">
      <c r="A2051" s="1">
        <v>43063</v>
      </c>
      <c r="B2051" s="2" t="s">
        <v>193</v>
      </c>
      <c r="C2051" s="2" t="s">
        <v>228</v>
      </c>
      <c r="D2051">
        <v>17</v>
      </c>
      <c r="E2051">
        <f>MONTH(makulatura3[[#This Row],[Data_dostarczenia]])</f>
        <v>11</v>
      </c>
    </row>
    <row r="2052" spans="1:5" x14ac:dyDescent="0.25">
      <c r="A2052" s="1">
        <v>43063</v>
      </c>
      <c r="B2052" s="2" t="s">
        <v>95</v>
      </c>
      <c r="C2052" s="2" t="s">
        <v>426</v>
      </c>
      <c r="D2052">
        <v>18</v>
      </c>
      <c r="E2052">
        <f>MONTH(makulatura3[[#This Row],[Data_dostarczenia]])</f>
        <v>11</v>
      </c>
    </row>
    <row r="2053" spans="1:5" x14ac:dyDescent="0.25">
      <c r="A2053" s="1">
        <v>43063</v>
      </c>
      <c r="B2053" s="2" t="s">
        <v>83</v>
      </c>
      <c r="C2053" s="2" t="s">
        <v>470</v>
      </c>
      <c r="D2053">
        <v>26</v>
      </c>
      <c r="E2053">
        <f>MONTH(makulatura3[[#This Row],[Data_dostarczenia]])</f>
        <v>11</v>
      </c>
    </row>
    <row r="2054" spans="1:5" x14ac:dyDescent="0.25">
      <c r="A2054" s="1">
        <v>43066</v>
      </c>
      <c r="B2054" s="2" t="s">
        <v>55</v>
      </c>
      <c r="C2054" s="2" t="s">
        <v>56</v>
      </c>
      <c r="D2054">
        <v>2</v>
      </c>
      <c r="E2054">
        <f>MONTH(makulatura3[[#This Row],[Data_dostarczenia]])</f>
        <v>11</v>
      </c>
    </row>
    <row r="2055" spans="1:5" x14ac:dyDescent="0.25">
      <c r="A2055" s="1">
        <v>43066</v>
      </c>
      <c r="B2055" s="2" t="s">
        <v>314</v>
      </c>
      <c r="C2055" s="2" t="s">
        <v>366</v>
      </c>
      <c r="D2055">
        <v>51</v>
      </c>
      <c r="E2055">
        <f>MONTH(makulatura3[[#This Row],[Data_dostarczenia]])</f>
        <v>11</v>
      </c>
    </row>
    <row r="2056" spans="1:5" x14ac:dyDescent="0.25">
      <c r="A2056" s="1">
        <v>43066</v>
      </c>
      <c r="B2056" s="2" t="s">
        <v>310</v>
      </c>
      <c r="C2056" s="2" t="s">
        <v>699</v>
      </c>
      <c r="D2056">
        <v>20</v>
      </c>
      <c r="E2056">
        <f>MONTH(makulatura3[[#This Row],[Data_dostarczenia]])</f>
        <v>11</v>
      </c>
    </row>
    <row r="2057" spans="1:5" x14ac:dyDescent="0.25">
      <c r="A2057" s="1">
        <v>43066</v>
      </c>
      <c r="B2057" s="2" t="s">
        <v>81</v>
      </c>
      <c r="C2057" s="2" t="s">
        <v>648</v>
      </c>
      <c r="D2057">
        <v>5</v>
      </c>
      <c r="E2057">
        <f>MONTH(makulatura3[[#This Row],[Data_dostarczenia]])</f>
        <v>11</v>
      </c>
    </row>
    <row r="2058" spans="1:5" x14ac:dyDescent="0.25">
      <c r="A2058" s="1">
        <v>43066</v>
      </c>
      <c r="B2058" s="2" t="s">
        <v>346</v>
      </c>
      <c r="C2058" s="2" t="s">
        <v>347</v>
      </c>
      <c r="D2058">
        <v>43</v>
      </c>
      <c r="E2058">
        <f>MONTH(makulatura3[[#This Row],[Data_dostarczenia]])</f>
        <v>11</v>
      </c>
    </row>
    <row r="2059" spans="1:5" x14ac:dyDescent="0.25">
      <c r="A2059" s="1">
        <v>43066</v>
      </c>
      <c r="B2059" s="2" t="s">
        <v>39</v>
      </c>
      <c r="C2059" s="2" t="s">
        <v>436</v>
      </c>
      <c r="D2059">
        <v>25</v>
      </c>
      <c r="E2059">
        <f>MONTH(makulatura3[[#This Row],[Data_dostarczenia]])</f>
        <v>11</v>
      </c>
    </row>
    <row r="2060" spans="1:5" x14ac:dyDescent="0.25">
      <c r="A2060" s="1">
        <v>43066</v>
      </c>
      <c r="B2060" s="2" t="s">
        <v>141</v>
      </c>
      <c r="C2060" s="2" t="s">
        <v>142</v>
      </c>
      <c r="D2060">
        <v>26</v>
      </c>
      <c r="E2060">
        <f>MONTH(makulatura3[[#This Row],[Data_dostarczenia]])</f>
        <v>11</v>
      </c>
    </row>
    <row r="2061" spans="1:5" x14ac:dyDescent="0.25">
      <c r="A2061" s="1">
        <v>43066</v>
      </c>
      <c r="B2061" s="2" t="s">
        <v>45</v>
      </c>
      <c r="C2061" s="2" t="s">
        <v>388</v>
      </c>
      <c r="D2061">
        <v>25</v>
      </c>
      <c r="E2061">
        <f>MONTH(makulatura3[[#This Row],[Data_dostarczenia]])</f>
        <v>11</v>
      </c>
    </row>
    <row r="2062" spans="1:5" x14ac:dyDescent="0.25">
      <c r="A2062" s="1">
        <v>43066</v>
      </c>
      <c r="B2062" s="2" t="s">
        <v>133</v>
      </c>
      <c r="C2062" s="2" t="s">
        <v>328</v>
      </c>
      <c r="D2062">
        <v>40</v>
      </c>
      <c r="E2062">
        <f>MONTH(makulatura3[[#This Row],[Data_dostarczenia]])</f>
        <v>11</v>
      </c>
    </row>
    <row r="2063" spans="1:5" x14ac:dyDescent="0.25">
      <c r="A2063" s="1">
        <v>43067</v>
      </c>
      <c r="B2063" s="2" t="s">
        <v>34</v>
      </c>
      <c r="C2063" s="2" t="s">
        <v>35</v>
      </c>
      <c r="D2063">
        <v>26</v>
      </c>
      <c r="E2063">
        <f>MONTH(makulatura3[[#This Row],[Data_dostarczenia]])</f>
        <v>11</v>
      </c>
    </row>
    <row r="2064" spans="1:5" x14ac:dyDescent="0.25">
      <c r="A2064" s="1">
        <v>43067</v>
      </c>
      <c r="B2064" s="2" t="s">
        <v>144</v>
      </c>
      <c r="C2064" s="2" t="s">
        <v>525</v>
      </c>
      <c r="D2064">
        <v>49</v>
      </c>
      <c r="E2064">
        <f>MONTH(makulatura3[[#This Row],[Data_dostarczenia]])</f>
        <v>11</v>
      </c>
    </row>
    <row r="2065" spans="1:5" x14ac:dyDescent="0.25">
      <c r="A2065" s="1">
        <v>43067</v>
      </c>
      <c r="B2065" s="2" t="s">
        <v>427</v>
      </c>
      <c r="C2065" s="2" t="s">
        <v>558</v>
      </c>
      <c r="D2065">
        <v>6</v>
      </c>
      <c r="E2065">
        <f>MONTH(makulatura3[[#This Row],[Data_dostarczenia]])</f>
        <v>11</v>
      </c>
    </row>
    <row r="2066" spans="1:5" x14ac:dyDescent="0.25">
      <c r="A2066" s="1">
        <v>43067</v>
      </c>
      <c r="B2066" s="2" t="s">
        <v>47</v>
      </c>
      <c r="C2066" s="2" t="s">
        <v>465</v>
      </c>
      <c r="D2066">
        <v>6</v>
      </c>
      <c r="E2066">
        <f>MONTH(makulatura3[[#This Row],[Data_dostarczenia]])</f>
        <v>11</v>
      </c>
    </row>
    <row r="2067" spans="1:5" x14ac:dyDescent="0.25">
      <c r="A2067" s="1">
        <v>43067</v>
      </c>
      <c r="B2067" s="2" t="s">
        <v>47</v>
      </c>
      <c r="C2067" s="2" t="s">
        <v>465</v>
      </c>
      <c r="D2067">
        <v>11</v>
      </c>
      <c r="E2067">
        <f>MONTH(makulatura3[[#This Row],[Data_dostarczenia]])</f>
        <v>11</v>
      </c>
    </row>
    <row r="2068" spans="1:5" x14ac:dyDescent="0.25">
      <c r="A2068" s="1">
        <v>43067</v>
      </c>
      <c r="B2068" s="2" t="s">
        <v>30</v>
      </c>
      <c r="C2068" s="2" t="s">
        <v>680</v>
      </c>
      <c r="D2068">
        <v>34</v>
      </c>
      <c r="E2068">
        <f>MONTH(makulatura3[[#This Row],[Data_dostarczenia]])</f>
        <v>11</v>
      </c>
    </row>
    <row r="2069" spans="1:5" x14ac:dyDescent="0.25">
      <c r="A2069" s="1">
        <v>43067</v>
      </c>
      <c r="B2069" s="2" t="s">
        <v>81</v>
      </c>
      <c r="C2069" s="2" t="s">
        <v>82</v>
      </c>
      <c r="D2069">
        <v>8</v>
      </c>
      <c r="E2069">
        <f>MONTH(makulatura3[[#This Row],[Data_dostarczenia]])</f>
        <v>11</v>
      </c>
    </row>
    <row r="2070" spans="1:5" x14ac:dyDescent="0.25">
      <c r="A2070" s="1">
        <v>43067</v>
      </c>
      <c r="B2070" s="2" t="s">
        <v>152</v>
      </c>
      <c r="C2070" s="2" t="s">
        <v>696</v>
      </c>
      <c r="D2070">
        <v>17</v>
      </c>
      <c r="E2070">
        <f>MONTH(makulatura3[[#This Row],[Data_dostarczenia]])</f>
        <v>11</v>
      </c>
    </row>
    <row r="2071" spans="1:5" x14ac:dyDescent="0.25">
      <c r="A2071" s="1">
        <v>43067</v>
      </c>
      <c r="B2071" s="2" t="s">
        <v>41</v>
      </c>
      <c r="C2071" s="2" t="s">
        <v>42</v>
      </c>
      <c r="D2071">
        <v>29</v>
      </c>
      <c r="E2071">
        <f>MONTH(makulatura3[[#This Row],[Data_dostarczenia]])</f>
        <v>11</v>
      </c>
    </row>
    <row r="2072" spans="1:5" x14ac:dyDescent="0.25">
      <c r="A2072" s="1">
        <v>43068</v>
      </c>
      <c r="B2072" s="2" t="s">
        <v>77</v>
      </c>
      <c r="C2072" s="2" t="s">
        <v>85</v>
      </c>
      <c r="D2072">
        <v>12</v>
      </c>
      <c r="E2072">
        <f>MONTH(makulatura3[[#This Row],[Data_dostarczenia]])</f>
        <v>11</v>
      </c>
    </row>
    <row r="2073" spans="1:5" x14ac:dyDescent="0.25">
      <c r="A2073" s="1">
        <v>43068</v>
      </c>
      <c r="B2073" s="2" t="s">
        <v>150</v>
      </c>
      <c r="C2073" s="2" t="s">
        <v>297</v>
      </c>
      <c r="D2073">
        <v>19</v>
      </c>
      <c r="E2073">
        <f>MONTH(makulatura3[[#This Row],[Data_dostarczenia]])</f>
        <v>11</v>
      </c>
    </row>
    <row r="2074" spans="1:5" x14ac:dyDescent="0.25">
      <c r="A2074" s="1">
        <v>43068</v>
      </c>
      <c r="B2074" s="2" t="s">
        <v>150</v>
      </c>
      <c r="C2074" s="2" t="s">
        <v>297</v>
      </c>
      <c r="D2074">
        <v>21</v>
      </c>
      <c r="E2074">
        <f>MONTH(makulatura3[[#This Row],[Data_dostarczenia]])</f>
        <v>11</v>
      </c>
    </row>
    <row r="2075" spans="1:5" x14ac:dyDescent="0.25">
      <c r="A2075" s="1">
        <v>43068</v>
      </c>
      <c r="B2075" s="2" t="s">
        <v>87</v>
      </c>
      <c r="C2075" s="2" t="s">
        <v>397</v>
      </c>
      <c r="D2075">
        <v>33</v>
      </c>
      <c r="E2075">
        <f>MONTH(makulatura3[[#This Row],[Data_dostarczenia]])</f>
        <v>11</v>
      </c>
    </row>
    <row r="2076" spans="1:5" x14ac:dyDescent="0.25">
      <c r="A2076" s="1">
        <v>43068</v>
      </c>
      <c r="B2076" s="2" t="s">
        <v>36</v>
      </c>
      <c r="C2076" s="2" t="s">
        <v>37</v>
      </c>
      <c r="D2076">
        <v>51</v>
      </c>
      <c r="E2076">
        <f>MONTH(makulatura3[[#This Row],[Data_dostarczenia]])</f>
        <v>11</v>
      </c>
    </row>
    <row r="2077" spans="1:5" x14ac:dyDescent="0.25">
      <c r="A2077" s="1">
        <v>43068</v>
      </c>
      <c r="B2077" s="2" t="s">
        <v>83</v>
      </c>
      <c r="C2077" s="2" t="s">
        <v>591</v>
      </c>
      <c r="D2077">
        <v>10</v>
      </c>
      <c r="E2077">
        <f>MONTH(makulatura3[[#This Row],[Data_dostarczenia]])</f>
        <v>11</v>
      </c>
    </row>
    <row r="2078" spans="1:5" x14ac:dyDescent="0.25">
      <c r="A2078" s="1">
        <v>43068</v>
      </c>
      <c r="B2078" s="2" t="s">
        <v>193</v>
      </c>
      <c r="C2078" s="2" t="s">
        <v>194</v>
      </c>
      <c r="D2078">
        <v>35</v>
      </c>
      <c r="E2078">
        <f>MONTH(makulatura3[[#This Row],[Data_dostarczenia]])</f>
        <v>11</v>
      </c>
    </row>
    <row r="2079" spans="1:5" x14ac:dyDescent="0.25">
      <c r="A2079" s="1">
        <v>43068</v>
      </c>
      <c r="B2079" s="2" t="s">
        <v>51</v>
      </c>
      <c r="C2079" s="2" t="s">
        <v>358</v>
      </c>
      <c r="D2079">
        <v>22</v>
      </c>
      <c r="E2079">
        <f>MONTH(makulatura3[[#This Row],[Data_dostarczenia]])</f>
        <v>11</v>
      </c>
    </row>
    <row r="2080" spans="1:5" x14ac:dyDescent="0.25">
      <c r="A2080" s="1">
        <v>43068</v>
      </c>
      <c r="B2080" s="2" t="s">
        <v>155</v>
      </c>
      <c r="C2080" s="2" t="s">
        <v>186</v>
      </c>
      <c r="D2080">
        <v>17</v>
      </c>
      <c r="E2080">
        <f>MONTH(makulatura3[[#This Row],[Data_dostarczenia]])</f>
        <v>11</v>
      </c>
    </row>
    <row r="2081" spans="1:5" x14ac:dyDescent="0.25">
      <c r="A2081" s="1">
        <v>43069</v>
      </c>
      <c r="B2081" s="2" t="s">
        <v>574</v>
      </c>
      <c r="C2081" s="2" t="s">
        <v>421</v>
      </c>
      <c r="D2081">
        <v>28</v>
      </c>
      <c r="E2081">
        <f>MONTH(makulatura3[[#This Row],[Data_dostarczenia]])</f>
        <v>11</v>
      </c>
    </row>
    <row r="2082" spans="1:5" x14ac:dyDescent="0.25">
      <c r="A2082" s="1">
        <v>43069</v>
      </c>
      <c r="B2082" s="2" t="s">
        <v>114</v>
      </c>
      <c r="C2082" s="2" t="s">
        <v>173</v>
      </c>
      <c r="D2082">
        <v>33</v>
      </c>
      <c r="E2082">
        <f>MONTH(makulatura3[[#This Row],[Data_dostarczenia]])</f>
        <v>11</v>
      </c>
    </row>
    <row r="2083" spans="1:5" x14ac:dyDescent="0.25">
      <c r="A2083" s="1">
        <v>43069</v>
      </c>
      <c r="B2083" s="2" t="s">
        <v>155</v>
      </c>
      <c r="C2083" s="2" t="s">
        <v>384</v>
      </c>
      <c r="D2083">
        <v>45</v>
      </c>
      <c r="E2083">
        <f>MONTH(makulatura3[[#This Row],[Data_dostarczenia]])</f>
        <v>11</v>
      </c>
    </row>
    <row r="2084" spans="1:5" x14ac:dyDescent="0.25">
      <c r="A2084" s="1">
        <v>43069</v>
      </c>
      <c r="B2084" s="2" t="s">
        <v>95</v>
      </c>
      <c r="C2084" s="2" t="s">
        <v>426</v>
      </c>
      <c r="D2084">
        <v>20</v>
      </c>
      <c r="E2084">
        <f>MONTH(makulatura3[[#This Row],[Data_dostarczenia]])</f>
        <v>11</v>
      </c>
    </row>
    <row r="2085" spans="1:5" x14ac:dyDescent="0.25">
      <c r="A2085" s="1">
        <v>43069</v>
      </c>
      <c r="B2085" s="2" t="s">
        <v>147</v>
      </c>
      <c r="C2085" s="2" t="s">
        <v>148</v>
      </c>
      <c r="D2085">
        <v>39</v>
      </c>
      <c r="E2085">
        <f>MONTH(makulatura3[[#This Row],[Data_dostarczenia]])</f>
        <v>11</v>
      </c>
    </row>
    <row r="2086" spans="1:5" x14ac:dyDescent="0.25">
      <c r="A2086" s="1">
        <v>43069</v>
      </c>
      <c r="B2086" s="2" t="s">
        <v>27</v>
      </c>
      <c r="C2086" s="2" t="s">
        <v>28</v>
      </c>
      <c r="D2086">
        <v>8</v>
      </c>
      <c r="E2086">
        <f>MONTH(makulatura3[[#This Row],[Data_dostarczenia]])</f>
        <v>11</v>
      </c>
    </row>
    <row r="2087" spans="1:5" x14ac:dyDescent="0.25">
      <c r="A2087" s="1">
        <v>43069</v>
      </c>
      <c r="B2087" s="2" t="s">
        <v>57</v>
      </c>
      <c r="C2087" s="2" t="s">
        <v>58</v>
      </c>
      <c r="D2087">
        <v>10</v>
      </c>
      <c r="E2087">
        <f>MONTH(makulatura3[[#This Row],[Data_dostarczenia]])</f>
        <v>11</v>
      </c>
    </row>
    <row r="2088" spans="1:5" x14ac:dyDescent="0.25">
      <c r="A2088" s="1">
        <v>43069</v>
      </c>
      <c r="B2088" s="2" t="s">
        <v>69</v>
      </c>
      <c r="C2088" s="2" t="s">
        <v>286</v>
      </c>
      <c r="D2088">
        <v>5</v>
      </c>
      <c r="E2088">
        <f>MONTH(makulatura3[[#This Row],[Data_dostarczenia]])</f>
        <v>11</v>
      </c>
    </row>
    <row r="2089" spans="1:5" x14ac:dyDescent="0.25">
      <c r="A2089" s="1">
        <v>43069</v>
      </c>
      <c r="B2089" s="2" t="s">
        <v>219</v>
      </c>
      <c r="C2089" s="2" t="s">
        <v>254</v>
      </c>
      <c r="D2089">
        <v>32</v>
      </c>
      <c r="E2089">
        <f>MONTH(makulatura3[[#This Row],[Data_dostarczenia]])</f>
        <v>11</v>
      </c>
    </row>
    <row r="2090" spans="1:5" x14ac:dyDescent="0.25">
      <c r="A2090" s="1">
        <v>43070</v>
      </c>
      <c r="B2090" s="2" t="s">
        <v>232</v>
      </c>
      <c r="C2090" s="2" t="s">
        <v>233</v>
      </c>
      <c r="D2090">
        <v>23</v>
      </c>
      <c r="E2090">
        <f>MONTH(makulatura3[[#This Row],[Data_dostarczenia]])</f>
        <v>12</v>
      </c>
    </row>
    <row r="2091" spans="1:5" x14ac:dyDescent="0.25">
      <c r="A2091" s="1">
        <v>43070</v>
      </c>
      <c r="B2091" s="2" t="s">
        <v>193</v>
      </c>
      <c r="C2091" s="2" t="s">
        <v>483</v>
      </c>
      <c r="D2091">
        <v>11</v>
      </c>
      <c r="E2091">
        <f>MONTH(makulatura3[[#This Row],[Data_dostarczenia]])</f>
        <v>12</v>
      </c>
    </row>
    <row r="2092" spans="1:5" x14ac:dyDescent="0.25">
      <c r="A2092" s="1">
        <v>43070</v>
      </c>
      <c r="B2092" s="2" t="s">
        <v>59</v>
      </c>
      <c r="C2092" s="2" t="s">
        <v>60</v>
      </c>
      <c r="D2092">
        <v>17</v>
      </c>
      <c r="E2092">
        <f>MONTH(makulatura3[[#This Row],[Data_dostarczenia]])</f>
        <v>12</v>
      </c>
    </row>
    <row r="2093" spans="1:5" x14ac:dyDescent="0.25">
      <c r="A2093" s="1">
        <v>43070</v>
      </c>
      <c r="B2093" s="2" t="s">
        <v>49</v>
      </c>
      <c r="C2093" s="2" t="s">
        <v>50</v>
      </c>
      <c r="D2093">
        <v>22</v>
      </c>
      <c r="E2093">
        <f>MONTH(makulatura3[[#This Row],[Data_dostarczenia]])</f>
        <v>12</v>
      </c>
    </row>
    <row r="2094" spans="1:5" x14ac:dyDescent="0.25">
      <c r="A2094" s="1">
        <v>43070</v>
      </c>
      <c r="B2094" s="2" t="s">
        <v>49</v>
      </c>
      <c r="C2094" s="2" t="s">
        <v>50</v>
      </c>
      <c r="D2094">
        <v>26</v>
      </c>
      <c r="E2094">
        <f>MONTH(makulatura3[[#This Row],[Data_dostarczenia]])</f>
        <v>12</v>
      </c>
    </row>
    <row r="2095" spans="1:5" x14ac:dyDescent="0.25">
      <c r="A2095" s="1">
        <v>43070</v>
      </c>
      <c r="B2095" s="2" t="s">
        <v>55</v>
      </c>
      <c r="C2095" s="2" t="s">
        <v>265</v>
      </c>
      <c r="D2095">
        <v>48</v>
      </c>
      <c r="E2095">
        <f>MONTH(makulatura3[[#This Row],[Data_dostarczenia]])</f>
        <v>12</v>
      </c>
    </row>
    <row r="2096" spans="1:5" x14ac:dyDescent="0.25">
      <c r="A2096" s="1">
        <v>43070</v>
      </c>
      <c r="B2096" s="2" t="s">
        <v>12</v>
      </c>
      <c r="C2096" s="2" t="s">
        <v>13</v>
      </c>
      <c r="D2096">
        <v>5</v>
      </c>
      <c r="E2096">
        <f>MONTH(makulatura3[[#This Row],[Data_dostarczenia]])</f>
        <v>12</v>
      </c>
    </row>
    <row r="2097" spans="1:5" x14ac:dyDescent="0.25">
      <c r="A2097" s="1">
        <v>43070</v>
      </c>
      <c r="B2097" s="2" t="s">
        <v>49</v>
      </c>
      <c r="C2097" s="2" t="s">
        <v>50</v>
      </c>
      <c r="D2097">
        <v>31</v>
      </c>
      <c r="E2097">
        <f>MONTH(makulatura3[[#This Row],[Data_dostarczenia]])</f>
        <v>12</v>
      </c>
    </row>
    <row r="2098" spans="1:5" x14ac:dyDescent="0.25">
      <c r="A2098" s="1">
        <v>43070</v>
      </c>
      <c r="B2098" s="2" t="s">
        <v>141</v>
      </c>
      <c r="C2098" s="2" t="s">
        <v>550</v>
      </c>
      <c r="D2098">
        <v>5</v>
      </c>
      <c r="E2098">
        <f>MONTH(makulatura3[[#This Row],[Data_dostarczenia]])</f>
        <v>12</v>
      </c>
    </row>
    <row r="2099" spans="1:5" x14ac:dyDescent="0.25">
      <c r="A2099" s="1">
        <v>43073</v>
      </c>
      <c r="B2099" s="2" t="s">
        <v>34</v>
      </c>
      <c r="C2099" s="2" t="s">
        <v>338</v>
      </c>
      <c r="D2099">
        <v>18</v>
      </c>
      <c r="E2099">
        <f>MONTH(makulatura3[[#This Row],[Data_dostarczenia]])</f>
        <v>12</v>
      </c>
    </row>
    <row r="2100" spans="1:5" x14ac:dyDescent="0.25">
      <c r="A2100" s="1">
        <v>43073</v>
      </c>
      <c r="B2100" s="2" t="s">
        <v>36</v>
      </c>
      <c r="C2100" s="2" t="s">
        <v>166</v>
      </c>
      <c r="D2100">
        <v>13</v>
      </c>
      <c r="E2100">
        <f>MONTH(makulatura3[[#This Row],[Data_dostarczenia]])</f>
        <v>12</v>
      </c>
    </row>
    <row r="2101" spans="1:5" x14ac:dyDescent="0.25">
      <c r="A2101" s="1">
        <v>43073</v>
      </c>
      <c r="B2101" s="2" t="s">
        <v>327</v>
      </c>
      <c r="C2101" s="2" t="s">
        <v>102</v>
      </c>
      <c r="D2101">
        <v>55</v>
      </c>
      <c r="E2101">
        <f>MONTH(makulatura3[[#This Row],[Data_dostarczenia]])</f>
        <v>12</v>
      </c>
    </row>
    <row r="2102" spans="1:5" x14ac:dyDescent="0.25">
      <c r="A2102" s="1">
        <v>43073</v>
      </c>
      <c r="B2102" s="2" t="s">
        <v>30</v>
      </c>
      <c r="C2102" s="2" t="s">
        <v>463</v>
      </c>
      <c r="D2102">
        <v>12</v>
      </c>
      <c r="E2102">
        <f>MONTH(makulatura3[[#This Row],[Data_dostarczenia]])</f>
        <v>12</v>
      </c>
    </row>
    <row r="2103" spans="1:5" x14ac:dyDescent="0.25">
      <c r="A2103" s="1">
        <v>43073</v>
      </c>
      <c r="B2103" s="2" t="s">
        <v>10</v>
      </c>
      <c r="C2103" s="2" t="s">
        <v>700</v>
      </c>
      <c r="D2103">
        <v>15</v>
      </c>
      <c r="E2103">
        <f>MONTH(makulatura3[[#This Row],[Data_dostarczenia]])</f>
        <v>12</v>
      </c>
    </row>
    <row r="2104" spans="1:5" x14ac:dyDescent="0.25">
      <c r="A2104" s="1">
        <v>43073</v>
      </c>
      <c r="B2104" s="2" t="s">
        <v>49</v>
      </c>
      <c r="C2104" s="2" t="s">
        <v>50</v>
      </c>
      <c r="D2104">
        <v>10</v>
      </c>
      <c r="E2104">
        <f>MONTH(makulatura3[[#This Row],[Data_dostarczenia]])</f>
        <v>12</v>
      </c>
    </row>
    <row r="2105" spans="1:5" x14ac:dyDescent="0.25">
      <c r="A2105" s="1">
        <v>43073</v>
      </c>
      <c r="B2105" s="2" t="s">
        <v>603</v>
      </c>
      <c r="C2105" s="2" t="s">
        <v>439</v>
      </c>
      <c r="D2105">
        <v>6</v>
      </c>
      <c r="E2105">
        <f>MONTH(makulatura3[[#This Row],[Data_dostarczenia]])</f>
        <v>12</v>
      </c>
    </row>
    <row r="2106" spans="1:5" x14ac:dyDescent="0.25">
      <c r="A2106" s="1">
        <v>43073</v>
      </c>
      <c r="B2106" s="2" t="s">
        <v>307</v>
      </c>
      <c r="C2106" s="2" t="s">
        <v>308</v>
      </c>
      <c r="D2106">
        <v>9</v>
      </c>
      <c r="E2106">
        <f>MONTH(makulatura3[[#This Row],[Data_dostarczenia]])</f>
        <v>12</v>
      </c>
    </row>
    <row r="2107" spans="1:5" x14ac:dyDescent="0.25">
      <c r="A2107" s="1">
        <v>43073</v>
      </c>
      <c r="B2107" s="2" t="s">
        <v>14</v>
      </c>
      <c r="C2107" s="2" t="s">
        <v>430</v>
      </c>
      <c r="D2107">
        <v>48</v>
      </c>
      <c r="E2107">
        <f>MONTH(makulatura3[[#This Row],[Data_dostarczenia]])</f>
        <v>12</v>
      </c>
    </row>
    <row r="2108" spans="1:5" x14ac:dyDescent="0.25">
      <c r="A2108" s="1">
        <v>43074</v>
      </c>
      <c r="B2108" s="2" t="s">
        <v>416</v>
      </c>
      <c r="C2108" s="2" t="s">
        <v>417</v>
      </c>
      <c r="D2108">
        <v>21</v>
      </c>
      <c r="E2108">
        <f>MONTH(makulatura3[[#This Row],[Data_dostarczenia]])</f>
        <v>12</v>
      </c>
    </row>
    <row r="2109" spans="1:5" x14ac:dyDescent="0.25">
      <c r="A2109" s="1">
        <v>43074</v>
      </c>
      <c r="B2109" s="2" t="s">
        <v>139</v>
      </c>
      <c r="C2109" s="2" t="s">
        <v>654</v>
      </c>
      <c r="D2109">
        <v>2</v>
      </c>
      <c r="E2109">
        <f>MONTH(makulatura3[[#This Row],[Data_dostarczenia]])</f>
        <v>12</v>
      </c>
    </row>
    <row r="2110" spans="1:5" x14ac:dyDescent="0.25">
      <c r="A2110" s="1">
        <v>43074</v>
      </c>
      <c r="B2110" s="2" t="s">
        <v>55</v>
      </c>
      <c r="C2110" s="2" t="s">
        <v>184</v>
      </c>
      <c r="D2110">
        <v>45</v>
      </c>
      <c r="E2110">
        <f>MONTH(makulatura3[[#This Row],[Data_dostarczenia]])</f>
        <v>12</v>
      </c>
    </row>
    <row r="2111" spans="1:5" x14ac:dyDescent="0.25">
      <c r="A2111" s="1">
        <v>43074</v>
      </c>
      <c r="B2111" s="2" t="s">
        <v>63</v>
      </c>
      <c r="C2111" s="2" t="s">
        <v>441</v>
      </c>
      <c r="D2111">
        <v>34</v>
      </c>
      <c r="E2111">
        <f>MONTH(makulatura3[[#This Row],[Data_dostarczenia]])</f>
        <v>12</v>
      </c>
    </row>
    <row r="2112" spans="1:5" x14ac:dyDescent="0.25">
      <c r="A2112" s="1">
        <v>43074</v>
      </c>
      <c r="B2112" s="2" t="s">
        <v>36</v>
      </c>
      <c r="C2112" s="2" t="s">
        <v>180</v>
      </c>
      <c r="D2112">
        <v>22</v>
      </c>
      <c r="E2112">
        <f>MONTH(makulatura3[[#This Row],[Data_dostarczenia]])</f>
        <v>12</v>
      </c>
    </row>
    <row r="2113" spans="1:5" x14ac:dyDescent="0.25">
      <c r="A2113" s="1">
        <v>43074</v>
      </c>
      <c r="B2113" s="2" t="s">
        <v>8</v>
      </c>
      <c r="C2113" s="2" t="s">
        <v>491</v>
      </c>
      <c r="D2113">
        <v>6</v>
      </c>
      <c r="E2113">
        <f>MONTH(makulatura3[[#This Row],[Data_dostarczenia]])</f>
        <v>12</v>
      </c>
    </row>
    <row r="2114" spans="1:5" x14ac:dyDescent="0.25">
      <c r="A2114" s="1">
        <v>43074</v>
      </c>
      <c r="B2114" s="2" t="s">
        <v>143</v>
      </c>
      <c r="C2114" s="2" t="s">
        <v>510</v>
      </c>
      <c r="D2114">
        <v>19</v>
      </c>
      <c r="E2114">
        <f>MONTH(makulatura3[[#This Row],[Data_dostarczenia]])</f>
        <v>12</v>
      </c>
    </row>
    <row r="2115" spans="1:5" x14ac:dyDescent="0.25">
      <c r="A2115" s="1">
        <v>43074</v>
      </c>
      <c r="B2115" s="2" t="s">
        <v>14</v>
      </c>
      <c r="C2115" s="2" t="s">
        <v>15</v>
      </c>
      <c r="D2115">
        <v>22</v>
      </c>
      <c r="E2115">
        <f>MONTH(makulatura3[[#This Row],[Data_dostarczenia]])</f>
        <v>12</v>
      </c>
    </row>
    <row r="2116" spans="1:5" x14ac:dyDescent="0.25">
      <c r="A2116" s="1">
        <v>43074</v>
      </c>
      <c r="B2116" s="2" t="s">
        <v>4</v>
      </c>
      <c r="C2116" s="2" t="s">
        <v>386</v>
      </c>
      <c r="D2116">
        <v>10</v>
      </c>
      <c r="E2116">
        <f>MONTH(makulatura3[[#This Row],[Data_dostarczenia]])</f>
        <v>12</v>
      </c>
    </row>
    <row r="2117" spans="1:5" x14ac:dyDescent="0.25">
      <c r="A2117" s="1">
        <v>43075</v>
      </c>
      <c r="B2117" s="2" t="s">
        <v>271</v>
      </c>
      <c r="C2117" s="2" t="s">
        <v>548</v>
      </c>
      <c r="D2117">
        <v>20</v>
      </c>
      <c r="E2117">
        <f>MONTH(makulatura3[[#This Row],[Data_dostarczenia]])</f>
        <v>12</v>
      </c>
    </row>
    <row r="2118" spans="1:5" x14ac:dyDescent="0.25">
      <c r="A2118" s="1">
        <v>43075</v>
      </c>
      <c r="B2118" s="2" t="s">
        <v>314</v>
      </c>
      <c r="C2118" s="2" t="s">
        <v>84</v>
      </c>
      <c r="D2118">
        <v>40</v>
      </c>
      <c r="E2118">
        <f>MONTH(makulatura3[[#This Row],[Data_dostarczenia]])</f>
        <v>12</v>
      </c>
    </row>
    <row r="2119" spans="1:5" x14ac:dyDescent="0.25">
      <c r="A2119" s="1">
        <v>43075</v>
      </c>
      <c r="B2119" s="2" t="s">
        <v>137</v>
      </c>
      <c r="C2119" s="2" t="s">
        <v>685</v>
      </c>
      <c r="D2119">
        <v>14</v>
      </c>
      <c r="E2119">
        <f>MONTH(makulatura3[[#This Row],[Data_dostarczenia]])</f>
        <v>12</v>
      </c>
    </row>
    <row r="2120" spans="1:5" x14ac:dyDescent="0.25">
      <c r="A2120" s="1">
        <v>43075</v>
      </c>
      <c r="B2120" s="2" t="s">
        <v>232</v>
      </c>
      <c r="C2120" s="2" t="s">
        <v>405</v>
      </c>
      <c r="D2120">
        <v>5</v>
      </c>
      <c r="E2120">
        <f>MONTH(makulatura3[[#This Row],[Data_dostarczenia]])</f>
        <v>12</v>
      </c>
    </row>
    <row r="2121" spans="1:5" x14ac:dyDescent="0.25">
      <c r="A2121" s="1">
        <v>43075</v>
      </c>
      <c r="B2121" s="2" t="s">
        <v>178</v>
      </c>
      <c r="C2121" s="2" t="s">
        <v>333</v>
      </c>
      <c r="D2121">
        <v>3</v>
      </c>
      <c r="E2121">
        <f>MONTH(makulatura3[[#This Row],[Data_dostarczenia]])</f>
        <v>12</v>
      </c>
    </row>
    <row r="2122" spans="1:5" x14ac:dyDescent="0.25">
      <c r="A2122" s="1">
        <v>43075</v>
      </c>
      <c r="B2122" s="2" t="s">
        <v>361</v>
      </c>
      <c r="C2122" s="2" t="s">
        <v>424</v>
      </c>
      <c r="D2122">
        <v>14</v>
      </c>
      <c r="E2122">
        <f>MONTH(makulatura3[[#This Row],[Data_dostarczenia]])</f>
        <v>12</v>
      </c>
    </row>
    <row r="2123" spans="1:5" x14ac:dyDescent="0.25">
      <c r="A2123" s="1">
        <v>43075</v>
      </c>
      <c r="B2123" s="2" t="s">
        <v>30</v>
      </c>
      <c r="C2123" s="2" t="s">
        <v>463</v>
      </c>
      <c r="D2123">
        <v>7</v>
      </c>
      <c r="E2123">
        <f>MONTH(makulatura3[[#This Row],[Data_dostarczenia]])</f>
        <v>12</v>
      </c>
    </row>
    <row r="2124" spans="1:5" x14ac:dyDescent="0.25">
      <c r="A2124" s="1">
        <v>43075</v>
      </c>
      <c r="B2124" s="2" t="s">
        <v>83</v>
      </c>
      <c r="C2124" s="2" t="s">
        <v>561</v>
      </c>
      <c r="D2124">
        <v>24</v>
      </c>
      <c r="E2124">
        <f>MONTH(makulatura3[[#This Row],[Data_dostarczenia]])</f>
        <v>12</v>
      </c>
    </row>
    <row r="2125" spans="1:5" x14ac:dyDescent="0.25">
      <c r="A2125" s="1">
        <v>43075</v>
      </c>
      <c r="B2125" s="2" t="s">
        <v>10</v>
      </c>
      <c r="C2125" s="2" t="s">
        <v>266</v>
      </c>
      <c r="D2125">
        <v>39</v>
      </c>
      <c r="E2125">
        <f>MONTH(makulatura3[[#This Row],[Data_dostarczenia]])</f>
        <v>12</v>
      </c>
    </row>
    <row r="2126" spans="1:5" x14ac:dyDescent="0.25">
      <c r="A2126" s="1">
        <v>43075</v>
      </c>
      <c r="B2126" s="2" t="s">
        <v>20</v>
      </c>
      <c r="C2126" s="2" t="s">
        <v>123</v>
      </c>
      <c r="D2126">
        <v>9</v>
      </c>
      <c r="E2126">
        <f>MONTH(makulatura3[[#This Row],[Data_dostarczenia]])</f>
        <v>12</v>
      </c>
    </row>
    <row r="2127" spans="1:5" x14ac:dyDescent="0.25">
      <c r="A2127" s="1">
        <v>43076</v>
      </c>
      <c r="B2127" s="2" t="s">
        <v>63</v>
      </c>
      <c r="C2127" s="2" t="s">
        <v>64</v>
      </c>
      <c r="D2127">
        <v>17</v>
      </c>
      <c r="E2127">
        <f>MONTH(makulatura3[[#This Row],[Data_dostarczenia]])</f>
        <v>12</v>
      </c>
    </row>
    <row r="2128" spans="1:5" x14ac:dyDescent="0.25">
      <c r="A2128" s="1">
        <v>43076</v>
      </c>
      <c r="B2128" s="2" t="s">
        <v>352</v>
      </c>
      <c r="C2128" s="2" t="s">
        <v>363</v>
      </c>
      <c r="D2128">
        <v>22</v>
      </c>
      <c r="E2128">
        <f>MONTH(makulatura3[[#This Row],[Data_dostarczenia]])</f>
        <v>12</v>
      </c>
    </row>
    <row r="2129" spans="1:5" x14ac:dyDescent="0.25">
      <c r="A2129" s="1">
        <v>43076</v>
      </c>
      <c r="B2129" s="2" t="s">
        <v>374</v>
      </c>
      <c r="C2129" s="2" t="s">
        <v>581</v>
      </c>
      <c r="D2129">
        <v>12</v>
      </c>
      <c r="E2129">
        <f>MONTH(makulatura3[[#This Row],[Data_dostarczenia]])</f>
        <v>12</v>
      </c>
    </row>
    <row r="2130" spans="1:5" x14ac:dyDescent="0.25">
      <c r="A2130" s="1">
        <v>43076</v>
      </c>
      <c r="B2130" s="2" t="s">
        <v>331</v>
      </c>
      <c r="C2130" s="2" t="s">
        <v>26</v>
      </c>
      <c r="D2130">
        <v>7</v>
      </c>
      <c r="E2130">
        <f>MONTH(makulatura3[[#This Row],[Data_dostarczenia]])</f>
        <v>12</v>
      </c>
    </row>
    <row r="2131" spans="1:5" x14ac:dyDescent="0.25">
      <c r="A2131" s="1">
        <v>43076</v>
      </c>
      <c r="B2131" s="2" t="s">
        <v>39</v>
      </c>
      <c r="C2131" s="2" t="s">
        <v>289</v>
      </c>
      <c r="D2131">
        <v>15</v>
      </c>
      <c r="E2131">
        <f>MONTH(makulatura3[[#This Row],[Data_dostarczenia]])</f>
        <v>12</v>
      </c>
    </row>
    <row r="2132" spans="1:5" x14ac:dyDescent="0.25">
      <c r="A2132" s="1">
        <v>43076</v>
      </c>
      <c r="B2132" s="2" t="s">
        <v>147</v>
      </c>
      <c r="C2132" s="2" t="s">
        <v>644</v>
      </c>
      <c r="D2132">
        <v>24</v>
      </c>
      <c r="E2132">
        <f>MONTH(makulatura3[[#This Row],[Data_dostarczenia]])</f>
        <v>12</v>
      </c>
    </row>
    <row r="2133" spans="1:5" x14ac:dyDescent="0.25">
      <c r="A2133" s="1">
        <v>43076</v>
      </c>
      <c r="B2133" s="2" t="s">
        <v>133</v>
      </c>
      <c r="C2133" s="2" t="s">
        <v>499</v>
      </c>
      <c r="D2133">
        <v>49</v>
      </c>
      <c r="E2133">
        <f>MONTH(makulatura3[[#This Row],[Data_dostarczenia]])</f>
        <v>12</v>
      </c>
    </row>
    <row r="2134" spans="1:5" x14ac:dyDescent="0.25">
      <c r="A2134" s="1">
        <v>43076</v>
      </c>
      <c r="B2134" s="2" t="s">
        <v>92</v>
      </c>
      <c r="C2134" s="2" t="s">
        <v>638</v>
      </c>
      <c r="D2134">
        <v>12</v>
      </c>
      <c r="E2134">
        <f>MONTH(makulatura3[[#This Row],[Data_dostarczenia]])</f>
        <v>12</v>
      </c>
    </row>
    <row r="2135" spans="1:5" x14ac:dyDescent="0.25">
      <c r="A2135" s="1">
        <v>43076</v>
      </c>
      <c r="B2135" s="2" t="s">
        <v>280</v>
      </c>
      <c r="C2135" s="2" t="s">
        <v>281</v>
      </c>
      <c r="D2135">
        <v>24</v>
      </c>
      <c r="E2135">
        <f>MONTH(makulatura3[[#This Row],[Data_dostarczenia]])</f>
        <v>12</v>
      </c>
    </row>
    <row r="2136" spans="1:5" x14ac:dyDescent="0.25">
      <c r="A2136" s="1">
        <v>43076</v>
      </c>
      <c r="B2136" s="2" t="s">
        <v>55</v>
      </c>
      <c r="C2136" s="2" t="s">
        <v>265</v>
      </c>
      <c r="D2136">
        <v>9</v>
      </c>
      <c r="E2136">
        <f>MONTH(makulatura3[[#This Row],[Data_dostarczenia]])</f>
        <v>12</v>
      </c>
    </row>
    <row r="2137" spans="1:5" x14ac:dyDescent="0.25">
      <c r="A2137" s="1">
        <v>43077</v>
      </c>
      <c r="B2137" s="2" t="s">
        <v>30</v>
      </c>
      <c r="C2137" s="2" t="s">
        <v>31</v>
      </c>
      <c r="D2137">
        <v>6</v>
      </c>
      <c r="E2137">
        <f>MONTH(makulatura3[[#This Row],[Data_dostarczenia]])</f>
        <v>12</v>
      </c>
    </row>
    <row r="2138" spans="1:5" x14ac:dyDescent="0.25">
      <c r="A2138" s="1">
        <v>43077</v>
      </c>
      <c r="B2138" s="2" t="s">
        <v>420</v>
      </c>
      <c r="C2138" s="2" t="s">
        <v>634</v>
      </c>
      <c r="D2138">
        <v>5</v>
      </c>
      <c r="E2138">
        <f>MONTH(makulatura3[[#This Row],[Data_dostarczenia]])</f>
        <v>12</v>
      </c>
    </row>
    <row r="2139" spans="1:5" x14ac:dyDescent="0.25">
      <c r="A2139" s="1">
        <v>43077</v>
      </c>
      <c r="B2139" s="2" t="s">
        <v>12</v>
      </c>
      <c r="C2139" s="2" t="s">
        <v>38</v>
      </c>
      <c r="D2139">
        <v>9</v>
      </c>
      <c r="E2139">
        <f>MONTH(makulatura3[[#This Row],[Data_dostarczenia]])</f>
        <v>12</v>
      </c>
    </row>
    <row r="2140" spans="1:5" x14ac:dyDescent="0.25">
      <c r="A2140" s="1">
        <v>43077</v>
      </c>
      <c r="B2140" s="2" t="s">
        <v>393</v>
      </c>
      <c r="C2140" s="2" t="s">
        <v>86</v>
      </c>
      <c r="D2140">
        <v>15</v>
      </c>
      <c r="E2140">
        <f>MONTH(makulatura3[[#This Row],[Data_dostarczenia]])</f>
        <v>12</v>
      </c>
    </row>
    <row r="2141" spans="1:5" x14ac:dyDescent="0.25">
      <c r="A2141" s="1">
        <v>43077</v>
      </c>
      <c r="B2141" s="2" t="s">
        <v>593</v>
      </c>
      <c r="C2141" s="2" t="s">
        <v>594</v>
      </c>
      <c r="D2141">
        <v>21</v>
      </c>
      <c r="E2141">
        <f>MONTH(makulatura3[[#This Row],[Data_dostarczenia]])</f>
        <v>12</v>
      </c>
    </row>
    <row r="2142" spans="1:5" x14ac:dyDescent="0.25">
      <c r="A2142" s="1">
        <v>43077</v>
      </c>
      <c r="B2142" s="2" t="s">
        <v>39</v>
      </c>
      <c r="C2142" s="2" t="s">
        <v>609</v>
      </c>
      <c r="D2142">
        <v>2</v>
      </c>
      <c r="E2142">
        <f>MONTH(makulatura3[[#This Row],[Data_dostarczenia]])</f>
        <v>12</v>
      </c>
    </row>
    <row r="2143" spans="1:5" x14ac:dyDescent="0.25">
      <c r="A2143" s="1">
        <v>43077</v>
      </c>
      <c r="B2143" s="2" t="s">
        <v>39</v>
      </c>
      <c r="C2143" s="2" t="s">
        <v>586</v>
      </c>
      <c r="D2143">
        <v>48</v>
      </c>
      <c r="E2143">
        <f>MONTH(makulatura3[[#This Row],[Data_dostarczenia]])</f>
        <v>12</v>
      </c>
    </row>
    <row r="2144" spans="1:5" x14ac:dyDescent="0.25">
      <c r="A2144" s="1">
        <v>43077</v>
      </c>
      <c r="B2144" s="2" t="s">
        <v>150</v>
      </c>
      <c r="C2144" s="2" t="s">
        <v>462</v>
      </c>
      <c r="D2144">
        <v>3</v>
      </c>
      <c r="E2144">
        <f>MONTH(makulatura3[[#This Row],[Data_dostarczenia]])</f>
        <v>12</v>
      </c>
    </row>
    <row r="2145" spans="1:5" x14ac:dyDescent="0.25">
      <c r="A2145" s="1">
        <v>43077</v>
      </c>
      <c r="B2145" s="2" t="s">
        <v>329</v>
      </c>
      <c r="C2145" s="2" t="s">
        <v>330</v>
      </c>
      <c r="D2145">
        <v>52</v>
      </c>
      <c r="E2145">
        <f>MONTH(makulatura3[[#This Row],[Data_dostarczenia]])</f>
        <v>12</v>
      </c>
    </row>
    <row r="2146" spans="1:5" x14ac:dyDescent="0.25">
      <c r="A2146" s="1">
        <v>43077</v>
      </c>
      <c r="B2146" s="2" t="s">
        <v>307</v>
      </c>
      <c r="C2146" s="2" t="s">
        <v>308</v>
      </c>
      <c r="D2146">
        <v>7</v>
      </c>
      <c r="E2146">
        <f>MONTH(makulatura3[[#This Row],[Data_dostarczenia]])</f>
        <v>12</v>
      </c>
    </row>
    <row r="2147" spans="1:5" x14ac:dyDescent="0.25">
      <c r="A2147" s="1">
        <v>43080</v>
      </c>
      <c r="B2147" s="2" t="s">
        <v>232</v>
      </c>
      <c r="C2147" s="2" t="s">
        <v>573</v>
      </c>
      <c r="D2147">
        <v>12</v>
      </c>
      <c r="E2147">
        <f>MONTH(makulatura3[[#This Row],[Data_dostarczenia]])</f>
        <v>12</v>
      </c>
    </row>
    <row r="2148" spans="1:5" x14ac:dyDescent="0.25">
      <c r="A2148" s="1">
        <v>43080</v>
      </c>
      <c r="B2148" s="2" t="s">
        <v>152</v>
      </c>
      <c r="C2148" s="2" t="s">
        <v>319</v>
      </c>
      <c r="D2148">
        <v>5</v>
      </c>
      <c r="E2148">
        <f>MONTH(makulatura3[[#This Row],[Data_dostarczenia]])</f>
        <v>12</v>
      </c>
    </row>
    <row r="2149" spans="1:5" x14ac:dyDescent="0.25">
      <c r="A2149" s="1">
        <v>43080</v>
      </c>
      <c r="B2149" s="2" t="s">
        <v>280</v>
      </c>
      <c r="C2149" s="2" t="s">
        <v>281</v>
      </c>
      <c r="D2149">
        <v>7</v>
      </c>
      <c r="E2149">
        <f>MONTH(makulatura3[[#This Row],[Data_dostarczenia]])</f>
        <v>12</v>
      </c>
    </row>
    <row r="2150" spans="1:5" x14ac:dyDescent="0.25">
      <c r="A2150" s="1">
        <v>43080</v>
      </c>
      <c r="B2150" s="2" t="s">
        <v>128</v>
      </c>
      <c r="C2150" s="2" t="s">
        <v>639</v>
      </c>
      <c r="D2150">
        <v>22</v>
      </c>
      <c r="E2150">
        <f>MONTH(makulatura3[[#This Row],[Data_dostarczenia]])</f>
        <v>12</v>
      </c>
    </row>
    <row r="2151" spans="1:5" x14ac:dyDescent="0.25">
      <c r="A2151" s="1">
        <v>43080</v>
      </c>
      <c r="B2151" s="2" t="s">
        <v>280</v>
      </c>
      <c r="C2151" s="2" t="s">
        <v>451</v>
      </c>
      <c r="D2151">
        <v>5</v>
      </c>
      <c r="E2151">
        <f>MONTH(makulatura3[[#This Row],[Data_dostarczenia]])</f>
        <v>12</v>
      </c>
    </row>
    <row r="2152" spans="1:5" x14ac:dyDescent="0.25">
      <c r="A2152" s="1">
        <v>43080</v>
      </c>
      <c r="B2152" s="2" t="s">
        <v>77</v>
      </c>
      <c r="C2152" s="2" t="s">
        <v>85</v>
      </c>
      <c r="D2152">
        <v>9</v>
      </c>
      <c r="E2152">
        <f>MONTH(makulatura3[[#This Row],[Data_dostarczenia]])</f>
        <v>12</v>
      </c>
    </row>
    <row r="2153" spans="1:5" x14ac:dyDescent="0.25">
      <c r="A2153" s="1">
        <v>43080</v>
      </c>
      <c r="B2153" s="2" t="s">
        <v>176</v>
      </c>
      <c r="C2153" s="2" t="s">
        <v>486</v>
      </c>
      <c r="D2153">
        <v>4</v>
      </c>
      <c r="E2153">
        <f>MONTH(makulatura3[[#This Row],[Data_dostarczenia]])</f>
        <v>12</v>
      </c>
    </row>
    <row r="2154" spans="1:5" x14ac:dyDescent="0.25">
      <c r="A2154" s="1">
        <v>43080</v>
      </c>
      <c r="B2154" s="2" t="s">
        <v>635</v>
      </c>
      <c r="C2154" s="2" t="s">
        <v>636</v>
      </c>
      <c r="D2154">
        <v>31</v>
      </c>
      <c r="E2154">
        <f>MONTH(makulatura3[[#This Row],[Data_dostarczenia]])</f>
        <v>12</v>
      </c>
    </row>
    <row r="2155" spans="1:5" x14ac:dyDescent="0.25">
      <c r="A2155" s="1">
        <v>43080</v>
      </c>
      <c r="B2155" s="2" t="s">
        <v>232</v>
      </c>
      <c r="C2155" s="2" t="s">
        <v>451</v>
      </c>
      <c r="D2155">
        <v>16</v>
      </c>
      <c r="E2155">
        <f>MONTH(makulatura3[[#This Row],[Data_dostarczenia]])</f>
        <v>12</v>
      </c>
    </row>
    <row r="2156" spans="1:5" x14ac:dyDescent="0.25">
      <c r="A2156" s="1">
        <v>43080</v>
      </c>
      <c r="B2156" s="2" t="s">
        <v>47</v>
      </c>
      <c r="C2156" s="2" t="s">
        <v>465</v>
      </c>
      <c r="D2156">
        <v>21</v>
      </c>
      <c r="E2156">
        <f>MONTH(makulatura3[[#This Row],[Data_dostarczenia]])</f>
        <v>12</v>
      </c>
    </row>
    <row r="2157" spans="1:5" x14ac:dyDescent="0.25">
      <c r="A2157" s="1">
        <v>43081</v>
      </c>
      <c r="B2157" s="2" t="s">
        <v>206</v>
      </c>
      <c r="C2157" s="2" t="s">
        <v>192</v>
      </c>
      <c r="D2157">
        <v>22</v>
      </c>
      <c r="E2157">
        <f>MONTH(makulatura3[[#This Row],[Data_dostarczenia]])</f>
        <v>12</v>
      </c>
    </row>
    <row r="2158" spans="1:5" x14ac:dyDescent="0.25">
      <c r="A2158" s="1">
        <v>43081</v>
      </c>
      <c r="B2158" s="2" t="s">
        <v>152</v>
      </c>
      <c r="C2158" s="2" t="s">
        <v>153</v>
      </c>
      <c r="D2158">
        <v>20</v>
      </c>
      <c r="E2158">
        <f>MONTH(makulatura3[[#This Row],[Data_dostarczenia]])</f>
        <v>12</v>
      </c>
    </row>
    <row r="2159" spans="1:5" x14ac:dyDescent="0.25">
      <c r="A2159" s="1">
        <v>43081</v>
      </c>
      <c r="B2159" s="2" t="s">
        <v>193</v>
      </c>
      <c r="C2159" s="2" t="s">
        <v>228</v>
      </c>
      <c r="D2159">
        <v>24</v>
      </c>
      <c r="E2159">
        <f>MONTH(makulatura3[[#This Row],[Data_dostarczenia]])</f>
        <v>12</v>
      </c>
    </row>
    <row r="2160" spans="1:5" x14ac:dyDescent="0.25">
      <c r="A2160" s="1">
        <v>43081</v>
      </c>
      <c r="B2160" s="2" t="s">
        <v>352</v>
      </c>
      <c r="C2160" s="2" t="s">
        <v>227</v>
      </c>
      <c r="D2160">
        <v>17</v>
      </c>
      <c r="E2160">
        <f>MONTH(makulatura3[[#This Row],[Data_dostarczenia]])</f>
        <v>12</v>
      </c>
    </row>
    <row r="2161" spans="1:5" x14ac:dyDescent="0.25">
      <c r="A2161" s="1">
        <v>43081</v>
      </c>
      <c r="B2161" s="2" t="s">
        <v>92</v>
      </c>
      <c r="C2161" s="2" t="s">
        <v>638</v>
      </c>
      <c r="D2161">
        <v>25</v>
      </c>
      <c r="E2161">
        <f>MONTH(makulatura3[[#This Row],[Data_dostarczenia]])</f>
        <v>12</v>
      </c>
    </row>
    <row r="2162" spans="1:5" x14ac:dyDescent="0.25">
      <c r="A2162" s="1">
        <v>43081</v>
      </c>
      <c r="B2162" s="2" t="s">
        <v>49</v>
      </c>
      <c r="C2162" s="2" t="s">
        <v>50</v>
      </c>
      <c r="D2162">
        <v>22</v>
      </c>
      <c r="E2162">
        <f>MONTH(makulatura3[[#This Row],[Data_dostarczenia]])</f>
        <v>12</v>
      </c>
    </row>
    <row r="2163" spans="1:5" x14ac:dyDescent="0.25">
      <c r="A2163" s="1">
        <v>43081</v>
      </c>
      <c r="B2163" s="2" t="s">
        <v>83</v>
      </c>
      <c r="C2163" s="2" t="s">
        <v>698</v>
      </c>
      <c r="D2163">
        <v>50</v>
      </c>
      <c r="E2163">
        <f>MONTH(makulatura3[[#This Row],[Data_dostarczenia]])</f>
        <v>12</v>
      </c>
    </row>
    <row r="2164" spans="1:5" x14ac:dyDescent="0.25">
      <c r="A2164" s="1">
        <v>43081</v>
      </c>
      <c r="B2164" s="2" t="s">
        <v>4</v>
      </c>
      <c r="C2164" s="2" t="s">
        <v>386</v>
      </c>
      <c r="D2164">
        <v>6</v>
      </c>
      <c r="E2164">
        <f>MONTH(makulatura3[[#This Row],[Data_dostarczenia]])</f>
        <v>12</v>
      </c>
    </row>
    <row r="2165" spans="1:5" x14ac:dyDescent="0.25">
      <c r="A2165" s="1">
        <v>43081</v>
      </c>
      <c r="B2165" s="2" t="s">
        <v>8</v>
      </c>
      <c r="C2165" s="2" t="s">
        <v>322</v>
      </c>
      <c r="D2165">
        <v>27</v>
      </c>
      <c r="E2165">
        <f>MONTH(makulatura3[[#This Row],[Data_dostarczenia]])</f>
        <v>12</v>
      </c>
    </row>
    <row r="2166" spans="1:5" x14ac:dyDescent="0.25">
      <c r="A2166" s="1">
        <v>43081</v>
      </c>
      <c r="B2166" s="2" t="s">
        <v>361</v>
      </c>
      <c r="C2166" s="2" t="s">
        <v>424</v>
      </c>
      <c r="D2166">
        <v>29</v>
      </c>
      <c r="E2166">
        <f>MONTH(makulatura3[[#This Row],[Data_dostarczenia]])</f>
        <v>12</v>
      </c>
    </row>
    <row r="2167" spans="1:5" x14ac:dyDescent="0.25">
      <c r="A2167" s="1">
        <v>43082</v>
      </c>
      <c r="B2167" s="2" t="s">
        <v>352</v>
      </c>
      <c r="C2167" s="2" t="s">
        <v>227</v>
      </c>
      <c r="D2167">
        <v>12</v>
      </c>
      <c r="E2167">
        <f>MONTH(makulatura3[[#This Row],[Data_dostarczenia]])</f>
        <v>12</v>
      </c>
    </row>
    <row r="2168" spans="1:5" x14ac:dyDescent="0.25">
      <c r="A2168" s="1">
        <v>43082</v>
      </c>
      <c r="B2168" s="2" t="s">
        <v>121</v>
      </c>
      <c r="C2168" s="2" t="s">
        <v>600</v>
      </c>
      <c r="D2168">
        <v>28</v>
      </c>
      <c r="E2168">
        <f>MONTH(makulatura3[[#This Row],[Data_dostarczenia]])</f>
        <v>12</v>
      </c>
    </row>
    <row r="2169" spans="1:5" x14ac:dyDescent="0.25">
      <c r="A2169" s="1">
        <v>43082</v>
      </c>
      <c r="B2169" s="2" t="s">
        <v>508</v>
      </c>
      <c r="C2169" s="2" t="s">
        <v>509</v>
      </c>
      <c r="D2169">
        <v>21</v>
      </c>
      <c r="E2169">
        <f>MONTH(makulatura3[[#This Row],[Data_dostarczenia]])</f>
        <v>12</v>
      </c>
    </row>
    <row r="2170" spans="1:5" x14ac:dyDescent="0.25">
      <c r="A2170" s="1">
        <v>43082</v>
      </c>
      <c r="B2170" s="2" t="s">
        <v>30</v>
      </c>
      <c r="C2170" s="2" t="s">
        <v>109</v>
      </c>
      <c r="D2170">
        <v>19</v>
      </c>
      <c r="E2170">
        <f>MONTH(makulatura3[[#This Row],[Data_dostarczenia]])</f>
        <v>12</v>
      </c>
    </row>
    <row r="2171" spans="1:5" x14ac:dyDescent="0.25">
      <c r="A2171" s="1">
        <v>43082</v>
      </c>
      <c r="B2171" s="2" t="s">
        <v>128</v>
      </c>
      <c r="C2171" s="2" t="s">
        <v>250</v>
      </c>
      <c r="D2171">
        <v>29</v>
      </c>
      <c r="E2171">
        <f>MONTH(makulatura3[[#This Row],[Data_dostarczenia]])</f>
        <v>12</v>
      </c>
    </row>
    <row r="2172" spans="1:5" x14ac:dyDescent="0.25">
      <c r="A2172" s="1">
        <v>43082</v>
      </c>
      <c r="B2172" s="2" t="s">
        <v>144</v>
      </c>
      <c r="C2172" s="2" t="s">
        <v>390</v>
      </c>
      <c r="D2172">
        <v>9</v>
      </c>
      <c r="E2172">
        <f>MONTH(makulatura3[[#This Row],[Data_dostarczenia]])</f>
        <v>12</v>
      </c>
    </row>
    <row r="2173" spans="1:5" x14ac:dyDescent="0.25">
      <c r="A2173" s="1">
        <v>43082</v>
      </c>
      <c r="B2173" s="2" t="s">
        <v>635</v>
      </c>
      <c r="C2173" s="2" t="s">
        <v>636</v>
      </c>
      <c r="D2173">
        <v>24</v>
      </c>
      <c r="E2173">
        <f>MONTH(makulatura3[[#This Row],[Data_dostarczenia]])</f>
        <v>12</v>
      </c>
    </row>
    <row r="2174" spans="1:5" x14ac:dyDescent="0.25">
      <c r="A2174" s="1">
        <v>43082</v>
      </c>
      <c r="B2174" s="2" t="s">
        <v>193</v>
      </c>
      <c r="C2174" s="2" t="s">
        <v>595</v>
      </c>
      <c r="D2174">
        <v>24</v>
      </c>
      <c r="E2174">
        <f>MONTH(makulatura3[[#This Row],[Data_dostarczenia]])</f>
        <v>12</v>
      </c>
    </row>
    <row r="2175" spans="1:5" x14ac:dyDescent="0.25">
      <c r="A2175" s="1">
        <v>43082</v>
      </c>
      <c r="B2175" s="2" t="s">
        <v>128</v>
      </c>
      <c r="C2175" s="2" t="s">
        <v>559</v>
      </c>
      <c r="D2175">
        <v>8</v>
      </c>
      <c r="E2175">
        <f>MONTH(makulatura3[[#This Row],[Data_dostarczenia]])</f>
        <v>12</v>
      </c>
    </row>
    <row r="2176" spans="1:5" x14ac:dyDescent="0.25">
      <c r="A2176" s="1">
        <v>43082</v>
      </c>
      <c r="B2176" s="2" t="s">
        <v>618</v>
      </c>
      <c r="C2176" s="2" t="s">
        <v>619</v>
      </c>
      <c r="D2176">
        <v>5</v>
      </c>
      <c r="E2176">
        <f>MONTH(makulatura3[[#This Row],[Data_dostarczenia]])</f>
        <v>12</v>
      </c>
    </row>
    <row r="2177" spans="1:5" x14ac:dyDescent="0.25">
      <c r="A2177" s="1">
        <v>43083</v>
      </c>
      <c r="B2177" s="2" t="s">
        <v>47</v>
      </c>
      <c r="C2177" s="2" t="s">
        <v>465</v>
      </c>
      <c r="D2177">
        <v>32</v>
      </c>
      <c r="E2177">
        <f>MONTH(makulatura3[[#This Row],[Data_dostarczenia]])</f>
        <v>12</v>
      </c>
    </row>
    <row r="2178" spans="1:5" x14ac:dyDescent="0.25">
      <c r="A2178" s="1">
        <v>43083</v>
      </c>
      <c r="B2178" s="2" t="s">
        <v>178</v>
      </c>
      <c r="C2178" s="2" t="s">
        <v>333</v>
      </c>
      <c r="D2178">
        <v>34</v>
      </c>
      <c r="E2178">
        <f>MONTH(makulatura3[[#This Row],[Data_dostarczenia]])</f>
        <v>12</v>
      </c>
    </row>
    <row r="2179" spans="1:5" x14ac:dyDescent="0.25">
      <c r="A2179" s="1">
        <v>43083</v>
      </c>
      <c r="B2179" s="2" t="s">
        <v>69</v>
      </c>
      <c r="C2179" s="2" t="s">
        <v>535</v>
      </c>
      <c r="D2179">
        <v>9</v>
      </c>
      <c r="E2179">
        <f>MONTH(makulatura3[[#This Row],[Data_dostarczenia]])</f>
        <v>12</v>
      </c>
    </row>
    <row r="2180" spans="1:5" x14ac:dyDescent="0.25">
      <c r="A2180" s="1">
        <v>43083</v>
      </c>
      <c r="B2180" s="2" t="s">
        <v>57</v>
      </c>
      <c r="C2180" s="2" t="s">
        <v>531</v>
      </c>
      <c r="D2180">
        <v>49</v>
      </c>
      <c r="E2180">
        <f>MONTH(makulatura3[[#This Row],[Data_dostarczenia]])</f>
        <v>12</v>
      </c>
    </row>
    <row r="2181" spans="1:5" x14ac:dyDescent="0.25">
      <c r="A2181" s="1">
        <v>43083</v>
      </c>
      <c r="B2181" s="2" t="s">
        <v>280</v>
      </c>
      <c r="C2181" s="2" t="s">
        <v>281</v>
      </c>
      <c r="D2181">
        <v>18</v>
      </c>
      <c r="E2181">
        <f>MONTH(makulatura3[[#This Row],[Data_dostarczenia]])</f>
        <v>12</v>
      </c>
    </row>
    <row r="2182" spans="1:5" x14ac:dyDescent="0.25">
      <c r="A2182" s="1">
        <v>43083</v>
      </c>
      <c r="B2182" s="2" t="s">
        <v>57</v>
      </c>
      <c r="C2182" s="2" t="s">
        <v>531</v>
      </c>
      <c r="D2182">
        <v>56</v>
      </c>
      <c r="E2182">
        <f>MONTH(makulatura3[[#This Row],[Data_dostarczenia]])</f>
        <v>12</v>
      </c>
    </row>
    <row r="2183" spans="1:5" x14ac:dyDescent="0.25">
      <c r="A2183" s="1">
        <v>43083</v>
      </c>
      <c r="B2183" s="2" t="s">
        <v>248</v>
      </c>
      <c r="C2183" s="2" t="s">
        <v>249</v>
      </c>
      <c r="D2183">
        <v>46</v>
      </c>
      <c r="E2183">
        <f>MONTH(makulatura3[[#This Row],[Data_dostarczenia]])</f>
        <v>12</v>
      </c>
    </row>
    <row r="2184" spans="1:5" x14ac:dyDescent="0.25">
      <c r="A2184" s="1">
        <v>43083</v>
      </c>
      <c r="B2184" s="2" t="s">
        <v>640</v>
      </c>
      <c r="C2184" s="2" t="s">
        <v>655</v>
      </c>
      <c r="D2184">
        <v>11</v>
      </c>
      <c r="E2184">
        <f>MONTH(makulatura3[[#This Row],[Data_dostarczenia]])</f>
        <v>12</v>
      </c>
    </row>
    <row r="2185" spans="1:5" x14ac:dyDescent="0.25">
      <c r="A2185" s="1">
        <v>43083</v>
      </c>
      <c r="B2185" s="2" t="s">
        <v>282</v>
      </c>
      <c r="C2185" s="2" t="s">
        <v>283</v>
      </c>
      <c r="D2185">
        <v>24</v>
      </c>
      <c r="E2185">
        <f>MONTH(makulatura3[[#This Row],[Data_dostarczenia]])</f>
        <v>12</v>
      </c>
    </row>
    <row r="2186" spans="1:5" x14ac:dyDescent="0.25">
      <c r="A2186" s="1">
        <v>43083</v>
      </c>
      <c r="B2186" s="2" t="s">
        <v>83</v>
      </c>
      <c r="C2186" s="2" t="s">
        <v>646</v>
      </c>
      <c r="D2186">
        <v>28</v>
      </c>
      <c r="E2186">
        <f>MONTH(makulatura3[[#This Row],[Data_dostarczenia]])</f>
        <v>12</v>
      </c>
    </row>
    <row r="2187" spans="1:5" x14ac:dyDescent="0.25">
      <c r="A2187" s="1">
        <v>43084</v>
      </c>
      <c r="B2187" s="2" t="s">
        <v>252</v>
      </c>
      <c r="C2187" s="2" t="s">
        <v>253</v>
      </c>
      <c r="D2187">
        <v>29</v>
      </c>
      <c r="E2187">
        <f>MONTH(makulatura3[[#This Row],[Data_dostarczenia]])</f>
        <v>12</v>
      </c>
    </row>
    <row r="2188" spans="1:5" x14ac:dyDescent="0.25">
      <c r="A2188" s="1">
        <v>43084</v>
      </c>
      <c r="B2188" s="2" t="s">
        <v>523</v>
      </c>
      <c r="C2188" s="2" t="s">
        <v>524</v>
      </c>
      <c r="D2188">
        <v>4</v>
      </c>
      <c r="E2188">
        <f>MONTH(makulatura3[[#This Row],[Data_dostarczenia]])</f>
        <v>12</v>
      </c>
    </row>
    <row r="2189" spans="1:5" x14ac:dyDescent="0.25">
      <c r="A2189" s="1">
        <v>43084</v>
      </c>
      <c r="B2189" s="2" t="s">
        <v>67</v>
      </c>
      <c r="C2189" s="2" t="s">
        <v>301</v>
      </c>
      <c r="D2189">
        <v>3</v>
      </c>
      <c r="E2189">
        <f>MONTH(makulatura3[[#This Row],[Data_dostarczenia]])</f>
        <v>12</v>
      </c>
    </row>
    <row r="2190" spans="1:5" x14ac:dyDescent="0.25">
      <c r="A2190" s="1">
        <v>43084</v>
      </c>
      <c r="B2190" s="2" t="s">
        <v>635</v>
      </c>
      <c r="C2190" s="2" t="s">
        <v>636</v>
      </c>
      <c r="D2190">
        <v>30</v>
      </c>
      <c r="E2190">
        <f>MONTH(makulatura3[[#This Row],[Data_dostarczenia]])</f>
        <v>12</v>
      </c>
    </row>
    <row r="2191" spans="1:5" x14ac:dyDescent="0.25">
      <c r="A2191" s="1">
        <v>43084</v>
      </c>
      <c r="B2191" s="2" t="s">
        <v>195</v>
      </c>
      <c r="C2191" s="2" t="s">
        <v>401</v>
      </c>
      <c r="D2191">
        <v>4</v>
      </c>
      <c r="E2191">
        <f>MONTH(makulatura3[[#This Row],[Data_dostarczenia]])</f>
        <v>12</v>
      </c>
    </row>
    <row r="2192" spans="1:5" x14ac:dyDescent="0.25">
      <c r="A2192" s="1">
        <v>43084</v>
      </c>
      <c r="B2192" s="2" t="s">
        <v>81</v>
      </c>
      <c r="C2192" s="2" t="s">
        <v>584</v>
      </c>
      <c r="D2192">
        <v>21</v>
      </c>
      <c r="E2192">
        <f>MONTH(makulatura3[[#This Row],[Data_dostarczenia]])</f>
        <v>12</v>
      </c>
    </row>
    <row r="2193" spans="1:5" x14ac:dyDescent="0.25">
      <c r="A2193" s="1">
        <v>43084</v>
      </c>
      <c r="B2193" s="2" t="s">
        <v>106</v>
      </c>
      <c r="C2193" s="2" t="s">
        <v>240</v>
      </c>
      <c r="D2193">
        <v>15</v>
      </c>
      <c r="E2193">
        <f>MONTH(makulatura3[[#This Row],[Data_dostarczenia]])</f>
        <v>12</v>
      </c>
    </row>
    <row r="2194" spans="1:5" x14ac:dyDescent="0.25">
      <c r="A2194" s="1">
        <v>43084</v>
      </c>
      <c r="B2194" s="2" t="s">
        <v>55</v>
      </c>
      <c r="C2194" s="2" t="s">
        <v>56</v>
      </c>
      <c r="D2194">
        <v>13</v>
      </c>
      <c r="E2194">
        <f>MONTH(makulatura3[[#This Row],[Data_dostarczenia]])</f>
        <v>12</v>
      </c>
    </row>
    <row r="2195" spans="1:5" x14ac:dyDescent="0.25">
      <c r="A2195" s="1">
        <v>43084</v>
      </c>
      <c r="B2195" s="2" t="s">
        <v>25</v>
      </c>
      <c r="C2195" s="2" t="s">
        <v>146</v>
      </c>
      <c r="D2195">
        <v>13</v>
      </c>
      <c r="E2195">
        <f>MONTH(makulatura3[[#This Row],[Data_dostarczenia]])</f>
        <v>12</v>
      </c>
    </row>
    <row r="2196" spans="1:5" x14ac:dyDescent="0.25">
      <c r="A2196" s="1">
        <v>43084</v>
      </c>
      <c r="B2196" s="2" t="s">
        <v>521</v>
      </c>
      <c r="C2196" s="2" t="s">
        <v>440</v>
      </c>
      <c r="D2196">
        <v>43</v>
      </c>
      <c r="E2196">
        <f>MONTH(makulatura3[[#This Row],[Data_dostarczenia]])</f>
        <v>12</v>
      </c>
    </row>
    <row r="2197" spans="1:5" x14ac:dyDescent="0.25">
      <c r="A2197" s="1">
        <v>43087</v>
      </c>
      <c r="B2197" s="2" t="s">
        <v>47</v>
      </c>
      <c r="C2197" s="2" t="s">
        <v>192</v>
      </c>
      <c r="D2197">
        <v>31</v>
      </c>
      <c r="E2197">
        <f>MONTH(makulatura3[[#This Row],[Data_dostarczenia]])</f>
        <v>12</v>
      </c>
    </row>
    <row r="2198" spans="1:5" x14ac:dyDescent="0.25">
      <c r="A2198" s="1">
        <v>43087</v>
      </c>
      <c r="B2198" s="2" t="s">
        <v>343</v>
      </c>
      <c r="C2198" s="2" t="s">
        <v>675</v>
      </c>
      <c r="D2198">
        <v>34</v>
      </c>
      <c r="E2198">
        <f>MONTH(makulatura3[[#This Row],[Data_dostarczenia]])</f>
        <v>12</v>
      </c>
    </row>
    <row r="2199" spans="1:5" x14ac:dyDescent="0.25">
      <c r="A2199" s="1">
        <v>43087</v>
      </c>
      <c r="B2199" s="2" t="s">
        <v>143</v>
      </c>
      <c r="C2199" s="2" t="s">
        <v>585</v>
      </c>
      <c r="D2199">
        <v>12</v>
      </c>
      <c r="E2199">
        <f>MONTH(makulatura3[[#This Row],[Data_dostarczenia]])</f>
        <v>12</v>
      </c>
    </row>
    <row r="2200" spans="1:5" x14ac:dyDescent="0.25">
      <c r="A2200" s="1">
        <v>43087</v>
      </c>
      <c r="B2200" s="2" t="s">
        <v>161</v>
      </c>
      <c r="C2200" s="2" t="s">
        <v>305</v>
      </c>
      <c r="D2200">
        <v>10</v>
      </c>
      <c r="E2200">
        <f>MONTH(makulatura3[[#This Row],[Data_dostarczenia]])</f>
        <v>12</v>
      </c>
    </row>
    <row r="2201" spans="1:5" x14ac:dyDescent="0.25">
      <c r="A2201" s="1">
        <v>43087</v>
      </c>
      <c r="B2201" s="2" t="s">
        <v>72</v>
      </c>
      <c r="C2201" s="2" t="s">
        <v>73</v>
      </c>
      <c r="D2201">
        <v>5</v>
      </c>
      <c r="E2201">
        <f>MONTH(makulatura3[[#This Row],[Data_dostarczenia]])</f>
        <v>12</v>
      </c>
    </row>
    <row r="2202" spans="1:5" x14ac:dyDescent="0.25">
      <c r="A2202" s="1">
        <v>43087</v>
      </c>
      <c r="B2202" s="2" t="s">
        <v>57</v>
      </c>
      <c r="C2202" s="2" t="s">
        <v>58</v>
      </c>
      <c r="D2202">
        <v>4</v>
      </c>
      <c r="E2202">
        <f>MONTH(makulatura3[[#This Row],[Data_dostarczenia]])</f>
        <v>12</v>
      </c>
    </row>
    <row r="2203" spans="1:5" x14ac:dyDescent="0.25">
      <c r="A2203" s="1">
        <v>43087</v>
      </c>
      <c r="B2203" s="2" t="s">
        <v>41</v>
      </c>
      <c r="C2203" s="2" t="s">
        <v>690</v>
      </c>
      <c r="D2203">
        <v>44</v>
      </c>
      <c r="E2203">
        <f>MONTH(makulatura3[[#This Row],[Data_dostarczenia]])</f>
        <v>12</v>
      </c>
    </row>
    <row r="2204" spans="1:5" x14ac:dyDescent="0.25">
      <c r="A2204" s="1">
        <v>43087</v>
      </c>
      <c r="B2204" s="2" t="s">
        <v>393</v>
      </c>
      <c r="C2204" s="2" t="s">
        <v>227</v>
      </c>
      <c r="D2204">
        <v>32</v>
      </c>
      <c r="E2204">
        <f>MONTH(makulatura3[[#This Row],[Data_dostarczenia]])</f>
        <v>12</v>
      </c>
    </row>
    <row r="2205" spans="1:5" x14ac:dyDescent="0.25">
      <c r="A2205" s="1">
        <v>43087</v>
      </c>
      <c r="B2205" s="2" t="s">
        <v>92</v>
      </c>
      <c r="C2205" s="2" t="s">
        <v>93</v>
      </c>
      <c r="D2205">
        <v>11</v>
      </c>
      <c r="E2205">
        <f>MONTH(makulatura3[[#This Row],[Data_dostarczenia]])</f>
        <v>12</v>
      </c>
    </row>
    <row r="2206" spans="1:5" x14ac:dyDescent="0.25">
      <c r="A2206" s="1">
        <v>43087</v>
      </c>
      <c r="B2206" s="2" t="s">
        <v>152</v>
      </c>
      <c r="C2206" s="2" t="s">
        <v>534</v>
      </c>
      <c r="D2206">
        <v>33</v>
      </c>
      <c r="E2206">
        <f>MONTH(makulatura3[[#This Row],[Data_dostarczenia]])</f>
        <v>12</v>
      </c>
    </row>
    <row r="2207" spans="1:5" x14ac:dyDescent="0.25">
      <c r="A2207" s="1">
        <v>43088</v>
      </c>
      <c r="B2207" s="2" t="s">
        <v>39</v>
      </c>
      <c r="C2207" s="2" t="s">
        <v>371</v>
      </c>
      <c r="D2207">
        <v>56</v>
      </c>
      <c r="E2207">
        <f>MONTH(makulatura3[[#This Row],[Data_dostarczenia]])</f>
        <v>12</v>
      </c>
    </row>
    <row r="2208" spans="1:5" x14ac:dyDescent="0.25">
      <c r="A2208" s="1">
        <v>43088</v>
      </c>
      <c r="B2208" s="2" t="s">
        <v>117</v>
      </c>
      <c r="C2208" s="2" t="s">
        <v>118</v>
      </c>
      <c r="D2208">
        <v>3</v>
      </c>
      <c r="E2208">
        <f>MONTH(makulatura3[[#This Row],[Data_dostarczenia]])</f>
        <v>12</v>
      </c>
    </row>
    <row r="2209" spans="1:5" x14ac:dyDescent="0.25">
      <c r="A2209" s="1">
        <v>43088</v>
      </c>
      <c r="B2209" s="2" t="s">
        <v>117</v>
      </c>
      <c r="C2209" s="2" t="s">
        <v>183</v>
      </c>
      <c r="D2209">
        <v>24</v>
      </c>
      <c r="E2209">
        <f>MONTH(makulatura3[[#This Row],[Data_dostarczenia]])</f>
        <v>12</v>
      </c>
    </row>
    <row r="2210" spans="1:5" x14ac:dyDescent="0.25">
      <c r="A2210" s="1">
        <v>43088</v>
      </c>
      <c r="B2210" s="2" t="s">
        <v>635</v>
      </c>
      <c r="C2210" s="2" t="s">
        <v>636</v>
      </c>
      <c r="D2210">
        <v>14</v>
      </c>
      <c r="E2210">
        <f>MONTH(makulatura3[[#This Row],[Data_dostarczenia]])</f>
        <v>12</v>
      </c>
    </row>
    <row r="2211" spans="1:5" x14ac:dyDescent="0.25">
      <c r="A2211" s="1">
        <v>43088</v>
      </c>
      <c r="B2211" s="2" t="s">
        <v>393</v>
      </c>
      <c r="C2211" s="2" t="s">
        <v>686</v>
      </c>
      <c r="D2211">
        <v>42</v>
      </c>
      <c r="E2211">
        <f>MONTH(makulatura3[[#This Row],[Data_dostarczenia]])</f>
        <v>12</v>
      </c>
    </row>
    <row r="2212" spans="1:5" x14ac:dyDescent="0.25">
      <c r="A2212" s="1">
        <v>43088</v>
      </c>
      <c r="B2212" s="2" t="s">
        <v>63</v>
      </c>
      <c r="C2212" s="2" t="s">
        <v>105</v>
      </c>
      <c r="D2212">
        <v>21</v>
      </c>
      <c r="E2212">
        <f>MONTH(makulatura3[[#This Row],[Data_dostarczenia]])</f>
        <v>12</v>
      </c>
    </row>
    <row r="2213" spans="1:5" x14ac:dyDescent="0.25">
      <c r="A2213" s="1">
        <v>43088</v>
      </c>
      <c r="B2213" s="2" t="s">
        <v>232</v>
      </c>
      <c r="C2213" s="2" t="s">
        <v>526</v>
      </c>
      <c r="D2213">
        <v>4</v>
      </c>
      <c r="E2213">
        <f>MONTH(makulatura3[[#This Row],[Data_dostarczenia]])</f>
        <v>12</v>
      </c>
    </row>
    <row r="2214" spans="1:5" x14ac:dyDescent="0.25">
      <c r="A2214" s="1">
        <v>43088</v>
      </c>
      <c r="B2214" s="2" t="s">
        <v>79</v>
      </c>
      <c r="C2214" s="2" t="s">
        <v>80</v>
      </c>
      <c r="D2214">
        <v>41</v>
      </c>
      <c r="E2214">
        <f>MONTH(makulatura3[[#This Row],[Data_dostarczenia]])</f>
        <v>12</v>
      </c>
    </row>
    <row r="2215" spans="1:5" x14ac:dyDescent="0.25">
      <c r="A2215" s="1">
        <v>43088</v>
      </c>
      <c r="B2215" s="2" t="s">
        <v>25</v>
      </c>
      <c r="C2215" s="2" t="s">
        <v>146</v>
      </c>
      <c r="D2215">
        <v>51</v>
      </c>
      <c r="E2215">
        <f>MONTH(makulatura3[[#This Row],[Data_dostarczenia]])</f>
        <v>12</v>
      </c>
    </row>
    <row r="2216" spans="1:5" x14ac:dyDescent="0.25">
      <c r="A2216" s="1">
        <v>43089</v>
      </c>
      <c r="B2216" s="2" t="s">
        <v>34</v>
      </c>
      <c r="C2216" s="2" t="s">
        <v>679</v>
      </c>
      <c r="D2216">
        <v>29</v>
      </c>
      <c r="E2216">
        <f>MONTH(makulatura3[[#This Row],[Data_dostarczenia]])</f>
        <v>12</v>
      </c>
    </row>
    <row r="2217" spans="1:5" x14ac:dyDescent="0.25">
      <c r="A2217" s="1">
        <v>43089</v>
      </c>
      <c r="B2217" s="2" t="s">
        <v>30</v>
      </c>
      <c r="C2217" s="2" t="s">
        <v>680</v>
      </c>
      <c r="D2217">
        <v>29</v>
      </c>
      <c r="E2217">
        <f>MONTH(makulatura3[[#This Row],[Data_dostarczenia]])</f>
        <v>12</v>
      </c>
    </row>
    <row r="2218" spans="1:5" x14ac:dyDescent="0.25">
      <c r="A2218" s="1">
        <v>43089</v>
      </c>
      <c r="B2218" s="2" t="s">
        <v>453</v>
      </c>
      <c r="C2218" s="2" t="s">
        <v>454</v>
      </c>
      <c r="D2218">
        <v>22</v>
      </c>
      <c r="E2218">
        <f>MONTH(makulatura3[[#This Row],[Data_dostarczenia]])</f>
        <v>12</v>
      </c>
    </row>
    <row r="2219" spans="1:5" x14ac:dyDescent="0.25">
      <c r="A2219" s="1">
        <v>43089</v>
      </c>
      <c r="B2219" s="2" t="s">
        <v>10</v>
      </c>
      <c r="C2219" s="2" t="s">
        <v>266</v>
      </c>
      <c r="D2219">
        <v>4</v>
      </c>
      <c r="E2219">
        <f>MONTH(makulatura3[[#This Row],[Data_dostarczenia]])</f>
        <v>12</v>
      </c>
    </row>
    <row r="2220" spans="1:5" x14ac:dyDescent="0.25">
      <c r="A2220" s="1">
        <v>43089</v>
      </c>
      <c r="B2220" s="2" t="s">
        <v>208</v>
      </c>
      <c r="C2220" s="2" t="s">
        <v>697</v>
      </c>
      <c r="D2220">
        <v>34</v>
      </c>
      <c r="E2220">
        <f>MONTH(makulatura3[[#This Row],[Data_dostarczenia]])</f>
        <v>12</v>
      </c>
    </row>
    <row r="2221" spans="1:5" x14ac:dyDescent="0.25">
      <c r="A2221" s="1">
        <v>43089</v>
      </c>
      <c r="B2221" s="2" t="s">
        <v>63</v>
      </c>
      <c r="C2221" s="2" t="s">
        <v>105</v>
      </c>
      <c r="D2221">
        <v>6</v>
      </c>
      <c r="E2221">
        <f>MONTH(makulatura3[[#This Row],[Data_dostarczenia]])</f>
        <v>12</v>
      </c>
    </row>
    <row r="2222" spans="1:5" x14ac:dyDescent="0.25">
      <c r="A2222" s="1">
        <v>43089</v>
      </c>
      <c r="B2222" s="2" t="s">
        <v>395</v>
      </c>
      <c r="C2222" s="2" t="s">
        <v>587</v>
      </c>
      <c r="D2222">
        <v>11</v>
      </c>
      <c r="E2222">
        <f>MONTH(makulatura3[[#This Row],[Data_dostarczenia]])</f>
        <v>12</v>
      </c>
    </row>
    <row r="2223" spans="1:5" x14ac:dyDescent="0.25">
      <c r="A2223" s="1">
        <v>43089</v>
      </c>
      <c r="B2223" s="2" t="s">
        <v>275</v>
      </c>
      <c r="C2223" s="2" t="s">
        <v>276</v>
      </c>
      <c r="D2223">
        <v>9</v>
      </c>
      <c r="E2223">
        <f>MONTH(makulatura3[[#This Row],[Data_dostarczenia]])</f>
        <v>12</v>
      </c>
    </row>
    <row r="2224" spans="1:5" x14ac:dyDescent="0.25">
      <c r="A2224" s="1">
        <v>43089</v>
      </c>
      <c r="B2224" s="2" t="s">
        <v>128</v>
      </c>
      <c r="C2224" s="2" t="s">
        <v>309</v>
      </c>
      <c r="D2224">
        <v>21</v>
      </c>
      <c r="E2224">
        <f>MONTH(makulatura3[[#This Row],[Data_dostarczenia]])</f>
        <v>12</v>
      </c>
    </row>
    <row r="2225" spans="1:5" x14ac:dyDescent="0.25">
      <c r="A2225" s="1">
        <v>43090</v>
      </c>
      <c r="B2225" s="2" t="s">
        <v>574</v>
      </c>
      <c r="C2225" s="2" t="s">
        <v>607</v>
      </c>
      <c r="D2225">
        <v>26</v>
      </c>
      <c r="E2225">
        <f>MONTH(makulatura3[[#This Row],[Data_dostarczenia]])</f>
        <v>12</v>
      </c>
    </row>
    <row r="2226" spans="1:5" x14ac:dyDescent="0.25">
      <c r="A2226" s="1">
        <v>43090</v>
      </c>
      <c r="B2226" s="2" t="s">
        <v>271</v>
      </c>
      <c r="C2226" s="2" t="s">
        <v>272</v>
      </c>
      <c r="D2226">
        <v>4</v>
      </c>
      <c r="E2226">
        <f>MONTH(makulatura3[[#This Row],[Data_dostarczenia]])</f>
        <v>12</v>
      </c>
    </row>
    <row r="2227" spans="1:5" x14ac:dyDescent="0.25">
      <c r="A2227" s="1">
        <v>43090</v>
      </c>
      <c r="B2227" s="2" t="s">
        <v>30</v>
      </c>
      <c r="C2227" s="2" t="s">
        <v>432</v>
      </c>
      <c r="D2227">
        <v>18</v>
      </c>
      <c r="E2227">
        <f>MONTH(makulatura3[[#This Row],[Data_dostarczenia]])</f>
        <v>12</v>
      </c>
    </row>
    <row r="2228" spans="1:5" x14ac:dyDescent="0.25">
      <c r="A2228" s="1">
        <v>43090</v>
      </c>
      <c r="B2228" s="2" t="s">
        <v>150</v>
      </c>
      <c r="C2228" s="2" t="s">
        <v>462</v>
      </c>
      <c r="D2228">
        <v>27</v>
      </c>
      <c r="E2228">
        <f>MONTH(makulatura3[[#This Row],[Data_dostarczenia]])</f>
        <v>12</v>
      </c>
    </row>
    <row r="2229" spans="1:5" x14ac:dyDescent="0.25">
      <c r="A2229" s="1">
        <v>43090</v>
      </c>
      <c r="B2229" s="2" t="s">
        <v>521</v>
      </c>
      <c r="C2229" s="2" t="s">
        <v>440</v>
      </c>
      <c r="D2229">
        <v>15</v>
      </c>
      <c r="E2229">
        <f>MONTH(makulatura3[[#This Row],[Data_dostarczenia]])</f>
        <v>12</v>
      </c>
    </row>
    <row r="2230" spans="1:5" x14ac:dyDescent="0.25">
      <c r="A2230" s="1">
        <v>43090</v>
      </c>
      <c r="B2230" s="2" t="s">
        <v>128</v>
      </c>
      <c r="C2230" s="2" t="s">
        <v>559</v>
      </c>
      <c r="D2230">
        <v>50</v>
      </c>
      <c r="E2230">
        <f>MONTH(makulatura3[[#This Row],[Data_dostarczenia]])</f>
        <v>12</v>
      </c>
    </row>
    <row r="2231" spans="1:5" x14ac:dyDescent="0.25">
      <c r="A2231" s="1">
        <v>43090</v>
      </c>
      <c r="B2231" s="2" t="s">
        <v>150</v>
      </c>
      <c r="C2231" s="2" t="s">
        <v>200</v>
      </c>
      <c r="D2231">
        <v>13</v>
      </c>
      <c r="E2231">
        <f>MONTH(makulatura3[[#This Row],[Data_dostarczenia]])</f>
        <v>12</v>
      </c>
    </row>
    <row r="2232" spans="1:5" x14ac:dyDescent="0.25">
      <c r="A2232" s="1">
        <v>43090</v>
      </c>
      <c r="B2232" s="2" t="s">
        <v>310</v>
      </c>
      <c r="C2232" s="2" t="s">
        <v>505</v>
      </c>
      <c r="D2232">
        <v>27</v>
      </c>
      <c r="E2232">
        <f>MONTH(makulatura3[[#This Row],[Data_dostarczenia]])</f>
        <v>12</v>
      </c>
    </row>
    <row r="2233" spans="1:5" x14ac:dyDescent="0.25">
      <c r="A2233" s="1">
        <v>43090</v>
      </c>
      <c r="B2233" s="2" t="s">
        <v>137</v>
      </c>
      <c r="C2233" s="2" t="s">
        <v>138</v>
      </c>
      <c r="D2233">
        <v>7</v>
      </c>
      <c r="E2233">
        <f>MONTH(makulatura3[[#This Row],[Data_dostarczenia]])</f>
        <v>12</v>
      </c>
    </row>
    <row r="2234" spans="1:5" x14ac:dyDescent="0.25">
      <c r="A2234" s="1">
        <v>43091</v>
      </c>
      <c r="B2234" s="2" t="s">
        <v>10</v>
      </c>
      <c r="C2234" s="2" t="s">
        <v>629</v>
      </c>
      <c r="D2234">
        <v>26</v>
      </c>
      <c r="E2234">
        <f>MONTH(makulatura3[[#This Row],[Data_dostarczenia]])</f>
        <v>12</v>
      </c>
    </row>
    <row r="2235" spans="1:5" x14ac:dyDescent="0.25">
      <c r="A2235" s="1">
        <v>43091</v>
      </c>
      <c r="B2235" s="2" t="s">
        <v>55</v>
      </c>
      <c r="C2235" s="2" t="s">
        <v>125</v>
      </c>
      <c r="D2235">
        <v>16</v>
      </c>
      <c r="E2235">
        <f>MONTH(makulatura3[[#This Row],[Data_dostarczenia]])</f>
        <v>12</v>
      </c>
    </row>
    <row r="2236" spans="1:5" x14ac:dyDescent="0.25">
      <c r="A2236" s="1">
        <v>43091</v>
      </c>
      <c r="B2236" s="2" t="s">
        <v>101</v>
      </c>
      <c r="C2236" s="2" t="s">
        <v>42</v>
      </c>
      <c r="D2236">
        <v>45</v>
      </c>
      <c r="E2236">
        <f>MONTH(makulatura3[[#This Row],[Data_dostarczenia]])</f>
        <v>12</v>
      </c>
    </row>
    <row r="2237" spans="1:5" x14ac:dyDescent="0.25">
      <c r="A2237" s="1">
        <v>43091</v>
      </c>
      <c r="B2237" s="2" t="s">
        <v>346</v>
      </c>
      <c r="C2237" s="2" t="s">
        <v>669</v>
      </c>
      <c r="D2237">
        <v>34</v>
      </c>
      <c r="E2237">
        <f>MONTH(makulatura3[[#This Row],[Data_dostarczenia]])</f>
        <v>12</v>
      </c>
    </row>
    <row r="2238" spans="1:5" x14ac:dyDescent="0.25">
      <c r="A2238" s="1">
        <v>43091</v>
      </c>
      <c r="B2238" s="2" t="s">
        <v>36</v>
      </c>
      <c r="C2238" s="2" t="s">
        <v>474</v>
      </c>
      <c r="D2238">
        <v>10</v>
      </c>
      <c r="E2238">
        <f>MONTH(makulatura3[[#This Row],[Data_dostarczenia]])</f>
        <v>12</v>
      </c>
    </row>
    <row r="2239" spans="1:5" x14ac:dyDescent="0.25">
      <c r="A2239" s="1">
        <v>43091</v>
      </c>
      <c r="B2239" s="2" t="s">
        <v>541</v>
      </c>
      <c r="C2239" s="2" t="s">
        <v>542</v>
      </c>
      <c r="D2239">
        <v>55</v>
      </c>
      <c r="E2239">
        <f>MONTH(makulatura3[[#This Row],[Data_dostarczenia]])</f>
        <v>12</v>
      </c>
    </row>
    <row r="2240" spans="1:5" x14ac:dyDescent="0.25">
      <c r="A2240" s="1">
        <v>43091</v>
      </c>
      <c r="B2240" s="2" t="s">
        <v>18</v>
      </c>
      <c r="C2240" s="2" t="s">
        <v>19</v>
      </c>
      <c r="D2240">
        <v>17</v>
      </c>
      <c r="E2240">
        <f>MONTH(makulatura3[[#This Row],[Data_dostarczenia]])</f>
        <v>12</v>
      </c>
    </row>
    <row r="2241" spans="1:5" x14ac:dyDescent="0.25">
      <c r="A2241" s="1">
        <v>43091</v>
      </c>
      <c r="B2241" s="2" t="s">
        <v>114</v>
      </c>
      <c r="C2241" s="2" t="s">
        <v>173</v>
      </c>
      <c r="D2241">
        <v>13</v>
      </c>
      <c r="E2241">
        <f>MONTH(makulatura3[[#This Row],[Data_dostarczenia]])</f>
        <v>12</v>
      </c>
    </row>
    <row r="2242" spans="1:5" x14ac:dyDescent="0.25">
      <c r="A2242" s="1">
        <v>43091</v>
      </c>
      <c r="B2242" s="2" t="s">
        <v>128</v>
      </c>
      <c r="C2242" s="2" t="s">
        <v>677</v>
      </c>
      <c r="D2242">
        <v>55</v>
      </c>
      <c r="E2242">
        <f>MONTH(makulatura3[[#This Row],[Data_dostarczenia]])</f>
        <v>12</v>
      </c>
    </row>
    <row r="2243" spans="1:5" x14ac:dyDescent="0.25">
      <c r="A2243" s="1">
        <v>43096</v>
      </c>
      <c r="B2243" s="2" t="s">
        <v>83</v>
      </c>
      <c r="C2243" s="2" t="s">
        <v>110</v>
      </c>
      <c r="D2243">
        <v>45</v>
      </c>
      <c r="E2243">
        <f>MONTH(makulatura3[[#This Row],[Data_dostarczenia]])</f>
        <v>12</v>
      </c>
    </row>
    <row r="2244" spans="1:5" x14ac:dyDescent="0.25">
      <c r="A2244" s="1">
        <v>43096</v>
      </c>
      <c r="B2244" s="2" t="s">
        <v>317</v>
      </c>
      <c r="C2244" s="2" t="s">
        <v>318</v>
      </c>
      <c r="D2244">
        <v>8</v>
      </c>
      <c r="E2244">
        <f>MONTH(makulatura3[[#This Row],[Data_dostarczenia]])</f>
        <v>12</v>
      </c>
    </row>
    <row r="2245" spans="1:5" x14ac:dyDescent="0.25">
      <c r="A2245" s="1">
        <v>43096</v>
      </c>
      <c r="B2245" s="2" t="s">
        <v>395</v>
      </c>
      <c r="C2245" s="2" t="s">
        <v>587</v>
      </c>
      <c r="D2245">
        <v>6</v>
      </c>
      <c r="E2245">
        <f>MONTH(makulatura3[[#This Row],[Data_dostarczenia]])</f>
        <v>12</v>
      </c>
    </row>
    <row r="2246" spans="1:5" x14ac:dyDescent="0.25">
      <c r="A2246" s="1">
        <v>43096</v>
      </c>
      <c r="B2246" s="2" t="s">
        <v>176</v>
      </c>
      <c r="C2246" s="2" t="s">
        <v>693</v>
      </c>
      <c r="D2246">
        <v>11</v>
      </c>
      <c r="E2246">
        <f>MONTH(makulatura3[[#This Row],[Data_dostarczenia]])</f>
        <v>12</v>
      </c>
    </row>
    <row r="2247" spans="1:5" x14ac:dyDescent="0.25">
      <c r="A2247" s="1">
        <v>43096</v>
      </c>
      <c r="B2247" s="2" t="s">
        <v>623</v>
      </c>
      <c r="C2247" s="2" t="s">
        <v>624</v>
      </c>
      <c r="D2247">
        <v>29</v>
      </c>
      <c r="E2247">
        <f>MONTH(makulatura3[[#This Row],[Data_dostarczenia]])</f>
        <v>12</v>
      </c>
    </row>
    <row r="2248" spans="1:5" x14ac:dyDescent="0.25">
      <c r="A2248" s="1">
        <v>43096</v>
      </c>
      <c r="B2248" s="2" t="s">
        <v>27</v>
      </c>
      <c r="C2248" s="2" t="s">
        <v>446</v>
      </c>
      <c r="D2248">
        <v>10</v>
      </c>
      <c r="E2248">
        <f>MONTH(makulatura3[[#This Row],[Data_dostarczenia]])</f>
        <v>12</v>
      </c>
    </row>
    <row r="2249" spans="1:5" x14ac:dyDescent="0.25">
      <c r="A2249" s="1">
        <v>43096</v>
      </c>
      <c r="B2249" s="2" t="s">
        <v>83</v>
      </c>
      <c r="C2249" s="2" t="s">
        <v>591</v>
      </c>
      <c r="D2249">
        <v>38</v>
      </c>
      <c r="E2249">
        <f>MONTH(makulatura3[[#This Row],[Data_dostarczenia]])</f>
        <v>12</v>
      </c>
    </row>
    <row r="2250" spans="1:5" x14ac:dyDescent="0.25">
      <c r="A2250" s="1">
        <v>43096</v>
      </c>
      <c r="B2250" s="2" t="s">
        <v>69</v>
      </c>
      <c r="C2250" s="2" t="s">
        <v>461</v>
      </c>
      <c r="D2250">
        <v>8</v>
      </c>
      <c r="E2250">
        <f>MONTH(makulatura3[[#This Row],[Data_dostarczenia]])</f>
        <v>12</v>
      </c>
    </row>
    <row r="2251" spans="1:5" x14ac:dyDescent="0.25">
      <c r="A2251" s="1">
        <v>43096</v>
      </c>
      <c r="B2251" s="2" t="s">
        <v>14</v>
      </c>
      <c r="C2251" s="2" t="s">
        <v>422</v>
      </c>
      <c r="D2251">
        <v>19</v>
      </c>
      <c r="E2251">
        <f>MONTH(makulatura3[[#This Row],[Data_dostarczenia]])</f>
        <v>12</v>
      </c>
    </row>
    <row r="2252" spans="1:5" x14ac:dyDescent="0.25">
      <c r="A2252" s="1">
        <v>43097</v>
      </c>
      <c r="B2252" s="2" t="s">
        <v>27</v>
      </c>
      <c r="C2252" s="2" t="s">
        <v>446</v>
      </c>
      <c r="D2252">
        <v>22</v>
      </c>
      <c r="E2252">
        <f>MONTH(makulatura3[[#This Row],[Data_dostarczenia]])</f>
        <v>12</v>
      </c>
    </row>
    <row r="2253" spans="1:5" x14ac:dyDescent="0.25">
      <c r="A2253" s="1">
        <v>43097</v>
      </c>
      <c r="B2253" s="2" t="s">
        <v>174</v>
      </c>
      <c r="C2253" s="2" t="s">
        <v>424</v>
      </c>
      <c r="D2253">
        <v>12</v>
      </c>
      <c r="E2253">
        <f>MONTH(makulatura3[[#This Row],[Data_dostarczenia]])</f>
        <v>12</v>
      </c>
    </row>
    <row r="2254" spans="1:5" x14ac:dyDescent="0.25">
      <c r="A2254" s="1">
        <v>43097</v>
      </c>
      <c r="B2254" s="2" t="s">
        <v>278</v>
      </c>
      <c r="C2254" s="2" t="s">
        <v>202</v>
      </c>
      <c r="D2254">
        <v>7</v>
      </c>
      <c r="E2254">
        <f>MONTH(makulatura3[[#This Row],[Data_dostarczenia]])</f>
        <v>12</v>
      </c>
    </row>
    <row r="2255" spans="1:5" x14ac:dyDescent="0.25">
      <c r="A2255" s="1">
        <v>43097</v>
      </c>
      <c r="B2255" s="2" t="s">
        <v>39</v>
      </c>
      <c r="C2255" s="2" t="s">
        <v>391</v>
      </c>
      <c r="D2255">
        <v>17</v>
      </c>
      <c r="E2255">
        <f>MONTH(makulatura3[[#This Row],[Data_dostarczenia]])</f>
        <v>12</v>
      </c>
    </row>
    <row r="2256" spans="1:5" x14ac:dyDescent="0.25">
      <c r="A2256" s="1">
        <v>43097</v>
      </c>
      <c r="B2256" s="2" t="s">
        <v>150</v>
      </c>
      <c r="C2256" s="2" t="s">
        <v>462</v>
      </c>
      <c r="D2256">
        <v>29</v>
      </c>
      <c r="E2256">
        <f>MONTH(makulatura3[[#This Row],[Data_dostarczenia]])</f>
        <v>12</v>
      </c>
    </row>
    <row r="2257" spans="1:5" x14ac:dyDescent="0.25">
      <c r="A2257" s="1">
        <v>43097</v>
      </c>
      <c r="B2257" s="2" t="s">
        <v>219</v>
      </c>
      <c r="C2257" s="2" t="s">
        <v>543</v>
      </c>
      <c r="D2257">
        <v>9</v>
      </c>
      <c r="E2257">
        <f>MONTH(makulatura3[[#This Row],[Data_dostarczenia]])</f>
        <v>12</v>
      </c>
    </row>
    <row r="2258" spans="1:5" x14ac:dyDescent="0.25">
      <c r="A2258" s="1">
        <v>43097</v>
      </c>
      <c r="B2258" s="2" t="s">
        <v>427</v>
      </c>
      <c r="C2258" s="2" t="s">
        <v>428</v>
      </c>
      <c r="D2258">
        <v>21</v>
      </c>
      <c r="E2258">
        <f>MONTH(makulatura3[[#This Row],[Data_dostarczenia]])</f>
        <v>12</v>
      </c>
    </row>
    <row r="2259" spans="1:5" x14ac:dyDescent="0.25">
      <c r="A2259" s="1">
        <v>43097</v>
      </c>
      <c r="B2259" s="2" t="s">
        <v>106</v>
      </c>
      <c r="C2259" s="2" t="s">
        <v>602</v>
      </c>
      <c r="D2259">
        <v>10</v>
      </c>
      <c r="E2259">
        <f>MONTH(makulatura3[[#This Row],[Data_dostarczenia]])</f>
        <v>12</v>
      </c>
    </row>
    <row r="2260" spans="1:5" x14ac:dyDescent="0.25">
      <c r="A2260" s="1">
        <v>43097</v>
      </c>
      <c r="B2260" s="2" t="s">
        <v>219</v>
      </c>
      <c r="C2260" s="2" t="s">
        <v>220</v>
      </c>
      <c r="D2260">
        <v>30</v>
      </c>
      <c r="E2260">
        <f>MONTH(makulatura3[[#This Row],[Data_dostarczenia]])</f>
        <v>12</v>
      </c>
    </row>
    <row r="2261" spans="1:5" x14ac:dyDescent="0.25">
      <c r="A2261" s="1">
        <v>43098</v>
      </c>
      <c r="B2261" s="2" t="s">
        <v>95</v>
      </c>
      <c r="C2261" s="2" t="s">
        <v>96</v>
      </c>
      <c r="D2261">
        <v>14</v>
      </c>
      <c r="E2261">
        <f>MONTH(makulatura3[[#This Row],[Data_dostarczenia]])</f>
        <v>12</v>
      </c>
    </row>
    <row r="2262" spans="1:5" x14ac:dyDescent="0.25">
      <c r="A2262" s="1">
        <v>43098</v>
      </c>
      <c r="B2262" s="2" t="s">
        <v>232</v>
      </c>
      <c r="C2262" s="2" t="s">
        <v>451</v>
      </c>
      <c r="D2262">
        <v>15</v>
      </c>
      <c r="E2262">
        <f>MONTH(makulatura3[[#This Row],[Data_dostarczenia]])</f>
        <v>12</v>
      </c>
    </row>
    <row r="2263" spans="1:5" x14ac:dyDescent="0.25">
      <c r="A2263" s="1">
        <v>43098</v>
      </c>
      <c r="B2263" s="2" t="s">
        <v>16</v>
      </c>
      <c r="C2263" s="2" t="s">
        <v>17</v>
      </c>
      <c r="D2263">
        <v>24</v>
      </c>
      <c r="E2263">
        <f>MONTH(makulatura3[[#This Row],[Data_dostarczenia]])</f>
        <v>12</v>
      </c>
    </row>
    <row r="2264" spans="1:5" x14ac:dyDescent="0.25">
      <c r="A2264" s="1">
        <v>43098</v>
      </c>
      <c r="B2264" s="2" t="s">
        <v>193</v>
      </c>
      <c r="C2264" s="2" t="s">
        <v>194</v>
      </c>
      <c r="D2264">
        <v>26</v>
      </c>
      <c r="E2264">
        <f>MONTH(makulatura3[[#This Row],[Data_dostarczenia]])</f>
        <v>12</v>
      </c>
    </row>
    <row r="2265" spans="1:5" x14ac:dyDescent="0.25">
      <c r="A2265" s="1">
        <v>43098</v>
      </c>
      <c r="B2265" s="2" t="s">
        <v>47</v>
      </c>
      <c r="C2265" s="2" t="s">
        <v>336</v>
      </c>
      <c r="D2265">
        <v>22</v>
      </c>
      <c r="E2265">
        <f>MONTH(makulatura3[[#This Row],[Data_dostarczenia]])</f>
        <v>12</v>
      </c>
    </row>
    <row r="2266" spans="1:5" x14ac:dyDescent="0.25">
      <c r="A2266" s="1">
        <v>43098</v>
      </c>
      <c r="B2266" s="2" t="s">
        <v>101</v>
      </c>
      <c r="C2266" s="2" t="s">
        <v>701</v>
      </c>
      <c r="D2266">
        <v>35</v>
      </c>
      <c r="E2266">
        <f>MONTH(makulatura3[[#This Row],[Data_dostarczenia]])</f>
        <v>12</v>
      </c>
    </row>
    <row r="2267" spans="1:5" x14ac:dyDescent="0.25">
      <c r="A2267" s="1">
        <v>43098</v>
      </c>
      <c r="B2267" s="2" t="s">
        <v>143</v>
      </c>
      <c r="C2267" s="2" t="s">
        <v>585</v>
      </c>
      <c r="D2267">
        <v>21</v>
      </c>
      <c r="E2267">
        <f>MONTH(makulatura3[[#This Row],[Data_dostarczenia]])</f>
        <v>12</v>
      </c>
    </row>
    <row r="2268" spans="1:5" x14ac:dyDescent="0.25">
      <c r="A2268" s="1">
        <v>43098</v>
      </c>
      <c r="B2268" s="2" t="s">
        <v>114</v>
      </c>
      <c r="C2268" s="2" t="s">
        <v>115</v>
      </c>
      <c r="D2268">
        <v>16</v>
      </c>
      <c r="E2268">
        <f>MONTH(makulatura3[[#This Row],[Data_dostarczenia]])</f>
        <v>12</v>
      </c>
    </row>
    <row r="2269" spans="1:5" x14ac:dyDescent="0.25">
      <c r="A2269" s="1">
        <v>43098</v>
      </c>
      <c r="B2269" s="2" t="s">
        <v>193</v>
      </c>
      <c r="C2269" s="2" t="s">
        <v>555</v>
      </c>
      <c r="D2269">
        <v>48</v>
      </c>
      <c r="E2269">
        <f>MONTH(makulatura3[[#This Row],[Data_dostarczenia]])</f>
        <v>12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7EF1-C5EC-458D-BCC7-A087E4B66929}">
  <dimension ref="A1:I2269"/>
  <sheetViews>
    <sheetView workbookViewId="0">
      <selection activeCell="H1" sqref="H1:I2"/>
    </sheetView>
  </sheetViews>
  <sheetFormatPr defaultRowHeight="15" x14ac:dyDescent="0.25"/>
  <cols>
    <col min="1" max="1" width="19.7109375" bestFit="1" customWidth="1"/>
    <col min="2" max="2" width="12.140625" bestFit="1" customWidth="1"/>
    <col min="3" max="3" width="14.85546875" bestFit="1" customWidth="1"/>
    <col min="4" max="4" width="20.28515625" bestFit="1" customWidth="1"/>
    <col min="5" max="5" width="25.140625" bestFit="1" customWidth="1"/>
    <col min="6" max="6" width="10.28515625" customWidth="1"/>
    <col min="8" max="8" width="25.140625" bestFit="1" customWidth="1"/>
    <col min="9" max="9" width="22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707</v>
      </c>
      <c r="H1" s="5" t="s">
        <v>1307</v>
      </c>
      <c r="I1" s="5" t="s">
        <v>705</v>
      </c>
    </row>
    <row r="2" spans="1:9" x14ac:dyDescent="0.25">
      <c r="A2" s="1">
        <v>42737</v>
      </c>
      <c r="B2" s="2" t="s">
        <v>4</v>
      </c>
      <c r="C2" s="2" t="s">
        <v>5</v>
      </c>
      <c r="D2">
        <v>2</v>
      </c>
      <c r="E2" t="str">
        <f>_xlfn.CONCAT(makulatura4[[#This Row],[Imie]]," ",makulatura4[[#This Row],[Nazwisko]])</f>
        <v>Agnieszka Polak</v>
      </c>
      <c r="H2" s="6" t="s">
        <v>1002</v>
      </c>
      <c r="I2" s="7">
        <v>201</v>
      </c>
    </row>
    <row r="3" spans="1:9" x14ac:dyDescent="0.25">
      <c r="A3" s="1">
        <v>42737</v>
      </c>
      <c r="B3" s="2" t="s">
        <v>6</v>
      </c>
      <c r="C3" s="2" t="s">
        <v>7</v>
      </c>
      <c r="D3">
        <v>51</v>
      </c>
      <c r="E3" t="str">
        <f>_xlfn.CONCAT(makulatura4[[#This Row],[Imie]]," ",makulatura4[[#This Row],[Nazwisko]])</f>
        <v>Klaudia Myk</v>
      </c>
      <c r="H3" s="4" t="s">
        <v>1245</v>
      </c>
      <c r="I3" s="2">
        <v>187</v>
      </c>
    </row>
    <row r="4" spans="1:9" x14ac:dyDescent="0.25">
      <c r="A4" s="1">
        <v>42737</v>
      </c>
      <c r="B4" s="2" t="s">
        <v>8</v>
      </c>
      <c r="C4" s="2" t="s">
        <v>9</v>
      </c>
      <c r="D4">
        <v>41</v>
      </c>
      <c r="E4" t="str">
        <f>_xlfn.CONCAT(makulatura4[[#This Row],[Imie]]," ",makulatura4[[#This Row],[Nazwisko]])</f>
        <v>Agata Kwiatkowska</v>
      </c>
      <c r="H4" s="4" t="s">
        <v>1003</v>
      </c>
      <c r="I4" s="2">
        <v>187</v>
      </c>
    </row>
    <row r="5" spans="1:9" x14ac:dyDescent="0.25">
      <c r="A5" s="1">
        <v>42737</v>
      </c>
      <c r="B5" s="2" t="s">
        <v>10</v>
      </c>
      <c r="C5" s="2" t="s">
        <v>11</v>
      </c>
      <c r="D5">
        <v>7</v>
      </c>
      <c r="E5" t="str">
        <f>_xlfn.CONCAT(makulatura4[[#This Row],[Imie]]," ",makulatura4[[#This Row],[Nazwisko]])</f>
        <v>Katarzyna Zmokly</v>
      </c>
      <c r="H5" s="4" t="s">
        <v>819</v>
      </c>
      <c r="I5" s="2">
        <v>187</v>
      </c>
    </row>
    <row r="6" spans="1:9" x14ac:dyDescent="0.25">
      <c r="A6" s="1">
        <v>42737</v>
      </c>
      <c r="B6" s="2" t="s">
        <v>12</v>
      </c>
      <c r="C6" s="2" t="s">
        <v>13</v>
      </c>
      <c r="D6">
        <v>46</v>
      </c>
      <c r="E6" t="str">
        <f>_xlfn.CONCAT(makulatura4[[#This Row],[Imie]]," ",makulatura4[[#This Row],[Nazwisko]])</f>
        <v>Maja Kulkowska</v>
      </c>
      <c r="H6" s="4" t="s">
        <v>1141</v>
      </c>
      <c r="I6" s="2">
        <v>184</v>
      </c>
    </row>
    <row r="7" spans="1:9" x14ac:dyDescent="0.25">
      <c r="A7" s="1">
        <v>42737</v>
      </c>
      <c r="B7" s="2" t="s">
        <v>14</v>
      </c>
      <c r="C7" s="2" t="s">
        <v>15</v>
      </c>
      <c r="D7">
        <v>12</v>
      </c>
      <c r="E7" t="str">
        <f>_xlfn.CONCAT(makulatura4[[#This Row],[Imie]]," ",makulatura4[[#This Row],[Nazwisko]])</f>
        <v>Patryk Giemza</v>
      </c>
      <c r="H7" s="4" t="s">
        <v>1285</v>
      </c>
      <c r="I7" s="2">
        <v>183</v>
      </c>
    </row>
    <row r="8" spans="1:9" x14ac:dyDescent="0.25">
      <c r="A8" s="1">
        <v>42737</v>
      </c>
      <c r="B8" s="2" t="s">
        <v>16</v>
      </c>
      <c r="C8" s="2" t="s">
        <v>17</v>
      </c>
      <c r="D8">
        <v>54</v>
      </c>
      <c r="E8" t="str">
        <f>_xlfn.CONCAT(makulatura4[[#This Row],[Imie]]," ",makulatura4[[#This Row],[Nazwisko]])</f>
        <v>Balbina Boryczko</v>
      </c>
      <c r="H8" s="4" t="s">
        <v>879</v>
      </c>
      <c r="I8" s="2">
        <v>180</v>
      </c>
    </row>
    <row r="9" spans="1:9" x14ac:dyDescent="0.25">
      <c r="A9" s="1">
        <v>42737</v>
      </c>
      <c r="B9" s="2" t="s">
        <v>18</v>
      </c>
      <c r="C9" s="2" t="s">
        <v>19</v>
      </c>
      <c r="D9">
        <v>55</v>
      </c>
      <c r="E9" t="str">
        <f>_xlfn.CONCAT(makulatura4[[#This Row],[Imie]]," ",makulatura4[[#This Row],[Nazwisko]])</f>
        <v>Filip Spychala</v>
      </c>
      <c r="H9" s="4" t="s">
        <v>910</v>
      </c>
      <c r="I9" s="2">
        <v>179</v>
      </c>
    </row>
    <row r="10" spans="1:9" x14ac:dyDescent="0.25">
      <c r="A10" s="1">
        <v>42737</v>
      </c>
      <c r="B10" s="2" t="s">
        <v>20</v>
      </c>
      <c r="C10" s="2" t="s">
        <v>21</v>
      </c>
      <c r="D10">
        <v>45</v>
      </c>
      <c r="E10" t="str">
        <f>_xlfn.CONCAT(makulatura4[[#This Row],[Imie]]," ",makulatura4[[#This Row],[Nazwisko]])</f>
        <v>Borys Myszor</v>
      </c>
      <c r="H10" s="4" t="s">
        <v>1089</v>
      </c>
      <c r="I10" s="2">
        <v>176</v>
      </c>
    </row>
    <row r="11" spans="1:9" x14ac:dyDescent="0.25">
      <c r="A11" s="1">
        <v>42737</v>
      </c>
      <c r="B11" s="2" t="s">
        <v>4</v>
      </c>
      <c r="C11" s="2" t="s">
        <v>22</v>
      </c>
      <c r="D11">
        <v>3</v>
      </c>
      <c r="E11" t="str">
        <f>_xlfn.CONCAT(makulatura4[[#This Row],[Imie]]," ",makulatura4[[#This Row],[Nazwisko]])</f>
        <v>Agnieszka Mala</v>
      </c>
      <c r="H11" s="4" t="s">
        <v>882</v>
      </c>
      <c r="I11" s="2">
        <v>172</v>
      </c>
    </row>
    <row r="12" spans="1:9" x14ac:dyDescent="0.25">
      <c r="A12" s="1">
        <v>42738</v>
      </c>
      <c r="B12" s="2" t="s">
        <v>23</v>
      </c>
      <c r="C12" s="2" t="s">
        <v>24</v>
      </c>
      <c r="D12">
        <v>6</v>
      </c>
      <c r="E12" t="str">
        <f>_xlfn.CONCAT(makulatura4[[#This Row],[Imie]]," ",makulatura4[[#This Row],[Nazwisko]])</f>
        <v>Alicja Gadek</v>
      </c>
      <c r="H12" s="4" t="s">
        <v>1305</v>
      </c>
      <c r="I12" s="2">
        <v>171</v>
      </c>
    </row>
    <row r="13" spans="1:9" x14ac:dyDescent="0.25">
      <c r="A13" s="1">
        <v>42738</v>
      </c>
      <c r="B13" s="2" t="s">
        <v>25</v>
      </c>
      <c r="C13" s="2" t="s">
        <v>26</v>
      </c>
      <c r="D13">
        <v>23</v>
      </c>
      <c r="E13" t="str">
        <f>_xlfn.CONCAT(makulatura4[[#This Row],[Imie]]," ",makulatura4[[#This Row],[Nazwisko]])</f>
        <v>Leon Szybki</v>
      </c>
      <c r="H13" s="4" t="s">
        <v>1018</v>
      </c>
      <c r="I13" s="2">
        <v>170</v>
      </c>
    </row>
    <row r="14" spans="1:9" x14ac:dyDescent="0.25">
      <c r="A14" s="1">
        <v>42738</v>
      </c>
      <c r="B14" s="2" t="s">
        <v>27</v>
      </c>
      <c r="C14" s="2" t="s">
        <v>28</v>
      </c>
      <c r="D14">
        <v>53</v>
      </c>
      <c r="E14" t="str">
        <f>_xlfn.CONCAT(makulatura4[[#This Row],[Imie]]," ",makulatura4[[#This Row],[Nazwisko]])</f>
        <v>Jerzy Polanicki</v>
      </c>
      <c r="H14" s="4" t="s">
        <v>799</v>
      </c>
      <c r="I14" s="2">
        <v>168</v>
      </c>
    </row>
    <row r="15" spans="1:9" x14ac:dyDescent="0.25">
      <c r="A15" s="1">
        <v>42738</v>
      </c>
      <c r="B15" s="2" t="s">
        <v>18</v>
      </c>
      <c r="C15" s="2" t="s">
        <v>29</v>
      </c>
      <c r="D15">
        <v>15</v>
      </c>
      <c r="E15" t="str">
        <f>_xlfn.CONCAT(makulatura4[[#This Row],[Imie]]," ",makulatura4[[#This Row],[Nazwisko]])</f>
        <v>Filip Spanowski</v>
      </c>
      <c r="H15" s="4" t="s">
        <v>821</v>
      </c>
      <c r="I15" s="2">
        <v>166</v>
      </c>
    </row>
    <row r="16" spans="1:9" x14ac:dyDescent="0.25">
      <c r="A16" s="1">
        <v>42738</v>
      </c>
      <c r="B16" s="2" t="s">
        <v>30</v>
      </c>
      <c r="C16" s="2" t="s">
        <v>31</v>
      </c>
      <c r="D16">
        <v>44</v>
      </c>
      <c r="E16" t="str">
        <f>_xlfn.CONCAT(makulatura4[[#This Row],[Imie]]," ",makulatura4[[#This Row],[Nazwisko]])</f>
        <v>Maciej Lyszcz</v>
      </c>
      <c r="H16" s="4" t="s">
        <v>722</v>
      </c>
      <c r="I16" s="2">
        <v>165</v>
      </c>
    </row>
    <row r="17" spans="1:9" x14ac:dyDescent="0.25">
      <c r="A17" s="1">
        <v>42738</v>
      </c>
      <c r="B17" s="2" t="s">
        <v>32</v>
      </c>
      <c r="C17" s="2" t="s">
        <v>33</v>
      </c>
      <c r="D17">
        <v>14</v>
      </c>
      <c r="E17" t="str">
        <f>_xlfn.CONCAT(makulatura4[[#This Row],[Imie]]," ",makulatura4[[#This Row],[Nazwisko]])</f>
        <v>Daria Zagrobna</v>
      </c>
      <c r="H17" s="4" t="s">
        <v>716</v>
      </c>
      <c r="I17" s="2">
        <v>165</v>
      </c>
    </row>
    <row r="18" spans="1:9" x14ac:dyDescent="0.25">
      <c r="A18" s="1">
        <v>42738</v>
      </c>
      <c r="B18" s="2" t="s">
        <v>34</v>
      </c>
      <c r="C18" s="2" t="s">
        <v>35</v>
      </c>
      <c r="D18">
        <v>26</v>
      </c>
      <c r="E18" t="str">
        <f>_xlfn.CONCAT(makulatura4[[#This Row],[Imie]]," ",makulatura4[[#This Row],[Nazwisko]])</f>
        <v>Julia Rutkiewicz</v>
      </c>
      <c r="H18" s="4" t="s">
        <v>976</v>
      </c>
      <c r="I18" s="2">
        <v>163</v>
      </c>
    </row>
    <row r="19" spans="1:9" x14ac:dyDescent="0.25">
      <c r="A19" s="1">
        <v>42738</v>
      </c>
      <c r="B19" s="2" t="s">
        <v>36</v>
      </c>
      <c r="C19" s="2" t="s">
        <v>37</v>
      </c>
      <c r="D19">
        <v>19</v>
      </c>
      <c r="E19" t="str">
        <f>_xlfn.CONCAT(makulatura4[[#This Row],[Imie]]," ",makulatura4[[#This Row],[Nazwisko]])</f>
        <v>Piotr Bialaszewski</v>
      </c>
      <c r="H19" s="4" t="s">
        <v>1112</v>
      </c>
      <c r="I19" s="2">
        <v>162</v>
      </c>
    </row>
    <row r="20" spans="1:9" x14ac:dyDescent="0.25">
      <c r="A20" s="1">
        <v>42738</v>
      </c>
      <c r="B20" s="2" t="s">
        <v>12</v>
      </c>
      <c r="C20" s="2" t="s">
        <v>38</v>
      </c>
      <c r="D20">
        <v>14</v>
      </c>
      <c r="E20" t="str">
        <f>_xlfn.CONCAT(makulatura4[[#This Row],[Imie]]," ",makulatura4[[#This Row],[Nazwisko]])</f>
        <v>Maja Lipka</v>
      </c>
      <c r="H20" s="4" t="s">
        <v>809</v>
      </c>
      <c r="I20" s="2">
        <v>162</v>
      </c>
    </row>
    <row r="21" spans="1:9" x14ac:dyDescent="0.25">
      <c r="A21" s="1">
        <v>42739</v>
      </c>
      <c r="B21" s="2" t="s">
        <v>39</v>
      </c>
      <c r="C21" s="2" t="s">
        <v>40</v>
      </c>
      <c r="D21">
        <v>56</v>
      </c>
      <c r="E21" t="str">
        <f>_xlfn.CONCAT(makulatura4[[#This Row],[Imie]]," ",makulatura4[[#This Row],[Nazwisko]])</f>
        <v>Jakub Jedruszek</v>
      </c>
      <c r="H21" s="4" t="s">
        <v>846</v>
      </c>
      <c r="I21" s="2">
        <v>161</v>
      </c>
    </row>
    <row r="22" spans="1:9" x14ac:dyDescent="0.25">
      <c r="A22" s="1">
        <v>42739</v>
      </c>
      <c r="B22" s="2" t="s">
        <v>41</v>
      </c>
      <c r="C22" s="2" t="s">
        <v>42</v>
      </c>
      <c r="D22">
        <v>20</v>
      </c>
      <c r="E22" t="str">
        <f>_xlfn.CONCAT(makulatura4[[#This Row],[Imie]]," ",makulatura4[[#This Row],[Nazwisko]])</f>
        <v>Marta Opolska</v>
      </c>
      <c r="H22" s="4" t="s">
        <v>1135</v>
      </c>
      <c r="I22" s="2">
        <v>160</v>
      </c>
    </row>
    <row r="23" spans="1:9" x14ac:dyDescent="0.25">
      <c r="A23" s="1">
        <v>42739</v>
      </c>
      <c r="B23" s="2" t="s">
        <v>43</v>
      </c>
      <c r="C23" s="2" t="s">
        <v>44</v>
      </c>
      <c r="D23">
        <v>28</v>
      </c>
      <c r="E23" t="str">
        <f>_xlfn.CONCAT(makulatura4[[#This Row],[Imie]]," ",makulatura4[[#This Row],[Nazwisko]])</f>
        <v>Andrzej Moldawiec</v>
      </c>
      <c r="H23" s="4" t="s">
        <v>1046</v>
      </c>
      <c r="I23" s="2">
        <v>157</v>
      </c>
    </row>
    <row r="24" spans="1:9" x14ac:dyDescent="0.25">
      <c r="A24" s="1">
        <v>42739</v>
      </c>
      <c r="B24" s="2" t="s">
        <v>45</v>
      </c>
      <c r="C24" s="2" t="s">
        <v>46</v>
      </c>
      <c r="D24">
        <v>24</v>
      </c>
      <c r="E24" t="str">
        <f>_xlfn.CONCAT(makulatura4[[#This Row],[Imie]]," ",makulatura4[[#This Row],[Nazwisko]])</f>
        <v>Zuzanna Malicki</v>
      </c>
      <c r="H24" s="4" t="s">
        <v>737</v>
      </c>
      <c r="I24" s="2">
        <v>154</v>
      </c>
    </row>
    <row r="25" spans="1:9" x14ac:dyDescent="0.25">
      <c r="A25" s="1">
        <v>42739</v>
      </c>
      <c r="B25" s="2" t="s">
        <v>47</v>
      </c>
      <c r="C25" s="2" t="s">
        <v>48</v>
      </c>
      <c r="D25">
        <v>21</v>
      </c>
      <c r="E25" t="str">
        <f>_xlfn.CONCAT(makulatura4[[#This Row],[Imie]]," ",makulatura4[[#This Row],[Nazwisko]])</f>
        <v>Marek Bednarski</v>
      </c>
      <c r="H25" s="4" t="s">
        <v>1186</v>
      </c>
      <c r="I25" s="2">
        <v>153</v>
      </c>
    </row>
    <row r="26" spans="1:9" x14ac:dyDescent="0.25">
      <c r="A26" s="1">
        <v>42739</v>
      </c>
      <c r="B26" s="2" t="s">
        <v>49</v>
      </c>
      <c r="C26" s="2" t="s">
        <v>50</v>
      </c>
      <c r="D26">
        <v>16</v>
      </c>
      <c r="E26" t="str">
        <f>_xlfn.CONCAT(makulatura4[[#This Row],[Imie]]," ",makulatura4[[#This Row],[Nazwisko]])</f>
        <v>Sebastian Powoj</v>
      </c>
      <c r="H26" s="4" t="s">
        <v>1009</v>
      </c>
      <c r="I26" s="2">
        <v>153</v>
      </c>
    </row>
    <row r="27" spans="1:9" x14ac:dyDescent="0.25">
      <c r="A27" s="1">
        <v>42739</v>
      </c>
      <c r="B27" s="2" t="s">
        <v>51</v>
      </c>
      <c r="C27" s="2" t="s">
        <v>52</v>
      </c>
      <c r="D27">
        <v>8</v>
      </c>
      <c r="E27" t="str">
        <f>_xlfn.CONCAT(makulatura4[[#This Row],[Imie]]," ",makulatura4[[#This Row],[Nazwisko]])</f>
        <v>Barbara Podobinska</v>
      </c>
      <c r="H27" s="4" t="s">
        <v>1102</v>
      </c>
      <c r="I27" s="2">
        <v>153</v>
      </c>
    </row>
    <row r="28" spans="1:9" x14ac:dyDescent="0.25">
      <c r="A28" s="1">
        <v>42739</v>
      </c>
      <c r="B28" s="2" t="s">
        <v>53</v>
      </c>
      <c r="C28" s="2" t="s">
        <v>54</v>
      </c>
      <c r="D28">
        <v>41</v>
      </c>
      <c r="E28" t="str">
        <f>_xlfn.CONCAT(makulatura4[[#This Row],[Imie]]," ",makulatura4[[#This Row],[Nazwisko]])</f>
        <v>Wieslawa Koniec</v>
      </c>
      <c r="H28" s="4" t="s">
        <v>849</v>
      </c>
      <c r="I28" s="2">
        <v>153</v>
      </c>
    </row>
    <row r="29" spans="1:9" x14ac:dyDescent="0.25">
      <c r="A29" s="1">
        <v>42739</v>
      </c>
      <c r="B29" s="2" t="s">
        <v>55</v>
      </c>
      <c r="C29" s="2" t="s">
        <v>56</v>
      </c>
      <c r="D29">
        <v>9</v>
      </c>
      <c r="E29" t="str">
        <f>_xlfn.CONCAT(makulatura4[[#This Row],[Imie]]," ",makulatura4[[#This Row],[Nazwisko]])</f>
        <v>Anna Kosowicz</v>
      </c>
      <c r="H29" s="4" t="s">
        <v>1126</v>
      </c>
      <c r="I29" s="2">
        <v>152</v>
      </c>
    </row>
    <row r="30" spans="1:9" x14ac:dyDescent="0.25">
      <c r="A30" s="1">
        <v>42740</v>
      </c>
      <c r="B30" s="2" t="s">
        <v>57</v>
      </c>
      <c r="C30" s="2" t="s">
        <v>58</v>
      </c>
      <c r="D30">
        <v>19</v>
      </c>
      <c r="E30" t="str">
        <f>_xlfn.CONCAT(makulatura4[[#This Row],[Imie]]," ",makulatura4[[#This Row],[Nazwisko]])</f>
        <v>Patrycja Glowinska</v>
      </c>
      <c r="H30" s="4" t="s">
        <v>751</v>
      </c>
      <c r="I30" s="2">
        <v>152</v>
      </c>
    </row>
    <row r="31" spans="1:9" x14ac:dyDescent="0.25">
      <c r="A31" s="1">
        <v>42740</v>
      </c>
      <c r="B31" s="2" t="s">
        <v>59</v>
      </c>
      <c r="C31" s="2" t="s">
        <v>60</v>
      </c>
      <c r="D31">
        <v>33</v>
      </c>
      <c r="E31" t="str">
        <f>_xlfn.CONCAT(makulatura4[[#This Row],[Imie]]," ",makulatura4[[#This Row],[Nazwisko]])</f>
        <v>Laura Chmielewska</v>
      </c>
      <c r="H31" s="4" t="s">
        <v>865</v>
      </c>
      <c r="I31" s="2">
        <v>152</v>
      </c>
    </row>
    <row r="32" spans="1:9" x14ac:dyDescent="0.25">
      <c r="A32" s="1">
        <v>42740</v>
      </c>
      <c r="B32" s="2" t="s">
        <v>61</v>
      </c>
      <c r="C32" s="2" t="s">
        <v>62</v>
      </c>
      <c r="D32">
        <v>29</v>
      </c>
      <c r="E32" t="str">
        <f>_xlfn.CONCAT(makulatura4[[#This Row],[Imie]]," ",makulatura4[[#This Row],[Nazwisko]])</f>
        <v>Malwina Korzeniowska</v>
      </c>
      <c r="H32" s="4" t="s">
        <v>845</v>
      </c>
      <c r="I32" s="2">
        <v>152</v>
      </c>
    </row>
    <row r="33" spans="1:9" x14ac:dyDescent="0.25">
      <c r="A33" s="1">
        <v>42740</v>
      </c>
      <c r="B33" s="2" t="s">
        <v>63</v>
      </c>
      <c r="C33" s="2" t="s">
        <v>64</v>
      </c>
      <c r="D33">
        <v>27</v>
      </c>
      <c r="E33" t="str">
        <f>_xlfn.CONCAT(makulatura4[[#This Row],[Imie]]," ",makulatura4[[#This Row],[Nazwisko]])</f>
        <v>Adrian Zawisza</v>
      </c>
      <c r="H33" s="4" t="s">
        <v>1207</v>
      </c>
      <c r="I33" s="2">
        <v>150</v>
      </c>
    </row>
    <row r="34" spans="1:9" x14ac:dyDescent="0.25">
      <c r="A34" s="1">
        <v>42740</v>
      </c>
      <c r="B34" s="2" t="s">
        <v>65</v>
      </c>
      <c r="C34" s="2" t="s">
        <v>66</v>
      </c>
      <c r="D34">
        <v>23</v>
      </c>
      <c r="E34" t="str">
        <f>_xlfn.CONCAT(makulatura4[[#This Row],[Imie]]," ",makulatura4[[#This Row],[Nazwisko]])</f>
        <v>Michal Kirwiel</v>
      </c>
      <c r="H34" s="4" t="s">
        <v>1162</v>
      </c>
      <c r="I34" s="2">
        <v>150</v>
      </c>
    </row>
    <row r="35" spans="1:9" x14ac:dyDescent="0.25">
      <c r="A35" s="1">
        <v>42740</v>
      </c>
      <c r="B35" s="2" t="s">
        <v>67</v>
      </c>
      <c r="C35" s="2" t="s">
        <v>68</v>
      </c>
      <c r="D35">
        <v>50</v>
      </c>
      <c r="E35" t="str">
        <f>_xlfn.CONCAT(makulatura4[[#This Row],[Imie]]," ",makulatura4[[#This Row],[Nazwisko]])</f>
        <v>Bartosz Protasow</v>
      </c>
      <c r="H35" s="4" t="s">
        <v>1161</v>
      </c>
      <c r="I35" s="2">
        <v>149</v>
      </c>
    </row>
    <row r="36" spans="1:9" x14ac:dyDescent="0.25">
      <c r="A36" s="1">
        <v>42740</v>
      </c>
      <c r="B36" s="2" t="s">
        <v>69</v>
      </c>
      <c r="C36" s="2" t="s">
        <v>70</v>
      </c>
      <c r="D36">
        <v>15</v>
      </c>
      <c r="E36" t="str">
        <f>_xlfn.CONCAT(makulatura4[[#This Row],[Imie]]," ",makulatura4[[#This Row],[Nazwisko]])</f>
        <v>Adam Wata</v>
      </c>
      <c r="H36" s="4" t="s">
        <v>837</v>
      </c>
      <c r="I36" s="2">
        <v>149</v>
      </c>
    </row>
    <row r="37" spans="1:9" x14ac:dyDescent="0.25">
      <c r="A37" s="1">
        <v>42740</v>
      </c>
      <c r="B37" s="2" t="s">
        <v>43</v>
      </c>
      <c r="C37" s="2" t="s">
        <v>71</v>
      </c>
      <c r="D37">
        <v>18</v>
      </c>
      <c r="E37" t="str">
        <f>_xlfn.CONCAT(makulatura4[[#This Row],[Imie]]," ",makulatura4[[#This Row],[Nazwisko]])</f>
        <v>Andrzej Augustowski</v>
      </c>
      <c r="H37" s="4" t="s">
        <v>979</v>
      </c>
      <c r="I37" s="2">
        <v>148</v>
      </c>
    </row>
    <row r="38" spans="1:9" x14ac:dyDescent="0.25">
      <c r="A38" s="1">
        <v>42740</v>
      </c>
      <c r="B38" s="2" t="s">
        <v>72</v>
      </c>
      <c r="C38" s="2" t="s">
        <v>73</v>
      </c>
      <c r="D38">
        <v>2</v>
      </c>
      <c r="E38" t="str">
        <f>_xlfn.CONCAT(makulatura4[[#This Row],[Imie]]," ",makulatura4[[#This Row],[Nazwisko]])</f>
        <v>Teodor Fornal</v>
      </c>
      <c r="H38" s="4" t="s">
        <v>1158</v>
      </c>
      <c r="I38" s="2">
        <v>146</v>
      </c>
    </row>
    <row r="39" spans="1:9" x14ac:dyDescent="0.25">
      <c r="A39" s="1">
        <v>42741</v>
      </c>
      <c r="B39" s="2" t="s">
        <v>67</v>
      </c>
      <c r="C39" s="2" t="s">
        <v>68</v>
      </c>
      <c r="D39">
        <v>23</v>
      </c>
      <c r="E39" t="str">
        <f>_xlfn.CONCAT(makulatura4[[#This Row],[Imie]]," ",makulatura4[[#This Row],[Nazwisko]])</f>
        <v>Bartosz Protasow</v>
      </c>
      <c r="H39" s="4" t="s">
        <v>1060</v>
      </c>
      <c r="I39" s="2">
        <v>145</v>
      </c>
    </row>
    <row r="40" spans="1:9" x14ac:dyDescent="0.25">
      <c r="A40" s="1">
        <v>42741</v>
      </c>
      <c r="B40" s="2" t="s">
        <v>18</v>
      </c>
      <c r="C40" s="2" t="s">
        <v>74</v>
      </c>
      <c r="D40">
        <v>22</v>
      </c>
      <c r="E40" t="str">
        <f>_xlfn.CONCAT(makulatura4[[#This Row],[Imie]]," ",makulatura4[[#This Row],[Nazwisko]])</f>
        <v>Filip Strack</v>
      </c>
      <c r="H40" s="4" t="s">
        <v>1300</v>
      </c>
      <c r="I40" s="2">
        <v>145</v>
      </c>
    </row>
    <row r="41" spans="1:9" x14ac:dyDescent="0.25">
      <c r="A41" s="1">
        <v>42741</v>
      </c>
      <c r="B41" s="2" t="s">
        <v>75</v>
      </c>
      <c r="C41" s="2" t="s">
        <v>76</v>
      </c>
      <c r="D41">
        <v>17</v>
      </c>
      <c r="E41" t="str">
        <f>_xlfn.CONCAT(makulatura4[[#This Row],[Imie]]," ",makulatura4[[#This Row],[Nazwisko]])</f>
        <v>Hanna Stanislawska</v>
      </c>
      <c r="H41" s="4" t="s">
        <v>1045</v>
      </c>
      <c r="I41" s="2">
        <v>145</v>
      </c>
    </row>
    <row r="42" spans="1:9" x14ac:dyDescent="0.25">
      <c r="A42" s="1">
        <v>42741</v>
      </c>
      <c r="B42" s="2" t="s">
        <v>12</v>
      </c>
      <c r="C42" s="2" t="s">
        <v>38</v>
      </c>
      <c r="D42">
        <v>19</v>
      </c>
      <c r="E42" t="str">
        <f>_xlfn.CONCAT(makulatura4[[#This Row],[Imie]]," ",makulatura4[[#This Row],[Nazwisko]])</f>
        <v>Maja Lipka</v>
      </c>
      <c r="H42" s="4" t="s">
        <v>951</v>
      </c>
      <c r="I42" s="2">
        <v>145</v>
      </c>
    </row>
    <row r="43" spans="1:9" x14ac:dyDescent="0.25">
      <c r="A43" s="1">
        <v>42741</v>
      </c>
      <c r="B43" s="2" t="s">
        <v>77</v>
      </c>
      <c r="C43" s="2" t="s">
        <v>78</v>
      </c>
      <c r="D43">
        <v>43</v>
      </c>
      <c r="E43" t="str">
        <f>_xlfn.CONCAT(makulatura4[[#This Row],[Imie]]," ",makulatura4[[#This Row],[Nazwisko]])</f>
        <v>Hubert Smyk</v>
      </c>
      <c r="H43" s="4" t="s">
        <v>892</v>
      </c>
      <c r="I43" s="2">
        <v>145</v>
      </c>
    </row>
    <row r="44" spans="1:9" x14ac:dyDescent="0.25">
      <c r="A44" s="1">
        <v>42741</v>
      </c>
      <c r="B44" s="2" t="s">
        <v>79</v>
      </c>
      <c r="C44" s="2" t="s">
        <v>80</v>
      </c>
      <c r="D44">
        <v>22</v>
      </c>
      <c r="E44" t="str">
        <f>_xlfn.CONCAT(makulatura4[[#This Row],[Imie]]," ",makulatura4[[#This Row],[Nazwisko]])</f>
        <v>Adelajda Zylinska</v>
      </c>
      <c r="H44" s="4" t="s">
        <v>838</v>
      </c>
      <c r="I44" s="2">
        <v>144</v>
      </c>
    </row>
    <row r="45" spans="1:9" x14ac:dyDescent="0.25">
      <c r="A45" s="1">
        <v>42741</v>
      </c>
      <c r="B45" s="2" t="s">
        <v>81</v>
      </c>
      <c r="C45" s="2" t="s">
        <v>82</v>
      </c>
      <c r="D45">
        <v>29</v>
      </c>
      <c r="E45" t="str">
        <f>_xlfn.CONCAT(makulatura4[[#This Row],[Imie]]," ",makulatura4[[#This Row],[Nazwisko]])</f>
        <v>Karol Felisiak</v>
      </c>
      <c r="H45" s="4" t="s">
        <v>862</v>
      </c>
      <c r="I45" s="2">
        <v>143</v>
      </c>
    </row>
    <row r="46" spans="1:9" x14ac:dyDescent="0.25">
      <c r="A46" s="1">
        <v>42741</v>
      </c>
      <c r="B46" s="2" t="s">
        <v>83</v>
      </c>
      <c r="C46" s="2" t="s">
        <v>84</v>
      </c>
      <c r="D46">
        <v>26</v>
      </c>
      <c r="E46" t="str">
        <f>_xlfn.CONCAT(makulatura4[[#This Row],[Imie]]," ",makulatura4[[#This Row],[Nazwisko]])</f>
        <v>Jan Gacek</v>
      </c>
      <c r="H46" s="4" t="s">
        <v>800</v>
      </c>
      <c r="I46" s="2">
        <v>143</v>
      </c>
    </row>
    <row r="47" spans="1:9" x14ac:dyDescent="0.25">
      <c r="A47" s="1">
        <v>42741</v>
      </c>
      <c r="B47" s="2" t="s">
        <v>77</v>
      </c>
      <c r="C47" s="2" t="s">
        <v>85</v>
      </c>
      <c r="D47">
        <v>53</v>
      </c>
      <c r="E47" t="str">
        <f>_xlfn.CONCAT(makulatura4[[#This Row],[Imie]]," ",makulatura4[[#This Row],[Nazwisko]])</f>
        <v>Hubert Nowaczynski</v>
      </c>
      <c r="H47" s="4" t="s">
        <v>1001</v>
      </c>
      <c r="I47" s="2">
        <v>142</v>
      </c>
    </row>
    <row r="48" spans="1:9" x14ac:dyDescent="0.25">
      <c r="A48" s="1">
        <v>42744</v>
      </c>
      <c r="B48" s="2" t="s">
        <v>30</v>
      </c>
      <c r="C48" s="2" t="s">
        <v>86</v>
      </c>
      <c r="D48">
        <v>20</v>
      </c>
      <c r="E48" t="str">
        <f>_xlfn.CONCAT(makulatura4[[#This Row],[Imie]]," ",makulatura4[[#This Row],[Nazwisko]])</f>
        <v>Maciej Kowalski</v>
      </c>
      <c r="H48" s="4" t="s">
        <v>1202</v>
      </c>
      <c r="I48" s="2">
        <v>141</v>
      </c>
    </row>
    <row r="49" spans="1:9" x14ac:dyDescent="0.25">
      <c r="A49" s="1">
        <v>42744</v>
      </c>
      <c r="B49" s="2" t="s">
        <v>87</v>
      </c>
      <c r="C49" s="2" t="s">
        <v>88</v>
      </c>
      <c r="D49">
        <v>26</v>
      </c>
      <c r="E49" t="str">
        <f>_xlfn.CONCAT(makulatura4[[#This Row],[Imie]]," ",makulatura4[[#This Row],[Nazwisko]])</f>
        <v>Ewa Stoch</v>
      </c>
      <c r="H49" s="4" t="s">
        <v>1233</v>
      </c>
      <c r="I49" s="2">
        <v>141</v>
      </c>
    </row>
    <row r="50" spans="1:9" x14ac:dyDescent="0.25">
      <c r="A50" s="1">
        <v>42744</v>
      </c>
      <c r="B50" s="2" t="s">
        <v>30</v>
      </c>
      <c r="C50" s="2" t="s">
        <v>89</v>
      </c>
      <c r="D50">
        <v>36</v>
      </c>
      <c r="E50" t="str">
        <f>_xlfn.CONCAT(makulatura4[[#This Row],[Imie]]," ",makulatura4[[#This Row],[Nazwisko]])</f>
        <v>Maciej Machalski</v>
      </c>
      <c r="H50" s="4" t="s">
        <v>1098</v>
      </c>
      <c r="I50" s="2">
        <v>141</v>
      </c>
    </row>
    <row r="51" spans="1:9" x14ac:dyDescent="0.25">
      <c r="A51" s="1">
        <v>42744</v>
      </c>
      <c r="B51" s="2" t="s">
        <v>34</v>
      </c>
      <c r="C51" s="2" t="s">
        <v>90</v>
      </c>
      <c r="D51">
        <v>11</v>
      </c>
      <c r="E51" t="str">
        <f>_xlfn.CONCAT(makulatura4[[#This Row],[Imie]]," ",makulatura4[[#This Row],[Nazwisko]])</f>
        <v>Julia Reclaw</v>
      </c>
      <c r="H51" s="4" t="s">
        <v>829</v>
      </c>
      <c r="I51" s="2">
        <v>141</v>
      </c>
    </row>
    <row r="52" spans="1:9" x14ac:dyDescent="0.25">
      <c r="A52" s="1">
        <v>42744</v>
      </c>
      <c r="B52" s="2" t="s">
        <v>47</v>
      </c>
      <c r="C52" s="2" t="s">
        <v>91</v>
      </c>
      <c r="D52">
        <v>52</v>
      </c>
      <c r="E52" t="str">
        <f>_xlfn.CONCAT(makulatura4[[#This Row],[Imie]]," ",makulatura4[[#This Row],[Nazwisko]])</f>
        <v>Marek Sznuk</v>
      </c>
      <c r="H52" s="4" t="s">
        <v>970</v>
      </c>
      <c r="I52" s="2">
        <v>140</v>
      </c>
    </row>
    <row r="53" spans="1:9" x14ac:dyDescent="0.25">
      <c r="A53" s="1">
        <v>42744</v>
      </c>
      <c r="B53" s="2" t="s">
        <v>92</v>
      </c>
      <c r="C53" s="2" t="s">
        <v>93</v>
      </c>
      <c r="D53">
        <v>11</v>
      </c>
      <c r="E53" t="str">
        <f>_xlfn.CONCAT(makulatura4[[#This Row],[Imie]]," ",makulatura4[[#This Row],[Nazwisko]])</f>
        <v>Paulina Szklarska</v>
      </c>
      <c r="H53" s="4" t="s">
        <v>1078</v>
      </c>
      <c r="I53" s="2">
        <v>139</v>
      </c>
    </row>
    <row r="54" spans="1:9" x14ac:dyDescent="0.25">
      <c r="A54" s="1">
        <v>42744</v>
      </c>
      <c r="B54" s="2" t="s">
        <v>27</v>
      </c>
      <c r="C54" s="2" t="s">
        <v>94</v>
      </c>
      <c r="D54">
        <v>11</v>
      </c>
      <c r="E54" t="str">
        <f>_xlfn.CONCAT(makulatura4[[#This Row],[Imie]]," ",makulatura4[[#This Row],[Nazwisko]])</f>
        <v>Jerzy Czajkowski</v>
      </c>
      <c r="H54" s="4" t="s">
        <v>767</v>
      </c>
      <c r="I54" s="2">
        <v>139</v>
      </c>
    </row>
    <row r="55" spans="1:9" x14ac:dyDescent="0.25">
      <c r="A55" s="1">
        <v>42744</v>
      </c>
      <c r="B55" s="2" t="s">
        <v>27</v>
      </c>
      <c r="C55" s="2" t="s">
        <v>94</v>
      </c>
      <c r="D55">
        <v>10</v>
      </c>
      <c r="E55" t="str">
        <f>_xlfn.CONCAT(makulatura4[[#This Row],[Imie]]," ",makulatura4[[#This Row],[Nazwisko]])</f>
        <v>Jerzy Czajkowski</v>
      </c>
      <c r="H55" s="4" t="s">
        <v>944</v>
      </c>
      <c r="I55" s="2">
        <v>139</v>
      </c>
    </row>
    <row r="56" spans="1:9" x14ac:dyDescent="0.25">
      <c r="A56" s="1">
        <v>42744</v>
      </c>
      <c r="B56" s="2" t="s">
        <v>95</v>
      </c>
      <c r="C56" s="2" t="s">
        <v>96</v>
      </c>
      <c r="D56">
        <v>8</v>
      </c>
      <c r="E56" t="str">
        <f>_xlfn.CONCAT(makulatura4[[#This Row],[Imie]]," ",makulatura4[[#This Row],[Nazwisko]])</f>
        <v>Dominik Szczucki</v>
      </c>
      <c r="H56" s="4" t="s">
        <v>1281</v>
      </c>
      <c r="I56" s="2">
        <v>138</v>
      </c>
    </row>
    <row r="57" spans="1:9" x14ac:dyDescent="0.25">
      <c r="A57" s="1">
        <v>42745</v>
      </c>
      <c r="B57" s="2" t="s">
        <v>43</v>
      </c>
      <c r="C57" s="2" t="s">
        <v>44</v>
      </c>
      <c r="D57">
        <v>13</v>
      </c>
      <c r="E57" t="str">
        <f>_xlfn.CONCAT(makulatura4[[#This Row],[Imie]]," ",makulatura4[[#This Row],[Nazwisko]])</f>
        <v>Andrzej Moldawiec</v>
      </c>
      <c r="H57" s="4" t="s">
        <v>1062</v>
      </c>
      <c r="I57" s="2">
        <v>138</v>
      </c>
    </row>
    <row r="58" spans="1:9" x14ac:dyDescent="0.25">
      <c r="A58" s="1">
        <v>42745</v>
      </c>
      <c r="B58" s="2" t="s">
        <v>97</v>
      </c>
      <c r="C58" s="2" t="s">
        <v>98</v>
      </c>
      <c r="D58">
        <v>16</v>
      </c>
      <c r="E58" t="str">
        <f>_xlfn.CONCAT(makulatura4[[#This Row],[Imie]]," ",makulatura4[[#This Row],[Nazwisko]])</f>
        <v>Mateusz Karpowicz</v>
      </c>
      <c r="H58" s="4" t="s">
        <v>789</v>
      </c>
      <c r="I58" s="2">
        <v>138</v>
      </c>
    </row>
    <row r="59" spans="1:9" x14ac:dyDescent="0.25">
      <c r="A59" s="1">
        <v>42745</v>
      </c>
      <c r="B59" s="2" t="s">
        <v>99</v>
      </c>
      <c r="C59" s="2" t="s">
        <v>100</v>
      </c>
      <c r="D59">
        <v>46</v>
      </c>
      <c r="E59" t="str">
        <f>_xlfn.CONCAT(makulatura4[[#This Row],[Imie]]," ",makulatura4[[#This Row],[Nazwisko]])</f>
        <v>Sandra Filarska</v>
      </c>
      <c r="H59" s="4" t="s">
        <v>885</v>
      </c>
      <c r="I59" s="2">
        <v>137</v>
      </c>
    </row>
    <row r="60" spans="1:9" x14ac:dyDescent="0.25">
      <c r="A60" s="1">
        <v>42745</v>
      </c>
      <c r="B60" s="2" t="s">
        <v>101</v>
      </c>
      <c r="C60" s="2" t="s">
        <v>102</v>
      </c>
      <c r="D60">
        <v>41</v>
      </c>
      <c r="E60" t="str">
        <f>_xlfn.CONCAT(makulatura4[[#This Row],[Imie]]," ",makulatura4[[#This Row],[Nazwisko]])</f>
        <v>Maria Borowska</v>
      </c>
      <c r="H60" s="4" t="s">
        <v>1104</v>
      </c>
      <c r="I60" s="2">
        <v>136</v>
      </c>
    </row>
    <row r="61" spans="1:9" x14ac:dyDescent="0.25">
      <c r="A61" s="1">
        <v>42745</v>
      </c>
      <c r="B61" s="2" t="s">
        <v>39</v>
      </c>
      <c r="C61" s="2" t="s">
        <v>103</v>
      </c>
      <c r="D61">
        <v>26</v>
      </c>
      <c r="E61" t="str">
        <f>_xlfn.CONCAT(makulatura4[[#This Row],[Imie]]," ",makulatura4[[#This Row],[Nazwisko]])</f>
        <v>Jakub Potocki</v>
      </c>
      <c r="H61" s="4" t="s">
        <v>1037</v>
      </c>
      <c r="I61" s="2">
        <v>136</v>
      </c>
    </row>
    <row r="62" spans="1:9" x14ac:dyDescent="0.25">
      <c r="A62" s="1">
        <v>42745</v>
      </c>
      <c r="B62" s="2" t="s">
        <v>81</v>
      </c>
      <c r="C62" s="2" t="s">
        <v>104</v>
      </c>
      <c r="D62">
        <v>22</v>
      </c>
      <c r="E62" t="str">
        <f>_xlfn.CONCAT(makulatura4[[#This Row],[Imie]]," ",makulatura4[[#This Row],[Nazwisko]])</f>
        <v>Karol Dziuk</v>
      </c>
      <c r="H62" s="4" t="s">
        <v>969</v>
      </c>
      <c r="I62" s="2">
        <v>136</v>
      </c>
    </row>
    <row r="63" spans="1:9" x14ac:dyDescent="0.25">
      <c r="A63" s="1">
        <v>42745</v>
      </c>
      <c r="B63" s="2" t="s">
        <v>63</v>
      </c>
      <c r="C63" s="2" t="s">
        <v>105</v>
      </c>
      <c r="D63">
        <v>6</v>
      </c>
      <c r="E63" t="str">
        <f>_xlfn.CONCAT(makulatura4[[#This Row],[Imie]]," ",makulatura4[[#This Row],[Nazwisko]])</f>
        <v>Adrian Dulski</v>
      </c>
      <c r="H63" s="4" t="s">
        <v>1067</v>
      </c>
      <c r="I63" s="2">
        <v>135</v>
      </c>
    </row>
    <row r="64" spans="1:9" x14ac:dyDescent="0.25">
      <c r="A64" s="1">
        <v>42745</v>
      </c>
      <c r="B64" s="2" t="s">
        <v>106</v>
      </c>
      <c r="C64" s="2" t="s">
        <v>107</v>
      </c>
      <c r="D64">
        <v>24</v>
      </c>
      <c r="E64" t="str">
        <f>_xlfn.CONCAT(makulatura4[[#This Row],[Imie]]," ",makulatura4[[#This Row],[Nazwisko]])</f>
        <v>Lena Mazurkiewicz</v>
      </c>
      <c r="H64" s="4" t="s">
        <v>744</v>
      </c>
      <c r="I64" s="2">
        <v>135</v>
      </c>
    </row>
    <row r="65" spans="1:9" x14ac:dyDescent="0.25">
      <c r="A65" s="1">
        <v>42745</v>
      </c>
      <c r="B65" s="2" t="s">
        <v>43</v>
      </c>
      <c r="C65" s="2" t="s">
        <v>71</v>
      </c>
      <c r="D65">
        <v>11</v>
      </c>
      <c r="E65" t="str">
        <f>_xlfn.CONCAT(makulatura4[[#This Row],[Imie]]," ",makulatura4[[#This Row],[Nazwisko]])</f>
        <v>Andrzej Augustowski</v>
      </c>
      <c r="H65" s="4" t="s">
        <v>853</v>
      </c>
      <c r="I65" s="2">
        <v>135</v>
      </c>
    </row>
    <row r="66" spans="1:9" x14ac:dyDescent="0.25">
      <c r="A66" s="1">
        <v>42746</v>
      </c>
      <c r="B66" s="2" t="s">
        <v>49</v>
      </c>
      <c r="C66" s="2" t="s">
        <v>50</v>
      </c>
      <c r="D66">
        <v>16</v>
      </c>
      <c r="E66" t="str">
        <f>_xlfn.CONCAT(makulatura4[[#This Row],[Imie]]," ",makulatura4[[#This Row],[Nazwisko]])</f>
        <v>Sebastian Powoj</v>
      </c>
      <c r="H66" s="4" t="s">
        <v>823</v>
      </c>
      <c r="I66" s="2">
        <v>134</v>
      </c>
    </row>
    <row r="67" spans="1:9" x14ac:dyDescent="0.25">
      <c r="A67" s="1">
        <v>42746</v>
      </c>
      <c r="B67" s="2" t="s">
        <v>69</v>
      </c>
      <c r="C67" s="2" t="s">
        <v>108</v>
      </c>
      <c r="D67">
        <v>8</v>
      </c>
      <c r="E67" t="str">
        <f>_xlfn.CONCAT(makulatura4[[#This Row],[Imie]]," ",makulatura4[[#This Row],[Nazwisko]])</f>
        <v>Adam Susel</v>
      </c>
      <c r="H67" s="4" t="s">
        <v>1242</v>
      </c>
      <c r="I67" s="2">
        <v>133</v>
      </c>
    </row>
    <row r="68" spans="1:9" x14ac:dyDescent="0.25">
      <c r="A68" s="1">
        <v>42746</v>
      </c>
      <c r="B68" s="2" t="s">
        <v>30</v>
      </c>
      <c r="C68" s="2" t="s">
        <v>109</v>
      </c>
      <c r="D68">
        <v>27</v>
      </c>
      <c r="E68" t="str">
        <f>_xlfn.CONCAT(makulatura4[[#This Row],[Imie]]," ",makulatura4[[#This Row],[Nazwisko]])</f>
        <v>Maciej Siemiatkowski</v>
      </c>
      <c r="H68" s="4" t="s">
        <v>1205</v>
      </c>
      <c r="I68" s="2">
        <v>133</v>
      </c>
    </row>
    <row r="69" spans="1:9" x14ac:dyDescent="0.25">
      <c r="A69" s="1">
        <v>42746</v>
      </c>
      <c r="B69" s="2" t="s">
        <v>83</v>
      </c>
      <c r="C69" s="2" t="s">
        <v>110</v>
      </c>
      <c r="D69">
        <v>9</v>
      </c>
      <c r="E69" t="str">
        <f>_xlfn.CONCAT(makulatura4[[#This Row],[Imie]]," ",makulatura4[[#This Row],[Nazwisko]])</f>
        <v>Jan Inny</v>
      </c>
      <c r="H69" s="4" t="s">
        <v>974</v>
      </c>
      <c r="I69" s="2">
        <v>133</v>
      </c>
    </row>
    <row r="70" spans="1:9" x14ac:dyDescent="0.25">
      <c r="A70" s="1">
        <v>42746</v>
      </c>
      <c r="B70" s="2" t="s">
        <v>39</v>
      </c>
      <c r="C70" s="2" t="s">
        <v>111</v>
      </c>
      <c r="D70">
        <v>32</v>
      </c>
      <c r="E70" t="str">
        <f>_xlfn.CONCAT(makulatura4[[#This Row],[Imie]]," ",makulatura4[[#This Row],[Nazwisko]])</f>
        <v>Jakub Rembisz</v>
      </c>
      <c r="H70" s="4" t="s">
        <v>945</v>
      </c>
      <c r="I70" s="2">
        <v>133</v>
      </c>
    </row>
    <row r="71" spans="1:9" x14ac:dyDescent="0.25">
      <c r="A71" s="1">
        <v>42746</v>
      </c>
      <c r="B71" s="2" t="s">
        <v>112</v>
      </c>
      <c r="C71" s="2" t="s">
        <v>113</v>
      </c>
      <c r="D71">
        <v>55</v>
      </c>
      <c r="E71" t="str">
        <f>_xlfn.CONCAT(makulatura4[[#This Row],[Imie]]," ",makulatura4[[#This Row],[Nazwisko]])</f>
        <v>Seweryn Krakowski</v>
      </c>
      <c r="H71" s="4" t="s">
        <v>726</v>
      </c>
      <c r="I71" s="2">
        <v>133</v>
      </c>
    </row>
    <row r="72" spans="1:9" x14ac:dyDescent="0.25">
      <c r="A72" s="1">
        <v>42746</v>
      </c>
      <c r="B72" s="2" t="s">
        <v>77</v>
      </c>
      <c r="C72" s="2" t="s">
        <v>85</v>
      </c>
      <c r="D72">
        <v>18</v>
      </c>
      <c r="E72" t="str">
        <f>_xlfn.CONCAT(makulatura4[[#This Row],[Imie]]," ",makulatura4[[#This Row],[Nazwisko]])</f>
        <v>Hubert Nowaczynski</v>
      </c>
      <c r="H72" s="4" t="s">
        <v>898</v>
      </c>
      <c r="I72" s="2">
        <v>133</v>
      </c>
    </row>
    <row r="73" spans="1:9" x14ac:dyDescent="0.25">
      <c r="A73" s="1">
        <v>42746</v>
      </c>
      <c r="B73" s="2" t="s">
        <v>114</v>
      </c>
      <c r="C73" s="2" t="s">
        <v>115</v>
      </c>
      <c r="D73">
        <v>46</v>
      </c>
      <c r="E73" t="str">
        <f>_xlfn.CONCAT(makulatura4[[#This Row],[Imie]]," ",makulatura4[[#This Row],[Nazwisko]])</f>
        <v>Jaroslaw Bicz</v>
      </c>
      <c r="H73" s="4" t="s">
        <v>1276</v>
      </c>
      <c r="I73" s="2">
        <v>132</v>
      </c>
    </row>
    <row r="74" spans="1:9" x14ac:dyDescent="0.25">
      <c r="A74" s="1">
        <v>42746</v>
      </c>
      <c r="B74" s="2" t="s">
        <v>65</v>
      </c>
      <c r="C74" s="2" t="s">
        <v>116</v>
      </c>
      <c r="D74">
        <v>17</v>
      </c>
      <c r="E74" t="str">
        <f>_xlfn.CONCAT(makulatura4[[#This Row],[Imie]]," ",makulatura4[[#This Row],[Nazwisko]])</f>
        <v>Michal Nowicki</v>
      </c>
      <c r="H74" s="4" t="s">
        <v>1058</v>
      </c>
      <c r="I74" s="2">
        <v>132</v>
      </c>
    </row>
    <row r="75" spans="1:9" x14ac:dyDescent="0.25">
      <c r="A75" s="1">
        <v>42747</v>
      </c>
      <c r="B75" s="2" t="s">
        <v>117</v>
      </c>
      <c r="C75" s="2" t="s">
        <v>118</v>
      </c>
      <c r="D75">
        <v>43</v>
      </c>
      <c r="E75" t="str">
        <f>_xlfn.CONCAT(makulatura4[[#This Row],[Imie]]," ",makulatura4[[#This Row],[Nazwisko]])</f>
        <v>Edward Snopek</v>
      </c>
      <c r="H75" s="4" t="s">
        <v>1288</v>
      </c>
      <c r="I75" s="2">
        <v>132</v>
      </c>
    </row>
    <row r="76" spans="1:9" x14ac:dyDescent="0.25">
      <c r="A76" s="1">
        <v>42747</v>
      </c>
      <c r="B76" s="2" t="s">
        <v>119</v>
      </c>
      <c r="C76" s="2" t="s">
        <v>120</v>
      </c>
      <c r="D76">
        <v>17</v>
      </c>
      <c r="E76" t="str">
        <f>_xlfn.CONCAT(makulatura4[[#This Row],[Imie]]," ",makulatura4[[#This Row],[Nazwisko]])</f>
        <v>Kamil Naderka</v>
      </c>
      <c r="H76" s="4" t="s">
        <v>1085</v>
      </c>
      <c r="I76" s="2">
        <v>132</v>
      </c>
    </row>
    <row r="77" spans="1:9" x14ac:dyDescent="0.25">
      <c r="A77" s="1">
        <v>42747</v>
      </c>
      <c r="B77" s="2" t="s">
        <v>121</v>
      </c>
      <c r="C77" s="2" t="s">
        <v>122</v>
      </c>
      <c r="D77">
        <v>21</v>
      </c>
      <c r="E77" t="str">
        <f>_xlfn.CONCAT(makulatura4[[#This Row],[Imie]]," ",makulatura4[[#This Row],[Nazwisko]])</f>
        <v>Justyna Pozarzycka</v>
      </c>
      <c r="H77" s="4" t="s">
        <v>1258</v>
      </c>
      <c r="I77" s="2">
        <v>132</v>
      </c>
    </row>
    <row r="78" spans="1:9" x14ac:dyDescent="0.25">
      <c r="A78" s="1">
        <v>42747</v>
      </c>
      <c r="B78" s="2" t="s">
        <v>20</v>
      </c>
      <c r="C78" s="2" t="s">
        <v>123</v>
      </c>
      <c r="D78">
        <v>27</v>
      </c>
      <c r="E78" t="str">
        <f>_xlfn.CONCAT(makulatura4[[#This Row],[Imie]]," ",makulatura4[[#This Row],[Nazwisko]])</f>
        <v>Borys Biedal</v>
      </c>
      <c r="H78" s="4" t="s">
        <v>1218</v>
      </c>
      <c r="I78" s="2">
        <v>132</v>
      </c>
    </row>
    <row r="79" spans="1:9" x14ac:dyDescent="0.25">
      <c r="A79" s="1">
        <v>42747</v>
      </c>
      <c r="B79" s="2" t="s">
        <v>87</v>
      </c>
      <c r="C79" s="2" t="s">
        <v>124</v>
      </c>
      <c r="D79">
        <v>22</v>
      </c>
      <c r="E79" t="str">
        <f>_xlfn.CONCAT(makulatura4[[#This Row],[Imie]]," ",makulatura4[[#This Row],[Nazwisko]])</f>
        <v>Ewa Tysz</v>
      </c>
      <c r="H79" s="4" t="s">
        <v>1061</v>
      </c>
      <c r="I79" s="2">
        <v>132</v>
      </c>
    </row>
    <row r="80" spans="1:9" x14ac:dyDescent="0.25">
      <c r="A80" s="1">
        <v>42747</v>
      </c>
      <c r="B80" s="2" t="s">
        <v>55</v>
      </c>
      <c r="C80" s="2" t="s">
        <v>125</v>
      </c>
      <c r="D80">
        <v>46</v>
      </c>
      <c r="E80" t="str">
        <f>_xlfn.CONCAT(makulatura4[[#This Row],[Imie]]," ",makulatura4[[#This Row],[Nazwisko]])</f>
        <v>Anna Minska</v>
      </c>
      <c r="H80" s="4" t="s">
        <v>1074</v>
      </c>
      <c r="I80" s="2">
        <v>132</v>
      </c>
    </row>
    <row r="81" spans="1:9" x14ac:dyDescent="0.25">
      <c r="A81" s="1">
        <v>42747</v>
      </c>
      <c r="B81" s="2" t="s">
        <v>79</v>
      </c>
      <c r="C81" s="2" t="s">
        <v>80</v>
      </c>
      <c r="D81">
        <v>15</v>
      </c>
      <c r="E81" t="str">
        <f>_xlfn.CONCAT(makulatura4[[#This Row],[Imie]]," ",makulatura4[[#This Row],[Nazwisko]])</f>
        <v>Adelajda Zylinska</v>
      </c>
      <c r="H81" s="4" t="s">
        <v>926</v>
      </c>
      <c r="I81" s="2">
        <v>132</v>
      </c>
    </row>
    <row r="82" spans="1:9" x14ac:dyDescent="0.25">
      <c r="A82" s="1">
        <v>42747</v>
      </c>
      <c r="B82" s="2" t="s">
        <v>126</v>
      </c>
      <c r="C82" s="2" t="s">
        <v>127</v>
      </c>
      <c r="D82">
        <v>30</v>
      </c>
      <c r="E82" t="str">
        <f>_xlfn.CONCAT(makulatura4[[#This Row],[Imie]]," ",makulatura4[[#This Row],[Nazwisko]])</f>
        <v>Wieslaw Kasza</v>
      </c>
      <c r="H82" s="4" t="s">
        <v>1155</v>
      </c>
      <c r="I82" s="2">
        <v>131</v>
      </c>
    </row>
    <row r="83" spans="1:9" x14ac:dyDescent="0.25">
      <c r="A83" s="1">
        <v>42747</v>
      </c>
      <c r="B83" s="2" t="s">
        <v>128</v>
      </c>
      <c r="C83" s="2" t="s">
        <v>129</v>
      </c>
      <c r="D83">
        <v>31</v>
      </c>
      <c r="E83" t="str">
        <f>_xlfn.CONCAT(makulatura4[[#This Row],[Imie]]," ",makulatura4[[#This Row],[Nazwisko]])</f>
        <v>Wojciech Katowicki</v>
      </c>
      <c r="H83" s="4" t="s">
        <v>1097</v>
      </c>
      <c r="I83" s="2">
        <v>131</v>
      </c>
    </row>
    <row r="84" spans="1:9" x14ac:dyDescent="0.25">
      <c r="A84" s="1">
        <v>42748</v>
      </c>
      <c r="B84" s="2" t="s">
        <v>119</v>
      </c>
      <c r="C84" s="2" t="s">
        <v>120</v>
      </c>
      <c r="D84">
        <v>5</v>
      </c>
      <c r="E84" t="str">
        <f>_xlfn.CONCAT(makulatura4[[#This Row],[Imie]]," ",makulatura4[[#This Row],[Nazwisko]])</f>
        <v>Kamil Naderka</v>
      </c>
      <c r="H84" s="4" t="s">
        <v>924</v>
      </c>
      <c r="I84" s="2">
        <v>131</v>
      </c>
    </row>
    <row r="85" spans="1:9" x14ac:dyDescent="0.25">
      <c r="A85" s="1">
        <v>42748</v>
      </c>
      <c r="B85" s="2" t="s">
        <v>97</v>
      </c>
      <c r="C85" s="2" t="s">
        <v>130</v>
      </c>
      <c r="D85">
        <v>26</v>
      </c>
      <c r="E85" t="str">
        <f>_xlfn.CONCAT(makulatura4[[#This Row],[Imie]]," ",makulatura4[[#This Row],[Nazwisko]])</f>
        <v>Mateusz Sardo</v>
      </c>
      <c r="H85" s="4" t="s">
        <v>743</v>
      </c>
      <c r="I85" s="2">
        <v>131</v>
      </c>
    </row>
    <row r="86" spans="1:9" x14ac:dyDescent="0.25">
      <c r="A86" s="1">
        <v>42748</v>
      </c>
      <c r="B86" s="2" t="s">
        <v>131</v>
      </c>
      <c r="C86" s="2" t="s">
        <v>132</v>
      </c>
      <c r="D86">
        <v>10</v>
      </c>
      <c r="E86" t="str">
        <f>_xlfn.CONCAT(makulatura4[[#This Row],[Imie]]," ",makulatura4[[#This Row],[Nazwisko]])</f>
        <v>Ewelina Gorecka</v>
      </c>
      <c r="H86" s="4" t="s">
        <v>899</v>
      </c>
      <c r="I86" s="2">
        <v>131</v>
      </c>
    </row>
    <row r="87" spans="1:9" x14ac:dyDescent="0.25">
      <c r="A87" s="1">
        <v>42748</v>
      </c>
      <c r="B87" s="2" t="s">
        <v>133</v>
      </c>
      <c r="C87" s="2" t="s">
        <v>134</v>
      </c>
      <c r="D87">
        <v>29</v>
      </c>
      <c r="E87" t="str">
        <f>_xlfn.CONCAT(makulatura4[[#This Row],[Imie]]," ",makulatura4[[#This Row],[Nazwisko]])</f>
        <v>Dominika Nowakowska</v>
      </c>
      <c r="H87" s="4" t="s">
        <v>1176</v>
      </c>
      <c r="I87" s="2">
        <v>130</v>
      </c>
    </row>
    <row r="88" spans="1:9" x14ac:dyDescent="0.25">
      <c r="A88" s="1">
        <v>42748</v>
      </c>
      <c r="B88" s="2" t="s">
        <v>57</v>
      </c>
      <c r="C88" s="2" t="s">
        <v>135</v>
      </c>
      <c r="D88">
        <v>40</v>
      </c>
      <c r="E88" t="str">
        <f>_xlfn.CONCAT(makulatura4[[#This Row],[Imie]]," ",makulatura4[[#This Row],[Nazwisko]])</f>
        <v>Patrycja Augustowska</v>
      </c>
      <c r="H88" s="4" t="s">
        <v>1110</v>
      </c>
      <c r="I88" s="2">
        <v>130</v>
      </c>
    </row>
    <row r="89" spans="1:9" x14ac:dyDescent="0.25">
      <c r="A89" s="1">
        <v>42748</v>
      </c>
      <c r="B89" s="2" t="s">
        <v>83</v>
      </c>
      <c r="C89" s="2" t="s">
        <v>136</v>
      </c>
      <c r="D89">
        <v>21</v>
      </c>
      <c r="E89" t="str">
        <f>_xlfn.CONCAT(makulatura4[[#This Row],[Imie]]," ",makulatura4[[#This Row],[Nazwisko]])</f>
        <v>Jan Kaczorowski</v>
      </c>
      <c r="H89" s="4" t="s">
        <v>1142</v>
      </c>
      <c r="I89" s="2">
        <v>130</v>
      </c>
    </row>
    <row r="90" spans="1:9" x14ac:dyDescent="0.25">
      <c r="A90" s="1">
        <v>42748</v>
      </c>
      <c r="B90" s="2" t="s">
        <v>137</v>
      </c>
      <c r="C90" s="2" t="s">
        <v>138</v>
      </c>
      <c r="D90">
        <v>14</v>
      </c>
      <c r="E90" t="str">
        <f>_xlfn.CONCAT(makulatura4[[#This Row],[Imie]]," ",makulatura4[[#This Row],[Nazwisko]])</f>
        <v>Stanislaw Derek</v>
      </c>
      <c r="H90" s="4" t="s">
        <v>949</v>
      </c>
      <c r="I90" s="2">
        <v>130</v>
      </c>
    </row>
    <row r="91" spans="1:9" x14ac:dyDescent="0.25">
      <c r="A91" s="1">
        <v>42748</v>
      </c>
      <c r="B91" s="2" t="s">
        <v>139</v>
      </c>
      <c r="C91" s="2" t="s">
        <v>140</v>
      </c>
      <c r="D91">
        <v>26</v>
      </c>
      <c r="E91" t="str">
        <f>_xlfn.CONCAT(makulatura4[[#This Row],[Imie]]," ",makulatura4[[#This Row],[Nazwisko]])</f>
        <v>Mariola Las</v>
      </c>
      <c r="H91" s="4" t="s">
        <v>907</v>
      </c>
      <c r="I91" s="2">
        <v>130</v>
      </c>
    </row>
    <row r="92" spans="1:9" x14ac:dyDescent="0.25">
      <c r="A92" s="1">
        <v>42748</v>
      </c>
      <c r="B92" s="2" t="s">
        <v>141</v>
      </c>
      <c r="C92" s="2" t="s">
        <v>142</v>
      </c>
      <c r="D92">
        <v>8</v>
      </c>
      <c r="E92" t="str">
        <f>_xlfn.CONCAT(makulatura4[[#This Row],[Imie]]," ",makulatura4[[#This Row],[Nazwisko]])</f>
        <v>Joanna Baranska</v>
      </c>
      <c r="H92" s="4" t="s">
        <v>1127</v>
      </c>
      <c r="I92" s="2">
        <v>129</v>
      </c>
    </row>
    <row r="93" spans="1:9" x14ac:dyDescent="0.25">
      <c r="A93" s="1">
        <v>42751</v>
      </c>
      <c r="B93" s="2" t="s">
        <v>143</v>
      </c>
      <c r="C93" s="2" t="s">
        <v>47</v>
      </c>
      <c r="D93">
        <v>56</v>
      </c>
      <c r="E93" t="str">
        <f>_xlfn.CONCAT(makulatura4[[#This Row],[Imie]]," ",makulatura4[[#This Row],[Nazwisko]])</f>
        <v>Przemyslaw Marek</v>
      </c>
      <c r="H93" s="4" t="s">
        <v>982</v>
      </c>
      <c r="I93" s="2">
        <v>129</v>
      </c>
    </row>
    <row r="94" spans="1:9" x14ac:dyDescent="0.25">
      <c r="A94" s="1">
        <v>42751</v>
      </c>
      <c r="B94" s="2" t="s">
        <v>101</v>
      </c>
      <c r="C94" s="2" t="s">
        <v>102</v>
      </c>
      <c r="D94">
        <v>3</v>
      </c>
      <c r="E94" t="str">
        <f>_xlfn.CONCAT(makulatura4[[#This Row],[Imie]]," ",makulatura4[[#This Row],[Nazwisko]])</f>
        <v>Maria Borowska</v>
      </c>
      <c r="H94" s="4" t="s">
        <v>1100</v>
      </c>
      <c r="I94" s="2">
        <v>128</v>
      </c>
    </row>
    <row r="95" spans="1:9" x14ac:dyDescent="0.25">
      <c r="A95" s="1">
        <v>42751</v>
      </c>
      <c r="B95" s="2" t="s">
        <v>144</v>
      </c>
      <c r="C95" s="2" t="s">
        <v>145</v>
      </c>
      <c r="D95">
        <v>47</v>
      </c>
      <c r="E95" t="str">
        <f>_xlfn.CONCAT(makulatura4[[#This Row],[Imie]]," ",makulatura4[[#This Row],[Nazwisko]])</f>
        <v>Aleksander Wojciechowski</v>
      </c>
      <c r="H95" s="4" t="s">
        <v>1079</v>
      </c>
      <c r="I95" s="2">
        <v>128</v>
      </c>
    </row>
    <row r="96" spans="1:9" x14ac:dyDescent="0.25">
      <c r="A96" s="1">
        <v>42751</v>
      </c>
      <c r="B96" s="2" t="s">
        <v>25</v>
      </c>
      <c r="C96" s="2" t="s">
        <v>146</v>
      </c>
      <c r="D96">
        <v>19</v>
      </c>
      <c r="E96" t="str">
        <f>_xlfn.CONCAT(makulatura4[[#This Row],[Imie]]," ",makulatura4[[#This Row],[Nazwisko]])</f>
        <v>Leon Price</v>
      </c>
      <c r="H96" s="4" t="s">
        <v>735</v>
      </c>
      <c r="I96" s="2">
        <v>128</v>
      </c>
    </row>
    <row r="97" spans="1:9" x14ac:dyDescent="0.25">
      <c r="A97" s="1">
        <v>42751</v>
      </c>
      <c r="B97" s="2" t="s">
        <v>147</v>
      </c>
      <c r="C97" s="2" t="s">
        <v>148</v>
      </c>
      <c r="D97">
        <v>14</v>
      </c>
      <c r="E97" t="str">
        <f>_xlfn.CONCAT(makulatura4[[#This Row],[Imie]]," ",makulatura4[[#This Row],[Nazwisko]])</f>
        <v>Mariusz Brydzinski</v>
      </c>
      <c r="H97" s="4" t="s">
        <v>798</v>
      </c>
      <c r="I97" s="2">
        <v>128</v>
      </c>
    </row>
    <row r="98" spans="1:9" x14ac:dyDescent="0.25">
      <c r="A98" s="1">
        <v>42751</v>
      </c>
      <c r="B98" s="2" t="s">
        <v>83</v>
      </c>
      <c r="C98" s="2" t="s">
        <v>149</v>
      </c>
      <c r="D98">
        <v>47</v>
      </c>
      <c r="E98" t="str">
        <f>_xlfn.CONCAT(makulatura4[[#This Row],[Imie]]," ",makulatura4[[#This Row],[Nazwisko]])</f>
        <v>Jan Bikot</v>
      </c>
      <c r="H98" s="4" t="s">
        <v>993</v>
      </c>
      <c r="I98" s="2">
        <v>128</v>
      </c>
    </row>
    <row r="99" spans="1:9" x14ac:dyDescent="0.25">
      <c r="A99" s="1">
        <v>42751</v>
      </c>
      <c r="B99" s="2" t="s">
        <v>150</v>
      </c>
      <c r="C99" s="2" t="s">
        <v>151</v>
      </c>
      <c r="D99">
        <v>13</v>
      </c>
      <c r="E99" t="str">
        <f>_xlfn.CONCAT(makulatura4[[#This Row],[Imie]]," ",makulatura4[[#This Row],[Nazwisko]])</f>
        <v>Krzysztof Konieckiewicz</v>
      </c>
      <c r="H99" s="4" t="s">
        <v>1012</v>
      </c>
      <c r="I99" s="2">
        <v>127</v>
      </c>
    </row>
    <row r="100" spans="1:9" x14ac:dyDescent="0.25">
      <c r="A100" s="1">
        <v>42751</v>
      </c>
      <c r="B100" s="2" t="s">
        <v>152</v>
      </c>
      <c r="C100" s="2" t="s">
        <v>153</v>
      </c>
      <c r="D100">
        <v>27</v>
      </c>
      <c r="E100" t="str">
        <f>_xlfn.CONCAT(makulatura4[[#This Row],[Imie]]," ",makulatura4[[#This Row],[Nazwisko]])</f>
        <v>Natalia Belicka</v>
      </c>
      <c r="H100" s="4" t="s">
        <v>1199</v>
      </c>
      <c r="I100" s="2">
        <v>127</v>
      </c>
    </row>
    <row r="101" spans="1:9" x14ac:dyDescent="0.25">
      <c r="A101" s="1">
        <v>42751</v>
      </c>
      <c r="B101" s="2" t="s">
        <v>87</v>
      </c>
      <c r="C101" s="2" t="s">
        <v>154</v>
      </c>
      <c r="D101">
        <v>23</v>
      </c>
      <c r="E101" t="str">
        <f>_xlfn.CONCAT(makulatura4[[#This Row],[Imie]]," ",makulatura4[[#This Row],[Nazwisko]])</f>
        <v>Ewa Wojna</v>
      </c>
      <c r="H101" s="4" t="s">
        <v>840</v>
      </c>
      <c r="I101" s="2">
        <v>127</v>
      </c>
    </row>
    <row r="102" spans="1:9" x14ac:dyDescent="0.25">
      <c r="A102" s="1">
        <v>42752</v>
      </c>
      <c r="B102" s="2" t="s">
        <v>155</v>
      </c>
      <c r="C102" s="2" t="s">
        <v>156</v>
      </c>
      <c r="D102">
        <v>39</v>
      </c>
      <c r="E102" t="str">
        <f>_xlfn.CONCAT(makulatura4[[#This Row],[Imie]]," ",makulatura4[[#This Row],[Nazwisko]])</f>
        <v>Jacek Ciosinski</v>
      </c>
      <c r="H102" s="4" t="s">
        <v>1145</v>
      </c>
      <c r="I102" s="2">
        <v>126</v>
      </c>
    </row>
    <row r="103" spans="1:9" x14ac:dyDescent="0.25">
      <c r="A103" s="1">
        <v>42752</v>
      </c>
      <c r="B103" s="2" t="s">
        <v>157</v>
      </c>
      <c r="C103" s="2" t="s">
        <v>115</v>
      </c>
      <c r="D103">
        <v>19</v>
      </c>
      <c r="E103" t="str">
        <f>_xlfn.CONCAT(makulatura4[[#This Row],[Imie]]," ",makulatura4[[#This Row],[Nazwisko]])</f>
        <v>Jolanta Bicz</v>
      </c>
      <c r="H103" s="4" t="s">
        <v>963</v>
      </c>
      <c r="I103" s="2">
        <v>126</v>
      </c>
    </row>
    <row r="104" spans="1:9" x14ac:dyDescent="0.25">
      <c r="A104" s="1">
        <v>42752</v>
      </c>
      <c r="B104" s="2" t="s">
        <v>39</v>
      </c>
      <c r="C104" s="2" t="s">
        <v>158</v>
      </c>
      <c r="D104">
        <v>17</v>
      </c>
      <c r="E104" t="str">
        <f>_xlfn.CONCAT(makulatura4[[#This Row],[Imie]]," ",makulatura4[[#This Row],[Nazwisko]])</f>
        <v>Jakub Ręczmin</v>
      </c>
      <c r="H104" s="4" t="s">
        <v>779</v>
      </c>
      <c r="I104" s="2">
        <v>126</v>
      </c>
    </row>
    <row r="105" spans="1:9" x14ac:dyDescent="0.25">
      <c r="A105" s="1">
        <v>42752</v>
      </c>
      <c r="B105" s="2" t="s">
        <v>65</v>
      </c>
      <c r="C105" s="2" t="s">
        <v>159</v>
      </c>
      <c r="D105">
        <v>30</v>
      </c>
      <c r="E105" t="str">
        <f>_xlfn.CONCAT(makulatura4[[#This Row],[Imie]]," ",makulatura4[[#This Row],[Nazwisko]])</f>
        <v>Michal Norek</v>
      </c>
      <c r="H105" s="4" t="s">
        <v>956</v>
      </c>
      <c r="I105" s="2">
        <v>125</v>
      </c>
    </row>
    <row r="106" spans="1:9" x14ac:dyDescent="0.25">
      <c r="A106" s="1">
        <v>42752</v>
      </c>
      <c r="B106" s="2" t="s">
        <v>34</v>
      </c>
      <c r="C106" s="2" t="s">
        <v>160</v>
      </c>
      <c r="D106">
        <v>22</v>
      </c>
      <c r="E106" t="str">
        <f>_xlfn.CONCAT(makulatura4[[#This Row],[Imie]]," ",makulatura4[[#This Row],[Nazwisko]])</f>
        <v>Julia Stuhr</v>
      </c>
      <c r="H106" s="4" t="s">
        <v>851</v>
      </c>
      <c r="I106" s="2">
        <v>125</v>
      </c>
    </row>
    <row r="107" spans="1:9" x14ac:dyDescent="0.25">
      <c r="A107" s="1">
        <v>42752</v>
      </c>
      <c r="B107" s="2" t="s">
        <v>161</v>
      </c>
      <c r="C107" s="2" t="s">
        <v>162</v>
      </c>
      <c r="D107">
        <v>8</v>
      </c>
      <c r="E107" t="str">
        <f>_xlfn.CONCAT(makulatura4[[#This Row],[Imie]]," ",makulatura4[[#This Row],[Nazwisko]])</f>
        <v>Anita Pawelczyk</v>
      </c>
      <c r="H107" s="4" t="s">
        <v>906</v>
      </c>
      <c r="I107" s="2">
        <v>125</v>
      </c>
    </row>
    <row r="108" spans="1:9" x14ac:dyDescent="0.25">
      <c r="A108" s="1">
        <v>42752</v>
      </c>
      <c r="B108" s="2" t="s">
        <v>23</v>
      </c>
      <c r="C108" s="2" t="s">
        <v>163</v>
      </c>
      <c r="D108">
        <v>20</v>
      </c>
      <c r="E108" t="str">
        <f>_xlfn.CONCAT(makulatura4[[#This Row],[Imie]]," ",makulatura4[[#This Row],[Nazwisko]])</f>
        <v>Alicja Chmiel</v>
      </c>
      <c r="H108" s="4" t="s">
        <v>1144</v>
      </c>
      <c r="I108" s="2">
        <v>124</v>
      </c>
    </row>
    <row r="109" spans="1:9" x14ac:dyDescent="0.25">
      <c r="A109" s="1">
        <v>42752</v>
      </c>
      <c r="B109" s="2" t="s">
        <v>39</v>
      </c>
      <c r="C109" s="2" t="s">
        <v>40</v>
      </c>
      <c r="D109">
        <v>20</v>
      </c>
      <c r="E109" t="str">
        <f>_xlfn.CONCAT(makulatura4[[#This Row],[Imie]]," ",makulatura4[[#This Row],[Nazwisko]])</f>
        <v>Jakub Jedruszek</v>
      </c>
      <c r="H109" s="4" t="s">
        <v>1082</v>
      </c>
      <c r="I109" s="2">
        <v>124</v>
      </c>
    </row>
    <row r="110" spans="1:9" x14ac:dyDescent="0.25">
      <c r="A110" s="1">
        <v>42752</v>
      </c>
      <c r="B110" s="2" t="s">
        <v>39</v>
      </c>
      <c r="C110" s="2" t="s">
        <v>164</v>
      </c>
      <c r="D110">
        <v>29</v>
      </c>
      <c r="E110" t="str">
        <f>_xlfn.CONCAT(makulatura4[[#This Row],[Imie]]," ",makulatura4[[#This Row],[Nazwisko]])</f>
        <v>Jakub Waniek</v>
      </c>
      <c r="H110" s="4" t="s">
        <v>1010</v>
      </c>
      <c r="I110" s="2">
        <v>123</v>
      </c>
    </row>
    <row r="111" spans="1:9" x14ac:dyDescent="0.25">
      <c r="A111" s="1">
        <v>42753</v>
      </c>
      <c r="B111" s="2" t="s">
        <v>81</v>
      </c>
      <c r="C111" s="2" t="s">
        <v>165</v>
      </c>
      <c r="D111">
        <v>42</v>
      </c>
      <c r="E111" t="str">
        <f>_xlfn.CONCAT(makulatura4[[#This Row],[Imie]]," ",makulatura4[[#This Row],[Nazwisko]])</f>
        <v>Karol Milek</v>
      </c>
      <c r="H111" s="4" t="s">
        <v>1295</v>
      </c>
      <c r="I111" s="2">
        <v>123</v>
      </c>
    </row>
    <row r="112" spans="1:9" x14ac:dyDescent="0.25">
      <c r="A112" s="1">
        <v>42753</v>
      </c>
      <c r="B112" s="2" t="s">
        <v>36</v>
      </c>
      <c r="C112" s="2" t="s">
        <v>166</v>
      </c>
      <c r="D112">
        <v>4</v>
      </c>
      <c r="E112" t="str">
        <f>_xlfn.CONCAT(makulatura4[[#This Row],[Imie]]," ",makulatura4[[#This Row],[Nazwisko]])</f>
        <v>Piotr Flis</v>
      </c>
      <c r="H112" s="4" t="s">
        <v>908</v>
      </c>
      <c r="I112" s="2">
        <v>123</v>
      </c>
    </row>
    <row r="113" spans="1:9" x14ac:dyDescent="0.25">
      <c r="A113" s="1">
        <v>42753</v>
      </c>
      <c r="B113" s="2" t="s">
        <v>167</v>
      </c>
      <c r="C113" s="2" t="s">
        <v>168</v>
      </c>
      <c r="D113">
        <v>3</v>
      </c>
      <c r="E113" t="str">
        <f>_xlfn.CONCAT(makulatura4[[#This Row],[Imie]]," ",makulatura4[[#This Row],[Nazwisko]])</f>
        <v>Wanda Sadza</v>
      </c>
      <c r="H113" s="4" t="s">
        <v>861</v>
      </c>
      <c r="I113" s="2">
        <v>123</v>
      </c>
    </row>
    <row r="114" spans="1:9" x14ac:dyDescent="0.25">
      <c r="A114" s="1">
        <v>42753</v>
      </c>
      <c r="B114" s="2" t="s">
        <v>169</v>
      </c>
      <c r="C114" s="2" t="s">
        <v>170</v>
      </c>
      <c r="D114">
        <v>39</v>
      </c>
      <c r="E114" t="str">
        <f>_xlfn.CONCAT(makulatura4[[#This Row],[Imie]]," ",makulatura4[[#This Row],[Nazwisko]])</f>
        <v>Aleks Wojcik</v>
      </c>
      <c r="H114" s="4" t="s">
        <v>813</v>
      </c>
      <c r="I114" s="2">
        <v>123</v>
      </c>
    </row>
    <row r="115" spans="1:9" x14ac:dyDescent="0.25">
      <c r="A115" s="1">
        <v>42753</v>
      </c>
      <c r="B115" s="2" t="s">
        <v>171</v>
      </c>
      <c r="C115" s="2" t="s">
        <v>172</v>
      </c>
      <c r="D115">
        <v>51</v>
      </c>
      <c r="E115" t="str">
        <f>_xlfn.CONCAT(makulatura4[[#This Row],[Imie]]," ",makulatura4[[#This Row],[Nazwisko]])</f>
        <v>Zofia Janczy</v>
      </c>
      <c r="H115" s="4" t="s">
        <v>1114</v>
      </c>
      <c r="I115" s="2">
        <v>121</v>
      </c>
    </row>
    <row r="116" spans="1:9" x14ac:dyDescent="0.25">
      <c r="A116" s="1">
        <v>42753</v>
      </c>
      <c r="B116" s="2" t="s">
        <v>114</v>
      </c>
      <c r="C116" s="2" t="s">
        <v>173</v>
      </c>
      <c r="D116">
        <v>8</v>
      </c>
      <c r="E116" t="str">
        <f>_xlfn.CONCAT(makulatura4[[#This Row],[Imie]]," ",makulatura4[[#This Row],[Nazwisko]])</f>
        <v>Jaroslaw Kopiec</v>
      </c>
      <c r="H116" s="4" t="s">
        <v>1050</v>
      </c>
      <c r="I116" s="2">
        <v>121</v>
      </c>
    </row>
    <row r="117" spans="1:9" x14ac:dyDescent="0.25">
      <c r="A117" s="1">
        <v>42753</v>
      </c>
      <c r="B117" s="2" t="s">
        <v>174</v>
      </c>
      <c r="C117" s="2" t="s">
        <v>175</v>
      </c>
      <c r="D117">
        <v>22</v>
      </c>
      <c r="E117" t="str">
        <f>_xlfn.CONCAT(makulatura4[[#This Row],[Imie]]," ",makulatura4[[#This Row],[Nazwisko]])</f>
        <v>Dorota Adamus</v>
      </c>
      <c r="H117" s="4" t="s">
        <v>1275</v>
      </c>
      <c r="I117" s="2">
        <v>121</v>
      </c>
    </row>
    <row r="118" spans="1:9" x14ac:dyDescent="0.25">
      <c r="A118" s="1">
        <v>42753</v>
      </c>
      <c r="B118" s="2" t="s">
        <v>176</v>
      </c>
      <c r="C118" s="2" t="s">
        <v>177</v>
      </c>
      <c r="D118">
        <v>15</v>
      </c>
      <c r="E118" t="str">
        <f>_xlfn.CONCAT(makulatura4[[#This Row],[Imie]]," ",makulatura4[[#This Row],[Nazwisko]])</f>
        <v>Kinga Kleszcz</v>
      </c>
      <c r="H118" s="4" t="s">
        <v>712</v>
      </c>
      <c r="I118" s="2">
        <v>121</v>
      </c>
    </row>
    <row r="119" spans="1:9" x14ac:dyDescent="0.25">
      <c r="A119" s="1">
        <v>42753</v>
      </c>
      <c r="B119" s="2" t="s">
        <v>178</v>
      </c>
      <c r="C119" s="2" t="s">
        <v>179</v>
      </c>
      <c r="D119">
        <v>10</v>
      </c>
      <c r="E119" t="str">
        <f>_xlfn.CONCAT(makulatura4[[#This Row],[Imie]]," ",makulatura4[[#This Row],[Nazwisko]])</f>
        <v>Malgorzata Wiecek</v>
      </c>
      <c r="H119" s="4" t="s">
        <v>754</v>
      </c>
      <c r="I119" s="2">
        <v>121</v>
      </c>
    </row>
    <row r="120" spans="1:9" x14ac:dyDescent="0.25">
      <c r="A120" s="1">
        <v>42754</v>
      </c>
      <c r="B120" s="2" t="s">
        <v>36</v>
      </c>
      <c r="C120" s="2" t="s">
        <v>180</v>
      </c>
      <c r="D120">
        <v>21</v>
      </c>
      <c r="E120" t="str">
        <f>_xlfn.CONCAT(makulatura4[[#This Row],[Imie]]," ",makulatura4[[#This Row],[Nazwisko]])</f>
        <v>Piotr Felus</v>
      </c>
      <c r="H120" s="4" t="s">
        <v>1234</v>
      </c>
      <c r="I120" s="2">
        <v>120</v>
      </c>
    </row>
    <row r="121" spans="1:9" x14ac:dyDescent="0.25">
      <c r="A121" s="1">
        <v>42754</v>
      </c>
      <c r="B121" s="2" t="s">
        <v>97</v>
      </c>
      <c r="C121" s="2" t="s">
        <v>181</v>
      </c>
      <c r="D121">
        <v>34</v>
      </c>
      <c r="E121" t="str">
        <f>_xlfn.CONCAT(makulatura4[[#This Row],[Imie]]," ",makulatura4[[#This Row],[Nazwisko]])</f>
        <v>Mateusz Uklej</v>
      </c>
      <c r="H121" s="4" t="s">
        <v>923</v>
      </c>
      <c r="I121" s="2">
        <v>120</v>
      </c>
    </row>
    <row r="122" spans="1:9" x14ac:dyDescent="0.25">
      <c r="A122" s="1">
        <v>42754</v>
      </c>
      <c r="B122" s="2" t="s">
        <v>34</v>
      </c>
      <c r="C122" s="2" t="s">
        <v>182</v>
      </c>
      <c r="D122">
        <v>43</v>
      </c>
      <c r="E122" t="str">
        <f>_xlfn.CONCAT(makulatura4[[#This Row],[Imie]]," ",makulatura4[[#This Row],[Nazwisko]])</f>
        <v>Julia Kielecka</v>
      </c>
      <c r="H122" s="4" t="s">
        <v>958</v>
      </c>
      <c r="I122" s="2">
        <v>120</v>
      </c>
    </row>
    <row r="123" spans="1:9" x14ac:dyDescent="0.25">
      <c r="A123" s="1">
        <v>42754</v>
      </c>
      <c r="B123" s="2" t="s">
        <v>114</v>
      </c>
      <c r="C123" s="2" t="s">
        <v>173</v>
      </c>
      <c r="D123">
        <v>24</v>
      </c>
      <c r="E123" t="str">
        <f>_xlfn.CONCAT(makulatura4[[#This Row],[Imie]]," ",makulatura4[[#This Row],[Nazwisko]])</f>
        <v>Jaroslaw Kopiec</v>
      </c>
      <c r="H123" s="4" t="s">
        <v>825</v>
      </c>
      <c r="I123" s="2">
        <v>120</v>
      </c>
    </row>
    <row r="124" spans="1:9" x14ac:dyDescent="0.25">
      <c r="A124" s="1">
        <v>42754</v>
      </c>
      <c r="B124" s="2" t="s">
        <v>117</v>
      </c>
      <c r="C124" s="2" t="s">
        <v>183</v>
      </c>
      <c r="D124">
        <v>29</v>
      </c>
      <c r="E124" t="str">
        <f>_xlfn.CONCAT(makulatura4[[#This Row],[Imie]]," ",makulatura4[[#This Row],[Nazwisko]])</f>
        <v>Edward Zdunek</v>
      </c>
      <c r="H124" s="4" t="s">
        <v>937</v>
      </c>
      <c r="I124" s="2">
        <v>120</v>
      </c>
    </row>
    <row r="125" spans="1:9" x14ac:dyDescent="0.25">
      <c r="A125" s="1">
        <v>42754</v>
      </c>
      <c r="B125" s="2" t="s">
        <v>55</v>
      </c>
      <c r="C125" s="2" t="s">
        <v>184</v>
      </c>
      <c r="D125">
        <v>5</v>
      </c>
      <c r="E125" t="str">
        <f>_xlfn.CONCAT(makulatura4[[#This Row],[Imie]]," ",makulatura4[[#This Row],[Nazwisko]])</f>
        <v>Anna Trzebiatowska</v>
      </c>
      <c r="H125" s="4" t="s">
        <v>794</v>
      </c>
      <c r="I125" s="2">
        <v>120</v>
      </c>
    </row>
    <row r="126" spans="1:9" x14ac:dyDescent="0.25">
      <c r="A126" s="1">
        <v>42754</v>
      </c>
      <c r="B126" s="2" t="s">
        <v>41</v>
      </c>
      <c r="C126" s="2" t="s">
        <v>42</v>
      </c>
      <c r="D126">
        <v>54</v>
      </c>
      <c r="E126" t="str">
        <f>_xlfn.CONCAT(makulatura4[[#This Row],[Imie]]," ",makulatura4[[#This Row],[Nazwisko]])</f>
        <v>Marta Opolska</v>
      </c>
      <c r="H126" s="4" t="s">
        <v>1224</v>
      </c>
      <c r="I126" s="2">
        <v>119</v>
      </c>
    </row>
    <row r="127" spans="1:9" x14ac:dyDescent="0.25">
      <c r="A127" s="1">
        <v>42754</v>
      </c>
      <c r="B127" s="2" t="s">
        <v>30</v>
      </c>
      <c r="C127" s="2" t="s">
        <v>185</v>
      </c>
      <c r="D127">
        <v>29</v>
      </c>
      <c r="E127" t="str">
        <f>_xlfn.CONCAT(makulatura4[[#This Row],[Imie]]," ",makulatura4[[#This Row],[Nazwisko]])</f>
        <v>Maciej Laskowski</v>
      </c>
      <c r="H127" s="4" t="s">
        <v>1296</v>
      </c>
      <c r="I127" s="2">
        <v>119</v>
      </c>
    </row>
    <row r="128" spans="1:9" x14ac:dyDescent="0.25">
      <c r="A128" s="1">
        <v>42754</v>
      </c>
      <c r="B128" s="2" t="s">
        <v>155</v>
      </c>
      <c r="C128" s="2" t="s">
        <v>186</v>
      </c>
      <c r="D128">
        <v>4</v>
      </c>
      <c r="E128" t="str">
        <f>_xlfn.CONCAT(makulatura4[[#This Row],[Imie]]," ",makulatura4[[#This Row],[Nazwisko]])</f>
        <v>Jacek Szypulski</v>
      </c>
      <c r="H128" s="4" t="s">
        <v>1210</v>
      </c>
      <c r="I128" s="2">
        <v>119</v>
      </c>
    </row>
    <row r="129" spans="1:9" x14ac:dyDescent="0.25">
      <c r="A129" s="1">
        <v>42755</v>
      </c>
      <c r="B129" s="2" t="s">
        <v>101</v>
      </c>
      <c r="C129" s="2" t="s">
        <v>187</v>
      </c>
      <c r="D129">
        <v>12</v>
      </c>
      <c r="E129" t="str">
        <f>_xlfn.CONCAT(makulatura4[[#This Row],[Imie]]," ",makulatura4[[#This Row],[Nazwisko]])</f>
        <v>Maria Drozd</v>
      </c>
      <c r="H129" s="4" t="s">
        <v>733</v>
      </c>
      <c r="I129" s="2">
        <v>119</v>
      </c>
    </row>
    <row r="130" spans="1:9" x14ac:dyDescent="0.25">
      <c r="A130" s="1">
        <v>42755</v>
      </c>
      <c r="B130" s="2" t="s">
        <v>97</v>
      </c>
      <c r="C130" s="2" t="s">
        <v>181</v>
      </c>
      <c r="D130">
        <v>14</v>
      </c>
      <c r="E130" t="str">
        <f>_xlfn.CONCAT(makulatura4[[#This Row],[Imie]]," ",makulatura4[[#This Row],[Nazwisko]])</f>
        <v>Mateusz Uklej</v>
      </c>
      <c r="H130" s="4" t="s">
        <v>921</v>
      </c>
      <c r="I130" s="2">
        <v>119</v>
      </c>
    </row>
    <row r="131" spans="1:9" x14ac:dyDescent="0.25">
      <c r="A131" s="1">
        <v>42755</v>
      </c>
      <c r="B131" s="2" t="s">
        <v>97</v>
      </c>
      <c r="C131" s="2" t="s">
        <v>188</v>
      </c>
      <c r="D131">
        <v>46</v>
      </c>
      <c r="E131" t="str">
        <f>_xlfn.CONCAT(makulatura4[[#This Row],[Imie]]," ",makulatura4[[#This Row],[Nazwisko]])</f>
        <v>Mateusz Kowalczyk</v>
      </c>
      <c r="H131" s="4" t="s">
        <v>920</v>
      </c>
      <c r="I131" s="2">
        <v>118</v>
      </c>
    </row>
    <row r="132" spans="1:9" x14ac:dyDescent="0.25">
      <c r="A132" s="1">
        <v>42755</v>
      </c>
      <c r="B132" s="2" t="s">
        <v>189</v>
      </c>
      <c r="C132" s="2" t="s">
        <v>190</v>
      </c>
      <c r="D132">
        <v>13</v>
      </c>
      <c r="E132" t="str">
        <f>_xlfn.CONCAT(makulatura4[[#This Row],[Imie]]," ",makulatura4[[#This Row],[Nazwisko]])</f>
        <v>Weronika Zdroj</v>
      </c>
      <c r="H132" s="4" t="s">
        <v>1115</v>
      </c>
      <c r="I132" s="2">
        <v>117</v>
      </c>
    </row>
    <row r="133" spans="1:9" x14ac:dyDescent="0.25">
      <c r="A133" s="1">
        <v>42755</v>
      </c>
      <c r="B133" s="2" t="s">
        <v>53</v>
      </c>
      <c r="C133" s="2" t="s">
        <v>191</v>
      </c>
      <c r="D133">
        <v>15</v>
      </c>
      <c r="E133" t="str">
        <f>_xlfn.CONCAT(makulatura4[[#This Row],[Imie]]," ",makulatura4[[#This Row],[Nazwisko]])</f>
        <v>Wieslawa Biczysko</v>
      </c>
      <c r="H133" s="4" t="s">
        <v>1103</v>
      </c>
      <c r="I133" s="2">
        <v>117</v>
      </c>
    </row>
    <row r="134" spans="1:9" x14ac:dyDescent="0.25">
      <c r="A134" s="1">
        <v>42755</v>
      </c>
      <c r="B134" s="2" t="s">
        <v>47</v>
      </c>
      <c r="C134" s="2" t="s">
        <v>192</v>
      </c>
      <c r="D134">
        <v>38</v>
      </c>
      <c r="E134" t="str">
        <f>_xlfn.CONCAT(makulatura4[[#This Row],[Imie]]," ",makulatura4[[#This Row],[Nazwisko]])</f>
        <v>Marek Nowakowski</v>
      </c>
      <c r="H134" s="4" t="s">
        <v>756</v>
      </c>
      <c r="I134" s="2">
        <v>117</v>
      </c>
    </row>
    <row r="135" spans="1:9" x14ac:dyDescent="0.25">
      <c r="A135" s="1">
        <v>42755</v>
      </c>
      <c r="B135" s="2" t="s">
        <v>193</v>
      </c>
      <c r="C135" s="2" t="s">
        <v>194</v>
      </c>
      <c r="D135">
        <v>27</v>
      </c>
      <c r="E135" t="str">
        <f>_xlfn.CONCAT(makulatura4[[#This Row],[Imie]]," ",makulatura4[[#This Row],[Nazwisko]])</f>
        <v>Karolina Welc</v>
      </c>
      <c r="H135" s="4" t="s">
        <v>863</v>
      </c>
      <c r="I135" s="2">
        <v>117</v>
      </c>
    </row>
    <row r="136" spans="1:9" x14ac:dyDescent="0.25">
      <c r="A136" s="1">
        <v>42755</v>
      </c>
      <c r="B136" s="2" t="s">
        <v>87</v>
      </c>
      <c r="C136" s="2" t="s">
        <v>88</v>
      </c>
      <c r="D136">
        <v>49</v>
      </c>
      <c r="E136" t="str">
        <f>_xlfn.CONCAT(makulatura4[[#This Row],[Imie]]," ",makulatura4[[#This Row],[Nazwisko]])</f>
        <v>Ewa Stoch</v>
      </c>
      <c r="H136" s="4" t="s">
        <v>905</v>
      </c>
      <c r="I136" s="2">
        <v>117</v>
      </c>
    </row>
    <row r="137" spans="1:9" x14ac:dyDescent="0.25">
      <c r="A137" s="1">
        <v>42755</v>
      </c>
      <c r="B137" s="2" t="s">
        <v>51</v>
      </c>
      <c r="C137" s="2" t="s">
        <v>52</v>
      </c>
      <c r="D137">
        <v>17</v>
      </c>
      <c r="E137" t="str">
        <f>_xlfn.CONCAT(makulatura4[[#This Row],[Imie]]," ",makulatura4[[#This Row],[Nazwisko]])</f>
        <v>Barbara Podobinska</v>
      </c>
      <c r="H137" s="4" t="s">
        <v>1290</v>
      </c>
      <c r="I137" s="2">
        <v>116</v>
      </c>
    </row>
    <row r="138" spans="1:9" x14ac:dyDescent="0.25">
      <c r="A138" s="1">
        <v>42758</v>
      </c>
      <c r="B138" s="2" t="s">
        <v>195</v>
      </c>
      <c r="C138" s="2" t="s">
        <v>196</v>
      </c>
      <c r="D138">
        <v>10</v>
      </c>
      <c r="E138" t="str">
        <f>_xlfn.CONCAT(makulatura4[[#This Row],[Imie]]," ",makulatura4[[#This Row],[Nazwisko]])</f>
        <v>Emilia Mroczek</v>
      </c>
      <c r="H138" s="4" t="s">
        <v>1057</v>
      </c>
      <c r="I138" s="2">
        <v>116</v>
      </c>
    </row>
    <row r="139" spans="1:9" x14ac:dyDescent="0.25">
      <c r="A139" s="1">
        <v>42758</v>
      </c>
      <c r="B139" s="2" t="s">
        <v>101</v>
      </c>
      <c r="C139" s="2" t="s">
        <v>187</v>
      </c>
      <c r="D139">
        <v>12</v>
      </c>
      <c r="E139" t="str">
        <f>_xlfn.CONCAT(makulatura4[[#This Row],[Imie]]," ",makulatura4[[#This Row],[Nazwisko]])</f>
        <v>Maria Drozd</v>
      </c>
      <c r="H139" s="4" t="s">
        <v>1181</v>
      </c>
      <c r="I139" s="2">
        <v>116</v>
      </c>
    </row>
    <row r="140" spans="1:9" x14ac:dyDescent="0.25">
      <c r="A140" s="1">
        <v>42758</v>
      </c>
      <c r="B140" s="2" t="s">
        <v>4</v>
      </c>
      <c r="C140" s="2" t="s">
        <v>197</v>
      </c>
      <c r="D140">
        <v>42</v>
      </c>
      <c r="E140" t="str">
        <f>_xlfn.CONCAT(makulatura4[[#This Row],[Imie]]," ",makulatura4[[#This Row],[Nazwisko]])</f>
        <v>Agnieszka Antos</v>
      </c>
      <c r="H140" s="4" t="s">
        <v>1028</v>
      </c>
      <c r="I140" s="2">
        <v>116</v>
      </c>
    </row>
    <row r="141" spans="1:9" x14ac:dyDescent="0.25">
      <c r="A141" s="1">
        <v>42758</v>
      </c>
      <c r="B141" s="2" t="s">
        <v>198</v>
      </c>
      <c r="C141" s="2" t="s">
        <v>199</v>
      </c>
      <c r="D141">
        <v>25</v>
      </c>
      <c r="E141" t="str">
        <f>_xlfn.CONCAT(makulatura4[[#This Row],[Imie]]," ",makulatura4[[#This Row],[Nazwisko]])</f>
        <v>Sabina Wilk</v>
      </c>
      <c r="H141" s="4" t="s">
        <v>816</v>
      </c>
      <c r="I141" s="2">
        <v>116</v>
      </c>
    </row>
    <row r="142" spans="1:9" x14ac:dyDescent="0.25">
      <c r="A142" s="1">
        <v>42758</v>
      </c>
      <c r="B142" s="2" t="s">
        <v>117</v>
      </c>
      <c r="C142" s="2" t="s">
        <v>118</v>
      </c>
      <c r="D142">
        <v>47</v>
      </c>
      <c r="E142" t="str">
        <f>_xlfn.CONCAT(makulatura4[[#This Row],[Imie]]," ",makulatura4[[#This Row],[Nazwisko]])</f>
        <v>Edward Snopek</v>
      </c>
      <c r="H142" s="4" t="s">
        <v>792</v>
      </c>
      <c r="I142" s="2">
        <v>116</v>
      </c>
    </row>
    <row r="143" spans="1:9" x14ac:dyDescent="0.25">
      <c r="A143" s="1">
        <v>42758</v>
      </c>
      <c r="B143" s="2" t="s">
        <v>150</v>
      </c>
      <c r="C143" s="2" t="s">
        <v>200</v>
      </c>
      <c r="D143">
        <v>14</v>
      </c>
      <c r="E143" t="str">
        <f>_xlfn.CONCAT(makulatura4[[#This Row],[Imie]]," ",makulatura4[[#This Row],[Nazwisko]])</f>
        <v>Krzysztof Madejski</v>
      </c>
      <c r="H143" s="4" t="s">
        <v>1044</v>
      </c>
      <c r="I143" s="2">
        <v>115</v>
      </c>
    </row>
    <row r="144" spans="1:9" x14ac:dyDescent="0.25">
      <c r="A144" s="1">
        <v>42758</v>
      </c>
      <c r="B144" s="2" t="s">
        <v>201</v>
      </c>
      <c r="C144" s="2" t="s">
        <v>202</v>
      </c>
      <c r="D144">
        <v>6</v>
      </c>
      <c r="E144" t="str">
        <f>_xlfn.CONCAT(makulatura4[[#This Row],[Imie]]," ",makulatura4[[#This Row],[Nazwisko]])</f>
        <v>Marcin Wrobel</v>
      </c>
      <c r="H144" s="4" t="s">
        <v>1131</v>
      </c>
      <c r="I144" s="2">
        <v>115</v>
      </c>
    </row>
    <row r="145" spans="1:9" x14ac:dyDescent="0.25">
      <c r="A145" s="1">
        <v>42758</v>
      </c>
      <c r="B145" s="2" t="s">
        <v>203</v>
      </c>
      <c r="C145" s="2" t="s">
        <v>204</v>
      </c>
      <c r="D145">
        <v>55</v>
      </c>
      <c r="E145" t="str">
        <f>_xlfn.CONCAT(makulatura4[[#This Row],[Imie]]," ",makulatura4[[#This Row],[Nazwisko]])</f>
        <v>Igor Ryngwelski</v>
      </c>
      <c r="H145" s="4" t="s">
        <v>1088</v>
      </c>
      <c r="I145" s="2">
        <v>115</v>
      </c>
    </row>
    <row r="146" spans="1:9" x14ac:dyDescent="0.25">
      <c r="A146" s="1">
        <v>42758</v>
      </c>
      <c r="B146" s="2" t="s">
        <v>65</v>
      </c>
      <c r="C146" s="2" t="s">
        <v>205</v>
      </c>
      <c r="D146">
        <v>22</v>
      </c>
      <c r="E146" t="str">
        <f>_xlfn.CONCAT(makulatura4[[#This Row],[Imie]]," ",makulatura4[[#This Row],[Nazwisko]])</f>
        <v>Michal Lenski</v>
      </c>
      <c r="H146" s="4" t="s">
        <v>776</v>
      </c>
      <c r="I146" s="2">
        <v>115</v>
      </c>
    </row>
    <row r="147" spans="1:9" x14ac:dyDescent="0.25">
      <c r="A147" s="1">
        <v>42759</v>
      </c>
      <c r="B147" s="2" t="s">
        <v>206</v>
      </c>
      <c r="C147" s="2" t="s">
        <v>192</v>
      </c>
      <c r="D147">
        <v>45</v>
      </c>
      <c r="E147" t="str">
        <f>_xlfn.CONCAT(makulatura4[[#This Row],[Imie]]," ",makulatura4[[#This Row],[Nazwisko]])</f>
        <v>Pawel Nowakowski</v>
      </c>
      <c r="H147" s="4" t="s">
        <v>791</v>
      </c>
      <c r="I147" s="2">
        <v>115</v>
      </c>
    </row>
    <row r="148" spans="1:9" x14ac:dyDescent="0.25">
      <c r="A148" s="1">
        <v>42759</v>
      </c>
      <c r="B148" s="2" t="s">
        <v>4</v>
      </c>
      <c r="C148" s="2" t="s">
        <v>207</v>
      </c>
      <c r="D148">
        <v>20</v>
      </c>
      <c r="E148" t="str">
        <f>_xlfn.CONCAT(makulatura4[[#This Row],[Imie]]," ",makulatura4[[#This Row],[Nazwisko]])</f>
        <v>Agnieszka Krawczynska</v>
      </c>
      <c r="H148" s="4" t="s">
        <v>884</v>
      </c>
      <c r="I148" s="2">
        <v>115</v>
      </c>
    </row>
    <row r="149" spans="1:9" x14ac:dyDescent="0.25">
      <c r="A149" s="1">
        <v>42759</v>
      </c>
      <c r="B149" s="2" t="s">
        <v>208</v>
      </c>
      <c r="C149" s="2" t="s">
        <v>209</v>
      </c>
      <c r="D149">
        <v>52</v>
      </c>
      <c r="E149" t="str">
        <f>_xlfn.CONCAT(makulatura4[[#This Row],[Imie]]," ",makulatura4[[#This Row],[Nazwisko]])</f>
        <v>Grzegorz Domek</v>
      </c>
      <c r="H149" s="4" t="s">
        <v>1255</v>
      </c>
      <c r="I149" s="2">
        <v>114</v>
      </c>
    </row>
    <row r="150" spans="1:9" x14ac:dyDescent="0.25">
      <c r="A150" s="1">
        <v>42759</v>
      </c>
      <c r="B150" s="2" t="s">
        <v>65</v>
      </c>
      <c r="C150" s="2" t="s">
        <v>210</v>
      </c>
      <c r="D150">
        <v>47</v>
      </c>
      <c r="E150" t="str">
        <f>_xlfn.CONCAT(makulatura4[[#This Row],[Imie]]," ",makulatura4[[#This Row],[Nazwisko]])</f>
        <v>Michal Gora</v>
      </c>
      <c r="H150" s="4" t="s">
        <v>1128</v>
      </c>
      <c r="I150" s="2">
        <v>114</v>
      </c>
    </row>
    <row r="151" spans="1:9" x14ac:dyDescent="0.25">
      <c r="A151" s="1">
        <v>42759</v>
      </c>
      <c r="B151" s="2" t="s">
        <v>150</v>
      </c>
      <c r="C151" s="2" t="s">
        <v>211</v>
      </c>
      <c r="D151">
        <v>13</v>
      </c>
      <c r="E151" t="str">
        <f>_xlfn.CONCAT(makulatura4[[#This Row],[Imie]]," ",makulatura4[[#This Row],[Nazwisko]])</f>
        <v>Krzysztof Micun</v>
      </c>
      <c r="H151" s="4" t="s">
        <v>1173</v>
      </c>
      <c r="I151" s="2">
        <v>114</v>
      </c>
    </row>
    <row r="152" spans="1:9" x14ac:dyDescent="0.25">
      <c r="A152" s="1">
        <v>42759</v>
      </c>
      <c r="B152" s="2" t="s">
        <v>101</v>
      </c>
      <c r="C152" s="2" t="s">
        <v>212</v>
      </c>
      <c r="D152">
        <v>23</v>
      </c>
      <c r="E152" t="str">
        <f>_xlfn.CONCAT(makulatura4[[#This Row],[Imie]]," ",makulatura4[[#This Row],[Nazwisko]])</f>
        <v>Maria Galas</v>
      </c>
      <c r="H152" s="4" t="s">
        <v>1206</v>
      </c>
      <c r="I152" s="2">
        <v>114</v>
      </c>
    </row>
    <row r="153" spans="1:9" x14ac:dyDescent="0.25">
      <c r="A153" s="1">
        <v>42759</v>
      </c>
      <c r="B153" s="2" t="s">
        <v>27</v>
      </c>
      <c r="C153" s="2" t="s">
        <v>28</v>
      </c>
      <c r="D153">
        <v>11</v>
      </c>
      <c r="E153" t="str">
        <f>_xlfn.CONCAT(makulatura4[[#This Row],[Imie]]," ",makulatura4[[#This Row],[Nazwisko]])</f>
        <v>Jerzy Polanicki</v>
      </c>
      <c r="H153" s="4" t="s">
        <v>1185</v>
      </c>
      <c r="I153" s="2">
        <v>114</v>
      </c>
    </row>
    <row r="154" spans="1:9" x14ac:dyDescent="0.25">
      <c r="A154" s="1">
        <v>42759</v>
      </c>
      <c r="B154" s="2" t="s">
        <v>141</v>
      </c>
      <c r="C154" s="2" t="s">
        <v>142</v>
      </c>
      <c r="D154">
        <v>35</v>
      </c>
      <c r="E154" t="str">
        <f>_xlfn.CONCAT(makulatura4[[#This Row],[Imie]]," ",makulatura4[[#This Row],[Nazwisko]])</f>
        <v>Joanna Baranska</v>
      </c>
      <c r="H154" s="4" t="s">
        <v>890</v>
      </c>
      <c r="I154" s="2">
        <v>114</v>
      </c>
    </row>
    <row r="155" spans="1:9" x14ac:dyDescent="0.25">
      <c r="A155" s="1">
        <v>42759</v>
      </c>
      <c r="B155" s="2" t="s">
        <v>75</v>
      </c>
      <c r="C155" s="2" t="s">
        <v>213</v>
      </c>
      <c r="D155">
        <v>42</v>
      </c>
      <c r="E155" t="str">
        <f>_xlfn.CONCAT(makulatura4[[#This Row],[Imie]]," ",makulatura4[[#This Row],[Nazwisko]])</f>
        <v>Hanna Steinborn</v>
      </c>
      <c r="H155" s="4" t="s">
        <v>985</v>
      </c>
      <c r="I155" s="2">
        <v>114</v>
      </c>
    </row>
    <row r="156" spans="1:9" x14ac:dyDescent="0.25">
      <c r="A156" s="1">
        <v>42760</v>
      </c>
      <c r="B156" s="2" t="s">
        <v>161</v>
      </c>
      <c r="C156" s="2" t="s">
        <v>214</v>
      </c>
      <c r="D156">
        <v>15</v>
      </c>
      <c r="E156" t="str">
        <f>_xlfn.CONCAT(makulatura4[[#This Row],[Imie]]," ",makulatura4[[#This Row],[Nazwisko]])</f>
        <v>Anita Woloszyn</v>
      </c>
      <c r="H156" s="4" t="s">
        <v>1053</v>
      </c>
      <c r="I156" s="2">
        <v>113</v>
      </c>
    </row>
    <row r="157" spans="1:9" x14ac:dyDescent="0.25">
      <c r="A157" s="1">
        <v>42760</v>
      </c>
      <c r="B157" s="2" t="s">
        <v>193</v>
      </c>
      <c r="C157" s="2" t="s">
        <v>215</v>
      </c>
      <c r="D157">
        <v>9</v>
      </c>
      <c r="E157" t="str">
        <f>_xlfn.CONCAT(makulatura4[[#This Row],[Imie]]," ",makulatura4[[#This Row],[Nazwisko]])</f>
        <v>Karolina Wrona</v>
      </c>
      <c r="H157" s="4" t="s">
        <v>1226</v>
      </c>
      <c r="I157" s="2">
        <v>113</v>
      </c>
    </row>
    <row r="158" spans="1:9" x14ac:dyDescent="0.25">
      <c r="A158" s="1">
        <v>42760</v>
      </c>
      <c r="B158" s="2" t="s">
        <v>119</v>
      </c>
      <c r="C158" s="2" t="s">
        <v>216</v>
      </c>
      <c r="D158">
        <v>33</v>
      </c>
      <c r="E158" t="str">
        <f>_xlfn.CONCAT(makulatura4[[#This Row],[Imie]]," ",makulatura4[[#This Row],[Nazwisko]])</f>
        <v>Kamil Pudelski</v>
      </c>
      <c r="H158" s="4" t="s">
        <v>1223</v>
      </c>
      <c r="I158" s="2">
        <v>113</v>
      </c>
    </row>
    <row r="159" spans="1:9" x14ac:dyDescent="0.25">
      <c r="A159" s="1">
        <v>42760</v>
      </c>
      <c r="B159" s="2" t="s">
        <v>27</v>
      </c>
      <c r="C159" s="2" t="s">
        <v>94</v>
      </c>
      <c r="D159">
        <v>17</v>
      </c>
      <c r="E159" t="str">
        <f>_xlfn.CONCAT(makulatura4[[#This Row],[Imie]]," ",makulatura4[[#This Row],[Nazwisko]])</f>
        <v>Jerzy Czajkowski</v>
      </c>
      <c r="H159" s="4" t="s">
        <v>774</v>
      </c>
      <c r="I159" s="2">
        <v>113</v>
      </c>
    </row>
    <row r="160" spans="1:9" x14ac:dyDescent="0.25">
      <c r="A160" s="1">
        <v>42760</v>
      </c>
      <c r="B160" s="2" t="s">
        <v>95</v>
      </c>
      <c r="C160" s="2" t="s">
        <v>96</v>
      </c>
      <c r="D160">
        <v>11</v>
      </c>
      <c r="E160" t="str">
        <f>_xlfn.CONCAT(makulatura4[[#This Row],[Imie]]," ",makulatura4[[#This Row],[Nazwisko]])</f>
        <v>Dominik Szczucki</v>
      </c>
      <c r="H160" s="4" t="s">
        <v>1194</v>
      </c>
      <c r="I160" s="2">
        <v>112</v>
      </c>
    </row>
    <row r="161" spans="1:9" x14ac:dyDescent="0.25">
      <c r="A161" s="1">
        <v>42760</v>
      </c>
      <c r="B161" s="2" t="s">
        <v>217</v>
      </c>
      <c r="C161" s="2" t="s">
        <v>218</v>
      </c>
      <c r="D161">
        <v>19</v>
      </c>
      <c r="E161" t="str">
        <f>_xlfn.CONCAT(makulatura4[[#This Row],[Imie]]," ",makulatura4[[#This Row],[Nazwisko]])</f>
        <v>Witold Sempa</v>
      </c>
      <c r="H161" s="4" t="s">
        <v>887</v>
      </c>
      <c r="I161" s="2">
        <v>112</v>
      </c>
    </row>
    <row r="162" spans="1:9" x14ac:dyDescent="0.25">
      <c r="A162" s="1">
        <v>42760</v>
      </c>
      <c r="B162" s="2" t="s">
        <v>32</v>
      </c>
      <c r="C162" s="2" t="s">
        <v>33</v>
      </c>
      <c r="D162">
        <v>14</v>
      </c>
      <c r="E162" t="str">
        <f>_xlfn.CONCAT(makulatura4[[#This Row],[Imie]]," ",makulatura4[[#This Row],[Nazwisko]])</f>
        <v>Daria Zagrobna</v>
      </c>
      <c r="H162" s="4" t="s">
        <v>718</v>
      </c>
      <c r="I162" s="2">
        <v>112</v>
      </c>
    </row>
    <row r="163" spans="1:9" x14ac:dyDescent="0.25">
      <c r="A163" s="1">
        <v>42760</v>
      </c>
      <c r="B163" s="2" t="s">
        <v>23</v>
      </c>
      <c r="C163" s="2" t="s">
        <v>163</v>
      </c>
      <c r="D163">
        <v>6</v>
      </c>
      <c r="E163" t="str">
        <f>_xlfn.CONCAT(makulatura4[[#This Row],[Imie]]," ",makulatura4[[#This Row],[Nazwisko]])</f>
        <v>Alicja Chmiel</v>
      </c>
      <c r="H163" s="4" t="s">
        <v>1231</v>
      </c>
      <c r="I163" s="2">
        <v>111</v>
      </c>
    </row>
    <row r="164" spans="1:9" x14ac:dyDescent="0.25">
      <c r="A164" s="1">
        <v>42760</v>
      </c>
      <c r="B164" s="2" t="s">
        <v>61</v>
      </c>
      <c r="C164" s="2" t="s">
        <v>62</v>
      </c>
      <c r="D164">
        <v>47</v>
      </c>
      <c r="E164" t="str">
        <f>_xlfn.CONCAT(makulatura4[[#This Row],[Imie]]," ",makulatura4[[#This Row],[Nazwisko]])</f>
        <v>Malwina Korzeniowska</v>
      </c>
      <c r="H164" s="4" t="s">
        <v>1246</v>
      </c>
      <c r="I164" s="2">
        <v>111</v>
      </c>
    </row>
    <row r="165" spans="1:9" x14ac:dyDescent="0.25">
      <c r="A165" s="1">
        <v>42760</v>
      </c>
      <c r="B165" s="2" t="s">
        <v>219</v>
      </c>
      <c r="C165" s="2" t="s">
        <v>220</v>
      </c>
      <c r="D165">
        <v>4</v>
      </c>
      <c r="E165" t="str">
        <f>_xlfn.CONCAT(makulatura4[[#This Row],[Imie]]," ",makulatura4[[#This Row],[Nazwisko]])</f>
        <v>Beata Lubelska</v>
      </c>
      <c r="H165" s="4" t="s">
        <v>1040</v>
      </c>
      <c r="I165" s="2">
        <v>111</v>
      </c>
    </row>
    <row r="166" spans="1:9" x14ac:dyDescent="0.25">
      <c r="A166" s="1">
        <v>42760</v>
      </c>
      <c r="B166" s="2" t="s">
        <v>221</v>
      </c>
      <c r="C166" s="2" t="s">
        <v>222</v>
      </c>
      <c r="D166">
        <v>45</v>
      </c>
      <c r="E166" t="str">
        <f>_xlfn.CONCAT(makulatura4[[#This Row],[Imie]]," ",makulatura4[[#This Row],[Nazwisko]])</f>
        <v>Marzena Jagielska</v>
      </c>
      <c r="H166" s="4" t="s">
        <v>1214</v>
      </c>
      <c r="I166" s="2">
        <v>111</v>
      </c>
    </row>
    <row r="167" spans="1:9" x14ac:dyDescent="0.25">
      <c r="A167" s="1">
        <v>42761</v>
      </c>
      <c r="B167" s="2" t="s">
        <v>14</v>
      </c>
      <c r="C167" s="2" t="s">
        <v>15</v>
      </c>
      <c r="D167">
        <v>39</v>
      </c>
      <c r="E167" t="str">
        <f>_xlfn.CONCAT(makulatura4[[#This Row],[Imie]]," ",makulatura4[[#This Row],[Nazwisko]])</f>
        <v>Patryk Giemza</v>
      </c>
      <c r="H167" s="4" t="s">
        <v>763</v>
      </c>
      <c r="I167" s="2">
        <v>111</v>
      </c>
    </row>
    <row r="168" spans="1:9" x14ac:dyDescent="0.25">
      <c r="A168" s="1">
        <v>42761</v>
      </c>
      <c r="B168" s="2" t="s">
        <v>101</v>
      </c>
      <c r="C168" s="2" t="s">
        <v>223</v>
      </c>
      <c r="D168">
        <v>34</v>
      </c>
      <c r="E168" t="str">
        <f>_xlfn.CONCAT(makulatura4[[#This Row],[Imie]]," ",makulatura4[[#This Row],[Nazwisko]])</f>
        <v>Maria Adamska</v>
      </c>
      <c r="H168" s="4" t="s">
        <v>928</v>
      </c>
      <c r="I168" s="2">
        <v>111</v>
      </c>
    </row>
    <row r="169" spans="1:9" x14ac:dyDescent="0.25">
      <c r="A169" s="1">
        <v>42761</v>
      </c>
      <c r="B169" s="2" t="s">
        <v>195</v>
      </c>
      <c r="C169" s="2" t="s">
        <v>224</v>
      </c>
      <c r="D169">
        <v>9</v>
      </c>
      <c r="E169" t="str">
        <f>_xlfn.CONCAT(makulatura4[[#This Row],[Imie]]," ",makulatura4[[#This Row],[Nazwisko]])</f>
        <v>Emilia Janik</v>
      </c>
      <c r="H169" s="4" t="s">
        <v>947</v>
      </c>
      <c r="I169" s="2">
        <v>111</v>
      </c>
    </row>
    <row r="170" spans="1:9" x14ac:dyDescent="0.25">
      <c r="A170" s="1">
        <v>42761</v>
      </c>
      <c r="B170" s="2" t="s">
        <v>225</v>
      </c>
      <c r="C170" s="2" t="s">
        <v>226</v>
      </c>
      <c r="D170">
        <v>23</v>
      </c>
      <c r="E170" t="str">
        <f>_xlfn.CONCAT(makulatura4[[#This Row],[Imie]]," ",makulatura4[[#This Row],[Nazwisko]])</f>
        <v>Izabella Jelen</v>
      </c>
      <c r="H170" s="4" t="s">
        <v>1006</v>
      </c>
      <c r="I170" s="2">
        <v>111</v>
      </c>
    </row>
    <row r="171" spans="1:9" x14ac:dyDescent="0.25">
      <c r="A171" s="1">
        <v>42761</v>
      </c>
      <c r="B171" s="2" t="s">
        <v>34</v>
      </c>
      <c r="C171" s="2" t="s">
        <v>160</v>
      </c>
      <c r="D171">
        <v>3</v>
      </c>
      <c r="E171" t="str">
        <f>_xlfn.CONCAT(makulatura4[[#This Row],[Imie]]," ",makulatura4[[#This Row],[Nazwisko]])</f>
        <v>Julia Stuhr</v>
      </c>
      <c r="H171" s="4" t="s">
        <v>914</v>
      </c>
      <c r="I171" s="2">
        <v>110</v>
      </c>
    </row>
    <row r="172" spans="1:9" x14ac:dyDescent="0.25">
      <c r="A172" s="1">
        <v>42761</v>
      </c>
      <c r="B172" s="2" t="s">
        <v>193</v>
      </c>
      <c r="C172" s="2" t="s">
        <v>227</v>
      </c>
      <c r="D172">
        <v>13</v>
      </c>
      <c r="E172" t="str">
        <f>_xlfn.CONCAT(makulatura4[[#This Row],[Imie]]," ",makulatura4[[#This Row],[Nazwisko]])</f>
        <v>Karolina Nowak</v>
      </c>
      <c r="H172" s="4" t="s">
        <v>1177</v>
      </c>
      <c r="I172" s="2">
        <v>109</v>
      </c>
    </row>
    <row r="173" spans="1:9" x14ac:dyDescent="0.25">
      <c r="A173" s="1">
        <v>42761</v>
      </c>
      <c r="B173" s="2" t="s">
        <v>193</v>
      </c>
      <c r="C173" s="2" t="s">
        <v>228</v>
      </c>
      <c r="D173">
        <v>16</v>
      </c>
      <c r="E173" t="str">
        <f>_xlfn.CONCAT(makulatura4[[#This Row],[Imie]]," ",makulatura4[[#This Row],[Nazwisko]])</f>
        <v>Karolina Karpacka</v>
      </c>
      <c r="H173" s="4" t="s">
        <v>1054</v>
      </c>
      <c r="I173" s="2">
        <v>109</v>
      </c>
    </row>
    <row r="174" spans="1:9" x14ac:dyDescent="0.25">
      <c r="A174" s="1">
        <v>42761</v>
      </c>
      <c r="B174" s="2" t="s">
        <v>36</v>
      </c>
      <c r="C174" s="2" t="s">
        <v>229</v>
      </c>
      <c r="D174">
        <v>19</v>
      </c>
      <c r="E174" t="str">
        <f>_xlfn.CONCAT(makulatura4[[#This Row],[Imie]]," ",makulatura4[[#This Row],[Nazwisko]])</f>
        <v>Piotr Dzierzak</v>
      </c>
      <c r="H174" s="4" t="s">
        <v>1189</v>
      </c>
      <c r="I174" s="2">
        <v>109</v>
      </c>
    </row>
    <row r="175" spans="1:9" x14ac:dyDescent="0.25">
      <c r="A175" s="1">
        <v>42761</v>
      </c>
      <c r="B175" s="2" t="s">
        <v>47</v>
      </c>
      <c r="C175" s="2" t="s">
        <v>230</v>
      </c>
      <c r="D175">
        <v>49</v>
      </c>
      <c r="E175" t="str">
        <f>_xlfn.CONCAT(makulatura4[[#This Row],[Imie]]," ",makulatura4[[#This Row],[Nazwisko]])</f>
        <v>Marek Wolicki</v>
      </c>
      <c r="H175" s="4" t="s">
        <v>1025</v>
      </c>
      <c r="I175" s="2">
        <v>109</v>
      </c>
    </row>
    <row r="176" spans="1:9" x14ac:dyDescent="0.25">
      <c r="A176" s="1">
        <v>42761</v>
      </c>
      <c r="B176" s="2" t="s">
        <v>63</v>
      </c>
      <c r="C176" s="2" t="s">
        <v>231</v>
      </c>
      <c r="D176">
        <v>45</v>
      </c>
      <c r="E176" t="str">
        <f>_xlfn.CONCAT(makulatura4[[#This Row],[Imie]]," ",makulatura4[[#This Row],[Nazwisko]])</f>
        <v>Adrian Yuksek</v>
      </c>
      <c r="H176" s="4" t="s">
        <v>1005</v>
      </c>
      <c r="I176" s="2">
        <v>109</v>
      </c>
    </row>
    <row r="177" spans="1:9" x14ac:dyDescent="0.25">
      <c r="A177" s="1">
        <v>42761</v>
      </c>
      <c r="B177" s="2" t="s">
        <v>232</v>
      </c>
      <c r="C177" s="2" t="s">
        <v>233</v>
      </c>
      <c r="D177">
        <v>14</v>
      </c>
      <c r="E177" t="str">
        <f>_xlfn.CONCAT(makulatura4[[#This Row],[Imie]]," ",makulatura4[[#This Row],[Nazwisko]])</f>
        <v>Monika Piterka</v>
      </c>
      <c r="H177" s="4" t="s">
        <v>1291</v>
      </c>
      <c r="I177" s="2">
        <v>108</v>
      </c>
    </row>
    <row r="178" spans="1:9" x14ac:dyDescent="0.25">
      <c r="A178" s="1">
        <v>42762</v>
      </c>
      <c r="B178" s="2" t="s">
        <v>83</v>
      </c>
      <c r="C178" s="2" t="s">
        <v>110</v>
      </c>
      <c r="D178">
        <v>23</v>
      </c>
      <c r="E178" t="str">
        <f>_xlfn.CONCAT(makulatura4[[#This Row],[Imie]]," ",makulatura4[[#This Row],[Nazwisko]])</f>
        <v>Jan Inny</v>
      </c>
      <c r="H178" s="4" t="s">
        <v>927</v>
      </c>
      <c r="I178" s="2">
        <v>108</v>
      </c>
    </row>
    <row r="179" spans="1:9" x14ac:dyDescent="0.25">
      <c r="A179" s="1">
        <v>42762</v>
      </c>
      <c r="B179" s="2" t="s">
        <v>234</v>
      </c>
      <c r="C179" s="2" t="s">
        <v>235</v>
      </c>
      <c r="D179">
        <v>42</v>
      </c>
      <c r="E179" t="str">
        <f>_xlfn.CONCAT(makulatura4[[#This Row],[Imie]]," ",makulatura4[[#This Row],[Nazwisko]])</f>
        <v>Magdalena Okraska</v>
      </c>
      <c r="H179" s="4" t="s">
        <v>760</v>
      </c>
      <c r="I179" s="2">
        <v>108</v>
      </c>
    </row>
    <row r="180" spans="1:9" x14ac:dyDescent="0.25">
      <c r="A180" s="1">
        <v>42762</v>
      </c>
      <c r="B180" s="2" t="s">
        <v>236</v>
      </c>
      <c r="C180" s="2" t="s">
        <v>237</v>
      </c>
      <c r="D180">
        <v>30</v>
      </c>
      <c r="E180" t="str">
        <f>_xlfn.CONCAT(makulatura4[[#This Row],[Imie]]," ",makulatura4[[#This Row],[Nazwisko]])</f>
        <v>Edgar Wyszomirski</v>
      </c>
      <c r="H180" s="4" t="s">
        <v>889</v>
      </c>
      <c r="I180" s="2">
        <v>107</v>
      </c>
    </row>
    <row r="181" spans="1:9" x14ac:dyDescent="0.25">
      <c r="A181" s="1">
        <v>42762</v>
      </c>
      <c r="B181" s="2" t="s">
        <v>41</v>
      </c>
      <c r="C181" s="2" t="s">
        <v>238</v>
      </c>
      <c r="D181">
        <v>42</v>
      </c>
      <c r="E181" t="str">
        <f>_xlfn.CONCAT(makulatura4[[#This Row],[Imie]]," ",makulatura4[[#This Row],[Nazwisko]])</f>
        <v>Marta Robak</v>
      </c>
      <c r="H181" s="4" t="s">
        <v>759</v>
      </c>
      <c r="I181" s="2">
        <v>107</v>
      </c>
    </row>
    <row r="182" spans="1:9" x14ac:dyDescent="0.25">
      <c r="A182" s="1">
        <v>42762</v>
      </c>
      <c r="B182" s="2" t="s">
        <v>12</v>
      </c>
      <c r="C182" s="2" t="s">
        <v>38</v>
      </c>
      <c r="D182">
        <v>29</v>
      </c>
      <c r="E182" t="str">
        <f>_xlfn.CONCAT(makulatura4[[#This Row],[Imie]]," ",makulatura4[[#This Row],[Nazwisko]])</f>
        <v>Maja Lipka</v>
      </c>
      <c r="H182" s="4" t="s">
        <v>1220</v>
      </c>
      <c r="I182" s="2">
        <v>106</v>
      </c>
    </row>
    <row r="183" spans="1:9" x14ac:dyDescent="0.25">
      <c r="A183" s="1">
        <v>42762</v>
      </c>
      <c r="B183" s="2" t="s">
        <v>72</v>
      </c>
      <c r="C183" s="2" t="s">
        <v>239</v>
      </c>
      <c r="D183">
        <v>6</v>
      </c>
      <c r="E183" t="str">
        <f>_xlfn.CONCAT(makulatura4[[#This Row],[Imie]]," ",makulatura4[[#This Row],[Nazwisko]])</f>
        <v>Teodor Olszewski</v>
      </c>
      <c r="H183" s="4" t="s">
        <v>903</v>
      </c>
      <c r="I183" s="2">
        <v>106</v>
      </c>
    </row>
    <row r="184" spans="1:9" x14ac:dyDescent="0.25">
      <c r="A184" s="1">
        <v>42762</v>
      </c>
      <c r="B184" s="2" t="s">
        <v>106</v>
      </c>
      <c r="C184" s="2" t="s">
        <v>240</v>
      </c>
      <c r="D184">
        <v>17</v>
      </c>
      <c r="E184" t="str">
        <f>_xlfn.CONCAT(makulatura4[[#This Row],[Imie]]," ",makulatura4[[#This Row],[Nazwisko]])</f>
        <v>Lena Miszkin</v>
      </c>
      <c r="H184" s="4" t="s">
        <v>755</v>
      </c>
      <c r="I184" s="2">
        <v>106</v>
      </c>
    </row>
    <row r="185" spans="1:9" x14ac:dyDescent="0.25">
      <c r="A185" s="1">
        <v>42762</v>
      </c>
      <c r="B185" s="2" t="s">
        <v>30</v>
      </c>
      <c r="C185" s="2" t="s">
        <v>241</v>
      </c>
      <c r="D185">
        <v>41</v>
      </c>
      <c r="E185" t="str">
        <f>_xlfn.CONCAT(makulatura4[[#This Row],[Imie]]," ",makulatura4[[#This Row],[Nazwisko]])</f>
        <v>Maciej Czyzynski</v>
      </c>
      <c r="H185" s="4" t="s">
        <v>868</v>
      </c>
      <c r="I185" s="2">
        <v>106</v>
      </c>
    </row>
    <row r="186" spans="1:9" x14ac:dyDescent="0.25">
      <c r="A186" s="1">
        <v>42762</v>
      </c>
      <c r="B186" s="2" t="s">
        <v>178</v>
      </c>
      <c r="C186" s="2" t="s">
        <v>242</v>
      </c>
      <c r="D186">
        <v>23</v>
      </c>
      <c r="E186" t="str">
        <f>_xlfn.CONCAT(makulatura4[[#This Row],[Imie]]," ",makulatura4[[#This Row],[Nazwisko]])</f>
        <v>Malgorzata Karlowski</v>
      </c>
      <c r="H186" s="4" t="s">
        <v>878</v>
      </c>
      <c r="I186" s="2">
        <v>106</v>
      </c>
    </row>
    <row r="187" spans="1:9" x14ac:dyDescent="0.25">
      <c r="A187" s="1">
        <v>42762</v>
      </c>
      <c r="B187" s="2" t="s">
        <v>53</v>
      </c>
      <c r="C187" s="2" t="s">
        <v>191</v>
      </c>
      <c r="D187">
        <v>4</v>
      </c>
      <c r="E187" t="str">
        <f>_xlfn.CONCAT(makulatura4[[#This Row],[Imie]]," ",makulatura4[[#This Row],[Nazwisko]])</f>
        <v>Wieslawa Biczysko</v>
      </c>
      <c r="H187" s="4" t="s">
        <v>941</v>
      </c>
      <c r="I187" s="2">
        <v>105</v>
      </c>
    </row>
    <row r="188" spans="1:9" x14ac:dyDescent="0.25">
      <c r="A188" s="1">
        <v>42762</v>
      </c>
      <c r="B188" s="2" t="s">
        <v>243</v>
      </c>
      <c r="C188" s="2" t="s">
        <v>82</v>
      </c>
      <c r="D188">
        <v>52</v>
      </c>
      <c r="E188" t="str">
        <f>_xlfn.CONCAT(makulatura4[[#This Row],[Imie]]," ",makulatura4[[#This Row],[Nazwisko]])</f>
        <v>Sofia Felisiak</v>
      </c>
      <c r="H188" s="4" t="s">
        <v>1071</v>
      </c>
      <c r="I188" s="2">
        <v>104</v>
      </c>
    </row>
    <row r="189" spans="1:9" x14ac:dyDescent="0.25">
      <c r="A189" s="1">
        <v>42765</v>
      </c>
      <c r="B189" s="2" t="s">
        <v>59</v>
      </c>
      <c r="C189" s="2" t="s">
        <v>60</v>
      </c>
      <c r="D189">
        <v>7</v>
      </c>
      <c r="E189" t="str">
        <f>_xlfn.CONCAT(makulatura4[[#This Row],[Imie]]," ",makulatura4[[#This Row],[Nazwisko]])</f>
        <v>Laura Chmielewska</v>
      </c>
      <c r="H189" s="4" t="s">
        <v>1211</v>
      </c>
      <c r="I189" s="2">
        <v>104</v>
      </c>
    </row>
    <row r="190" spans="1:9" x14ac:dyDescent="0.25">
      <c r="A190" s="1">
        <v>42765</v>
      </c>
      <c r="B190" s="2" t="s">
        <v>18</v>
      </c>
      <c r="C190" s="2" t="s">
        <v>74</v>
      </c>
      <c r="D190">
        <v>33</v>
      </c>
      <c r="E190" t="str">
        <f>_xlfn.CONCAT(makulatura4[[#This Row],[Imie]]," ",makulatura4[[#This Row],[Nazwisko]])</f>
        <v>Filip Strack</v>
      </c>
      <c r="H190" s="4" t="s">
        <v>708</v>
      </c>
      <c r="I190" s="2">
        <v>104</v>
      </c>
    </row>
    <row r="191" spans="1:9" x14ac:dyDescent="0.25">
      <c r="A191" s="1">
        <v>42765</v>
      </c>
      <c r="B191" s="2" t="s">
        <v>244</v>
      </c>
      <c r="C191" s="2" t="s">
        <v>245</v>
      </c>
      <c r="D191">
        <v>55</v>
      </c>
      <c r="E191" t="str">
        <f>_xlfn.CONCAT(makulatura4[[#This Row],[Imie]]," ",makulatura4[[#This Row],[Nazwisko]])</f>
        <v>Adela Waruszewska</v>
      </c>
      <c r="H191" s="4" t="s">
        <v>757</v>
      </c>
      <c r="I191" s="2">
        <v>104</v>
      </c>
    </row>
    <row r="192" spans="1:9" x14ac:dyDescent="0.25">
      <c r="A192" s="1">
        <v>42765</v>
      </c>
      <c r="B192" s="2" t="s">
        <v>246</v>
      </c>
      <c r="C192" s="2" t="s">
        <v>247</v>
      </c>
      <c r="D192">
        <v>13</v>
      </c>
      <c r="E192" t="str">
        <f>_xlfn.CONCAT(makulatura4[[#This Row],[Imie]]," ",makulatura4[[#This Row],[Nazwisko]])</f>
        <v>Inez Nahaj</v>
      </c>
      <c r="H192" s="4" t="s">
        <v>1107</v>
      </c>
      <c r="I192" s="2">
        <v>103</v>
      </c>
    </row>
    <row r="193" spans="1:9" x14ac:dyDescent="0.25">
      <c r="A193" s="1">
        <v>42765</v>
      </c>
      <c r="B193" s="2" t="s">
        <v>248</v>
      </c>
      <c r="C193" s="2" t="s">
        <v>249</v>
      </c>
      <c r="D193">
        <v>2</v>
      </c>
      <c r="E193" t="str">
        <f>_xlfn.CONCAT(makulatura4[[#This Row],[Imie]]," ",makulatura4[[#This Row],[Nazwisko]])</f>
        <v>Zenon Bartek</v>
      </c>
      <c r="H193" s="4" t="s">
        <v>1279</v>
      </c>
      <c r="I193" s="2">
        <v>103</v>
      </c>
    </row>
    <row r="194" spans="1:9" x14ac:dyDescent="0.25">
      <c r="A194" s="1">
        <v>42765</v>
      </c>
      <c r="B194" s="2" t="s">
        <v>81</v>
      </c>
      <c r="C194" s="2" t="s">
        <v>82</v>
      </c>
      <c r="D194">
        <v>19</v>
      </c>
      <c r="E194" t="str">
        <f>_xlfn.CONCAT(makulatura4[[#This Row],[Imie]]," ",makulatura4[[#This Row],[Nazwisko]])</f>
        <v>Karol Felisiak</v>
      </c>
      <c r="H194" s="4" t="s">
        <v>1133</v>
      </c>
      <c r="I194" s="2">
        <v>103</v>
      </c>
    </row>
    <row r="195" spans="1:9" x14ac:dyDescent="0.25">
      <c r="A195" s="1">
        <v>42765</v>
      </c>
      <c r="B195" s="2" t="s">
        <v>128</v>
      </c>
      <c r="C195" s="2" t="s">
        <v>250</v>
      </c>
      <c r="D195">
        <v>28</v>
      </c>
      <c r="E195" t="str">
        <f>_xlfn.CONCAT(makulatura4[[#This Row],[Imie]]," ",makulatura4[[#This Row],[Nazwisko]])</f>
        <v>Wojciech Wroblewski</v>
      </c>
      <c r="H195" s="4" t="s">
        <v>780</v>
      </c>
      <c r="I195" s="2">
        <v>103</v>
      </c>
    </row>
    <row r="196" spans="1:9" x14ac:dyDescent="0.25">
      <c r="A196" s="1">
        <v>42765</v>
      </c>
      <c r="B196" s="2" t="s">
        <v>87</v>
      </c>
      <c r="C196" s="2" t="s">
        <v>251</v>
      </c>
      <c r="D196">
        <v>43</v>
      </c>
      <c r="E196" t="str">
        <f>_xlfn.CONCAT(makulatura4[[#This Row],[Imie]]," ",makulatura4[[#This Row],[Nazwisko]])</f>
        <v>Ewa Nowicka</v>
      </c>
      <c r="H196" s="4" t="s">
        <v>986</v>
      </c>
      <c r="I196" s="2">
        <v>103</v>
      </c>
    </row>
    <row r="197" spans="1:9" x14ac:dyDescent="0.25">
      <c r="A197" s="1">
        <v>42765</v>
      </c>
      <c r="B197" s="2" t="s">
        <v>252</v>
      </c>
      <c r="C197" s="2" t="s">
        <v>253</v>
      </c>
      <c r="D197">
        <v>20</v>
      </c>
      <c r="E197" t="str">
        <f>_xlfn.CONCAT(makulatura4[[#This Row],[Imie]]," ",makulatura4[[#This Row],[Nazwisko]])</f>
        <v>Irena Banasiewicz</v>
      </c>
      <c r="H197" s="4" t="s">
        <v>1004</v>
      </c>
      <c r="I197" s="2">
        <v>103</v>
      </c>
    </row>
    <row r="198" spans="1:9" x14ac:dyDescent="0.25">
      <c r="A198" s="1">
        <v>42765</v>
      </c>
      <c r="B198" s="2" t="s">
        <v>219</v>
      </c>
      <c r="C198" s="2" t="s">
        <v>254</v>
      </c>
      <c r="D198">
        <v>22</v>
      </c>
      <c r="E198" t="str">
        <f>_xlfn.CONCAT(makulatura4[[#This Row],[Imie]]," ",makulatura4[[#This Row],[Nazwisko]])</f>
        <v>Beata Fles</v>
      </c>
      <c r="H198" s="4" t="s">
        <v>1083</v>
      </c>
      <c r="I198" s="2">
        <v>102</v>
      </c>
    </row>
    <row r="199" spans="1:9" x14ac:dyDescent="0.25">
      <c r="A199" s="1">
        <v>42765</v>
      </c>
      <c r="B199" s="2" t="s">
        <v>87</v>
      </c>
      <c r="C199" s="2" t="s">
        <v>255</v>
      </c>
      <c r="D199">
        <v>9</v>
      </c>
      <c r="E199" t="str">
        <f>_xlfn.CONCAT(makulatura4[[#This Row],[Imie]]," ",makulatura4[[#This Row],[Nazwisko]])</f>
        <v>Ewa Czerwinska</v>
      </c>
      <c r="H199" s="4" t="s">
        <v>1222</v>
      </c>
      <c r="I199" s="2">
        <v>102</v>
      </c>
    </row>
    <row r="200" spans="1:9" x14ac:dyDescent="0.25">
      <c r="A200" s="1">
        <v>42766</v>
      </c>
      <c r="B200" s="2" t="s">
        <v>12</v>
      </c>
      <c r="C200" s="2" t="s">
        <v>13</v>
      </c>
      <c r="D200">
        <v>26</v>
      </c>
      <c r="E200" t="str">
        <f>_xlfn.CONCAT(makulatura4[[#This Row],[Imie]]," ",makulatura4[[#This Row],[Nazwisko]])</f>
        <v>Maja Kulkowska</v>
      </c>
      <c r="H200" s="4" t="s">
        <v>1039</v>
      </c>
      <c r="I200" s="2">
        <v>102</v>
      </c>
    </row>
    <row r="201" spans="1:9" x14ac:dyDescent="0.25">
      <c r="A201" s="1">
        <v>42766</v>
      </c>
      <c r="B201" s="2" t="s">
        <v>47</v>
      </c>
      <c r="C201" s="2" t="s">
        <v>256</v>
      </c>
      <c r="D201">
        <v>38</v>
      </c>
      <c r="E201" t="str">
        <f>_xlfn.CONCAT(makulatura4[[#This Row],[Imie]]," ",makulatura4[[#This Row],[Nazwisko]])</f>
        <v>Marek Leoniuk</v>
      </c>
      <c r="H201" s="4" t="s">
        <v>711</v>
      </c>
      <c r="I201" s="2">
        <v>102</v>
      </c>
    </row>
    <row r="202" spans="1:9" x14ac:dyDescent="0.25">
      <c r="A202" s="1">
        <v>42766</v>
      </c>
      <c r="B202" s="2" t="s">
        <v>55</v>
      </c>
      <c r="C202" s="2" t="s">
        <v>199</v>
      </c>
      <c r="D202">
        <v>40</v>
      </c>
      <c r="E202" t="str">
        <f>_xlfn.CONCAT(makulatura4[[#This Row],[Imie]]," ",makulatura4[[#This Row],[Nazwisko]])</f>
        <v>Anna Wilk</v>
      </c>
      <c r="H202" s="4" t="s">
        <v>721</v>
      </c>
      <c r="I202" s="2">
        <v>102</v>
      </c>
    </row>
    <row r="203" spans="1:9" x14ac:dyDescent="0.25">
      <c r="A203" s="1">
        <v>42766</v>
      </c>
      <c r="B203" s="2" t="s">
        <v>152</v>
      </c>
      <c r="C203" s="2" t="s">
        <v>257</v>
      </c>
      <c r="D203">
        <v>56</v>
      </c>
      <c r="E203" t="str">
        <f>_xlfn.CONCAT(makulatura4[[#This Row],[Imie]]," ",makulatura4[[#This Row],[Nazwisko]])</f>
        <v>Natalia Miklis</v>
      </c>
      <c r="H203" s="4" t="s">
        <v>762</v>
      </c>
      <c r="I203" s="2">
        <v>102</v>
      </c>
    </row>
    <row r="204" spans="1:9" x14ac:dyDescent="0.25">
      <c r="A204" s="1">
        <v>42766</v>
      </c>
      <c r="B204" s="2" t="s">
        <v>150</v>
      </c>
      <c r="C204" s="2" t="s">
        <v>258</v>
      </c>
      <c r="D204">
        <v>18</v>
      </c>
      <c r="E204" t="str">
        <f>_xlfn.CONCAT(makulatura4[[#This Row],[Imie]]," ",makulatura4[[#This Row],[Nazwisko]])</f>
        <v>Krzysztof Figurski</v>
      </c>
      <c r="H204" s="4" t="s">
        <v>895</v>
      </c>
      <c r="I204" s="2">
        <v>102</v>
      </c>
    </row>
    <row r="205" spans="1:9" x14ac:dyDescent="0.25">
      <c r="A205" s="1">
        <v>42766</v>
      </c>
      <c r="B205" s="2" t="s">
        <v>101</v>
      </c>
      <c r="C205" s="2" t="s">
        <v>102</v>
      </c>
      <c r="D205">
        <v>14</v>
      </c>
      <c r="E205" t="str">
        <f>_xlfn.CONCAT(makulatura4[[#This Row],[Imie]]," ",makulatura4[[#This Row],[Nazwisko]])</f>
        <v>Maria Borowska</v>
      </c>
      <c r="H205" s="4" t="s">
        <v>835</v>
      </c>
      <c r="I205" s="2">
        <v>102</v>
      </c>
    </row>
    <row r="206" spans="1:9" x14ac:dyDescent="0.25">
      <c r="A206" s="1">
        <v>42766</v>
      </c>
      <c r="B206" s="2" t="s">
        <v>87</v>
      </c>
      <c r="C206" s="2" t="s">
        <v>259</v>
      </c>
      <c r="D206">
        <v>16</v>
      </c>
      <c r="E206" t="str">
        <f>_xlfn.CONCAT(makulatura4[[#This Row],[Imie]]," ",makulatura4[[#This Row],[Nazwisko]])</f>
        <v>Ewa Aderek</v>
      </c>
      <c r="H206" s="4" t="s">
        <v>1106</v>
      </c>
      <c r="I206" s="2">
        <v>101</v>
      </c>
    </row>
    <row r="207" spans="1:9" x14ac:dyDescent="0.25">
      <c r="A207" s="1">
        <v>42766</v>
      </c>
      <c r="B207" s="2" t="s">
        <v>141</v>
      </c>
      <c r="C207" s="2" t="s">
        <v>260</v>
      </c>
      <c r="D207">
        <v>41</v>
      </c>
      <c r="E207" t="str">
        <f>_xlfn.CONCAT(makulatura4[[#This Row],[Imie]]," ",makulatura4[[#This Row],[Nazwisko]])</f>
        <v>Joanna Pilc</v>
      </c>
      <c r="H207" s="4" t="s">
        <v>1055</v>
      </c>
      <c r="I207" s="2">
        <v>101</v>
      </c>
    </row>
    <row r="208" spans="1:9" x14ac:dyDescent="0.25">
      <c r="A208" s="1">
        <v>42766</v>
      </c>
      <c r="B208" s="2" t="s">
        <v>261</v>
      </c>
      <c r="C208" s="2" t="s">
        <v>262</v>
      </c>
      <c r="D208">
        <v>52</v>
      </c>
      <c r="E208" t="str">
        <f>_xlfn.CONCAT(makulatura4[[#This Row],[Imie]]," ",makulatura4[[#This Row],[Nazwisko]])</f>
        <v>Damian Pilis</v>
      </c>
      <c r="H208" s="4" t="s">
        <v>723</v>
      </c>
      <c r="I208" s="2">
        <v>101</v>
      </c>
    </row>
    <row r="209" spans="1:9" x14ac:dyDescent="0.25">
      <c r="A209" s="1">
        <v>42766</v>
      </c>
      <c r="B209" s="2" t="s">
        <v>101</v>
      </c>
      <c r="C209" s="2" t="s">
        <v>263</v>
      </c>
      <c r="D209">
        <v>50</v>
      </c>
      <c r="E209" t="str">
        <f>_xlfn.CONCAT(makulatura4[[#This Row],[Imie]]," ",makulatura4[[#This Row],[Nazwisko]])</f>
        <v>Maria Gatek</v>
      </c>
      <c r="H209" s="4" t="s">
        <v>966</v>
      </c>
      <c r="I209" s="2">
        <v>101</v>
      </c>
    </row>
    <row r="210" spans="1:9" x14ac:dyDescent="0.25">
      <c r="A210" s="1">
        <v>42766</v>
      </c>
      <c r="B210" s="2" t="s">
        <v>75</v>
      </c>
      <c r="C210" s="2" t="s">
        <v>264</v>
      </c>
      <c r="D210">
        <v>34</v>
      </c>
      <c r="E210" t="str">
        <f>_xlfn.CONCAT(makulatura4[[#This Row],[Imie]]," ",makulatura4[[#This Row],[Nazwisko]])</f>
        <v>Hanna Modlinska</v>
      </c>
      <c r="H210" s="4" t="s">
        <v>1169</v>
      </c>
      <c r="I210" s="2">
        <v>100</v>
      </c>
    </row>
    <row r="211" spans="1:9" x14ac:dyDescent="0.25">
      <c r="A211" s="1">
        <v>42767</v>
      </c>
      <c r="B211" s="2" t="s">
        <v>55</v>
      </c>
      <c r="C211" s="2" t="s">
        <v>265</v>
      </c>
      <c r="D211">
        <v>17</v>
      </c>
      <c r="E211" t="str">
        <f>_xlfn.CONCAT(makulatura4[[#This Row],[Imie]]," ",makulatura4[[#This Row],[Nazwisko]])</f>
        <v>Anna Janowska</v>
      </c>
      <c r="H211" s="4" t="s">
        <v>1077</v>
      </c>
      <c r="I211" s="2">
        <v>100</v>
      </c>
    </row>
    <row r="212" spans="1:9" x14ac:dyDescent="0.25">
      <c r="A212" s="1">
        <v>42767</v>
      </c>
      <c r="B212" s="2" t="s">
        <v>10</v>
      </c>
      <c r="C212" s="2" t="s">
        <v>266</v>
      </c>
      <c r="D212">
        <v>3</v>
      </c>
      <c r="E212" t="str">
        <f>_xlfn.CONCAT(makulatura4[[#This Row],[Imie]]," ",makulatura4[[#This Row],[Nazwisko]])</f>
        <v>Katarzyna Wip</v>
      </c>
      <c r="H212" s="4" t="s">
        <v>1147</v>
      </c>
      <c r="I212" s="2">
        <v>100</v>
      </c>
    </row>
    <row r="213" spans="1:9" x14ac:dyDescent="0.25">
      <c r="A213" s="1">
        <v>42767</v>
      </c>
      <c r="B213" s="2" t="s">
        <v>267</v>
      </c>
      <c r="C213" s="2" t="s">
        <v>268</v>
      </c>
      <c r="D213">
        <v>3</v>
      </c>
      <c r="E213" t="str">
        <f>_xlfn.CONCAT(makulatura4[[#This Row],[Imie]]," ",makulatura4[[#This Row],[Nazwisko]])</f>
        <v>Henryk Polarek</v>
      </c>
      <c r="H213" s="4" t="s">
        <v>1120</v>
      </c>
      <c r="I213" s="2">
        <v>100</v>
      </c>
    </row>
    <row r="214" spans="1:9" x14ac:dyDescent="0.25">
      <c r="A214" s="1">
        <v>42767</v>
      </c>
      <c r="B214" s="2" t="s">
        <v>161</v>
      </c>
      <c r="C214" s="2" t="s">
        <v>214</v>
      </c>
      <c r="D214">
        <v>26</v>
      </c>
      <c r="E214" t="str">
        <f>_xlfn.CONCAT(makulatura4[[#This Row],[Imie]]," ",makulatura4[[#This Row],[Nazwisko]])</f>
        <v>Anita Woloszyn</v>
      </c>
      <c r="H214" s="4" t="s">
        <v>717</v>
      </c>
      <c r="I214" s="2">
        <v>100</v>
      </c>
    </row>
    <row r="215" spans="1:9" x14ac:dyDescent="0.25">
      <c r="A215" s="1">
        <v>42767</v>
      </c>
      <c r="B215" s="2" t="s">
        <v>61</v>
      </c>
      <c r="C215" s="2" t="s">
        <v>62</v>
      </c>
      <c r="D215">
        <v>3</v>
      </c>
      <c r="E215" t="str">
        <f>_xlfn.CONCAT(makulatura4[[#This Row],[Imie]]," ",makulatura4[[#This Row],[Nazwisko]])</f>
        <v>Malwina Korzeniowska</v>
      </c>
      <c r="H215" s="4" t="s">
        <v>1193</v>
      </c>
      <c r="I215" s="2">
        <v>99</v>
      </c>
    </row>
    <row r="216" spans="1:9" x14ac:dyDescent="0.25">
      <c r="A216" s="1">
        <v>42767</v>
      </c>
      <c r="B216" s="2" t="s">
        <v>269</v>
      </c>
      <c r="C216" s="2" t="s">
        <v>270</v>
      </c>
      <c r="D216">
        <v>20</v>
      </c>
      <c r="E216" t="str">
        <f>_xlfn.CONCAT(makulatura4[[#This Row],[Imie]]," ",makulatura4[[#This Row],[Nazwisko]])</f>
        <v>Marcel Labuda</v>
      </c>
      <c r="H216" s="4" t="s">
        <v>1049</v>
      </c>
      <c r="I216" s="2">
        <v>99</v>
      </c>
    </row>
    <row r="217" spans="1:9" x14ac:dyDescent="0.25">
      <c r="A217" s="1">
        <v>42767</v>
      </c>
      <c r="B217" s="2" t="s">
        <v>271</v>
      </c>
      <c r="C217" s="2" t="s">
        <v>272</v>
      </c>
      <c r="D217">
        <v>23</v>
      </c>
      <c r="E217" t="str">
        <f>_xlfn.CONCAT(makulatura4[[#This Row],[Imie]]," ",makulatura4[[#This Row],[Nazwisko]])</f>
        <v>Olgierd Baranek</v>
      </c>
      <c r="H217" s="4" t="s">
        <v>1294</v>
      </c>
      <c r="I217" s="2">
        <v>99</v>
      </c>
    </row>
    <row r="218" spans="1:9" x14ac:dyDescent="0.25">
      <c r="A218" s="1">
        <v>42767</v>
      </c>
      <c r="B218" s="2" t="s">
        <v>273</v>
      </c>
      <c r="C218" s="2" t="s">
        <v>274</v>
      </c>
      <c r="D218">
        <v>24</v>
      </c>
      <c r="E218" t="str">
        <f>_xlfn.CONCAT(makulatura4[[#This Row],[Imie]]," ",makulatura4[[#This Row],[Nazwisko]])</f>
        <v>Luiza Makowska</v>
      </c>
      <c r="H218" s="4" t="s">
        <v>1123</v>
      </c>
      <c r="I218" s="2">
        <v>99</v>
      </c>
    </row>
    <row r="219" spans="1:9" x14ac:dyDescent="0.25">
      <c r="A219" s="1">
        <v>42767</v>
      </c>
      <c r="B219" s="2" t="s">
        <v>275</v>
      </c>
      <c r="C219" s="2" t="s">
        <v>276</v>
      </c>
      <c r="D219">
        <v>17</v>
      </c>
      <c r="E219" t="str">
        <f>_xlfn.CONCAT(makulatura4[[#This Row],[Imie]]," ",makulatura4[[#This Row],[Nazwisko]])</f>
        <v>Andrea Witkowska</v>
      </c>
      <c r="H219" s="4" t="s">
        <v>854</v>
      </c>
      <c r="I219" s="2">
        <v>99</v>
      </c>
    </row>
    <row r="220" spans="1:9" x14ac:dyDescent="0.25">
      <c r="A220" s="1">
        <v>42767</v>
      </c>
      <c r="B220" s="2" t="s">
        <v>106</v>
      </c>
      <c r="C220" s="2" t="s">
        <v>277</v>
      </c>
      <c r="D220">
        <v>6</v>
      </c>
      <c r="E220" t="str">
        <f>_xlfn.CONCAT(makulatura4[[#This Row],[Imie]]," ",makulatura4[[#This Row],[Nazwisko]])</f>
        <v>Lena Marzec</v>
      </c>
      <c r="H220" s="4" t="s">
        <v>1043</v>
      </c>
      <c r="I220" s="2">
        <v>98</v>
      </c>
    </row>
    <row r="221" spans="1:9" x14ac:dyDescent="0.25">
      <c r="A221" s="1">
        <v>42767</v>
      </c>
      <c r="B221" s="2" t="s">
        <v>278</v>
      </c>
      <c r="C221" s="2" t="s">
        <v>279</v>
      </c>
      <c r="D221">
        <v>47</v>
      </c>
      <c r="E221" t="str">
        <f>_xlfn.CONCAT(makulatura4[[#This Row],[Imie]]," ",makulatura4[[#This Row],[Nazwisko]])</f>
        <v>Janusz Artowski</v>
      </c>
      <c r="H221" s="4" t="s">
        <v>1146</v>
      </c>
      <c r="I221" s="2">
        <v>98</v>
      </c>
    </row>
    <row r="222" spans="1:9" x14ac:dyDescent="0.25">
      <c r="A222" s="1">
        <v>42768</v>
      </c>
      <c r="B222" s="2" t="s">
        <v>280</v>
      </c>
      <c r="C222" s="2" t="s">
        <v>281</v>
      </c>
      <c r="D222">
        <v>25</v>
      </c>
      <c r="E222" t="str">
        <f>_xlfn.CONCAT(makulatura4[[#This Row],[Imie]]," ",makulatura4[[#This Row],[Nazwisko]])</f>
        <v>Kamila Wolan</v>
      </c>
      <c r="H222" s="4" t="s">
        <v>1090</v>
      </c>
      <c r="I222" s="2">
        <v>98</v>
      </c>
    </row>
    <row r="223" spans="1:9" x14ac:dyDescent="0.25">
      <c r="A223" s="1">
        <v>42768</v>
      </c>
      <c r="B223" s="2" t="s">
        <v>282</v>
      </c>
      <c r="C223" s="2" t="s">
        <v>283</v>
      </c>
      <c r="D223">
        <v>20</v>
      </c>
      <c r="E223" t="str">
        <f>_xlfn.CONCAT(makulatura4[[#This Row],[Imie]]," ",makulatura4[[#This Row],[Nazwisko]])</f>
        <v>Inka Sochacka</v>
      </c>
      <c r="H223" s="4" t="s">
        <v>1247</v>
      </c>
      <c r="I223" s="2">
        <v>98</v>
      </c>
    </row>
    <row r="224" spans="1:9" x14ac:dyDescent="0.25">
      <c r="A224" s="1">
        <v>42768</v>
      </c>
      <c r="B224" s="2" t="s">
        <v>284</v>
      </c>
      <c r="C224" s="2" t="s">
        <v>285</v>
      </c>
      <c r="D224">
        <v>6</v>
      </c>
      <c r="E224" t="str">
        <f>_xlfn.CONCAT(makulatura4[[#This Row],[Imie]]," ",makulatura4[[#This Row],[Nazwisko]])</f>
        <v>Alina Warta</v>
      </c>
      <c r="H224" s="4" t="s">
        <v>739</v>
      </c>
      <c r="I224" s="2">
        <v>98</v>
      </c>
    </row>
    <row r="225" spans="1:9" x14ac:dyDescent="0.25">
      <c r="A225" s="1">
        <v>42768</v>
      </c>
      <c r="B225" s="2" t="s">
        <v>69</v>
      </c>
      <c r="C225" s="2" t="s">
        <v>286</v>
      </c>
      <c r="D225">
        <v>16</v>
      </c>
      <c r="E225" t="str">
        <f>_xlfn.CONCAT(makulatura4[[#This Row],[Imie]]," ",makulatura4[[#This Row],[Nazwisko]])</f>
        <v>Adam Zega</v>
      </c>
      <c r="H225" s="4" t="s">
        <v>795</v>
      </c>
      <c r="I225" s="2">
        <v>98</v>
      </c>
    </row>
    <row r="226" spans="1:9" x14ac:dyDescent="0.25">
      <c r="A226" s="1">
        <v>42768</v>
      </c>
      <c r="B226" s="2" t="s">
        <v>267</v>
      </c>
      <c r="C226" s="2" t="s">
        <v>287</v>
      </c>
      <c r="D226">
        <v>16</v>
      </c>
      <c r="E226" t="str">
        <f>_xlfn.CONCAT(makulatura4[[#This Row],[Imie]]," ",makulatura4[[#This Row],[Nazwisko]])</f>
        <v>Henryk Siminski</v>
      </c>
      <c r="H226" s="4" t="s">
        <v>1042</v>
      </c>
      <c r="I226" s="2">
        <v>97</v>
      </c>
    </row>
    <row r="227" spans="1:9" x14ac:dyDescent="0.25">
      <c r="A227" s="1">
        <v>42768</v>
      </c>
      <c r="B227" s="2" t="s">
        <v>252</v>
      </c>
      <c r="C227" s="2" t="s">
        <v>288</v>
      </c>
      <c r="D227">
        <v>8</v>
      </c>
      <c r="E227" t="str">
        <f>_xlfn.CONCAT(makulatura4[[#This Row],[Imie]]," ",makulatura4[[#This Row],[Nazwisko]])</f>
        <v>Irena Piotrowska</v>
      </c>
      <c r="H227" s="4" t="s">
        <v>1064</v>
      </c>
      <c r="I227" s="2">
        <v>97</v>
      </c>
    </row>
    <row r="228" spans="1:9" x14ac:dyDescent="0.25">
      <c r="A228" s="1">
        <v>42768</v>
      </c>
      <c r="B228" s="2" t="s">
        <v>178</v>
      </c>
      <c r="C228" s="2" t="s">
        <v>242</v>
      </c>
      <c r="D228">
        <v>17</v>
      </c>
      <c r="E228" t="str">
        <f>_xlfn.CONCAT(makulatura4[[#This Row],[Imie]]," ",makulatura4[[#This Row],[Nazwisko]])</f>
        <v>Malgorzata Karlowski</v>
      </c>
      <c r="H228" s="4" t="s">
        <v>881</v>
      </c>
      <c r="I228" s="2">
        <v>97</v>
      </c>
    </row>
    <row r="229" spans="1:9" x14ac:dyDescent="0.25">
      <c r="A229" s="1">
        <v>42768</v>
      </c>
      <c r="B229" s="2" t="s">
        <v>39</v>
      </c>
      <c r="C229" s="2" t="s">
        <v>289</v>
      </c>
      <c r="D229">
        <v>8</v>
      </c>
      <c r="E229" t="str">
        <f>_xlfn.CONCAT(makulatura4[[#This Row],[Imie]]," ",makulatura4[[#This Row],[Nazwisko]])</f>
        <v>Jakub Bracik</v>
      </c>
      <c r="H229" s="4" t="s">
        <v>1031</v>
      </c>
      <c r="I229" s="2">
        <v>96</v>
      </c>
    </row>
    <row r="230" spans="1:9" x14ac:dyDescent="0.25">
      <c r="A230" s="1">
        <v>42768</v>
      </c>
      <c r="B230" s="2" t="s">
        <v>30</v>
      </c>
      <c r="C230" s="2" t="s">
        <v>31</v>
      </c>
      <c r="D230">
        <v>29</v>
      </c>
      <c r="E230" t="str">
        <f>_xlfn.CONCAT(makulatura4[[#This Row],[Imie]]," ",makulatura4[[#This Row],[Nazwisko]])</f>
        <v>Maciej Lyszcz</v>
      </c>
      <c r="H230" s="4" t="s">
        <v>1094</v>
      </c>
      <c r="I230" s="2">
        <v>96</v>
      </c>
    </row>
    <row r="231" spans="1:9" x14ac:dyDescent="0.25">
      <c r="A231" s="1">
        <v>42768</v>
      </c>
      <c r="B231" s="2" t="s">
        <v>206</v>
      </c>
      <c r="C231" s="2" t="s">
        <v>227</v>
      </c>
      <c r="D231">
        <v>43</v>
      </c>
      <c r="E231" t="str">
        <f>_xlfn.CONCAT(makulatura4[[#This Row],[Imie]]," ",makulatura4[[#This Row],[Nazwisko]])</f>
        <v>Pawel Nowak</v>
      </c>
      <c r="H231" s="4" t="s">
        <v>1230</v>
      </c>
      <c r="I231" s="2">
        <v>96</v>
      </c>
    </row>
    <row r="232" spans="1:9" x14ac:dyDescent="0.25">
      <c r="A232" s="1">
        <v>42768</v>
      </c>
      <c r="B232" s="2" t="s">
        <v>290</v>
      </c>
      <c r="C232" s="2" t="s">
        <v>291</v>
      </c>
      <c r="D232">
        <v>17</v>
      </c>
      <c r="E232" t="str">
        <f>_xlfn.CONCAT(makulatura4[[#This Row],[Imie]]," ",makulatura4[[#This Row],[Nazwisko]])</f>
        <v>Michalina Klebba</v>
      </c>
      <c r="H232" s="4" t="s">
        <v>811</v>
      </c>
      <c r="I232" s="2">
        <v>96</v>
      </c>
    </row>
    <row r="233" spans="1:9" x14ac:dyDescent="0.25">
      <c r="A233" s="1">
        <v>42769</v>
      </c>
      <c r="B233" s="2" t="s">
        <v>67</v>
      </c>
      <c r="C233" s="2" t="s">
        <v>68</v>
      </c>
      <c r="D233">
        <v>29</v>
      </c>
      <c r="E233" t="str">
        <f>_xlfn.CONCAT(makulatura4[[#This Row],[Imie]]," ",makulatura4[[#This Row],[Nazwisko]])</f>
        <v>Bartosz Protasow</v>
      </c>
      <c r="H233" s="4" t="s">
        <v>1256</v>
      </c>
      <c r="I233" s="2">
        <v>95</v>
      </c>
    </row>
    <row r="234" spans="1:9" x14ac:dyDescent="0.25">
      <c r="A234" s="1">
        <v>42769</v>
      </c>
      <c r="B234" s="2" t="s">
        <v>117</v>
      </c>
      <c r="C234" s="2" t="s">
        <v>183</v>
      </c>
      <c r="D234">
        <v>7</v>
      </c>
      <c r="E234" t="str">
        <f>_xlfn.CONCAT(makulatura4[[#This Row],[Imie]]," ",makulatura4[[#This Row],[Nazwisko]])</f>
        <v>Edward Zdunek</v>
      </c>
      <c r="H234" s="4" t="s">
        <v>943</v>
      </c>
      <c r="I234" s="2">
        <v>95</v>
      </c>
    </row>
    <row r="235" spans="1:9" x14ac:dyDescent="0.25">
      <c r="A235" s="1">
        <v>42769</v>
      </c>
      <c r="B235" s="2" t="s">
        <v>141</v>
      </c>
      <c r="C235" s="2" t="s">
        <v>292</v>
      </c>
      <c r="D235">
        <v>16</v>
      </c>
      <c r="E235" t="str">
        <f>_xlfn.CONCAT(makulatura4[[#This Row],[Imie]]," ",makulatura4[[#This Row],[Nazwisko]])</f>
        <v>Joanna Zygmunt</v>
      </c>
      <c r="H235" s="4" t="s">
        <v>867</v>
      </c>
      <c r="I235" s="2">
        <v>95</v>
      </c>
    </row>
    <row r="236" spans="1:9" x14ac:dyDescent="0.25">
      <c r="A236" s="1">
        <v>42769</v>
      </c>
      <c r="B236" s="2" t="s">
        <v>150</v>
      </c>
      <c r="C236" s="2" t="s">
        <v>258</v>
      </c>
      <c r="D236">
        <v>3</v>
      </c>
      <c r="E236" t="str">
        <f>_xlfn.CONCAT(makulatura4[[#This Row],[Imie]]," ",makulatura4[[#This Row],[Nazwisko]])</f>
        <v>Krzysztof Figurski</v>
      </c>
      <c r="H236" s="4" t="s">
        <v>1038</v>
      </c>
      <c r="I236" s="2">
        <v>94</v>
      </c>
    </row>
    <row r="237" spans="1:9" x14ac:dyDescent="0.25">
      <c r="A237" s="1">
        <v>42769</v>
      </c>
      <c r="B237" s="2" t="s">
        <v>12</v>
      </c>
      <c r="C237" s="2" t="s">
        <v>13</v>
      </c>
      <c r="D237">
        <v>26</v>
      </c>
      <c r="E237" t="str">
        <f>_xlfn.CONCAT(makulatura4[[#This Row],[Imie]]," ",makulatura4[[#This Row],[Nazwisko]])</f>
        <v>Maja Kulkowska</v>
      </c>
      <c r="H237" s="4" t="s">
        <v>1151</v>
      </c>
      <c r="I237" s="2">
        <v>94</v>
      </c>
    </row>
    <row r="238" spans="1:9" x14ac:dyDescent="0.25">
      <c r="A238" s="1">
        <v>42769</v>
      </c>
      <c r="B238" s="2" t="s">
        <v>101</v>
      </c>
      <c r="C238" s="2" t="s">
        <v>293</v>
      </c>
      <c r="D238">
        <v>5</v>
      </c>
      <c r="E238" t="str">
        <f>_xlfn.CONCAT(makulatura4[[#This Row],[Imie]]," ",makulatura4[[#This Row],[Nazwisko]])</f>
        <v>Maria Kowalczuk</v>
      </c>
      <c r="H238" s="4" t="s">
        <v>1263</v>
      </c>
      <c r="I238" s="2">
        <v>94</v>
      </c>
    </row>
    <row r="239" spans="1:9" x14ac:dyDescent="0.25">
      <c r="A239" s="1">
        <v>42769</v>
      </c>
      <c r="B239" s="2" t="s">
        <v>39</v>
      </c>
      <c r="C239" s="2" t="s">
        <v>294</v>
      </c>
      <c r="D239">
        <v>16</v>
      </c>
      <c r="E239" t="str">
        <f>_xlfn.CONCAT(makulatura4[[#This Row],[Imie]]," ",makulatura4[[#This Row],[Nazwisko]])</f>
        <v>Jakub Ropiak</v>
      </c>
      <c r="H239" s="4" t="s">
        <v>1000</v>
      </c>
      <c r="I239" s="2">
        <v>94</v>
      </c>
    </row>
    <row r="240" spans="1:9" x14ac:dyDescent="0.25">
      <c r="A240" s="1">
        <v>42769</v>
      </c>
      <c r="B240" s="2" t="s">
        <v>36</v>
      </c>
      <c r="C240" s="2" t="s">
        <v>295</v>
      </c>
      <c r="D240">
        <v>19</v>
      </c>
      <c r="E240" t="str">
        <f>_xlfn.CONCAT(makulatura4[[#This Row],[Imie]]," ",makulatura4[[#This Row],[Nazwisko]])</f>
        <v>Piotr Kania</v>
      </c>
      <c r="H240" s="4" t="s">
        <v>768</v>
      </c>
      <c r="I240" s="2">
        <v>94</v>
      </c>
    </row>
    <row r="241" spans="1:9" x14ac:dyDescent="0.25">
      <c r="A241" s="1">
        <v>42769</v>
      </c>
      <c r="B241" s="2" t="s">
        <v>217</v>
      </c>
      <c r="C241" s="2" t="s">
        <v>218</v>
      </c>
      <c r="D241">
        <v>13</v>
      </c>
      <c r="E241" t="str">
        <f>_xlfn.CONCAT(makulatura4[[#This Row],[Imie]]," ",makulatura4[[#This Row],[Nazwisko]])</f>
        <v>Witold Sempa</v>
      </c>
      <c r="H241" s="4" t="s">
        <v>1033</v>
      </c>
      <c r="I241" s="2">
        <v>93</v>
      </c>
    </row>
    <row r="242" spans="1:9" x14ac:dyDescent="0.25">
      <c r="A242" s="1">
        <v>42769</v>
      </c>
      <c r="B242" s="2" t="s">
        <v>206</v>
      </c>
      <c r="C242" s="2" t="s">
        <v>296</v>
      </c>
      <c r="D242">
        <v>8</v>
      </c>
      <c r="E242" t="str">
        <f>_xlfn.CONCAT(makulatura4[[#This Row],[Imie]]," ",makulatura4[[#This Row],[Nazwisko]])</f>
        <v>Pawel Macherzynski</v>
      </c>
      <c r="H242" s="4" t="s">
        <v>1215</v>
      </c>
      <c r="I242" s="2">
        <v>93</v>
      </c>
    </row>
    <row r="243" spans="1:9" x14ac:dyDescent="0.25">
      <c r="A243" s="1">
        <v>42769</v>
      </c>
      <c r="B243" s="2" t="s">
        <v>150</v>
      </c>
      <c r="C243" s="2" t="s">
        <v>297</v>
      </c>
      <c r="D243">
        <v>13</v>
      </c>
      <c r="E243" t="str">
        <f>_xlfn.CONCAT(makulatura4[[#This Row],[Imie]]," ",makulatura4[[#This Row],[Nazwisko]])</f>
        <v>Krzysztof Czyz</v>
      </c>
      <c r="H243" s="4" t="s">
        <v>1051</v>
      </c>
      <c r="I243" s="2">
        <v>93</v>
      </c>
    </row>
    <row r="244" spans="1:9" x14ac:dyDescent="0.25">
      <c r="A244" s="1">
        <v>42772</v>
      </c>
      <c r="B244" s="2" t="s">
        <v>150</v>
      </c>
      <c r="C244" s="2" t="s">
        <v>298</v>
      </c>
      <c r="D244">
        <v>25</v>
      </c>
      <c r="E244" t="str">
        <f>_xlfn.CONCAT(makulatura4[[#This Row],[Imie]]," ",makulatura4[[#This Row],[Nazwisko]])</f>
        <v>Krzysztof Wilecki</v>
      </c>
      <c r="H244" s="4" t="s">
        <v>805</v>
      </c>
      <c r="I244" s="2">
        <v>93</v>
      </c>
    </row>
    <row r="245" spans="1:9" x14ac:dyDescent="0.25">
      <c r="A245" s="1">
        <v>42772</v>
      </c>
      <c r="B245" s="2" t="s">
        <v>299</v>
      </c>
      <c r="C245" s="2" t="s">
        <v>300</v>
      </c>
      <c r="D245">
        <v>25</v>
      </c>
      <c r="E245" t="str">
        <f>_xlfn.CONCAT(makulatura4[[#This Row],[Imie]]," ",makulatura4[[#This Row],[Nazwisko]])</f>
        <v>Zbigniew Paderewski</v>
      </c>
      <c r="H245" s="4" t="s">
        <v>725</v>
      </c>
      <c r="I245" s="2">
        <v>93</v>
      </c>
    </row>
    <row r="246" spans="1:9" x14ac:dyDescent="0.25">
      <c r="A246" s="1">
        <v>42772</v>
      </c>
      <c r="B246" s="2" t="s">
        <v>67</v>
      </c>
      <c r="C246" s="2" t="s">
        <v>301</v>
      </c>
      <c r="D246">
        <v>56</v>
      </c>
      <c r="E246" t="str">
        <f>_xlfn.CONCAT(makulatura4[[#This Row],[Imie]]," ",makulatura4[[#This Row],[Nazwisko]])</f>
        <v>Bartosz Tusinski</v>
      </c>
      <c r="H246" s="4" t="s">
        <v>957</v>
      </c>
      <c r="I246" s="2">
        <v>93</v>
      </c>
    </row>
    <row r="247" spans="1:9" x14ac:dyDescent="0.25">
      <c r="A247" s="1">
        <v>42772</v>
      </c>
      <c r="B247" s="2" t="s">
        <v>198</v>
      </c>
      <c r="C247" s="2" t="s">
        <v>199</v>
      </c>
      <c r="D247">
        <v>3</v>
      </c>
      <c r="E247" t="str">
        <f>_xlfn.CONCAT(makulatura4[[#This Row],[Imie]]," ",makulatura4[[#This Row],[Nazwisko]])</f>
        <v>Sabina Wilk</v>
      </c>
      <c r="H247" s="4" t="s">
        <v>888</v>
      </c>
      <c r="I247" s="2">
        <v>93</v>
      </c>
    </row>
    <row r="248" spans="1:9" x14ac:dyDescent="0.25">
      <c r="A248" s="1">
        <v>42772</v>
      </c>
      <c r="B248" s="2" t="s">
        <v>41</v>
      </c>
      <c r="C248" s="2" t="s">
        <v>302</v>
      </c>
      <c r="D248">
        <v>18</v>
      </c>
      <c r="E248" t="str">
        <f>_xlfn.CONCAT(makulatura4[[#This Row],[Imie]]," ",makulatura4[[#This Row],[Nazwisko]])</f>
        <v>Marta Wloczkow</v>
      </c>
      <c r="H248" s="4" t="s">
        <v>841</v>
      </c>
      <c r="I248" s="2">
        <v>92</v>
      </c>
    </row>
    <row r="249" spans="1:9" x14ac:dyDescent="0.25">
      <c r="A249" s="1">
        <v>42772</v>
      </c>
      <c r="B249" s="2" t="s">
        <v>67</v>
      </c>
      <c r="C249" s="2" t="s">
        <v>301</v>
      </c>
      <c r="D249">
        <v>14</v>
      </c>
      <c r="E249" t="str">
        <f>_xlfn.CONCAT(makulatura4[[#This Row],[Imie]]," ",makulatura4[[#This Row],[Nazwisko]])</f>
        <v>Bartosz Tusinski</v>
      </c>
      <c r="H249" s="4" t="s">
        <v>1125</v>
      </c>
      <c r="I249" s="2">
        <v>91</v>
      </c>
    </row>
    <row r="250" spans="1:9" x14ac:dyDescent="0.25">
      <c r="A250" s="1">
        <v>42772</v>
      </c>
      <c r="B250" s="2" t="s">
        <v>303</v>
      </c>
      <c r="C250" s="2" t="s">
        <v>304</v>
      </c>
      <c r="D250">
        <v>5</v>
      </c>
      <c r="E250" t="str">
        <f>_xlfn.CONCAT(makulatura4[[#This Row],[Imie]]," ",makulatura4[[#This Row],[Nazwisko]])</f>
        <v>Cyprian Swierszcz</v>
      </c>
      <c r="H250" s="4" t="s">
        <v>1287</v>
      </c>
      <c r="I250" s="2">
        <v>91</v>
      </c>
    </row>
    <row r="251" spans="1:9" x14ac:dyDescent="0.25">
      <c r="A251" s="1">
        <v>42772</v>
      </c>
      <c r="B251" s="2" t="s">
        <v>161</v>
      </c>
      <c r="C251" s="2" t="s">
        <v>305</v>
      </c>
      <c r="D251">
        <v>3</v>
      </c>
      <c r="E251" t="str">
        <f>_xlfn.CONCAT(makulatura4[[#This Row],[Imie]]," ",makulatura4[[#This Row],[Nazwisko]])</f>
        <v>Anita Tych</v>
      </c>
      <c r="H251" s="4" t="s">
        <v>1059</v>
      </c>
      <c r="I251" s="2">
        <v>91</v>
      </c>
    </row>
    <row r="252" spans="1:9" x14ac:dyDescent="0.25">
      <c r="A252" s="1">
        <v>42772</v>
      </c>
      <c r="B252" s="2" t="s">
        <v>36</v>
      </c>
      <c r="C252" s="2" t="s">
        <v>306</v>
      </c>
      <c r="D252">
        <v>27</v>
      </c>
      <c r="E252" t="str">
        <f>_xlfn.CONCAT(makulatura4[[#This Row],[Imie]]," ",makulatura4[[#This Row],[Nazwisko]])</f>
        <v>Piotr Kaleta</v>
      </c>
      <c r="H252" s="4" t="s">
        <v>1047</v>
      </c>
      <c r="I252" s="2">
        <v>91</v>
      </c>
    </row>
    <row r="253" spans="1:9" x14ac:dyDescent="0.25">
      <c r="A253" s="1">
        <v>42772</v>
      </c>
      <c r="B253" s="2" t="s">
        <v>307</v>
      </c>
      <c r="C253" s="2" t="s">
        <v>308</v>
      </c>
      <c r="D253">
        <v>28</v>
      </c>
      <c r="E253" t="str">
        <f>_xlfn.CONCAT(makulatura4[[#This Row],[Imie]]," ",makulatura4[[#This Row],[Nazwisko]])</f>
        <v>Konrad Lipowski</v>
      </c>
      <c r="H253" s="4" t="s">
        <v>843</v>
      </c>
      <c r="I253" s="2">
        <v>91</v>
      </c>
    </row>
    <row r="254" spans="1:9" x14ac:dyDescent="0.25">
      <c r="A254" s="1">
        <v>42772</v>
      </c>
      <c r="B254" s="2" t="s">
        <v>128</v>
      </c>
      <c r="C254" s="2" t="s">
        <v>309</v>
      </c>
      <c r="D254">
        <v>2</v>
      </c>
      <c r="E254" t="str">
        <f>_xlfn.CONCAT(makulatura4[[#This Row],[Imie]]," ",makulatura4[[#This Row],[Nazwisko]])</f>
        <v>Wojciech Filipowicz</v>
      </c>
      <c r="H254" s="4" t="s">
        <v>729</v>
      </c>
      <c r="I254" s="2">
        <v>91</v>
      </c>
    </row>
    <row r="255" spans="1:9" x14ac:dyDescent="0.25">
      <c r="A255" s="1">
        <v>42773</v>
      </c>
      <c r="B255" s="2" t="s">
        <v>269</v>
      </c>
      <c r="C255" s="2" t="s">
        <v>270</v>
      </c>
      <c r="D255">
        <v>29</v>
      </c>
      <c r="E255" t="str">
        <f>_xlfn.CONCAT(makulatura4[[#This Row],[Imie]]," ",makulatura4[[#This Row],[Nazwisko]])</f>
        <v>Marcel Labuda</v>
      </c>
      <c r="H255" s="4" t="s">
        <v>1171</v>
      </c>
      <c r="I255" s="2">
        <v>90</v>
      </c>
    </row>
    <row r="256" spans="1:9" x14ac:dyDescent="0.25">
      <c r="A256" s="1">
        <v>42773</v>
      </c>
      <c r="B256" s="2" t="s">
        <v>310</v>
      </c>
      <c r="C256" s="2" t="s">
        <v>311</v>
      </c>
      <c r="D256">
        <v>54</v>
      </c>
      <c r="E256" t="str">
        <f>_xlfn.CONCAT(makulatura4[[#This Row],[Imie]]," ",makulatura4[[#This Row],[Nazwisko]])</f>
        <v>Antoni Pawlus</v>
      </c>
      <c r="H256" s="4" t="s">
        <v>1195</v>
      </c>
      <c r="I256" s="2">
        <v>90</v>
      </c>
    </row>
    <row r="257" spans="1:9" x14ac:dyDescent="0.25">
      <c r="A257" s="1">
        <v>42773</v>
      </c>
      <c r="B257" s="2" t="s">
        <v>312</v>
      </c>
      <c r="C257" s="2" t="s">
        <v>88</v>
      </c>
      <c r="D257">
        <v>4</v>
      </c>
      <c r="E257" t="str">
        <f>_xlfn.CONCAT(makulatura4[[#This Row],[Imie]]," ",makulatura4[[#This Row],[Nazwisko]])</f>
        <v>Tadeusz Stoch</v>
      </c>
      <c r="H257" s="4" t="s">
        <v>1143</v>
      </c>
      <c r="I257" s="2">
        <v>90</v>
      </c>
    </row>
    <row r="258" spans="1:9" x14ac:dyDescent="0.25">
      <c r="A258" s="1">
        <v>42773</v>
      </c>
      <c r="B258" s="2" t="s">
        <v>150</v>
      </c>
      <c r="C258" s="2" t="s">
        <v>313</v>
      </c>
      <c r="D258">
        <v>29</v>
      </c>
      <c r="E258" t="str">
        <f>_xlfn.CONCAT(makulatura4[[#This Row],[Imie]]," ",makulatura4[[#This Row],[Nazwisko]])</f>
        <v>Krzysztof Dwa</v>
      </c>
      <c r="H258" s="4" t="s">
        <v>972</v>
      </c>
      <c r="I258" s="2">
        <v>90</v>
      </c>
    </row>
    <row r="259" spans="1:9" x14ac:dyDescent="0.25">
      <c r="A259" s="1">
        <v>42773</v>
      </c>
      <c r="B259" s="2" t="s">
        <v>314</v>
      </c>
      <c r="C259" s="2" t="s">
        <v>315</v>
      </c>
      <c r="D259">
        <v>22</v>
      </c>
      <c r="E259" t="str">
        <f>_xlfn.CONCAT(makulatura4[[#This Row],[Imie]]," ",makulatura4[[#This Row],[Nazwisko]])</f>
        <v>Lukasz Kopecki</v>
      </c>
      <c r="H259" s="4" t="s">
        <v>1121</v>
      </c>
      <c r="I259" s="2">
        <v>89</v>
      </c>
    </row>
    <row r="260" spans="1:9" x14ac:dyDescent="0.25">
      <c r="A260" s="1">
        <v>42773</v>
      </c>
      <c r="B260" s="2" t="s">
        <v>150</v>
      </c>
      <c r="C260" s="2" t="s">
        <v>313</v>
      </c>
      <c r="D260">
        <v>6</v>
      </c>
      <c r="E260" t="str">
        <f>_xlfn.CONCAT(makulatura4[[#This Row],[Imie]]," ",makulatura4[[#This Row],[Nazwisko]])</f>
        <v>Krzysztof Dwa</v>
      </c>
      <c r="H260" s="4" t="s">
        <v>1302</v>
      </c>
      <c r="I260" s="2">
        <v>89</v>
      </c>
    </row>
    <row r="261" spans="1:9" x14ac:dyDescent="0.25">
      <c r="A261" s="1">
        <v>42773</v>
      </c>
      <c r="B261" s="2" t="s">
        <v>169</v>
      </c>
      <c r="C261" s="2" t="s">
        <v>170</v>
      </c>
      <c r="D261">
        <v>7</v>
      </c>
      <c r="E261" t="str">
        <f>_xlfn.CONCAT(makulatura4[[#This Row],[Imie]]," ",makulatura4[[#This Row],[Nazwisko]])</f>
        <v>Aleks Wojcik</v>
      </c>
      <c r="H261" s="4" t="s">
        <v>1278</v>
      </c>
      <c r="I261" s="2">
        <v>89</v>
      </c>
    </row>
    <row r="262" spans="1:9" x14ac:dyDescent="0.25">
      <c r="A262" s="1">
        <v>42773</v>
      </c>
      <c r="B262" s="2" t="s">
        <v>133</v>
      </c>
      <c r="C262" s="2" t="s">
        <v>316</v>
      </c>
      <c r="D262">
        <v>21</v>
      </c>
      <c r="E262" t="str">
        <f>_xlfn.CONCAT(makulatura4[[#This Row],[Imie]]," ",makulatura4[[#This Row],[Nazwisko]])</f>
        <v>Dominika Mierny</v>
      </c>
      <c r="H262" s="4" t="s">
        <v>883</v>
      </c>
      <c r="I262" s="2">
        <v>89</v>
      </c>
    </row>
    <row r="263" spans="1:9" x14ac:dyDescent="0.25">
      <c r="A263" s="1">
        <v>42773</v>
      </c>
      <c r="B263" s="2" t="s">
        <v>39</v>
      </c>
      <c r="C263" s="2" t="s">
        <v>164</v>
      </c>
      <c r="D263">
        <v>19</v>
      </c>
      <c r="E263" t="str">
        <f>_xlfn.CONCAT(makulatura4[[#This Row],[Imie]]," ",makulatura4[[#This Row],[Nazwisko]])</f>
        <v>Jakub Waniek</v>
      </c>
      <c r="H263" s="4" t="s">
        <v>994</v>
      </c>
      <c r="I263" s="2">
        <v>89</v>
      </c>
    </row>
    <row r="264" spans="1:9" x14ac:dyDescent="0.25">
      <c r="A264" s="1">
        <v>42773</v>
      </c>
      <c r="B264" s="2" t="s">
        <v>317</v>
      </c>
      <c r="C264" s="2" t="s">
        <v>318</v>
      </c>
      <c r="D264">
        <v>8</v>
      </c>
      <c r="E264" t="str">
        <f>_xlfn.CONCAT(makulatura4[[#This Row],[Imie]]," ",makulatura4[[#This Row],[Nazwisko]])</f>
        <v>Bohdan Gigant</v>
      </c>
      <c r="H264" s="4" t="s">
        <v>1027</v>
      </c>
      <c r="I264" s="2">
        <v>88</v>
      </c>
    </row>
    <row r="265" spans="1:9" x14ac:dyDescent="0.25">
      <c r="A265" s="1">
        <v>42773</v>
      </c>
      <c r="B265" s="2" t="s">
        <v>39</v>
      </c>
      <c r="C265" s="2" t="s">
        <v>40</v>
      </c>
      <c r="D265">
        <v>2</v>
      </c>
      <c r="E265" t="str">
        <f>_xlfn.CONCAT(makulatura4[[#This Row],[Imie]]," ",makulatura4[[#This Row],[Nazwisko]])</f>
        <v>Jakub Jedruszek</v>
      </c>
      <c r="H265" s="4" t="s">
        <v>1081</v>
      </c>
      <c r="I265" s="2">
        <v>88</v>
      </c>
    </row>
    <row r="266" spans="1:9" x14ac:dyDescent="0.25">
      <c r="A266" s="1">
        <v>42774</v>
      </c>
      <c r="B266" s="2" t="s">
        <v>267</v>
      </c>
      <c r="C266" s="2" t="s">
        <v>287</v>
      </c>
      <c r="D266">
        <v>45</v>
      </c>
      <c r="E266" t="str">
        <f>_xlfn.CONCAT(makulatura4[[#This Row],[Imie]]," ",makulatura4[[#This Row],[Nazwisko]])</f>
        <v>Henryk Siminski</v>
      </c>
      <c r="H266" s="4" t="s">
        <v>1225</v>
      </c>
      <c r="I266" s="2">
        <v>88</v>
      </c>
    </row>
    <row r="267" spans="1:9" x14ac:dyDescent="0.25">
      <c r="A267" s="1">
        <v>42774</v>
      </c>
      <c r="B267" s="2" t="s">
        <v>152</v>
      </c>
      <c r="C267" s="2" t="s">
        <v>319</v>
      </c>
      <c r="D267">
        <v>3</v>
      </c>
      <c r="E267" t="str">
        <f>_xlfn.CONCAT(makulatura4[[#This Row],[Imie]]," ",makulatura4[[#This Row],[Nazwisko]])</f>
        <v>Natalia Wolny</v>
      </c>
      <c r="H267" s="4" t="s">
        <v>1156</v>
      </c>
      <c r="I267" s="2">
        <v>88</v>
      </c>
    </row>
    <row r="268" spans="1:9" x14ac:dyDescent="0.25">
      <c r="A268" s="1">
        <v>42774</v>
      </c>
      <c r="B268" s="2" t="s">
        <v>320</v>
      </c>
      <c r="C268" s="2" t="s">
        <v>321</v>
      </c>
      <c r="D268">
        <v>36</v>
      </c>
      <c r="E268" t="str">
        <f>_xlfn.CONCAT(makulatura4[[#This Row],[Imie]]," ",makulatura4[[#This Row],[Nazwisko]])</f>
        <v>Olaf Hrywniak</v>
      </c>
      <c r="H268" s="4" t="s">
        <v>793</v>
      </c>
      <c r="I268" s="2">
        <v>88</v>
      </c>
    </row>
    <row r="269" spans="1:9" x14ac:dyDescent="0.25">
      <c r="A269" s="1">
        <v>42774</v>
      </c>
      <c r="B269" s="2" t="s">
        <v>152</v>
      </c>
      <c r="C269" s="2" t="s">
        <v>319</v>
      </c>
      <c r="D269">
        <v>9</v>
      </c>
      <c r="E269" t="str">
        <f>_xlfn.CONCAT(makulatura4[[#This Row],[Imie]]," ",makulatura4[[#This Row],[Nazwisko]])</f>
        <v>Natalia Wolny</v>
      </c>
      <c r="H269" s="4" t="s">
        <v>902</v>
      </c>
      <c r="I269" s="2">
        <v>88</v>
      </c>
    </row>
    <row r="270" spans="1:9" x14ac:dyDescent="0.25">
      <c r="A270" s="1">
        <v>42774</v>
      </c>
      <c r="B270" s="2" t="s">
        <v>8</v>
      </c>
      <c r="C270" s="2" t="s">
        <v>322</v>
      </c>
      <c r="D270">
        <v>24</v>
      </c>
      <c r="E270" t="str">
        <f>_xlfn.CONCAT(makulatura4[[#This Row],[Imie]]," ",makulatura4[[#This Row],[Nazwisko]])</f>
        <v>Agata Zdrojewska</v>
      </c>
      <c r="H270" s="4" t="s">
        <v>826</v>
      </c>
      <c r="I270" s="2">
        <v>88</v>
      </c>
    </row>
    <row r="271" spans="1:9" x14ac:dyDescent="0.25">
      <c r="A271" s="1">
        <v>42774</v>
      </c>
      <c r="B271" s="2" t="s">
        <v>51</v>
      </c>
      <c r="C271" s="2" t="s">
        <v>52</v>
      </c>
      <c r="D271">
        <v>5</v>
      </c>
      <c r="E271" t="str">
        <f>_xlfn.CONCAT(makulatura4[[#This Row],[Imie]]," ",makulatura4[[#This Row],[Nazwisko]])</f>
        <v>Barbara Podobinska</v>
      </c>
      <c r="H271" s="4" t="s">
        <v>896</v>
      </c>
      <c r="I271" s="2">
        <v>88</v>
      </c>
    </row>
    <row r="272" spans="1:9" x14ac:dyDescent="0.25">
      <c r="A272" s="1">
        <v>42774</v>
      </c>
      <c r="B272" s="2" t="s">
        <v>323</v>
      </c>
      <c r="C272" s="2" t="s">
        <v>324</v>
      </c>
      <c r="D272">
        <v>22</v>
      </c>
      <c r="E272" t="str">
        <f>_xlfn.CONCAT(makulatura4[[#This Row],[Imie]]," ",makulatura4[[#This Row],[Nazwisko]])</f>
        <v>Kornel Mierzejewski</v>
      </c>
      <c r="H272" s="4" t="s">
        <v>710</v>
      </c>
      <c r="I272" s="2">
        <v>88</v>
      </c>
    </row>
    <row r="273" spans="1:9" x14ac:dyDescent="0.25">
      <c r="A273" s="1">
        <v>42774</v>
      </c>
      <c r="B273" s="2" t="s">
        <v>307</v>
      </c>
      <c r="C273" s="2" t="s">
        <v>325</v>
      </c>
      <c r="D273">
        <v>9</v>
      </c>
      <c r="E273" t="str">
        <f>_xlfn.CONCAT(makulatura4[[#This Row],[Imie]]," ",makulatura4[[#This Row],[Nazwisko]])</f>
        <v>Konrad Jagielski</v>
      </c>
      <c r="H273" s="4" t="s">
        <v>1251</v>
      </c>
      <c r="I273" s="2">
        <v>87</v>
      </c>
    </row>
    <row r="274" spans="1:9" x14ac:dyDescent="0.25">
      <c r="A274" s="1">
        <v>42774</v>
      </c>
      <c r="B274" s="2" t="s">
        <v>55</v>
      </c>
      <c r="C274" s="2" t="s">
        <v>326</v>
      </c>
      <c r="D274">
        <v>6</v>
      </c>
      <c r="E274" t="str">
        <f>_xlfn.CONCAT(makulatura4[[#This Row],[Imie]]," ",makulatura4[[#This Row],[Nazwisko]])</f>
        <v>Anna Tomaszewska</v>
      </c>
      <c r="H274" s="4" t="s">
        <v>1196</v>
      </c>
      <c r="I274" s="2">
        <v>87</v>
      </c>
    </row>
    <row r="275" spans="1:9" x14ac:dyDescent="0.25">
      <c r="A275" s="1">
        <v>42774</v>
      </c>
      <c r="B275" s="2" t="s">
        <v>327</v>
      </c>
      <c r="C275" s="2" t="s">
        <v>102</v>
      </c>
      <c r="D275">
        <v>9</v>
      </c>
      <c r="E275" t="str">
        <f>_xlfn.CONCAT(makulatura4[[#This Row],[Imie]]," ",makulatura4[[#This Row],[Nazwisko]])</f>
        <v>Anastazja Borowska</v>
      </c>
      <c r="H275" s="4" t="s">
        <v>1122</v>
      </c>
      <c r="I275" s="2">
        <v>86</v>
      </c>
    </row>
    <row r="276" spans="1:9" x14ac:dyDescent="0.25">
      <c r="A276" s="1">
        <v>42774</v>
      </c>
      <c r="B276" s="2" t="s">
        <v>133</v>
      </c>
      <c r="C276" s="2" t="s">
        <v>328</v>
      </c>
      <c r="D276">
        <v>19</v>
      </c>
      <c r="E276" t="str">
        <f>_xlfn.CONCAT(makulatura4[[#This Row],[Imie]]," ",makulatura4[[#This Row],[Nazwisko]])</f>
        <v>Dominika Wierzbicka</v>
      </c>
      <c r="H276" s="4" t="s">
        <v>713</v>
      </c>
      <c r="I276" s="2">
        <v>86</v>
      </c>
    </row>
    <row r="277" spans="1:9" x14ac:dyDescent="0.25">
      <c r="A277" s="1">
        <v>42775</v>
      </c>
      <c r="B277" s="2" t="s">
        <v>329</v>
      </c>
      <c r="C277" s="2" t="s">
        <v>330</v>
      </c>
      <c r="D277">
        <v>14</v>
      </c>
      <c r="E277" t="str">
        <f>_xlfn.CONCAT(makulatura4[[#This Row],[Imie]]," ",makulatura4[[#This Row],[Nazwisko]])</f>
        <v>Martyna Marmelowska</v>
      </c>
      <c r="H277" s="4" t="s">
        <v>891</v>
      </c>
      <c r="I277" s="2">
        <v>86</v>
      </c>
    </row>
    <row r="278" spans="1:9" x14ac:dyDescent="0.25">
      <c r="A278" s="1">
        <v>42775</v>
      </c>
      <c r="B278" s="2" t="s">
        <v>331</v>
      </c>
      <c r="C278" s="2" t="s">
        <v>26</v>
      </c>
      <c r="D278">
        <v>44</v>
      </c>
      <c r="E278" t="str">
        <f>_xlfn.CONCAT(makulatura4[[#This Row],[Imie]]," ",makulatura4[[#This Row],[Nazwisko]])</f>
        <v>Krystyna Szybki</v>
      </c>
      <c r="H278" s="4" t="s">
        <v>797</v>
      </c>
      <c r="I278" s="2">
        <v>86</v>
      </c>
    </row>
    <row r="279" spans="1:9" x14ac:dyDescent="0.25">
      <c r="A279" s="1">
        <v>42775</v>
      </c>
      <c r="B279" s="2" t="s">
        <v>206</v>
      </c>
      <c r="C279" s="2" t="s">
        <v>332</v>
      </c>
      <c r="D279">
        <v>38</v>
      </c>
      <c r="E279" t="str">
        <f>_xlfn.CONCAT(makulatura4[[#This Row],[Imie]]," ",makulatura4[[#This Row],[Nazwisko]])</f>
        <v>Pawel Furmaniak</v>
      </c>
      <c r="H279" s="4" t="s">
        <v>769</v>
      </c>
      <c r="I279" s="2">
        <v>86</v>
      </c>
    </row>
    <row r="280" spans="1:9" x14ac:dyDescent="0.25">
      <c r="A280" s="1">
        <v>42775</v>
      </c>
      <c r="B280" s="2" t="s">
        <v>178</v>
      </c>
      <c r="C280" s="2" t="s">
        <v>333</v>
      </c>
      <c r="D280">
        <v>18</v>
      </c>
      <c r="E280" t="str">
        <f>_xlfn.CONCAT(makulatura4[[#This Row],[Imie]]," ",makulatura4[[#This Row],[Nazwisko]])</f>
        <v>Malgorzata Malec</v>
      </c>
      <c r="H280" s="4" t="s">
        <v>847</v>
      </c>
      <c r="I280" s="2">
        <v>86</v>
      </c>
    </row>
    <row r="281" spans="1:9" x14ac:dyDescent="0.25">
      <c r="A281" s="1">
        <v>42775</v>
      </c>
      <c r="B281" s="2" t="s">
        <v>47</v>
      </c>
      <c r="C281" s="2" t="s">
        <v>256</v>
      </c>
      <c r="D281">
        <v>51</v>
      </c>
      <c r="E281" t="str">
        <f>_xlfn.CONCAT(makulatura4[[#This Row],[Imie]]," ",makulatura4[[#This Row],[Nazwisko]])</f>
        <v>Marek Leoniuk</v>
      </c>
      <c r="H281" s="4" t="s">
        <v>917</v>
      </c>
      <c r="I281" s="2">
        <v>86</v>
      </c>
    </row>
    <row r="282" spans="1:9" x14ac:dyDescent="0.25">
      <c r="A282" s="1">
        <v>42775</v>
      </c>
      <c r="B282" s="2" t="s">
        <v>47</v>
      </c>
      <c r="C282" s="2" t="s">
        <v>334</v>
      </c>
      <c r="D282">
        <v>10</v>
      </c>
      <c r="E282" t="str">
        <f>_xlfn.CONCAT(makulatura4[[#This Row],[Imie]]," ",makulatura4[[#This Row],[Nazwisko]])</f>
        <v>Marek Witkowski</v>
      </c>
      <c r="H282" s="4" t="s">
        <v>1118</v>
      </c>
      <c r="I282" s="2">
        <v>85</v>
      </c>
    </row>
    <row r="283" spans="1:9" x14ac:dyDescent="0.25">
      <c r="A283" s="1">
        <v>42775</v>
      </c>
      <c r="B283" s="2" t="s">
        <v>178</v>
      </c>
      <c r="C283" s="2" t="s">
        <v>335</v>
      </c>
      <c r="D283">
        <v>47</v>
      </c>
      <c r="E283" t="str">
        <f>_xlfn.CONCAT(makulatura4[[#This Row],[Imie]]," ",makulatura4[[#This Row],[Nazwisko]])</f>
        <v>Malgorzata Winiarska</v>
      </c>
      <c r="H283" s="4" t="s">
        <v>1168</v>
      </c>
      <c r="I283" s="2">
        <v>85</v>
      </c>
    </row>
    <row r="284" spans="1:9" x14ac:dyDescent="0.25">
      <c r="A284" s="1">
        <v>42775</v>
      </c>
      <c r="B284" s="2" t="s">
        <v>47</v>
      </c>
      <c r="C284" s="2" t="s">
        <v>336</v>
      </c>
      <c r="D284">
        <v>54</v>
      </c>
      <c r="E284" t="str">
        <f>_xlfn.CONCAT(makulatura4[[#This Row],[Imie]]," ",makulatura4[[#This Row],[Nazwisko]])</f>
        <v>Marek Janowski</v>
      </c>
      <c r="H284" s="4" t="s">
        <v>1184</v>
      </c>
      <c r="I284" s="2">
        <v>85</v>
      </c>
    </row>
    <row r="285" spans="1:9" x14ac:dyDescent="0.25">
      <c r="A285" s="1">
        <v>42775</v>
      </c>
      <c r="B285" s="2" t="s">
        <v>87</v>
      </c>
      <c r="C285" s="2" t="s">
        <v>88</v>
      </c>
      <c r="D285">
        <v>32</v>
      </c>
      <c r="E285" t="str">
        <f>_xlfn.CONCAT(makulatura4[[#This Row],[Imie]]," ",makulatura4[[#This Row],[Nazwisko]])</f>
        <v>Ewa Stoch</v>
      </c>
      <c r="H285" s="4" t="s">
        <v>747</v>
      </c>
      <c r="I285" s="2">
        <v>85</v>
      </c>
    </row>
    <row r="286" spans="1:9" x14ac:dyDescent="0.25">
      <c r="A286" s="1">
        <v>42775</v>
      </c>
      <c r="B286" s="2" t="s">
        <v>248</v>
      </c>
      <c r="C286" s="2" t="s">
        <v>337</v>
      </c>
      <c r="D286">
        <v>16</v>
      </c>
      <c r="E286" t="str">
        <f>_xlfn.CONCAT(makulatura4[[#This Row],[Imie]]," ",makulatura4[[#This Row],[Nazwisko]])</f>
        <v>Zenon Zbych</v>
      </c>
      <c r="H286" s="4" t="s">
        <v>1129</v>
      </c>
      <c r="I286" s="2">
        <v>84</v>
      </c>
    </row>
    <row r="287" spans="1:9" x14ac:dyDescent="0.25">
      <c r="A287" s="1">
        <v>42775</v>
      </c>
      <c r="B287" s="2" t="s">
        <v>34</v>
      </c>
      <c r="C287" s="2" t="s">
        <v>338</v>
      </c>
      <c r="D287">
        <v>18</v>
      </c>
      <c r="E287" t="str">
        <f>_xlfn.CONCAT(makulatura4[[#This Row],[Imie]]," ",makulatura4[[#This Row],[Nazwisko]])</f>
        <v>Julia Salanowska</v>
      </c>
      <c r="H287" s="4" t="s">
        <v>1139</v>
      </c>
      <c r="I287" s="2">
        <v>84</v>
      </c>
    </row>
    <row r="288" spans="1:9" x14ac:dyDescent="0.25">
      <c r="A288" s="1">
        <v>42776</v>
      </c>
      <c r="B288" s="2" t="s">
        <v>339</v>
      </c>
      <c r="C288" s="2" t="s">
        <v>340</v>
      </c>
      <c r="D288">
        <v>38</v>
      </c>
      <c r="E288" t="str">
        <f>_xlfn.CONCAT(makulatura4[[#This Row],[Imie]]," ",makulatura4[[#This Row],[Nazwisko]])</f>
        <v>Nadia Jędrzejczak</v>
      </c>
      <c r="H288" s="4" t="s">
        <v>1270</v>
      </c>
      <c r="I288" s="2">
        <v>84</v>
      </c>
    </row>
    <row r="289" spans="1:9" x14ac:dyDescent="0.25">
      <c r="A289" s="1">
        <v>42776</v>
      </c>
      <c r="B289" s="2" t="s">
        <v>341</v>
      </c>
      <c r="C289" s="2" t="s">
        <v>342</v>
      </c>
      <c r="D289">
        <v>7</v>
      </c>
      <c r="E289" t="str">
        <f>_xlfn.CONCAT(makulatura4[[#This Row],[Imie]]," ",makulatura4[[#This Row],[Nazwisko]])</f>
        <v>Milena Karolewska</v>
      </c>
      <c r="H289" s="4" t="s">
        <v>831</v>
      </c>
      <c r="I289" s="2">
        <v>84</v>
      </c>
    </row>
    <row r="290" spans="1:9" x14ac:dyDescent="0.25">
      <c r="A290" s="1">
        <v>42776</v>
      </c>
      <c r="B290" s="2" t="s">
        <v>343</v>
      </c>
      <c r="C290" s="2" t="s">
        <v>344</v>
      </c>
      <c r="D290">
        <v>16</v>
      </c>
      <c r="E290" t="str">
        <f>_xlfn.CONCAT(makulatura4[[#This Row],[Imie]]," ",makulatura4[[#This Row],[Nazwisko]])</f>
        <v>Izabela Skrzydlak</v>
      </c>
      <c r="H290" s="4" t="s">
        <v>934</v>
      </c>
      <c r="I290" s="2">
        <v>84</v>
      </c>
    </row>
    <row r="291" spans="1:9" x14ac:dyDescent="0.25">
      <c r="A291" s="1">
        <v>42776</v>
      </c>
      <c r="B291" s="2" t="s">
        <v>161</v>
      </c>
      <c r="C291" s="2" t="s">
        <v>345</v>
      </c>
      <c r="D291">
        <v>42</v>
      </c>
      <c r="E291" t="str">
        <f>_xlfn.CONCAT(makulatura4[[#This Row],[Imie]]," ",makulatura4[[#This Row],[Nazwisko]])</f>
        <v>Anita Kaczorowska</v>
      </c>
      <c r="H291" s="4" t="s">
        <v>942</v>
      </c>
      <c r="I291" s="2">
        <v>84</v>
      </c>
    </row>
    <row r="292" spans="1:9" x14ac:dyDescent="0.25">
      <c r="A292" s="1">
        <v>42776</v>
      </c>
      <c r="B292" s="2" t="s">
        <v>346</v>
      </c>
      <c r="C292" s="2" t="s">
        <v>347</v>
      </c>
      <c r="D292">
        <v>27</v>
      </c>
      <c r="E292" t="str">
        <f>_xlfn.CONCAT(makulatura4[[#This Row],[Imie]]," ",makulatura4[[#This Row],[Nazwisko]])</f>
        <v>Maksymilian Piwko</v>
      </c>
      <c r="H292" s="4" t="s">
        <v>975</v>
      </c>
      <c r="I292" s="2">
        <v>84</v>
      </c>
    </row>
    <row r="293" spans="1:9" x14ac:dyDescent="0.25">
      <c r="A293" s="1">
        <v>42776</v>
      </c>
      <c r="B293" s="2" t="s">
        <v>30</v>
      </c>
      <c r="C293" s="2" t="s">
        <v>185</v>
      </c>
      <c r="D293">
        <v>19</v>
      </c>
      <c r="E293" t="str">
        <f>_xlfn.CONCAT(makulatura4[[#This Row],[Imie]]," ",makulatura4[[#This Row],[Nazwisko]])</f>
        <v>Maciej Laskowski</v>
      </c>
      <c r="H293" s="4" t="s">
        <v>852</v>
      </c>
      <c r="I293" s="2">
        <v>84</v>
      </c>
    </row>
    <row r="294" spans="1:9" x14ac:dyDescent="0.25">
      <c r="A294" s="1">
        <v>42776</v>
      </c>
      <c r="B294" s="2" t="s">
        <v>267</v>
      </c>
      <c r="C294" s="2" t="s">
        <v>268</v>
      </c>
      <c r="D294">
        <v>37</v>
      </c>
      <c r="E294" t="str">
        <f>_xlfn.CONCAT(makulatura4[[#This Row],[Imie]]," ",makulatura4[[#This Row],[Nazwisko]])</f>
        <v>Henryk Polarek</v>
      </c>
      <c r="H294" s="4" t="s">
        <v>1008</v>
      </c>
      <c r="I294" s="2">
        <v>83</v>
      </c>
    </row>
    <row r="295" spans="1:9" x14ac:dyDescent="0.25">
      <c r="A295" s="1">
        <v>42776</v>
      </c>
      <c r="B295" s="2" t="s">
        <v>221</v>
      </c>
      <c r="C295" s="2" t="s">
        <v>348</v>
      </c>
      <c r="D295">
        <v>49</v>
      </c>
      <c r="E295" t="str">
        <f>_xlfn.CONCAT(makulatura4[[#This Row],[Imie]]," ",makulatura4[[#This Row],[Nazwisko]])</f>
        <v>Marzena Gajek</v>
      </c>
      <c r="H295" s="4" t="s">
        <v>781</v>
      </c>
      <c r="I295" s="2">
        <v>83</v>
      </c>
    </row>
    <row r="296" spans="1:9" x14ac:dyDescent="0.25">
      <c r="A296" s="1">
        <v>42776</v>
      </c>
      <c r="B296" s="2" t="s">
        <v>119</v>
      </c>
      <c r="C296" s="2" t="s">
        <v>349</v>
      </c>
      <c r="D296">
        <v>38</v>
      </c>
      <c r="E296" t="str">
        <f>_xlfn.CONCAT(makulatura4[[#This Row],[Imie]]," ",makulatura4[[#This Row],[Nazwisko]])</f>
        <v>Kamil Ludziejewski</v>
      </c>
      <c r="H296" s="4" t="s">
        <v>784</v>
      </c>
      <c r="I296" s="2">
        <v>83</v>
      </c>
    </row>
    <row r="297" spans="1:9" x14ac:dyDescent="0.25">
      <c r="A297" s="1">
        <v>42776</v>
      </c>
      <c r="B297" s="2" t="s">
        <v>79</v>
      </c>
      <c r="C297" s="2" t="s">
        <v>80</v>
      </c>
      <c r="D297">
        <v>8</v>
      </c>
      <c r="E297" t="str">
        <f>_xlfn.CONCAT(makulatura4[[#This Row],[Imie]]," ",makulatura4[[#This Row],[Nazwisko]])</f>
        <v>Adelajda Zylinska</v>
      </c>
      <c r="H297" s="4" t="s">
        <v>822</v>
      </c>
      <c r="I297" s="2">
        <v>83</v>
      </c>
    </row>
    <row r="298" spans="1:9" x14ac:dyDescent="0.25">
      <c r="A298" s="1">
        <v>42776</v>
      </c>
      <c r="B298" s="2" t="s">
        <v>106</v>
      </c>
      <c r="C298" s="2" t="s">
        <v>240</v>
      </c>
      <c r="D298">
        <v>9</v>
      </c>
      <c r="E298" t="str">
        <f>_xlfn.CONCAT(makulatura4[[#This Row],[Imie]]," ",makulatura4[[#This Row],[Nazwisko]])</f>
        <v>Lena Miszkin</v>
      </c>
      <c r="H298" s="4" t="s">
        <v>810</v>
      </c>
      <c r="I298" s="2">
        <v>83</v>
      </c>
    </row>
    <row r="299" spans="1:9" x14ac:dyDescent="0.25">
      <c r="A299" s="1">
        <v>42779</v>
      </c>
      <c r="B299" s="2" t="s">
        <v>278</v>
      </c>
      <c r="C299" s="2" t="s">
        <v>279</v>
      </c>
      <c r="D299">
        <v>48</v>
      </c>
      <c r="E299" t="str">
        <f>_xlfn.CONCAT(makulatura4[[#This Row],[Imie]]," ",makulatura4[[#This Row],[Nazwisko]])</f>
        <v>Janusz Artowski</v>
      </c>
      <c r="H299" s="4" t="s">
        <v>1306</v>
      </c>
      <c r="I299" s="2">
        <v>82</v>
      </c>
    </row>
    <row r="300" spans="1:9" x14ac:dyDescent="0.25">
      <c r="A300" s="1">
        <v>42779</v>
      </c>
      <c r="B300" s="2" t="s">
        <v>280</v>
      </c>
      <c r="C300" s="2" t="s">
        <v>281</v>
      </c>
      <c r="D300">
        <v>19</v>
      </c>
      <c r="E300" t="str">
        <f>_xlfn.CONCAT(makulatura4[[#This Row],[Imie]]," ",makulatura4[[#This Row],[Nazwisko]])</f>
        <v>Kamila Wolan</v>
      </c>
      <c r="H300" s="4" t="s">
        <v>1149</v>
      </c>
      <c r="I300" s="2">
        <v>82</v>
      </c>
    </row>
    <row r="301" spans="1:9" x14ac:dyDescent="0.25">
      <c r="A301" s="1">
        <v>42779</v>
      </c>
      <c r="B301" s="2" t="s">
        <v>97</v>
      </c>
      <c r="C301" s="2" t="s">
        <v>5</v>
      </c>
      <c r="D301">
        <v>5</v>
      </c>
      <c r="E301" t="str">
        <f>_xlfn.CONCAT(makulatura4[[#This Row],[Imie]]," ",makulatura4[[#This Row],[Nazwisko]])</f>
        <v>Mateusz Polak</v>
      </c>
      <c r="H301" s="4" t="s">
        <v>916</v>
      </c>
      <c r="I301" s="2">
        <v>82</v>
      </c>
    </row>
    <row r="302" spans="1:9" x14ac:dyDescent="0.25">
      <c r="A302" s="1">
        <v>42779</v>
      </c>
      <c r="B302" s="2" t="s">
        <v>83</v>
      </c>
      <c r="C302" s="2" t="s">
        <v>350</v>
      </c>
      <c r="D302">
        <v>25</v>
      </c>
      <c r="E302" t="str">
        <f>_xlfn.CONCAT(makulatura4[[#This Row],[Imie]]," ",makulatura4[[#This Row],[Nazwisko]])</f>
        <v>Jan Zdunski</v>
      </c>
      <c r="H302" s="4" t="s">
        <v>1154</v>
      </c>
      <c r="I302" s="2">
        <v>81</v>
      </c>
    </row>
    <row r="303" spans="1:9" x14ac:dyDescent="0.25">
      <c r="A303" s="1">
        <v>42779</v>
      </c>
      <c r="B303" s="2" t="s">
        <v>248</v>
      </c>
      <c r="C303" s="2" t="s">
        <v>249</v>
      </c>
      <c r="D303">
        <v>21</v>
      </c>
      <c r="E303" t="str">
        <f>_xlfn.CONCAT(makulatura4[[#This Row],[Imie]]," ",makulatura4[[#This Row],[Nazwisko]])</f>
        <v>Zenon Bartek</v>
      </c>
      <c r="H303" s="4" t="s">
        <v>1066</v>
      </c>
      <c r="I303" s="2">
        <v>81</v>
      </c>
    </row>
    <row r="304" spans="1:9" x14ac:dyDescent="0.25">
      <c r="A304" s="1">
        <v>42779</v>
      </c>
      <c r="B304" s="2" t="s">
        <v>351</v>
      </c>
      <c r="C304" s="2" t="s">
        <v>227</v>
      </c>
      <c r="D304">
        <v>6</v>
      </c>
      <c r="E304" t="str">
        <f>_xlfn.CONCAT(makulatura4[[#This Row],[Imie]]," ",makulatura4[[#This Row],[Nazwisko]])</f>
        <v>Wiera Nowak</v>
      </c>
      <c r="H304" s="4" t="s">
        <v>1266</v>
      </c>
      <c r="I304" s="2">
        <v>81</v>
      </c>
    </row>
    <row r="305" spans="1:9" x14ac:dyDescent="0.25">
      <c r="A305" s="1">
        <v>42779</v>
      </c>
      <c r="B305" s="2" t="s">
        <v>133</v>
      </c>
      <c r="C305" s="2" t="s">
        <v>288</v>
      </c>
      <c r="D305">
        <v>4</v>
      </c>
      <c r="E305" t="str">
        <f>_xlfn.CONCAT(makulatura4[[#This Row],[Imie]]," ",makulatura4[[#This Row],[Nazwisko]])</f>
        <v>Dominika Piotrowska</v>
      </c>
      <c r="H305" s="4" t="s">
        <v>1191</v>
      </c>
      <c r="I305" s="2">
        <v>81</v>
      </c>
    </row>
    <row r="306" spans="1:9" x14ac:dyDescent="0.25">
      <c r="A306" s="1">
        <v>42779</v>
      </c>
      <c r="B306" s="2" t="s">
        <v>352</v>
      </c>
      <c r="C306" s="2" t="s">
        <v>227</v>
      </c>
      <c r="D306">
        <v>9</v>
      </c>
      <c r="E306" t="str">
        <f>_xlfn.CONCAT(makulatura4[[#This Row],[Imie]]," ",makulatura4[[#This Row],[Nazwisko]])</f>
        <v>Ilona Nowak</v>
      </c>
      <c r="H306" s="4" t="s">
        <v>1292</v>
      </c>
      <c r="I306" s="2">
        <v>81</v>
      </c>
    </row>
    <row r="307" spans="1:9" x14ac:dyDescent="0.25">
      <c r="A307" s="1">
        <v>42779</v>
      </c>
      <c r="B307" s="2" t="s">
        <v>81</v>
      </c>
      <c r="C307" s="2" t="s">
        <v>82</v>
      </c>
      <c r="D307">
        <v>10</v>
      </c>
      <c r="E307" t="str">
        <f>_xlfn.CONCAT(makulatura4[[#This Row],[Imie]]," ",makulatura4[[#This Row],[Nazwisko]])</f>
        <v>Karol Felisiak</v>
      </c>
      <c r="H307" s="4" t="s">
        <v>720</v>
      </c>
      <c r="I307" s="2">
        <v>81</v>
      </c>
    </row>
    <row r="308" spans="1:9" x14ac:dyDescent="0.25">
      <c r="A308" s="1">
        <v>42779</v>
      </c>
      <c r="B308" s="2" t="s">
        <v>133</v>
      </c>
      <c r="C308" s="2" t="s">
        <v>316</v>
      </c>
      <c r="D308">
        <v>26</v>
      </c>
      <c r="E308" t="str">
        <f>_xlfn.CONCAT(makulatura4[[#This Row],[Imie]]," ",makulatura4[[#This Row],[Nazwisko]])</f>
        <v>Dominika Mierny</v>
      </c>
      <c r="H308" s="4" t="s">
        <v>904</v>
      </c>
      <c r="I308" s="2">
        <v>81</v>
      </c>
    </row>
    <row r="309" spans="1:9" x14ac:dyDescent="0.25">
      <c r="A309" s="1">
        <v>42779</v>
      </c>
      <c r="B309" s="2" t="s">
        <v>30</v>
      </c>
      <c r="C309" s="2" t="s">
        <v>185</v>
      </c>
      <c r="D309">
        <v>26</v>
      </c>
      <c r="E309" t="str">
        <f>_xlfn.CONCAT(makulatura4[[#This Row],[Imie]]," ",makulatura4[[#This Row],[Nazwisko]])</f>
        <v>Maciej Laskowski</v>
      </c>
      <c r="H309" s="4" t="s">
        <v>804</v>
      </c>
      <c r="I309" s="2">
        <v>81</v>
      </c>
    </row>
    <row r="310" spans="1:9" x14ac:dyDescent="0.25">
      <c r="A310" s="1">
        <v>42780</v>
      </c>
      <c r="B310" s="2" t="s">
        <v>69</v>
      </c>
      <c r="C310" s="2" t="s">
        <v>353</v>
      </c>
      <c r="D310">
        <v>42</v>
      </c>
      <c r="E310" t="str">
        <f>_xlfn.CONCAT(makulatura4[[#This Row],[Imie]]," ",makulatura4[[#This Row],[Nazwisko]])</f>
        <v>Adam Zmurko</v>
      </c>
      <c r="H310" s="4" t="s">
        <v>1150</v>
      </c>
      <c r="I310" s="2">
        <v>80</v>
      </c>
    </row>
    <row r="311" spans="1:9" x14ac:dyDescent="0.25">
      <c r="A311" s="1">
        <v>42780</v>
      </c>
      <c r="B311" s="2" t="s">
        <v>331</v>
      </c>
      <c r="C311" s="2" t="s">
        <v>26</v>
      </c>
      <c r="D311">
        <v>8</v>
      </c>
      <c r="E311" t="str">
        <f>_xlfn.CONCAT(makulatura4[[#This Row],[Imie]]," ",makulatura4[[#This Row],[Nazwisko]])</f>
        <v>Krystyna Szybki</v>
      </c>
      <c r="H311" s="4" t="s">
        <v>1303</v>
      </c>
      <c r="I311" s="2">
        <v>80</v>
      </c>
    </row>
    <row r="312" spans="1:9" x14ac:dyDescent="0.25">
      <c r="A312" s="1">
        <v>42780</v>
      </c>
      <c r="B312" s="2" t="s">
        <v>18</v>
      </c>
      <c r="C312" s="2" t="s">
        <v>354</v>
      </c>
      <c r="D312">
        <v>8</v>
      </c>
      <c r="E312" t="str">
        <f>_xlfn.CONCAT(makulatura4[[#This Row],[Imie]]," ",makulatura4[[#This Row],[Nazwisko]])</f>
        <v>Filip Strehlke</v>
      </c>
      <c r="H312" s="4" t="s">
        <v>1124</v>
      </c>
      <c r="I312" s="2">
        <v>80</v>
      </c>
    </row>
    <row r="313" spans="1:9" x14ac:dyDescent="0.25">
      <c r="A313" s="1">
        <v>42780</v>
      </c>
      <c r="B313" s="2" t="s">
        <v>355</v>
      </c>
      <c r="C313" s="2" t="s">
        <v>356</v>
      </c>
      <c r="D313">
        <v>45</v>
      </c>
      <c r="E313" t="str">
        <f>_xlfn.CONCAT(makulatura4[[#This Row],[Imie]]," ",makulatura4[[#This Row],[Nazwisko]])</f>
        <v>Janina Podlaska</v>
      </c>
      <c r="H313" s="4" t="s">
        <v>1011</v>
      </c>
      <c r="I313" s="2">
        <v>80</v>
      </c>
    </row>
    <row r="314" spans="1:9" x14ac:dyDescent="0.25">
      <c r="A314" s="1">
        <v>42780</v>
      </c>
      <c r="B314" s="2" t="s">
        <v>201</v>
      </c>
      <c r="C314" s="2" t="s">
        <v>357</v>
      </c>
      <c r="D314">
        <v>41</v>
      </c>
      <c r="E314" t="str">
        <f>_xlfn.CONCAT(makulatura4[[#This Row],[Imie]]," ",makulatura4[[#This Row],[Nazwisko]])</f>
        <v>Marcin Tabaka</v>
      </c>
      <c r="H314" s="4" t="s">
        <v>1236</v>
      </c>
      <c r="I314" s="2">
        <v>80</v>
      </c>
    </row>
    <row r="315" spans="1:9" x14ac:dyDescent="0.25">
      <c r="A315" s="1">
        <v>42780</v>
      </c>
      <c r="B315" s="2" t="s">
        <v>51</v>
      </c>
      <c r="C315" s="2" t="s">
        <v>358</v>
      </c>
      <c r="D315">
        <v>5</v>
      </c>
      <c r="E315" t="str">
        <f>_xlfn.CONCAT(makulatura4[[#This Row],[Imie]]," ",makulatura4[[#This Row],[Nazwisko]])</f>
        <v>Barbara Bury</v>
      </c>
      <c r="H315" s="4" t="s">
        <v>959</v>
      </c>
      <c r="I315" s="2">
        <v>80</v>
      </c>
    </row>
    <row r="316" spans="1:9" x14ac:dyDescent="0.25">
      <c r="A316" s="1">
        <v>42780</v>
      </c>
      <c r="B316" s="2" t="s">
        <v>359</v>
      </c>
      <c r="C316" s="2" t="s">
        <v>360</v>
      </c>
      <c r="D316">
        <v>54</v>
      </c>
      <c r="E316" t="str">
        <f>_xlfn.CONCAT(makulatura4[[#This Row],[Imie]]," ",makulatura4[[#This Row],[Nazwisko]])</f>
        <v>Aleksandra Donata</v>
      </c>
      <c r="H316" s="4" t="s">
        <v>855</v>
      </c>
      <c r="I316" s="2">
        <v>80</v>
      </c>
    </row>
    <row r="317" spans="1:9" x14ac:dyDescent="0.25">
      <c r="A317" s="1">
        <v>42780</v>
      </c>
      <c r="B317" s="2" t="s">
        <v>101</v>
      </c>
      <c r="C317" s="2" t="s">
        <v>263</v>
      </c>
      <c r="D317">
        <v>6</v>
      </c>
      <c r="E317" t="str">
        <f>_xlfn.CONCAT(makulatura4[[#This Row],[Imie]]," ",makulatura4[[#This Row],[Nazwisko]])</f>
        <v>Maria Gatek</v>
      </c>
      <c r="H317" s="4" t="s">
        <v>818</v>
      </c>
      <c r="I317" s="2">
        <v>80</v>
      </c>
    </row>
    <row r="318" spans="1:9" x14ac:dyDescent="0.25">
      <c r="A318" s="1">
        <v>42780</v>
      </c>
      <c r="B318" s="2" t="s">
        <v>361</v>
      </c>
      <c r="C318" s="2" t="s">
        <v>362</v>
      </c>
      <c r="D318">
        <v>3</v>
      </c>
      <c r="E318" t="str">
        <f>_xlfn.CONCAT(makulatura4[[#This Row],[Imie]]," ",makulatura4[[#This Row],[Nazwisko]])</f>
        <v>Lidia Goluchowska</v>
      </c>
      <c r="H318" s="4" t="s">
        <v>1252</v>
      </c>
      <c r="I318" s="2">
        <v>79</v>
      </c>
    </row>
    <row r="319" spans="1:9" x14ac:dyDescent="0.25">
      <c r="A319" s="1">
        <v>42780</v>
      </c>
      <c r="B319" s="2" t="s">
        <v>97</v>
      </c>
      <c r="C319" s="2" t="s">
        <v>130</v>
      </c>
      <c r="D319">
        <v>49</v>
      </c>
      <c r="E319" t="str">
        <f>_xlfn.CONCAT(makulatura4[[#This Row],[Imie]]," ",makulatura4[[#This Row],[Nazwisko]])</f>
        <v>Mateusz Sardo</v>
      </c>
      <c r="H319" s="4" t="s">
        <v>1277</v>
      </c>
      <c r="I319" s="2">
        <v>79</v>
      </c>
    </row>
    <row r="320" spans="1:9" x14ac:dyDescent="0.25">
      <c r="A320" s="1">
        <v>42780</v>
      </c>
      <c r="B320" s="2" t="s">
        <v>39</v>
      </c>
      <c r="C320" s="2" t="s">
        <v>164</v>
      </c>
      <c r="D320">
        <v>19</v>
      </c>
      <c r="E320" t="str">
        <f>_xlfn.CONCAT(makulatura4[[#This Row],[Imie]]," ",makulatura4[[#This Row],[Nazwisko]])</f>
        <v>Jakub Waniek</v>
      </c>
      <c r="H320" s="4" t="s">
        <v>1180</v>
      </c>
      <c r="I320" s="2">
        <v>79</v>
      </c>
    </row>
    <row r="321" spans="1:9" x14ac:dyDescent="0.25">
      <c r="A321" s="1">
        <v>42781</v>
      </c>
      <c r="B321" s="2" t="s">
        <v>47</v>
      </c>
      <c r="C321" s="2" t="s">
        <v>230</v>
      </c>
      <c r="D321">
        <v>29</v>
      </c>
      <c r="E321" t="str">
        <f>_xlfn.CONCAT(makulatura4[[#This Row],[Imie]]," ",makulatura4[[#This Row],[Nazwisko]])</f>
        <v>Marek Wolicki</v>
      </c>
      <c r="H321" s="4" t="s">
        <v>753</v>
      </c>
      <c r="I321" s="2">
        <v>79</v>
      </c>
    </row>
    <row r="322" spans="1:9" x14ac:dyDescent="0.25">
      <c r="A322" s="1">
        <v>42781</v>
      </c>
      <c r="B322" s="2" t="s">
        <v>352</v>
      </c>
      <c r="C322" s="2" t="s">
        <v>363</v>
      </c>
      <c r="D322">
        <v>14</v>
      </c>
      <c r="E322" t="str">
        <f>_xlfn.CONCAT(makulatura4[[#This Row],[Imie]]," ",makulatura4[[#This Row],[Nazwisko]])</f>
        <v>Ilona Gorska</v>
      </c>
      <c r="H322" s="4" t="s">
        <v>940</v>
      </c>
      <c r="I322" s="2">
        <v>79</v>
      </c>
    </row>
    <row r="323" spans="1:9" x14ac:dyDescent="0.25">
      <c r="A323" s="1">
        <v>42781</v>
      </c>
      <c r="B323" s="2" t="s">
        <v>141</v>
      </c>
      <c r="C323" s="2" t="s">
        <v>364</v>
      </c>
      <c r="D323">
        <v>12</v>
      </c>
      <c r="E323" t="str">
        <f>_xlfn.CONCAT(makulatura4[[#This Row],[Imie]]," ",makulatura4[[#This Row],[Nazwisko]])</f>
        <v>Joanna Ottka</v>
      </c>
      <c r="H323" s="4" t="s">
        <v>1132</v>
      </c>
      <c r="I323" s="2">
        <v>78</v>
      </c>
    </row>
    <row r="324" spans="1:9" x14ac:dyDescent="0.25">
      <c r="A324" s="1">
        <v>42781</v>
      </c>
      <c r="B324" s="2" t="s">
        <v>365</v>
      </c>
      <c r="C324" s="2" t="s">
        <v>366</v>
      </c>
      <c r="D324">
        <v>4</v>
      </c>
      <c r="E324" t="str">
        <f>_xlfn.CONCAT(makulatura4[[#This Row],[Imie]]," ",makulatura4[[#This Row],[Nazwisko]])</f>
        <v>Arleta Pawlik</v>
      </c>
      <c r="H324" s="4" t="s">
        <v>1174</v>
      </c>
      <c r="I324" s="2">
        <v>78</v>
      </c>
    </row>
    <row r="325" spans="1:9" x14ac:dyDescent="0.25">
      <c r="A325" s="1">
        <v>42781</v>
      </c>
      <c r="B325" s="2" t="s">
        <v>178</v>
      </c>
      <c r="C325" s="2" t="s">
        <v>242</v>
      </c>
      <c r="D325">
        <v>14</v>
      </c>
      <c r="E325" t="str">
        <f>_xlfn.CONCAT(makulatura4[[#This Row],[Imie]]," ",makulatura4[[#This Row],[Nazwisko]])</f>
        <v>Malgorzata Karlowski</v>
      </c>
      <c r="H325" s="4" t="s">
        <v>1041</v>
      </c>
      <c r="I325" s="2">
        <v>78</v>
      </c>
    </row>
    <row r="326" spans="1:9" x14ac:dyDescent="0.25">
      <c r="A326" s="1">
        <v>42781</v>
      </c>
      <c r="B326" s="2" t="s">
        <v>367</v>
      </c>
      <c r="C326" s="2" t="s">
        <v>368</v>
      </c>
      <c r="D326">
        <v>12</v>
      </c>
      <c r="E326" t="str">
        <f>_xlfn.CONCAT(makulatura4[[#This Row],[Imie]]," ",makulatura4[[#This Row],[Nazwisko]])</f>
        <v>Szymon Mrozniak</v>
      </c>
      <c r="H326" s="4" t="s">
        <v>1289</v>
      </c>
      <c r="I326" s="2">
        <v>78</v>
      </c>
    </row>
    <row r="327" spans="1:9" x14ac:dyDescent="0.25">
      <c r="A327" s="1">
        <v>42781</v>
      </c>
      <c r="B327" s="2" t="s">
        <v>193</v>
      </c>
      <c r="C327" s="2" t="s">
        <v>369</v>
      </c>
      <c r="D327">
        <v>52</v>
      </c>
      <c r="E327" t="str">
        <f>_xlfn.CONCAT(makulatura4[[#This Row],[Imie]]," ",makulatura4[[#This Row],[Nazwisko]])</f>
        <v>Karolina Wrak</v>
      </c>
      <c r="H327" s="4" t="s">
        <v>788</v>
      </c>
      <c r="I327" s="2">
        <v>78</v>
      </c>
    </row>
    <row r="328" spans="1:9" x14ac:dyDescent="0.25">
      <c r="A328" s="1">
        <v>42781</v>
      </c>
      <c r="B328" s="2" t="s">
        <v>203</v>
      </c>
      <c r="C328" s="2" t="s">
        <v>370</v>
      </c>
      <c r="D328">
        <v>9</v>
      </c>
      <c r="E328" t="str">
        <f>_xlfn.CONCAT(makulatura4[[#This Row],[Imie]]," ",makulatura4[[#This Row],[Nazwisko]])</f>
        <v>Igor Rybinski</v>
      </c>
      <c r="H328" s="4" t="s">
        <v>1030</v>
      </c>
      <c r="I328" s="2">
        <v>77</v>
      </c>
    </row>
    <row r="329" spans="1:9" x14ac:dyDescent="0.25">
      <c r="A329" s="1">
        <v>42781</v>
      </c>
      <c r="B329" s="2" t="s">
        <v>39</v>
      </c>
      <c r="C329" s="2" t="s">
        <v>371</v>
      </c>
      <c r="D329">
        <v>13</v>
      </c>
      <c r="E329" t="str">
        <f>_xlfn.CONCAT(makulatura4[[#This Row],[Imie]]," ",makulatura4[[#This Row],[Nazwisko]])</f>
        <v>Jakub Marszalek</v>
      </c>
      <c r="H329" s="4" t="s">
        <v>1175</v>
      </c>
      <c r="I329" s="2">
        <v>77</v>
      </c>
    </row>
    <row r="330" spans="1:9" x14ac:dyDescent="0.25">
      <c r="A330" s="1">
        <v>42781</v>
      </c>
      <c r="B330" s="2" t="s">
        <v>372</v>
      </c>
      <c r="C330" s="2" t="s">
        <v>373</v>
      </c>
      <c r="D330">
        <v>29</v>
      </c>
      <c r="E330" t="str">
        <f>_xlfn.CONCAT(makulatura4[[#This Row],[Imie]]," ",makulatura4[[#This Row],[Nazwisko]])</f>
        <v>Ryszarda Januszek</v>
      </c>
      <c r="H330" s="4" t="s">
        <v>989</v>
      </c>
      <c r="I330" s="2">
        <v>77</v>
      </c>
    </row>
    <row r="331" spans="1:9" x14ac:dyDescent="0.25">
      <c r="A331" s="1">
        <v>42781</v>
      </c>
      <c r="B331" s="2" t="s">
        <v>374</v>
      </c>
      <c r="C331" s="2" t="s">
        <v>375</v>
      </c>
      <c r="D331">
        <v>18</v>
      </c>
      <c r="E331" t="str">
        <f>_xlfn.CONCAT(makulatura4[[#This Row],[Imie]]," ",makulatura4[[#This Row],[Nazwisko]])</f>
        <v>Bruno Tomaszewski</v>
      </c>
      <c r="H331" s="4" t="s">
        <v>925</v>
      </c>
      <c r="I331" s="2">
        <v>77</v>
      </c>
    </row>
    <row r="332" spans="1:9" x14ac:dyDescent="0.25">
      <c r="A332" s="1">
        <v>42782</v>
      </c>
      <c r="B332" s="2" t="s">
        <v>193</v>
      </c>
      <c r="C332" s="2" t="s">
        <v>215</v>
      </c>
      <c r="D332">
        <v>17</v>
      </c>
      <c r="E332" t="str">
        <f>_xlfn.CONCAT(makulatura4[[#This Row],[Imie]]," ",makulatura4[[#This Row],[Nazwisko]])</f>
        <v>Karolina Wrona</v>
      </c>
      <c r="H332" s="4" t="s">
        <v>741</v>
      </c>
      <c r="I332" s="2">
        <v>77</v>
      </c>
    </row>
    <row r="333" spans="1:9" x14ac:dyDescent="0.25">
      <c r="A333" s="1">
        <v>42782</v>
      </c>
      <c r="B333" s="2" t="s">
        <v>178</v>
      </c>
      <c r="C333" s="2" t="s">
        <v>376</v>
      </c>
      <c r="D333">
        <v>9</v>
      </c>
      <c r="E333" t="str">
        <f>_xlfn.CONCAT(makulatura4[[#This Row],[Imie]]," ",makulatura4[[#This Row],[Nazwisko]])</f>
        <v>Malgorzata Kozlowska</v>
      </c>
      <c r="H333" s="4" t="s">
        <v>766</v>
      </c>
      <c r="I333" s="2">
        <v>77</v>
      </c>
    </row>
    <row r="334" spans="1:9" x14ac:dyDescent="0.25">
      <c r="A334" s="1">
        <v>42782</v>
      </c>
      <c r="B334" s="2" t="s">
        <v>83</v>
      </c>
      <c r="C334" s="2" t="s">
        <v>136</v>
      </c>
      <c r="D334">
        <v>20</v>
      </c>
      <c r="E334" t="str">
        <f>_xlfn.CONCAT(makulatura4[[#This Row],[Imie]]," ",makulatura4[[#This Row],[Nazwisko]])</f>
        <v>Jan Kaczorowski</v>
      </c>
      <c r="H334" s="4" t="s">
        <v>1293</v>
      </c>
      <c r="I334" s="2">
        <v>76</v>
      </c>
    </row>
    <row r="335" spans="1:9" x14ac:dyDescent="0.25">
      <c r="A335" s="1">
        <v>42782</v>
      </c>
      <c r="B335" s="2" t="s">
        <v>30</v>
      </c>
      <c r="C335" s="2" t="s">
        <v>377</v>
      </c>
      <c r="D335">
        <v>50</v>
      </c>
      <c r="E335" t="str">
        <f>_xlfn.CONCAT(makulatura4[[#This Row],[Imie]]," ",makulatura4[[#This Row],[Nazwisko]])</f>
        <v>Maciej Kopacz</v>
      </c>
      <c r="H335" s="4" t="s">
        <v>1137</v>
      </c>
      <c r="I335" s="2">
        <v>76</v>
      </c>
    </row>
    <row r="336" spans="1:9" x14ac:dyDescent="0.25">
      <c r="A336" s="1">
        <v>42782</v>
      </c>
      <c r="B336" s="2" t="s">
        <v>232</v>
      </c>
      <c r="C336" s="2" t="s">
        <v>378</v>
      </c>
      <c r="D336">
        <v>9</v>
      </c>
      <c r="E336" t="str">
        <f>_xlfn.CONCAT(makulatura4[[#This Row],[Imie]]," ",makulatura4[[#This Row],[Nazwisko]])</f>
        <v>Monika Placzek</v>
      </c>
      <c r="H336" s="4" t="s">
        <v>807</v>
      </c>
      <c r="I336" s="2">
        <v>76</v>
      </c>
    </row>
    <row r="337" spans="1:9" x14ac:dyDescent="0.25">
      <c r="A337" s="1">
        <v>42782</v>
      </c>
      <c r="B337" s="2" t="s">
        <v>83</v>
      </c>
      <c r="C337" s="2" t="s">
        <v>350</v>
      </c>
      <c r="D337">
        <v>4</v>
      </c>
      <c r="E337" t="str">
        <f>_xlfn.CONCAT(makulatura4[[#This Row],[Imie]]," ",makulatura4[[#This Row],[Nazwisko]])</f>
        <v>Jan Zdunski</v>
      </c>
      <c r="H337" s="4" t="s">
        <v>1119</v>
      </c>
      <c r="I337" s="2">
        <v>75</v>
      </c>
    </row>
    <row r="338" spans="1:9" x14ac:dyDescent="0.25">
      <c r="A338" s="1">
        <v>42782</v>
      </c>
      <c r="B338" s="2" t="s">
        <v>39</v>
      </c>
      <c r="C338" s="2" t="s">
        <v>158</v>
      </c>
      <c r="D338">
        <v>41</v>
      </c>
      <c r="E338" t="str">
        <f>_xlfn.CONCAT(makulatura4[[#This Row],[Imie]]," ",makulatura4[[#This Row],[Nazwisko]])</f>
        <v>Jakub Ręczmin</v>
      </c>
      <c r="H338" s="4" t="s">
        <v>1105</v>
      </c>
      <c r="I338" s="2">
        <v>75</v>
      </c>
    </row>
    <row r="339" spans="1:9" x14ac:dyDescent="0.25">
      <c r="A339" s="1">
        <v>42782</v>
      </c>
      <c r="B339" s="2" t="s">
        <v>8</v>
      </c>
      <c r="C339" s="2" t="s">
        <v>322</v>
      </c>
      <c r="D339">
        <v>11</v>
      </c>
      <c r="E339" t="str">
        <f>_xlfn.CONCAT(makulatura4[[#This Row],[Imie]]," ",makulatura4[[#This Row],[Nazwisko]])</f>
        <v>Agata Zdrojewska</v>
      </c>
      <c r="H339" s="4" t="s">
        <v>1188</v>
      </c>
      <c r="I339" s="2">
        <v>75</v>
      </c>
    </row>
    <row r="340" spans="1:9" x14ac:dyDescent="0.25">
      <c r="A340" s="1">
        <v>42782</v>
      </c>
      <c r="B340" s="2" t="s">
        <v>152</v>
      </c>
      <c r="C340" s="2" t="s">
        <v>153</v>
      </c>
      <c r="D340">
        <v>22</v>
      </c>
      <c r="E340" t="str">
        <f>_xlfn.CONCAT(makulatura4[[#This Row],[Imie]]," ",makulatura4[[#This Row],[Nazwisko]])</f>
        <v>Natalia Belicka</v>
      </c>
      <c r="H340" s="4" t="s">
        <v>1069</v>
      </c>
      <c r="I340" s="2">
        <v>75</v>
      </c>
    </row>
    <row r="341" spans="1:9" x14ac:dyDescent="0.25">
      <c r="A341" s="1">
        <v>42782</v>
      </c>
      <c r="B341" s="2" t="s">
        <v>43</v>
      </c>
      <c r="C341" s="2" t="s">
        <v>71</v>
      </c>
      <c r="D341">
        <v>23</v>
      </c>
      <c r="E341" t="str">
        <f>_xlfn.CONCAT(makulatura4[[#This Row],[Imie]]," ",makulatura4[[#This Row],[Nazwisko]])</f>
        <v>Andrzej Augustowski</v>
      </c>
      <c r="H341" s="4" t="s">
        <v>1073</v>
      </c>
      <c r="I341" s="2">
        <v>75</v>
      </c>
    </row>
    <row r="342" spans="1:9" x14ac:dyDescent="0.25">
      <c r="A342" s="1">
        <v>42782</v>
      </c>
      <c r="B342" s="2" t="s">
        <v>137</v>
      </c>
      <c r="C342" s="2" t="s">
        <v>379</v>
      </c>
      <c r="D342">
        <v>33</v>
      </c>
      <c r="E342" t="str">
        <f>_xlfn.CONCAT(makulatura4[[#This Row],[Imie]]," ",makulatura4[[#This Row],[Nazwisko]])</f>
        <v>Stanislaw Burza</v>
      </c>
      <c r="H342" s="4" t="s">
        <v>1160</v>
      </c>
      <c r="I342" s="2">
        <v>75</v>
      </c>
    </row>
    <row r="343" spans="1:9" x14ac:dyDescent="0.25">
      <c r="A343" s="1">
        <v>42783</v>
      </c>
      <c r="B343" s="2" t="s">
        <v>97</v>
      </c>
      <c r="C343" s="2" t="s">
        <v>380</v>
      </c>
      <c r="D343">
        <v>14</v>
      </c>
      <c r="E343" t="str">
        <f>_xlfn.CONCAT(makulatura4[[#This Row],[Imie]]," ",makulatura4[[#This Row],[Nazwisko]])</f>
        <v>Mateusz Krawczyk</v>
      </c>
      <c r="H343" s="4" t="s">
        <v>964</v>
      </c>
      <c r="I343" s="2">
        <v>75</v>
      </c>
    </row>
    <row r="344" spans="1:9" x14ac:dyDescent="0.25">
      <c r="A344" s="1">
        <v>42783</v>
      </c>
      <c r="B344" s="2" t="s">
        <v>20</v>
      </c>
      <c r="C344" s="2" t="s">
        <v>381</v>
      </c>
      <c r="D344">
        <v>28</v>
      </c>
      <c r="E344" t="str">
        <f>_xlfn.CONCAT(makulatura4[[#This Row],[Imie]]," ",makulatura4[[#This Row],[Nazwisko]])</f>
        <v>Borys Winiarski</v>
      </c>
      <c r="H344" s="4" t="s">
        <v>715</v>
      </c>
      <c r="I344" s="2">
        <v>75</v>
      </c>
    </row>
    <row r="345" spans="1:9" x14ac:dyDescent="0.25">
      <c r="A345" s="1">
        <v>42783</v>
      </c>
      <c r="B345" s="2" t="s">
        <v>4</v>
      </c>
      <c r="C345" s="2" t="s">
        <v>382</v>
      </c>
      <c r="D345">
        <v>12</v>
      </c>
      <c r="E345" t="str">
        <f>_xlfn.CONCAT(makulatura4[[#This Row],[Imie]]," ",makulatura4[[#This Row],[Nazwisko]])</f>
        <v>Agnieszka Matusik</v>
      </c>
      <c r="H345" s="4" t="s">
        <v>803</v>
      </c>
      <c r="I345" s="2">
        <v>75</v>
      </c>
    </row>
    <row r="346" spans="1:9" x14ac:dyDescent="0.25">
      <c r="A346" s="1">
        <v>42783</v>
      </c>
      <c r="B346" s="2" t="s">
        <v>155</v>
      </c>
      <c r="C346" s="2" t="s">
        <v>186</v>
      </c>
      <c r="D346">
        <v>55</v>
      </c>
      <c r="E346" t="str">
        <f>_xlfn.CONCAT(makulatura4[[#This Row],[Imie]]," ",makulatura4[[#This Row],[Nazwisko]])</f>
        <v>Jacek Szypulski</v>
      </c>
      <c r="H346" s="4" t="s">
        <v>1172</v>
      </c>
      <c r="I346" s="2">
        <v>74</v>
      </c>
    </row>
    <row r="347" spans="1:9" x14ac:dyDescent="0.25">
      <c r="A347" s="1">
        <v>42783</v>
      </c>
      <c r="B347" s="2" t="s">
        <v>106</v>
      </c>
      <c r="C347" s="2" t="s">
        <v>107</v>
      </c>
      <c r="D347">
        <v>27</v>
      </c>
      <c r="E347" t="str">
        <f>_xlfn.CONCAT(makulatura4[[#This Row],[Imie]]," ",makulatura4[[#This Row],[Nazwisko]])</f>
        <v>Lena Mazurkiewicz</v>
      </c>
      <c r="H347" s="4" t="s">
        <v>1259</v>
      </c>
      <c r="I347" s="2">
        <v>74</v>
      </c>
    </row>
    <row r="348" spans="1:9" x14ac:dyDescent="0.25">
      <c r="A348" s="1">
        <v>42783</v>
      </c>
      <c r="B348" s="2" t="s">
        <v>367</v>
      </c>
      <c r="C348" s="2" t="s">
        <v>5</v>
      </c>
      <c r="D348">
        <v>12</v>
      </c>
      <c r="E348" t="str">
        <f>_xlfn.CONCAT(makulatura4[[#This Row],[Imie]]," ",makulatura4[[#This Row],[Nazwisko]])</f>
        <v>Szymon Polak</v>
      </c>
      <c r="H348" s="4" t="s">
        <v>1197</v>
      </c>
      <c r="I348" s="2">
        <v>74</v>
      </c>
    </row>
    <row r="349" spans="1:9" x14ac:dyDescent="0.25">
      <c r="A349" s="1">
        <v>42783</v>
      </c>
      <c r="B349" s="2" t="s">
        <v>128</v>
      </c>
      <c r="C349" s="2" t="s">
        <v>12</v>
      </c>
      <c r="D349">
        <v>50</v>
      </c>
      <c r="E349" t="str">
        <f>_xlfn.CONCAT(makulatura4[[#This Row],[Imie]]," ",makulatura4[[#This Row],[Nazwisko]])</f>
        <v>Wojciech Maja</v>
      </c>
      <c r="H349" s="4" t="s">
        <v>1034</v>
      </c>
      <c r="I349" s="2">
        <v>73</v>
      </c>
    </row>
    <row r="350" spans="1:9" x14ac:dyDescent="0.25">
      <c r="A350" s="1">
        <v>42783</v>
      </c>
      <c r="B350" s="2" t="s">
        <v>341</v>
      </c>
      <c r="C350" s="2" t="s">
        <v>342</v>
      </c>
      <c r="D350">
        <v>23</v>
      </c>
      <c r="E350" t="str">
        <f>_xlfn.CONCAT(makulatura4[[#This Row],[Imie]]," ",makulatura4[[#This Row],[Nazwisko]])</f>
        <v>Milena Karolewska</v>
      </c>
      <c r="H350" s="4" t="s">
        <v>1209</v>
      </c>
      <c r="I350" s="2">
        <v>73</v>
      </c>
    </row>
    <row r="351" spans="1:9" x14ac:dyDescent="0.25">
      <c r="A351" s="1">
        <v>42783</v>
      </c>
      <c r="B351" s="2" t="s">
        <v>87</v>
      </c>
      <c r="C351" s="2" t="s">
        <v>383</v>
      </c>
      <c r="D351">
        <v>24</v>
      </c>
      <c r="E351" t="str">
        <f>_xlfn.CONCAT(makulatura4[[#This Row],[Imie]]," ",makulatura4[[#This Row],[Nazwisko]])</f>
        <v>Ewa Zak</v>
      </c>
      <c r="H351" s="4" t="s">
        <v>1212</v>
      </c>
      <c r="I351" s="2">
        <v>73</v>
      </c>
    </row>
    <row r="352" spans="1:9" x14ac:dyDescent="0.25">
      <c r="A352" s="1">
        <v>42783</v>
      </c>
      <c r="B352" s="2" t="s">
        <v>77</v>
      </c>
      <c r="C352" s="2" t="s">
        <v>384</v>
      </c>
      <c r="D352">
        <v>29</v>
      </c>
      <c r="E352" t="str">
        <f>_xlfn.CONCAT(makulatura4[[#This Row],[Imie]]," ",makulatura4[[#This Row],[Nazwisko]])</f>
        <v>Hubert Pieczatowski</v>
      </c>
      <c r="H352" s="4" t="s">
        <v>802</v>
      </c>
      <c r="I352" s="2">
        <v>73</v>
      </c>
    </row>
    <row r="353" spans="1:9" x14ac:dyDescent="0.25">
      <c r="A353" s="1">
        <v>42783</v>
      </c>
      <c r="B353" s="2" t="s">
        <v>119</v>
      </c>
      <c r="C353" s="2" t="s">
        <v>349</v>
      </c>
      <c r="D353">
        <v>25</v>
      </c>
      <c r="E353" t="str">
        <f>_xlfn.CONCAT(makulatura4[[#This Row],[Imie]]," ",makulatura4[[#This Row],[Nazwisko]])</f>
        <v>Kamil Ludziejewski</v>
      </c>
      <c r="H353" s="4" t="s">
        <v>990</v>
      </c>
      <c r="I353" s="2">
        <v>73</v>
      </c>
    </row>
    <row r="354" spans="1:9" x14ac:dyDescent="0.25">
      <c r="A354" s="1">
        <v>42786</v>
      </c>
      <c r="B354" s="2" t="s">
        <v>206</v>
      </c>
      <c r="C354" s="2" t="s">
        <v>385</v>
      </c>
      <c r="D354">
        <v>17</v>
      </c>
      <c r="E354" t="str">
        <f>_xlfn.CONCAT(makulatura4[[#This Row],[Imie]]," ",makulatura4[[#This Row],[Nazwisko]])</f>
        <v>Pawel Bolkowski</v>
      </c>
      <c r="H354" s="4" t="s">
        <v>1015</v>
      </c>
      <c r="I354" s="2">
        <v>72</v>
      </c>
    </row>
    <row r="355" spans="1:9" x14ac:dyDescent="0.25">
      <c r="A355" s="1">
        <v>42786</v>
      </c>
      <c r="B355" s="2" t="s">
        <v>4</v>
      </c>
      <c r="C355" s="2" t="s">
        <v>386</v>
      </c>
      <c r="D355">
        <v>5</v>
      </c>
      <c r="E355" t="str">
        <f>_xlfn.CONCAT(makulatura4[[#This Row],[Imie]]," ",makulatura4[[#This Row],[Nazwisko]])</f>
        <v>Agnieszka Kaminska</v>
      </c>
      <c r="H355" s="4" t="s">
        <v>1136</v>
      </c>
      <c r="I355" s="2">
        <v>72</v>
      </c>
    </row>
    <row r="356" spans="1:9" x14ac:dyDescent="0.25">
      <c r="A356" s="1">
        <v>42786</v>
      </c>
      <c r="B356" s="2" t="s">
        <v>97</v>
      </c>
      <c r="C356" s="2" t="s">
        <v>188</v>
      </c>
      <c r="D356">
        <v>12</v>
      </c>
      <c r="E356" t="str">
        <f>_xlfn.CONCAT(makulatura4[[#This Row],[Imie]]," ",makulatura4[[#This Row],[Nazwisko]])</f>
        <v>Mateusz Kowalczyk</v>
      </c>
      <c r="H356" s="4" t="s">
        <v>936</v>
      </c>
      <c r="I356" s="2">
        <v>72</v>
      </c>
    </row>
    <row r="357" spans="1:9" x14ac:dyDescent="0.25">
      <c r="A357" s="1">
        <v>42786</v>
      </c>
      <c r="B357" s="2" t="s">
        <v>198</v>
      </c>
      <c r="C357" s="2" t="s">
        <v>199</v>
      </c>
      <c r="D357">
        <v>31</v>
      </c>
      <c r="E357" t="str">
        <f>_xlfn.CONCAT(makulatura4[[#This Row],[Imie]]," ",makulatura4[[#This Row],[Nazwisko]])</f>
        <v>Sabina Wilk</v>
      </c>
      <c r="H357" s="4" t="s">
        <v>886</v>
      </c>
      <c r="I357" s="2">
        <v>72</v>
      </c>
    </row>
    <row r="358" spans="1:9" x14ac:dyDescent="0.25">
      <c r="A358" s="1">
        <v>42786</v>
      </c>
      <c r="B358" s="2" t="s">
        <v>30</v>
      </c>
      <c r="C358" s="2" t="s">
        <v>387</v>
      </c>
      <c r="D358">
        <v>7</v>
      </c>
      <c r="E358" t="str">
        <f>_xlfn.CONCAT(makulatura4[[#This Row],[Imie]]," ",makulatura4[[#This Row],[Nazwisko]])</f>
        <v>Maciej Machol</v>
      </c>
      <c r="H358" s="4" t="s">
        <v>954</v>
      </c>
      <c r="I358" s="2">
        <v>71</v>
      </c>
    </row>
    <row r="359" spans="1:9" x14ac:dyDescent="0.25">
      <c r="A359" s="1">
        <v>42786</v>
      </c>
      <c r="B359" s="2" t="s">
        <v>150</v>
      </c>
      <c r="C359" s="2" t="s">
        <v>140</v>
      </c>
      <c r="D359">
        <v>26</v>
      </c>
      <c r="E359" t="str">
        <f>_xlfn.CONCAT(makulatura4[[#This Row],[Imie]]," ",makulatura4[[#This Row],[Nazwisko]])</f>
        <v>Krzysztof Las</v>
      </c>
      <c r="H359" s="4" t="s">
        <v>875</v>
      </c>
      <c r="I359" s="2">
        <v>71</v>
      </c>
    </row>
    <row r="360" spans="1:9" x14ac:dyDescent="0.25">
      <c r="A360" s="1">
        <v>42786</v>
      </c>
      <c r="B360" s="2" t="s">
        <v>83</v>
      </c>
      <c r="C360" s="2" t="s">
        <v>91</v>
      </c>
      <c r="D360">
        <v>28</v>
      </c>
      <c r="E360" t="str">
        <f>_xlfn.CONCAT(makulatura4[[#This Row],[Imie]]," ",makulatura4[[#This Row],[Nazwisko]])</f>
        <v>Jan Sznuk</v>
      </c>
      <c r="H360" s="4" t="s">
        <v>724</v>
      </c>
      <c r="I360" s="2">
        <v>71</v>
      </c>
    </row>
    <row r="361" spans="1:9" x14ac:dyDescent="0.25">
      <c r="A361" s="1">
        <v>42786</v>
      </c>
      <c r="B361" s="2" t="s">
        <v>45</v>
      </c>
      <c r="C361" s="2" t="s">
        <v>46</v>
      </c>
      <c r="D361">
        <v>19</v>
      </c>
      <c r="E361" t="str">
        <f>_xlfn.CONCAT(makulatura4[[#This Row],[Imie]]," ",makulatura4[[#This Row],[Nazwisko]])</f>
        <v>Zuzanna Malicki</v>
      </c>
      <c r="H361" s="4" t="s">
        <v>746</v>
      </c>
      <c r="I361" s="2">
        <v>71</v>
      </c>
    </row>
    <row r="362" spans="1:9" x14ac:dyDescent="0.25">
      <c r="A362" s="1">
        <v>42786</v>
      </c>
      <c r="B362" s="2" t="s">
        <v>8</v>
      </c>
      <c r="C362" s="2" t="s">
        <v>322</v>
      </c>
      <c r="D362">
        <v>3</v>
      </c>
      <c r="E362" t="str">
        <f>_xlfn.CONCAT(makulatura4[[#This Row],[Imie]]," ",makulatura4[[#This Row],[Nazwisko]])</f>
        <v>Agata Zdrojewska</v>
      </c>
      <c r="H362" s="4" t="s">
        <v>1219</v>
      </c>
      <c r="I362" s="2">
        <v>70</v>
      </c>
    </row>
    <row r="363" spans="1:9" x14ac:dyDescent="0.25">
      <c r="A363" s="1">
        <v>42786</v>
      </c>
      <c r="B363" s="2" t="s">
        <v>69</v>
      </c>
      <c r="C363" s="2" t="s">
        <v>108</v>
      </c>
      <c r="D363">
        <v>12</v>
      </c>
      <c r="E363" t="str">
        <f>_xlfn.CONCAT(makulatura4[[#This Row],[Imie]]," ",makulatura4[[#This Row],[Nazwisko]])</f>
        <v>Adam Susel</v>
      </c>
      <c r="H363" s="4" t="s">
        <v>1179</v>
      </c>
      <c r="I363" s="2">
        <v>70</v>
      </c>
    </row>
    <row r="364" spans="1:9" x14ac:dyDescent="0.25">
      <c r="A364" s="1">
        <v>42786</v>
      </c>
      <c r="B364" s="2" t="s">
        <v>45</v>
      </c>
      <c r="C364" s="2" t="s">
        <v>388</v>
      </c>
      <c r="D364">
        <v>11</v>
      </c>
      <c r="E364" t="str">
        <f>_xlfn.CONCAT(makulatura4[[#This Row],[Imie]]," ",makulatura4[[#This Row],[Nazwisko]])</f>
        <v>Zuzanna Kalisz</v>
      </c>
      <c r="H364" s="4" t="s">
        <v>1017</v>
      </c>
      <c r="I364" s="2">
        <v>70</v>
      </c>
    </row>
    <row r="365" spans="1:9" x14ac:dyDescent="0.25">
      <c r="A365" s="1">
        <v>42787</v>
      </c>
      <c r="B365" s="2" t="s">
        <v>280</v>
      </c>
      <c r="C365" s="2" t="s">
        <v>281</v>
      </c>
      <c r="D365">
        <v>29</v>
      </c>
      <c r="E365" t="str">
        <f>_xlfn.CONCAT(makulatura4[[#This Row],[Imie]]," ",makulatura4[[#This Row],[Nazwisko]])</f>
        <v>Kamila Wolan</v>
      </c>
      <c r="H365" s="4" t="s">
        <v>1022</v>
      </c>
      <c r="I365" s="2">
        <v>70</v>
      </c>
    </row>
    <row r="366" spans="1:9" x14ac:dyDescent="0.25">
      <c r="A366" s="1">
        <v>42787</v>
      </c>
      <c r="B366" s="2" t="s">
        <v>53</v>
      </c>
      <c r="C366" s="2" t="s">
        <v>389</v>
      </c>
      <c r="D366">
        <v>4</v>
      </c>
      <c r="E366" t="str">
        <f>_xlfn.CONCAT(makulatura4[[#This Row],[Imie]]," ",makulatura4[[#This Row],[Nazwisko]])</f>
        <v>Wieslawa Krawiec</v>
      </c>
      <c r="H366" s="4" t="s">
        <v>1272</v>
      </c>
      <c r="I366" s="2">
        <v>70</v>
      </c>
    </row>
    <row r="367" spans="1:9" x14ac:dyDescent="0.25">
      <c r="A367" s="1">
        <v>42787</v>
      </c>
      <c r="B367" s="2" t="s">
        <v>144</v>
      </c>
      <c r="C367" s="2" t="s">
        <v>390</v>
      </c>
      <c r="D367">
        <v>2</v>
      </c>
      <c r="E367" t="str">
        <f>_xlfn.CONCAT(makulatura4[[#This Row],[Imie]]," ",makulatura4[[#This Row],[Nazwisko]])</f>
        <v>Aleksander Pasternak</v>
      </c>
      <c r="H367" s="4" t="s">
        <v>1238</v>
      </c>
      <c r="I367" s="2">
        <v>70</v>
      </c>
    </row>
    <row r="368" spans="1:9" x14ac:dyDescent="0.25">
      <c r="A368" s="1">
        <v>42787</v>
      </c>
      <c r="B368" s="2" t="s">
        <v>39</v>
      </c>
      <c r="C368" s="2" t="s">
        <v>391</v>
      </c>
      <c r="D368">
        <v>45</v>
      </c>
      <c r="E368" t="str">
        <f>_xlfn.CONCAT(makulatura4[[#This Row],[Imie]]," ",makulatura4[[#This Row],[Nazwisko]])</f>
        <v>Jakub Porydzaj</v>
      </c>
      <c r="H368" s="4" t="s">
        <v>955</v>
      </c>
      <c r="I368" s="2">
        <v>70</v>
      </c>
    </row>
    <row r="369" spans="1:9" x14ac:dyDescent="0.25">
      <c r="A369" s="1">
        <v>42787</v>
      </c>
      <c r="B369" s="2" t="s">
        <v>18</v>
      </c>
      <c r="C369" s="2" t="s">
        <v>392</v>
      </c>
      <c r="D369">
        <v>46</v>
      </c>
      <c r="E369" t="str">
        <f>_xlfn.CONCAT(makulatura4[[#This Row],[Imie]]," ",makulatura4[[#This Row],[Nazwisko]])</f>
        <v>Filip Stanulewicz</v>
      </c>
      <c r="H369" s="4" t="s">
        <v>1178</v>
      </c>
      <c r="I369" s="2">
        <v>69</v>
      </c>
    </row>
    <row r="370" spans="1:9" x14ac:dyDescent="0.25">
      <c r="A370" s="1">
        <v>42787</v>
      </c>
      <c r="B370" s="2" t="s">
        <v>393</v>
      </c>
      <c r="C370" s="2" t="s">
        <v>394</v>
      </c>
      <c r="D370">
        <v>21</v>
      </c>
      <c r="E370" t="str">
        <f>_xlfn.CONCAT(makulatura4[[#This Row],[Imie]]," ",makulatura4[[#This Row],[Nazwisko]])</f>
        <v>Kacper Niec</v>
      </c>
      <c r="H370" s="4" t="s">
        <v>1217</v>
      </c>
      <c r="I370" s="2">
        <v>69</v>
      </c>
    </row>
    <row r="371" spans="1:9" x14ac:dyDescent="0.25">
      <c r="A371" s="1">
        <v>42787</v>
      </c>
      <c r="B371" s="2" t="s">
        <v>395</v>
      </c>
      <c r="C371" s="2" t="s">
        <v>396</v>
      </c>
      <c r="D371">
        <v>24</v>
      </c>
      <c r="E371" t="str">
        <f>_xlfn.CONCAT(makulatura4[[#This Row],[Imie]]," ",makulatura4[[#This Row],[Nazwisko]])</f>
        <v>Tomasz Boruta</v>
      </c>
      <c r="H371" s="4" t="s">
        <v>1116</v>
      </c>
      <c r="I371" s="2">
        <v>69</v>
      </c>
    </row>
    <row r="372" spans="1:9" x14ac:dyDescent="0.25">
      <c r="A372" s="1">
        <v>42787</v>
      </c>
      <c r="B372" s="2" t="s">
        <v>87</v>
      </c>
      <c r="C372" s="2" t="s">
        <v>397</v>
      </c>
      <c r="D372">
        <v>53</v>
      </c>
      <c r="E372" t="str">
        <f>_xlfn.CONCAT(makulatura4[[#This Row],[Imie]]," ",makulatura4[[#This Row],[Nazwisko]])</f>
        <v>Ewa Milion</v>
      </c>
      <c r="H372" s="4" t="s">
        <v>909</v>
      </c>
      <c r="I372" s="2">
        <v>69</v>
      </c>
    </row>
    <row r="373" spans="1:9" x14ac:dyDescent="0.25">
      <c r="A373" s="1">
        <v>42787</v>
      </c>
      <c r="B373" s="2" t="s">
        <v>393</v>
      </c>
      <c r="C373" s="2" t="s">
        <v>398</v>
      </c>
      <c r="D373">
        <v>45</v>
      </c>
      <c r="E373" t="str">
        <f>_xlfn.CONCAT(makulatura4[[#This Row],[Imie]]," ",makulatura4[[#This Row],[Nazwisko]])</f>
        <v>Kacper Nikolajew</v>
      </c>
      <c r="H373" s="4" t="s">
        <v>714</v>
      </c>
      <c r="I373" s="2">
        <v>69</v>
      </c>
    </row>
    <row r="374" spans="1:9" x14ac:dyDescent="0.25">
      <c r="A374" s="1">
        <v>42787</v>
      </c>
      <c r="B374" s="2" t="s">
        <v>57</v>
      </c>
      <c r="C374" s="2" t="s">
        <v>399</v>
      </c>
      <c r="D374">
        <v>56</v>
      </c>
      <c r="E374" t="str">
        <f>_xlfn.CONCAT(makulatura4[[#This Row],[Imie]]," ",makulatura4[[#This Row],[Nazwisko]])</f>
        <v>Patrycja Dzban</v>
      </c>
      <c r="H374" s="4" t="s">
        <v>858</v>
      </c>
      <c r="I374" s="2">
        <v>69</v>
      </c>
    </row>
    <row r="375" spans="1:9" x14ac:dyDescent="0.25">
      <c r="A375" s="1">
        <v>42787</v>
      </c>
      <c r="B375" s="2" t="s">
        <v>97</v>
      </c>
      <c r="C375" s="2" t="s">
        <v>181</v>
      </c>
      <c r="D375">
        <v>28</v>
      </c>
      <c r="E375" t="str">
        <f>_xlfn.CONCAT(makulatura4[[#This Row],[Imie]]," ",makulatura4[[#This Row],[Nazwisko]])</f>
        <v>Mateusz Uklej</v>
      </c>
      <c r="H375" s="4" t="s">
        <v>1019</v>
      </c>
      <c r="I375" s="2">
        <v>68</v>
      </c>
    </row>
    <row r="376" spans="1:9" x14ac:dyDescent="0.25">
      <c r="A376" s="1">
        <v>42788</v>
      </c>
      <c r="B376" s="2" t="s">
        <v>144</v>
      </c>
      <c r="C376" s="2" t="s">
        <v>390</v>
      </c>
      <c r="D376">
        <v>45</v>
      </c>
      <c r="E376" t="str">
        <f>_xlfn.CONCAT(makulatura4[[#This Row],[Imie]]," ",makulatura4[[#This Row],[Nazwisko]])</f>
        <v>Aleksander Pasternak</v>
      </c>
      <c r="H376" s="4" t="s">
        <v>1152</v>
      </c>
      <c r="I376" s="2">
        <v>68</v>
      </c>
    </row>
    <row r="377" spans="1:9" x14ac:dyDescent="0.25">
      <c r="A377" s="1">
        <v>42788</v>
      </c>
      <c r="B377" s="2" t="s">
        <v>39</v>
      </c>
      <c r="C377" s="2" t="s">
        <v>400</v>
      </c>
      <c r="D377">
        <v>43</v>
      </c>
      <c r="E377" t="str">
        <f>_xlfn.CONCAT(makulatura4[[#This Row],[Imie]]," ",makulatura4[[#This Row],[Nazwisko]])</f>
        <v>Jakub Rembiewski</v>
      </c>
      <c r="H377" s="4" t="s">
        <v>1063</v>
      </c>
      <c r="I377" s="2">
        <v>68</v>
      </c>
    </row>
    <row r="378" spans="1:9" x14ac:dyDescent="0.25">
      <c r="A378" s="1">
        <v>42788</v>
      </c>
      <c r="B378" s="2" t="s">
        <v>87</v>
      </c>
      <c r="C378" s="2" t="s">
        <v>124</v>
      </c>
      <c r="D378">
        <v>6</v>
      </c>
      <c r="E378" t="str">
        <f>_xlfn.CONCAT(makulatura4[[#This Row],[Imie]]," ",makulatura4[[#This Row],[Nazwisko]])</f>
        <v>Ewa Tysz</v>
      </c>
      <c r="H378" s="4" t="s">
        <v>987</v>
      </c>
      <c r="I378" s="2">
        <v>68</v>
      </c>
    </row>
    <row r="379" spans="1:9" x14ac:dyDescent="0.25">
      <c r="A379" s="1">
        <v>42788</v>
      </c>
      <c r="B379" s="2" t="s">
        <v>195</v>
      </c>
      <c r="C379" s="2" t="s">
        <v>401</v>
      </c>
      <c r="D379">
        <v>5</v>
      </c>
      <c r="E379" t="str">
        <f>_xlfn.CONCAT(makulatura4[[#This Row],[Imie]]," ",makulatura4[[#This Row],[Nazwisko]])</f>
        <v>Emilia Szczepanska</v>
      </c>
      <c r="H379" s="4" t="s">
        <v>817</v>
      </c>
      <c r="I379" s="2">
        <v>68</v>
      </c>
    </row>
    <row r="380" spans="1:9" x14ac:dyDescent="0.25">
      <c r="A380" s="1">
        <v>42788</v>
      </c>
      <c r="B380" s="2" t="s">
        <v>402</v>
      </c>
      <c r="C380" s="2" t="s">
        <v>403</v>
      </c>
      <c r="D380">
        <v>47</v>
      </c>
      <c r="E380" t="str">
        <f>_xlfn.CONCAT(makulatura4[[#This Row],[Imie]]," ",makulatura4[[#This Row],[Nazwisko]])</f>
        <v>Marcelina Serwicka</v>
      </c>
      <c r="H380" s="4" t="s">
        <v>983</v>
      </c>
      <c r="I380" s="2">
        <v>68</v>
      </c>
    </row>
    <row r="381" spans="1:9" x14ac:dyDescent="0.25">
      <c r="A381" s="1">
        <v>42788</v>
      </c>
      <c r="B381" s="2" t="s">
        <v>36</v>
      </c>
      <c r="C381" s="2" t="s">
        <v>404</v>
      </c>
      <c r="D381">
        <v>6</v>
      </c>
      <c r="E381" t="str">
        <f>_xlfn.CONCAT(makulatura4[[#This Row],[Imie]]," ",makulatura4[[#This Row],[Nazwisko]])</f>
        <v>Piotr Polkowicki</v>
      </c>
      <c r="H381" s="4" t="s">
        <v>812</v>
      </c>
      <c r="I381" s="2">
        <v>68</v>
      </c>
    </row>
    <row r="382" spans="1:9" x14ac:dyDescent="0.25">
      <c r="A382" s="1">
        <v>42788</v>
      </c>
      <c r="B382" s="2" t="s">
        <v>117</v>
      </c>
      <c r="C382" s="2" t="s">
        <v>183</v>
      </c>
      <c r="D382">
        <v>55</v>
      </c>
      <c r="E382" t="str">
        <f>_xlfn.CONCAT(makulatura4[[#This Row],[Imie]]," ",makulatura4[[#This Row],[Nazwisko]])</f>
        <v>Edward Zdunek</v>
      </c>
      <c r="H382" s="4" t="s">
        <v>866</v>
      </c>
      <c r="I382" s="2">
        <v>68</v>
      </c>
    </row>
    <row r="383" spans="1:9" x14ac:dyDescent="0.25">
      <c r="A383" s="1">
        <v>42788</v>
      </c>
      <c r="B383" s="2" t="s">
        <v>23</v>
      </c>
      <c r="C383" s="2" t="s">
        <v>24</v>
      </c>
      <c r="D383">
        <v>37</v>
      </c>
      <c r="E383" t="str">
        <f>_xlfn.CONCAT(makulatura4[[#This Row],[Imie]]," ",makulatura4[[#This Row],[Nazwisko]])</f>
        <v>Alicja Gadek</v>
      </c>
      <c r="H383" s="4" t="s">
        <v>1298</v>
      </c>
      <c r="I383" s="2">
        <v>67</v>
      </c>
    </row>
    <row r="384" spans="1:9" x14ac:dyDescent="0.25">
      <c r="A384" s="1">
        <v>42788</v>
      </c>
      <c r="B384" s="2" t="s">
        <v>128</v>
      </c>
      <c r="C384" s="2" t="s">
        <v>309</v>
      </c>
      <c r="D384">
        <v>10</v>
      </c>
      <c r="E384" t="str">
        <f>_xlfn.CONCAT(makulatura4[[#This Row],[Imie]]," ",makulatura4[[#This Row],[Nazwisko]])</f>
        <v>Wojciech Filipowicz</v>
      </c>
      <c r="H384" s="4" t="s">
        <v>1117</v>
      </c>
      <c r="I384" s="2">
        <v>67</v>
      </c>
    </row>
    <row r="385" spans="1:9" x14ac:dyDescent="0.25">
      <c r="A385" s="1">
        <v>42788</v>
      </c>
      <c r="B385" s="2" t="s">
        <v>27</v>
      </c>
      <c r="C385" s="2" t="s">
        <v>94</v>
      </c>
      <c r="D385">
        <v>39</v>
      </c>
      <c r="E385" t="str">
        <f>_xlfn.CONCAT(makulatura4[[#This Row],[Imie]]," ",makulatura4[[#This Row],[Nazwisko]])</f>
        <v>Jerzy Czajkowski</v>
      </c>
      <c r="H385" s="4" t="s">
        <v>777</v>
      </c>
      <c r="I385" s="2">
        <v>67</v>
      </c>
    </row>
    <row r="386" spans="1:9" x14ac:dyDescent="0.25">
      <c r="A386" s="1">
        <v>42788</v>
      </c>
      <c r="B386" s="2" t="s">
        <v>232</v>
      </c>
      <c r="C386" s="2" t="s">
        <v>405</v>
      </c>
      <c r="D386">
        <v>23</v>
      </c>
      <c r="E386" t="str">
        <f>_xlfn.CONCAT(makulatura4[[#This Row],[Imie]]," ",makulatura4[[#This Row],[Nazwisko]])</f>
        <v>Monika Nowaczkiewicz</v>
      </c>
      <c r="H386" s="4" t="s">
        <v>900</v>
      </c>
      <c r="I386" s="2">
        <v>67</v>
      </c>
    </row>
    <row r="387" spans="1:9" x14ac:dyDescent="0.25">
      <c r="A387" s="1">
        <v>42789</v>
      </c>
      <c r="B387" s="2" t="s">
        <v>41</v>
      </c>
      <c r="C387" s="2" t="s">
        <v>238</v>
      </c>
      <c r="D387">
        <v>19</v>
      </c>
      <c r="E387" t="str">
        <f>_xlfn.CONCAT(makulatura4[[#This Row],[Imie]]," ",makulatura4[[#This Row],[Nazwisko]])</f>
        <v>Marta Robak</v>
      </c>
      <c r="H387" s="4" t="s">
        <v>968</v>
      </c>
      <c r="I387" s="2">
        <v>67</v>
      </c>
    </row>
    <row r="388" spans="1:9" x14ac:dyDescent="0.25">
      <c r="A388" s="1">
        <v>42789</v>
      </c>
      <c r="B388" s="2" t="s">
        <v>87</v>
      </c>
      <c r="C388" s="2" t="s">
        <v>383</v>
      </c>
      <c r="D388">
        <v>28</v>
      </c>
      <c r="E388" t="str">
        <f>_xlfn.CONCAT(makulatura4[[#This Row],[Imie]]," ",makulatura4[[#This Row],[Nazwisko]])</f>
        <v>Ewa Zak</v>
      </c>
      <c r="H388" s="4" t="s">
        <v>988</v>
      </c>
      <c r="I388" s="2">
        <v>67</v>
      </c>
    </row>
    <row r="389" spans="1:9" x14ac:dyDescent="0.25">
      <c r="A389" s="1">
        <v>42789</v>
      </c>
      <c r="B389" s="2" t="s">
        <v>128</v>
      </c>
      <c r="C389" s="2" t="s">
        <v>129</v>
      </c>
      <c r="D389">
        <v>2</v>
      </c>
      <c r="E389" t="str">
        <f>_xlfn.CONCAT(makulatura4[[#This Row],[Imie]]," ",makulatura4[[#This Row],[Nazwisko]])</f>
        <v>Wojciech Katowicki</v>
      </c>
      <c r="H389" s="4" t="s">
        <v>740</v>
      </c>
      <c r="I389" s="2">
        <v>67</v>
      </c>
    </row>
    <row r="390" spans="1:9" x14ac:dyDescent="0.25">
      <c r="A390" s="1">
        <v>42789</v>
      </c>
      <c r="B390" s="2" t="s">
        <v>47</v>
      </c>
      <c r="C390" s="2" t="s">
        <v>48</v>
      </c>
      <c r="D390">
        <v>6</v>
      </c>
      <c r="E390" t="str">
        <f>_xlfn.CONCAT(makulatura4[[#This Row],[Imie]]," ",makulatura4[[#This Row],[Nazwisko]])</f>
        <v>Marek Bednarski</v>
      </c>
      <c r="H390" s="4" t="s">
        <v>786</v>
      </c>
      <c r="I390" s="2">
        <v>67</v>
      </c>
    </row>
    <row r="391" spans="1:9" x14ac:dyDescent="0.25">
      <c r="A391" s="1">
        <v>42789</v>
      </c>
      <c r="B391" s="2" t="s">
        <v>32</v>
      </c>
      <c r="C391" s="2" t="s">
        <v>406</v>
      </c>
      <c r="D391">
        <v>26</v>
      </c>
      <c r="E391" t="str">
        <f>_xlfn.CONCAT(makulatura4[[#This Row],[Imie]]," ",makulatura4[[#This Row],[Nazwisko]])</f>
        <v>Daria Mikos</v>
      </c>
      <c r="H391" s="4" t="s">
        <v>1264</v>
      </c>
      <c r="I391" s="2">
        <v>66</v>
      </c>
    </row>
    <row r="392" spans="1:9" x14ac:dyDescent="0.25">
      <c r="A392" s="1">
        <v>42789</v>
      </c>
      <c r="B392" s="2" t="s">
        <v>407</v>
      </c>
      <c r="C392" s="2" t="s">
        <v>408</v>
      </c>
      <c r="D392">
        <v>55</v>
      </c>
      <c r="E392" t="str">
        <f>_xlfn.CONCAT(makulatura4[[#This Row],[Imie]]," ",makulatura4[[#This Row],[Nazwisko]])</f>
        <v>Diana Michalska</v>
      </c>
      <c r="H392" s="4" t="s">
        <v>1020</v>
      </c>
      <c r="I392" s="2">
        <v>66</v>
      </c>
    </row>
    <row r="393" spans="1:9" x14ac:dyDescent="0.25">
      <c r="A393" s="1">
        <v>42789</v>
      </c>
      <c r="B393" s="2" t="s">
        <v>409</v>
      </c>
      <c r="C393" s="2" t="s">
        <v>410</v>
      </c>
      <c r="D393">
        <v>52</v>
      </c>
      <c r="E393" t="str">
        <f>_xlfn.CONCAT(makulatura4[[#This Row],[Imie]]," ",makulatura4[[#This Row],[Nazwisko]])</f>
        <v>Wiktor Lubelski</v>
      </c>
      <c r="H393" s="4" t="s">
        <v>842</v>
      </c>
      <c r="I393" s="2">
        <v>66</v>
      </c>
    </row>
    <row r="394" spans="1:9" x14ac:dyDescent="0.25">
      <c r="A394" s="1">
        <v>42789</v>
      </c>
      <c r="B394" s="2" t="s">
        <v>367</v>
      </c>
      <c r="C394" s="2" t="s">
        <v>411</v>
      </c>
      <c r="D394">
        <v>55</v>
      </c>
      <c r="E394" t="str">
        <f>_xlfn.CONCAT(makulatura4[[#This Row],[Imie]]," ",makulatura4[[#This Row],[Nazwisko]])</f>
        <v>Szymon Wozniak</v>
      </c>
      <c r="H394" s="4" t="s">
        <v>1261</v>
      </c>
      <c r="I394" s="2">
        <v>65</v>
      </c>
    </row>
    <row r="395" spans="1:9" x14ac:dyDescent="0.25">
      <c r="A395" s="1">
        <v>42789</v>
      </c>
      <c r="B395" s="2" t="s">
        <v>412</v>
      </c>
      <c r="C395" s="2" t="s">
        <v>413</v>
      </c>
      <c r="D395">
        <v>15</v>
      </c>
      <c r="E395" t="str">
        <f>_xlfn.CONCAT(makulatura4[[#This Row],[Imie]]," ",makulatura4[[#This Row],[Nazwisko]])</f>
        <v>Matylda Kluziak</v>
      </c>
      <c r="H395" s="4" t="s">
        <v>1087</v>
      </c>
      <c r="I395" s="2">
        <v>65</v>
      </c>
    </row>
    <row r="396" spans="1:9" x14ac:dyDescent="0.25">
      <c r="A396" s="1">
        <v>42789</v>
      </c>
      <c r="B396" s="2" t="s">
        <v>155</v>
      </c>
      <c r="C396" s="2" t="s">
        <v>414</v>
      </c>
      <c r="D396">
        <v>44</v>
      </c>
      <c r="E396" t="str">
        <f>_xlfn.CONCAT(makulatura4[[#This Row],[Imie]]," ",makulatura4[[#This Row],[Nazwisko]])</f>
        <v>Jacek Chojnacki</v>
      </c>
      <c r="H396" s="4" t="s">
        <v>965</v>
      </c>
      <c r="I396" s="2">
        <v>65</v>
      </c>
    </row>
    <row r="397" spans="1:9" x14ac:dyDescent="0.25">
      <c r="A397" s="1">
        <v>42789</v>
      </c>
      <c r="B397" s="2" t="s">
        <v>41</v>
      </c>
      <c r="C397" s="2" t="s">
        <v>42</v>
      </c>
      <c r="D397">
        <v>28</v>
      </c>
      <c r="E397" t="str">
        <f>_xlfn.CONCAT(makulatura4[[#This Row],[Imie]]," ",makulatura4[[#This Row],[Nazwisko]])</f>
        <v>Marta Opolska</v>
      </c>
      <c r="H397" s="4" t="s">
        <v>931</v>
      </c>
      <c r="I397" s="2">
        <v>65</v>
      </c>
    </row>
    <row r="398" spans="1:9" x14ac:dyDescent="0.25">
      <c r="A398" s="1">
        <v>42790</v>
      </c>
      <c r="B398" s="2" t="s">
        <v>174</v>
      </c>
      <c r="C398" s="2" t="s">
        <v>415</v>
      </c>
      <c r="D398">
        <v>19</v>
      </c>
      <c r="E398" t="str">
        <f>_xlfn.CONCAT(makulatura4[[#This Row],[Imie]]," ",makulatura4[[#This Row],[Nazwisko]])</f>
        <v>Dorota Gumowska</v>
      </c>
      <c r="H398" s="4" t="s">
        <v>1170</v>
      </c>
      <c r="I398" s="2">
        <v>64</v>
      </c>
    </row>
    <row r="399" spans="1:9" x14ac:dyDescent="0.25">
      <c r="A399" s="1">
        <v>42790</v>
      </c>
      <c r="B399" s="2" t="s">
        <v>193</v>
      </c>
      <c r="C399" s="2" t="s">
        <v>215</v>
      </c>
      <c r="D399">
        <v>20</v>
      </c>
      <c r="E399" t="str">
        <f>_xlfn.CONCAT(makulatura4[[#This Row],[Imie]]," ",makulatura4[[#This Row],[Nazwisko]])</f>
        <v>Karolina Wrona</v>
      </c>
      <c r="H399" s="4" t="s">
        <v>1201</v>
      </c>
      <c r="I399" s="2">
        <v>64</v>
      </c>
    </row>
    <row r="400" spans="1:9" x14ac:dyDescent="0.25">
      <c r="A400" s="1">
        <v>42790</v>
      </c>
      <c r="B400" s="2" t="s">
        <v>416</v>
      </c>
      <c r="C400" s="2" t="s">
        <v>417</v>
      </c>
      <c r="D400">
        <v>24</v>
      </c>
      <c r="E400" t="str">
        <f>_xlfn.CONCAT(makulatura4[[#This Row],[Imie]]," ",makulatura4[[#This Row],[Nazwisko]])</f>
        <v>Kazimierz Bartosik</v>
      </c>
      <c r="H400" s="4" t="s">
        <v>808</v>
      </c>
      <c r="I400" s="2">
        <v>64</v>
      </c>
    </row>
    <row r="401" spans="1:9" x14ac:dyDescent="0.25">
      <c r="A401" s="1">
        <v>42790</v>
      </c>
      <c r="B401" s="2" t="s">
        <v>34</v>
      </c>
      <c r="C401" s="2" t="s">
        <v>182</v>
      </c>
      <c r="D401">
        <v>8</v>
      </c>
      <c r="E401" t="str">
        <f>_xlfn.CONCAT(makulatura4[[#This Row],[Imie]]," ",makulatura4[[#This Row],[Nazwisko]])</f>
        <v>Julia Kielecka</v>
      </c>
      <c r="H401" s="4" t="s">
        <v>930</v>
      </c>
      <c r="I401" s="2">
        <v>64</v>
      </c>
    </row>
    <row r="402" spans="1:9" x14ac:dyDescent="0.25">
      <c r="A402" s="1">
        <v>42790</v>
      </c>
      <c r="B402" s="2" t="s">
        <v>57</v>
      </c>
      <c r="C402" s="2" t="s">
        <v>418</v>
      </c>
      <c r="D402">
        <v>8</v>
      </c>
      <c r="E402" t="str">
        <f>_xlfn.CONCAT(makulatura4[[#This Row],[Imie]]," ",makulatura4[[#This Row],[Nazwisko]])</f>
        <v>Patrycja Rzeszowska</v>
      </c>
      <c r="H402" s="4" t="s">
        <v>919</v>
      </c>
      <c r="I402" s="2">
        <v>64</v>
      </c>
    </row>
    <row r="403" spans="1:9" x14ac:dyDescent="0.25">
      <c r="A403" s="1">
        <v>42790</v>
      </c>
      <c r="B403" s="2" t="s">
        <v>275</v>
      </c>
      <c r="C403" s="2" t="s">
        <v>276</v>
      </c>
      <c r="D403">
        <v>18</v>
      </c>
      <c r="E403" t="str">
        <f>_xlfn.CONCAT(makulatura4[[#This Row],[Imie]]," ",makulatura4[[#This Row],[Nazwisko]])</f>
        <v>Andrea Witkowska</v>
      </c>
      <c r="H403" s="4" t="s">
        <v>778</v>
      </c>
      <c r="I403" s="2">
        <v>64</v>
      </c>
    </row>
    <row r="404" spans="1:9" x14ac:dyDescent="0.25">
      <c r="A404" s="1">
        <v>42790</v>
      </c>
      <c r="B404" s="2" t="s">
        <v>67</v>
      </c>
      <c r="C404" s="2" t="s">
        <v>68</v>
      </c>
      <c r="D404">
        <v>26</v>
      </c>
      <c r="E404" t="str">
        <f>_xlfn.CONCAT(makulatura4[[#This Row],[Imie]]," ",makulatura4[[#This Row],[Nazwisko]])</f>
        <v>Bartosz Protasow</v>
      </c>
      <c r="H404" s="4" t="s">
        <v>1072</v>
      </c>
      <c r="I404" s="2">
        <v>63</v>
      </c>
    </row>
    <row r="405" spans="1:9" x14ac:dyDescent="0.25">
      <c r="A405" s="1">
        <v>42790</v>
      </c>
      <c r="B405" s="2" t="s">
        <v>77</v>
      </c>
      <c r="C405" s="2" t="s">
        <v>384</v>
      </c>
      <c r="D405">
        <v>5</v>
      </c>
      <c r="E405" t="str">
        <f>_xlfn.CONCAT(makulatura4[[#This Row],[Imie]]," ",makulatura4[[#This Row],[Nazwisko]])</f>
        <v>Hubert Pieczatowski</v>
      </c>
      <c r="H405" s="4" t="s">
        <v>962</v>
      </c>
      <c r="I405" s="2">
        <v>63</v>
      </c>
    </row>
    <row r="406" spans="1:9" x14ac:dyDescent="0.25">
      <c r="A406" s="1">
        <v>42790</v>
      </c>
      <c r="B406" s="2" t="s">
        <v>219</v>
      </c>
      <c r="C406" s="2" t="s">
        <v>220</v>
      </c>
      <c r="D406">
        <v>39</v>
      </c>
      <c r="E406" t="str">
        <f>_xlfn.CONCAT(makulatura4[[#This Row],[Imie]]," ",makulatura4[[#This Row],[Nazwisko]])</f>
        <v>Beata Lubelska</v>
      </c>
      <c r="H406" s="4" t="s">
        <v>913</v>
      </c>
      <c r="I406" s="2">
        <v>63</v>
      </c>
    </row>
    <row r="407" spans="1:9" x14ac:dyDescent="0.25">
      <c r="A407" s="1">
        <v>42790</v>
      </c>
      <c r="B407" s="2" t="s">
        <v>57</v>
      </c>
      <c r="C407" s="2" t="s">
        <v>418</v>
      </c>
      <c r="D407">
        <v>13</v>
      </c>
      <c r="E407" t="str">
        <f>_xlfn.CONCAT(makulatura4[[#This Row],[Imie]]," ",makulatura4[[#This Row],[Nazwisko]])</f>
        <v>Patrycja Rzeszowska</v>
      </c>
      <c r="H407" s="4" t="s">
        <v>992</v>
      </c>
      <c r="I407" s="2">
        <v>63</v>
      </c>
    </row>
    <row r="408" spans="1:9" x14ac:dyDescent="0.25">
      <c r="A408" s="1">
        <v>42790</v>
      </c>
      <c r="B408" s="2" t="s">
        <v>317</v>
      </c>
      <c r="C408" s="2" t="s">
        <v>318</v>
      </c>
      <c r="D408">
        <v>52</v>
      </c>
      <c r="E408" t="str">
        <f>_xlfn.CONCAT(makulatura4[[#This Row],[Imie]]," ",makulatura4[[#This Row],[Nazwisko]])</f>
        <v>Bohdan Gigant</v>
      </c>
      <c r="H408" s="4" t="s">
        <v>973</v>
      </c>
      <c r="I408" s="2">
        <v>63</v>
      </c>
    </row>
    <row r="409" spans="1:9" x14ac:dyDescent="0.25">
      <c r="A409" s="1">
        <v>42793</v>
      </c>
      <c r="B409" s="2" t="s">
        <v>393</v>
      </c>
      <c r="C409" s="2" t="s">
        <v>419</v>
      </c>
      <c r="D409">
        <v>21</v>
      </c>
      <c r="E409" t="str">
        <f>_xlfn.CONCAT(makulatura4[[#This Row],[Imie]]," ",makulatura4[[#This Row],[Nazwisko]])</f>
        <v>Kacper Okla</v>
      </c>
      <c r="H409" s="4" t="s">
        <v>876</v>
      </c>
      <c r="I409" s="2">
        <v>63</v>
      </c>
    </row>
    <row r="410" spans="1:9" x14ac:dyDescent="0.25">
      <c r="A410" s="1">
        <v>42793</v>
      </c>
      <c r="B410" s="2" t="s">
        <v>97</v>
      </c>
      <c r="C410" s="2" t="s">
        <v>136</v>
      </c>
      <c r="D410">
        <v>50</v>
      </c>
      <c r="E410" t="str">
        <f>_xlfn.CONCAT(makulatura4[[#This Row],[Imie]]," ",makulatura4[[#This Row],[Nazwisko]])</f>
        <v>Mateusz Kaczorowski</v>
      </c>
      <c r="H410" s="4" t="s">
        <v>929</v>
      </c>
      <c r="I410" s="2">
        <v>63</v>
      </c>
    </row>
    <row r="411" spans="1:9" x14ac:dyDescent="0.25">
      <c r="A411" s="1">
        <v>42793</v>
      </c>
      <c r="B411" s="2" t="s">
        <v>63</v>
      </c>
      <c r="C411" s="2" t="s">
        <v>231</v>
      </c>
      <c r="D411">
        <v>17</v>
      </c>
      <c r="E411" t="str">
        <f>_xlfn.CONCAT(makulatura4[[#This Row],[Imie]]," ",makulatura4[[#This Row],[Nazwisko]])</f>
        <v>Adrian Yuksek</v>
      </c>
      <c r="H411" s="4" t="s">
        <v>1052</v>
      </c>
      <c r="I411" s="2">
        <v>62</v>
      </c>
    </row>
    <row r="412" spans="1:9" x14ac:dyDescent="0.25">
      <c r="A412" s="1">
        <v>42793</v>
      </c>
      <c r="B412" s="2" t="s">
        <v>420</v>
      </c>
      <c r="C412" s="2" t="s">
        <v>421</v>
      </c>
      <c r="D412">
        <v>45</v>
      </c>
      <c r="E412" t="str">
        <f>_xlfn.CONCAT(makulatura4[[#This Row],[Imie]]," ",makulatura4[[#This Row],[Nazwisko]])</f>
        <v>Renata Pawlak</v>
      </c>
      <c r="H412" s="4" t="s">
        <v>1284</v>
      </c>
      <c r="I412" s="2">
        <v>62</v>
      </c>
    </row>
    <row r="413" spans="1:9" x14ac:dyDescent="0.25">
      <c r="A413" s="1">
        <v>42793</v>
      </c>
      <c r="B413" s="2" t="s">
        <v>150</v>
      </c>
      <c r="C413" s="2" t="s">
        <v>211</v>
      </c>
      <c r="D413">
        <v>10</v>
      </c>
      <c r="E413" t="str">
        <f>_xlfn.CONCAT(makulatura4[[#This Row],[Imie]]," ",makulatura4[[#This Row],[Nazwisko]])</f>
        <v>Krzysztof Micun</v>
      </c>
      <c r="H413" s="4" t="s">
        <v>1182</v>
      </c>
      <c r="I413" s="2">
        <v>62</v>
      </c>
    </row>
    <row r="414" spans="1:9" x14ac:dyDescent="0.25">
      <c r="A414" s="1">
        <v>42793</v>
      </c>
      <c r="B414" s="2" t="s">
        <v>14</v>
      </c>
      <c r="C414" s="2" t="s">
        <v>422</v>
      </c>
      <c r="D414">
        <v>24</v>
      </c>
      <c r="E414" t="str">
        <f>_xlfn.CONCAT(makulatura4[[#This Row],[Imie]]," ",makulatura4[[#This Row],[Nazwisko]])</f>
        <v>Patryk Glac</v>
      </c>
      <c r="H414" s="4" t="s">
        <v>1253</v>
      </c>
      <c r="I414" s="2">
        <v>62</v>
      </c>
    </row>
    <row r="415" spans="1:9" x14ac:dyDescent="0.25">
      <c r="A415" s="1">
        <v>42793</v>
      </c>
      <c r="B415" s="2" t="s">
        <v>34</v>
      </c>
      <c r="C415" s="2" t="s">
        <v>338</v>
      </c>
      <c r="D415">
        <v>7</v>
      </c>
      <c r="E415" t="str">
        <f>_xlfn.CONCAT(makulatura4[[#This Row],[Imie]]," ",makulatura4[[#This Row],[Nazwisko]])</f>
        <v>Julia Salanowska</v>
      </c>
      <c r="H415" s="4" t="s">
        <v>773</v>
      </c>
      <c r="I415" s="2">
        <v>62</v>
      </c>
    </row>
    <row r="416" spans="1:9" x14ac:dyDescent="0.25">
      <c r="A416" s="1">
        <v>42793</v>
      </c>
      <c r="B416" s="2" t="s">
        <v>10</v>
      </c>
      <c r="C416" s="2" t="s">
        <v>423</v>
      </c>
      <c r="D416">
        <v>30</v>
      </c>
      <c r="E416" t="str">
        <f>_xlfn.CONCAT(makulatura4[[#This Row],[Imie]]," ",makulatura4[[#This Row],[Nazwisko]])</f>
        <v>Katarzyna Dzielna</v>
      </c>
      <c r="H416" s="4" t="s">
        <v>978</v>
      </c>
      <c r="I416" s="2">
        <v>62</v>
      </c>
    </row>
    <row r="417" spans="1:9" x14ac:dyDescent="0.25">
      <c r="A417" s="1">
        <v>42793</v>
      </c>
      <c r="B417" s="2" t="s">
        <v>87</v>
      </c>
      <c r="C417" s="2" t="s">
        <v>424</v>
      </c>
      <c r="D417">
        <v>41</v>
      </c>
      <c r="E417" t="str">
        <f>_xlfn.CONCAT(makulatura4[[#This Row],[Imie]]," ",makulatura4[[#This Row],[Nazwisko]])</f>
        <v>Ewa Tarnowska</v>
      </c>
      <c r="H417" s="4" t="s">
        <v>946</v>
      </c>
      <c r="I417" s="2">
        <v>62</v>
      </c>
    </row>
    <row r="418" spans="1:9" x14ac:dyDescent="0.25">
      <c r="A418" s="1">
        <v>42793</v>
      </c>
      <c r="B418" s="2" t="s">
        <v>45</v>
      </c>
      <c r="C418" s="2" t="s">
        <v>388</v>
      </c>
      <c r="D418">
        <v>22</v>
      </c>
      <c r="E418" t="str">
        <f>_xlfn.CONCAT(makulatura4[[#This Row],[Imie]]," ",makulatura4[[#This Row],[Nazwisko]])</f>
        <v>Zuzanna Kalisz</v>
      </c>
      <c r="H418" s="4" t="s">
        <v>997</v>
      </c>
      <c r="I418" s="2">
        <v>62</v>
      </c>
    </row>
    <row r="419" spans="1:9" x14ac:dyDescent="0.25">
      <c r="A419" s="1">
        <v>42793</v>
      </c>
      <c r="B419" s="2" t="s">
        <v>352</v>
      </c>
      <c r="C419" s="2" t="s">
        <v>425</v>
      </c>
      <c r="D419">
        <v>18</v>
      </c>
      <c r="E419" t="str">
        <f>_xlfn.CONCAT(makulatura4[[#This Row],[Imie]]," ",makulatura4[[#This Row],[Nazwisko]])</f>
        <v>Ilona Lukaszewska</v>
      </c>
      <c r="H419" s="4" t="s">
        <v>1070</v>
      </c>
      <c r="I419" s="2">
        <v>61</v>
      </c>
    </row>
    <row r="420" spans="1:9" x14ac:dyDescent="0.25">
      <c r="A420" s="1">
        <v>42794</v>
      </c>
      <c r="B420" s="2" t="s">
        <v>83</v>
      </c>
      <c r="C420" s="2" t="s">
        <v>84</v>
      </c>
      <c r="D420">
        <v>9</v>
      </c>
      <c r="E420" t="str">
        <f>_xlfn.CONCAT(makulatura4[[#This Row],[Imie]]," ",makulatura4[[#This Row],[Nazwisko]])</f>
        <v>Jan Gacek</v>
      </c>
      <c r="H420" s="4" t="s">
        <v>1265</v>
      </c>
      <c r="I420" s="2">
        <v>61</v>
      </c>
    </row>
    <row r="421" spans="1:9" x14ac:dyDescent="0.25">
      <c r="A421" s="1">
        <v>42794</v>
      </c>
      <c r="B421" s="2" t="s">
        <v>53</v>
      </c>
      <c r="C421" s="2" t="s">
        <v>54</v>
      </c>
      <c r="D421">
        <v>19</v>
      </c>
      <c r="E421" t="str">
        <f>_xlfn.CONCAT(makulatura4[[#This Row],[Imie]]," ",makulatura4[[#This Row],[Nazwisko]])</f>
        <v>Wieslawa Koniec</v>
      </c>
      <c r="H421" s="4" t="s">
        <v>1249</v>
      </c>
      <c r="I421" s="2">
        <v>61</v>
      </c>
    </row>
    <row r="422" spans="1:9" x14ac:dyDescent="0.25">
      <c r="A422" s="1">
        <v>42794</v>
      </c>
      <c r="B422" s="2" t="s">
        <v>30</v>
      </c>
      <c r="C422" s="2" t="s">
        <v>31</v>
      </c>
      <c r="D422">
        <v>16</v>
      </c>
      <c r="E422" t="str">
        <f>_xlfn.CONCAT(makulatura4[[#This Row],[Imie]]," ",makulatura4[[#This Row],[Nazwisko]])</f>
        <v>Maciej Lyszcz</v>
      </c>
      <c r="H422" s="4" t="s">
        <v>1241</v>
      </c>
      <c r="I422" s="2">
        <v>61</v>
      </c>
    </row>
    <row r="423" spans="1:9" x14ac:dyDescent="0.25">
      <c r="A423" s="1">
        <v>42794</v>
      </c>
      <c r="B423" s="2" t="s">
        <v>95</v>
      </c>
      <c r="C423" s="2" t="s">
        <v>426</v>
      </c>
      <c r="D423">
        <v>27</v>
      </c>
      <c r="E423" t="str">
        <f>_xlfn.CONCAT(makulatura4[[#This Row],[Imie]]," ",makulatura4[[#This Row],[Nazwisko]])</f>
        <v>Dominik Szmitko</v>
      </c>
      <c r="H423" s="4" t="s">
        <v>1163</v>
      </c>
      <c r="I423" s="2">
        <v>61</v>
      </c>
    </row>
    <row r="424" spans="1:9" x14ac:dyDescent="0.25">
      <c r="A424" s="1">
        <v>42794</v>
      </c>
      <c r="B424" s="2" t="s">
        <v>427</v>
      </c>
      <c r="C424" s="2" t="s">
        <v>428</v>
      </c>
      <c r="D424">
        <v>13</v>
      </c>
      <c r="E424" t="str">
        <f>_xlfn.CONCAT(makulatura4[[#This Row],[Imie]]," ",makulatura4[[#This Row],[Nazwisko]])</f>
        <v>Julian Lisowski</v>
      </c>
      <c r="H424" s="4" t="s">
        <v>1254</v>
      </c>
      <c r="I424" s="2">
        <v>61</v>
      </c>
    </row>
    <row r="425" spans="1:9" x14ac:dyDescent="0.25">
      <c r="A425" s="1">
        <v>42794</v>
      </c>
      <c r="B425" s="2" t="s">
        <v>252</v>
      </c>
      <c r="C425" s="2" t="s">
        <v>253</v>
      </c>
      <c r="D425">
        <v>44</v>
      </c>
      <c r="E425" t="str">
        <f>_xlfn.CONCAT(makulatura4[[#This Row],[Imie]]," ",makulatura4[[#This Row],[Nazwisko]])</f>
        <v>Irena Banasiewicz</v>
      </c>
      <c r="H425" s="4" t="s">
        <v>771</v>
      </c>
      <c r="I425" s="2">
        <v>61</v>
      </c>
    </row>
    <row r="426" spans="1:9" x14ac:dyDescent="0.25">
      <c r="A426" s="1">
        <v>42794</v>
      </c>
      <c r="B426" s="2" t="s">
        <v>147</v>
      </c>
      <c r="C426" s="2" t="s">
        <v>148</v>
      </c>
      <c r="D426">
        <v>16</v>
      </c>
      <c r="E426" t="str">
        <f>_xlfn.CONCAT(makulatura4[[#This Row],[Imie]]," ",makulatura4[[#This Row],[Nazwisko]])</f>
        <v>Mariusz Brydzinski</v>
      </c>
      <c r="H426" s="4" t="s">
        <v>770</v>
      </c>
      <c r="I426" s="2">
        <v>61</v>
      </c>
    </row>
    <row r="427" spans="1:9" x14ac:dyDescent="0.25">
      <c r="A427" s="1">
        <v>42794</v>
      </c>
      <c r="B427" s="2" t="s">
        <v>244</v>
      </c>
      <c r="C427" s="2" t="s">
        <v>245</v>
      </c>
      <c r="D427">
        <v>13</v>
      </c>
      <c r="E427" t="str">
        <f>_xlfn.CONCAT(makulatura4[[#This Row],[Imie]]," ",makulatura4[[#This Row],[Nazwisko]])</f>
        <v>Adela Waruszewska</v>
      </c>
      <c r="H427" s="4" t="s">
        <v>922</v>
      </c>
      <c r="I427" s="2">
        <v>61</v>
      </c>
    </row>
    <row r="428" spans="1:9" x14ac:dyDescent="0.25">
      <c r="A428" s="1">
        <v>42794</v>
      </c>
      <c r="B428" s="2" t="s">
        <v>57</v>
      </c>
      <c r="C428" s="2" t="s">
        <v>429</v>
      </c>
      <c r="D428">
        <v>42</v>
      </c>
      <c r="E428" t="str">
        <f>_xlfn.CONCAT(makulatura4[[#This Row],[Imie]]," ",makulatura4[[#This Row],[Nazwisko]])</f>
        <v>Patrycja Grzeszcz</v>
      </c>
      <c r="H428" s="4" t="s">
        <v>1091</v>
      </c>
      <c r="I428" s="2">
        <v>60</v>
      </c>
    </row>
    <row r="429" spans="1:9" x14ac:dyDescent="0.25">
      <c r="A429" s="1">
        <v>42794</v>
      </c>
      <c r="B429" s="2" t="s">
        <v>217</v>
      </c>
      <c r="C429" s="2" t="s">
        <v>218</v>
      </c>
      <c r="D429">
        <v>28</v>
      </c>
      <c r="E429" t="str">
        <f>_xlfn.CONCAT(makulatura4[[#This Row],[Imie]]," ",makulatura4[[#This Row],[Nazwisko]])</f>
        <v>Witold Sempa</v>
      </c>
      <c r="H429" s="4" t="s">
        <v>782</v>
      </c>
      <c r="I429" s="2">
        <v>60</v>
      </c>
    </row>
    <row r="430" spans="1:9" x14ac:dyDescent="0.25">
      <c r="A430" s="1">
        <v>42794</v>
      </c>
      <c r="B430" s="2" t="s">
        <v>14</v>
      </c>
      <c r="C430" s="2" t="s">
        <v>430</v>
      </c>
      <c r="D430">
        <v>54</v>
      </c>
      <c r="E430" t="str">
        <f>_xlfn.CONCAT(makulatura4[[#This Row],[Imie]]," ",makulatura4[[#This Row],[Nazwisko]])</f>
        <v>Patryk Geszczynski</v>
      </c>
      <c r="H430" s="4" t="s">
        <v>832</v>
      </c>
      <c r="I430" s="2">
        <v>60</v>
      </c>
    </row>
    <row r="431" spans="1:9" x14ac:dyDescent="0.25">
      <c r="A431" s="1">
        <v>42795</v>
      </c>
      <c r="B431" s="2" t="s">
        <v>359</v>
      </c>
      <c r="C431" s="2" t="s">
        <v>431</v>
      </c>
      <c r="D431">
        <v>40</v>
      </c>
      <c r="E431" t="str">
        <f>_xlfn.CONCAT(makulatura4[[#This Row],[Imie]]," ",makulatura4[[#This Row],[Nazwisko]])</f>
        <v>Aleksandra Kwas</v>
      </c>
      <c r="H431" s="4" t="s">
        <v>1111</v>
      </c>
      <c r="I431" s="2">
        <v>59</v>
      </c>
    </row>
    <row r="432" spans="1:9" x14ac:dyDescent="0.25">
      <c r="A432" s="1">
        <v>42795</v>
      </c>
      <c r="B432" s="2" t="s">
        <v>30</v>
      </c>
      <c r="C432" s="2" t="s">
        <v>432</v>
      </c>
      <c r="D432">
        <v>19</v>
      </c>
      <c r="E432" t="str">
        <f>_xlfn.CONCAT(makulatura4[[#This Row],[Imie]]," ",makulatura4[[#This Row],[Nazwisko]])</f>
        <v>Maciej Tasz</v>
      </c>
      <c r="H432" s="4" t="s">
        <v>1269</v>
      </c>
      <c r="I432" s="2">
        <v>59</v>
      </c>
    </row>
    <row r="433" spans="1:9" x14ac:dyDescent="0.25">
      <c r="A433" s="1">
        <v>42795</v>
      </c>
      <c r="B433" s="2" t="s">
        <v>147</v>
      </c>
      <c r="C433" s="2" t="s">
        <v>148</v>
      </c>
      <c r="D433">
        <v>18</v>
      </c>
      <c r="E433" t="str">
        <f>_xlfn.CONCAT(makulatura4[[#This Row],[Imie]]," ",makulatura4[[#This Row],[Nazwisko]])</f>
        <v>Mariusz Brydzinski</v>
      </c>
      <c r="H433" s="4" t="s">
        <v>1093</v>
      </c>
      <c r="I433" s="2">
        <v>59</v>
      </c>
    </row>
    <row r="434" spans="1:9" x14ac:dyDescent="0.25">
      <c r="A434" s="1">
        <v>42795</v>
      </c>
      <c r="B434" s="2" t="s">
        <v>393</v>
      </c>
      <c r="C434" s="2" t="s">
        <v>394</v>
      </c>
      <c r="D434">
        <v>24</v>
      </c>
      <c r="E434" t="str">
        <f>_xlfn.CONCAT(makulatura4[[#This Row],[Imie]]," ",makulatura4[[#This Row],[Nazwisko]])</f>
        <v>Kacper Niec</v>
      </c>
      <c r="H434" s="4" t="s">
        <v>1232</v>
      </c>
      <c r="I434" s="2">
        <v>59</v>
      </c>
    </row>
    <row r="435" spans="1:9" x14ac:dyDescent="0.25">
      <c r="A435" s="1">
        <v>42795</v>
      </c>
      <c r="B435" s="2" t="s">
        <v>81</v>
      </c>
      <c r="C435" s="2" t="s">
        <v>145</v>
      </c>
      <c r="D435">
        <v>25</v>
      </c>
      <c r="E435" t="str">
        <f>_xlfn.CONCAT(makulatura4[[#This Row],[Imie]]," ",makulatura4[[#This Row],[Nazwisko]])</f>
        <v>Karol Wojciechowski</v>
      </c>
      <c r="H435" s="4" t="s">
        <v>1243</v>
      </c>
      <c r="I435" s="2">
        <v>59</v>
      </c>
    </row>
    <row r="436" spans="1:9" x14ac:dyDescent="0.25">
      <c r="A436" s="1">
        <v>42795</v>
      </c>
      <c r="B436" s="2" t="s">
        <v>201</v>
      </c>
      <c r="C436" s="2" t="s">
        <v>433</v>
      </c>
      <c r="D436">
        <v>7</v>
      </c>
      <c r="E436" t="str">
        <f>_xlfn.CONCAT(makulatura4[[#This Row],[Imie]]," ",makulatura4[[#This Row],[Nazwisko]])</f>
        <v>Marcin Gizinski</v>
      </c>
      <c r="H436" s="4" t="s">
        <v>1203</v>
      </c>
      <c r="I436" s="2">
        <v>59</v>
      </c>
    </row>
    <row r="437" spans="1:9" x14ac:dyDescent="0.25">
      <c r="A437" s="1">
        <v>42795</v>
      </c>
      <c r="B437" s="2" t="s">
        <v>34</v>
      </c>
      <c r="C437" s="2" t="s">
        <v>160</v>
      </c>
      <c r="D437">
        <v>52</v>
      </c>
      <c r="E437" t="str">
        <f>_xlfn.CONCAT(makulatura4[[#This Row],[Imie]]," ",makulatura4[[#This Row],[Nazwisko]])</f>
        <v>Julia Stuhr</v>
      </c>
      <c r="H437" s="4" t="s">
        <v>971</v>
      </c>
      <c r="I437" s="2">
        <v>59</v>
      </c>
    </row>
    <row r="438" spans="1:9" x14ac:dyDescent="0.25">
      <c r="A438" s="1">
        <v>42795</v>
      </c>
      <c r="B438" s="2" t="s">
        <v>30</v>
      </c>
      <c r="C438" s="2" t="s">
        <v>241</v>
      </c>
      <c r="D438">
        <v>23</v>
      </c>
      <c r="E438" t="str">
        <f>_xlfn.CONCAT(makulatura4[[#This Row],[Imie]]," ",makulatura4[[#This Row],[Nazwisko]])</f>
        <v>Maciej Czyzynski</v>
      </c>
      <c r="H438" s="4" t="s">
        <v>991</v>
      </c>
      <c r="I438" s="2">
        <v>59</v>
      </c>
    </row>
    <row r="439" spans="1:9" x14ac:dyDescent="0.25">
      <c r="A439" s="1">
        <v>42795</v>
      </c>
      <c r="B439" s="2" t="s">
        <v>217</v>
      </c>
      <c r="C439" s="2" t="s">
        <v>218</v>
      </c>
      <c r="D439">
        <v>45</v>
      </c>
      <c r="E439" t="str">
        <f>_xlfn.CONCAT(makulatura4[[#This Row],[Imie]]," ",makulatura4[[#This Row],[Nazwisko]])</f>
        <v>Witold Sempa</v>
      </c>
      <c r="H439" s="4" t="s">
        <v>901</v>
      </c>
      <c r="I439" s="2">
        <v>59</v>
      </c>
    </row>
    <row r="440" spans="1:9" x14ac:dyDescent="0.25">
      <c r="A440" s="1">
        <v>42795</v>
      </c>
      <c r="B440" s="2" t="s">
        <v>14</v>
      </c>
      <c r="C440" s="2" t="s">
        <v>422</v>
      </c>
      <c r="D440">
        <v>12</v>
      </c>
      <c r="E440" t="str">
        <f>_xlfn.CONCAT(makulatura4[[#This Row],[Imie]]," ",makulatura4[[#This Row],[Nazwisko]])</f>
        <v>Patryk Glac</v>
      </c>
      <c r="H440" s="4" t="s">
        <v>830</v>
      </c>
      <c r="I440" s="2">
        <v>59</v>
      </c>
    </row>
    <row r="441" spans="1:9" x14ac:dyDescent="0.25">
      <c r="A441" s="1">
        <v>42795</v>
      </c>
      <c r="B441" s="2" t="s">
        <v>39</v>
      </c>
      <c r="C441" s="2" t="s">
        <v>434</v>
      </c>
      <c r="D441">
        <v>25</v>
      </c>
      <c r="E441" t="str">
        <f>_xlfn.CONCAT(makulatura4[[#This Row],[Imie]]," ",makulatura4[[#This Row],[Nazwisko]])</f>
        <v>Jakub Przestrzelski</v>
      </c>
      <c r="H441" s="4" t="s">
        <v>1032</v>
      </c>
      <c r="I441" s="2">
        <v>58</v>
      </c>
    </row>
    <row r="442" spans="1:9" x14ac:dyDescent="0.25">
      <c r="A442" s="1">
        <v>42796</v>
      </c>
      <c r="B442" s="2" t="s">
        <v>141</v>
      </c>
      <c r="C442" s="2" t="s">
        <v>435</v>
      </c>
      <c r="D442">
        <v>4</v>
      </c>
      <c r="E442" t="str">
        <f>_xlfn.CONCAT(makulatura4[[#This Row],[Imie]]," ",makulatura4[[#This Row],[Nazwisko]])</f>
        <v>Joanna Kopacki</v>
      </c>
      <c r="H442" s="4" t="s">
        <v>1273</v>
      </c>
      <c r="I442" s="2">
        <v>58</v>
      </c>
    </row>
    <row r="443" spans="1:9" x14ac:dyDescent="0.25">
      <c r="A443" s="1">
        <v>42796</v>
      </c>
      <c r="B443" s="2" t="s">
        <v>39</v>
      </c>
      <c r="C443" s="2" t="s">
        <v>436</v>
      </c>
      <c r="D443">
        <v>10</v>
      </c>
      <c r="E443" t="str">
        <f>_xlfn.CONCAT(makulatura4[[#This Row],[Imie]]," ",makulatura4[[#This Row],[Nazwisko]])</f>
        <v>Jakub Holmes</v>
      </c>
      <c r="H443" s="4" t="s">
        <v>1301</v>
      </c>
      <c r="I443" s="2">
        <v>58</v>
      </c>
    </row>
    <row r="444" spans="1:9" x14ac:dyDescent="0.25">
      <c r="A444" s="1">
        <v>42796</v>
      </c>
      <c r="B444" s="2" t="s">
        <v>77</v>
      </c>
      <c r="C444" s="2" t="s">
        <v>384</v>
      </c>
      <c r="D444">
        <v>23</v>
      </c>
      <c r="E444" t="str">
        <f>_xlfn.CONCAT(makulatura4[[#This Row],[Imie]]," ",makulatura4[[#This Row],[Nazwisko]])</f>
        <v>Hubert Pieczatowski</v>
      </c>
      <c r="H444" s="4" t="s">
        <v>728</v>
      </c>
      <c r="I444" s="2">
        <v>58</v>
      </c>
    </row>
    <row r="445" spans="1:9" x14ac:dyDescent="0.25">
      <c r="A445" s="1">
        <v>42796</v>
      </c>
      <c r="B445" s="2" t="s">
        <v>437</v>
      </c>
      <c r="C445" s="2" t="s">
        <v>199</v>
      </c>
      <c r="D445">
        <v>56</v>
      </c>
      <c r="E445" t="str">
        <f>_xlfn.CONCAT(makulatura4[[#This Row],[Imie]]," ",makulatura4[[#This Row],[Nazwisko]])</f>
        <v>Wiktoria Wilk</v>
      </c>
      <c r="H445" s="4" t="s">
        <v>918</v>
      </c>
      <c r="I445" s="2">
        <v>58</v>
      </c>
    </row>
    <row r="446" spans="1:9" x14ac:dyDescent="0.25">
      <c r="A446" s="1">
        <v>42796</v>
      </c>
      <c r="B446" s="2" t="s">
        <v>18</v>
      </c>
      <c r="C446" s="2" t="s">
        <v>74</v>
      </c>
      <c r="D446">
        <v>38</v>
      </c>
      <c r="E446" t="str">
        <f>_xlfn.CONCAT(makulatura4[[#This Row],[Imie]]," ",makulatura4[[#This Row],[Nazwisko]])</f>
        <v>Filip Strack</v>
      </c>
      <c r="H446" s="4" t="s">
        <v>911</v>
      </c>
      <c r="I446" s="2">
        <v>58</v>
      </c>
    </row>
    <row r="447" spans="1:9" x14ac:dyDescent="0.25">
      <c r="A447" s="1">
        <v>42796</v>
      </c>
      <c r="B447" s="2" t="s">
        <v>438</v>
      </c>
      <c r="C447" s="2" t="s">
        <v>439</v>
      </c>
      <c r="D447">
        <v>27</v>
      </c>
      <c r="E447" t="str">
        <f>_xlfn.CONCAT(makulatura4[[#This Row],[Imie]]," ",makulatura4[[#This Row],[Nazwisko]])</f>
        <v>Albert Pleszewski</v>
      </c>
      <c r="H447" s="4" t="s">
        <v>1029</v>
      </c>
      <c r="I447" s="2">
        <v>57</v>
      </c>
    </row>
    <row r="448" spans="1:9" x14ac:dyDescent="0.25">
      <c r="A448" s="1">
        <v>42796</v>
      </c>
      <c r="B448" s="2" t="s">
        <v>206</v>
      </c>
      <c r="C448" s="2" t="s">
        <v>332</v>
      </c>
      <c r="D448">
        <v>28</v>
      </c>
      <c r="E448" t="str">
        <f>_xlfn.CONCAT(makulatura4[[#This Row],[Imie]]," ",makulatura4[[#This Row],[Nazwisko]])</f>
        <v>Pawel Furmaniak</v>
      </c>
      <c r="H448" s="4" t="s">
        <v>1227</v>
      </c>
      <c r="I448" s="2">
        <v>57</v>
      </c>
    </row>
    <row r="449" spans="1:9" x14ac:dyDescent="0.25">
      <c r="A449" s="1">
        <v>42796</v>
      </c>
      <c r="B449" s="2" t="s">
        <v>36</v>
      </c>
      <c r="C449" s="2" t="s">
        <v>306</v>
      </c>
      <c r="D449">
        <v>8</v>
      </c>
      <c r="E449" t="str">
        <f>_xlfn.CONCAT(makulatura4[[#This Row],[Imie]]," ",makulatura4[[#This Row],[Nazwisko]])</f>
        <v>Piotr Kaleta</v>
      </c>
      <c r="H449" s="4" t="s">
        <v>870</v>
      </c>
      <c r="I449" s="2">
        <v>57</v>
      </c>
    </row>
    <row r="450" spans="1:9" x14ac:dyDescent="0.25">
      <c r="A450" s="1">
        <v>42796</v>
      </c>
      <c r="B450" s="2" t="s">
        <v>101</v>
      </c>
      <c r="C450" s="2" t="s">
        <v>42</v>
      </c>
      <c r="D450">
        <v>39</v>
      </c>
      <c r="E450" t="str">
        <f>_xlfn.CONCAT(makulatura4[[#This Row],[Imie]]," ",makulatura4[[#This Row],[Nazwisko]])</f>
        <v>Maria Opolska</v>
      </c>
      <c r="H450" s="4" t="s">
        <v>873</v>
      </c>
      <c r="I450" s="2">
        <v>57</v>
      </c>
    </row>
    <row r="451" spans="1:9" x14ac:dyDescent="0.25">
      <c r="A451" s="1">
        <v>42796</v>
      </c>
      <c r="B451" s="2" t="s">
        <v>16</v>
      </c>
      <c r="C451" s="2" t="s">
        <v>440</v>
      </c>
      <c r="D451">
        <v>4</v>
      </c>
      <c r="E451" t="str">
        <f>_xlfn.CONCAT(makulatura4[[#This Row],[Imie]]," ",makulatura4[[#This Row],[Nazwisko]])</f>
        <v>Balbina Madej</v>
      </c>
      <c r="H451" s="4" t="s">
        <v>1282</v>
      </c>
      <c r="I451" s="2">
        <v>56</v>
      </c>
    </row>
    <row r="452" spans="1:9" x14ac:dyDescent="0.25">
      <c r="A452" s="1">
        <v>42796</v>
      </c>
      <c r="B452" s="2" t="s">
        <v>112</v>
      </c>
      <c r="C452" s="2" t="s">
        <v>113</v>
      </c>
      <c r="D452">
        <v>56</v>
      </c>
      <c r="E452" t="str">
        <f>_xlfn.CONCAT(makulatura4[[#This Row],[Imie]]," ",makulatura4[[#This Row],[Nazwisko]])</f>
        <v>Seweryn Krakowski</v>
      </c>
      <c r="H452" s="4" t="s">
        <v>1138</v>
      </c>
      <c r="I452" s="2">
        <v>56</v>
      </c>
    </row>
    <row r="453" spans="1:9" x14ac:dyDescent="0.25">
      <c r="A453" s="1">
        <v>42797</v>
      </c>
      <c r="B453" s="2" t="s">
        <v>101</v>
      </c>
      <c r="C453" s="2" t="s">
        <v>188</v>
      </c>
      <c r="D453">
        <v>33</v>
      </c>
      <c r="E453" t="str">
        <f>_xlfn.CONCAT(makulatura4[[#This Row],[Imie]]," ",makulatura4[[#This Row],[Nazwisko]])</f>
        <v>Maria Kowalczyk</v>
      </c>
      <c r="H453" s="4" t="s">
        <v>1283</v>
      </c>
      <c r="I453" s="2">
        <v>56</v>
      </c>
    </row>
    <row r="454" spans="1:9" x14ac:dyDescent="0.25">
      <c r="A454" s="1">
        <v>42797</v>
      </c>
      <c r="B454" s="2" t="s">
        <v>63</v>
      </c>
      <c r="C454" s="2" t="s">
        <v>441</v>
      </c>
      <c r="D454">
        <v>53</v>
      </c>
      <c r="E454" t="str">
        <f>_xlfn.CONCAT(makulatura4[[#This Row],[Imie]]," ",makulatura4[[#This Row],[Nazwisko]])</f>
        <v>Adrian Baran</v>
      </c>
      <c r="H454" s="4" t="s">
        <v>1113</v>
      </c>
      <c r="I454" s="2">
        <v>56</v>
      </c>
    </row>
    <row r="455" spans="1:9" x14ac:dyDescent="0.25">
      <c r="A455" s="1">
        <v>42797</v>
      </c>
      <c r="B455" s="2" t="s">
        <v>442</v>
      </c>
      <c r="C455" s="2" t="s">
        <v>443</v>
      </c>
      <c r="D455">
        <v>26</v>
      </c>
      <c r="E455" t="str">
        <f>_xlfn.CONCAT(makulatura4[[#This Row],[Imie]]," ",makulatura4[[#This Row],[Nazwisko]])</f>
        <v>Nikodem Jama</v>
      </c>
      <c r="H455" s="4" t="s">
        <v>1260</v>
      </c>
      <c r="I455" s="2">
        <v>56</v>
      </c>
    </row>
    <row r="456" spans="1:9" x14ac:dyDescent="0.25">
      <c r="A456" s="1">
        <v>42797</v>
      </c>
      <c r="B456" s="2" t="s">
        <v>55</v>
      </c>
      <c r="C456" s="2" t="s">
        <v>444</v>
      </c>
      <c r="D456">
        <v>27</v>
      </c>
      <c r="E456" t="str">
        <f>_xlfn.CONCAT(makulatura4[[#This Row],[Imie]]," ",makulatura4[[#This Row],[Nazwisko]])</f>
        <v>Anna Babiarz</v>
      </c>
      <c r="H456" s="4" t="s">
        <v>775</v>
      </c>
      <c r="I456" s="2">
        <v>55</v>
      </c>
    </row>
    <row r="457" spans="1:9" x14ac:dyDescent="0.25">
      <c r="A457" s="1">
        <v>42797</v>
      </c>
      <c r="B457" s="2" t="s">
        <v>34</v>
      </c>
      <c r="C457" s="2" t="s">
        <v>445</v>
      </c>
      <c r="D457">
        <v>49</v>
      </c>
      <c r="E457" t="str">
        <f>_xlfn.CONCAT(makulatura4[[#This Row],[Imie]]," ",makulatura4[[#This Row],[Nazwisko]])</f>
        <v>Julia Wolska</v>
      </c>
      <c r="H457" s="4" t="s">
        <v>869</v>
      </c>
      <c r="I457" s="2">
        <v>55</v>
      </c>
    </row>
    <row r="458" spans="1:9" x14ac:dyDescent="0.25">
      <c r="A458" s="1">
        <v>42797</v>
      </c>
      <c r="B458" s="2" t="s">
        <v>32</v>
      </c>
      <c r="C458" s="2" t="s">
        <v>446</v>
      </c>
      <c r="D458">
        <v>20</v>
      </c>
      <c r="E458" t="str">
        <f>_xlfn.CONCAT(makulatura4[[#This Row],[Imie]]," ",makulatura4[[#This Row],[Nazwisko]])</f>
        <v>Daria Pawiec</v>
      </c>
      <c r="H458" s="4" t="s">
        <v>764</v>
      </c>
      <c r="I458" s="2">
        <v>55</v>
      </c>
    </row>
    <row r="459" spans="1:9" x14ac:dyDescent="0.25">
      <c r="A459" s="1">
        <v>42797</v>
      </c>
      <c r="B459" s="2" t="s">
        <v>352</v>
      </c>
      <c r="C459" s="2" t="s">
        <v>425</v>
      </c>
      <c r="D459">
        <v>7</v>
      </c>
      <c r="E459" t="str">
        <f>_xlfn.CONCAT(makulatura4[[#This Row],[Imie]]," ",makulatura4[[#This Row],[Nazwisko]])</f>
        <v>Ilona Lukaszewska</v>
      </c>
      <c r="H459" s="4" t="s">
        <v>850</v>
      </c>
      <c r="I459" s="2">
        <v>55</v>
      </c>
    </row>
    <row r="460" spans="1:9" x14ac:dyDescent="0.25">
      <c r="A460" s="1">
        <v>42797</v>
      </c>
      <c r="B460" s="2" t="s">
        <v>141</v>
      </c>
      <c r="C460" s="2" t="s">
        <v>447</v>
      </c>
      <c r="D460">
        <v>3</v>
      </c>
      <c r="E460" t="str">
        <f>_xlfn.CONCAT(makulatura4[[#This Row],[Imie]]," ",makulatura4[[#This Row],[Nazwisko]])</f>
        <v>Joanna Janas</v>
      </c>
      <c r="H460" s="4" t="s">
        <v>1140</v>
      </c>
      <c r="I460" s="2">
        <v>54</v>
      </c>
    </row>
    <row r="461" spans="1:9" x14ac:dyDescent="0.25">
      <c r="A461" s="1">
        <v>42797</v>
      </c>
      <c r="B461" s="2" t="s">
        <v>141</v>
      </c>
      <c r="C461" s="2" t="s">
        <v>448</v>
      </c>
      <c r="D461">
        <v>47</v>
      </c>
      <c r="E461" t="str">
        <f>_xlfn.CONCAT(makulatura4[[#This Row],[Imie]]," ",makulatura4[[#This Row],[Nazwisko]])</f>
        <v>Joanna Sibiga</v>
      </c>
      <c r="H461" s="4" t="s">
        <v>1204</v>
      </c>
      <c r="I461" s="2">
        <v>54</v>
      </c>
    </row>
    <row r="462" spans="1:9" x14ac:dyDescent="0.25">
      <c r="A462" s="1">
        <v>42797</v>
      </c>
      <c r="B462" s="2" t="s">
        <v>150</v>
      </c>
      <c r="C462" s="2" t="s">
        <v>140</v>
      </c>
      <c r="D462">
        <v>48</v>
      </c>
      <c r="E462" t="str">
        <f>_xlfn.CONCAT(makulatura4[[#This Row],[Imie]]," ",makulatura4[[#This Row],[Nazwisko]])</f>
        <v>Krzysztof Las</v>
      </c>
      <c r="H462" s="4" t="s">
        <v>1036</v>
      </c>
      <c r="I462" s="2">
        <v>54</v>
      </c>
    </row>
    <row r="463" spans="1:9" x14ac:dyDescent="0.25">
      <c r="A463" s="1">
        <v>42797</v>
      </c>
      <c r="B463" s="2" t="s">
        <v>449</v>
      </c>
      <c r="C463" s="2" t="s">
        <v>382</v>
      </c>
      <c r="D463">
        <v>24</v>
      </c>
      <c r="E463" t="str">
        <f>_xlfn.CONCAT(makulatura4[[#This Row],[Imie]]," ",makulatura4[[#This Row],[Nazwisko]])</f>
        <v>Ryszard Matusik</v>
      </c>
      <c r="H463" s="4" t="s">
        <v>1167</v>
      </c>
      <c r="I463" s="2">
        <v>54</v>
      </c>
    </row>
    <row r="464" spans="1:9" x14ac:dyDescent="0.25">
      <c r="A464" s="1">
        <v>42800</v>
      </c>
      <c r="B464" s="2" t="s">
        <v>47</v>
      </c>
      <c r="C464" s="2" t="s">
        <v>91</v>
      </c>
      <c r="D464">
        <v>33</v>
      </c>
      <c r="E464" t="str">
        <f>_xlfn.CONCAT(makulatura4[[#This Row],[Imie]]," ",makulatura4[[#This Row],[Nazwisko]])</f>
        <v>Marek Sznuk</v>
      </c>
      <c r="H464" s="4" t="s">
        <v>996</v>
      </c>
      <c r="I464" s="2">
        <v>54</v>
      </c>
    </row>
    <row r="465" spans="1:9" x14ac:dyDescent="0.25">
      <c r="A465" s="1">
        <v>42800</v>
      </c>
      <c r="B465" s="2" t="s">
        <v>55</v>
      </c>
      <c r="C465" s="2" t="s">
        <v>444</v>
      </c>
      <c r="D465">
        <v>20</v>
      </c>
      <c r="E465" t="str">
        <f>_xlfn.CONCAT(makulatura4[[#This Row],[Imie]]," ",makulatura4[[#This Row],[Nazwisko]])</f>
        <v>Anna Babiarz</v>
      </c>
      <c r="H465" s="4" t="s">
        <v>864</v>
      </c>
      <c r="I465" s="2">
        <v>54</v>
      </c>
    </row>
    <row r="466" spans="1:9" x14ac:dyDescent="0.25">
      <c r="A466" s="1">
        <v>42800</v>
      </c>
      <c r="B466" s="2" t="s">
        <v>32</v>
      </c>
      <c r="C466" s="2" t="s">
        <v>33</v>
      </c>
      <c r="D466">
        <v>35</v>
      </c>
      <c r="E466" t="str">
        <f>_xlfn.CONCAT(makulatura4[[#This Row],[Imie]]," ",makulatura4[[#This Row],[Nazwisko]])</f>
        <v>Daria Zagrobna</v>
      </c>
      <c r="H466" s="4" t="s">
        <v>998</v>
      </c>
      <c r="I466" s="2">
        <v>54</v>
      </c>
    </row>
    <row r="467" spans="1:9" x14ac:dyDescent="0.25">
      <c r="A467" s="1">
        <v>42800</v>
      </c>
      <c r="B467" s="2" t="s">
        <v>314</v>
      </c>
      <c r="C467" s="2" t="s">
        <v>450</v>
      </c>
      <c r="D467">
        <v>10</v>
      </c>
      <c r="E467" t="str">
        <f>_xlfn.CONCAT(makulatura4[[#This Row],[Imie]]," ",makulatura4[[#This Row],[Nazwisko]])</f>
        <v>Lukasz Niedziela</v>
      </c>
      <c r="H467" s="4" t="s">
        <v>932</v>
      </c>
      <c r="I467" s="2">
        <v>54</v>
      </c>
    </row>
    <row r="468" spans="1:9" x14ac:dyDescent="0.25">
      <c r="A468" s="1">
        <v>42800</v>
      </c>
      <c r="B468" s="2" t="s">
        <v>20</v>
      </c>
      <c r="C468" s="2" t="s">
        <v>123</v>
      </c>
      <c r="D468">
        <v>43</v>
      </c>
      <c r="E468" t="str">
        <f>_xlfn.CONCAT(makulatura4[[#This Row],[Imie]]," ",makulatura4[[#This Row],[Nazwisko]])</f>
        <v>Borys Biedal</v>
      </c>
      <c r="H468" s="4" t="s">
        <v>801</v>
      </c>
      <c r="I468" s="2">
        <v>54</v>
      </c>
    </row>
    <row r="469" spans="1:9" x14ac:dyDescent="0.25">
      <c r="A469" s="1">
        <v>42800</v>
      </c>
      <c r="B469" s="2" t="s">
        <v>280</v>
      </c>
      <c r="C469" s="2" t="s">
        <v>451</v>
      </c>
      <c r="D469">
        <v>15</v>
      </c>
      <c r="E469" t="str">
        <f>_xlfn.CONCAT(makulatura4[[#This Row],[Imie]]," ",makulatura4[[#This Row],[Nazwisko]])</f>
        <v>Kamila Bialkowska</v>
      </c>
      <c r="H469" s="4" t="s">
        <v>1216</v>
      </c>
      <c r="I469" s="2">
        <v>53</v>
      </c>
    </row>
    <row r="470" spans="1:9" x14ac:dyDescent="0.25">
      <c r="A470" s="1">
        <v>42800</v>
      </c>
      <c r="B470" s="2" t="s">
        <v>352</v>
      </c>
      <c r="C470" s="2" t="s">
        <v>363</v>
      </c>
      <c r="D470">
        <v>8</v>
      </c>
      <c r="E470" t="str">
        <f>_xlfn.CONCAT(makulatura4[[#This Row],[Imie]]," ",makulatura4[[#This Row],[Nazwisko]])</f>
        <v>Ilona Gorska</v>
      </c>
      <c r="H470" s="4" t="s">
        <v>1304</v>
      </c>
      <c r="I470" s="2">
        <v>53</v>
      </c>
    </row>
    <row r="471" spans="1:9" x14ac:dyDescent="0.25">
      <c r="A471" s="1">
        <v>42800</v>
      </c>
      <c r="B471" s="2" t="s">
        <v>81</v>
      </c>
      <c r="C471" s="2" t="s">
        <v>104</v>
      </c>
      <c r="D471">
        <v>20</v>
      </c>
      <c r="E471" t="str">
        <f>_xlfn.CONCAT(makulatura4[[#This Row],[Imie]]," ",makulatura4[[#This Row],[Nazwisko]])</f>
        <v>Karol Dziuk</v>
      </c>
      <c r="H471" s="4" t="s">
        <v>897</v>
      </c>
      <c r="I471" s="2">
        <v>53</v>
      </c>
    </row>
    <row r="472" spans="1:9" x14ac:dyDescent="0.25">
      <c r="A472" s="1">
        <v>42800</v>
      </c>
      <c r="B472" s="2" t="s">
        <v>65</v>
      </c>
      <c r="C472" s="2" t="s">
        <v>116</v>
      </c>
      <c r="D472">
        <v>35</v>
      </c>
      <c r="E472" t="str">
        <f>_xlfn.CONCAT(makulatura4[[#This Row],[Imie]]," ",makulatura4[[#This Row],[Nazwisko]])</f>
        <v>Michal Nowicki</v>
      </c>
      <c r="H472" s="4" t="s">
        <v>961</v>
      </c>
      <c r="I472" s="2">
        <v>53</v>
      </c>
    </row>
    <row r="473" spans="1:9" x14ac:dyDescent="0.25">
      <c r="A473" s="1">
        <v>42800</v>
      </c>
      <c r="B473" s="2" t="s">
        <v>267</v>
      </c>
      <c r="C473" s="2" t="s">
        <v>287</v>
      </c>
      <c r="D473">
        <v>26</v>
      </c>
      <c r="E473" t="str">
        <f>_xlfn.CONCAT(makulatura4[[#This Row],[Imie]]," ",makulatura4[[#This Row],[Nazwisko]])</f>
        <v>Henryk Siminski</v>
      </c>
      <c r="H473" s="4" t="s">
        <v>834</v>
      </c>
      <c r="I473" s="2">
        <v>53</v>
      </c>
    </row>
    <row r="474" spans="1:9" x14ac:dyDescent="0.25">
      <c r="A474" s="1">
        <v>42800</v>
      </c>
      <c r="B474" s="2" t="s">
        <v>72</v>
      </c>
      <c r="C474" s="2" t="s">
        <v>239</v>
      </c>
      <c r="D474">
        <v>39</v>
      </c>
      <c r="E474" t="str">
        <f>_xlfn.CONCAT(makulatura4[[#This Row],[Imie]]," ",makulatura4[[#This Row],[Nazwisko]])</f>
        <v>Teodor Olszewski</v>
      </c>
      <c r="H474" s="4" t="s">
        <v>1165</v>
      </c>
      <c r="I474" s="2">
        <v>52</v>
      </c>
    </row>
    <row r="475" spans="1:9" x14ac:dyDescent="0.25">
      <c r="A475" s="1">
        <v>42801</v>
      </c>
      <c r="B475" s="2" t="s">
        <v>97</v>
      </c>
      <c r="C475" s="2" t="s">
        <v>98</v>
      </c>
      <c r="D475">
        <v>52</v>
      </c>
      <c r="E475" t="str">
        <f>_xlfn.CONCAT(makulatura4[[#This Row],[Imie]]," ",makulatura4[[#This Row],[Nazwisko]])</f>
        <v>Mateusz Karpowicz</v>
      </c>
      <c r="H475" s="4" t="s">
        <v>1101</v>
      </c>
      <c r="I475" s="2">
        <v>52</v>
      </c>
    </row>
    <row r="476" spans="1:9" x14ac:dyDescent="0.25">
      <c r="A476" s="1">
        <v>42801</v>
      </c>
      <c r="B476" s="2" t="s">
        <v>193</v>
      </c>
      <c r="C476" s="2" t="s">
        <v>215</v>
      </c>
      <c r="D476">
        <v>13</v>
      </c>
      <c r="E476" t="str">
        <f>_xlfn.CONCAT(makulatura4[[#This Row],[Imie]]," ",makulatura4[[#This Row],[Nazwisko]])</f>
        <v>Karolina Wrona</v>
      </c>
      <c r="H476" s="4" t="s">
        <v>1164</v>
      </c>
      <c r="I476" s="2">
        <v>52</v>
      </c>
    </row>
    <row r="477" spans="1:9" x14ac:dyDescent="0.25">
      <c r="A477" s="1">
        <v>42801</v>
      </c>
      <c r="B477" s="2" t="s">
        <v>83</v>
      </c>
      <c r="C477" s="2" t="s">
        <v>136</v>
      </c>
      <c r="D477">
        <v>16</v>
      </c>
      <c r="E477" t="str">
        <f>_xlfn.CONCAT(makulatura4[[#This Row],[Imie]]," ",makulatura4[[#This Row],[Nazwisko]])</f>
        <v>Jan Kaczorowski</v>
      </c>
      <c r="H477" s="4" t="s">
        <v>1286</v>
      </c>
      <c r="I477" s="2">
        <v>52</v>
      </c>
    </row>
    <row r="478" spans="1:9" x14ac:dyDescent="0.25">
      <c r="A478" s="1">
        <v>42801</v>
      </c>
      <c r="B478" s="2" t="s">
        <v>141</v>
      </c>
      <c r="C478" s="2" t="s">
        <v>202</v>
      </c>
      <c r="D478">
        <v>17</v>
      </c>
      <c r="E478" t="str">
        <f>_xlfn.CONCAT(makulatura4[[#This Row],[Imie]]," ",makulatura4[[#This Row],[Nazwisko]])</f>
        <v>Joanna Wrobel</v>
      </c>
      <c r="H478" s="4" t="s">
        <v>915</v>
      </c>
      <c r="I478" s="2">
        <v>52</v>
      </c>
    </row>
    <row r="479" spans="1:9" x14ac:dyDescent="0.25">
      <c r="A479" s="1">
        <v>42801</v>
      </c>
      <c r="B479" s="2" t="s">
        <v>243</v>
      </c>
      <c r="C479" s="2" t="s">
        <v>82</v>
      </c>
      <c r="D479">
        <v>7</v>
      </c>
      <c r="E479" t="str">
        <f>_xlfn.CONCAT(makulatura4[[#This Row],[Imie]]," ",makulatura4[[#This Row],[Nazwisko]])</f>
        <v>Sofia Felisiak</v>
      </c>
      <c r="H479" s="4" t="s">
        <v>815</v>
      </c>
      <c r="I479" s="2">
        <v>52</v>
      </c>
    </row>
    <row r="480" spans="1:9" x14ac:dyDescent="0.25">
      <c r="A480" s="1">
        <v>42801</v>
      </c>
      <c r="B480" s="2" t="s">
        <v>32</v>
      </c>
      <c r="C480" s="2" t="s">
        <v>446</v>
      </c>
      <c r="D480">
        <v>48</v>
      </c>
      <c r="E480" t="str">
        <f>_xlfn.CONCAT(makulatura4[[#This Row],[Imie]]," ",makulatura4[[#This Row],[Nazwisko]])</f>
        <v>Daria Pawiec</v>
      </c>
      <c r="H480" s="4" t="s">
        <v>790</v>
      </c>
      <c r="I480" s="2">
        <v>52</v>
      </c>
    </row>
    <row r="481" spans="1:9" x14ac:dyDescent="0.25">
      <c r="A481" s="1">
        <v>42801</v>
      </c>
      <c r="B481" s="2" t="s">
        <v>97</v>
      </c>
      <c r="C481" s="2" t="s">
        <v>452</v>
      </c>
      <c r="D481">
        <v>20</v>
      </c>
      <c r="E481" t="str">
        <f>_xlfn.CONCAT(makulatura4[[#This Row],[Imie]]," ",makulatura4[[#This Row],[Nazwisko]])</f>
        <v>Mateusz Kornatowski</v>
      </c>
      <c r="H481" s="4" t="s">
        <v>967</v>
      </c>
      <c r="I481" s="2">
        <v>52</v>
      </c>
    </row>
    <row r="482" spans="1:9" x14ac:dyDescent="0.25">
      <c r="A482" s="1">
        <v>42801</v>
      </c>
      <c r="B482" s="2" t="s">
        <v>97</v>
      </c>
      <c r="C482" s="2" t="s">
        <v>309</v>
      </c>
      <c r="D482">
        <v>3</v>
      </c>
      <c r="E482" t="str">
        <f>_xlfn.CONCAT(makulatura4[[#This Row],[Imie]]," ",makulatura4[[#This Row],[Nazwisko]])</f>
        <v>Mateusz Filipowicz</v>
      </c>
      <c r="H482" s="4" t="s">
        <v>1244</v>
      </c>
      <c r="I482" s="2">
        <v>51</v>
      </c>
    </row>
    <row r="483" spans="1:9" x14ac:dyDescent="0.25">
      <c r="A483" s="1">
        <v>42801</v>
      </c>
      <c r="B483" s="2" t="s">
        <v>87</v>
      </c>
      <c r="C483" s="2" t="s">
        <v>259</v>
      </c>
      <c r="D483">
        <v>22</v>
      </c>
      <c r="E483" t="str">
        <f>_xlfn.CONCAT(makulatura4[[#This Row],[Imie]]," ",makulatura4[[#This Row],[Nazwisko]])</f>
        <v>Ewa Aderek</v>
      </c>
      <c r="H483" s="4" t="s">
        <v>820</v>
      </c>
      <c r="I483" s="2">
        <v>51</v>
      </c>
    </row>
    <row r="484" spans="1:9" x14ac:dyDescent="0.25">
      <c r="A484" s="1">
        <v>42802</v>
      </c>
      <c r="B484" s="2" t="s">
        <v>87</v>
      </c>
      <c r="C484" s="2" t="s">
        <v>397</v>
      </c>
      <c r="D484">
        <v>14</v>
      </c>
      <c r="E484" t="str">
        <f>_xlfn.CONCAT(makulatura4[[#This Row],[Imie]]," ",makulatura4[[#This Row],[Nazwisko]])</f>
        <v>Ewa Milion</v>
      </c>
      <c r="H484" s="4" t="s">
        <v>738</v>
      </c>
      <c r="I484" s="2">
        <v>51</v>
      </c>
    </row>
    <row r="485" spans="1:9" x14ac:dyDescent="0.25">
      <c r="A485" s="1">
        <v>42802</v>
      </c>
      <c r="B485" s="2" t="s">
        <v>155</v>
      </c>
      <c r="C485" s="2" t="s">
        <v>186</v>
      </c>
      <c r="D485">
        <v>17</v>
      </c>
      <c r="E485" t="str">
        <f>_xlfn.CONCAT(makulatura4[[#This Row],[Imie]]," ",makulatura4[[#This Row],[Nazwisko]])</f>
        <v>Jacek Szypulski</v>
      </c>
      <c r="H485" s="4" t="s">
        <v>938</v>
      </c>
      <c r="I485" s="2">
        <v>51</v>
      </c>
    </row>
    <row r="486" spans="1:9" x14ac:dyDescent="0.25">
      <c r="A486" s="1">
        <v>42802</v>
      </c>
      <c r="B486" s="2" t="s">
        <v>30</v>
      </c>
      <c r="C486" s="2" t="s">
        <v>89</v>
      </c>
      <c r="D486">
        <v>3</v>
      </c>
      <c r="E486" t="str">
        <f>_xlfn.CONCAT(makulatura4[[#This Row],[Imie]]," ",makulatura4[[#This Row],[Nazwisko]])</f>
        <v>Maciej Machalski</v>
      </c>
      <c r="H486" s="4" t="s">
        <v>948</v>
      </c>
      <c r="I486" s="2">
        <v>51</v>
      </c>
    </row>
    <row r="487" spans="1:9" x14ac:dyDescent="0.25">
      <c r="A487" s="1">
        <v>42802</v>
      </c>
      <c r="B487" s="2" t="s">
        <v>453</v>
      </c>
      <c r="C487" s="2" t="s">
        <v>454</v>
      </c>
      <c r="D487">
        <v>10</v>
      </c>
      <c r="E487" t="str">
        <f>_xlfn.CONCAT(makulatura4[[#This Row],[Imie]]," ",makulatura4[[#This Row],[Nazwisko]])</f>
        <v>Angelika Walaszek</v>
      </c>
      <c r="H487" s="4" t="s">
        <v>824</v>
      </c>
      <c r="I487" s="2">
        <v>51</v>
      </c>
    </row>
    <row r="488" spans="1:9" x14ac:dyDescent="0.25">
      <c r="A488" s="1">
        <v>42802</v>
      </c>
      <c r="B488" s="2" t="s">
        <v>178</v>
      </c>
      <c r="C488" s="2" t="s">
        <v>242</v>
      </c>
      <c r="D488">
        <v>14</v>
      </c>
      <c r="E488" t="str">
        <f>_xlfn.CONCAT(makulatura4[[#This Row],[Imie]]," ",makulatura4[[#This Row],[Nazwisko]])</f>
        <v>Malgorzata Karlowski</v>
      </c>
      <c r="H488" s="4" t="s">
        <v>912</v>
      </c>
      <c r="I488" s="2">
        <v>51</v>
      </c>
    </row>
    <row r="489" spans="1:9" x14ac:dyDescent="0.25">
      <c r="A489" s="1">
        <v>42802</v>
      </c>
      <c r="B489" s="2" t="s">
        <v>393</v>
      </c>
      <c r="C489" s="2" t="s">
        <v>398</v>
      </c>
      <c r="D489">
        <v>3</v>
      </c>
      <c r="E489" t="str">
        <f>_xlfn.CONCAT(makulatura4[[#This Row],[Imie]]," ",makulatura4[[#This Row],[Nazwisko]])</f>
        <v>Kacper Nikolajew</v>
      </c>
      <c r="H489" s="4" t="s">
        <v>742</v>
      </c>
      <c r="I489" s="2">
        <v>50</v>
      </c>
    </row>
    <row r="490" spans="1:9" x14ac:dyDescent="0.25">
      <c r="A490" s="1">
        <v>42802</v>
      </c>
      <c r="B490" s="2" t="s">
        <v>141</v>
      </c>
      <c r="C490" s="2" t="s">
        <v>364</v>
      </c>
      <c r="D490">
        <v>22</v>
      </c>
      <c r="E490" t="str">
        <f>_xlfn.CONCAT(makulatura4[[#This Row],[Imie]]," ",makulatura4[[#This Row],[Nazwisko]])</f>
        <v>Joanna Ottka</v>
      </c>
      <c r="H490" s="4" t="s">
        <v>894</v>
      </c>
      <c r="I490" s="2">
        <v>50</v>
      </c>
    </row>
    <row r="491" spans="1:9" x14ac:dyDescent="0.25">
      <c r="A491" s="1">
        <v>42802</v>
      </c>
      <c r="B491" s="2" t="s">
        <v>83</v>
      </c>
      <c r="C491" s="2" t="s">
        <v>455</v>
      </c>
      <c r="D491">
        <v>11</v>
      </c>
      <c r="E491" t="str">
        <f>_xlfn.CONCAT(makulatura4[[#This Row],[Imie]]," ",makulatura4[[#This Row],[Nazwisko]])</f>
        <v>Jan Pistek</v>
      </c>
      <c r="H491" s="4" t="s">
        <v>1092</v>
      </c>
      <c r="I491" s="2">
        <v>49</v>
      </c>
    </row>
    <row r="492" spans="1:9" x14ac:dyDescent="0.25">
      <c r="A492" s="1">
        <v>42802</v>
      </c>
      <c r="B492" s="2" t="s">
        <v>32</v>
      </c>
      <c r="C492" s="2" t="s">
        <v>406</v>
      </c>
      <c r="D492">
        <v>7</v>
      </c>
      <c r="E492" t="str">
        <f>_xlfn.CONCAT(makulatura4[[#This Row],[Imie]]," ",makulatura4[[#This Row],[Nazwisko]])</f>
        <v>Daria Mikos</v>
      </c>
      <c r="H492" s="4" t="s">
        <v>1228</v>
      </c>
      <c r="I492" s="2">
        <v>49</v>
      </c>
    </row>
    <row r="493" spans="1:9" x14ac:dyDescent="0.25">
      <c r="A493" s="1">
        <v>42803</v>
      </c>
      <c r="B493" s="2" t="s">
        <v>87</v>
      </c>
      <c r="C493" s="2" t="s">
        <v>88</v>
      </c>
      <c r="D493">
        <v>13</v>
      </c>
      <c r="E493" t="str">
        <f>_xlfn.CONCAT(makulatura4[[#This Row],[Imie]]," ",makulatura4[[#This Row],[Nazwisko]])</f>
        <v>Ewa Stoch</v>
      </c>
      <c r="H493" s="4" t="s">
        <v>730</v>
      </c>
      <c r="I493" s="2">
        <v>49</v>
      </c>
    </row>
    <row r="494" spans="1:9" x14ac:dyDescent="0.25">
      <c r="A494" s="1">
        <v>42803</v>
      </c>
      <c r="B494" s="2" t="s">
        <v>55</v>
      </c>
      <c r="C494" s="2" t="s">
        <v>456</v>
      </c>
      <c r="D494">
        <v>47</v>
      </c>
      <c r="E494" t="str">
        <f>_xlfn.CONCAT(makulatura4[[#This Row],[Imie]]," ",makulatura4[[#This Row],[Nazwisko]])</f>
        <v>Anna Klimas</v>
      </c>
      <c r="H494" s="4" t="s">
        <v>1267</v>
      </c>
      <c r="I494" s="2">
        <v>48</v>
      </c>
    </row>
    <row r="495" spans="1:9" x14ac:dyDescent="0.25">
      <c r="A495" s="1">
        <v>42803</v>
      </c>
      <c r="B495" s="2" t="s">
        <v>155</v>
      </c>
      <c r="C495" s="2" t="s">
        <v>156</v>
      </c>
      <c r="D495">
        <v>22</v>
      </c>
      <c r="E495" t="str">
        <f>_xlfn.CONCAT(makulatura4[[#This Row],[Imie]]," ",makulatura4[[#This Row],[Nazwisko]])</f>
        <v>Jacek Ciosinski</v>
      </c>
      <c r="H495" s="4" t="s">
        <v>1021</v>
      </c>
      <c r="I495" s="2">
        <v>48</v>
      </c>
    </row>
    <row r="496" spans="1:9" x14ac:dyDescent="0.25">
      <c r="A496" s="1">
        <v>42803</v>
      </c>
      <c r="B496" s="2" t="s">
        <v>97</v>
      </c>
      <c r="C496" s="2" t="s">
        <v>457</v>
      </c>
      <c r="D496">
        <v>10</v>
      </c>
      <c r="E496" t="str">
        <f>_xlfn.CONCAT(makulatura4[[#This Row],[Imie]]," ",makulatura4[[#This Row],[Nazwisko]])</f>
        <v>Mateusz Krynicki</v>
      </c>
      <c r="H496" s="4" t="s">
        <v>1237</v>
      </c>
      <c r="I496" s="2">
        <v>48</v>
      </c>
    </row>
    <row r="497" spans="1:9" x14ac:dyDescent="0.25">
      <c r="A497" s="1">
        <v>42803</v>
      </c>
      <c r="B497" s="2" t="s">
        <v>310</v>
      </c>
      <c r="C497" s="2" t="s">
        <v>458</v>
      </c>
      <c r="D497">
        <v>38</v>
      </c>
      <c r="E497" t="str">
        <f>_xlfn.CONCAT(makulatura4[[#This Row],[Imie]]," ",makulatura4[[#This Row],[Nazwisko]])</f>
        <v>Antoni Wizniewski</v>
      </c>
      <c r="H497" s="4" t="s">
        <v>1080</v>
      </c>
      <c r="I497" s="2">
        <v>47</v>
      </c>
    </row>
    <row r="498" spans="1:9" x14ac:dyDescent="0.25">
      <c r="A498" s="1">
        <v>42803</v>
      </c>
      <c r="B498" s="2" t="s">
        <v>55</v>
      </c>
      <c r="C498" s="2" t="s">
        <v>459</v>
      </c>
      <c r="D498">
        <v>48</v>
      </c>
      <c r="E498" t="str">
        <f>_xlfn.CONCAT(makulatura4[[#This Row],[Imie]]," ",makulatura4[[#This Row],[Nazwisko]])</f>
        <v>Anna Zaczyk</v>
      </c>
      <c r="H498" s="4" t="s">
        <v>1221</v>
      </c>
      <c r="I498" s="2">
        <v>47</v>
      </c>
    </row>
    <row r="499" spans="1:9" x14ac:dyDescent="0.25">
      <c r="A499" s="1">
        <v>42803</v>
      </c>
      <c r="B499" s="2" t="s">
        <v>67</v>
      </c>
      <c r="C499" s="2" t="s">
        <v>460</v>
      </c>
      <c r="D499">
        <v>9</v>
      </c>
      <c r="E499" t="str">
        <f>_xlfn.CONCAT(makulatura4[[#This Row],[Imie]]," ",makulatura4[[#This Row],[Nazwisko]])</f>
        <v>Bartosz Mazgaj</v>
      </c>
      <c r="H499" s="4" t="s">
        <v>827</v>
      </c>
      <c r="I499" s="2">
        <v>47</v>
      </c>
    </row>
    <row r="500" spans="1:9" x14ac:dyDescent="0.25">
      <c r="A500" s="1">
        <v>42803</v>
      </c>
      <c r="B500" s="2" t="s">
        <v>101</v>
      </c>
      <c r="C500" s="2" t="s">
        <v>212</v>
      </c>
      <c r="D500">
        <v>6</v>
      </c>
      <c r="E500" t="str">
        <f>_xlfn.CONCAT(makulatura4[[#This Row],[Imie]]," ",makulatura4[[#This Row],[Nazwisko]])</f>
        <v>Maria Galas</v>
      </c>
      <c r="H500" s="4" t="s">
        <v>856</v>
      </c>
      <c r="I500" s="2">
        <v>47</v>
      </c>
    </row>
    <row r="501" spans="1:9" x14ac:dyDescent="0.25">
      <c r="A501" s="1">
        <v>42803</v>
      </c>
      <c r="B501" s="2" t="s">
        <v>195</v>
      </c>
      <c r="C501" s="2" t="s">
        <v>196</v>
      </c>
      <c r="D501">
        <v>13</v>
      </c>
      <c r="E501" t="str">
        <f>_xlfn.CONCAT(makulatura4[[#This Row],[Imie]]," ",makulatura4[[#This Row],[Nazwisko]])</f>
        <v>Emilia Mroczek</v>
      </c>
      <c r="H501" s="4" t="s">
        <v>719</v>
      </c>
      <c r="I501" s="2">
        <v>47</v>
      </c>
    </row>
    <row r="502" spans="1:9" x14ac:dyDescent="0.25">
      <c r="A502" s="1">
        <v>42804</v>
      </c>
      <c r="B502" s="2" t="s">
        <v>97</v>
      </c>
      <c r="C502" s="2" t="s">
        <v>181</v>
      </c>
      <c r="D502">
        <v>30</v>
      </c>
      <c r="E502" t="str">
        <f>_xlfn.CONCAT(makulatura4[[#This Row],[Imie]]," ",makulatura4[[#This Row],[Nazwisko]])</f>
        <v>Mateusz Uklej</v>
      </c>
      <c r="H502" s="4" t="s">
        <v>765</v>
      </c>
      <c r="I502" s="2">
        <v>47</v>
      </c>
    </row>
    <row r="503" spans="1:9" x14ac:dyDescent="0.25">
      <c r="A503" s="1">
        <v>42804</v>
      </c>
      <c r="B503" s="2" t="s">
        <v>69</v>
      </c>
      <c r="C503" s="2" t="s">
        <v>461</v>
      </c>
      <c r="D503">
        <v>3</v>
      </c>
      <c r="E503" t="str">
        <f>_xlfn.CONCAT(makulatura4[[#This Row],[Imie]]," ",makulatura4[[#This Row],[Nazwisko]])</f>
        <v>Adam Borkowski</v>
      </c>
      <c r="H503" s="4" t="s">
        <v>995</v>
      </c>
      <c r="I503" s="2">
        <v>47</v>
      </c>
    </row>
    <row r="504" spans="1:9" x14ac:dyDescent="0.25">
      <c r="A504" s="1">
        <v>42804</v>
      </c>
      <c r="B504" s="2" t="s">
        <v>12</v>
      </c>
      <c r="C504" s="2" t="s">
        <v>38</v>
      </c>
      <c r="D504">
        <v>8</v>
      </c>
      <c r="E504" t="str">
        <f>_xlfn.CONCAT(makulatura4[[#This Row],[Imie]]," ",makulatura4[[#This Row],[Nazwisko]])</f>
        <v>Maja Lipka</v>
      </c>
      <c r="H504" s="4" t="s">
        <v>1271</v>
      </c>
      <c r="I504" s="2">
        <v>46</v>
      </c>
    </row>
    <row r="505" spans="1:9" x14ac:dyDescent="0.25">
      <c r="A505" s="1">
        <v>42804</v>
      </c>
      <c r="B505" s="2" t="s">
        <v>178</v>
      </c>
      <c r="C505" s="2" t="s">
        <v>242</v>
      </c>
      <c r="D505">
        <v>12</v>
      </c>
      <c r="E505" t="str">
        <f>_xlfn.CONCAT(makulatura4[[#This Row],[Imie]]," ",makulatura4[[#This Row],[Nazwisko]])</f>
        <v>Malgorzata Karlowski</v>
      </c>
      <c r="H505" s="4" t="s">
        <v>1200</v>
      </c>
      <c r="I505" s="2">
        <v>46</v>
      </c>
    </row>
    <row r="506" spans="1:9" x14ac:dyDescent="0.25">
      <c r="A506" s="1">
        <v>42804</v>
      </c>
      <c r="B506" s="2" t="s">
        <v>16</v>
      </c>
      <c r="C506" s="2" t="s">
        <v>440</v>
      </c>
      <c r="D506">
        <v>14</v>
      </c>
      <c r="E506" t="str">
        <f>_xlfn.CONCAT(makulatura4[[#This Row],[Imie]]," ",makulatura4[[#This Row],[Nazwisko]])</f>
        <v>Balbina Madej</v>
      </c>
      <c r="H506" s="4" t="s">
        <v>939</v>
      </c>
      <c r="I506" s="2">
        <v>46</v>
      </c>
    </row>
    <row r="507" spans="1:9" x14ac:dyDescent="0.25">
      <c r="A507" s="1">
        <v>42804</v>
      </c>
      <c r="B507" s="2" t="s">
        <v>453</v>
      </c>
      <c r="C507" s="2" t="s">
        <v>454</v>
      </c>
      <c r="D507">
        <v>4</v>
      </c>
      <c r="E507" t="str">
        <f>_xlfn.CONCAT(makulatura4[[#This Row],[Imie]]," ",makulatura4[[#This Row],[Nazwisko]])</f>
        <v>Angelika Walaszek</v>
      </c>
      <c r="H507" s="4" t="s">
        <v>758</v>
      </c>
      <c r="I507" s="2">
        <v>46</v>
      </c>
    </row>
    <row r="508" spans="1:9" x14ac:dyDescent="0.25">
      <c r="A508" s="1">
        <v>42804</v>
      </c>
      <c r="B508" s="2" t="s">
        <v>99</v>
      </c>
      <c r="C508" s="2" t="s">
        <v>100</v>
      </c>
      <c r="D508">
        <v>5</v>
      </c>
      <c r="E508" t="str">
        <f>_xlfn.CONCAT(makulatura4[[#This Row],[Imie]]," ",makulatura4[[#This Row],[Nazwisko]])</f>
        <v>Sandra Filarska</v>
      </c>
      <c r="H508" s="4" t="s">
        <v>1153</v>
      </c>
      <c r="I508" s="2">
        <v>45</v>
      </c>
    </row>
    <row r="509" spans="1:9" x14ac:dyDescent="0.25">
      <c r="A509" s="1">
        <v>42804</v>
      </c>
      <c r="B509" s="2" t="s">
        <v>150</v>
      </c>
      <c r="C509" s="2" t="s">
        <v>462</v>
      </c>
      <c r="D509">
        <v>13</v>
      </c>
      <c r="E509" t="str">
        <f>_xlfn.CONCAT(makulatura4[[#This Row],[Imie]]," ",makulatura4[[#This Row],[Nazwisko]])</f>
        <v>Krzysztof Wloch</v>
      </c>
      <c r="H509" s="4" t="s">
        <v>745</v>
      </c>
      <c r="I509" s="2">
        <v>45</v>
      </c>
    </row>
    <row r="510" spans="1:9" x14ac:dyDescent="0.25">
      <c r="A510" s="1">
        <v>42804</v>
      </c>
      <c r="B510" s="2" t="s">
        <v>30</v>
      </c>
      <c r="C510" s="2" t="s">
        <v>463</v>
      </c>
      <c r="D510">
        <v>9</v>
      </c>
      <c r="E510" t="str">
        <f>_xlfn.CONCAT(makulatura4[[#This Row],[Imie]]," ",makulatura4[[#This Row],[Nazwisko]])</f>
        <v>Maciej Bugaj</v>
      </c>
      <c r="H510" s="4" t="s">
        <v>796</v>
      </c>
      <c r="I510" s="2">
        <v>45</v>
      </c>
    </row>
    <row r="511" spans="1:9" x14ac:dyDescent="0.25">
      <c r="A511" s="1">
        <v>42807</v>
      </c>
      <c r="B511" s="2" t="s">
        <v>97</v>
      </c>
      <c r="C511" s="2" t="s">
        <v>464</v>
      </c>
      <c r="D511">
        <v>14</v>
      </c>
      <c r="E511" t="str">
        <f>_xlfn.CONCAT(makulatura4[[#This Row],[Imie]]," ",makulatura4[[#This Row],[Nazwisko]])</f>
        <v>Mateusz Mrowczynski</v>
      </c>
      <c r="H511" s="4" t="s">
        <v>1183</v>
      </c>
      <c r="I511" s="2">
        <v>44</v>
      </c>
    </row>
    <row r="512" spans="1:9" x14ac:dyDescent="0.25">
      <c r="A512" s="1">
        <v>42807</v>
      </c>
      <c r="B512" s="2" t="s">
        <v>47</v>
      </c>
      <c r="C512" s="2" t="s">
        <v>465</v>
      </c>
      <c r="D512">
        <v>19</v>
      </c>
      <c r="E512" t="str">
        <f>_xlfn.CONCAT(makulatura4[[#This Row],[Imie]]," ",makulatura4[[#This Row],[Nazwisko]])</f>
        <v>Marek Zybert</v>
      </c>
      <c r="H512" s="4" t="s">
        <v>952</v>
      </c>
      <c r="I512" s="2">
        <v>44</v>
      </c>
    </row>
    <row r="513" spans="1:9" x14ac:dyDescent="0.25">
      <c r="A513" s="1">
        <v>42807</v>
      </c>
      <c r="B513" s="2" t="s">
        <v>282</v>
      </c>
      <c r="C513" s="2" t="s">
        <v>283</v>
      </c>
      <c r="D513">
        <v>21</v>
      </c>
      <c r="E513" t="str">
        <f>_xlfn.CONCAT(makulatura4[[#This Row],[Imie]]," ",makulatura4[[#This Row],[Nazwisko]])</f>
        <v>Inka Sochacka</v>
      </c>
      <c r="H513" s="4" t="s">
        <v>874</v>
      </c>
      <c r="I513" s="2">
        <v>44</v>
      </c>
    </row>
    <row r="514" spans="1:9" x14ac:dyDescent="0.25">
      <c r="A514" s="1">
        <v>42807</v>
      </c>
      <c r="B514" s="2" t="s">
        <v>141</v>
      </c>
      <c r="C514" s="2" t="s">
        <v>292</v>
      </c>
      <c r="D514">
        <v>5</v>
      </c>
      <c r="E514" t="str">
        <f>_xlfn.CONCAT(makulatura4[[#This Row],[Imie]]," ",makulatura4[[#This Row],[Nazwisko]])</f>
        <v>Joanna Zygmunt</v>
      </c>
      <c r="H514" s="4" t="s">
        <v>731</v>
      </c>
      <c r="I514" s="2">
        <v>44</v>
      </c>
    </row>
    <row r="515" spans="1:9" x14ac:dyDescent="0.25">
      <c r="A515" s="1">
        <v>42807</v>
      </c>
      <c r="B515" s="2" t="s">
        <v>314</v>
      </c>
      <c r="C515" s="2" t="s">
        <v>466</v>
      </c>
      <c r="D515">
        <v>18</v>
      </c>
      <c r="E515" t="str">
        <f>_xlfn.CONCAT(makulatura4[[#This Row],[Imie]]," ",makulatura4[[#This Row],[Nazwisko]])</f>
        <v>Lukasz Kot</v>
      </c>
      <c r="H515" s="4" t="s">
        <v>785</v>
      </c>
      <c r="I515" s="2">
        <v>43</v>
      </c>
    </row>
    <row r="516" spans="1:9" x14ac:dyDescent="0.25">
      <c r="A516" s="1">
        <v>42807</v>
      </c>
      <c r="B516" s="2" t="s">
        <v>55</v>
      </c>
      <c r="C516" s="2" t="s">
        <v>56</v>
      </c>
      <c r="D516">
        <v>4</v>
      </c>
      <c r="E516" t="str">
        <f>_xlfn.CONCAT(makulatura4[[#This Row],[Imie]]," ",makulatura4[[#This Row],[Nazwisko]])</f>
        <v>Anna Kosowicz</v>
      </c>
      <c r="H516" s="4" t="s">
        <v>1076</v>
      </c>
      <c r="I516" s="2">
        <v>42</v>
      </c>
    </row>
    <row r="517" spans="1:9" x14ac:dyDescent="0.25">
      <c r="A517" s="1">
        <v>42807</v>
      </c>
      <c r="B517" s="2" t="s">
        <v>395</v>
      </c>
      <c r="C517" s="2" t="s">
        <v>467</v>
      </c>
      <c r="D517">
        <v>34</v>
      </c>
      <c r="E517" t="str">
        <f>_xlfn.CONCAT(makulatura4[[#This Row],[Imie]]," ",makulatura4[[#This Row],[Nazwisko]])</f>
        <v>Tomasz Hajdi</v>
      </c>
      <c r="H517" s="4" t="s">
        <v>1229</v>
      </c>
      <c r="I517" s="2">
        <v>42</v>
      </c>
    </row>
    <row r="518" spans="1:9" x14ac:dyDescent="0.25">
      <c r="A518" s="1">
        <v>42807</v>
      </c>
      <c r="B518" s="2" t="s">
        <v>36</v>
      </c>
      <c r="C518" s="2" t="s">
        <v>37</v>
      </c>
      <c r="D518">
        <v>7</v>
      </c>
      <c r="E518" t="str">
        <f>_xlfn.CONCAT(makulatura4[[#This Row],[Imie]]," ",makulatura4[[#This Row],[Nazwisko]])</f>
        <v>Piotr Bialaszewski</v>
      </c>
      <c r="H518" s="4" t="s">
        <v>836</v>
      </c>
      <c r="I518" s="2">
        <v>42</v>
      </c>
    </row>
    <row r="519" spans="1:9" x14ac:dyDescent="0.25">
      <c r="A519" s="1">
        <v>42807</v>
      </c>
      <c r="B519" s="2" t="s">
        <v>171</v>
      </c>
      <c r="C519" s="2" t="s">
        <v>468</v>
      </c>
      <c r="D519">
        <v>41</v>
      </c>
      <c r="E519" t="str">
        <f>_xlfn.CONCAT(makulatura4[[#This Row],[Imie]]," ",makulatura4[[#This Row],[Nazwisko]])</f>
        <v>Zofia Broukin</v>
      </c>
      <c r="H519" s="4" t="s">
        <v>734</v>
      </c>
      <c r="I519" s="2">
        <v>41</v>
      </c>
    </row>
    <row r="520" spans="1:9" x14ac:dyDescent="0.25">
      <c r="A520" s="1">
        <v>42808</v>
      </c>
      <c r="B520" s="2" t="s">
        <v>41</v>
      </c>
      <c r="C520" s="2" t="s">
        <v>42</v>
      </c>
      <c r="D520">
        <v>10</v>
      </c>
      <c r="E520" t="str">
        <f>_xlfn.CONCAT(makulatura4[[#This Row],[Imie]]," ",makulatura4[[#This Row],[Nazwisko]])</f>
        <v>Marta Opolska</v>
      </c>
      <c r="H520" s="4" t="s">
        <v>981</v>
      </c>
      <c r="I520" s="2">
        <v>41</v>
      </c>
    </row>
    <row r="521" spans="1:9" x14ac:dyDescent="0.25">
      <c r="A521" s="1">
        <v>42808</v>
      </c>
      <c r="B521" s="2" t="s">
        <v>87</v>
      </c>
      <c r="C521" s="2" t="s">
        <v>124</v>
      </c>
      <c r="D521">
        <v>42</v>
      </c>
      <c r="E521" t="str">
        <f>_xlfn.CONCAT(makulatura4[[#This Row],[Imie]]," ",makulatura4[[#This Row],[Nazwisko]])</f>
        <v>Ewa Tysz</v>
      </c>
      <c r="H521" s="4" t="s">
        <v>736</v>
      </c>
      <c r="I521" s="2">
        <v>41</v>
      </c>
    </row>
    <row r="522" spans="1:9" x14ac:dyDescent="0.25">
      <c r="A522" s="1">
        <v>42808</v>
      </c>
      <c r="B522" s="2" t="s">
        <v>178</v>
      </c>
      <c r="C522" s="2" t="s">
        <v>335</v>
      </c>
      <c r="D522">
        <v>10</v>
      </c>
      <c r="E522" t="str">
        <f>_xlfn.CONCAT(makulatura4[[#This Row],[Imie]]," ",makulatura4[[#This Row],[Nazwisko]])</f>
        <v>Malgorzata Winiarska</v>
      </c>
      <c r="H522" s="4" t="s">
        <v>1065</v>
      </c>
      <c r="I522" s="2">
        <v>40</v>
      </c>
    </row>
    <row r="523" spans="1:9" x14ac:dyDescent="0.25">
      <c r="A523" s="1">
        <v>42808</v>
      </c>
      <c r="B523" s="2" t="s">
        <v>51</v>
      </c>
      <c r="C523" s="2" t="s">
        <v>469</v>
      </c>
      <c r="D523">
        <v>4</v>
      </c>
      <c r="E523" t="str">
        <f>_xlfn.CONCAT(makulatura4[[#This Row],[Imie]]," ",makulatura4[[#This Row],[Nazwisko]])</f>
        <v>Barbara Karcz</v>
      </c>
      <c r="H523" s="4" t="s">
        <v>1013</v>
      </c>
      <c r="I523" s="2">
        <v>40</v>
      </c>
    </row>
    <row r="524" spans="1:9" x14ac:dyDescent="0.25">
      <c r="A524" s="1">
        <v>42808</v>
      </c>
      <c r="B524" s="2" t="s">
        <v>442</v>
      </c>
      <c r="C524" s="2" t="s">
        <v>443</v>
      </c>
      <c r="D524">
        <v>17</v>
      </c>
      <c r="E524" t="str">
        <f>_xlfn.CONCAT(makulatura4[[#This Row],[Imie]]," ",makulatura4[[#This Row],[Nazwisko]])</f>
        <v>Nikodem Jama</v>
      </c>
      <c r="H524" s="4" t="s">
        <v>1095</v>
      </c>
      <c r="I524" s="2">
        <v>39</v>
      </c>
    </row>
    <row r="525" spans="1:9" x14ac:dyDescent="0.25">
      <c r="A525" s="1">
        <v>42808</v>
      </c>
      <c r="B525" s="2" t="s">
        <v>121</v>
      </c>
      <c r="C525" s="2" t="s">
        <v>122</v>
      </c>
      <c r="D525">
        <v>29</v>
      </c>
      <c r="E525" t="str">
        <f>_xlfn.CONCAT(makulatura4[[#This Row],[Imie]]," ",makulatura4[[#This Row],[Nazwisko]])</f>
        <v>Justyna Pozarzycka</v>
      </c>
      <c r="H525" s="4" t="s">
        <v>1198</v>
      </c>
      <c r="I525" s="2">
        <v>39</v>
      </c>
    </row>
    <row r="526" spans="1:9" x14ac:dyDescent="0.25">
      <c r="A526" s="1">
        <v>42808</v>
      </c>
      <c r="B526" s="2" t="s">
        <v>83</v>
      </c>
      <c r="C526" s="2" t="s">
        <v>470</v>
      </c>
      <c r="D526">
        <v>6</v>
      </c>
      <c r="E526" t="str">
        <f>_xlfn.CONCAT(makulatura4[[#This Row],[Imie]]," ",makulatura4[[#This Row],[Nazwisko]])</f>
        <v>Jan Marasek</v>
      </c>
      <c r="H526" s="4" t="s">
        <v>1192</v>
      </c>
      <c r="I526" s="2">
        <v>39</v>
      </c>
    </row>
    <row r="527" spans="1:9" x14ac:dyDescent="0.25">
      <c r="A527" s="1">
        <v>42808</v>
      </c>
      <c r="B527" s="2" t="s">
        <v>8</v>
      </c>
      <c r="C527" s="2" t="s">
        <v>9</v>
      </c>
      <c r="D527">
        <v>12</v>
      </c>
      <c r="E527" t="str">
        <f>_xlfn.CONCAT(makulatura4[[#This Row],[Imie]]," ",makulatura4[[#This Row],[Nazwisko]])</f>
        <v>Agata Kwiatkowska</v>
      </c>
      <c r="H527" s="4" t="s">
        <v>1248</v>
      </c>
      <c r="I527" s="2">
        <v>39</v>
      </c>
    </row>
    <row r="528" spans="1:9" x14ac:dyDescent="0.25">
      <c r="A528" s="1">
        <v>42808</v>
      </c>
      <c r="B528" s="2" t="s">
        <v>193</v>
      </c>
      <c r="C528" s="2" t="s">
        <v>406</v>
      </c>
      <c r="D528">
        <v>14</v>
      </c>
      <c r="E528" t="str">
        <f>_xlfn.CONCAT(makulatura4[[#This Row],[Imie]]," ",makulatura4[[#This Row],[Nazwisko]])</f>
        <v>Karolina Mikos</v>
      </c>
      <c r="H528" s="4" t="s">
        <v>1148</v>
      </c>
      <c r="I528" s="2">
        <v>39</v>
      </c>
    </row>
    <row r="529" spans="1:9" x14ac:dyDescent="0.25">
      <c r="A529" s="1">
        <v>42809</v>
      </c>
      <c r="B529" s="2" t="s">
        <v>47</v>
      </c>
      <c r="C529" s="2" t="s">
        <v>471</v>
      </c>
      <c r="D529">
        <v>28</v>
      </c>
      <c r="E529" t="str">
        <f>_xlfn.CONCAT(makulatura4[[#This Row],[Imie]]," ",makulatura4[[#This Row],[Nazwisko]])</f>
        <v>Marek Chorzowski</v>
      </c>
      <c r="H529" s="4" t="s">
        <v>980</v>
      </c>
      <c r="I529" s="2">
        <v>39</v>
      </c>
    </row>
    <row r="530" spans="1:9" x14ac:dyDescent="0.25">
      <c r="A530" s="1">
        <v>42809</v>
      </c>
      <c r="B530" s="2" t="s">
        <v>131</v>
      </c>
      <c r="C530" s="2" t="s">
        <v>472</v>
      </c>
      <c r="D530">
        <v>19</v>
      </c>
      <c r="E530" t="str">
        <f>_xlfn.CONCAT(makulatura4[[#This Row],[Imie]]," ",makulatura4[[#This Row],[Nazwisko]])</f>
        <v>Ewelina Goslawska</v>
      </c>
      <c r="H530" s="4" t="s">
        <v>935</v>
      </c>
      <c r="I530" s="2">
        <v>39</v>
      </c>
    </row>
    <row r="531" spans="1:9" x14ac:dyDescent="0.25">
      <c r="A531" s="1">
        <v>42809</v>
      </c>
      <c r="B531" s="2" t="s">
        <v>87</v>
      </c>
      <c r="C531" s="2" t="s">
        <v>135</v>
      </c>
      <c r="D531">
        <v>30</v>
      </c>
      <c r="E531" t="str">
        <f>_xlfn.CONCAT(makulatura4[[#This Row],[Imie]]," ",makulatura4[[#This Row],[Nazwisko]])</f>
        <v>Ewa Augustowska</v>
      </c>
      <c r="H531" s="4" t="s">
        <v>709</v>
      </c>
      <c r="I531" s="2">
        <v>39</v>
      </c>
    </row>
    <row r="532" spans="1:9" x14ac:dyDescent="0.25">
      <c r="A532" s="1">
        <v>42809</v>
      </c>
      <c r="B532" s="2" t="s">
        <v>137</v>
      </c>
      <c r="C532" s="2" t="s">
        <v>473</v>
      </c>
      <c r="D532">
        <v>54</v>
      </c>
      <c r="E532" t="str">
        <f>_xlfn.CONCAT(makulatura4[[#This Row],[Imie]]," ",makulatura4[[#This Row],[Nazwisko]])</f>
        <v>Stanislaw Janiec</v>
      </c>
      <c r="H532" s="4" t="s">
        <v>857</v>
      </c>
      <c r="I532" s="2">
        <v>39</v>
      </c>
    </row>
    <row r="533" spans="1:9" x14ac:dyDescent="0.25">
      <c r="A533" s="1">
        <v>42809</v>
      </c>
      <c r="B533" s="2" t="s">
        <v>131</v>
      </c>
      <c r="C533" s="2" t="s">
        <v>132</v>
      </c>
      <c r="D533">
        <v>21</v>
      </c>
      <c r="E533" t="str">
        <f>_xlfn.CONCAT(makulatura4[[#This Row],[Imie]]," ",makulatura4[[#This Row],[Nazwisko]])</f>
        <v>Ewelina Gorecka</v>
      </c>
      <c r="H533" s="4" t="s">
        <v>984</v>
      </c>
      <c r="I533" s="2">
        <v>37</v>
      </c>
    </row>
    <row r="534" spans="1:9" x14ac:dyDescent="0.25">
      <c r="A534" s="1">
        <v>42809</v>
      </c>
      <c r="B534" s="2" t="s">
        <v>4</v>
      </c>
      <c r="C534" s="2" t="s">
        <v>386</v>
      </c>
      <c r="D534">
        <v>10</v>
      </c>
      <c r="E534" t="str">
        <f>_xlfn.CONCAT(makulatura4[[#This Row],[Imie]]," ",makulatura4[[#This Row],[Nazwisko]])</f>
        <v>Agnieszka Kaminska</v>
      </c>
      <c r="H534" s="4" t="s">
        <v>1213</v>
      </c>
      <c r="I534" s="2">
        <v>36</v>
      </c>
    </row>
    <row r="535" spans="1:9" x14ac:dyDescent="0.25">
      <c r="A535" s="1">
        <v>42809</v>
      </c>
      <c r="B535" s="2" t="s">
        <v>97</v>
      </c>
      <c r="C535" s="2" t="s">
        <v>464</v>
      </c>
      <c r="D535">
        <v>25</v>
      </c>
      <c r="E535" t="str">
        <f>_xlfn.CONCAT(makulatura4[[#This Row],[Imie]]," ",makulatura4[[#This Row],[Nazwisko]])</f>
        <v>Mateusz Mrowczynski</v>
      </c>
      <c r="H535" s="4" t="s">
        <v>749</v>
      </c>
      <c r="I535" s="2">
        <v>36</v>
      </c>
    </row>
    <row r="536" spans="1:9" x14ac:dyDescent="0.25">
      <c r="A536" s="1">
        <v>42809</v>
      </c>
      <c r="B536" s="2" t="s">
        <v>36</v>
      </c>
      <c r="C536" s="2" t="s">
        <v>295</v>
      </c>
      <c r="D536">
        <v>5</v>
      </c>
      <c r="E536" t="str">
        <f>_xlfn.CONCAT(makulatura4[[#This Row],[Imie]]," ",makulatura4[[#This Row],[Nazwisko]])</f>
        <v>Piotr Kania</v>
      </c>
      <c r="H536" s="4" t="s">
        <v>1130</v>
      </c>
      <c r="I536" s="2">
        <v>35</v>
      </c>
    </row>
    <row r="537" spans="1:9" x14ac:dyDescent="0.25">
      <c r="A537" s="1">
        <v>42809</v>
      </c>
      <c r="B537" s="2" t="s">
        <v>30</v>
      </c>
      <c r="C537" s="2" t="s">
        <v>109</v>
      </c>
      <c r="D537">
        <v>12</v>
      </c>
      <c r="E537" t="str">
        <f>_xlfn.CONCAT(makulatura4[[#This Row],[Imie]]," ",makulatura4[[#This Row],[Nazwisko]])</f>
        <v>Maciej Siemiatkowski</v>
      </c>
      <c r="H537" s="4" t="s">
        <v>1268</v>
      </c>
      <c r="I537" s="2">
        <v>35</v>
      </c>
    </row>
    <row r="538" spans="1:9" x14ac:dyDescent="0.25">
      <c r="A538" s="1">
        <v>42810</v>
      </c>
      <c r="B538" s="2" t="s">
        <v>150</v>
      </c>
      <c r="C538" s="2" t="s">
        <v>313</v>
      </c>
      <c r="D538">
        <v>24</v>
      </c>
      <c r="E538" t="str">
        <f>_xlfn.CONCAT(makulatura4[[#This Row],[Imie]]," ",makulatura4[[#This Row],[Nazwisko]])</f>
        <v>Krzysztof Dwa</v>
      </c>
      <c r="H538" s="4" t="s">
        <v>761</v>
      </c>
      <c r="I538" s="2">
        <v>35</v>
      </c>
    </row>
    <row r="539" spans="1:9" x14ac:dyDescent="0.25">
      <c r="A539" s="1">
        <v>42810</v>
      </c>
      <c r="B539" s="2" t="s">
        <v>106</v>
      </c>
      <c r="C539" s="2" t="s">
        <v>240</v>
      </c>
      <c r="D539">
        <v>11</v>
      </c>
      <c r="E539" t="str">
        <f>_xlfn.CONCAT(makulatura4[[#This Row],[Imie]]," ",makulatura4[[#This Row],[Nazwisko]])</f>
        <v>Lena Miszkin</v>
      </c>
      <c r="H539" s="4" t="s">
        <v>1108</v>
      </c>
      <c r="I539" s="2">
        <v>34</v>
      </c>
    </row>
    <row r="540" spans="1:9" x14ac:dyDescent="0.25">
      <c r="A540" s="1">
        <v>42810</v>
      </c>
      <c r="B540" s="2" t="s">
        <v>36</v>
      </c>
      <c r="C540" s="2" t="s">
        <v>474</v>
      </c>
      <c r="D540">
        <v>37</v>
      </c>
      <c r="E540" t="str">
        <f>_xlfn.CONCAT(makulatura4[[#This Row],[Imie]]," ",makulatura4[[#This Row],[Nazwisko]])</f>
        <v>Piotr Duszota</v>
      </c>
      <c r="H540" s="4" t="s">
        <v>1134</v>
      </c>
      <c r="I540" s="2">
        <v>34</v>
      </c>
    </row>
    <row r="541" spans="1:9" x14ac:dyDescent="0.25">
      <c r="A541" s="1">
        <v>42810</v>
      </c>
      <c r="B541" s="2" t="s">
        <v>178</v>
      </c>
      <c r="C541" s="2" t="s">
        <v>333</v>
      </c>
      <c r="D541">
        <v>26</v>
      </c>
      <c r="E541" t="str">
        <f>_xlfn.CONCAT(makulatura4[[#This Row],[Imie]]," ",makulatura4[[#This Row],[Nazwisko]])</f>
        <v>Malgorzata Malec</v>
      </c>
      <c r="H541" s="4" t="s">
        <v>1299</v>
      </c>
      <c r="I541" s="2">
        <v>34</v>
      </c>
    </row>
    <row r="542" spans="1:9" x14ac:dyDescent="0.25">
      <c r="A542" s="1">
        <v>42810</v>
      </c>
      <c r="B542" s="2" t="s">
        <v>208</v>
      </c>
      <c r="C542" s="2" t="s">
        <v>475</v>
      </c>
      <c r="D542">
        <v>3</v>
      </c>
      <c r="E542" t="str">
        <f>_xlfn.CONCAT(makulatura4[[#This Row],[Imie]]," ",makulatura4[[#This Row],[Nazwisko]])</f>
        <v>Grzegorz Wojtowicz</v>
      </c>
      <c r="H542" s="4" t="s">
        <v>977</v>
      </c>
      <c r="I542" s="2">
        <v>34</v>
      </c>
    </row>
    <row r="543" spans="1:9" x14ac:dyDescent="0.25">
      <c r="A543" s="1">
        <v>42810</v>
      </c>
      <c r="B543" s="2" t="s">
        <v>476</v>
      </c>
      <c r="C543" s="2" t="s">
        <v>477</v>
      </c>
      <c r="D543">
        <v>52</v>
      </c>
      <c r="E543" t="str">
        <f>_xlfn.CONCAT(makulatura4[[#This Row],[Imie]]," ",makulatura4[[#This Row],[Nazwisko]])</f>
        <v>Iwona Lato</v>
      </c>
      <c r="H543" s="4" t="s">
        <v>953</v>
      </c>
      <c r="I543" s="2">
        <v>34</v>
      </c>
    </row>
    <row r="544" spans="1:9" x14ac:dyDescent="0.25">
      <c r="A544" s="1">
        <v>42810</v>
      </c>
      <c r="B544" s="2" t="s">
        <v>10</v>
      </c>
      <c r="C544" s="2" t="s">
        <v>266</v>
      </c>
      <c r="D544">
        <v>24</v>
      </c>
      <c r="E544" t="str">
        <f>_xlfn.CONCAT(makulatura4[[#This Row],[Imie]]," ",makulatura4[[#This Row],[Nazwisko]])</f>
        <v>Katarzyna Wip</v>
      </c>
      <c r="H544" s="4" t="s">
        <v>893</v>
      </c>
      <c r="I544" s="2">
        <v>34</v>
      </c>
    </row>
    <row r="545" spans="1:9" x14ac:dyDescent="0.25">
      <c r="A545" s="1">
        <v>42810</v>
      </c>
      <c r="B545" s="2" t="s">
        <v>12</v>
      </c>
      <c r="C545" s="2" t="s">
        <v>386</v>
      </c>
      <c r="D545">
        <v>43</v>
      </c>
      <c r="E545" t="str">
        <f>_xlfn.CONCAT(makulatura4[[#This Row],[Imie]]," ",makulatura4[[#This Row],[Nazwisko]])</f>
        <v>Maja Kaminska</v>
      </c>
      <c r="H545" s="4" t="s">
        <v>1084</v>
      </c>
      <c r="I545" s="2">
        <v>33</v>
      </c>
    </row>
    <row r="546" spans="1:9" x14ac:dyDescent="0.25">
      <c r="A546" s="1">
        <v>42810</v>
      </c>
      <c r="B546" s="2" t="s">
        <v>128</v>
      </c>
      <c r="C546" s="2" t="s">
        <v>478</v>
      </c>
      <c r="D546">
        <v>54</v>
      </c>
      <c r="E546" t="str">
        <f>_xlfn.CONCAT(makulatura4[[#This Row],[Imie]]," ",makulatura4[[#This Row],[Nazwisko]])</f>
        <v>Wojciech Gocyla</v>
      </c>
      <c r="H546" s="4" t="s">
        <v>787</v>
      </c>
      <c r="I546" s="2">
        <v>33</v>
      </c>
    </row>
    <row r="547" spans="1:9" x14ac:dyDescent="0.25">
      <c r="A547" s="1">
        <v>42810</v>
      </c>
      <c r="B547" s="2" t="s">
        <v>119</v>
      </c>
      <c r="C547" s="2" t="s">
        <v>120</v>
      </c>
      <c r="D547">
        <v>42</v>
      </c>
      <c r="E547" t="str">
        <f>_xlfn.CONCAT(makulatura4[[#This Row],[Imie]]," ",makulatura4[[#This Row],[Nazwisko]])</f>
        <v>Kamil Naderka</v>
      </c>
      <c r="H547" s="4" t="s">
        <v>1166</v>
      </c>
      <c r="I547" s="2">
        <v>32</v>
      </c>
    </row>
    <row r="548" spans="1:9" x14ac:dyDescent="0.25">
      <c r="A548" s="1">
        <v>42811</v>
      </c>
      <c r="B548" s="2" t="s">
        <v>479</v>
      </c>
      <c r="C548" s="2" t="s">
        <v>480</v>
      </c>
      <c r="D548">
        <v>10</v>
      </c>
      <c r="E548" t="str">
        <f>_xlfn.CONCAT(makulatura4[[#This Row],[Imie]]," ",makulatura4[[#This Row],[Nazwisko]])</f>
        <v>Eugenia Pieta</v>
      </c>
      <c r="H548" s="4" t="s">
        <v>1016</v>
      </c>
      <c r="I548" s="2">
        <v>32</v>
      </c>
    </row>
    <row r="549" spans="1:9" x14ac:dyDescent="0.25">
      <c r="A549" s="1">
        <v>42811</v>
      </c>
      <c r="B549" s="2" t="s">
        <v>232</v>
      </c>
      <c r="C549" s="2" t="s">
        <v>405</v>
      </c>
      <c r="D549">
        <v>40</v>
      </c>
      <c r="E549" t="str">
        <f>_xlfn.CONCAT(makulatura4[[#This Row],[Imie]]," ",makulatura4[[#This Row],[Nazwisko]])</f>
        <v>Monika Nowaczkiewicz</v>
      </c>
      <c r="H549" s="4" t="s">
        <v>1240</v>
      </c>
      <c r="I549" s="2">
        <v>32</v>
      </c>
    </row>
    <row r="550" spans="1:9" x14ac:dyDescent="0.25">
      <c r="A550" s="1">
        <v>42811</v>
      </c>
      <c r="B550" s="2" t="s">
        <v>34</v>
      </c>
      <c r="C550" s="2" t="s">
        <v>481</v>
      </c>
      <c r="D550">
        <v>16</v>
      </c>
      <c r="E550" t="str">
        <f>_xlfn.CONCAT(makulatura4[[#This Row],[Imie]]," ",makulatura4[[#This Row],[Nazwisko]])</f>
        <v>Julia Saska</v>
      </c>
      <c r="H550" s="4" t="s">
        <v>950</v>
      </c>
      <c r="I550" s="2">
        <v>32</v>
      </c>
    </row>
    <row r="551" spans="1:9" x14ac:dyDescent="0.25">
      <c r="A551" s="1">
        <v>42811</v>
      </c>
      <c r="B551" s="2" t="s">
        <v>299</v>
      </c>
      <c r="C551" s="2" t="s">
        <v>482</v>
      </c>
      <c r="D551">
        <v>27</v>
      </c>
      <c r="E551" t="str">
        <f>_xlfn.CONCAT(makulatura4[[#This Row],[Imie]]," ",makulatura4[[#This Row],[Nazwisko]])</f>
        <v>Zbigniew Maciag</v>
      </c>
      <c r="H551" s="4" t="s">
        <v>806</v>
      </c>
      <c r="I551" s="2">
        <v>31</v>
      </c>
    </row>
    <row r="552" spans="1:9" x14ac:dyDescent="0.25">
      <c r="A552" s="1">
        <v>42811</v>
      </c>
      <c r="B552" s="2" t="s">
        <v>8</v>
      </c>
      <c r="C552" s="2" t="s">
        <v>9</v>
      </c>
      <c r="D552">
        <v>14</v>
      </c>
      <c r="E552" t="str">
        <f>_xlfn.CONCAT(makulatura4[[#This Row],[Imie]]," ",makulatura4[[#This Row],[Nazwisko]])</f>
        <v>Agata Kwiatkowska</v>
      </c>
      <c r="H552" s="4" t="s">
        <v>880</v>
      </c>
      <c r="I552" s="2">
        <v>31</v>
      </c>
    </row>
    <row r="553" spans="1:9" x14ac:dyDescent="0.25">
      <c r="A553" s="1">
        <v>42811</v>
      </c>
      <c r="B553" s="2" t="s">
        <v>131</v>
      </c>
      <c r="C553" s="2" t="s">
        <v>132</v>
      </c>
      <c r="D553">
        <v>5</v>
      </c>
      <c r="E553" t="str">
        <f>_xlfn.CONCAT(makulatura4[[#This Row],[Imie]]," ",makulatura4[[#This Row],[Nazwisko]])</f>
        <v>Ewelina Gorecka</v>
      </c>
      <c r="H553" s="4" t="s">
        <v>859</v>
      </c>
      <c r="I553" s="2">
        <v>31</v>
      </c>
    </row>
    <row r="554" spans="1:9" x14ac:dyDescent="0.25">
      <c r="A554" s="1">
        <v>42811</v>
      </c>
      <c r="B554" s="2" t="s">
        <v>101</v>
      </c>
      <c r="C554" s="2" t="s">
        <v>263</v>
      </c>
      <c r="D554">
        <v>23</v>
      </c>
      <c r="E554" t="str">
        <f>_xlfn.CONCAT(makulatura4[[#This Row],[Imie]]," ",makulatura4[[#This Row],[Nazwisko]])</f>
        <v>Maria Gatek</v>
      </c>
      <c r="H554" s="4" t="s">
        <v>860</v>
      </c>
      <c r="I554" s="2">
        <v>30</v>
      </c>
    </row>
    <row r="555" spans="1:9" x14ac:dyDescent="0.25">
      <c r="A555" s="1">
        <v>42811</v>
      </c>
      <c r="B555" s="2" t="s">
        <v>67</v>
      </c>
      <c r="C555" s="2" t="s">
        <v>460</v>
      </c>
      <c r="D555">
        <v>17</v>
      </c>
      <c r="E555" t="str">
        <f>_xlfn.CONCAT(makulatura4[[#This Row],[Imie]]," ",makulatura4[[#This Row],[Nazwisko]])</f>
        <v>Bartosz Mazgaj</v>
      </c>
      <c r="H555" s="4" t="s">
        <v>844</v>
      </c>
      <c r="I555" s="2">
        <v>30</v>
      </c>
    </row>
    <row r="556" spans="1:9" x14ac:dyDescent="0.25">
      <c r="A556" s="1">
        <v>42811</v>
      </c>
      <c r="B556" s="2" t="s">
        <v>193</v>
      </c>
      <c r="C556" s="2" t="s">
        <v>483</v>
      </c>
      <c r="D556">
        <v>54</v>
      </c>
      <c r="E556" t="str">
        <f>_xlfn.CONCAT(makulatura4[[#This Row],[Imie]]," ",makulatura4[[#This Row],[Nazwisko]])</f>
        <v>Karolina Pawelska</v>
      </c>
      <c r="H556" s="4" t="s">
        <v>1023</v>
      </c>
      <c r="I556" s="2">
        <v>29</v>
      </c>
    </row>
    <row r="557" spans="1:9" x14ac:dyDescent="0.25">
      <c r="A557" s="1">
        <v>42811</v>
      </c>
      <c r="B557" s="2" t="s">
        <v>484</v>
      </c>
      <c r="C557" s="2" t="s">
        <v>485</v>
      </c>
      <c r="D557">
        <v>24</v>
      </c>
      <c r="E557" t="str">
        <f>_xlfn.CONCAT(makulatura4[[#This Row],[Imie]]," ",makulatura4[[#This Row],[Nazwisko]])</f>
        <v>Roman Grodecki</v>
      </c>
      <c r="H557" s="4" t="s">
        <v>848</v>
      </c>
      <c r="I557" s="2">
        <v>29</v>
      </c>
    </row>
    <row r="558" spans="1:9" x14ac:dyDescent="0.25">
      <c r="A558" s="1">
        <v>42814</v>
      </c>
      <c r="B558" s="2" t="s">
        <v>176</v>
      </c>
      <c r="C558" s="2" t="s">
        <v>486</v>
      </c>
      <c r="D558">
        <v>19</v>
      </c>
      <c r="E558" t="str">
        <f>_xlfn.CONCAT(makulatura4[[#This Row],[Imie]]," ",makulatura4[[#This Row],[Nazwisko]])</f>
        <v>Kinga Trawinska</v>
      </c>
      <c r="H558" s="4" t="s">
        <v>1297</v>
      </c>
      <c r="I558" s="2">
        <v>28</v>
      </c>
    </row>
    <row r="559" spans="1:9" x14ac:dyDescent="0.25">
      <c r="A559" s="1">
        <v>42814</v>
      </c>
      <c r="B559" s="2" t="s">
        <v>232</v>
      </c>
      <c r="C559" s="2" t="s">
        <v>487</v>
      </c>
      <c r="D559">
        <v>17</v>
      </c>
      <c r="E559" t="str">
        <f>_xlfn.CONCAT(makulatura4[[#This Row],[Imie]]," ",makulatura4[[#This Row],[Nazwisko]])</f>
        <v>Monika Lis</v>
      </c>
      <c r="H559" s="4" t="s">
        <v>814</v>
      </c>
      <c r="I559" s="2">
        <v>28</v>
      </c>
    </row>
    <row r="560" spans="1:9" x14ac:dyDescent="0.25">
      <c r="A560" s="1">
        <v>42814</v>
      </c>
      <c r="B560" s="2" t="s">
        <v>81</v>
      </c>
      <c r="C560" s="2" t="s">
        <v>488</v>
      </c>
      <c r="D560">
        <v>20</v>
      </c>
      <c r="E560" t="str">
        <f>_xlfn.CONCAT(makulatura4[[#This Row],[Imie]]," ",makulatura4[[#This Row],[Nazwisko]])</f>
        <v>Karol Pawleczek</v>
      </c>
      <c r="H560" s="4" t="s">
        <v>1056</v>
      </c>
      <c r="I560" s="2">
        <v>26</v>
      </c>
    </row>
    <row r="561" spans="1:9" x14ac:dyDescent="0.25">
      <c r="A561" s="1">
        <v>42814</v>
      </c>
      <c r="B561" s="2" t="s">
        <v>193</v>
      </c>
      <c r="C561" s="2" t="s">
        <v>194</v>
      </c>
      <c r="D561">
        <v>42</v>
      </c>
      <c r="E561" t="str">
        <f>_xlfn.CONCAT(makulatura4[[#This Row],[Imie]]," ",makulatura4[[#This Row],[Nazwisko]])</f>
        <v>Karolina Welc</v>
      </c>
      <c r="H561" s="4" t="s">
        <v>1075</v>
      </c>
      <c r="I561" s="2">
        <v>26</v>
      </c>
    </row>
    <row r="562" spans="1:9" x14ac:dyDescent="0.25">
      <c r="A562" s="1">
        <v>42814</v>
      </c>
      <c r="B562" s="2" t="s">
        <v>36</v>
      </c>
      <c r="C562" s="2" t="s">
        <v>37</v>
      </c>
      <c r="D562">
        <v>14</v>
      </c>
      <c r="E562" t="str">
        <f>_xlfn.CONCAT(makulatura4[[#This Row],[Imie]]," ",makulatura4[[#This Row],[Nazwisko]])</f>
        <v>Piotr Bialaszewski</v>
      </c>
      <c r="H562" s="4" t="s">
        <v>1190</v>
      </c>
      <c r="I562" s="2">
        <v>26</v>
      </c>
    </row>
    <row r="563" spans="1:9" x14ac:dyDescent="0.25">
      <c r="A563" s="1">
        <v>42814</v>
      </c>
      <c r="B563" s="2" t="s">
        <v>4</v>
      </c>
      <c r="C563" s="2" t="s">
        <v>489</v>
      </c>
      <c r="D563">
        <v>10</v>
      </c>
      <c r="E563" t="str">
        <f>_xlfn.CONCAT(makulatura4[[#This Row],[Imie]]," ",makulatura4[[#This Row],[Nazwisko]])</f>
        <v>Agnieszka Bujak</v>
      </c>
      <c r="H563" s="4" t="s">
        <v>1068</v>
      </c>
      <c r="I563" s="2">
        <v>26</v>
      </c>
    </row>
    <row r="564" spans="1:9" x14ac:dyDescent="0.25">
      <c r="A564" s="1">
        <v>42814</v>
      </c>
      <c r="B564" s="2" t="s">
        <v>36</v>
      </c>
      <c r="C564" s="2" t="s">
        <v>490</v>
      </c>
      <c r="D564">
        <v>24</v>
      </c>
      <c r="E564" t="str">
        <f>_xlfn.CONCAT(makulatura4[[#This Row],[Imie]]," ",makulatura4[[#This Row],[Nazwisko]])</f>
        <v>Piotr Mozart</v>
      </c>
      <c r="H564" s="4" t="s">
        <v>1048</v>
      </c>
      <c r="I564" s="2">
        <v>25</v>
      </c>
    </row>
    <row r="565" spans="1:9" x14ac:dyDescent="0.25">
      <c r="A565" s="1">
        <v>42814</v>
      </c>
      <c r="B565" s="2" t="s">
        <v>97</v>
      </c>
      <c r="C565" s="2" t="s">
        <v>309</v>
      </c>
      <c r="D565">
        <v>10</v>
      </c>
      <c r="E565" t="str">
        <f>_xlfn.CONCAT(makulatura4[[#This Row],[Imie]]," ",makulatura4[[#This Row],[Nazwisko]])</f>
        <v>Mateusz Filipowicz</v>
      </c>
      <c r="H565" s="4" t="s">
        <v>1099</v>
      </c>
      <c r="I565" s="2">
        <v>25</v>
      </c>
    </row>
    <row r="566" spans="1:9" x14ac:dyDescent="0.25">
      <c r="A566" s="1">
        <v>42814</v>
      </c>
      <c r="B566" s="2" t="s">
        <v>314</v>
      </c>
      <c r="C566" s="2" t="s">
        <v>315</v>
      </c>
      <c r="D566">
        <v>17</v>
      </c>
      <c r="E566" t="str">
        <f>_xlfn.CONCAT(makulatura4[[#This Row],[Imie]]," ",makulatura4[[#This Row],[Nazwisko]])</f>
        <v>Lukasz Kopecki</v>
      </c>
      <c r="H566" s="4" t="s">
        <v>833</v>
      </c>
      <c r="I566" s="2">
        <v>25</v>
      </c>
    </row>
    <row r="567" spans="1:9" x14ac:dyDescent="0.25">
      <c r="A567" s="1">
        <v>42814</v>
      </c>
      <c r="B567" s="2" t="s">
        <v>8</v>
      </c>
      <c r="C567" s="2" t="s">
        <v>491</v>
      </c>
      <c r="D567">
        <v>4</v>
      </c>
      <c r="E567" t="str">
        <f>_xlfn.CONCAT(makulatura4[[#This Row],[Imie]]," ",makulatura4[[#This Row],[Nazwisko]])</f>
        <v>Agata Zgoda</v>
      </c>
      <c r="H567" s="4" t="s">
        <v>1026</v>
      </c>
      <c r="I567" s="2">
        <v>24</v>
      </c>
    </row>
    <row r="568" spans="1:9" x14ac:dyDescent="0.25">
      <c r="A568" s="1">
        <v>42815</v>
      </c>
      <c r="B568" s="2" t="s">
        <v>55</v>
      </c>
      <c r="C568" s="2" t="s">
        <v>492</v>
      </c>
      <c r="D568">
        <v>30</v>
      </c>
      <c r="E568" t="str">
        <f>_xlfn.CONCAT(makulatura4[[#This Row],[Imie]]," ",makulatura4[[#This Row],[Nazwisko]])</f>
        <v>Anna Dab</v>
      </c>
      <c r="H568" s="4" t="s">
        <v>1262</v>
      </c>
      <c r="I568" s="2">
        <v>24</v>
      </c>
    </row>
    <row r="569" spans="1:9" x14ac:dyDescent="0.25">
      <c r="A569" s="1">
        <v>42815</v>
      </c>
      <c r="B569" s="2" t="s">
        <v>374</v>
      </c>
      <c r="C569" s="2" t="s">
        <v>375</v>
      </c>
      <c r="D569">
        <v>13</v>
      </c>
      <c r="E569" t="str">
        <f>_xlfn.CONCAT(makulatura4[[#This Row],[Imie]]," ",makulatura4[[#This Row],[Nazwisko]])</f>
        <v>Bruno Tomaszewski</v>
      </c>
      <c r="H569" s="4" t="s">
        <v>933</v>
      </c>
      <c r="I569" s="2">
        <v>24</v>
      </c>
    </row>
    <row r="570" spans="1:9" x14ac:dyDescent="0.25">
      <c r="A570" s="1">
        <v>42815</v>
      </c>
      <c r="B570" s="2" t="s">
        <v>206</v>
      </c>
      <c r="C570" s="2" t="s">
        <v>332</v>
      </c>
      <c r="D570">
        <v>8</v>
      </c>
      <c r="E570" t="str">
        <f>_xlfn.CONCAT(makulatura4[[#This Row],[Imie]]," ",makulatura4[[#This Row],[Nazwisko]])</f>
        <v>Pawel Furmaniak</v>
      </c>
      <c r="H570" s="4" t="s">
        <v>1007</v>
      </c>
      <c r="I570" s="2">
        <v>23</v>
      </c>
    </row>
    <row r="571" spans="1:9" x14ac:dyDescent="0.25">
      <c r="A571" s="1">
        <v>42815</v>
      </c>
      <c r="B571" s="2" t="s">
        <v>55</v>
      </c>
      <c r="C571" s="2" t="s">
        <v>493</v>
      </c>
      <c r="D571">
        <v>21</v>
      </c>
      <c r="E571" t="str">
        <f>_xlfn.CONCAT(makulatura4[[#This Row],[Imie]]," ",makulatura4[[#This Row],[Nazwisko]])</f>
        <v>Anna Wnuk</v>
      </c>
      <c r="H571" s="4" t="s">
        <v>1035</v>
      </c>
      <c r="I571" s="2">
        <v>22</v>
      </c>
    </row>
    <row r="572" spans="1:9" x14ac:dyDescent="0.25">
      <c r="A572" s="1">
        <v>42815</v>
      </c>
      <c r="B572" s="2" t="s">
        <v>494</v>
      </c>
      <c r="C572" s="2" t="s">
        <v>495</v>
      </c>
      <c r="D572">
        <v>7</v>
      </c>
      <c r="E572" t="str">
        <f>_xlfn.CONCAT(makulatura4[[#This Row],[Imie]]," ",makulatura4[[#This Row],[Nazwisko]])</f>
        <v>Radoslaw Sowinska</v>
      </c>
      <c r="H572" s="4" t="s">
        <v>1239</v>
      </c>
      <c r="I572" s="2">
        <v>22</v>
      </c>
    </row>
    <row r="573" spans="1:9" x14ac:dyDescent="0.25">
      <c r="A573" s="1">
        <v>42815</v>
      </c>
      <c r="B573" s="2" t="s">
        <v>97</v>
      </c>
      <c r="C573" s="2" t="s">
        <v>188</v>
      </c>
      <c r="D573">
        <v>13</v>
      </c>
      <c r="E573" t="str">
        <f>_xlfn.CONCAT(makulatura4[[#This Row],[Imie]]," ",makulatura4[[#This Row],[Nazwisko]])</f>
        <v>Mateusz Kowalczyk</v>
      </c>
      <c r="H573" s="4" t="s">
        <v>1187</v>
      </c>
      <c r="I573" s="2">
        <v>21</v>
      </c>
    </row>
    <row r="574" spans="1:9" x14ac:dyDescent="0.25">
      <c r="A574" s="1">
        <v>42815</v>
      </c>
      <c r="B574" s="2" t="s">
        <v>81</v>
      </c>
      <c r="C574" s="2" t="s">
        <v>496</v>
      </c>
      <c r="D574">
        <v>19</v>
      </c>
      <c r="E574" t="str">
        <f>_xlfn.CONCAT(makulatura4[[#This Row],[Imie]]," ",makulatura4[[#This Row],[Nazwisko]])</f>
        <v>Karol Walasz</v>
      </c>
      <c r="H574" s="4" t="s">
        <v>1257</v>
      </c>
      <c r="I574" s="2">
        <v>21</v>
      </c>
    </row>
    <row r="575" spans="1:9" x14ac:dyDescent="0.25">
      <c r="A575" s="1">
        <v>42815</v>
      </c>
      <c r="B575" s="2" t="s">
        <v>128</v>
      </c>
      <c r="C575" s="2" t="s">
        <v>309</v>
      </c>
      <c r="D575">
        <v>47</v>
      </c>
      <c r="E575" t="str">
        <f>_xlfn.CONCAT(makulatura4[[#This Row],[Imie]]," ",makulatura4[[#This Row],[Nazwisko]])</f>
        <v>Wojciech Filipowicz</v>
      </c>
      <c r="H575" s="4" t="s">
        <v>999</v>
      </c>
      <c r="I575" s="2">
        <v>21</v>
      </c>
    </row>
    <row r="576" spans="1:9" x14ac:dyDescent="0.25">
      <c r="A576" s="1">
        <v>42815</v>
      </c>
      <c r="B576" s="2" t="s">
        <v>355</v>
      </c>
      <c r="C576" s="2" t="s">
        <v>356</v>
      </c>
      <c r="D576">
        <v>15</v>
      </c>
      <c r="E576" t="str">
        <f>_xlfn.CONCAT(makulatura4[[#This Row],[Imie]]," ",makulatura4[[#This Row],[Nazwisko]])</f>
        <v>Janina Podlaska</v>
      </c>
      <c r="H576" s="4" t="s">
        <v>877</v>
      </c>
      <c r="I576" s="2">
        <v>21</v>
      </c>
    </row>
    <row r="577" spans="1:9" x14ac:dyDescent="0.25">
      <c r="A577" s="1">
        <v>42815</v>
      </c>
      <c r="B577" s="2" t="s">
        <v>355</v>
      </c>
      <c r="C577" s="2" t="s">
        <v>497</v>
      </c>
      <c r="D577">
        <v>50</v>
      </c>
      <c r="E577" t="str">
        <f>_xlfn.CONCAT(makulatura4[[#This Row],[Imie]]," ",makulatura4[[#This Row],[Nazwisko]])</f>
        <v>Janina Kaczynska</v>
      </c>
      <c r="H577" s="4" t="s">
        <v>1250</v>
      </c>
      <c r="I577" s="2">
        <v>20</v>
      </c>
    </row>
    <row r="578" spans="1:9" x14ac:dyDescent="0.25">
      <c r="A578" s="1">
        <v>42816</v>
      </c>
      <c r="B578" s="2" t="s">
        <v>498</v>
      </c>
      <c r="C578" s="2" t="s">
        <v>110</v>
      </c>
      <c r="D578">
        <v>10</v>
      </c>
      <c r="E578" t="str">
        <f>_xlfn.CONCAT(makulatura4[[#This Row],[Imie]]," ",makulatura4[[#This Row],[Nazwisko]])</f>
        <v>Bogdan Inny</v>
      </c>
      <c r="H578" s="4" t="s">
        <v>1280</v>
      </c>
      <c r="I578" s="2">
        <v>20</v>
      </c>
    </row>
    <row r="579" spans="1:9" x14ac:dyDescent="0.25">
      <c r="A579" s="1">
        <v>42816</v>
      </c>
      <c r="B579" s="2" t="s">
        <v>267</v>
      </c>
      <c r="C579" s="2" t="s">
        <v>268</v>
      </c>
      <c r="D579">
        <v>21</v>
      </c>
      <c r="E579" t="str">
        <f>_xlfn.CONCAT(makulatura4[[#This Row],[Imie]]," ",makulatura4[[#This Row],[Nazwisko]])</f>
        <v>Henryk Polarek</v>
      </c>
      <c r="H579" s="4" t="s">
        <v>783</v>
      </c>
      <c r="I579" s="2">
        <v>20</v>
      </c>
    </row>
    <row r="580" spans="1:9" x14ac:dyDescent="0.25">
      <c r="A580" s="1">
        <v>42816</v>
      </c>
      <c r="B580" s="2" t="s">
        <v>133</v>
      </c>
      <c r="C580" s="2" t="s">
        <v>499</v>
      </c>
      <c r="D580">
        <v>7</v>
      </c>
      <c r="E580" t="str">
        <f>_xlfn.CONCAT(makulatura4[[#This Row],[Imie]]," ",makulatura4[[#This Row],[Nazwisko]])</f>
        <v>Dominika Szwec</v>
      </c>
      <c r="H580" s="4" t="s">
        <v>1208</v>
      </c>
      <c r="I580" s="2">
        <v>19</v>
      </c>
    </row>
    <row r="581" spans="1:9" x14ac:dyDescent="0.25">
      <c r="A581" s="1">
        <v>42816</v>
      </c>
      <c r="B581" s="2" t="s">
        <v>47</v>
      </c>
      <c r="C581" s="2" t="s">
        <v>334</v>
      </c>
      <c r="D581">
        <v>13</v>
      </c>
      <c r="E581" t="str">
        <f>_xlfn.CONCAT(makulatura4[[#This Row],[Imie]]," ",makulatura4[[#This Row],[Nazwisko]])</f>
        <v>Marek Witkowski</v>
      </c>
      <c r="H581" s="4" t="s">
        <v>748</v>
      </c>
      <c r="I581" s="2">
        <v>19</v>
      </c>
    </row>
    <row r="582" spans="1:9" x14ac:dyDescent="0.25">
      <c r="A582" s="1">
        <v>42816</v>
      </c>
      <c r="B582" s="2" t="s">
        <v>18</v>
      </c>
      <c r="C582" s="2" t="s">
        <v>19</v>
      </c>
      <c r="D582">
        <v>27</v>
      </c>
      <c r="E582" t="str">
        <f>_xlfn.CONCAT(makulatura4[[#This Row],[Imie]]," ",makulatura4[[#This Row],[Nazwisko]])</f>
        <v>Filip Spychala</v>
      </c>
      <c r="H582" s="4" t="s">
        <v>1014</v>
      </c>
      <c r="I582" s="2">
        <v>18</v>
      </c>
    </row>
    <row r="583" spans="1:9" x14ac:dyDescent="0.25">
      <c r="A583" s="1">
        <v>42816</v>
      </c>
      <c r="B583" s="2" t="s">
        <v>75</v>
      </c>
      <c r="C583" s="2" t="s">
        <v>500</v>
      </c>
      <c r="D583">
        <v>23</v>
      </c>
      <c r="E583" t="str">
        <f>_xlfn.CONCAT(makulatura4[[#This Row],[Imie]]," ",makulatura4[[#This Row],[Nazwisko]])</f>
        <v>Hanna Stankiewicz</v>
      </c>
      <c r="H583" s="4" t="s">
        <v>871</v>
      </c>
      <c r="I583" s="2">
        <v>18</v>
      </c>
    </row>
    <row r="584" spans="1:9" x14ac:dyDescent="0.25">
      <c r="A584" s="1">
        <v>42816</v>
      </c>
      <c r="B584" s="2" t="s">
        <v>18</v>
      </c>
      <c r="C584" s="2" t="s">
        <v>19</v>
      </c>
      <c r="D584">
        <v>18</v>
      </c>
      <c r="E584" t="str">
        <f>_xlfn.CONCAT(makulatura4[[#This Row],[Imie]]," ",makulatura4[[#This Row],[Nazwisko]])</f>
        <v>Filip Spychala</v>
      </c>
      <c r="H584" s="4" t="s">
        <v>750</v>
      </c>
      <c r="I584" s="2">
        <v>17</v>
      </c>
    </row>
    <row r="585" spans="1:9" x14ac:dyDescent="0.25">
      <c r="A585" s="1">
        <v>42816</v>
      </c>
      <c r="B585" s="2" t="s">
        <v>178</v>
      </c>
      <c r="C585" s="2" t="s">
        <v>376</v>
      </c>
      <c r="D585">
        <v>16</v>
      </c>
      <c r="E585" t="str">
        <f>_xlfn.CONCAT(makulatura4[[#This Row],[Imie]]," ",makulatura4[[#This Row],[Nazwisko]])</f>
        <v>Malgorzata Kozlowska</v>
      </c>
      <c r="H585" s="4" t="s">
        <v>1235</v>
      </c>
      <c r="I585" s="2">
        <v>15</v>
      </c>
    </row>
    <row r="586" spans="1:9" x14ac:dyDescent="0.25">
      <c r="A586" s="1">
        <v>42816</v>
      </c>
      <c r="B586" s="2" t="s">
        <v>83</v>
      </c>
      <c r="C586" s="2" t="s">
        <v>350</v>
      </c>
      <c r="D586">
        <v>21</v>
      </c>
      <c r="E586" t="str">
        <f>_xlfn.CONCAT(makulatura4[[#This Row],[Imie]]," ",makulatura4[[#This Row],[Nazwisko]])</f>
        <v>Jan Zdunski</v>
      </c>
      <c r="H586" s="4" t="s">
        <v>1109</v>
      </c>
      <c r="I586" s="2">
        <v>15</v>
      </c>
    </row>
    <row r="587" spans="1:9" x14ac:dyDescent="0.25">
      <c r="A587" s="1">
        <v>42816</v>
      </c>
      <c r="B587" s="2" t="s">
        <v>393</v>
      </c>
      <c r="C587" s="2" t="s">
        <v>419</v>
      </c>
      <c r="D587">
        <v>17</v>
      </c>
      <c r="E587" t="str">
        <f>_xlfn.CONCAT(makulatura4[[#This Row],[Imie]]," ",makulatura4[[#This Row],[Nazwisko]])</f>
        <v>Kacper Okla</v>
      </c>
      <c r="H587" s="4" t="s">
        <v>1024</v>
      </c>
      <c r="I587" s="2">
        <v>15</v>
      </c>
    </row>
    <row r="588" spans="1:9" x14ac:dyDescent="0.25">
      <c r="A588" s="1">
        <v>42817</v>
      </c>
      <c r="B588" s="2" t="s">
        <v>30</v>
      </c>
      <c r="C588" s="2" t="s">
        <v>89</v>
      </c>
      <c r="D588">
        <v>21</v>
      </c>
      <c r="E588" t="str">
        <f>_xlfn.CONCAT(makulatura4[[#This Row],[Imie]]," ",makulatura4[[#This Row],[Nazwisko]])</f>
        <v>Maciej Machalski</v>
      </c>
      <c r="H588" s="4" t="s">
        <v>1086</v>
      </c>
      <c r="I588" s="2">
        <v>14</v>
      </c>
    </row>
    <row r="589" spans="1:9" x14ac:dyDescent="0.25">
      <c r="A589" s="1">
        <v>42817</v>
      </c>
      <c r="B589" s="2" t="s">
        <v>343</v>
      </c>
      <c r="C589" s="2" t="s">
        <v>501</v>
      </c>
      <c r="D589">
        <v>19</v>
      </c>
      <c r="E589" t="str">
        <f>_xlfn.CONCAT(makulatura4[[#This Row],[Imie]]," ",makulatura4[[#This Row],[Nazwisko]])</f>
        <v>Izabela Sobota</v>
      </c>
      <c r="H589" s="4" t="s">
        <v>960</v>
      </c>
      <c r="I589" s="2">
        <v>14</v>
      </c>
    </row>
    <row r="590" spans="1:9" x14ac:dyDescent="0.25">
      <c r="A590" s="1">
        <v>42817</v>
      </c>
      <c r="B590" s="2" t="s">
        <v>393</v>
      </c>
      <c r="C590" s="2" t="s">
        <v>398</v>
      </c>
      <c r="D590">
        <v>24</v>
      </c>
      <c r="E590" t="str">
        <f>_xlfn.CONCAT(makulatura4[[#This Row],[Imie]]," ",makulatura4[[#This Row],[Nazwisko]])</f>
        <v>Kacper Nikolajew</v>
      </c>
      <c r="H590" s="4" t="s">
        <v>732</v>
      </c>
      <c r="I590" s="2">
        <v>13</v>
      </c>
    </row>
    <row r="591" spans="1:9" x14ac:dyDescent="0.25">
      <c r="A591" s="1">
        <v>42817</v>
      </c>
      <c r="B591" s="2" t="s">
        <v>442</v>
      </c>
      <c r="C591" s="2" t="s">
        <v>502</v>
      </c>
      <c r="D591">
        <v>16</v>
      </c>
      <c r="E591" t="str">
        <f>_xlfn.CONCAT(makulatura4[[#This Row],[Imie]]," ",makulatura4[[#This Row],[Nazwisko]])</f>
        <v>Nikodem Jablonski</v>
      </c>
      <c r="H591" s="4" t="s">
        <v>1157</v>
      </c>
      <c r="I591" s="2">
        <v>12</v>
      </c>
    </row>
    <row r="592" spans="1:9" x14ac:dyDescent="0.25">
      <c r="A592" s="1">
        <v>42817</v>
      </c>
      <c r="B592" s="2" t="s">
        <v>503</v>
      </c>
      <c r="C592" s="2" t="s">
        <v>183</v>
      </c>
      <c r="D592">
        <v>8</v>
      </c>
      <c r="E592" t="str">
        <f>_xlfn.CONCAT(makulatura4[[#This Row],[Imie]]," ",makulatura4[[#This Row],[Nazwisko]])</f>
        <v>Ewaryst Zdunek</v>
      </c>
      <c r="H592" s="4" t="s">
        <v>727</v>
      </c>
      <c r="I592" s="2">
        <v>10</v>
      </c>
    </row>
    <row r="593" spans="1:9" x14ac:dyDescent="0.25">
      <c r="A593" s="1">
        <v>42817</v>
      </c>
      <c r="B593" s="2" t="s">
        <v>232</v>
      </c>
      <c r="C593" s="2" t="s">
        <v>233</v>
      </c>
      <c r="D593">
        <v>27</v>
      </c>
      <c r="E593" t="str">
        <f>_xlfn.CONCAT(makulatura4[[#This Row],[Imie]]," ",makulatura4[[#This Row],[Nazwisko]])</f>
        <v>Monika Piterka</v>
      </c>
      <c r="H593" s="4" t="s">
        <v>1274</v>
      </c>
      <c r="I593" s="2">
        <v>9</v>
      </c>
    </row>
    <row r="594" spans="1:9" x14ac:dyDescent="0.25">
      <c r="A594" s="1">
        <v>42817</v>
      </c>
      <c r="B594" s="2" t="s">
        <v>393</v>
      </c>
      <c r="C594" s="2" t="s">
        <v>394</v>
      </c>
      <c r="D594">
        <v>25</v>
      </c>
      <c r="E594" t="str">
        <f>_xlfn.CONCAT(makulatura4[[#This Row],[Imie]]," ",makulatura4[[#This Row],[Nazwisko]])</f>
        <v>Kacper Niec</v>
      </c>
      <c r="H594" s="4" t="s">
        <v>1096</v>
      </c>
      <c r="I594" s="2">
        <v>9</v>
      </c>
    </row>
    <row r="595" spans="1:9" x14ac:dyDescent="0.25">
      <c r="A595" s="1">
        <v>42817</v>
      </c>
      <c r="B595" s="2" t="s">
        <v>36</v>
      </c>
      <c r="C595" s="2" t="s">
        <v>295</v>
      </c>
      <c r="D595">
        <v>10</v>
      </c>
      <c r="E595" t="str">
        <f>_xlfn.CONCAT(makulatura4[[#This Row],[Imie]]," ",makulatura4[[#This Row],[Nazwisko]])</f>
        <v>Piotr Kania</v>
      </c>
      <c r="H595" s="4" t="s">
        <v>839</v>
      </c>
      <c r="I595" s="2">
        <v>9</v>
      </c>
    </row>
    <row r="596" spans="1:9" x14ac:dyDescent="0.25">
      <c r="A596" s="1">
        <v>42817</v>
      </c>
      <c r="B596" s="2" t="s">
        <v>10</v>
      </c>
      <c r="C596" s="2" t="s">
        <v>504</v>
      </c>
      <c r="D596">
        <v>11</v>
      </c>
      <c r="E596" t="str">
        <f>_xlfn.CONCAT(makulatura4[[#This Row],[Imie]]," ",makulatura4[[#This Row],[Nazwisko]])</f>
        <v>Katarzyna Galazka</v>
      </c>
      <c r="H596" s="4" t="s">
        <v>772</v>
      </c>
      <c r="I596" s="2">
        <v>8</v>
      </c>
    </row>
    <row r="597" spans="1:9" x14ac:dyDescent="0.25">
      <c r="A597" s="1">
        <v>42817</v>
      </c>
      <c r="B597" s="2" t="s">
        <v>310</v>
      </c>
      <c r="C597" s="2" t="s">
        <v>505</v>
      </c>
      <c r="D597">
        <v>3</v>
      </c>
      <c r="E597" t="str">
        <f>_xlfn.CONCAT(makulatura4[[#This Row],[Imie]]," ",makulatura4[[#This Row],[Nazwisko]])</f>
        <v>Antoni Wierzbicki</v>
      </c>
      <c r="H597" s="4" t="s">
        <v>1159</v>
      </c>
      <c r="I597" s="2">
        <v>7</v>
      </c>
    </row>
    <row r="598" spans="1:9" x14ac:dyDescent="0.25">
      <c r="A598" s="1">
        <v>42818</v>
      </c>
      <c r="B598" s="2" t="s">
        <v>4</v>
      </c>
      <c r="C598" s="2" t="s">
        <v>489</v>
      </c>
      <c r="D598">
        <v>15</v>
      </c>
      <c r="E598" t="str">
        <f>_xlfn.CONCAT(makulatura4[[#This Row],[Imie]]," ",makulatura4[[#This Row],[Nazwisko]])</f>
        <v>Agnieszka Bujak</v>
      </c>
      <c r="H598" s="4" t="s">
        <v>752</v>
      </c>
      <c r="I598" s="2">
        <v>7</v>
      </c>
    </row>
    <row r="599" spans="1:9" x14ac:dyDescent="0.25">
      <c r="A599" s="1">
        <v>42818</v>
      </c>
      <c r="B599" s="2" t="s">
        <v>87</v>
      </c>
      <c r="C599" s="2" t="s">
        <v>124</v>
      </c>
      <c r="D599">
        <v>14</v>
      </c>
      <c r="E599" t="str">
        <f>_xlfn.CONCAT(makulatura4[[#This Row],[Imie]]," ",makulatura4[[#This Row],[Nazwisko]])</f>
        <v>Ewa Tysz</v>
      </c>
      <c r="H599" s="4" t="s">
        <v>872</v>
      </c>
      <c r="I599" s="2">
        <v>6</v>
      </c>
    </row>
    <row r="600" spans="1:9" x14ac:dyDescent="0.25">
      <c r="A600" s="1">
        <v>42818</v>
      </c>
      <c r="B600" s="2" t="s">
        <v>55</v>
      </c>
      <c r="C600" s="2" t="s">
        <v>506</v>
      </c>
      <c r="D600">
        <v>37</v>
      </c>
      <c r="E600" t="str">
        <f>_xlfn.CONCAT(makulatura4[[#This Row],[Imie]]," ",makulatura4[[#This Row],[Nazwisko]])</f>
        <v>Anna Trojanowska</v>
      </c>
      <c r="H600" s="4" t="s">
        <v>828</v>
      </c>
      <c r="I600" s="2">
        <v>4</v>
      </c>
    </row>
    <row r="601" spans="1:9" x14ac:dyDescent="0.25">
      <c r="A601" s="1">
        <v>42818</v>
      </c>
      <c r="B601" s="2" t="s">
        <v>43</v>
      </c>
      <c r="C601" s="2" t="s">
        <v>507</v>
      </c>
      <c r="D601">
        <v>22</v>
      </c>
      <c r="E601" t="str">
        <f>_xlfn.CONCAT(makulatura4[[#This Row],[Imie]]," ",makulatura4[[#This Row],[Nazwisko]])</f>
        <v>Andrzej Nawwrot</v>
      </c>
      <c r="H601" s="4" t="s">
        <v>703</v>
      </c>
      <c r="I601" s="2">
        <v>50903</v>
      </c>
    </row>
    <row r="602" spans="1:9" x14ac:dyDescent="0.25">
      <c r="A602" s="1">
        <v>42818</v>
      </c>
      <c r="B602" s="2" t="s">
        <v>67</v>
      </c>
      <c r="C602" s="2" t="s">
        <v>301</v>
      </c>
      <c r="D602">
        <v>5</v>
      </c>
      <c r="E602" t="str">
        <f>_xlfn.CONCAT(makulatura4[[#This Row],[Imie]]," ",makulatura4[[#This Row],[Nazwisko]])</f>
        <v>Bartosz Tusinski</v>
      </c>
    </row>
    <row r="603" spans="1:9" x14ac:dyDescent="0.25">
      <c r="A603" s="1">
        <v>42818</v>
      </c>
      <c r="B603" s="2" t="s">
        <v>30</v>
      </c>
      <c r="C603" s="2" t="s">
        <v>227</v>
      </c>
      <c r="D603">
        <v>29</v>
      </c>
      <c r="E603" t="str">
        <f>_xlfn.CONCAT(makulatura4[[#This Row],[Imie]]," ",makulatura4[[#This Row],[Nazwisko]])</f>
        <v>Maciej Nowak</v>
      </c>
    </row>
    <row r="604" spans="1:9" x14ac:dyDescent="0.25">
      <c r="A604" s="1">
        <v>42818</v>
      </c>
      <c r="B604" s="2" t="s">
        <v>32</v>
      </c>
      <c r="C604" s="2" t="s">
        <v>33</v>
      </c>
      <c r="D604">
        <v>25</v>
      </c>
      <c r="E604" t="str">
        <f>_xlfn.CONCAT(makulatura4[[#This Row],[Imie]]," ",makulatura4[[#This Row],[Nazwisko]])</f>
        <v>Daria Zagrobna</v>
      </c>
    </row>
    <row r="605" spans="1:9" x14ac:dyDescent="0.25">
      <c r="A605" s="1">
        <v>42818</v>
      </c>
      <c r="B605" s="2" t="s">
        <v>101</v>
      </c>
      <c r="C605" s="2" t="s">
        <v>223</v>
      </c>
      <c r="D605">
        <v>52</v>
      </c>
      <c r="E605" t="str">
        <f>_xlfn.CONCAT(makulatura4[[#This Row],[Imie]]," ",makulatura4[[#This Row],[Nazwisko]])</f>
        <v>Maria Adamska</v>
      </c>
    </row>
    <row r="606" spans="1:9" x14ac:dyDescent="0.25">
      <c r="A606" s="1">
        <v>42818</v>
      </c>
      <c r="B606" s="2" t="s">
        <v>508</v>
      </c>
      <c r="C606" s="2" t="s">
        <v>509</v>
      </c>
      <c r="D606">
        <v>2</v>
      </c>
      <c r="E606" t="str">
        <f>_xlfn.CONCAT(makulatura4[[#This Row],[Imie]]," ",makulatura4[[#This Row],[Nazwisko]])</f>
        <v>Dawid Szreder</v>
      </c>
    </row>
    <row r="607" spans="1:9" x14ac:dyDescent="0.25">
      <c r="A607" s="1">
        <v>42818</v>
      </c>
      <c r="B607" s="2" t="s">
        <v>75</v>
      </c>
      <c r="C607" s="2" t="s">
        <v>76</v>
      </c>
      <c r="D607">
        <v>27</v>
      </c>
      <c r="E607" t="str">
        <f>_xlfn.CONCAT(makulatura4[[#This Row],[Imie]]," ",makulatura4[[#This Row],[Nazwisko]])</f>
        <v>Hanna Stanislawska</v>
      </c>
    </row>
    <row r="608" spans="1:9" x14ac:dyDescent="0.25">
      <c r="A608" s="1">
        <v>42821</v>
      </c>
      <c r="B608" s="2" t="s">
        <v>121</v>
      </c>
      <c r="C608" s="2" t="s">
        <v>122</v>
      </c>
      <c r="D608">
        <v>43</v>
      </c>
      <c r="E608" t="str">
        <f>_xlfn.CONCAT(makulatura4[[#This Row],[Imie]]," ",makulatura4[[#This Row],[Nazwisko]])</f>
        <v>Justyna Pozarzycka</v>
      </c>
    </row>
    <row r="609" spans="1:5" x14ac:dyDescent="0.25">
      <c r="A609" s="1">
        <v>42821</v>
      </c>
      <c r="B609" s="2" t="s">
        <v>169</v>
      </c>
      <c r="C609" s="2" t="s">
        <v>170</v>
      </c>
      <c r="D609">
        <v>23</v>
      </c>
      <c r="E609" t="str">
        <f>_xlfn.CONCAT(makulatura4[[#This Row],[Imie]]," ",makulatura4[[#This Row],[Nazwisko]])</f>
        <v>Aleks Wojcik</v>
      </c>
    </row>
    <row r="610" spans="1:5" x14ac:dyDescent="0.25">
      <c r="A610" s="1">
        <v>42821</v>
      </c>
      <c r="B610" s="2" t="s">
        <v>361</v>
      </c>
      <c r="C610" s="2" t="s">
        <v>362</v>
      </c>
      <c r="D610">
        <v>19</v>
      </c>
      <c r="E610" t="str">
        <f>_xlfn.CONCAT(makulatura4[[#This Row],[Imie]]," ",makulatura4[[#This Row],[Nazwisko]])</f>
        <v>Lidia Goluchowska</v>
      </c>
    </row>
    <row r="611" spans="1:5" x14ac:dyDescent="0.25">
      <c r="A611" s="1">
        <v>42821</v>
      </c>
      <c r="B611" s="2" t="s">
        <v>16</v>
      </c>
      <c r="C611" s="2" t="s">
        <v>440</v>
      </c>
      <c r="D611">
        <v>36</v>
      </c>
      <c r="E611" t="str">
        <f>_xlfn.CONCAT(makulatura4[[#This Row],[Imie]]," ",makulatura4[[#This Row],[Nazwisko]])</f>
        <v>Balbina Madej</v>
      </c>
    </row>
    <row r="612" spans="1:5" x14ac:dyDescent="0.25">
      <c r="A612" s="1">
        <v>42821</v>
      </c>
      <c r="B612" s="2" t="s">
        <v>57</v>
      </c>
      <c r="C612" s="2" t="s">
        <v>418</v>
      </c>
      <c r="D612">
        <v>26</v>
      </c>
      <c r="E612" t="str">
        <f>_xlfn.CONCAT(makulatura4[[#This Row],[Imie]]," ",makulatura4[[#This Row],[Nazwisko]])</f>
        <v>Patrycja Rzeszowska</v>
      </c>
    </row>
    <row r="613" spans="1:5" x14ac:dyDescent="0.25">
      <c r="A613" s="1">
        <v>42821</v>
      </c>
      <c r="B613" s="2" t="s">
        <v>143</v>
      </c>
      <c r="C613" s="2" t="s">
        <v>510</v>
      </c>
      <c r="D613">
        <v>24</v>
      </c>
      <c r="E613" t="str">
        <f>_xlfn.CONCAT(makulatura4[[#This Row],[Imie]]," ",makulatura4[[#This Row],[Nazwisko]])</f>
        <v>Przemyslaw Widawski</v>
      </c>
    </row>
    <row r="614" spans="1:5" x14ac:dyDescent="0.25">
      <c r="A614" s="1">
        <v>42821</v>
      </c>
      <c r="B614" s="2" t="s">
        <v>119</v>
      </c>
      <c r="C614" s="2" t="s">
        <v>380</v>
      </c>
      <c r="D614">
        <v>5</v>
      </c>
      <c r="E614" t="str">
        <f>_xlfn.CONCAT(makulatura4[[#This Row],[Imie]]," ",makulatura4[[#This Row],[Nazwisko]])</f>
        <v>Kamil Krawczyk</v>
      </c>
    </row>
    <row r="615" spans="1:5" x14ac:dyDescent="0.25">
      <c r="A615" s="1">
        <v>42821</v>
      </c>
      <c r="B615" s="2" t="s">
        <v>39</v>
      </c>
      <c r="C615" s="2" t="s">
        <v>391</v>
      </c>
      <c r="D615">
        <v>53</v>
      </c>
      <c r="E615" t="str">
        <f>_xlfn.CONCAT(makulatura4[[#This Row],[Imie]]," ",makulatura4[[#This Row],[Nazwisko]])</f>
        <v>Jakub Porydzaj</v>
      </c>
    </row>
    <row r="616" spans="1:5" x14ac:dyDescent="0.25">
      <c r="A616" s="1">
        <v>42821</v>
      </c>
      <c r="B616" s="2" t="s">
        <v>10</v>
      </c>
      <c r="C616" s="2" t="s">
        <v>504</v>
      </c>
      <c r="D616">
        <v>18</v>
      </c>
      <c r="E616" t="str">
        <f>_xlfn.CONCAT(makulatura4[[#This Row],[Imie]]," ",makulatura4[[#This Row],[Nazwisko]])</f>
        <v>Katarzyna Galazka</v>
      </c>
    </row>
    <row r="617" spans="1:5" x14ac:dyDescent="0.25">
      <c r="A617" s="1">
        <v>42821</v>
      </c>
      <c r="B617" s="2" t="s">
        <v>36</v>
      </c>
      <c r="C617" s="2" t="s">
        <v>490</v>
      </c>
      <c r="D617">
        <v>15</v>
      </c>
      <c r="E617" t="str">
        <f>_xlfn.CONCAT(makulatura4[[#This Row],[Imie]]," ",makulatura4[[#This Row],[Nazwisko]])</f>
        <v>Piotr Mozart</v>
      </c>
    </row>
    <row r="618" spans="1:5" x14ac:dyDescent="0.25">
      <c r="A618" s="1">
        <v>42822</v>
      </c>
      <c r="B618" s="2" t="s">
        <v>152</v>
      </c>
      <c r="C618" s="2" t="s">
        <v>511</v>
      </c>
      <c r="D618">
        <v>20</v>
      </c>
      <c r="E618" t="str">
        <f>_xlfn.CONCAT(makulatura4[[#This Row],[Imie]]," ",makulatura4[[#This Row],[Nazwisko]])</f>
        <v>Natalia Knap</v>
      </c>
    </row>
    <row r="619" spans="1:5" x14ac:dyDescent="0.25">
      <c r="A619" s="1">
        <v>42822</v>
      </c>
      <c r="B619" s="2" t="s">
        <v>141</v>
      </c>
      <c r="C619" s="2" t="s">
        <v>512</v>
      </c>
      <c r="D619">
        <v>34</v>
      </c>
      <c r="E619" t="str">
        <f>_xlfn.CONCAT(makulatura4[[#This Row],[Imie]]," ",makulatura4[[#This Row],[Nazwisko]])</f>
        <v>Joanna Banaszczyk</v>
      </c>
    </row>
    <row r="620" spans="1:5" x14ac:dyDescent="0.25">
      <c r="A620" s="1">
        <v>42822</v>
      </c>
      <c r="B620" s="2" t="s">
        <v>63</v>
      </c>
      <c r="C620" s="2" t="s">
        <v>64</v>
      </c>
      <c r="D620">
        <v>35</v>
      </c>
      <c r="E620" t="str">
        <f>_xlfn.CONCAT(makulatura4[[#This Row],[Imie]]," ",makulatura4[[#This Row],[Nazwisko]])</f>
        <v>Adrian Zawisza</v>
      </c>
    </row>
    <row r="621" spans="1:5" x14ac:dyDescent="0.25">
      <c r="A621" s="1">
        <v>42822</v>
      </c>
      <c r="B621" s="2" t="s">
        <v>83</v>
      </c>
      <c r="C621" s="2" t="s">
        <v>513</v>
      </c>
      <c r="D621">
        <v>29</v>
      </c>
      <c r="E621" t="str">
        <f>_xlfn.CONCAT(makulatura4[[#This Row],[Imie]]," ",makulatura4[[#This Row],[Nazwisko]])</f>
        <v>Jan Gumowski</v>
      </c>
    </row>
    <row r="622" spans="1:5" x14ac:dyDescent="0.25">
      <c r="A622" s="1">
        <v>42822</v>
      </c>
      <c r="B622" s="2" t="s">
        <v>442</v>
      </c>
      <c r="C622" s="2" t="s">
        <v>502</v>
      </c>
      <c r="D622">
        <v>7</v>
      </c>
      <c r="E622" t="str">
        <f>_xlfn.CONCAT(makulatura4[[#This Row],[Imie]]," ",makulatura4[[#This Row],[Nazwisko]])</f>
        <v>Nikodem Jablonski</v>
      </c>
    </row>
    <row r="623" spans="1:5" x14ac:dyDescent="0.25">
      <c r="A623" s="1">
        <v>42822</v>
      </c>
      <c r="B623" s="2" t="s">
        <v>41</v>
      </c>
      <c r="C623" s="2" t="s">
        <v>238</v>
      </c>
      <c r="D623">
        <v>10</v>
      </c>
      <c r="E623" t="str">
        <f>_xlfn.CONCAT(makulatura4[[#This Row],[Imie]]," ",makulatura4[[#This Row],[Nazwisko]])</f>
        <v>Marta Robak</v>
      </c>
    </row>
    <row r="624" spans="1:5" x14ac:dyDescent="0.25">
      <c r="A624" s="1">
        <v>42822</v>
      </c>
      <c r="B624" s="2" t="s">
        <v>514</v>
      </c>
      <c r="C624" s="2" t="s">
        <v>515</v>
      </c>
      <c r="D624">
        <v>14</v>
      </c>
      <c r="E624" t="str">
        <f>_xlfn.CONCAT(makulatura4[[#This Row],[Imie]]," ",makulatura4[[#This Row],[Nazwisko]])</f>
        <v>Ignacy Sarnowski</v>
      </c>
    </row>
    <row r="625" spans="1:5" x14ac:dyDescent="0.25">
      <c r="A625" s="1">
        <v>42822</v>
      </c>
      <c r="B625" s="2" t="s">
        <v>234</v>
      </c>
      <c r="C625" s="2" t="s">
        <v>516</v>
      </c>
      <c r="D625">
        <v>23</v>
      </c>
      <c r="E625" t="str">
        <f>_xlfn.CONCAT(makulatura4[[#This Row],[Imie]]," ",makulatura4[[#This Row],[Nazwisko]])</f>
        <v>Magdalena Bach</v>
      </c>
    </row>
    <row r="626" spans="1:5" x14ac:dyDescent="0.25">
      <c r="A626" s="1">
        <v>42822</v>
      </c>
      <c r="B626" s="2" t="s">
        <v>232</v>
      </c>
      <c r="C626" s="2" t="s">
        <v>487</v>
      </c>
      <c r="D626">
        <v>26</v>
      </c>
      <c r="E626" t="str">
        <f>_xlfn.CONCAT(makulatura4[[#This Row],[Imie]]," ",makulatura4[[#This Row],[Nazwisko]])</f>
        <v>Monika Lis</v>
      </c>
    </row>
    <row r="627" spans="1:5" x14ac:dyDescent="0.25">
      <c r="A627" s="1">
        <v>42822</v>
      </c>
      <c r="B627" s="2" t="s">
        <v>280</v>
      </c>
      <c r="C627" s="2" t="s">
        <v>281</v>
      </c>
      <c r="D627">
        <v>2</v>
      </c>
      <c r="E627" t="str">
        <f>_xlfn.CONCAT(makulatura4[[#This Row],[Imie]]," ",makulatura4[[#This Row],[Nazwisko]])</f>
        <v>Kamila Wolan</v>
      </c>
    </row>
    <row r="628" spans="1:5" x14ac:dyDescent="0.25">
      <c r="A628" s="1">
        <v>42823</v>
      </c>
      <c r="B628" s="2" t="s">
        <v>119</v>
      </c>
      <c r="C628" s="2" t="s">
        <v>319</v>
      </c>
      <c r="D628">
        <v>36</v>
      </c>
      <c r="E628" t="str">
        <f>_xlfn.CONCAT(makulatura4[[#This Row],[Imie]]," ",makulatura4[[#This Row],[Nazwisko]])</f>
        <v>Kamil Wolny</v>
      </c>
    </row>
    <row r="629" spans="1:5" x14ac:dyDescent="0.25">
      <c r="A629" s="1">
        <v>42823</v>
      </c>
      <c r="B629" s="2" t="s">
        <v>119</v>
      </c>
      <c r="C629" s="2" t="s">
        <v>517</v>
      </c>
      <c r="D629">
        <v>18</v>
      </c>
      <c r="E629" t="str">
        <f>_xlfn.CONCAT(makulatura4[[#This Row],[Imie]]," ",makulatura4[[#This Row],[Nazwisko]])</f>
        <v>Kamil Szyszko</v>
      </c>
    </row>
    <row r="630" spans="1:5" x14ac:dyDescent="0.25">
      <c r="A630" s="1">
        <v>42823</v>
      </c>
      <c r="B630" s="2" t="s">
        <v>83</v>
      </c>
      <c r="C630" s="2" t="s">
        <v>518</v>
      </c>
      <c r="D630">
        <v>23</v>
      </c>
      <c r="E630" t="str">
        <f>_xlfn.CONCAT(makulatura4[[#This Row],[Imie]]," ",makulatura4[[#This Row],[Nazwisko]])</f>
        <v>Jan Nancki</v>
      </c>
    </row>
    <row r="631" spans="1:5" x14ac:dyDescent="0.25">
      <c r="A631" s="1">
        <v>42823</v>
      </c>
      <c r="B631" s="2" t="s">
        <v>143</v>
      </c>
      <c r="C631" s="2" t="s">
        <v>510</v>
      </c>
      <c r="D631">
        <v>20</v>
      </c>
      <c r="E631" t="str">
        <f>_xlfn.CONCAT(makulatura4[[#This Row],[Imie]]," ",makulatura4[[#This Row],[Nazwisko]])</f>
        <v>Przemyslaw Widawski</v>
      </c>
    </row>
    <row r="632" spans="1:5" x14ac:dyDescent="0.25">
      <c r="A632" s="1">
        <v>42823</v>
      </c>
      <c r="B632" s="2" t="s">
        <v>193</v>
      </c>
      <c r="C632" s="2" t="s">
        <v>369</v>
      </c>
      <c r="D632">
        <v>16</v>
      </c>
      <c r="E632" t="str">
        <f>_xlfn.CONCAT(makulatura4[[#This Row],[Imie]]," ",makulatura4[[#This Row],[Nazwisko]])</f>
        <v>Karolina Wrak</v>
      </c>
    </row>
    <row r="633" spans="1:5" x14ac:dyDescent="0.25">
      <c r="A633" s="1">
        <v>42823</v>
      </c>
      <c r="B633" s="2" t="s">
        <v>519</v>
      </c>
      <c r="C633" s="2" t="s">
        <v>520</v>
      </c>
      <c r="D633">
        <v>7</v>
      </c>
      <c r="E633" t="str">
        <f>_xlfn.CONCAT(makulatura4[[#This Row],[Imie]]," ",makulatura4[[#This Row],[Nazwisko]])</f>
        <v>Waldemar Fornalik</v>
      </c>
    </row>
    <row r="634" spans="1:5" x14ac:dyDescent="0.25">
      <c r="A634" s="1">
        <v>42823</v>
      </c>
      <c r="B634" s="2" t="s">
        <v>521</v>
      </c>
      <c r="C634" s="2" t="s">
        <v>410</v>
      </c>
      <c r="D634">
        <v>47</v>
      </c>
      <c r="E634" t="str">
        <f>_xlfn.CONCAT(makulatura4[[#This Row],[Imie]]," ",makulatura4[[#This Row],[Nazwisko]])</f>
        <v>Bernard Lubelski</v>
      </c>
    </row>
    <row r="635" spans="1:5" x14ac:dyDescent="0.25">
      <c r="A635" s="1">
        <v>42823</v>
      </c>
      <c r="B635" s="2" t="s">
        <v>314</v>
      </c>
      <c r="C635" s="2" t="s">
        <v>366</v>
      </c>
      <c r="D635">
        <v>9</v>
      </c>
      <c r="E635" t="str">
        <f>_xlfn.CONCAT(makulatura4[[#This Row],[Imie]]," ",makulatura4[[#This Row],[Nazwisko]])</f>
        <v>Lukasz Pawlik</v>
      </c>
    </row>
    <row r="636" spans="1:5" x14ac:dyDescent="0.25">
      <c r="A636" s="1">
        <v>42823</v>
      </c>
      <c r="B636" s="2" t="s">
        <v>51</v>
      </c>
      <c r="C636" s="2" t="s">
        <v>522</v>
      </c>
      <c r="D636">
        <v>11</v>
      </c>
      <c r="E636" t="str">
        <f>_xlfn.CONCAT(makulatura4[[#This Row],[Imie]]," ",makulatura4[[#This Row],[Nazwisko]])</f>
        <v>Barbara Kilarski</v>
      </c>
    </row>
    <row r="637" spans="1:5" x14ac:dyDescent="0.25">
      <c r="A637" s="1">
        <v>42823</v>
      </c>
      <c r="B637" s="2" t="s">
        <v>523</v>
      </c>
      <c r="C637" s="2" t="s">
        <v>524</v>
      </c>
      <c r="D637">
        <v>12</v>
      </c>
      <c r="E637" t="str">
        <f>_xlfn.CONCAT(makulatura4[[#This Row],[Imie]]," ",makulatura4[[#This Row],[Nazwisko]])</f>
        <v>Protazy Warszawski</v>
      </c>
    </row>
    <row r="638" spans="1:5" x14ac:dyDescent="0.25">
      <c r="A638" s="1">
        <v>42824</v>
      </c>
      <c r="B638" s="2" t="s">
        <v>144</v>
      </c>
      <c r="C638" s="2" t="s">
        <v>525</v>
      </c>
      <c r="D638">
        <v>2</v>
      </c>
      <c r="E638" t="str">
        <f>_xlfn.CONCAT(makulatura4[[#This Row],[Imie]]," ",makulatura4[[#This Row],[Nazwisko]])</f>
        <v>Aleksander Koc</v>
      </c>
    </row>
    <row r="639" spans="1:5" x14ac:dyDescent="0.25">
      <c r="A639" s="1">
        <v>42824</v>
      </c>
      <c r="B639" s="2" t="s">
        <v>280</v>
      </c>
      <c r="C639" s="2" t="s">
        <v>281</v>
      </c>
      <c r="D639">
        <v>23</v>
      </c>
      <c r="E639" t="str">
        <f>_xlfn.CONCAT(makulatura4[[#This Row],[Imie]]," ",makulatura4[[#This Row],[Nazwisko]])</f>
        <v>Kamila Wolan</v>
      </c>
    </row>
    <row r="640" spans="1:5" x14ac:dyDescent="0.25">
      <c r="A640" s="1">
        <v>42824</v>
      </c>
      <c r="B640" s="2" t="s">
        <v>23</v>
      </c>
      <c r="C640" s="2" t="s">
        <v>24</v>
      </c>
      <c r="D640">
        <v>52</v>
      </c>
      <c r="E640" t="str">
        <f>_xlfn.CONCAT(makulatura4[[#This Row],[Imie]]," ",makulatura4[[#This Row],[Nazwisko]])</f>
        <v>Alicja Gadek</v>
      </c>
    </row>
    <row r="641" spans="1:5" x14ac:dyDescent="0.25">
      <c r="A641" s="1">
        <v>42824</v>
      </c>
      <c r="B641" s="2" t="s">
        <v>81</v>
      </c>
      <c r="C641" s="2" t="s">
        <v>145</v>
      </c>
      <c r="D641">
        <v>10</v>
      </c>
      <c r="E641" t="str">
        <f>_xlfn.CONCAT(makulatura4[[#This Row],[Imie]]," ",makulatura4[[#This Row],[Nazwisko]])</f>
        <v>Karol Wojciechowski</v>
      </c>
    </row>
    <row r="642" spans="1:5" x14ac:dyDescent="0.25">
      <c r="A642" s="1">
        <v>42824</v>
      </c>
      <c r="B642" s="2" t="s">
        <v>43</v>
      </c>
      <c r="C642" s="2" t="s">
        <v>124</v>
      </c>
      <c r="D642">
        <v>47</v>
      </c>
      <c r="E642" t="str">
        <f>_xlfn.CONCAT(makulatura4[[#This Row],[Imie]]," ",makulatura4[[#This Row],[Nazwisko]])</f>
        <v>Andrzej Tysz</v>
      </c>
    </row>
    <row r="643" spans="1:5" x14ac:dyDescent="0.25">
      <c r="A643" s="1">
        <v>42824</v>
      </c>
      <c r="B643" s="2" t="s">
        <v>503</v>
      </c>
      <c r="C643" s="2" t="s">
        <v>183</v>
      </c>
      <c r="D643">
        <v>20</v>
      </c>
      <c r="E643" t="str">
        <f>_xlfn.CONCAT(makulatura4[[#This Row],[Imie]]," ",makulatura4[[#This Row],[Nazwisko]])</f>
        <v>Ewaryst Zdunek</v>
      </c>
    </row>
    <row r="644" spans="1:5" x14ac:dyDescent="0.25">
      <c r="A644" s="1">
        <v>42824</v>
      </c>
      <c r="B644" s="2" t="s">
        <v>30</v>
      </c>
      <c r="C644" s="2" t="s">
        <v>241</v>
      </c>
      <c r="D644">
        <v>3</v>
      </c>
      <c r="E644" t="str">
        <f>_xlfn.CONCAT(makulatura4[[#This Row],[Imie]]," ",makulatura4[[#This Row],[Nazwisko]])</f>
        <v>Maciej Czyzynski</v>
      </c>
    </row>
    <row r="645" spans="1:5" x14ac:dyDescent="0.25">
      <c r="A645" s="1">
        <v>42824</v>
      </c>
      <c r="B645" s="2" t="s">
        <v>232</v>
      </c>
      <c r="C645" s="2" t="s">
        <v>526</v>
      </c>
      <c r="D645">
        <v>9</v>
      </c>
      <c r="E645" t="str">
        <f>_xlfn.CONCAT(makulatura4[[#This Row],[Imie]]," ",makulatura4[[#This Row],[Nazwisko]])</f>
        <v>Monika Trojan</v>
      </c>
    </row>
    <row r="646" spans="1:5" x14ac:dyDescent="0.25">
      <c r="A646" s="1">
        <v>42824</v>
      </c>
      <c r="B646" s="2" t="s">
        <v>147</v>
      </c>
      <c r="C646" s="2" t="s">
        <v>527</v>
      </c>
      <c r="D646">
        <v>22</v>
      </c>
      <c r="E646" t="str">
        <f>_xlfn.CONCAT(makulatura4[[#This Row],[Imie]]," ",makulatura4[[#This Row],[Nazwisko]])</f>
        <v>Mariusz Suszyn</v>
      </c>
    </row>
    <row r="647" spans="1:5" x14ac:dyDescent="0.25">
      <c r="A647" s="1">
        <v>42824</v>
      </c>
      <c r="B647" s="2" t="s">
        <v>55</v>
      </c>
      <c r="C647" s="2" t="s">
        <v>326</v>
      </c>
      <c r="D647">
        <v>9</v>
      </c>
      <c r="E647" t="str">
        <f>_xlfn.CONCAT(makulatura4[[#This Row],[Imie]]," ",makulatura4[[#This Row],[Nazwisko]])</f>
        <v>Anna Tomaszewska</v>
      </c>
    </row>
    <row r="648" spans="1:5" x14ac:dyDescent="0.25">
      <c r="A648" s="1">
        <v>42825</v>
      </c>
      <c r="B648" s="2" t="s">
        <v>47</v>
      </c>
      <c r="C648" s="2" t="s">
        <v>334</v>
      </c>
      <c r="D648">
        <v>30</v>
      </c>
      <c r="E648" t="str">
        <f>_xlfn.CONCAT(makulatura4[[#This Row],[Imie]]," ",makulatura4[[#This Row],[Nazwisko]])</f>
        <v>Marek Witkowski</v>
      </c>
    </row>
    <row r="649" spans="1:5" x14ac:dyDescent="0.25">
      <c r="A649" s="1">
        <v>42825</v>
      </c>
      <c r="B649" s="2" t="s">
        <v>528</v>
      </c>
      <c r="C649" s="2" t="s">
        <v>428</v>
      </c>
      <c r="D649">
        <v>18</v>
      </c>
      <c r="E649" t="str">
        <f>_xlfn.CONCAT(makulatura4[[#This Row],[Imie]]," ",makulatura4[[#This Row],[Nazwisko]])</f>
        <v>Lech Lisowski</v>
      </c>
    </row>
    <row r="650" spans="1:5" x14ac:dyDescent="0.25">
      <c r="A650" s="1">
        <v>42825</v>
      </c>
      <c r="B650" s="2" t="s">
        <v>30</v>
      </c>
      <c r="C650" s="2" t="s">
        <v>86</v>
      </c>
      <c r="D650">
        <v>55</v>
      </c>
      <c r="E650" t="str">
        <f>_xlfn.CONCAT(makulatura4[[#This Row],[Imie]]," ",makulatura4[[#This Row],[Nazwisko]])</f>
        <v>Maciej Kowalski</v>
      </c>
    </row>
    <row r="651" spans="1:5" x14ac:dyDescent="0.25">
      <c r="A651" s="1">
        <v>42825</v>
      </c>
      <c r="B651" s="2" t="s">
        <v>20</v>
      </c>
      <c r="C651" s="2" t="s">
        <v>381</v>
      </c>
      <c r="D651">
        <v>17</v>
      </c>
      <c r="E651" t="str">
        <f>_xlfn.CONCAT(makulatura4[[#This Row],[Imie]]," ",makulatura4[[#This Row],[Nazwisko]])</f>
        <v>Borys Winiarski</v>
      </c>
    </row>
    <row r="652" spans="1:5" x14ac:dyDescent="0.25">
      <c r="A652" s="1">
        <v>42825</v>
      </c>
      <c r="B652" s="2" t="s">
        <v>97</v>
      </c>
      <c r="C652" s="2" t="s">
        <v>529</v>
      </c>
      <c r="D652">
        <v>30</v>
      </c>
      <c r="E652" t="str">
        <f>_xlfn.CONCAT(makulatura4[[#This Row],[Imie]]," ",makulatura4[[#This Row],[Nazwisko]])</f>
        <v>Mateusz Hajdug</v>
      </c>
    </row>
    <row r="653" spans="1:5" x14ac:dyDescent="0.25">
      <c r="A653" s="1">
        <v>42825</v>
      </c>
      <c r="B653" s="2" t="s">
        <v>508</v>
      </c>
      <c r="C653" s="2" t="s">
        <v>509</v>
      </c>
      <c r="D653">
        <v>4</v>
      </c>
      <c r="E653" t="str">
        <f>_xlfn.CONCAT(makulatura4[[#This Row],[Imie]]," ",makulatura4[[#This Row],[Nazwisko]])</f>
        <v>Dawid Szreder</v>
      </c>
    </row>
    <row r="654" spans="1:5" x14ac:dyDescent="0.25">
      <c r="A654" s="1">
        <v>42825</v>
      </c>
      <c r="B654" s="2" t="s">
        <v>361</v>
      </c>
      <c r="C654" s="2" t="s">
        <v>362</v>
      </c>
      <c r="D654">
        <v>21</v>
      </c>
      <c r="E654" t="str">
        <f>_xlfn.CONCAT(makulatura4[[#This Row],[Imie]]," ",makulatura4[[#This Row],[Nazwisko]])</f>
        <v>Lidia Goluchowska</v>
      </c>
    </row>
    <row r="655" spans="1:5" x14ac:dyDescent="0.25">
      <c r="A655" s="1">
        <v>42825</v>
      </c>
      <c r="B655" s="2" t="s">
        <v>6</v>
      </c>
      <c r="C655" s="2" t="s">
        <v>7</v>
      </c>
      <c r="D655">
        <v>7</v>
      </c>
      <c r="E655" t="str">
        <f>_xlfn.CONCAT(makulatura4[[#This Row],[Imie]]," ",makulatura4[[#This Row],[Nazwisko]])</f>
        <v>Klaudia Myk</v>
      </c>
    </row>
    <row r="656" spans="1:5" x14ac:dyDescent="0.25">
      <c r="A656" s="1">
        <v>42825</v>
      </c>
      <c r="B656" s="2" t="s">
        <v>39</v>
      </c>
      <c r="C656" s="2" t="s">
        <v>40</v>
      </c>
      <c r="D656">
        <v>20</v>
      </c>
      <c r="E656" t="str">
        <f>_xlfn.CONCAT(makulatura4[[#This Row],[Imie]]," ",makulatura4[[#This Row],[Nazwisko]])</f>
        <v>Jakub Jedruszek</v>
      </c>
    </row>
    <row r="657" spans="1:5" x14ac:dyDescent="0.25">
      <c r="A657" s="1">
        <v>42825</v>
      </c>
      <c r="B657" s="2" t="s">
        <v>341</v>
      </c>
      <c r="C657" s="2" t="s">
        <v>342</v>
      </c>
      <c r="D657">
        <v>6</v>
      </c>
      <c r="E657" t="str">
        <f>_xlfn.CONCAT(makulatura4[[#This Row],[Imie]]," ",makulatura4[[#This Row],[Nazwisko]])</f>
        <v>Milena Karolewska</v>
      </c>
    </row>
    <row r="658" spans="1:5" x14ac:dyDescent="0.25">
      <c r="A658" s="1">
        <v>42828</v>
      </c>
      <c r="B658" s="2" t="s">
        <v>278</v>
      </c>
      <c r="C658" s="2" t="s">
        <v>530</v>
      </c>
      <c r="D658">
        <v>12</v>
      </c>
      <c r="E658" t="str">
        <f>_xlfn.CONCAT(makulatura4[[#This Row],[Imie]]," ",makulatura4[[#This Row],[Nazwisko]])</f>
        <v>Janusz Baka</v>
      </c>
    </row>
    <row r="659" spans="1:5" x14ac:dyDescent="0.25">
      <c r="A659" s="1">
        <v>42828</v>
      </c>
      <c r="B659" s="2" t="s">
        <v>41</v>
      </c>
      <c r="C659" s="2" t="s">
        <v>238</v>
      </c>
      <c r="D659">
        <v>29</v>
      </c>
      <c r="E659" t="str">
        <f>_xlfn.CONCAT(makulatura4[[#This Row],[Imie]]," ",makulatura4[[#This Row],[Nazwisko]])</f>
        <v>Marta Robak</v>
      </c>
    </row>
    <row r="660" spans="1:5" x14ac:dyDescent="0.25">
      <c r="A660" s="1">
        <v>42828</v>
      </c>
      <c r="B660" s="2" t="s">
        <v>278</v>
      </c>
      <c r="C660" s="2" t="s">
        <v>202</v>
      </c>
      <c r="D660">
        <v>2</v>
      </c>
      <c r="E660" t="str">
        <f>_xlfn.CONCAT(makulatura4[[#This Row],[Imie]]," ",makulatura4[[#This Row],[Nazwisko]])</f>
        <v>Janusz Wrobel</v>
      </c>
    </row>
    <row r="661" spans="1:5" x14ac:dyDescent="0.25">
      <c r="A661" s="1">
        <v>42828</v>
      </c>
      <c r="B661" s="2" t="s">
        <v>69</v>
      </c>
      <c r="C661" s="2" t="s">
        <v>353</v>
      </c>
      <c r="D661">
        <v>27</v>
      </c>
      <c r="E661" t="str">
        <f>_xlfn.CONCAT(makulatura4[[#This Row],[Imie]]," ",makulatura4[[#This Row],[Nazwisko]])</f>
        <v>Adam Zmurko</v>
      </c>
    </row>
    <row r="662" spans="1:5" x14ac:dyDescent="0.25">
      <c r="A662" s="1">
        <v>42828</v>
      </c>
      <c r="B662" s="2" t="s">
        <v>57</v>
      </c>
      <c r="C662" s="2" t="s">
        <v>531</v>
      </c>
      <c r="D662">
        <v>9</v>
      </c>
      <c r="E662" t="str">
        <f>_xlfn.CONCAT(makulatura4[[#This Row],[Imie]]," ",makulatura4[[#This Row],[Nazwisko]])</f>
        <v>Patrycja Wcislo</v>
      </c>
    </row>
    <row r="663" spans="1:5" x14ac:dyDescent="0.25">
      <c r="A663" s="1">
        <v>42828</v>
      </c>
      <c r="B663" s="2" t="s">
        <v>141</v>
      </c>
      <c r="C663" s="2" t="s">
        <v>202</v>
      </c>
      <c r="D663">
        <v>25</v>
      </c>
      <c r="E663" t="str">
        <f>_xlfn.CONCAT(makulatura4[[#This Row],[Imie]]," ",makulatura4[[#This Row],[Nazwisko]])</f>
        <v>Joanna Wrobel</v>
      </c>
    </row>
    <row r="664" spans="1:5" x14ac:dyDescent="0.25">
      <c r="A664" s="1">
        <v>42828</v>
      </c>
      <c r="B664" s="2" t="s">
        <v>12</v>
      </c>
      <c r="C664" s="2" t="s">
        <v>532</v>
      </c>
      <c r="D664">
        <v>45</v>
      </c>
      <c r="E664" t="str">
        <f>_xlfn.CONCAT(makulatura4[[#This Row],[Imie]]," ",makulatura4[[#This Row],[Nazwisko]])</f>
        <v>Maja Kurowska</v>
      </c>
    </row>
    <row r="665" spans="1:5" x14ac:dyDescent="0.25">
      <c r="A665" s="1">
        <v>42828</v>
      </c>
      <c r="B665" s="2" t="s">
        <v>36</v>
      </c>
      <c r="C665" s="2" t="s">
        <v>533</v>
      </c>
      <c r="D665">
        <v>12</v>
      </c>
      <c r="E665" t="str">
        <f>_xlfn.CONCAT(makulatura4[[#This Row],[Imie]]," ",makulatura4[[#This Row],[Nazwisko]])</f>
        <v>Piotr Walec</v>
      </c>
    </row>
    <row r="666" spans="1:5" x14ac:dyDescent="0.25">
      <c r="A666" s="1">
        <v>42828</v>
      </c>
      <c r="B666" s="2" t="s">
        <v>225</v>
      </c>
      <c r="C666" s="2" t="s">
        <v>226</v>
      </c>
      <c r="D666">
        <v>44</v>
      </c>
      <c r="E666" t="str">
        <f>_xlfn.CONCAT(makulatura4[[#This Row],[Imie]]," ",makulatura4[[#This Row],[Nazwisko]])</f>
        <v>Izabella Jelen</v>
      </c>
    </row>
    <row r="667" spans="1:5" x14ac:dyDescent="0.25">
      <c r="A667" s="1">
        <v>42828</v>
      </c>
      <c r="B667" s="2" t="s">
        <v>53</v>
      </c>
      <c r="C667" s="2" t="s">
        <v>227</v>
      </c>
      <c r="D667">
        <v>18</v>
      </c>
      <c r="E667" t="str">
        <f>_xlfn.CONCAT(makulatura4[[#This Row],[Imie]]," ",makulatura4[[#This Row],[Nazwisko]])</f>
        <v>Wieslawa Nowak</v>
      </c>
    </row>
    <row r="668" spans="1:5" x14ac:dyDescent="0.25">
      <c r="A668" s="1">
        <v>42829</v>
      </c>
      <c r="B668" s="2" t="s">
        <v>152</v>
      </c>
      <c r="C668" s="2" t="s">
        <v>534</v>
      </c>
      <c r="D668">
        <v>16</v>
      </c>
      <c r="E668" t="str">
        <f>_xlfn.CONCAT(makulatura4[[#This Row],[Imie]]," ",makulatura4[[#This Row],[Nazwisko]])</f>
        <v>Natalia Olkuska</v>
      </c>
    </row>
    <row r="669" spans="1:5" x14ac:dyDescent="0.25">
      <c r="A669" s="1">
        <v>42829</v>
      </c>
      <c r="B669" s="2" t="s">
        <v>217</v>
      </c>
      <c r="C669" s="2" t="s">
        <v>218</v>
      </c>
      <c r="D669">
        <v>18</v>
      </c>
      <c r="E669" t="str">
        <f>_xlfn.CONCAT(makulatura4[[#This Row],[Imie]]," ",makulatura4[[#This Row],[Nazwisko]])</f>
        <v>Witold Sempa</v>
      </c>
    </row>
    <row r="670" spans="1:5" x14ac:dyDescent="0.25">
      <c r="A670" s="1">
        <v>42829</v>
      </c>
      <c r="B670" s="2" t="s">
        <v>437</v>
      </c>
      <c r="C670" s="2" t="s">
        <v>199</v>
      </c>
      <c r="D670">
        <v>6</v>
      </c>
      <c r="E670" t="str">
        <f>_xlfn.CONCAT(makulatura4[[#This Row],[Imie]]," ",makulatura4[[#This Row],[Nazwisko]])</f>
        <v>Wiktoria Wilk</v>
      </c>
    </row>
    <row r="671" spans="1:5" x14ac:dyDescent="0.25">
      <c r="A671" s="1">
        <v>42829</v>
      </c>
      <c r="B671" s="2" t="s">
        <v>246</v>
      </c>
      <c r="C671" s="2" t="s">
        <v>247</v>
      </c>
      <c r="D671">
        <v>17</v>
      </c>
      <c r="E671" t="str">
        <f>_xlfn.CONCAT(makulatura4[[#This Row],[Imie]]," ",makulatura4[[#This Row],[Nazwisko]])</f>
        <v>Inez Nahaj</v>
      </c>
    </row>
    <row r="672" spans="1:5" x14ac:dyDescent="0.25">
      <c r="A672" s="1">
        <v>42829</v>
      </c>
      <c r="B672" s="2" t="s">
        <v>55</v>
      </c>
      <c r="C672" s="2" t="s">
        <v>265</v>
      </c>
      <c r="D672">
        <v>18</v>
      </c>
      <c r="E672" t="str">
        <f>_xlfn.CONCAT(makulatura4[[#This Row],[Imie]]," ",makulatura4[[#This Row],[Nazwisko]])</f>
        <v>Anna Janowska</v>
      </c>
    </row>
    <row r="673" spans="1:5" x14ac:dyDescent="0.25">
      <c r="A673" s="1">
        <v>42829</v>
      </c>
      <c r="B673" s="2" t="s">
        <v>234</v>
      </c>
      <c r="C673" s="2" t="s">
        <v>516</v>
      </c>
      <c r="D673">
        <v>4</v>
      </c>
      <c r="E673" t="str">
        <f>_xlfn.CONCAT(makulatura4[[#This Row],[Imie]]," ",makulatura4[[#This Row],[Nazwisko]])</f>
        <v>Magdalena Bach</v>
      </c>
    </row>
    <row r="674" spans="1:5" x14ac:dyDescent="0.25">
      <c r="A674" s="1">
        <v>42829</v>
      </c>
      <c r="B674" s="2" t="s">
        <v>8</v>
      </c>
      <c r="C674" s="2" t="s">
        <v>9</v>
      </c>
      <c r="D674">
        <v>13</v>
      </c>
      <c r="E674" t="str">
        <f>_xlfn.CONCAT(makulatura4[[#This Row],[Imie]]," ",makulatura4[[#This Row],[Nazwisko]])</f>
        <v>Agata Kwiatkowska</v>
      </c>
    </row>
    <row r="675" spans="1:5" x14ac:dyDescent="0.25">
      <c r="A675" s="1">
        <v>42829</v>
      </c>
      <c r="B675" s="2" t="s">
        <v>41</v>
      </c>
      <c r="C675" s="2" t="s">
        <v>302</v>
      </c>
      <c r="D675">
        <v>52</v>
      </c>
      <c r="E675" t="str">
        <f>_xlfn.CONCAT(makulatura4[[#This Row],[Imie]]," ",makulatura4[[#This Row],[Nazwisko]])</f>
        <v>Marta Wloczkow</v>
      </c>
    </row>
    <row r="676" spans="1:5" x14ac:dyDescent="0.25">
      <c r="A676" s="1">
        <v>42829</v>
      </c>
      <c r="B676" s="2" t="s">
        <v>83</v>
      </c>
      <c r="C676" s="2" t="s">
        <v>470</v>
      </c>
      <c r="D676">
        <v>10</v>
      </c>
      <c r="E676" t="str">
        <f>_xlfn.CONCAT(makulatura4[[#This Row],[Imie]]," ",makulatura4[[#This Row],[Nazwisko]])</f>
        <v>Jan Marasek</v>
      </c>
    </row>
    <row r="677" spans="1:5" x14ac:dyDescent="0.25">
      <c r="A677" s="1">
        <v>42829</v>
      </c>
      <c r="B677" s="2" t="s">
        <v>47</v>
      </c>
      <c r="C677" s="2" t="s">
        <v>48</v>
      </c>
      <c r="D677">
        <v>33</v>
      </c>
      <c r="E677" t="str">
        <f>_xlfn.CONCAT(makulatura4[[#This Row],[Imie]]," ",makulatura4[[#This Row],[Nazwisko]])</f>
        <v>Marek Bednarski</v>
      </c>
    </row>
    <row r="678" spans="1:5" x14ac:dyDescent="0.25">
      <c r="A678" s="1">
        <v>42830</v>
      </c>
      <c r="B678" s="2" t="s">
        <v>95</v>
      </c>
      <c r="C678" s="2" t="s">
        <v>96</v>
      </c>
      <c r="D678">
        <v>6</v>
      </c>
      <c r="E678" t="str">
        <f>_xlfn.CONCAT(makulatura4[[#This Row],[Imie]]," ",makulatura4[[#This Row],[Nazwisko]])</f>
        <v>Dominik Szczucki</v>
      </c>
    </row>
    <row r="679" spans="1:5" x14ac:dyDescent="0.25">
      <c r="A679" s="1">
        <v>42830</v>
      </c>
      <c r="B679" s="2" t="s">
        <v>87</v>
      </c>
      <c r="C679" s="2" t="s">
        <v>255</v>
      </c>
      <c r="D679">
        <v>21</v>
      </c>
      <c r="E679" t="str">
        <f>_xlfn.CONCAT(makulatura4[[#This Row],[Imie]]," ",makulatura4[[#This Row],[Nazwisko]])</f>
        <v>Ewa Czerwinska</v>
      </c>
    </row>
    <row r="680" spans="1:5" x14ac:dyDescent="0.25">
      <c r="A680" s="1">
        <v>42830</v>
      </c>
      <c r="B680" s="2" t="s">
        <v>45</v>
      </c>
      <c r="C680" s="2" t="s">
        <v>46</v>
      </c>
      <c r="D680">
        <v>2</v>
      </c>
      <c r="E680" t="str">
        <f>_xlfn.CONCAT(makulatura4[[#This Row],[Imie]]," ",makulatura4[[#This Row],[Nazwisko]])</f>
        <v>Zuzanna Malicki</v>
      </c>
    </row>
    <row r="681" spans="1:5" x14ac:dyDescent="0.25">
      <c r="A681" s="1">
        <v>42830</v>
      </c>
      <c r="B681" s="2" t="s">
        <v>51</v>
      </c>
      <c r="C681" s="2" t="s">
        <v>469</v>
      </c>
      <c r="D681">
        <v>16</v>
      </c>
      <c r="E681" t="str">
        <f>_xlfn.CONCAT(makulatura4[[#This Row],[Imie]]," ",makulatura4[[#This Row],[Nazwisko]])</f>
        <v>Barbara Karcz</v>
      </c>
    </row>
    <row r="682" spans="1:5" x14ac:dyDescent="0.25">
      <c r="A682" s="1">
        <v>42830</v>
      </c>
      <c r="B682" s="2" t="s">
        <v>314</v>
      </c>
      <c r="C682" s="2" t="s">
        <v>466</v>
      </c>
      <c r="D682">
        <v>23</v>
      </c>
      <c r="E682" t="str">
        <f>_xlfn.CONCAT(makulatura4[[#This Row],[Imie]]," ",makulatura4[[#This Row],[Nazwisko]])</f>
        <v>Lukasz Kot</v>
      </c>
    </row>
    <row r="683" spans="1:5" x14ac:dyDescent="0.25">
      <c r="A683" s="1">
        <v>42830</v>
      </c>
      <c r="B683" s="2" t="s">
        <v>314</v>
      </c>
      <c r="C683" s="2" t="s">
        <v>535</v>
      </c>
      <c r="D683">
        <v>50</v>
      </c>
      <c r="E683" t="str">
        <f>_xlfn.CONCAT(makulatura4[[#This Row],[Imie]]," ",makulatura4[[#This Row],[Nazwisko]])</f>
        <v>Lukasz Czarnecki</v>
      </c>
    </row>
    <row r="684" spans="1:5" x14ac:dyDescent="0.25">
      <c r="A684" s="1">
        <v>42830</v>
      </c>
      <c r="B684" s="2" t="s">
        <v>43</v>
      </c>
      <c r="C684" s="2" t="s">
        <v>71</v>
      </c>
      <c r="D684">
        <v>26</v>
      </c>
      <c r="E684" t="str">
        <f>_xlfn.CONCAT(makulatura4[[#This Row],[Imie]]," ",makulatura4[[#This Row],[Nazwisko]])</f>
        <v>Andrzej Augustowski</v>
      </c>
    </row>
    <row r="685" spans="1:5" x14ac:dyDescent="0.25">
      <c r="A685" s="1">
        <v>42830</v>
      </c>
      <c r="B685" s="2" t="s">
        <v>536</v>
      </c>
      <c r="C685" s="2" t="s">
        <v>537</v>
      </c>
      <c r="D685">
        <v>42</v>
      </c>
      <c r="E685" t="str">
        <f>_xlfn.CONCAT(makulatura4[[#This Row],[Imie]]," ",makulatura4[[#This Row],[Nazwisko]])</f>
        <v>Morus Jasiak</v>
      </c>
    </row>
    <row r="686" spans="1:5" x14ac:dyDescent="0.25">
      <c r="A686" s="1">
        <v>42830</v>
      </c>
      <c r="B686" s="2" t="s">
        <v>538</v>
      </c>
      <c r="C686" s="2" t="s">
        <v>539</v>
      </c>
      <c r="D686">
        <v>39</v>
      </c>
      <c r="E686" t="str">
        <f>_xlfn.CONCAT(makulatura4[[#This Row],[Imie]]," ",makulatura4[[#This Row],[Nazwisko]])</f>
        <v>Julianna Procinska</v>
      </c>
    </row>
    <row r="687" spans="1:5" x14ac:dyDescent="0.25">
      <c r="A687" s="1">
        <v>42831</v>
      </c>
      <c r="B687" s="2" t="s">
        <v>30</v>
      </c>
      <c r="C687" s="2" t="s">
        <v>432</v>
      </c>
      <c r="D687">
        <v>17</v>
      </c>
      <c r="E687" t="str">
        <f>_xlfn.CONCAT(makulatura4[[#This Row],[Imie]]," ",makulatura4[[#This Row],[Nazwisko]])</f>
        <v>Maciej Tasz</v>
      </c>
    </row>
    <row r="688" spans="1:5" x14ac:dyDescent="0.25">
      <c r="A688" s="1">
        <v>42831</v>
      </c>
      <c r="B688" s="2" t="s">
        <v>4</v>
      </c>
      <c r="C688" s="2" t="s">
        <v>386</v>
      </c>
      <c r="D688">
        <v>10</v>
      </c>
      <c r="E688" t="str">
        <f>_xlfn.CONCAT(makulatura4[[#This Row],[Imie]]," ",makulatura4[[#This Row],[Nazwisko]])</f>
        <v>Agnieszka Kaminska</v>
      </c>
    </row>
    <row r="689" spans="1:5" x14ac:dyDescent="0.25">
      <c r="A689" s="1">
        <v>42831</v>
      </c>
      <c r="B689" s="2" t="s">
        <v>508</v>
      </c>
      <c r="C689" s="2" t="s">
        <v>509</v>
      </c>
      <c r="D689">
        <v>13</v>
      </c>
      <c r="E689" t="str">
        <f>_xlfn.CONCAT(makulatura4[[#This Row],[Imie]]," ",makulatura4[[#This Row],[Nazwisko]])</f>
        <v>Dawid Szreder</v>
      </c>
    </row>
    <row r="690" spans="1:5" x14ac:dyDescent="0.25">
      <c r="A690" s="1">
        <v>42831</v>
      </c>
      <c r="B690" s="2" t="s">
        <v>523</v>
      </c>
      <c r="C690" s="2" t="s">
        <v>524</v>
      </c>
      <c r="D690">
        <v>7</v>
      </c>
      <c r="E690" t="str">
        <f>_xlfn.CONCAT(makulatura4[[#This Row],[Imie]]," ",makulatura4[[#This Row],[Nazwisko]])</f>
        <v>Protazy Warszawski</v>
      </c>
    </row>
    <row r="691" spans="1:5" x14ac:dyDescent="0.25">
      <c r="A691" s="1">
        <v>42831</v>
      </c>
      <c r="B691" s="2" t="s">
        <v>128</v>
      </c>
      <c r="C691" s="2" t="s">
        <v>129</v>
      </c>
      <c r="D691">
        <v>32</v>
      </c>
      <c r="E691" t="str">
        <f>_xlfn.CONCAT(makulatura4[[#This Row],[Imie]]," ",makulatura4[[#This Row],[Nazwisko]])</f>
        <v>Wojciech Katowicki</v>
      </c>
    </row>
    <row r="692" spans="1:5" x14ac:dyDescent="0.25">
      <c r="A692" s="1">
        <v>42831</v>
      </c>
      <c r="B692" s="2" t="s">
        <v>53</v>
      </c>
      <c r="C692" s="2" t="s">
        <v>389</v>
      </c>
      <c r="D692">
        <v>16</v>
      </c>
      <c r="E692" t="str">
        <f>_xlfn.CONCAT(makulatura4[[#This Row],[Imie]]," ",makulatura4[[#This Row],[Nazwisko]])</f>
        <v>Wieslawa Krawiec</v>
      </c>
    </row>
    <row r="693" spans="1:5" x14ac:dyDescent="0.25">
      <c r="A693" s="1">
        <v>42831</v>
      </c>
      <c r="B693" s="2" t="s">
        <v>63</v>
      </c>
      <c r="C693" s="2" t="s">
        <v>411</v>
      </c>
      <c r="D693">
        <v>38</v>
      </c>
      <c r="E693" t="str">
        <f>_xlfn.CONCAT(makulatura4[[#This Row],[Imie]]," ",makulatura4[[#This Row],[Nazwisko]])</f>
        <v>Adrian Wozniak</v>
      </c>
    </row>
    <row r="694" spans="1:5" x14ac:dyDescent="0.25">
      <c r="A694" s="1">
        <v>42831</v>
      </c>
      <c r="B694" s="2" t="s">
        <v>161</v>
      </c>
      <c r="C694" s="2" t="s">
        <v>214</v>
      </c>
      <c r="D694">
        <v>10</v>
      </c>
      <c r="E694" t="str">
        <f>_xlfn.CONCAT(makulatura4[[#This Row],[Imie]]," ",makulatura4[[#This Row],[Nazwisko]])</f>
        <v>Anita Woloszyn</v>
      </c>
    </row>
    <row r="695" spans="1:5" x14ac:dyDescent="0.25">
      <c r="A695" s="1">
        <v>42832</v>
      </c>
      <c r="B695" s="2" t="s">
        <v>442</v>
      </c>
      <c r="C695" s="2" t="s">
        <v>540</v>
      </c>
      <c r="D695">
        <v>19</v>
      </c>
      <c r="E695" t="str">
        <f>_xlfn.CONCAT(makulatura4[[#This Row],[Imie]]," ",makulatura4[[#This Row],[Nazwisko]])</f>
        <v>Nikodem Jakubowski</v>
      </c>
    </row>
    <row r="696" spans="1:5" x14ac:dyDescent="0.25">
      <c r="A696" s="1">
        <v>42832</v>
      </c>
      <c r="B696" s="2" t="s">
        <v>171</v>
      </c>
      <c r="C696" s="2" t="s">
        <v>468</v>
      </c>
      <c r="D696">
        <v>17</v>
      </c>
      <c r="E696" t="str">
        <f>_xlfn.CONCAT(makulatura4[[#This Row],[Imie]]," ",makulatura4[[#This Row],[Nazwisko]])</f>
        <v>Zofia Broukin</v>
      </c>
    </row>
    <row r="697" spans="1:5" x14ac:dyDescent="0.25">
      <c r="A697" s="1">
        <v>42832</v>
      </c>
      <c r="B697" s="2" t="s">
        <v>79</v>
      </c>
      <c r="C697" s="2" t="s">
        <v>80</v>
      </c>
      <c r="D697">
        <v>2</v>
      </c>
      <c r="E697" t="str">
        <f>_xlfn.CONCAT(makulatura4[[#This Row],[Imie]]," ",makulatura4[[#This Row],[Nazwisko]])</f>
        <v>Adelajda Zylinska</v>
      </c>
    </row>
    <row r="698" spans="1:5" x14ac:dyDescent="0.25">
      <c r="A698" s="1">
        <v>42832</v>
      </c>
      <c r="B698" s="2" t="s">
        <v>541</v>
      </c>
      <c r="C698" s="2" t="s">
        <v>542</v>
      </c>
      <c r="D698">
        <v>15</v>
      </c>
      <c r="E698" t="str">
        <f>_xlfn.CONCAT(makulatura4[[#This Row],[Imie]]," ",makulatura4[[#This Row],[Nazwisko]])</f>
        <v>Leslaw Kupis</v>
      </c>
    </row>
    <row r="699" spans="1:5" x14ac:dyDescent="0.25">
      <c r="A699" s="1">
        <v>42832</v>
      </c>
      <c r="B699" s="2" t="s">
        <v>244</v>
      </c>
      <c r="C699" s="2" t="s">
        <v>245</v>
      </c>
      <c r="D699">
        <v>12</v>
      </c>
      <c r="E699" t="str">
        <f>_xlfn.CONCAT(makulatura4[[#This Row],[Imie]]," ",makulatura4[[#This Row],[Nazwisko]])</f>
        <v>Adela Waruszewska</v>
      </c>
    </row>
    <row r="700" spans="1:5" x14ac:dyDescent="0.25">
      <c r="A700" s="1">
        <v>42832</v>
      </c>
      <c r="B700" s="2" t="s">
        <v>206</v>
      </c>
      <c r="C700" s="2" t="s">
        <v>332</v>
      </c>
      <c r="D700">
        <v>25</v>
      </c>
      <c r="E700" t="str">
        <f>_xlfn.CONCAT(makulatura4[[#This Row],[Imie]]," ",makulatura4[[#This Row],[Nazwisko]])</f>
        <v>Pawel Furmaniak</v>
      </c>
    </row>
    <row r="701" spans="1:5" x14ac:dyDescent="0.25">
      <c r="A701" s="1">
        <v>42832</v>
      </c>
      <c r="B701" s="2" t="s">
        <v>150</v>
      </c>
      <c r="C701" s="2" t="s">
        <v>258</v>
      </c>
      <c r="D701">
        <v>6</v>
      </c>
      <c r="E701" t="str">
        <f>_xlfn.CONCAT(makulatura4[[#This Row],[Imie]]," ",makulatura4[[#This Row],[Nazwisko]])</f>
        <v>Krzysztof Figurski</v>
      </c>
    </row>
    <row r="702" spans="1:5" x14ac:dyDescent="0.25">
      <c r="A702" s="1">
        <v>42832</v>
      </c>
      <c r="B702" s="2" t="s">
        <v>161</v>
      </c>
      <c r="C702" s="2" t="s">
        <v>162</v>
      </c>
      <c r="D702">
        <v>19</v>
      </c>
      <c r="E702" t="str">
        <f>_xlfn.CONCAT(makulatura4[[#This Row],[Imie]]," ",makulatura4[[#This Row],[Nazwisko]])</f>
        <v>Anita Pawelczyk</v>
      </c>
    </row>
    <row r="703" spans="1:5" x14ac:dyDescent="0.25">
      <c r="A703" s="1">
        <v>42835</v>
      </c>
      <c r="B703" s="2" t="s">
        <v>352</v>
      </c>
      <c r="C703" s="2" t="s">
        <v>363</v>
      </c>
      <c r="D703">
        <v>15</v>
      </c>
      <c r="E703" t="str">
        <f>_xlfn.CONCAT(makulatura4[[#This Row],[Imie]]," ",makulatura4[[#This Row],[Nazwisko]])</f>
        <v>Ilona Gorska</v>
      </c>
    </row>
    <row r="704" spans="1:5" x14ac:dyDescent="0.25">
      <c r="A704" s="1">
        <v>42835</v>
      </c>
      <c r="B704" s="2" t="s">
        <v>219</v>
      </c>
      <c r="C704" s="2" t="s">
        <v>543</v>
      </c>
      <c r="D704">
        <v>9</v>
      </c>
      <c r="E704" t="str">
        <f>_xlfn.CONCAT(makulatura4[[#This Row],[Imie]]," ",makulatura4[[#This Row],[Nazwisko]])</f>
        <v>Beata Mirowska</v>
      </c>
    </row>
    <row r="705" spans="1:5" x14ac:dyDescent="0.25">
      <c r="A705" s="1">
        <v>42835</v>
      </c>
      <c r="B705" s="2" t="s">
        <v>544</v>
      </c>
      <c r="C705" s="2" t="s">
        <v>145</v>
      </c>
      <c r="D705">
        <v>35</v>
      </c>
      <c r="E705" t="str">
        <f>_xlfn.CONCAT(makulatura4[[#This Row],[Imie]]," ",makulatura4[[#This Row],[Nazwisko]])</f>
        <v>Bartlomiej Wojciechowski</v>
      </c>
    </row>
    <row r="706" spans="1:5" x14ac:dyDescent="0.25">
      <c r="A706" s="1">
        <v>42835</v>
      </c>
      <c r="B706" s="2" t="s">
        <v>8</v>
      </c>
      <c r="C706" s="2" t="s">
        <v>545</v>
      </c>
      <c r="D706">
        <v>44</v>
      </c>
      <c r="E706" t="str">
        <f>_xlfn.CONCAT(makulatura4[[#This Row],[Imie]]," ",makulatura4[[#This Row],[Nazwisko]])</f>
        <v>Agata Kolacz</v>
      </c>
    </row>
    <row r="707" spans="1:5" x14ac:dyDescent="0.25">
      <c r="A707" s="1">
        <v>42835</v>
      </c>
      <c r="B707" s="2" t="s">
        <v>83</v>
      </c>
      <c r="C707" s="2" t="s">
        <v>84</v>
      </c>
      <c r="D707">
        <v>36</v>
      </c>
      <c r="E707" t="str">
        <f>_xlfn.CONCAT(makulatura4[[#This Row],[Imie]]," ",makulatura4[[#This Row],[Nazwisko]])</f>
        <v>Jan Gacek</v>
      </c>
    </row>
    <row r="708" spans="1:5" x14ac:dyDescent="0.25">
      <c r="A708" s="1">
        <v>42835</v>
      </c>
      <c r="B708" s="2" t="s">
        <v>45</v>
      </c>
      <c r="C708" s="2" t="s">
        <v>546</v>
      </c>
      <c r="D708">
        <v>53</v>
      </c>
      <c r="E708" t="str">
        <f>_xlfn.CONCAT(makulatura4[[#This Row],[Imie]]," ",makulatura4[[#This Row],[Nazwisko]])</f>
        <v>Zuzanna Adamczyk</v>
      </c>
    </row>
    <row r="709" spans="1:5" x14ac:dyDescent="0.25">
      <c r="A709" s="1">
        <v>42835</v>
      </c>
      <c r="B709" s="2" t="s">
        <v>83</v>
      </c>
      <c r="C709" s="2" t="s">
        <v>547</v>
      </c>
      <c r="D709">
        <v>12</v>
      </c>
      <c r="E709" t="str">
        <f>_xlfn.CONCAT(makulatura4[[#This Row],[Imie]]," ",makulatura4[[#This Row],[Nazwisko]])</f>
        <v>Jan Pawelec</v>
      </c>
    </row>
    <row r="710" spans="1:5" x14ac:dyDescent="0.25">
      <c r="A710" s="1">
        <v>42835</v>
      </c>
      <c r="B710" s="2" t="s">
        <v>141</v>
      </c>
      <c r="C710" s="2" t="s">
        <v>202</v>
      </c>
      <c r="D710">
        <v>29</v>
      </c>
      <c r="E710" t="str">
        <f>_xlfn.CONCAT(makulatura4[[#This Row],[Imie]]," ",makulatura4[[#This Row],[Nazwisko]])</f>
        <v>Joanna Wrobel</v>
      </c>
    </row>
    <row r="711" spans="1:5" x14ac:dyDescent="0.25">
      <c r="A711" s="1">
        <v>42836</v>
      </c>
      <c r="B711" s="2" t="s">
        <v>36</v>
      </c>
      <c r="C711" s="2" t="s">
        <v>404</v>
      </c>
      <c r="D711">
        <v>9</v>
      </c>
      <c r="E711" t="str">
        <f>_xlfn.CONCAT(makulatura4[[#This Row],[Imie]]," ",makulatura4[[#This Row],[Nazwisko]])</f>
        <v>Piotr Polkowicki</v>
      </c>
    </row>
    <row r="712" spans="1:5" x14ac:dyDescent="0.25">
      <c r="A712" s="1">
        <v>42836</v>
      </c>
      <c r="B712" s="2" t="s">
        <v>8</v>
      </c>
      <c r="C712" s="2" t="s">
        <v>322</v>
      </c>
      <c r="D712">
        <v>29</v>
      </c>
      <c r="E712" t="str">
        <f>_xlfn.CONCAT(makulatura4[[#This Row],[Imie]]," ",makulatura4[[#This Row],[Nazwisko]])</f>
        <v>Agata Zdrojewska</v>
      </c>
    </row>
    <row r="713" spans="1:5" x14ac:dyDescent="0.25">
      <c r="A713" s="1">
        <v>42836</v>
      </c>
      <c r="B713" s="2" t="s">
        <v>75</v>
      </c>
      <c r="C713" s="2" t="s">
        <v>46</v>
      </c>
      <c r="D713">
        <v>6</v>
      </c>
      <c r="E713" t="str">
        <f>_xlfn.CONCAT(makulatura4[[#This Row],[Imie]]," ",makulatura4[[#This Row],[Nazwisko]])</f>
        <v>Hanna Malicki</v>
      </c>
    </row>
    <row r="714" spans="1:5" x14ac:dyDescent="0.25">
      <c r="A714" s="1">
        <v>42836</v>
      </c>
      <c r="B714" s="2" t="s">
        <v>189</v>
      </c>
      <c r="C714" s="2" t="s">
        <v>190</v>
      </c>
      <c r="D714">
        <v>12</v>
      </c>
      <c r="E714" t="str">
        <f>_xlfn.CONCAT(makulatura4[[#This Row],[Imie]]," ",makulatura4[[#This Row],[Nazwisko]])</f>
        <v>Weronika Zdroj</v>
      </c>
    </row>
    <row r="715" spans="1:5" x14ac:dyDescent="0.25">
      <c r="A715" s="1">
        <v>42836</v>
      </c>
      <c r="B715" s="2" t="s">
        <v>83</v>
      </c>
      <c r="C715" s="2" t="s">
        <v>91</v>
      </c>
      <c r="D715">
        <v>23</v>
      </c>
      <c r="E715" t="str">
        <f>_xlfn.CONCAT(makulatura4[[#This Row],[Imie]]," ",makulatura4[[#This Row],[Nazwisko]])</f>
        <v>Jan Sznuk</v>
      </c>
    </row>
    <row r="716" spans="1:5" x14ac:dyDescent="0.25">
      <c r="A716" s="1">
        <v>42836</v>
      </c>
      <c r="B716" s="2" t="s">
        <v>498</v>
      </c>
      <c r="C716" s="2" t="s">
        <v>110</v>
      </c>
      <c r="D716">
        <v>21</v>
      </c>
      <c r="E716" t="str">
        <f>_xlfn.CONCAT(makulatura4[[#This Row],[Imie]]," ",makulatura4[[#This Row],[Nazwisko]])</f>
        <v>Bogdan Inny</v>
      </c>
    </row>
    <row r="717" spans="1:5" x14ac:dyDescent="0.25">
      <c r="A717" s="1">
        <v>42836</v>
      </c>
      <c r="B717" s="2" t="s">
        <v>271</v>
      </c>
      <c r="C717" s="2" t="s">
        <v>548</v>
      </c>
      <c r="D717">
        <v>16</v>
      </c>
      <c r="E717" t="str">
        <f>_xlfn.CONCAT(makulatura4[[#This Row],[Imie]]," ",makulatura4[[#This Row],[Nazwisko]])</f>
        <v>Olgierd Hazubski</v>
      </c>
    </row>
    <row r="718" spans="1:5" x14ac:dyDescent="0.25">
      <c r="A718" s="1">
        <v>42836</v>
      </c>
      <c r="B718" s="2" t="s">
        <v>365</v>
      </c>
      <c r="C718" s="2" t="s">
        <v>366</v>
      </c>
      <c r="D718">
        <v>21</v>
      </c>
      <c r="E718" t="str">
        <f>_xlfn.CONCAT(makulatura4[[#This Row],[Imie]]," ",makulatura4[[#This Row],[Nazwisko]])</f>
        <v>Arleta Pawlik</v>
      </c>
    </row>
    <row r="719" spans="1:5" x14ac:dyDescent="0.25">
      <c r="A719" s="1">
        <v>42837</v>
      </c>
      <c r="B719" s="2" t="s">
        <v>246</v>
      </c>
      <c r="C719" s="2" t="s">
        <v>247</v>
      </c>
      <c r="D719">
        <v>25</v>
      </c>
      <c r="E719" t="str">
        <f>_xlfn.CONCAT(makulatura4[[#This Row],[Imie]]," ",makulatura4[[#This Row],[Nazwisko]])</f>
        <v>Inez Nahaj</v>
      </c>
    </row>
    <row r="720" spans="1:5" x14ac:dyDescent="0.25">
      <c r="A720" s="1">
        <v>42837</v>
      </c>
      <c r="B720" s="2" t="s">
        <v>484</v>
      </c>
      <c r="C720" s="2" t="s">
        <v>485</v>
      </c>
      <c r="D720">
        <v>4</v>
      </c>
      <c r="E720" t="str">
        <f>_xlfn.CONCAT(makulatura4[[#This Row],[Imie]]," ",makulatura4[[#This Row],[Nazwisko]])</f>
        <v>Roman Grodecki</v>
      </c>
    </row>
    <row r="721" spans="1:5" x14ac:dyDescent="0.25">
      <c r="A721" s="1">
        <v>42837</v>
      </c>
      <c r="B721" s="2" t="s">
        <v>53</v>
      </c>
      <c r="C721" s="2" t="s">
        <v>191</v>
      </c>
      <c r="D721">
        <v>19</v>
      </c>
      <c r="E721" t="str">
        <f>_xlfn.CONCAT(makulatura4[[#This Row],[Imie]]," ",makulatura4[[#This Row],[Nazwisko]])</f>
        <v>Wieslawa Biczysko</v>
      </c>
    </row>
    <row r="722" spans="1:5" x14ac:dyDescent="0.25">
      <c r="A722" s="1">
        <v>42837</v>
      </c>
      <c r="B722" s="2" t="s">
        <v>92</v>
      </c>
      <c r="C722" s="2" t="s">
        <v>93</v>
      </c>
      <c r="D722">
        <v>17</v>
      </c>
      <c r="E722" t="str">
        <f>_xlfn.CONCAT(makulatura4[[#This Row],[Imie]]," ",makulatura4[[#This Row],[Nazwisko]])</f>
        <v>Paulina Szklarska</v>
      </c>
    </row>
    <row r="723" spans="1:5" x14ac:dyDescent="0.25">
      <c r="A723" s="1">
        <v>42837</v>
      </c>
      <c r="B723" s="2" t="s">
        <v>12</v>
      </c>
      <c r="C723" s="2" t="s">
        <v>549</v>
      </c>
      <c r="D723">
        <v>9</v>
      </c>
      <c r="E723" t="str">
        <f>_xlfn.CONCAT(makulatura4[[#This Row],[Imie]]," ",makulatura4[[#This Row],[Nazwisko]])</f>
        <v>Maja Leman</v>
      </c>
    </row>
    <row r="724" spans="1:5" x14ac:dyDescent="0.25">
      <c r="A724" s="1">
        <v>42837</v>
      </c>
      <c r="B724" s="2" t="s">
        <v>329</v>
      </c>
      <c r="C724" s="2" t="s">
        <v>330</v>
      </c>
      <c r="D724">
        <v>8</v>
      </c>
      <c r="E724" t="str">
        <f>_xlfn.CONCAT(makulatura4[[#This Row],[Imie]]," ",makulatura4[[#This Row],[Nazwisko]])</f>
        <v>Martyna Marmelowska</v>
      </c>
    </row>
    <row r="725" spans="1:5" x14ac:dyDescent="0.25">
      <c r="A725" s="1">
        <v>42837</v>
      </c>
      <c r="B725" s="2" t="s">
        <v>232</v>
      </c>
      <c r="C725" s="2" t="s">
        <v>378</v>
      </c>
      <c r="D725">
        <v>11</v>
      </c>
      <c r="E725" t="str">
        <f>_xlfn.CONCAT(makulatura4[[#This Row],[Imie]]," ",makulatura4[[#This Row],[Nazwisko]])</f>
        <v>Monika Placzek</v>
      </c>
    </row>
    <row r="726" spans="1:5" x14ac:dyDescent="0.25">
      <c r="A726" s="1">
        <v>42837</v>
      </c>
      <c r="B726" s="2" t="s">
        <v>244</v>
      </c>
      <c r="C726" s="2" t="s">
        <v>245</v>
      </c>
      <c r="D726">
        <v>26</v>
      </c>
      <c r="E726" t="str">
        <f>_xlfn.CONCAT(makulatura4[[#This Row],[Imie]]," ",makulatura4[[#This Row],[Nazwisko]])</f>
        <v>Adela Waruszewska</v>
      </c>
    </row>
    <row r="727" spans="1:5" x14ac:dyDescent="0.25">
      <c r="A727" s="1">
        <v>42837</v>
      </c>
      <c r="B727" s="2" t="s">
        <v>141</v>
      </c>
      <c r="C727" s="2" t="s">
        <v>550</v>
      </c>
      <c r="D727">
        <v>23</v>
      </c>
      <c r="E727" t="str">
        <f>_xlfn.CONCAT(makulatura4[[#This Row],[Imie]]," ",makulatura4[[#This Row],[Nazwisko]])</f>
        <v>Joanna Oleksiak</v>
      </c>
    </row>
    <row r="728" spans="1:5" x14ac:dyDescent="0.25">
      <c r="A728" s="1">
        <v>42838</v>
      </c>
      <c r="B728" s="2" t="s">
        <v>203</v>
      </c>
      <c r="C728" s="2" t="s">
        <v>370</v>
      </c>
      <c r="D728">
        <v>55</v>
      </c>
      <c r="E728" t="str">
        <f>_xlfn.CONCAT(makulatura4[[#This Row],[Imie]]," ",makulatura4[[#This Row],[Nazwisko]])</f>
        <v>Igor Rybinski</v>
      </c>
    </row>
    <row r="729" spans="1:5" x14ac:dyDescent="0.25">
      <c r="A729" s="1">
        <v>42838</v>
      </c>
      <c r="B729" s="2" t="s">
        <v>171</v>
      </c>
      <c r="C729" s="2" t="s">
        <v>172</v>
      </c>
      <c r="D729">
        <v>38</v>
      </c>
      <c r="E729" t="str">
        <f>_xlfn.CONCAT(makulatura4[[#This Row],[Imie]]," ",makulatura4[[#This Row],[Nazwisko]])</f>
        <v>Zofia Janczy</v>
      </c>
    </row>
    <row r="730" spans="1:5" x14ac:dyDescent="0.25">
      <c r="A730" s="1">
        <v>42838</v>
      </c>
      <c r="B730" s="2" t="s">
        <v>97</v>
      </c>
      <c r="C730" s="2" t="s">
        <v>309</v>
      </c>
      <c r="D730">
        <v>9</v>
      </c>
      <c r="E730" t="str">
        <f>_xlfn.CONCAT(makulatura4[[#This Row],[Imie]]," ",makulatura4[[#This Row],[Nazwisko]])</f>
        <v>Mateusz Filipowicz</v>
      </c>
    </row>
    <row r="731" spans="1:5" x14ac:dyDescent="0.25">
      <c r="A731" s="1">
        <v>42838</v>
      </c>
      <c r="B731" s="2" t="s">
        <v>221</v>
      </c>
      <c r="C731" s="2" t="s">
        <v>551</v>
      </c>
      <c r="D731">
        <v>34</v>
      </c>
      <c r="E731" t="str">
        <f>_xlfn.CONCAT(makulatura4[[#This Row],[Imie]]," ",makulatura4[[#This Row],[Nazwisko]])</f>
        <v>Marzena Parasiewicz</v>
      </c>
    </row>
    <row r="732" spans="1:5" x14ac:dyDescent="0.25">
      <c r="A732" s="1">
        <v>42838</v>
      </c>
      <c r="B732" s="2" t="s">
        <v>232</v>
      </c>
      <c r="C732" s="2" t="s">
        <v>487</v>
      </c>
      <c r="D732">
        <v>14</v>
      </c>
      <c r="E732" t="str">
        <f>_xlfn.CONCAT(makulatura4[[#This Row],[Imie]]," ",makulatura4[[#This Row],[Nazwisko]])</f>
        <v>Monika Lis</v>
      </c>
    </row>
    <row r="733" spans="1:5" x14ac:dyDescent="0.25">
      <c r="A733" s="1">
        <v>42838</v>
      </c>
      <c r="B733" s="2" t="s">
        <v>69</v>
      </c>
      <c r="C733" s="2" t="s">
        <v>70</v>
      </c>
      <c r="D733">
        <v>5</v>
      </c>
      <c r="E733" t="str">
        <f>_xlfn.CONCAT(makulatura4[[#This Row],[Imie]]," ",makulatura4[[#This Row],[Nazwisko]])</f>
        <v>Adam Wata</v>
      </c>
    </row>
    <row r="734" spans="1:5" x14ac:dyDescent="0.25">
      <c r="A734" s="1">
        <v>42838</v>
      </c>
      <c r="B734" s="2" t="s">
        <v>41</v>
      </c>
      <c r="C734" s="2" t="s">
        <v>302</v>
      </c>
      <c r="D734">
        <v>2</v>
      </c>
      <c r="E734" t="str">
        <f>_xlfn.CONCAT(makulatura4[[#This Row],[Imie]]," ",makulatura4[[#This Row],[Nazwisko]])</f>
        <v>Marta Wloczkow</v>
      </c>
    </row>
    <row r="735" spans="1:5" x14ac:dyDescent="0.25">
      <c r="A735" s="1">
        <v>42838</v>
      </c>
      <c r="B735" s="2" t="s">
        <v>144</v>
      </c>
      <c r="C735" s="2" t="s">
        <v>145</v>
      </c>
      <c r="D735">
        <v>20</v>
      </c>
      <c r="E735" t="str">
        <f>_xlfn.CONCAT(makulatura4[[#This Row],[Imie]]," ",makulatura4[[#This Row],[Nazwisko]])</f>
        <v>Aleksander Wojciechowski</v>
      </c>
    </row>
    <row r="736" spans="1:5" x14ac:dyDescent="0.25">
      <c r="A736" s="1">
        <v>42838</v>
      </c>
      <c r="B736" s="2" t="s">
        <v>18</v>
      </c>
      <c r="C736" s="2" t="s">
        <v>19</v>
      </c>
      <c r="D736">
        <v>6</v>
      </c>
      <c r="E736" t="str">
        <f>_xlfn.CONCAT(makulatura4[[#This Row],[Imie]]," ",makulatura4[[#This Row],[Nazwisko]])</f>
        <v>Filip Spychala</v>
      </c>
    </row>
    <row r="737" spans="1:5" x14ac:dyDescent="0.25">
      <c r="A737" s="1">
        <v>42838</v>
      </c>
      <c r="B737" s="2" t="s">
        <v>83</v>
      </c>
      <c r="C737" s="2" t="s">
        <v>136</v>
      </c>
      <c r="D737">
        <v>22</v>
      </c>
      <c r="E737" t="str">
        <f>_xlfn.CONCAT(makulatura4[[#This Row],[Imie]]," ",makulatura4[[#This Row],[Nazwisko]])</f>
        <v>Jan Kaczorowski</v>
      </c>
    </row>
    <row r="738" spans="1:5" x14ac:dyDescent="0.25">
      <c r="A738" s="1">
        <v>42838</v>
      </c>
      <c r="B738" s="2" t="s">
        <v>169</v>
      </c>
      <c r="C738" s="2" t="s">
        <v>170</v>
      </c>
      <c r="D738">
        <v>26</v>
      </c>
      <c r="E738" t="str">
        <f>_xlfn.CONCAT(makulatura4[[#This Row],[Imie]]," ",makulatura4[[#This Row],[Nazwisko]])</f>
        <v>Aleks Wojcik</v>
      </c>
    </row>
    <row r="739" spans="1:5" x14ac:dyDescent="0.25">
      <c r="A739" s="1">
        <v>42838</v>
      </c>
      <c r="B739" s="2" t="s">
        <v>69</v>
      </c>
      <c r="C739" s="2" t="s">
        <v>286</v>
      </c>
      <c r="D739">
        <v>27</v>
      </c>
      <c r="E739" t="str">
        <f>_xlfn.CONCAT(makulatura4[[#This Row],[Imie]]," ",makulatura4[[#This Row],[Nazwisko]])</f>
        <v>Adam Zega</v>
      </c>
    </row>
    <row r="740" spans="1:5" x14ac:dyDescent="0.25">
      <c r="A740" s="1">
        <v>42838</v>
      </c>
      <c r="B740" s="2" t="s">
        <v>141</v>
      </c>
      <c r="C740" s="2" t="s">
        <v>202</v>
      </c>
      <c r="D740">
        <v>26</v>
      </c>
      <c r="E740" t="str">
        <f>_xlfn.CONCAT(makulatura4[[#This Row],[Imie]]," ",makulatura4[[#This Row],[Nazwisko]])</f>
        <v>Joanna Wrobel</v>
      </c>
    </row>
    <row r="741" spans="1:5" x14ac:dyDescent="0.25">
      <c r="A741" s="1">
        <v>42838</v>
      </c>
      <c r="B741" s="2" t="s">
        <v>43</v>
      </c>
      <c r="C741" s="2" t="s">
        <v>507</v>
      </c>
      <c r="D741">
        <v>29</v>
      </c>
      <c r="E741" t="str">
        <f>_xlfn.CONCAT(makulatura4[[#This Row],[Imie]]," ",makulatura4[[#This Row],[Nazwisko]])</f>
        <v>Andrzej Nawwrot</v>
      </c>
    </row>
    <row r="742" spans="1:5" x14ac:dyDescent="0.25">
      <c r="A742" s="1">
        <v>42838</v>
      </c>
      <c r="B742" s="2" t="s">
        <v>106</v>
      </c>
      <c r="C742" s="2" t="s">
        <v>277</v>
      </c>
      <c r="D742">
        <v>10</v>
      </c>
      <c r="E742" t="str">
        <f>_xlfn.CONCAT(makulatura4[[#This Row],[Imie]]," ",makulatura4[[#This Row],[Nazwisko]])</f>
        <v>Lena Marzec</v>
      </c>
    </row>
    <row r="743" spans="1:5" x14ac:dyDescent="0.25">
      <c r="A743" s="1">
        <v>42839</v>
      </c>
      <c r="B743" s="2" t="s">
        <v>167</v>
      </c>
      <c r="C743" s="2" t="s">
        <v>552</v>
      </c>
      <c r="D743">
        <v>37</v>
      </c>
      <c r="E743" t="str">
        <f>_xlfn.CONCAT(makulatura4[[#This Row],[Imie]]," ",makulatura4[[#This Row],[Nazwisko]])</f>
        <v>Wanda Chojnacka</v>
      </c>
    </row>
    <row r="744" spans="1:5" x14ac:dyDescent="0.25">
      <c r="A744" s="1">
        <v>42839</v>
      </c>
      <c r="B744" s="2" t="s">
        <v>232</v>
      </c>
      <c r="C744" s="2" t="s">
        <v>405</v>
      </c>
      <c r="D744">
        <v>7</v>
      </c>
      <c r="E744" t="str">
        <f>_xlfn.CONCAT(makulatura4[[#This Row],[Imie]]," ",makulatura4[[#This Row],[Nazwisko]])</f>
        <v>Monika Nowaczkiewicz</v>
      </c>
    </row>
    <row r="745" spans="1:5" x14ac:dyDescent="0.25">
      <c r="A745" s="1">
        <v>42839</v>
      </c>
      <c r="B745" s="2" t="s">
        <v>101</v>
      </c>
      <c r="C745" s="2" t="s">
        <v>293</v>
      </c>
      <c r="D745">
        <v>44</v>
      </c>
      <c r="E745" t="str">
        <f>_xlfn.CONCAT(makulatura4[[#This Row],[Imie]]," ",makulatura4[[#This Row],[Nazwisko]])</f>
        <v>Maria Kowalczuk</v>
      </c>
    </row>
    <row r="746" spans="1:5" x14ac:dyDescent="0.25">
      <c r="A746" s="1">
        <v>42839</v>
      </c>
      <c r="B746" s="2" t="s">
        <v>367</v>
      </c>
      <c r="C746" s="2" t="s">
        <v>368</v>
      </c>
      <c r="D746">
        <v>11</v>
      </c>
      <c r="E746" t="str">
        <f>_xlfn.CONCAT(makulatura4[[#This Row],[Imie]]," ",makulatura4[[#This Row],[Nazwisko]])</f>
        <v>Szymon Mrozniak</v>
      </c>
    </row>
    <row r="747" spans="1:5" x14ac:dyDescent="0.25">
      <c r="A747" s="1">
        <v>42839</v>
      </c>
      <c r="B747" s="2" t="s">
        <v>553</v>
      </c>
      <c r="C747" s="2" t="s">
        <v>554</v>
      </c>
      <c r="D747">
        <v>25</v>
      </c>
      <c r="E747" t="str">
        <f>_xlfn.CONCAT(makulatura4[[#This Row],[Imie]]," ",makulatura4[[#This Row],[Nazwisko]])</f>
        <v>Marian Bukalski</v>
      </c>
    </row>
    <row r="748" spans="1:5" x14ac:dyDescent="0.25">
      <c r="A748" s="1">
        <v>42839</v>
      </c>
      <c r="B748" s="2" t="s">
        <v>412</v>
      </c>
      <c r="C748" s="2" t="s">
        <v>413</v>
      </c>
      <c r="D748">
        <v>18</v>
      </c>
      <c r="E748" t="str">
        <f>_xlfn.CONCAT(makulatura4[[#This Row],[Imie]]," ",makulatura4[[#This Row],[Nazwisko]])</f>
        <v>Matylda Kluziak</v>
      </c>
    </row>
    <row r="749" spans="1:5" x14ac:dyDescent="0.25">
      <c r="A749" s="1">
        <v>42842</v>
      </c>
      <c r="B749" s="2" t="s">
        <v>528</v>
      </c>
      <c r="C749" s="2" t="s">
        <v>428</v>
      </c>
      <c r="D749">
        <v>44</v>
      </c>
      <c r="E749" t="str">
        <f>_xlfn.CONCAT(makulatura4[[#This Row],[Imie]]," ",makulatura4[[#This Row],[Nazwisko]])</f>
        <v>Lech Lisowski</v>
      </c>
    </row>
    <row r="750" spans="1:5" x14ac:dyDescent="0.25">
      <c r="A750" s="1">
        <v>42842</v>
      </c>
      <c r="B750" s="2" t="s">
        <v>119</v>
      </c>
      <c r="C750" s="2" t="s">
        <v>319</v>
      </c>
      <c r="D750">
        <v>26</v>
      </c>
      <c r="E750" t="str">
        <f>_xlfn.CONCAT(makulatura4[[#This Row],[Imie]]," ",makulatura4[[#This Row],[Nazwisko]])</f>
        <v>Kamil Wolny</v>
      </c>
    </row>
    <row r="751" spans="1:5" x14ac:dyDescent="0.25">
      <c r="A751" s="1">
        <v>42842</v>
      </c>
      <c r="B751" s="2" t="s">
        <v>193</v>
      </c>
      <c r="C751" s="2" t="s">
        <v>555</v>
      </c>
      <c r="D751">
        <v>7</v>
      </c>
      <c r="E751" t="str">
        <f>_xlfn.CONCAT(makulatura4[[#This Row],[Imie]]," ",makulatura4[[#This Row],[Nazwisko]])</f>
        <v>Karolina Bok</v>
      </c>
    </row>
    <row r="752" spans="1:5" x14ac:dyDescent="0.25">
      <c r="A752" s="1">
        <v>42842</v>
      </c>
      <c r="B752" s="2" t="s">
        <v>43</v>
      </c>
      <c r="C752" s="2" t="s">
        <v>71</v>
      </c>
      <c r="D752">
        <v>41</v>
      </c>
      <c r="E752" t="str">
        <f>_xlfn.CONCAT(makulatura4[[#This Row],[Imie]]," ",makulatura4[[#This Row],[Nazwisko]])</f>
        <v>Andrzej Augustowski</v>
      </c>
    </row>
    <row r="753" spans="1:5" x14ac:dyDescent="0.25">
      <c r="A753" s="1">
        <v>42842</v>
      </c>
      <c r="B753" s="2" t="s">
        <v>232</v>
      </c>
      <c r="C753" s="2" t="s">
        <v>526</v>
      </c>
      <c r="D753">
        <v>46</v>
      </c>
      <c r="E753" t="str">
        <f>_xlfn.CONCAT(makulatura4[[#This Row],[Imie]]," ",makulatura4[[#This Row],[Nazwisko]])</f>
        <v>Monika Trojan</v>
      </c>
    </row>
    <row r="754" spans="1:5" x14ac:dyDescent="0.25">
      <c r="A754" s="1">
        <v>42842</v>
      </c>
      <c r="B754" s="2" t="s">
        <v>18</v>
      </c>
      <c r="C754" s="2" t="s">
        <v>392</v>
      </c>
      <c r="D754">
        <v>52</v>
      </c>
      <c r="E754" t="str">
        <f>_xlfn.CONCAT(makulatura4[[#This Row],[Imie]]," ",makulatura4[[#This Row],[Nazwisko]])</f>
        <v>Filip Stanulewicz</v>
      </c>
    </row>
    <row r="755" spans="1:5" x14ac:dyDescent="0.25">
      <c r="A755" s="1">
        <v>42843</v>
      </c>
      <c r="B755" s="2" t="s">
        <v>12</v>
      </c>
      <c r="C755" s="2" t="s">
        <v>386</v>
      </c>
      <c r="D755">
        <v>6</v>
      </c>
      <c r="E755" t="str">
        <f>_xlfn.CONCAT(makulatura4[[#This Row],[Imie]]," ",makulatura4[[#This Row],[Nazwisko]])</f>
        <v>Maja Kaminska</v>
      </c>
    </row>
    <row r="756" spans="1:5" x14ac:dyDescent="0.25">
      <c r="A756" s="1">
        <v>42843</v>
      </c>
      <c r="B756" s="2" t="s">
        <v>51</v>
      </c>
      <c r="C756" s="2" t="s">
        <v>358</v>
      </c>
      <c r="D756">
        <v>23</v>
      </c>
      <c r="E756" t="str">
        <f>_xlfn.CONCAT(makulatura4[[#This Row],[Imie]]," ",makulatura4[[#This Row],[Nazwisko]])</f>
        <v>Barbara Bury</v>
      </c>
    </row>
    <row r="757" spans="1:5" x14ac:dyDescent="0.25">
      <c r="A757" s="1">
        <v>42843</v>
      </c>
      <c r="B757" s="2" t="s">
        <v>275</v>
      </c>
      <c r="C757" s="2" t="s">
        <v>276</v>
      </c>
      <c r="D757">
        <v>22</v>
      </c>
      <c r="E757" t="str">
        <f>_xlfn.CONCAT(makulatura4[[#This Row],[Imie]]," ",makulatura4[[#This Row],[Nazwisko]])</f>
        <v>Andrea Witkowska</v>
      </c>
    </row>
    <row r="758" spans="1:5" x14ac:dyDescent="0.25">
      <c r="A758" s="1">
        <v>42843</v>
      </c>
      <c r="B758" s="2" t="s">
        <v>131</v>
      </c>
      <c r="C758" s="2" t="s">
        <v>451</v>
      </c>
      <c r="D758">
        <v>21</v>
      </c>
      <c r="E758" t="str">
        <f>_xlfn.CONCAT(makulatura4[[#This Row],[Imie]]," ",makulatura4[[#This Row],[Nazwisko]])</f>
        <v>Ewelina Bialkowska</v>
      </c>
    </row>
    <row r="759" spans="1:5" x14ac:dyDescent="0.25">
      <c r="A759" s="1">
        <v>42843</v>
      </c>
      <c r="B759" s="2" t="s">
        <v>30</v>
      </c>
      <c r="C759" s="2" t="s">
        <v>387</v>
      </c>
      <c r="D759">
        <v>29</v>
      </c>
      <c r="E759" t="str">
        <f>_xlfn.CONCAT(makulatura4[[#This Row],[Imie]]," ",makulatura4[[#This Row],[Nazwisko]])</f>
        <v>Maciej Machol</v>
      </c>
    </row>
    <row r="760" spans="1:5" x14ac:dyDescent="0.25">
      <c r="A760" s="1">
        <v>42843</v>
      </c>
      <c r="B760" s="2" t="s">
        <v>150</v>
      </c>
      <c r="C760" s="2" t="s">
        <v>556</v>
      </c>
      <c r="D760">
        <v>21</v>
      </c>
      <c r="E760" t="str">
        <f>_xlfn.CONCAT(makulatura4[[#This Row],[Imie]]," ",makulatura4[[#This Row],[Nazwisko]])</f>
        <v>Krzysztof Plecien</v>
      </c>
    </row>
    <row r="761" spans="1:5" x14ac:dyDescent="0.25">
      <c r="A761" s="1">
        <v>42844</v>
      </c>
      <c r="B761" s="2" t="s">
        <v>484</v>
      </c>
      <c r="C761" s="2" t="s">
        <v>485</v>
      </c>
      <c r="D761">
        <v>3</v>
      </c>
      <c r="E761" t="str">
        <f>_xlfn.CONCAT(makulatura4[[#This Row],[Imie]]," ",makulatura4[[#This Row],[Nazwisko]])</f>
        <v>Roman Grodecki</v>
      </c>
    </row>
    <row r="762" spans="1:5" x14ac:dyDescent="0.25">
      <c r="A762" s="1">
        <v>42844</v>
      </c>
      <c r="B762" s="2" t="s">
        <v>34</v>
      </c>
      <c r="C762" s="2" t="s">
        <v>557</v>
      </c>
      <c r="D762">
        <v>29</v>
      </c>
      <c r="E762" t="str">
        <f>_xlfn.CONCAT(makulatura4[[#This Row],[Imie]]," ",makulatura4[[#This Row],[Nazwisko]])</f>
        <v>Julia Sadowska</v>
      </c>
    </row>
    <row r="763" spans="1:5" x14ac:dyDescent="0.25">
      <c r="A763" s="1">
        <v>42844</v>
      </c>
      <c r="B763" s="2" t="s">
        <v>427</v>
      </c>
      <c r="C763" s="2" t="s">
        <v>558</v>
      </c>
      <c r="D763">
        <v>56</v>
      </c>
      <c r="E763" t="str">
        <f>_xlfn.CONCAT(makulatura4[[#This Row],[Imie]]," ",makulatura4[[#This Row],[Nazwisko]])</f>
        <v>Julian Pawik</v>
      </c>
    </row>
    <row r="764" spans="1:5" x14ac:dyDescent="0.25">
      <c r="A764" s="1">
        <v>42844</v>
      </c>
      <c r="B764" s="2" t="s">
        <v>201</v>
      </c>
      <c r="C764" s="2" t="s">
        <v>202</v>
      </c>
      <c r="D764">
        <v>15</v>
      </c>
      <c r="E764" t="str">
        <f>_xlfn.CONCAT(makulatura4[[#This Row],[Imie]]," ",makulatura4[[#This Row],[Nazwisko]])</f>
        <v>Marcin Wrobel</v>
      </c>
    </row>
    <row r="765" spans="1:5" x14ac:dyDescent="0.25">
      <c r="A765" s="1">
        <v>42844</v>
      </c>
      <c r="B765" s="2" t="s">
        <v>193</v>
      </c>
      <c r="C765" s="2" t="s">
        <v>194</v>
      </c>
      <c r="D765">
        <v>12</v>
      </c>
      <c r="E765" t="str">
        <f>_xlfn.CONCAT(makulatura4[[#This Row],[Imie]]," ",makulatura4[[#This Row],[Nazwisko]])</f>
        <v>Karolina Welc</v>
      </c>
    </row>
    <row r="766" spans="1:5" x14ac:dyDescent="0.25">
      <c r="A766" s="1">
        <v>42844</v>
      </c>
      <c r="B766" s="2" t="s">
        <v>55</v>
      </c>
      <c r="C766" s="2" t="s">
        <v>56</v>
      </c>
      <c r="D766">
        <v>19</v>
      </c>
      <c r="E766" t="str">
        <f>_xlfn.CONCAT(makulatura4[[#This Row],[Imie]]," ",makulatura4[[#This Row],[Nazwisko]])</f>
        <v>Anna Kosowicz</v>
      </c>
    </row>
    <row r="767" spans="1:5" x14ac:dyDescent="0.25">
      <c r="A767" s="1">
        <v>42845</v>
      </c>
      <c r="B767" s="2" t="s">
        <v>416</v>
      </c>
      <c r="C767" s="2" t="s">
        <v>417</v>
      </c>
      <c r="D767">
        <v>14</v>
      </c>
      <c r="E767" t="str">
        <f>_xlfn.CONCAT(makulatura4[[#This Row],[Imie]]," ",makulatura4[[#This Row],[Nazwisko]])</f>
        <v>Kazimierz Bartosik</v>
      </c>
    </row>
    <row r="768" spans="1:5" x14ac:dyDescent="0.25">
      <c r="A768" s="1">
        <v>42845</v>
      </c>
      <c r="B768" s="2" t="s">
        <v>234</v>
      </c>
      <c r="C768" s="2" t="s">
        <v>516</v>
      </c>
      <c r="D768">
        <v>42</v>
      </c>
      <c r="E768" t="str">
        <f>_xlfn.CONCAT(makulatura4[[#This Row],[Imie]]," ",makulatura4[[#This Row],[Nazwisko]])</f>
        <v>Magdalena Bach</v>
      </c>
    </row>
    <row r="769" spans="1:5" x14ac:dyDescent="0.25">
      <c r="A769" s="1">
        <v>42845</v>
      </c>
      <c r="B769" s="2" t="s">
        <v>128</v>
      </c>
      <c r="C769" s="2" t="s">
        <v>559</v>
      </c>
      <c r="D769">
        <v>10</v>
      </c>
      <c r="E769" t="str">
        <f>_xlfn.CONCAT(makulatura4[[#This Row],[Imie]]," ",makulatura4[[#This Row],[Nazwisko]])</f>
        <v>Wojciech Goc</v>
      </c>
    </row>
    <row r="770" spans="1:5" x14ac:dyDescent="0.25">
      <c r="A770" s="1">
        <v>42845</v>
      </c>
      <c r="B770" s="2" t="s">
        <v>55</v>
      </c>
      <c r="C770" s="2" t="s">
        <v>184</v>
      </c>
      <c r="D770">
        <v>20</v>
      </c>
      <c r="E770" t="str">
        <f>_xlfn.CONCAT(makulatura4[[#This Row],[Imie]]," ",makulatura4[[#This Row],[Nazwisko]])</f>
        <v>Anna Trzebiatowska</v>
      </c>
    </row>
    <row r="771" spans="1:5" x14ac:dyDescent="0.25">
      <c r="A771" s="1">
        <v>42845</v>
      </c>
      <c r="B771" s="2" t="s">
        <v>361</v>
      </c>
      <c r="C771" s="2" t="s">
        <v>362</v>
      </c>
      <c r="D771">
        <v>51</v>
      </c>
      <c r="E771" t="str">
        <f>_xlfn.CONCAT(makulatura4[[#This Row],[Imie]]," ",makulatura4[[#This Row],[Nazwisko]])</f>
        <v>Lidia Goluchowska</v>
      </c>
    </row>
    <row r="772" spans="1:5" x14ac:dyDescent="0.25">
      <c r="A772" s="1">
        <v>42845</v>
      </c>
      <c r="B772" s="2" t="s">
        <v>36</v>
      </c>
      <c r="C772" s="2" t="s">
        <v>560</v>
      </c>
      <c r="D772">
        <v>35</v>
      </c>
      <c r="E772" t="str">
        <f>_xlfn.CONCAT(makulatura4[[#This Row],[Imie]]," ",makulatura4[[#This Row],[Nazwisko]])</f>
        <v>Piotr Adamski</v>
      </c>
    </row>
    <row r="773" spans="1:5" x14ac:dyDescent="0.25">
      <c r="A773" s="1">
        <v>42846</v>
      </c>
      <c r="B773" s="2" t="s">
        <v>83</v>
      </c>
      <c r="C773" s="2" t="s">
        <v>561</v>
      </c>
      <c r="D773">
        <v>45</v>
      </c>
      <c r="E773" t="str">
        <f>_xlfn.CONCAT(makulatura4[[#This Row],[Imie]]," ",makulatura4[[#This Row],[Nazwisko]])</f>
        <v>Jan Jarek</v>
      </c>
    </row>
    <row r="774" spans="1:5" x14ac:dyDescent="0.25">
      <c r="A774" s="1">
        <v>42846</v>
      </c>
      <c r="B774" s="2" t="s">
        <v>87</v>
      </c>
      <c r="C774" s="2" t="s">
        <v>255</v>
      </c>
      <c r="D774">
        <v>29</v>
      </c>
      <c r="E774" t="str">
        <f>_xlfn.CONCAT(makulatura4[[#This Row],[Imie]]," ",makulatura4[[#This Row],[Nazwisko]])</f>
        <v>Ewa Czerwinska</v>
      </c>
    </row>
    <row r="775" spans="1:5" x14ac:dyDescent="0.25">
      <c r="A775" s="1">
        <v>42846</v>
      </c>
      <c r="B775" s="2" t="s">
        <v>43</v>
      </c>
      <c r="C775" s="2" t="s">
        <v>507</v>
      </c>
      <c r="D775">
        <v>5</v>
      </c>
      <c r="E775" t="str">
        <f>_xlfn.CONCAT(makulatura4[[#This Row],[Imie]]," ",makulatura4[[#This Row],[Nazwisko]])</f>
        <v>Andrzej Nawwrot</v>
      </c>
    </row>
    <row r="776" spans="1:5" x14ac:dyDescent="0.25">
      <c r="A776" s="1">
        <v>42846</v>
      </c>
      <c r="B776" s="2" t="s">
        <v>4</v>
      </c>
      <c r="C776" s="2" t="s">
        <v>197</v>
      </c>
      <c r="D776">
        <v>16</v>
      </c>
      <c r="E776" t="str">
        <f>_xlfn.CONCAT(makulatura4[[#This Row],[Imie]]," ",makulatura4[[#This Row],[Nazwisko]])</f>
        <v>Agnieszka Antos</v>
      </c>
    </row>
    <row r="777" spans="1:5" x14ac:dyDescent="0.25">
      <c r="A777" s="1">
        <v>42846</v>
      </c>
      <c r="B777" s="2" t="s">
        <v>352</v>
      </c>
      <c r="C777" s="2" t="s">
        <v>363</v>
      </c>
      <c r="D777">
        <v>25</v>
      </c>
      <c r="E777" t="str">
        <f>_xlfn.CONCAT(makulatura4[[#This Row],[Imie]]," ",makulatura4[[#This Row],[Nazwisko]])</f>
        <v>Ilona Gorska</v>
      </c>
    </row>
    <row r="778" spans="1:5" x14ac:dyDescent="0.25">
      <c r="A778" s="1">
        <v>42846</v>
      </c>
      <c r="B778" s="2" t="s">
        <v>171</v>
      </c>
      <c r="C778" s="2" t="s">
        <v>562</v>
      </c>
      <c r="D778">
        <v>38</v>
      </c>
      <c r="E778" t="str">
        <f>_xlfn.CONCAT(makulatura4[[#This Row],[Imie]]," ",makulatura4[[#This Row],[Nazwisko]])</f>
        <v>Zofia Broszkow</v>
      </c>
    </row>
    <row r="779" spans="1:5" x14ac:dyDescent="0.25">
      <c r="A779" s="1">
        <v>42849</v>
      </c>
      <c r="B779" s="2" t="s">
        <v>178</v>
      </c>
      <c r="C779" s="2" t="s">
        <v>179</v>
      </c>
      <c r="D779">
        <v>33</v>
      </c>
      <c r="E779" t="str">
        <f>_xlfn.CONCAT(makulatura4[[#This Row],[Imie]]," ",makulatura4[[#This Row],[Nazwisko]])</f>
        <v>Malgorzata Wiecek</v>
      </c>
    </row>
    <row r="780" spans="1:5" x14ac:dyDescent="0.25">
      <c r="A780" s="1">
        <v>42849</v>
      </c>
      <c r="B780" s="2" t="s">
        <v>206</v>
      </c>
      <c r="C780" s="2" t="s">
        <v>563</v>
      </c>
      <c r="D780">
        <v>48</v>
      </c>
      <c r="E780" t="str">
        <f>_xlfn.CONCAT(makulatura4[[#This Row],[Imie]]," ",makulatura4[[#This Row],[Nazwisko]])</f>
        <v>Pawel kaczorek</v>
      </c>
    </row>
    <row r="781" spans="1:5" x14ac:dyDescent="0.25">
      <c r="A781" s="1">
        <v>42849</v>
      </c>
      <c r="B781" s="2" t="s">
        <v>201</v>
      </c>
      <c r="C781" s="2" t="s">
        <v>433</v>
      </c>
      <c r="D781">
        <v>14</v>
      </c>
      <c r="E781" t="str">
        <f>_xlfn.CONCAT(makulatura4[[#This Row],[Imie]]," ",makulatura4[[#This Row],[Nazwisko]])</f>
        <v>Marcin Gizinski</v>
      </c>
    </row>
    <row r="782" spans="1:5" x14ac:dyDescent="0.25">
      <c r="A782" s="1">
        <v>42849</v>
      </c>
      <c r="B782" s="2" t="s">
        <v>275</v>
      </c>
      <c r="C782" s="2" t="s">
        <v>276</v>
      </c>
      <c r="D782">
        <v>13</v>
      </c>
      <c r="E782" t="str">
        <f>_xlfn.CONCAT(makulatura4[[#This Row],[Imie]]," ",makulatura4[[#This Row],[Nazwisko]])</f>
        <v>Andrea Witkowska</v>
      </c>
    </row>
    <row r="783" spans="1:5" x14ac:dyDescent="0.25">
      <c r="A783" s="1">
        <v>42849</v>
      </c>
      <c r="B783" s="2" t="s">
        <v>34</v>
      </c>
      <c r="C783" s="2" t="s">
        <v>564</v>
      </c>
      <c r="D783">
        <v>24</v>
      </c>
      <c r="E783" t="str">
        <f>_xlfn.CONCAT(makulatura4[[#This Row],[Imie]]," ",makulatura4[[#This Row],[Nazwisko]])</f>
        <v>Julia Zaremba</v>
      </c>
    </row>
    <row r="784" spans="1:5" x14ac:dyDescent="0.25">
      <c r="A784" s="1">
        <v>42849</v>
      </c>
      <c r="B784" s="2" t="s">
        <v>101</v>
      </c>
      <c r="C784" s="2" t="s">
        <v>102</v>
      </c>
      <c r="D784">
        <v>23</v>
      </c>
      <c r="E784" t="str">
        <f>_xlfn.CONCAT(makulatura4[[#This Row],[Imie]]," ",makulatura4[[#This Row],[Nazwisko]])</f>
        <v>Maria Borowska</v>
      </c>
    </row>
    <row r="785" spans="1:5" x14ac:dyDescent="0.25">
      <c r="A785" s="1">
        <v>42850</v>
      </c>
      <c r="B785" s="2" t="s">
        <v>150</v>
      </c>
      <c r="C785" s="2" t="s">
        <v>297</v>
      </c>
      <c r="D785">
        <v>23</v>
      </c>
      <c r="E785" t="str">
        <f>_xlfn.CONCAT(makulatura4[[#This Row],[Imie]]," ",makulatura4[[#This Row],[Nazwisko]])</f>
        <v>Krzysztof Czyz</v>
      </c>
    </row>
    <row r="786" spans="1:5" x14ac:dyDescent="0.25">
      <c r="A786" s="1">
        <v>42850</v>
      </c>
      <c r="B786" s="2" t="s">
        <v>339</v>
      </c>
      <c r="C786" s="2" t="s">
        <v>565</v>
      </c>
      <c r="D786">
        <v>32</v>
      </c>
      <c r="E786" t="str">
        <f>_xlfn.CONCAT(makulatura4[[#This Row],[Imie]]," ",makulatura4[[#This Row],[Nazwisko]])</f>
        <v>Nadia Jurewicz</v>
      </c>
    </row>
    <row r="787" spans="1:5" x14ac:dyDescent="0.25">
      <c r="A787" s="1">
        <v>42850</v>
      </c>
      <c r="B787" s="2" t="s">
        <v>566</v>
      </c>
      <c r="C787" s="2" t="s">
        <v>567</v>
      </c>
      <c r="D787">
        <v>34</v>
      </c>
      <c r="E787" t="str">
        <f>_xlfn.CONCAT(makulatura4[[#This Row],[Imie]]," ",makulatura4[[#This Row],[Nazwisko]])</f>
        <v>Dorian Szczepkowski</v>
      </c>
    </row>
    <row r="788" spans="1:5" x14ac:dyDescent="0.25">
      <c r="A788" s="1">
        <v>42850</v>
      </c>
      <c r="B788" s="2" t="s">
        <v>30</v>
      </c>
      <c r="C788" s="2" t="s">
        <v>387</v>
      </c>
      <c r="D788">
        <v>48</v>
      </c>
      <c r="E788" t="str">
        <f>_xlfn.CONCAT(makulatura4[[#This Row],[Imie]]," ",makulatura4[[#This Row],[Nazwisko]])</f>
        <v>Maciej Machol</v>
      </c>
    </row>
    <row r="789" spans="1:5" x14ac:dyDescent="0.25">
      <c r="A789" s="1">
        <v>42850</v>
      </c>
      <c r="B789" s="2" t="s">
        <v>30</v>
      </c>
      <c r="C789" s="2" t="s">
        <v>568</v>
      </c>
      <c r="D789">
        <v>26</v>
      </c>
      <c r="E789" t="str">
        <f>_xlfn.CONCAT(makulatura4[[#This Row],[Imie]]," ",makulatura4[[#This Row],[Nazwisko]])</f>
        <v>Maciej Lukowski</v>
      </c>
    </row>
    <row r="790" spans="1:5" x14ac:dyDescent="0.25">
      <c r="A790" s="1">
        <v>42850</v>
      </c>
      <c r="B790" s="2" t="s">
        <v>314</v>
      </c>
      <c r="C790" s="2" t="s">
        <v>315</v>
      </c>
      <c r="D790">
        <v>11</v>
      </c>
      <c r="E790" t="str">
        <f>_xlfn.CONCAT(makulatura4[[#This Row],[Imie]]," ",makulatura4[[#This Row],[Nazwisko]])</f>
        <v>Lukasz Kopecki</v>
      </c>
    </row>
    <row r="791" spans="1:5" x14ac:dyDescent="0.25">
      <c r="A791" s="1">
        <v>42851</v>
      </c>
      <c r="B791" s="2" t="s">
        <v>75</v>
      </c>
      <c r="C791" s="2" t="s">
        <v>264</v>
      </c>
      <c r="D791">
        <v>23</v>
      </c>
      <c r="E791" t="str">
        <f>_xlfn.CONCAT(makulatura4[[#This Row],[Imie]]," ",makulatura4[[#This Row],[Nazwisko]])</f>
        <v>Hanna Modlinska</v>
      </c>
    </row>
    <row r="792" spans="1:5" x14ac:dyDescent="0.25">
      <c r="A792" s="1">
        <v>42851</v>
      </c>
      <c r="B792" s="2" t="s">
        <v>152</v>
      </c>
      <c r="C792" s="2" t="s">
        <v>153</v>
      </c>
      <c r="D792">
        <v>50</v>
      </c>
      <c r="E792" t="str">
        <f>_xlfn.CONCAT(makulatura4[[#This Row],[Imie]]," ",makulatura4[[#This Row],[Nazwisko]])</f>
        <v>Natalia Belicka</v>
      </c>
    </row>
    <row r="793" spans="1:5" x14ac:dyDescent="0.25">
      <c r="A793" s="1">
        <v>42851</v>
      </c>
      <c r="B793" s="2" t="s">
        <v>34</v>
      </c>
      <c r="C793" s="2" t="s">
        <v>564</v>
      </c>
      <c r="D793">
        <v>14</v>
      </c>
      <c r="E793" t="str">
        <f>_xlfn.CONCAT(makulatura4[[#This Row],[Imie]]," ",makulatura4[[#This Row],[Nazwisko]])</f>
        <v>Julia Zaremba</v>
      </c>
    </row>
    <row r="794" spans="1:5" x14ac:dyDescent="0.25">
      <c r="A794" s="1">
        <v>42851</v>
      </c>
      <c r="B794" s="2" t="s">
        <v>374</v>
      </c>
      <c r="C794" s="2" t="s">
        <v>375</v>
      </c>
      <c r="D794">
        <v>12</v>
      </c>
      <c r="E794" t="str">
        <f>_xlfn.CONCAT(makulatura4[[#This Row],[Imie]]," ",makulatura4[[#This Row],[Nazwisko]])</f>
        <v>Bruno Tomaszewski</v>
      </c>
    </row>
    <row r="795" spans="1:5" x14ac:dyDescent="0.25">
      <c r="A795" s="1">
        <v>42851</v>
      </c>
      <c r="B795" s="2" t="s">
        <v>55</v>
      </c>
      <c r="C795" s="2" t="s">
        <v>456</v>
      </c>
      <c r="D795">
        <v>39</v>
      </c>
      <c r="E795" t="str">
        <f>_xlfn.CONCAT(makulatura4[[#This Row],[Imie]]," ",makulatura4[[#This Row],[Nazwisko]])</f>
        <v>Anna Klimas</v>
      </c>
    </row>
    <row r="796" spans="1:5" x14ac:dyDescent="0.25">
      <c r="A796" s="1">
        <v>42851</v>
      </c>
      <c r="B796" s="2" t="s">
        <v>43</v>
      </c>
      <c r="C796" s="2" t="s">
        <v>569</v>
      </c>
      <c r="D796">
        <v>20</v>
      </c>
      <c r="E796" t="str">
        <f>_xlfn.CONCAT(makulatura4[[#This Row],[Imie]]," ",makulatura4[[#This Row],[Nazwisko]])</f>
        <v>Andrzej Zbieg</v>
      </c>
    </row>
    <row r="797" spans="1:5" x14ac:dyDescent="0.25">
      <c r="A797" s="1">
        <v>42852</v>
      </c>
      <c r="B797" s="2" t="s">
        <v>174</v>
      </c>
      <c r="C797" s="2" t="s">
        <v>570</v>
      </c>
      <c r="D797">
        <v>51</v>
      </c>
      <c r="E797" t="str">
        <f>_xlfn.CONCAT(makulatura4[[#This Row],[Imie]]," ",makulatura4[[#This Row],[Nazwisko]])</f>
        <v>Dorota Zdun</v>
      </c>
    </row>
    <row r="798" spans="1:5" x14ac:dyDescent="0.25">
      <c r="A798" s="1">
        <v>42852</v>
      </c>
      <c r="B798" s="2" t="s">
        <v>55</v>
      </c>
      <c r="C798" s="2" t="s">
        <v>571</v>
      </c>
      <c r="D798">
        <v>47</v>
      </c>
      <c r="E798" t="str">
        <f>_xlfn.CONCAT(makulatura4[[#This Row],[Imie]]," ",makulatura4[[#This Row],[Nazwisko]])</f>
        <v>Anna Tycz</v>
      </c>
    </row>
    <row r="799" spans="1:5" x14ac:dyDescent="0.25">
      <c r="A799" s="1">
        <v>42852</v>
      </c>
      <c r="B799" s="2" t="s">
        <v>95</v>
      </c>
      <c r="C799" s="2" t="s">
        <v>426</v>
      </c>
      <c r="D799">
        <v>29</v>
      </c>
      <c r="E799" t="str">
        <f>_xlfn.CONCAT(makulatura4[[#This Row],[Imie]]," ",makulatura4[[#This Row],[Nazwisko]])</f>
        <v>Dominik Szmitko</v>
      </c>
    </row>
    <row r="800" spans="1:5" x14ac:dyDescent="0.25">
      <c r="A800" s="1">
        <v>42852</v>
      </c>
      <c r="B800" s="2" t="s">
        <v>521</v>
      </c>
      <c r="C800" s="2" t="s">
        <v>410</v>
      </c>
      <c r="D800">
        <v>34</v>
      </c>
      <c r="E800" t="str">
        <f>_xlfn.CONCAT(makulatura4[[#This Row],[Imie]]," ",makulatura4[[#This Row],[Nazwisko]])</f>
        <v>Bernard Lubelski</v>
      </c>
    </row>
    <row r="801" spans="1:5" x14ac:dyDescent="0.25">
      <c r="A801" s="1">
        <v>42852</v>
      </c>
      <c r="B801" s="2" t="s">
        <v>416</v>
      </c>
      <c r="C801" s="2" t="s">
        <v>572</v>
      </c>
      <c r="D801">
        <v>12</v>
      </c>
      <c r="E801" t="str">
        <f>_xlfn.CONCAT(makulatura4[[#This Row],[Imie]]," ",makulatura4[[#This Row],[Nazwisko]])</f>
        <v>Kazimierz Biedka</v>
      </c>
    </row>
    <row r="802" spans="1:5" x14ac:dyDescent="0.25">
      <c r="A802" s="1">
        <v>42852</v>
      </c>
      <c r="B802" s="2" t="s">
        <v>117</v>
      </c>
      <c r="C802" s="2" t="s">
        <v>183</v>
      </c>
      <c r="D802">
        <v>6</v>
      </c>
      <c r="E802" t="str">
        <f>_xlfn.CONCAT(makulatura4[[#This Row],[Imie]]," ",makulatura4[[#This Row],[Nazwisko]])</f>
        <v>Edward Zdunek</v>
      </c>
    </row>
    <row r="803" spans="1:5" x14ac:dyDescent="0.25">
      <c r="A803" s="1">
        <v>42853</v>
      </c>
      <c r="B803" s="2" t="s">
        <v>232</v>
      </c>
      <c r="C803" s="2" t="s">
        <v>573</v>
      </c>
      <c r="D803">
        <v>5</v>
      </c>
      <c r="E803" t="str">
        <f>_xlfn.CONCAT(makulatura4[[#This Row],[Imie]]," ",makulatura4[[#This Row],[Nazwisko]])</f>
        <v>Monika Srubka</v>
      </c>
    </row>
    <row r="804" spans="1:5" x14ac:dyDescent="0.25">
      <c r="A804" s="1">
        <v>42853</v>
      </c>
      <c r="B804" s="2" t="s">
        <v>171</v>
      </c>
      <c r="C804" s="2" t="s">
        <v>562</v>
      </c>
      <c r="D804">
        <v>13</v>
      </c>
      <c r="E804" t="str">
        <f>_xlfn.CONCAT(makulatura4[[#This Row],[Imie]]," ",makulatura4[[#This Row],[Nazwisko]])</f>
        <v>Zofia Broszkow</v>
      </c>
    </row>
    <row r="805" spans="1:5" x14ac:dyDescent="0.25">
      <c r="A805" s="1">
        <v>42853</v>
      </c>
      <c r="B805" s="2" t="s">
        <v>361</v>
      </c>
      <c r="C805" s="2" t="s">
        <v>424</v>
      </c>
      <c r="D805">
        <v>18</v>
      </c>
      <c r="E805" t="str">
        <f>_xlfn.CONCAT(makulatura4[[#This Row],[Imie]]," ",makulatura4[[#This Row],[Nazwisko]])</f>
        <v>Lidia Tarnowska</v>
      </c>
    </row>
    <row r="806" spans="1:5" x14ac:dyDescent="0.25">
      <c r="A806" s="1">
        <v>42853</v>
      </c>
      <c r="B806" s="2" t="s">
        <v>574</v>
      </c>
      <c r="C806" s="2" t="s">
        <v>421</v>
      </c>
      <c r="D806">
        <v>7</v>
      </c>
      <c r="E806" t="str">
        <f>_xlfn.CONCAT(makulatura4[[#This Row],[Imie]]," ",makulatura4[[#This Row],[Nazwisko]])</f>
        <v>Urszula Pawlak</v>
      </c>
    </row>
    <row r="807" spans="1:5" x14ac:dyDescent="0.25">
      <c r="A807" s="1">
        <v>42853</v>
      </c>
      <c r="B807" s="2" t="s">
        <v>77</v>
      </c>
      <c r="C807" s="2" t="s">
        <v>575</v>
      </c>
      <c r="D807">
        <v>28</v>
      </c>
      <c r="E807" t="str">
        <f>_xlfn.CONCAT(makulatura4[[#This Row],[Imie]]," ",makulatura4[[#This Row],[Nazwisko]])</f>
        <v>Hubert Borek</v>
      </c>
    </row>
    <row r="808" spans="1:5" x14ac:dyDescent="0.25">
      <c r="A808" s="1">
        <v>42853</v>
      </c>
      <c r="B808" s="2" t="s">
        <v>55</v>
      </c>
      <c r="C808" s="2" t="s">
        <v>184</v>
      </c>
      <c r="D808">
        <v>37</v>
      </c>
      <c r="E808" t="str">
        <f>_xlfn.CONCAT(makulatura4[[#This Row],[Imie]]," ",makulatura4[[#This Row],[Nazwisko]])</f>
        <v>Anna Trzebiatowska</v>
      </c>
    </row>
    <row r="809" spans="1:5" x14ac:dyDescent="0.25">
      <c r="A809" s="1">
        <v>42856</v>
      </c>
      <c r="B809" s="2" t="s">
        <v>352</v>
      </c>
      <c r="C809" s="2" t="s">
        <v>227</v>
      </c>
      <c r="D809">
        <v>23</v>
      </c>
      <c r="E809" t="str">
        <f>_xlfn.CONCAT(makulatura4[[#This Row],[Imie]]," ",makulatura4[[#This Row],[Nazwisko]])</f>
        <v>Ilona Nowak</v>
      </c>
    </row>
    <row r="810" spans="1:5" x14ac:dyDescent="0.25">
      <c r="A810" s="1">
        <v>42856</v>
      </c>
      <c r="B810" s="2" t="s">
        <v>97</v>
      </c>
      <c r="C810" s="2" t="s">
        <v>188</v>
      </c>
      <c r="D810">
        <v>26</v>
      </c>
      <c r="E810" t="str">
        <f>_xlfn.CONCAT(makulatura4[[#This Row],[Imie]]," ",makulatura4[[#This Row],[Nazwisko]])</f>
        <v>Mateusz Kowalczyk</v>
      </c>
    </row>
    <row r="811" spans="1:5" x14ac:dyDescent="0.25">
      <c r="A811" s="1">
        <v>42856</v>
      </c>
      <c r="B811" s="2" t="s">
        <v>34</v>
      </c>
      <c r="C811" s="2" t="s">
        <v>338</v>
      </c>
      <c r="D811">
        <v>11</v>
      </c>
      <c r="E811" t="str">
        <f>_xlfn.CONCAT(makulatura4[[#This Row],[Imie]]," ",makulatura4[[#This Row],[Nazwisko]])</f>
        <v>Julia Salanowska</v>
      </c>
    </row>
    <row r="812" spans="1:5" x14ac:dyDescent="0.25">
      <c r="A812" s="1">
        <v>42856</v>
      </c>
      <c r="B812" s="2" t="s">
        <v>438</v>
      </c>
      <c r="C812" s="2" t="s">
        <v>439</v>
      </c>
      <c r="D812">
        <v>25</v>
      </c>
      <c r="E812" t="str">
        <f>_xlfn.CONCAT(makulatura4[[#This Row],[Imie]]," ",makulatura4[[#This Row],[Nazwisko]])</f>
        <v>Albert Pleszewski</v>
      </c>
    </row>
    <row r="813" spans="1:5" x14ac:dyDescent="0.25">
      <c r="A813" s="1">
        <v>42856</v>
      </c>
      <c r="B813" s="2" t="s">
        <v>36</v>
      </c>
      <c r="C813" s="2" t="s">
        <v>180</v>
      </c>
      <c r="D813">
        <v>3</v>
      </c>
      <c r="E813" t="str">
        <f>_xlfn.CONCAT(makulatura4[[#This Row],[Imie]]," ",makulatura4[[#This Row],[Nazwisko]])</f>
        <v>Piotr Felus</v>
      </c>
    </row>
    <row r="814" spans="1:5" x14ac:dyDescent="0.25">
      <c r="A814" s="1">
        <v>42856</v>
      </c>
      <c r="B814" s="2" t="s">
        <v>87</v>
      </c>
      <c r="C814" s="2" t="s">
        <v>383</v>
      </c>
      <c r="D814">
        <v>30</v>
      </c>
      <c r="E814" t="str">
        <f>_xlfn.CONCAT(makulatura4[[#This Row],[Imie]]," ",makulatura4[[#This Row],[Nazwisko]])</f>
        <v>Ewa Zak</v>
      </c>
    </row>
    <row r="815" spans="1:5" x14ac:dyDescent="0.25">
      <c r="A815" s="1">
        <v>42857</v>
      </c>
      <c r="B815" s="2" t="s">
        <v>574</v>
      </c>
      <c r="C815" s="2" t="s">
        <v>421</v>
      </c>
      <c r="D815">
        <v>12</v>
      </c>
      <c r="E815" t="str">
        <f>_xlfn.CONCAT(makulatura4[[#This Row],[Imie]]," ",makulatura4[[#This Row],[Nazwisko]])</f>
        <v>Urszula Pawlak</v>
      </c>
    </row>
    <row r="816" spans="1:5" x14ac:dyDescent="0.25">
      <c r="A816" s="1">
        <v>42857</v>
      </c>
      <c r="B816" s="2" t="s">
        <v>101</v>
      </c>
      <c r="C816" s="2" t="s">
        <v>212</v>
      </c>
      <c r="D816">
        <v>27</v>
      </c>
      <c r="E816" t="str">
        <f>_xlfn.CONCAT(makulatura4[[#This Row],[Imie]]," ",makulatura4[[#This Row],[Nazwisko]])</f>
        <v>Maria Galas</v>
      </c>
    </row>
    <row r="817" spans="1:5" x14ac:dyDescent="0.25">
      <c r="A817" s="1">
        <v>42857</v>
      </c>
      <c r="B817" s="2" t="s">
        <v>217</v>
      </c>
      <c r="C817" s="2" t="s">
        <v>218</v>
      </c>
      <c r="D817">
        <v>16</v>
      </c>
      <c r="E817" t="str">
        <f>_xlfn.CONCAT(makulatura4[[#This Row],[Imie]]," ",makulatura4[[#This Row],[Nazwisko]])</f>
        <v>Witold Sempa</v>
      </c>
    </row>
    <row r="818" spans="1:5" x14ac:dyDescent="0.25">
      <c r="A818" s="1">
        <v>42857</v>
      </c>
      <c r="B818" s="2" t="s">
        <v>49</v>
      </c>
      <c r="C818" s="2" t="s">
        <v>50</v>
      </c>
      <c r="D818">
        <v>38</v>
      </c>
      <c r="E818" t="str">
        <f>_xlfn.CONCAT(makulatura4[[#This Row],[Imie]]," ",makulatura4[[#This Row],[Nazwisko]])</f>
        <v>Sebastian Powoj</v>
      </c>
    </row>
    <row r="819" spans="1:5" x14ac:dyDescent="0.25">
      <c r="A819" s="1">
        <v>42857</v>
      </c>
      <c r="B819" s="2" t="s">
        <v>193</v>
      </c>
      <c r="C819" s="2" t="s">
        <v>160</v>
      </c>
      <c r="D819">
        <v>35</v>
      </c>
      <c r="E819" t="str">
        <f>_xlfn.CONCAT(makulatura4[[#This Row],[Imie]]," ",makulatura4[[#This Row],[Nazwisko]])</f>
        <v>Karolina Stuhr</v>
      </c>
    </row>
    <row r="820" spans="1:5" x14ac:dyDescent="0.25">
      <c r="A820" s="1">
        <v>42857</v>
      </c>
      <c r="B820" s="2" t="s">
        <v>97</v>
      </c>
      <c r="C820" s="2" t="s">
        <v>309</v>
      </c>
      <c r="D820">
        <v>16</v>
      </c>
      <c r="E820" t="str">
        <f>_xlfn.CONCAT(makulatura4[[#This Row],[Imie]]," ",makulatura4[[#This Row],[Nazwisko]])</f>
        <v>Mateusz Filipowicz</v>
      </c>
    </row>
    <row r="821" spans="1:5" x14ac:dyDescent="0.25">
      <c r="A821" s="1">
        <v>42858</v>
      </c>
      <c r="B821" s="2" t="s">
        <v>10</v>
      </c>
      <c r="C821" s="2" t="s">
        <v>266</v>
      </c>
      <c r="D821">
        <v>6</v>
      </c>
      <c r="E821" t="str">
        <f>_xlfn.CONCAT(makulatura4[[#This Row],[Imie]]," ",makulatura4[[#This Row],[Nazwisko]])</f>
        <v>Katarzyna Wip</v>
      </c>
    </row>
    <row r="822" spans="1:5" x14ac:dyDescent="0.25">
      <c r="A822" s="1">
        <v>42858</v>
      </c>
      <c r="B822" s="2" t="s">
        <v>217</v>
      </c>
      <c r="C822" s="2" t="s">
        <v>218</v>
      </c>
      <c r="D822">
        <v>23</v>
      </c>
      <c r="E822" t="str">
        <f>_xlfn.CONCAT(makulatura4[[#This Row],[Imie]]," ",makulatura4[[#This Row],[Nazwisko]])</f>
        <v>Witold Sempa</v>
      </c>
    </row>
    <row r="823" spans="1:5" x14ac:dyDescent="0.25">
      <c r="A823" s="1">
        <v>42858</v>
      </c>
      <c r="B823" s="2" t="s">
        <v>280</v>
      </c>
      <c r="C823" s="2" t="s">
        <v>466</v>
      </c>
      <c r="D823">
        <v>22</v>
      </c>
      <c r="E823" t="str">
        <f>_xlfn.CONCAT(makulatura4[[#This Row],[Imie]]," ",makulatura4[[#This Row],[Nazwisko]])</f>
        <v>Kamila Kot</v>
      </c>
    </row>
    <row r="824" spans="1:5" x14ac:dyDescent="0.25">
      <c r="A824" s="1">
        <v>42858</v>
      </c>
      <c r="B824" s="2" t="s">
        <v>77</v>
      </c>
      <c r="C824" s="2" t="s">
        <v>85</v>
      </c>
      <c r="D824">
        <v>5</v>
      </c>
      <c r="E824" t="str">
        <f>_xlfn.CONCAT(makulatura4[[#This Row],[Imie]]," ",makulatura4[[#This Row],[Nazwisko]])</f>
        <v>Hubert Nowaczynski</v>
      </c>
    </row>
    <row r="825" spans="1:5" x14ac:dyDescent="0.25">
      <c r="A825" s="1">
        <v>42858</v>
      </c>
      <c r="B825" s="2" t="s">
        <v>206</v>
      </c>
      <c r="C825" s="2" t="s">
        <v>332</v>
      </c>
      <c r="D825">
        <v>2</v>
      </c>
      <c r="E825" t="str">
        <f>_xlfn.CONCAT(makulatura4[[#This Row],[Imie]]," ",makulatura4[[#This Row],[Nazwisko]])</f>
        <v>Pawel Furmaniak</v>
      </c>
    </row>
    <row r="826" spans="1:5" x14ac:dyDescent="0.25">
      <c r="A826" s="1">
        <v>42858</v>
      </c>
      <c r="B826" s="2" t="s">
        <v>92</v>
      </c>
      <c r="C826" s="2" t="s">
        <v>93</v>
      </c>
      <c r="D826">
        <v>29</v>
      </c>
      <c r="E826" t="str">
        <f>_xlfn.CONCAT(makulatura4[[#This Row],[Imie]]," ",makulatura4[[#This Row],[Nazwisko]])</f>
        <v>Paulina Szklarska</v>
      </c>
    </row>
    <row r="827" spans="1:5" x14ac:dyDescent="0.25">
      <c r="A827" s="1">
        <v>42859</v>
      </c>
      <c r="B827" s="2" t="s">
        <v>97</v>
      </c>
      <c r="C827" s="2" t="s">
        <v>181</v>
      </c>
      <c r="D827">
        <v>19</v>
      </c>
      <c r="E827" t="str">
        <f>_xlfn.CONCAT(makulatura4[[#This Row],[Imie]]," ",makulatura4[[#This Row],[Nazwisko]])</f>
        <v>Mateusz Uklej</v>
      </c>
    </row>
    <row r="828" spans="1:5" x14ac:dyDescent="0.25">
      <c r="A828" s="1">
        <v>42859</v>
      </c>
      <c r="B828" s="2" t="s">
        <v>133</v>
      </c>
      <c r="C828" s="2" t="s">
        <v>499</v>
      </c>
      <c r="D828">
        <v>23</v>
      </c>
      <c r="E828" t="str">
        <f>_xlfn.CONCAT(makulatura4[[#This Row],[Imie]]," ",makulatura4[[#This Row],[Nazwisko]])</f>
        <v>Dominika Szwec</v>
      </c>
    </row>
    <row r="829" spans="1:5" x14ac:dyDescent="0.25">
      <c r="A829" s="1">
        <v>42859</v>
      </c>
      <c r="B829" s="2" t="s">
        <v>442</v>
      </c>
      <c r="C829" s="2" t="s">
        <v>540</v>
      </c>
      <c r="D829">
        <v>27</v>
      </c>
      <c r="E829" t="str">
        <f>_xlfn.CONCAT(makulatura4[[#This Row],[Imie]]," ",makulatura4[[#This Row],[Nazwisko]])</f>
        <v>Nikodem Jakubowski</v>
      </c>
    </row>
    <row r="830" spans="1:5" x14ac:dyDescent="0.25">
      <c r="A830" s="1">
        <v>42859</v>
      </c>
      <c r="B830" s="2" t="s">
        <v>299</v>
      </c>
      <c r="C830" s="2" t="s">
        <v>482</v>
      </c>
      <c r="D830">
        <v>53</v>
      </c>
      <c r="E830" t="str">
        <f>_xlfn.CONCAT(makulatura4[[#This Row],[Imie]]," ",makulatura4[[#This Row],[Nazwisko]])</f>
        <v>Zbigniew Maciag</v>
      </c>
    </row>
    <row r="831" spans="1:5" x14ac:dyDescent="0.25">
      <c r="A831" s="1">
        <v>42859</v>
      </c>
      <c r="B831" s="2" t="s">
        <v>87</v>
      </c>
      <c r="C831" s="2" t="s">
        <v>124</v>
      </c>
      <c r="D831">
        <v>35</v>
      </c>
      <c r="E831" t="str">
        <f>_xlfn.CONCAT(makulatura4[[#This Row],[Imie]]," ",makulatura4[[#This Row],[Nazwisko]])</f>
        <v>Ewa Tysz</v>
      </c>
    </row>
    <row r="832" spans="1:5" x14ac:dyDescent="0.25">
      <c r="A832" s="1">
        <v>42859</v>
      </c>
      <c r="B832" s="2" t="s">
        <v>30</v>
      </c>
      <c r="C832" s="2" t="s">
        <v>241</v>
      </c>
      <c r="D832">
        <v>3</v>
      </c>
      <c r="E832" t="str">
        <f>_xlfn.CONCAT(makulatura4[[#This Row],[Imie]]," ",makulatura4[[#This Row],[Nazwisko]])</f>
        <v>Maciej Czyzynski</v>
      </c>
    </row>
    <row r="833" spans="1:5" x14ac:dyDescent="0.25">
      <c r="A833" s="1">
        <v>42860</v>
      </c>
      <c r="B833" s="2" t="s">
        <v>141</v>
      </c>
      <c r="C833" s="2" t="s">
        <v>364</v>
      </c>
      <c r="D833">
        <v>15</v>
      </c>
      <c r="E833" t="str">
        <f>_xlfn.CONCAT(makulatura4[[#This Row],[Imie]]," ",makulatura4[[#This Row],[Nazwisko]])</f>
        <v>Joanna Ottka</v>
      </c>
    </row>
    <row r="834" spans="1:5" x14ac:dyDescent="0.25">
      <c r="A834" s="1">
        <v>42860</v>
      </c>
      <c r="B834" s="2" t="s">
        <v>55</v>
      </c>
      <c r="C834" s="2" t="s">
        <v>326</v>
      </c>
      <c r="D834">
        <v>3</v>
      </c>
      <c r="E834" t="str">
        <f>_xlfn.CONCAT(makulatura4[[#This Row],[Imie]]," ",makulatura4[[#This Row],[Nazwisko]])</f>
        <v>Anna Tomaszewska</v>
      </c>
    </row>
    <row r="835" spans="1:5" x14ac:dyDescent="0.25">
      <c r="A835" s="1">
        <v>42860</v>
      </c>
      <c r="B835" s="2" t="s">
        <v>367</v>
      </c>
      <c r="C835" s="2" t="s">
        <v>368</v>
      </c>
      <c r="D835">
        <v>2</v>
      </c>
      <c r="E835" t="str">
        <f>_xlfn.CONCAT(makulatura4[[#This Row],[Imie]]," ",makulatura4[[#This Row],[Nazwisko]])</f>
        <v>Szymon Mrozniak</v>
      </c>
    </row>
    <row r="836" spans="1:5" x14ac:dyDescent="0.25">
      <c r="A836" s="1">
        <v>42860</v>
      </c>
      <c r="B836" s="2" t="s">
        <v>141</v>
      </c>
      <c r="C836" s="2" t="s">
        <v>550</v>
      </c>
      <c r="D836">
        <v>28</v>
      </c>
      <c r="E836" t="str">
        <f>_xlfn.CONCAT(makulatura4[[#This Row],[Imie]]," ",makulatura4[[#This Row],[Nazwisko]])</f>
        <v>Joanna Oleksiak</v>
      </c>
    </row>
    <row r="837" spans="1:5" x14ac:dyDescent="0.25">
      <c r="A837" s="1">
        <v>42860</v>
      </c>
      <c r="B837" s="2" t="s">
        <v>395</v>
      </c>
      <c r="C837" s="2" t="s">
        <v>461</v>
      </c>
      <c r="D837">
        <v>23</v>
      </c>
      <c r="E837" t="str">
        <f>_xlfn.CONCAT(makulatura4[[#This Row],[Imie]]," ",makulatura4[[#This Row],[Nazwisko]])</f>
        <v>Tomasz Borkowski</v>
      </c>
    </row>
    <row r="838" spans="1:5" x14ac:dyDescent="0.25">
      <c r="A838" s="1">
        <v>42860</v>
      </c>
      <c r="B838" s="2" t="s">
        <v>39</v>
      </c>
      <c r="C838" s="2" t="s">
        <v>164</v>
      </c>
      <c r="D838">
        <v>20</v>
      </c>
      <c r="E838" t="str">
        <f>_xlfn.CONCAT(makulatura4[[#This Row],[Imie]]," ",makulatura4[[#This Row],[Nazwisko]])</f>
        <v>Jakub Waniek</v>
      </c>
    </row>
    <row r="839" spans="1:5" x14ac:dyDescent="0.25">
      <c r="A839" s="1">
        <v>42863</v>
      </c>
      <c r="B839" s="2" t="s">
        <v>193</v>
      </c>
      <c r="C839" s="2" t="s">
        <v>160</v>
      </c>
      <c r="D839">
        <v>35</v>
      </c>
      <c r="E839" t="str">
        <f>_xlfn.CONCAT(makulatura4[[#This Row],[Imie]]," ",makulatura4[[#This Row],[Nazwisko]])</f>
        <v>Karolina Stuhr</v>
      </c>
    </row>
    <row r="840" spans="1:5" x14ac:dyDescent="0.25">
      <c r="A840" s="1">
        <v>42863</v>
      </c>
      <c r="B840" s="2" t="s">
        <v>206</v>
      </c>
      <c r="C840" s="2" t="s">
        <v>563</v>
      </c>
      <c r="D840">
        <v>45</v>
      </c>
      <c r="E840" t="str">
        <f>_xlfn.CONCAT(makulatura4[[#This Row],[Imie]]," ",makulatura4[[#This Row],[Nazwisko]])</f>
        <v>Pawel kaczorek</v>
      </c>
    </row>
    <row r="841" spans="1:5" x14ac:dyDescent="0.25">
      <c r="A841" s="1">
        <v>42863</v>
      </c>
      <c r="B841" s="2" t="s">
        <v>519</v>
      </c>
      <c r="C841" s="2" t="s">
        <v>520</v>
      </c>
      <c r="D841">
        <v>39</v>
      </c>
      <c r="E841" t="str">
        <f>_xlfn.CONCAT(makulatura4[[#This Row],[Imie]]," ",makulatura4[[#This Row],[Nazwisko]])</f>
        <v>Waldemar Fornalik</v>
      </c>
    </row>
    <row r="842" spans="1:5" x14ac:dyDescent="0.25">
      <c r="A842" s="1">
        <v>42863</v>
      </c>
      <c r="B842" s="2" t="s">
        <v>34</v>
      </c>
      <c r="C842" s="2" t="s">
        <v>564</v>
      </c>
      <c r="D842">
        <v>13</v>
      </c>
      <c r="E842" t="str">
        <f>_xlfn.CONCAT(makulatura4[[#This Row],[Imie]]," ",makulatura4[[#This Row],[Nazwisko]])</f>
        <v>Julia Zaremba</v>
      </c>
    </row>
    <row r="843" spans="1:5" x14ac:dyDescent="0.25">
      <c r="A843" s="1">
        <v>42863</v>
      </c>
      <c r="B843" s="2" t="s">
        <v>87</v>
      </c>
      <c r="C843" s="2" t="s">
        <v>154</v>
      </c>
      <c r="D843">
        <v>2</v>
      </c>
      <c r="E843" t="str">
        <f>_xlfn.CONCAT(makulatura4[[#This Row],[Imie]]," ",makulatura4[[#This Row],[Nazwisko]])</f>
        <v>Ewa Wojna</v>
      </c>
    </row>
    <row r="844" spans="1:5" x14ac:dyDescent="0.25">
      <c r="A844" s="1">
        <v>42863</v>
      </c>
      <c r="B844" s="2" t="s">
        <v>195</v>
      </c>
      <c r="C844" s="2" t="s">
        <v>196</v>
      </c>
      <c r="D844">
        <v>38</v>
      </c>
      <c r="E844" t="str">
        <f>_xlfn.CONCAT(makulatura4[[#This Row],[Imie]]," ",makulatura4[[#This Row],[Nazwisko]])</f>
        <v>Emilia Mroczek</v>
      </c>
    </row>
    <row r="845" spans="1:5" x14ac:dyDescent="0.25">
      <c r="A845" s="1">
        <v>42864</v>
      </c>
      <c r="B845" s="2" t="s">
        <v>161</v>
      </c>
      <c r="C845" s="2" t="s">
        <v>345</v>
      </c>
      <c r="D845">
        <v>48</v>
      </c>
      <c r="E845" t="str">
        <f>_xlfn.CONCAT(makulatura4[[#This Row],[Imie]]," ",makulatura4[[#This Row],[Nazwisko]])</f>
        <v>Anita Kaczorowska</v>
      </c>
    </row>
    <row r="846" spans="1:5" x14ac:dyDescent="0.25">
      <c r="A846" s="1">
        <v>42864</v>
      </c>
      <c r="B846" s="2" t="s">
        <v>51</v>
      </c>
      <c r="C846" s="2" t="s">
        <v>469</v>
      </c>
      <c r="D846">
        <v>41</v>
      </c>
      <c r="E846" t="str">
        <f>_xlfn.CONCAT(makulatura4[[#This Row],[Imie]]," ",makulatura4[[#This Row],[Nazwisko]])</f>
        <v>Barbara Karcz</v>
      </c>
    </row>
    <row r="847" spans="1:5" x14ac:dyDescent="0.25">
      <c r="A847" s="1">
        <v>42864</v>
      </c>
      <c r="B847" s="2" t="s">
        <v>101</v>
      </c>
      <c r="C847" s="2" t="s">
        <v>102</v>
      </c>
      <c r="D847">
        <v>6</v>
      </c>
      <c r="E847" t="str">
        <f>_xlfn.CONCAT(makulatura4[[#This Row],[Imie]]," ",makulatura4[[#This Row],[Nazwisko]])</f>
        <v>Maria Borowska</v>
      </c>
    </row>
    <row r="848" spans="1:5" x14ac:dyDescent="0.25">
      <c r="A848" s="1">
        <v>42864</v>
      </c>
      <c r="B848" s="2" t="s">
        <v>367</v>
      </c>
      <c r="C848" s="2" t="s">
        <v>411</v>
      </c>
      <c r="D848">
        <v>14</v>
      </c>
      <c r="E848" t="str">
        <f>_xlfn.CONCAT(makulatura4[[#This Row],[Imie]]," ",makulatura4[[#This Row],[Nazwisko]])</f>
        <v>Szymon Wozniak</v>
      </c>
    </row>
    <row r="849" spans="1:5" x14ac:dyDescent="0.25">
      <c r="A849" s="1">
        <v>42864</v>
      </c>
      <c r="B849" s="2" t="s">
        <v>576</v>
      </c>
      <c r="C849" s="2" t="s">
        <v>577</v>
      </c>
      <c r="D849">
        <v>35</v>
      </c>
      <c r="E849" t="str">
        <f>_xlfn.CONCAT(makulatura4[[#This Row],[Imie]]," ",makulatura4[[#This Row],[Nazwisko]])</f>
        <v>Mikolaj Beniuszys</v>
      </c>
    </row>
    <row r="850" spans="1:5" x14ac:dyDescent="0.25">
      <c r="A850" s="1">
        <v>42864</v>
      </c>
      <c r="B850" s="2" t="s">
        <v>147</v>
      </c>
      <c r="C850" s="2" t="s">
        <v>578</v>
      </c>
      <c r="D850">
        <v>26</v>
      </c>
      <c r="E850" t="str">
        <f>_xlfn.CONCAT(makulatura4[[#This Row],[Imie]]," ",makulatura4[[#This Row],[Nazwisko]])</f>
        <v>Mariusz Mrowiec</v>
      </c>
    </row>
    <row r="851" spans="1:5" x14ac:dyDescent="0.25">
      <c r="A851" s="1">
        <v>42865</v>
      </c>
      <c r="B851" s="2" t="s">
        <v>83</v>
      </c>
      <c r="C851" s="2" t="s">
        <v>84</v>
      </c>
      <c r="D851">
        <v>49</v>
      </c>
      <c r="E851" t="str">
        <f>_xlfn.CONCAT(makulatura4[[#This Row],[Imie]]," ",makulatura4[[#This Row],[Nazwisko]])</f>
        <v>Jan Gacek</v>
      </c>
    </row>
    <row r="852" spans="1:5" x14ac:dyDescent="0.25">
      <c r="A852" s="1">
        <v>42865</v>
      </c>
      <c r="B852" s="2" t="s">
        <v>280</v>
      </c>
      <c r="C852" s="2" t="s">
        <v>281</v>
      </c>
      <c r="D852">
        <v>22</v>
      </c>
      <c r="E852" t="str">
        <f>_xlfn.CONCAT(makulatura4[[#This Row],[Imie]]," ",makulatura4[[#This Row],[Nazwisko]])</f>
        <v>Kamila Wolan</v>
      </c>
    </row>
    <row r="853" spans="1:5" x14ac:dyDescent="0.25">
      <c r="A853" s="1">
        <v>42865</v>
      </c>
      <c r="B853" s="2" t="s">
        <v>97</v>
      </c>
      <c r="C853" s="2" t="s">
        <v>579</v>
      </c>
      <c r="D853">
        <v>56</v>
      </c>
      <c r="E853" t="str">
        <f>_xlfn.CONCAT(makulatura4[[#This Row],[Imie]]," ",makulatura4[[#This Row],[Nazwisko]])</f>
        <v>Mateusz Koszlaga</v>
      </c>
    </row>
    <row r="854" spans="1:5" x14ac:dyDescent="0.25">
      <c r="A854" s="1">
        <v>42865</v>
      </c>
      <c r="B854" s="2" t="s">
        <v>367</v>
      </c>
      <c r="C854" s="2" t="s">
        <v>368</v>
      </c>
      <c r="D854">
        <v>6</v>
      </c>
      <c r="E854" t="str">
        <f>_xlfn.CONCAT(makulatura4[[#This Row],[Imie]]," ",makulatura4[[#This Row],[Nazwisko]])</f>
        <v>Szymon Mrozniak</v>
      </c>
    </row>
    <row r="855" spans="1:5" x14ac:dyDescent="0.25">
      <c r="A855" s="1">
        <v>42865</v>
      </c>
      <c r="B855" s="2" t="s">
        <v>232</v>
      </c>
      <c r="C855" s="2" t="s">
        <v>378</v>
      </c>
      <c r="D855">
        <v>13</v>
      </c>
      <c r="E855" t="str">
        <f>_xlfn.CONCAT(makulatura4[[#This Row],[Imie]]," ",makulatura4[[#This Row],[Nazwisko]])</f>
        <v>Monika Placzek</v>
      </c>
    </row>
    <row r="856" spans="1:5" x14ac:dyDescent="0.25">
      <c r="A856" s="1">
        <v>42865</v>
      </c>
      <c r="B856" s="2" t="s">
        <v>574</v>
      </c>
      <c r="C856" s="2" t="s">
        <v>421</v>
      </c>
      <c r="D856">
        <v>3</v>
      </c>
      <c r="E856" t="str">
        <f>_xlfn.CONCAT(makulatura4[[#This Row],[Imie]]," ",makulatura4[[#This Row],[Nazwisko]])</f>
        <v>Urszula Pawlak</v>
      </c>
    </row>
    <row r="857" spans="1:5" x14ac:dyDescent="0.25">
      <c r="A857" s="1">
        <v>42866</v>
      </c>
      <c r="B857" s="2" t="s">
        <v>47</v>
      </c>
      <c r="C857" s="2" t="s">
        <v>336</v>
      </c>
      <c r="D857">
        <v>7</v>
      </c>
      <c r="E857" t="str">
        <f>_xlfn.CONCAT(makulatura4[[#This Row],[Imie]]," ",makulatura4[[#This Row],[Nazwisko]])</f>
        <v>Marek Janowski</v>
      </c>
    </row>
    <row r="858" spans="1:5" x14ac:dyDescent="0.25">
      <c r="A858" s="1">
        <v>42866</v>
      </c>
      <c r="B858" s="2" t="s">
        <v>83</v>
      </c>
      <c r="C858" s="2" t="s">
        <v>136</v>
      </c>
      <c r="D858">
        <v>29</v>
      </c>
      <c r="E858" t="str">
        <f>_xlfn.CONCAT(makulatura4[[#This Row],[Imie]]," ",makulatura4[[#This Row],[Nazwisko]])</f>
        <v>Jan Kaczorowski</v>
      </c>
    </row>
    <row r="859" spans="1:5" x14ac:dyDescent="0.25">
      <c r="A859" s="1">
        <v>42866</v>
      </c>
      <c r="B859" s="2" t="s">
        <v>45</v>
      </c>
      <c r="C859" s="2" t="s">
        <v>388</v>
      </c>
      <c r="D859">
        <v>53</v>
      </c>
      <c r="E859" t="str">
        <f>_xlfn.CONCAT(makulatura4[[#This Row],[Imie]]," ",makulatura4[[#This Row],[Nazwisko]])</f>
        <v>Zuzanna Kalisz</v>
      </c>
    </row>
    <row r="860" spans="1:5" x14ac:dyDescent="0.25">
      <c r="A860" s="1">
        <v>42866</v>
      </c>
      <c r="B860" s="2" t="s">
        <v>16</v>
      </c>
      <c r="C860" s="2" t="s">
        <v>440</v>
      </c>
      <c r="D860">
        <v>52</v>
      </c>
      <c r="E860" t="str">
        <f>_xlfn.CONCAT(makulatura4[[#This Row],[Imie]]," ",makulatura4[[#This Row],[Nazwisko]])</f>
        <v>Balbina Madej</v>
      </c>
    </row>
    <row r="861" spans="1:5" x14ac:dyDescent="0.25">
      <c r="A861" s="1">
        <v>42866</v>
      </c>
      <c r="B861" s="2" t="s">
        <v>280</v>
      </c>
      <c r="C861" s="2" t="s">
        <v>580</v>
      </c>
      <c r="D861">
        <v>26</v>
      </c>
      <c r="E861" t="str">
        <f>_xlfn.CONCAT(makulatura4[[#This Row],[Imie]]," ",makulatura4[[#This Row],[Nazwisko]])</f>
        <v>Kamila Knapik</v>
      </c>
    </row>
    <row r="862" spans="1:5" x14ac:dyDescent="0.25">
      <c r="A862" s="1">
        <v>42866</v>
      </c>
      <c r="B862" s="2" t="s">
        <v>101</v>
      </c>
      <c r="C862" s="2" t="s">
        <v>293</v>
      </c>
      <c r="D862">
        <v>28</v>
      </c>
      <c r="E862" t="str">
        <f>_xlfn.CONCAT(makulatura4[[#This Row],[Imie]]," ",makulatura4[[#This Row],[Nazwisko]])</f>
        <v>Maria Kowalczuk</v>
      </c>
    </row>
    <row r="863" spans="1:5" x14ac:dyDescent="0.25">
      <c r="A863" s="1">
        <v>42867</v>
      </c>
      <c r="B863" s="2" t="s">
        <v>69</v>
      </c>
      <c r="C863" s="2" t="s">
        <v>200</v>
      </c>
      <c r="D863">
        <v>12</v>
      </c>
      <c r="E863" t="str">
        <f>_xlfn.CONCAT(makulatura4[[#This Row],[Imie]]," ",makulatura4[[#This Row],[Nazwisko]])</f>
        <v>Adam Madejski</v>
      </c>
    </row>
    <row r="864" spans="1:5" x14ac:dyDescent="0.25">
      <c r="A864" s="1">
        <v>42867</v>
      </c>
      <c r="B864" s="2" t="s">
        <v>161</v>
      </c>
      <c r="C864" s="2" t="s">
        <v>214</v>
      </c>
      <c r="D864">
        <v>10</v>
      </c>
      <c r="E864" t="str">
        <f>_xlfn.CONCAT(makulatura4[[#This Row],[Imie]]," ",makulatura4[[#This Row],[Nazwisko]])</f>
        <v>Anita Woloszyn</v>
      </c>
    </row>
    <row r="865" spans="1:5" x14ac:dyDescent="0.25">
      <c r="A865" s="1">
        <v>42867</v>
      </c>
      <c r="B865" s="2" t="s">
        <v>72</v>
      </c>
      <c r="C865" s="2" t="s">
        <v>73</v>
      </c>
      <c r="D865">
        <v>10</v>
      </c>
      <c r="E865" t="str">
        <f>_xlfn.CONCAT(makulatura4[[#This Row],[Imie]]," ",makulatura4[[#This Row],[Nazwisko]])</f>
        <v>Teodor Fornal</v>
      </c>
    </row>
    <row r="866" spans="1:5" x14ac:dyDescent="0.25">
      <c r="A866" s="1">
        <v>42867</v>
      </c>
      <c r="B866" s="2" t="s">
        <v>119</v>
      </c>
      <c r="C866" s="2" t="s">
        <v>380</v>
      </c>
      <c r="D866">
        <v>54</v>
      </c>
      <c r="E866" t="str">
        <f>_xlfn.CONCAT(makulatura4[[#This Row],[Imie]]," ",makulatura4[[#This Row],[Nazwisko]])</f>
        <v>Kamil Krawczyk</v>
      </c>
    </row>
    <row r="867" spans="1:5" x14ac:dyDescent="0.25">
      <c r="A867" s="1">
        <v>42867</v>
      </c>
      <c r="B867" s="2" t="s">
        <v>374</v>
      </c>
      <c r="C867" s="2" t="s">
        <v>581</v>
      </c>
      <c r="D867">
        <v>19</v>
      </c>
      <c r="E867" t="str">
        <f>_xlfn.CONCAT(makulatura4[[#This Row],[Imie]]," ",makulatura4[[#This Row],[Nazwisko]])</f>
        <v>Bruno Tomczyk</v>
      </c>
    </row>
    <row r="868" spans="1:5" x14ac:dyDescent="0.25">
      <c r="A868" s="1">
        <v>42867</v>
      </c>
      <c r="B868" s="2" t="s">
        <v>152</v>
      </c>
      <c r="C868" s="2" t="s">
        <v>257</v>
      </c>
      <c r="D868">
        <v>53</v>
      </c>
      <c r="E868" t="str">
        <f>_xlfn.CONCAT(makulatura4[[#This Row],[Imie]]," ",makulatura4[[#This Row],[Nazwisko]])</f>
        <v>Natalia Miklis</v>
      </c>
    </row>
    <row r="869" spans="1:5" x14ac:dyDescent="0.25">
      <c r="A869" s="1">
        <v>42870</v>
      </c>
      <c r="B869" s="2" t="s">
        <v>47</v>
      </c>
      <c r="C869" s="2" t="s">
        <v>334</v>
      </c>
      <c r="D869">
        <v>18</v>
      </c>
      <c r="E869" t="str">
        <f>_xlfn.CONCAT(makulatura4[[#This Row],[Imie]]," ",makulatura4[[#This Row],[Nazwisko]])</f>
        <v>Marek Witkowski</v>
      </c>
    </row>
    <row r="870" spans="1:5" x14ac:dyDescent="0.25">
      <c r="A870" s="1">
        <v>42870</v>
      </c>
      <c r="B870" s="2" t="s">
        <v>393</v>
      </c>
      <c r="C870" s="2" t="s">
        <v>582</v>
      </c>
      <c r="D870">
        <v>27</v>
      </c>
      <c r="E870" t="str">
        <f>_xlfn.CONCAT(makulatura4[[#This Row],[Imie]]," ",makulatura4[[#This Row],[Nazwisko]])</f>
        <v>Kacper Trzebnicki</v>
      </c>
    </row>
    <row r="871" spans="1:5" x14ac:dyDescent="0.25">
      <c r="A871" s="1">
        <v>42870</v>
      </c>
      <c r="B871" s="2" t="s">
        <v>479</v>
      </c>
      <c r="C871" s="2" t="s">
        <v>480</v>
      </c>
      <c r="D871">
        <v>26</v>
      </c>
      <c r="E871" t="str">
        <f>_xlfn.CONCAT(makulatura4[[#This Row],[Imie]]," ",makulatura4[[#This Row],[Nazwisko]])</f>
        <v>Eugenia Pieta</v>
      </c>
    </row>
    <row r="872" spans="1:5" x14ac:dyDescent="0.25">
      <c r="A872" s="1">
        <v>42870</v>
      </c>
      <c r="B872" s="2" t="s">
        <v>339</v>
      </c>
      <c r="C872" s="2" t="s">
        <v>583</v>
      </c>
      <c r="D872">
        <v>52</v>
      </c>
      <c r="E872" t="str">
        <f>_xlfn.CONCAT(makulatura4[[#This Row],[Imie]]," ",makulatura4[[#This Row],[Nazwisko]])</f>
        <v>Nadia Jurczyk</v>
      </c>
    </row>
    <row r="873" spans="1:5" x14ac:dyDescent="0.25">
      <c r="A873" s="1">
        <v>42870</v>
      </c>
      <c r="B873" s="2" t="s">
        <v>81</v>
      </c>
      <c r="C873" s="2" t="s">
        <v>104</v>
      </c>
      <c r="D873">
        <v>10</v>
      </c>
      <c r="E873" t="str">
        <f>_xlfn.CONCAT(makulatura4[[#This Row],[Imie]]," ",makulatura4[[#This Row],[Nazwisko]])</f>
        <v>Karol Dziuk</v>
      </c>
    </row>
    <row r="874" spans="1:5" x14ac:dyDescent="0.25">
      <c r="A874" s="1">
        <v>42870</v>
      </c>
      <c r="B874" s="2" t="s">
        <v>34</v>
      </c>
      <c r="C874" s="2" t="s">
        <v>557</v>
      </c>
      <c r="D874">
        <v>5</v>
      </c>
      <c r="E874" t="str">
        <f>_xlfn.CONCAT(makulatura4[[#This Row],[Imie]]," ",makulatura4[[#This Row],[Nazwisko]])</f>
        <v>Julia Sadowska</v>
      </c>
    </row>
    <row r="875" spans="1:5" x14ac:dyDescent="0.25">
      <c r="A875" s="1">
        <v>42871</v>
      </c>
      <c r="B875" s="2" t="s">
        <v>81</v>
      </c>
      <c r="C875" s="2" t="s">
        <v>584</v>
      </c>
      <c r="D875">
        <v>38</v>
      </c>
      <c r="E875" t="str">
        <f>_xlfn.CONCAT(makulatura4[[#This Row],[Imie]]," ",makulatura4[[#This Row],[Nazwisko]])</f>
        <v>Karol Wichrowski</v>
      </c>
    </row>
    <row r="876" spans="1:5" x14ac:dyDescent="0.25">
      <c r="A876" s="1">
        <v>42871</v>
      </c>
      <c r="B876" s="2" t="s">
        <v>55</v>
      </c>
      <c r="C876" s="2" t="s">
        <v>466</v>
      </c>
      <c r="D876">
        <v>20</v>
      </c>
      <c r="E876" t="str">
        <f>_xlfn.CONCAT(makulatura4[[#This Row],[Imie]]," ",makulatura4[[#This Row],[Nazwisko]])</f>
        <v>Anna Kot</v>
      </c>
    </row>
    <row r="877" spans="1:5" x14ac:dyDescent="0.25">
      <c r="A877" s="1">
        <v>42871</v>
      </c>
      <c r="B877" s="2" t="s">
        <v>77</v>
      </c>
      <c r="C877" s="2" t="s">
        <v>78</v>
      </c>
      <c r="D877">
        <v>2</v>
      </c>
      <c r="E877" t="str">
        <f>_xlfn.CONCAT(makulatura4[[#This Row],[Imie]]," ",makulatura4[[#This Row],[Nazwisko]])</f>
        <v>Hubert Smyk</v>
      </c>
    </row>
    <row r="878" spans="1:5" x14ac:dyDescent="0.25">
      <c r="A878" s="1">
        <v>42871</v>
      </c>
      <c r="B878" s="2" t="s">
        <v>83</v>
      </c>
      <c r="C878" s="2" t="s">
        <v>91</v>
      </c>
      <c r="D878">
        <v>25</v>
      </c>
      <c r="E878" t="str">
        <f>_xlfn.CONCAT(makulatura4[[#This Row],[Imie]]," ",makulatura4[[#This Row],[Nazwisko]])</f>
        <v>Jan Sznuk</v>
      </c>
    </row>
    <row r="879" spans="1:5" x14ac:dyDescent="0.25">
      <c r="A879" s="1">
        <v>42871</v>
      </c>
      <c r="B879" s="2" t="s">
        <v>101</v>
      </c>
      <c r="C879" s="2" t="s">
        <v>188</v>
      </c>
      <c r="D879">
        <v>13</v>
      </c>
      <c r="E879" t="str">
        <f>_xlfn.CONCAT(makulatura4[[#This Row],[Imie]]," ",makulatura4[[#This Row],[Nazwisko]])</f>
        <v>Maria Kowalczyk</v>
      </c>
    </row>
    <row r="880" spans="1:5" x14ac:dyDescent="0.25">
      <c r="A880" s="1">
        <v>42871</v>
      </c>
      <c r="B880" s="2" t="s">
        <v>402</v>
      </c>
      <c r="C880" s="2" t="s">
        <v>403</v>
      </c>
      <c r="D880">
        <v>54</v>
      </c>
      <c r="E880" t="str">
        <f>_xlfn.CONCAT(makulatura4[[#This Row],[Imie]]," ",makulatura4[[#This Row],[Nazwisko]])</f>
        <v>Marcelina Serwicka</v>
      </c>
    </row>
    <row r="881" spans="1:5" x14ac:dyDescent="0.25">
      <c r="A881" s="1">
        <v>42872</v>
      </c>
      <c r="B881" s="2" t="s">
        <v>372</v>
      </c>
      <c r="C881" s="2" t="s">
        <v>373</v>
      </c>
      <c r="D881">
        <v>27</v>
      </c>
      <c r="E881" t="str">
        <f>_xlfn.CONCAT(makulatura4[[#This Row],[Imie]]," ",makulatura4[[#This Row],[Nazwisko]])</f>
        <v>Ryszarda Januszek</v>
      </c>
    </row>
    <row r="882" spans="1:5" x14ac:dyDescent="0.25">
      <c r="A882" s="1">
        <v>42872</v>
      </c>
      <c r="B882" s="2" t="s">
        <v>18</v>
      </c>
      <c r="C882" s="2" t="s">
        <v>29</v>
      </c>
      <c r="D882">
        <v>15</v>
      </c>
      <c r="E882" t="str">
        <f>_xlfn.CONCAT(makulatura4[[#This Row],[Imie]]," ",makulatura4[[#This Row],[Nazwisko]])</f>
        <v>Filip Spanowski</v>
      </c>
    </row>
    <row r="883" spans="1:5" x14ac:dyDescent="0.25">
      <c r="A883" s="1">
        <v>42872</v>
      </c>
      <c r="B883" s="2" t="s">
        <v>4</v>
      </c>
      <c r="C883" s="2" t="s">
        <v>489</v>
      </c>
      <c r="D883">
        <v>19</v>
      </c>
      <c r="E883" t="str">
        <f>_xlfn.CONCAT(makulatura4[[#This Row],[Imie]]," ",makulatura4[[#This Row],[Nazwisko]])</f>
        <v>Agnieszka Bujak</v>
      </c>
    </row>
    <row r="884" spans="1:5" x14ac:dyDescent="0.25">
      <c r="A884" s="1">
        <v>42872</v>
      </c>
      <c r="B884" s="2" t="s">
        <v>69</v>
      </c>
      <c r="C884" s="2" t="s">
        <v>286</v>
      </c>
      <c r="D884">
        <v>22</v>
      </c>
      <c r="E884" t="str">
        <f>_xlfn.CONCAT(makulatura4[[#This Row],[Imie]]," ",makulatura4[[#This Row],[Nazwisko]])</f>
        <v>Adam Zega</v>
      </c>
    </row>
    <row r="885" spans="1:5" x14ac:dyDescent="0.25">
      <c r="A885" s="1">
        <v>42872</v>
      </c>
      <c r="B885" s="2" t="s">
        <v>143</v>
      </c>
      <c r="C885" s="2" t="s">
        <v>585</v>
      </c>
      <c r="D885">
        <v>12</v>
      </c>
      <c r="E885" t="str">
        <f>_xlfn.CONCAT(makulatura4[[#This Row],[Imie]]," ",makulatura4[[#This Row],[Nazwisko]])</f>
        <v>Przemyslaw Bajewski</v>
      </c>
    </row>
    <row r="886" spans="1:5" x14ac:dyDescent="0.25">
      <c r="A886" s="1">
        <v>42872</v>
      </c>
      <c r="B886" s="2" t="s">
        <v>479</v>
      </c>
      <c r="C886" s="2" t="s">
        <v>480</v>
      </c>
      <c r="D886">
        <v>6</v>
      </c>
      <c r="E886" t="str">
        <f>_xlfn.CONCAT(makulatura4[[#This Row],[Imie]]," ",makulatura4[[#This Row],[Nazwisko]])</f>
        <v>Eugenia Pieta</v>
      </c>
    </row>
    <row r="887" spans="1:5" x14ac:dyDescent="0.25">
      <c r="A887" s="1">
        <v>42873</v>
      </c>
      <c r="B887" s="2" t="s">
        <v>343</v>
      </c>
      <c r="C887" s="2" t="s">
        <v>344</v>
      </c>
      <c r="D887">
        <v>27</v>
      </c>
      <c r="E887" t="str">
        <f>_xlfn.CONCAT(makulatura4[[#This Row],[Imie]]," ",makulatura4[[#This Row],[Nazwisko]])</f>
        <v>Izabela Skrzydlak</v>
      </c>
    </row>
    <row r="888" spans="1:5" x14ac:dyDescent="0.25">
      <c r="A888" s="1">
        <v>42873</v>
      </c>
      <c r="B888" s="2" t="s">
        <v>137</v>
      </c>
      <c r="C888" s="2" t="s">
        <v>379</v>
      </c>
      <c r="D888">
        <v>6</v>
      </c>
      <c r="E888" t="str">
        <f>_xlfn.CONCAT(makulatura4[[#This Row],[Imie]]," ",makulatura4[[#This Row],[Nazwisko]])</f>
        <v>Stanislaw Burza</v>
      </c>
    </row>
    <row r="889" spans="1:5" x14ac:dyDescent="0.25">
      <c r="A889" s="1">
        <v>42873</v>
      </c>
      <c r="B889" s="2" t="s">
        <v>484</v>
      </c>
      <c r="C889" s="2" t="s">
        <v>485</v>
      </c>
      <c r="D889">
        <v>6</v>
      </c>
      <c r="E889" t="str">
        <f>_xlfn.CONCAT(makulatura4[[#This Row],[Imie]]," ",makulatura4[[#This Row],[Nazwisko]])</f>
        <v>Roman Grodecki</v>
      </c>
    </row>
    <row r="890" spans="1:5" x14ac:dyDescent="0.25">
      <c r="A890" s="1">
        <v>42873</v>
      </c>
      <c r="B890" s="2" t="s">
        <v>39</v>
      </c>
      <c r="C890" s="2" t="s">
        <v>586</v>
      </c>
      <c r="D890">
        <v>4</v>
      </c>
      <c r="E890" t="str">
        <f>_xlfn.CONCAT(makulatura4[[#This Row],[Imie]]," ",makulatura4[[#This Row],[Nazwisko]])</f>
        <v>Jakub Radziszewski</v>
      </c>
    </row>
    <row r="891" spans="1:5" x14ac:dyDescent="0.25">
      <c r="A891" s="1">
        <v>42873</v>
      </c>
      <c r="B891" s="2" t="s">
        <v>201</v>
      </c>
      <c r="C891" s="2" t="s">
        <v>433</v>
      </c>
      <c r="D891">
        <v>28</v>
      </c>
      <c r="E891" t="str">
        <f>_xlfn.CONCAT(makulatura4[[#This Row],[Imie]]," ",makulatura4[[#This Row],[Nazwisko]])</f>
        <v>Marcin Gizinski</v>
      </c>
    </row>
    <row r="892" spans="1:5" x14ac:dyDescent="0.25">
      <c r="A892" s="1">
        <v>42873</v>
      </c>
      <c r="B892" s="2" t="s">
        <v>143</v>
      </c>
      <c r="C892" s="2" t="s">
        <v>585</v>
      </c>
      <c r="D892">
        <v>48</v>
      </c>
      <c r="E892" t="str">
        <f>_xlfn.CONCAT(makulatura4[[#This Row],[Imie]]," ",makulatura4[[#This Row],[Nazwisko]])</f>
        <v>Przemyslaw Bajewski</v>
      </c>
    </row>
    <row r="893" spans="1:5" x14ac:dyDescent="0.25">
      <c r="A893" s="1">
        <v>42874</v>
      </c>
      <c r="B893" s="2" t="s">
        <v>69</v>
      </c>
      <c r="C893" s="2" t="s">
        <v>461</v>
      </c>
      <c r="D893">
        <v>40</v>
      </c>
      <c r="E893" t="str">
        <f>_xlfn.CONCAT(makulatura4[[#This Row],[Imie]]," ",makulatura4[[#This Row],[Nazwisko]])</f>
        <v>Adam Borkowski</v>
      </c>
    </row>
    <row r="894" spans="1:5" x14ac:dyDescent="0.25">
      <c r="A894" s="1">
        <v>42874</v>
      </c>
      <c r="B894" s="2" t="s">
        <v>101</v>
      </c>
      <c r="C894" s="2" t="s">
        <v>187</v>
      </c>
      <c r="D894">
        <v>17</v>
      </c>
      <c r="E894" t="str">
        <f>_xlfn.CONCAT(makulatura4[[#This Row],[Imie]]," ",makulatura4[[#This Row],[Nazwisko]])</f>
        <v>Maria Drozd</v>
      </c>
    </row>
    <row r="895" spans="1:5" x14ac:dyDescent="0.25">
      <c r="A895" s="1">
        <v>42874</v>
      </c>
      <c r="B895" s="2" t="s">
        <v>203</v>
      </c>
      <c r="C895" s="2" t="s">
        <v>370</v>
      </c>
      <c r="D895">
        <v>22</v>
      </c>
      <c r="E895" t="str">
        <f>_xlfn.CONCAT(makulatura4[[#This Row],[Imie]]," ",makulatura4[[#This Row],[Nazwisko]])</f>
        <v>Igor Rybinski</v>
      </c>
    </row>
    <row r="896" spans="1:5" x14ac:dyDescent="0.25">
      <c r="A896" s="1">
        <v>42874</v>
      </c>
      <c r="B896" s="2" t="s">
        <v>174</v>
      </c>
      <c r="C896" s="2" t="s">
        <v>175</v>
      </c>
      <c r="D896">
        <v>2</v>
      </c>
      <c r="E896" t="str">
        <f>_xlfn.CONCAT(makulatura4[[#This Row],[Imie]]," ",makulatura4[[#This Row],[Nazwisko]])</f>
        <v>Dorota Adamus</v>
      </c>
    </row>
    <row r="897" spans="1:5" x14ac:dyDescent="0.25">
      <c r="A897" s="1">
        <v>42874</v>
      </c>
      <c r="B897" s="2" t="s">
        <v>30</v>
      </c>
      <c r="C897" s="2" t="s">
        <v>31</v>
      </c>
      <c r="D897">
        <v>5</v>
      </c>
      <c r="E897" t="str">
        <f>_xlfn.CONCAT(makulatura4[[#This Row],[Imie]]," ",makulatura4[[#This Row],[Nazwisko]])</f>
        <v>Maciej Lyszcz</v>
      </c>
    </row>
    <row r="898" spans="1:5" x14ac:dyDescent="0.25">
      <c r="A898" s="1">
        <v>42874</v>
      </c>
      <c r="B898" s="2" t="s">
        <v>280</v>
      </c>
      <c r="C898" s="2" t="s">
        <v>451</v>
      </c>
      <c r="D898">
        <v>25</v>
      </c>
      <c r="E898" t="str">
        <f>_xlfn.CONCAT(makulatura4[[#This Row],[Imie]]," ",makulatura4[[#This Row],[Nazwisko]])</f>
        <v>Kamila Bialkowska</v>
      </c>
    </row>
    <row r="899" spans="1:5" x14ac:dyDescent="0.25">
      <c r="A899" s="1">
        <v>42877</v>
      </c>
      <c r="B899" s="2" t="s">
        <v>167</v>
      </c>
      <c r="C899" s="2" t="s">
        <v>552</v>
      </c>
      <c r="D899">
        <v>21</v>
      </c>
      <c r="E899" t="str">
        <f>_xlfn.CONCAT(makulatura4[[#This Row],[Imie]]," ",makulatura4[[#This Row],[Nazwisko]])</f>
        <v>Wanda Chojnacka</v>
      </c>
    </row>
    <row r="900" spans="1:5" x14ac:dyDescent="0.25">
      <c r="A900" s="1">
        <v>42877</v>
      </c>
      <c r="B900" s="2" t="s">
        <v>30</v>
      </c>
      <c r="C900" s="2" t="s">
        <v>432</v>
      </c>
      <c r="D900">
        <v>31</v>
      </c>
      <c r="E900" t="str">
        <f>_xlfn.CONCAT(makulatura4[[#This Row],[Imie]]," ",makulatura4[[#This Row],[Nazwisko]])</f>
        <v>Maciej Tasz</v>
      </c>
    </row>
    <row r="901" spans="1:5" x14ac:dyDescent="0.25">
      <c r="A901" s="1">
        <v>42877</v>
      </c>
      <c r="B901" s="2" t="s">
        <v>75</v>
      </c>
      <c r="C901" s="2" t="s">
        <v>213</v>
      </c>
      <c r="D901">
        <v>21</v>
      </c>
      <c r="E901" t="str">
        <f>_xlfn.CONCAT(makulatura4[[#This Row],[Imie]]," ",makulatura4[[#This Row],[Nazwisko]])</f>
        <v>Hanna Steinborn</v>
      </c>
    </row>
    <row r="902" spans="1:5" x14ac:dyDescent="0.25">
      <c r="A902" s="1">
        <v>42877</v>
      </c>
      <c r="B902" s="2" t="s">
        <v>232</v>
      </c>
      <c r="C902" s="2" t="s">
        <v>573</v>
      </c>
      <c r="D902">
        <v>19</v>
      </c>
      <c r="E902" t="str">
        <f>_xlfn.CONCAT(makulatura4[[#This Row],[Imie]]," ",makulatura4[[#This Row],[Nazwisko]])</f>
        <v>Monika Srubka</v>
      </c>
    </row>
    <row r="903" spans="1:5" x14ac:dyDescent="0.25">
      <c r="A903" s="1">
        <v>42877</v>
      </c>
      <c r="B903" s="2" t="s">
        <v>57</v>
      </c>
      <c r="C903" s="2" t="s">
        <v>58</v>
      </c>
      <c r="D903">
        <v>6</v>
      </c>
      <c r="E903" t="str">
        <f>_xlfn.CONCAT(makulatura4[[#This Row],[Imie]]," ",makulatura4[[#This Row],[Nazwisko]])</f>
        <v>Patrycja Glowinska</v>
      </c>
    </row>
    <row r="904" spans="1:5" x14ac:dyDescent="0.25">
      <c r="A904" s="1">
        <v>42877</v>
      </c>
      <c r="B904" s="2" t="s">
        <v>150</v>
      </c>
      <c r="C904" s="2" t="s">
        <v>140</v>
      </c>
      <c r="D904">
        <v>24</v>
      </c>
      <c r="E904" t="str">
        <f>_xlfn.CONCAT(makulatura4[[#This Row],[Imie]]," ",makulatura4[[#This Row],[Nazwisko]])</f>
        <v>Krzysztof Las</v>
      </c>
    </row>
    <row r="905" spans="1:5" x14ac:dyDescent="0.25">
      <c r="A905" s="1">
        <v>42878</v>
      </c>
      <c r="B905" s="2" t="s">
        <v>343</v>
      </c>
      <c r="C905" s="2" t="s">
        <v>344</v>
      </c>
      <c r="D905">
        <v>54</v>
      </c>
      <c r="E905" t="str">
        <f>_xlfn.CONCAT(makulatura4[[#This Row],[Imie]]," ",makulatura4[[#This Row],[Nazwisko]])</f>
        <v>Izabela Skrzydlak</v>
      </c>
    </row>
    <row r="906" spans="1:5" x14ac:dyDescent="0.25">
      <c r="A906" s="1">
        <v>42878</v>
      </c>
      <c r="B906" s="2" t="s">
        <v>53</v>
      </c>
      <c r="C906" s="2" t="s">
        <v>54</v>
      </c>
      <c r="D906">
        <v>18</v>
      </c>
      <c r="E906" t="str">
        <f>_xlfn.CONCAT(makulatura4[[#This Row],[Imie]]," ",makulatura4[[#This Row],[Nazwisko]])</f>
        <v>Wieslawa Koniec</v>
      </c>
    </row>
    <row r="907" spans="1:5" x14ac:dyDescent="0.25">
      <c r="A907" s="1">
        <v>42878</v>
      </c>
      <c r="B907" s="2" t="s">
        <v>343</v>
      </c>
      <c r="C907" s="2" t="s">
        <v>501</v>
      </c>
      <c r="D907">
        <v>8</v>
      </c>
      <c r="E907" t="str">
        <f>_xlfn.CONCAT(makulatura4[[#This Row],[Imie]]," ",makulatura4[[#This Row],[Nazwisko]])</f>
        <v>Izabela Sobota</v>
      </c>
    </row>
    <row r="908" spans="1:5" x14ac:dyDescent="0.25">
      <c r="A908" s="1">
        <v>42878</v>
      </c>
      <c r="B908" s="2" t="s">
        <v>243</v>
      </c>
      <c r="C908" s="2" t="s">
        <v>82</v>
      </c>
      <c r="D908">
        <v>4</v>
      </c>
      <c r="E908" t="str">
        <f>_xlfn.CONCAT(makulatura4[[#This Row],[Imie]]," ",makulatura4[[#This Row],[Nazwisko]])</f>
        <v>Sofia Felisiak</v>
      </c>
    </row>
    <row r="909" spans="1:5" x14ac:dyDescent="0.25">
      <c r="A909" s="1">
        <v>42878</v>
      </c>
      <c r="B909" s="2" t="s">
        <v>53</v>
      </c>
      <c r="C909" s="2" t="s">
        <v>227</v>
      </c>
      <c r="D909">
        <v>16</v>
      </c>
      <c r="E909" t="str">
        <f>_xlfn.CONCAT(makulatura4[[#This Row],[Imie]]," ",makulatura4[[#This Row],[Nazwisko]])</f>
        <v>Wieslawa Nowak</v>
      </c>
    </row>
    <row r="910" spans="1:5" x14ac:dyDescent="0.25">
      <c r="A910" s="1">
        <v>42878</v>
      </c>
      <c r="B910" s="2" t="s">
        <v>34</v>
      </c>
      <c r="C910" s="2" t="s">
        <v>557</v>
      </c>
      <c r="D910">
        <v>6</v>
      </c>
      <c r="E910" t="str">
        <f>_xlfn.CONCAT(makulatura4[[#This Row],[Imie]]," ",makulatura4[[#This Row],[Nazwisko]])</f>
        <v>Julia Sadowska</v>
      </c>
    </row>
    <row r="911" spans="1:5" x14ac:dyDescent="0.25">
      <c r="A911" s="1">
        <v>42879</v>
      </c>
      <c r="B911" s="2" t="s">
        <v>43</v>
      </c>
      <c r="C911" s="2" t="s">
        <v>124</v>
      </c>
      <c r="D911">
        <v>54</v>
      </c>
      <c r="E911" t="str">
        <f>_xlfn.CONCAT(makulatura4[[#This Row],[Imie]]," ",makulatura4[[#This Row],[Nazwisko]])</f>
        <v>Andrzej Tysz</v>
      </c>
    </row>
    <row r="912" spans="1:5" x14ac:dyDescent="0.25">
      <c r="A912" s="1">
        <v>42879</v>
      </c>
      <c r="B912" s="2" t="s">
        <v>83</v>
      </c>
      <c r="C912" s="2" t="s">
        <v>459</v>
      </c>
      <c r="D912">
        <v>35</v>
      </c>
      <c r="E912" t="str">
        <f>_xlfn.CONCAT(makulatura4[[#This Row],[Imie]]," ",makulatura4[[#This Row],[Nazwisko]])</f>
        <v>Jan Zaczyk</v>
      </c>
    </row>
    <row r="913" spans="1:5" x14ac:dyDescent="0.25">
      <c r="A913" s="1">
        <v>42879</v>
      </c>
      <c r="B913" s="2" t="s">
        <v>234</v>
      </c>
      <c r="C913" s="2" t="s">
        <v>235</v>
      </c>
      <c r="D913">
        <v>23</v>
      </c>
      <c r="E913" t="str">
        <f>_xlfn.CONCAT(makulatura4[[#This Row],[Imie]]," ",makulatura4[[#This Row],[Nazwisko]])</f>
        <v>Magdalena Okraska</v>
      </c>
    </row>
    <row r="914" spans="1:5" x14ac:dyDescent="0.25">
      <c r="A914" s="1">
        <v>42879</v>
      </c>
      <c r="B914" s="2" t="s">
        <v>72</v>
      </c>
      <c r="C914" s="2" t="s">
        <v>227</v>
      </c>
      <c r="D914">
        <v>52</v>
      </c>
      <c r="E914" t="str">
        <f>_xlfn.CONCAT(makulatura4[[#This Row],[Imie]]," ",makulatura4[[#This Row],[Nazwisko]])</f>
        <v>Teodor Nowak</v>
      </c>
    </row>
    <row r="915" spans="1:5" x14ac:dyDescent="0.25">
      <c r="A915" s="1">
        <v>42879</v>
      </c>
      <c r="B915" s="2" t="s">
        <v>367</v>
      </c>
      <c r="C915" s="2" t="s">
        <v>411</v>
      </c>
      <c r="D915">
        <v>26</v>
      </c>
      <c r="E915" t="str">
        <f>_xlfn.CONCAT(makulatura4[[#This Row],[Imie]]," ",makulatura4[[#This Row],[Nazwisko]])</f>
        <v>Szymon Wozniak</v>
      </c>
    </row>
    <row r="916" spans="1:5" x14ac:dyDescent="0.25">
      <c r="A916" s="1">
        <v>42879</v>
      </c>
      <c r="B916" s="2" t="s">
        <v>343</v>
      </c>
      <c r="C916" s="2" t="s">
        <v>501</v>
      </c>
      <c r="D916">
        <v>26</v>
      </c>
      <c r="E916" t="str">
        <f>_xlfn.CONCAT(makulatura4[[#This Row],[Imie]]," ",makulatura4[[#This Row],[Nazwisko]])</f>
        <v>Izabela Sobota</v>
      </c>
    </row>
    <row r="917" spans="1:5" x14ac:dyDescent="0.25">
      <c r="A917" s="1">
        <v>42880</v>
      </c>
      <c r="B917" s="2" t="s">
        <v>97</v>
      </c>
      <c r="C917" s="2" t="s">
        <v>457</v>
      </c>
      <c r="D917">
        <v>2</v>
      </c>
      <c r="E917" t="str">
        <f>_xlfn.CONCAT(makulatura4[[#This Row],[Imie]]," ",makulatura4[[#This Row],[Nazwisko]])</f>
        <v>Mateusz Krynicki</v>
      </c>
    </row>
    <row r="918" spans="1:5" x14ac:dyDescent="0.25">
      <c r="A918" s="1">
        <v>42880</v>
      </c>
      <c r="B918" s="2" t="s">
        <v>51</v>
      </c>
      <c r="C918" s="2" t="s">
        <v>469</v>
      </c>
      <c r="D918">
        <v>31</v>
      </c>
      <c r="E918" t="str">
        <f>_xlfn.CONCAT(makulatura4[[#This Row],[Imie]]," ",makulatura4[[#This Row],[Nazwisko]])</f>
        <v>Barbara Karcz</v>
      </c>
    </row>
    <row r="919" spans="1:5" x14ac:dyDescent="0.25">
      <c r="A919" s="1">
        <v>42880</v>
      </c>
      <c r="B919" s="2" t="s">
        <v>20</v>
      </c>
      <c r="C919" s="2" t="s">
        <v>21</v>
      </c>
      <c r="D919">
        <v>38</v>
      </c>
      <c r="E919" t="str">
        <f>_xlfn.CONCAT(makulatura4[[#This Row],[Imie]]," ",makulatura4[[#This Row],[Nazwisko]])</f>
        <v>Borys Myszor</v>
      </c>
    </row>
    <row r="920" spans="1:5" x14ac:dyDescent="0.25">
      <c r="A920" s="1">
        <v>42880</v>
      </c>
      <c r="B920" s="2" t="s">
        <v>4</v>
      </c>
      <c r="C920" s="2" t="s">
        <v>386</v>
      </c>
      <c r="D920">
        <v>8</v>
      </c>
      <c r="E920" t="str">
        <f>_xlfn.CONCAT(makulatura4[[#This Row],[Imie]]," ",makulatura4[[#This Row],[Nazwisko]])</f>
        <v>Agnieszka Kaminska</v>
      </c>
    </row>
    <row r="921" spans="1:5" x14ac:dyDescent="0.25">
      <c r="A921" s="1">
        <v>42880</v>
      </c>
      <c r="B921" s="2" t="s">
        <v>36</v>
      </c>
      <c r="C921" s="2" t="s">
        <v>295</v>
      </c>
      <c r="D921">
        <v>53</v>
      </c>
      <c r="E921" t="str">
        <f>_xlfn.CONCAT(makulatura4[[#This Row],[Imie]]," ",makulatura4[[#This Row],[Nazwisko]])</f>
        <v>Piotr Kania</v>
      </c>
    </row>
    <row r="922" spans="1:5" x14ac:dyDescent="0.25">
      <c r="A922" s="1">
        <v>42880</v>
      </c>
      <c r="B922" s="2" t="s">
        <v>484</v>
      </c>
      <c r="C922" s="2" t="s">
        <v>485</v>
      </c>
      <c r="D922">
        <v>6</v>
      </c>
      <c r="E922" t="str">
        <f>_xlfn.CONCAT(makulatura4[[#This Row],[Imie]]," ",makulatura4[[#This Row],[Nazwisko]])</f>
        <v>Roman Grodecki</v>
      </c>
    </row>
    <row r="923" spans="1:5" x14ac:dyDescent="0.25">
      <c r="A923" s="1">
        <v>42881</v>
      </c>
      <c r="B923" s="2" t="s">
        <v>72</v>
      </c>
      <c r="C923" s="2" t="s">
        <v>73</v>
      </c>
      <c r="D923">
        <v>55</v>
      </c>
      <c r="E923" t="str">
        <f>_xlfn.CONCAT(makulatura4[[#This Row],[Imie]]," ",makulatura4[[#This Row],[Nazwisko]])</f>
        <v>Teodor Fornal</v>
      </c>
    </row>
    <row r="924" spans="1:5" x14ac:dyDescent="0.25">
      <c r="A924" s="1">
        <v>42881</v>
      </c>
      <c r="B924" s="2" t="s">
        <v>395</v>
      </c>
      <c r="C924" s="2" t="s">
        <v>587</v>
      </c>
      <c r="D924">
        <v>15</v>
      </c>
      <c r="E924" t="str">
        <f>_xlfn.CONCAT(makulatura4[[#This Row],[Imie]]," ",makulatura4[[#This Row],[Nazwisko]])</f>
        <v>Tomasz Zbik</v>
      </c>
    </row>
    <row r="925" spans="1:5" x14ac:dyDescent="0.25">
      <c r="A925" s="1">
        <v>42881</v>
      </c>
      <c r="B925" s="2" t="s">
        <v>155</v>
      </c>
      <c r="C925" s="2" t="s">
        <v>414</v>
      </c>
      <c r="D925">
        <v>25</v>
      </c>
      <c r="E925" t="str">
        <f>_xlfn.CONCAT(makulatura4[[#This Row],[Imie]]," ",makulatura4[[#This Row],[Nazwisko]])</f>
        <v>Jacek Chojnacki</v>
      </c>
    </row>
    <row r="926" spans="1:5" x14ac:dyDescent="0.25">
      <c r="A926" s="1">
        <v>42881</v>
      </c>
      <c r="B926" s="2" t="s">
        <v>69</v>
      </c>
      <c r="C926" s="2" t="s">
        <v>588</v>
      </c>
      <c r="D926">
        <v>39</v>
      </c>
      <c r="E926" t="str">
        <f>_xlfn.CONCAT(makulatura4[[#This Row],[Imie]]," ",makulatura4[[#This Row],[Nazwisko]])</f>
        <v>Adam Zurek</v>
      </c>
    </row>
    <row r="927" spans="1:5" x14ac:dyDescent="0.25">
      <c r="A927" s="1">
        <v>42881</v>
      </c>
      <c r="B927" s="2" t="s">
        <v>201</v>
      </c>
      <c r="C927" s="2" t="s">
        <v>357</v>
      </c>
      <c r="D927">
        <v>25</v>
      </c>
      <c r="E927" t="str">
        <f>_xlfn.CONCAT(makulatura4[[#This Row],[Imie]]," ",makulatura4[[#This Row],[Nazwisko]])</f>
        <v>Marcin Tabaka</v>
      </c>
    </row>
    <row r="928" spans="1:5" x14ac:dyDescent="0.25">
      <c r="A928" s="1">
        <v>42881</v>
      </c>
      <c r="B928" s="2" t="s">
        <v>55</v>
      </c>
      <c r="C928" s="2" t="s">
        <v>265</v>
      </c>
      <c r="D928">
        <v>22</v>
      </c>
      <c r="E928" t="str">
        <f>_xlfn.CONCAT(makulatura4[[#This Row],[Imie]]," ",makulatura4[[#This Row],[Nazwisko]])</f>
        <v>Anna Janowska</v>
      </c>
    </row>
    <row r="929" spans="1:5" x14ac:dyDescent="0.25">
      <c r="A929" s="1">
        <v>42884</v>
      </c>
      <c r="B929" s="2" t="s">
        <v>589</v>
      </c>
      <c r="C929" s="2" t="s">
        <v>590</v>
      </c>
      <c r="D929">
        <v>22</v>
      </c>
      <c r="E929" t="str">
        <f>_xlfn.CONCAT(makulatura4[[#This Row],[Imie]]," ",makulatura4[[#This Row],[Nazwisko]])</f>
        <v>Roksana Frankowska</v>
      </c>
    </row>
    <row r="930" spans="1:5" x14ac:dyDescent="0.25">
      <c r="A930" s="1">
        <v>42884</v>
      </c>
      <c r="B930" s="2" t="s">
        <v>150</v>
      </c>
      <c r="C930" s="2" t="s">
        <v>200</v>
      </c>
      <c r="D930">
        <v>2</v>
      </c>
      <c r="E930" t="str">
        <f>_xlfn.CONCAT(makulatura4[[#This Row],[Imie]]," ",makulatura4[[#This Row],[Nazwisko]])</f>
        <v>Krzysztof Madejski</v>
      </c>
    </row>
    <row r="931" spans="1:5" x14ac:dyDescent="0.25">
      <c r="A931" s="1">
        <v>42884</v>
      </c>
      <c r="B931" s="2" t="s">
        <v>101</v>
      </c>
      <c r="C931" s="2" t="s">
        <v>293</v>
      </c>
      <c r="D931">
        <v>8</v>
      </c>
      <c r="E931" t="str">
        <f>_xlfn.CONCAT(makulatura4[[#This Row],[Imie]]," ",makulatura4[[#This Row],[Nazwisko]])</f>
        <v>Maria Kowalczuk</v>
      </c>
    </row>
    <row r="932" spans="1:5" x14ac:dyDescent="0.25">
      <c r="A932" s="1">
        <v>42884</v>
      </c>
      <c r="B932" s="2" t="s">
        <v>83</v>
      </c>
      <c r="C932" s="2" t="s">
        <v>591</v>
      </c>
      <c r="D932">
        <v>50</v>
      </c>
      <c r="E932" t="str">
        <f>_xlfn.CONCAT(makulatura4[[#This Row],[Imie]]," ",makulatura4[[#This Row],[Nazwisko]])</f>
        <v>Jan Kildanowski</v>
      </c>
    </row>
    <row r="933" spans="1:5" x14ac:dyDescent="0.25">
      <c r="A933" s="1">
        <v>42884</v>
      </c>
      <c r="B933" s="2" t="s">
        <v>95</v>
      </c>
      <c r="C933" s="2" t="s">
        <v>96</v>
      </c>
      <c r="D933">
        <v>17</v>
      </c>
      <c r="E933" t="str">
        <f>_xlfn.CONCAT(makulatura4[[#This Row],[Imie]]," ",makulatura4[[#This Row],[Nazwisko]])</f>
        <v>Dominik Szczucki</v>
      </c>
    </row>
    <row r="934" spans="1:5" x14ac:dyDescent="0.25">
      <c r="A934" s="1">
        <v>42884</v>
      </c>
      <c r="B934" s="2" t="s">
        <v>65</v>
      </c>
      <c r="C934" s="2" t="s">
        <v>66</v>
      </c>
      <c r="D934">
        <v>9</v>
      </c>
      <c r="E934" t="str">
        <f>_xlfn.CONCAT(makulatura4[[#This Row],[Imie]]," ",makulatura4[[#This Row],[Nazwisko]])</f>
        <v>Michal Kirwiel</v>
      </c>
    </row>
    <row r="935" spans="1:5" x14ac:dyDescent="0.25">
      <c r="A935" s="1">
        <v>42885</v>
      </c>
      <c r="B935" s="2" t="s">
        <v>307</v>
      </c>
      <c r="C935" s="2" t="s">
        <v>325</v>
      </c>
      <c r="D935">
        <v>52</v>
      </c>
      <c r="E935" t="str">
        <f>_xlfn.CONCAT(makulatura4[[#This Row],[Imie]]," ",makulatura4[[#This Row],[Nazwisko]])</f>
        <v>Konrad Jagielski</v>
      </c>
    </row>
    <row r="936" spans="1:5" x14ac:dyDescent="0.25">
      <c r="A936" s="1">
        <v>42885</v>
      </c>
      <c r="B936" s="2" t="s">
        <v>232</v>
      </c>
      <c r="C936" s="2" t="s">
        <v>451</v>
      </c>
      <c r="D936">
        <v>18</v>
      </c>
      <c r="E936" t="str">
        <f>_xlfn.CONCAT(makulatura4[[#This Row],[Imie]]," ",makulatura4[[#This Row],[Nazwisko]])</f>
        <v>Monika Bialkowska</v>
      </c>
    </row>
    <row r="937" spans="1:5" x14ac:dyDescent="0.25">
      <c r="A937" s="1">
        <v>42885</v>
      </c>
      <c r="B937" s="2" t="s">
        <v>23</v>
      </c>
      <c r="C937" s="2" t="s">
        <v>592</v>
      </c>
      <c r="D937">
        <v>17</v>
      </c>
      <c r="E937" t="str">
        <f>_xlfn.CONCAT(makulatura4[[#This Row],[Imie]]," ",makulatura4[[#This Row],[Nazwisko]])</f>
        <v>Alicja Walentowicz</v>
      </c>
    </row>
    <row r="938" spans="1:5" x14ac:dyDescent="0.25">
      <c r="A938" s="1">
        <v>42885</v>
      </c>
      <c r="B938" s="2" t="s">
        <v>299</v>
      </c>
      <c r="C938" s="2" t="s">
        <v>300</v>
      </c>
      <c r="D938">
        <v>52</v>
      </c>
      <c r="E938" t="str">
        <f>_xlfn.CONCAT(makulatura4[[#This Row],[Imie]]," ",makulatura4[[#This Row],[Nazwisko]])</f>
        <v>Zbigniew Paderewski</v>
      </c>
    </row>
    <row r="939" spans="1:5" x14ac:dyDescent="0.25">
      <c r="A939" s="1">
        <v>42885</v>
      </c>
      <c r="B939" s="2" t="s">
        <v>65</v>
      </c>
      <c r="C939" s="2" t="s">
        <v>116</v>
      </c>
      <c r="D939">
        <v>13</v>
      </c>
      <c r="E939" t="str">
        <f>_xlfn.CONCAT(makulatura4[[#This Row],[Imie]]," ",makulatura4[[#This Row],[Nazwisko]])</f>
        <v>Michal Nowicki</v>
      </c>
    </row>
    <row r="940" spans="1:5" x14ac:dyDescent="0.25">
      <c r="A940" s="1">
        <v>42885</v>
      </c>
      <c r="B940" s="2" t="s">
        <v>25</v>
      </c>
      <c r="C940" s="2" t="s">
        <v>26</v>
      </c>
      <c r="D940">
        <v>10</v>
      </c>
      <c r="E940" t="str">
        <f>_xlfn.CONCAT(makulatura4[[#This Row],[Imie]]," ",makulatura4[[#This Row],[Nazwisko]])</f>
        <v>Leon Szybki</v>
      </c>
    </row>
    <row r="941" spans="1:5" x14ac:dyDescent="0.25">
      <c r="A941" s="1">
        <v>42886</v>
      </c>
      <c r="B941" s="2" t="s">
        <v>593</v>
      </c>
      <c r="C941" s="2" t="s">
        <v>594</v>
      </c>
      <c r="D941">
        <v>18</v>
      </c>
      <c r="E941" t="str">
        <f>_xlfn.CONCAT(makulatura4[[#This Row],[Imie]]," ",makulatura4[[#This Row],[Nazwisko]])</f>
        <v>Olga Paluszkiewicz</v>
      </c>
    </row>
    <row r="942" spans="1:5" x14ac:dyDescent="0.25">
      <c r="A942" s="1">
        <v>42886</v>
      </c>
      <c r="B942" s="2" t="s">
        <v>67</v>
      </c>
      <c r="C942" s="2" t="s">
        <v>301</v>
      </c>
      <c r="D942">
        <v>16</v>
      </c>
      <c r="E942" t="str">
        <f>_xlfn.CONCAT(makulatura4[[#This Row],[Imie]]," ",makulatura4[[#This Row],[Nazwisko]])</f>
        <v>Bartosz Tusinski</v>
      </c>
    </row>
    <row r="943" spans="1:5" x14ac:dyDescent="0.25">
      <c r="A943" s="1">
        <v>42886</v>
      </c>
      <c r="B943" s="2" t="s">
        <v>193</v>
      </c>
      <c r="C943" s="2" t="s">
        <v>595</v>
      </c>
      <c r="D943">
        <v>8</v>
      </c>
      <c r="E943" t="str">
        <f>_xlfn.CONCAT(makulatura4[[#This Row],[Imie]]," ",makulatura4[[#This Row],[Nazwisko]])</f>
        <v>Karolina Perez</v>
      </c>
    </row>
    <row r="944" spans="1:5" x14ac:dyDescent="0.25">
      <c r="A944" s="1">
        <v>42886</v>
      </c>
      <c r="B944" s="2" t="s">
        <v>30</v>
      </c>
      <c r="C944" s="2" t="s">
        <v>241</v>
      </c>
      <c r="D944">
        <v>26</v>
      </c>
      <c r="E944" t="str">
        <f>_xlfn.CONCAT(makulatura4[[#This Row],[Imie]]," ",makulatura4[[#This Row],[Nazwisko]])</f>
        <v>Maciej Czyzynski</v>
      </c>
    </row>
    <row r="945" spans="1:5" x14ac:dyDescent="0.25">
      <c r="A945" s="1">
        <v>42886</v>
      </c>
      <c r="B945" s="2" t="s">
        <v>12</v>
      </c>
      <c r="C945" s="2" t="s">
        <v>532</v>
      </c>
      <c r="D945">
        <v>53</v>
      </c>
      <c r="E945" t="str">
        <f>_xlfn.CONCAT(makulatura4[[#This Row],[Imie]]," ",makulatura4[[#This Row],[Nazwisko]])</f>
        <v>Maja Kurowska</v>
      </c>
    </row>
    <row r="946" spans="1:5" x14ac:dyDescent="0.25">
      <c r="A946" s="1">
        <v>42886</v>
      </c>
      <c r="B946" s="2" t="s">
        <v>77</v>
      </c>
      <c r="C946" s="2" t="s">
        <v>575</v>
      </c>
      <c r="D946">
        <v>3</v>
      </c>
      <c r="E946" t="str">
        <f>_xlfn.CONCAT(makulatura4[[#This Row],[Imie]]," ",makulatura4[[#This Row],[Nazwisko]])</f>
        <v>Hubert Borek</v>
      </c>
    </row>
    <row r="947" spans="1:5" x14ac:dyDescent="0.25">
      <c r="A947" s="1">
        <v>42887</v>
      </c>
      <c r="B947" s="2" t="s">
        <v>65</v>
      </c>
      <c r="C947" s="2" t="s">
        <v>83</v>
      </c>
      <c r="D947">
        <v>36</v>
      </c>
      <c r="E947" t="str">
        <f>_xlfn.CONCAT(makulatura4[[#This Row],[Imie]]," ",makulatura4[[#This Row],[Nazwisko]])</f>
        <v>Michal Jan</v>
      </c>
    </row>
    <row r="948" spans="1:5" x14ac:dyDescent="0.25">
      <c r="A948" s="1">
        <v>42887</v>
      </c>
      <c r="B948" s="2" t="s">
        <v>203</v>
      </c>
      <c r="C948" s="2" t="s">
        <v>370</v>
      </c>
      <c r="D948">
        <v>17</v>
      </c>
      <c r="E948" t="str">
        <f>_xlfn.CONCAT(makulatura4[[#This Row],[Imie]]," ",makulatura4[[#This Row],[Nazwisko]])</f>
        <v>Igor Rybinski</v>
      </c>
    </row>
    <row r="949" spans="1:5" x14ac:dyDescent="0.25">
      <c r="A949" s="1">
        <v>42887</v>
      </c>
      <c r="B949" s="2" t="s">
        <v>63</v>
      </c>
      <c r="C949" s="2" t="s">
        <v>105</v>
      </c>
      <c r="D949">
        <v>14</v>
      </c>
      <c r="E949" t="str">
        <f>_xlfn.CONCAT(makulatura4[[#This Row],[Imie]]," ",makulatura4[[#This Row],[Nazwisko]])</f>
        <v>Adrian Dulski</v>
      </c>
    </row>
    <row r="950" spans="1:5" x14ac:dyDescent="0.25">
      <c r="A950" s="1">
        <v>42887</v>
      </c>
      <c r="B950" s="2" t="s">
        <v>34</v>
      </c>
      <c r="C950" s="2" t="s">
        <v>557</v>
      </c>
      <c r="D950">
        <v>54</v>
      </c>
      <c r="E950" t="str">
        <f>_xlfn.CONCAT(makulatura4[[#This Row],[Imie]]," ",makulatura4[[#This Row],[Nazwisko]])</f>
        <v>Julia Sadowska</v>
      </c>
    </row>
    <row r="951" spans="1:5" x14ac:dyDescent="0.25">
      <c r="A951" s="1">
        <v>42887</v>
      </c>
      <c r="B951" s="2" t="s">
        <v>12</v>
      </c>
      <c r="C951" s="2" t="s">
        <v>386</v>
      </c>
      <c r="D951">
        <v>22</v>
      </c>
      <c r="E951" t="str">
        <f>_xlfn.CONCAT(makulatura4[[#This Row],[Imie]]," ",makulatura4[[#This Row],[Nazwisko]])</f>
        <v>Maja Kaminska</v>
      </c>
    </row>
    <row r="952" spans="1:5" x14ac:dyDescent="0.25">
      <c r="A952" s="1">
        <v>42887</v>
      </c>
      <c r="B952" s="2" t="s">
        <v>339</v>
      </c>
      <c r="C952" s="2" t="s">
        <v>565</v>
      </c>
      <c r="D952">
        <v>33</v>
      </c>
      <c r="E952" t="str">
        <f>_xlfn.CONCAT(makulatura4[[#This Row],[Imie]]," ",makulatura4[[#This Row],[Nazwisko]])</f>
        <v>Nadia Jurewicz</v>
      </c>
    </row>
    <row r="953" spans="1:5" x14ac:dyDescent="0.25">
      <c r="A953" s="1">
        <v>42888</v>
      </c>
      <c r="B953" s="2" t="s">
        <v>101</v>
      </c>
      <c r="C953" s="2" t="s">
        <v>187</v>
      </c>
      <c r="D953">
        <v>22</v>
      </c>
      <c r="E953" t="str">
        <f>_xlfn.CONCAT(makulatura4[[#This Row],[Imie]]," ",makulatura4[[#This Row],[Nazwisko]])</f>
        <v>Maria Drozd</v>
      </c>
    </row>
    <row r="954" spans="1:5" x14ac:dyDescent="0.25">
      <c r="A954" s="1">
        <v>42888</v>
      </c>
      <c r="B954" s="2" t="s">
        <v>367</v>
      </c>
      <c r="C954" s="2" t="s">
        <v>368</v>
      </c>
      <c r="D954">
        <v>2</v>
      </c>
      <c r="E954" t="str">
        <f>_xlfn.CONCAT(makulatura4[[#This Row],[Imie]]," ",makulatura4[[#This Row],[Nazwisko]])</f>
        <v>Szymon Mrozniak</v>
      </c>
    </row>
    <row r="955" spans="1:5" x14ac:dyDescent="0.25">
      <c r="A955" s="1">
        <v>42888</v>
      </c>
      <c r="B955" s="2" t="s">
        <v>246</v>
      </c>
      <c r="C955" s="2" t="s">
        <v>247</v>
      </c>
      <c r="D955">
        <v>8</v>
      </c>
      <c r="E955" t="str">
        <f>_xlfn.CONCAT(makulatura4[[#This Row],[Imie]]," ",makulatura4[[#This Row],[Nazwisko]])</f>
        <v>Inez Nahaj</v>
      </c>
    </row>
    <row r="956" spans="1:5" x14ac:dyDescent="0.25">
      <c r="A956" s="1">
        <v>42888</v>
      </c>
      <c r="B956" s="2" t="s">
        <v>83</v>
      </c>
      <c r="C956" s="2" t="s">
        <v>596</v>
      </c>
      <c r="D956">
        <v>5</v>
      </c>
      <c r="E956" t="str">
        <f>_xlfn.CONCAT(makulatura4[[#This Row],[Imie]]," ",makulatura4[[#This Row],[Nazwisko]])</f>
        <v>Jan Pieterson</v>
      </c>
    </row>
    <row r="957" spans="1:5" x14ac:dyDescent="0.25">
      <c r="A957" s="1">
        <v>42888</v>
      </c>
      <c r="B957" s="2" t="s">
        <v>63</v>
      </c>
      <c r="C957" s="2" t="s">
        <v>441</v>
      </c>
      <c r="D957">
        <v>25</v>
      </c>
      <c r="E957" t="str">
        <f>_xlfn.CONCAT(makulatura4[[#This Row],[Imie]]," ",makulatura4[[#This Row],[Nazwisko]])</f>
        <v>Adrian Baran</v>
      </c>
    </row>
    <row r="958" spans="1:5" x14ac:dyDescent="0.25">
      <c r="A958" s="1">
        <v>42888</v>
      </c>
      <c r="B958" s="2" t="s">
        <v>143</v>
      </c>
      <c r="C958" s="2" t="s">
        <v>585</v>
      </c>
      <c r="D958">
        <v>18</v>
      </c>
      <c r="E958" t="str">
        <f>_xlfn.CONCAT(makulatura4[[#This Row],[Imie]]," ",makulatura4[[#This Row],[Nazwisko]])</f>
        <v>Przemyslaw Bajewski</v>
      </c>
    </row>
    <row r="959" spans="1:5" x14ac:dyDescent="0.25">
      <c r="A959" s="1">
        <v>42891</v>
      </c>
      <c r="B959" s="2" t="s">
        <v>131</v>
      </c>
      <c r="C959" s="2" t="s">
        <v>451</v>
      </c>
      <c r="D959">
        <v>8</v>
      </c>
      <c r="E959" t="str">
        <f>_xlfn.CONCAT(makulatura4[[#This Row],[Imie]]," ",makulatura4[[#This Row],[Nazwisko]])</f>
        <v>Ewelina Bialkowska</v>
      </c>
    </row>
    <row r="960" spans="1:5" x14ac:dyDescent="0.25">
      <c r="A960" s="1">
        <v>42891</v>
      </c>
      <c r="B960" s="2" t="s">
        <v>106</v>
      </c>
      <c r="C960" s="2" t="s">
        <v>107</v>
      </c>
      <c r="D960">
        <v>20</v>
      </c>
      <c r="E960" t="str">
        <f>_xlfn.CONCAT(makulatura4[[#This Row],[Imie]]," ",makulatura4[[#This Row],[Nazwisko]])</f>
        <v>Lena Mazurkiewicz</v>
      </c>
    </row>
    <row r="961" spans="1:5" x14ac:dyDescent="0.25">
      <c r="A961" s="1">
        <v>42891</v>
      </c>
      <c r="B961" s="2" t="s">
        <v>57</v>
      </c>
      <c r="C961" s="2" t="s">
        <v>399</v>
      </c>
      <c r="D961">
        <v>23</v>
      </c>
      <c r="E961" t="str">
        <f>_xlfn.CONCAT(makulatura4[[#This Row],[Imie]]," ",makulatura4[[#This Row],[Nazwisko]])</f>
        <v>Patrycja Dzban</v>
      </c>
    </row>
    <row r="962" spans="1:5" x14ac:dyDescent="0.25">
      <c r="A962" s="1">
        <v>42891</v>
      </c>
      <c r="B962" s="2" t="s">
        <v>25</v>
      </c>
      <c r="C962" s="2" t="s">
        <v>26</v>
      </c>
      <c r="D962">
        <v>52</v>
      </c>
      <c r="E962" t="str">
        <f>_xlfn.CONCAT(makulatura4[[#This Row],[Imie]]," ",makulatura4[[#This Row],[Nazwisko]])</f>
        <v>Leon Szybki</v>
      </c>
    </row>
    <row r="963" spans="1:5" x14ac:dyDescent="0.25">
      <c r="A963" s="1">
        <v>42891</v>
      </c>
      <c r="B963" s="2" t="s">
        <v>65</v>
      </c>
      <c r="C963" s="2" t="s">
        <v>210</v>
      </c>
      <c r="D963">
        <v>14</v>
      </c>
      <c r="E963" t="str">
        <f>_xlfn.CONCAT(makulatura4[[#This Row],[Imie]]," ",makulatura4[[#This Row],[Nazwisko]])</f>
        <v>Michal Gora</v>
      </c>
    </row>
    <row r="964" spans="1:5" x14ac:dyDescent="0.25">
      <c r="A964" s="1">
        <v>42891</v>
      </c>
      <c r="B964" s="2" t="s">
        <v>8</v>
      </c>
      <c r="C964" s="2" t="s">
        <v>545</v>
      </c>
      <c r="D964">
        <v>27</v>
      </c>
      <c r="E964" t="str">
        <f>_xlfn.CONCAT(makulatura4[[#This Row],[Imie]]," ",makulatura4[[#This Row],[Nazwisko]])</f>
        <v>Agata Kolacz</v>
      </c>
    </row>
    <row r="965" spans="1:5" x14ac:dyDescent="0.25">
      <c r="A965" s="1">
        <v>42892</v>
      </c>
      <c r="B965" s="2" t="s">
        <v>47</v>
      </c>
      <c r="C965" s="2" t="s">
        <v>48</v>
      </c>
      <c r="D965">
        <v>21</v>
      </c>
      <c r="E965" t="str">
        <f>_xlfn.CONCAT(makulatura4[[#This Row],[Imie]]," ",makulatura4[[#This Row],[Nazwisko]])</f>
        <v>Marek Bednarski</v>
      </c>
    </row>
    <row r="966" spans="1:5" x14ac:dyDescent="0.25">
      <c r="A966" s="1">
        <v>42892</v>
      </c>
      <c r="B966" s="2" t="s">
        <v>23</v>
      </c>
      <c r="C966" s="2" t="s">
        <v>24</v>
      </c>
      <c r="D966">
        <v>28</v>
      </c>
      <c r="E966" t="str">
        <f>_xlfn.CONCAT(makulatura4[[#This Row],[Imie]]," ",makulatura4[[#This Row],[Nazwisko]])</f>
        <v>Alicja Gadek</v>
      </c>
    </row>
    <row r="967" spans="1:5" x14ac:dyDescent="0.25">
      <c r="A967" s="1">
        <v>42892</v>
      </c>
      <c r="B967" s="2" t="s">
        <v>18</v>
      </c>
      <c r="C967" s="2" t="s">
        <v>597</v>
      </c>
      <c r="D967">
        <v>50</v>
      </c>
      <c r="E967" t="str">
        <f>_xlfn.CONCAT(makulatura4[[#This Row],[Imie]]," ",makulatura4[[#This Row],[Nazwisko]])</f>
        <v>Filip Strupiechowski</v>
      </c>
    </row>
    <row r="968" spans="1:5" x14ac:dyDescent="0.25">
      <c r="A968" s="1">
        <v>42892</v>
      </c>
      <c r="B968" s="2" t="s">
        <v>77</v>
      </c>
      <c r="C968" s="2" t="s">
        <v>78</v>
      </c>
      <c r="D968">
        <v>5</v>
      </c>
      <c r="E968" t="str">
        <f>_xlfn.CONCAT(makulatura4[[#This Row],[Imie]]," ",makulatura4[[#This Row],[Nazwisko]])</f>
        <v>Hubert Smyk</v>
      </c>
    </row>
    <row r="969" spans="1:5" x14ac:dyDescent="0.25">
      <c r="A969" s="1">
        <v>42892</v>
      </c>
      <c r="B969" s="2" t="s">
        <v>201</v>
      </c>
      <c r="C969" s="2" t="s">
        <v>598</v>
      </c>
      <c r="D969">
        <v>7</v>
      </c>
      <c r="E969" t="str">
        <f>_xlfn.CONCAT(makulatura4[[#This Row],[Imie]]," ",makulatura4[[#This Row],[Nazwisko]])</f>
        <v>Marcin Kurasik</v>
      </c>
    </row>
    <row r="970" spans="1:5" x14ac:dyDescent="0.25">
      <c r="A970" s="1">
        <v>42892</v>
      </c>
      <c r="B970" s="2" t="s">
        <v>395</v>
      </c>
      <c r="C970" s="2" t="s">
        <v>599</v>
      </c>
      <c r="D970">
        <v>11</v>
      </c>
      <c r="E970" t="str">
        <f>_xlfn.CONCAT(makulatura4[[#This Row],[Imie]]," ",makulatura4[[#This Row],[Nazwisko]])</f>
        <v>Tomasz Tutaj</v>
      </c>
    </row>
    <row r="971" spans="1:5" x14ac:dyDescent="0.25">
      <c r="A971" s="1">
        <v>42893</v>
      </c>
      <c r="B971" s="2" t="s">
        <v>101</v>
      </c>
      <c r="C971" s="2" t="s">
        <v>187</v>
      </c>
      <c r="D971">
        <v>17</v>
      </c>
      <c r="E971" t="str">
        <f>_xlfn.CONCAT(makulatura4[[#This Row],[Imie]]," ",makulatura4[[#This Row],[Nazwisko]])</f>
        <v>Maria Drozd</v>
      </c>
    </row>
    <row r="972" spans="1:5" x14ac:dyDescent="0.25">
      <c r="A972" s="1">
        <v>42893</v>
      </c>
      <c r="B972" s="2" t="s">
        <v>119</v>
      </c>
      <c r="C972" s="2" t="s">
        <v>120</v>
      </c>
      <c r="D972">
        <v>12</v>
      </c>
      <c r="E972" t="str">
        <f>_xlfn.CONCAT(makulatura4[[#This Row],[Imie]]," ",makulatura4[[#This Row],[Nazwisko]])</f>
        <v>Kamil Naderka</v>
      </c>
    </row>
    <row r="973" spans="1:5" x14ac:dyDescent="0.25">
      <c r="A973" s="1">
        <v>42893</v>
      </c>
      <c r="B973" s="2" t="s">
        <v>171</v>
      </c>
      <c r="C973" s="2" t="s">
        <v>5</v>
      </c>
      <c r="D973">
        <v>49</v>
      </c>
      <c r="E973" t="str">
        <f>_xlfn.CONCAT(makulatura4[[#This Row],[Imie]]," ",makulatura4[[#This Row],[Nazwisko]])</f>
        <v>Zofia Polak</v>
      </c>
    </row>
    <row r="974" spans="1:5" x14ac:dyDescent="0.25">
      <c r="A974" s="1">
        <v>42893</v>
      </c>
      <c r="B974" s="2" t="s">
        <v>41</v>
      </c>
      <c r="C974" s="2" t="s">
        <v>42</v>
      </c>
      <c r="D974">
        <v>6</v>
      </c>
      <c r="E974" t="str">
        <f>_xlfn.CONCAT(makulatura4[[#This Row],[Imie]]," ",makulatura4[[#This Row],[Nazwisko]])</f>
        <v>Marta Opolska</v>
      </c>
    </row>
    <row r="975" spans="1:5" x14ac:dyDescent="0.25">
      <c r="A975" s="1">
        <v>42893</v>
      </c>
      <c r="B975" s="2" t="s">
        <v>8</v>
      </c>
      <c r="C975" s="2" t="s">
        <v>9</v>
      </c>
      <c r="D975">
        <v>13</v>
      </c>
      <c r="E975" t="str">
        <f>_xlfn.CONCAT(makulatura4[[#This Row],[Imie]]," ",makulatura4[[#This Row],[Nazwisko]])</f>
        <v>Agata Kwiatkowska</v>
      </c>
    </row>
    <row r="976" spans="1:5" x14ac:dyDescent="0.25">
      <c r="A976" s="1">
        <v>42893</v>
      </c>
      <c r="B976" s="2" t="s">
        <v>121</v>
      </c>
      <c r="C976" s="2" t="s">
        <v>600</v>
      </c>
      <c r="D976">
        <v>40</v>
      </c>
      <c r="E976" t="str">
        <f>_xlfn.CONCAT(makulatura4[[#This Row],[Imie]]," ",makulatura4[[#This Row],[Nazwisko]])</f>
        <v>Justyna Wysocka</v>
      </c>
    </row>
    <row r="977" spans="1:5" x14ac:dyDescent="0.25">
      <c r="A977" s="1">
        <v>42894</v>
      </c>
      <c r="B977" s="2" t="s">
        <v>150</v>
      </c>
      <c r="C977" s="2" t="s">
        <v>601</v>
      </c>
      <c r="D977">
        <v>26</v>
      </c>
      <c r="E977" t="str">
        <f>_xlfn.CONCAT(makulatura4[[#This Row],[Imie]]," ",makulatura4[[#This Row],[Nazwisko]])</f>
        <v>Krzysztof Koncewicz</v>
      </c>
    </row>
    <row r="978" spans="1:5" x14ac:dyDescent="0.25">
      <c r="A978" s="1">
        <v>42894</v>
      </c>
      <c r="B978" s="2" t="s">
        <v>106</v>
      </c>
      <c r="C978" s="2" t="s">
        <v>602</v>
      </c>
      <c r="D978">
        <v>16</v>
      </c>
      <c r="E978" t="str">
        <f>_xlfn.CONCAT(makulatura4[[#This Row],[Imie]]," ",makulatura4[[#This Row],[Nazwisko]])</f>
        <v>Lena Mrozik</v>
      </c>
    </row>
    <row r="979" spans="1:5" x14ac:dyDescent="0.25">
      <c r="A979" s="1">
        <v>42894</v>
      </c>
      <c r="B979" s="2" t="s">
        <v>416</v>
      </c>
      <c r="C979" s="2" t="s">
        <v>572</v>
      </c>
      <c r="D979">
        <v>36</v>
      </c>
      <c r="E979" t="str">
        <f>_xlfn.CONCAT(makulatura4[[#This Row],[Imie]]," ",makulatura4[[#This Row],[Nazwisko]])</f>
        <v>Kazimierz Biedka</v>
      </c>
    </row>
    <row r="980" spans="1:5" x14ac:dyDescent="0.25">
      <c r="A980" s="1">
        <v>42894</v>
      </c>
      <c r="B980" s="2" t="s">
        <v>206</v>
      </c>
      <c r="C980" s="2" t="s">
        <v>192</v>
      </c>
      <c r="D980">
        <v>8</v>
      </c>
      <c r="E980" t="str">
        <f>_xlfn.CONCAT(makulatura4[[#This Row],[Imie]]," ",makulatura4[[#This Row],[Nazwisko]])</f>
        <v>Pawel Nowakowski</v>
      </c>
    </row>
    <row r="981" spans="1:5" x14ac:dyDescent="0.25">
      <c r="A981" s="1">
        <v>42894</v>
      </c>
      <c r="B981" s="2" t="s">
        <v>36</v>
      </c>
      <c r="C981" s="2" t="s">
        <v>306</v>
      </c>
      <c r="D981">
        <v>7</v>
      </c>
      <c r="E981" t="str">
        <f>_xlfn.CONCAT(makulatura4[[#This Row],[Imie]]," ",makulatura4[[#This Row],[Nazwisko]])</f>
        <v>Piotr Kaleta</v>
      </c>
    </row>
    <row r="982" spans="1:5" x14ac:dyDescent="0.25">
      <c r="A982" s="1">
        <v>42894</v>
      </c>
      <c r="B982" s="2" t="s">
        <v>232</v>
      </c>
      <c r="C982" s="2" t="s">
        <v>573</v>
      </c>
      <c r="D982">
        <v>25</v>
      </c>
      <c r="E982" t="str">
        <f>_xlfn.CONCAT(makulatura4[[#This Row],[Imie]]," ",makulatura4[[#This Row],[Nazwisko]])</f>
        <v>Monika Srubka</v>
      </c>
    </row>
    <row r="983" spans="1:5" x14ac:dyDescent="0.25">
      <c r="A983" s="1">
        <v>42895</v>
      </c>
      <c r="B983" s="2" t="s">
        <v>603</v>
      </c>
      <c r="C983" s="2" t="s">
        <v>439</v>
      </c>
      <c r="D983">
        <v>43</v>
      </c>
      <c r="E983" t="str">
        <f>_xlfn.CONCAT(makulatura4[[#This Row],[Imie]]," ",makulatura4[[#This Row],[Nazwisko]])</f>
        <v>Bonifacy Pleszewski</v>
      </c>
    </row>
    <row r="984" spans="1:5" x14ac:dyDescent="0.25">
      <c r="A984" s="1">
        <v>42895</v>
      </c>
      <c r="B984" s="2" t="s">
        <v>39</v>
      </c>
      <c r="C984" s="2" t="s">
        <v>164</v>
      </c>
      <c r="D984">
        <v>23</v>
      </c>
      <c r="E984" t="str">
        <f>_xlfn.CONCAT(makulatura4[[#This Row],[Imie]]," ",makulatura4[[#This Row],[Nazwisko]])</f>
        <v>Jakub Waniek</v>
      </c>
    </row>
    <row r="985" spans="1:5" x14ac:dyDescent="0.25">
      <c r="A985" s="1">
        <v>42895</v>
      </c>
      <c r="B985" s="2" t="s">
        <v>243</v>
      </c>
      <c r="C985" s="2" t="s">
        <v>82</v>
      </c>
      <c r="D985">
        <v>5</v>
      </c>
      <c r="E985" t="str">
        <f>_xlfn.CONCAT(makulatura4[[#This Row],[Imie]]," ",makulatura4[[#This Row],[Nazwisko]])</f>
        <v>Sofia Felisiak</v>
      </c>
    </row>
    <row r="986" spans="1:5" x14ac:dyDescent="0.25">
      <c r="A986" s="1">
        <v>42895</v>
      </c>
      <c r="B986" s="2" t="s">
        <v>232</v>
      </c>
      <c r="C986" s="2" t="s">
        <v>378</v>
      </c>
      <c r="D986">
        <v>2</v>
      </c>
      <c r="E986" t="str">
        <f>_xlfn.CONCAT(makulatura4[[#This Row],[Imie]]," ",makulatura4[[#This Row],[Nazwisko]])</f>
        <v>Monika Placzek</v>
      </c>
    </row>
    <row r="987" spans="1:5" x14ac:dyDescent="0.25">
      <c r="A987" s="1">
        <v>42895</v>
      </c>
      <c r="B987" s="2" t="s">
        <v>178</v>
      </c>
      <c r="C987" s="2" t="s">
        <v>335</v>
      </c>
      <c r="D987">
        <v>5</v>
      </c>
      <c r="E987" t="str">
        <f>_xlfn.CONCAT(makulatura4[[#This Row],[Imie]]," ",makulatura4[[#This Row],[Nazwisko]])</f>
        <v>Malgorzata Winiarska</v>
      </c>
    </row>
    <row r="988" spans="1:5" x14ac:dyDescent="0.25">
      <c r="A988" s="1">
        <v>42895</v>
      </c>
      <c r="B988" s="2" t="s">
        <v>23</v>
      </c>
      <c r="C988" s="2" t="s">
        <v>604</v>
      </c>
      <c r="D988">
        <v>50</v>
      </c>
      <c r="E988" t="str">
        <f>_xlfn.CONCAT(makulatura4[[#This Row],[Imie]]," ",makulatura4[[#This Row],[Nazwisko]])</f>
        <v>Alicja Wymyslowska</v>
      </c>
    </row>
    <row r="989" spans="1:5" x14ac:dyDescent="0.25">
      <c r="A989" s="1">
        <v>42898</v>
      </c>
      <c r="B989" s="2" t="s">
        <v>25</v>
      </c>
      <c r="C989" s="2" t="s">
        <v>146</v>
      </c>
      <c r="D989">
        <v>11</v>
      </c>
      <c r="E989" t="str">
        <f>_xlfn.CONCAT(makulatura4[[#This Row],[Imie]]," ",makulatura4[[#This Row],[Nazwisko]])</f>
        <v>Leon Price</v>
      </c>
    </row>
    <row r="990" spans="1:5" x14ac:dyDescent="0.25">
      <c r="A990" s="1">
        <v>42898</v>
      </c>
      <c r="B990" s="2" t="s">
        <v>30</v>
      </c>
      <c r="C990" s="2" t="s">
        <v>109</v>
      </c>
      <c r="D990">
        <v>18</v>
      </c>
      <c r="E990" t="str">
        <f>_xlfn.CONCAT(makulatura4[[#This Row],[Imie]]," ",makulatura4[[#This Row],[Nazwisko]])</f>
        <v>Maciej Siemiatkowski</v>
      </c>
    </row>
    <row r="991" spans="1:5" x14ac:dyDescent="0.25">
      <c r="A991" s="1">
        <v>42898</v>
      </c>
      <c r="B991" s="2" t="s">
        <v>97</v>
      </c>
      <c r="C991" s="2" t="s">
        <v>181</v>
      </c>
      <c r="D991">
        <v>24</v>
      </c>
      <c r="E991" t="str">
        <f>_xlfn.CONCAT(makulatura4[[#This Row],[Imie]]," ",makulatura4[[#This Row],[Nazwisko]])</f>
        <v>Mateusz Uklej</v>
      </c>
    </row>
    <row r="992" spans="1:5" x14ac:dyDescent="0.25">
      <c r="A992" s="1">
        <v>42898</v>
      </c>
      <c r="B992" s="2" t="s">
        <v>4</v>
      </c>
      <c r="C992" s="2" t="s">
        <v>382</v>
      </c>
      <c r="D992">
        <v>20</v>
      </c>
      <c r="E992" t="str">
        <f>_xlfn.CONCAT(makulatura4[[#This Row],[Imie]]," ",makulatura4[[#This Row],[Nazwisko]])</f>
        <v>Agnieszka Matusik</v>
      </c>
    </row>
    <row r="993" spans="1:5" x14ac:dyDescent="0.25">
      <c r="A993" s="1">
        <v>42898</v>
      </c>
      <c r="B993" s="2" t="s">
        <v>267</v>
      </c>
      <c r="C993" s="2" t="s">
        <v>287</v>
      </c>
      <c r="D993">
        <v>55</v>
      </c>
      <c r="E993" t="str">
        <f>_xlfn.CONCAT(makulatura4[[#This Row],[Imie]]," ",makulatura4[[#This Row],[Nazwisko]])</f>
        <v>Henryk Siminski</v>
      </c>
    </row>
    <row r="994" spans="1:5" x14ac:dyDescent="0.25">
      <c r="A994" s="1">
        <v>42898</v>
      </c>
      <c r="B994" s="2" t="s">
        <v>269</v>
      </c>
      <c r="C994" s="2" t="s">
        <v>605</v>
      </c>
      <c r="D994">
        <v>52</v>
      </c>
      <c r="E994" t="str">
        <f>_xlfn.CONCAT(makulatura4[[#This Row],[Imie]]," ",makulatura4[[#This Row],[Nazwisko]])</f>
        <v>Marcel Lademann</v>
      </c>
    </row>
    <row r="995" spans="1:5" x14ac:dyDescent="0.25">
      <c r="A995" s="1">
        <v>42899</v>
      </c>
      <c r="B995" s="2" t="s">
        <v>121</v>
      </c>
      <c r="C995" s="2" t="s">
        <v>606</v>
      </c>
      <c r="D995">
        <v>41</v>
      </c>
      <c r="E995" t="str">
        <f>_xlfn.CONCAT(makulatura4[[#This Row],[Imie]]," ",makulatura4[[#This Row],[Nazwisko]])</f>
        <v>Justyna Mnich</v>
      </c>
    </row>
    <row r="996" spans="1:5" x14ac:dyDescent="0.25">
      <c r="A996" s="1">
        <v>42899</v>
      </c>
      <c r="B996" s="2" t="s">
        <v>87</v>
      </c>
      <c r="C996" s="2" t="s">
        <v>255</v>
      </c>
      <c r="D996">
        <v>27</v>
      </c>
      <c r="E996" t="str">
        <f>_xlfn.CONCAT(makulatura4[[#This Row],[Imie]]," ",makulatura4[[#This Row],[Nazwisko]])</f>
        <v>Ewa Czerwinska</v>
      </c>
    </row>
    <row r="997" spans="1:5" x14ac:dyDescent="0.25">
      <c r="A997" s="1">
        <v>42899</v>
      </c>
      <c r="B997" s="2" t="s">
        <v>36</v>
      </c>
      <c r="C997" s="2" t="s">
        <v>404</v>
      </c>
      <c r="D997">
        <v>12</v>
      </c>
      <c r="E997" t="str">
        <f>_xlfn.CONCAT(makulatura4[[#This Row],[Imie]]," ",makulatura4[[#This Row],[Nazwisko]])</f>
        <v>Piotr Polkowicki</v>
      </c>
    </row>
    <row r="998" spans="1:5" x14ac:dyDescent="0.25">
      <c r="A998" s="1">
        <v>42899</v>
      </c>
      <c r="B998" s="2" t="s">
        <v>97</v>
      </c>
      <c r="C998" s="2" t="s">
        <v>464</v>
      </c>
      <c r="D998">
        <v>23</v>
      </c>
      <c r="E998" t="str">
        <f>_xlfn.CONCAT(makulatura4[[#This Row],[Imie]]," ",makulatura4[[#This Row],[Nazwisko]])</f>
        <v>Mateusz Mrowczynski</v>
      </c>
    </row>
    <row r="999" spans="1:5" x14ac:dyDescent="0.25">
      <c r="A999" s="1">
        <v>42899</v>
      </c>
      <c r="B999" s="2" t="s">
        <v>327</v>
      </c>
      <c r="C999" s="2" t="s">
        <v>102</v>
      </c>
      <c r="D999">
        <v>4</v>
      </c>
      <c r="E999" t="str">
        <f>_xlfn.CONCAT(makulatura4[[#This Row],[Imie]]," ",makulatura4[[#This Row],[Nazwisko]])</f>
        <v>Anastazja Borowska</v>
      </c>
    </row>
    <row r="1000" spans="1:5" x14ac:dyDescent="0.25">
      <c r="A1000" s="1">
        <v>42899</v>
      </c>
      <c r="B1000" s="2" t="s">
        <v>77</v>
      </c>
      <c r="C1000" s="2" t="s">
        <v>384</v>
      </c>
      <c r="D1000">
        <v>27</v>
      </c>
      <c r="E1000" t="str">
        <f>_xlfn.CONCAT(makulatura4[[#This Row],[Imie]]," ",makulatura4[[#This Row],[Nazwisko]])</f>
        <v>Hubert Pieczatowski</v>
      </c>
    </row>
    <row r="1001" spans="1:5" x14ac:dyDescent="0.25">
      <c r="A1001" s="1">
        <v>42900</v>
      </c>
      <c r="B1001" s="2" t="s">
        <v>72</v>
      </c>
      <c r="C1001" s="2" t="s">
        <v>73</v>
      </c>
      <c r="D1001">
        <v>36</v>
      </c>
      <c r="E1001" t="str">
        <f>_xlfn.CONCAT(makulatura4[[#This Row],[Imie]]," ",makulatura4[[#This Row],[Nazwisko]])</f>
        <v>Teodor Fornal</v>
      </c>
    </row>
    <row r="1002" spans="1:5" x14ac:dyDescent="0.25">
      <c r="A1002" s="1">
        <v>42900</v>
      </c>
      <c r="B1002" s="2" t="s">
        <v>51</v>
      </c>
      <c r="C1002" s="2" t="s">
        <v>522</v>
      </c>
      <c r="D1002">
        <v>20</v>
      </c>
      <c r="E1002" t="str">
        <f>_xlfn.CONCAT(makulatura4[[#This Row],[Imie]]," ",makulatura4[[#This Row],[Nazwisko]])</f>
        <v>Barbara Kilarski</v>
      </c>
    </row>
    <row r="1003" spans="1:5" x14ac:dyDescent="0.25">
      <c r="A1003" s="1">
        <v>42900</v>
      </c>
      <c r="B1003" s="2" t="s">
        <v>442</v>
      </c>
      <c r="C1003" s="2" t="s">
        <v>502</v>
      </c>
      <c r="D1003">
        <v>26</v>
      </c>
      <c r="E1003" t="str">
        <f>_xlfn.CONCAT(makulatura4[[#This Row],[Imie]]," ",makulatura4[[#This Row],[Nazwisko]])</f>
        <v>Nikodem Jablonski</v>
      </c>
    </row>
    <row r="1004" spans="1:5" x14ac:dyDescent="0.25">
      <c r="A1004" s="1">
        <v>42900</v>
      </c>
      <c r="B1004" s="2" t="s">
        <v>442</v>
      </c>
      <c r="C1004" s="2" t="s">
        <v>540</v>
      </c>
      <c r="D1004">
        <v>8</v>
      </c>
      <c r="E1004" t="str">
        <f>_xlfn.CONCAT(makulatura4[[#This Row],[Imie]]," ",makulatura4[[#This Row],[Nazwisko]])</f>
        <v>Nikodem Jakubowski</v>
      </c>
    </row>
    <row r="1005" spans="1:5" x14ac:dyDescent="0.25">
      <c r="A1005" s="1">
        <v>42900</v>
      </c>
      <c r="B1005" s="2" t="s">
        <v>141</v>
      </c>
      <c r="C1005" s="2" t="s">
        <v>448</v>
      </c>
      <c r="D1005">
        <v>6</v>
      </c>
      <c r="E1005" t="str">
        <f>_xlfn.CONCAT(makulatura4[[#This Row],[Imie]]," ",makulatura4[[#This Row],[Nazwisko]])</f>
        <v>Joanna Sibiga</v>
      </c>
    </row>
    <row r="1006" spans="1:5" x14ac:dyDescent="0.25">
      <c r="A1006" s="1">
        <v>42900</v>
      </c>
      <c r="B1006" s="2" t="s">
        <v>232</v>
      </c>
      <c r="C1006" s="2" t="s">
        <v>573</v>
      </c>
      <c r="D1006">
        <v>5</v>
      </c>
      <c r="E1006" t="str">
        <f>_xlfn.CONCAT(makulatura4[[#This Row],[Imie]]," ",makulatura4[[#This Row],[Nazwisko]])</f>
        <v>Monika Srubka</v>
      </c>
    </row>
    <row r="1007" spans="1:5" x14ac:dyDescent="0.25">
      <c r="A1007" s="1">
        <v>42901</v>
      </c>
      <c r="B1007" s="2" t="s">
        <v>39</v>
      </c>
      <c r="C1007" s="2" t="s">
        <v>391</v>
      </c>
      <c r="D1007">
        <v>8</v>
      </c>
      <c r="E1007" t="str">
        <f>_xlfn.CONCAT(makulatura4[[#This Row],[Imie]]," ",makulatura4[[#This Row],[Nazwisko]])</f>
        <v>Jakub Porydzaj</v>
      </c>
    </row>
    <row r="1008" spans="1:5" x14ac:dyDescent="0.25">
      <c r="A1008" s="1">
        <v>42901</v>
      </c>
      <c r="B1008" s="2" t="s">
        <v>150</v>
      </c>
      <c r="C1008" s="2" t="s">
        <v>140</v>
      </c>
      <c r="D1008">
        <v>4</v>
      </c>
      <c r="E1008" t="str">
        <f>_xlfn.CONCAT(makulatura4[[#This Row],[Imie]]," ",makulatura4[[#This Row],[Nazwisko]])</f>
        <v>Krzysztof Las</v>
      </c>
    </row>
    <row r="1009" spans="1:5" x14ac:dyDescent="0.25">
      <c r="A1009" s="1">
        <v>42901</v>
      </c>
      <c r="B1009" s="2" t="s">
        <v>195</v>
      </c>
      <c r="C1009" s="2" t="s">
        <v>401</v>
      </c>
      <c r="D1009">
        <v>31</v>
      </c>
      <c r="E1009" t="str">
        <f>_xlfn.CONCAT(makulatura4[[#This Row],[Imie]]," ",makulatura4[[#This Row],[Nazwisko]])</f>
        <v>Emilia Szczepanska</v>
      </c>
    </row>
    <row r="1010" spans="1:5" x14ac:dyDescent="0.25">
      <c r="A1010" s="1">
        <v>42901</v>
      </c>
      <c r="B1010" s="2" t="s">
        <v>57</v>
      </c>
      <c r="C1010" s="2" t="s">
        <v>418</v>
      </c>
      <c r="D1010">
        <v>36</v>
      </c>
      <c r="E1010" t="str">
        <f>_xlfn.CONCAT(makulatura4[[#This Row],[Imie]]," ",makulatura4[[#This Row],[Nazwisko]])</f>
        <v>Patrycja Rzeszowska</v>
      </c>
    </row>
    <row r="1011" spans="1:5" x14ac:dyDescent="0.25">
      <c r="A1011" s="1">
        <v>42901</v>
      </c>
      <c r="B1011" s="2" t="s">
        <v>271</v>
      </c>
      <c r="C1011" s="2" t="s">
        <v>548</v>
      </c>
      <c r="D1011">
        <v>3</v>
      </c>
      <c r="E1011" t="str">
        <f>_xlfn.CONCAT(makulatura4[[#This Row],[Imie]]," ",makulatura4[[#This Row],[Nazwisko]])</f>
        <v>Olgierd Hazubski</v>
      </c>
    </row>
    <row r="1012" spans="1:5" x14ac:dyDescent="0.25">
      <c r="A1012" s="1">
        <v>42901</v>
      </c>
      <c r="B1012" s="2" t="s">
        <v>83</v>
      </c>
      <c r="C1012" s="2" t="s">
        <v>518</v>
      </c>
      <c r="D1012">
        <v>31</v>
      </c>
      <c r="E1012" t="str">
        <f>_xlfn.CONCAT(makulatura4[[#This Row],[Imie]]," ",makulatura4[[#This Row],[Nazwisko]])</f>
        <v>Jan Nancki</v>
      </c>
    </row>
    <row r="1013" spans="1:5" x14ac:dyDescent="0.25">
      <c r="A1013" s="1">
        <v>42902</v>
      </c>
      <c r="B1013" s="2" t="s">
        <v>55</v>
      </c>
      <c r="C1013" s="2" t="s">
        <v>184</v>
      </c>
      <c r="D1013">
        <v>3</v>
      </c>
      <c r="E1013" t="str">
        <f>_xlfn.CONCAT(makulatura4[[#This Row],[Imie]]," ",makulatura4[[#This Row],[Nazwisko]])</f>
        <v>Anna Trzebiatowska</v>
      </c>
    </row>
    <row r="1014" spans="1:5" x14ac:dyDescent="0.25">
      <c r="A1014" s="1">
        <v>42902</v>
      </c>
      <c r="B1014" s="2" t="s">
        <v>574</v>
      </c>
      <c r="C1014" s="2" t="s">
        <v>607</v>
      </c>
      <c r="D1014">
        <v>2</v>
      </c>
      <c r="E1014" t="str">
        <f>_xlfn.CONCAT(makulatura4[[#This Row],[Imie]]," ",makulatura4[[#This Row],[Nazwisko]])</f>
        <v>Urszula Engel</v>
      </c>
    </row>
    <row r="1015" spans="1:5" x14ac:dyDescent="0.25">
      <c r="A1015" s="1">
        <v>42902</v>
      </c>
      <c r="B1015" s="2" t="s">
        <v>143</v>
      </c>
      <c r="C1015" s="2" t="s">
        <v>510</v>
      </c>
      <c r="D1015">
        <v>53</v>
      </c>
      <c r="E1015" t="str">
        <f>_xlfn.CONCAT(makulatura4[[#This Row],[Imie]]," ",makulatura4[[#This Row],[Nazwisko]])</f>
        <v>Przemyslaw Widawski</v>
      </c>
    </row>
    <row r="1016" spans="1:5" x14ac:dyDescent="0.25">
      <c r="A1016" s="1">
        <v>42902</v>
      </c>
      <c r="B1016" s="2" t="s">
        <v>327</v>
      </c>
      <c r="C1016" s="2" t="s">
        <v>608</v>
      </c>
      <c r="D1016">
        <v>7</v>
      </c>
      <c r="E1016" t="str">
        <f>_xlfn.CONCAT(makulatura4[[#This Row],[Imie]]," ",makulatura4[[#This Row],[Nazwisko]])</f>
        <v>Anastazja Wamka</v>
      </c>
    </row>
    <row r="1017" spans="1:5" x14ac:dyDescent="0.25">
      <c r="A1017" s="1">
        <v>42902</v>
      </c>
      <c r="B1017" s="2" t="s">
        <v>139</v>
      </c>
      <c r="C1017" s="2" t="s">
        <v>140</v>
      </c>
      <c r="D1017">
        <v>27</v>
      </c>
      <c r="E1017" t="str">
        <f>_xlfn.CONCAT(makulatura4[[#This Row],[Imie]]," ",makulatura4[[#This Row],[Nazwisko]])</f>
        <v>Mariola Las</v>
      </c>
    </row>
    <row r="1018" spans="1:5" x14ac:dyDescent="0.25">
      <c r="A1018" s="1">
        <v>42902</v>
      </c>
      <c r="B1018" s="2" t="s">
        <v>4</v>
      </c>
      <c r="C1018" s="2" t="s">
        <v>489</v>
      </c>
      <c r="D1018">
        <v>29</v>
      </c>
      <c r="E1018" t="str">
        <f>_xlfn.CONCAT(makulatura4[[#This Row],[Imie]]," ",makulatura4[[#This Row],[Nazwisko]])</f>
        <v>Agnieszka Bujak</v>
      </c>
    </row>
    <row r="1019" spans="1:5" x14ac:dyDescent="0.25">
      <c r="A1019" s="1">
        <v>42905</v>
      </c>
      <c r="B1019" s="2" t="s">
        <v>25</v>
      </c>
      <c r="C1019" s="2" t="s">
        <v>26</v>
      </c>
      <c r="D1019">
        <v>19</v>
      </c>
      <c r="E1019" t="str">
        <f>_xlfn.CONCAT(makulatura4[[#This Row],[Imie]]," ",makulatura4[[#This Row],[Nazwisko]])</f>
        <v>Leon Szybki</v>
      </c>
    </row>
    <row r="1020" spans="1:5" x14ac:dyDescent="0.25">
      <c r="A1020" s="1">
        <v>42905</v>
      </c>
      <c r="B1020" s="2" t="s">
        <v>152</v>
      </c>
      <c r="C1020" s="2" t="s">
        <v>17</v>
      </c>
      <c r="D1020">
        <v>15</v>
      </c>
      <c r="E1020" t="str">
        <f>_xlfn.CONCAT(makulatura4[[#This Row],[Imie]]," ",makulatura4[[#This Row],[Nazwisko]])</f>
        <v>Natalia Boryczko</v>
      </c>
    </row>
    <row r="1021" spans="1:5" x14ac:dyDescent="0.25">
      <c r="A1021" s="1">
        <v>42905</v>
      </c>
      <c r="B1021" s="2" t="s">
        <v>128</v>
      </c>
      <c r="C1021" s="2" t="s">
        <v>478</v>
      </c>
      <c r="D1021">
        <v>24</v>
      </c>
      <c r="E1021" t="str">
        <f>_xlfn.CONCAT(makulatura4[[#This Row],[Imie]]," ",makulatura4[[#This Row],[Nazwisko]])</f>
        <v>Wojciech Gocyla</v>
      </c>
    </row>
    <row r="1022" spans="1:5" x14ac:dyDescent="0.25">
      <c r="A1022" s="1">
        <v>42905</v>
      </c>
      <c r="B1022" s="2" t="s">
        <v>87</v>
      </c>
      <c r="C1022" s="2" t="s">
        <v>255</v>
      </c>
      <c r="D1022">
        <v>50</v>
      </c>
      <c r="E1022" t="str">
        <f>_xlfn.CONCAT(makulatura4[[#This Row],[Imie]]," ",makulatura4[[#This Row],[Nazwisko]])</f>
        <v>Ewa Czerwinska</v>
      </c>
    </row>
    <row r="1023" spans="1:5" x14ac:dyDescent="0.25">
      <c r="A1023" s="1">
        <v>42905</v>
      </c>
      <c r="B1023" s="2" t="s">
        <v>36</v>
      </c>
      <c r="C1023" s="2" t="s">
        <v>166</v>
      </c>
      <c r="D1023">
        <v>18</v>
      </c>
      <c r="E1023" t="str">
        <f>_xlfn.CONCAT(makulatura4[[#This Row],[Imie]]," ",makulatura4[[#This Row],[Nazwisko]])</f>
        <v>Piotr Flis</v>
      </c>
    </row>
    <row r="1024" spans="1:5" x14ac:dyDescent="0.25">
      <c r="A1024" s="1">
        <v>42905</v>
      </c>
      <c r="B1024" s="2" t="s">
        <v>39</v>
      </c>
      <c r="C1024" s="2" t="s">
        <v>609</v>
      </c>
      <c r="D1024">
        <v>36</v>
      </c>
      <c r="E1024" t="str">
        <f>_xlfn.CONCAT(makulatura4[[#This Row],[Imie]]," ",makulatura4[[#This Row],[Nazwisko]])</f>
        <v>Jakub Radomski</v>
      </c>
    </row>
    <row r="1025" spans="1:5" x14ac:dyDescent="0.25">
      <c r="A1025" s="1">
        <v>42906</v>
      </c>
      <c r="B1025" s="2" t="s">
        <v>352</v>
      </c>
      <c r="C1025" s="2" t="s">
        <v>425</v>
      </c>
      <c r="D1025">
        <v>13</v>
      </c>
      <c r="E1025" t="str">
        <f>_xlfn.CONCAT(makulatura4[[#This Row],[Imie]]," ",makulatura4[[#This Row],[Nazwisko]])</f>
        <v>Ilona Lukaszewska</v>
      </c>
    </row>
    <row r="1026" spans="1:5" x14ac:dyDescent="0.25">
      <c r="A1026" s="1">
        <v>42906</v>
      </c>
      <c r="B1026" s="2" t="s">
        <v>101</v>
      </c>
      <c r="C1026" s="2" t="s">
        <v>610</v>
      </c>
      <c r="D1026">
        <v>29</v>
      </c>
      <c r="E1026" t="str">
        <f>_xlfn.CONCAT(makulatura4[[#This Row],[Imie]]," ",makulatura4[[#This Row],[Nazwisko]])</f>
        <v>Maria Orlicki</v>
      </c>
    </row>
    <row r="1027" spans="1:5" x14ac:dyDescent="0.25">
      <c r="A1027" s="1">
        <v>42906</v>
      </c>
      <c r="B1027" s="2" t="s">
        <v>412</v>
      </c>
      <c r="C1027" s="2" t="s">
        <v>413</v>
      </c>
      <c r="D1027">
        <v>47</v>
      </c>
      <c r="E1027" t="str">
        <f>_xlfn.CONCAT(makulatura4[[#This Row],[Imie]]," ",makulatura4[[#This Row],[Nazwisko]])</f>
        <v>Matylda Kluziak</v>
      </c>
    </row>
    <row r="1028" spans="1:5" x14ac:dyDescent="0.25">
      <c r="A1028" s="1">
        <v>42906</v>
      </c>
      <c r="B1028" s="2" t="s">
        <v>67</v>
      </c>
      <c r="C1028" s="2" t="s">
        <v>460</v>
      </c>
      <c r="D1028">
        <v>17</v>
      </c>
      <c r="E1028" t="str">
        <f>_xlfn.CONCAT(makulatura4[[#This Row],[Imie]]," ",makulatura4[[#This Row],[Nazwisko]])</f>
        <v>Bartosz Mazgaj</v>
      </c>
    </row>
    <row r="1029" spans="1:5" x14ac:dyDescent="0.25">
      <c r="A1029" s="1">
        <v>42906</v>
      </c>
      <c r="B1029" s="2" t="s">
        <v>155</v>
      </c>
      <c r="C1029" s="2" t="s">
        <v>186</v>
      </c>
      <c r="D1029">
        <v>9</v>
      </c>
      <c r="E1029" t="str">
        <f>_xlfn.CONCAT(makulatura4[[#This Row],[Imie]]," ",makulatura4[[#This Row],[Nazwisko]])</f>
        <v>Jacek Szypulski</v>
      </c>
    </row>
    <row r="1030" spans="1:5" x14ac:dyDescent="0.25">
      <c r="A1030" s="1">
        <v>42906</v>
      </c>
      <c r="B1030" s="2" t="s">
        <v>139</v>
      </c>
      <c r="C1030" s="2" t="s">
        <v>140</v>
      </c>
      <c r="D1030">
        <v>8</v>
      </c>
      <c r="E1030" t="str">
        <f>_xlfn.CONCAT(makulatura4[[#This Row],[Imie]]," ",makulatura4[[#This Row],[Nazwisko]])</f>
        <v>Mariola Las</v>
      </c>
    </row>
    <row r="1031" spans="1:5" x14ac:dyDescent="0.25">
      <c r="A1031" s="1">
        <v>42907</v>
      </c>
      <c r="B1031" s="2" t="s">
        <v>395</v>
      </c>
      <c r="C1031" s="2" t="s">
        <v>599</v>
      </c>
      <c r="D1031">
        <v>4</v>
      </c>
      <c r="E1031" t="str">
        <f>_xlfn.CONCAT(makulatura4[[#This Row],[Imie]]," ",makulatura4[[#This Row],[Nazwisko]])</f>
        <v>Tomasz Tutaj</v>
      </c>
    </row>
    <row r="1032" spans="1:5" x14ac:dyDescent="0.25">
      <c r="A1032" s="1">
        <v>42907</v>
      </c>
      <c r="B1032" s="2" t="s">
        <v>314</v>
      </c>
      <c r="C1032" s="2" t="s">
        <v>466</v>
      </c>
      <c r="D1032">
        <v>53</v>
      </c>
      <c r="E1032" t="str">
        <f>_xlfn.CONCAT(makulatura4[[#This Row],[Imie]]," ",makulatura4[[#This Row],[Nazwisko]])</f>
        <v>Lukasz Kot</v>
      </c>
    </row>
    <row r="1033" spans="1:5" x14ac:dyDescent="0.25">
      <c r="A1033" s="1">
        <v>42907</v>
      </c>
      <c r="B1033" s="2" t="s">
        <v>329</v>
      </c>
      <c r="C1033" s="2" t="s">
        <v>330</v>
      </c>
      <c r="D1033">
        <v>29</v>
      </c>
      <c r="E1033" t="str">
        <f>_xlfn.CONCAT(makulatura4[[#This Row],[Imie]]," ",makulatura4[[#This Row],[Nazwisko]])</f>
        <v>Martyna Marmelowska</v>
      </c>
    </row>
    <row r="1034" spans="1:5" x14ac:dyDescent="0.25">
      <c r="A1034" s="1">
        <v>42907</v>
      </c>
      <c r="B1034" s="2" t="s">
        <v>69</v>
      </c>
      <c r="C1034" s="2" t="s">
        <v>70</v>
      </c>
      <c r="D1034">
        <v>52</v>
      </c>
      <c r="E1034" t="str">
        <f>_xlfn.CONCAT(makulatura4[[#This Row],[Imie]]," ",makulatura4[[#This Row],[Nazwisko]])</f>
        <v>Adam Wata</v>
      </c>
    </row>
    <row r="1035" spans="1:5" x14ac:dyDescent="0.25">
      <c r="A1035" s="1">
        <v>42907</v>
      </c>
      <c r="B1035" s="2" t="s">
        <v>395</v>
      </c>
      <c r="C1035" s="2" t="s">
        <v>599</v>
      </c>
      <c r="D1035">
        <v>8</v>
      </c>
      <c r="E1035" t="str">
        <f>_xlfn.CONCAT(makulatura4[[#This Row],[Imie]]," ",makulatura4[[#This Row],[Nazwisko]])</f>
        <v>Tomasz Tutaj</v>
      </c>
    </row>
    <row r="1036" spans="1:5" x14ac:dyDescent="0.25">
      <c r="A1036" s="1">
        <v>42907</v>
      </c>
      <c r="B1036" s="2" t="s">
        <v>87</v>
      </c>
      <c r="C1036" s="2" t="s">
        <v>154</v>
      </c>
      <c r="D1036">
        <v>32</v>
      </c>
      <c r="E1036" t="str">
        <f>_xlfn.CONCAT(makulatura4[[#This Row],[Imie]]," ",makulatura4[[#This Row],[Nazwisko]])</f>
        <v>Ewa Wojna</v>
      </c>
    </row>
    <row r="1037" spans="1:5" x14ac:dyDescent="0.25">
      <c r="A1037" s="1">
        <v>42908</v>
      </c>
      <c r="B1037" s="2" t="s">
        <v>208</v>
      </c>
      <c r="C1037" s="2" t="s">
        <v>611</v>
      </c>
      <c r="D1037">
        <v>11</v>
      </c>
      <c r="E1037" t="str">
        <f>_xlfn.CONCAT(makulatura4[[#This Row],[Imie]]," ",makulatura4[[#This Row],[Nazwisko]])</f>
        <v>Grzegorz Kaminski</v>
      </c>
    </row>
    <row r="1038" spans="1:5" x14ac:dyDescent="0.25">
      <c r="A1038" s="1">
        <v>42908</v>
      </c>
      <c r="B1038" s="2" t="s">
        <v>395</v>
      </c>
      <c r="C1038" s="2" t="s">
        <v>467</v>
      </c>
      <c r="D1038">
        <v>35</v>
      </c>
      <c r="E1038" t="str">
        <f>_xlfn.CONCAT(makulatura4[[#This Row],[Imie]]," ",makulatura4[[#This Row],[Nazwisko]])</f>
        <v>Tomasz Hajdi</v>
      </c>
    </row>
    <row r="1039" spans="1:5" x14ac:dyDescent="0.25">
      <c r="A1039" s="1">
        <v>42908</v>
      </c>
      <c r="B1039" s="2" t="s">
        <v>141</v>
      </c>
      <c r="C1039" s="2" t="s">
        <v>612</v>
      </c>
      <c r="D1039">
        <v>4</v>
      </c>
      <c r="E1039" t="str">
        <f>_xlfn.CONCAT(makulatura4[[#This Row],[Imie]]," ",makulatura4[[#This Row],[Nazwisko]])</f>
        <v>Joanna Senger</v>
      </c>
    </row>
    <row r="1040" spans="1:5" x14ac:dyDescent="0.25">
      <c r="A1040" s="1">
        <v>42908</v>
      </c>
      <c r="B1040" s="2" t="s">
        <v>141</v>
      </c>
      <c r="C1040" s="2" t="s">
        <v>435</v>
      </c>
      <c r="D1040">
        <v>18</v>
      </c>
      <c r="E1040" t="str">
        <f>_xlfn.CONCAT(makulatura4[[#This Row],[Imie]]," ",makulatura4[[#This Row],[Nazwisko]])</f>
        <v>Joanna Kopacki</v>
      </c>
    </row>
    <row r="1041" spans="1:5" x14ac:dyDescent="0.25">
      <c r="A1041" s="1">
        <v>42908</v>
      </c>
      <c r="B1041" s="2" t="s">
        <v>83</v>
      </c>
      <c r="C1041" s="2" t="s">
        <v>591</v>
      </c>
      <c r="D1041">
        <v>5</v>
      </c>
      <c r="E1041" t="str">
        <f>_xlfn.CONCAT(makulatura4[[#This Row],[Imie]]," ",makulatura4[[#This Row],[Nazwisko]])</f>
        <v>Jan Kildanowski</v>
      </c>
    </row>
    <row r="1042" spans="1:5" x14ac:dyDescent="0.25">
      <c r="A1042" s="1">
        <v>42908</v>
      </c>
      <c r="B1042" s="2" t="s">
        <v>30</v>
      </c>
      <c r="C1042" s="2" t="s">
        <v>432</v>
      </c>
      <c r="D1042">
        <v>32</v>
      </c>
      <c r="E1042" t="str">
        <f>_xlfn.CONCAT(makulatura4[[#This Row],[Imie]]," ",makulatura4[[#This Row],[Nazwisko]])</f>
        <v>Maciej Tasz</v>
      </c>
    </row>
    <row r="1043" spans="1:5" x14ac:dyDescent="0.25">
      <c r="A1043" s="1">
        <v>42909</v>
      </c>
      <c r="B1043" s="2" t="s">
        <v>161</v>
      </c>
      <c r="C1043" s="2" t="s">
        <v>345</v>
      </c>
      <c r="D1043">
        <v>18</v>
      </c>
      <c r="E1043" t="str">
        <f>_xlfn.CONCAT(makulatura4[[#This Row],[Imie]]," ",makulatura4[[#This Row],[Nazwisko]])</f>
        <v>Anita Kaczorowska</v>
      </c>
    </row>
    <row r="1044" spans="1:5" x14ac:dyDescent="0.25">
      <c r="A1044" s="1">
        <v>42909</v>
      </c>
      <c r="B1044" s="2" t="s">
        <v>32</v>
      </c>
      <c r="C1044" s="2" t="s">
        <v>406</v>
      </c>
      <c r="D1044">
        <v>19</v>
      </c>
      <c r="E1044" t="str">
        <f>_xlfn.CONCAT(makulatura4[[#This Row],[Imie]]," ",makulatura4[[#This Row],[Nazwisko]])</f>
        <v>Daria Mikos</v>
      </c>
    </row>
    <row r="1045" spans="1:5" x14ac:dyDescent="0.25">
      <c r="A1045" s="1">
        <v>42909</v>
      </c>
      <c r="B1045" s="2" t="s">
        <v>161</v>
      </c>
      <c r="C1045" s="2" t="s">
        <v>162</v>
      </c>
      <c r="D1045">
        <v>8</v>
      </c>
      <c r="E1045" t="str">
        <f>_xlfn.CONCAT(makulatura4[[#This Row],[Imie]]," ",makulatura4[[#This Row],[Nazwisko]])</f>
        <v>Anita Pawelczyk</v>
      </c>
    </row>
    <row r="1046" spans="1:5" x14ac:dyDescent="0.25">
      <c r="A1046" s="1">
        <v>42909</v>
      </c>
      <c r="B1046" s="2" t="s">
        <v>449</v>
      </c>
      <c r="C1046" s="2" t="s">
        <v>613</v>
      </c>
      <c r="D1046">
        <v>16</v>
      </c>
      <c r="E1046" t="str">
        <f>_xlfn.CONCAT(makulatura4[[#This Row],[Imie]]," ",makulatura4[[#This Row],[Nazwisko]])</f>
        <v>Ryszard Domzala</v>
      </c>
    </row>
    <row r="1047" spans="1:5" x14ac:dyDescent="0.25">
      <c r="A1047" s="1">
        <v>42909</v>
      </c>
      <c r="B1047" s="2" t="s">
        <v>41</v>
      </c>
      <c r="C1047" s="2" t="s">
        <v>614</v>
      </c>
      <c r="D1047">
        <v>39</v>
      </c>
      <c r="E1047" t="str">
        <f>_xlfn.CONCAT(makulatura4[[#This Row],[Imie]]," ",makulatura4[[#This Row],[Nazwisko]])</f>
        <v>Marta Wiosna</v>
      </c>
    </row>
    <row r="1048" spans="1:5" x14ac:dyDescent="0.25">
      <c r="A1048" s="1">
        <v>42909</v>
      </c>
      <c r="B1048" s="2" t="s">
        <v>101</v>
      </c>
      <c r="C1048" s="2" t="s">
        <v>610</v>
      </c>
      <c r="D1048">
        <v>45</v>
      </c>
      <c r="E1048" t="str">
        <f>_xlfn.CONCAT(makulatura4[[#This Row],[Imie]]," ",makulatura4[[#This Row],[Nazwisko]])</f>
        <v>Maria Orlicki</v>
      </c>
    </row>
    <row r="1049" spans="1:5" x14ac:dyDescent="0.25">
      <c r="A1049" s="1">
        <v>42912</v>
      </c>
      <c r="B1049" s="2" t="s">
        <v>141</v>
      </c>
      <c r="C1049" s="2" t="s">
        <v>435</v>
      </c>
      <c r="D1049">
        <v>46</v>
      </c>
      <c r="E1049" t="str">
        <f>_xlfn.CONCAT(makulatura4[[#This Row],[Imie]]," ",makulatura4[[#This Row],[Nazwisko]])</f>
        <v>Joanna Kopacki</v>
      </c>
    </row>
    <row r="1050" spans="1:5" x14ac:dyDescent="0.25">
      <c r="A1050" s="1">
        <v>42912</v>
      </c>
      <c r="B1050" s="2" t="s">
        <v>83</v>
      </c>
      <c r="C1050" s="2" t="s">
        <v>91</v>
      </c>
      <c r="D1050">
        <v>26</v>
      </c>
      <c r="E1050" t="str">
        <f>_xlfn.CONCAT(makulatura4[[#This Row],[Imie]]," ",makulatura4[[#This Row],[Nazwisko]])</f>
        <v>Jan Sznuk</v>
      </c>
    </row>
    <row r="1051" spans="1:5" x14ac:dyDescent="0.25">
      <c r="A1051" s="1">
        <v>42912</v>
      </c>
      <c r="B1051" s="2" t="s">
        <v>351</v>
      </c>
      <c r="C1051" s="2" t="s">
        <v>227</v>
      </c>
      <c r="D1051">
        <v>53</v>
      </c>
      <c r="E1051" t="str">
        <f>_xlfn.CONCAT(makulatura4[[#This Row],[Imie]]," ",makulatura4[[#This Row],[Nazwisko]])</f>
        <v>Wiera Nowak</v>
      </c>
    </row>
    <row r="1052" spans="1:5" x14ac:dyDescent="0.25">
      <c r="A1052" s="1">
        <v>42912</v>
      </c>
      <c r="B1052" s="2" t="s">
        <v>503</v>
      </c>
      <c r="C1052" s="2" t="s">
        <v>183</v>
      </c>
      <c r="D1052">
        <v>26</v>
      </c>
      <c r="E1052" t="str">
        <f>_xlfn.CONCAT(makulatura4[[#This Row],[Imie]]," ",makulatura4[[#This Row],[Nazwisko]])</f>
        <v>Ewaryst Zdunek</v>
      </c>
    </row>
    <row r="1053" spans="1:5" x14ac:dyDescent="0.25">
      <c r="A1053" s="1">
        <v>42912</v>
      </c>
      <c r="B1053" s="2" t="s">
        <v>4</v>
      </c>
      <c r="C1053" s="2" t="s">
        <v>5</v>
      </c>
      <c r="D1053">
        <v>16</v>
      </c>
      <c r="E1053" t="str">
        <f>_xlfn.CONCAT(makulatura4[[#This Row],[Imie]]," ",makulatura4[[#This Row],[Nazwisko]])</f>
        <v>Agnieszka Polak</v>
      </c>
    </row>
    <row r="1054" spans="1:5" x14ac:dyDescent="0.25">
      <c r="A1054" s="1">
        <v>42912</v>
      </c>
      <c r="B1054" s="2" t="s">
        <v>83</v>
      </c>
      <c r="C1054" s="2" t="s">
        <v>615</v>
      </c>
      <c r="D1054">
        <v>10</v>
      </c>
      <c r="E1054" t="str">
        <f>_xlfn.CONCAT(makulatura4[[#This Row],[Imie]]," ",makulatura4[[#This Row],[Nazwisko]])</f>
        <v>Jan Madawik</v>
      </c>
    </row>
    <row r="1055" spans="1:5" x14ac:dyDescent="0.25">
      <c r="A1055" s="1">
        <v>42913</v>
      </c>
      <c r="B1055" s="2" t="s">
        <v>161</v>
      </c>
      <c r="C1055" s="2" t="s">
        <v>214</v>
      </c>
      <c r="D1055">
        <v>23</v>
      </c>
      <c r="E1055" t="str">
        <f>_xlfn.CONCAT(makulatura4[[#This Row],[Imie]]," ",makulatura4[[#This Row],[Nazwisko]])</f>
        <v>Anita Woloszyn</v>
      </c>
    </row>
    <row r="1056" spans="1:5" x14ac:dyDescent="0.25">
      <c r="A1056" s="1">
        <v>42913</v>
      </c>
      <c r="B1056" s="2" t="s">
        <v>32</v>
      </c>
      <c r="C1056" s="2" t="s">
        <v>33</v>
      </c>
      <c r="D1056">
        <v>22</v>
      </c>
      <c r="E1056" t="str">
        <f>_xlfn.CONCAT(makulatura4[[#This Row],[Imie]]," ",makulatura4[[#This Row],[Nazwisko]])</f>
        <v>Daria Zagrobna</v>
      </c>
    </row>
    <row r="1057" spans="1:5" x14ac:dyDescent="0.25">
      <c r="A1057" s="1">
        <v>42913</v>
      </c>
      <c r="B1057" s="2" t="s">
        <v>41</v>
      </c>
      <c r="C1057" s="2" t="s">
        <v>302</v>
      </c>
      <c r="D1057">
        <v>29</v>
      </c>
      <c r="E1057" t="str">
        <f>_xlfn.CONCAT(makulatura4[[#This Row],[Imie]]," ",makulatura4[[#This Row],[Nazwisko]])</f>
        <v>Marta Wloczkow</v>
      </c>
    </row>
    <row r="1058" spans="1:5" x14ac:dyDescent="0.25">
      <c r="A1058" s="1">
        <v>42913</v>
      </c>
      <c r="B1058" s="2" t="s">
        <v>150</v>
      </c>
      <c r="C1058" s="2" t="s">
        <v>151</v>
      </c>
      <c r="D1058">
        <v>26</v>
      </c>
      <c r="E1058" t="str">
        <f>_xlfn.CONCAT(makulatura4[[#This Row],[Imie]]," ",makulatura4[[#This Row],[Nazwisko]])</f>
        <v>Krzysztof Konieckiewicz</v>
      </c>
    </row>
    <row r="1059" spans="1:5" x14ac:dyDescent="0.25">
      <c r="A1059" s="1">
        <v>42913</v>
      </c>
      <c r="B1059" s="2" t="s">
        <v>51</v>
      </c>
      <c r="C1059" s="2" t="s">
        <v>358</v>
      </c>
      <c r="D1059">
        <v>9</v>
      </c>
      <c r="E1059" t="str">
        <f>_xlfn.CONCAT(makulatura4[[#This Row],[Imie]]," ",makulatura4[[#This Row],[Nazwisko]])</f>
        <v>Barbara Bury</v>
      </c>
    </row>
    <row r="1060" spans="1:5" x14ac:dyDescent="0.25">
      <c r="A1060" s="1">
        <v>42913</v>
      </c>
      <c r="B1060" s="2" t="s">
        <v>81</v>
      </c>
      <c r="C1060" s="2" t="s">
        <v>104</v>
      </c>
      <c r="D1060">
        <v>20</v>
      </c>
      <c r="E1060" t="str">
        <f>_xlfn.CONCAT(makulatura4[[#This Row],[Imie]]," ",makulatura4[[#This Row],[Nazwisko]])</f>
        <v>Karol Dziuk</v>
      </c>
    </row>
    <row r="1061" spans="1:5" x14ac:dyDescent="0.25">
      <c r="A1061" s="1">
        <v>42914</v>
      </c>
      <c r="B1061" s="2" t="s">
        <v>128</v>
      </c>
      <c r="C1061" s="2" t="s">
        <v>250</v>
      </c>
      <c r="D1061">
        <v>7</v>
      </c>
      <c r="E1061" t="str">
        <f>_xlfn.CONCAT(makulatura4[[#This Row],[Imie]]," ",makulatura4[[#This Row],[Nazwisko]])</f>
        <v>Wojciech Wroblewski</v>
      </c>
    </row>
    <row r="1062" spans="1:5" x14ac:dyDescent="0.25">
      <c r="A1062" s="1">
        <v>42914</v>
      </c>
      <c r="B1062" s="2" t="s">
        <v>176</v>
      </c>
      <c r="C1062" s="2" t="s">
        <v>486</v>
      </c>
      <c r="D1062">
        <v>27</v>
      </c>
      <c r="E1062" t="str">
        <f>_xlfn.CONCAT(makulatura4[[#This Row],[Imie]]," ",makulatura4[[#This Row],[Nazwisko]])</f>
        <v>Kinga Trawinska</v>
      </c>
    </row>
    <row r="1063" spans="1:5" x14ac:dyDescent="0.25">
      <c r="A1063" s="1">
        <v>42914</v>
      </c>
      <c r="B1063" s="2" t="s">
        <v>119</v>
      </c>
      <c r="C1063" s="2" t="s">
        <v>120</v>
      </c>
      <c r="D1063">
        <v>35</v>
      </c>
      <c r="E1063" t="str">
        <f>_xlfn.CONCAT(makulatura4[[#This Row],[Imie]]," ",makulatura4[[#This Row],[Nazwisko]])</f>
        <v>Kamil Naderka</v>
      </c>
    </row>
    <row r="1064" spans="1:5" x14ac:dyDescent="0.25">
      <c r="A1064" s="1">
        <v>42914</v>
      </c>
      <c r="B1064" s="2" t="s">
        <v>395</v>
      </c>
      <c r="C1064" s="2" t="s">
        <v>599</v>
      </c>
      <c r="D1064">
        <v>15</v>
      </c>
      <c r="E1064" t="str">
        <f>_xlfn.CONCAT(makulatura4[[#This Row],[Imie]]," ",makulatura4[[#This Row],[Nazwisko]])</f>
        <v>Tomasz Tutaj</v>
      </c>
    </row>
    <row r="1065" spans="1:5" x14ac:dyDescent="0.25">
      <c r="A1065" s="1">
        <v>42914</v>
      </c>
      <c r="B1065" s="2" t="s">
        <v>83</v>
      </c>
      <c r="C1065" s="2" t="s">
        <v>596</v>
      </c>
      <c r="D1065">
        <v>29</v>
      </c>
      <c r="E1065" t="str">
        <f>_xlfn.CONCAT(makulatura4[[#This Row],[Imie]]," ",makulatura4[[#This Row],[Nazwisko]])</f>
        <v>Jan Pieterson</v>
      </c>
    </row>
    <row r="1066" spans="1:5" x14ac:dyDescent="0.25">
      <c r="A1066" s="1">
        <v>42914</v>
      </c>
      <c r="B1066" s="2" t="s">
        <v>133</v>
      </c>
      <c r="C1066" s="2" t="s">
        <v>616</v>
      </c>
      <c r="D1066">
        <v>42</v>
      </c>
      <c r="E1066" t="str">
        <f>_xlfn.CONCAT(makulatura4[[#This Row],[Imie]]," ",makulatura4[[#This Row],[Nazwisko]])</f>
        <v>Dominika Madejska</v>
      </c>
    </row>
    <row r="1067" spans="1:5" x14ac:dyDescent="0.25">
      <c r="A1067" s="1">
        <v>42915</v>
      </c>
      <c r="B1067" s="2" t="s">
        <v>280</v>
      </c>
      <c r="C1067" s="2" t="s">
        <v>451</v>
      </c>
      <c r="D1067">
        <v>9</v>
      </c>
      <c r="E1067" t="str">
        <f>_xlfn.CONCAT(makulatura4[[#This Row],[Imie]]," ",makulatura4[[#This Row],[Nazwisko]])</f>
        <v>Kamila Bialkowska</v>
      </c>
    </row>
    <row r="1068" spans="1:5" x14ac:dyDescent="0.25">
      <c r="A1068" s="1">
        <v>42915</v>
      </c>
      <c r="B1068" s="2" t="s">
        <v>137</v>
      </c>
      <c r="C1068" s="2" t="s">
        <v>617</v>
      </c>
      <c r="D1068">
        <v>50</v>
      </c>
      <c r="E1068" t="str">
        <f>_xlfn.CONCAT(makulatura4[[#This Row],[Imie]]," ",makulatura4[[#This Row],[Nazwisko]])</f>
        <v>Stanislaw Cieslik</v>
      </c>
    </row>
    <row r="1069" spans="1:5" x14ac:dyDescent="0.25">
      <c r="A1069" s="1">
        <v>42915</v>
      </c>
      <c r="B1069" s="2" t="s">
        <v>95</v>
      </c>
      <c r="C1069" s="2" t="s">
        <v>426</v>
      </c>
      <c r="D1069">
        <v>6</v>
      </c>
      <c r="E1069" t="str">
        <f>_xlfn.CONCAT(makulatura4[[#This Row],[Imie]]," ",makulatura4[[#This Row],[Nazwisko]])</f>
        <v>Dominik Szmitko</v>
      </c>
    </row>
    <row r="1070" spans="1:5" x14ac:dyDescent="0.25">
      <c r="A1070" s="1">
        <v>42915</v>
      </c>
      <c r="B1070" s="2" t="s">
        <v>87</v>
      </c>
      <c r="C1070" s="2" t="s">
        <v>383</v>
      </c>
      <c r="D1070">
        <v>18</v>
      </c>
      <c r="E1070" t="str">
        <f>_xlfn.CONCAT(makulatura4[[#This Row],[Imie]]," ",makulatura4[[#This Row],[Nazwisko]])</f>
        <v>Ewa Zak</v>
      </c>
    </row>
    <row r="1071" spans="1:5" x14ac:dyDescent="0.25">
      <c r="A1071" s="1">
        <v>42915</v>
      </c>
      <c r="B1071" s="2" t="s">
        <v>83</v>
      </c>
      <c r="C1071" s="2" t="s">
        <v>615</v>
      </c>
      <c r="D1071">
        <v>28</v>
      </c>
      <c r="E1071" t="str">
        <f>_xlfn.CONCAT(makulatura4[[#This Row],[Imie]]," ",makulatura4[[#This Row],[Nazwisko]])</f>
        <v>Jan Madawik</v>
      </c>
    </row>
    <row r="1072" spans="1:5" x14ac:dyDescent="0.25">
      <c r="A1072" s="1">
        <v>42915</v>
      </c>
      <c r="B1072" s="2" t="s">
        <v>83</v>
      </c>
      <c r="C1072" s="2" t="s">
        <v>455</v>
      </c>
      <c r="D1072">
        <v>7</v>
      </c>
      <c r="E1072" t="str">
        <f>_xlfn.CONCAT(makulatura4[[#This Row],[Imie]]," ",makulatura4[[#This Row],[Nazwisko]])</f>
        <v>Jan Pistek</v>
      </c>
    </row>
    <row r="1073" spans="1:5" x14ac:dyDescent="0.25">
      <c r="A1073" s="1">
        <v>42916</v>
      </c>
      <c r="B1073" s="2" t="s">
        <v>618</v>
      </c>
      <c r="C1073" s="2" t="s">
        <v>619</v>
      </c>
      <c r="D1073">
        <v>28</v>
      </c>
      <c r="E1073" t="str">
        <f>_xlfn.CONCAT(makulatura4[[#This Row],[Imie]]," ",makulatura4[[#This Row],[Nazwisko]])</f>
        <v>Magda Makowicz</v>
      </c>
    </row>
    <row r="1074" spans="1:5" x14ac:dyDescent="0.25">
      <c r="A1074" s="1">
        <v>42916</v>
      </c>
      <c r="B1074" s="2" t="s">
        <v>95</v>
      </c>
      <c r="C1074" s="2" t="s">
        <v>96</v>
      </c>
      <c r="D1074">
        <v>27</v>
      </c>
      <c r="E1074" t="str">
        <f>_xlfn.CONCAT(makulatura4[[#This Row],[Imie]]," ",makulatura4[[#This Row],[Nazwisko]])</f>
        <v>Dominik Szczucki</v>
      </c>
    </row>
    <row r="1075" spans="1:5" x14ac:dyDescent="0.25">
      <c r="A1075" s="1">
        <v>42916</v>
      </c>
      <c r="B1075" s="2" t="s">
        <v>36</v>
      </c>
      <c r="C1075" s="2" t="s">
        <v>166</v>
      </c>
      <c r="D1075">
        <v>19</v>
      </c>
      <c r="E1075" t="str">
        <f>_xlfn.CONCAT(makulatura4[[#This Row],[Imie]]," ",makulatura4[[#This Row],[Nazwisko]])</f>
        <v>Piotr Flis</v>
      </c>
    </row>
    <row r="1076" spans="1:5" x14ac:dyDescent="0.25">
      <c r="A1076" s="1">
        <v>42916</v>
      </c>
      <c r="B1076" s="2" t="s">
        <v>77</v>
      </c>
      <c r="C1076" s="2" t="s">
        <v>384</v>
      </c>
      <c r="D1076">
        <v>19</v>
      </c>
      <c r="E1076" t="str">
        <f>_xlfn.CONCAT(makulatura4[[#This Row],[Imie]]," ",makulatura4[[#This Row],[Nazwisko]])</f>
        <v>Hubert Pieczatowski</v>
      </c>
    </row>
    <row r="1077" spans="1:5" x14ac:dyDescent="0.25">
      <c r="A1077" s="1">
        <v>42916</v>
      </c>
      <c r="B1077" s="2" t="s">
        <v>34</v>
      </c>
      <c r="C1077" s="2" t="s">
        <v>35</v>
      </c>
      <c r="D1077">
        <v>18</v>
      </c>
      <c r="E1077" t="str">
        <f>_xlfn.CONCAT(makulatura4[[#This Row],[Imie]]," ",makulatura4[[#This Row],[Nazwisko]])</f>
        <v>Julia Rutkiewicz</v>
      </c>
    </row>
    <row r="1078" spans="1:5" x14ac:dyDescent="0.25">
      <c r="A1078" s="1">
        <v>42916</v>
      </c>
      <c r="B1078" s="2" t="s">
        <v>141</v>
      </c>
      <c r="C1078" s="2" t="s">
        <v>364</v>
      </c>
      <c r="D1078">
        <v>27</v>
      </c>
      <c r="E1078" t="str">
        <f>_xlfn.CONCAT(makulatura4[[#This Row],[Imie]]," ",makulatura4[[#This Row],[Nazwisko]])</f>
        <v>Joanna Ottka</v>
      </c>
    </row>
    <row r="1079" spans="1:5" x14ac:dyDescent="0.25">
      <c r="A1079" s="1">
        <v>42919</v>
      </c>
      <c r="B1079" s="2" t="s">
        <v>339</v>
      </c>
      <c r="C1079" s="2" t="s">
        <v>565</v>
      </c>
      <c r="D1079">
        <v>21</v>
      </c>
      <c r="E1079" t="str">
        <f>_xlfn.CONCAT(makulatura4[[#This Row],[Imie]]," ",makulatura4[[#This Row],[Nazwisko]])</f>
        <v>Nadia Jurewicz</v>
      </c>
    </row>
    <row r="1080" spans="1:5" x14ac:dyDescent="0.25">
      <c r="A1080" s="1">
        <v>42919</v>
      </c>
      <c r="B1080" s="2" t="s">
        <v>106</v>
      </c>
      <c r="C1080" s="2" t="s">
        <v>277</v>
      </c>
      <c r="D1080">
        <v>14</v>
      </c>
      <c r="E1080" t="str">
        <f>_xlfn.CONCAT(makulatura4[[#This Row],[Imie]]," ",makulatura4[[#This Row],[Nazwisko]])</f>
        <v>Lena Marzec</v>
      </c>
    </row>
    <row r="1081" spans="1:5" x14ac:dyDescent="0.25">
      <c r="A1081" s="1">
        <v>42919</v>
      </c>
      <c r="B1081" s="2" t="s">
        <v>147</v>
      </c>
      <c r="C1081" s="2" t="s">
        <v>527</v>
      </c>
      <c r="D1081">
        <v>34</v>
      </c>
      <c r="E1081" t="str">
        <f>_xlfn.CONCAT(makulatura4[[#This Row],[Imie]]," ",makulatura4[[#This Row],[Nazwisko]])</f>
        <v>Mariusz Suszyn</v>
      </c>
    </row>
    <row r="1082" spans="1:5" x14ac:dyDescent="0.25">
      <c r="A1082" s="1">
        <v>42919</v>
      </c>
      <c r="B1082" s="2" t="s">
        <v>97</v>
      </c>
      <c r="C1082" s="2" t="s">
        <v>464</v>
      </c>
      <c r="D1082">
        <v>29</v>
      </c>
      <c r="E1082" t="str">
        <f>_xlfn.CONCAT(makulatura4[[#This Row],[Imie]]," ",makulatura4[[#This Row],[Nazwisko]])</f>
        <v>Mateusz Mrowczynski</v>
      </c>
    </row>
    <row r="1083" spans="1:5" x14ac:dyDescent="0.25">
      <c r="A1083" s="1">
        <v>42919</v>
      </c>
      <c r="B1083" s="2" t="s">
        <v>126</v>
      </c>
      <c r="C1083" s="2" t="s">
        <v>127</v>
      </c>
      <c r="D1083">
        <v>37</v>
      </c>
      <c r="E1083" t="str">
        <f>_xlfn.CONCAT(makulatura4[[#This Row],[Imie]]," ",makulatura4[[#This Row],[Nazwisko]])</f>
        <v>Wieslaw Kasza</v>
      </c>
    </row>
    <row r="1084" spans="1:5" x14ac:dyDescent="0.25">
      <c r="A1084" s="1">
        <v>42919</v>
      </c>
      <c r="B1084" s="2" t="s">
        <v>39</v>
      </c>
      <c r="C1084" s="2" t="s">
        <v>391</v>
      </c>
      <c r="D1084">
        <v>28</v>
      </c>
      <c r="E1084" t="str">
        <f>_xlfn.CONCAT(makulatura4[[#This Row],[Imie]]," ",makulatura4[[#This Row],[Nazwisko]])</f>
        <v>Jakub Porydzaj</v>
      </c>
    </row>
    <row r="1085" spans="1:5" x14ac:dyDescent="0.25">
      <c r="A1085" s="1">
        <v>42920</v>
      </c>
      <c r="B1085" s="2" t="s">
        <v>234</v>
      </c>
      <c r="C1085" s="2" t="s">
        <v>516</v>
      </c>
      <c r="D1085">
        <v>8</v>
      </c>
      <c r="E1085" t="str">
        <f>_xlfn.CONCAT(makulatura4[[#This Row],[Imie]]," ",makulatura4[[#This Row],[Nazwisko]])</f>
        <v>Magdalena Bach</v>
      </c>
    </row>
    <row r="1086" spans="1:5" x14ac:dyDescent="0.25">
      <c r="A1086" s="1">
        <v>42920</v>
      </c>
      <c r="B1086" s="2" t="s">
        <v>14</v>
      </c>
      <c r="C1086" s="2" t="s">
        <v>430</v>
      </c>
      <c r="D1086">
        <v>16</v>
      </c>
      <c r="E1086" t="str">
        <f>_xlfn.CONCAT(makulatura4[[#This Row],[Imie]]," ",makulatura4[[#This Row],[Nazwisko]])</f>
        <v>Patryk Geszczynski</v>
      </c>
    </row>
    <row r="1087" spans="1:5" x14ac:dyDescent="0.25">
      <c r="A1087" s="1">
        <v>42920</v>
      </c>
      <c r="B1087" s="2" t="s">
        <v>139</v>
      </c>
      <c r="C1087" s="2" t="s">
        <v>140</v>
      </c>
      <c r="D1087">
        <v>7</v>
      </c>
      <c r="E1087" t="str">
        <f>_xlfn.CONCAT(makulatura4[[#This Row],[Imie]]," ",makulatura4[[#This Row],[Nazwisko]])</f>
        <v>Mariola Las</v>
      </c>
    </row>
    <row r="1088" spans="1:5" x14ac:dyDescent="0.25">
      <c r="A1088" s="1">
        <v>42920</v>
      </c>
      <c r="B1088" s="2" t="s">
        <v>171</v>
      </c>
      <c r="C1088" s="2" t="s">
        <v>562</v>
      </c>
      <c r="D1088">
        <v>29</v>
      </c>
      <c r="E1088" t="str">
        <f>_xlfn.CONCAT(makulatura4[[#This Row],[Imie]]," ",makulatura4[[#This Row],[Nazwisko]])</f>
        <v>Zofia Broszkow</v>
      </c>
    </row>
    <row r="1089" spans="1:5" x14ac:dyDescent="0.25">
      <c r="A1089" s="1">
        <v>42920</v>
      </c>
      <c r="B1089" s="2" t="s">
        <v>47</v>
      </c>
      <c r="C1089" s="2" t="s">
        <v>334</v>
      </c>
      <c r="D1089">
        <v>4</v>
      </c>
      <c r="E1089" t="str">
        <f>_xlfn.CONCAT(makulatura4[[#This Row],[Imie]]," ",makulatura4[[#This Row],[Nazwisko]])</f>
        <v>Marek Witkowski</v>
      </c>
    </row>
    <row r="1090" spans="1:5" x14ac:dyDescent="0.25">
      <c r="A1090" s="1">
        <v>42920</v>
      </c>
      <c r="B1090" s="2" t="s">
        <v>81</v>
      </c>
      <c r="C1090" s="2" t="s">
        <v>488</v>
      </c>
      <c r="D1090">
        <v>3</v>
      </c>
      <c r="E1090" t="str">
        <f>_xlfn.CONCAT(makulatura4[[#This Row],[Imie]]," ",makulatura4[[#This Row],[Nazwisko]])</f>
        <v>Karol Pawleczek</v>
      </c>
    </row>
    <row r="1091" spans="1:5" x14ac:dyDescent="0.25">
      <c r="A1091" s="1">
        <v>42921</v>
      </c>
      <c r="B1091" s="2" t="s">
        <v>420</v>
      </c>
      <c r="C1091" s="2" t="s">
        <v>421</v>
      </c>
      <c r="D1091">
        <v>35</v>
      </c>
      <c r="E1091" t="str">
        <f>_xlfn.CONCAT(makulatura4[[#This Row],[Imie]]," ",makulatura4[[#This Row],[Nazwisko]])</f>
        <v>Renata Pawlak</v>
      </c>
    </row>
    <row r="1092" spans="1:5" x14ac:dyDescent="0.25">
      <c r="A1092" s="1">
        <v>42921</v>
      </c>
      <c r="B1092" s="2" t="s">
        <v>152</v>
      </c>
      <c r="C1092" s="2" t="s">
        <v>534</v>
      </c>
      <c r="D1092">
        <v>24</v>
      </c>
      <c r="E1092" t="str">
        <f>_xlfn.CONCAT(makulatura4[[#This Row],[Imie]]," ",makulatura4[[#This Row],[Nazwisko]])</f>
        <v>Natalia Olkuska</v>
      </c>
    </row>
    <row r="1093" spans="1:5" x14ac:dyDescent="0.25">
      <c r="A1093" s="1">
        <v>42921</v>
      </c>
      <c r="B1093" s="2" t="s">
        <v>36</v>
      </c>
      <c r="C1093" s="2" t="s">
        <v>180</v>
      </c>
      <c r="D1093">
        <v>39</v>
      </c>
      <c r="E1093" t="str">
        <f>_xlfn.CONCAT(makulatura4[[#This Row],[Imie]]," ",makulatura4[[#This Row],[Nazwisko]])</f>
        <v>Piotr Felus</v>
      </c>
    </row>
    <row r="1094" spans="1:5" x14ac:dyDescent="0.25">
      <c r="A1094" s="1">
        <v>42921</v>
      </c>
      <c r="B1094" s="2" t="s">
        <v>269</v>
      </c>
      <c r="C1094" s="2" t="s">
        <v>270</v>
      </c>
      <c r="D1094">
        <v>56</v>
      </c>
      <c r="E1094" t="str">
        <f>_xlfn.CONCAT(makulatura4[[#This Row],[Imie]]," ",makulatura4[[#This Row],[Nazwisko]])</f>
        <v>Marcel Labuda</v>
      </c>
    </row>
    <row r="1095" spans="1:5" x14ac:dyDescent="0.25">
      <c r="A1095" s="1">
        <v>42921</v>
      </c>
      <c r="B1095" s="2" t="s">
        <v>476</v>
      </c>
      <c r="C1095" s="2" t="s">
        <v>620</v>
      </c>
      <c r="D1095">
        <v>54</v>
      </c>
      <c r="E1095" t="str">
        <f>_xlfn.CONCAT(makulatura4[[#This Row],[Imie]]," ",makulatura4[[#This Row],[Nazwisko]])</f>
        <v>Iwona Wlodarska</v>
      </c>
    </row>
    <row r="1096" spans="1:5" x14ac:dyDescent="0.25">
      <c r="A1096" s="1">
        <v>42921</v>
      </c>
      <c r="B1096" s="2" t="s">
        <v>43</v>
      </c>
      <c r="C1096" s="2" t="s">
        <v>44</v>
      </c>
      <c r="D1096">
        <v>12</v>
      </c>
      <c r="E1096" t="str">
        <f>_xlfn.CONCAT(makulatura4[[#This Row],[Imie]]," ",makulatura4[[#This Row],[Nazwisko]])</f>
        <v>Andrzej Moldawiec</v>
      </c>
    </row>
    <row r="1097" spans="1:5" x14ac:dyDescent="0.25">
      <c r="A1097" s="1">
        <v>42922</v>
      </c>
      <c r="B1097" s="2" t="s">
        <v>341</v>
      </c>
      <c r="C1097" s="2" t="s">
        <v>342</v>
      </c>
      <c r="D1097">
        <v>7</v>
      </c>
      <c r="E1097" t="str">
        <f>_xlfn.CONCAT(makulatura4[[#This Row],[Imie]]," ",makulatura4[[#This Row],[Nazwisko]])</f>
        <v>Milena Karolewska</v>
      </c>
    </row>
    <row r="1098" spans="1:5" x14ac:dyDescent="0.25">
      <c r="A1098" s="1">
        <v>42922</v>
      </c>
      <c r="B1098" s="2" t="s">
        <v>178</v>
      </c>
      <c r="C1098" s="2" t="s">
        <v>335</v>
      </c>
      <c r="D1098">
        <v>11</v>
      </c>
      <c r="E1098" t="str">
        <f>_xlfn.CONCAT(makulatura4[[#This Row],[Imie]]," ",makulatura4[[#This Row],[Nazwisko]])</f>
        <v>Malgorzata Winiarska</v>
      </c>
    </row>
    <row r="1099" spans="1:5" x14ac:dyDescent="0.25">
      <c r="A1099" s="1">
        <v>42922</v>
      </c>
      <c r="B1099" s="2" t="s">
        <v>30</v>
      </c>
      <c r="C1099" s="2" t="s">
        <v>432</v>
      </c>
      <c r="D1099">
        <v>7</v>
      </c>
      <c r="E1099" t="str">
        <f>_xlfn.CONCAT(makulatura4[[#This Row],[Imie]]," ",makulatura4[[#This Row],[Nazwisko]])</f>
        <v>Maciej Tasz</v>
      </c>
    </row>
    <row r="1100" spans="1:5" x14ac:dyDescent="0.25">
      <c r="A1100" s="1">
        <v>42922</v>
      </c>
      <c r="B1100" s="2" t="s">
        <v>193</v>
      </c>
      <c r="C1100" s="2" t="s">
        <v>194</v>
      </c>
      <c r="D1100">
        <v>28</v>
      </c>
      <c r="E1100" t="str">
        <f>_xlfn.CONCAT(makulatura4[[#This Row],[Imie]]," ",makulatura4[[#This Row],[Nazwisko]])</f>
        <v>Karolina Welc</v>
      </c>
    </row>
    <row r="1101" spans="1:5" x14ac:dyDescent="0.25">
      <c r="A1101" s="1">
        <v>42922</v>
      </c>
      <c r="B1101" s="2" t="s">
        <v>14</v>
      </c>
      <c r="C1101" s="2" t="s">
        <v>430</v>
      </c>
      <c r="D1101">
        <v>20</v>
      </c>
      <c r="E1101" t="str">
        <f>_xlfn.CONCAT(makulatura4[[#This Row],[Imie]]," ",makulatura4[[#This Row],[Nazwisko]])</f>
        <v>Patryk Geszczynski</v>
      </c>
    </row>
    <row r="1102" spans="1:5" x14ac:dyDescent="0.25">
      <c r="A1102" s="1">
        <v>42922</v>
      </c>
      <c r="B1102" s="2" t="s">
        <v>143</v>
      </c>
      <c r="C1102" s="2" t="s">
        <v>510</v>
      </c>
      <c r="D1102">
        <v>11</v>
      </c>
      <c r="E1102" t="str">
        <f>_xlfn.CONCAT(makulatura4[[#This Row],[Imie]]," ",makulatura4[[#This Row],[Nazwisko]])</f>
        <v>Przemyslaw Widawski</v>
      </c>
    </row>
    <row r="1103" spans="1:5" x14ac:dyDescent="0.25">
      <c r="A1103" s="1">
        <v>42923</v>
      </c>
      <c r="B1103" s="2" t="s">
        <v>51</v>
      </c>
      <c r="C1103" s="2" t="s">
        <v>621</v>
      </c>
      <c r="D1103">
        <v>55</v>
      </c>
      <c r="E1103" t="str">
        <f>_xlfn.CONCAT(makulatura4[[#This Row],[Imie]]," ",makulatura4[[#This Row],[Nazwisko]])</f>
        <v>Barbara Kiel</v>
      </c>
    </row>
    <row r="1104" spans="1:5" x14ac:dyDescent="0.25">
      <c r="A1104" s="1">
        <v>42923</v>
      </c>
      <c r="B1104" s="2" t="s">
        <v>97</v>
      </c>
      <c r="C1104" s="2" t="s">
        <v>464</v>
      </c>
      <c r="D1104">
        <v>41</v>
      </c>
      <c r="E1104" t="str">
        <f>_xlfn.CONCAT(makulatura4[[#This Row],[Imie]]," ",makulatura4[[#This Row],[Nazwisko]])</f>
        <v>Mateusz Mrowczynski</v>
      </c>
    </row>
    <row r="1105" spans="1:5" x14ac:dyDescent="0.25">
      <c r="A1105" s="1">
        <v>42923</v>
      </c>
      <c r="B1105" s="2" t="s">
        <v>476</v>
      </c>
      <c r="C1105" s="2" t="s">
        <v>622</v>
      </c>
      <c r="D1105">
        <v>21</v>
      </c>
      <c r="E1105" t="str">
        <f>_xlfn.CONCAT(makulatura4[[#This Row],[Imie]]," ",makulatura4[[#This Row],[Nazwisko]])</f>
        <v>Iwona Anczyk</v>
      </c>
    </row>
    <row r="1106" spans="1:5" x14ac:dyDescent="0.25">
      <c r="A1106" s="1">
        <v>42923</v>
      </c>
      <c r="B1106" s="2" t="s">
        <v>339</v>
      </c>
      <c r="C1106" s="2" t="s">
        <v>583</v>
      </c>
      <c r="D1106">
        <v>33</v>
      </c>
      <c r="E1106" t="str">
        <f>_xlfn.CONCAT(makulatura4[[#This Row],[Imie]]," ",makulatura4[[#This Row],[Nazwisko]])</f>
        <v>Nadia Jurczyk</v>
      </c>
    </row>
    <row r="1107" spans="1:5" x14ac:dyDescent="0.25">
      <c r="A1107" s="1">
        <v>42923</v>
      </c>
      <c r="B1107" s="2" t="s">
        <v>18</v>
      </c>
      <c r="C1107" s="2" t="s">
        <v>597</v>
      </c>
      <c r="D1107">
        <v>7</v>
      </c>
      <c r="E1107" t="str">
        <f>_xlfn.CONCAT(makulatura4[[#This Row],[Imie]]," ",makulatura4[[#This Row],[Nazwisko]])</f>
        <v>Filip Strupiechowski</v>
      </c>
    </row>
    <row r="1108" spans="1:5" x14ac:dyDescent="0.25">
      <c r="A1108" s="1">
        <v>42923</v>
      </c>
      <c r="B1108" s="2" t="s">
        <v>45</v>
      </c>
      <c r="C1108" s="2" t="s">
        <v>388</v>
      </c>
      <c r="D1108">
        <v>15</v>
      </c>
      <c r="E1108" t="str">
        <f>_xlfn.CONCAT(makulatura4[[#This Row],[Imie]]," ",makulatura4[[#This Row],[Nazwisko]])</f>
        <v>Zuzanna Kalisz</v>
      </c>
    </row>
    <row r="1109" spans="1:5" x14ac:dyDescent="0.25">
      <c r="A1109" s="1">
        <v>42926</v>
      </c>
      <c r="B1109" s="2" t="s">
        <v>141</v>
      </c>
      <c r="C1109" s="2" t="s">
        <v>260</v>
      </c>
      <c r="D1109">
        <v>39</v>
      </c>
      <c r="E1109" t="str">
        <f>_xlfn.CONCAT(makulatura4[[#This Row],[Imie]]," ",makulatura4[[#This Row],[Nazwisko]])</f>
        <v>Joanna Pilc</v>
      </c>
    </row>
    <row r="1110" spans="1:5" x14ac:dyDescent="0.25">
      <c r="A1110" s="1">
        <v>42926</v>
      </c>
      <c r="B1110" s="2" t="s">
        <v>479</v>
      </c>
      <c r="C1110" s="2" t="s">
        <v>480</v>
      </c>
      <c r="D1110">
        <v>20</v>
      </c>
      <c r="E1110" t="str">
        <f>_xlfn.CONCAT(makulatura4[[#This Row],[Imie]]," ",makulatura4[[#This Row],[Nazwisko]])</f>
        <v>Eugenia Pieta</v>
      </c>
    </row>
    <row r="1111" spans="1:5" x14ac:dyDescent="0.25">
      <c r="A1111" s="1">
        <v>42926</v>
      </c>
      <c r="B1111" s="2" t="s">
        <v>83</v>
      </c>
      <c r="C1111" s="2" t="s">
        <v>455</v>
      </c>
      <c r="D1111">
        <v>11</v>
      </c>
      <c r="E1111" t="str">
        <f>_xlfn.CONCAT(makulatura4[[#This Row],[Imie]]," ",makulatura4[[#This Row],[Nazwisko]])</f>
        <v>Jan Pistek</v>
      </c>
    </row>
    <row r="1112" spans="1:5" x14ac:dyDescent="0.25">
      <c r="A1112" s="1">
        <v>42926</v>
      </c>
      <c r="B1112" s="2" t="s">
        <v>623</v>
      </c>
      <c r="C1112" s="2" t="s">
        <v>624</v>
      </c>
      <c r="D1112">
        <v>55</v>
      </c>
      <c r="E1112" t="str">
        <f>_xlfn.CONCAT(makulatura4[[#This Row],[Imie]]," ",makulatura4[[#This Row],[Nazwisko]])</f>
        <v>Marlena Mazar</v>
      </c>
    </row>
    <row r="1113" spans="1:5" x14ac:dyDescent="0.25">
      <c r="A1113" s="1">
        <v>42926</v>
      </c>
      <c r="B1113" s="2" t="s">
        <v>69</v>
      </c>
      <c r="C1113" s="2" t="s">
        <v>588</v>
      </c>
      <c r="D1113">
        <v>36</v>
      </c>
      <c r="E1113" t="str">
        <f>_xlfn.CONCAT(makulatura4[[#This Row],[Imie]]," ",makulatura4[[#This Row],[Nazwisko]])</f>
        <v>Adam Zurek</v>
      </c>
    </row>
    <row r="1114" spans="1:5" x14ac:dyDescent="0.25">
      <c r="A1114" s="1">
        <v>42926</v>
      </c>
      <c r="B1114" s="2" t="s">
        <v>20</v>
      </c>
      <c r="C1114" s="2" t="s">
        <v>381</v>
      </c>
      <c r="D1114">
        <v>19</v>
      </c>
      <c r="E1114" t="str">
        <f>_xlfn.CONCAT(makulatura4[[#This Row],[Imie]]," ",makulatura4[[#This Row],[Nazwisko]])</f>
        <v>Borys Winiarski</v>
      </c>
    </row>
    <row r="1115" spans="1:5" x14ac:dyDescent="0.25">
      <c r="A1115" s="1">
        <v>42927</v>
      </c>
      <c r="B1115" s="2" t="s">
        <v>416</v>
      </c>
      <c r="C1115" s="2" t="s">
        <v>417</v>
      </c>
      <c r="D1115">
        <v>15</v>
      </c>
      <c r="E1115" t="str">
        <f>_xlfn.CONCAT(makulatura4[[#This Row],[Imie]]," ",makulatura4[[#This Row],[Nazwisko]])</f>
        <v>Kazimierz Bartosik</v>
      </c>
    </row>
    <row r="1116" spans="1:5" x14ac:dyDescent="0.25">
      <c r="A1116" s="1">
        <v>42927</v>
      </c>
      <c r="B1116" s="2" t="s">
        <v>131</v>
      </c>
      <c r="C1116" s="2" t="s">
        <v>132</v>
      </c>
      <c r="D1116">
        <v>11</v>
      </c>
      <c r="E1116" t="str">
        <f>_xlfn.CONCAT(makulatura4[[#This Row],[Imie]]," ",makulatura4[[#This Row],[Nazwisko]])</f>
        <v>Ewelina Gorecka</v>
      </c>
    </row>
    <row r="1117" spans="1:5" x14ac:dyDescent="0.25">
      <c r="A1117" s="1">
        <v>42927</v>
      </c>
      <c r="B1117" s="2" t="s">
        <v>34</v>
      </c>
      <c r="C1117" s="2" t="s">
        <v>35</v>
      </c>
      <c r="D1117">
        <v>30</v>
      </c>
      <c r="E1117" t="str">
        <f>_xlfn.CONCAT(makulatura4[[#This Row],[Imie]]," ",makulatura4[[#This Row],[Nazwisko]])</f>
        <v>Julia Rutkiewicz</v>
      </c>
    </row>
    <row r="1118" spans="1:5" x14ac:dyDescent="0.25">
      <c r="A1118" s="1">
        <v>42927</v>
      </c>
      <c r="B1118" s="2" t="s">
        <v>278</v>
      </c>
      <c r="C1118" s="2" t="s">
        <v>202</v>
      </c>
      <c r="D1118">
        <v>6</v>
      </c>
      <c r="E1118" t="str">
        <f>_xlfn.CONCAT(makulatura4[[#This Row],[Imie]]," ",makulatura4[[#This Row],[Nazwisko]])</f>
        <v>Janusz Wrobel</v>
      </c>
    </row>
    <row r="1119" spans="1:5" x14ac:dyDescent="0.25">
      <c r="A1119" s="1">
        <v>42927</v>
      </c>
      <c r="B1119" s="2" t="s">
        <v>83</v>
      </c>
      <c r="C1119" s="2" t="s">
        <v>455</v>
      </c>
      <c r="D1119">
        <v>16</v>
      </c>
      <c r="E1119" t="str">
        <f>_xlfn.CONCAT(makulatura4[[#This Row],[Imie]]," ",makulatura4[[#This Row],[Nazwisko]])</f>
        <v>Jan Pistek</v>
      </c>
    </row>
    <row r="1120" spans="1:5" x14ac:dyDescent="0.25">
      <c r="A1120" s="1">
        <v>42927</v>
      </c>
      <c r="B1120" s="2" t="s">
        <v>51</v>
      </c>
      <c r="C1120" s="2" t="s">
        <v>522</v>
      </c>
      <c r="D1120">
        <v>26</v>
      </c>
      <c r="E1120" t="str">
        <f>_xlfn.CONCAT(makulatura4[[#This Row],[Imie]]," ",makulatura4[[#This Row],[Nazwisko]])</f>
        <v>Barbara Kilarski</v>
      </c>
    </row>
    <row r="1121" spans="1:5" x14ac:dyDescent="0.25">
      <c r="A1121" s="1">
        <v>42928</v>
      </c>
      <c r="B1121" s="2" t="s">
        <v>55</v>
      </c>
      <c r="C1121" s="2" t="s">
        <v>493</v>
      </c>
      <c r="D1121">
        <v>48</v>
      </c>
      <c r="E1121" t="str">
        <f>_xlfn.CONCAT(makulatura4[[#This Row],[Imie]]," ",makulatura4[[#This Row],[Nazwisko]])</f>
        <v>Anna Wnuk</v>
      </c>
    </row>
    <row r="1122" spans="1:5" x14ac:dyDescent="0.25">
      <c r="A1122" s="1">
        <v>42928</v>
      </c>
      <c r="B1122" s="2" t="s">
        <v>101</v>
      </c>
      <c r="C1122" s="2" t="s">
        <v>263</v>
      </c>
      <c r="D1122">
        <v>24</v>
      </c>
      <c r="E1122" t="str">
        <f>_xlfn.CONCAT(makulatura4[[#This Row],[Imie]]," ",makulatura4[[#This Row],[Nazwisko]])</f>
        <v>Maria Gatek</v>
      </c>
    </row>
    <row r="1123" spans="1:5" x14ac:dyDescent="0.25">
      <c r="A1123" s="1">
        <v>42928</v>
      </c>
      <c r="B1123" s="2" t="s">
        <v>55</v>
      </c>
      <c r="C1123" s="2" t="s">
        <v>625</v>
      </c>
      <c r="D1123">
        <v>9</v>
      </c>
      <c r="E1123" t="str">
        <f>_xlfn.CONCAT(makulatura4[[#This Row],[Imie]]," ",makulatura4[[#This Row],[Nazwisko]])</f>
        <v>Anna Zender</v>
      </c>
    </row>
    <row r="1124" spans="1:5" x14ac:dyDescent="0.25">
      <c r="A1124" s="1">
        <v>42928</v>
      </c>
      <c r="B1124" s="2" t="s">
        <v>65</v>
      </c>
      <c r="C1124" s="2" t="s">
        <v>159</v>
      </c>
      <c r="D1124">
        <v>55</v>
      </c>
      <c r="E1124" t="str">
        <f>_xlfn.CONCAT(makulatura4[[#This Row],[Imie]]," ",makulatura4[[#This Row],[Nazwisko]])</f>
        <v>Michal Norek</v>
      </c>
    </row>
    <row r="1125" spans="1:5" x14ac:dyDescent="0.25">
      <c r="A1125" s="1">
        <v>42928</v>
      </c>
      <c r="B1125" s="2" t="s">
        <v>331</v>
      </c>
      <c r="C1125" s="2" t="s">
        <v>26</v>
      </c>
      <c r="D1125">
        <v>51</v>
      </c>
      <c r="E1125" t="str">
        <f>_xlfn.CONCAT(makulatura4[[#This Row],[Imie]]," ",makulatura4[[#This Row],[Nazwisko]])</f>
        <v>Krystyna Szybki</v>
      </c>
    </row>
    <row r="1126" spans="1:5" x14ac:dyDescent="0.25">
      <c r="A1126" s="1">
        <v>42928</v>
      </c>
      <c r="B1126" s="2" t="s">
        <v>41</v>
      </c>
      <c r="C1126" s="2" t="s">
        <v>42</v>
      </c>
      <c r="D1126">
        <v>10</v>
      </c>
      <c r="E1126" t="str">
        <f>_xlfn.CONCAT(makulatura4[[#This Row],[Imie]]," ",makulatura4[[#This Row],[Nazwisko]])</f>
        <v>Marta Opolska</v>
      </c>
    </row>
    <row r="1127" spans="1:5" x14ac:dyDescent="0.25">
      <c r="A1127" s="1">
        <v>42929</v>
      </c>
      <c r="B1127" s="2" t="s">
        <v>155</v>
      </c>
      <c r="C1127" s="2" t="s">
        <v>156</v>
      </c>
      <c r="D1127">
        <v>15</v>
      </c>
      <c r="E1127" t="str">
        <f>_xlfn.CONCAT(makulatura4[[#This Row],[Imie]]," ",makulatura4[[#This Row],[Nazwisko]])</f>
        <v>Jacek Ciosinski</v>
      </c>
    </row>
    <row r="1128" spans="1:5" x14ac:dyDescent="0.25">
      <c r="A1128" s="1">
        <v>42929</v>
      </c>
      <c r="B1128" s="2" t="s">
        <v>131</v>
      </c>
      <c r="C1128" s="2" t="s">
        <v>626</v>
      </c>
      <c r="D1128">
        <v>26</v>
      </c>
      <c r="E1128" t="str">
        <f>_xlfn.CONCAT(makulatura4[[#This Row],[Imie]]," ",makulatura4[[#This Row],[Nazwisko]])</f>
        <v>Ewelina Mirska</v>
      </c>
    </row>
    <row r="1129" spans="1:5" x14ac:dyDescent="0.25">
      <c r="A1129" s="1">
        <v>42929</v>
      </c>
      <c r="B1129" s="2" t="s">
        <v>541</v>
      </c>
      <c r="C1129" s="2" t="s">
        <v>542</v>
      </c>
      <c r="D1129">
        <v>21</v>
      </c>
      <c r="E1129" t="str">
        <f>_xlfn.CONCAT(makulatura4[[#This Row],[Imie]]," ",makulatura4[[#This Row],[Nazwisko]])</f>
        <v>Leslaw Kupis</v>
      </c>
    </row>
    <row r="1130" spans="1:5" x14ac:dyDescent="0.25">
      <c r="A1130" s="1">
        <v>42929</v>
      </c>
      <c r="B1130" s="2" t="s">
        <v>290</v>
      </c>
      <c r="C1130" s="2" t="s">
        <v>291</v>
      </c>
      <c r="D1130">
        <v>4</v>
      </c>
      <c r="E1130" t="str">
        <f>_xlfn.CONCAT(makulatura4[[#This Row],[Imie]]," ",makulatura4[[#This Row],[Nazwisko]])</f>
        <v>Michalina Klebba</v>
      </c>
    </row>
    <row r="1131" spans="1:5" x14ac:dyDescent="0.25">
      <c r="A1131" s="1">
        <v>42929</v>
      </c>
      <c r="B1131" s="2" t="s">
        <v>63</v>
      </c>
      <c r="C1131" s="2" t="s">
        <v>411</v>
      </c>
      <c r="D1131">
        <v>43</v>
      </c>
      <c r="E1131" t="str">
        <f>_xlfn.CONCAT(makulatura4[[#This Row],[Imie]]," ",makulatura4[[#This Row],[Nazwisko]])</f>
        <v>Adrian Wozniak</v>
      </c>
    </row>
    <row r="1132" spans="1:5" x14ac:dyDescent="0.25">
      <c r="A1132" s="1">
        <v>42929</v>
      </c>
      <c r="B1132" s="2" t="s">
        <v>141</v>
      </c>
      <c r="C1132" s="2" t="s">
        <v>202</v>
      </c>
      <c r="D1132">
        <v>7</v>
      </c>
      <c r="E1132" t="str">
        <f>_xlfn.CONCAT(makulatura4[[#This Row],[Imie]]," ",makulatura4[[#This Row],[Nazwisko]])</f>
        <v>Joanna Wrobel</v>
      </c>
    </row>
    <row r="1133" spans="1:5" x14ac:dyDescent="0.25">
      <c r="A1133" s="1">
        <v>42929</v>
      </c>
      <c r="B1133" s="2" t="s">
        <v>101</v>
      </c>
      <c r="C1133" s="2" t="s">
        <v>263</v>
      </c>
      <c r="D1133">
        <v>44</v>
      </c>
      <c r="E1133" t="str">
        <f>_xlfn.CONCAT(makulatura4[[#This Row],[Imie]]," ",makulatura4[[#This Row],[Nazwisko]])</f>
        <v>Maria Gatek</v>
      </c>
    </row>
    <row r="1134" spans="1:5" x14ac:dyDescent="0.25">
      <c r="A1134" s="1">
        <v>42930</v>
      </c>
      <c r="B1134" s="2" t="s">
        <v>97</v>
      </c>
      <c r="C1134" s="2" t="s">
        <v>529</v>
      </c>
      <c r="D1134">
        <v>19</v>
      </c>
      <c r="E1134" t="str">
        <f>_xlfn.CONCAT(makulatura4[[#This Row],[Imie]]," ",makulatura4[[#This Row],[Nazwisko]])</f>
        <v>Mateusz Hajdug</v>
      </c>
    </row>
    <row r="1135" spans="1:5" x14ac:dyDescent="0.25">
      <c r="A1135" s="1">
        <v>42930</v>
      </c>
      <c r="B1135" s="2" t="s">
        <v>232</v>
      </c>
      <c r="C1135" s="2" t="s">
        <v>627</v>
      </c>
      <c r="D1135">
        <v>29</v>
      </c>
      <c r="E1135" t="str">
        <f>_xlfn.CONCAT(makulatura4[[#This Row],[Imie]]," ",makulatura4[[#This Row],[Nazwisko]])</f>
        <v>Monika Kos</v>
      </c>
    </row>
    <row r="1136" spans="1:5" x14ac:dyDescent="0.25">
      <c r="A1136" s="1">
        <v>42930</v>
      </c>
      <c r="B1136" s="2" t="s">
        <v>161</v>
      </c>
      <c r="C1136" s="2" t="s">
        <v>305</v>
      </c>
      <c r="D1136">
        <v>33</v>
      </c>
      <c r="E1136" t="str">
        <f>_xlfn.CONCAT(makulatura4[[#This Row],[Imie]]," ",makulatura4[[#This Row],[Nazwisko]])</f>
        <v>Anita Tych</v>
      </c>
    </row>
    <row r="1137" spans="1:5" x14ac:dyDescent="0.25">
      <c r="A1137" s="1">
        <v>42930</v>
      </c>
      <c r="B1137" s="2" t="s">
        <v>65</v>
      </c>
      <c r="C1137" s="2" t="s">
        <v>116</v>
      </c>
      <c r="D1137">
        <v>2</v>
      </c>
      <c r="E1137" t="str">
        <f>_xlfn.CONCAT(makulatura4[[#This Row],[Imie]]," ",makulatura4[[#This Row],[Nazwisko]])</f>
        <v>Michal Nowicki</v>
      </c>
    </row>
    <row r="1138" spans="1:5" x14ac:dyDescent="0.25">
      <c r="A1138" s="1">
        <v>42930</v>
      </c>
      <c r="B1138" s="2" t="s">
        <v>141</v>
      </c>
      <c r="C1138" s="2" t="s">
        <v>292</v>
      </c>
      <c r="D1138">
        <v>15</v>
      </c>
      <c r="E1138" t="str">
        <f>_xlfn.CONCAT(makulatura4[[#This Row],[Imie]]," ",makulatura4[[#This Row],[Nazwisko]])</f>
        <v>Joanna Zygmunt</v>
      </c>
    </row>
    <row r="1139" spans="1:5" x14ac:dyDescent="0.25">
      <c r="A1139" s="1">
        <v>42930</v>
      </c>
      <c r="B1139" s="2" t="s">
        <v>27</v>
      </c>
      <c r="C1139" s="2" t="s">
        <v>28</v>
      </c>
      <c r="D1139">
        <v>30</v>
      </c>
      <c r="E1139" t="str">
        <f>_xlfn.CONCAT(makulatura4[[#This Row],[Imie]]," ",makulatura4[[#This Row],[Nazwisko]])</f>
        <v>Jerzy Polanicki</v>
      </c>
    </row>
    <row r="1140" spans="1:5" x14ac:dyDescent="0.25">
      <c r="A1140" s="1">
        <v>42930</v>
      </c>
      <c r="B1140" s="2" t="s">
        <v>39</v>
      </c>
      <c r="C1140" s="2" t="s">
        <v>400</v>
      </c>
      <c r="D1140">
        <v>5</v>
      </c>
      <c r="E1140" t="str">
        <f>_xlfn.CONCAT(makulatura4[[#This Row],[Imie]]," ",makulatura4[[#This Row],[Nazwisko]])</f>
        <v>Jakub Rembiewski</v>
      </c>
    </row>
    <row r="1141" spans="1:5" x14ac:dyDescent="0.25">
      <c r="A1141" s="1">
        <v>42933</v>
      </c>
      <c r="B1141" s="2" t="s">
        <v>97</v>
      </c>
      <c r="C1141" s="2" t="s">
        <v>464</v>
      </c>
      <c r="D1141">
        <v>14</v>
      </c>
      <c r="E1141" t="str">
        <f>_xlfn.CONCAT(makulatura4[[#This Row],[Imie]]," ",makulatura4[[#This Row],[Nazwisko]])</f>
        <v>Mateusz Mrowczynski</v>
      </c>
    </row>
    <row r="1142" spans="1:5" x14ac:dyDescent="0.25">
      <c r="A1142" s="1">
        <v>42933</v>
      </c>
      <c r="B1142" s="2" t="s">
        <v>30</v>
      </c>
      <c r="C1142" s="2" t="s">
        <v>628</v>
      </c>
      <c r="D1142">
        <v>8</v>
      </c>
      <c r="E1142" t="str">
        <f>_xlfn.CONCAT(makulatura4[[#This Row],[Imie]]," ",makulatura4[[#This Row],[Nazwisko]])</f>
        <v>Maciej Lutczyk</v>
      </c>
    </row>
    <row r="1143" spans="1:5" x14ac:dyDescent="0.25">
      <c r="A1143" s="1">
        <v>42933</v>
      </c>
      <c r="B1143" s="2" t="s">
        <v>81</v>
      </c>
      <c r="C1143" s="2" t="s">
        <v>104</v>
      </c>
      <c r="D1143">
        <v>44</v>
      </c>
      <c r="E1143" t="str">
        <f>_xlfn.CONCAT(makulatura4[[#This Row],[Imie]]," ",makulatura4[[#This Row],[Nazwisko]])</f>
        <v>Karol Dziuk</v>
      </c>
    </row>
    <row r="1144" spans="1:5" x14ac:dyDescent="0.25">
      <c r="A1144" s="1">
        <v>42933</v>
      </c>
      <c r="B1144" s="2" t="s">
        <v>476</v>
      </c>
      <c r="C1144" s="2" t="s">
        <v>477</v>
      </c>
      <c r="D1144">
        <v>50</v>
      </c>
      <c r="E1144" t="str">
        <f>_xlfn.CONCAT(makulatura4[[#This Row],[Imie]]," ",makulatura4[[#This Row],[Nazwisko]])</f>
        <v>Iwona Lato</v>
      </c>
    </row>
    <row r="1145" spans="1:5" x14ac:dyDescent="0.25">
      <c r="A1145" s="1">
        <v>42933</v>
      </c>
      <c r="B1145" s="2" t="s">
        <v>83</v>
      </c>
      <c r="C1145" s="2" t="s">
        <v>91</v>
      </c>
      <c r="D1145">
        <v>15</v>
      </c>
      <c r="E1145" t="str">
        <f>_xlfn.CONCAT(makulatura4[[#This Row],[Imie]]," ",makulatura4[[#This Row],[Nazwisko]])</f>
        <v>Jan Sznuk</v>
      </c>
    </row>
    <row r="1146" spans="1:5" x14ac:dyDescent="0.25">
      <c r="A1146" s="1">
        <v>42933</v>
      </c>
      <c r="B1146" s="2" t="s">
        <v>393</v>
      </c>
      <c r="C1146" s="2" t="s">
        <v>582</v>
      </c>
      <c r="D1146">
        <v>46</v>
      </c>
      <c r="E1146" t="str">
        <f>_xlfn.CONCAT(makulatura4[[#This Row],[Imie]]," ",makulatura4[[#This Row],[Nazwisko]])</f>
        <v>Kacper Trzebnicki</v>
      </c>
    </row>
    <row r="1147" spans="1:5" x14ac:dyDescent="0.25">
      <c r="A1147" s="1">
        <v>42933</v>
      </c>
      <c r="B1147" s="2" t="s">
        <v>34</v>
      </c>
      <c r="C1147" s="2" t="s">
        <v>338</v>
      </c>
      <c r="D1147">
        <v>5</v>
      </c>
      <c r="E1147" t="str">
        <f>_xlfn.CONCAT(makulatura4[[#This Row],[Imie]]," ",makulatura4[[#This Row],[Nazwisko]])</f>
        <v>Julia Salanowska</v>
      </c>
    </row>
    <row r="1148" spans="1:5" x14ac:dyDescent="0.25">
      <c r="A1148" s="1">
        <v>42934</v>
      </c>
      <c r="B1148" s="2" t="s">
        <v>407</v>
      </c>
      <c r="C1148" s="2" t="s">
        <v>408</v>
      </c>
      <c r="D1148">
        <v>27</v>
      </c>
      <c r="E1148" t="str">
        <f>_xlfn.CONCAT(makulatura4[[#This Row],[Imie]]," ",makulatura4[[#This Row],[Nazwisko]])</f>
        <v>Diana Michalska</v>
      </c>
    </row>
    <row r="1149" spans="1:5" x14ac:dyDescent="0.25">
      <c r="A1149" s="1">
        <v>42934</v>
      </c>
      <c r="B1149" s="2" t="s">
        <v>10</v>
      </c>
      <c r="C1149" s="2" t="s">
        <v>266</v>
      </c>
      <c r="D1149">
        <v>25</v>
      </c>
      <c r="E1149" t="str">
        <f>_xlfn.CONCAT(makulatura4[[#This Row],[Imie]]," ",makulatura4[[#This Row],[Nazwisko]])</f>
        <v>Katarzyna Wip</v>
      </c>
    </row>
    <row r="1150" spans="1:5" x14ac:dyDescent="0.25">
      <c r="A1150" s="1">
        <v>42934</v>
      </c>
      <c r="B1150" s="2" t="s">
        <v>101</v>
      </c>
      <c r="C1150" s="2" t="s">
        <v>610</v>
      </c>
      <c r="D1150">
        <v>22</v>
      </c>
      <c r="E1150" t="str">
        <f>_xlfn.CONCAT(makulatura4[[#This Row],[Imie]]," ",makulatura4[[#This Row],[Nazwisko]])</f>
        <v>Maria Orlicki</v>
      </c>
    </row>
    <row r="1151" spans="1:5" x14ac:dyDescent="0.25">
      <c r="A1151" s="1">
        <v>42934</v>
      </c>
      <c r="B1151" s="2" t="s">
        <v>343</v>
      </c>
      <c r="C1151" s="2" t="s">
        <v>344</v>
      </c>
      <c r="D1151">
        <v>3</v>
      </c>
      <c r="E1151" t="str">
        <f>_xlfn.CONCAT(makulatura4[[#This Row],[Imie]]," ",makulatura4[[#This Row],[Nazwisko]])</f>
        <v>Izabela Skrzydlak</v>
      </c>
    </row>
    <row r="1152" spans="1:5" x14ac:dyDescent="0.25">
      <c r="A1152" s="1">
        <v>42934</v>
      </c>
      <c r="B1152" s="2" t="s">
        <v>346</v>
      </c>
      <c r="C1152" s="2" t="s">
        <v>347</v>
      </c>
      <c r="D1152">
        <v>28</v>
      </c>
      <c r="E1152" t="str">
        <f>_xlfn.CONCAT(makulatura4[[#This Row],[Imie]]," ",makulatura4[[#This Row],[Nazwisko]])</f>
        <v>Maksymilian Piwko</v>
      </c>
    </row>
    <row r="1153" spans="1:5" x14ac:dyDescent="0.25">
      <c r="A1153" s="1">
        <v>42934</v>
      </c>
      <c r="B1153" s="2" t="s">
        <v>30</v>
      </c>
      <c r="C1153" s="2" t="s">
        <v>241</v>
      </c>
      <c r="D1153">
        <v>8</v>
      </c>
      <c r="E1153" t="str">
        <f>_xlfn.CONCAT(makulatura4[[#This Row],[Imie]]," ",makulatura4[[#This Row],[Nazwisko]])</f>
        <v>Maciej Czyzynski</v>
      </c>
    </row>
    <row r="1154" spans="1:5" x14ac:dyDescent="0.25">
      <c r="A1154" s="1">
        <v>42934</v>
      </c>
      <c r="B1154" s="2" t="s">
        <v>395</v>
      </c>
      <c r="C1154" s="2" t="s">
        <v>467</v>
      </c>
      <c r="D1154">
        <v>8</v>
      </c>
      <c r="E1154" t="str">
        <f>_xlfn.CONCAT(makulatura4[[#This Row],[Imie]]," ",makulatura4[[#This Row],[Nazwisko]])</f>
        <v>Tomasz Hajdi</v>
      </c>
    </row>
    <row r="1155" spans="1:5" x14ac:dyDescent="0.25">
      <c r="A1155" s="1">
        <v>42935</v>
      </c>
      <c r="B1155" s="2" t="s">
        <v>106</v>
      </c>
      <c r="C1155" s="2" t="s">
        <v>107</v>
      </c>
      <c r="D1155">
        <v>18</v>
      </c>
      <c r="E1155" t="str">
        <f>_xlfn.CONCAT(makulatura4[[#This Row],[Imie]]," ",makulatura4[[#This Row],[Nazwisko]])</f>
        <v>Lena Mazurkiewicz</v>
      </c>
    </row>
    <row r="1156" spans="1:5" x14ac:dyDescent="0.25">
      <c r="A1156" s="1">
        <v>42935</v>
      </c>
      <c r="B1156" s="2" t="s">
        <v>201</v>
      </c>
      <c r="C1156" s="2" t="s">
        <v>598</v>
      </c>
      <c r="D1156">
        <v>27</v>
      </c>
      <c r="E1156" t="str">
        <f>_xlfn.CONCAT(makulatura4[[#This Row],[Imie]]," ",makulatura4[[#This Row],[Nazwisko]])</f>
        <v>Marcin Kurasik</v>
      </c>
    </row>
    <row r="1157" spans="1:5" x14ac:dyDescent="0.25">
      <c r="A1157" s="1">
        <v>42935</v>
      </c>
      <c r="B1157" s="2" t="s">
        <v>278</v>
      </c>
      <c r="C1157" s="2" t="s">
        <v>530</v>
      </c>
      <c r="D1157">
        <v>23</v>
      </c>
      <c r="E1157" t="str">
        <f>_xlfn.CONCAT(makulatura4[[#This Row],[Imie]]," ",makulatura4[[#This Row],[Nazwisko]])</f>
        <v>Janusz Baka</v>
      </c>
    </row>
    <row r="1158" spans="1:5" x14ac:dyDescent="0.25">
      <c r="A1158" s="1">
        <v>42935</v>
      </c>
      <c r="B1158" s="2" t="s">
        <v>12</v>
      </c>
      <c r="C1158" s="2" t="s">
        <v>13</v>
      </c>
      <c r="D1158">
        <v>46</v>
      </c>
      <c r="E1158" t="str">
        <f>_xlfn.CONCAT(makulatura4[[#This Row],[Imie]]," ",makulatura4[[#This Row],[Nazwisko]])</f>
        <v>Maja Kulkowska</v>
      </c>
    </row>
    <row r="1159" spans="1:5" x14ac:dyDescent="0.25">
      <c r="A1159" s="1">
        <v>42935</v>
      </c>
      <c r="B1159" s="2" t="s">
        <v>150</v>
      </c>
      <c r="C1159" s="2" t="s">
        <v>200</v>
      </c>
      <c r="D1159">
        <v>16</v>
      </c>
      <c r="E1159" t="str">
        <f>_xlfn.CONCAT(makulatura4[[#This Row],[Imie]]," ",makulatura4[[#This Row],[Nazwisko]])</f>
        <v>Krzysztof Madejski</v>
      </c>
    </row>
    <row r="1160" spans="1:5" x14ac:dyDescent="0.25">
      <c r="A1160" s="1">
        <v>42935</v>
      </c>
      <c r="B1160" s="2" t="s">
        <v>39</v>
      </c>
      <c r="C1160" s="2" t="s">
        <v>289</v>
      </c>
      <c r="D1160">
        <v>27</v>
      </c>
      <c r="E1160" t="str">
        <f>_xlfn.CONCAT(makulatura4[[#This Row],[Imie]]," ",makulatura4[[#This Row],[Nazwisko]])</f>
        <v>Jakub Bracik</v>
      </c>
    </row>
    <row r="1161" spans="1:5" x14ac:dyDescent="0.25">
      <c r="A1161" s="1">
        <v>42935</v>
      </c>
      <c r="B1161" s="2" t="s">
        <v>83</v>
      </c>
      <c r="C1161" s="2" t="s">
        <v>547</v>
      </c>
      <c r="D1161">
        <v>12</v>
      </c>
      <c r="E1161" t="str">
        <f>_xlfn.CONCAT(makulatura4[[#This Row],[Imie]]," ",makulatura4[[#This Row],[Nazwisko]])</f>
        <v>Jan Pawelec</v>
      </c>
    </row>
    <row r="1162" spans="1:5" x14ac:dyDescent="0.25">
      <c r="A1162" s="1">
        <v>42936</v>
      </c>
      <c r="B1162" s="2" t="s">
        <v>150</v>
      </c>
      <c r="C1162" s="2" t="s">
        <v>556</v>
      </c>
      <c r="D1162">
        <v>21</v>
      </c>
      <c r="E1162" t="str">
        <f>_xlfn.CONCAT(makulatura4[[#This Row],[Imie]]," ",makulatura4[[#This Row],[Nazwisko]])</f>
        <v>Krzysztof Plecien</v>
      </c>
    </row>
    <row r="1163" spans="1:5" x14ac:dyDescent="0.25">
      <c r="A1163" s="1">
        <v>42936</v>
      </c>
      <c r="B1163" s="2" t="s">
        <v>407</v>
      </c>
      <c r="C1163" s="2" t="s">
        <v>408</v>
      </c>
      <c r="D1163">
        <v>45</v>
      </c>
      <c r="E1163" t="str">
        <f>_xlfn.CONCAT(makulatura4[[#This Row],[Imie]]," ",makulatura4[[#This Row],[Nazwisko]])</f>
        <v>Diana Michalska</v>
      </c>
    </row>
    <row r="1164" spans="1:5" x14ac:dyDescent="0.25">
      <c r="A1164" s="1">
        <v>42936</v>
      </c>
      <c r="B1164" s="2" t="s">
        <v>150</v>
      </c>
      <c r="C1164" s="2" t="s">
        <v>200</v>
      </c>
      <c r="D1164">
        <v>22</v>
      </c>
      <c r="E1164" t="str">
        <f>_xlfn.CONCAT(makulatura4[[#This Row],[Imie]]," ",makulatura4[[#This Row],[Nazwisko]])</f>
        <v>Krzysztof Madejski</v>
      </c>
    </row>
    <row r="1165" spans="1:5" x14ac:dyDescent="0.25">
      <c r="A1165" s="1">
        <v>42936</v>
      </c>
      <c r="B1165" s="2" t="s">
        <v>32</v>
      </c>
      <c r="C1165" s="2" t="s">
        <v>406</v>
      </c>
      <c r="D1165">
        <v>40</v>
      </c>
      <c r="E1165" t="str">
        <f>_xlfn.CONCAT(makulatura4[[#This Row],[Imie]]," ",makulatura4[[#This Row],[Nazwisko]])</f>
        <v>Daria Mikos</v>
      </c>
    </row>
    <row r="1166" spans="1:5" x14ac:dyDescent="0.25">
      <c r="A1166" s="1">
        <v>42936</v>
      </c>
      <c r="B1166" s="2" t="s">
        <v>278</v>
      </c>
      <c r="C1166" s="2" t="s">
        <v>530</v>
      </c>
      <c r="D1166">
        <v>10</v>
      </c>
      <c r="E1166" t="str">
        <f>_xlfn.CONCAT(makulatura4[[#This Row],[Imie]]," ",makulatura4[[#This Row],[Nazwisko]])</f>
        <v>Janusz Baka</v>
      </c>
    </row>
    <row r="1167" spans="1:5" x14ac:dyDescent="0.25">
      <c r="A1167" s="1">
        <v>42936</v>
      </c>
      <c r="B1167" s="2" t="s">
        <v>65</v>
      </c>
      <c r="C1167" s="2" t="s">
        <v>116</v>
      </c>
      <c r="D1167">
        <v>33</v>
      </c>
      <c r="E1167" t="str">
        <f>_xlfn.CONCAT(makulatura4[[#This Row],[Imie]]," ",makulatura4[[#This Row],[Nazwisko]])</f>
        <v>Michal Nowicki</v>
      </c>
    </row>
    <row r="1168" spans="1:5" x14ac:dyDescent="0.25">
      <c r="A1168" s="1">
        <v>42936</v>
      </c>
      <c r="B1168" s="2" t="s">
        <v>57</v>
      </c>
      <c r="C1168" s="2" t="s">
        <v>58</v>
      </c>
      <c r="D1168">
        <v>15</v>
      </c>
      <c r="E1168" t="str">
        <f>_xlfn.CONCAT(makulatura4[[#This Row],[Imie]]," ",makulatura4[[#This Row],[Nazwisko]])</f>
        <v>Patrycja Glowinska</v>
      </c>
    </row>
    <row r="1169" spans="1:5" x14ac:dyDescent="0.25">
      <c r="A1169" s="1">
        <v>42937</v>
      </c>
      <c r="B1169" s="2" t="s">
        <v>282</v>
      </c>
      <c r="C1169" s="2" t="s">
        <v>283</v>
      </c>
      <c r="D1169">
        <v>12</v>
      </c>
      <c r="E1169" t="str">
        <f>_xlfn.CONCAT(makulatura4[[#This Row],[Imie]]," ",makulatura4[[#This Row],[Nazwisko]])</f>
        <v>Inka Sochacka</v>
      </c>
    </row>
    <row r="1170" spans="1:5" x14ac:dyDescent="0.25">
      <c r="A1170" s="1">
        <v>42937</v>
      </c>
      <c r="B1170" s="2" t="s">
        <v>69</v>
      </c>
      <c r="C1170" s="2" t="s">
        <v>70</v>
      </c>
      <c r="D1170">
        <v>32</v>
      </c>
      <c r="E1170" t="str">
        <f>_xlfn.CONCAT(makulatura4[[#This Row],[Imie]]," ",makulatura4[[#This Row],[Nazwisko]])</f>
        <v>Adam Wata</v>
      </c>
    </row>
    <row r="1171" spans="1:5" x14ac:dyDescent="0.25">
      <c r="A1171" s="1">
        <v>42937</v>
      </c>
      <c r="B1171" s="2" t="s">
        <v>232</v>
      </c>
      <c r="C1171" s="2" t="s">
        <v>405</v>
      </c>
      <c r="D1171">
        <v>10</v>
      </c>
      <c r="E1171" t="str">
        <f>_xlfn.CONCAT(makulatura4[[#This Row],[Imie]]," ",makulatura4[[#This Row],[Nazwisko]])</f>
        <v>Monika Nowaczkiewicz</v>
      </c>
    </row>
    <row r="1172" spans="1:5" x14ac:dyDescent="0.25">
      <c r="A1172" s="1">
        <v>42937</v>
      </c>
      <c r="B1172" s="2" t="s">
        <v>69</v>
      </c>
      <c r="C1172" s="2" t="s">
        <v>70</v>
      </c>
      <c r="D1172">
        <v>5</v>
      </c>
      <c r="E1172" t="str">
        <f>_xlfn.CONCAT(makulatura4[[#This Row],[Imie]]," ",makulatura4[[#This Row],[Nazwisko]])</f>
        <v>Adam Wata</v>
      </c>
    </row>
    <row r="1173" spans="1:5" x14ac:dyDescent="0.25">
      <c r="A1173" s="1">
        <v>42937</v>
      </c>
      <c r="B1173" s="2" t="s">
        <v>442</v>
      </c>
      <c r="C1173" s="2" t="s">
        <v>540</v>
      </c>
      <c r="D1173">
        <v>28</v>
      </c>
      <c r="E1173" t="str">
        <f>_xlfn.CONCAT(makulatura4[[#This Row],[Imie]]," ",makulatura4[[#This Row],[Nazwisko]])</f>
        <v>Nikodem Jakubowski</v>
      </c>
    </row>
    <row r="1174" spans="1:5" x14ac:dyDescent="0.25">
      <c r="A1174" s="1">
        <v>42937</v>
      </c>
      <c r="B1174" s="2" t="s">
        <v>144</v>
      </c>
      <c r="C1174" s="2" t="s">
        <v>390</v>
      </c>
      <c r="D1174">
        <v>11</v>
      </c>
      <c r="E1174" t="str">
        <f>_xlfn.CONCAT(makulatura4[[#This Row],[Imie]]," ",makulatura4[[#This Row],[Nazwisko]])</f>
        <v>Aleksander Pasternak</v>
      </c>
    </row>
    <row r="1175" spans="1:5" x14ac:dyDescent="0.25">
      <c r="A1175" s="1">
        <v>42937</v>
      </c>
      <c r="B1175" s="2" t="s">
        <v>589</v>
      </c>
      <c r="C1175" s="2" t="s">
        <v>590</v>
      </c>
      <c r="D1175">
        <v>11</v>
      </c>
      <c r="E1175" t="str">
        <f>_xlfn.CONCAT(makulatura4[[#This Row],[Imie]]," ",makulatura4[[#This Row],[Nazwisko]])</f>
        <v>Roksana Frankowska</v>
      </c>
    </row>
    <row r="1176" spans="1:5" x14ac:dyDescent="0.25">
      <c r="A1176" s="1">
        <v>42940</v>
      </c>
      <c r="B1176" s="2" t="s">
        <v>39</v>
      </c>
      <c r="C1176" s="2" t="s">
        <v>391</v>
      </c>
      <c r="D1176">
        <v>28</v>
      </c>
      <c r="E1176" t="str">
        <f>_xlfn.CONCAT(makulatura4[[#This Row],[Imie]]," ",makulatura4[[#This Row],[Nazwisko]])</f>
        <v>Jakub Porydzaj</v>
      </c>
    </row>
    <row r="1177" spans="1:5" x14ac:dyDescent="0.25">
      <c r="A1177" s="1">
        <v>42940</v>
      </c>
      <c r="B1177" s="2" t="s">
        <v>346</v>
      </c>
      <c r="C1177" s="2" t="s">
        <v>347</v>
      </c>
      <c r="D1177">
        <v>13</v>
      </c>
      <c r="E1177" t="str">
        <f>_xlfn.CONCAT(makulatura4[[#This Row],[Imie]]," ",makulatura4[[#This Row],[Nazwisko]])</f>
        <v>Maksymilian Piwko</v>
      </c>
    </row>
    <row r="1178" spans="1:5" x14ac:dyDescent="0.25">
      <c r="A1178" s="1">
        <v>42940</v>
      </c>
      <c r="B1178" s="2" t="s">
        <v>10</v>
      </c>
      <c r="C1178" s="2" t="s">
        <v>629</v>
      </c>
      <c r="D1178">
        <v>22</v>
      </c>
      <c r="E1178" t="str">
        <f>_xlfn.CONCAT(makulatura4[[#This Row],[Imie]]," ",makulatura4[[#This Row],[Nazwisko]])</f>
        <v>Katarzyna Aniec</v>
      </c>
    </row>
    <row r="1179" spans="1:5" x14ac:dyDescent="0.25">
      <c r="A1179" s="1">
        <v>42940</v>
      </c>
      <c r="B1179" s="2" t="s">
        <v>47</v>
      </c>
      <c r="C1179" s="2" t="s">
        <v>630</v>
      </c>
      <c r="D1179">
        <v>19</v>
      </c>
      <c r="E1179" t="str">
        <f>_xlfn.CONCAT(makulatura4[[#This Row],[Imie]]," ",makulatura4[[#This Row],[Nazwisko]])</f>
        <v>Marek Sulejski</v>
      </c>
    </row>
    <row r="1180" spans="1:5" x14ac:dyDescent="0.25">
      <c r="A1180" s="1">
        <v>42940</v>
      </c>
      <c r="B1180" s="2" t="s">
        <v>157</v>
      </c>
      <c r="C1180" s="2" t="s">
        <v>115</v>
      </c>
      <c r="D1180">
        <v>46</v>
      </c>
      <c r="E1180" t="str">
        <f>_xlfn.CONCAT(makulatura4[[#This Row],[Imie]]," ",makulatura4[[#This Row],[Nazwisko]])</f>
        <v>Jolanta Bicz</v>
      </c>
    </row>
    <row r="1181" spans="1:5" x14ac:dyDescent="0.25">
      <c r="A1181" s="1">
        <v>42940</v>
      </c>
      <c r="B1181" s="2" t="s">
        <v>203</v>
      </c>
      <c r="C1181" s="2" t="s">
        <v>204</v>
      </c>
      <c r="D1181">
        <v>17</v>
      </c>
      <c r="E1181" t="str">
        <f>_xlfn.CONCAT(makulatura4[[#This Row],[Imie]]," ",makulatura4[[#This Row],[Nazwisko]])</f>
        <v>Igor Ryngwelski</v>
      </c>
    </row>
    <row r="1182" spans="1:5" x14ac:dyDescent="0.25">
      <c r="A1182" s="1">
        <v>42940</v>
      </c>
      <c r="B1182" s="2" t="s">
        <v>101</v>
      </c>
      <c r="C1182" s="2" t="s">
        <v>212</v>
      </c>
      <c r="D1182">
        <v>27</v>
      </c>
      <c r="E1182" t="str">
        <f>_xlfn.CONCAT(makulatura4[[#This Row],[Imie]]," ",makulatura4[[#This Row],[Nazwisko]])</f>
        <v>Maria Galas</v>
      </c>
    </row>
    <row r="1183" spans="1:5" x14ac:dyDescent="0.25">
      <c r="A1183" s="1">
        <v>42941</v>
      </c>
      <c r="B1183" s="2" t="s">
        <v>133</v>
      </c>
      <c r="C1183" s="2" t="s">
        <v>499</v>
      </c>
      <c r="D1183">
        <v>3</v>
      </c>
      <c r="E1183" t="str">
        <f>_xlfn.CONCAT(makulatura4[[#This Row],[Imie]]," ",makulatura4[[#This Row],[Nazwisko]])</f>
        <v>Dominika Szwec</v>
      </c>
    </row>
    <row r="1184" spans="1:5" x14ac:dyDescent="0.25">
      <c r="A1184" s="1">
        <v>42941</v>
      </c>
      <c r="B1184" s="2" t="s">
        <v>393</v>
      </c>
      <c r="C1184" s="2" t="s">
        <v>394</v>
      </c>
      <c r="D1184">
        <v>11</v>
      </c>
      <c r="E1184" t="str">
        <f>_xlfn.CONCAT(makulatura4[[#This Row],[Imie]]," ",makulatura4[[#This Row],[Nazwisko]])</f>
        <v>Kacper Niec</v>
      </c>
    </row>
    <row r="1185" spans="1:5" x14ac:dyDescent="0.25">
      <c r="A1185" s="1">
        <v>42941</v>
      </c>
      <c r="B1185" s="2" t="s">
        <v>176</v>
      </c>
      <c r="C1185" s="2" t="s">
        <v>177</v>
      </c>
      <c r="D1185">
        <v>17</v>
      </c>
      <c r="E1185" t="str">
        <f>_xlfn.CONCAT(makulatura4[[#This Row],[Imie]]," ",makulatura4[[#This Row],[Nazwisko]])</f>
        <v>Kinga Kleszcz</v>
      </c>
    </row>
    <row r="1186" spans="1:5" x14ac:dyDescent="0.25">
      <c r="A1186" s="1">
        <v>42941</v>
      </c>
      <c r="B1186" s="2" t="s">
        <v>217</v>
      </c>
      <c r="C1186" s="2" t="s">
        <v>218</v>
      </c>
      <c r="D1186">
        <v>16</v>
      </c>
      <c r="E1186" t="str">
        <f>_xlfn.CONCAT(makulatura4[[#This Row],[Imie]]," ",makulatura4[[#This Row],[Nazwisko]])</f>
        <v>Witold Sempa</v>
      </c>
    </row>
    <row r="1187" spans="1:5" x14ac:dyDescent="0.25">
      <c r="A1187" s="1">
        <v>42941</v>
      </c>
      <c r="B1187" s="2" t="s">
        <v>39</v>
      </c>
      <c r="C1187" s="2" t="s">
        <v>40</v>
      </c>
      <c r="D1187">
        <v>25</v>
      </c>
      <c r="E1187" t="str">
        <f>_xlfn.CONCAT(makulatura4[[#This Row],[Imie]]," ",makulatura4[[#This Row],[Nazwisko]])</f>
        <v>Jakub Jedruszek</v>
      </c>
    </row>
    <row r="1188" spans="1:5" x14ac:dyDescent="0.25">
      <c r="A1188" s="1">
        <v>42941</v>
      </c>
      <c r="B1188" s="2" t="s">
        <v>271</v>
      </c>
      <c r="C1188" s="2" t="s">
        <v>272</v>
      </c>
      <c r="D1188">
        <v>43</v>
      </c>
      <c r="E1188" t="str">
        <f>_xlfn.CONCAT(makulatura4[[#This Row],[Imie]]," ",makulatura4[[#This Row],[Nazwisko]])</f>
        <v>Olgierd Baranek</v>
      </c>
    </row>
    <row r="1189" spans="1:5" x14ac:dyDescent="0.25">
      <c r="A1189" s="1">
        <v>42941</v>
      </c>
      <c r="B1189" s="2" t="s">
        <v>208</v>
      </c>
      <c r="C1189" s="2" t="s">
        <v>209</v>
      </c>
      <c r="D1189">
        <v>5</v>
      </c>
      <c r="E1189" t="str">
        <f>_xlfn.CONCAT(makulatura4[[#This Row],[Imie]]," ",makulatura4[[#This Row],[Nazwisko]])</f>
        <v>Grzegorz Domek</v>
      </c>
    </row>
    <row r="1190" spans="1:5" x14ac:dyDescent="0.25">
      <c r="A1190" s="1">
        <v>42942</v>
      </c>
      <c r="B1190" s="2" t="s">
        <v>343</v>
      </c>
      <c r="C1190" s="2" t="s">
        <v>344</v>
      </c>
      <c r="D1190">
        <v>21</v>
      </c>
      <c r="E1190" t="str">
        <f>_xlfn.CONCAT(makulatura4[[#This Row],[Imie]]," ",makulatura4[[#This Row],[Nazwisko]])</f>
        <v>Izabela Skrzydlak</v>
      </c>
    </row>
    <row r="1191" spans="1:5" x14ac:dyDescent="0.25">
      <c r="A1191" s="1">
        <v>42942</v>
      </c>
      <c r="B1191" s="2" t="s">
        <v>252</v>
      </c>
      <c r="C1191" s="2" t="s">
        <v>253</v>
      </c>
      <c r="D1191">
        <v>48</v>
      </c>
      <c r="E1191" t="str">
        <f>_xlfn.CONCAT(makulatura4[[#This Row],[Imie]]," ",makulatura4[[#This Row],[Nazwisko]])</f>
        <v>Irena Banasiewicz</v>
      </c>
    </row>
    <row r="1192" spans="1:5" x14ac:dyDescent="0.25">
      <c r="A1192" s="1">
        <v>42942</v>
      </c>
      <c r="B1192" s="2" t="s">
        <v>97</v>
      </c>
      <c r="C1192" s="2" t="s">
        <v>529</v>
      </c>
      <c r="D1192">
        <v>29</v>
      </c>
      <c r="E1192" t="str">
        <f>_xlfn.CONCAT(makulatura4[[#This Row],[Imie]]," ",makulatura4[[#This Row],[Nazwisko]])</f>
        <v>Mateusz Hajdug</v>
      </c>
    </row>
    <row r="1193" spans="1:5" x14ac:dyDescent="0.25">
      <c r="A1193" s="1">
        <v>42942</v>
      </c>
      <c r="B1193" s="2" t="s">
        <v>273</v>
      </c>
      <c r="C1193" s="2" t="s">
        <v>274</v>
      </c>
      <c r="D1193">
        <v>23</v>
      </c>
      <c r="E1193" t="str">
        <f>_xlfn.CONCAT(makulatura4[[#This Row],[Imie]]," ",makulatura4[[#This Row],[Nazwisko]])</f>
        <v>Luiza Makowska</v>
      </c>
    </row>
    <row r="1194" spans="1:5" x14ac:dyDescent="0.25">
      <c r="A1194" s="1">
        <v>42942</v>
      </c>
      <c r="B1194" s="2" t="s">
        <v>133</v>
      </c>
      <c r="C1194" s="2" t="s">
        <v>616</v>
      </c>
      <c r="D1194">
        <v>52</v>
      </c>
      <c r="E1194" t="str">
        <f>_xlfn.CONCAT(makulatura4[[#This Row],[Imie]]," ",makulatura4[[#This Row],[Nazwisko]])</f>
        <v>Dominika Madejska</v>
      </c>
    </row>
    <row r="1195" spans="1:5" x14ac:dyDescent="0.25">
      <c r="A1195" s="1">
        <v>42942</v>
      </c>
      <c r="B1195" s="2" t="s">
        <v>87</v>
      </c>
      <c r="C1195" s="2" t="s">
        <v>124</v>
      </c>
      <c r="D1195">
        <v>6</v>
      </c>
      <c r="E1195" t="str">
        <f>_xlfn.CONCAT(makulatura4[[#This Row],[Imie]]," ",makulatura4[[#This Row],[Nazwisko]])</f>
        <v>Ewa Tysz</v>
      </c>
    </row>
    <row r="1196" spans="1:5" x14ac:dyDescent="0.25">
      <c r="A1196" s="1">
        <v>42942</v>
      </c>
      <c r="B1196" s="2" t="s">
        <v>393</v>
      </c>
      <c r="C1196" s="2" t="s">
        <v>419</v>
      </c>
      <c r="D1196">
        <v>29</v>
      </c>
      <c r="E1196" t="str">
        <f>_xlfn.CONCAT(makulatura4[[#This Row],[Imie]]," ",makulatura4[[#This Row],[Nazwisko]])</f>
        <v>Kacper Okla</v>
      </c>
    </row>
    <row r="1197" spans="1:5" x14ac:dyDescent="0.25">
      <c r="A1197" s="1">
        <v>42943</v>
      </c>
      <c r="B1197" s="2" t="s">
        <v>494</v>
      </c>
      <c r="C1197" s="2" t="s">
        <v>495</v>
      </c>
      <c r="D1197">
        <v>26</v>
      </c>
      <c r="E1197" t="str">
        <f>_xlfn.CONCAT(makulatura4[[#This Row],[Imie]]," ",makulatura4[[#This Row],[Nazwisko]])</f>
        <v>Radoslaw Sowinska</v>
      </c>
    </row>
    <row r="1198" spans="1:5" x14ac:dyDescent="0.25">
      <c r="A1198" s="1">
        <v>42943</v>
      </c>
      <c r="B1198" s="2" t="s">
        <v>232</v>
      </c>
      <c r="C1198" s="2" t="s">
        <v>573</v>
      </c>
      <c r="D1198">
        <v>13</v>
      </c>
      <c r="E1198" t="str">
        <f>_xlfn.CONCAT(makulatura4[[#This Row],[Imie]]," ",makulatura4[[#This Row],[Nazwisko]])</f>
        <v>Monika Srubka</v>
      </c>
    </row>
    <row r="1199" spans="1:5" x14ac:dyDescent="0.25">
      <c r="A1199" s="1">
        <v>42943</v>
      </c>
      <c r="B1199" s="2" t="s">
        <v>87</v>
      </c>
      <c r="C1199" s="2" t="s">
        <v>397</v>
      </c>
      <c r="D1199">
        <v>28</v>
      </c>
      <c r="E1199" t="str">
        <f>_xlfn.CONCAT(makulatura4[[#This Row],[Imie]]," ",makulatura4[[#This Row],[Nazwisko]])</f>
        <v>Ewa Milion</v>
      </c>
    </row>
    <row r="1200" spans="1:5" x14ac:dyDescent="0.25">
      <c r="A1200" s="1">
        <v>42943</v>
      </c>
      <c r="B1200" s="2" t="s">
        <v>416</v>
      </c>
      <c r="C1200" s="2" t="s">
        <v>572</v>
      </c>
      <c r="D1200">
        <v>3</v>
      </c>
      <c r="E1200" t="str">
        <f>_xlfn.CONCAT(makulatura4[[#This Row],[Imie]]," ",makulatura4[[#This Row],[Nazwisko]])</f>
        <v>Kazimierz Biedka</v>
      </c>
    </row>
    <row r="1201" spans="1:5" x14ac:dyDescent="0.25">
      <c r="A1201" s="1">
        <v>42943</v>
      </c>
      <c r="B1201" s="2" t="s">
        <v>442</v>
      </c>
      <c r="C1201" s="2" t="s">
        <v>443</v>
      </c>
      <c r="D1201">
        <v>42</v>
      </c>
      <c r="E1201" t="str">
        <f>_xlfn.CONCAT(makulatura4[[#This Row],[Imie]]," ",makulatura4[[#This Row],[Nazwisko]])</f>
        <v>Nikodem Jama</v>
      </c>
    </row>
    <row r="1202" spans="1:5" x14ac:dyDescent="0.25">
      <c r="A1202" s="1">
        <v>42943</v>
      </c>
      <c r="B1202" s="2" t="s">
        <v>121</v>
      </c>
      <c r="C1202" s="2" t="s">
        <v>122</v>
      </c>
      <c r="D1202">
        <v>15</v>
      </c>
      <c r="E1202" t="str">
        <f>_xlfn.CONCAT(makulatura4[[#This Row],[Imie]]," ",makulatura4[[#This Row],[Nazwisko]])</f>
        <v>Justyna Pozarzycka</v>
      </c>
    </row>
    <row r="1203" spans="1:5" x14ac:dyDescent="0.25">
      <c r="A1203" s="1">
        <v>42943</v>
      </c>
      <c r="B1203" s="2" t="s">
        <v>234</v>
      </c>
      <c r="C1203" s="2" t="s">
        <v>227</v>
      </c>
      <c r="D1203">
        <v>3</v>
      </c>
      <c r="E1203" t="str">
        <f>_xlfn.CONCAT(makulatura4[[#This Row],[Imie]]," ",makulatura4[[#This Row],[Nazwisko]])</f>
        <v>Magdalena Nowak</v>
      </c>
    </row>
    <row r="1204" spans="1:5" x14ac:dyDescent="0.25">
      <c r="A1204" s="1">
        <v>42944</v>
      </c>
      <c r="B1204" s="2" t="s">
        <v>10</v>
      </c>
      <c r="C1204" s="2" t="s">
        <v>11</v>
      </c>
      <c r="D1204">
        <v>17</v>
      </c>
      <c r="E1204" t="str">
        <f>_xlfn.CONCAT(makulatura4[[#This Row],[Imie]]," ",makulatura4[[#This Row],[Nazwisko]])</f>
        <v>Katarzyna Zmokly</v>
      </c>
    </row>
    <row r="1205" spans="1:5" x14ac:dyDescent="0.25">
      <c r="A1205" s="1">
        <v>42944</v>
      </c>
      <c r="B1205" s="2" t="s">
        <v>20</v>
      </c>
      <c r="C1205" s="2" t="s">
        <v>381</v>
      </c>
      <c r="D1205">
        <v>18</v>
      </c>
      <c r="E1205" t="str">
        <f>_xlfn.CONCAT(makulatura4[[#This Row],[Imie]]," ",makulatura4[[#This Row],[Nazwisko]])</f>
        <v>Borys Winiarski</v>
      </c>
    </row>
    <row r="1206" spans="1:5" x14ac:dyDescent="0.25">
      <c r="A1206" s="1">
        <v>42944</v>
      </c>
      <c r="B1206" s="2" t="s">
        <v>32</v>
      </c>
      <c r="C1206" s="2" t="s">
        <v>33</v>
      </c>
      <c r="D1206">
        <v>23</v>
      </c>
      <c r="E1206" t="str">
        <f>_xlfn.CONCAT(makulatura4[[#This Row],[Imie]]," ",makulatura4[[#This Row],[Nazwisko]])</f>
        <v>Daria Zagrobna</v>
      </c>
    </row>
    <row r="1207" spans="1:5" x14ac:dyDescent="0.25">
      <c r="A1207" s="1">
        <v>42944</v>
      </c>
      <c r="B1207" s="2" t="s">
        <v>374</v>
      </c>
      <c r="C1207" s="2" t="s">
        <v>581</v>
      </c>
      <c r="D1207">
        <v>34</v>
      </c>
      <c r="E1207" t="str">
        <f>_xlfn.CONCAT(makulatura4[[#This Row],[Imie]]," ",makulatura4[[#This Row],[Nazwisko]])</f>
        <v>Bruno Tomczyk</v>
      </c>
    </row>
    <row r="1208" spans="1:5" x14ac:dyDescent="0.25">
      <c r="A1208" s="1">
        <v>42944</v>
      </c>
      <c r="B1208" s="2" t="s">
        <v>133</v>
      </c>
      <c r="C1208" s="2" t="s">
        <v>616</v>
      </c>
      <c r="D1208">
        <v>16</v>
      </c>
      <c r="E1208" t="str">
        <f>_xlfn.CONCAT(makulatura4[[#This Row],[Imie]]," ",makulatura4[[#This Row],[Nazwisko]])</f>
        <v>Dominika Madejska</v>
      </c>
    </row>
    <row r="1209" spans="1:5" x14ac:dyDescent="0.25">
      <c r="A1209" s="1">
        <v>42944</v>
      </c>
      <c r="B1209" s="2" t="s">
        <v>290</v>
      </c>
      <c r="C1209" s="2" t="s">
        <v>291</v>
      </c>
      <c r="D1209">
        <v>29</v>
      </c>
      <c r="E1209" t="str">
        <f>_xlfn.CONCAT(makulatura4[[#This Row],[Imie]]," ",makulatura4[[#This Row],[Nazwisko]])</f>
        <v>Michalina Klebba</v>
      </c>
    </row>
    <row r="1210" spans="1:5" x14ac:dyDescent="0.25">
      <c r="A1210" s="1">
        <v>42944</v>
      </c>
      <c r="B1210" s="2" t="s">
        <v>67</v>
      </c>
      <c r="C1210" s="2" t="s">
        <v>301</v>
      </c>
      <c r="D1210">
        <v>14</v>
      </c>
      <c r="E1210" t="str">
        <f>_xlfn.CONCAT(makulatura4[[#This Row],[Imie]]," ",makulatura4[[#This Row],[Nazwisko]])</f>
        <v>Bartosz Tusinski</v>
      </c>
    </row>
    <row r="1211" spans="1:5" x14ac:dyDescent="0.25">
      <c r="A1211" s="1">
        <v>42947</v>
      </c>
      <c r="B1211" s="2" t="s">
        <v>178</v>
      </c>
      <c r="C1211" s="2" t="s">
        <v>242</v>
      </c>
      <c r="D1211">
        <v>2</v>
      </c>
      <c r="E1211" t="str">
        <f>_xlfn.CONCAT(makulatura4[[#This Row],[Imie]]," ",makulatura4[[#This Row],[Nazwisko]])</f>
        <v>Malgorzata Karlowski</v>
      </c>
    </row>
    <row r="1212" spans="1:5" x14ac:dyDescent="0.25">
      <c r="A1212" s="1">
        <v>42947</v>
      </c>
      <c r="B1212" s="2" t="s">
        <v>34</v>
      </c>
      <c r="C1212" s="2" t="s">
        <v>564</v>
      </c>
      <c r="D1212">
        <v>55</v>
      </c>
      <c r="E1212" t="str">
        <f>_xlfn.CONCAT(makulatura4[[#This Row],[Imie]]," ",makulatura4[[#This Row],[Nazwisko]])</f>
        <v>Julia Zaremba</v>
      </c>
    </row>
    <row r="1213" spans="1:5" x14ac:dyDescent="0.25">
      <c r="A1213" s="1">
        <v>42947</v>
      </c>
      <c r="B1213" s="2" t="s">
        <v>201</v>
      </c>
      <c r="C1213" s="2" t="s">
        <v>357</v>
      </c>
      <c r="D1213">
        <v>20</v>
      </c>
      <c r="E1213" t="str">
        <f>_xlfn.CONCAT(makulatura4[[#This Row],[Imie]]," ",makulatura4[[#This Row],[Nazwisko]])</f>
        <v>Marcin Tabaka</v>
      </c>
    </row>
    <row r="1214" spans="1:5" x14ac:dyDescent="0.25">
      <c r="A1214" s="1">
        <v>42947</v>
      </c>
      <c r="B1214" s="2" t="s">
        <v>10</v>
      </c>
      <c r="C1214" s="2" t="s">
        <v>423</v>
      </c>
      <c r="D1214">
        <v>40</v>
      </c>
      <c r="E1214" t="str">
        <f>_xlfn.CONCAT(makulatura4[[#This Row],[Imie]]," ",makulatura4[[#This Row],[Nazwisko]])</f>
        <v>Katarzyna Dzielna</v>
      </c>
    </row>
    <row r="1215" spans="1:5" x14ac:dyDescent="0.25">
      <c r="A1215" s="1">
        <v>42947</v>
      </c>
      <c r="B1215" s="2" t="s">
        <v>36</v>
      </c>
      <c r="C1215" s="2" t="s">
        <v>306</v>
      </c>
      <c r="D1215">
        <v>13</v>
      </c>
      <c r="E1215" t="str">
        <f>_xlfn.CONCAT(makulatura4[[#This Row],[Imie]]," ",makulatura4[[#This Row],[Nazwisko]])</f>
        <v>Piotr Kaleta</v>
      </c>
    </row>
    <row r="1216" spans="1:5" x14ac:dyDescent="0.25">
      <c r="A1216" s="1">
        <v>42947</v>
      </c>
      <c r="B1216" s="2" t="s">
        <v>83</v>
      </c>
      <c r="C1216" s="2" t="s">
        <v>513</v>
      </c>
      <c r="D1216">
        <v>53</v>
      </c>
      <c r="E1216" t="str">
        <f>_xlfn.CONCAT(makulatura4[[#This Row],[Imie]]," ",makulatura4[[#This Row],[Nazwisko]])</f>
        <v>Jan Gumowski</v>
      </c>
    </row>
    <row r="1217" spans="1:5" x14ac:dyDescent="0.25">
      <c r="A1217" s="1">
        <v>42947</v>
      </c>
      <c r="B1217" s="2" t="s">
        <v>65</v>
      </c>
      <c r="C1217" s="2" t="s">
        <v>631</v>
      </c>
      <c r="D1217">
        <v>51</v>
      </c>
      <c r="E1217" t="str">
        <f>_xlfn.CONCAT(makulatura4[[#This Row],[Imie]]," ",makulatura4[[#This Row],[Nazwisko]])</f>
        <v>Michal Polaczek</v>
      </c>
    </row>
    <row r="1218" spans="1:5" x14ac:dyDescent="0.25">
      <c r="A1218" s="1">
        <v>42948</v>
      </c>
      <c r="B1218" s="2" t="s">
        <v>47</v>
      </c>
      <c r="C1218" s="2" t="s">
        <v>336</v>
      </c>
      <c r="D1218">
        <v>17</v>
      </c>
      <c r="E1218" t="str">
        <f>_xlfn.CONCAT(makulatura4[[#This Row],[Imie]]," ",makulatura4[[#This Row],[Nazwisko]])</f>
        <v>Marek Janowski</v>
      </c>
    </row>
    <row r="1219" spans="1:5" x14ac:dyDescent="0.25">
      <c r="A1219" s="1">
        <v>42948</v>
      </c>
      <c r="B1219" s="2" t="s">
        <v>39</v>
      </c>
      <c r="C1219" s="2" t="s">
        <v>436</v>
      </c>
      <c r="D1219">
        <v>10</v>
      </c>
      <c r="E1219" t="str">
        <f>_xlfn.CONCAT(makulatura4[[#This Row],[Imie]]," ",makulatura4[[#This Row],[Nazwisko]])</f>
        <v>Jakub Holmes</v>
      </c>
    </row>
    <row r="1220" spans="1:5" x14ac:dyDescent="0.25">
      <c r="A1220" s="1">
        <v>42948</v>
      </c>
      <c r="B1220" s="2" t="s">
        <v>195</v>
      </c>
      <c r="C1220" s="2" t="s">
        <v>401</v>
      </c>
      <c r="D1220">
        <v>24</v>
      </c>
      <c r="E1220" t="str">
        <f>_xlfn.CONCAT(makulatura4[[#This Row],[Imie]]," ",makulatura4[[#This Row],[Nazwisko]])</f>
        <v>Emilia Szczepanska</v>
      </c>
    </row>
    <row r="1221" spans="1:5" x14ac:dyDescent="0.25">
      <c r="A1221" s="1">
        <v>42948</v>
      </c>
      <c r="B1221" s="2" t="s">
        <v>155</v>
      </c>
      <c r="C1221" s="2" t="s">
        <v>156</v>
      </c>
      <c r="D1221">
        <v>11</v>
      </c>
      <c r="E1221" t="str">
        <f>_xlfn.CONCAT(makulatura4[[#This Row],[Imie]]," ",makulatura4[[#This Row],[Nazwisko]])</f>
        <v>Jacek Ciosinski</v>
      </c>
    </row>
    <row r="1222" spans="1:5" x14ac:dyDescent="0.25">
      <c r="A1222" s="1">
        <v>42948</v>
      </c>
      <c r="B1222" s="2" t="s">
        <v>36</v>
      </c>
      <c r="C1222" s="2" t="s">
        <v>490</v>
      </c>
      <c r="D1222">
        <v>18</v>
      </c>
      <c r="E1222" t="str">
        <f>_xlfn.CONCAT(makulatura4[[#This Row],[Imie]]," ",makulatura4[[#This Row],[Nazwisko]])</f>
        <v>Piotr Mozart</v>
      </c>
    </row>
    <row r="1223" spans="1:5" x14ac:dyDescent="0.25">
      <c r="A1223" s="1">
        <v>42948</v>
      </c>
      <c r="B1223" s="2" t="s">
        <v>267</v>
      </c>
      <c r="C1223" s="2" t="s">
        <v>287</v>
      </c>
      <c r="D1223">
        <v>12</v>
      </c>
      <c r="E1223" t="str">
        <f>_xlfn.CONCAT(makulatura4[[#This Row],[Imie]]," ",makulatura4[[#This Row],[Nazwisko]])</f>
        <v>Henryk Siminski</v>
      </c>
    </row>
    <row r="1224" spans="1:5" x14ac:dyDescent="0.25">
      <c r="A1224" s="1">
        <v>42948</v>
      </c>
      <c r="B1224" s="2" t="s">
        <v>395</v>
      </c>
      <c r="C1224" s="2" t="s">
        <v>599</v>
      </c>
      <c r="D1224">
        <v>8</v>
      </c>
      <c r="E1224" t="str">
        <f>_xlfn.CONCAT(makulatura4[[#This Row],[Imie]]," ",makulatura4[[#This Row],[Nazwisko]])</f>
        <v>Tomasz Tutaj</v>
      </c>
    </row>
    <row r="1225" spans="1:5" x14ac:dyDescent="0.25">
      <c r="A1225" s="1">
        <v>42949</v>
      </c>
      <c r="B1225" s="2" t="s">
        <v>155</v>
      </c>
      <c r="C1225" s="2" t="s">
        <v>384</v>
      </c>
      <c r="D1225">
        <v>36</v>
      </c>
      <c r="E1225" t="str">
        <f>_xlfn.CONCAT(makulatura4[[#This Row],[Imie]]," ",makulatura4[[#This Row],[Nazwisko]])</f>
        <v>Jacek Pieczatowski</v>
      </c>
    </row>
    <row r="1226" spans="1:5" x14ac:dyDescent="0.25">
      <c r="A1226" s="1">
        <v>42949</v>
      </c>
      <c r="B1226" s="2" t="s">
        <v>57</v>
      </c>
      <c r="C1226" s="2" t="s">
        <v>135</v>
      </c>
      <c r="D1226">
        <v>24</v>
      </c>
      <c r="E1226" t="str">
        <f>_xlfn.CONCAT(makulatura4[[#This Row],[Imie]]," ",makulatura4[[#This Row],[Nazwisko]])</f>
        <v>Patrycja Augustowska</v>
      </c>
    </row>
    <row r="1227" spans="1:5" x14ac:dyDescent="0.25">
      <c r="A1227" s="1">
        <v>42949</v>
      </c>
      <c r="B1227" s="2" t="s">
        <v>290</v>
      </c>
      <c r="C1227" s="2" t="s">
        <v>291</v>
      </c>
      <c r="D1227">
        <v>13</v>
      </c>
      <c r="E1227" t="str">
        <f>_xlfn.CONCAT(makulatura4[[#This Row],[Imie]]," ",makulatura4[[#This Row],[Nazwisko]])</f>
        <v>Michalina Klebba</v>
      </c>
    </row>
    <row r="1228" spans="1:5" x14ac:dyDescent="0.25">
      <c r="A1228" s="1">
        <v>42949</v>
      </c>
      <c r="B1228" s="2" t="s">
        <v>128</v>
      </c>
      <c r="C1228" s="2" t="s">
        <v>559</v>
      </c>
      <c r="D1228">
        <v>51</v>
      </c>
      <c r="E1228" t="str">
        <f>_xlfn.CONCAT(makulatura4[[#This Row],[Imie]]," ",makulatura4[[#This Row],[Nazwisko]])</f>
        <v>Wojciech Goc</v>
      </c>
    </row>
    <row r="1229" spans="1:5" x14ac:dyDescent="0.25">
      <c r="A1229" s="1">
        <v>42949</v>
      </c>
      <c r="B1229" s="2" t="s">
        <v>169</v>
      </c>
      <c r="C1229" s="2" t="s">
        <v>170</v>
      </c>
      <c r="D1229">
        <v>31</v>
      </c>
      <c r="E1229" t="str">
        <f>_xlfn.CONCAT(makulatura4[[#This Row],[Imie]]," ",makulatura4[[#This Row],[Nazwisko]])</f>
        <v>Aleks Wojcik</v>
      </c>
    </row>
    <row r="1230" spans="1:5" x14ac:dyDescent="0.25">
      <c r="A1230" s="1">
        <v>42949</v>
      </c>
      <c r="B1230" s="2" t="s">
        <v>69</v>
      </c>
      <c r="C1230" s="2" t="s">
        <v>108</v>
      </c>
      <c r="D1230">
        <v>17</v>
      </c>
      <c r="E1230" t="str">
        <f>_xlfn.CONCAT(makulatura4[[#This Row],[Imie]]," ",makulatura4[[#This Row],[Nazwisko]])</f>
        <v>Adam Susel</v>
      </c>
    </row>
    <row r="1231" spans="1:5" x14ac:dyDescent="0.25">
      <c r="A1231" s="1">
        <v>42949</v>
      </c>
      <c r="B1231" s="2" t="s">
        <v>395</v>
      </c>
      <c r="C1231" s="2" t="s">
        <v>587</v>
      </c>
      <c r="D1231">
        <v>6</v>
      </c>
      <c r="E1231" t="str">
        <f>_xlfn.CONCAT(makulatura4[[#This Row],[Imie]]," ",makulatura4[[#This Row],[Nazwisko]])</f>
        <v>Tomasz Zbik</v>
      </c>
    </row>
    <row r="1232" spans="1:5" x14ac:dyDescent="0.25">
      <c r="A1232" s="1">
        <v>42950</v>
      </c>
      <c r="B1232" s="2" t="s">
        <v>248</v>
      </c>
      <c r="C1232" s="2" t="s">
        <v>249</v>
      </c>
      <c r="D1232">
        <v>47</v>
      </c>
      <c r="E1232" t="str">
        <f>_xlfn.CONCAT(makulatura4[[#This Row],[Imie]]," ",makulatura4[[#This Row],[Nazwisko]])</f>
        <v>Zenon Bartek</v>
      </c>
    </row>
    <row r="1233" spans="1:5" x14ac:dyDescent="0.25">
      <c r="A1233" s="1">
        <v>42950</v>
      </c>
      <c r="B1233" s="2" t="s">
        <v>632</v>
      </c>
      <c r="C1233" s="2" t="s">
        <v>633</v>
      </c>
      <c r="D1233">
        <v>52</v>
      </c>
      <c r="E1233" t="str">
        <f>_xlfn.CONCAT(makulatura4[[#This Row],[Imie]]," ",makulatura4[[#This Row],[Nazwisko]])</f>
        <v>Gabriela Malinowska</v>
      </c>
    </row>
    <row r="1234" spans="1:5" x14ac:dyDescent="0.25">
      <c r="A1234" s="1">
        <v>42950</v>
      </c>
      <c r="B1234" s="2" t="s">
        <v>395</v>
      </c>
      <c r="C1234" s="2" t="s">
        <v>467</v>
      </c>
      <c r="D1234">
        <v>10</v>
      </c>
      <c r="E1234" t="str">
        <f>_xlfn.CONCAT(makulatura4[[#This Row],[Imie]]," ",makulatura4[[#This Row],[Nazwisko]])</f>
        <v>Tomasz Hajdi</v>
      </c>
    </row>
    <row r="1235" spans="1:5" x14ac:dyDescent="0.25">
      <c r="A1235" s="1">
        <v>42950</v>
      </c>
      <c r="B1235" s="2" t="s">
        <v>4</v>
      </c>
      <c r="C1235" s="2" t="s">
        <v>489</v>
      </c>
      <c r="D1235">
        <v>3</v>
      </c>
      <c r="E1235" t="str">
        <f>_xlfn.CONCAT(makulatura4[[#This Row],[Imie]]," ",makulatura4[[#This Row],[Nazwisko]])</f>
        <v>Agnieszka Bujak</v>
      </c>
    </row>
    <row r="1236" spans="1:5" x14ac:dyDescent="0.25">
      <c r="A1236" s="1">
        <v>42950</v>
      </c>
      <c r="B1236" s="2" t="s">
        <v>420</v>
      </c>
      <c r="C1236" s="2" t="s">
        <v>634</v>
      </c>
      <c r="D1236">
        <v>10</v>
      </c>
      <c r="E1236" t="str">
        <f>_xlfn.CONCAT(makulatura4[[#This Row],[Imie]]," ",makulatura4[[#This Row],[Nazwisko]])</f>
        <v>Renata Kepa</v>
      </c>
    </row>
    <row r="1237" spans="1:5" x14ac:dyDescent="0.25">
      <c r="A1237" s="1">
        <v>42950</v>
      </c>
      <c r="B1237" s="2" t="s">
        <v>635</v>
      </c>
      <c r="C1237" s="2" t="s">
        <v>636</v>
      </c>
      <c r="D1237">
        <v>15</v>
      </c>
      <c r="E1237" t="str">
        <f>_xlfn.CONCAT(makulatura4[[#This Row],[Imie]]," ",makulatura4[[#This Row],[Nazwisko]])</f>
        <v>Lucja Zych</v>
      </c>
    </row>
    <row r="1238" spans="1:5" x14ac:dyDescent="0.25">
      <c r="A1238" s="1">
        <v>42950</v>
      </c>
      <c r="B1238" s="2" t="s">
        <v>178</v>
      </c>
      <c r="C1238" s="2" t="s">
        <v>335</v>
      </c>
      <c r="D1238">
        <v>26</v>
      </c>
      <c r="E1238" t="str">
        <f>_xlfn.CONCAT(makulatura4[[#This Row],[Imie]]," ",makulatura4[[#This Row],[Nazwisko]])</f>
        <v>Malgorzata Winiarska</v>
      </c>
    </row>
    <row r="1239" spans="1:5" x14ac:dyDescent="0.25">
      <c r="A1239" s="1">
        <v>42951</v>
      </c>
      <c r="B1239" s="2" t="s">
        <v>83</v>
      </c>
      <c r="C1239" s="2" t="s">
        <v>637</v>
      </c>
      <c r="D1239">
        <v>41</v>
      </c>
      <c r="E1239" t="str">
        <f>_xlfn.CONCAT(makulatura4[[#This Row],[Imie]]," ",makulatura4[[#This Row],[Nazwisko]])</f>
        <v>Jan Zajac</v>
      </c>
    </row>
    <row r="1240" spans="1:5" x14ac:dyDescent="0.25">
      <c r="A1240" s="1">
        <v>42951</v>
      </c>
      <c r="B1240" s="2" t="s">
        <v>45</v>
      </c>
      <c r="C1240" s="2" t="s">
        <v>388</v>
      </c>
      <c r="D1240">
        <v>20</v>
      </c>
      <c r="E1240" t="str">
        <f>_xlfn.CONCAT(makulatura4[[#This Row],[Imie]]," ",makulatura4[[#This Row],[Nazwisko]])</f>
        <v>Zuzanna Kalisz</v>
      </c>
    </row>
    <row r="1241" spans="1:5" x14ac:dyDescent="0.25">
      <c r="A1241" s="1">
        <v>42951</v>
      </c>
      <c r="B1241" s="2" t="s">
        <v>101</v>
      </c>
      <c r="C1241" s="2" t="s">
        <v>188</v>
      </c>
      <c r="D1241">
        <v>9</v>
      </c>
      <c r="E1241" t="str">
        <f>_xlfn.CONCAT(makulatura4[[#This Row],[Imie]]," ",makulatura4[[#This Row],[Nazwisko]])</f>
        <v>Maria Kowalczyk</v>
      </c>
    </row>
    <row r="1242" spans="1:5" x14ac:dyDescent="0.25">
      <c r="A1242" s="1">
        <v>42951</v>
      </c>
      <c r="B1242" s="2" t="s">
        <v>92</v>
      </c>
      <c r="C1242" s="2" t="s">
        <v>638</v>
      </c>
      <c r="D1242">
        <v>14</v>
      </c>
      <c r="E1242" t="str">
        <f>_xlfn.CONCAT(makulatura4[[#This Row],[Imie]]," ",makulatura4[[#This Row],[Nazwisko]])</f>
        <v>Paulina Baranowska</v>
      </c>
    </row>
    <row r="1243" spans="1:5" x14ac:dyDescent="0.25">
      <c r="A1243" s="1">
        <v>42951</v>
      </c>
      <c r="B1243" s="2" t="s">
        <v>147</v>
      </c>
      <c r="C1243" s="2" t="s">
        <v>578</v>
      </c>
      <c r="D1243">
        <v>14</v>
      </c>
      <c r="E1243" t="str">
        <f>_xlfn.CONCAT(makulatura4[[#This Row],[Imie]]," ",makulatura4[[#This Row],[Nazwisko]])</f>
        <v>Mariusz Mrowiec</v>
      </c>
    </row>
    <row r="1244" spans="1:5" x14ac:dyDescent="0.25">
      <c r="A1244" s="1">
        <v>42951</v>
      </c>
      <c r="B1244" s="2" t="s">
        <v>65</v>
      </c>
      <c r="C1244" s="2" t="s">
        <v>83</v>
      </c>
      <c r="D1244">
        <v>16</v>
      </c>
      <c r="E1244" t="str">
        <f>_xlfn.CONCAT(makulatura4[[#This Row],[Imie]]," ",makulatura4[[#This Row],[Nazwisko]])</f>
        <v>Michal Jan</v>
      </c>
    </row>
    <row r="1245" spans="1:5" x14ac:dyDescent="0.25">
      <c r="A1245" s="1">
        <v>42951</v>
      </c>
      <c r="B1245" s="2" t="s">
        <v>367</v>
      </c>
      <c r="C1245" s="2" t="s">
        <v>5</v>
      </c>
      <c r="D1245">
        <v>54</v>
      </c>
      <c r="E1245" t="str">
        <f>_xlfn.CONCAT(makulatura4[[#This Row],[Imie]]," ",makulatura4[[#This Row],[Nazwisko]])</f>
        <v>Szymon Polak</v>
      </c>
    </row>
    <row r="1246" spans="1:5" x14ac:dyDescent="0.25">
      <c r="A1246" s="1">
        <v>42954</v>
      </c>
      <c r="B1246" s="2" t="s">
        <v>23</v>
      </c>
      <c r="C1246" s="2" t="s">
        <v>592</v>
      </c>
      <c r="D1246">
        <v>11</v>
      </c>
      <c r="E1246" t="str">
        <f>_xlfn.CONCAT(makulatura4[[#This Row],[Imie]]," ",makulatura4[[#This Row],[Nazwisko]])</f>
        <v>Alicja Walentowicz</v>
      </c>
    </row>
    <row r="1247" spans="1:5" x14ac:dyDescent="0.25">
      <c r="A1247" s="1">
        <v>42954</v>
      </c>
      <c r="B1247" s="2" t="s">
        <v>339</v>
      </c>
      <c r="C1247" s="2" t="s">
        <v>340</v>
      </c>
      <c r="D1247">
        <v>6</v>
      </c>
      <c r="E1247" t="str">
        <f>_xlfn.CONCAT(makulatura4[[#This Row],[Imie]]," ",makulatura4[[#This Row],[Nazwisko]])</f>
        <v>Nadia Jędrzejczak</v>
      </c>
    </row>
    <row r="1248" spans="1:5" x14ac:dyDescent="0.25">
      <c r="A1248" s="1">
        <v>42954</v>
      </c>
      <c r="B1248" s="2" t="s">
        <v>83</v>
      </c>
      <c r="C1248" s="2" t="s">
        <v>596</v>
      </c>
      <c r="D1248">
        <v>19</v>
      </c>
      <c r="E1248" t="str">
        <f>_xlfn.CONCAT(makulatura4[[#This Row],[Imie]]," ",makulatura4[[#This Row],[Nazwisko]])</f>
        <v>Jan Pieterson</v>
      </c>
    </row>
    <row r="1249" spans="1:5" x14ac:dyDescent="0.25">
      <c r="A1249" s="1">
        <v>42954</v>
      </c>
      <c r="B1249" s="2" t="s">
        <v>314</v>
      </c>
      <c r="C1249" s="2" t="s">
        <v>466</v>
      </c>
      <c r="D1249">
        <v>13</v>
      </c>
      <c r="E1249" t="str">
        <f>_xlfn.CONCAT(makulatura4[[#This Row],[Imie]]," ",makulatura4[[#This Row],[Nazwisko]])</f>
        <v>Lukasz Kot</v>
      </c>
    </row>
    <row r="1250" spans="1:5" x14ac:dyDescent="0.25">
      <c r="A1250" s="1">
        <v>42954</v>
      </c>
      <c r="B1250" s="2" t="s">
        <v>43</v>
      </c>
      <c r="C1250" s="2" t="s">
        <v>507</v>
      </c>
      <c r="D1250">
        <v>35</v>
      </c>
      <c r="E1250" t="str">
        <f>_xlfn.CONCAT(makulatura4[[#This Row],[Imie]]," ",makulatura4[[#This Row],[Nazwisko]])</f>
        <v>Andrzej Nawwrot</v>
      </c>
    </row>
    <row r="1251" spans="1:5" x14ac:dyDescent="0.25">
      <c r="A1251" s="1">
        <v>42954</v>
      </c>
      <c r="B1251" s="2" t="s">
        <v>83</v>
      </c>
      <c r="C1251" s="2" t="s">
        <v>513</v>
      </c>
      <c r="D1251">
        <v>14</v>
      </c>
      <c r="E1251" t="str">
        <f>_xlfn.CONCAT(makulatura4[[#This Row],[Imie]]," ",makulatura4[[#This Row],[Nazwisko]])</f>
        <v>Jan Gumowski</v>
      </c>
    </row>
    <row r="1252" spans="1:5" x14ac:dyDescent="0.25">
      <c r="A1252" s="1">
        <v>42954</v>
      </c>
      <c r="B1252" s="2" t="s">
        <v>106</v>
      </c>
      <c r="C1252" s="2" t="s">
        <v>277</v>
      </c>
      <c r="D1252">
        <v>7</v>
      </c>
      <c r="E1252" t="str">
        <f>_xlfn.CONCAT(makulatura4[[#This Row],[Imie]]," ",makulatura4[[#This Row],[Nazwisko]])</f>
        <v>Lena Marzec</v>
      </c>
    </row>
    <row r="1253" spans="1:5" x14ac:dyDescent="0.25">
      <c r="A1253" s="1">
        <v>42955</v>
      </c>
      <c r="B1253" s="2" t="s">
        <v>141</v>
      </c>
      <c r="C1253" s="2" t="s">
        <v>447</v>
      </c>
      <c r="D1253">
        <v>54</v>
      </c>
      <c r="E1253" t="str">
        <f>_xlfn.CONCAT(makulatura4[[#This Row],[Imie]]," ",makulatura4[[#This Row],[Nazwisko]])</f>
        <v>Joanna Janas</v>
      </c>
    </row>
    <row r="1254" spans="1:5" x14ac:dyDescent="0.25">
      <c r="A1254" s="1">
        <v>42955</v>
      </c>
      <c r="B1254" s="2" t="s">
        <v>4</v>
      </c>
      <c r="C1254" s="2" t="s">
        <v>5</v>
      </c>
      <c r="D1254">
        <v>11</v>
      </c>
      <c r="E1254" t="str">
        <f>_xlfn.CONCAT(makulatura4[[#This Row],[Imie]]," ",makulatura4[[#This Row],[Nazwisko]])</f>
        <v>Agnieszka Polak</v>
      </c>
    </row>
    <row r="1255" spans="1:5" x14ac:dyDescent="0.25">
      <c r="A1255" s="1">
        <v>42955</v>
      </c>
      <c r="B1255" s="2" t="s">
        <v>83</v>
      </c>
      <c r="C1255" s="2" t="s">
        <v>591</v>
      </c>
      <c r="D1255">
        <v>8</v>
      </c>
      <c r="E1255" t="str">
        <f>_xlfn.CONCAT(makulatura4[[#This Row],[Imie]]," ",makulatura4[[#This Row],[Nazwisko]])</f>
        <v>Jan Kildanowski</v>
      </c>
    </row>
    <row r="1256" spans="1:5" x14ac:dyDescent="0.25">
      <c r="A1256" s="1">
        <v>42955</v>
      </c>
      <c r="B1256" s="2" t="s">
        <v>412</v>
      </c>
      <c r="C1256" s="2" t="s">
        <v>413</v>
      </c>
      <c r="D1256">
        <v>3</v>
      </c>
      <c r="E1256" t="str">
        <f>_xlfn.CONCAT(makulatura4[[#This Row],[Imie]]," ",makulatura4[[#This Row],[Nazwisko]])</f>
        <v>Matylda Kluziak</v>
      </c>
    </row>
    <row r="1257" spans="1:5" x14ac:dyDescent="0.25">
      <c r="A1257" s="1">
        <v>42955</v>
      </c>
      <c r="B1257" s="2" t="s">
        <v>314</v>
      </c>
      <c r="C1257" s="2" t="s">
        <v>535</v>
      </c>
      <c r="D1257">
        <v>2</v>
      </c>
      <c r="E1257" t="str">
        <f>_xlfn.CONCAT(makulatura4[[#This Row],[Imie]]," ",makulatura4[[#This Row],[Nazwisko]])</f>
        <v>Lukasz Czarnecki</v>
      </c>
    </row>
    <row r="1258" spans="1:5" x14ac:dyDescent="0.25">
      <c r="A1258" s="1">
        <v>42955</v>
      </c>
      <c r="B1258" s="2" t="s">
        <v>81</v>
      </c>
      <c r="C1258" s="2" t="s">
        <v>165</v>
      </c>
      <c r="D1258">
        <v>25</v>
      </c>
      <c r="E1258" t="str">
        <f>_xlfn.CONCAT(makulatura4[[#This Row],[Imie]]," ",makulatura4[[#This Row],[Nazwisko]])</f>
        <v>Karol Milek</v>
      </c>
    </row>
    <row r="1259" spans="1:5" x14ac:dyDescent="0.25">
      <c r="A1259" s="1">
        <v>42955</v>
      </c>
      <c r="B1259" s="2" t="s">
        <v>412</v>
      </c>
      <c r="C1259" s="2" t="s">
        <v>413</v>
      </c>
      <c r="D1259">
        <v>44</v>
      </c>
      <c r="E1259" t="str">
        <f>_xlfn.CONCAT(makulatura4[[#This Row],[Imie]]," ",makulatura4[[#This Row],[Nazwisko]])</f>
        <v>Matylda Kluziak</v>
      </c>
    </row>
    <row r="1260" spans="1:5" x14ac:dyDescent="0.25">
      <c r="A1260" s="1">
        <v>42956</v>
      </c>
      <c r="B1260" s="2" t="s">
        <v>553</v>
      </c>
      <c r="C1260" s="2" t="s">
        <v>554</v>
      </c>
      <c r="D1260">
        <v>13</v>
      </c>
      <c r="E1260" t="str">
        <f>_xlfn.CONCAT(makulatura4[[#This Row],[Imie]]," ",makulatura4[[#This Row],[Nazwisko]])</f>
        <v>Marian Bukalski</v>
      </c>
    </row>
    <row r="1261" spans="1:5" x14ac:dyDescent="0.25">
      <c r="A1261" s="1">
        <v>42956</v>
      </c>
      <c r="B1261" s="2" t="s">
        <v>81</v>
      </c>
      <c r="C1261" s="2" t="s">
        <v>584</v>
      </c>
      <c r="D1261">
        <v>44</v>
      </c>
      <c r="E1261" t="str">
        <f>_xlfn.CONCAT(makulatura4[[#This Row],[Imie]]," ",makulatura4[[#This Row],[Nazwisko]])</f>
        <v>Karol Wichrowski</v>
      </c>
    </row>
    <row r="1262" spans="1:5" x14ac:dyDescent="0.25">
      <c r="A1262" s="1">
        <v>42956</v>
      </c>
      <c r="B1262" s="2" t="s">
        <v>232</v>
      </c>
      <c r="C1262" s="2" t="s">
        <v>451</v>
      </c>
      <c r="D1262">
        <v>21</v>
      </c>
      <c r="E1262" t="str">
        <f>_xlfn.CONCAT(makulatura4[[#This Row],[Imie]]," ",makulatura4[[#This Row],[Nazwisko]])</f>
        <v>Monika Bialkowska</v>
      </c>
    </row>
    <row r="1263" spans="1:5" x14ac:dyDescent="0.25">
      <c r="A1263" s="1">
        <v>42956</v>
      </c>
      <c r="B1263" s="2" t="s">
        <v>87</v>
      </c>
      <c r="C1263" s="2" t="s">
        <v>255</v>
      </c>
      <c r="D1263">
        <v>4</v>
      </c>
      <c r="E1263" t="str">
        <f>_xlfn.CONCAT(makulatura4[[#This Row],[Imie]]," ",makulatura4[[#This Row],[Nazwisko]])</f>
        <v>Ewa Czerwinska</v>
      </c>
    </row>
    <row r="1264" spans="1:5" x14ac:dyDescent="0.25">
      <c r="A1264" s="1">
        <v>42956</v>
      </c>
      <c r="B1264" s="2" t="s">
        <v>128</v>
      </c>
      <c r="C1264" s="2" t="s">
        <v>639</v>
      </c>
      <c r="D1264">
        <v>6</v>
      </c>
      <c r="E1264" t="str">
        <f>_xlfn.CONCAT(makulatura4[[#This Row],[Imie]]," ",makulatura4[[#This Row],[Nazwisko]])</f>
        <v>Wojciech Czyzewski</v>
      </c>
    </row>
    <row r="1265" spans="1:5" x14ac:dyDescent="0.25">
      <c r="A1265" s="1">
        <v>42956</v>
      </c>
      <c r="B1265" s="2" t="s">
        <v>81</v>
      </c>
      <c r="C1265" s="2" t="s">
        <v>82</v>
      </c>
      <c r="D1265">
        <v>17</v>
      </c>
      <c r="E1265" t="str">
        <f>_xlfn.CONCAT(makulatura4[[#This Row],[Imie]]," ",makulatura4[[#This Row],[Nazwisko]])</f>
        <v>Karol Felisiak</v>
      </c>
    </row>
    <row r="1266" spans="1:5" x14ac:dyDescent="0.25">
      <c r="A1266" s="1">
        <v>42956</v>
      </c>
      <c r="B1266" s="2" t="s">
        <v>14</v>
      </c>
      <c r="C1266" s="2" t="s">
        <v>430</v>
      </c>
      <c r="D1266">
        <v>12</v>
      </c>
      <c r="E1266" t="str">
        <f>_xlfn.CONCAT(makulatura4[[#This Row],[Imie]]," ",makulatura4[[#This Row],[Nazwisko]])</f>
        <v>Patryk Geszczynski</v>
      </c>
    </row>
    <row r="1267" spans="1:5" x14ac:dyDescent="0.25">
      <c r="A1267" s="1">
        <v>42957</v>
      </c>
      <c r="B1267" s="2" t="s">
        <v>141</v>
      </c>
      <c r="C1267" s="2" t="s">
        <v>435</v>
      </c>
      <c r="D1267">
        <v>21</v>
      </c>
      <c r="E1267" t="str">
        <f>_xlfn.CONCAT(makulatura4[[#This Row],[Imie]]," ",makulatura4[[#This Row],[Nazwisko]])</f>
        <v>Joanna Kopacki</v>
      </c>
    </row>
    <row r="1268" spans="1:5" x14ac:dyDescent="0.25">
      <c r="A1268" s="1">
        <v>42957</v>
      </c>
      <c r="B1268" s="2" t="s">
        <v>640</v>
      </c>
      <c r="C1268" s="2" t="s">
        <v>199</v>
      </c>
      <c r="D1268">
        <v>12</v>
      </c>
      <c r="E1268" t="str">
        <f>_xlfn.CONCAT(makulatura4[[#This Row],[Imie]]," ",makulatura4[[#This Row],[Nazwisko]])</f>
        <v>Amelia Wilk</v>
      </c>
    </row>
    <row r="1269" spans="1:5" x14ac:dyDescent="0.25">
      <c r="A1269" s="1">
        <v>42957</v>
      </c>
      <c r="B1269" s="2" t="s">
        <v>63</v>
      </c>
      <c r="C1269" s="2" t="s">
        <v>231</v>
      </c>
      <c r="D1269">
        <v>54</v>
      </c>
      <c r="E1269" t="str">
        <f>_xlfn.CONCAT(makulatura4[[#This Row],[Imie]]," ",makulatura4[[#This Row],[Nazwisko]])</f>
        <v>Adrian Yuksek</v>
      </c>
    </row>
    <row r="1270" spans="1:5" x14ac:dyDescent="0.25">
      <c r="A1270" s="1">
        <v>42957</v>
      </c>
      <c r="B1270" s="2" t="s">
        <v>150</v>
      </c>
      <c r="C1270" s="2" t="s">
        <v>641</v>
      </c>
      <c r="D1270">
        <v>11</v>
      </c>
      <c r="E1270" t="str">
        <f>_xlfn.CONCAT(makulatura4[[#This Row],[Imie]]," ",makulatura4[[#This Row],[Nazwisko]])</f>
        <v>Krzysztof Sobieski</v>
      </c>
    </row>
    <row r="1271" spans="1:5" x14ac:dyDescent="0.25">
      <c r="A1271" s="1">
        <v>42957</v>
      </c>
      <c r="B1271" s="2" t="s">
        <v>39</v>
      </c>
      <c r="C1271" s="2" t="s">
        <v>609</v>
      </c>
      <c r="D1271">
        <v>47</v>
      </c>
      <c r="E1271" t="str">
        <f>_xlfn.CONCAT(makulatura4[[#This Row],[Imie]]," ",makulatura4[[#This Row],[Nazwisko]])</f>
        <v>Jakub Radomski</v>
      </c>
    </row>
    <row r="1272" spans="1:5" x14ac:dyDescent="0.25">
      <c r="A1272" s="1">
        <v>42957</v>
      </c>
      <c r="B1272" s="2" t="s">
        <v>77</v>
      </c>
      <c r="C1272" s="2" t="s">
        <v>384</v>
      </c>
      <c r="D1272">
        <v>55</v>
      </c>
      <c r="E1272" t="str">
        <f>_xlfn.CONCAT(makulatura4[[#This Row],[Imie]]," ",makulatura4[[#This Row],[Nazwisko]])</f>
        <v>Hubert Pieczatowski</v>
      </c>
    </row>
    <row r="1273" spans="1:5" x14ac:dyDescent="0.25">
      <c r="A1273" s="1">
        <v>42957</v>
      </c>
      <c r="B1273" s="2" t="s">
        <v>14</v>
      </c>
      <c r="C1273" s="2" t="s">
        <v>422</v>
      </c>
      <c r="D1273">
        <v>24</v>
      </c>
      <c r="E1273" t="str">
        <f>_xlfn.CONCAT(makulatura4[[#This Row],[Imie]]," ",makulatura4[[#This Row],[Nazwisko]])</f>
        <v>Patryk Glac</v>
      </c>
    </row>
    <row r="1274" spans="1:5" x14ac:dyDescent="0.25">
      <c r="A1274" s="1">
        <v>42958</v>
      </c>
      <c r="B1274" s="2" t="s">
        <v>16</v>
      </c>
      <c r="C1274" s="2" t="s">
        <v>642</v>
      </c>
      <c r="D1274">
        <v>3</v>
      </c>
      <c r="E1274" t="str">
        <f>_xlfn.CONCAT(makulatura4[[#This Row],[Imie]]," ",makulatura4[[#This Row],[Nazwisko]])</f>
        <v>Balbina Majewska</v>
      </c>
    </row>
    <row r="1275" spans="1:5" x14ac:dyDescent="0.25">
      <c r="A1275" s="1">
        <v>42958</v>
      </c>
      <c r="B1275" s="2" t="s">
        <v>39</v>
      </c>
      <c r="C1275" s="2" t="s">
        <v>289</v>
      </c>
      <c r="D1275">
        <v>15</v>
      </c>
      <c r="E1275" t="str">
        <f>_xlfn.CONCAT(makulatura4[[#This Row],[Imie]]," ",makulatura4[[#This Row],[Nazwisko]])</f>
        <v>Jakub Bracik</v>
      </c>
    </row>
    <row r="1276" spans="1:5" x14ac:dyDescent="0.25">
      <c r="A1276" s="1">
        <v>42958</v>
      </c>
      <c r="B1276" s="2" t="s">
        <v>201</v>
      </c>
      <c r="C1276" s="2" t="s">
        <v>643</v>
      </c>
      <c r="D1276">
        <v>15</v>
      </c>
      <c r="E1276" t="str">
        <f>_xlfn.CONCAT(makulatura4[[#This Row],[Imie]]," ",makulatura4[[#This Row],[Nazwisko]])</f>
        <v>Marcin Markowski</v>
      </c>
    </row>
    <row r="1277" spans="1:5" x14ac:dyDescent="0.25">
      <c r="A1277" s="1">
        <v>42958</v>
      </c>
      <c r="B1277" s="2" t="s">
        <v>34</v>
      </c>
      <c r="C1277" s="2" t="s">
        <v>35</v>
      </c>
      <c r="D1277">
        <v>27</v>
      </c>
      <c r="E1277" t="str">
        <f>_xlfn.CONCAT(makulatura4[[#This Row],[Imie]]," ",makulatura4[[#This Row],[Nazwisko]])</f>
        <v>Julia Rutkiewicz</v>
      </c>
    </row>
    <row r="1278" spans="1:5" x14ac:dyDescent="0.25">
      <c r="A1278" s="1">
        <v>42958</v>
      </c>
      <c r="B1278" s="2" t="s">
        <v>55</v>
      </c>
      <c r="C1278" s="2" t="s">
        <v>493</v>
      </c>
      <c r="D1278">
        <v>31</v>
      </c>
      <c r="E1278" t="str">
        <f>_xlfn.CONCAT(makulatura4[[#This Row],[Imie]]," ",makulatura4[[#This Row],[Nazwisko]])</f>
        <v>Anna Wnuk</v>
      </c>
    </row>
    <row r="1279" spans="1:5" x14ac:dyDescent="0.25">
      <c r="A1279" s="1">
        <v>42958</v>
      </c>
      <c r="B1279" s="2" t="s">
        <v>150</v>
      </c>
      <c r="C1279" s="2" t="s">
        <v>140</v>
      </c>
      <c r="D1279">
        <v>7</v>
      </c>
      <c r="E1279" t="str">
        <f>_xlfn.CONCAT(makulatura4[[#This Row],[Imie]]," ",makulatura4[[#This Row],[Nazwisko]])</f>
        <v>Krzysztof Las</v>
      </c>
    </row>
    <row r="1280" spans="1:5" x14ac:dyDescent="0.25">
      <c r="A1280" s="1">
        <v>42958</v>
      </c>
      <c r="B1280" s="2" t="s">
        <v>427</v>
      </c>
      <c r="C1280" s="2" t="s">
        <v>118</v>
      </c>
      <c r="D1280">
        <v>20</v>
      </c>
      <c r="E1280" t="str">
        <f>_xlfn.CONCAT(makulatura4[[#This Row],[Imie]]," ",makulatura4[[#This Row],[Nazwisko]])</f>
        <v>Julian Snopek</v>
      </c>
    </row>
    <row r="1281" spans="1:5" x14ac:dyDescent="0.25">
      <c r="A1281" s="1">
        <v>42958</v>
      </c>
      <c r="B1281" s="2" t="s">
        <v>36</v>
      </c>
      <c r="C1281" s="2" t="s">
        <v>533</v>
      </c>
      <c r="D1281">
        <v>30</v>
      </c>
      <c r="E1281" t="str">
        <f>_xlfn.CONCAT(makulatura4[[#This Row],[Imie]]," ",makulatura4[[#This Row],[Nazwisko]])</f>
        <v>Piotr Walec</v>
      </c>
    </row>
    <row r="1282" spans="1:5" x14ac:dyDescent="0.25">
      <c r="A1282" s="1">
        <v>42961</v>
      </c>
      <c r="B1282" s="2" t="s">
        <v>25</v>
      </c>
      <c r="C1282" s="2" t="s">
        <v>146</v>
      </c>
      <c r="D1282">
        <v>22</v>
      </c>
      <c r="E1282" t="str">
        <f>_xlfn.CONCAT(makulatura4[[#This Row],[Imie]]," ",makulatura4[[#This Row],[Nazwisko]])</f>
        <v>Leon Price</v>
      </c>
    </row>
    <row r="1283" spans="1:5" x14ac:dyDescent="0.25">
      <c r="A1283" s="1">
        <v>42961</v>
      </c>
      <c r="B1283" s="2" t="s">
        <v>32</v>
      </c>
      <c r="C1283" s="2" t="s">
        <v>276</v>
      </c>
      <c r="D1283">
        <v>44</v>
      </c>
      <c r="E1283" t="str">
        <f>_xlfn.CONCAT(makulatura4[[#This Row],[Imie]]," ",makulatura4[[#This Row],[Nazwisko]])</f>
        <v>Daria Witkowska</v>
      </c>
    </row>
    <row r="1284" spans="1:5" x14ac:dyDescent="0.25">
      <c r="A1284" s="1">
        <v>42961</v>
      </c>
      <c r="B1284" s="2" t="s">
        <v>51</v>
      </c>
      <c r="C1284" s="2" t="s">
        <v>358</v>
      </c>
      <c r="D1284">
        <v>5</v>
      </c>
      <c r="E1284" t="str">
        <f>_xlfn.CONCAT(makulatura4[[#This Row],[Imie]]," ",makulatura4[[#This Row],[Nazwisko]])</f>
        <v>Barbara Bury</v>
      </c>
    </row>
    <row r="1285" spans="1:5" x14ac:dyDescent="0.25">
      <c r="A1285" s="1">
        <v>42961</v>
      </c>
      <c r="B1285" s="2" t="s">
        <v>45</v>
      </c>
      <c r="C1285" s="2" t="s">
        <v>388</v>
      </c>
      <c r="D1285">
        <v>3</v>
      </c>
      <c r="E1285" t="str">
        <f>_xlfn.CONCAT(makulatura4[[#This Row],[Imie]]," ",makulatura4[[#This Row],[Nazwisko]])</f>
        <v>Zuzanna Kalisz</v>
      </c>
    </row>
    <row r="1286" spans="1:5" x14ac:dyDescent="0.25">
      <c r="A1286" s="1">
        <v>42961</v>
      </c>
      <c r="B1286" s="2" t="s">
        <v>128</v>
      </c>
      <c r="C1286" s="2" t="s">
        <v>12</v>
      </c>
      <c r="D1286">
        <v>6</v>
      </c>
      <c r="E1286" t="str">
        <f>_xlfn.CONCAT(makulatura4[[#This Row],[Imie]]," ",makulatura4[[#This Row],[Nazwisko]])</f>
        <v>Wojciech Maja</v>
      </c>
    </row>
    <row r="1287" spans="1:5" x14ac:dyDescent="0.25">
      <c r="A1287" s="1">
        <v>42961</v>
      </c>
      <c r="B1287" s="2" t="s">
        <v>30</v>
      </c>
      <c r="C1287" s="2" t="s">
        <v>185</v>
      </c>
      <c r="D1287">
        <v>12</v>
      </c>
      <c r="E1287" t="str">
        <f>_xlfn.CONCAT(makulatura4[[#This Row],[Imie]]," ",makulatura4[[#This Row],[Nazwisko]])</f>
        <v>Maciej Laskowski</v>
      </c>
    </row>
    <row r="1288" spans="1:5" x14ac:dyDescent="0.25">
      <c r="A1288" s="1">
        <v>42961</v>
      </c>
      <c r="B1288" s="2" t="s">
        <v>155</v>
      </c>
      <c r="C1288" s="2" t="s">
        <v>156</v>
      </c>
      <c r="D1288">
        <v>5</v>
      </c>
      <c r="E1288" t="str">
        <f>_xlfn.CONCAT(makulatura4[[#This Row],[Imie]]," ",makulatura4[[#This Row],[Nazwisko]])</f>
        <v>Jacek Ciosinski</v>
      </c>
    </row>
    <row r="1289" spans="1:5" x14ac:dyDescent="0.25">
      <c r="A1289" s="1">
        <v>42961</v>
      </c>
      <c r="B1289" s="2" t="s">
        <v>147</v>
      </c>
      <c r="C1289" s="2" t="s">
        <v>644</v>
      </c>
      <c r="D1289">
        <v>6</v>
      </c>
      <c r="E1289" t="str">
        <f>_xlfn.CONCAT(makulatura4[[#This Row],[Imie]]," ",makulatura4[[#This Row],[Nazwisko]])</f>
        <v>Mariusz Kornik</v>
      </c>
    </row>
    <row r="1290" spans="1:5" x14ac:dyDescent="0.25">
      <c r="A1290" s="1">
        <v>42962</v>
      </c>
      <c r="B1290" s="2" t="s">
        <v>30</v>
      </c>
      <c r="C1290" s="2" t="s">
        <v>89</v>
      </c>
      <c r="D1290">
        <v>29</v>
      </c>
      <c r="E1290" t="str">
        <f>_xlfn.CONCAT(makulatura4[[#This Row],[Imie]]," ",makulatura4[[#This Row],[Nazwisko]])</f>
        <v>Maciej Machalski</v>
      </c>
    </row>
    <row r="1291" spans="1:5" x14ac:dyDescent="0.25">
      <c r="A1291" s="1">
        <v>42962</v>
      </c>
      <c r="B1291" s="2" t="s">
        <v>55</v>
      </c>
      <c r="C1291" s="2" t="s">
        <v>326</v>
      </c>
      <c r="D1291">
        <v>46</v>
      </c>
      <c r="E1291" t="str">
        <f>_xlfn.CONCAT(makulatura4[[#This Row],[Imie]]," ",makulatura4[[#This Row],[Nazwisko]])</f>
        <v>Anna Tomaszewska</v>
      </c>
    </row>
    <row r="1292" spans="1:5" x14ac:dyDescent="0.25">
      <c r="A1292" s="1">
        <v>42962</v>
      </c>
      <c r="B1292" s="2" t="s">
        <v>171</v>
      </c>
      <c r="C1292" s="2" t="s">
        <v>645</v>
      </c>
      <c r="D1292">
        <v>20</v>
      </c>
      <c r="E1292" t="str">
        <f>_xlfn.CONCAT(makulatura4[[#This Row],[Imie]]," ",makulatura4[[#This Row],[Nazwisko]])</f>
        <v>Zofia Barak</v>
      </c>
    </row>
    <row r="1293" spans="1:5" x14ac:dyDescent="0.25">
      <c r="A1293" s="1">
        <v>42962</v>
      </c>
      <c r="B1293" s="2" t="s">
        <v>47</v>
      </c>
      <c r="C1293" s="2" t="s">
        <v>471</v>
      </c>
      <c r="D1293">
        <v>28</v>
      </c>
      <c r="E1293" t="str">
        <f>_xlfn.CONCAT(makulatura4[[#This Row],[Imie]]," ",makulatura4[[#This Row],[Nazwisko]])</f>
        <v>Marek Chorzowski</v>
      </c>
    </row>
    <row r="1294" spans="1:5" x14ac:dyDescent="0.25">
      <c r="A1294" s="1">
        <v>42962</v>
      </c>
      <c r="B1294" s="2" t="s">
        <v>574</v>
      </c>
      <c r="C1294" s="2" t="s">
        <v>421</v>
      </c>
      <c r="D1294">
        <v>5</v>
      </c>
      <c r="E1294" t="str">
        <f>_xlfn.CONCAT(makulatura4[[#This Row],[Imie]]," ",makulatura4[[#This Row],[Nazwisko]])</f>
        <v>Urszula Pawlak</v>
      </c>
    </row>
    <row r="1295" spans="1:5" x14ac:dyDescent="0.25">
      <c r="A1295" s="1">
        <v>42962</v>
      </c>
      <c r="B1295" s="2" t="s">
        <v>87</v>
      </c>
      <c r="C1295" s="2" t="s">
        <v>383</v>
      </c>
      <c r="D1295">
        <v>12</v>
      </c>
      <c r="E1295" t="str">
        <f>_xlfn.CONCAT(makulatura4[[#This Row],[Imie]]," ",makulatura4[[#This Row],[Nazwisko]])</f>
        <v>Ewa Zak</v>
      </c>
    </row>
    <row r="1296" spans="1:5" x14ac:dyDescent="0.25">
      <c r="A1296" s="1">
        <v>42962</v>
      </c>
      <c r="B1296" s="2" t="s">
        <v>57</v>
      </c>
      <c r="C1296" s="2" t="s">
        <v>399</v>
      </c>
      <c r="D1296">
        <v>29</v>
      </c>
      <c r="E1296" t="str">
        <f>_xlfn.CONCAT(makulatura4[[#This Row],[Imie]]," ",makulatura4[[#This Row],[Nazwisko]])</f>
        <v>Patrycja Dzban</v>
      </c>
    </row>
    <row r="1297" spans="1:5" x14ac:dyDescent="0.25">
      <c r="A1297" s="1">
        <v>42962</v>
      </c>
      <c r="B1297" s="2" t="s">
        <v>41</v>
      </c>
      <c r="C1297" s="2" t="s">
        <v>302</v>
      </c>
      <c r="D1297">
        <v>14</v>
      </c>
      <c r="E1297" t="str">
        <f>_xlfn.CONCAT(makulatura4[[#This Row],[Imie]]," ",makulatura4[[#This Row],[Nazwisko]])</f>
        <v>Marta Wloczkow</v>
      </c>
    </row>
    <row r="1298" spans="1:5" x14ac:dyDescent="0.25">
      <c r="A1298" s="1">
        <v>42963</v>
      </c>
      <c r="B1298" s="2" t="s">
        <v>476</v>
      </c>
      <c r="C1298" s="2" t="s">
        <v>622</v>
      </c>
      <c r="D1298">
        <v>29</v>
      </c>
      <c r="E1298" t="str">
        <f>_xlfn.CONCAT(makulatura4[[#This Row],[Imie]]," ",makulatura4[[#This Row],[Nazwisko]])</f>
        <v>Iwona Anczyk</v>
      </c>
    </row>
    <row r="1299" spans="1:5" x14ac:dyDescent="0.25">
      <c r="A1299" s="1">
        <v>42963</v>
      </c>
      <c r="B1299" s="2" t="s">
        <v>208</v>
      </c>
      <c r="C1299" s="2" t="s">
        <v>209</v>
      </c>
      <c r="D1299">
        <v>15</v>
      </c>
      <c r="E1299" t="str">
        <f>_xlfn.CONCAT(makulatura4[[#This Row],[Imie]]," ",makulatura4[[#This Row],[Nazwisko]])</f>
        <v>Grzegorz Domek</v>
      </c>
    </row>
    <row r="1300" spans="1:5" x14ac:dyDescent="0.25">
      <c r="A1300" s="1">
        <v>42963</v>
      </c>
      <c r="B1300" s="2" t="s">
        <v>36</v>
      </c>
      <c r="C1300" s="2" t="s">
        <v>560</v>
      </c>
      <c r="D1300">
        <v>35</v>
      </c>
      <c r="E1300" t="str">
        <f>_xlfn.CONCAT(makulatura4[[#This Row],[Imie]]," ",makulatura4[[#This Row],[Nazwisko]])</f>
        <v>Piotr Adamski</v>
      </c>
    </row>
    <row r="1301" spans="1:5" x14ac:dyDescent="0.25">
      <c r="A1301" s="1">
        <v>42963</v>
      </c>
      <c r="B1301" s="2" t="s">
        <v>169</v>
      </c>
      <c r="C1301" s="2" t="s">
        <v>170</v>
      </c>
      <c r="D1301">
        <v>28</v>
      </c>
      <c r="E1301" t="str">
        <f>_xlfn.CONCAT(makulatura4[[#This Row],[Imie]]," ",makulatura4[[#This Row],[Nazwisko]])</f>
        <v>Aleks Wojcik</v>
      </c>
    </row>
    <row r="1302" spans="1:5" x14ac:dyDescent="0.25">
      <c r="A1302" s="1">
        <v>42963</v>
      </c>
      <c r="B1302" s="2" t="s">
        <v>248</v>
      </c>
      <c r="C1302" s="2" t="s">
        <v>249</v>
      </c>
      <c r="D1302">
        <v>3</v>
      </c>
      <c r="E1302" t="str">
        <f>_xlfn.CONCAT(makulatura4[[#This Row],[Imie]]," ",makulatura4[[#This Row],[Nazwisko]])</f>
        <v>Zenon Bartek</v>
      </c>
    </row>
    <row r="1303" spans="1:5" x14ac:dyDescent="0.25">
      <c r="A1303" s="1">
        <v>42963</v>
      </c>
      <c r="B1303" s="2" t="s">
        <v>106</v>
      </c>
      <c r="C1303" s="2" t="s">
        <v>240</v>
      </c>
      <c r="D1303">
        <v>49</v>
      </c>
      <c r="E1303" t="str">
        <f>_xlfn.CONCAT(makulatura4[[#This Row],[Imie]]," ",makulatura4[[#This Row],[Nazwisko]])</f>
        <v>Lena Miszkin</v>
      </c>
    </row>
    <row r="1304" spans="1:5" x14ac:dyDescent="0.25">
      <c r="A1304" s="1">
        <v>42963</v>
      </c>
      <c r="B1304" s="2" t="s">
        <v>407</v>
      </c>
      <c r="C1304" s="2" t="s">
        <v>408</v>
      </c>
      <c r="D1304">
        <v>21</v>
      </c>
      <c r="E1304" t="str">
        <f>_xlfn.CONCAT(makulatura4[[#This Row],[Imie]]," ",makulatura4[[#This Row],[Nazwisko]])</f>
        <v>Diana Michalska</v>
      </c>
    </row>
    <row r="1305" spans="1:5" x14ac:dyDescent="0.25">
      <c r="A1305" s="1">
        <v>42963</v>
      </c>
      <c r="B1305" s="2" t="s">
        <v>83</v>
      </c>
      <c r="C1305" s="2" t="s">
        <v>646</v>
      </c>
      <c r="D1305">
        <v>43</v>
      </c>
      <c r="E1305" t="str">
        <f>_xlfn.CONCAT(makulatura4[[#This Row],[Imie]]," ",makulatura4[[#This Row],[Nazwisko]])</f>
        <v>Jan Adamowicz</v>
      </c>
    </row>
    <row r="1306" spans="1:5" x14ac:dyDescent="0.25">
      <c r="A1306" s="1">
        <v>42964</v>
      </c>
      <c r="B1306" s="2" t="s">
        <v>128</v>
      </c>
      <c r="C1306" s="2" t="s">
        <v>12</v>
      </c>
      <c r="D1306">
        <v>6</v>
      </c>
      <c r="E1306" t="str">
        <f>_xlfn.CONCAT(makulatura4[[#This Row],[Imie]]," ",makulatura4[[#This Row],[Nazwisko]])</f>
        <v>Wojciech Maja</v>
      </c>
    </row>
    <row r="1307" spans="1:5" x14ac:dyDescent="0.25">
      <c r="A1307" s="1">
        <v>42964</v>
      </c>
      <c r="B1307" s="2" t="s">
        <v>36</v>
      </c>
      <c r="C1307" s="2" t="s">
        <v>180</v>
      </c>
      <c r="D1307">
        <v>10</v>
      </c>
      <c r="E1307" t="str">
        <f>_xlfn.CONCAT(makulatura4[[#This Row],[Imie]]," ",makulatura4[[#This Row],[Nazwisko]])</f>
        <v>Piotr Felus</v>
      </c>
    </row>
    <row r="1308" spans="1:5" x14ac:dyDescent="0.25">
      <c r="A1308" s="1">
        <v>42964</v>
      </c>
      <c r="B1308" s="2" t="s">
        <v>97</v>
      </c>
      <c r="C1308" s="2" t="s">
        <v>188</v>
      </c>
      <c r="D1308">
        <v>7</v>
      </c>
      <c r="E1308" t="str">
        <f>_xlfn.CONCAT(makulatura4[[#This Row],[Imie]]," ",makulatura4[[#This Row],[Nazwisko]])</f>
        <v>Mateusz Kowalczyk</v>
      </c>
    </row>
    <row r="1309" spans="1:5" x14ac:dyDescent="0.25">
      <c r="A1309" s="1">
        <v>42964</v>
      </c>
      <c r="B1309" s="2" t="s">
        <v>23</v>
      </c>
      <c r="C1309" s="2" t="s">
        <v>163</v>
      </c>
      <c r="D1309">
        <v>7</v>
      </c>
      <c r="E1309" t="str">
        <f>_xlfn.CONCAT(makulatura4[[#This Row],[Imie]]," ",makulatura4[[#This Row],[Nazwisko]])</f>
        <v>Alicja Chmiel</v>
      </c>
    </row>
    <row r="1310" spans="1:5" x14ac:dyDescent="0.25">
      <c r="A1310" s="1">
        <v>42964</v>
      </c>
      <c r="B1310" s="2" t="s">
        <v>152</v>
      </c>
      <c r="C1310" s="2" t="s">
        <v>319</v>
      </c>
      <c r="D1310">
        <v>22</v>
      </c>
      <c r="E1310" t="str">
        <f>_xlfn.CONCAT(makulatura4[[#This Row],[Imie]]," ",makulatura4[[#This Row],[Nazwisko]])</f>
        <v>Natalia Wolny</v>
      </c>
    </row>
    <row r="1311" spans="1:5" x14ac:dyDescent="0.25">
      <c r="A1311" s="1">
        <v>42964</v>
      </c>
      <c r="B1311" s="2" t="s">
        <v>171</v>
      </c>
      <c r="C1311" s="2" t="s">
        <v>562</v>
      </c>
      <c r="D1311">
        <v>36</v>
      </c>
      <c r="E1311" t="str">
        <f>_xlfn.CONCAT(makulatura4[[#This Row],[Imie]]," ",makulatura4[[#This Row],[Nazwisko]])</f>
        <v>Zofia Broszkow</v>
      </c>
    </row>
    <row r="1312" spans="1:5" x14ac:dyDescent="0.25">
      <c r="A1312" s="1">
        <v>42964</v>
      </c>
      <c r="B1312" s="2" t="s">
        <v>206</v>
      </c>
      <c r="C1312" s="2" t="s">
        <v>192</v>
      </c>
      <c r="D1312">
        <v>13</v>
      </c>
      <c r="E1312" t="str">
        <f>_xlfn.CONCAT(makulatura4[[#This Row],[Imie]]," ",makulatura4[[#This Row],[Nazwisko]])</f>
        <v>Pawel Nowakowski</v>
      </c>
    </row>
    <row r="1313" spans="1:5" x14ac:dyDescent="0.25">
      <c r="A1313" s="1">
        <v>42964</v>
      </c>
      <c r="B1313" s="2" t="s">
        <v>155</v>
      </c>
      <c r="C1313" s="2" t="s">
        <v>156</v>
      </c>
      <c r="D1313">
        <v>14</v>
      </c>
      <c r="E1313" t="str">
        <f>_xlfn.CONCAT(makulatura4[[#This Row],[Imie]]," ",makulatura4[[#This Row],[Nazwisko]])</f>
        <v>Jacek Ciosinski</v>
      </c>
    </row>
    <row r="1314" spans="1:5" x14ac:dyDescent="0.25">
      <c r="A1314" s="1">
        <v>42965</v>
      </c>
      <c r="B1314" s="2" t="s">
        <v>150</v>
      </c>
      <c r="C1314" s="2" t="s">
        <v>462</v>
      </c>
      <c r="D1314">
        <v>6</v>
      </c>
      <c r="E1314" t="str">
        <f>_xlfn.CONCAT(makulatura4[[#This Row],[Imie]]," ",makulatura4[[#This Row],[Nazwisko]])</f>
        <v>Krzysztof Wloch</v>
      </c>
    </row>
    <row r="1315" spans="1:5" x14ac:dyDescent="0.25">
      <c r="A1315" s="1">
        <v>42965</v>
      </c>
      <c r="B1315" s="2" t="s">
        <v>193</v>
      </c>
      <c r="C1315" s="2" t="s">
        <v>228</v>
      </c>
      <c r="D1315">
        <v>11</v>
      </c>
      <c r="E1315" t="str">
        <f>_xlfn.CONCAT(makulatura4[[#This Row],[Imie]]," ",makulatura4[[#This Row],[Nazwisko]])</f>
        <v>Karolina Karpacka</v>
      </c>
    </row>
    <row r="1316" spans="1:5" x14ac:dyDescent="0.25">
      <c r="A1316" s="1">
        <v>42965</v>
      </c>
      <c r="B1316" s="2" t="s">
        <v>147</v>
      </c>
      <c r="C1316" s="2" t="s">
        <v>644</v>
      </c>
      <c r="D1316">
        <v>22</v>
      </c>
      <c r="E1316" t="str">
        <f>_xlfn.CONCAT(makulatura4[[#This Row],[Imie]]," ",makulatura4[[#This Row],[Nazwisko]])</f>
        <v>Mariusz Kornik</v>
      </c>
    </row>
    <row r="1317" spans="1:5" x14ac:dyDescent="0.25">
      <c r="A1317" s="1">
        <v>42965</v>
      </c>
      <c r="B1317" s="2" t="s">
        <v>47</v>
      </c>
      <c r="C1317" s="2" t="s">
        <v>48</v>
      </c>
      <c r="D1317">
        <v>56</v>
      </c>
      <c r="E1317" t="str">
        <f>_xlfn.CONCAT(makulatura4[[#This Row],[Imie]]," ",makulatura4[[#This Row],[Nazwisko]])</f>
        <v>Marek Bednarski</v>
      </c>
    </row>
    <row r="1318" spans="1:5" x14ac:dyDescent="0.25">
      <c r="A1318" s="1">
        <v>42965</v>
      </c>
      <c r="B1318" s="2" t="s">
        <v>55</v>
      </c>
      <c r="C1318" s="2" t="s">
        <v>459</v>
      </c>
      <c r="D1318">
        <v>55</v>
      </c>
      <c r="E1318" t="str">
        <f>_xlfn.CONCAT(makulatura4[[#This Row],[Imie]]," ",makulatura4[[#This Row],[Nazwisko]])</f>
        <v>Anna Zaczyk</v>
      </c>
    </row>
    <row r="1319" spans="1:5" x14ac:dyDescent="0.25">
      <c r="A1319" s="1">
        <v>42965</v>
      </c>
      <c r="B1319" s="2" t="s">
        <v>176</v>
      </c>
      <c r="C1319" s="2" t="s">
        <v>177</v>
      </c>
      <c r="D1319">
        <v>45</v>
      </c>
      <c r="E1319" t="str">
        <f>_xlfn.CONCAT(makulatura4[[#This Row],[Imie]]," ",makulatura4[[#This Row],[Nazwisko]])</f>
        <v>Kinga Kleszcz</v>
      </c>
    </row>
    <row r="1320" spans="1:5" x14ac:dyDescent="0.25">
      <c r="A1320" s="1">
        <v>42965</v>
      </c>
      <c r="B1320" s="2" t="s">
        <v>63</v>
      </c>
      <c r="C1320" s="2" t="s">
        <v>231</v>
      </c>
      <c r="D1320">
        <v>12</v>
      </c>
      <c r="E1320" t="str">
        <f>_xlfn.CONCAT(makulatura4[[#This Row],[Imie]]," ",makulatura4[[#This Row],[Nazwisko]])</f>
        <v>Adrian Yuksek</v>
      </c>
    </row>
    <row r="1321" spans="1:5" x14ac:dyDescent="0.25">
      <c r="A1321" s="1">
        <v>42965</v>
      </c>
      <c r="B1321" s="2" t="s">
        <v>81</v>
      </c>
      <c r="C1321" s="2" t="s">
        <v>82</v>
      </c>
      <c r="D1321">
        <v>20</v>
      </c>
      <c r="E1321" t="str">
        <f>_xlfn.CONCAT(makulatura4[[#This Row],[Imie]]," ",makulatura4[[#This Row],[Nazwisko]])</f>
        <v>Karol Felisiak</v>
      </c>
    </row>
    <row r="1322" spans="1:5" x14ac:dyDescent="0.25">
      <c r="A1322" s="1">
        <v>42968</v>
      </c>
      <c r="B1322" s="2" t="s">
        <v>514</v>
      </c>
      <c r="C1322" s="2" t="s">
        <v>515</v>
      </c>
      <c r="D1322">
        <v>8</v>
      </c>
      <c r="E1322" t="str">
        <f>_xlfn.CONCAT(makulatura4[[#This Row],[Imie]]," ",makulatura4[[#This Row],[Nazwisko]])</f>
        <v>Ignacy Sarnowski</v>
      </c>
    </row>
    <row r="1323" spans="1:5" x14ac:dyDescent="0.25">
      <c r="A1323" s="1">
        <v>42968</v>
      </c>
      <c r="B1323" s="2" t="s">
        <v>36</v>
      </c>
      <c r="C1323" s="2" t="s">
        <v>229</v>
      </c>
      <c r="D1323">
        <v>33</v>
      </c>
      <c r="E1323" t="str">
        <f>_xlfn.CONCAT(makulatura4[[#This Row],[Imie]]," ",makulatura4[[#This Row],[Nazwisko]])</f>
        <v>Piotr Dzierzak</v>
      </c>
    </row>
    <row r="1324" spans="1:5" x14ac:dyDescent="0.25">
      <c r="A1324" s="1">
        <v>42968</v>
      </c>
      <c r="B1324" s="2" t="s">
        <v>41</v>
      </c>
      <c r="C1324" s="2" t="s">
        <v>302</v>
      </c>
      <c r="D1324">
        <v>9</v>
      </c>
      <c r="E1324" t="str">
        <f>_xlfn.CONCAT(makulatura4[[#This Row],[Imie]]," ",makulatura4[[#This Row],[Nazwisko]])</f>
        <v>Marta Wloczkow</v>
      </c>
    </row>
    <row r="1325" spans="1:5" x14ac:dyDescent="0.25">
      <c r="A1325" s="1">
        <v>42968</v>
      </c>
      <c r="B1325" s="2" t="s">
        <v>523</v>
      </c>
      <c r="C1325" s="2" t="s">
        <v>524</v>
      </c>
      <c r="D1325">
        <v>52</v>
      </c>
      <c r="E1325" t="str">
        <f>_xlfn.CONCAT(makulatura4[[#This Row],[Imie]]," ",makulatura4[[#This Row],[Nazwisko]])</f>
        <v>Protazy Warszawski</v>
      </c>
    </row>
    <row r="1326" spans="1:5" x14ac:dyDescent="0.25">
      <c r="A1326" s="1">
        <v>42968</v>
      </c>
      <c r="B1326" s="2" t="s">
        <v>232</v>
      </c>
      <c r="C1326" s="2" t="s">
        <v>627</v>
      </c>
      <c r="D1326">
        <v>48</v>
      </c>
      <c r="E1326" t="str">
        <f>_xlfn.CONCAT(makulatura4[[#This Row],[Imie]]," ",makulatura4[[#This Row],[Nazwisko]])</f>
        <v>Monika Kos</v>
      </c>
    </row>
    <row r="1327" spans="1:5" x14ac:dyDescent="0.25">
      <c r="A1327" s="1">
        <v>42968</v>
      </c>
      <c r="B1327" s="2" t="s">
        <v>632</v>
      </c>
      <c r="C1327" s="2" t="s">
        <v>647</v>
      </c>
      <c r="D1327">
        <v>40</v>
      </c>
      <c r="E1327" t="str">
        <f>_xlfn.CONCAT(makulatura4[[#This Row],[Imie]]," ",makulatura4[[#This Row],[Nazwisko]])</f>
        <v>Gabriela Oleszkiewicz</v>
      </c>
    </row>
    <row r="1328" spans="1:5" x14ac:dyDescent="0.25">
      <c r="A1328" s="1">
        <v>42968</v>
      </c>
      <c r="B1328" s="2" t="s">
        <v>81</v>
      </c>
      <c r="C1328" s="2" t="s">
        <v>648</v>
      </c>
      <c r="D1328">
        <v>52</v>
      </c>
      <c r="E1328" t="str">
        <f>_xlfn.CONCAT(makulatura4[[#This Row],[Imie]]," ",makulatura4[[#This Row],[Nazwisko]])</f>
        <v>Karol Hubicki</v>
      </c>
    </row>
    <row r="1329" spans="1:5" x14ac:dyDescent="0.25">
      <c r="A1329" s="1">
        <v>42968</v>
      </c>
      <c r="B1329" s="2" t="s">
        <v>92</v>
      </c>
      <c r="C1329" s="2" t="s">
        <v>638</v>
      </c>
      <c r="D1329">
        <v>34</v>
      </c>
      <c r="E1329" t="str">
        <f>_xlfn.CONCAT(makulatura4[[#This Row],[Imie]]," ",makulatura4[[#This Row],[Nazwisko]])</f>
        <v>Paulina Baranowska</v>
      </c>
    </row>
    <row r="1330" spans="1:5" x14ac:dyDescent="0.25">
      <c r="A1330" s="1">
        <v>42969</v>
      </c>
      <c r="B1330" s="2" t="s">
        <v>416</v>
      </c>
      <c r="C1330" s="2" t="s">
        <v>572</v>
      </c>
      <c r="D1330">
        <v>2</v>
      </c>
      <c r="E1330" t="str">
        <f>_xlfn.CONCAT(makulatura4[[#This Row],[Imie]]," ",makulatura4[[#This Row],[Nazwisko]])</f>
        <v>Kazimierz Biedka</v>
      </c>
    </row>
    <row r="1331" spans="1:5" x14ac:dyDescent="0.25">
      <c r="A1331" s="1">
        <v>42969</v>
      </c>
      <c r="B1331" s="2" t="s">
        <v>34</v>
      </c>
      <c r="C1331" s="2" t="s">
        <v>35</v>
      </c>
      <c r="D1331">
        <v>9</v>
      </c>
      <c r="E1331" t="str">
        <f>_xlfn.CONCAT(makulatura4[[#This Row],[Imie]]," ",makulatura4[[#This Row],[Nazwisko]])</f>
        <v>Julia Rutkiewicz</v>
      </c>
    </row>
    <row r="1332" spans="1:5" x14ac:dyDescent="0.25">
      <c r="A1332" s="1">
        <v>42969</v>
      </c>
      <c r="B1332" s="2" t="s">
        <v>97</v>
      </c>
      <c r="C1332" s="2" t="s">
        <v>380</v>
      </c>
      <c r="D1332">
        <v>24</v>
      </c>
      <c r="E1332" t="str">
        <f>_xlfn.CONCAT(makulatura4[[#This Row],[Imie]]," ",makulatura4[[#This Row],[Nazwisko]])</f>
        <v>Mateusz Krawczyk</v>
      </c>
    </row>
    <row r="1333" spans="1:5" x14ac:dyDescent="0.25">
      <c r="A1333" s="1">
        <v>42969</v>
      </c>
      <c r="B1333" s="2" t="s">
        <v>327</v>
      </c>
      <c r="C1333" s="2" t="s">
        <v>102</v>
      </c>
      <c r="D1333">
        <v>28</v>
      </c>
      <c r="E1333" t="str">
        <f>_xlfn.CONCAT(makulatura4[[#This Row],[Imie]]," ",makulatura4[[#This Row],[Nazwisko]])</f>
        <v>Anastazja Borowska</v>
      </c>
    </row>
    <row r="1334" spans="1:5" x14ac:dyDescent="0.25">
      <c r="A1334" s="1">
        <v>42969</v>
      </c>
      <c r="B1334" s="2" t="s">
        <v>243</v>
      </c>
      <c r="C1334" s="2" t="s">
        <v>82</v>
      </c>
      <c r="D1334">
        <v>16</v>
      </c>
      <c r="E1334" t="str">
        <f>_xlfn.CONCAT(makulatura4[[#This Row],[Imie]]," ",makulatura4[[#This Row],[Nazwisko]])</f>
        <v>Sofia Felisiak</v>
      </c>
    </row>
    <row r="1335" spans="1:5" x14ac:dyDescent="0.25">
      <c r="A1335" s="1">
        <v>42969</v>
      </c>
      <c r="B1335" s="2" t="s">
        <v>195</v>
      </c>
      <c r="C1335" s="2" t="s">
        <v>401</v>
      </c>
      <c r="D1335">
        <v>19</v>
      </c>
      <c r="E1335" t="str">
        <f>_xlfn.CONCAT(makulatura4[[#This Row],[Imie]]," ",makulatura4[[#This Row],[Nazwisko]])</f>
        <v>Emilia Szczepanska</v>
      </c>
    </row>
    <row r="1336" spans="1:5" x14ac:dyDescent="0.25">
      <c r="A1336" s="1">
        <v>42969</v>
      </c>
      <c r="B1336" s="2" t="s">
        <v>30</v>
      </c>
      <c r="C1336" s="2" t="s">
        <v>185</v>
      </c>
      <c r="D1336">
        <v>26</v>
      </c>
      <c r="E1336" t="str">
        <f>_xlfn.CONCAT(makulatura4[[#This Row],[Imie]]," ",makulatura4[[#This Row],[Nazwisko]])</f>
        <v>Maciej Laskowski</v>
      </c>
    </row>
    <row r="1337" spans="1:5" x14ac:dyDescent="0.25">
      <c r="A1337" s="1">
        <v>42969</v>
      </c>
      <c r="B1337" s="2" t="s">
        <v>30</v>
      </c>
      <c r="C1337" s="2" t="s">
        <v>387</v>
      </c>
      <c r="D1337">
        <v>29</v>
      </c>
      <c r="E1337" t="str">
        <f>_xlfn.CONCAT(makulatura4[[#This Row],[Imie]]," ",makulatura4[[#This Row],[Nazwisko]])</f>
        <v>Maciej Machol</v>
      </c>
    </row>
    <row r="1338" spans="1:5" x14ac:dyDescent="0.25">
      <c r="A1338" s="1">
        <v>42970</v>
      </c>
      <c r="B1338" s="2" t="s">
        <v>141</v>
      </c>
      <c r="C1338" s="2" t="s">
        <v>649</v>
      </c>
      <c r="D1338">
        <v>51</v>
      </c>
      <c r="E1338" t="str">
        <f>_xlfn.CONCAT(makulatura4[[#This Row],[Imie]]," ",makulatura4[[#This Row],[Nazwisko]])</f>
        <v>Joanna Traugut</v>
      </c>
    </row>
    <row r="1339" spans="1:5" x14ac:dyDescent="0.25">
      <c r="A1339" s="1">
        <v>42970</v>
      </c>
      <c r="B1339" s="2" t="s">
        <v>53</v>
      </c>
      <c r="C1339" s="2" t="s">
        <v>54</v>
      </c>
      <c r="D1339">
        <v>25</v>
      </c>
      <c r="E1339" t="str">
        <f>_xlfn.CONCAT(makulatura4[[#This Row],[Imie]]," ",makulatura4[[#This Row],[Nazwisko]])</f>
        <v>Wieslawa Koniec</v>
      </c>
    </row>
    <row r="1340" spans="1:5" x14ac:dyDescent="0.25">
      <c r="A1340" s="1">
        <v>42970</v>
      </c>
      <c r="B1340" s="2" t="s">
        <v>23</v>
      </c>
      <c r="C1340" s="2" t="s">
        <v>604</v>
      </c>
      <c r="D1340">
        <v>33</v>
      </c>
      <c r="E1340" t="str">
        <f>_xlfn.CONCAT(makulatura4[[#This Row],[Imie]]," ",makulatura4[[#This Row],[Nazwisko]])</f>
        <v>Alicja Wymyslowska</v>
      </c>
    </row>
    <row r="1341" spans="1:5" x14ac:dyDescent="0.25">
      <c r="A1341" s="1">
        <v>42970</v>
      </c>
      <c r="B1341" s="2" t="s">
        <v>267</v>
      </c>
      <c r="C1341" s="2" t="s">
        <v>268</v>
      </c>
      <c r="D1341">
        <v>18</v>
      </c>
      <c r="E1341" t="str">
        <f>_xlfn.CONCAT(makulatura4[[#This Row],[Imie]]," ",makulatura4[[#This Row],[Nazwisko]])</f>
        <v>Henryk Polarek</v>
      </c>
    </row>
    <row r="1342" spans="1:5" x14ac:dyDescent="0.25">
      <c r="A1342" s="1">
        <v>42970</v>
      </c>
      <c r="B1342" s="2" t="s">
        <v>92</v>
      </c>
      <c r="C1342" s="2" t="s">
        <v>638</v>
      </c>
      <c r="D1342">
        <v>19</v>
      </c>
      <c r="E1342" t="str">
        <f>_xlfn.CONCAT(makulatura4[[#This Row],[Imie]]," ",makulatura4[[#This Row],[Nazwisko]])</f>
        <v>Paulina Baranowska</v>
      </c>
    </row>
    <row r="1343" spans="1:5" x14ac:dyDescent="0.25">
      <c r="A1343" s="1">
        <v>42970</v>
      </c>
      <c r="B1343" s="2" t="s">
        <v>30</v>
      </c>
      <c r="C1343" s="2" t="s">
        <v>89</v>
      </c>
      <c r="D1343">
        <v>42</v>
      </c>
      <c r="E1343" t="str">
        <f>_xlfn.CONCAT(makulatura4[[#This Row],[Imie]]," ",makulatura4[[#This Row],[Nazwisko]])</f>
        <v>Maciej Machalski</v>
      </c>
    </row>
    <row r="1344" spans="1:5" x14ac:dyDescent="0.25">
      <c r="A1344" s="1">
        <v>42970</v>
      </c>
      <c r="B1344" s="2" t="s">
        <v>30</v>
      </c>
      <c r="C1344" s="2" t="s">
        <v>387</v>
      </c>
      <c r="D1344">
        <v>15</v>
      </c>
      <c r="E1344" t="str">
        <f>_xlfn.CONCAT(makulatura4[[#This Row],[Imie]]," ",makulatura4[[#This Row],[Nazwisko]])</f>
        <v>Maciej Machol</v>
      </c>
    </row>
    <row r="1345" spans="1:5" x14ac:dyDescent="0.25">
      <c r="A1345" s="1">
        <v>42970</v>
      </c>
      <c r="B1345" s="2" t="s">
        <v>361</v>
      </c>
      <c r="C1345" s="2" t="s">
        <v>424</v>
      </c>
      <c r="D1345">
        <v>15</v>
      </c>
      <c r="E1345" t="str">
        <f>_xlfn.CONCAT(makulatura4[[#This Row],[Imie]]," ",makulatura4[[#This Row],[Nazwisko]])</f>
        <v>Lidia Tarnowska</v>
      </c>
    </row>
    <row r="1346" spans="1:5" x14ac:dyDescent="0.25">
      <c r="A1346" s="1">
        <v>42971</v>
      </c>
      <c r="B1346" s="2" t="s">
        <v>174</v>
      </c>
      <c r="C1346" s="2" t="s">
        <v>175</v>
      </c>
      <c r="D1346">
        <v>3</v>
      </c>
      <c r="E1346" t="str">
        <f>_xlfn.CONCAT(makulatura4[[#This Row],[Imie]]," ",makulatura4[[#This Row],[Nazwisko]])</f>
        <v>Dorota Adamus</v>
      </c>
    </row>
    <row r="1347" spans="1:5" x14ac:dyDescent="0.25">
      <c r="A1347" s="1">
        <v>42971</v>
      </c>
      <c r="B1347" s="2" t="s">
        <v>284</v>
      </c>
      <c r="C1347" s="2" t="s">
        <v>285</v>
      </c>
      <c r="D1347">
        <v>13</v>
      </c>
      <c r="E1347" t="str">
        <f>_xlfn.CONCAT(makulatura4[[#This Row],[Imie]]," ",makulatura4[[#This Row],[Nazwisko]])</f>
        <v>Alina Warta</v>
      </c>
    </row>
    <row r="1348" spans="1:5" x14ac:dyDescent="0.25">
      <c r="A1348" s="1">
        <v>42971</v>
      </c>
      <c r="B1348" s="2" t="s">
        <v>393</v>
      </c>
      <c r="C1348" s="2" t="s">
        <v>398</v>
      </c>
      <c r="D1348">
        <v>27</v>
      </c>
      <c r="E1348" t="str">
        <f>_xlfn.CONCAT(makulatura4[[#This Row],[Imie]]," ",makulatura4[[#This Row],[Nazwisko]])</f>
        <v>Kacper Nikolajew</v>
      </c>
    </row>
    <row r="1349" spans="1:5" x14ac:dyDescent="0.25">
      <c r="A1349" s="1">
        <v>42971</v>
      </c>
      <c r="B1349" s="2" t="s">
        <v>155</v>
      </c>
      <c r="C1349" s="2" t="s">
        <v>650</v>
      </c>
      <c r="D1349">
        <v>18</v>
      </c>
      <c r="E1349" t="str">
        <f>_xlfn.CONCAT(makulatura4[[#This Row],[Imie]]," ",makulatura4[[#This Row],[Nazwisko]])</f>
        <v>Jacek Bigaj</v>
      </c>
    </row>
    <row r="1350" spans="1:5" x14ac:dyDescent="0.25">
      <c r="A1350" s="1">
        <v>42971</v>
      </c>
      <c r="B1350" s="2" t="s">
        <v>171</v>
      </c>
      <c r="C1350" s="2" t="s">
        <v>651</v>
      </c>
      <c r="D1350">
        <v>42</v>
      </c>
      <c r="E1350" t="str">
        <f>_xlfn.CONCAT(makulatura4[[#This Row],[Imie]]," ",makulatura4[[#This Row],[Nazwisko]])</f>
        <v>Zofia Adamiak</v>
      </c>
    </row>
    <row r="1351" spans="1:5" x14ac:dyDescent="0.25">
      <c r="A1351" s="1">
        <v>42971</v>
      </c>
      <c r="B1351" s="2" t="s">
        <v>280</v>
      </c>
      <c r="C1351" s="2" t="s">
        <v>281</v>
      </c>
      <c r="D1351">
        <v>9</v>
      </c>
      <c r="E1351" t="str">
        <f>_xlfn.CONCAT(makulatura4[[#This Row],[Imie]]," ",makulatura4[[#This Row],[Nazwisko]])</f>
        <v>Kamila Wolan</v>
      </c>
    </row>
    <row r="1352" spans="1:5" x14ac:dyDescent="0.25">
      <c r="A1352" s="1">
        <v>42971</v>
      </c>
      <c r="B1352" s="2" t="s">
        <v>83</v>
      </c>
      <c r="C1352" s="2" t="s">
        <v>513</v>
      </c>
      <c r="D1352">
        <v>22</v>
      </c>
      <c r="E1352" t="str">
        <f>_xlfn.CONCAT(makulatura4[[#This Row],[Imie]]," ",makulatura4[[#This Row],[Nazwisko]])</f>
        <v>Jan Gumowski</v>
      </c>
    </row>
    <row r="1353" spans="1:5" x14ac:dyDescent="0.25">
      <c r="A1353" s="1">
        <v>42971</v>
      </c>
      <c r="B1353" s="2" t="s">
        <v>34</v>
      </c>
      <c r="C1353" s="2" t="s">
        <v>481</v>
      </c>
      <c r="D1353">
        <v>47</v>
      </c>
      <c r="E1353" t="str">
        <f>_xlfn.CONCAT(makulatura4[[#This Row],[Imie]]," ",makulatura4[[#This Row],[Nazwisko]])</f>
        <v>Julia Saska</v>
      </c>
    </row>
    <row r="1354" spans="1:5" x14ac:dyDescent="0.25">
      <c r="A1354" s="1">
        <v>42972</v>
      </c>
      <c r="B1354" s="2" t="s">
        <v>632</v>
      </c>
      <c r="C1354" s="2" t="s">
        <v>647</v>
      </c>
      <c r="D1354">
        <v>55</v>
      </c>
      <c r="E1354" t="str">
        <f>_xlfn.CONCAT(makulatura4[[#This Row],[Imie]]," ",makulatura4[[#This Row],[Nazwisko]])</f>
        <v>Gabriela Oleszkiewicz</v>
      </c>
    </row>
    <row r="1355" spans="1:5" x14ac:dyDescent="0.25">
      <c r="A1355" s="1">
        <v>42972</v>
      </c>
      <c r="B1355" s="2" t="s">
        <v>41</v>
      </c>
      <c r="C1355" s="2" t="s">
        <v>238</v>
      </c>
      <c r="D1355">
        <v>9</v>
      </c>
      <c r="E1355" t="str">
        <f>_xlfn.CONCAT(makulatura4[[#This Row],[Imie]]," ",makulatura4[[#This Row],[Nazwisko]])</f>
        <v>Marta Robak</v>
      </c>
    </row>
    <row r="1356" spans="1:5" x14ac:dyDescent="0.25">
      <c r="A1356" s="1">
        <v>42972</v>
      </c>
      <c r="B1356" s="2" t="s">
        <v>12</v>
      </c>
      <c r="C1356" s="2" t="s">
        <v>13</v>
      </c>
      <c r="D1356">
        <v>27</v>
      </c>
      <c r="E1356" t="str">
        <f>_xlfn.CONCAT(makulatura4[[#This Row],[Imie]]," ",makulatura4[[#This Row],[Nazwisko]])</f>
        <v>Maja Kulkowska</v>
      </c>
    </row>
    <row r="1357" spans="1:5" x14ac:dyDescent="0.25">
      <c r="A1357" s="1">
        <v>42972</v>
      </c>
      <c r="B1357" s="2" t="s">
        <v>131</v>
      </c>
      <c r="C1357" s="2" t="s">
        <v>451</v>
      </c>
      <c r="D1357">
        <v>11</v>
      </c>
      <c r="E1357" t="str">
        <f>_xlfn.CONCAT(makulatura4[[#This Row],[Imie]]," ",makulatura4[[#This Row],[Nazwisko]])</f>
        <v>Ewelina Bialkowska</v>
      </c>
    </row>
    <row r="1358" spans="1:5" x14ac:dyDescent="0.25">
      <c r="A1358" s="1">
        <v>42972</v>
      </c>
      <c r="B1358" s="2" t="s">
        <v>39</v>
      </c>
      <c r="C1358" s="2" t="s">
        <v>289</v>
      </c>
      <c r="D1358">
        <v>42</v>
      </c>
      <c r="E1358" t="str">
        <f>_xlfn.CONCAT(makulatura4[[#This Row],[Imie]]," ",makulatura4[[#This Row],[Nazwisko]])</f>
        <v>Jakub Bracik</v>
      </c>
    </row>
    <row r="1359" spans="1:5" x14ac:dyDescent="0.25">
      <c r="A1359" s="1">
        <v>42972</v>
      </c>
      <c r="B1359" s="2" t="s">
        <v>133</v>
      </c>
      <c r="C1359" s="2" t="s">
        <v>652</v>
      </c>
      <c r="D1359">
        <v>8</v>
      </c>
      <c r="E1359" t="str">
        <f>_xlfn.CONCAT(makulatura4[[#This Row],[Imie]]," ",makulatura4[[#This Row],[Nazwisko]])</f>
        <v>Dominika Duszynska</v>
      </c>
    </row>
    <row r="1360" spans="1:5" x14ac:dyDescent="0.25">
      <c r="A1360" s="1">
        <v>42972</v>
      </c>
      <c r="B1360" s="2" t="s">
        <v>244</v>
      </c>
      <c r="C1360" s="2" t="s">
        <v>245</v>
      </c>
      <c r="D1360">
        <v>39</v>
      </c>
      <c r="E1360" t="str">
        <f>_xlfn.CONCAT(makulatura4[[#This Row],[Imie]]," ",makulatura4[[#This Row],[Nazwisko]])</f>
        <v>Adela Waruszewska</v>
      </c>
    </row>
    <row r="1361" spans="1:5" x14ac:dyDescent="0.25">
      <c r="A1361" s="1">
        <v>42972</v>
      </c>
      <c r="B1361" s="2" t="s">
        <v>193</v>
      </c>
      <c r="C1361" s="2" t="s">
        <v>406</v>
      </c>
      <c r="D1361">
        <v>26</v>
      </c>
      <c r="E1361" t="str">
        <f>_xlfn.CONCAT(makulatura4[[#This Row],[Imie]]," ",makulatura4[[#This Row],[Nazwisko]])</f>
        <v>Karolina Mikos</v>
      </c>
    </row>
    <row r="1362" spans="1:5" x14ac:dyDescent="0.25">
      <c r="A1362" s="1">
        <v>42975</v>
      </c>
      <c r="B1362" s="2" t="s">
        <v>32</v>
      </c>
      <c r="C1362" s="2" t="s">
        <v>33</v>
      </c>
      <c r="D1362">
        <v>28</v>
      </c>
      <c r="E1362" t="str">
        <f>_xlfn.CONCAT(makulatura4[[#This Row],[Imie]]," ",makulatura4[[#This Row],[Nazwisko]])</f>
        <v>Daria Zagrobna</v>
      </c>
    </row>
    <row r="1363" spans="1:5" x14ac:dyDescent="0.25">
      <c r="A1363" s="1">
        <v>42975</v>
      </c>
      <c r="B1363" s="2" t="s">
        <v>114</v>
      </c>
      <c r="C1363" s="2" t="s">
        <v>653</v>
      </c>
      <c r="D1363">
        <v>40</v>
      </c>
      <c r="E1363" t="str">
        <f>_xlfn.CONCAT(makulatura4[[#This Row],[Imie]]," ",makulatura4[[#This Row],[Nazwisko]])</f>
        <v>Jaroslaw Kopytko</v>
      </c>
    </row>
    <row r="1364" spans="1:5" x14ac:dyDescent="0.25">
      <c r="A1364" s="1">
        <v>42975</v>
      </c>
      <c r="B1364" s="2" t="s">
        <v>203</v>
      </c>
      <c r="C1364" s="2" t="s">
        <v>370</v>
      </c>
      <c r="D1364">
        <v>17</v>
      </c>
      <c r="E1364" t="str">
        <f>_xlfn.CONCAT(makulatura4[[#This Row],[Imie]]," ",makulatura4[[#This Row],[Nazwisko]])</f>
        <v>Igor Rybinski</v>
      </c>
    </row>
    <row r="1365" spans="1:5" x14ac:dyDescent="0.25">
      <c r="A1365" s="1">
        <v>42975</v>
      </c>
      <c r="B1365" s="2" t="s">
        <v>299</v>
      </c>
      <c r="C1365" s="2" t="s">
        <v>482</v>
      </c>
      <c r="D1365">
        <v>2</v>
      </c>
      <c r="E1365" t="str">
        <f>_xlfn.CONCAT(makulatura4[[#This Row],[Imie]]," ",makulatura4[[#This Row],[Nazwisko]])</f>
        <v>Zbigniew Maciag</v>
      </c>
    </row>
    <row r="1366" spans="1:5" x14ac:dyDescent="0.25">
      <c r="A1366" s="1">
        <v>42975</v>
      </c>
      <c r="B1366" s="2" t="s">
        <v>106</v>
      </c>
      <c r="C1366" s="2" t="s">
        <v>277</v>
      </c>
      <c r="D1366">
        <v>22</v>
      </c>
      <c r="E1366" t="str">
        <f>_xlfn.CONCAT(makulatura4[[#This Row],[Imie]]," ",makulatura4[[#This Row],[Nazwisko]])</f>
        <v>Lena Marzec</v>
      </c>
    </row>
    <row r="1367" spans="1:5" x14ac:dyDescent="0.25">
      <c r="A1367" s="1">
        <v>42975</v>
      </c>
      <c r="B1367" s="2" t="s">
        <v>39</v>
      </c>
      <c r="C1367" s="2" t="s">
        <v>289</v>
      </c>
      <c r="D1367">
        <v>18</v>
      </c>
      <c r="E1367" t="str">
        <f>_xlfn.CONCAT(makulatura4[[#This Row],[Imie]]," ",makulatura4[[#This Row],[Nazwisko]])</f>
        <v>Jakub Bracik</v>
      </c>
    </row>
    <row r="1368" spans="1:5" x14ac:dyDescent="0.25">
      <c r="A1368" s="1">
        <v>42975</v>
      </c>
      <c r="B1368" s="2" t="s">
        <v>83</v>
      </c>
      <c r="C1368" s="2" t="s">
        <v>561</v>
      </c>
      <c r="D1368">
        <v>35</v>
      </c>
      <c r="E1368" t="str">
        <f>_xlfn.CONCAT(makulatura4[[#This Row],[Imie]]," ",makulatura4[[#This Row],[Nazwisko]])</f>
        <v>Jan Jarek</v>
      </c>
    </row>
    <row r="1369" spans="1:5" x14ac:dyDescent="0.25">
      <c r="A1369" s="1">
        <v>42975</v>
      </c>
      <c r="B1369" s="2" t="s">
        <v>178</v>
      </c>
      <c r="C1369" s="2" t="s">
        <v>335</v>
      </c>
      <c r="D1369">
        <v>7</v>
      </c>
      <c r="E1369" t="str">
        <f>_xlfn.CONCAT(makulatura4[[#This Row],[Imie]]," ",makulatura4[[#This Row],[Nazwisko]])</f>
        <v>Malgorzata Winiarska</v>
      </c>
    </row>
    <row r="1370" spans="1:5" x14ac:dyDescent="0.25">
      <c r="A1370" s="1">
        <v>42975</v>
      </c>
      <c r="B1370" s="2" t="s">
        <v>280</v>
      </c>
      <c r="C1370" s="2" t="s">
        <v>447</v>
      </c>
      <c r="D1370">
        <v>12</v>
      </c>
      <c r="E1370" t="str">
        <f>_xlfn.CONCAT(makulatura4[[#This Row],[Imie]]," ",makulatura4[[#This Row],[Nazwisko]])</f>
        <v>Kamila Janas</v>
      </c>
    </row>
    <row r="1371" spans="1:5" x14ac:dyDescent="0.25">
      <c r="A1371" s="1">
        <v>42975</v>
      </c>
      <c r="B1371" s="2" t="s">
        <v>139</v>
      </c>
      <c r="C1371" s="2" t="s">
        <v>654</v>
      </c>
      <c r="D1371">
        <v>32</v>
      </c>
      <c r="E1371" t="str">
        <f>_xlfn.CONCAT(makulatura4[[#This Row],[Imie]]," ",makulatura4[[#This Row],[Nazwisko]])</f>
        <v>Mariola Mleczko</v>
      </c>
    </row>
    <row r="1372" spans="1:5" x14ac:dyDescent="0.25">
      <c r="A1372" s="1">
        <v>42976</v>
      </c>
      <c r="B1372" s="2" t="s">
        <v>45</v>
      </c>
      <c r="C1372" s="2" t="s">
        <v>388</v>
      </c>
      <c r="D1372">
        <v>22</v>
      </c>
      <c r="E1372" t="str">
        <f>_xlfn.CONCAT(makulatura4[[#This Row],[Imie]]," ",makulatura4[[#This Row],[Nazwisko]])</f>
        <v>Zuzanna Kalisz</v>
      </c>
    </row>
    <row r="1373" spans="1:5" x14ac:dyDescent="0.25">
      <c r="A1373" s="1">
        <v>42976</v>
      </c>
      <c r="B1373" s="2" t="s">
        <v>97</v>
      </c>
      <c r="C1373" s="2" t="s">
        <v>579</v>
      </c>
      <c r="D1373">
        <v>25</v>
      </c>
      <c r="E1373" t="str">
        <f>_xlfn.CONCAT(makulatura4[[#This Row],[Imie]]," ",makulatura4[[#This Row],[Nazwisko]])</f>
        <v>Mateusz Koszlaga</v>
      </c>
    </row>
    <row r="1374" spans="1:5" x14ac:dyDescent="0.25">
      <c r="A1374" s="1">
        <v>42976</v>
      </c>
      <c r="B1374" s="2" t="s">
        <v>640</v>
      </c>
      <c r="C1374" s="2" t="s">
        <v>655</v>
      </c>
      <c r="D1374">
        <v>25</v>
      </c>
      <c r="E1374" t="str">
        <f>_xlfn.CONCAT(makulatura4[[#This Row],[Imie]]," ",makulatura4[[#This Row],[Nazwisko]])</f>
        <v>Amelia Wicher</v>
      </c>
    </row>
    <row r="1375" spans="1:5" x14ac:dyDescent="0.25">
      <c r="A1375" s="1">
        <v>42976</v>
      </c>
      <c r="B1375" s="2" t="s">
        <v>409</v>
      </c>
      <c r="C1375" s="2" t="s">
        <v>656</v>
      </c>
      <c r="D1375">
        <v>6</v>
      </c>
      <c r="E1375" t="str">
        <f>_xlfn.CONCAT(makulatura4[[#This Row],[Imie]]," ",makulatura4[[#This Row],[Nazwisko]])</f>
        <v>Wiktor Berezniewicz</v>
      </c>
    </row>
    <row r="1376" spans="1:5" x14ac:dyDescent="0.25">
      <c r="A1376" s="1">
        <v>42976</v>
      </c>
      <c r="B1376" s="2" t="s">
        <v>310</v>
      </c>
      <c r="C1376" s="2" t="s">
        <v>641</v>
      </c>
      <c r="D1376">
        <v>50</v>
      </c>
      <c r="E1376" t="str">
        <f>_xlfn.CONCAT(makulatura4[[#This Row],[Imie]]," ",makulatura4[[#This Row],[Nazwisko]])</f>
        <v>Antoni Sobieski</v>
      </c>
    </row>
    <row r="1377" spans="1:5" x14ac:dyDescent="0.25">
      <c r="A1377" s="1">
        <v>42976</v>
      </c>
      <c r="B1377" s="2" t="s">
        <v>77</v>
      </c>
      <c r="C1377" s="2" t="s">
        <v>78</v>
      </c>
      <c r="D1377">
        <v>16</v>
      </c>
      <c r="E1377" t="str">
        <f>_xlfn.CONCAT(makulatura4[[#This Row],[Imie]]," ",makulatura4[[#This Row],[Nazwisko]])</f>
        <v>Hubert Smyk</v>
      </c>
    </row>
    <row r="1378" spans="1:5" x14ac:dyDescent="0.25">
      <c r="A1378" s="1">
        <v>42976</v>
      </c>
      <c r="B1378" s="2" t="s">
        <v>201</v>
      </c>
      <c r="C1378" s="2" t="s">
        <v>357</v>
      </c>
      <c r="D1378">
        <v>23</v>
      </c>
      <c r="E1378" t="str">
        <f>_xlfn.CONCAT(makulatura4[[#This Row],[Imie]]," ",makulatura4[[#This Row],[Nazwisko]])</f>
        <v>Marcin Tabaka</v>
      </c>
    </row>
    <row r="1379" spans="1:5" x14ac:dyDescent="0.25">
      <c r="A1379" s="1">
        <v>42976</v>
      </c>
      <c r="B1379" s="2" t="s">
        <v>83</v>
      </c>
      <c r="C1379" s="2" t="s">
        <v>615</v>
      </c>
      <c r="D1379">
        <v>7</v>
      </c>
      <c r="E1379" t="str">
        <f>_xlfn.CONCAT(makulatura4[[#This Row],[Imie]]," ",makulatura4[[#This Row],[Nazwisko]])</f>
        <v>Jan Madawik</v>
      </c>
    </row>
    <row r="1380" spans="1:5" x14ac:dyDescent="0.25">
      <c r="A1380" s="1">
        <v>42976</v>
      </c>
      <c r="B1380" s="2" t="s">
        <v>416</v>
      </c>
      <c r="C1380" s="2" t="s">
        <v>417</v>
      </c>
      <c r="D1380">
        <v>6</v>
      </c>
      <c r="E1380" t="str">
        <f>_xlfn.CONCAT(makulatura4[[#This Row],[Imie]]," ",makulatura4[[#This Row],[Nazwisko]])</f>
        <v>Kazimierz Bartosik</v>
      </c>
    </row>
    <row r="1381" spans="1:5" x14ac:dyDescent="0.25">
      <c r="A1381" s="1">
        <v>42976</v>
      </c>
      <c r="B1381" s="2" t="s">
        <v>206</v>
      </c>
      <c r="C1381" s="2" t="s">
        <v>192</v>
      </c>
      <c r="D1381">
        <v>44</v>
      </c>
      <c r="E1381" t="str">
        <f>_xlfn.CONCAT(makulatura4[[#This Row],[Imie]]," ",makulatura4[[#This Row],[Nazwisko]])</f>
        <v>Pawel Nowakowski</v>
      </c>
    </row>
    <row r="1382" spans="1:5" x14ac:dyDescent="0.25">
      <c r="A1382" s="1">
        <v>42977</v>
      </c>
      <c r="B1382" s="2" t="s">
        <v>51</v>
      </c>
      <c r="C1382" s="2" t="s">
        <v>621</v>
      </c>
      <c r="D1382">
        <v>33</v>
      </c>
      <c r="E1382" t="str">
        <f>_xlfn.CONCAT(makulatura4[[#This Row],[Imie]]," ",makulatura4[[#This Row],[Nazwisko]])</f>
        <v>Barbara Kiel</v>
      </c>
    </row>
    <row r="1383" spans="1:5" x14ac:dyDescent="0.25">
      <c r="A1383" s="1">
        <v>42977</v>
      </c>
      <c r="B1383" s="2" t="s">
        <v>43</v>
      </c>
      <c r="C1383" s="2" t="s">
        <v>507</v>
      </c>
      <c r="D1383">
        <v>26</v>
      </c>
      <c r="E1383" t="str">
        <f>_xlfn.CONCAT(makulatura4[[#This Row],[Imie]]," ",makulatura4[[#This Row],[Nazwisko]])</f>
        <v>Andrzej Nawwrot</v>
      </c>
    </row>
    <row r="1384" spans="1:5" x14ac:dyDescent="0.25">
      <c r="A1384" s="1">
        <v>42977</v>
      </c>
      <c r="B1384" s="2" t="s">
        <v>39</v>
      </c>
      <c r="C1384" s="2" t="s">
        <v>609</v>
      </c>
      <c r="D1384">
        <v>18</v>
      </c>
      <c r="E1384" t="str">
        <f>_xlfn.CONCAT(makulatura4[[#This Row],[Imie]]," ",makulatura4[[#This Row],[Nazwisko]])</f>
        <v>Jakub Radomski</v>
      </c>
    </row>
    <row r="1385" spans="1:5" x14ac:dyDescent="0.25">
      <c r="A1385" s="1">
        <v>42977</v>
      </c>
      <c r="B1385" s="2" t="s">
        <v>16</v>
      </c>
      <c r="C1385" s="2" t="s">
        <v>440</v>
      </c>
      <c r="D1385">
        <v>5</v>
      </c>
      <c r="E1385" t="str">
        <f>_xlfn.CONCAT(makulatura4[[#This Row],[Imie]]," ",makulatura4[[#This Row],[Nazwisko]])</f>
        <v>Balbina Madej</v>
      </c>
    </row>
    <row r="1386" spans="1:5" x14ac:dyDescent="0.25">
      <c r="A1386" s="1">
        <v>42977</v>
      </c>
      <c r="B1386" s="2" t="s">
        <v>150</v>
      </c>
      <c r="C1386" s="2" t="s">
        <v>556</v>
      </c>
      <c r="D1386">
        <v>4</v>
      </c>
      <c r="E1386" t="str">
        <f>_xlfn.CONCAT(makulatura4[[#This Row],[Imie]]," ",makulatura4[[#This Row],[Nazwisko]])</f>
        <v>Krzysztof Plecien</v>
      </c>
    </row>
    <row r="1387" spans="1:5" x14ac:dyDescent="0.25">
      <c r="A1387" s="1">
        <v>42977</v>
      </c>
      <c r="B1387" s="2" t="s">
        <v>34</v>
      </c>
      <c r="C1387" s="2" t="s">
        <v>182</v>
      </c>
      <c r="D1387">
        <v>4</v>
      </c>
      <c r="E1387" t="str">
        <f>_xlfn.CONCAT(makulatura4[[#This Row],[Imie]]," ",makulatura4[[#This Row],[Nazwisko]])</f>
        <v>Julia Kielecka</v>
      </c>
    </row>
    <row r="1388" spans="1:5" x14ac:dyDescent="0.25">
      <c r="A1388" s="1">
        <v>42977</v>
      </c>
      <c r="B1388" s="2" t="s">
        <v>39</v>
      </c>
      <c r="C1388" s="2" t="s">
        <v>436</v>
      </c>
      <c r="D1388">
        <v>43</v>
      </c>
      <c r="E1388" t="str">
        <f>_xlfn.CONCAT(makulatura4[[#This Row],[Imie]]," ",makulatura4[[#This Row],[Nazwisko]])</f>
        <v>Jakub Holmes</v>
      </c>
    </row>
    <row r="1389" spans="1:5" x14ac:dyDescent="0.25">
      <c r="A1389" s="1">
        <v>42977</v>
      </c>
      <c r="B1389" s="2" t="s">
        <v>75</v>
      </c>
      <c r="C1389" s="2" t="s">
        <v>500</v>
      </c>
      <c r="D1389">
        <v>48</v>
      </c>
      <c r="E1389" t="str">
        <f>_xlfn.CONCAT(makulatura4[[#This Row],[Imie]]," ",makulatura4[[#This Row],[Nazwisko]])</f>
        <v>Hanna Stankiewicz</v>
      </c>
    </row>
    <row r="1390" spans="1:5" x14ac:dyDescent="0.25">
      <c r="A1390" s="1">
        <v>42977</v>
      </c>
      <c r="B1390" s="2" t="s">
        <v>273</v>
      </c>
      <c r="C1390" s="2" t="s">
        <v>274</v>
      </c>
      <c r="D1390">
        <v>12</v>
      </c>
      <c r="E1390" t="str">
        <f>_xlfn.CONCAT(makulatura4[[#This Row],[Imie]]," ",makulatura4[[#This Row],[Nazwisko]])</f>
        <v>Luiza Makowska</v>
      </c>
    </row>
    <row r="1391" spans="1:5" x14ac:dyDescent="0.25">
      <c r="A1391" s="1">
        <v>42977</v>
      </c>
      <c r="B1391" s="2" t="s">
        <v>503</v>
      </c>
      <c r="C1391" s="2" t="s">
        <v>183</v>
      </c>
      <c r="D1391">
        <v>21</v>
      </c>
      <c r="E1391" t="str">
        <f>_xlfn.CONCAT(makulatura4[[#This Row],[Imie]]," ",makulatura4[[#This Row],[Nazwisko]])</f>
        <v>Ewaryst Zdunek</v>
      </c>
    </row>
    <row r="1392" spans="1:5" x14ac:dyDescent="0.25">
      <c r="A1392" s="1">
        <v>42978</v>
      </c>
      <c r="B1392" s="2" t="s">
        <v>39</v>
      </c>
      <c r="C1392" s="2" t="s">
        <v>657</v>
      </c>
      <c r="D1392">
        <v>21</v>
      </c>
      <c r="E1392" t="str">
        <f>_xlfn.CONCAT(makulatura4[[#This Row],[Imie]]," ",makulatura4[[#This Row],[Nazwisko]])</f>
        <v>Jakub Przytula</v>
      </c>
    </row>
    <row r="1393" spans="1:5" x14ac:dyDescent="0.25">
      <c r="A1393" s="1">
        <v>42978</v>
      </c>
      <c r="B1393" s="2" t="s">
        <v>36</v>
      </c>
      <c r="C1393" s="2" t="s">
        <v>306</v>
      </c>
      <c r="D1393">
        <v>2</v>
      </c>
      <c r="E1393" t="str">
        <f>_xlfn.CONCAT(makulatura4[[#This Row],[Imie]]," ",makulatura4[[#This Row],[Nazwisko]])</f>
        <v>Piotr Kaleta</v>
      </c>
    </row>
    <row r="1394" spans="1:5" x14ac:dyDescent="0.25">
      <c r="A1394" s="1">
        <v>42978</v>
      </c>
      <c r="B1394" s="2" t="s">
        <v>83</v>
      </c>
      <c r="C1394" s="2" t="s">
        <v>658</v>
      </c>
      <c r="D1394">
        <v>14</v>
      </c>
      <c r="E1394" t="str">
        <f>_xlfn.CONCAT(makulatura4[[#This Row],[Imie]]," ",makulatura4[[#This Row],[Nazwisko]])</f>
        <v>Jan Pietraszczyk</v>
      </c>
    </row>
    <row r="1395" spans="1:5" x14ac:dyDescent="0.25">
      <c r="A1395" s="1">
        <v>42978</v>
      </c>
      <c r="B1395" s="2" t="s">
        <v>67</v>
      </c>
      <c r="C1395" s="2" t="s">
        <v>301</v>
      </c>
      <c r="D1395">
        <v>26</v>
      </c>
      <c r="E1395" t="str">
        <f>_xlfn.CONCAT(makulatura4[[#This Row],[Imie]]," ",makulatura4[[#This Row],[Nazwisko]])</f>
        <v>Bartosz Tusinski</v>
      </c>
    </row>
    <row r="1396" spans="1:5" x14ac:dyDescent="0.25">
      <c r="A1396" s="1">
        <v>42978</v>
      </c>
      <c r="B1396" s="2" t="s">
        <v>97</v>
      </c>
      <c r="C1396" s="2" t="s">
        <v>309</v>
      </c>
      <c r="D1396">
        <v>44</v>
      </c>
      <c r="E1396" t="str">
        <f>_xlfn.CONCAT(makulatura4[[#This Row],[Imie]]," ",makulatura4[[#This Row],[Nazwisko]])</f>
        <v>Mateusz Filipowicz</v>
      </c>
    </row>
    <row r="1397" spans="1:5" x14ac:dyDescent="0.25">
      <c r="A1397" s="1">
        <v>42978</v>
      </c>
      <c r="B1397" s="2" t="s">
        <v>133</v>
      </c>
      <c r="C1397" s="2" t="s">
        <v>499</v>
      </c>
      <c r="D1397">
        <v>31</v>
      </c>
      <c r="E1397" t="str">
        <f>_xlfn.CONCAT(makulatura4[[#This Row],[Imie]]," ",makulatura4[[#This Row],[Nazwisko]])</f>
        <v>Dominika Szwec</v>
      </c>
    </row>
    <row r="1398" spans="1:5" x14ac:dyDescent="0.25">
      <c r="A1398" s="1">
        <v>42978</v>
      </c>
      <c r="B1398" s="2" t="s">
        <v>63</v>
      </c>
      <c r="C1398" s="2" t="s">
        <v>231</v>
      </c>
      <c r="D1398">
        <v>29</v>
      </c>
      <c r="E1398" t="str">
        <f>_xlfn.CONCAT(makulatura4[[#This Row],[Imie]]," ",makulatura4[[#This Row],[Nazwisko]])</f>
        <v>Adrian Yuksek</v>
      </c>
    </row>
    <row r="1399" spans="1:5" x14ac:dyDescent="0.25">
      <c r="A1399" s="1">
        <v>42978</v>
      </c>
      <c r="B1399" s="2" t="s">
        <v>39</v>
      </c>
      <c r="C1399" s="2" t="s">
        <v>436</v>
      </c>
      <c r="D1399">
        <v>13</v>
      </c>
      <c r="E1399" t="str">
        <f>_xlfn.CONCAT(makulatura4[[#This Row],[Imie]]," ",makulatura4[[#This Row],[Nazwisko]])</f>
        <v>Jakub Holmes</v>
      </c>
    </row>
    <row r="1400" spans="1:5" x14ac:dyDescent="0.25">
      <c r="A1400" s="1">
        <v>42978</v>
      </c>
      <c r="B1400" s="2" t="s">
        <v>593</v>
      </c>
      <c r="C1400" s="2" t="s">
        <v>659</v>
      </c>
      <c r="D1400">
        <v>28</v>
      </c>
      <c r="E1400" t="str">
        <f>_xlfn.CONCAT(makulatura4[[#This Row],[Imie]]," ",makulatura4[[#This Row],[Nazwisko]])</f>
        <v>Olga Kilecka</v>
      </c>
    </row>
    <row r="1401" spans="1:5" x14ac:dyDescent="0.25">
      <c r="A1401" s="1">
        <v>42978</v>
      </c>
      <c r="B1401" s="2" t="s">
        <v>23</v>
      </c>
      <c r="C1401" s="2" t="s">
        <v>163</v>
      </c>
      <c r="D1401">
        <v>23</v>
      </c>
      <c r="E1401" t="str">
        <f>_xlfn.CONCAT(makulatura4[[#This Row],[Imie]]," ",makulatura4[[#This Row],[Nazwisko]])</f>
        <v>Alicja Chmiel</v>
      </c>
    </row>
    <row r="1402" spans="1:5" x14ac:dyDescent="0.25">
      <c r="A1402" s="1">
        <v>42979</v>
      </c>
      <c r="B1402" s="2" t="s">
        <v>57</v>
      </c>
      <c r="C1402" s="2" t="s">
        <v>58</v>
      </c>
      <c r="D1402">
        <v>5</v>
      </c>
      <c r="E1402" t="str">
        <f>_xlfn.CONCAT(makulatura4[[#This Row],[Imie]]," ",makulatura4[[#This Row],[Nazwisko]])</f>
        <v>Patrycja Glowinska</v>
      </c>
    </row>
    <row r="1403" spans="1:5" x14ac:dyDescent="0.25">
      <c r="A1403" s="1">
        <v>42979</v>
      </c>
      <c r="B1403" s="2" t="s">
        <v>14</v>
      </c>
      <c r="C1403" s="2" t="s">
        <v>660</v>
      </c>
      <c r="D1403">
        <v>16</v>
      </c>
      <c r="E1403" t="str">
        <f>_xlfn.CONCAT(makulatura4[[#This Row],[Imie]]," ",makulatura4[[#This Row],[Nazwisko]])</f>
        <v>Patryk Gibas</v>
      </c>
    </row>
    <row r="1404" spans="1:5" x14ac:dyDescent="0.25">
      <c r="A1404" s="1">
        <v>42979</v>
      </c>
      <c r="B1404" s="2" t="s">
        <v>327</v>
      </c>
      <c r="C1404" s="2" t="s">
        <v>102</v>
      </c>
      <c r="D1404">
        <v>21</v>
      </c>
      <c r="E1404" t="str">
        <f>_xlfn.CONCAT(makulatura4[[#This Row],[Imie]]," ",makulatura4[[#This Row],[Nazwisko]])</f>
        <v>Anastazja Borowska</v>
      </c>
    </row>
    <row r="1405" spans="1:5" x14ac:dyDescent="0.25">
      <c r="A1405" s="1">
        <v>42979</v>
      </c>
      <c r="B1405" s="2" t="s">
        <v>593</v>
      </c>
      <c r="C1405" s="2" t="s">
        <v>659</v>
      </c>
      <c r="D1405">
        <v>46</v>
      </c>
      <c r="E1405" t="str">
        <f>_xlfn.CONCAT(makulatura4[[#This Row],[Imie]]," ",makulatura4[[#This Row],[Nazwisko]])</f>
        <v>Olga Kilecka</v>
      </c>
    </row>
    <row r="1406" spans="1:5" x14ac:dyDescent="0.25">
      <c r="A1406" s="1">
        <v>42979</v>
      </c>
      <c r="B1406" s="2" t="s">
        <v>576</v>
      </c>
      <c r="C1406" s="2" t="s">
        <v>577</v>
      </c>
      <c r="D1406">
        <v>39</v>
      </c>
      <c r="E1406" t="str">
        <f>_xlfn.CONCAT(makulatura4[[#This Row],[Imie]]," ",makulatura4[[#This Row],[Nazwisko]])</f>
        <v>Mikolaj Beniuszys</v>
      </c>
    </row>
    <row r="1407" spans="1:5" x14ac:dyDescent="0.25">
      <c r="A1407" s="1">
        <v>42979</v>
      </c>
      <c r="B1407" s="2" t="s">
        <v>178</v>
      </c>
      <c r="C1407" s="2" t="s">
        <v>333</v>
      </c>
      <c r="D1407">
        <v>18</v>
      </c>
      <c r="E1407" t="str">
        <f>_xlfn.CONCAT(makulatura4[[#This Row],[Imie]]," ",makulatura4[[#This Row],[Nazwisko]])</f>
        <v>Malgorzata Malec</v>
      </c>
    </row>
    <row r="1408" spans="1:5" x14ac:dyDescent="0.25">
      <c r="A1408" s="1">
        <v>42979</v>
      </c>
      <c r="B1408" s="2" t="s">
        <v>519</v>
      </c>
      <c r="C1408" s="2" t="s">
        <v>661</v>
      </c>
      <c r="D1408">
        <v>47</v>
      </c>
      <c r="E1408" t="str">
        <f>_xlfn.CONCAT(makulatura4[[#This Row],[Imie]]," ",makulatura4[[#This Row],[Nazwisko]])</f>
        <v>Waldemar Koronski</v>
      </c>
    </row>
    <row r="1409" spans="1:5" x14ac:dyDescent="0.25">
      <c r="A1409" s="1">
        <v>42979</v>
      </c>
      <c r="B1409" s="2" t="s">
        <v>128</v>
      </c>
      <c r="C1409" s="2" t="s">
        <v>129</v>
      </c>
      <c r="D1409">
        <v>23</v>
      </c>
      <c r="E1409" t="str">
        <f>_xlfn.CONCAT(makulatura4[[#This Row],[Imie]]," ",makulatura4[[#This Row],[Nazwisko]])</f>
        <v>Wojciech Katowicki</v>
      </c>
    </row>
    <row r="1410" spans="1:5" x14ac:dyDescent="0.25">
      <c r="A1410" s="1">
        <v>42979</v>
      </c>
      <c r="B1410" s="2" t="s">
        <v>14</v>
      </c>
      <c r="C1410" s="2" t="s">
        <v>422</v>
      </c>
      <c r="D1410">
        <v>27</v>
      </c>
      <c r="E1410" t="str">
        <f>_xlfn.CONCAT(makulatura4[[#This Row],[Imie]]," ",makulatura4[[#This Row],[Nazwisko]])</f>
        <v>Patryk Glac</v>
      </c>
    </row>
    <row r="1411" spans="1:5" x14ac:dyDescent="0.25">
      <c r="A1411" s="1">
        <v>42979</v>
      </c>
      <c r="B1411" s="2" t="s">
        <v>20</v>
      </c>
      <c r="C1411" s="2" t="s">
        <v>123</v>
      </c>
      <c r="D1411">
        <v>25</v>
      </c>
      <c r="E1411" t="str">
        <f>_xlfn.CONCAT(makulatura4[[#This Row],[Imie]]," ",makulatura4[[#This Row],[Nazwisko]])</f>
        <v>Borys Biedal</v>
      </c>
    </row>
    <row r="1412" spans="1:5" x14ac:dyDescent="0.25">
      <c r="A1412" s="1">
        <v>42982</v>
      </c>
      <c r="B1412" s="2" t="s">
        <v>269</v>
      </c>
      <c r="C1412" s="2" t="s">
        <v>605</v>
      </c>
      <c r="D1412">
        <v>23</v>
      </c>
      <c r="E1412" t="str">
        <f>_xlfn.CONCAT(makulatura4[[#This Row],[Imie]]," ",makulatura4[[#This Row],[Nazwisko]])</f>
        <v>Marcel Lademann</v>
      </c>
    </row>
    <row r="1413" spans="1:5" x14ac:dyDescent="0.25">
      <c r="A1413" s="1">
        <v>42982</v>
      </c>
      <c r="B1413" s="2" t="s">
        <v>514</v>
      </c>
      <c r="C1413" s="2" t="s">
        <v>515</v>
      </c>
      <c r="D1413">
        <v>25</v>
      </c>
      <c r="E1413" t="str">
        <f>_xlfn.CONCAT(makulatura4[[#This Row],[Imie]]," ",makulatura4[[#This Row],[Nazwisko]])</f>
        <v>Ignacy Sarnowski</v>
      </c>
    </row>
    <row r="1414" spans="1:5" x14ac:dyDescent="0.25">
      <c r="A1414" s="1">
        <v>42982</v>
      </c>
      <c r="B1414" s="2" t="s">
        <v>39</v>
      </c>
      <c r="C1414" s="2" t="s">
        <v>657</v>
      </c>
      <c r="D1414">
        <v>16</v>
      </c>
      <c r="E1414" t="str">
        <f>_xlfn.CONCAT(makulatura4[[#This Row],[Imie]]," ",makulatura4[[#This Row],[Nazwisko]])</f>
        <v>Jakub Przytula</v>
      </c>
    </row>
    <row r="1415" spans="1:5" x14ac:dyDescent="0.25">
      <c r="A1415" s="1">
        <v>42982</v>
      </c>
      <c r="B1415" s="2" t="s">
        <v>69</v>
      </c>
      <c r="C1415" s="2" t="s">
        <v>461</v>
      </c>
      <c r="D1415">
        <v>29</v>
      </c>
      <c r="E1415" t="str">
        <f>_xlfn.CONCAT(makulatura4[[#This Row],[Imie]]," ",makulatura4[[#This Row],[Nazwisko]])</f>
        <v>Adam Borkowski</v>
      </c>
    </row>
    <row r="1416" spans="1:5" x14ac:dyDescent="0.25">
      <c r="A1416" s="1">
        <v>42982</v>
      </c>
      <c r="B1416" s="2" t="s">
        <v>329</v>
      </c>
      <c r="C1416" s="2" t="s">
        <v>330</v>
      </c>
      <c r="D1416">
        <v>23</v>
      </c>
      <c r="E1416" t="str">
        <f>_xlfn.CONCAT(makulatura4[[#This Row],[Imie]]," ",makulatura4[[#This Row],[Nazwisko]])</f>
        <v>Martyna Marmelowska</v>
      </c>
    </row>
    <row r="1417" spans="1:5" x14ac:dyDescent="0.25">
      <c r="A1417" s="1">
        <v>42982</v>
      </c>
      <c r="B1417" s="2" t="s">
        <v>47</v>
      </c>
      <c r="C1417" s="2" t="s">
        <v>48</v>
      </c>
      <c r="D1417">
        <v>25</v>
      </c>
      <c r="E1417" t="str">
        <f>_xlfn.CONCAT(makulatura4[[#This Row],[Imie]]," ",makulatura4[[#This Row],[Nazwisko]])</f>
        <v>Marek Bednarski</v>
      </c>
    </row>
    <row r="1418" spans="1:5" x14ac:dyDescent="0.25">
      <c r="A1418" s="1">
        <v>42982</v>
      </c>
      <c r="B1418" s="2" t="s">
        <v>278</v>
      </c>
      <c r="C1418" s="2" t="s">
        <v>202</v>
      </c>
      <c r="D1418">
        <v>14</v>
      </c>
      <c r="E1418" t="str">
        <f>_xlfn.CONCAT(makulatura4[[#This Row],[Imie]]," ",makulatura4[[#This Row],[Nazwisko]])</f>
        <v>Janusz Wrobel</v>
      </c>
    </row>
    <row r="1419" spans="1:5" x14ac:dyDescent="0.25">
      <c r="A1419" s="1">
        <v>42982</v>
      </c>
      <c r="B1419" s="2" t="s">
        <v>114</v>
      </c>
      <c r="C1419" s="2" t="s">
        <v>173</v>
      </c>
      <c r="D1419">
        <v>20</v>
      </c>
      <c r="E1419" t="str">
        <f>_xlfn.CONCAT(makulatura4[[#This Row],[Imie]]," ",makulatura4[[#This Row],[Nazwisko]])</f>
        <v>Jaroslaw Kopiec</v>
      </c>
    </row>
    <row r="1420" spans="1:5" x14ac:dyDescent="0.25">
      <c r="A1420" s="1">
        <v>42982</v>
      </c>
      <c r="B1420" s="2" t="s">
        <v>343</v>
      </c>
      <c r="C1420" s="2" t="s">
        <v>344</v>
      </c>
      <c r="D1420">
        <v>12</v>
      </c>
      <c r="E1420" t="str">
        <f>_xlfn.CONCAT(makulatura4[[#This Row],[Imie]]," ",makulatura4[[#This Row],[Nazwisko]])</f>
        <v>Izabela Skrzydlak</v>
      </c>
    </row>
    <row r="1421" spans="1:5" x14ac:dyDescent="0.25">
      <c r="A1421" s="1">
        <v>42982</v>
      </c>
      <c r="B1421" s="2" t="s">
        <v>97</v>
      </c>
      <c r="C1421" s="2" t="s">
        <v>529</v>
      </c>
      <c r="D1421">
        <v>2</v>
      </c>
      <c r="E1421" t="str">
        <f>_xlfn.CONCAT(makulatura4[[#This Row],[Imie]]," ",makulatura4[[#This Row],[Nazwisko]])</f>
        <v>Mateusz Hajdug</v>
      </c>
    </row>
    <row r="1422" spans="1:5" x14ac:dyDescent="0.25">
      <c r="A1422" s="1">
        <v>42983</v>
      </c>
      <c r="B1422" s="2" t="s">
        <v>34</v>
      </c>
      <c r="C1422" s="2" t="s">
        <v>662</v>
      </c>
      <c r="D1422">
        <v>53</v>
      </c>
      <c r="E1422" t="str">
        <f>_xlfn.CONCAT(makulatura4[[#This Row],[Imie]]," ",makulatura4[[#This Row],[Nazwisko]])</f>
        <v>Julia Riegel</v>
      </c>
    </row>
    <row r="1423" spans="1:5" x14ac:dyDescent="0.25">
      <c r="A1423" s="1">
        <v>42983</v>
      </c>
      <c r="B1423" s="2" t="s">
        <v>280</v>
      </c>
      <c r="C1423" s="2" t="s">
        <v>466</v>
      </c>
      <c r="D1423">
        <v>20</v>
      </c>
      <c r="E1423" t="str">
        <f>_xlfn.CONCAT(makulatura4[[#This Row],[Imie]]," ",makulatura4[[#This Row],[Nazwisko]])</f>
        <v>Kamila Kot</v>
      </c>
    </row>
    <row r="1424" spans="1:5" x14ac:dyDescent="0.25">
      <c r="A1424" s="1">
        <v>42983</v>
      </c>
      <c r="B1424" s="2" t="s">
        <v>479</v>
      </c>
      <c r="C1424" s="2" t="s">
        <v>480</v>
      </c>
      <c r="D1424">
        <v>4</v>
      </c>
      <c r="E1424" t="str">
        <f>_xlfn.CONCAT(makulatura4[[#This Row],[Imie]]," ",makulatura4[[#This Row],[Nazwisko]])</f>
        <v>Eugenia Pieta</v>
      </c>
    </row>
    <row r="1425" spans="1:5" x14ac:dyDescent="0.25">
      <c r="A1425" s="1">
        <v>42983</v>
      </c>
      <c r="B1425" s="2" t="s">
        <v>141</v>
      </c>
      <c r="C1425" s="2" t="s">
        <v>292</v>
      </c>
      <c r="D1425">
        <v>5</v>
      </c>
      <c r="E1425" t="str">
        <f>_xlfn.CONCAT(makulatura4[[#This Row],[Imie]]," ",makulatura4[[#This Row],[Nazwisko]])</f>
        <v>Joanna Zygmunt</v>
      </c>
    </row>
    <row r="1426" spans="1:5" x14ac:dyDescent="0.25">
      <c r="A1426" s="1">
        <v>42983</v>
      </c>
      <c r="B1426" s="2" t="s">
        <v>34</v>
      </c>
      <c r="C1426" s="2" t="s">
        <v>182</v>
      </c>
      <c r="D1426">
        <v>36</v>
      </c>
      <c r="E1426" t="str">
        <f>_xlfn.CONCAT(makulatura4[[#This Row],[Imie]]," ",makulatura4[[#This Row],[Nazwisko]])</f>
        <v>Julia Kielecka</v>
      </c>
    </row>
    <row r="1427" spans="1:5" x14ac:dyDescent="0.25">
      <c r="A1427" s="1">
        <v>42983</v>
      </c>
      <c r="B1427" s="2" t="s">
        <v>442</v>
      </c>
      <c r="C1427" s="2" t="s">
        <v>540</v>
      </c>
      <c r="D1427">
        <v>23</v>
      </c>
      <c r="E1427" t="str">
        <f>_xlfn.CONCAT(makulatura4[[#This Row],[Imie]]," ",makulatura4[[#This Row],[Nazwisko]])</f>
        <v>Nikodem Jakubowski</v>
      </c>
    </row>
    <row r="1428" spans="1:5" x14ac:dyDescent="0.25">
      <c r="A1428" s="1">
        <v>42983</v>
      </c>
      <c r="B1428" s="2" t="s">
        <v>137</v>
      </c>
      <c r="C1428" s="2" t="s">
        <v>138</v>
      </c>
      <c r="D1428">
        <v>6</v>
      </c>
      <c r="E1428" t="str">
        <f>_xlfn.CONCAT(makulatura4[[#This Row],[Imie]]," ",makulatura4[[#This Row],[Nazwisko]])</f>
        <v>Stanislaw Derek</v>
      </c>
    </row>
    <row r="1429" spans="1:5" x14ac:dyDescent="0.25">
      <c r="A1429" s="1">
        <v>42983</v>
      </c>
      <c r="B1429" s="2" t="s">
        <v>133</v>
      </c>
      <c r="C1429" s="2" t="s">
        <v>652</v>
      </c>
      <c r="D1429">
        <v>43</v>
      </c>
      <c r="E1429" t="str">
        <f>_xlfn.CONCAT(makulatura4[[#This Row],[Imie]]," ",makulatura4[[#This Row],[Nazwisko]])</f>
        <v>Dominika Duszynska</v>
      </c>
    </row>
    <row r="1430" spans="1:5" x14ac:dyDescent="0.25">
      <c r="A1430" s="1">
        <v>42983</v>
      </c>
      <c r="B1430" s="2" t="s">
        <v>72</v>
      </c>
      <c r="C1430" s="2" t="s">
        <v>239</v>
      </c>
      <c r="D1430">
        <v>11</v>
      </c>
      <c r="E1430" t="str">
        <f>_xlfn.CONCAT(makulatura4[[#This Row],[Imie]]," ",makulatura4[[#This Row],[Nazwisko]])</f>
        <v>Teodor Olszewski</v>
      </c>
    </row>
    <row r="1431" spans="1:5" x14ac:dyDescent="0.25">
      <c r="A1431" s="1">
        <v>42983</v>
      </c>
      <c r="B1431" s="2" t="s">
        <v>63</v>
      </c>
      <c r="C1431" s="2" t="s">
        <v>64</v>
      </c>
      <c r="D1431">
        <v>9</v>
      </c>
      <c r="E1431" t="str">
        <f>_xlfn.CONCAT(makulatura4[[#This Row],[Imie]]," ",makulatura4[[#This Row],[Nazwisko]])</f>
        <v>Adrian Zawisza</v>
      </c>
    </row>
    <row r="1432" spans="1:5" x14ac:dyDescent="0.25">
      <c r="A1432" s="1">
        <v>42984</v>
      </c>
      <c r="B1432" s="2" t="s">
        <v>150</v>
      </c>
      <c r="C1432" s="2" t="s">
        <v>151</v>
      </c>
      <c r="D1432">
        <v>15</v>
      </c>
      <c r="E1432" t="str">
        <f>_xlfn.CONCAT(makulatura4[[#This Row],[Imie]]," ",makulatura4[[#This Row],[Nazwisko]])</f>
        <v>Krzysztof Konieckiewicz</v>
      </c>
    </row>
    <row r="1433" spans="1:5" x14ac:dyDescent="0.25">
      <c r="A1433" s="1">
        <v>42984</v>
      </c>
      <c r="B1433" s="2" t="s">
        <v>252</v>
      </c>
      <c r="C1433" s="2" t="s">
        <v>253</v>
      </c>
      <c r="D1433">
        <v>2</v>
      </c>
      <c r="E1433" t="str">
        <f>_xlfn.CONCAT(makulatura4[[#This Row],[Imie]]," ",makulatura4[[#This Row],[Nazwisko]])</f>
        <v>Irena Banasiewicz</v>
      </c>
    </row>
    <row r="1434" spans="1:5" x14ac:dyDescent="0.25">
      <c r="A1434" s="1">
        <v>42984</v>
      </c>
      <c r="B1434" s="2" t="s">
        <v>171</v>
      </c>
      <c r="C1434" s="2" t="s">
        <v>562</v>
      </c>
      <c r="D1434">
        <v>10</v>
      </c>
      <c r="E1434" t="str">
        <f>_xlfn.CONCAT(makulatura4[[#This Row],[Imie]]," ",makulatura4[[#This Row],[Nazwisko]])</f>
        <v>Zofia Broszkow</v>
      </c>
    </row>
    <row r="1435" spans="1:5" x14ac:dyDescent="0.25">
      <c r="A1435" s="1">
        <v>42984</v>
      </c>
      <c r="B1435" s="2" t="s">
        <v>355</v>
      </c>
      <c r="C1435" s="2" t="s">
        <v>497</v>
      </c>
      <c r="D1435">
        <v>55</v>
      </c>
      <c r="E1435" t="str">
        <f>_xlfn.CONCAT(makulatura4[[#This Row],[Imie]]," ",makulatura4[[#This Row],[Nazwisko]])</f>
        <v>Janina Kaczynska</v>
      </c>
    </row>
    <row r="1436" spans="1:5" x14ac:dyDescent="0.25">
      <c r="A1436" s="1">
        <v>42984</v>
      </c>
      <c r="B1436" s="2" t="s">
        <v>663</v>
      </c>
      <c r="C1436" s="2" t="s">
        <v>134</v>
      </c>
      <c r="D1436">
        <v>45</v>
      </c>
      <c r="E1436" t="str">
        <f>_xlfn.CONCAT(makulatura4[[#This Row],[Imie]]," ",makulatura4[[#This Row],[Nazwisko]])</f>
        <v>Kornelia Nowakowska</v>
      </c>
    </row>
    <row r="1437" spans="1:5" x14ac:dyDescent="0.25">
      <c r="A1437" s="1">
        <v>42984</v>
      </c>
      <c r="B1437" s="2" t="s">
        <v>193</v>
      </c>
      <c r="C1437" s="2" t="s">
        <v>227</v>
      </c>
      <c r="D1437">
        <v>5</v>
      </c>
      <c r="E1437" t="str">
        <f>_xlfn.CONCAT(makulatura4[[#This Row],[Imie]]," ",makulatura4[[#This Row],[Nazwisko]])</f>
        <v>Karolina Nowak</v>
      </c>
    </row>
    <row r="1438" spans="1:5" x14ac:dyDescent="0.25">
      <c r="A1438" s="1">
        <v>42984</v>
      </c>
      <c r="B1438" s="2" t="s">
        <v>141</v>
      </c>
      <c r="C1438" s="2" t="s">
        <v>364</v>
      </c>
      <c r="D1438">
        <v>22</v>
      </c>
      <c r="E1438" t="str">
        <f>_xlfn.CONCAT(makulatura4[[#This Row],[Imie]]," ",makulatura4[[#This Row],[Nazwisko]])</f>
        <v>Joanna Ottka</v>
      </c>
    </row>
    <row r="1439" spans="1:5" x14ac:dyDescent="0.25">
      <c r="A1439" s="1">
        <v>42984</v>
      </c>
      <c r="B1439" s="2" t="s">
        <v>150</v>
      </c>
      <c r="C1439" s="2" t="s">
        <v>200</v>
      </c>
      <c r="D1439">
        <v>20</v>
      </c>
      <c r="E1439" t="str">
        <f>_xlfn.CONCAT(makulatura4[[#This Row],[Imie]]," ",makulatura4[[#This Row],[Nazwisko]])</f>
        <v>Krzysztof Madejski</v>
      </c>
    </row>
    <row r="1440" spans="1:5" x14ac:dyDescent="0.25">
      <c r="A1440" s="1">
        <v>42984</v>
      </c>
      <c r="B1440" s="2" t="s">
        <v>484</v>
      </c>
      <c r="C1440" s="2" t="s">
        <v>485</v>
      </c>
      <c r="D1440">
        <v>27</v>
      </c>
      <c r="E1440" t="str">
        <f>_xlfn.CONCAT(makulatura4[[#This Row],[Imie]]," ",makulatura4[[#This Row],[Nazwisko]])</f>
        <v>Roman Grodecki</v>
      </c>
    </row>
    <row r="1441" spans="1:5" x14ac:dyDescent="0.25">
      <c r="A1441" s="1">
        <v>42984</v>
      </c>
      <c r="B1441" s="2" t="s">
        <v>137</v>
      </c>
      <c r="C1441" s="2" t="s">
        <v>138</v>
      </c>
      <c r="D1441">
        <v>6</v>
      </c>
      <c r="E1441" t="str">
        <f>_xlfn.CONCAT(makulatura4[[#This Row],[Imie]]," ",makulatura4[[#This Row],[Nazwisko]])</f>
        <v>Stanislaw Derek</v>
      </c>
    </row>
    <row r="1442" spans="1:5" x14ac:dyDescent="0.25">
      <c r="A1442" s="1">
        <v>42985</v>
      </c>
      <c r="B1442" s="2" t="s">
        <v>150</v>
      </c>
      <c r="C1442" s="2" t="s">
        <v>200</v>
      </c>
      <c r="D1442">
        <v>29</v>
      </c>
      <c r="E1442" t="str">
        <f>_xlfn.CONCAT(makulatura4[[#This Row],[Imie]]," ",makulatura4[[#This Row],[Nazwisko]])</f>
        <v>Krzysztof Madejski</v>
      </c>
    </row>
    <row r="1443" spans="1:5" x14ac:dyDescent="0.25">
      <c r="A1443" s="1">
        <v>42985</v>
      </c>
      <c r="B1443" s="2" t="s">
        <v>97</v>
      </c>
      <c r="C1443" s="2" t="s">
        <v>452</v>
      </c>
      <c r="D1443">
        <v>15</v>
      </c>
      <c r="E1443" t="str">
        <f>_xlfn.CONCAT(makulatura4[[#This Row],[Imie]]," ",makulatura4[[#This Row],[Nazwisko]])</f>
        <v>Mateusz Kornatowski</v>
      </c>
    </row>
    <row r="1444" spans="1:5" x14ac:dyDescent="0.25">
      <c r="A1444" s="1">
        <v>42985</v>
      </c>
      <c r="B1444" s="2" t="s">
        <v>367</v>
      </c>
      <c r="C1444" s="2" t="s">
        <v>5</v>
      </c>
      <c r="D1444">
        <v>5</v>
      </c>
      <c r="E1444" t="str">
        <f>_xlfn.CONCAT(makulatura4[[#This Row],[Imie]]," ",makulatura4[[#This Row],[Nazwisko]])</f>
        <v>Szymon Polak</v>
      </c>
    </row>
    <row r="1445" spans="1:5" x14ac:dyDescent="0.25">
      <c r="A1445" s="1">
        <v>42985</v>
      </c>
      <c r="B1445" s="2" t="s">
        <v>476</v>
      </c>
      <c r="C1445" s="2" t="s">
        <v>620</v>
      </c>
      <c r="D1445">
        <v>34</v>
      </c>
      <c r="E1445" t="str">
        <f>_xlfn.CONCAT(makulatura4[[#This Row],[Imie]]," ",makulatura4[[#This Row],[Nazwisko]])</f>
        <v>Iwona Wlodarska</v>
      </c>
    </row>
    <row r="1446" spans="1:5" x14ac:dyDescent="0.25">
      <c r="A1446" s="1">
        <v>42985</v>
      </c>
      <c r="B1446" s="2" t="s">
        <v>55</v>
      </c>
      <c r="C1446" s="2" t="s">
        <v>223</v>
      </c>
      <c r="D1446">
        <v>30</v>
      </c>
      <c r="E1446" t="str">
        <f>_xlfn.CONCAT(makulatura4[[#This Row],[Imie]]," ",makulatura4[[#This Row],[Nazwisko]])</f>
        <v>Anna Adamska</v>
      </c>
    </row>
    <row r="1447" spans="1:5" x14ac:dyDescent="0.25">
      <c r="A1447" s="1">
        <v>42985</v>
      </c>
      <c r="B1447" s="2" t="s">
        <v>367</v>
      </c>
      <c r="C1447" s="2" t="s">
        <v>368</v>
      </c>
      <c r="D1447">
        <v>3</v>
      </c>
      <c r="E1447" t="str">
        <f>_xlfn.CONCAT(makulatura4[[#This Row],[Imie]]," ",makulatura4[[#This Row],[Nazwisko]])</f>
        <v>Szymon Mrozniak</v>
      </c>
    </row>
    <row r="1448" spans="1:5" x14ac:dyDescent="0.25">
      <c r="A1448" s="1">
        <v>42985</v>
      </c>
      <c r="B1448" s="2" t="s">
        <v>30</v>
      </c>
      <c r="C1448" s="2" t="s">
        <v>628</v>
      </c>
      <c r="D1448">
        <v>34</v>
      </c>
      <c r="E1448" t="str">
        <f>_xlfn.CONCAT(makulatura4[[#This Row],[Imie]]," ",makulatura4[[#This Row],[Nazwisko]])</f>
        <v>Maciej Lutczyk</v>
      </c>
    </row>
    <row r="1449" spans="1:5" x14ac:dyDescent="0.25">
      <c r="A1449" s="1">
        <v>42985</v>
      </c>
      <c r="B1449" s="2" t="s">
        <v>128</v>
      </c>
      <c r="C1449" s="2" t="s">
        <v>309</v>
      </c>
      <c r="D1449">
        <v>7</v>
      </c>
      <c r="E1449" t="str">
        <f>_xlfn.CONCAT(makulatura4[[#This Row],[Imie]]," ",makulatura4[[#This Row],[Nazwisko]])</f>
        <v>Wojciech Filipowicz</v>
      </c>
    </row>
    <row r="1450" spans="1:5" x14ac:dyDescent="0.25">
      <c r="A1450" s="1">
        <v>42985</v>
      </c>
      <c r="B1450" s="2" t="s">
        <v>203</v>
      </c>
      <c r="C1450" s="2" t="s">
        <v>370</v>
      </c>
      <c r="D1450">
        <v>17</v>
      </c>
      <c r="E1450" t="str">
        <f>_xlfn.CONCAT(makulatura4[[#This Row],[Imie]]," ",makulatura4[[#This Row],[Nazwisko]])</f>
        <v>Igor Rybinski</v>
      </c>
    </row>
    <row r="1451" spans="1:5" x14ac:dyDescent="0.25">
      <c r="A1451" s="1">
        <v>42985</v>
      </c>
      <c r="B1451" s="2" t="s">
        <v>39</v>
      </c>
      <c r="C1451" s="2" t="s">
        <v>657</v>
      </c>
      <c r="D1451">
        <v>26</v>
      </c>
      <c r="E1451" t="str">
        <f>_xlfn.CONCAT(makulatura4[[#This Row],[Imie]]," ",makulatura4[[#This Row],[Nazwisko]])</f>
        <v>Jakub Przytula</v>
      </c>
    </row>
    <row r="1452" spans="1:5" x14ac:dyDescent="0.25">
      <c r="A1452" s="1">
        <v>42986</v>
      </c>
      <c r="B1452" s="2" t="s">
        <v>30</v>
      </c>
      <c r="C1452" s="2" t="s">
        <v>185</v>
      </c>
      <c r="D1452">
        <v>20</v>
      </c>
      <c r="E1452" t="str">
        <f>_xlfn.CONCAT(makulatura4[[#This Row],[Imie]]," ",makulatura4[[#This Row],[Nazwisko]])</f>
        <v>Maciej Laskowski</v>
      </c>
    </row>
    <row r="1453" spans="1:5" x14ac:dyDescent="0.25">
      <c r="A1453" s="1">
        <v>42986</v>
      </c>
      <c r="B1453" s="2" t="s">
        <v>83</v>
      </c>
      <c r="C1453" s="2" t="s">
        <v>596</v>
      </c>
      <c r="D1453">
        <v>24</v>
      </c>
      <c r="E1453" t="str">
        <f>_xlfn.CONCAT(makulatura4[[#This Row],[Imie]]," ",makulatura4[[#This Row],[Nazwisko]])</f>
        <v>Jan Pieterson</v>
      </c>
    </row>
    <row r="1454" spans="1:5" x14ac:dyDescent="0.25">
      <c r="A1454" s="1">
        <v>42986</v>
      </c>
      <c r="B1454" s="2" t="s">
        <v>101</v>
      </c>
      <c r="C1454" s="2" t="s">
        <v>293</v>
      </c>
      <c r="D1454">
        <v>21</v>
      </c>
      <c r="E1454" t="str">
        <f>_xlfn.CONCAT(makulatura4[[#This Row],[Imie]]," ",makulatura4[[#This Row],[Nazwisko]])</f>
        <v>Maria Kowalczuk</v>
      </c>
    </row>
    <row r="1455" spans="1:5" x14ac:dyDescent="0.25">
      <c r="A1455" s="1">
        <v>42986</v>
      </c>
      <c r="B1455" s="2" t="s">
        <v>449</v>
      </c>
      <c r="C1455" s="2" t="s">
        <v>664</v>
      </c>
      <c r="D1455">
        <v>3</v>
      </c>
      <c r="E1455" t="str">
        <f>_xlfn.CONCAT(makulatura4[[#This Row],[Imie]]," ",makulatura4[[#This Row],[Nazwisko]])</f>
        <v>Ryszard Baranowski</v>
      </c>
    </row>
    <row r="1456" spans="1:5" x14ac:dyDescent="0.25">
      <c r="A1456" s="1">
        <v>42986</v>
      </c>
      <c r="B1456" s="2" t="s">
        <v>273</v>
      </c>
      <c r="C1456" s="2" t="s">
        <v>274</v>
      </c>
      <c r="D1456">
        <v>9</v>
      </c>
      <c r="E1456" t="str">
        <f>_xlfn.CONCAT(makulatura4[[#This Row],[Imie]]," ",makulatura4[[#This Row],[Nazwisko]])</f>
        <v>Luiza Makowska</v>
      </c>
    </row>
    <row r="1457" spans="1:5" x14ac:dyDescent="0.25">
      <c r="A1457" s="1">
        <v>42986</v>
      </c>
      <c r="B1457" s="2" t="s">
        <v>150</v>
      </c>
      <c r="C1457" s="2" t="s">
        <v>298</v>
      </c>
      <c r="D1457">
        <v>46</v>
      </c>
      <c r="E1457" t="str">
        <f>_xlfn.CONCAT(makulatura4[[#This Row],[Imie]]," ",makulatura4[[#This Row],[Nazwisko]])</f>
        <v>Krzysztof Wilecki</v>
      </c>
    </row>
    <row r="1458" spans="1:5" x14ac:dyDescent="0.25">
      <c r="A1458" s="1">
        <v>42986</v>
      </c>
      <c r="B1458" s="2" t="s">
        <v>208</v>
      </c>
      <c r="C1458" s="2" t="s">
        <v>209</v>
      </c>
      <c r="D1458">
        <v>16</v>
      </c>
      <c r="E1458" t="str">
        <f>_xlfn.CONCAT(makulatura4[[#This Row],[Imie]]," ",makulatura4[[#This Row],[Nazwisko]])</f>
        <v>Grzegorz Domek</v>
      </c>
    </row>
    <row r="1459" spans="1:5" x14ac:dyDescent="0.25">
      <c r="A1459" s="1">
        <v>42986</v>
      </c>
      <c r="B1459" s="2" t="s">
        <v>18</v>
      </c>
      <c r="C1459" s="2" t="s">
        <v>392</v>
      </c>
      <c r="D1459">
        <v>24</v>
      </c>
      <c r="E1459" t="str">
        <f>_xlfn.CONCAT(makulatura4[[#This Row],[Imie]]," ",makulatura4[[#This Row],[Nazwisko]])</f>
        <v>Filip Stanulewicz</v>
      </c>
    </row>
    <row r="1460" spans="1:5" x14ac:dyDescent="0.25">
      <c r="A1460" s="1">
        <v>42986</v>
      </c>
      <c r="B1460" s="2" t="s">
        <v>178</v>
      </c>
      <c r="C1460" s="2" t="s">
        <v>242</v>
      </c>
      <c r="D1460">
        <v>23</v>
      </c>
      <c r="E1460" t="str">
        <f>_xlfn.CONCAT(makulatura4[[#This Row],[Imie]]," ",makulatura4[[#This Row],[Nazwisko]])</f>
        <v>Malgorzata Karlowski</v>
      </c>
    </row>
    <row r="1461" spans="1:5" x14ac:dyDescent="0.25">
      <c r="A1461" s="1">
        <v>42986</v>
      </c>
      <c r="B1461" s="2" t="s">
        <v>208</v>
      </c>
      <c r="C1461" s="2" t="s">
        <v>209</v>
      </c>
      <c r="D1461">
        <v>18</v>
      </c>
      <c r="E1461" t="str">
        <f>_xlfn.CONCAT(makulatura4[[#This Row],[Imie]]," ",makulatura4[[#This Row],[Nazwisko]])</f>
        <v>Grzegorz Domek</v>
      </c>
    </row>
    <row r="1462" spans="1:5" x14ac:dyDescent="0.25">
      <c r="A1462" s="1">
        <v>42989</v>
      </c>
      <c r="B1462" s="2" t="s">
        <v>178</v>
      </c>
      <c r="C1462" s="2" t="s">
        <v>333</v>
      </c>
      <c r="D1462">
        <v>29</v>
      </c>
      <c r="E1462" t="str">
        <f>_xlfn.CONCAT(makulatura4[[#This Row],[Imie]]," ",makulatura4[[#This Row],[Nazwisko]])</f>
        <v>Malgorzata Malec</v>
      </c>
    </row>
    <row r="1463" spans="1:5" x14ac:dyDescent="0.25">
      <c r="A1463" s="1">
        <v>42989</v>
      </c>
      <c r="B1463" s="2" t="s">
        <v>81</v>
      </c>
      <c r="C1463" s="2" t="s">
        <v>165</v>
      </c>
      <c r="D1463">
        <v>24</v>
      </c>
      <c r="E1463" t="str">
        <f>_xlfn.CONCAT(makulatura4[[#This Row],[Imie]]," ",makulatura4[[#This Row],[Nazwisko]])</f>
        <v>Karol Milek</v>
      </c>
    </row>
    <row r="1464" spans="1:5" x14ac:dyDescent="0.25">
      <c r="A1464" s="1">
        <v>42989</v>
      </c>
      <c r="B1464" s="2" t="s">
        <v>150</v>
      </c>
      <c r="C1464" s="2" t="s">
        <v>462</v>
      </c>
      <c r="D1464">
        <v>36</v>
      </c>
      <c r="E1464" t="str">
        <f>_xlfn.CONCAT(makulatura4[[#This Row],[Imie]]," ",makulatura4[[#This Row],[Nazwisko]])</f>
        <v>Krzysztof Wloch</v>
      </c>
    </row>
    <row r="1465" spans="1:5" x14ac:dyDescent="0.25">
      <c r="A1465" s="1">
        <v>42989</v>
      </c>
      <c r="B1465" s="2" t="s">
        <v>553</v>
      </c>
      <c r="C1465" s="2" t="s">
        <v>554</v>
      </c>
      <c r="D1465">
        <v>6</v>
      </c>
      <c r="E1465" t="str">
        <f>_xlfn.CONCAT(makulatura4[[#This Row],[Imie]]," ",makulatura4[[#This Row],[Nazwisko]])</f>
        <v>Marian Bukalski</v>
      </c>
    </row>
    <row r="1466" spans="1:5" x14ac:dyDescent="0.25">
      <c r="A1466" s="1">
        <v>42989</v>
      </c>
      <c r="B1466" s="2" t="s">
        <v>361</v>
      </c>
      <c r="C1466" s="2" t="s">
        <v>362</v>
      </c>
      <c r="D1466">
        <v>29</v>
      </c>
      <c r="E1466" t="str">
        <f>_xlfn.CONCAT(makulatura4[[#This Row],[Imie]]," ",makulatura4[[#This Row],[Nazwisko]])</f>
        <v>Lidia Goluchowska</v>
      </c>
    </row>
    <row r="1467" spans="1:5" x14ac:dyDescent="0.25">
      <c r="A1467" s="1">
        <v>42989</v>
      </c>
      <c r="B1467" s="2" t="s">
        <v>150</v>
      </c>
      <c r="C1467" s="2" t="s">
        <v>313</v>
      </c>
      <c r="D1467">
        <v>15</v>
      </c>
      <c r="E1467" t="str">
        <f>_xlfn.CONCAT(makulatura4[[#This Row],[Imie]]," ",makulatura4[[#This Row],[Nazwisko]])</f>
        <v>Krzysztof Dwa</v>
      </c>
    </row>
    <row r="1468" spans="1:5" x14ac:dyDescent="0.25">
      <c r="A1468" s="1">
        <v>42989</v>
      </c>
      <c r="B1468" s="2" t="s">
        <v>63</v>
      </c>
      <c r="C1468" s="2" t="s">
        <v>231</v>
      </c>
      <c r="D1468">
        <v>8</v>
      </c>
      <c r="E1468" t="str">
        <f>_xlfn.CONCAT(makulatura4[[#This Row],[Imie]]," ",makulatura4[[#This Row],[Nazwisko]])</f>
        <v>Adrian Yuksek</v>
      </c>
    </row>
    <row r="1469" spans="1:5" x14ac:dyDescent="0.25">
      <c r="A1469" s="1">
        <v>42989</v>
      </c>
      <c r="B1469" s="2" t="s">
        <v>150</v>
      </c>
      <c r="C1469" s="2" t="s">
        <v>211</v>
      </c>
      <c r="D1469">
        <v>47</v>
      </c>
      <c r="E1469" t="str">
        <f>_xlfn.CONCAT(makulatura4[[#This Row],[Imie]]," ",makulatura4[[#This Row],[Nazwisko]])</f>
        <v>Krzysztof Micun</v>
      </c>
    </row>
    <row r="1470" spans="1:5" x14ac:dyDescent="0.25">
      <c r="A1470" s="1">
        <v>42989</v>
      </c>
      <c r="B1470" s="2" t="s">
        <v>280</v>
      </c>
      <c r="C1470" s="2" t="s">
        <v>281</v>
      </c>
      <c r="D1470">
        <v>23</v>
      </c>
      <c r="E1470" t="str">
        <f>_xlfn.CONCAT(makulatura4[[#This Row],[Imie]]," ",makulatura4[[#This Row],[Nazwisko]])</f>
        <v>Kamila Wolan</v>
      </c>
    </row>
    <row r="1471" spans="1:5" x14ac:dyDescent="0.25">
      <c r="A1471" s="1">
        <v>42989</v>
      </c>
      <c r="B1471" s="2" t="s">
        <v>51</v>
      </c>
      <c r="C1471" s="2" t="s">
        <v>52</v>
      </c>
      <c r="D1471">
        <v>5</v>
      </c>
      <c r="E1471" t="str">
        <f>_xlfn.CONCAT(makulatura4[[#This Row],[Imie]]," ",makulatura4[[#This Row],[Nazwisko]])</f>
        <v>Barbara Podobinska</v>
      </c>
    </row>
    <row r="1472" spans="1:5" x14ac:dyDescent="0.25">
      <c r="A1472" s="1">
        <v>42989</v>
      </c>
      <c r="B1472" s="2" t="s">
        <v>36</v>
      </c>
      <c r="C1472" s="2" t="s">
        <v>306</v>
      </c>
      <c r="D1472">
        <v>31</v>
      </c>
      <c r="E1472" t="str">
        <f>_xlfn.CONCAT(makulatura4[[#This Row],[Imie]]," ",makulatura4[[#This Row],[Nazwisko]])</f>
        <v>Piotr Kaleta</v>
      </c>
    </row>
    <row r="1473" spans="1:5" x14ac:dyDescent="0.25">
      <c r="A1473" s="1">
        <v>42989</v>
      </c>
      <c r="B1473" s="2" t="s">
        <v>101</v>
      </c>
      <c r="C1473" s="2" t="s">
        <v>188</v>
      </c>
      <c r="D1473">
        <v>28</v>
      </c>
      <c r="E1473" t="str">
        <f>_xlfn.CONCAT(makulatura4[[#This Row],[Imie]]," ",makulatura4[[#This Row],[Nazwisko]])</f>
        <v>Maria Kowalczyk</v>
      </c>
    </row>
    <row r="1474" spans="1:5" x14ac:dyDescent="0.25">
      <c r="A1474" s="1">
        <v>42989</v>
      </c>
      <c r="B1474" s="2" t="s">
        <v>189</v>
      </c>
      <c r="C1474" s="2" t="s">
        <v>190</v>
      </c>
      <c r="D1474">
        <v>11</v>
      </c>
      <c r="E1474" t="str">
        <f>_xlfn.CONCAT(makulatura4[[#This Row],[Imie]]," ",makulatura4[[#This Row],[Nazwisko]])</f>
        <v>Weronika Zdroj</v>
      </c>
    </row>
    <row r="1475" spans="1:5" x14ac:dyDescent="0.25">
      <c r="A1475" s="1">
        <v>42989</v>
      </c>
      <c r="B1475" s="2" t="s">
        <v>81</v>
      </c>
      <c r="C1475" s="2" t="s">
        <v>104</v>
      </c>
      <c r="D1475">
        <v>26</v>
      </c>
      <c r="E1475" t="str">
        <f>_xlfn.CONCAT(makulatura4[[#This Row],[Imie]]," ",makulatura4[[#This Row],[Nazwisko]])</f>
        <v>Karol Dziuk</v>
      </c>
    </row>
    <row r="1476" spans="1:5" x14ac:dyDescent="0.25">
      <c r="A1476" s="1">
        <v>42990</v>
      </c>
      <c r="B1476" s="2" t="s">
        <v>514</v>
      </c>
      <c r="C1476" s="2" t="s">
        <v>515</v>
      </c>
      <c r="D1476">
        <v>46</v>
      </c>
      <c r="E1476" t="str">
        <f>_xlfn.CONCAT(makulatura4[[#This Row],[Imie]]," ",makulatura4[[#This Row],[Nazwisko]])</f>
        <v>Ignacy Sarnowski</v>
      </c>
    </row>
    <row r="1477" spans="1:5" x14ac:dyDescent="0.25">
      <c r="A1477" s="1">
        <v>42990</v>
      </c>
      <c r="B1477" s="2" t="s">
        <v>278</v>
      </c>
      <c r="C1477" s="2" t="s">
        <v>530</v>
      </c>
      <c r="D1477">
        <v>36</v>
      </c>
      <c r="E1477" t="str">
        <f>_xlfn.CONCAT(makulatura4[[#This Row],[Imie]]," ",makulatura4[[#This Row],[Nazwisko]])</f>
        <v>Janusz Baka</v>
      </c>
    </row>
    <row r="1478" spans="1:5" x14ac:dyDescent="0.25">
      <c r="A1478" s="1">
        <v>42990</v>
      </c>
      <c r="B1478" s="2" t="s">
        <v>352</v>
      </c>
      <c r="C1478" s="2" t="s">
        <v>227</v>
      </c>
      <c r="D1478">
        <v>21</v>
      </c>
      <c r="E1478" t="str">
        <f>_xlfn.CONCAT(makulatura4[[#This Row],[Imie]]," ",makulatura4[[#This Row],[Nazwisko]])</f>
        <v>Ilona Nowak</v>
      </c>
    </row>
    <row r="1479" spans="1:5" x14ac:dyDescent="0.25">
      <c r="A1479" s="1">
        <v>42990</v>
      </c>
      <c r="B1479" s="2" t="s">
        <v>36</v>
      </c>
      <c r="C1479" s="2" t="s">
        <v>37</v>
      </c>
      <c r="D1479">
        <v>15</v>
      </c>
      <c r="E1479" t="str">
        <f>_xlfn.CONCAT(makulatura4[[#This Row],[Imie]]," ",makulatura4[[#This Row],[Nazwisko]])</f>
        <v>Piotr Bialaszewski</v>
      </c>
    </row>
    <row r="1480" spans="1:5" x14ac:dyDescent="0.25">
      <c r="A1480" s="1">
        <v>42990</v>
      </c>
      <c r="B1480" s="2" t="s">
        <v>449</v>
      </c>
      <c r="C1480" s="2" t="s">
        <v>613</v>
      </c>
      <c r="D1480">
        <v>16</v>
      </c>
      <c r="E1480" t="str">
        <f>_xlfn.CONCAT(makulatura4[[#This Row],[Imie]]," ",makulatura4[[#This Row],[Nazwisko]])</f>
        <v>Ryszard Domzala</v>
      </c>
    </row>
    <row r="1481" spans="1:5" x14ac:dyDescent="0.25">
      <c r="A1481" s="1">
        <v>42990</v>
      </c>
      <c r="B1481" s="2" t="s">
        <v>81</v>
      </c>
      <c r="C1481" s="2" t="s">
        <v>145</v>
      </c>
      <c r="D1481">
        <v>26</v>
      </c>
      <c r="E1481" t="str">
        <f>_xlfn.CONCAT(makulatura4[[#This Row],[Imie]]," ",makulatura4[[#This Row],[Nazwisko]])</f>
        <v>Karol Wojciechowski</v>
      </c>
    </row>
    <row r="1482" spans="1:5" x14ac:dyDescent="0.25">
      <c r="A1482" s="1">
        <v>42990</v>
      </c>
      <c r="B1482" s="2" t="s">
        <v>243</v>
      </c>
      <c r="C1482" s="2" t="s">
        <v>82</v>
      </c>
      <c r="D1482">
        <v>14</v>
      </c>
      <c r="E1482" t="str">
        <f>_xlfn.CONCAT(makulatura4[[#This Row],[Imie]]," ",makulatura4[[#This Row],[Nazwisko]])</f>
        <v>Sofia Felisiak</v>
      </c>
    </row>
    <row r="1483" spans="1:5" x14ac:dyDescent="0.25">
      <c r="A1483" s="1">
        <v>42990</v>
      </c>
      <c r="B1483" s="2" t="s">
        <v>290</v>
      </c>
      <c r="C1483" s="2" t="s">
        <v>291</v>
      </c>
      <c r="D1483">
        <v>20</v>
      </c>
      <c r="E1483" t="str">
        <f>_xlfn.CONCAT(makulatura4[[#This Row],[Imie]]," ",makulatura4[[#This Row],[Nazwisko]])</f>
        <v>Michalina Klebba</v>
      </c>
    </row>
    <row r="1484" spans="1:5" x14ac:dyDescent="0.25">
      <c r="A1484" s="1">
        <v>42990</v>
      </c>
      <c r="B1484" s="2" t="s">
        <v>67</v>
      </c>
      <c r="C1484" s="2" t="s">
        <v>460</v>
      </c>
      <c r="D1484">
        <v>20</v>
      </c>
      <c r="E1484" t="str">
        <f>_xlfn.CONCAT(makulatura4[[#This Row],[Imie]]," ",makulatura4[[#This Row],[Nazwisko]])</f>
        <v>Bartosz Mazgaj</v>
      </c>
    </row>
    <row r="1485" spans="1:5" x14ac:dyDescent="0.25">
      <c r="A1485" s="1">
        <v>42990</v>
      </c>
      <c r="B1485" s="2" t="s">
        <v>34</v>
      </c>
      <c r="C1485" s="2" t="s">
        <v>160</v>
      </c>
      <c r="D1485">
        <v>22</v>
      </c>
      <c r="E1485" t="str">
        <f>_xlfn.CONCAT(makulatura4[[#This Row],[Imie]]," ",makulatura4[[#This Row],[Nazwisko]])</f>
        <v>Julia Stuhr</v>
      </c>
    </row>
    <row r="1486" spans="1:5" x14ac:dyDescent="0.25">
      <c r="A1486" s="1">
        <v>42990</v>
      </c>
      <c r="B1486" s="2" t="s">
        <v>133</v>
      </c>
      <c r="C1486" s="2" t="s">
        <v>316</v>
      </c>
      <c r="D1486">
        <v>16</v>
      </c>
      <c r="E1486" t="str">
        <f>_xlfn.CONCAT(makulatura4[[#This Row],[Imie]]," ",makulatura4[[#This Row],[Nazwisko]])</f>
        <v>Dominika Mierny</v>
      </c>
    </row>
    <row r="1487" spans="1:5" x14ac:dyDescent="0.25">
      <c r="A1487" s="1">
        <v>42990</v>
      </c>
      <c r="B1487" s="2" t="s">
        <v>51</v>
      </c>
      <c r="C1487" s="2" t="s">
        <v>522</v>
      </c>
      <c r="D1487">
        <v>17</v>
      </c>
      <c r="E1487" t="str">
        <f>_xlfn.CONCAT(makulatura4[[#This Row],[Imie]]," ",makulatura4[[#This Row],[Nazwisko]])</f>
        <v>Barbara Kilarski</v>
      </c>
    </row>
    <row r="1488" spans="1:5" x14ac:dyDescent="0.25">
      <c r="A1488" s="1">
        <v>42990</v>
      </c>
      <c r="B1488" s="2" t="s">
        <v>174</v>
      </c>
      <c r="C1488" s="2" t="s">
        <v>424</v>
      </c>
      <c r="D1488">
        <v>41</v>
      </c>
      <c r="E1488" t="str">
        <f>_xlfn.CONCAT(makulatura4[[#This Row],[Imie]]," ",makulatura4[[#This Row],[Nazwisko]])</f>
        <v>Dorota Tarnowska</v>
      </c>
    </row>
    <row r="1489" spans="1:5" x14ac:dyDescent="0.25">
      <c r="A1489" s="1">
        <v>42990</v>
      </c>
      <c r="B1489" s="2" t="s">
        <v>438</v>
      </c>
      <c r="C1489" s="2" t="s">
        <v>439</v>
      </c>
      <c r="D1489">
        <v>3</v>
      </c>
      <c r="E1489" t="str">
        <f>_xlfn.CONCAT(makulatura4[[#This Row],[Imie]]," ",makulatura4[[#This Row],[Nazwisko]])</f>
        <v>Albert Pleszewski</v>
      </c>
    </row>
    <row r="1490" spans="1:5" x14ac:dyDescent="0.25">
      <c r="A1490" s="1">
        <v>42991</v>
      </c>
      <c r="B1490" s="2" t="s">
        <v>131</v>
      </c>
      <c r="C1490" s="2" t="s">
        <v>472</v>
      </c>
      <c r="D1490">
        <v>20</v>
      </c>
      <c r="E1490" t="str">
        <f>_xlfn.CONCAT(makulatura4[[#This Row],[Imie]]," ",makulatura4[[#This Row],[Nazwisko]])</f>
        <v>Ewelina Goslawska</v>
      </c>
    </row>
    <row r="1491" spans="1:5" x14ac:dyDescent="0.25">
      <c r="A1491" s="1">
        <v>42991</v>
      </c>
      <c r="B1491" s="2" t="s">
        <v>12</v>
      </c>
      <c r="C1491" s="2" t="s">
        <v>386</v>
      </c>
      <c r="D1491">
        <v>7</v>
      </c>
      <c r="E1491" t="str">
        <f>_xlfn.CONCAT(makulatura4[[#This Row],[Imie]]," ",makulatura4[[#This Row],[Nazwisko]])</f>
        <v>Maja Kaminska</v>
      </c>
    </row>
    <row r="1492" spans="1:5" x14ac:dyDescent="0.25">
      <c r="A1492" s="1">
        <v>42991</v>
      </c>
      <c r="B1492" s="2" t="s">
        <v>55</v>
      </c>
      <c r="C1492" s="2" t="s">
        <v>466</v>
      </c>
      <c r="D1492">
        <v>41</v>
      </c>
      <c r="E1492" t="str">
        <f>_xlfn.CONCAT(makulatura4[[#This Row],[Imie]]," ",makulatura4[[#This Row],[Nazwisko]])</f>
        <v>Anna Kot</v>
      </c>
    </row>
    <row r="1493" spans="1:5" x14ac:dyDescent="0.25">
      <c r="A1493" s="1">
        <v>42991</v>
      </c>
      <c r="B1493" s="2" t="s">
        <v>10</v>
      </c>
      <c r="C1493" s="2" t="s">
        <v>266</v>
      </c>
      <c r="D1493">
        <v>4</v>
      </c>
      <c r="E1493" t="str">
        <f>_xlfn.CONCAT(makulatura4[[#This Row],[Imie]]," ",makulatura4[[#This Row],[Nazwisko]])</f>
        <v>Katarzyna Wip</v>
      </c>
    </row>
    <row r="1494" spans="1:5" x14ac:dyDescent="0.25">
      <c r="A1494" s="1">
        <v>42991</v>
      </c>
      <c r="B1494" s="2" t="s">
        <v>269</v>
      </c>
      <c r="C1494" s="2" t="s">
        <v>270</v>
      </c>
      <c r="D1494">
        <v>31</v>
      </c>
      <c r="E1494" t="str">
        <f>_xlfn.CONCAT(makulatura4[[#This Row],[Imie]]," ",makulatura4[[#This Row],[Nazwisko]])</f>
        <v>Marcel Labuda</v>
      </c>
    </row>
    <row r="1495" spans="1:5" x14ac:dyDescent="0.25">
      <c r="A1495" s="1">
        <v>42991</v>
      </c>
      <c r="B1495" s="2" t="s">
        <v>346</v>
      </c>
      <c r="C1495" s="2" t="s">
        <v>665</v>
      </c>
      <c r="D1495">
        <v>6</v>
      </c>
      <c r="E1495" t="str">
        <f>_xlfn.CONCAT(makulatura4[[#This Row],[Imie]]," ",makulatura4[[#This Row],[Nazwisko]])</f>
        <v>Maksymilian Lupa</v>
      </c>
    </row>
    <row r="1496" spans="1:5" x14ac:dyDescent="0.25">
      <c r="A1496" s="1">
        <v>42991</v>
      </c>
      <c r="B1496" s="2" t="s">
        <v>101</v>
      </c>
      <c r="C1496" s="2" t="s">
        <v>102</v>
      </c>
      <c r="D1496">
        <v>12</v>
      </c>
      <c r="E1496" t="str">
        <f>_xlfn.CONCAT(makulatura4[[#This Row],[Imie]]," ",makulatura4[[#This Row],[Nazwisko]])</f>
        <v>Maria Borowska</v>
      </c>
    </row>
    <row r="1497" spans="1:5" x14ac:dyDescent="0.25">
      <c r="A1497" s="1">
        <v>42991</v>
      </c>
      <c r="B1497" s="2" t="s">
        <v>55</v>
      </c>
      <c r="C1497" s="2" t="s">
        <v>666</v>
      </c>
      <c r="D1497">
        <v>5</v>
      </c>
      <c r="E1497" t="str">
        <f>_xlfn.CONCAT(makulatura4[[#This Row],[Imie]]," ",makulatura4[[#This Row],[Nazwisko]])</f>
        <v>Anna Kraska</v>
      </c>
    </row>
    <row r="1498" spans="1:5" x14ac:dyDescent="0.25">
      <c r="A1498" s="1">
        <v>42991</v>
      </c>
      <c r="B1498" s="2" t="s">
        <v>221</v>
      </c>
      <c r="C1498" s="2" t="s">
        <v>551</v>
      </c>
      <c r="D1498">
        <v>5</v>
      </c>
      <c r="E1498" t="str">
        <f>_xlfn.CONCAT(makulatura4[[#This Row],[Imie]]," ",makulatura4[[#This Row],[Nazwisko]])</f>
        <v>Marzena Parasiewicz</v>
      </c>
    </row>
    <row r="1499" spans="1:5" x14ac:dyDescent="0.25">
      <c r="A1499" s="1">
        <v>42991</v>
      </c>
      <c r="B1499" s="2" t="s">
        <v>12</v>
      </c>
      <c r="C1499" s="2" t="s">
        <v>667</v>
      </c>
      <c r="D1499">
        <v>19</v>
      </c>
      <c r="E1499" t="str">
        <f>_xlfn.CONCAT(makulatura4[[#This Row],[Imie]]," ",makulatura4[[#This Row],[Nazwisko]])</f>
        <v>Maja Lange</v>
      </c>
    </row>
    <row r="1500" spans="1:5" x14ac:dyDescent="0.25">
      <c r="A1500" s="1">
        <v>42991</v>
      </c>
      <c r="B1500" s="2" t="s">
        <v>53</v>
      </c>
      <c r="C1500" s="2" t="s">
        <v>191</v>
      </c>
      <c r="D1500">
        <v>8</v>
      </c>
      <c r="E1500" t="str">
        <f>_xlfn.CONCAT(makulatura4[[#This Row],[Imie]]," ",makulatura4[[#This Row],[Nazwisko]])</f>
        <v>Wieslawa Biczysko</v>
      </c>
    </row>
    <row r="1501" spans="1:5" x14ac:dyDescent="0.25">
      <c r="A1501" s="1">
        <v>42991</v>
      </c>
      <c r="B1501" s="2" t="s">
        <v>365</v>
      </c>
      <c r="C1501" s="2" t="s">
        <v>366</v>
      </c>
      <c r="D1501">
        <v>8</v>
      </c>
      <c r="E1501" t="str">
        <f>_xlfn.CONCAT(makulatura4[[#This Row],[Imie]]," ",makulatura4[[#This Row],[Nazwisko]])</f>
        <v>Arleta Pawlik</v>
      </c>
    </row>
    <row r="1502" spans="1:5" x14ac:dyDescent="0.25">
      <c r="A1502" s="1">
        <v>42991</v>
      </c>
      <c r="B1502" s="2" t="s">
        <v>4</v>
      </c>
      <c r="C1502" s="2" t="s">
        <v>382</v>
      </c>
      <c r="D1502">
        <v>56</v>
      </c>
      <c r="E1502" t="str">
        <f>_xlfn.CONCAT(makulatura4[[#This Row],[Imie]]," ",makulatura4[[#This Row],[Nazwisko]])</f>
        <v>Agnieszka Matusik</v>
      </c>
    </row>
    <row r="1503" spans="1:5" x14ac:dyDescent="0.25">
      <c r="A1503" s="1">
        <v>42991</v>
      </c>
      <c r="B1503" s="2" t="s">
        <v>39</v>
      </c>
      <c r="C1503" s="2" t="s">
        <v>164</v>
      </c>
      <c r="D1503">
        <v>8</v>
      </c>
      <c r="E1503" t="str">
        <f>_xlfn.CONCAT(makulatura4[[#This Row],[Imie]]," ",makulatura4[[#This Row],[Nazwisko]])</f>
        <v>Jakub Waniek</v>
      </c>
    </row>
    <row r="1504" spans="1:5" x14ac:dyDescent="0.25">
      <c r="A1504" s="1">
        <v>42992</v>
      </c>
      <c r="B1504" s="2" t="s">
        <v>83</v>
      </c>
      <c r="C1504" s="2" t="s">
        <v>658</v>
      </c>
      <c r="D1504">
        <v>25</v>
      </c>
      <c r="E1504" t="str">
        <f>_xlfn.CONCAT(makulatura4[[#This Row],[Imie]]," ",makulatura4[[#This Row],[Nazwisko]])</f>
        <v>Jan Pietraszczyk</v>
      </c>
    </row>
    <row r="1505" spans="1:5" x14ac:dyDescent="0.25">
      <c r="A1505" s="1">
        <v>42992</v>
      </c>
      <c r="B1505" s="2" t="s">
        <v>51</v>
      </c>
      <c r="C1505" s="2" t="s">
        <v>52</v>
      </c>
      <c r="D1505">
        <v>23</v>
      </c>
      <c r="E1505" t="str">
        <f>_xlfn.CONCAT(makulatura4[[#This Row],[Imie]]," ",makulatura4[[#This Row],[Nazwisko]])</f>
        <v>Barbara Podobinska</v>
      </c>
    </row>
    <row r="1506" spans="1:5" x14ac:dyDescent="0.25">
      <c r="A1506" s="1">
        <v>42992</v>
      </c>
      <c r="B1506" s="2" t="s">
        <v>12</v>
      </c>
      <c r="C1506" s="2" t="s">
        <v>668</v>
      </c>
      <c r="D1506">
        <v>33</v>
      </c>
      <c r="E1506" t="str">
        <f>_xlfn.CONCAT(makulatura4[[#This Row],[Imie]]," ",makulatura4[[#This Row],[Nazwisko]])</f>
        <v>Maja Kwidczynska</v>
      </c>
    </row>
    <row r="1507" spans="1:5" x14ac:dyDescent="0.25">
      <c r="A1507" s="1">
        <v>42992</v>
      </c>
      <c r="B1507" s="2" t="s">
        <v>128</v>
      </c>
      <c r="C1507" s="2" t="s">
        <v>12</v>
      </c>
      <c r="D1507">
        <v>15</v>
      </c>
      <c r="E1507" t="str">
        <f>_xlfn.CONCAT(makulatura4[[#This Row],[Imie]]," ",makulatura4[[#This Row],[Nazwisko]])</f>
        <v>Wojciech Maja</v>
      </c>
    </row>
    <row r="1508" spans="1:5" x14ac:dyDescent="0.25">
      <c r="A1508" s="1">
        <v>42992</v>
      </c>
      <c r="B1508" s="2" t="s">
        <v>141</v>
      </c>
      <c r="C1508" s="2" t="s">
        <v>292</v>
      </c>
      <c r="D1508">
        <v>16</v>
      </c>
      <c r="E1508" t="str">
        <f>_xlfn.CONCAT(makulatura4[[#This Row],[Imie]]," ",makulatura4[[#This Row],[Nazwisko]])</f>
        <v>Joanna Zygmunt</v>
      </c>
    </row>
    <row r="1509" spans="1:5" x14ac:dyDescent="0.25">
      <c r="A1509" s="1">
        <v>42992</v>
      </c>
      <c r="B1509" s="2" t="s">
        <v>119</v>
      </c>
      <c r="C1509" s="2" t="s">
        <v>164</v>
      </c>
      <c r="D1509">
        <v>29</v>
      </c>
      <c r="E1509" t="str">
        <f>_xlfn.CONCAT(makulatura4[[#This Row],[Imie]]," ",makulatura4[[#This Row],[Nazwisko]])</f>
        <v>Kamil Waniek</v>
      </c>
    </row>
    <row r="1510" spans="1:5" x14ac:dyDescent="0.25">
      <c r="A1510" s="1">
        <v>42992</v>
      </c>
      <c r="B1510" s="2" t="s">
        <v>252</v>
      </c>
      <c r="C1510" s="2" t="s">
        <v>253</v>
      </c>
      <c r="D1510">
        <v>2</v>
      </c>
      <c r="E1510" t="str">
        <f>_xlfn.CONCAT(makulatura4[[#This Row],[Imie]]," ",makulatura4[[#This Row],[Nazwisko]])</f>
        <v>Irena Banasiewicz</v>
      </c>
    </row>
    <row r="1511" spans="1:5" x14ac:dyDescent="0.25">
      <c r="A1511" s="1">
        <v>42992</v>
      </c>
      <c r="B1511" s="2" t="s">
        <v>208</v>
      </c>
      <c r="C1511" s="2" t="s">
        <v>475</v>
      </c>
      <c r="D1511">
        <v>15</v>
      </c>
      <c r="E1511" t="str">
        <f>_xlfn.CONCAT(makulatura4[[#This Row],[Imie]]," ",makulatura4[[#This Row],[Nazwisko]])</f>
        <v>Grzegorz Wojtowicz</v>
      </c>
    </row>
    <row r="1512" spans="1:5" x14ac:dyDescent="0.25">
      <c r="A1512" s="1">
        <v>42992</v>
      </c>
      <c r="B1512" s="2" t="s">
        <v>206</v>
      </c>
      <c r="C1512" s="2" t="s">
        <v>227</v>
      </c>
      <c r="D1512">
        <v>17</v>
      </c>
      <c r="E1512" t="str">
        <f>_xlfn.CONCAT(makulatura4[[#This Row],[Imie]]," ",makulatura4[[#This Row],[Nazwisko]])</f>
        <v>Pawel Nowak</v>
      </c>
    </row>
    <row r="1513" spans="1:5" x14ac:dyDescent="0.25">
      <c r="A1513" s="1">
        <v>42992</v>
      </c>
      <c r="B1513" s="2" t="s">
        <v>36</v>
      </c>
      <c r="C1513" s="2" t="s">
        <v>166</v>
      </c>
      <c r="D1513">
        <v>54</v>
      </c>
      <c r="E1513" t="str">
        <f>_xlfn.CONCAT(makulatura4[[#This Row],[Imie]]," ",makulatura4[[#This Row],[Nazwisko]])</f>
        <v>Piotr Flis</v>
      </c>
    </row>
    <row r="1514" spans="1:5" x14ac:dyDescent="0.25">
      <c r="A1514" s="1">
        <v>42992</v>
      </c>
      <c r="B1514" s="2" t="s">
        <v>189</v>
      </c>
      <c r="C1514" s="2" t="s">
        <v>190</v>
      </c>
      <c r="D1514">
        <v>38</v>
      </c>
      <c r="E1514" t="str">
        <f>_xlfn.CONCAT(makulatura4[[#This Row],[Imie]]," ",makulatura4[[#This Row],[Nazwisko]])</f>
        <v>Weronika Zdroj</v>
      </c>
    </row>
    <row r="1515" spans="1:5" x14ac:dyDescent="0.25">
      <c r="A1515" s="1">
        <v>42992</v>
      </c>
      <c r="B1515" s="2" t="s">
        <v>150</v>
      </c>
      <c r="C1515" s="2" t="s">
        <v>200</v>
      </c>
      <c r="D1515">
        <v>9</v>
      </c>
      <c r="E1515" t="str">
        <f>_xlfn.CONCAT(makulatura4[[#This Row],[Imie]]," ",makulatura4[[#This Row],[Nazwisko]])</f>
        <v>Krzysztof Madejski</v>
      </c>
    </row>
    <row r="1516" spans="1:5" x14ac:dyDescent="0.25">
      <c r="A1516" s="1">
        <v>42992</v>
      </c>
      <c r="B1516" s="2" t="s">
        <v>63</v>
      </c>
      <c r="C1516" s="2" t="s">
        <v>64</v>
      </c>
      <c r="D1516">
        <v>3</v>
      </c>
      <c r="E1516" t="str">
        <f>_xlfn.CONCAT(makulatura4[[#This Row],[Imie]]," ",makulatura4[[#This Row],[Nazwisko]])</f>
        <v>Adrian Zawisza</v>
      </c>
    </row>
    <row r="1517" spans="1:5" x14ac:dyDescent="0.25">
      <c r="A1517" s="1">
        <v>42992</v>
      </c>
      <c r="B1517" s="2" t="s">
        <v>69</v>
      </c>
      <c r="C1517" s="2" t="s">
        <v>108</v>
      </c>
      <c r="D1517">
        <v>17</v>
      </c>
      <c r="E1517" t="str">
        <f>_xlfn.CONCAT(makulatura4[[#This Row],[Imie]]," ",makulatura4[[#This Row],[Nazwisko]])</f>
        <v>Adam Susel</v>
      </c>
    </row>
    <row r="1518" spans="1:5" x14ac:dyDescent="0.25">
      <c r="A1518" s="1">
        <v>42993</v>
      </c>
      <c r="B1518" s="2" t="s">
        <v>248</v>
      </c>
      <c r="C1518" s="2" t="s">
        <v>337</v>
      </c>
      <c r="D1518">
        <v>12</v>
      </c>
      <c r="E1518" t="str">
        <f>_xlfn.CONCAT(makulatura4[[#This Row],[Imie]]," ",makulatura4[[#This Row],[Nazwisko]])</f>
        <v>Zenon Zbych</v>
      </c>
    </row>
    <row r="1519" spans="1:5" x14ac:dyDescent="0.25">
      <c r="A1519" s="1">
        <v>42993</v>
      </c>
      <c r="B1519" s="2" t="s">
        <v>57</v>
      </c>
      <c r="C1519" s="2" t="s">
        <v>399</v>
      </c>
      <c r="D1519">
        <v>28</v>
      </c>
      <c r="E1519" t="str">
        <f>_xlfn.CONCAT(makulatura4[[#This Row],[Imie]]," ",makulatura4[[#This Row],[Nazwisko]])</f>
        <v>Patrycja Dzban</v>
      </c>
    </row>
    <row r="1520" spans="1:5" x14ac:dyDescent="0.25">
      <c r="A1520" s="1">
        <v>42993</v>
      </c>
      <c r="B1520" s="2" t="s">
        <v>128</v>
      </c>
      <c r="C1520" s="2" t="s">
        <v>309</v>
      </c>
      <c r="D1520">
        <v>4</v>
      </c>
      <c r="E1520" t="str">
        <f>_xlfn.CONCAT(makulatura4[[#This Row],[Imie]]," ",makulatura4[[#This Row],[Nazwisko]])</f>
        <v>Wojciech Filipowicz</v>
      </c>
    </row>
    <row r="1521" spans="1:5" x14ac:dyDescent="0.25">
      <c r="A1521" s="1">
        <v>42993</v>
      </c>
      <c r="B1521" s="2" t="s">
        <v>346</v>
      </c>
      <c r="C1521" s="2" t="s">
        <v>669</v>
      </c>
      <c r="D1521">
        <v>5</v>
      </c>
      <c r="E1521" t="str">
        <f>_xlfn.CONCAT(makulatura4[[#This Row],[Imie]]," ",makulatura4[[#This Row],[Nazwisko]])</f>
        <v>Maksymilian Lewita</v>
      </c>
    </row>
    <row r="1522" spans="1:5" x14ac:dyDescent="0.25">
      <c r="A1522" s="1">
        <v>42993</v>
      </c>
      <c r="B1522" s="2" t="s">
        <v>67</v>
      </c>
      <c r="C1522" s="2" t="s">
        <v>670</v>
      </c>
      <c r="D1522">
        <v>30</v>
      </c>
      <c r="E1522" t="str">
        <f>_xlfn.CONCAT(makulatura4[[#This Row],[Imie]]," ",makulatura4[[#This Row],[Nazwisko]])</f>
        <v>Bartosz Debicki</v>
      </c>
    </row>
    <row r="1523" spans="1:5" x14ac:dyDescent="0.25">
      <c r="A1523" s="1">
        <v>42993</v>
      </c>
      <c r="B1523" s="2" t="s">
        <v>55</v>
      </c>
      <c r="C1523" s="2" t="s">
        <v>326</v>
      </c>
      <c r="D1523">
        <v>40</v>
      </c>
      <c r="E1523" t="str">
        <f>_xlfn.CONCAT(makulatura4[[#This Row],[Imie]]," ",makulatura4[[#This Row],[Nazwisko]])</f>
        <v>Anna Tomaszewska</v>
      </c>
    </row>
    <row r="1524" spans="1:5" x14ac:dyDescent="0.25">
      <c r="A1524" s="1">
        <v>42993</v>
      </c>
      <c r="B1524" s="2" t="s">
        <v>193</v>
      </c>
      <c r="C1524" s="2" t="s">
        <v>228</v>
      </c>
      <c r="D1524">
        <v>10</v>
      </c>
      <c r="E1524" t="str">
        <f>_xlfn.CONCAT(makulatura4[[#This Row],[Imie]]," ",makulatura4[[#This Row],[Nazwisko]])</f>
        <v>Karolina Karpacka</v>
      </c>
    </row>
    <row r="1525" spans="1:5" x14ac:dyDescent="0.25">
      <c r="A1525" s="1">
        <v>42993</v>
      </c>
      <c r="B1525" s="2" t="s">
        <v>346</v>
      </c>
      <c r="C1525" s="2" t="s">
        <v>347</v>
      </c>
      <c r="D1525">
        <v>20</v>
      </c>
      <c r="E1525" t="str">
        <f>_xlfn.CONCAT(makulatura4[[#This Row],[Imie]]," ",makulatura4[[#This Row],[Nazwisko]])</f>
        <v>Maksymilian Piwko</v>
      </c>
    </row>
    <row r="1526" spans="1:5" x14ac:dyDescent="0.25">
      <c r="A1526" s="1">
        <v>42993</v>
      </c>
      <c r="B1526" s="2" t="s">
        <v>150</v>
      </c>
      <c r="C1526" s="2" t="s">
        <v>313</v>
      </c>
      <c r="D1526">
        <v>12</v>
      </c>
      <c r="E1526" t="str">
        <f>_xlfn.CONCAT(makulatura4[[#This Row],[Imie]]," ",makulatura4[[#This Row],[Nazwisko]])</f>
        <v>Krzysztof Dwa</v>
      </c>
    </row>
    <row r="1527" spans="1:5" x14ac:dyDescent="0.25">
      <c r="A1527" s="1">
        <v>42993</v>
      </c>
      <c r="B1527" s="2" t="s">
        <v>201</v>
      </c>
      <c r="C1527" s="2" t="s">
        <v>357</v>
      </c>
      <c r="D1527">
        <v>9</v>
      </c>
      <c r="E1527" t="str">
        <f>_xlfn.CONCAT(makulatura4[[#This Row],[Imie]]," ",makulatura4[[#This Row],[Nazwisko]])</f>
        <v>Marcin Tabaka</v>
      </c>
    </row>
    <row r="1528" spans="1:5" x14ac:dyDescent="0.25">
      <c r="A1528" s="1">
        <v>42993</v>
      </c>
      <c r="B1528" s="2" t="s">
        <v>232</v>
      </c>
      <c r="C1528" s="2" t="s">
        <v>487</v>
      </c>
      <c r="D1528">
        <v>46</v>
      </c>
      <c r="E1528" t="str">
        <f>_xlfn.CONCAT(makulatura4[[#This Row],[Imie]]," ",makulatura4[[#This Row],[Nazwisko]])</f>
        <v>Monika Lis</v>
      </c>
    </row>
    <row r="1529" spans="1:5" x14ac:dyDescent="0.25">
      <c r="A1529" s="1">
        <v>42993</v>
      </c>
      <c r="B1529" s="2" t="s">
        <v>234</v>
      </c>
      <c r="C1529" s="2" t="s">
        <v>516</v>
      </c>
      <c r="D1529">
        <v>30</v>
      </c>
      <c r="E1529" t="str">
        <f>_xlfn.CONCAT(makulatura4[[#This Row],[Imie]]," ",makulatura4[[#This Row],[Nazwisko]])</f>
        <v>Magdalena Bach</v>
      </c>
    </row>
    <row r="1530" spans="1:5" x14ac:dyDescent="0.25">
      <c r="A1530" s="1">
        <v>42993</v>
      </c>
      <c r="B1530" s="2" t="s">
        <v>53</v>
      </c>
      <c r="C1530" s="2" t="s">
        <v>227</v>
      </c>
      <c r="D1530">
        <v>25</v>
      </c>
      <c r="E1530" t="str">
        <f>_xlfn.CONCAT(makulatura4[[#This Row],[Imie]]," ",makulatura4[[#This Row],[Nazwisko]])</f>
        <v>Wieslawa Nowak</v>
      </c>
    </row>
    <row r="1531" spans="1:5" x14ac:dyDescent="0.25">
      <c r="A1531" s="1">
        <v>42993</v>
      </c>
      <c r="B1531" s="2" t="s">
        <v>55</v>
      </c>
      <c r="C1531" s="2" t="s">
        <v>265</v>
      </c>
      <c r="D1531">
        <v>25</v>
      </c>
      <c r="E1531" t="str">
        <f>_xlfn.CONCAT(makulatura4[[#This Row],[Imie]]," ",makulatura4[[#This Row],[Nazwisko]])</f>
        <v>Anna Janowska</v>
      </c>
    </row>
    <row r="1532" spans="1:5" x14ac:dyDescent="0.25">
      <c r="A1532" s="1">
        <v>42996</v>
      </c>
      <c r="B1532" s="2" t="s">
        <v>155</v>
      </c>
      <c r="C1532" s="2" t="s">
        <v>186</v>
      </c>
      <c r="D1532">
        <v>15</v>
      </c>
      <c r="E1532" t="str">
        <f>_xlfn.CONCAT(makulatura4[[#This Row],[Imie]]," ",makulatura4[[#This Row],[Nazwisko]])</f>
        <v>Jacek Szypulski</v>
      </c>
    </row>
    <row r="1533" spans="1:5" x14ac:dyDescent="0.25">
      <c r="A1533" s="1">
        <v>42996</v>
      </c>
      <c r="B1533" s="2" t="s">
        <v>152</v>
      </c>
      <c r="C1533" s="2" t="s">
        <v>534</v>
      </c>
      <c r="D1533">
        <v>8</v>
      </c>
      <c r="E1533" t="str">
        <f>_xlfn.CONCAT(makulatura4[[#This Row],[Imie]]," ",makulatura4[[#This Row],[Nazwisko]])</f>
        <v>Natalia Olkuska</v>
      </c>
    </row>
    <row r="1534" spans="1:5" x14ac:dyDescent="0.25">
      <c r="A1534" s="1">
        <v>42996</v>
      </c>
      <c r="B1534" s="2" t="s">
        <v>232</v>
      </c>
      <c r="C1534" s="2" t="s">
        <v>451</v>
      </c>
      <c r="D1534">
        <v>8</v>
      </c>
      <c r="E1534" t="str">
        <f>_xlfn.CONCAT(makulatura4[[#This Row],[Imie]]," ",makulatura4[[#This Row],[Nazwisko]])</f>
        <v>Monika Bialkowska</v>
      </c>
    </row>
    <row r="1535" spans="1:5" x14ac:dyDescent="0.25">
      <c r="A1535" s="1">
        <v>42996</v>
      </c>
      <c r="B1535" s="2" t="s">
        <v>83</v>
      </c>
      <c r="C1535" s="2" t="s">
        <v>455</v>
      </c>
      <c r="D1535">
        <v>20</v>
      </c>
      <c r="E1535" t="str">
        <f>_xlfn.CONCAT(makulatura4[[#This Row],[Imie]]," ",makulatura4[[#This Row],[Nazwisko]])</f>
        <v>Jan Pistek</v>
      </c>
    </row>
    <row r="1536" spans="1:5" x14ac:dyDescent="0.25">
      <c r="A1536" s="1">
        <v>42996</v>
      </c>
      <c r="B1536" s="2" t="s">
        <v>20</v>
      </c>
      <c r="C1536" s="2" t="s">
        <v>123</v>
      </c>
      <c r="D1536">
        <v>53</v>
      </c>
      <c r="E1536" t="str">
        <f>_xlfn.CONCAT(makulatura4[[#This Row],[Imie]]," ",makulatura4[[#This Row],[Nazwisko]])</f>
        <v>Borys Biedal</v>
      </c>
    </row>
    <row r="1537" spans="1:5" x14ac:dyDescent="0.25">
      <c r="A1537" s="1">
        <v>42996</v>
      </c>
      <c r="B1537" s="2" t="s">
        <v>280</v>
      </c>
      <c r="C1537" s="2" t="s">
        <v>466</v>
      </c>
      <c r="D1537">
        <v>50</v>
      </c>
      <c r="E1537" t="str">
        <f>_xlfn.CONCAT(makulatura4[[#This Row],[Imie]]," ",makulatura4[[#This Row],[Nazwisko]])</f>
        <v>Kamila Kot</v>
      </c>
    </row>
    <row r="1538" spans="1:5" x14ac:dyDescent="0.25">
      <c r="A1538" s="1">
        <v>42996</v>
      </c>
      <c r="B1538" s="2" t="s">
        <v>63</v>
      </c>
      <c r="C1538" s="2" t="s">
        <v>671</v>
      </c>
      <c r="D1538">
        <v>52</v>
      </c>
      <c r="E1538" t="str">
        <f>_xlfn.CONCAT(makulatura4[[#This Row],[Imie]]," ",makulatura4[[#This Row],[Nazwisko]])</f>
        <v>Adrian Wydrzynski</v>
      </c>
    </row>
    <row r="1539" spans="1:5" x14ac:dyDescent="0.25">
      <c r="A1539" s="1">
        <v>42996</v>
      </c>
      <c r="B1539" s="2" t="s">
        <v>141</v>
      </c>
      <c r="C1539" s="2" t="s">
        <v>649</v>
      </c>
      <c r="D1539">
        <v>12</v>
      </c>
      <c r="E1539" t="str">
        <f>_xlfn.CONCAT(makulatura4[[#This Row],[Imie]]," ",makulatura4[[#This Row],[Nazwisko]])</f>
        <v>Joanna Traugut</v>
      </c>
    </row>
    <row r="1540" spans="1:5" x14ac:dyDescent="0.25">
      <c r="A1540" s="1">
        <v>42996</v>
      </c>
      <c r="B1540" s="2" t="s">
        <v>81</v>
      </c>
      <c r="C1540" s="2" t="s">
        <v>496</v>
      </c>
      <c r="D1540">
        <v>14</v>
      </c>
      <c r="E1540" t="str">
        <f>_xlfn.CONCAT(makulatura4[[#This Row],[Imie]]," ",makulatura4[[#This Row],[Nazwisko]])</f>
        <v>Karol Walasz</v>
      </c>
    </row>
    <row r="1541" spans="1:5" x14ac:dyDescent="0.25">
      <c r="A1541" s="1">
        <v>42996</v>
      </c>
      <c r="B1541" s="2" t="s">
        <v>87</v>
      </c>
      <c r="C1541" s="2" t="s">
        <v>255</v>
      </c>
      <c r="D1541">
        <v>12</v>
      </c>
      <c r="E1541" t="str">
        <f>_xlfn.CONCAT(makulatura4[[#This Row],[Imie]]," ",makulatura4[[#This Row],[Nazwisko]])</f>
        <v>Ewa Czerwinska</v>
      </c>
    </row>
    <row r="1542" spans="1:5" x14ac:dyDescent="0.25">
      <c r="A1542" s="1">
        <v>42996</v>
      </c>
      <c r="B1542" s="2" t="s">
        <v>27</v>
      </c>
      <c r="C1542" s="2" t="s">
        <v>28</v>
      </c>
      <c r="D1542">
        <v>27</v>
      </c>
      <c r="E1542" t="str">
        <f>_xlfn.CONCAT(makulatura4[[#This Row],[Imie]]," ",makulatura4[[#This Row],[Nazwisko]])</f>
        <v>Jerzy Polanicki</v>
      </c>
    </row>
    <row r="1543" spans="1:5" x14ac:dyDescent="0.25">
      <c r="A1543" s="1">
        <v>42996</v>
      </c>
      <c r="B1543" s="2" t="s">
        <v>234</v>
      </c>
      <c r="C1543" s="2" t="s">
        <v>516</v>
      </c>
      <c r="D1543">
        <v>25</v>
      </c>
      <c r="E1543" t="str">
        <f>_xlfn.CONCAT(makulatura4[[#This Row],[Imie]]," ",makulatura4[[#This Row],[Nazwisko]])</f>
        <v>Magdalena Bach</v>
      </c>
    </row>
    <row r="1544" spans="1:5" x14ac:dyDescent="0.25">
      <c r="A1544" s="1">
        <v>42997</v>
      </c>
      <c r="B1544" s="2" t="s">
        <v>494</v>
      </c>
      <c r="C1544" s="2" t="s">
        <v>495</v>
      </c>
      <c r="D1544">
        <v>29</v>
      </c>
      <c r="E1544" t="str">
        <f>_xlfn.CONCAT(makulatura4[[#This Row],[Imie]]," ",makulatura4[[#This Row],[Nazwisko]])</f>
        <v>Radoslaw Sowinska</v>
      </c>
    </row>
    <row r="1545" spans="1:5" x14ac:dyDescent="0.25">
      <c r="A1545" s="1">
        <v>42997</v>
      </c>
      <c r="B1545" s="2" t="s">
        <v>341</v>
      </c>
      <c r="C1545" s="2" t="s">
        <v>342</v>
      </c>
      <c r="D1545">
        <v>54</v>
      </c>
      <c r="E1545" t="str">
        <f>_xlfn.CONCAT(makulatura4[[#This Row],[Imie]]," ",makulatura4[[#This Row],[Nazwisko]])</f>
        <v>Milena Karolewska</v>
      </c>
    </row>
    <row r="1546" spans="1:5" x14ac:dyDescent="0.25">
      <c r="A1546" s="1">
        <v>42997</v>
      </c>
      <c r="B1546" s="2" t="s">
        <v>97</v>
      </c>
      <c r="C1546" s="2" t="s">
        <v>452</v>
      </c>
      <c r="D1546">
        <v>10</v>
      </c>
      <c r="E1546" t="str">
        <f>_xlfn.CONCAT(makulatura4[[#This Row],[Imie]]," ",makulatura4[[#This Row],[Nazwisko]])</f>
        <v>Mateusz Kornatowski</v>
      </c>
    </row>
    <row r="1547" spans="1:5" x14ac:dyDescent="0.25">
      <c r="A1547" s="1">
        <v>42997</v>
      </c>
      <c r="B1547" s="2" t="s">
        <v>30</v>
      </c>
      <c r="C1547" s="2" t="s">
        <v>463</v>
      </c>
      <c r="D1547">
        <v>28</v>
      </c>
      <c r="E1547" t="str">
        <f>_xlfn.CONCAT(makulatura4[[#This Row],[Imie]]," ",makulatura4[[#This Row],[Nazwisko]])</f>
        <v>Maciej Bugaj</v>
      </c>
    </row>
    <row r="1548" spans="1:5" x14ac:dyDescent="0.25">
      <c r="A1548" s="1">
        <v>42997</v>
      </c>
      <c r="B1548" s="2" t="s">
        <v>271</v>
      </c>
      <c r="C1548" s="2" t="s">
        <v>272</v>
      </c>
      <c r="D1548">
        <v>7</v>
      </c>
      <c r="E1548" t="str">
        <f>_xlfn.CONCAT(makulatura4[[#This Row],[Imie]]," ",makulatura4[[#This Row],[Nazwisko]])</f>
        <v>Olgierd Baranek</v>
      </c>
    </row>
    <row r="1549" spans="1:5" x14ac:dyDescent="0.25">
      <c r="A1549" s="1">
        <v>42997</v>
      </c>
      <c r="B1549" s="2" t="s">
        <v>83</v>
      </c>
      <c r="C1549" s="2" t="s">
        <v>646</v>
      </c>
      <c r="D1549">
        <v>18</v>
      </c>
      <c r="E1549" t="str">
        <f>_xlfn.CONCAT(makulatura4[[#This Row],[Imie]]," ",makulatura4[[#This Row],[Nazwisko]])</f>
        <v>Jan Adamowicz</v>
      </c>
    </row>
    <row r="1550" spans="1:5" x14ac:dyDescent="0.25">
      <c r="A1550" s="1">
        <v>42997</v>
      </c>
      <c r="B1550" s="2" t="s">
        <v>141</v>
      </c>
      <c r="C1550" s="2" t="s">
        <v>612</v>
      </c>
      <c r="D1550">
        <v>10</v>
      </c>
      <c r="E1550" t="str">
        <f>_xlfn.CONCAT(makulatura4[[#This Row],[Imie]]," ",makulatura4[[#This Row],[Nazwisko]])</f>
        <v>Joanna Senger</v>
      </c>
    </row>
    <row r="1551" spans="1:5" x14ac:dyDescent="0.25">
      <c r="A1551" s="1">
        <v>42997</v>
      </c>
      <c r="B1551" s="2" t="s">
        <v>27</v>
      </c>
      <c r="C1551" s="2" t="s">
        <v>94</v>
      </c>
      <c r="D1551">
        <v>24</v>
      </c>
      <c r="E1551" t="str">
        <f>_xlfn.CONCAT(makulatura4[[#This Row],[Imie]]," ",makulatura4[[#This Row],[Nazwisko]])</f>
        <v>Jerzy Czajkowski</v>
      </c>
    </row>
    <row r="1552" spans="1:5" x14ac:dyDescent="0.25">
      <c r="A1552" s="1">
        <v>42997</v>
      </c>
      <c r="B1552" s="2" t="s">
        <v>18</v>
      </c>
      <c r="C1552" s="2" t="s">
        <v>392</v>
      </c>
      <c r="D1552">
        <v>19</v>
      </c>
      <c r="E1552" t="str">
        <f>_xlfn.CONCAT(makulatura4[[#This Row],[Imie]]," ",makulatura4[[#This Row],[Nazwisko]])</f>
        <v>Filip Stanulewicz</v>
      </c>
    </row>
    <row r="1553" spans="1:5" x14ac:dyDescent="0.25">
      <c r="A1553" s="1">
        <v>42997</v>
      </c>
      <c r="B1553" s="2" t="s">
        <v>219</v>
      </c>
      <c r="C1553" s="2" t="s">
        <v>543</v>
      </c>
      <c r="D1553">
        <v>28</v>
      </c>
      <c r="E1553" t="str">
        <f>_xlfn.CONCAT(makulatura4[[#This Row],[Imie]]," ",makulatura4[[#This Row],[Nazwisko]])</f>
        <v>Beata Mirowska</v>
      </c>
    </row>
    <row r="1554" spans="1:5" x14ac:dyDescent="0.25">
      <c r="A1554" s="1">
        <v>42997</v>
      </c>
      <c r="B1554" s="2" t="s">
        <v>150</v>
      </c>
      <c r="C1554" s="2" t="s">
        <v>298</v>
      </c>
      <c r="D1554">
        <v>5</v>
      </c>
      <c r="E1554" t="str">
        <f>_xlfn.CONCAT(makulatura4[[#This Row],[Imie]]," ",makulatura4[[#This Row],[Nazwisko]])</f>
        <v>Krzysztof Wilecki</v>
      </c>
    </row>
    <row r="1555" spans="1:5" x14ac:dyDescent="0.25">
      <c r="A1555" s="1">
        <v>42997</v>
      </c>
      <c r="B1555" s="2" t="s">
        <v>314</v>
      </c>
      <c r="C1555" s="2" t="s">
        <v>315</v>
      </c>
      <c r="D1555">
        <v>17</v>
      </c>
      <c r="E1555" t="str">
        <f>_xlfn.CONCAT(makulatura4[[#This Row],[Imie]]," ",makulatura4[[#This Row],[Nazwisko]])</f>
        <v>Lukasz Kopecki</v>
      </c>
    </row>
    <row r="1556" spans="1:5" x14ac:dyDescent="0.25">
      <c r="A1556" s="1">
        <v>42998</v>
      </c>
      <c r="B1556" s="2" t="s">
        <v>67</v>
      </c>
      <c r="C1556" s="2" t="s">
        <v>460</v>
      </c>
      <c r="D1556">
        <v>53</v>
      </c>
      <c r="E1556" t="str">
        <f>_xlfn.CONCAT(makulatura4[[#This Row],[Imie]]," ",makulatura4[[#This Row],[Nazwisko]])</f>
        <v>Bartosz Mazgaj</v>
      </c>
    </row>
    <row r="1557" spans="1:5" x14ac:dyDescent="0.25">
      <c r="A1557" s="1">
        <v>42998</v>
      </c>
      <c r="B1557" s="2" t="s">
        <v>217</v>
      </c>
      <c r="C1557" s="2" t="s">
        <v>218</v>
      </c>
      <c r="D1557">
        <v>5</v>
      </c>
      <c r="E1557" t="str">
        <f>_xlfn.CONCAT(makulatura4[[#This Row],[Imie]]," ",makulatura4[[#This Row],[Nazwisko]])</f>
        <v>Witold Sempa</v>
      </c>
    </row>
    <row r="1558" spans="1:5" x14ac:dyDescent="0.25">
      <c r="A1558" s="1">
        <v>42998</v>
      </c>
      <c r="B1558" s="2" t="s">
        <v>672</v>
      </c>
      <c r="C1558" s="2" t="s">
        <v>673</v>
      </c>
      <c r="D1558">
        <v>35</v>
      </c>
      <c r="E1558" t="str">
        <f>_xlfn.CONCAT(makulatura4[[#This Row],[Imie]]," ",makulatura4[[#This Row],[Nazwisko]])</f>
        <v>Tytus Sulejman</v>
      </c>
    </row>
    <row r="1559" spans="1:5" x14ac:dyDescent="0.25">
      <c r="A1559" s="1">
        <v>42998</v>
      </c>
      <c r="B1559" s="2" t="s">
        <v>12</v>
      </c>
      <c r="C1559" s="2" t="s">
        <v>38</v>
      </c>
      <c r="D1559">
        <v>17</v>
      </c>
      <c r="E1559" t="str">
        <f>_xlfn.CONCAT(makulatura4[[#This Row],[Imie]]," ",makulatura4[[#This Row],[Nazwisko]])</f>
        <v>Maja Lipka</v>
      </c>
    </row>
    <row r="1560" spans="1:5" x14ac:dyDescent="0.25">
      <c r="A1560" s="1">
        <v>42998</v>
      </c>
      <c r="B1560" s="2" t="s">
        <v>67</v>
      </c>
      <c r="C1560" s="2" t="s">
        <v>68</v>
      </c>
      <c r="D1560">
        <v>12</v>
      </c>
      <c r="E1560" t="str">
        <f>_xlfn.CONCAT(makulatura4[[#This Row],[Imie]]," ",makulatura4[[#This Row],[Nazwisko]])</f>
        <v>Bartosz Protasow</v>
      </c>
    </row>
    <row r="1561" spans="1:5" x14ac:dyDescent="0.25">
      <c r="A1561" s="1">
        <v>42998</v>
      </c>
      <c r="B1561" s="2" t="s">
        <v>81</v>
      </c>
      <c r="C1561" s="2" t="s">
        <v>104</v>
      </c>
      <c r="D1561">
        <v>28</v>
      </c>
      <c r="E1561" t="str">
        <f>_xlfn.CONCAT(makulatura4[[#This Row],[Imie]]," ",makulatura4[[#This Row],[Nazwisko]])</f>
        <v>Karol Dziuk</v>
      </c>
    </row>
    <row r="1562" spans="1:5" x14ac:dyDescent="0.25">
      <c r="A1562" s="1">
        <v>42998</v>
      </c>
      <c r="B1562" s="2" t="s">
        <v>55</v>
      </c>
      <c r="C1562" s="2" t="s">
        <v>492</v>
      </c>
      <c r="D1562">
        <v>47</v>
      </c>
      <c r="E1562" t="str">
        <f>_xlfn.CONCAT(makulatura4[[#This Row],[Imie]]," ",makulatura4[[#This Row],[Nazwisko]])</f>
        <v>Anna Dab</v>
      </c>
    </row>
    <row r="1563" spans="1:5" x14ac:dyDescent="0.25">
      <c r="A1563" s="1">
        <v>42998</v>
      </c>
      <c r="B1563" s="2" t="s">
        <v>69</v>
      </c>
      <c r="C1563" s="2" t="s">
        <v>461</v>
      </c>
      <c r="D1563">
        <v>5</v>
      </c>
      <c r="E1563" t="str">
        <f>_xlfn.CONCAT(makulatura4[[#This Row],[Imie]]," ",makulatura4[[#This Row],[Nazwisko]])</f>
        <v>Adam Borkowski</v>
      </c>
    </row>
    <row r="1564" spans="1:5" x14ac:dyDescent="0.25">
      <c r="A1564" s="1">
        <v>42999</v>
      </c>
      <c r="B1564" s="2" t="s">
        <v>83</v>
      </c>
      <c r="C1564" s="2" t="s">
        <v>596</v>
      </c>
      <c r="D1564">
        <v>7</v>
      </c>
      <c r="E1564" t="str">
        <f>_xlfn.CONCAT(makulatura4[[#This Row],[Imie]]," ",makulatura4[[#This Row],[Nazwisko]])</f>
        <v>Jan Pieterson</v>
      </c>
    </row>
    <row r="1565" spans="1:5" x14ac:dyDescent="0.25">
      <c r="A1565" s="1">
        <v>42999</v>
      </c>
      <c r="B1565" s="2" t="s">
        <v>65</v>
      </c>
      <c r="C1565" s="2" t="s">
        <v>674</v>
      </c>
      <c r="D1565">
        <v>52</v>
      </c>
      <c r="E1565" t="str">
        <f>_xlfn.CONCAT(makulatura4[[#This Row],[Imie]]," ",makulatura4[[#This Row],[Nazwisko]])</f>
        <v>Michal Kieloch</v>
      </c>
    </row>
    <row r="1566" spans="1:5" x14ac:dyDescent="0.25">
      <c r="A1566" s="1">
        <v>42999</v>
      </c>
      <c r="B1566" s="2" t="s">
        <v>12</v>
      </c>
      <c r="C1566" s="2" t="s">
        <v>549</v>
      </c>
      <c r="D1566">
        <v>50</v>
      </c>
      <c r="E1566" t="str">
        <f>_xlfn.CONCAT(makulatura4[[#This Row],[Imie]]," ",makulatura4[[#This Row],[Nazwisko]])</f>
        <v>Maja Leman</v>
      </c>
    </row>
    <row r="1567" spans="1:5" x14ac:dyDescent="0.25">
      <c r="A1567" s="1">
        <v>42999</v>
      </c>
      <c r="B1567" s="2" t="s">
        <v>34</v>
      </c>
      <c r="C1567" s="2" t="s">
        <v>182</v>
      </c>
      <c r="D1567">
        <v>10</v>
      </c>
      <c r="E1567" t="str">
        <f>_xlfn.CONCAT(makulatura4[[#This Row],[Imie]]," ",makulatura4[[#This Row],[Nazwisko]])</f>
        <v>Julia Kielecka</v>
      </c>
    </row>
    <row r="1568" spans="1:5" x14ac:dyDescent="0.25">
      <c r="A1568" s="1">
        <v>42999</v>
      </c>
      <c r="B1568" s="2" t="s">
        <v>438</v>
      </c>
      <c r="C1568" s="2" t="s">
        <v>439</v>
      </c>
      <c r="D1568">
        <v>5</v>
      </c>
      <c r="E1568" t="str">
        <f>_xlfn.CONCAT(makulatura4[[#This Row],[Imie]]," ",makulatura4[[#This Row],[Nazwisko]])</f>
        <v>Albert Pleszewski</v>
      </c>
    </row>
    <row r="1569" spans="1:5" x14ac:dyDescent="0.25">
      <c r="A1569" s="1">
        <v>42999</v>
      </c>
      <c r="B1569" s="2" t="s">
        <v>81</v>
      </c>
      <c r="C1569" s="2" t="s">
        <v>584</v>
      </c>
      <c r="D1569">
        <v>17</v>
      </c>
      <c r="E1569" t="str">
        <f>_xlfn.CONCAT(makulatura4[[#This Row],[Imie]]," ",makulatura4[[#This Row],[Nazwisko]])</f>
        <v>Karol Wichrowski</v>
      </c>
    </row>
    <row r="1570" spans="1:5" x14ac:dyDescent="0.25">
      <c r="A1570" s="1">
        <v>42999</v>
      </c>
      <c r="B1570" s="2" t="s">
        <v>12</v>
      </c>
      <c r="C1570" s="2" t="s">
        <v>386</v>
      </c>
      <c r="D1570">
        <v>24</v>
      </c>
      <c r="E1570" t="str">
        <f>_xlfn.CONCAT(makulatura4[[#This Row],[Imie]]," ",makulatura4[[#This Row],[Nazwisko]])</f>
        <v>Maja Kaminska</v>
      </c>
    </row>
    <row r="1571" spans="1:5" x14ac:dyDescent="0.25">
      <c r="A1571" s="1">
        <v>42999</v>
      </c>
      <c r="B1571" s="2" t="s">
        <v>409</v>
      </c>
      <c r="C1571" s="2" t="s">
        <v>656</v>
      </c>
      <c r="D1571">
        <v>50</v>
      </c>
      <c r="E1571" t="str">
        <f>_xlfn.CONCAT(makulatura4[[#This Row],[Imie]]," ",makulatura4[[#This Row],[Nazwisko]])</f>
        <v>Wiktor Berezniewicz</v>
      </c>
    </row>
    <row r="1572" spans="1:5" x14ac:dyDescent="0.25">
      <c r="A1572" s="1">
        <v>43000</v>
      </c>
      <c r="B1572" s="2" t="s">
        <v>101</v>
      </c>
      <c r="C1572" s="2" t="s">
        <v>188</v>
      </c>
      <c r="D1572">
        <v>9</v>
      </c>
      <c r="E1572" t="str">
        <f>_xlfn.CONCAT(makulatura4[[#This Row],[Imie]]," ",makulatura4[[#This Row],[Nazwisko]])</f>
        <v>Maria Kowalczyk</v>
      </c>
    </row>
    <row r="1573" spans="1:5" x14ac:dyDescent="0.25">
      <c r="A1573" s="1">
        <v>43000</v>
      </c>
      <c r="B1573" s="2" t="s">
        <v>83</v>
      </c>
      <c r="C1573" s="2" t="s">
        <v>561</v>
      </c>
      <c r="D1573">
        <v>6</v>
      </c>
      <c r="E1573" t="str">
        <f>_xlfn.CONCAT(makulatura4[[#This Row],[Imie]]," ",makulatura4[[#This Row],[Nazwisko]])</f>
        <v>Jan Jarek</v>
      </c>
    </row>
    <row r="1574" spans="1:5" x14ac:dyDescent="0.25">
      <c r="A1574" s="1">
        <v>43000</v>
      </c>
      <c r="B1574" s="2" t="s">
        <v>232</v>
      </c>
      <c r="C1574" s="2" t="s">
        <v>405</v>
      </c>
      <c r="D1574">
        <v>24</v>
      </c>
      <c r="E1574" t="str">
        <f>_xlfn.CONCAT(makulatura4[[#This Row],[Imie]]," ",makulatura4[[#This Row],[Nazwisko]])</f>
        <v>Monika Nowaczkiewicz</v>
      </c>
    </row>
    <row r="1575" spans="1:5" x14ac:dyDescent="0.25">
      <c r="A1575" s="1">
        <v>43000</v>
      </c>
      <c r="B1575" s="2" t="s">
        <v>95</v>
      </c>
      <c r="C1575" s="2" t="s">
        <v>426</v>
      </c>
      <c r="D1575">
        <v>15</v>
      </c>
      <c r="E1575" t="str">
        <f>_xlfn.CONCAT(makulatura4[[#This Row],[Imie]]," ",makulatura4[[#This Row],[Nazwisko]])</f>
        <v>Dominik Szmitko</v>
      </c>
    </row>
    <row r="1576" spans="1:5" x14ac:dyDescent="0.25">
      <c r="A1576" s="1">
        <v>43000</v>
      </c>
      <c r="B1576" s="2" t="s">
        <v>150</v>
      </c>
      <c r="C1576" s="2" t="s">
        <v>258</v>
      </c>
      <c r="D1576">
        <v>16</v>
      </c>
      <c r="E1576" t="str">
        <f>_xlfn.CONCAT(makulatura4[[#This Row],[Imie]]," ",makulatura4[[#This Row],[Nazwisko]])</f>
        <v>Krzysztof Figurski</v>
      </c>
    </row>
    <row r="1577" spans="1:5" x14ac:dyDescent="0.25">
      <c r="A1577" s="1">
        <v>43000</v>
      </c>
      <c r="B1577" s="2" t="s">
        <v>55</v>
      </c>
      <c r="C1577" s="2" t="s">
        <v>493</v>
      </c>
      <c r="D1577">
        <v>10</v>
      </c>
      <c r="E1577" t="str">
        <f>_xlfn.CONCAT(makulatura4[[#This Row],[Imie]]," ",makulatura4[[#This Row],[Nazwisko]])</f>
        <v>Anna Wnuk</v>
      </c>
    </row>
    <row r="1578" spans="1:5" x14ac:dyDescent="0.25">
      <c r="A1578" s="1">
        <v>43000</v>
      </c>
      <c r="B1578" s="2" t="s">
        <v>307</v>
      </c>
      <c r="C1578" s="2" t="s">
        <v>325</v>
      </c>
      <c r="D1578">
        <v>32</v>
      </c>
      <c r="E1578" t="str">
        <f>_xlfn.CONCAT(makulatura4[[#This Row],[Imie]]," ",makulatura4[[#This Row],[Nazwisko]])</f>
        <v>Konrad Jagielski</v>
      </c>
    </row>
    <row r="1579" spans="1:5" x14ac:dyDescent="0.25">
      <c r="A1579" s="1">
        <v>43000</v>
      </c>
      <c r="B1579" s="2" t="s">
        <v>51</v>
      </c>
      <c r="C1579" s="2" t="s">
        <v>469</v>
      </c>
      <c r="D1579">
        <v>24</v>
      </c>
      <c r="E1579" t="str">
        <f>_xlfn.CONCAT(makulatura4[[#This Row],[Imie]]," ",makulatura4[[#This Row],[Nazwisko]])</f>
        <v>Barbara Karcz</v>
      </c>
    </row>
    <row r="1580" spans="1:5" x14ac:dyDescent="0.25">
      <c r="A1580" s="1">
        <v>43003</v>
      </c>
      <c r="B1580" s="2" t="s">
        <v>178</v>
      </c>
      <c r="C1580" s="2" t="s">
        <v>242</v>
      </c>
      <c r="D1580">
        <v>34</v>
      </c>
      <c r="E1580" t="str">
        <f>_xlfn.CONCAT(makulatura4[[#This Row],[Imie]]," ",makulatura4[[#This Row],[Nazwisko]])</f>
        <v>Malgorzata Karlowski</v>
      </c>
    </row>
    <row r="1581" spans="1:5" x14ac:dyDescent="0.25">
      <c r="A1581" s="1">
        <v>43003</v>
      </c>
      <c r="B1581" s="2" t="s">
        <v>47</v>
      </c>
      <c r="C1581" s="2" t="s">
        <v>256</v>
      </c>
      <c r="D1581">
        <v>28</v>
      </c>
      <c r="E1581" t="str">
        <f>_xlfn.CONCAT(makulatura4[[#This Row],[Imie]]," ",makulatura4[[#This Row],[Nazwisko]])</f>
        <v>Marek Leoniuk</v>
      </c>
    </row>
    <row r="1582" spans="1:5" x14ac:dyDescent="0.25">
      <c r="A1582" s="1">
        <v>43003</v>
      </c>
      <c r="B1582" s="2" t="s">
        <v>55</v>
      </c>
      <c r="C1582" s="2" t="s">
        <v>506</v>
      </c>
      <c r="D1582">
        <v>18</v>
      </c>
      <c r="E1582" t="str">
        <f>_xlfn.CONCAT(makulatura4[[#This Row],[Imie]]," ",makulatura4[[#This Row],[Nazwisko]])</f>
        <v>Anna Trojanowska</v>
      </c>
    </row>
    <row r="1583" spans="1:5" x14ac:dyDescent="0.25">
      <c r="A1583" s="1">
        <v>43003</v>
      </c>
      <c r="B1583" s="2" t="s">
        <v>343</v>
      </c>
      <c r="C1583" s="2" t="s">
        <v>675</v>
      </c>
      <c r="D1583">
        <v>19</v>
      </c>
      <c r="E1583" t="str">
        <f>_xlfn.CONCAT(makulatura4[[#This Row],[Imie]]," ",makulatura4[[#This Row],[Nazwisko]])</f>
        <v>Izabela Draszczyk</v>
      </c>
    </row>
    <row r="1584" spans="1:5" x14ac:dyDescent="0.25">
      <c r="A1584" s="1">
        <v>43003</v>
      </c>
      <c r="B1584" s="2" t="s">
        <v>314</v>
      </c>
      <c r="C1584" s="2" t="s">
        <v>466</v>
      </c>
      <c r="D1584">
        <v>7</v>
      </c>
      <c r="E1584" t="str">
        <f>_xlfn.CONCAT(makulatura4[[#This Row],[Imie]]," ",makulatura4[[#This Row],[Nazwisko]])</f>
        <v>Lukasz Kot</v>
      </c>
    </row>
    <row r="1585" spans="1:5" x14ac:dyDescent="0.25">
      <c r="A1585" s="1">
        <v>43003</v>
      </c>
      <c r="B1585" s="2" t="s">
        <v>219</v>
      </c>
      <c r="C1585" s="2" t="s">
        <v>543</v>
      </c>
      <c r="D1585">
        <v>29</v>
      </c>
      <c r="E1585" t="str">
        <f>_xlfn.CONCAT(makulatura4[[#This Row],[Imie]]," ",makulatura4[[#This Row],[Nazwisko]])</f>
        <v>Beata Mirowska</v>
      </c>
    </row>
    <row r="1586" spans="1:5" x14ac:dyDescent="0.25">
      <c r="A1586" s="1">
        <v>43003</v>
      </c>
      <c r="B1586" s="2" t="s">
        <v>150</v>
      </c>
      <c r="C1586" s="2" t="s">
        <v>676</v>
      </c>
      <c r="D1586">
        <v>56</v>
      </c>
      <c r="E1586" t="str">
        <f>_xlfn.CONCAT(makulatura4[[#This Row],[Imie]]," ",makulatura4[[#This Row],[Nazwisko]])</f>
        <v>Krzysztof Kukulski</v>
      </c>
    </row>
    <row r="1587" spans="1:5" x14ac:dyDescent="0.25">
      <c r="A1587" s="1">
        <v>43003</v>
      </c>
      <c r="B1587" s="2" t="s">
        <v>234</v>
      </c>
      <c r="C1587" s="2" t="s">
        <v>227</v>
      </c>
      <c r="D1587">
        <v>11</v>
      </c>
      <c r="E1587" t="str">
        <f>_xlfn.CONCAT(makulatura4[[#This Row],[Imie]]," ",makulatura4[[#This Row],[Nazwisko]])</f>
        <v>Magdalena Nowak</v>
      </c>
    </row>
    <row r="1588" spans="1:5" x14ac:dyDescent="0.25">
      <c r="A1588" s="1">
        <v>43004</v>
      </c>
      <c r="B1588" s="2" t="s">
        <v>310</v>
      </c>
      <c r="C1588" s="2" t="s">
        <v>641</v>
      </c>
      <c r="D1588">
        <v>33</v>
      </c>
      <c r="E1588" t="str">
        <f>_xlfn.CONCAT(makulatura4[[#This Row],[Imie]]," ",makulatura4[[#This Row],[Nazwisko]])</f>
        <v>Antoni Sobieski</v>
      </c>
    </row>
    <row r="1589" spans="1:5" x14ac:dyDescent="0.25">
      <c r="A1589" s="1">
        <v>43004</v>
      </c>
      <c r="B1589" s="2" t="s">
        <v>57</v>
      </c>
      <c r="C1589" s="2" t="s">
        <v>399</v>
      </c>
      <c r="D1589">
        <v>5</v>
      </c>
      <c r="E1589" t="str">
        <f>_xlfn.CONCAT(makulatura4[[#This Row],[Imie]]," ",makulatura4[[#This Row],[Nazwisko]])</f>
        <v>Patrycja Dzban</v>
      </c>
    </row>
    <row r="1590" spans="1:5" x14ac:dyDescent="0.25">
      <c r="A1590" s="1">
        <v>43004</v>
      </c>
      <c r="B1590" s="2" t="s">
        <v>195</v>
      </c>
      <c r="C1590" s="2" t="s">
        <v>196</v>
      </c>
      <c r="D1590">
        <v>25</v>
      </c>
      <c r="E1590" t="str">
        <f>_xlfn.CONCAT(makulatura4[[#This Row],[Imie]]," ",makulatura4[[#This Row],[Nazwisko]])</f>
        <v>Emilia Mroczek</v>
      </c>
    </row>
    <row r="1591" spans="1:5" x14ac:dyDescent="0.25">
      <c r="A1591" s="1">
        <v>43004</v>
      </c>
      <c r="B1591" s="2" t="s">
        <v>352</v>
      </c>
      <c r="C1591" s="2" t="s">
        <v>425</v>
      </c>
      <c r="D1591">
        <v>10</v>
      </c>
      <c r="E1591" t="str">
        <f>_xlfn.CONCAT(makulatura4[[#This Row],[Imie]]," ",makulatura4[[#This Row],[Nazwisko]])</f>
        <v>Ilona Lukaszewska</v>
      </c>
    </row>
    <row r="1592" spans="1:5" x14ac:dyDescent="0.25">
      <c r="A1592" s="1">
        <v>43004</v>
      </c>
      <c r="B1592" s="2" t="s">
        <v>131</v>
      </c>
      <c r="C1592" s="2" t="s">
        <v>451</v>
      </c>
      <c r="D1592">
        <v>18</v>
      </c>
      <c r="E1592" t="str">
        <f>_xlfn.CONCAT(makulatura4[[#This Row],[Imie]]," ",makulatura4[[#This Row],[Nazwisko]])</f>
        <v>Ewelina Bialkowska</v>
      </c>
    </row>
    <row r="1593" spans="1:5" x14ac:dyDescent="0.25">
      <c r="A1593" s="1">
        <v>43004</v>
      </c>
      <c r="B1593" s="2" t="s">
        <v>34</v>
      </c>
      <c r="C1593" s="2" t="s">
        <v>557</v>
      </c>
      <c r="D1593">
        <v>26</v>
      </c>
      <c r="E1593" t="str">
        <f>_xlfn.CONCAT(makulatura4[[#This Row],[Imie]]," ",makulatura4[[#This Row],[Nazwisko]])</f>
        <v>Julia Sadowska</v>
      </c>
    </row>
    <row r="1594" spans="1:5" x14ac:dyDescent="0.25">
      <c r="A1594" s="1">
        <v>43004</v>
      </c>
      <c r="B1594" s="2" t="s">
        <v>278</v>
      </c>
      <c r="C1594" s="2" t="s">
        <v>530</v>
      </c>
      <c r="D1594">
        <v>12</v>
      </c>
      <c r="E1594" t="str">
        <f>_xlfn.CONCAT(makulatura4[[#This Row],[Imie]]," ",makulatura4[[#This Row],[Nazwisko]])</f>
        <v>Janusz Baka</v>
      </c>
    </row>
    <row r="1595" spans="1:5" x14ac:dyDescent="0.25">
      <c r="A1595" s="1">
        <v>43004</v>
      </c>
      <c r="B1595" s="2" t="s">
        <v>72</v>
      </c>
      <c r="C1595" s="2" t="s">
        <v>227</v>
      </c>
      <c r="D1595">
        <v>22</v>
      </c>
      <c r="E1595" t="str">
        <f>_xlfn.CONCAT(makulatura4[[#This Row],[Imie]]," ",makulatura4[[#This Row],[Nazwisko]])</f>
        <v>Teodor Nowak</v>
      </c>
    </row>
    <row r="1596" spans="1:5" x14ac:dyDescent="0.25">
      <c r="A1596" s="1">
        <v>43005</v>
      </c>
      <c r="B1596" s="2" t="s">
        <v>206</v>
      </c>
      <c r="C1596" s="2" t="s">
        <v>385</v>
      </c>
      <c r="D1596">
        <v>19</v>
      </c>
      <c r="E1596" t="str">
        <f>_xlfn.CONCAT(makulatura4[[#This Row],[Imie]]," ",makulatura4[[#This Row],[Nazwisko]])</f>
        <v>Pawel Bolkowski</v>
      </c>
    </row>
    <row r="1597" spans="1:5" x14ac:dyDescent="0.25">
      <c r="A1597" s="1">
        <v>43005</v>
      </c>
      <c r="B1597" s="2" t="s">
        <v>30</v>
      </c>
      <c r="C1597" s="2" t="s">
        <v>463</v>
      </c>
      <c r="D1597">
        <v>5</v>
      </c>
      <c r="E1597" t="str">
        <f>_xlfn.CONCAT(makulatura4[[#This Row],[Imie]]," ",makulatura4[[#This Row],[Nazwisko]])</f>
        <v>Maciej Bugaj</v>
      </c>
    </row>
    <row r="1598" spans="1:5" x14ac:dyDescent="0.25">
      <c r="A1598" s="1">
        <v>43005</v>
      </c>
      <c r="B1598" s="2" t="s">
        <v>150</v>
      </c>
      <c r="C1598" s="2" t="s">
        <v>462</v>
      </c>
      <c r="D1598">
        <v>7</v>
      </c>
      <c r="E1598" t="str">
        <f>_xlfn.CONCAT(makulatura4[[#This Row],[Imie]]," ",makulatura4[[#This Row],[Nazwisko]])</f>
        <v>Krzysztof Wloch</v>
      </c>
    </row>
    <row r="1599" spans="1:5" x14ac:dyDescent="0.25">
      <c r="A1599" s="1">
        <v>43005</v>
      </c>
      <c r="B1599" s="2" t="s">
        <v>4</v>
      </c>
      <c r="C1599" s="2" t="s">
        <v>382</v>
      </c>
      <c r="D1599">
        <v>28</v>
      </c>
      <c r="E1599" t="str">
        <f>_xlfn.CONCAT(makulatura4[[#This Row],[Imie]]," ",makulatura4[[#This Row],[Nazwisko]])</f>
        <v>Agnieszka Matusik</v>
      </c>
    </row>
    <row r="1600" spans="1:5" x14ac:dyDescent="0.25">
      <c r="A1600" s="1">
        <v>43005</v>
      </c>
      <c r="B1600" s="2" t="s">
        <v>128</v>
      </c>
      <c r="C1600" s="2" t="s">
        <v>677</v>
      </c>
      <c r="D1600">
        <v>53</v>
      </c>
      <c r="E1600" t="str">
        <f>_xlfn.CONCAT(makulatura4[[#This Row],[Imie]]," ",makulatura4[[#This Row],[Nazwisko]])</f>
        <v>Wojciech Kulakowski</v>
      </c>
    </row>
    <row r="1601" spans="1:5" x14ac:dyDescent="0.25">
      <c r="A1601" s="1">
        <v>43005</v>
      </c>
      <c r="B1601" s="2" t="s">
        <v>147</v>
      </c>
      <c r="C1601" s="2" t="s">
        <v>578</v>
      </c>
      <c r="D1601">
        <v>28</v>
      </c>
      <c r="E1601" t="str">
        <f>_xlfn.CONCAT(makulatura4[[#This Row],[Imie]]," ",makulatura4[[#This Row],[Nazwisko]])</f>
        <v>Mariusz Mrowiec</v>
      </c>
    </row>
    <row r="1602" spans="1:5" x14ac:dyDescent="0.25">
      <c r="A1602" s="1">
        <v>43005</v>
      </c>
      <c r="B1602" s="2" t="s">
        <v>494</v>
      </c>
      <c r="C1602" s="2" t="s">
        <v>495</v>
      </c>
      <c r="D1602">
        <v>17</v>
      </c>
      <c r="E1602" t="str">
        <f>_xlfn.CONCAT(makulatura4[[#This Row],[Imie]]," ",makulatura4[[#This Row],[Nazwisko]])</f>
        <v>Radoslaw Sowinska</v>
      </c>
    </row>
    <row r="1603" spans="1:5" x14ac:dyDescent="0.25">
      <c r="A1603" s="1">
        <v>43005</v>
      </c>
      <c r="B1603" s="2" t="s">
        <v>141</v>
      </c>
      <c r="C1603" s="2" t="s">
        <v>435</v>
      </c>
      <c r="D1603">
        <v>20</v>
      </c>
      <c r="E1603" t="str">
        <f>_xlfn.CONCAT(makulatura4[[#This Row],[Imie]]," ",makulatura4[[#This Row],[Nazwisko]])</f>
        <v>Joanna Kopacki</v>
      </c>
    </row>
    <row r="1604" spans="1:5" x14ac:dyDescent="0.25">
      <c r="A1604" s="1">
        <v>43006</v>
      </c>
      <c r="B1604" s="2" t="s">
        <v>57</v>
      </c>
      <c r="C1604" s="2" t="s">
        <v>418</v>
      </c>
      <c r="D1604">
        <v>50</v>
      </c>
      <c r="E1604" t="str">
        <f>_xlfn.CONCAT(makulatura4[[#This Row],[Imie]]," ",makulatura4[[#This Row],[Nazwisko]])</f>
        <v>Patrycja Rzeszowska</v>
      </c>
    </row>
    <row r="1605" spans="1:5" x14ac:dyDescent="0.25">
      <c r="A1605" s="1">
        <v>43006</v>
      </c>
      <c r="B1605" s="2" t="s">
        <v>137</v>
      </c>
      <c r="C1605" s="2" t="s">
        <v>138</v>
      </c>
      <c r="D1605">
        <v>15</v>
      </c>
      <c r="E1605" t="str">
        <f>_xlfn.CONCAT(makulatura4[[#This Row],[Imie]]," ",makulatura4[[#This Row],[Nazwisko]])</f>
        <v>Stanislaw Derek</v>
      </c>
    </row>
    <row r="1606" spans="1:5" x14ac:dyDescent="0.25">
      <c r="A1606" s="1">
        <v>43006</v>
      </c>
      <c r="B1606" s="2" t="s">
        <v>81</v>
      </c>
      <c r="C1606" s="2" t="s">
        <v>145</v>
      </c>
      <c r="D1606">
        <v>27</v>
      </c>
      <c r="E1606" t="str">
        <f>_xlfn.CONCAT(makulatura4[[#This Row],[Imie]]," ",makulatura4[[#This Row],[Nazwisko]])</f>
        <v>Karol Wojciechowski</v>
      </c>
    </row>
    <row r="1607" spans="1:5" x14ac:dyDescent="0.25">
      <c r="A1607" s="1">
        <v>43006</v>
      </c>
      <c r="B1607" s="2" t="s">
        <v>97</v>
      </c>
      <c r="C1607" s="2" t="s">
        <v>188</v>
      </c>
      <c r="D1607">
        <v>2</v>
      </c>
      <c r="E1607" t="str">
        <f>_xlfn.CONCAT(makulatura4[[#This Row],[Imie]]," ",makulatura4[[#This Row],[Nazwisko]])</f>
        <v>Mateusz Kowalczyk</v>
      </c>
    </row>
    <row r="1608" spans="1:5" x14ac:dyDescent="0.25">
      <c r="A1608" s="1">
        <v>43006</v>
      </c>
      <c r="B1608" s="2" t="s">
        <v>119</v>
      </c>
      <c r="C1608" s="2" t="s">
        <v>120</v>
      </c>
      <c r="D1608">
        <v>17</v>
      </c>
      <c r="E1608" t="str">
        <f>_xlfn.CONCAT(makulatura4[[#This Row],[Imie]]," ",makulatura4[[#This Row],[Nazwisko]])</f>
        <v>Kamil Naderka</v>
      </c>
    </row>
    <row r="1609" spans="1:5" x14ac:dyDescent="0.25">
      <c r="A1609" s="1">
        <v>43006</v>
      </c>
      <c r="B1609" s="2" t="s">
        <v>453</v>
      </c>
      <c r="C1609" s="2" t="s">
        <v>454</v>
      </c>
      <c r="D1609">
        <v>53</v>
      </c>
      <c r="E1609" t="str">
        <f>_xlfn.CONCAT(makulatura4[[#This Row],[Imie]]," ",makulatura4[[#This Row],[Nazwisko]])</f>
        <v>Angelika Walaszek</v>
      </c>
    </row>
    <row r="1610" spans="1:5" x14ac:dyDescent="0.25">
      <c r="A1610" s="1">
        <v>43006</v>
      </c>
      <c r="B1610" s="2" t="s">
        <v>83</v>
      </c>
      <c r="C1610" s="2" t="s">
        <v>646</v>
      </c>
      <c r="D1610">
        <v>30</v>
      </c>
      <c r="E1610" t="str">
        <f>_xlfn.CONCAT(makulatura4[[#This Row],[Imie]]," ",makulatura4[[#This Row],[Nazwisko]])</f>
        <v>Jan Adamowicz</v>
      </c>
    </row>
    <row r="1611" spans="1:5" x14ac:dyDescent="0.25">
      <c r="A1611" s="1">
        <v>43006</v>
      </c>
      <c r="B1611" s="2" t="s">
        <v>193</v>
      </c>
      <c r="C1611" s="2" t="s">
        <v>483</v>
      </c>
      <c r="D1611">
        <v>7</v>
      </c>
      <c r="E1611" t="str">
        <f>_xlfn.CONCAT(makulatura4[[#This Row],[Imie]]," ",makulatura4[[#This Row],[Nazwisko]])</f>
        <v>Karolina Pawelska</v>
      </c>
    </row>
    <row r="1612" spans="1:5" x14ac:dyDescent="0.25">
      <c r="A1612" s="1">
        <v>43007</v>
      </c>
      <c r="B1612" s="2" t="s">
        <v>83</v>
      </c>
      <c r="C1612" s="2" t="s">
        <v>350</v>
      </c>
      <c r="D1612">
        <v>15</v>
      </c>
      <c r="E1612" t="str">
        <f>_xlfn.CONCAT(makulatura4[[#This Row],[Imie]]," ",makulatura4[[#This Row],[Nazwisko]])</f>
        <v>Jan Zdunski</v>
      </c>
    </row>
    <row r="1613" spans="1:5" x14ac:dyDescent="0.25">
      <c r="A1613" s="1">
        <v>43007</v>
      </c>
      <c r="B1613" s="2" t="s">
        <v>152</v>
      </c>
      <c r="C1613" s="2" t="s">
        <v>511</v>
      </c>
      <c r="D1613">
        <v>55</v>
      </c>
      <c r="E1613" t="str">
        <f>_xlfn.CONCAT(makulatura4[[#This Row],[Imie]]," ",makulatura4[[#This Row],[Nazwisko]])</f>
        <v>Natalia Knap</v>
      </c>
    </row>
    <row r="1614" spans="1:5" x14ac:dyDescent="0.25">
      <c r="A1614" s="1">
        <v>43007</v>
      </c>
      <c r="B1614" s="2" t="s">
        <v>494</v>
      </c>
      <c r="C1614" s="2" t="s">
        <v>495</v>
      </c>
      <c r="D1614">
        <v>39</v>
      </c>
      <c r="E1614" t="str">
        <f>_xlfn.CONCAT(makulatura4[[#This Row],[Imie]]," ",makulatura4[[#This Row],[Nazwisko]])</f>
        <v>Radoslaw Sowinska</v>
      </c>
    </row>
    <row r="1615" spans="1:5" x14ac:dyDescent="0.25">
      <c r="A1615" s="1">
        <v>43007</v>
      </c>
      <c r="B1615" s="2" t="s">
        <v>150</v>
      </c>
      <c r="C1615" s="2" t="s">
        <v>297</v>
      </c>
      <c r="D1615">
        <v>18</v>
      </c>
      <c r="E1615" t="str">
        <f>_xlfn.CONCAT(makulatura4[[#This Row],[Imie]]," ",makulatura4[[#This Row],[Nazwisko]])</f>
        <v>Krzysztof Czyz</v>
      </c>
    </row>
    <row r="1616" spans="1:5" x14ac:dyDescent="0.25">
      <c r="A1616" s="1">
        <v>43007</v>
      </c>
      <c r="B1616" s="2" t="s">
        <v>23</v>
      </c>
      <c r="C1616" s="2" t="s">
        <v>592</v>
      </c>
      <c r="D1616">
        <v>9</v>
      </c>
      <c r="E1616" t="str">
        <f>_xlfn.CONCAT(makulatura4[[#This Row],[Imie]]," ",makulatura4[[#This Row],[Nazwisko]])</f>
        <v>Alicja Walentowicz</v>
      </c>
    </row>
    <row r="1617" spans="1:5" x14ac:dyDescent="0.25">
      <c r="A1617" s="1">
        <v>43007</v>
      </c>
      <c r="B1617" s="2" t="s">
        <v>395</v>
      </c>
      <c r="C1617" s="2" t="s">
        <v>678</v>
      </c>
      <c r="D1617">
        <v>55</v>
      </c>
      <c r="E1617" t="str">
        <f>_xlfn.CONCAT(makulatura4[[#This Row],[Imie]]," ",makulatura4[[#This Row],[Nazwisko]])</f>
        <v>Tomasz Tytan</v>
      </c>
    </row>
    <row r="1618" spans="1:5" x14ac:dyDescent="0.25">
      <c r="A1618" s="1">
        <v>43007</v>
      </c>
      <c r="B1618" s="2" t="s">
        <v>278</v>
      </c>
      <c r="C1618" s="2" t="s">
        <v>530</v>
      </c>
      <c r="D1618">
        <v>24</v>
      </c>
      <c r="E1618" t="str">
        <f>_xlfn.CONCAT(makulatura4[[#This Row],[Imie]]," ",makulatura4[[#This Row],[Nazwisko]])</f>
        <v>Janusz Baka</v>
      </c>
    </row>
    <row r="1619" spans="1:5" x14ac:dyDescent="0.25">
      <c r="A1619" s="1">
        <v>43007</v>
      </c>
      <c r="B1619" s="2" t="s">
        <v>278</v>
      </c>
      <c r="C1619" s="2" t="s">
        <v>202</v>
      </c>
      <c r="D1619">
        <v>52</v>
      </c>
      <c r="E1619" t="str">
        <f>_xlfn.CONCAT(makulatura4[[#This Row],[Imie]]," ",makulatura4[[#This Row],[Nazwisko]])</f>
        <v>Janusz Wrobel</v>
      </c>
    </row>
    <row r="1620" spans="1:5" x14ac:dyDescent="0.25">
      <c r="A1620" s="1">
        <v>43010</v>
      </c>
      <c r="B1620" s="2" t="s">
        <v>395</v>
      </c>
      <c r="C1620" s="2" t="s">
        <v>461</v>
      </c>
      <c r="D1620">
        <v>42</v>
      </c>
      <c r="E1620" t="str">
        <f>_xlfn.CONCAT(makulatura4[[#This Row],[Imie]]," ",makulatura4[[#This Row],[Nazwisko]])</f>
        <v>Tomasz Borkowski</v>
      </c>
    </row>
    <row r="1621" spans="1:5" x14ac:dyDescent="0.25">
      <c r="A1621" s="1">
        <v>43010</v>
      </c>
      <c r="B1621" s="2" t="s">
        <v>314</v>
      </c>
      <c r="C1621" s="2" t="s">
        <v>450</v>
      </c>
      <c r="D1621">
        <v>16</v>
      </c>
      <c r="E1621" t="str">
        <f>_xlfn.CONCAT(makulatura4[[#This Row],[Imie]]," ",makulatura4[[#This Row],[Nazwisko]])</f>
        <v>Lukasz Niedziela</v>
      </c>
    </row>
    <row r="1622" spans="1:5" x14ac:dyDescent="0.25">
      <c r="A1622" s="1">
        <v>43010</v>
      </c>
      <c r="B1622" s="2" t="s">
        <v>34</v>
      </c>
      <c r="C1622" s="2" t="s">
        <v>679</v>
      </c>
      <c r="D1622">
        <v>43</v>
      </c>
      <c r="E1622" t="str">
        <f>_xlfn.CONCAT(makulatura4[[#This Row],[Imie]]," ",makulatura4[[#This Row],[Nazwisko]])</f>
        <v>Julia Samulczyk</v>
      </c>
    </row>
    <row r="1623" spans="1:5" x14ac:dyDescent="0.25">
      <c r="A1623" s="1">
        <v>43010</v>
      </c>
      <c r="B1623" s="2" t="s">
        <v>23</v>
      </c>
      <c r="C1623" s="2" t="s">
        <v>163</v>
      </c>
      <c r="D1623">
        <v>55</v>
      </c>
      <c r="E1623" t="str">
        <f>_xlfn.CONCAT(makulatura4[[#This Row],[Imie]]," ",makulatura4[[#This Row],[Nazwisko]])</f>
        <v>Alicja Chmiel</v>
      </c>
    </row>
    <row r="1624" spans="1:5" x14ac:dyDescent="0.25">
      <c r="A1624" s="1">
        <v>43010</v>
      </c>
      <c r="B1624" s="2" t="s">
        <v>206</v>
      </c>
      <c r="C1624" s="2" t="s">
        <v>296</v>
      </c>
      <c r="D1624">
        <v>45</v>
      </c>
      <c r="E1624" t="str">
        <f>_xlfn.CONCAT(makulatura4[[#This Row],[Imie]]," ",makulatura4[[#This Row],[Nazwisko]])</f>
        <v>Pawel Macherzynski</v>
      </c>
    </row>
    <row r="1625" spans="1:5" x14ac:dyDescent="0.25">
      <c r="A1625" s="1">
        <v>43010</v>
      </c>
      <c r="B1625" s="2" t="s">
        <v>307</v>
      </c>
      <c r="C1625" s="2" t="s">
        <v>308</v>
      </c>
      <c r="D1625">
        <v>25</v>
      </c>
      <c r="E1625" t="str">
        <f>_xlfn.CONCAT(makulatura4[[#This Row],[Imie]]," ",makulatura4[[#This Row],[Nazwisko]])</f>
        <v>Konrad Lipowski</v>
      </c>
    </row>
    <row r="1626" spans="1:5" x14ac:dyDescent="0.25">
      <c r="A1626" s="1">
        <v>43011</v>
      </c>
      <c r="B1626" s="2" t="s">
        <v>133</v>
      </c>
      <c r="C1626" s="2" t="s">
        <v>499</v>
      </c>
      <c r="D1626">
        <v>28</v>
      </c>
      <c r="E1626" t="str">
        <f>_xlfn.CONCAT(makulatura4[[#This Row],[Imie]]," ",makulatura4[[#This Row],[Nazwisko]])</f>
        <v>Dominika Szwec</v>
      </c>
    </row>
    <row r="1627" spans="1:5" x14ac:dyDescent="0.25">
      <c r="A1627" s="1">
        <v>43011</v>
      </c>
      <c r="B1627" s="2" t="s">
        <v>372</v>
      </c>
      <c r="C1627" s="2" t="s">
        <v>373</v>
      </c>
      <c r="D1627">
        <v>14</v>
      </c>
      <c r="E1627" t="str">
        <f>_xlfn.CONCAT(makulatura4[[#This Row],[Imie]]," ",makulatura4[[#This Row],[Nazwisko]])</f>
        <v>Ryszarda Januszek</v>
      </c>
    </row>
    <row r="1628" spans="1:5" x14ac:dyDescent="0.25">
      <c r="A1628" s="1">
        <v>43011</v>
      </c>
      <c r="B1628" s="2" t="s">
        <v>252</v>
      </c>
      <c r="C1628" s="2" t="s">
        <v>288</v>
      </c>
      <c r="D1628">
        <v>26</v>
      </c>
      <c r="E1628" t="str">
        <f>_xlfn.CONCAT(makulatura4[[#This Row],[Imie]]," ",makulatura4[[#This Row],[Nazwisko]])</f>
        <v>Irena Piotrowska</v>
      </c>
    </row>
    <row r="1629" spans="1:5" x14ac:dyDescent="0.25">
      <c r="A1629" s="1">
        <v>43011</v>
      </c>
      <c r="B1629" s="2" t="s">
        <v>41</v>
      </c>
      <c r="C1629" s="2" t="s">
        <v>238</v>
      </c>
      <c r="D1629">
        <v>21</v>
      </c>
      <c r="E1629" t="str">
        <f>_xlfn.CONCAT(makulatura4[[#This Row],[Imie]]," ",makulatura4[[#This Row],[Nazwisko]])</f>
        <v>Marta Robak</v>
      </c>
    </row>
    <row r="1630" spans="1:5" x14ac:dyDescent="0.25">
      <c r="A1630" s="1">
        <v>43011</v>
      </c>
      <c r="B1630" s="2" t="s">
        <v>36</v>
      </c>
      <c r="C1630" s="2" t="s">
        <v>404</v>
      </c>
      <c r="D1630">
        <v>14</v>
      </c>
      <c r="E1630" t="str">
        <f>_xlfn.CONCAT(makulatura4[[#This Row],[Imie]]," ",makulatura4[[#This Row],[Nazwisko]])</f>
        <v>Piotr Polkowicki</v>
      </c>
    </row>
    <row r="1631" spans="1:5" x14ac:dyDescent="0.25">
      <c r="A1631" s="1">
        <v>43011</v>
      </c>
      <c r="B1631" s="2" t="s">
        <v>59</v>
      </c>
      <c r="C1631" s="2" t="s">
        <v>60</v>
      </c>
      <c r="D1631">
        <v>36</v>
      </c>
      <c r="E1631" t="str">
        <f>_xlfn.CONCAT(makulatura4[[#This Row],[Imie]]," ",makulatura4[[#This Row],[Nazwisko]])</f>
        <v>Laura Chmielewska</v>
      </c>
    </row>
    <row r="1632" spans="1:5" x14ac:dyDescent="0.25">
      <c r="A1632" s="1">
        <v>43012</v>
      </c>
      <c r="B1632" s="2" t="s">
        <v>43</v>
      </c>
      <c r="C1632" s="2" t="s">
        <v>124</v>
      </c>
      <c r="D1632">
        <v>3</v>
      </c>
      <c r="E1632" t="str">
        <f>_xlfn.CONCAT(makulatura4[[#This Row],[Imie]]," ",makulatura4[[#This Row],[Nazwisko]])</f>
        <v>Andrzej Tysz</v>
      </c>
    </row>
    <row r="1633" spans="1:5" x14ac:dyDescent="0.25">
      <c r="A1633" s="1">
        <v>43012</v>
      </c>
      <c r="B1633" s="2" t="s">
        <v>453</v>
      </c>
      <c r="C1633" s="2" t="s">
        <v>454</v>
      </c>
      <c r="D1633">
        <v>11</v>
      </c>
      <c r="E1633" t="str">
        <f>_xlfn.CONCAT(makulatura4[[#This Row],[Imie]]," ",makulatura4[[#This Row],[Nazwisko]])</f>
        <v>Angelika Walaszek</v>
      </c>
    </row>
    <row r="1634" spans="1:5" x14ac:dyDescent="0.25">
      <c r="A1634" s="1">
        <v>43012</v>
      </c>
      <c r="B1634" s="2" t="s">
        <v>147</v>
      </c>
      <c r="C1634" s="2" t="s">
        <v>148</v>
      </c>
      <c r="D1634">
        <v>49</v>
      </c>
      <c r="E1634" t="str">
        <f>_xlfn.CONCAT(makulatura4[[#This Row],[Imie]]," ",makulatura4[[#This Row],[Nazwisko]])</f>
        <v>Mariusz Brydzinski</v>
      </c>
    </row>
    <row r="1635" spans="1:5" x14ac:dyDescent="0.25">
      <c r="A1635" s="1">
        <v>43012</v>
      </c>
      <c r="B1635" s="2" t="s">
        <v>339</v>
      </c>
      <c r="C1635" s="2" t="s">
        <v>565</v>
      </c>
      <c r="D1635">
        <v>16</v>
      </c>
      <c r="E1635" t="str">
        <f>_xlfn.CONCAT(makulatura4[[#This Row],[Imie]]," ",makulatura4[[#This Row],[Nazwisko]])</f>
        <v>Nadia Jurewicz</v>
      </c>
    </row>
    <row r="1636" spans="1:5" x14ac:dyDescent="0.25">
      <c r="A1636" s="1">
        <v>43012</v>
      </c>
      <c r="B1636" s="2" t="s">
        <v>43</v>
      </c>
      <c r="C1636" s="2" t="s">
        <v>569</v>
      </c>
      <c r="D1636">
        <v>26</v>
      </c>
      <c r="E1636" t="str">
        <f>_xlfn.CONCAT(makulatura4[[#This Row],[Imie]]," ",makulatura4[[#This Row],[Nazwisko]])</f>
        <v>Andrzej Zbieg</v>
      </c>
    </row>
    <row r="1637" spans="1:5" x14ac:dyDescent="0.25">
      <c r="A1637" s="1">
        <v>43012</v>
      </c>
      <c r="B1637" s="2" t="s">
        <v>36</v>
      </c>
      <c r="C1637" s="2" t="s">
        <v>229</v>
      </c>
      <c r="D1637">
        <v>50</v>
      </c>
      <c r="E1637" t="str">
        <f>_xlfn.CONCAT(makulatura4[[#This Row],[Imie]]," ",makulatura4[[#This Row],[Nazwisko]])</f>
        <v>Piotr Dzierzak</v>
      </c>
    </row>
    <row r="1638" spans="1:5" x14ac:dyDescent="0.25">
      <c r="A1638" s="1">
        <v>43013</v>
      </c>
      <c r="B1638" s="2" t="s">
        <v>155</v>
      </c>
      <c r="C1638" s="2" t="s">
        <v>414</v>
      </c>
      <c r="D1638">
        <v>19</v>
      </c>
      <c r="E1638" t="str">
        <f>_xlfn.CONCAT(makulatura4[[#This Row],[Imie]]," ",makulatura4[[#This Row],[Nazwisko]])</f>
        <v>Jacek Chojnacki</v>
      </c>
    </row>
    <row r="1639" spans="1:5" x14ac:dyDescent="0.25">
      <c r="A1639" s="1">
        <v>43013</v>
      </c>
      <c r="B1639" s="2" t="s">
        <v>161</v>
      </c>
      <c r="C1639" s="2" t="s">
        <v>214</v>
      </c>
      <c r="D1639">
        <v>27</v>
      </c>
      <c r="E1639" t="str">
        <f>_xlfn.CONCAT(makulatura4[[#This Row],[Imie]]," ",makulatura4[[#This Row],[Nazwisko]])</f>
        <v>Anita Woloszyn</v>
      </c>
    </row>
    <row r="1640" spans="1:5" x14ac:dyDescent="0.25">
      <c r="A1640" s="1">
        <v>43013</v>
      </c>
      <c r="B1640" s="2" t="s">
        <v>150</v>
      </c>
      <c r="C1640" s="2" t="s">
        <v>151</v>
      </c>
      <c r="D1640">
        <v>2</v>
      </c>
      <c r="E1640" t="str">
        <f>_xlfn.CONCAT(makulatura4[[#This Row],[Imie]]," ",makulatura4[[#This Row],[Nazwisko]])</f>
        <v>Krzysztof Konieckiewicz</v>
      </c>
    </row>
    <row r="1641" spans="1:5" x14ac:dyDescent="0.25">
      <c r="A1641" s="1">
        <v>43013</v>
      </c>
      <c r="B1641" s="2" t="s">
        <v>514</v>
      </c>
      <c r="C1641" s="2" t="s">
        <v>515</v>
      </c>
      <c r="D1641">
        <v>15</v>
      </c>
      <c r="E1641" t="str">
        <f>_xlfn.CONCAT(makulatura4[[#This Row],[Imie]]," ",makulatura4[[#This Row],[Nazwisko]])</f>
        <v>Ignacy Sarnowski</v>
      </c>
    </row>
    <row r="1642" spans="1:5" x14ac:dyDescent="0.25">
      <c r="A1642" s="1">
        <v>43013</v>
      </c>
      <c r="B1642" s="2" t="s">
        <v>83</v>
      </c>
      <c r="C1642" s="2" t="s">
        <v>91</v>
      </c>
      <c r="D1642">
        <v>3</v>
      </c>
      <c r="E1642" t="str">
        <f>_xlfn.CONCAT(makulatura4[[#This Row],[Imie]]," ",makulatura4[[#This Row],[Nazwisko]])</f>
        <v>Jan Sznuk</v>
      </c>
    </row>
    <row r="1643" spans="1:5" x14ac:dyDescent="0.25">
      <c r="A1643" s="1">
        <v>43013</v>
      </c>
      <c r="B1643" s="2" t="s">
        <v>161</v>
      </c>
      <c r="C1643" s="2" t="s">
        <v>305</v>
      </c>
      <c r="D1643">
        <v>56</v>
      </c>
      <c r="E1643" t="str">
        <f>_xlfn.CONCAT(makulatura4[[#This Row],[Imie]]," ",makulatura4[[#This Row],[Nazwisko]])</f>
        <v>Anita Tych</v>
      </c>
    </row>
    <row r="1644" spans="1:5" x14ac:dyDescent="0.25">
      <c r="A1644" s="1">
        <v>43014</v>
      </c>
      <c r="B1644" s="2" t="s">
        <v>32</v>
      </c>
      <c r="C1644" s="2" t="s">
        <v>276</v>
      </c>
      <c r="D1644">
        <v>36</v>
      </c>
      <c r="E1644" t="str">
        <f>_xlfn.CONCAT(makulatura4[[#This Row],[Imie]]," ",makulatura4[[#This Row],[Nazwisko]])</f>
        <v>Daria Witkowska</v>
      </c>
    </row>
    <row r="1645" spans="1:5" x14ac:dyDescent="0.25">
      <c r="A1645" s="1">
        <v>43014</v>
      </c>
      <c r="B1645" s="2" t="s">
        <v>361</v>
      </c>
      <c r="C1645" s="2" t="s">
        <v>424</v>
      </c>
      <c r="D1645">
        <v>32</v>
      </c>
      <c r="E1645" t="str">
        <f>_xlfn.CONCAT(makulatura4[[#This Row],[Imie]]," ",makulatura4[[#This Row],[Nazwisko]])</f>
        <v>Lidia Tarnowska</v>
      </c>
    </row>
    <row r="1646" spans="1:5" x14ac:dyDescent="0.25">
      <c r="A1646" s="1">
        <v>43014</v>
      </c>
      <c r="B1646" s="2" t="s">
        <v>280</v>
      </c>
      <c r="C1646" s="2" t="s">
        <v>466</v>
      </c>
      <c r="D1646">
        <v>50</v>
      </c>
      <c r="E1646" t="str">
        <f>_xlfn.CONCAT(makulatura4[[#This Row],[Imie]]," ",makulatura4[[#This Row],[Nazwisko]])</f>
        <v>Kamila Kot</v>
      </c>
    </row>
    <row r="1647" spans="1:5" x14ac:dyDescent="0.25">
      <c r="A1647" s="1">
        <v>43014</v>
      </c>
      <c r="B1647" s="2" t="s">
        <v>331</v>
      </c>
      <c r="C1647" s="2" t="s">
        <v>26</v>
      </c>
      <c r="D1647">
        <v>26</v>
      </c>
      <c r="E1647" t="str">
        <f>_xlfn.CONCAT(makulatura4[[#This Row],[Imie]]," ",makulatura4[[#This Row],[Nazwisko]])</f>
        <v>Krystyna Szybki</v>
      </c>
    </row>
    <row r="1648" spans="1:5" x14ac:dyDescent="0.25">
      <c r="A1648" s="1">
        <v>43014</v>
      </c>
      <c r="B1648" s="2" t="s">
        <v>30</v>
      </c>
      <c r="C1648" s="2" t="s">
        <v>680</v>
      </c>
      <c r="D1648">
        <v>13</v>
      </c>
      <c r="E1648" t="str">
        <f>_xlfn.CONCAT(makulatura4[[#This Row],[Imie]]," ",makulatura4[[#This Row],[Nazwisko]])</f>
        <v>Maciej Wodecki</v>
      </c>
    </row>
    <row r="1649" spans="1:5" x14ac:dyDescent="0.25">
      <c r="A1649" s="1">
        <v>43014</v>
      </c>
      <c r="B1649" s="2" t="s">
        <v>41</v>
      </c>
      <c r="C1649" s="2" t="s">
        <v>614</v>
      </c>
      <c r="D1649">
        <v>2</v>
      </c>
      <c r="E1649" t="str">
        <f>_xlfn.CONCAT(makulatura4[[#This Row],[Imie]]," ",makulatura4[[#This Row],[Nazwisko]])</f>
        <v>Marta Wiosna</v>
      </c>
    </row>
    <row r="1650" spans="1:5" x14ac:dyDescent="0.25">
      <c r="A1650" s="1">
        <v>43017</v>
      </c>
      <c r="B1650" s="2" t="s">
        <v>106</v>
      </c>
      <c r="C1650" s="2" t="s">
        <v>107</v>
      </c>
      <c r="D1650">
        <v>11</v>
      </c>
      <c r="E1650" t="str">
        <f>_xlfn.CONCAT(makulatura4[[#This Row],[Imie]]," ",makulatura4[[#This Row],[Nazwisko]])</f>
        <v>Lena Mazurkiewicz</v>
      </c>
    </row>
    <row r="1651" spans="1:5" x14ac:dyDescent="0.25">
      <c r="A1651" s="1">
        <v>43017</v>
      </c>
      <c r="B1651" s="2" t="s">
        <v>83</v>
      </c>
      <c r="C1651" s="2" t="s">
        <v>615</v>
      </c>
      <c r="D1651">
        <v>19</v>
      </c>
      <c r="E1651" t="str">
        <f>_xlfn.CONCAT(makulatura4[[#This Row],[Imie]]," ",makulatura4[[#This Row],[Nazwisko]])</f>
        <v>Jan Madawik</v>
      </c>
    </row>
    <row r="1652" spans="1:5" x14ac:dyDescent="0.25">
      <c r="A1652" s="1">
        <v>43017</v>
      </c>
      <c r="B1652" s="2" t="s">
        <v>359</v>
      </c>
      <c r="C1652" s="2" t="s">
        <v>360</v>
      </c>
      <c r="D1652">
        <v>23</v>
      </c>
      <c r="E1652" t="str">
        <f>_xlfn.CONCAT(makulatura4[[#This Row],[Imie]]," ",makulatura4[[#This Row],[Nazwisko]])</f>
        <v>Aleksandra Donata</v>
      </c>
    </row>
    <row r="1653" spans="1:5" x14ac:dyDescent="0.25">
      <c r="A1653" s="1">
        <v>43017</v>
      </c>
      <c r="B1653" s="2" t="s">
        <v>69</v>
      </c>
      <c r="C1653" s="2" t="s">
        <v>200</v>
      </c>
      <c r="D1653">
        <v>22</v>
      </c>
      <c r="E1653" t="str">
        <f>_xlfn.CONCAT(makulatura4[[#This Row],[Imie]]," ",makulatura4[[#This Row],[Nazwisko]])</f>
        <v>Adam Madejski</v>
      </c>
    </row>
    <row r="1654" spans="1:5" x14ac:dyDescent="0.25">
      <c r="A1654" s="1">
        <v>43017</v>
      </c>
      <c r="B1654" s="2" t="s">
        <v>95</v>
      </c>
      <c r="C1654" s="2" t="s">
        <v>426</v>
      </c>
      <c r="D1654">
        <v>19</v>
      </c>
      <c r="E1654" t="str">
        <f>_xlfn.CONCAT(makulatura4[[#This Row],[Imie]]," ",makulatura4[[#This Row],[Nazwisko]])</f>
        <v>Dominik Szmitko</v>
      </c>
    </row>
    <row r="1655" spans="1:5" x14ac:dyDescent="0.25">
      <c r="A1655" s="1">
        <v>43017</v>
      </c>
      <c r="B1655" s="2" t="s">
        <v>83</v>
      </c>
      <c r="C1655" s="2" t="s">
        <v>637</v>
      </c>
      <c r="D1655">
        <v>5</v>
      </c>
      <c r="E1655" t="str">
        <f>_xlfn.CONCAT(makulatura4[[#This Row],[Imie]]," ",makulatura4[[#This Row],[Nazwisko]])</f>
        <v>Jan Zajac</v>
      </c>
    </row>
    <row r="1656" spans="1:5" x14ac:dyDescent="0.25">
      <c r="A1656" s="1">
        <v>43018</v>
      </c>
      <c r="B1656" s="2" t="s">
        <v>206</v>
      </c>
      <c r="C1656" s="2" t="s">
        <v>332</v>
      </c>
      <c r="D1656">
        <v>10</v>
      </c>
      <c r="E1656" t="str">
        <f>_xlfn.CONCAT(makulatura4[[#This Row],[Imie]]," ",makulatura4[[#This Row],[Nazwisko]])</f>
        <v>Pawel Furmaniak</v>
      </c>
    </row>
    <row r="1657" spans="1:5" x14ac:dyDescent="0.25">
      <c r="A1657" s="1">
        <v>43018</v>
      </c>
      <c r="B1657" s="2" t="s">
        <v>150</v>
      </c>
      <c r="C1657" s="2" t="s">
        <v>298</v>
      </c>
      <c r="D1657">
        <v>13</v>
      </c>
      <c r="E1657" t="str">
        <f>_xlfn.CONCAT(makulatura4[[#This Row],[Imie]]," ",makulatura4[[#This Row],[Nazwisko]])</f>
        <v>Krzysztof Wilecki</v>
      </c>
    </row>
    <row r="1658" spans="1:5" x14ac:dyDescent="0.25">
      <c r="A1658" s="1">
        <v>43018</v>
      </c>
      <c r="B1658" s="2" t="s">
        <v>339</v>
      </c>
      <c r="C1658" s="2" t="s">
        <v>565</v>
      </c>
      <c r="D1658">
        <v>12</v>
      </c>
      <c r="E1658" t="str">
        <f>_xlfn.CONCAT(makulatura4[[#This Row],[Imie]]," ",makulatura4[[#This Row],[Nazwisko]])</f>
        <v>Nadia Jurewicz</v>
      </c>
    </row>
    <row r="1659" spans="1:5" x14ac:dyDescent="0.25">
      <c r="A1659" s="1">
        <v>43018</v>
      </c>
      <c r="B1659" s="2" t="s">
        <v>81</v>
      </c>
      <c r="C1659" s="2" t="s">
        <v>584</v>
      </c>
      <c r="D1659">
        <v>25</v>
      </c>
      <c r="E1659" t="str">
        <f>_xlfn.CONCAT(makulatura4[[#This Row],[Imie]]," ",makulatura4[[#This Row],[Nazwisko]])</f>
        <v>Karol Wichrowski</v>
      </c>
    </row>
    <row r="1660" spans="1:5" x14ac:dyDescent="0.25">
      <c r="A1660" s="1">
        <v>43018</v>
      </c>
      <c r="B1660" s="2" t="s">
        <v>55</v>
      </c>
      <c r="C1660" s="2" t="s">
        <v>223</v>
      </c>
      <c r="D1660">
        <v>25</v>
      </c>
      <c r="E1660" t="str">
        <f>_xlfn.CONCAT(makulatura4[[#This Row],[Imie]]," ",makulatura4[[#This Row],[Nazwisko]])</f>
        <v>Anna Adamska</v>
      </c>
    </row>
    <row r="1661" spans="1:5" x14ac:dyDescent="0.25">
      <c r="A1661" s="1">
        <v>43018</v>
      </c>
      <c r="B1661" s="2" t="s">
        <v>282</v>
      </c>
      <c r="C1661" s="2" t="s">
        <v>283</v>
      </c>
      <c r="D1661">
        <v>9</v>
      </c>
      <c r="E1661" t="str">
        <f>_xlfn.CONCAT(makulatura4[[#This Row],[Imie]]," ",makulatura4[[#This Row],[Nazwisko]])</f>
        <v>Inka Sochacka</v>
      </c>
    </row>
    <row r="1662" spans="1:5" x14ac:dyDescent="0.25">
      <c r="A1662" s="1">
        <v>43019</v>
      </c>
      <c r="B1662" s="2" t="s">
        <v>81</v>
      </c>
      <c r="C1662" s="2" t="s">
        <v>104</v>
      </c>
      <c r="D1662">
        <v>17</v>
      </c>
      <c r="E1662" t="str">
        <f>_xlfn.CONCAT(makulatura4[[#This Row],[Imie]]," ",makulatura4[[#This Row],[Nazwisko]])</f>
        <v>Karol Dziuk</v>
      </c>
    </row>
    <row r="1663" spans="1:5" x14ac:dyDescent="0.25">
      <c r="A1663" s="1">
        <v>43019</v>
      </c>
      <c r="B1663" s="2" t="s">
        <v>681</v>
      </c>
      <c r="C1663" s="2" t="s">
        <v>682</v>
      </c>
      <c r="D1663">
        <v>26</v>
      </c>
      <c r="E1663" t="str">
        <f>_xlfn.CONCAT(makulatura4[[#This Row],[Imie]]," ",makulatura4[[#This Row],[Nazwisko]])</f>
        <v>Stefan Bajer</v>
      </c>
    </row>
    <row r="1664" spans="1:5" x14ac:dyDescent="0.25">
      <c r="A1664" s="1">
        <v>43019</v>
      </c>
      <c r="B1664" s="2" t="s">
        <v>97</v>
      </c>
      <c r="C1664" s="2" t="s">
        <v>136</v>
      </c>
      <c r="D1664">
        <v>44</v>
      </c>
      <c r="E1664" t="str">
        <f>_xlfn.CONCAT(makulatura4[[#This Row],[Imie]]," ",makulatura4[[#This Row],[Nazwisko]])</f>
        <v>Mateusz Kaczorowski</v>
      </c>
    </row>
    <row r="1665" spans="1:5" x14ac:dyDescent="0.25">
      <c r="A1665" s="1">
        <v>43019</v>
      </c>
      <c r="B1665" s="2" t="s">
        <v>69</v>
      </c>
      <c r="C1665" s="2" t="s">
        <v>108</v>
      </c>
      <c r="D1665">
        <v>31</v>
      </c>
      <c r="E1665" t="str">
        <f>_xlfn.CONCAT(makulatura4[[#This Row],[Imie]]," ",makulatura4[[#This Row],[Nazwisko]])</f>
        <v>Adam Susel</v>
      </c>
    </row>
    <row r="1666" spans="1:5" x14ac:dyDescent="0.25">
      <c r="A1666" s="1">
        <v>43019</v>
      </c>
      <c r="B1666" s="2" t="s">
        <v>553</v>
      </c>
      <c r="C1666" s="2" t="s">
        <v>554</v>
      </c>
      <c r="D1666">
        <v>6</v>
      </c>
      <c r="E1666" t="str">
        <f>_xlfn.CONCAT(makulatura4[[#This Row],[Imie]]," ",makulatura4[[#This Row],[Nazwisko]])</f>
        <v>Marian Bukalski</v>
      </c>
    </row>
    <row r="1667" spans="1:5" x14ac:dyDescent="0.25">
      <c r="A1667" s="1">
        <v>43019</v>
      </c>
      <c r="B1667" s="2" t="s">
        <v>27</v>
      </c>
      <c r="C1667" s="2" t="s">
        <v>683</v>
      </c>
      <c r="D1667">
        <v>14</v>
      </c>
      <c r="E1667" t="str">
        <f>_xlfn.CONCAT(makulatura4[[#This Row],[Imie]]," ",makulatura4[[#This Row],[Nazwisko]])</f>
        <v>Jerzy Szklarski</v>
      </c>
    </row>
    <row r="1668" spans="1:5" x14ac:dyDescent="0.25">
      <c r="A1668" s="1">
        <v>43020</v>
      </c>
      <c r="B1668" s="2" t="s">
        <v>523</v>
      </c>
      <c r="C1668" s="2" t="s">
        <v>524</v>
      </c>
      <c r="D1668">
        <v>5</v>
      </c>
      <c r="E1668" t="str">
        <f>_xlfn.CONCAT(makulatura4[[#This Row],[Imie]]," ",makulatura4[[#This Row],[Nazwisko]])</f>
        <v>Protazy Warszawski</v>
      </c>
    </row>
    <row r="1669" spans="1:5" x14ac:dyDescent="0.25">
      <c r="A1669" s="1">
        <v>43020</v>
      </c>
      <c r="B1669" s="2" t="s">
        <v>314</v>
      </c>
      <c r="C1669" s="2" t="s">
        <v>466</v>
      </c>
      <c r="D1669">
        <v>21</v>
      </c>
      <c r="E1669" t="str">
        <f>_xlfn.CONCAT(makulatura4[[#This Row],[Imie]]," ",makulatura4[[#This Row],[Nazwisko]])</f>
        <v>Lukasz Kot</v>
      </c>
    </row>
    <row r="1670" spans="1:5" x14ac:dyDescent="0.25">
      <c r="A1670" s="1">
        <v>43020</v>
      </c>
      <c r="B1670" s="2" t="s">
        <v>18</v>
      </c>
      <c r="C1670" s="2" t="s">
        <v>597</v>
      </c>
      <c r="D1670">
        <v>4</v>
      </c>
      <c r="E1670" t="str">
        <f>_xlfn.CONCAT(makulatura4[[#This Row],[Imie]]," ",makulatura4[[#This Row],[Nazwisko]])</f>
        <v>Filip Strupiechowski</v>
      </c>
    </row>
    <row r="1671" spans="1:5" x14ac:dyDescent="0.25">
      <c r="A1671" s="1">
        <v>43020</v>
      </c>
      <c r="B1671" s="2" t="s">
        <v>51</v>
      </c>
      <c r="C1671" s="2" t="s">
        <v>358</v>
      </c>
      <c r="D1671">
        <v>51</v>
      </c>
      <c r="E1671" t="str">
        <f>_xlfn.CONCAT(makulatura4[[#This Row],[Imie]]," ",makulatura4[[#This Row],[Nazwisko]])</f>
        <v>Barbara Bury</v>
      </c>
    </row>
    <row r="1672" spans="1:5" x14ac:dyDescent="0.25">
      <c r="A1672" s="1">
        <v>43020</v>
      </c>
      <c r="B1672" s="2" t="s">
        <v>267</v>
      </c>
      <c r="C1672" s="2" t="s">
        <v>268</v>
      </c>
      <c r="D1672">
        <v>27</v>
      </c>
      <c r="E1672" t="str">
        <f>_xlfn.CONCAT(makulatura4[[#This Row],[Imie]]," ",makulatura4[[#This Row],[Nazwisko]])</f>
        <v>Henryk Polarek</v>
      </c>
    </row>
    <row r="1673" spans="1:5" x14ac:dyDescent="0.25">
      <c r="A1673" s="1">
        <v>43020</v>
      </c>
      <c r="B1673" s="2" t="s">
        <v>589</v>
      </c>
      <c r="C1673" s="2" t="s">
        <v>590</v>
      </c>
      <c r="D1673">
        <v>15</v>
      </c>
      <c r="E1673" t="str">
        <f>_xlfn.CONCAT(makulatura4[[#This Row],[Imie]]," ",makulatura4[[#This Row],[Nazwisko]])</f>
        <v>Roksana Frankowska</v>
      </c>
    </row>
    <row r="1674" spans="1:5" x14ac:dyDescent="0.25">
      <c r="A1674" s="1">
        <v>43021</v>
      </c>
      <c r="B1674" s="2" t="s">
        <v>4</v>
      </c>
      <c r="C1674" s="2" t="s">
        <v>489</v>
      </c>
      <c r="D1674">
        <v>15</v>
      </c>
      <c r="E1674" t="str">
        <f>_xlfn.CONCAT(makulatura4[[#This Row],[Imie]]," ",makulatura4[[#This Row],[Nazwisko]])</f>
        <v>Agnieszka Bujak</v>
      </c>
    </row>
    <row r="1675" spans="1:5" x14ac:dyDescent="0.25">
      <c r="A1675" s="1">
        <v>43021</v>
      </c>
      <c r="B1675" s="2" t="s">
        <v>114</v>
      </c>
      <c r="C1675" s="2" t="s">
        <v>173</v>
      </c>
      <c r="D1675">
        <v>13</v>
      </c>
      <c r="E1675" t="str">
        <f>_xlfn.CONCAT(makulatura4[[#This Row],[Imie]]," ",makulatura4[[#This Row],[Nazwisko]])</f>
        <v>Jaroslaw Kopiec</v>
      </c>
    </row>
    <row r="1676" spans="1:5" x14ac:dyDescent="0.25">
      <c r="A1676" s="1">
        <v>43021</v>
      </c>
      <c r="B1676" s="2" t="s">
        <v>141</v>
      </c>
      <c r="C1676" s="2" t="s">
        <v>202</v>
      </c>
      <c r="D1676">
        <v>22</v>
      </c>
      <c r="E1676" t="str">
        <f>_xlfn.CONCAT(makulatura4[[#This Row],[Imie]]," ",makulatura4[[#This Row],[Nazwisko]])</f>
        <v>Joanna Wrobel</v>
      </c>
    </row>
    <row r="1677" spans="1:5" x14ac:dyDescent="0.25">
      <c r="A1677" s="1">
        <v>43021</v>
      </c>
      <c r="B1677" s="2" t="s">
        <v>150</v>
      </c>
      <c r="C1677" s="2" t="s">
        <v>151</v>
      </c>
      <c r="D1677">
        <v>16</v>
      </c>
      <c r="E1677" t="str">
        <f>_xlfn.CONCAT(makulatura4[[#This Row],[Imie]]," ",makulatura4[[#This Row],[Nazwisko]])</f>
        <v>Krzysztof Konieckiewicz</v>
      </c>
    </row>
    <row r="1678" spans="1:5" x14ac:dyDescent="0.25">
      <c r="A1678" s="1">
        <v>43021</v>
      </c>
      <c r="B1678" s="2" t="s">
        <v>55</v>
      </c>
      <c r="C1678" s="2" t="s">
        <v>326</v>
      </c>
      <c r="D1678">
        <v>9</v>
      </c>
      <c r="E1678" t="str">
        <f>_xlfn.CONCAT(makulatura4[[#This Row],[Imie]]," ",makulatura4[[#This Row],[Nazwisko]])</f>
        <v>Anna Tomaszewska</v>
      </c>
    </row>
    <row r="1679" spans="1:5" x14ac:dyDescent="0.25">
      <c r="A1679" s="1">
        <v>43021</v>
      </c>
      <c r="B1679" s="2" t="s">
        <v>147</v>
      </c>
      <c r="C1679" s="2" t="s">
        <v>578</v>
      </c>
      <c r="D1679">
        <v>8</v>
      </c>
      <c r="E1679" t="str">
        <f>_xlfn.CONCAT(makulatura4[[#This Row],[Imie]]," ",makulatura4[[#This Row],[Nazwisko]])</f>
        <v>Mariusz Mrowiec</v>
      </c>
    </row>
    <row r="1680" spans="1:5" x14ac:dyDescent="0.25">
      <c r="A1680" s="1">
        <v>43024</v>
      </c>
      <c r="B1680" s="2" t="s">
        <v>101</v>
      </c>
      <c r="C1680" s="2" t="s">
        <v>263</v>
      </c>
      <c r="D1680">
        <v>5</v>
      </c>
      <c r="E1680" t="str">
        <f>_xlfn.CONCAT(makulatura4[[#This Row],[Imie]]," ",makulatura4[[#This Row],[Nazwisko]])</f>
        <v>Maria Gatek</v>
      </c>
    </row>
    <row r="1681" spans="1:5" x14ac:dyDescent="0.25">
      <c r="A1681" s="1">
        <v>43024</v>
      </c>
      <c r="B1681" s="2" t="s">
        <v>4</v>
      </c>
      <c r="C1681" s="2" t="s">
        <v>22</v>
      </c>
      <c r="D1681">
        <v>10</v>
      </c>
      <c r="E1681" t="str">
        <f>_xlfn.CONCAT(makulatura4[[#This Row],[Imie]]," ",makulatura4[[#This Row],[Nazwisko]])</f>
        <v>Agnieszka Mala</v>
      </c>
    </row>
    <row r="1682" spans="1:5" x14ac:dyDescent="0.25">
      <c r="A1682" s="1">
        <v>43024</v>
      </c>
      <c r="B1682" s="2" t="s">
        <v>27</v>
      </c>
      <c r="C1682" s="2" t="s">
        <v>94</v>
      </c>
      <c r="D1682">
        <v>29</v>
      </c>
      <c r="E1682" t="str">
        <f>_xlfn.CONCAT(makulatura4[[#This Row],[Imie]]," ",makulatura4[[#This Row],[Nazwisko]])</f>
        <v>Jerzy Czajkowski</v>
      </c>
    </row>
    <row r="1683" spans="1:5" x14ac:dyDescent="0.25">
      <c r="A1683" s="1">
        <v>43024</v>
      </c>
      <c r="B1683" s="2" t="s">
        <v>55</v>
      </c>
      <c r="C1683" s="2" t="s">
        <v>571</v>
      </c>
      <c r="D1683">
        <v>20</v>
      </c>
      <c r="E1683" t="str">
        <f>_xlfn.CONCAT(makulatura4[[#This Row],[Imie]]," ",makulatura4[[#This Row],[Nazwisko]])</f>
        <v>Anna Tycz</v>
      </c>
    </row>
    <row r="1684" spans="1:5" x14ac:dyDescent="0.25">
      <c r="A1684" s="1">
        <v>43024</v>
      </c>
      <c r="B1684" s="2" t="s">
        <v>36</v>
      </c>
      <c r="C1684" s="2" t="s">
        <v>166</v>
      </c>
      <c r="D1684">
        <v>11</v>
      </c>
      <c r="E1684" t="str">
        <f>_xlfn.CONCAT(makulatura4[[#This Row],[Imie]]," ",makulatura4[[#This Row],[Nazwisko]])</f>
        <v>Piotr Flis</v>
      </c>
    </row>
    <row r="1685" spans="1:5" x14ac:dyDescent="0.25">
      <c r="A1685" s="1">
        <v>43024</v>
      </c>
      <c r="B1685" s="2" t="s">
        <v>314</v>
      </c>
      <c r="C1685" s="2" t="s">
        <v>535</v>
      </c>
      <c r="D1685">
        <v>45</v>
      </c>
      <c r="E1685" t="str">
        <f>_xlfn.CONCAT(makulatura4[[#This Row],[Imie]]," ",makulatura4[[#This Row],[Nazwisko]])</f>
        <v>Lukasz Czarnecki</v>
      </c>
    </row>
    <row r="1686" spans="1:5" x14ac:dyDescent="0.25">
      <c r="A1686" s="1">
        <v>43024</v>
      </c>
      <c r="B1686" s="2" t="s">
        <v>372</v>
      </c>
      <c r="C1686" s="2" t="s">
        <v>373</v>
      </c>
      <c r="D1686">
        <v>9</v>
      </c>
      <c r="E1686" t="str">
        <f>_xlfn.CONCAT(makulatura4[[#This Row],[Imie]]," ",makulatura4[[#This Row],[Nazwisko]])</f>
        <v>Ryszarda Januszek</v>
      </c>
    </row>
    <row r="1687" spans="1:5" x14ac:dyDescent="0.25">
      <c r="A1687" s="1">
        <v>43024</v>
      </c>
      <c r="B1687" s="2" t="s">
        <v>169</v>
      </c>
      <c r="C1687" s="2" t="s">
        <v>684</v>
      </c>
      <c r="D1687">
        <v>15</v>
      </c>
      <c r="E1687" t="str">
        <f>_xlfn.CONCAT(makulatura4[[#This Row],[Imie]]," ",makulatura4[[#This Row],[Nazwisko]])</f>
        <v>Aleks Wojcicki</v>
      </c>
    </row>
    <row r="1688" spans="1:5" x14ac:dyDescent="0.25">
      <c r="A1688" s="1">
        <v>43024</v>
      </c>
      <c r="B1688" s="2" t="s">
        <v>137</v>
      </c>
      <c r="C1688" s="2" t="s">
        <v>685</v>
      </c>
      <c r="D1688">
        <v>6</v>
      </c>
      <c r="E1688" t="str">
        <f>_xlfn.CONCAT(makulatura4[[#This Row],[Imie]]," ",makulatura4[[#This Row],[Nazwisko]])</f>
        <v>Stanislaw Dabrowski</v>
      </c>
    </row>
    <row r="1689" spans="1:5" x14ac:dyDescent="0.25">
      <c r="A1689" s="1">
        <v>43024</v>
      </c>
      <c r="B1689" s="2" t="s">
        <v>141</v>
      </c>
      <c r="C1689" s="2" t="s">
        <v>447</v>
      </c>
      <c r="D1689">
        <v>13</v>
      </c>
      <c r="E1689" t="str">
        <f>_xlfn.CONCAT(makulatura4[[#This Row],[Imie]]," ",makulatura4[[#This Row],[Nazwisko]])</f>
        <v>Joanna Janas</v>
      </c>
    </row>
    <row r="1690" spans="1:5" x14ac:dyDescent="0.25">
      <c r="A1690" s="1">
        <v>43024</v>
      </c>
      <c r="B1690" s="2" t="s">
        <v>232</v>
      </c>
      <c r="C1690" s="2" t="s">
        <v>487</v>
      </c>
      <c r="D1690">
        <v>7</v>
      </c>
      <c r="E1690" t="str">
        <f>_xlfn.CONCAT(makulatura4[[#This Row],[Imie]]," ",makulatura4[[#This Row],[Nazwisko]])</f>
        <v>Monika Lis</v>
      </c>
    </row>
    <row r="1691" spans="1:5" x14ac:dyDescent="0.25">
      <c r="A1691" s="1">
        <v>43024</v>
      </c>
      <c r="B1691" s="2" t="s">
        <v>81</v>
      </c>
      <c r="C1691" s="2" t="s">
        <v>496</v>
      </c>
      <c r="D1691">
        <v>34</v>
      </c>
      <c r="E1691" t="str">
        <f>_xlfn.CONCAT(makulatura4[[#This Row],[Imie]]," ",makulatura4[[#This Row],[Nazwisko]])</f>
        <v>Karol Walasz</v>
      </c>
    </row>
    <row r="1692" spans="1:5" x14ac:dyDescent="0.25">
      <c r="A1692" s="1">
        <v>43024</v>
      </c>
      <c r="B1692" s="2" t="s">
        <v>176</v>
      </c>
      <c r="C1692" s="2" t="s">
        <v>486</v>
      </c>
      <c r="D1692">
        <v>4</v>
      </c>
      <c r="E1692" t="str">
        <f>_xlfn.CONCAT(makulatura4[[#This Row],[Imie]]," ",makulatura4[[#This Row],[Nazwisko]])</f>
        <v>Kinga Trawinska</v>
      </c>
    </row>
    <row r="1693" spans="1:5" x14ac:dyDescent="0.25">
      <c r="A1693" s="1">
        <v>43024</v>
      </c>
      <c r="B1693" s="2" t="s">
        <v>69</v>
      </c>
      <c r="C1693" s="2" t="s">
        <v>108</v>
      </c>
      <c r="D1693">
        <v>17</v>
      </c>
      <c r="E1693" t="str">
        <f>_xlfn.CONCAT(makulatura4[[#This Row],[Imie]]," ",makulatura4[[#This Row],[Nazwisko]])</f>
        <v>Adam Susel</v>
      </c>
    </row>
    <row r="1694" spans="1:5" x14ac:dyDescent="0.25">
      <c r="A1694" s="1">
        <v>43025</v>
      </c>
      <c r="B1694" s="2" t="s">
        <v>374</v>
      </c>
      <c r="C1694" s="2" t="s">
        <v>375</v>
      </c>
      <c r="D1694">
        <v>5</v>
      </c>
      <c r="E1694" t="str">
        <f>_xlfn.CONCAT(makulatura4[[#This Row],[Imie]]," ",makulatura4[[#This Row],[Nazwisko]])</f>
        <v>Bruno Tomaszewski</v>
      </c>
    </row>
    <row r="1695" spans="1:5" x14ac:dyDescent="0.25">
      <c r="A1695" s="1">
        <v>43025</v>
      </c>
      <c r="B1695" s="2" t="s">
        <v>30</v>
      </c>
      <c r="C1695" s="2" t="s">
        <v>680</v>
      </c>
      <c r="D1695">
        <v>9</v>
      </c>
      <c r="E1695" t="str">
        <f>_xlfn.CONCAT(makulatura4[[#This Row],[Imie]]," ",makulatura4[[#This Row],[Nazwisko]])</f>
        <v>Maciej Wodecki</v>
      </c>
    </row>
    <row r="1696" spans="1:5" x14ac:dyDescent="0.25">
      <c r="A1696" s="1">
        <v>43025</v>
      </c>
      <c r="B1696" s="2" t="s">
        <v>23</v>
      </c>
      <c r="C1696" s="2" t="s">
        <v>24</v>
      </c>
      <c r="D1696">
        <v>12</v>
      </c>
      <c r="E1696" t="str">
        <f>_xlfn.CONCAT(makulatura4[[#This Row],[Imie]]," ",makulatura4[[#This Row],[Nazwisko]])</f>
        <v>Alicja Gadek</v>
      </c>
    </row>
    <row r="1697" spans="1:5" x14ac:dyDescent="0.25">
      <c r="A1697" s="1">
        <v>43025</v>
      </c>
      <c r="B1697" s="2" t="s">
        <v>55</v>
      </c>
      <c r="C1697" s="2" t="s">
        <v>625</v>
      </c>
      <c r="D1697">
        <v>22</v>
      </c>
      <c r="E1697" t="str">
        <f>_xlfn.CONCAT(makulatura4[[#This Row],[Imie]]," ",makulatura4[[#This Row],[Nazwisko]])</f>
        <v>Anna Zender</v>
      </c>
    </row>
    <row r="1698" spans="1:5" x14ac:dyDescent="0.25">
      <c r="A1698" s="1">
        <v>43025</v>
      </c>
      <c r="B1698" s="2" t="s">
        <v>393</v>
      </c>
      <c r="C1698" s="2" t="s">
        <v>394</v>
      </c>
      <c r="D1698">
        <v>4</v>
      </c>
      <c r="E1698" t="str">
        <f>_xlfn.CONCAT(makulatura4[[#This Row],[Imie]]," ",makulatura4[[#This Row],[Nazwisko]])</f>
        <v>Kacper Niec</v>
      </c>
    </row>
    <row r="1699" spans="1:5" x14ac:dyDescent="0.25">
      <c r="A1699" s="1">
        <v>43025</v>
      </c>
      <c r="B1699" s="2" t="s">
        <v>352</v>
      </c>
      <c r="C1699" s="2" t="s">
        <v>425</v>
      </c>
      <c r="D1699">
        <v>12</v>
      </c>
      <c r="E1699" t="str">
        <f>_xlfn.CONCAT(makulatura4[[#This Row],[Imie]]," ",makulatura4[[#This Row],[Nazwisko]])</f>
        <v>Ilona Lukaszewska</v>
      </c>
    </row>
    <row r="1700" spans="1:5" x14ac:dyDescent="0.25">
      <c r="A1700" s="1">
        <v>43025</v>
      </c>
      <c r="B1700" s="2" t="s">
        <v>55</v>
      </c>
      <c r="C1700" s="2" t="s">
        <v>493</v>
      </c>
      <c r="D1700">
        <v>5</v>
      </c>
      <c r="E1700" t="str">
        <f>_xlfn.CONCAT(makulatura4[[#This Row],[Imie]]," ",makulatura4[[#This Row],[Nazwisko]])</f>
        <v>Anna Wnuk</v>
      </c>
    </row>
    <row r="1701" spans="1:5" x14ac:dyDescent="0.25">
      <c r="A1701" s="1">
        <v>43025</v>
      </c>
      <c r="B1701" s="2" t="s">
        <v>663</v>
      </c>
      <c r="C1701" s="2" t="s">
        <v>134</v>
      </c>
      <c r="D1701">
        <v>9</v>
      </c>
      <c r="E1701" t="str">
        <f>_xlfn.CONCAT(makulatura4[[#This Row],[Imie]]," ",makulatura4[[#This Row],[Nazwisko]])</f>
        <v>Kornelia Nowakowska</v>
      </c>
    </row>
    <row r="1702" spans="1:5" x14ac:dyDescent="0.25">
      <c r="A1702" s="1">
        <v>43025</v>
      </c>
      <c r="B1702" s="2" t="s">
        <v>30</v>
      </c>
      <c r="C1702" s="2" t="s">
        <v>89</v>
      </c>
      <c r="D1702">
        <v>8</v>
      </c>
      <c r="E1702" t="str">
        <f>_xlfn.CONCAT(makulatura4[[#This Row],[Imie]]," ",makulatura4[[#This Row],[Nazwisko]])</f>
        <v>Maciej Machalski</v>
      </c>
    </row>
    <row r="1703" spans="1:5" x14ac:dyDescent="0.25">
      <c r="A1703" s="1">
        <v>43025</v>
      </c>
      <c r="B1703" s="2" t="s">
        <v>25</v>
      </c>
      <c r="C1703" s="2" t="s">
        <v>26</v>
      </c>
      <c r="D1703">
        <v>25</v>
      </c>
      <c r="E1703" t="str">
        <f>_xlfn.CONCAT(makulatura4[[#This Row],[Imie]]," ",makulatura4[[#This Row],[Nazwisko]])</f>
        <v>Leon Szybki</v>
      </c>
    </row>
    <row r="1704" spans="1:5" x14ac:dyDescent="0.25">
      <c r="A1704" s="1">
        <v>43025</v>
      </c>
      <c r="B1704" s="2" t="s">
        <v>69</v>
      </c>
      <c r="C1704" s="2" t="s">
        <v>286</v>
      </c>
      <c r="D1704">
        <v>2</v>
      </c>
      <c r="E1704" t="str">
        <f>_xlfn.CONCAT(makulatura4[[#This Row],[Imie]]," ",makulatura4[[#This Row],[Nazwisko]])</f>
        <v>Adam Zega</v>
      </c>
    </row>
    <row r="1705" spans="1:5" x14ac:dyDescent="0.25">
      <c r="A1705" s="1">
        <v>43025</v>
      </c>
      <c r="B1705" s="2" t="s">
        <v>83</v>
      </c>
      <c r="C1705" s="2" t="s">
        <v>561</v>
      </c>
      <c r="D1705">
        <v>22</v>
      </c>
      <c r="E1705" t="str">
        <f>_xlfn.CONCAT(makulatura4[[#This Row],[Imie]]," ",makulatura4[[#This Row],[Nazwisko]])</f>
        <v>Jan Jarek</v>
      </c>
    </row>
    <row r="1706" spans="1:5" x14ac:dyDescent="0.25">
      <c r="A1706" s="1">
        <v>43025</v>
      </c>
      <c r="B1706" s="2" t="s">
        <v>69</v>
      </c>
      <c r="C1706" s="2" t="s">
        <v>200</v>
      </c>
      <c r="D1706">
        <v>23</v>
      </c>
      <c r="E1706" t="str">
        <f>_xlfn.CONCAT(makulatura4[[#This Row],[Imie]]," ",makulatura4[[#This Row],[Nazwisko]])</f>
        <v>Adam Madejski</v>
      </c>
    </row>
    <row r="1707" spans="1:5" x14ac:dyDescent="0.25">
      <c r="A1707" s="1">
        <v>43025</v>
      </c>
      <c r="B1707" s="2" t="s">
        <v>171</v>
      </c>
      <c r="C1707" s="2" t="s">
        <v>645</v>
      </c>
      <c r="D1707">
        <v>14</v>
      </c>
      <c r="E1707" t="str">
        <f>_xlfn.CONCAT(makulatura4[[#This Row],[Imie]]," ",makulatura4[[#This Row],[Nazwisko]])</f>
        <v>Zofia Barak</v>
      </c>
    </row>
    <row r="1708" spans="1:5" x14ac:dyDescent="0.25">
      <c r="A1708" s="1">
        <v>43025</v>
      </c>
      <c r="B1708" s="2" t="s">
        <v>39</v>
      </c>
      <c r="C1708" s="2" t="s">
        <v>609</v>
      </c>
      <c r="D1708">
        <v>7</v>
      </c>
      <c r="E1708" t="str">
        <f>_xlfn.CONCAT(makulatura4[[#This Row],[Imie]]," ",makulatura4[[#This Row],[Nazwisko]])</f>
        <v>Jakub Radomski</v>
      </c>
    </row>
    <row r="1709" spans="1:5" x14ac:dyDescent="0.25">
      <c r="A1709" s="1">
        <v>43026</v>
      </c>
      <c r="B1709" s="2" t="s">
        <v>141</v>
      </c>
      <c r="C1709" s="2" t="s">
        <v>550</v>
      </c>
      <c r="D1709">
        <v>37</v>
      </c>
      <c r="E1709" t="str">
        <f>_xlfn.CONCAT(makulatura4[[#This Row],[Imie]]," ",makulatura4[[#This Row],[Nazwisko]])</f>
        <v>Joanna Oleksiak</v>
      </c>
    </row>
    <row r="1710" spans="1:5" x14ac:dyDescent="0.25">
      <c r="A1710" s="1">
        <v>43026</v>
      </c>
      <c r="B1710" s="2" t="s">
        <v>34</v>
      </c>
      <c r="C1710" s="2" t="s">
        <v>679</v>
      </c>
      <c r="D1710">
        <v>18</v>
      </c>
      <c r="E1710" t="str">
        <f>_xlfn.CONCAT(makulatura4[[#This Row],[Imie]]," ",makulatura4[[#This Row],[Nazwisko]])</f>
        <v>Julia Samulczyk</v>
      </c>
    </row>
    <row r="1711" spans="1:5" x14ac:dyDescent="0.25">
      <c r="A1711" s="1">
        <v>43026</v>
      </c>
      <c r="B1711" s="2" t="s">
        <v>395</v>
      </c>
      <c r="C1711" s="2" t="s">
        <v>467</v>
      </c>
      <c r="D1711">
        <v>7</v>
      </c>
      <c r="E1711" t="str">
        <f>_xlfn.CONCAT(makulatura4[[#This Row],[Imie]]," ",makulatura4[[#This Row],[Nazwisko]])</f>
        <v>Tomasz Hajdi</v>
      </c>
    </row>
    <row r="1712" spans="1:5" x14ac:dyDescent="0.25">
      <c r="A1712" s="1">
        <v>43026</v>
      </c>
      <c r="B1712" s="2" t="s">
        <v>503</v>
      </c>
      <c r="C1712" s="2" t="s">
        <v>183</v>
      </c>
      <c r="D1712">
        <v>24</v>
      </c>
      <c r="E1712" t="str">
        <f>_xlfn.CONCAT(makulatura4[[#This Row],[Imie]]," ",makulatura4[[#This Row],[Nazwisko]])</f>
        <v>Ewaryst Zdunek</v>
      </c>
    </row>
    <row r="1713" spans="1:5" x14ac:dyDescent="0.25">
      <c r="A1713" s="1">
        <v>43026</v>
      </c>
      <c r="B1713" s="2" t="s">
        <v>43</v>
      </c>
      <c r="C1713" s="2" t="s">
        <v>71</v>
      </c>
      <c r="D1713">
        <v>2</v>
      </c>
      <c r="E1713" t="str">
        <f>_xlfn.CONCAT(makulatura4[[#This Row],[Imie]]," ",makulatura4[[#This Row],[Nazwisko]])</f>
        <v>Andrzej Augustowski</v>
      </c>
    </row>
    <row r="1714" spans="1:5" x14ac:dyDescent="0.25">
      <c r="A1714" s="1">
        <v>43026</v>
      </c>
      <c r="B1714" s="2" t="s">
        <v>141</v>
      </c>
      <c r="C1714" s="2" t="s">
        <v>435</v>
      </c>
      <c r="D1714">
        <v>16</v>
      </c>
      <c r="E1714" t="str">
        <f>_xlfn.CONCAT(makulatura4[[#This Row],[Imie]]," ",makulatura4[[#This Row],[Nazwisko]])</f>
        <v>Joanna Kopacki</v>
      </c>
    </row>
    <row r="1715" spans="1:5" x14ac:dyDescent="0.25">
      <c r="A1715" s="1">
        <v>43026</v>
      </c>
      <c r="B1715" s="2" t="s">
        <v>372</v>
      </c>
      <c r="C1715" s="2" t="s">
        <v>373</v>
      </c>
      <c r="D1715">
        <v>11</v>
      </c>
      <c r="E1715" t="str">
        <f>_xlfn.CONCAT(makulatura4[[#This Row],[Imie]]," ",makulatura4[[#This Row],[Nazwisko]])</f>
        <v>Ryszarda Januszek</v>
      </c>
    </row>
    <row r="1716" spans="1:5" x14ac:dyDescent="0.25">
      <c r="A1716" s="1">
        <v>43026</v>
      </c>
      <c r="B1716" s="2" t="s">
        <v>351</v>
      </c>
      <c r="C1716" s="2" t="s">
        <v>227</v>
      </c>
      <c r="D1716">
        <v>27</v>
      </c>
      <c r="E1716" t="str">
        <f>_xlfn.CONCAT(makulatura4[[#This Row],[Imie]]," ",makulatura4[[#This Row],[Nazwisko]])</f>
        <v>Wiera Nowak</v>
      </c>
    </row>
    <row r="1717" spans="1:5" x14ac:dyDescent="0.25">
      <c r="A1717" s="1">
        <v>43026</v>
      </c>
      <c r="B1717" s="2" t="s">
        <v>41</v>
      </c>
      <c r="C1717" s="2" t="s">
        <v>614</v>
      </c>
      <c r="D1717">
        <v>27</v>
      </c>
      <c r="E1717" t="str">
        <f>_xlfn.CONCAT(makulatura4[[#This Row],[Imie]]," ",makulatura4[[#This Row],[Nazwisko]])</f>
        <v>Marta Wiosna</v>
      </c>
    </row>
    <row r="1718" spans="1:5" x14ac:dyDescent="0.25">
      <c r="A1718" s="1">
        <v>43026</v>
      </c>
      <c r="B1718" s="2" t="s">
        <v>150</v>
      </c>
      <c r="C1718" s="2" t="s">
        <v>676</v>
      </c>
      <c r="D1718">
        <v>42</v>
      </c>
      <c r="E1718" t="str">
        <f>_xlfn.CONCAT(makulatura4[[#This Row],[Imie]]," ",makulatura4[[#This Row],[Nazwisko]])</f>
        <v>Krzysztof Kukulski</v>
      </c>
    </row>
    <row r="1719" spans="1:5" x14ac:dyDescent="0.25">
      <c r="A1719" s="1">
        <v>43026</v>
      </c>
      <c r="B1719" s="2" t="s">
        <v>374</v>
      </c>
      <c r="C1719" s="2" t="s">
        <v>375</v>
      </c>
      <c r="D1719">
        <v>10</v>
      </c>
      <c r="E1719" t="str">
        <f>_xlfn.CONCAT(makulatura4[[#This Row],[Imie]]," ",makulatura4[[#This Row],[Nazwisko]])</f>
        <v>Bruno Tomaszewski</v>
      </c>
    </row>
    <row r="1720" spans="1:5" x14ac:dyDescent="0.25">
      <c r="A1720" s="1">
        <v>43026</v>
      </c>
      <c r="B1720" s="2" t="s">
        <v>232</v>
      </c>
      <c r="C1720" s="2" t="s">
        <v>526</v>
      </c>
      <c r="D1720">
        <v>28</v>
      </c>
      <c r="E1720" t="str">
        <f>_xlfn.CONCAT(makulatura4[[#This Row],[Imie]]," ",makulatura4[[#This Row],[Nazwisko]])</f>
        <v>Monika Trojan</v>
      </c>
    </row>
    <row r="1721" spans="1:5" x14ac:dyDescent="0.25">
      <c r="A1721" s="1">
        <v>43026</v>
      </c>
      <c r="B1721" s="2" t="s">
        <v>310</v>
      </c>
      <c r="C1721" s="2" t="s">
        <v>505</v>
      </c>
      <c r="D1721">
        <v>13</v>
      </c>
      <c r="E1721" t="str">
        <f>_xlfn.CONCAT(makulatura4[[#This Row],[Imie]]," ",makulatura4[[#This Row],[Nazwisko]])</f>
        <v>Antoni Wierzbicki</v>
      </c>
    </row>
    <row r="1722" spans="1:5" x14ac:dyDescent="0.25">
      <c r="A1722" s="1">
        <v>43026</v>
      </c>
      <c r="B1722" s="2" t="s">
        <v>117</v>
      </c>
      <c r="C1722" s="2" t="s">
        <v>118</v>
      </c>
      <c r="D1722">
        <v>29</v>
      </c>
      <c r="E1722" t="str">
        <f>_xlfn.CONCAT(makulatura4[[#This Row],[Imie]]," ",makulatura4[[#This Row],[Nazwisko]])</f>
        <v>Edward Snopek</v>
      </c>
    </row>
    <row r="1723" spans="1:5" x14ac:dyDescent="0.25">
      <c r="A1723" s="1">
        <v>43026</v>
      </c>
      <c r="B1723" s="2" t="s">
        <v>208</v>
      </c>
      <c r="C1723" s="2" t="s">
        <v>611</v>
      </c>
      <c r="D1723">
        <v>46</v>
      </c>
      <c r="E1723" t="str">
        <f>_xlfn.CONCAT(makulatura4[[#This Row],[Imie]]," ",makulatura4[[#This Row],[Nazwisko]])</f>
        <v>Grzegorz Kaminski</v>
      </c>
    </row>
    <row r="1724" spans="1:5" x14ac:dyDescent="0.25">
      <c r="A1724" s="1">
        <v>43027</v>
      </c>
      <c r="B1724" s="2" t="s">
        <v>20</v>
      </c>
      <c r="C1724" s="2" t="s">
        <v>381</v>
      </c>
      <c r="D1724">
        <v>5</v>
      </c>
      <c r="E1724" t="str">
        <f>_xlfn.CONCAT(makulatura4[[#This Row],[Imie]]," ",makulatura4[[#This Row],[Nazwisko]])</f>
        <v>Borys Winiarski</v>
      </c>
    </row>
    <row r="1725" spans="1:5" x14ac:dyDescent="0.25">
      <c r="A1725" s="1">
        <v>43027</v>
      </c>
      <c r="B1725" s="2" t="s">
        <v>374</v>
      </c>
      <c r="C1725" s="2" t="s">
        <v>581</v>
      </c>
      <c r="D1725">
        <v>35</v>
      </c>
      <c r="E1725" t="str">
        <f>_xlfn.CONCAT(makulatura4[[#This Row],[Imie]]," ",makulatura4[[#This Row],[Nazwisko]])</f>
        <v>Bruno Tomczyk</v>
      </c>
    </row>
    <row r="1726" spans="1:5" x14ac:dyDescent="0.25">
      <c r="A1726" s="1">
        <v>43027</v>
      </c>
      <c r="B1726" s="2" t="s">
        <v>55</v>
      </c>
      <c r="C1726" s="2" t="s">
        <v>184</v>
      </c>
      <c r="D1726">
        <v>5</v>
      </c>
      <c r="E1726" t="str">
        <f>_xlfn.CONCAT(makulatura4[[#This Row],[Imie]]," ",makulatura4[[#This Row],[Nazwisko]])</f>
        <v>Anna Trzebiatowska</v>
      </c>
    </row>
    <row r="1727" spans="1:5" x14ac:dyDescent="0.25">
      <c r="A1727" s="1">
        <v>43027</v>
      </c>
      <c r="B1727" s="2" t="s">
        <v>393</v>
      </c>
      <c r="C1727" s="2" t="s">
        <v>686</v>
      </c>
      <c r="D1727">
        <v>35</v>
      </c>
      <c r="E1727" t="str">
        <f>_xlfn.CONCAT(makulatura4[[#This Row],[Imie]]," ",makulatura4[[#This Row],[Nazwisko]])</f>
        <v>Kacper Pioro</v>
      </c>
    </row>
    <row r="1728" spans="1:5" x14ac:dyDescent="0.25">
      <c r="A1728" s="1">
        <v>43027</v>
      </c>
      <c r="B1728" s="2" t="s">
        <v>101</v>
      </c>
      <c r="C1728" s="2" t="s">
        <v>212</v>
      </c>
      <c r="D1728">
        <v>8</v>
      </c>
      <c r="E1728" t="str">
        <f>_xlfn.CONCAT(makulatura4[[#This Row],[Imie]]," ",makulatura4[[#This Row],[Nazwisko]])</f>
        <v>Maria Galas</v>
      </c>
    </row>
    <row r="1729" spans="1:5" x14ac:dyDescent="0.25">
      <c r="A1729" s="1">
        <v>43027</v>
      </c>
      <c r="B1729" s="2" t="s">
        <v>343</v>
      </c>
      <c r="C1729" s="2" t="s">
        <v>501</v>
      </c>
      <c r="D1729">
        <v>44</v>
      </c>
      <c r="E1729" t="str">
        <f>_xlfn.CONCAT(makulatura4[[#This Row],[Imie]]," ",makulatura4[[#This Row],[Nazwisko]])</f>
        <v>Izabela Sobota</v>
      </c>
    </row>
    <row r="1730" spans="1:5" x14ac:dyDescent="0.25">
      <c r="A1730" s="1">
        <v>43027</v>
      </c>
      <c r="B1730" s="2" t="s">
        <v>343</v>
      </c>
      <c r="C1730" s="2" t="s">
        <v>501</v>
      </c>
      <c r="D1730">
        <v>34</v>
      </c>
      <c r="E1730" t="str">
        <f>_xlfn.CONCAT(makulatura4[[#This Row],[Imie]]," ",makulatura4[[#This Row],[Nazwisko]])</f>
        <v>Izabela Sobota</v>
      </c>
    </row>
    <row r="1731" spans="1:5" x14ac:dyDescent="0.25">
      <c r="A1731" s="1">
        <v>43027</v>
      </c>
      <c r="B1731" s="2" t="s">
        <v>310</v>
      </c>
      <c r="C1731" s="2" t="s">
        <v>311</v>
      </c>
      <c r="D1731">
        <v>6</v>
      </c>
      <c r="E1731" t="str">
        <f>_xlfn.CONCAT(makulatura4[[#This Row],[Imie]]," ",makulatura4[[#This Row],[Nazwisko]])</f>
        <v>Antoni Pawlus</v>
      </c>
    </row>
    <row r="1732" spans="1:5" x14ac:dyDescent="0.25">
      <c r="A1732" s="1">
        <v>43027</v>
      </c>
      <c r="B1732" s="2" t="s">
        <v>147</v>
      </c>
      <c r="C1732" s="2" t="s">
        <v>644</v>
      </c>
      <c r="D1732">
        <v>16</v>
      </c>
      <c r="E1732" t="str">
        <f>_xlfn.CONCAT(makulatura4[[#This Row],[Imie]]," ",makulatura4[[#This Row],[Nazwisko]])</f>
        <v>Mariusz Kornik</v>
      </c>
    </row>
    <row r="1733" spans="1:5" x14ac:dyDescent="0.25">
      <c r="A1733" s="1">
        <v>43027</v>
      </c>
      <c r="B1733" s="2" t="s">
        <v>65</v>
      </c>
      <c r="C1733" s="2" t="s">
        <v>205</v>
      </c>
      <c r="D1733">
        <v>32</v>
      </c>
      <c r="E1733" t="str">
        <f>_xlfn.CONCAT(makulatura4[[#This Row],[Imie]]," ",makulatura4[[#This Row],[Nazwisko]])</f>
        <v>Michal Lenski</v>
      </c>
    </row>
    <row r="1734" spans="1:5" x14ac:dyDescent="0.25">
      <c r="A1734" s="1">
        <v>43027</v>
      </c>
      <c r="B1734" s="2" t="s">
        <v>34</v>
      </c>
      <c r="C1734" s="2" t="s">
        <v>445</v>
      </c>
      <c r="D1734">
        <v>35</v>
      </c>
      <c r="E1734" t="str">
        <f>_xlfn.CONCAT(makulatura4[[#This Row],[Imie]]," ",makulatura4[[#This Row],[Nazwisko]])</f>
        <v>Julia Wolska</v>
      </c>
    </row>
    <row r="1735" spans="1:5" x14ac:dyDescent="0.25">
      <c r="A1735" s="1">
        <v>43027</v>
      </c>
      <c r="B1735" s="2" t="s">
        <v>67</v>
      </c>
      <c r="C1735" s="2" t="s">
        <v>301</v>
      </c>
      <c r="D1735">
        <v>9</v>
      </c>
      <c r="E1735" t="str">
        <f>_xlfn.CONCAT(makulatura4[[#This Row],[Imie]]," ",makulatura4[[#This Row],[Nazwisko]])</f>
        <v>Bartosz Tusinski</v>
      </c>
    </row>
    <row r="1736" spans="1:5" x14ac:dyDescent="0.25">
      <c r="A1736" s="1">
        <v>43027</v>
      </c>
      <c r="B1736" s="2" t="s">
        <v>310</v>
      </c>
      <c r="C1736" s="2" t="s">
        <v>458</v>
      </c>
      <c r="D1736">
        <v>29</v>
      </c>
      <c r="E1736" t="str">
        <f>_xlfn.CONCAT(makulatura4[[#This Row],[Imie]]," ",makulatura4[[#This Row],[Nazwisko]])</f>
        <v>Antoni Wizniewski</v>
      </c>
    </row>
    <row r="1737" spans="1:5" x14ac:dyDescent="0.25">
      <c r="A1737" s="1">
        <v>43027</v>
      </c>
      <c r="B1737" s="2" t="s">
        <v>174</v>
      </c>
      <c r="C1737" s="2" t="s">
        <v>570</v>
      </c>
      <c r="D1737">
        <v>51</v>
      </c>
      <c r="E1737" t="str">
        <f>_xlfn.CONCAT(makulatura4[[#This Row],[Imie]]," ",makulatura4[[#This Row],[Nazwisko]])</f>
        <v>Dorota Zdun</v>
      </c>
    </row>
    <row r="1738" spans="1:5" x14ac:dyDescent="0.25">
      <c r="A1738" s="1">
        <v>43028</v>
      </c>
      <c r="B1738" s="2" t="s">
        <v>143</v>
      </c>
      <c r="C1738" s="2" t="s">
        <v>510</v>
      </c>
      <c r="D1738">
        <v>14</v>
      </c>
      <c r="E1738" t="str">
        <f>_xlfn.CONCAT(makulatura4[[#This Row],[Imie]]," ",makulatura4[[#This Row],[Nazwisko]])</f>
        <v>Przemyslaw Widawski</v>
      </c>
    </row>
    <row r="1739" spans="1:5" x14ac:dyDescent="0.25">
      <c r="A1739" s="1">
        <v>43028</v>
      </c>
      <c r="B1739" s="2" t="s">
        <v>150</v>
      </c>
      <c r="C1739" s="2" t="s">
        <v>200</v>
      </c>
      <c r="D1739">
        <v>6</v>
      </c>
      <c r="E1739" t="str">
        <f>_xlfn.CONCAT(makulatura4[[#This Row],[Imie]]," ",makulatura4[[#This Row],[Nazwisko]])</f>
        <v>Krzysztof Madejski</v>
      </c>
    </row>
    <row r="1740" spans="1:5" x14ac:dyDescent="0.25">
      <c r="A1740" s="1">
        <v>43028</v>
      </c>
      <c r="B1740" s="2" t="s">
        <v>442</v>
      </c>
      <c r="C1740" s="2" t="s">
        <v>540</v>
      </c>
      <c r="D1740">
        <v>7</v>
      </c>
      <c r="E1740" t="str">
        <f>_xlfn.CONCAT(makulatura4[[#This Row],[Imie]]," ",makulatura4[[#This Row],[Nazwisko]])</f>
        <v>Nikodem Jakubowski</v>
      </c>
    </row>
    <row r="1741" spans="1:5" x14ac:dyDescent="0.25">
      <c r="A1741" s="1">
        <v>43028</v>
      </c>
      <c r="B1741" s="2" t="s">
        <v>150</v>
      </c>
      <c r="C1741" s="2" t="s">
        <v>556</v>
      </c>
      <c r="D1741">
        <v>23</v>
      </c>
      <c r="E1741" t="str">
        <f>_xlfn.CONCAT(makulatura4[[#This Row],[Imie]]," ",makulatura4[[#This Row],[Nazwisko]])</f>
        <v>Krzysztof Plecien</v>
      </c>
    </row>
    <row r="1742" spans="1:5" x14ac:dyDescent="0.25">
      <c r="A1742" s="1">
        <v>43028</v>
      </c>
      <c r="B1742" s="2" t="s">
        <v>97</v>
      </c>
      <c r="C1742" s="2" t="s">
        <v>188</v>
      </c>
      <c r="D1742">
        <v>19</v>
      </c>
      <c r="E1742" t="str">
        <f>_xlfn.CONCAT(makulatura4[[#This Row],[Imie]]," ",makulatura4[[#This Row],[Nazwisko]])</f>
        <v>Mateusz Kowalczyk</v>
      </c>
    </row>
    <row r="1743" spans="1:5" x14ac:dyDescent="0.25">
      <c r="A1743" s="1">
        <v>43028</v>
      </c>
      <c r="B1743" s="2" t="s">
        <v>20</v>
      </c>
      <c r="C1743" s="2" t="s">
        <v>381</v>
      </c>
      <c r="D1743">
        <v>9</v>
      </c>
      <c r="E1743" t="str">
        <f>_xlfn.CONCAT(makulatura4[[#This Row],[Imie]]," ",makulatura4[[#This Row],[Nazwisko]])</f>
        <v>Borys Winiarski</v>
      </c>
    </row>
    <row r="1744" spans="1:5" x14ac:dyDescent="0.25">
      <c r="A1744" s="1">
        <v>43028</v>
      </c>
      <c r="B1744" s="2" t="s">
        <v>635</v>
      </c>
      <c r="C1744" s="2" t="s">
        <v>636</v>
      </c>
      <c r="D1744">
        <v>24</v>
      </c>
      <c r="E1744" t="str">
        <f>_xlfn.CONCAT(makulatura4[[#This Row],[Imie]]," ",makulatura4[[#This Row],[Nazwisko]])</f>
        <v>Lucja Zych</v>
      </c>
    </row>
    <row r="1745" spans="1:5" x14ac:dyDescent="0.25">
      <c r="A1745" s="1">
        <v>43028</v>
      </c>
      <c r="B1745" s="2" t="s">
        <v>361</v>
      </c>
      <c r="C1745" s="2" t="s">
        <v>362</v>
      </c>
      <c r="D1745">
        <v>22</v>
      </c>
      <c r="E1745" t="str">
        <f>_xlfn.CONCAT(makulatura4[[#This Row],[Imie]]," ",makulatura4[[#This Row],[Nazwisko]])</f>
        <v>Lidia Goluchowska</v>
      </c>
    </row>
    <row r="1746" spans="1:5" x14ac:dyDescent="0.25">
      <c r="A1746" s="1">
        <v>43028</v>
      </c>
      <c r="B1746" s="2" t="s">
        <v>101</v>
      </c>
      <c r="C1746" s="2" t="s">
        <v>188</v>
      </c>
      <c r="D1746">
        <v>22</v>
      </c>
      <c r="E1746" t="str">
        <f>_xlfn.CONCAT(makulatura4[[#This Row],[Imie]]," ",makulatura4[[#This Row],[Nazwisko]])</f>
        <v>Maria Kowalczyk</v>
      </c>
    </row>
    <row r="1747" spans="1:5" x14ac:dyDescent="0.25">
      <c r="A1747" s="1">
        <v>43028</v>
      </c>
      <c r="B1747" s="2" t="s">
        <v>395</v>
      </c>
      <c r="C1747" s="2" t="s">
        <v>687</v>
      </c>
      <c r="D1747">
        <v>31</v>
      </c>
      <c r="E1747" t="str">
        <f>_xlfn.CONCAT(makulatura4[[#This Row],[Imie]]," ",makulatura4[[#This Row],[Nazwisko]])</f>
        <v>Tomasz Ogorek</v>
      </c>
    </row>
    <row r="1748" spans="1:5" x14ac:dyDescent="0.25">
      <c r="A1748" s="1">
        <v>43028</v>
      </c>
      <c r="B1748" s="2" t="s">
        <v>128</v>
      </c>
      <c r="C1748" s="2" t="s">
        <v>12</v>
      </c>
      <c r="D1748">
        <v>4</v>
      </c>
      <c r="E1748" t="str">
        <f>_xlfn.CONCAT(makulatura4[[#This Row],[Imie]]," ",makulatura4[[#This Row],[Nazwisko]])</f>
        <v>Wojciech Maja</v>
      </c>
    </row>
    <row r="1749" spans="1:5" x14ac:dyDescent="0.25">
      <c r="A1749" s="1">
        <v>43028</v>
      </c>
      <c r="B1749" s="2" t="s">
        <v>53</v>
      </c>
      <c r="C1749" s="2" t="s">
        <v>227</v>
      </c>
      <c r="D1749">
        <v>2</v>
      </c>
      <c r="E1749" t="str">
        <f>_xlfn.CONCAT(makulatura4[[#This Row],[Imie]]," ",makulatura4[[#This Row],[Nazwisko]])</f>
        <v>Wieslawa Nowak</v>
      </c>
    </row>
    <row r="1750" spans="1:5" x14ac:dyDescent="0.25">
      <c r="A1750" s="1">
        <v>43028</v>
      </c>
      <c r="B1750" s="2" t="s">
        <v>193</v>
      </c>
      <c r="C1750" s="2" t="s">
        <v>555</v>
      </c>
      <c r="D1750">
        <v>25</v>
      </c>
      <c r="E1750" t="str">
        <f>_xlfn.CONCAT(makulatura4[[#This Row],[Imie]]," ",makulatura4[[#This Row],[Nazwisko]])</f>
        <v>Karolina Bok</v>
      </c>
    </row>
    <row r="1751" spans="1:5" x14ac:dyDescent="0.25">
      <c r="A1751" s="1">
        <v>43028</v>
      </c>
      <c r="B1751" s="2" t="s">
        <v>312</v>
      </c>
      <c r="C1751" s="2" t="s">
        <v>88</v>
      </c>
      <c r="D1751">
        <v>17</v>
      </c>
      <c r="E1751" t="str">
        <f>_xlfn.CONCAT(makulatura4[[#This Row],[Imie]]," ",makulatura4[[#This Row],[Nazwisko]])</f>
        <v>Tadeusz Stoch</v>
      </c>
    </row>
    <row r="1752" spans="1:5" x14ac:dyDescent="0.25">
      <c r="A1752" s="1">
        <v>43028</v>
      </c>
      <c r="B1752" s="2" t="s">
        <v>152</v>
      </c>
      <c r="C1752" s="2" t="s">
        <v>17</v>
      </c>
      <c r="D1752">
        <v>6</v>
      </c>
      <c r="E1752" t="str">
        <f>_xlfn.CONCAT(makulatura4[[#This Row],[Imie]]," ",makulatura4[[#This Row],[Nazwisko]])</f>
        <v>Natalia Boryczko</v>
      </c>
    </row>
    <row r="1753" spans="1:5" x14ac:dyDescent="0.25">
      <c r="A1753" s="1">
        <v>43028</v>
      </c>
      <c r="B1753" s="2" t="s">
        <v>144</v>
      </c>
      <c r="C1753" s="2" t="s">
        <v>390</v>
      </c>
      <c r="D1753">
        <v>21</v>
      </c>
      <c r="E1753" t="str">
        <f>_xlfn.CONCAT(makulatura4[[#This Row],[Imie]]," ",makulatura4[[#This Row],[Nazwisko]])</f>
        <v>Aleksander Pasternak</v>
      </c>
    </row>
    <row r="1754" spans="1:5" x14ac:dyDescent="0.25">
      <c r="A1754" s="1">
        <v>43028</v>
      </c>
      <c r="B1754" s="2" t="s">
        <v>150</v>
      </c>
      <c r="C1754" s="2" t="s">
        <v>211</v>
      </c>
      <c r="D1754">
        <v>26</v>
      </c>
      <c r="E1754" t="str">
        <f>_xlfn.CONCAT(makulatura4[[#This Row],[Imie]]," ",makulatura4[[#This Row],[Nazwisko]])</f>
        <v>Krzysztof Micun</v>
      </c>
    </row>
    <row r="1755" spans="1:5" x14ac:dyDescent="0.25">
      <c r="A1755" s="1">
        <v>43031</v>
      </c>
      <c r="B1755" s="2" t="s">
        <v>427</v>
      </c>
      <c r="C1755" s="2" t="s">
        <v>118</v>
      </c>
      <c r="D1755">
        <v>41</v>
      </c>
      <c r="E1755" t="str">
        <f>_xlfn.CONCAT(makulatura4[[#This Row],[Imie]]," ",makulatura4[[#This Row],[Nazwisko]])</f>
        <v>Julian Snopek</v>
      </c>
    </row>
    <row r="1756" spans="1:5" x14ac:dyDescent="0.25">
      <c r="A1756" s="1">
        <v>43031</v>
      </c>
      <c r="B1756" s="2" t="s">
        <v>34</v>
      </c>
      <c r="C1756" s="2" t="s">
        <v>564</v>
      </c>
      <c r="D1756">
        <v>28</v>
      </c>
      <c r="E1756" t="str">
        <f>_xlfn.CONCAT(makulatura4[[#This Row],[Imie]]," ",makulatura4[[#This Row],[Nazwisko]])</f>
        <v>Julia Zaremba</v>
      </c>
    </row>
    <row r="1757" spans="1:5" x14ac:dyDescent="0.25">
      <c r="A1757" s="1">
        <v>43031</v>
      </c>
      <c r="B1757" s="2" t="s">
        <v>137</v>
      </c>
      <c r="C1757" s="2" t="s">
        <v>617</v>
      </c>
      <c r="D1757">
        <v>11</v>
      </c>
      <c r="E1757" t="str">
        <f>_xlfn.CONCAT(makulatura4[[#This Row],[Imie]]," ",makulatura4[[#This Row],[Nazwisko]])</f>
        <v>Stanislaw Cieslik</v>
      </c>
    </row>
    <row r="1758" spans="1:5" x14ac:dyDescent="0.25">
      <c r="A1758" s="1">
        <v>43031</v>
      </c>
      <c r="B1758" s="2" t="s">
        <v>41</v>
      </c>
      <c r="C1758" s="2" t="s">
        <v>42</v>
      </c>
      <c r="D1758">
        <v>27</v>
      </c>
      <c r="E1758" t="str">
        <f>_xlfn.CONCAT(makulatura4[[#This Row],[Imie]]," ",makulatura4[[#This Row],[Nazwisko]])</f>
        <v>Marta Opolska</v>
      </c>
    </row>
    <row r="1759" spans="1:5" x14ac:dyDescent="0.25">
      <c r="A1759" s="1">
        <v>43031</v>
      </c>
      <c r="B1759" s="2" t="s">
        <v>150</v>
      </c>
      <c r="C1759" s="2" t="s">
        <v>200</v>
      </c>
      <c r="D1759">
        <v>14</v>
      </c>
      <c r="E1759" t="str">
        <f>_xlfn.CONCAT(makulatura4[[#This Row],[Imie]]," ",makulatura4[[#This Row],[Nazwisko]])</f>
        <v>Krzysztof Madejski</v>
      </c>
    </row>
    <row r="1760" spans="1:5" x14ac:dyDescent="0.25">
      <c r="A1760" s="1">
        <v>43031</v>
      </c>
      <c r="B1760" s="2" t="s">
        <v>449</v>
      </c>
      <c r="C1760" s="2" t="s">
        <v>382</v>
      </c>
      <c r="D1760">
        <v>37</v>
      </c>
      <c r="E1760" t="str">
        <f>_xlfn.CONCAT(makulatura4[[#This Row],[Imie]]," ",makulatura4[[#This Row],[Nazwisko]])</f>
        <v>Ryszard Matusik</v>
      </c>
    </row>
    <row r="1761" spans="1:5" x14ac:dyDescent="0.25">
      <c r="A1761" s="1">
        <v>43031</v>
      </c>
      <c r="B1761" s="2" t="s">
        <v>221</v>
      </c>
      <c r="C1761" s="2" t="s">
        <v>348</v>
      </c>
      <c r="D1761">
        <v>49</v>
      </c>
      <c r="E1761" t="str">
        <f>_xlfn.CONCAT(makulatura4[[#This Row],[Imie]]," ",makulatura4[[#This Row],[Nazwisko]])</f>
        <v>Marzena Gajek</v>
      </c>
    </row>
    <row r="1762" spans="1:5" x14ac:dyDescent="0.25">
      <c r="A1762" s="1">
        <v>43031</v>
      </c>
      <c r="B1762" s="2" t="s">
        <v>126</v>
      </c>
      <c r="C1762" s="2" t="s">
        <v>127</v>
      </c>
      <c r="D1762">
        <v>12</v>
      </c>
      <c r="E1762" t="str">
        <f>_xlfn.CONCAT(makulatura4[[#This Row],[Imie]]," ",makulatura4[[#This Row],[Nazwisko]])</f>
        <v>Wieslaw Kasza</v>
      </c>
    </row>
    <row r="1763" spans="1:5" x14ac:dyDescent="0.25">
      <c r="A1763" s="1">
        <v>43031</v>
      </c>
      <c r="B1763" s="2" t="s">
        <v>688</v>
      </c>
      <c r="C1763" s="2" t="s">
        <v>689</v>
      </c>
      <c r="D1763">
        <v>16</v>
      </c>
      <c r="E1763" t="str">
        <f>_xlfn.CONCAT(makulatura4[[#This Row],[Imie]]," ",makulatura4[[#This Row],[Nazwisko]])</f>
        <v>Helena Stachurska</v>
      </c>
    </row>
    <row r="1764" spans="1:5" x14ac:dyDescent="0.25">
      <c r="A1764" s="1">
        <v>43031</v>
      </c>
      <c r="B1764" s="2" t="s">
        <v>34</v>
      </c>
      <c r="C1764" s="2" t="s">
        <v>557</v>
      </c>
      <c r="D1764">
        <v>20</v>
      </c>
      <c r="E1764" t="str">
        <f>_xlfn.CONCAT(makulatura4[[#This Row],[Imie]]," ",makulatura4[[#This Row],[Nazwisko]])</f>
        <v>Julia Sadowska</v>
      </c>
    </row>
    <row r="1765" spans="1:5" x14ac:dyDescent="0.25">
      <c r="A1765" s="1">
        <v>43031</v>
      </c>
      <c r="B1765" s="2" t="s">
        <v>101</v>
      </c>
      <c r="C1765" s="2" t="s">
        <v>610</v>
      </c>
      <c r="D1765">
        <v>19</v>
      </c>
      <c r="E1765" t="str">
        <f>_xlfn.CONCAT(makulatura4[[#This Row],[Imie]]," ",makulatura4[[#This Row],[Nazwisko]])</f>
        <v>Maria Orlicki</v>
      </c>
    </row>
    <row r="1766" spans="1:5" x14ac:dyDescent="0.25">
      <c r="A1766" s="1">
        <v>43031</v>
      </c>
      <c r="B1766" s="2" t="s">
        <v>341</v>
      </c>
      <c r="C1766" s="2" t="s">
        <v>342</v>
      </c>
      <c r="D1766">
        <v>17</v>
      </c>
      <c r="E1766" t="str">
        <f>_xlfn.CONCAT(makulatura4[[#This Row],[Imie]]," ",makulatura4[[#This Row],[Nazwisko]])</f>
        <v>Milena Karolewska</v>
      </c>
    </row>
    <row r="1767" spans="1:5" x14ac:dyDescent="0.25">
      <c r="A1767" s="1">
        <v>43031</v>
      </c>
      <c r="B1767" s="2" t="s">
        <v>427</v>
      </c>
      <c r="C1767" s="2" t="s">
        <v>118</v>
      </c>
      <c r="D1767">
        <v>24</v>
      </c>
      <c r="E1767" t="str">
        <f>_xlfn.CONCAT(makulatura4[[#This Row],[Imie]]," ",makulatura4[[#This Row],[Nazwisko]])</f>
        <v>Julian Snopek</v>
      </c>
    </row>
    <row r="1768" spans="1:5" x14ac:dyDescent="0.25">
      <c r="A1768" s="1">
        <v>43031</v>
      </c>
      <c r="B1768" s="2" t="s">
        <v>67</v>
      </c>
      <c r="C1768" s="2" t="s">
        <v>68</v>
      </c>
      <c r="D1768">
        <v>28</v>
      </c>
      <c r="E1768" t="str">
        <f>_xlfn.CONCAT(makulatura4[[#This Row],[Imie]]," ",makulatura4[[#This Row],[Nazwisko]])</f>
        <v>Bartosz Protasow</v>
      </c>
    </row>
    <row r="1769" spans="1:5" x14ac:dyDescent="0.25">
      <c r="A1769" s="1">
        <v>43031</v>
      </c>
      <c r="B1769" s="2" t="s">
        <v>69</v>
      </c>
      <c r="C1769" s="2" t="s">
        <v>286</v>
      </c>
      <c r="D1769">
        <v>14</v>
      </c>
      <c r="E1769" t="str">
        <f>_xlfn.CONCAT(makulatura4[[#This Row],[Imie]]," ",makulatura4[[#This Row],[Nazwisko]])</f>
        <v>Adam Zega</v>
      </c>
    </row>
    <row r="1770" spans="1:5" x14ac:dyDescent="0.25">
      <c r="A1770" s="1">
        <v>43031</v>
      </c>
      <c r="B1770" s="2" t="s">
        <v>178</v>
      </c>
      <c r="C1770" s="2" t="s">
        <v>335</v>
      </c>
      <c r="D1770">
        <v>47</v>
      </c>
      <c r="E1770" t="str">
        <f>_xlfn.CONCAT(makulatura4[[#This Row],[Imie]]," ",makulatura4[[#This Row],[Nazwisko]])</f>
        <v>Malgorzata Winiarska</v>
      </c>
    </row>
    <row r="1771" spans="1:5" x14ac:dyDescent="0.25">
      <c r="A1771" s="1">
        <v>43031</v>
      </c>
      <c r="B1771" s="2" t="s">
        <v>150</v>
      </c>
      <c r="C1771" s="2" t="s">
        <v>140</v>
      </c>
      <c r="D1771">
        <v>6</v>
      </c>
      <c r="E1771" t="str">
        <f>_xlfn.CONCAT(makulatura4[[#This Row],[Imie]]," ",makulatura4[[#This Row],[Nazwisko]])</f>
        <v>Krzysztof Las</v>
      </c>
    </row>
    <row r="1772" spans="1:5" x14ac:dyDescent="0.25">
      <c r="A1772" s="1">
        <v>43032</v>
      </c>
      <c r="B1772" s="2" t="s">
        <v>536</v>
      </c>
      <c r="C1772" s="2" t="s">
        <v>537</v>
      </c>
      <c r="D1772">
        <v>20</v>
      </c>
      <c r="E1772" t="str">
        <f>_xlfn.CONCAT(makulatura4[[#This Row],[Imie]]," ",makulatura4[[#This Row],[Nazwisko]])</f>
        <v>Morus Jasiak</v>
      </c>
    </row>
    <row r="1773" spans="1:5" x14ac:dyDescent="0.25">
      <c r="A1773" s="1">
        <v>43032</v>
      </c>
      <c r="B1773" s="2" t="s">
        <v>280</v>
      </c>
      <c r="C1773" s="2" t="s">
        <v>447</v>
      </c>
      <c r="D1773">
        <v>9</v>
      </c>
      <c r="E1773" t="str">
        <f>_xlfn.CONCAT(makulatura4[[#This Row],[Imie]]," ",makulatura4[[#This Row],[Nazwisko]])</f>
        <v>Kamila Janas</v>
      </c>
    </row>
    <row r="1774" spans="1:5" x14ac:dyDescent="0.25">
      <c r="A1774" s="1">
        <v>43032</v>
      </c>
      <c r="B1774" s="2" t="s">
        <v>87</v>
      </c>
      <c r="C1774" s="2" t="s">
        <v>251</v>
      </c>
      <c r="D1774">
        <v>43</v>
      </c>
      <c r="E1774" t="str">
        <f>_xlfn.CONCAT(makulatura4[[#This Row],[Imie]]," ",makulatura4[[#This Row],[Nazwisko]])</f>
        <v>Ewa Nowicka</v>
      </c>
    </row>
    <row r="1775" spans="1:5" x14ac:dyDescent="0.25">
      <c r="A1775" s="1">
        <v>43032</v>
      </c>
      <c r="B1775" s="2" t="s">
        <v>63</v>
      </c>
      <c r="C1775" s="2" t="s">
        <v>671</v>
      </c>
      <c r="D1775">
        <v>50</v>
      </c>
      <c r="E1775" t="str">
        <f>_xlfn.CONCAT(makulatura4[[#This Row],[Imie]]," ",makulatura4[[#This Row],[Nazwisko]])</f>
        <v>Adrian Wydrzynski</v>
      </c>
    </row>
    <row r="1776" spans="1:5" x14ac:dyDescent="0.25">
      <c r="A1776" s="1">
        <v>43032</v>
      </c>
      <c r="B1776" s="2" t="s">
        <v>83</v>
      </c>
      <c r="C1776" s="2" t="s">
        <v>513</v>
      </c>
      <c r="D1776">
        <v>13</v>
      </c>
      <c r="E1776" t="str">
        <f>_xlfn.CONCAT(makulatura4[[#This Row],[Imie]]," ",makulatura4[[#This Row],[Nazwisko]])</f>
        <v>Jan Gumowski</v>
      </c>
    </row>
    <row r="1777" spans="1:5" x14ac:dyDescent="0.25">
      <c r="A1777" s="1">
        <v>43032</v>
      </c>
      <c r="B1777" s="2" t="s">
        <v>27</v>
      </c>
      <c r="C1777" s="2" t="s">
        <v>683</v>
      </c>
      <c r="D1777">
        <v>30</v>
      </c>
      <c r="E1777" t="str">
        <f>_xlfn.CONCAT(makulatura4[[#This Row],[Imie]]," ",makulatura4[[#This Row],[Nazwisko]])</f>
        <v>Jerzy Szklarski</v>
      </c>
    </row>
    <row r="1778" spans="1:5" x14ac:dyDescent="0.25">
      <c r="A1778" s="1">
        <v>43032</v>
      </c>
      <c r="B1778" s="2" t="s">
        <v>290</v>
      </c>
      <c r="C1778" s="2" t="s">
        <v>291</v>
      </c>
      <c r="D1778">
        <v>7</v>
      </c>
      <c r="E1778" t="str">
        <f>_xlfn.CONCAT(makulatura4[[#This Row],[Imie]]," ",makulatura4[[#This Row],[Nazwisko]])</f>
        <v>Michalina Klebba</v>
      </c>
    </row>
    <row r="1779" spans="1:5" x14ac:dyDescent="0.25">
      <c r="A1779" s="1">
        <v>43032</v>
      </c>
      <c r="B1779" s="2" t="s">
        <v>150</v>
      </c>
      <c r="C1779" s="2" t="s">
        <v>601</v>
      </c>
      <c r="D1779">
        <v>52</v>
      </c>
      <c r="E1779" t="str">
        <f>_xlfn.CONCAT(makulatura4[[#This Row],[Imie]]," ",makulatura4[[#This Row],[Nazwisko]])</f>
        <v>Krzysztof Koncewicz</v>
      </c>
    </row>
    <row r="1780" spans="1:5" x14ac:dyDescent="0.25">
      <c r="A1780" s="1">
        <v>43032</v>
      </c>
      <c r="B1780" s="2" t="s">
        <v>83</v>
      </c>
      <c r="C1780" s="2" t="s">
        <v>455</v>
      </c>
      <c r="D1780">
        <v>7</v>
      </c>
      <c r="E1780" t="str">
        <f>_xlfn.CONCAT(makulatura4[[#This Row],[Imie]]," ",makulatura4[[#This Row],[Nazwisko]])</f>
        <v>Jan Pistek</v>
      </c>
    </row>
    <row r="1781" spans="1:5" x14ac:dyDescent="0.25">
      <c r="A1781" s="1">
        <v>43032</v>
      </c>
      <c r="B1781" s="2" t="s">
        <v>174</v>
      </c>
      <c r="C1781" s="2" t="s">
        <v>415</v>
      </c>
      <c r="D1781">
        <v>6</v>
      </c>
      <c r="E1781" t="str">
        <f>_xlfn.CONCAT(makulatura4[[#This Row],[Imie]]," ",makulatura4[[#This Row],[Nazwisko]])</f>
        <v>Dorota Gumowska</v>
      </c>
    </row>
    <row r="1782" spans="1:5" x14ac:dyDescent="0.25">
      <c r="A1782" s="1">
        <v>43032</v>
      </c>
      <c r="B1782" s="2" t="s">
        <v>30</v>
      </c>
      <c r="C1782" s="2" t="s">
        <v>680</v>
      </c>
      <c r="D1782">
        <v>4</v>
      </c>
      <c r="E1782" t="str">
        <f>_xlfn.CONCAT(makulatura4[[#This Row],[Imie]]," ",makulatura4[[#This Row],[Nazwisko]])</f>
        <v>Maciej Wodecki</v>
      </c>
    </row>
    <row r="1783" spans="1:5" x14ac:dyDescent="0.25">
      <c r="A1783" s="1">
        <v>43032</v>
      </c>
      <c r="B1783" s="2" t="s">
        <v>67</v>
      </c>
      <c r="C1783" s="2" t="s">
        <v>670</v>
      </c>
      <c r="D1783">
        <v>56</v>
      </c>
      <c r="E1783" t="str">
        <f>_xlfn.CONCAT(makulatura4[[#This Row],[Imie]]," ",makulatura4[[#This Row],[Nazwisko]])</f>
        <v>Bartosz Debicki</v>
      </c>
    </row>
    <row r="1784" spans="1:5" x14ac:dyDescent="0.25">
      <c r="A1784" s="1">
        <v>43032</v>
      </c>
      <c r="B1784" s="2" t="s">
        <v>106</v>
      </c>
      <c r="C1784" s="2" t="s">
        <v>277</v>
      </c>
      <c r="D1784">
        <v>54</v>
      </c>
      <c r="E1784" t="str">
        <f>_xlfn.CONCAT(makulatura4[[#This Row],[Imie]]," ",makulatura4[[#This Row],[Nazwisko]])</f>
        <v>Lena Marzec</v>
      </c>
    </row>
    <row r="1785" spans="1:5" x14ac:dyDescent="0.25">
      <c r="A1785" s="1">
        <v>43032</v>
      </c>
      <c r="B1785" s="2" t="s">
        <v>395</v>
      </c>
      <c r="C1785" s="2" t="s">
        <v>587</v>
      </c>
      <c r="D1785">
        <v>10</v>
      </c>
      <c r="E1785" t="str">
        <f>_xlfn.CONCAT(makulatura4[[#This Row],[Imie]]," ",makulatura4[[#This Row],[Nazwisko]])</f>
        <v>Tomasz Zbik</v>
      </c>
    </row>
    <row r="1786" spans="1:5" x14ac:dyDescent="0.25">
      <c r="A1786" s="1">
        <v>43032</v>
      </c>
      <c r="B1786" s="2" t="s">
        <v>87</v>
      </c>
      <c r="C1786" s="2" t="s">
        <v>88</v>
      </c>
      <c r="D1786">
        <v>4</v>
      </c>
      <c r="E1786" t="str">
        <f>_xlfn.CONCAT(makulatura4[[#This Row],[Imie]]," ",makulatura4[[#This Row],[Nazwisko]])</f>
        <v>Ewa Stoch</v>
      </c>
    </row>
    <row r="1787" spans="1:5" x14ac:dyDescent="0.25">
      <c r="A1787" s="1">
        <v>43032</v>
      </c>
      <c r="B1787" s="2" t="s">
        <v>117</v>
      </c>
      <c r="C1787" s="2" t="s">
        <v>118</v>
      </c>
      <c r="D1787">
        <v>27</v>
      </c>
      <c r="E1787" t="str">
        <f>_xlfn.CONCAT(makulatura4[[#This Row],[Imie]]," ",makulatura4[[#This Row],[Nazwisko]])</f>
        <v>Edward Snopek</v>
      </c>
    </row>
    <row r="1788" spans="1:5" x14ac:dyDescent="0.25">
      <c r="A1788" s="1">
        <v>43032</v>
      </c>
      <c r="B1788" s="2" t="s">
        <v>150</v>
      </c>
      <c r="C1788" s="2" t="s">
        <v>298</v>
      </c>
      <c r="D1788">
        <v>10</v>
      </c>
      <c r="E1788" t="str">
        <f>_xlfn.CONCAT(makulatura4[[#This Row],[Imie]]," ",makulatura4[[#This Row],[Nazwisko]])</f>
        <v>Krzysztof Wilecki</v>
      </c>
    </row>
    <row r="1789" spans="1:5" x14ac:dyDescent="0.25">
      <c r="A1789" s="1">
        <v>43033</v>
      </c>
      <c r="B1789" s="2" t="s">
        <v>114</v>
      </c>
      <c r="C1789" s="2" t="s">
        <v>653</v>
      </c>
      <c r="D1789">
        <v>11</v>
      </c>
      <c r="E1789" t="str">
        <f>_xlfn.CONCAT(makulatura4[[#This Row],[Imie]]," ",makulatura4[[#This Row],[Nazwisko]])</f>
        <v>Jaroslaw Kopytko</v>
      </c>
    </row>
    <row r="1790" spans="1:5" x14ac:dyDescent="0.25">
      <c r="A1790" s="1">
        <v>43033</v>
      </c>
      <c r="B1790" s="2" t="s">
        <v>18</v>
      </c>
      <c r="C1790" s="2" t="s">
        <v>354</v>
      </c>
      <c r="D1790">
        <v>46</v>
      </c>
      <c r="E1790" t="str">
        <f>_xlfn.CONCAT(makulatura4[[#This Row],[Imie]]," ",makulatura4[[#This Row],[Nazwisko]])</f>
        <v>Filip Strehlke</v>
      </c>
    </row>
    <row r="1791" spans="1:5" x14ac:dyDescent="0.25">
      <c r="A1791" s="1">
        <v>43033</v>
      </c>
      <c r="B1791" s="2" t="s">
        <v>18</v>
      </c>
      <c r="C1791" s="2" t="s">
        <v>597</v>
      </c>
      <c r="D1791">
        <v>28</v>
      </c>
      <c r="E1791" t="str">
        <f>_xlfn.CONCAT(makulatura4[[#This Row],[Imie]]," ",makulatura4[[#This Row],[Nazwisko]])</f>
        <v>Filip Strupiechowski</v>
      </c>
    </row>
    <row r="1792" spans="1:5" x14ac:dyDescent="0.25">
      <c r="A1792" s="1">
        <v>43033</v>
      </c>
      <c r="B1792" s="2" t="s">
        <v>53</v>
      </c>
      <c r="C1792" s="2" t="s">
        <v>191</v>
      </c>
      <c r="D1792">
        <v>21</v>
      </c>
      <c r="E1792" t="str">
        <f>_xlfn.CONCAT(makulatura4[[#This Row],[Imie]]," ",makulatura4[[#This Row],[Nazwisko]])</f>
        <v>Wieslawa Biczysko</v>
      </c>
    </row>
    <row r="1793" spans="1:5" x14ac:dyDescent="0.25">
      <c r="A1793" s="1">
        <v>43033</v>
      </c>
      <c r="B1793" s="2" t="s">
        <v>18</v>
      </c>
      <c r="C1793" s="2" t="s">
        <v>392</v>
      </c>
      <c r="D1793">
        <v>2</v>
      </c>
      <c r="E1793" t="str">
        <f>_xlfn.CONCAT(makulatura4[[#This Row],[Imie]]," ",makulatura4[[#This Row],[Nazwisko]])</f>
        <v>Filip Stanulewicz</v>
      </c>
    </row>
    <row r="1794" spans="1:5" x14ac:dyDescent="0.25">
      <c r="A1794" s="1">
        <v>43033</v>
      </c>
      <c r="B1794" s="2" t="s">
        <v>603</v>
      </c>
      <c r="C1794" s="2" t="s">
        <v>439</v>
      </c>
      <c r="D1794">
        <v>15</v>
      </c>
      <c r="E1794" t="str">
        <f>_xlfn.CONCAT(makulatura4[[#This Row],[Imie]]," ",makulatura4[[#This Row],[Nazwisko]])</f>
        <v>Bonifacy Pleszewski</v>
      </c>
    </row>
    <row r="1795" spans="1:5" x14ac:dyDescent="0.25">
      <c r="A1795" s="1">
        <v>43033</v>
      </c>
      <c r="B1795" s="2" t="s">
        <v>152</v>
      </c>
      <c r="C1795" s="2" t="s">
        <v>153</v>
      </c>
      <c r="D1795">
        <v>34</v>
      </c>
      <c r="E1795" t="str">
        <f>_xlfn.CONCAT(makulatura4[[#This Row],[Imie]]," ",makulatura4[[#This Row],[Nazwisko]])</f>
        <v>Natalia Belicka</v>
      </c>
    </row>
    <row r="1796" spans="1:5" x14ac:dyDescent="0.25">
      <c r="A1796" s="1">
        <v>43033</v>
      </c>
      <c r="B1796" s="2" t="s">
        <v>55</v>
      </c>
      <c r="C1796" s="2" t="s">
        <v>625</v>
      </c>
      <c r="D1796">
        <v>52</v>
      </c>
      <c r="E1796" t="str">
        <f>_xlfn.CONCAT(makulatura4[[#This Row],[Imie]]," ",makulatura4[[#This Row],[Nazwisko]])</f>
        <v>Anna Zender</v>
      </c>
    </row>
    <row r="1797" spans="1:5" x14ac:dyDescent="0.25">
      <c r="A1797" s="1">
        <v>43033</v>
      </c>
      <c r="B1797" s="2" t="s">
        <v>193</v>
      </c>
      <c r="C1797" s="2" t="s">
        <v>228</v>
      </c>
      <c r="D1797">
        <v>49</v>
      </c>
      <c r="E1797" t="str">
        <f>_xlfn.CONCAT(makulatura4[[#This Row],[Imie]]," ",makulatura4[[#This Row],[Nazwisko]])</f>
        <v>Karolina Karpacka</v>
      </c>
    </row>
    <row r="1798" spans="1:5" x14ac:dyDescent="0.25">
      <c r="A1798" s="1">
        <v>43033</v>
      </c>
      <c r="B1798" s="2" t="s">
        <v>393</v>
      </c>
      <c r="C1798" s="2" t="s">
        <v>398</v>
      </c>
      <c r="D1798">
        <v>4</v>
      </c>
      <c r="E1798" t="str">
        <f>_xlfn.CONCAT(makulatura4[[#This Row],[Imie]]," ",makulatura4[[#This Row],[Nazwisko]])</f>
        <v>Kacper Nikolajew</v>
      </c>
    </row>
    <row r="1799" spans="1:5" x14ac:dyDescent="0.25">
      <c r="A1799" s="1">
        <v>43033</v>
      </c>
      <c r="B1799" s="2" t="s">
        <v>131</v>
      </c>
      <c r="C1799" s="2" t="s">
        <v>451</v>
      </c>
      <c r="D1799">
        <v>17</v>
      </c>
      <c r="E1799" t="str">
        <f>_xlfn.CONCAT(makulatura4[[#This Row],[Imie]]," ",makulatura4[[#This Row],[Nazwisko]])</f>
        <v>Ewelina Bialkowska</v>
      </c>
    </row>
    <row r="1800" spans="1:5" x14ac:dyDescent="0.25">
      <c r="A1800" s="1">
        <v>43033</v>
      </c>
      <c r="B1800" s="2" t="s">
        <v>574</v>
      </c>
      <c r="C1800" s="2" t="s">
        <v>607</v>
      </c>
      <c r="D1800">
        <v>8</v>
      </c>
      <c r="E1800" t="str">
        <f>_xlfn.CONCAT(makulatura4[[#This Row],[Imie]]," ",makulatura4[[#This Row],[Nazwisko]])</f>
        <v>Urszula Engel</v>
      </c>
    </row>
    <row r="1801" spans="1:5" x14ac:dyDescent="0.25">
      <c r="A1801" s="1">
        <v>43033</v>
      </c>
      <c r="B1801" s="2" t="s">
        <v>8</v>
      </c>
      <c r="C1801" s="2" t="s">
        <v>322</v>
      </c>
      <c r="D1801">
        <v>39</v>
      </c>
      <c r="E1801" t="str">
        <f>_xlfn.CONCAT(makulatura4[[#This Row],[Imie]]," ",makulatura4[[#This Row],[Nazwisko]])</f>
        <v>Agata Zdrojewska</v>
      </c>
    </row>
    <row r="1802" spans="1:5" x14ac:dyDescent="0.25">
      <c r="A1802" s="1">
        <v>43033</v>
      </c>
      <c r="B1802" s="2" t="s">
        <v>201</v>
      </c>
      <c r="C1802" s="2" t="s">
        <v>433</v>
      </c>
      <c r="D1802">
        <v>32</v>
      </c>
      <c r="E1802" t="str">
        <f>_xlfn.CONCAT(makulatura4[[#This Row],[Imie]]," ",makulatura4[[#This Row],[Nazwisko]])</f>
        <v>Marcin Gizinski</v>
      </c>
    </row>
    <row r="1803" spans="1:5" x14ac:dyDescent="0.25">
      <c r="A1803" s="1">
        <v>43033</v>
      </c>
      <c r="B1803" s="2" t="s">
        <v>57</v>
      </c>
      <c r="C1803" s="2" t="s">
        <v>429</v>
      </c>
      <c r="D1803">
        <v>12</v>
      </c>
      <c r="E1803" t="str">
        <f>_xlfn.CONCAT(makulatura4[[#This Row],[Imie]]," ",makulatura4[[#This Row],[Nazwisko]])</f>
        <v>Patrycja Grzeszcz</v>
      </c>
    </row>
    <row r="1804" spans="1:5" x14ac:dyDescent="0.25">
      <c r="A1804" s="1">
        <v>43033</v>
      </c>
      <c r="B1804" s="2" t="s">
        <v>41</v>
      </c>
      <c r="C1804" s="2" t="s">
        <v>690</v>
      </c>
      <c r="D1804">
        <v>10</v>
      </c>
      <c r="E1804" t="str">
        <f>_xlfn.CONCAT(makulatura4[[#This Row],[Imie]]," ",makulatura4[[#This Row],[Nazwisko]])</f>
        <v>Marta Kolodziejczyk</v>
      </c>
    </row>
    <row r="1805" spans="1:5" x14ac:dyDescent="0.25">
      <c r="A1805" s="1">
        <v>43034</v>
      </c>
      <c r="B1805" s="2" t="s">
        <v>178</v>
      </c>
      <c r="C1805" s="2" t="s">
        <v>179</v>
      </c>
      <c r="D1805">
        <v>9</v>
      </c>
      <c r="E1805" t="str">
        <f>_xlfn.CONCAT(makulatura4[[#This Row],[Imie]]," ",makulatura4[[#This Row],[Nazwisko]])</f>
        <v>Malgorzata Wiecek</v>
      </c>
    </row>
    <row r="1806" spans="1:5" x14ac:dyDescent="0.25">
      <c r="A1806" s="1">
        <v>43034</v>
      </c>
      <c r="B1806" s="2" t="s">
        <v>87</v>
      </c>
      <c r="C1806" s="2" t="s">
        <v>397</v>
      </c>
      <c r="D1806">
        <v>26</v>
      </c>
      <c r="E1806" t="str">
        <f>_xlfn.CONCAT(makulatura4[[#This Row],[Imie]]," ",makulatura4[[#This Row],[Nazwisko]])</f>
        <v>Ewa Milion</v>
      </c>
    </row>
    <row r="1807" spans="1:5" x14ac:dyDescent="0.25">
      <c r="A1807" s="1">
        <v>43034</v>
      </c>
      <c r="B1807" s="2" t="s">
        <v>55</v>
      </c>
      <c r="C1807" s="2" t="s">
        <v>691</v>
      </c>
      <c r="D1807">
        <v>25</v>
      </c>
      <c r="E1807" t="str">
        <f>_xlfn.CONCAT(makulatura4[[#This Row],[Imie]]," ",makulatura4[[#This Row],[Nazwisko]])</f>
        <v>Anna Jopek</v>
      </c>
    </row>
    <row r="1808" spans="1:5" x14ac:dyDescent="0.25">
      <c r="A1808" s="1">
        <v>43034</v>
      </c>
      <c r="B1808" s="2" t="s">
        <v>141</v>
      </c>
      <c r="C1808" s="2" t="s">
        <v>142</v>
      </c>
      <c r="D1808">
        <v>2</v>
      </c>
      <c r="E1808" t="str">
        <f>_xlfn.CONCAT(makulatura4[[#This Row],[Imie]]," ",makulatura4[[#This Row],[Nazwisko]])</f>
        <v>Joanna Baranska</v>
      </c>
    </row>
    <row r="1809" spans="1:5" x14ac:dyDescent="0.25">
      <c r="A1809" s="1">
        <v>43034</v>
      </c>
      <c r="B1809" s="2" t="s">
        <v>101</v>
      </c>
      <c r="C1809" s="2" t="s">
        <v>293</v>
      </c>
      <c r="D1809">
        <v>23</v>
      </c>
      <c r="E1809" t="str">
        <f>_xlfn.CONCAT(makulatura4[[#This Row],[Imie]]," ",makulatura4[[#This Row],[Nazwisko]])</f>
        <v>Maria Kowalczuk</v>
      </c>
    </row>
    <row r="1810" spans="1:5" x14ac:dyDescent="0.25">
      <c r="A1810" s="1">
        <v>43034</v>
      </c>
      <c r="B1810" s="2" t="s">
        <v>16</v>
      </c>
      <c r="C1810" s="2" t="s">
        <v>440</v>
      </c>
      <c r="D1810">
        <v>27</v>
      </c>
      <c r="E1810" t="str">
        <f>_xlfn.CONCAT(makulatura4[[#This Row],[Imie]]," ",makulatura4[[#This Row],[Nazwisko]])</f>
        <v>Balbina Madej</v>
      </c>
    </row>
    <row r="1811" spans="1:5" x14ac:dyDescent="0.25">
      <c r="A1811" s="1">
        <v>43035</v>
      </c>
      <c r="B1811" s="2" t="s">
        <v>236</v>
      </c>
      <c r="C1811" s="2" t="s">
        <v>237</v>
      </c>
      <c r="D1811">
        <v>12</v>
      </c>
      <c r="E1811" t="str">
        <f>_xlfn.CONCAT(makulatura4[[#This Row],[Imie]]," ",makulatura4[[#This Row],[Nazwisko]])</f>
        <v>Edgar Wyszomirski</v>
      </c>
    </row>
    <row r="1812" spans="1:5" x14ac:dyDescent="0.25">
      <c r="A1812" s="1">
        <v>43035</v>
      </c>
      <c r="B1812" s="2" t="s">
        <v>81</v>
      </c>
      <c r="C1812" s="2" t="s">
        <v>145</v>
      </c>
      <c r="D1812">
        <v>22</v>
      </c>
      <c r="E1812" t="str">
        <f>_xlfn.CONCAT(makulatura4[[#This Row],[Imie]]," ",makulatura4[[#This Row],[Nazwisko]])</f>
        <v>Karol Wojciechowski</v>
      </c>
    </row>
    <row r="1813" spans="1:5" x14ac:dyDescent="0.25">
      <c r="A1813" s="1">
        <v>43035</v>
      </c>
      <c r="B1813" s="2" t="s">
        <v>53</v>
      </c>
      <c r="C1813" s="2" t="s">
        <v>191</v>
      </c>
      <c r="D1813">
        <v>22</v>
      </c>
      <c r="E1813" t="str">
        <f>_xlfn.CONCAT(makulatura4[[#This Row],[Imie]]," ",makulatura4[[#This Row],[Nazwisko]])</f>
        <v>Wieslawa Biczysko</v>
      </c>
    </row>
    <row r="1814" spans="1:5" x14ac:dyDescent="0.25">
      <c r="A1814" s="1">
        <v>43035</v>
      </c>
      <c r="B1814" s="2" t="s">
        <v>30</v>
      </c>
      <c r="C1814" s="2" t="s">
        <v>377</v>
      </c>
      <c r="D1814">
        <v>13</v>
      </c>
      <c r="E1814" t="str">
        <f>_xlfn.CONCAT(makulatura4[[#This Row],[Imie]]," ",makulatura4[[#This Row],[Nazwisko]])</f>
        <v>Maciej Kopacz</v>
      </c>
    </row>
    <row r="1815" spans="1:5" x14ac:dyDescent="0.25">
      <c r="A1815" s="1">
        <v>43035</v>
      </c>
      <c r="B1815" s="2" t="s">
        <v>416</v>
      </c>
      <c r="C1815" s="2" t="s">
        <v>417</v>
      </c>
      <c r="D1815">
        <v>8</v>
      </c>
      <c r="E1815" t="str">
        <f>_xlfn.CONCAT(makulatura4[[#This Row],[Imie]]," ",makulatura4[[#This Row],[Nazwisko]])</f>
        <v>Kazimierz Bartosik</v>
      </c>
    </row>
    <row r="1816" spans="1:5" x14ac:dyDescent="0.25">
      <c r="A1816" s="1">
        <v>43035</v>
      </c>
      <c r="B1816" s="2" t="s">
        <v>87</v>
      </c>
      <c r="C1816" s="2" t="s">
        <v>692</v>
      </c>
      <c r="D1816">
        <v>29</v>
      </c>
      <c r="E1816" t="str">
        <f>_xlfn.CONCAT(makulatura4[[#This Row],[Imie]]," ",makulatura4[[#This Row],[Nazwisko]])</f>
        <v>Ewa Spoko</v>
      </c>
    </row>
    <row r="1817" spans="1:5" x14ac:dyDescent="0.25">
      <c r="A1817" s="1">
        <v>43038</v>
      </c>
      <c r="B1817" s="2" t="s">
        <v>393</v>
      </c>
      <c r="C1817" s="2" t="s">
        <v>86</v>
      </c>
      <c r="D1817">
        <v>22</v>
      </c>
      <c r="E1817" t="str">
        <f>_xlfn.CONCAT(makulatura4[[#This Row],[Imie]]," ",makulatura4[[#This Row],[Nazwisko]])</f>
        <v>Kacper Kowalski</v>
      </c>
    </row>
    <row r="1818" spans="1:5" x14ac:dyDescent="0.25">
      <c r="A1818" s="1">
        <v>43038</v>
      </c>
      <c r="B1818" s="2" t="s">
        <v>51</v>
      </c>
      <c r="C1818" s="2" t="s">
        <v>522</v>
      </c>
      <c r="D1818">
        <v>16</v>
      </c>
      <c r="E1818" t="str">
        <f>_xlfn.CONCAT(makulatura4[[#This Row],[Imie]]," ",makulatura4[[#This Row],[Nazwisko]])</f>
        <v>Barbara Kilarski</v>
      </c>
    </row>
    <row r="1819" spans="1:5" x14ac:dyDescent="0.25">
      <c r="A1819" s="1">
        <v>43038</v>
      </c>
      <c r="B1819" s="2" t="s">
        <v>119</v>
      </c>
      <c r="C1819" s="2" t="s">
        <v>216</v>
      </c>
      <c r="D1819">
        <v>56</v>
      </c>
      <c r="E1819" t="str">
        <f>_xlfn.CONCAT(makulatura4[[#This Row],[Imie]]," ",makulatura4[[#This Row],[Nazwisko]])</f>
        <v>Kamil Pudelski</v>
      </c>
    </row>
    <row r="1820" spans="1:5" x14ac:dyDescent="0.25">
      <c r="A1820" s="1">
        <v>43038</v>
      </c>
      <c r="B1820" s="2" t="s">
        <v>143</v>
      </c>
      <c r="C1820" s="2" t="s">
        <v>47</v>
      </c>
      <c r="D1820">
        <v>3</v>
      </c>
      <c r="E1820" t="str">
        <f>_xlfn.CONCAT(makulatura4[[#This Row],[Imie]]," ",makulatura4[[#This Row],[Nazwisko]])</f>
        <v>Przemyslaw Marek</v>
      </c>
    </row>
    <row r="1821" spans="1:5" x14ac:dyDescent="0.25">
      <c r="A1821" s="1">
        <v>43038</v>
      </c>
      <c r="B1821" s="2" t="s">
        <v>176</v>
      </c>
      <c r="C1821" s="2" t="s">
        <v>693</v>
      </c>
      <c r="D1821">
        <v>46</v>
      </c>
      <c r="E1821" t="str">
        <f>_xlfn.CONCAT(makulatura4[[#This Row],[Imie]]," ",makulatura4[[#This Row],[Nazwisko]])</f>
        <v>Kinga Famura</v>
      </c>
    </row>
    <row r="1822" spans="1:5" x14ac:dyDescent="0.25">
      <c r="A1822" s="1">
        <v>43038</v>
      </c>
      <c r="B1822" s="2" t="s">
        <v>352</v>
      </c>
      <c r="C1822" s="2" t="s">
        <v>363</v>
      </c>
      <c r="D1822">
        <v>28</v>
      </c>
      <c r="E1822" t="str">
        <f>_xlfn.CONCAT(makulatura4[[#This Row],[Imie]]," ",makulatura4[[#This Row],[Nazwisko]])</f>
        <v>Ilona Gorska</v>
      </c>
    </row>
    <row r="1823" spans="1:5" x14ac:dyDescent="0.25">
      <c r="A1823" s="1">
        <v>43039</v>
      </c>
      <c r="B1823" s="2" t="s">
        <v>18</v>
      </c>
      <c r="C1823" s="2" t="s">
        <v>597</v>
      </c>
      <c r="D1823">
        <v>42</v>
      </c>
      <c r="E1823" t="str">
        <f>_xlfn.CONCAT(makulatura4[[#This Row],[Imie]]," ",makulatura4[[#This Row],[Nazwisko]])</f>
        <v>Filip Strupiechowski</v>
      </c>
    </row>
    <row r="1824" spans="1:5" x14ac:dyDescent="0.25">
      <c r="A1824" s="1">
        <v>43039</v>
      </c>
      <c r="B1824" s="2" t="s">
        <v>87</v>
      </c>
      <c r="C1824" s="2" t="s">
        <v>397</v>
      </c>
      <c r="D1824">
        <v>7</v>
      </c>
      <c r="E1824" t="str">
        <f>_xlfn.CONCAT(makulatura4[[#This Row],[Imie]]," ",makulatura4[[#This Row],[Nazwisko]])</f>
        <v>Ewa Milion</v>
      </c>
    </row>
    <row r="1825" spans="1:5" x14ac:dyDescent="0.25">
      <c r="A1825" s="1">
        <v>43039</v>
      </c>
      <c r="B1825" s="2" t="s">
        <v>133</v>
      </c>
      <c r="C1825" s="2" t="s">
        <v>134</v>
      </c>
      <c r="D1825">
        <v>18</v>
      </c>
      <c r="E1825" t="str">
        <f>_xlfn.CONCAT(makulatura4[[#This Row],[Imie]]," ",makulatura4[[#This Row],[Nazwisko]])</f>
        <v>Dominika Nowakowska</v>
      </c>
    </row>
    <row r="1826" spans="1:5" x14ac:dyDescent="0.25">
      <c r="A1826" s="1">
        <v>43039</v>
      </c>
      <c r="B1826" s="2" t="s">
        <v>150</v>
      </c>
      <c r="C1826" s="2" t="s">
        <v>313</v>
      </c>
      <c r="D1826">
        <v>16</v>
      </c>
      <c r="E1826" t="str">
        <f>_xlfn.CONCAT(makulatura4[[#This Row],[Imie]]," ",makulatura4[[#This Row],[Nazwisko]])</f>
        <v>Krzysztof Dwa</v>
      </c>
    </row>
    <row r="1827" spans="1:5" x14ac:dyDescent="0.25">
      <c r="A1827" s="1">
        <v>43039</v>
      </c>
      <c r="B1827" s="2" t="s">
        <v>201</v>
      </c>
      <c r="C1827" s="2" t="s">
        <v>357</v>
      </c>
      <c r="D1827">
        <v>12</v>
      </c>
      <c r="E1827" t="str">
        <f>_xlfn.CONCAT(makulatura4[[#This Row],[Imie]]," ",makulatura4[[#This Row],[Nazwisko]])</f>
        <v>Marcin Tabaka</v>
      </c>
    </row>
    <row r="1828" spans="1:5" x14ac:dyDescent="0.25">
      <c r="A1828" s="1">
        <v>43039</v>
      </c>
      <c r="B1828" s="2" t="s">
        <v>147</v>
      </c>
      <c r="C1828" s="2" t="s">
        <v>644</v>
      </c>
      <c r="D1828">
        <v>4</v>
      </c>
      <c r="E1828" t="str">
        <f>_xlfn.CONCAT(makulatura4[[#This Row],[Imie]]," ",makulatura4[[#This Row],[Nazwisko]])</f>
        <v>Mariusz Kornik</v>
      </c>
    </row>
    <row r="1829" spans="1:5" x14ac:dyDescent="0.25">
      <c r="A1829" s="1">
        <v>43039</v>
      </c>
      <c r="B1829" s="2" t="s">
        <v>681</v>
      </c>
      <c r="C1829" s="2" t="s">
        <v>682</v>
      </c>
      <c r="D1829">
        <v>36</v>
      </c>
      <c r="E1829" t="str">
        <f>_xlfn.CONCAT(makulatura4[[#This Row],[Imie]]," ",makulatura4[[#This Row],[Nazwisko]])</f>
        <v>Stefan Bajer</v>
      </c>
    </row>
    <row r="1830" spans="1:5" x14ac:dyDescent="0.25">
      <c r="A1830" s="1">
        <v>43039</v>
      </c>
      <c r="B1830" s="2" t="s">
        <v>201</v>
      </c>
      <c r="C1830" s="2" t="s">
        <v>433</v>
      </c>
      <c r="D1830">
        <v>22</v>
      </c>
      <c r="E1830" t="str">
        <f>_xlfn.CONCAT(makulatura4[[#This Row],[Imie]]," ",makulatura4[[#This Row],[Nazwisko]])</f>
        <v>Marcin Gizinski</v>
      </c>
    </row>
    <row r="1831" spans="1:5" x14ac:dyDescent="0.25">
      <c r="A1831" s="1">
        <v>43039</v>
      </c>
      <c r="B1831" s="2" t="s">
        <v>278</v>
      </c>
      <c r="C1831" s="2" t="s">
        <v>530</v>
      </c>
      <c r="D1831">
        <v>22</v>
      </c>
      <c r="E1831" t="str">
        <f>_xlfn.CONCAT(makulatura4[[#This Row],[Imie]]," ",makulatura4[[#This Row],[Nazwisko]])</f>
        <v>Janusz Baka</v>
      </c>
    </row>
    <row r="1832" spans="1:5" x14ac:dyDescent="0.25">
      <c r="A1832" s="1">
        <v>43039</v>
      </c>
      <c r="B1832" s="2" t="s">
        <v>144</v>
      </c>
      <c r="C1832" s="2" t="s">
        <v>390</v>
      </c>
      <c r="D1832">
        <v>10</v>
      </c>
      <c r="E1832" t="str">
        <f>_xlfn.CONCAT(makulatura4[[#This Row],[Imie]]," ",makulatura4[[#This Row],[Nazwisko]])</f>
        <v>Aleksander Pasternak</v>
      </c>
    </row>
    <row r="1833" spans="1:5" x14ac:dyDescent="0.25">
      <c r="A1833" s="1">
        <v>43039</v>
      </c>
      <c r="B1833" s="2" t="s">
        <v>25</v>
      </c>
      <c r="C1833" s="2" t="s">
        <v>26</v>
      </c>
      <c r="D1833">
        <v>3</v>
      </c>
      <c r="E1833" t="str">
        <f>_xlfn.CONCAT(makulatura4[[#This Row],[Imie]]," ",makulatura4[[#This Row],[Nazwisko]])</f>
        <v>Leon Szybki</v>
      </c>
    </row>
    <row r="1834" spans="1:5" x14ac:dyDescent="0.25">
      <c r="A1834" s="1">
        <v>43039</v>
      </c>
      <c r="B1834" s="2" t="s">
        <v>36</v>
      </c>
      <c r="C1834" s="2" t="s">
        <v>404</v>
      </c>
      <c r="D1834">
        <v>8</v>
      </c>
      <c r="E1834" t="str">
        <f>_xlfn.CONCAT(makulatura4[[#This Row],[Imie]]," ",makulatura4[[#This Row],[Nazwisko]])</f>
        <v>Piotr Polkowicki</v>
      </c>
    </row>
    <row r="1835" spans="1:5" x14ac:dyDescent="0.25">
      <c r="A1835" s="1">
        <v>43039</v>
      </c>
      <c r="B1835" s="2" t="s">
        <v>514</v>
      </c>
      <c r="C1835" s="2" t="s">
        <v>515</v>
      </c>
      <c r="D1835">
        <v>7</v>
      </c>
      <c r="E1835" t="str">
        <f>_xlfn.CONCAT(makulatura4[[#This Row],[Imie]]," ",makulatura4[[#This Row],[Nazwisko]])</f>
        <v>Ignacy Sarnowski</v>
      </c>
    </row>
    <row r="1836" spans="1:5" x14ac:dyDescent="0.25">
      <c r="A1836" s="1">
        <v>43039</v>
      </c>
      <c r="B1836" s="2" t="s">
        <v>87</v>
      </c>
      <c r="C1836" s="2" t="s">
        <v>88</v>
      </c>
      <c r="D1836">
        <v>29</v>
      </c>
      <c r="E1836" t="str">
        <f>_xlfn.CONCAT(makulatura4[[#This Row],[Imie]]," ",makulatura4[[#This Row],[Nazwisko]])</f>
        <v>Ewa Stoch</v>
      </c>
    </row>
    <row r="1837" spans="1:5" x14ac:dyDescent="0.25">
      <c r="A1837" s="1">
        <v>43039</v>
      </c>
      <c r="B1837" s="2" t="s">
        <v>47</v>
      </c>
      <c r="C1837" s="2" t="s">
        <v>336</v>
      </c>
      <c r="D1837">
        <v>7</v>
      </c>
      <c r="E1837" t="str">
        <f>_xlfn.CONCAT(makulatura4[[#This Row],[Imie]]," ",makulatura4[[#This Row],[Nazwisko]])</f>
        <v>Marek Janowski</v>
      </c>
    </row>
    <row r="1838" spans="1:5" x14ac:dyDescent="0.25">
      <c r="A1838" s="1">
        <v>43039</v>
      </c>
      <c r="B1838" s="2" t="s">
        <v>23</v>
      </c>
      <c r="C1838" s="2" t="s">
        <v>163</v>
      </c>
      <c r="D1838">
        <v>20</v>
      </c>
      <c r="E1838" t="str">
        <f>_xlfn.CONCAT(makulatura4[[#This Row],[Imie]]," ",makulatura4[[#This Row],[Nazwisko]])</f>
        <v>Alicja Chmiel</v>
      </c>
    </row>
    <row r="1839" spans="1:5" x14ac:dyDescent="0.25">
      <c r="A1839" s="1">
        <v>43039</v>
      </c>
      <c r="B1839" s="2" t="s">
        <v>81</v>
      </c>
      <c r="C1839" s="2" t="s">
        <v>145</v>
      </c>
      <c r="D1839">
        <v>13</v>
      </c>
      <c r="E1839" t="str">
        <f>_xlfn.CONCAT(makulatura4[[#This Row],[Imie]]," ",makulatura4[[#This Row],[Nazwisko]])</f>
        <v>Karol Wojciechowski</v>
      </c>
    </row>
    <row r="1840" spans="1:5" x14ac:dyDescent="0.25">
      <c r="A1840" s="1">
        <v>43040</v>
      </c>
      <c r="B1840" s="2" t="s">
        <v>69</v>
      </c>
      <c r="C1840" s="2" t="s">
        <v>70</v>
      </c>
      <c r="D1840">
        <v>12</v>
      </c>
      <c r="E1840" t="str">
        <f>_xlfn.CONCAT(makulatura4[[#This Row],[Imie]]," ",makulatura4[[#This Row],[Nazwisko]])</f>
        <v>Adam Wata</v>
      </c>
    </row>
    <row r="1841" spans="1:5" x14ac:dyDescent="0.25">
      <c r="A1841" s="1">
        <v>43040</v>
      </c>
      <c r="B1841" s="2" t="s">
        <v>81</v>
      </c>
      <c r="C1841" s="2" t="s">
        <v>496</v>
      </c>
      <c r="D1841">
        <v>16</v>
      </c>
      <c r="E1841" t="str">
        <f>_xlfn.CONCAT(makulatura4[[#This Row],[Imie]]," ",makulatura4[[#This Row],[Nazwisko]])</f>
        <v>Karol Walasz</v>
      </c>
    </row>
    <row r="1842" spans="1:5" x14ac:dyDescent="0.25">
      <c r="A1842" s="1">
        <v>43040</v>
      </c>
      <c r="B1842" s="2" t="s">
        <v>77</v>
      </c>
      <c r="C1842" s="2" t="s">
        <v>384</v>
      </c>
      <c r="D1842">
        <v>11</v>
      </c>
      <c r="E1842" t="str">
        <f>_xlfn.CONCAT(makulatura4[[#This Row],[Imie]]," ",makulatura4[[#This Row],[Nazwisko]])</f>
        <v>Hubert Pieczatowski</v>
      </c>
    </row>
    <row r="1843" spans="1:5" x14ac:dyDescent="0.25">
      <c r="A1843" s="1">
        <v>43040</v>
      </c>
      <c r="B1843" s="2" t="s">
        <v>51</v>
      </c>
      <c r="C1843" s="2" t="s">
        <v>52</v>
      </c>
      <c r="D1843">
        <v>40</v>
      </c>
      <c r="E1843" t="str">
        <f>_xlfn.CONCAT(makulatura4[[#This Row],[Imie]]," ",makulatura4[[#This Row],[Nazwisko]])</f>
        <v>Barbara Podobinska</v>
      </c>
    </row>
    <row r="1844" spans="1:5" x14ac:dyDescent="0.25">
      <c r="A1844" s="1">
        <v>43040</v>
      </c>
      <c r="B1844" s="2" t="s">
        <v>39</v>
      </c>
      <c r="C1844" s="2" t="s">
        <v>400</v>
      </c>
      <c r="D1844">
        <v>34</v>
      </c>
      <c r="E1844" t="str">
        <f>_xlfn.CONCAT(makulatura4[[#This Row],[Imie]]," ",makulatura4[[#This Row],[Nazwisko]])</f>
        <v>Jakub Rembiewski</v>
      </c>
    </row>
    <row r="1845" spans="1:5" x14ac:dyDescent="0.25">
      <c r="A1845" s="1">
        <v>43040</v>
      </c>
      <c r="B1845" s="2" t="s">
        <v>53</v>
      </c>
      <c r="C1845" s="2" t="s">
        <v>227</v>
      </c>
      <c r="D1845">
        <v>36</v>
      </c>
      <c r="E1845" t="str">
        <f>_xlfn.CONCAT(makulatura4[[#This Row],[Imie]]," ",makulatura4[[#This Row],[Nazwisko]])</f>
        <v>Wieslawa Nowak</v>
      </c>
    </row>
    <row r="1846" spans="1:5" x14ac:dyDescent="0.25">
      <c r="A1846" s="1">
        <v>43040</v>
      </c>
      <c r="B1846" s="2" t="s">
        <v>45</v>
      </c>
      <c r="C1846" s="2" t="s">
        <v>46</v>
      </c>
      <c r="D1846">
        <v>19</v>
      </c>
      <c r="E1846" t="str">
        <f>_xlfn.CONCAT(makulatura4[[#This Row],[Imie]]," ",makulatura4[[#This Row],[Nazwisko]])</f>
        <v>Zuzanna Malicki</v>
      </c>
    </row>
    <row r="1847" spans="1:5" x14ac:dyDescent="0.25">
      <c r="A1847" s="1">
        <v>43040</v>
      </c>
      <c r="B1847" s="2" t="s">
        <v>41</v>
      </c>
      <c r="C1847" s="2" t="s">
        <v>614</v>
      </c>
      <c r="D1847">
        <v>22</v>
      </c>
      <c r="E1847" t="str">
        <f>_xlfn.CONCAT(makulatura4[[#This Row],[Imie]]," ",makulatura4[[#This Row],[Nazwisko]])</f>
        <v>Marta Wiosna</v>
      </c>
    </row>
    <row r="1848" spans="1:5" x14ac:dyDescent="0.25">
      <c r="A1848" s="1">
        <v>43040</v>
      </c>
      <c r="B1848" s="2" t="s">
        <v>128</v>
      </c>
      <c r="C1848" s="2" t="s">
        <v>250</v>
      </c>
      <c r="D1848">
        <v>12</v>
      </c>
      <c r="E1848" t="str">
        <f>_xlfn.CONCAT(makulatura4[[#This Row],[Imie]]," ",makulatura4[[#This Row],[Nazwisko]])</f>
        <v>Wojciech Wroblewski</v>
      </c>
    </row>
    <row r="1849" spans="1:5" x14ac:dyDescent="0.25">
      <c r="A1849" s="1">
        <v>43040</v>
      </c>
      <c r="B1849" s="2" t="s">
        <v>55</v>
      </c>
      <c r="C1849" s="2" t="s">
        <v>691</v>
      </c>
      <c r="D1849">
        <v>28</v>
      </c>
      <c r="E1849" t="str">
        <f>_xlfn.CONCAT(makulatura4[[#This Row],[Imie]]," ",makulatura4[[#This Row],[Nazwisko]])</f>
        <v>Anna Jopek</v>
      </c>
    </row>
    <row r="1850" spans="1:5" x14ac:dyDescent="0.25">
      <c r="A1850" s="1">
        <v>43040</v>
      </c>
      <c r="B1850" s="2" t="s">
        <v>39</v>
      </c>
      <c r="C1850" s="2" t="s">
        <v>294</v>
      </c>
      <c r="D1850">
        <v>48</v>
      </c>
      <c r="E1850" t="str">
        <f>_xlfn.CONCAT(makulatura4[[#This Row],[Imie]]," ",makulatura4[[#This Row],[Nazwisko]])</f>
        <v>Jakub Ropiak</v>
      </c>
    </row>
    <row r="1851" spans="1:5" x14ac:dyDescent="0.25">
      <c r="A1851" s="1">
        <v>43040</v>
      </c>
      <c r="B1851" s="2" t="s">
        <v>61</v>
      </c>
      <c r="C1851" s="2" t="s">
        <v>62</v>
      </c>
      <c r="D1851">
        <v>25</v>
      </c>
      <c r="E1851" t="str">
        <f>_xlfn.CONCAT(makulatura4[[#This Row],[Imie]]," ",makulatura4[[#This Row],[Nazwisko]])</f>
        <v>Malwina Korzeniowska</v>
      </c>
    </row>
    <row r="1852" spans="1:5" x14ac:dyDescent="0.25">
      <c r="A1852" s="1">
        <v>43040</v>
      </c>
      <c r="B1852" s="2" t="s">
        <v>632</v>
      </c>
      <c r="C1852" s="2" t="s">
        <v>633</v>
      </c>
      <c r="D1852">
        <v>16</v>
      </c>
      <c r="E1852" t="str">
        <f>_xlfn.CONCAT(makulatura4[[#This Row],[Imie]]," ",makulatura4[[#This Row],[Nazwisko]])</f>
        <v>Gabriela Malinowska</v>
      </c>
    </row>
    <row r="1853" spans="1:5" x14ac:dyDescent="0.25">
      <c r="A1853" s="1">
        <v>43040</v>
      </c>
      <c r="B1853" s="2" t="s">
        <v>79</v>
      </c>
      <c r="C1853" s="2" t="s">
        <v>80</v>
      </c>
      <c r="D1853">
        <v>12</v>
      </c>
      <c r="E1853" t="str">
        <f>_xlfn.CONCAT(makulatura4[[#This Row],[Imie]]," ",makulatura4[[#This Row],[Nazwisko]])</f>
        <v>Adelajda Zylinska</v>
      </c>
    </row>
    <row r="1854" spans="1:5" x14ac:dyDescent="0.25">
      <c r="A1854" s="1">
        <v>43040</v>
      </c>
      <c r="B1854" s="2" t="s">
        <v>128</v>
      </c>
      <c r="C1854" s="2" t="s">
        <v>129</v>
      </c>
      <c r="D1854">
        <v>28</v>
      </c>
      <c r="E1854" t="str">
        <f>_xlfn.CONCAT(makulatura4[[#This Row],[Imie]]," ",makulatura4[[#This Row],[Nazwisko]])</f>
        <v>Wojciech Katowicki</v>
      </c>
    </row>
    <row r="1855" spans="1:5" x14ac:dyDescent="0.25">
      <c r="A1855" s="1">
        <v>43040</v>
      </c>
      <c r="B1855" s="2" t="s">
        <v>30</v>
      </c>
      <c r="C1855" s="2" t="s">
        <v>109</v>
      </c>
      <c r="D1855">
        <v>12</v>
      </c>
      <c r="E1855" t="str">
        <f>_xlfn.CONCAT(makulatura4[[#This Row],[Imie]]," ",makulatura4[[#This Row],[Nazwisko]])</f>
        <v>Maciej Siemiatkowski</v>
      </c>
    </row>
    <row r="1856" spans="1:5" x14ac:dyDescent="0.25">
      <c r="A1856" s="1">
        <v>43040</v>
      </c>
      <c r="B1856" s="2" t="s">
        <v>299</v>
      </c>
      <c r="C1856" s="2" t="s">
        <v>482</v>
      </c>
      <c r="D1856">
        <v>17</v>
      </c>
      <c r="E1856" t="str">
        <f>_xlfn.CONCAT(makulatura4[[#This Row],[Imie]]," ",makulatura4[[#This Row],[Nazwisko]])</f>
        <v>Zbigniew Maciag</v>
      </c>
    </row>
    <row r="1857" spans="1:5" x14ac:dyDescent="0.25">
      <c r="A1857" s="1">
        <v>43041</v>
      </c>
      <c r="B1857" s="2" t="s">
        <v>438</v>
      </c>
      <c r="C1857" s="2" t="s">
        <v>439</v>
      </c>
      <c r="D1857">
        <v>16</v>
      </c>
      <c r="E1857" t="str">
        <f>_xlfn.CONCAT(makulatura4[[#This Row],[Imie]]," ",makulatura4[[#This Row],[Nazwisko]])</f>
        <v>Albert Pleszewski</v>
      </c>
    </row>
    <row r="1858" spans="1:5" x14ac:dyDescent="0.25">
      <c r="A1858" s="1">
        <v>43041</v>
      </c>
      <c r="B1858" s="2" t="s">
        <v>150</v>
      </c>
      <c r="C1858" s="2" t="s">
        <v>641</v>
      </c>
      <c r="D1858">
        <v>14</v>
      </c>
      <c r="E1858" t="str">
        <f>_xlfn.CONCAT(makulatura4[[#This Row],[Imie]]," ",makulatura4[[#This Row],[Nazwisko]])</f>
        <v>Krzysztof Sobieski</v>
      </c>
    </row>
    <row r="1859" spans="1:5" x14ac:dyDescent="0.25">
      <c r="A1859" s="1">
        <v>43041</v>
      </c>
      <c r="B1859" s="2" t="s">
        <v>232</v>
      </c>
      <c r="C1859" s="2" t="s">
        <v>378</v>
      </c>
      <c r="D1859">
        <v>25</v>
      </c>
      <c r="E1859" t="str">
        <f>_xlfn.CONCAT(makulatura4[[#This Row],[Imie]]," ",makulatura4[[#This Row],[Nazwisko]])</f>
        <v>Monika Placzek</v>
      </c>
    </row>
    <row r="1860" spans="1:5" x14ac:dyDescent="0.25">
      <c r="A1860" s="1">
        <v>43041</v>
      </c>
      <c r="B1860" s="2" t="s">
        <v>34</v>
      </c>
      <c r="C1860" s="2" t="s">
        <v>160</v>
      </c>
      <c r="D1860">
        <v>15</v>
      </c>
      <c r="E1860" t="str">
        <f>_xlfn.CONCAT(makulatura4[[#This Row],[Imie]]," ",makulatura4[[#This Row],[Nazwisko]])</f>
        <v>Julia Stuhr</v>
      </c>
    </row>
    <row r="1861" spans="1:5" x14ac:dyDescent="0.25">
      <c r="A1861" s="1">
        <v>43041</v>
      </c>
      <c r="B1861" s="2" t="s">
        <v>27</v>
      </c>
      <c r="C1861" s="2" t="s">
        <v>28</v>
      </c>
      <c r="D1861">
        <v>16</v>
      </c>
      <c r="E1861" t="str">
        <f>_xlfn.CONCAT(makulatura4[[#This Row],[Imie]]," ",makulatura4[[#This Row],[Nazwisko]])</f>
        <v>Jerzy Polanicki</v>
      </c>
    </row>
    <row r="1862" spans="1:5" x14ac:dyDescent="0.25">
      <c r="A1862" s="1">
        <v>43041</v>
      </c>
      <c r="B1862" s="2" t="s">
        <v>327</v>
      </c>
      <c r="C1862" s="2" t="s">
        <v>102</v>
      </c>
      <c r="D1862">
        <v>35</v>
      </c>
      <c r="E1862" t="str">
        <f>_xlfn.CONCAT(makulatura4[[#This Row],[Imie]]," ",makulatura4[[#This Row],[Nazwisko]])</f>
        <v>Anastazja Borowska</v>
      </c>
    </row>
    <row r="1863" spans="1:5" x14ac:dyDescent="0.25">
      <c r="A1863" s="1">
        <v>43042</v>
      </c>
      <c r="B1863" s="2" t="s">
        <v>271</v>
      </c>
      <c r="C1863" s="2" t="s">
        <v>272</v>
      </c>
      <c r="D1863">
        <v>2</v>
      </c>
      <c r="E1863" t="str">
        <f>_xlfn.CONCAT(makulatura4[[#This Row],[Imie]]," ",makulatura4[[#This Row],[Nazwisko]])</f>
        <v>Olgierd Baranek</v>
      </c>
    </row>
    <row r="1864" spans="1:5" x14ac:dyDescent="0.25">
      <c r="A1864" s="1">
        <v>43042</v>
      </c>
      <c r="B1864" s="2" t="s">
        <v>442</v>
      </c>
      <c r="C1864" s="2" t="s">
        <v>443</v>
      </c>
      <c r="D1864">
        <v>5</v>
      </c>
      <c r="E1864" t="str">
        <f>_xlfn.CONCAT(makulatura4[[#This Row],[Imie]]," ",makulatura4[[#This Row],[Nazwisko]])</f>
        <v>Nikodem Jama</v>
      </c>
    </row>
    <row r="1865" spans="1:5" x14ac:dyDescent="0.25">
      <c r="A1865" s="1">
        <v>43042</v>
      </c>
      <c r="B1865" s="2" t="s">
        <v>34</v>
      </c>
      <c r="C1865" s="2" t="s">
        <v>662</v>
      </c>
      <c r="D1865">
        <v>14</v>
      </c>
      <c r="E1865" t="str">
        <f>_xlfn.CONCAT(makulatura4[[#This Row],[Imie]]," ",makulatura4[[#This Row],[Nazwisko]])</f>
        <v>Julia Riegel</v>
      </c>
    </row>
    <row r="1866" spans="1:5" x14ac:dyDescent="0.25">
      <c r="A1866" s="1">
        <v>43042</v>
      </c>
      <c r="B1866" s="2" t="s">
        <v>393</v>
      </c>
      <c r="C1866" s="2" t="s">
        <v>394</v>
      </c>
      <c r="D1866">
        <v>29</v>
      </c>
      <c r="E1866" t="str">
        <f>_xlfn.CONCAT(makulatura4[[#This Row],[Imie]]," ",makulatura4[[#This Row],[Nazwisko]])</f>
        <v>Kacper Niec</v>
      </c>
    </row>
    <row r="1867" spans="1:5" x14ac:dyDescent="0.25">
      <c r="A1867" s="1">
        <v>43042</v>
      </c>
      <c r="B1867" s="2" t="s">
        <v>174</v>
      </c>
      <c r="C1867" s="2" t="s">
        <v>175</v>
      </c>
      <c r="D1867">
        <v>13</v>
      </c>
      <c r="E1867" t="str">
        <f>_xlfn.CONCAT(makulatura4[[#This Row],[Imie]]," ",makulatura4[[#This Row],[Nazwisko]])</f>
        <v>Dorota Adamus</v>
      </c>
    </row>
    <row r="1868" spans="1:5" x14ac:dyDescent="0.25">
      <c r="A1868" s="1">
        <v>43042</v>
      </c>
      <c r="B1868" s="2" t="s">
        <v>361</v>
      </c>
      <c r="C1868" s="2" t="s">
        <v>424</v>
      </c>
      <c r="D1868">
        <v>24</v>
      </c>
      <c r="E1868" t="str">
        <f>_xlfn.CONCAT(makulatura4[[#This Row],[Imie]]," ",makulatura4[[#This Row],[Nazwisko]])</f>
        <v>Lidia Tarnowska</v>
      </c>
    </row>
    <row r="1869" spans="1:5" x14ac:dyDescent="0.25">
      <c r="A1869" s="1">
        <v>43045</v>
      </c>
      <c r="B1869" s="2" t="s">
        <v>178</v>
      </c>
      <c r="C1869" s="2" t="s">
        <v>242</v>
      </c>
      <c r="D1869">
        <v>2</v>
      </c>
      <c r="E1869" t="str">
        <f>_xlfn.CONCAT(makulatura4[[#This Row],[Imie]]," ",makulatura4[[#This Row],[Nazwisko]])</f>
        <v>Malgorzata Karlowski</v>
      </c>
    </row>
    <row r="1870" spans="1:5" x14ac:dyDescent="0.25">
      <c r="A1870" s="1">
        <v>43045</v>
      </c>
      <c r="B1870" s="2" t="s">
        <v>18</v>
      </c>
      <c r="C1870" s="2" t="s">
        <v>694</v>
      </c>
      <c r="D1870">
        <v>31</v>
      </c>
      <c r="E1870" t="str">
        <f>_xlfn.CONCAT(makulatura4[[#This Row],[Imie]]," ",makulatura4[[#This Row],[Nazwisko]])</f>
        <v>Filip Sobol</v>
      </c>
    </row>
    <row r="1871" spans="1:5" x14ac:dyDescent="0.25">
      <c r="A1871" s="1">
        <v>43045</v>
      </c>
      <c r="B1871" s="2" t="s">
        <v>280</v>
      </c>
      <c r="C1871" s="2" t="s">
        <v>580</v>
      </c>
      <c r="D1871">
        <v>18</v>
      </c>
      <c r="E1871" t="str">
        <f>_xlfn.CONCAT(makulatura4[[#This Row],[Imie]]," ",makulatura4[[#This Row],[Nazwisko]])</f>
        <v>Kamila Knapik</v>
      </c>
    </row>
    <row r="1872" spans="1:5" x14ac:dyDescent="0.25">
      <c r="A1872" s="1">
        <v>43045</v>
      </c>
      <c r="B1872" s="2" t="s">
        <v>14</v>
      </c>
      <c r="C1872" s="2" t="s">
        <v>660</v>
      </c>
      <c r="D1872">
        <v>3</v>
      </c>
      <c r="E1872" t="str">
        <f>_xlfn.CONCAT(makulatura4[[#This Row],[Imie]]," ",makulatura4[[#This Row],[Nazwisko]])</f>
        <v>Patryk Gibas</v>
      </c>
    </row>
    <row r="1873" spans="1:5" x14ac:dyDescent="0.25">
      <c r="A1873" s="1">
        <v>43045</v>
      </c>
      <c r="B1873" s="2" t="s">
        <v>51</v>
      </c>
      <c r="C1873" s="2" t="s">
        <v>522</v>
      </c>
      <c r="D1873">
        <v>30</v>
      </c>
      <c r="E1873" t="str">
        <f>_xlfn.CONCAT(makulatura4[[#This Row],[Imie]]," ",makulatura4[[#This Row],[Nazwisko]])</f>
        <v>Barbara Kilarski</v>
      </c>
    </row>
    <row r="1874" spans="1:5" x14ac:dyDescent="0.25">
      <c r="A1874" s="1">
        <v>43045</v>
      </c>
      <c r="B1874" s="2" t="s">
        <v>640</v>
      </c>
      <c r="C1874" s="2" t="s">
        <v>199</v>
      </c>
      <c r="D1874">
        <v>5</v>
      </c>
      <c r="E1874" t="str">
        <f>_xlfn.CONCAT(makulatura4[[#This Row],[Imie]]," ",makulatura4[[#This Row],[Nazwisko]])</f>
        <v>Amelia Wilk</v>
      </c>
    </row>
    <row r="1875" spans="1:5" x14ac:dyDescent="0.25">
      <c r="A1875" s="1">
        <v>43046</v>
      </c>
      <c r="B1875" s="2" t="s">
        <v>61</v>
      </c>
      <c r="C1875" s="2" t="s">
        <v>62</v>
      </c>
      <c r="D1875">
        <v>13</v>
      </c>
      <c r="E1875" t="str">
        <f>_xlfn.CONCAT(makulatura4[[#This Row],[Imie]]," ",makulatura4[[#This Row],[Nazwisko]])</f>
        <v>Malwina Korzeniowska</v>
      </c>
    </row>
    <row r="1876" spans="1:5" x14ac:dyDescent="0.25">
      <c r="A1876" s="1">
        <v>43046</v>
      </c>
      <c r="B1876" s="2" t="s">
        <v>351</v>
      </c>
      <c r="C1876" s="2" t="s">
        <v>227</v>
      </c>
      <c r="D1876">
        <v>16</v>
      </c>
      <c r="E1876" t="str">
        <f>_xlfn.CONCAT(makulatura4[[#This Row],[Imie]]," ",makulatura4[[#This Row],[Nazwisko]])</f>
        <v>Wiera Nowak</v>
      </c>
    </row>
    <row r="1877" spans="1:5" x14ac:dyDescent="0.25">
      <c r="A1877" s="1">
        <v>43046</v>
      </c>
      <c r="B1877" s="2" t="s">
        <v>346</v>
      </c>
      <c r="C1877" s="2" t="s">
        <v>665</v>
      </c>
      <c r="D1877">
        <v>3</v>
      </c>
      <c r="E1877" t="str">
        <f>_xlfn.CONCAT(makulatura4[[#This Row],[Imie]]," ",makulatura4[[#This Row],[Nazwisko]])</f>
        <v>Maksymilian Lupa</v>
      </c>
    </row>
    <row r="1878" spans="1:5" x14ac:dyDescent="0.25">
      <c r="A1878" s="1">
        <v>43046</v>
      </c>
      <c r="B1878" s="2" t="s">
        <v>97</v>
      </c>
      <c r="C1878" s="2" t="s">
        <v>380</v>
      </c>
      <c r="D1878">
        <v>50</v>
      </c>
      <c r="E1878" t="str">
        <f>_xlfn.CONCAT(makulatura4[[#This Row],[Imie]]," ",makulatura4[[#This Row],[Nazwisko]])</f>
        <v>Mateusz Krawczyk</v>
      </c>
    </row>
    <row r="1879" spans="1:5" x14ac:dyDescent="0.25">
      <c r="A1879" s="1">
        <v>43046</v>
      </c>
      <c r="B1879" s="2" t="s">
        <v>133</v>
      </c>
      <c r="C1879" s="2" t="s">
        <v>316</v>
      </c>
      <c r="D1879">
        <v>25</v>
      </c>
      <c r="E1879" t="str">
        <f>_xlfn.CONCAT(makulatura4[[#This Row],[Imie]]," ",makulatura4[[#This Row],[Nazwisko]])</f>
        <v>Dominika Mierny</v>
      </c>
    </row>
    <row r="1880" spans="1:5" x14ac:dyDescent="0.25">
      <c r="A1880" s="1">
        <v>43046</v>
      </c>
      <c r="B1880" s="2" t="s">
        <v>523</v>
      </c>
      <c r="C1880" s="2" t="s">
        <v>524</v>
      </c>
      <c r="D1880">
        <v>16</v>
      </c>
      <c r="E1880" t="str">
        <f>_xlfn.CONCAT(makulatura4[[#This Row],[Imie]]," ",makulatura4[[#This Row],[Nazwisko]])</f>
        <v>Protazy Warszawski</v>
      </c>
    </row>
    <row r="1881" spans="1:5" x14ac:dyDescent="0.25">
      <c r="A1881" s="1">
        <v>43047</v>
      </c>
      <c r="B1881" s="2" t="s">
        <v>65</v>
      </c>
      <c r="C1881" s="2" t="s">
        <v>631</v>
      </c>
      <c r="D1881">
        <v>13</v>
      </c>
      <c r="E1881" t="str">
        <f>_xlfn.CONCAT(makulatura4[[#This Row],[Imie]]," ",makulatura4[[#This Row],[Nazwisko]])</f>
        <v>Michal Polaczek</v>
      </c>
    </row>
    <row r="1882" spans="1:5" x14ac:dyDescent="0.25">
      <c r="A1882" s="1">
        <v>43047</v>
      </c>
      <c r="B1882" s="2" t="s">
        <v>367</v>
      </c>
      <c r="C1882" s="2" t="s">
        <v>368</v>
      </c>
      <c r="D1882">
        <v>13</v>
      </c>
      <c r="E1882" t="str">
        <f>_xlfn.CONCAT(makulatura4[[#This Row],[Imie]]," ",makulatura4[[#This Row],[Nazwisko]])</f>
        <v>Szymon Mrozniak</v>
      </c>
    </row>
    <row r="1883" spans="1:5" x14ac:dyDescent="0.25">
      <c r="A1883" s="1">
        <v>43047</v>
      </c>
      <c r="B1883" s="2" t="s">
        <v>314</v>
      </c>
      <c r="C1883" s="2" t="s">
        <v>366</v>
      </c>
      <c r="D1883">
        <v>15</v>
      </c>
      <c r="E1883" t="str">
        <f>_xlfn.CONCAT(makulatura4[[#This Row],[Imie]]," ",makulatura4[[#This Row],[Nazwisko]])</f>
        <v>Lukasz Pawlik</v>
      </c>
    </row>
    <row r="1884" spans="1:5" x14ac:dyDescent="0.25">
      <c r="A1884" s="1">
        <v>43047</v>
      </c>
      <c r="B1884" s="2" t="s">
        <v>53</v>
      </c>
      <c r="C1884" s="2" t="s">
        <v>227</v>
      </c>
      <c r="D1884">
        <v>41</v>
      </c>
      <c r="E1884" t="str">
        <f>_xlfn.CONCAT(makulatura4[[#This Row],[Imie]]," ",makulatura4[[#This Row],[Nazwisko]])</f>
        <v>Wieslawa Nowak</v>
      </c>
    </row>
    <row r="1885" spans="1:5" x14ac:dyDescent="0.25">
      <c r="A1885" s="1">
        <v>43047</v>
      </c>
      <c r="B1885" s="2" t="s">
        <v>442</v>
      </c>
      <c r="C1885" s="2" t="s">
        <v>502</v>
      </c>
      <c r="D1885">
        <v>50</v>
      </c>
      <c r="E1885" t="str">
        <f>_xlfn.CONCAT(makulatura4[[#This Row],[Imie]]," ",makulatura4[[#This Row],[Nazwisko]])</f>
        <v>Nikodem Jablonski</v>
      </c>
    </row>
    <row r="1886" spans="1:5" x14ac:dyDescent="0.25">
      <c r="A1886" s="1">
        <v>43047</v>
      </c>
      <c r="B1886" s="2" t="s">
        <v>32</v>
      </c>
      <c r="C1886" s="2" t="s">
        <v>33</v>
      </c>
      <c r="D1886">
        <v>26</v>
      </c>
      <c r="E1886" t="str">
        <f>_xlfn.CONCAT(makulatura4[[#This Row],[Imie]]," ",makulatura4[[#This Row],[Nazwisko]])</f>
        <v>Daria Zagrobna</v>
      </c>
    </row>
    <row r="1887" spans="1:5" x14ac:dyDescent="0.25">
      <c r="A1887" s="1">
        <v>43048</v>
      </c>
      <c r="B1887" s="2" t="s">
        <v>63</v>
      </c>
      <c r="C1887" s="2" t="s">
        <v>64</v>
      </c>
      <c r="D1887">
        <v>10</v>
      </c>
      <c r="E1887" t="str">
        <f>_xlfn.CONCAT(makulatura4[[#This Row],[Imie]]," ",makulatura4[[#This Row],[Nazwisko]])</f>
        <v>Adrian Zawisza</v>
      </c>
    </row>
    <row r="1888" spans="1:5" x14ac:dyDescent="0.25">
      <c r="A1888" s="1">
        <v>43048</v>
      </c>
      <c r="B1888" s="2" t="s">
        <v>77</v>
      </c>
      <c r="C1888" s="2" t="s">
        <v>78</v>
      </c>
      <c r="D1888">
        <v>10</v>
      </c>
      <c r="E1888" t="str">
        <f>_xlfn.CONCAT(makulatura4[[#This Row],[Imie]]," ",makulatura4[[#This Row],[Nazwisko]])</f>
        <v>Hubert Smyk</v>
      </c>
    </row>
    <row r="1889" spans="1:5" x14ac:dyDescent="0.25">
      <c r="A1889" s="1">
        <v>43048</v>
      </c>
      <c r="B1889" s="2" t="s">
        <v>244</v>
      </c>
      <c r="C1889" s="2" t="s">
        <v>245</v>
      </c>
      <c r="D1889">
        <v>20</v>
      </c>
      <c r="E1889" t="str">
        <f>_xlfn.CONCAT(makulatura4[[#This Row],[Imie]]," ",makulatura4[[#This Row],[Nazwisko]])</f>
        <v>Adela Waruszewska</v>
      </c>
    </row>
    <row r="1890" spans="1:5" x14ac:dyDescent="0.25">
      <c r="A1890" s="1">
        <v>43048</v>
      </c>
      <c r="B1890" s="2" t="s">
        <v>395</v>
      </c>
      <c r="C1890" s="2" t="s">
        <v>678</v>
      </c>
      <c r="D1890">
        <v>26</v>
      </c>
      <c r="E1890" t="str">
        <f>_xlfn.CONCAT(makulatura4[[#This Row],[Imie]]," ",makulatura4[[#This Row],[Nazwisko]])</f>
        <v>Tomasz Tytan</v>
      </c>
    </row>
    <row r="1891" spans="1:5" x14ac:dyDescent="0.25">
      <c r="A1891" s="1">
        <v>43048</v>
      </c>
      <c r="B1891" s="2" t="s">
        <v>12</v>
      </c>
      <c r="C1891" s="2" t="s">
        <v>668</v>
      </c>
      <c r="D1891">
        <v>27</v>
      </c>
      <c r="E1891" t="str">
        <f>_xlfn.CONCAT(makulatura4[[#This Row],[Imie]]," ",makulatura4[[#This Row],[Nazwisko]])</f>
        <v>Maja Kwidczynska</v>
      </c>
    </row>
    <row r="1892" spans="1:5" x14ac:dyDescent="0.25">
      <c r="A1892" s="1">
        <v>43048</v>
      </c>
      <c r="B1892" s="2" t="s">
        <v>128</v>
      </c>
      <c r="C1892" s="2" t="s">
        <v>639</v>
      </c>
      <c r="D1892">
        <v>24</v>
      </c>
      <c r="E1892" t="str">
        <f>_xlfn.CONCAT(makulatura4[[#This Row],[Imie]]," ",makulatura4[[#This Row],[Nazwisko]])</f>
        <v>Wojciech Czyzewski</v>
      </c>
    </row>
    <row r="1893" spans="1:5" x14ac:dyDescent="0.25">
      <c r="A1893" s="1">
        <v>43049</v>
      </c>
      <c r="B1893" s="2" t="s">
        <v>34</v>
      </c>
      <c r="C1893" s="2" t="s">
        <v>90</v>
      </c>
      <c r="D1893">
        <v>41</v>
      </c>
      <c r="E1893" t="str">
        <f>_xlfn.CONCAT(makulatura4[[#This Row],[Imie]]," ",makulatura4[[#This Row],[Nazwisko]])</f>
        <v>Julia Reclaw</v>
      </c>
    </row>
    <row r="1894" spans="1:5" x14ac:dyDescent="0.25">
      <c r="A1894" s="1">
        <v>43049</v>
      </c>
      <c r="B1894" s="2" t="s">
        <v>317</v>
      </c>
      <c r="C1894" s="2" t="s">
        <v>318</v>
      </c>
      <c r="D1894">
        <v>8</v>
      </c>
      <c r="E1894" t="str">
        <f>_xlfn.CONCAT(makulatura4[[#This Row],[Imie]]," ",makulatura4[[#This Row],[Nazwisko]])</f>
        <v>Bohdan Gigant</v>
      </c>
    </row>
    <row r="1895" spans="1:5" x14ac:dyDescent="0.25">
      <c r="A1895" s="1">
        <v>43049</v>
      </c>
      <c r="B1895" s="2" t="s">
        <v>69</v>
      </c>
      <c r="C1895" s="2" t="s">
        <v>535</v>
      </c>
      <c r="D1895">
        <v>30</v>
      </c>
      <c r="E1895" t="str">
        <f>_xlfn.CONCAT(makulatura4[[#This Row],[Imie]]," ",makulatura4[[#This Row],[Nazwisko]])</f>
        <v>Adam Czarnecki</v>
      </c>
    </row>
    <row r="1896" spans="1:5" x14ac:dyDescent="0.25">
      <c r="A1896" s="1">
        <v>43049</v>
      </c>
      <c r="B1896" s="2" t="s">
        <v>351</v>
      </c>
      <c r="C1896" s="2" t="s">
        <v>227</v>
      </c>
      <c r="D1896">
        <v>30</v>
      </c>
      <c r="E1896" t="str">
        <f>_xlfn.CONCAT(makulatura4[[#This Row],[Imie]]," ",makulatura4[[#This Row],[Nazwisko]])</f>
        <v>Wiera Nowak</v>
      </c>
    </row>
    <row r="1897" spans="1:5" x14ac:dyDescent="0.25">
      <c r="A1897" s="1">
        <v>43049</v>
      </c>
      <c r="B1897" s="2" t="s">
        <v>14</v>
      </c>
      <c r="C1897" s="2" t="s">
        <v>422</v>
      </c>
      <c r="D1897">
        <v>13</v>
      </c>
      <c r="E1897" t="str">
        <f>_xlfn.CONCAT(makulatura4[[#This Row],[Imie]]," ",makulatura4[[#This Row],[Nazwisko]])</f>
        <v>Patryk Glac</v>
      </c>
    </row>
    <row r="1898" spans="1:5" x14ac:dyDescent="0.25">
      <c r="A1898" s="1">
        <v>43049</v>
      </c>
      <c r="B1898" s="2" t="s">
        <v>246</v>
      </c>
      <c r="C1898" s="2" t="s">
        <v>247</v>
      </c>
      <c r="D1898">
        <v>27</v>
      </c>
      <c r="E1898" t="str">
        <f>_xlfn.CONCAT(makulatura4[[#This Row],[Imie]]," ",makulatura4[[#This Row],[Nazwisko]])</f>
        <v>Inez Nahaj</v>
      </c>
    </row>
    <row r="1899" spans="1:5" x14ac:dyDescent="0.25">
      <c r="A1899" s="1">
        <v>43049</v>
      </c>
      <c r="B1899" s="2" t="s">
        <v>195</v>
      </c>
      <c r="C1899" s="2" t="s">
        <v>196</v>
      </c>
      <c r="D1899">
        <v>41</v>
      </c>
      <c r="E1899" t="str">
        <f>_xlfn.CONCAT(makulatura4[[#This Row],[Imie]]," ",makulatura4[[#This Row],[Nazwisko]])</f>
        <v>Emilia Mroczek</v>
      </c>
    </row>
    <row r="1900" spans="1:5" x14ac:dyDescent="0.25">
      <c r="A1900" s="1">
        <v>43049</v>
      </c>
      <c r="B1900" s="2" t="s">
        <v>367</v>
      </c>
      <c r="C1900" s="2" t="s">
        <v>5</v>
      </c>
      <c r="D1900">
        <v>21</v>
      </c>
      <c r="E1900" t="str">
        <f>_xlfn.CONCAT(makulatura4[[#This Row],[Imie]]," ",makulatura4[[#This Row],[Nazwisko]])</f>
        <v>Szymon Polak</v>
      </c>
    </row>
    <row r="1901" spans="1:5" x14ac:dyDescent="0.25">
      <c r="A1901" s="1">
        <v>43049</v>
      </c>
      <c r="B1901" s="2" t="s">
        <v>278</v>
      </c>
      <c r="C1901" s="2" t="s">
        <v>202</v>
      </c>
      <c r="D1901">
        <v>52</v>
      </c>
      <c r="E1901" t="str">
        <f>_xlfn.CONCAT(makulatura4[[#This Row],[Imie]]," ",makulatura4[[#This Row],[Nazwisko]])</f>
        <v>Janusz Wrobel</v>
      </c>
    </row>
    <row r="1902" spans="1:5" x14ac:dyDescent="0.25">
      <c r="A1902" s="1">
        <v>43049</v>
      </c>
      <c r="B1902" s="2" t="s">
        <v>574</v>
      </c>
      <c r="C1902" s="2" t="s">
        <v>607</v>
      </c>
      <c r="D1902">
        <v>23</v>
      </c>
      <c r="E1902" t="str">
        <f>_xlfn.CONCAT(makulatura4[[#This Row],[Imie]]," ",makulatura4[[#This Row],[Nazwisko]])</f>
        <v>Urszula Engel</v>
      </c>
    </row>
    <row r="1903" spans="1:5" x14ac:dyDescent="0.25">
      <c r="A1903" s="1">
        <v>43049</v>
      </c>
      <c r="B1903" s="2" t="s">
        <v>39</v>
      </c>
      <c r="C1903" s="2" t="s">
        <v>103</v>
      </c>
      <c r="D1903">
        <v>32</v>
      </c>
      <c r="E1903" t="str">
        <f>_xlfn.CONCAT(makulatura4[[#This Row],[Imie]]," ",makulatura4[[#This Row],[Nazwisko]])</f>
        <v>Jakub Potocki</v>
      </c>
    </row>
    <row r="1904" spans="1:5" x14ac:dyDescent="0.25">
      <c r="A1904" s="1">
        <v>43049</v>
      </c>
      <c r="B1904" s="2" t="s">
        <v>352</v>
      </c>
      <c r="C1904" s="2" t="s">
        <v>425</v>
      </c>
      <c r="D1904">
        <v>33</v>
      </c>
      <c r="E1904" t="str">
        <f>_xlfn.CONCAT(makulatura4[[#This Row],[Imie]]," ",makulatura4[[#This Row],[Nazwisko]])</f>
        <v>Ilona Lukaszewska</v>
      </c>
    </row>
    <row r="1905" spans="1:5" x14ac:dyDescent="0.25">
      <c r="A1905" s="1">
        <v>43049</v>
      </c>
      <c r="B1905" s="2" t="s">
        <v>155</v>
      </c>
      <c r="C1905" s="2" t="s">
        <v>650</v>
      </c>
      <c r="D1905">
        <v>41</v>
      </c>
      <c r="E1905" t="str">
        <f>_xlfn.CONCAT(makulatura4[[#This Row],[Imie]]," ",makulatura4[[#This Row],[Nazwisko]])</f>
        <v>Jacek Bigaj</v>
      </c>
    </row>
    <row r="1906" spans="1:5" x14ac:dyDescent="0.25">
      <c r="A1906" s="1">
        <v>43049</v>
      </c>
      <c r="B1906" s="2" t="s">
        <v>232</v>
      </c>
      <c r="C1906" s="2" t="s">
        <v>526</v>
      </c>
      <c r="D1906">
        <v>29</v>
      </c>
      <c r="E1906" t="str">
        <f>_xlfn.CONCAT(makulatura4[[#This Row],[Imie]]," ",makulatura4[[#This Row],[Nazwisko]])</f>
        <v>Monika Trojan</v>
      </c>
    </row>
    <row r="1907" spans="1:5" x14ac:dyDescent="0.25">
      <c r="A1907" s="1">
        <v>43049</v>
      </c>
      <c r="B1907" s="2" t="s">
        <v>119</v>
      </c>
      <c r="C1907" s="2" t="s">
        <v>164</v>
      </c>
      <c r="D1907">
        <v>25</v>
      </c>
      <c r="E1907" t="str">
        <f>_xlfn.CONCAT(makulatura4[[#This Row],[Imie]]," ",makulatura4[[#This Row],[Nazwisko]])</f>
        <v>Kamil Waniek</v>
      </c>
    </row>
    <row r="1908" spans="1:5" x14ac:dyDescent="0.25">
      <c r="A1908" s="1">
        <v>43049</v>
      </c>
      <c r="B1908" s="2" t="s">
        <v>55</v>
      </c>
      <c r="C1908" s="2" t="s">
        <v>666</v>
      </c>
      <c r="D1908">
        <v>3</v>
      </c>
      <c r="E1908" t="str">
        <f>_xlfn.CONCAT(makulatura4[[#This Row],[Imie]]," ",makulatura4[[#This Row],[Nazwisko]])</f>
        <v>Anna Kraska</v>
      </c>
    </row>
    <row r="1909" spans="1:5" x14ac:dyDescent="0.25">
      <c r="A1909" s="1">
        <v>43049</v>
      </c>
      <c r="B1909" s="2" t="s">
        <v>83</v>
      </c>
      <c r="C1909" s="2" t="s">
        <v>470</v>
      </c>
      <c r="D1909">
        <v>23</v>
      </c>
      <c r="E1909" t="str">
        <f>_xlfn.CONCAT(makulatura4[[#This Row],[Imie]]," ",makulatura4[[#This Row],[Nazwisko]])</f>
        <v>Jan Marasek</v>
      </c>
    </row>
    <row r="1910" spans="1:5" x14ac:dyDescent="0.25">
      <c r="A1910" s="1">
        <v>43049</v>
      </c>
      <c r="B1910" s="2" t="s">
        <v>139</v>
      </c>
      <c r="C1910" s="2" t="s">
        <v>140</v>
      </c>
      <c r="D1910">
        <v>25</v>
      </c>
      <c r="E1910" t="str">
        <f>_xlfn.CONCAT(makulatura4[[#This Row],[Imie]]," ",makulatura4[[#This Row],[Nazwisko]])</f>
        <v>Mariola Las</v>
      </c>
    </row>
    <row r="1911" spans="1:5" x14ac:dyDescent="0.25">
      <c r="A1911" s="1">
        <v>43049</v>
      </c>
      <c r="B1911" s="2" t="s">
        <v>119</v>
      </c>
      <c r="C1911" s="2" t="s">
        <v>517</v>
      </c>
      <c r="D1911">
        <v>29</v>
      </c>
      <c r="E1911" t="str">
        <f>_xlfn.CONCAT(makulatura4[[#This Row],[Imie]]," ",makulatura4[[#This Row],[Nazwisko]])</f>
        <v>Kamil Szyszko</v>
      </c>
    </row>
    <row r="1912" spans="1:5" x14ac:dyDescent="0.25">
      <c r="A1912" s="1">
        <v>43052</v>
      </c>
      <c r="B1912" s="2" t="s">
        <v>55</v>
      </c>
      <c r="C1912" s="2" t="s">
        <v>199</v>
      </c>
      <c r="D1912">
        <v>24</v>
      </c>
      <c r="E1912" t="str">
        <f>_xlfn.CONCAT(makulatura4[[#This Row],[Imie]]," ",makulatura4[[#This Row],[Nazwisko]])</f>
        <v>Anna Wilk</v>
      </c>
    </row>
    <row r="1913" spans="1:5" x14ac:dyDescent="0.25">
      <c r="A1913" s="1">
        <v>43052</v>
      </c>
      <c r="B1913" s="2" t="s">
        <v>449</v>
      </c>
      <c r="C1913" s="2" t="s">
        <v>664</v>
      </c>
      <c r="D1913">
        <v>19</v>
      </c>
      <c r="E1913" t="str">
        <f>_xlfn.CONCAT(makulatura4[[#This Row],[Imie]]," ",makulatura4[[#This Row],[Nazwisko]])</f>
        <v>Ryszard Baranowski</v>
      </c>
    </row>
    <row r="1914" spans="1:5" x14ac:dyDescent="0.25">
      <c r="A1914" s="1">
        <v>43052</v>
      </c>
      <c r="B1914" s="2" t="s">
        <v>271</v>
      </c>
      <c r="C1914" s="2" t="s">
        <v>548</v>
      </c>
      <c r="D1914">
        <v>7</v>
      </c>
      <c r="E1914" t="str">
        <f>_xlfn.CONCAT(makulatura4[[#This Row],[Imie]]," ",makulatura4[[#This Row],[Nazwisko]])</f>
        <v>Olgierd Hazubski</v>
      </c>
    </row>
    <row r="1915" spans="1:5" x14ac:dyDescent="0.25">
      <c r="A1915" s="1">
        <v>43052</v>
      </c>
      <c r="B1915" s="2" t="s">
        <v>150</v>
      </c>
      <c r="C1915" s="2" t="s">
        <v>211</v>
      </c>
      <c r="D1915">
        <v>7</v>
      </c>
      <c r="E1915" t="str">
        <f>_xlfn.CONCAT(makulatura4[[#This Row],[Imie]]," ",makulatura4[[#This Row],[Nazwisko]])</f>
        <v>Krzysztof Micun</v>
      </c>
    </row>
    <row r="1916" spans="1:5" x14ac:dyDescent="0.25">
      <c r="A1916" s="1">
        <v>43052</v>
      </c>
      <c r="B1916" s="2" t="s">
        <v>553</v>
      </c>
      <c r="C1916" s="2" t="s">
        <v>554</v>
      </c>
      <c r="D1916">
        <v>28</v>
      </c>
      <c r="E1916" t="str">
        <f>_xlfn.CONCAT(makulatura4[[#This Row],[Imie]]," ",makulatura4[[#This Row],[Nazwisko]])</f>
        <v>Marian Bukalski</v>
      </c>
    </row>
    <row r="1917" spans="1:5" x14ac:dyDescent="0.25">
      <c r="A1917" s="1">
        <v>43052</v>
      </c>
      <c r="B1917" s="2" t="s">
        <v>566</v>
      </c>
      <c r="C1917" s="2" t="s">
        <v>567</v>
      </c>
      <c r="D1917">
        <v>50</v>
      </c>
      <c r="E1917" t="str">
        <f>_xlfn.CONCAT(makulatura4[[#This Row],[Imie]]," ",makulatura4[[#This Row],[Nazwisko]])</f>
        <v>Dorian Szczepkowski</v>
      </c>
    </row>
    <row r="1918" spans="1:5" x14ac:dyDescent="0.25">
      <c r="A1918" s="1">
        <v>43052</v>
      </c>
      <c r="B1918" s="2" t="s">
        <v>23</v>
      </c>
      <c r="C1918" s="2" t="s">
        <v>592</v>
      </c>
      <c r="D1918">
        <v>8</v>
      </c>
      <c r="E1918" t="str">
        <f>_xlfn.CONCAT(makulatura4[[#This Row],[Imie]]," ",makulatura4[[#This Row],[Nazwisko]])</f>
        <v>Alicja Walentowicz</v>
      </c>
    </row>
    <row r="1919" spans="1:5" x14ac:dyDescent="0.25">
      <c r="A1919" s="1">
        <v>43052</v>
      </c>
      <c r="B1919" s="2" t="s">
        <v>4</v>
      </c>
      <c r="C1919" s="2" t="s">
        <v>382</v>
      </c>
      <c r="D1919">
        <v>3</v>
      </c>
      <c r="E1919" t="str">
        <f>_xlfn.CONCAT(makulatura4[[#This Row],[Imie]]," ",makulatura4[[#This Row],[Nazwisko]])</f>
        <v>Agnieszka Matusik</v>
      </c>
    </row>
    <row r="1920" spans="1:5" x14ac:dyDescent="0.25">
      <c r="A1920" s="1">
        <v>43052</v>
      </c>
      <c r="B1920" s="2" t="s">
        <v>12</v>
      </c>
      <c r="C1920" s="2" t="s">
        <v>386</v>
      </c>
      <c r="D1920">
        <v>13</v>
      </c>
      <c r="E1920" t="str">
        <f>_xlfn.CONCAT(makulatura4[[#This Row],[Imie]]," ",makulatura4[[#This Row],[Nazwisko]])</f>
        <v>Maja Kaminska</v>
      </c>
    </row>
    <row r="1921" spans="1:5" x14ac:dyDescent="0.25">
      <c r="A1921" s="1">
        <v>43052</v>
      </c>
      <c r="B1921" s="2" t="s">
        <v>87</v>
      </c>
      <c r="C1921" s="2" t="s">
        <v>154</v>
      </c>
      <c r="D1921">
        <v>17</v>
      </c>
      <c r="E1921" t="str">
        <f>_xlfn.CONCAT(makulatura4[[#This Row],[Imie]]," ",makulatura4[[#This Row],[Nazwisko]])</f>
        <v>Ewa Wojna</v>
      </c>
    </row>
    <row r="1922" spans="1:5" x14ac:dyDescent="0.25">
      <c r="A1922" s="1">
        <v>43052</v>
      </c>
      <c r="B1922" s="2" t="s">
        <v>221</v>
      </c>
      <c r="C1922" s="2" t="s">
        <v>222</v>
      </c>
      <c r="D1922">
        <v>55</v>
      </c>
      <c r="E1922" t="str">
        <f>_xlfn.CONCAT(makulatura4[[#This Row],[Imie]]," ",makulatura4[[#This Row],[Nazwisko]])</f>
        <v>Marzena Jagielska</v>
      </c>
    </row>
    <row r="1923" spans="1:5" x14ac:dyDescent="0.25">
      <c r="A1923" s="1">
        <v>43052</v>
      </c>
      <c r="B1923" s="2" t="s">
        <v>150</v>
      </c>
      <c r="C1923" s="2" t="s">
        <v>258</v>
      </c>
      <c r="D1923">
        <v>46</v>
      </c>
      <c r="E1923" t="str">
        <f>_xlfn.CONCAT(makulatura4[[#This Row],[Imie]]," ",makulatura4[[#This Row],[Nazwisko]])</f>
        <v>Krzysztof Figurski</v>
      </c>
    </row>
    <row r="1924" spans="1:5" x14ac:dyDescent="0.25">
      <c r="A1924" s="1">
        <v>43052</v>
      </c>
      <c r="B1924" s="2" t="s">
        <v>47</v>
      </c>
      <c r="C1924" s="2" t="s">
        <v>630</v>
      </c>
      <c r="D1924">
        <v>48</v>
      </c>
      <c r="E1924" t="str">
        <f>_xlfn.CONCAT(makulatura4[[#This Row],[Imie]]," ",makulatura4[[#This Row],[Nazwisko]])</f>
        <v>Marek Sulejski</v>
      </c>
    </row>
    <row r="1925" spans="1:5" x14ac:dyDescent="0.25">
      <c r="A1925" s="1">
        <v>43052</v>
      </c>
      <c r="B1925" s="2" t="s">
        <v>395</v>
      </c>
      <c r="C1925" s="2" t="s">
        <v>687</v>
      </c>
      <c r="D1925">
        <v>35</v>
      </c>
      <c r="E1925" t="str">
        <f>_xlfn.CONCAT(makulatura4[[#This Row],[Imie]]," ",makulatura4[[#This Row],[Nazwisko]])</f>
        <v>Tomasz Ogorek</v>
      </c>
    </row>
    <row r="1926" spans="1:5" x14ac:dyDescent="0.25">
      <c r="A1926" s="1">
        <v>43052</v>
      </c>
      <c r="B1926" s="2" t="s">
        <v>416</v>
      </c>
      <c r="C1926" s="2" t="s">
        <v>572</v>
      </c>
      <c r="D1926">
        <v>54</v>
      </c>
      <c r="E1926" t="str">
        <f>_xlfn.CONCAT(makulatura4[[#This Row],[Imie]]," ",makulatura4[[#This Row],[Nazwisko]])</f>
        <v>Kazimierz Biedka</v>
      </c>
    </row>
    <row r="1927" spans="1:5" x14ac:dyDescent="0.25">
      <c r="A1927" s="1">
        <v>43052</v>
      </c>
      <c r="B1927" s="2" t="s">
        <v>167</v>
      </c>
      <c r="C1927" s="2" t="s">
        <v>168</v>
      </c>
      <c r="D1927">
        <v>6</v>
      </c>
      <c r="E1927" t="str">
        <f>_xlfn.CONCAT(makulatura4[[#This Row],[Imie]]," ",makulatura4[[#This Row],[Nazwisko]])</f>
        <v>Wanda Sadza</v>
      </c>
    </row>
    <row r="1928" spans="1:5" x14ac:dyDescent="0.25">
      <c r="A1928" s="1">
        <v>43052</v>
      </c>
      <c r="B1928" s="2" t="s">
        <v>87</v>
      </c>
      <c r="C1928" s="2" t="s">
        <v>259</v>
      </c>
      <c r="D1928">
        <v>53</v>
      </c>
      <c r="E1928" t="str">
        <f>_xlfn.CONCAT(makulatura4[[#This Row],[Imie]]," ",makulatura4[[#This Row],[Nazwisko]])</f>
        <v>Ewa Aderek</v>
      </c>
    </row>
    <row r="1929" spans="1:5" x14ac:dyDescent="0.25">
      <c r="A1929" s="1">
        <v>43052</v>
      </c>
      <c r="B1929" s="2" t="s">
        <v>34</v>
      </c>
      <c r="C1929" s="2" t="s">
        <v>564</v>
      </c>
      <c r="D1929">
        <v>29</v>
      </c>
      <c r="E1929" t="str">
        <f>_xlfn.CONCAT(makulatura4[[#This Row],[Imie]]," ",makulatura4[[#This Row],[Nazwisko]])</f>
        <v>Julia Zaremba</v>
      </c>
    </row>
    <row r="1930" spans="1:5" x14ac:dyDescent="0.25">
      <c r="A1930" s="1">
        <v>43053</v>
      </c>
      <c r="B1930" s="2" t="s">
        <v>521</v>
      </c>
      <c r="C1930" s="2" t="s">
        <v>440</v>
      </c>
      <c r="D1930">
        <v>35</v>
      </c>
      <c r="E1930" t="str">
        <f>_xlfn.CONCAT(makulatura4[[#This Row],[Imie]]," ",makulatura4[[#This Row],[Nazwisko]])</f>
        <v>Bernard Madej</v>
      </c>
    </row>
    <row r="1931" spans="1:5" x14ac:dyDescent="0.25">
      <c r="A1931" s="1">
        <v>43053</v>
      </c>
      <c r="B1931" s="2" t="s">
        <v>246</v>
      </c>
      <c r="C1931" s="2" t="s">
        <v>247</v>
      </c>
      <c r="D1931">
        <v>24</v>
      </c>
      <c r="E1931" t="str">
        <f>_xlfn.CONCAT(makulatura4[[#This Row],[Imie]]," ",makulatura4[[#This Row],[Nazwisko]])</f>
        <v>Inez Nahaj</v>
      </c>
    </row>
    <row r="1932" spans="1:5" x14ac:dyDescent="0.25">
      <c r="A1932" s="1">
        <v>43053</v>
      </c>
      <c r="B1932" s="2" t="s">
        <v>137</v>
      </c>
      <c r="C1932" s="2" t="s">
        <v>473</v>
      </c>
      <c r="D1932">
        <v>25</v>
      </c>
      <c r="E1932" t="str">
        <f>_xlfn.CONCAT(makulatura4[[#This Row],[Imie]]," ",makulatura4[[#This Row],[Nazwisko]])</f>
        <v>Stanislaw Janiec</v>
      </c>
    </row>
    <row r="1933" spans="1:5" x14ac:dyDescent="0.25">
      <c r="A1933" s="1">
        <v>43053</v>
      </c>
      <c r="B1933" s="2" t="s">
        <v>87</v>
      </c>
      <c r="C1933" s="2" t="s">
        <v>154</v>
      </c>
      <c r="D1933">
        <v>10</v>
      </c>
      <c r="E1933" t="str">
        <f>_xlfn.CONCAT(makulatura4[[#This Row],[Imie]]," ",makulatura4[[#This Row],[Nazwisko]])</f>
        <v>Ewa Wojna</v>
      </c>
    </row>
    <row r="1934" spans="1:5" x14ac:dyDescent="0.25">
      <c r="A1934" s="1">
        <v>43053</v>
      </c>
      <c r="B1934" s="2" t="s">
        <v>139</v>
      </c>
      <c r="C1934" s="2" t="s">
        <v>140</v>
      </c>
      <c r="D1934">
        <v>10</v>
      </c>
      <c r="E1934" t="str">
        <f>_xlfn.CONCAT(makulatura4[[#This Row],[Imie]]," ",makulatura4[[#This Row],[Nazwisko]])</f>
        <v>Mariola Las</v>
      </c>
    </row>
    <row r="1935" spans="1:5" x14ac:dyDescent="0.25">
      <c r="A1935" s="1">
        <v>43053</v>
      </c>
      <c r="B1935" s="2" t="s">
        <v>49</v>
      </c>
      <c r="C1935" s="2" t="s">
        <v>50</v>
      </c>
      <c r="D1935">
        <v>6</v>
      </c>
      <c r="E1935" t="str">
        <f>_xlfn.CONCAT(makulatura4[[#This Row],[Imie]]," ",makulatura4[[#This Row],[Nazwisko]])</f>
        <v>Sebastian Powoj</v>
      </c>
    </row>
    <row r="1936" spans="1:5" x14ac:dyDescent="0.25">
      <c r="A1936" s="1">
        <v>43053</v>
      </c>
      <c r="B1936" s="2" t="s">
        <v>81</v>
      </c>
      <c r="C1936" s="2" t="s">
        <v>165</v>
      </c>
      <c r="D1936">
        <v>20</v>
      </c>
      <c r="E1936" t="str">
        <f>_xlfn.CONCAT(makulatura4[[#This Row],[Imie]]," ",makulatura4[[#This Row],[Nazwisko]])</f>
        <v>Karol Milek</v>
      </c>
    </row>
    <row r="1937" spans="1:5" x14ac:dyDescent="0.25">
      <c r="A1937" s="1">
        <v>43053</v>
      </c>
      <c r="B1937" s="2" t="s">
        <v>195</v>
      </c>
      <c r="C1937" s="2" t="s">
        <v>401</v>
      </c>
      <c r="D1937">
        <v>9</v>
      </c>
      <c r="E1937" t="str">
        <f>_xlfn.CONCAT(makulatura4[[#This Row],[Imie]]," ",makulatura4[[#This Row],[Nazwisko]])</f>
        <v>Emilia Szczepanska</v>
      </c>
    </row>
    <row r="1938" spans="1:5" x14ac:dyDescent="0.25">
      <c r="A1938" s="1">
        <v>43054</v>
      </c>
      <c r="B1938" s="2" t="s">
        <v>688</v>
      </c>
      <c r="C1938" s="2" t="s">
        <v>689</v>
      </c>
      <c r="D1938">
        <v>5</v>
      </c>
      <c r="E1938" t="str">
        <f>_xlfn.CONCAT(makulatura4[[#This Row],[Imie]]," ",makulatura4[[#This Row],[Nazwisko]])</f>
        <v>Helena Stachurska</v>
      </c>
    </row>
    <row r="1939" spans="1:5" x14ac:dyDescent="0.25">
      <c r="A1939" s="1">
        <v>43054</v>
      </c>
      <c r="B1939" s="2" t="s">
        <v>141</v>
      </c>
      <c r="C1939" s="2" t="s">
        <v>364</v>
      </c>
      <c r="D1939">
        <v>22</v>
      </c>
      <c r="E1939" t="str">
        <f>_xlfn.CONCAT(makulatura4[[#This Row],[Imie]]," ",makulatura4[[#This Row],[Nazwisko]])</f>
        <v>Joanna Ottka</v>
      </c>
    </row>
    <row r="1940" spans="1:5" x14ac:dyDescent="0.25">
      <c r="A1940" s="1">
        <v>43054</v>
      </c>
      <c r="B1940" s="2" t="s">
        <v>232</v>
      </c>
      <c r="C1940" s="2" t="s">
        <v>378</v>
      </c>
      <c r="D1940">
        <v>10</v>
      </c>
      <c r="E1940" t="str">
        <f>_xlfn.CONCAT(makulatura4[[#This Row],[Imie]]," ",makulatura4[[#This Row],[Nazwisko]])</f>
        <v>Monika Placzek</v>
      </c>
    </row>
    <row r="1941" spans="1:5" x14ac:dyDescent="0.25">
      <c r="A1941" s="1">
        <v>43054</v>
      </c>
      <c r="B1941" s="2" t="s">
        <v>150</v>
      </c>
      <c r="C1941" s="2" t="s">
        <v>556</v>
      </c>
      <c r="D1941">
        <v>13</v>
      </c>
      <c r="E1941" t="str">
        <f>_xlfn.CONCAT(makulatura4[[#This Row],[Imie]]," ",makulatura4[[#This Row],[Nazwisko]])</f>
        <v>Krzysztof Plecien</v>
      </c>
    </row>
    <row r="1942" spans="1:5" x14ac:dyDescent="0.25">
      <c r="A1942" s="1">
        <v>43054</v>
      </c>
      <c r="B1942" s="2" t="s">
        <v>407</v>
      </c>
      <c r="C1942" s="2" t="s">
        <v>408</v>
      </c>
      <c r="D1942">
        <v>18</v>
      </c>
      <c r="E1942" t="str">
        <f>_xlfn.CONCAT(makulatura4[[#This Row],[Imie]]," ",makulatura4[[#This Row],[Nazwisko]])</f>
        <v>Diana Michalska</v>
      </c>
    </row>
    <row r="1943" spans="1:5" x14ac:dyDescent="0.25">
      <c r="A1943" s="1">
        <v>43054</v>
      </c>
      <c r="B1943" s="2" t="s">
        <v>121</v>
      </c>
      <c r="C1943" s="2" t="s">
        <v>122</v>
      </c>
      <c r="D1943">
        <v>5</v>
      </c>
      <c r="E1943" t="str">
        <f>_xlfn.CONCAT(makulatura4[[#This Row],[Imie]]," ",makulatura4[[#This Row],[Nazwisko]])</f>
        <v>Justyna Pozarzycka</v>
      </c>
    </row>
    <row r="1944" spans="1:5" x14ac:dyDescent="0.25">
      <c r="A1944" s="1">
        <v>43054</v>
      </c>
      <c r="B1944" s="2" t="s">
        <v>267</v>
      </c>
      <c r="C1944" s="2" t="s">
        <v>287</v>
      </c>
      <c r="D1944">
        <v>26</v>
      </c>
      <c r="E1944" t="str">
        <f>_xlfn.CONCAT(makulatura4[[#This Row],[Imie]]," ",makulatura4[[#This Row],[Nazwisko]])</f>
        <v>Henryk Siminski</v>
      </c>
    </row>
    <row r="1945" spans="1:5" x14ac:dyDescent="0.25">
      <c r="A1945" s="1">
        <v>43054</v>
      </c>
      <c r="B1945" s="2" t="s">
        <v>23</v>
      </c>
      <c r="C1945" s="2" t="s">
        <v>695</v>
      </c>
      <c r="D1945">
        <v>20</v>
      </c>
      <c r="E1945" t="str">
        <f>_xlfn.CONCAT(makulatura4[[#This Row],[Imie]]," ",makulatura4[[#This Row],[Nazwisko]])</f>
        <v>Alicja Wojciechowska</v>
      </c>
    </row>
    <row r="1946" spans="1:5" x14ac:dyDescent="0.25">
      <c r="A1946" s="1">
        <v>43055</v>
      </c>
      <c r="B1946" s="2" t="s">
        <v>189</v>
      </c>
      <c r="C1946" s="2" t="s">
        <v>190</v>
      </c>
      <c r="D1946">
        <v>11</v>
      </c>
      <c r="E1946" t="str">
        <f>_xlfn.CONCAT(makulatura4[[#This Row],[Imie]]," ",makulatura4[[#This Row],[Nazwisko]])</f>
        <v>Weronika Zdroj</v>
      </c>
    </row>
    <row r="1947" spans="1:5" x14ac:dyDescent="0.25">
      <c r="A1947" s="1">
        <v>43055</v>
      </c>
      <c r="B1947" s="2" t="s">
        <v>87</v>
      </c>
      <c r="C1947" s="2" t="s">
        <v>383</v>
      </c>
      <c r="D1947">
        <v>23</v>
      </c>
      <c r="E1947" t="str">
        <f>_xlfn.CONCAT(makulatura4[[#This Row],[Imie]]," ",makulatura4[[#This Row],[Nazwisko]])</f>
        <v>Ewa Zak</v>
      </c>
    </row>
    <row r="1948" spans="1:5" x14ac:dyDescent="0.25">
      <c r="A1948" s="1">
        <v>43055</v>
      </c>
      <c r="B1948" s="2" t="s">
        <v>67</v>
      </c>
      <c r="C1948" s="2" t="s">
        <v>460</v>
      </c>
      <c r="D1948">
        <v>12</v>
      </c>
      <c r="E1948" t="str">
        <f>_xlfn.CONCAT(makulatura4[[#This Row],[Imie]]," ",makulatura4[[#This Row],[Nazwisko]])</f>
        <v>Bartosz Mazgaj</v>
      </c>
    </row>
    <row r="1949" spans="1:5" x14ac:dyDescent="0.25">
      <c r="A1949" s="1">
        <v>43055</v>
      </c>
      <c r="B1949" s="2" t="s">
        <v>303</v>
      </c>
      <c r="C1949" s="2" t="s">
        <v>304</v>
      </c>
      <c r="D1949">
        <v>23</v>
      </c>
      <c r="E1949" t="str">
        <f>_xlfn.CONCAT(makulatura4[[#This Row],[Imie]]," ",makulatura4[[#This Row],[Nazwisko]])</f>
        <v>Cyprian Swierszcz</v>
      </c>
    </row>
    <row r="1950" spans="1:5" x14ac:dyDescent="0.25">
      <c r="A1950" s="1">
        <v>43055</v>
      </c>
      <c r="B1950" s="2" t="s">
        <v>152</v>
      </c>
      <c r="C1950" s="2" t="s">
        <v>696</v>
      </c>
      <c r="D1950">
        <v>9</v>
      </c>
      <c r="E1950" t="str">
        <f>_xlfn.CONCAT(makulatura4[[#This Row],[Imie]]," ",makulatura4[[#This Row],[Nazwisko]])</f>
        <v>Natalia Mroz</v>
      </c>
    </row>
    <row r="1951" spans="1:5" x14ac:dyDescent="0.25">
      <c r="A1951" s="1">
        <v>43055</v>
      </c>
      <c r="B1951" s="2" t="s">
        <v>81</v>
      </c>
      <c r="C1951" s="2" t="s">
        <v>648</v>
      </c>
      <c r="D1951">
        <v>27</v>
      </c>
      <c r="E1951" t="str">
        <f>_xlfn.CONCAT(makulatura4[[#This Row],[Imie]]," ",makulatura4[[#This Row],[Nazwisko]])</f>
        <v>Karol Hubicki</v>
      </c>
    </row>
    <row r="1952" spans="1:5" x14ac:dyDescent="0.25">
      <c r="A1952" s="1">
        <v>43055</v>
      </c>
      <c r="B1952" s="2" t="s">
        <v>36</v>
      </c>
      <c r="C1952" s="2" t="s">
        <v>295</v>
      </c>
      <c r="D1952">
        <v>26</v>
      </c>
      <c r="E1952" t="str">
        <f>_xlfn.CONCAT(makulatura4[[#This Row],[Imie]]," ",makulatura4[[#This Row],[Nazwisko]])</f>
        <v>Piotr Kania</v>
      </c>
    </row>
    <row r="1953" spans="1:5" x14ac:dyDescent="0.25">
      <c r="A1953" s="1">
        <v>43055</v>
      </c>
      <c r="B1953" s="2" t="s">
        <v>508</v>
      </c>
      <c r="C1953" s="2" t="s">
        <v>509</v>
      </c>
      <c r="D1953">
        <v>11</v>
      </c>
      <c r="E1953" t="str">
        <f>_xlfn.CONCAT(makulatura4[[#This Row],[Imie]]," ",makulatura4[[#This Row],[Nazwisko]])</f>
        <v>Dawid Szreder</v>
      </c>
    </row>
    <row r="1954" spans="1:5" x14ac:dyDescent="0.25">
      <c r="A1954" s="1">
        <v>43056</v>
      </c>
      <c r="B1954" s="2" t="s">
        <v>47</v>
      </c>
      <c r="C1954" s="2" t="s">
        <v>336</v>
      </c>
      <c r="D1954">
        <v>14</v>
      </c>
      <c r="E1954" t="str">
        <f>_xlfn.CONCAT(makulatura4[[#This Row],[Imie]]," ",makulatura4[[#This Row],[Nazwisko]])</f>
        <v>Marek Janowski</v>
      </c>
    </row>
    <row r="1955" spans="1:5" x14ac:dyDescent="0.25">
      <c r="A1955" s="1">
        <v>43056</v>
      </c>
      <c r="B1955" s="2" t="s">
        <v>4</v>
      </c>
      <c r="C1955" s="2" t="s">
        <v>207</v>
      </c>
      <c r="D1955">
        <v>24</v>
      </c>
      <c r="E1955" t="str">
        <f>_xlfn.CONCAT(makulatura4[[#This Row],[Imie]]," ",makulatura4[[#This Row],[Nazwisko]])</f>
        <v>Agnieszka Krawczynska</v>
      </c>
    </row>
    <row r="1956" spans="1:5" x14ac:dyDescent="0.25">
      <c r="A1956" s="1">
        <v>43056</v>
      </c>
      <c r="B1956" s="2" t="s">
        <v>36</v>
      </c>
      <c r="C1956" s="2" t="s">
        <v>180</v>
      </c>
      <c r="D1956">
        <v>18</v>
      </c>
      <c r="E1956" t="str">
        <f>_xlfn.CONCAT(makulatura4[[#This Row],[Imie]]," ",makulatura4[[#This Row],[Nazwisko]])</f>
        <v>Piotr Felus</v>
      </c>
    </row>
    <row r="1957" spans="1:5" x14ac:dyDescent="0.25">
      <c r="A1957" s="1">
        <v>43056</v>
      </c>
      <c r="B1957" s="2" t="s">
        <v>128</v>
      </c>
      <c r="C1957" s="2" t="s">
        <v>559</v>
      </c>
      <c r="D1957">
        <v>13</v>
      </c>
      <c r="E1957" t="str">
        <f>_xlfn.CONCAT(makulatura4[[#This Row],[Imie]]," ",makulatura4[[#This Row],[Nazwisko]])</f>
        <v>Wojciech Goc</v>
      </c>
    </row>
    <row r="1958" spans="1:5" x14ac:dyDescent="0.25">
      <c r="A1958" s="1">
        <v>43056</v>
      </c>
      <c r="B1958" s="2" t="s">
        <v>45</v>
      </c>
      <c r="C1958" s="2" t="s">
        <v>46</v>
      </c>
      <c r="D1958">
        <v>18</v>
      </c>
      <c r="E1958" t="str">
        <f>_xlfn.CONCAT(makulatura4[[#This Row],[Imie]]," ",makulatura4[[#This Row],[Nazwisko]])</f>
        <v>Zuzanna Malicki</v>
      </c>
    </row>
    <row r="1959" spans="1:5" x14ac:dyDescent="0.25">
      <c r="A1959" s="1">
        <v>43056</v>
      </c>
      <c r="B1959" s="2" t="s">
        <v>393</v>
      </c>
      <c r="C1959" s="2" t="s">
        <v>227</v>
      </c>
      <c r="D1959">
        <v>36</v>
      </c>
      <c r="E1959" t="str">
        <f>_xlfn.CONCAT(makulatura4[[#This Row],[Imie]]," ",makulatura4[[#This Row],[Nazwisko]])</f>
        <v>Kacper Nowak</v>
      </c>
    </row>
    <row r="1960" spans="1:5" x14ac:dyDescent="0.25">
      <c r="A1960" s="1">
        <v>43056</v>
      </c>
      <c r="B1960" s="2" t="s">
        <v>519</v>
      </c>
      <c r="C1960" s="2" t="s">
        <v>661</v>
      </c>
      <c r="D1960">
        <v>23</v>
      </c>
      <c r="E1960" t="str">
        <f>_xlfn.CONCAT(makulatura4[[#This Row],[Imie]]," ",makulatura4[[#This Row],[Nazwisko]])</f>
        <v>Waldemar Koronski</v>
      </c>
    </row>
    <row r="1961" spans="1:5" x14ac:dyDescent="0.25">
      <c r="A1961" s="1">
        <v>43056</v>
      </c>
      <c r="B1961" s="2" t="s">
        <v>453</v>
      </c>
      <c r="C1961" s="2" t="s">
        <v>454</v>
      </c>
      <c r="D1961">
        <v>7</v>
      </c>
      <c r="E1961" t="str">
        <f>_xlfn.CONCAT(makulatura4[[#This Row],[Imie]]," ",makulatura4[[#This Row],[Nazwisko]])</f>
        <v>Angelika Walaszek</v>
      </c>
    </row>
    <row r="1962" spans="1:5" x14ac:dyDescent="0.25">
      <c r="A1962" s="1">
        <v>43056</v>
      </c>
      <c r="B1962" s="2" t="s">
        <v>150</v>
      </c>
      <c r="C1962" s="2" t="s">
        <v>211</v>
      </c>
      <c r="D1962">
        <v>54</v>
      </c>
      <c r="E1962" t="str">
        <f>_xlfn.CONCAT(makulatura4[[#This Row],[Imie]]," ",makulatura4[[#This Row],[Nazwisko]])</f>
        <v>Krzysztof Micun</v>
      </c>
    </row>
    <row r="1963" spans="1:5" x14ac:dyDescent="0.25">
      <c r="A1963" s="1">
        <v>43056</v>
      </c>
      <c r="B1963" s="2" t="s">
        <v>271</v>
      </c>
      <c r="C1963" s="2" t="s">
        <v>272</v>
      </c>
      <c r="D1963">
        <v>48</v>
      </c>
      <c r="E1963" t="str">
        <f>_xlfn.CONCAT(makulatura4[[#This Row],[Imie]]," ",makulatura4[[#This Row],[Nazwisko]])</f>
        <v>Olgierd Baranek</v>
      </c>
    </row>
    <row r="1964" spans="1:5" x14ac:dyDescent="0.25">
      <c r="A1964" s="1">
        <v>43056</v>
      </c>
      <c r="B1964" s="2" t="s">
        <v>20</v>
      </c>
      <c r="C1964" s="2" t="s">
        <v>123</v>
      </c>
      <c r="D1964">
        <v>5</v>
      </c>
      <c r="E1964" t="str">
        <f>_xlfn.CONCAT(makulatura4[[#This Row],[Imie]]," ",makulatura4[[#This Row],[Nazwisko]])</f>
        <v>Borys Biedal</v>
      </c>
    </row>
    <row r="1965" spans="1:5" x14ac:dyDescent="0.25">
      <c r="A1965" s="1">
        <v>43056</v>
      </c>
      <c r="B1965" s="2" t="s">
        <v>320</v>
      </c>
      <c r="C1965" s="2" t="s">
        <v>321</v>
      </c>
      <c r="D1965">
        <v>51</v>
      </c>
      <c r="E1965" t="str">
        <f>_xlfn.CONCAT(makulatura4[[#This Row],[Imie]]," ",makulatura4[[#This Row],[Nazwisko]])</f>
        <v>Olaf Hrywniak</v>
      </c>
    </row>
    <row r="1966" spans="1:5" x14ac:dyDescent="0.25">
      <c r="A1966" s="1">
        <v>43056</v>
      </c>
      <c r="B1966" s="2" t="s">
        <v>544</v>
      </c>
      <c r="C1966" s="2" t="s">
        <v>145</v>
      </c>
      <c r="D1966">
        <v>10</v>
      </c>
      <c r="E1966" t="str">
        <f>_xlfn.CONCAT(makulatura4[[#This Row],[Imie]]," ",makulatura4[[#This Row],[Nazwisko]])</f>
        <v>Bartlomiej Wojciechowski</v>
      </c>
    </row>
    <row r="1967" spans="1:5" x14ac:dyDescent="0.25">
      <c r="A1967" s="1">
        <v>43056</v>
      </c>
      <c r="B1967" s="2" t="s">
        <v>147</v>
      </c>
      <c r="C1967" s="2" t="s">
        <v>148</v>
      </c>
      <c r="D1967">
        <v>24</v>
      </c>
      <c r="E1967" t="str">
        <f>_xlfn.CONCAT(makulatura4[[#This Row],[Imie]]," ",makulatura4[[#This Row],[Nazwisko]])</f>
        <v>Mariusz Brydzinski</v>
      </c>
    </row>
    <row r="1968" spans="1:5" x14ac:dyDescent="0.25">
      <c r="A1968" s="1">
        <v>43056</v>
      </c>
      <c r="B1968" s="2" t="s">
        <v>193</v>
      </c>
      <c r="C1968" s="2" t="s">
        <v>215</v>
      </c>
      <c r="D1968">
        <v>7</v>
      </c>
      <c r="E1968" t="str">
        <f>_xlfn.CONCAT(makulatura4[[#This Row],[Imie]]," ",makulatura4[[#This Row],[Nazwisko]])</f>
        <v>Karolina Wrona</v>
      </c>
    </row>
    <row r="1969" spans="1:5" x14ac:dyDescent="0.25">
      <c r="A1969" s="1">
        <v>43056</v>
      </c>
      <c r="B1969" s="2" t="s">
        <v>55</v>
      </c>
      <c r="C1969" s="2" t="s">
        <v>493</v>
      </c>
      <c r="D1969">
        <v>11</v>
      </c>
      <c r="E1969" t="str">
        <f>_xlfn.CONCAT(makulatura4[[#This Row],[Imie]]," ",makulatura4[[#This Row],[Nazwisko]])</f>
        <v>Anna Wnuk</v>
      </c>
    </row>
    <row r="1970" spans="1:5" x14ac:dyDescent="0.25">
      <c r="A1970" s="1">
        <v>43056</v>
      </c>
      <c r="B1970" s="2" t="s">
        <v>10</v>
      </c>
      <c r="C1970" s="2" t="s">
        <v>266</v>
      </c>
      <c r="D1970">
        <v>4</v>
      </c>
      <c r="E1970" t="str">
        <f>_xlfn.CONCAT(makulatura4[[#This Row],[Imie]]," ",makulatura4[[#This Row],[Nazwisko]])</f>
        <v>Katarzyna Wip</v>
      </c>
    </row>
    <row r="1971" spans="1:5" x14ac:dyDescent="0.25">
      <c r="A1971" s="1">
        <v>43059</v>
      </c>
      <c r="B1971" s="2" t="s">
        <v>12</v>
      </c>
      <c r="C1971" s="2" t="s">
        <v>667</v>
      </c>
      <c r="D1971">
        <v>30</v>
      </c>
      <c r="E1971" t="str">
        <f>_xlfn.CONCAT(makulatura4[[#This Row],[Imie]]," ",makulatura4[[#This Row],[Nazwisko]])</f>
        <v>Maja Lange</v>
      </c>
    </row>
    <row r="1972" spans="1:5" x14ac:dyDescent="0.25">
      <c r="A1972" s="1">
        <v>43059</v>
      </c>
      <c r="B1972" s="2" t="s">
        <v>189</v>
      </c>
      <c r="C1972" s="2" t="s">
        <v>190</v>
      </c>
      <c r="D1972">
        <v>36</v>
      </c>
      <c r="E1972" t="str">
        <f>_xlfn.CONCAT(makulatura4[[#This Row],[Imie]]," ",makulatura4[[#This Row],[Nazwisko]])</f>
        <v>Weronika Zdroj</v>
      </c>
    </row>
    <row r="1973" spans="1:5" x14ac:dyDescent="0.25">
      <c r="A1973" s="1">
        <v>43059</v>
      </c>
      <c r="B1973" s="2" t="s">
        <v>47</v>
      </c>
      <c r="C1973" s="2" t="s">
        <v>230</v>
      </c>
      <c r="D1973">
        <v>22</v>
      </c>
      <c r="E1973" t="str">
        <f>_xlfn.CONCAT(makulatura4[[#This Row],[Imie]]," ",makulatura4[[#This Row],[Nazwisko]])</f>
        <v>Marek Wolicki</v>
      </c>
    </row>
    <row r="1974" spans="1:5" x14ac:dyDescent="0.25">
      <c r="A1974" s="1">
        <v>43059</v>
      </c>
      <c r="B1974" s="2" t="s">
        <v>208</v>
      </c>
      <c r="C1974" s="2" t="s">
        <v>697</v>
      </c>
      <c r="D1974">
        <v>21</v>
      </c>
      <c r="E1974" t="str">
        <f>_xlfn.CONCAT(makulatura4[[#This Row],[Imie]]," ",makulatura4[[#This Row],[Nazwisko]])</f>
        <v>Grzegorz Jackowski</v>
      </c>
    </row>
    <row r="1975" spans="1:5" x14ac:dyDescent="0.25">
      <c r="A1975" s="1">
        <v>43059</v>
      </c>
      <c r="B1975" s="2" t="s">
        <v>83</v>
      </c>
      <c r="C1975" s="2" t="s">
        <v>459</v>
      </c>
      <c r="D1975">
        <v>16</v>
      </c>
      <c r="E1975" t="str">
        <f>_xlfn.CONCAT(makulatura4[[#This Row],[Imie]]," ",makulatura4[[#This Row],[Nazwisko]])</f>
        <v>Jan Zaczyk</v>
      </c>
    </row>
    <row r="1976" spans="1:5" x14ac:dyDescent="0.25">
      <c r="A1976" s="1">
        <v>43059</v>
      </c>
      <c r="B1976" s="2" t="s">
        <v>438</v>
      </c>
      <c r="C1976" s="2" t="s">
        <v>439</v>
      </c>
      <c r="D1976">
        <v>52</v>
      </c>
      <c r="E1976" t="str">
        <f>_xlfn.CONCAT(makulatura4[[#This Row],[Imie]]," ",makulatura4[[#This Row],[Nazwisko]])</f>
        <v>Albert Pleszewski</v>
      </c>
    </row>
    <row r="1977" spans="1:5" x14ac:dyDescent="0.25">
      <c r="A1977" s="1">
        <v>43059</v>
      </c>
      <c r="B1977" s="2" t="s">
        <v>232</v>
      </c>
      <c r="C1977" s="2" t="s">
        <v>487</v>
      </c>
      <c r="D1977">
        <v>20</v>
      </c>
      <c r="E1977" t="str">
        <f>_xlfn.CONCAT(makulatura4[[#This Row],[Imie]]," ",makulatura4[[#This Row],[Nazwisko]])</f>
        <v>Monika Lis</v>
      </c>
    </row>
    <row r="1978" spans="1:5" x14ac:dyDescent="0.25">
      <c r="A1978" s="1">
        <v>43059</v>
      </c>
      <c r="B1978" s="2" t="s">
        <v>77</v>
      </c>
      <c r="C1978" s="2" t="s">
        <v>384</v>
      </c>
      <c r="D1978">
        <v>3</v>
      </c>
      <c r="E1978" t="str">
        <f>_xlfn.CONCAT(makulatura4[[#This Row],[Imie]]," ",makulatura4[[#This Row],[Nazwisko]])</f>
        <v>Hubert Pieczatowski</v>
      </c>
    </row>
    <row r="1979" spans="1:5" x14ac:dyDescent="0.25">
      <c r="A1979" s="1">
        <v>43059</v>
      </c>
      <c r="B1979" s="2" t="s">
        <v>117</v>
      </c>
      <c r="C1979" s="2" t="s">
        <v>183</v>
      </c>
      <c r="D1979">
        <v>23</v>
      </c>
      <c r="E1979" t="str">
        <f>_xlfn.CONCAT(makulatura4[[#This Row],[Imie]]," ",makulatura4[[#This Row],[Nazwisko]])</f>
        <v>Edward Zdunek</v>
      </c>
    </row>
    <row r="1980" spans="1:5" x14ac:dyDescent="0.25">
      <c r="A1980" s="1">
        <v>43059</v>
      </c>
      <c r="B1980" s="2" t="s">
        <v>307</v>
      </c>
      <c r="C1980" s="2" t="s">
        <v>308</v>
      </c>
      <c r="D1980">
        <v>4</v>
      </c>
      <c r="E1980" t="str">
        <f>_xlfn.CONCAT(makulatura4[[#This Row],[Imie]]," ",makulatura4[[#This Row],[Nazwisko]])</f>
        <v>Konrad Lipowski</v>
      </c>
    </row>
    <row r="1981" spans="1:5" x14ac:dyDescent="0.25">
      <c r="A1981" s="1">
        <v>43059</v>
      </c>
      <c r="B1981" s="2" t="s">
        <v>174</v>
      </c>
      <c r="C1981" s="2" t="s">
        <v>175</v>
      </c>
      <c r="D1981">
        <v>20</v>
      </c>
      <c r="E1981" t="str">
        <f>_xlfn.CONCAT(makulatura4[[#This Row],[Imie]]," ",makulatura4[[#This Row],[Nazwisko]])</f>
        <v>Dorota Adamus</v>
      </c>
    </row>
    <row r="1982" spans="1:5" x14ac:dyDescent="0.25">
      <c r="A1982" s="1">
        <v>43059</v>
      </c>
      <c r="B1982" s="2" t="s">
        <v>23</v>
      </c>
      <c r="C1982" s="2" t="s">
        <v>695</v>
      </c>
      <c r="D1982">
        <v>51</v>
      </c>
      <c r="E1982" t="str">
        <f>_xlfn.CONCAT(makulatura4[[#This Row],[Imie]]," ",makulatura4[[#This Row],[Nazwisko]])</f>
        <v>Alicja Wojciechowska</v>
      </c>
    </row>
    <row r="1983" spans="1:5" x14ac:dyDescent="0.25">
      <c r="A1983" s="1">
        <v>43059</v>
      </c>
      <c r="B1983" s="2" t="s">
        <v>574</v>
      </c>
      <c r="C1983" s="2" t="s">
        <v>421</v>
      </c>
      <c r="D1983">
        <v>29</v>
      </c>
      <c r="E1983" t="str">
        <f>_xlfn.CONCAT(makulatura4[[#This Row],[Imie]]," ",makulatura4[[#This Row],[Nazwisko]])</f>
        <v>Urszula Pawlak</v>
      </c>
    </row>
    <row r="1984" spans="1:5" x14ac:dyDescent="0.25">
      <c r="A1984" s="1">
        <v>43059</v>
      </c>
      <c r="B1984" s="2" t="s">
        <v>39</v>
      </c>
      <c r="C1984" s="2" t="s">
        <v>111</v>
      </c>
      <c r="D1984">
        <v>54</v>
      </c>
      <c r="E1984" t="str">
        <f>_xlfn.CONCAT(makulatura4[[#This Row],[Imie]]," ",makulatura4[[#This Row],[Nazwisko]])</f>
        <v>Jakub Rembisz</v>
      </c>
    </row>
    <row r="1985" spans="1:5" x14ac:dyDescent="0.25">
      <c r="A1985" s="1">
        <v>43059</v>
      </c>
      <c r="B1985" s="2" t="s">
        <v>171</v>
      </c>
      <c r="C1985" s="2" t="s">
        <v>562</v>
      </c>
      <c r="D1985">
        <v>19</v>
      </c>
      <c r="E1985" t="str">
        <f>_xlfn.CONCAT(makulatura4[[#This Row],[Imie]]," ",makulatura4[[#This Row],[Nazwisko]])</f>
        <v>Zofia Broszkow</v>
      </c>
    </row>
    <row r="1986" spans="1:5" x14ac:dyDescent="0.25">
      <c r="A1986" s="1">
        <v>43059</v>
      </c>
      <c r="B1986" s="2" t="s">
        <v>352</v>
      </c>
      <c r="C1986" s="2" t="s">
        <v>227</v>
      </c>
      <c r="D1986">
        <v>25</v>
      </c>
      <c r="E1986" t="str">
        <f>_xlfn.CONCAT(makulatura4[[#This Row],[Imie]]," ",makulatura4[[#This Row],[Nazwisko]])</f>
        <v>Ilona Nowak</v>
      </c>
    </row>
    <row r="1987" spans="1:5" x14ac:dyDescent="0.25">
      <c r="A1987" s="1">
        <v>43059</v>
      </c>
      <c r="B1987" s="2" t="s">
        <v>409</v>
      </c>
      <c r="C1987" s="2" t="s">
        <v>410</v>
      </c>
      <c r="D1987">
        <v>4</v>
      </c>
      <c r="E1987" t="str">
        <f>_xlfn.CONCAT(makulatura4[[#This Row],[Imie]]," ",makulatura4[[#This Row],[Nazwisko]])</f>
        <v>Wiktor Lubelski</v>
      </c>
    </row>
    <row r="1988" spans="1:5" x14ac:dyDescent="0.25">
      <c r="A1988" s="1">
        <v>43059</v>
      </c>
      <c r="B1988" s="2" t="s">
        <v>133</v>
      </c>
      <c r="C1988" s="2" t="s">
        <v>616</v>
      </c>
      <c r="D1988">
        <v>10</v>
      </c>
      <c r="E1988" t="str">
        <f>_xlfn.CONCAT(makulatura4[[#This Row],[Imie]]," ",makulatura4[[#This Row],[Nazwisko]])</f>
        <v>Dominika Madejska</v>
      </c>
    </row>
    <row r="1989" spans="1:5" x14ac:dyDescent="0.25">
      <c r="A1989" s="1">
        <v>43060</v>
      </c>
      <c r="B1989" s="2" t="s">
        <v>106</v>
      </c>
      <c r="C1989" s="2" t="s">
        <v>107</v>
      </c>
      <c r="D1989">
        <v>9</v>
      </c>
      <c r="E1989" t="str">
        <f>_xlfn.CONCAT(makulatura4[[#This Row],[Imie]]," ",makulatura4[[#This Row],[Nazwisko]])</f>
        <v>Lena Mazurkiewicz</v>
      </c>
    </row>
    <row r="1990" spans="1:5" x14ac:dyDescent="0.25">
      <c r="A1990" s="1">
        <v>43060</v>
      </c>
      <c r="B1990" s="2" t="s">
        <v>81</v>
      </c>
      <c r="C1990" s="2" t="s">
        <v>584</v>
      </c>
      <c r="D1990">
        <v>8</v>
      </c>
      <c r="E1990" t="str">
        <f>_xlfn.CONCAT(makulatura4[[#This Row],[Imie]]," ",makulatura4[[#This Row],[Nazwisko]])</f>
        <v>Karol Wichrowski</v>
      </c>
    </row>
    <row r="1991" spans="1:5" x14ac:dyDescent="0.25">
      <c r="A1991" s="1">
        <v>43060</v>
      </c>
      <c r="B1991" s="2" t="s">
        <v>280</v>
      </c>
      <c r="C1991" s="2" t="s">
        <v>580</v>
      </c>
      <c r="D1991">
        <v>50</v>
      </c>
      <c r="E1991" t="str">
        <f>_xlfn.CONCAT(makulatura4[[#This Row],[Imie]]," ",makulatura4[[#This Row],[Nazwisko]])</f>
        <v>Kamila Knapik</v>
      </c>
    </row>
    <row r="1992" spans="1:5" x14ac:dyDescent="0.25">
      <c r="A1992" s="1">
        <v>43060</v>
      </c>
      <c r="B1992" s="2" t="s">
        <v>141</v>
      </c>
      <c r="C1992" s="2" t="s">
        <v>292</v>
      </c>
      <c r="D1992">
        <v>18</v>
      </c>
      <c r="E1992" t="str">
        <f>_xlfn.CONCAT(makulatura4[[#This Row],[Imie]]," ",makulatura4[[#This Row],[Nazwisko]])</f>
        <v>Joanna Zygmunt</v>
      </c>
    </row>
    <row r="1993" spans="1:5" x14ac:dyDescent="0.25">
      <c r="A1993" s="1">
        <v>43060</v>
      </c>
      <c r="B1993" s="2" t="s">
        <v>176</v>
      </c>
      <c r="C1993" s="2" t="s">
        <v>486</v>
      </c>
      <c r="D1993">
        <v>42</v>
      </c>
      <c r="E1993" t="str">
        <f>_xlfn.CONCAT(makulatura4[[#This Row],[Imie]]," ",makulatura4[[#This Row],[Nazwisko]])</f>
        <v>Kinga Trawinska</v>
      </c>
    </row>
    <row r="1994" spans="1:5" x14ac:dyDescent="0.25">
      <c r="A1994" s="1">
        <v>43060</v>
      </c>
      <c r="B1994" s="2" t="s">
        <v>72</v>
      </c>
      <c r="C1994" s="2" t="s">
        <v>73</v>
      </c>
      <c r="D1994">
        <v>24</v>
      </c>
      <c r="E1994" t="str">
        <f>_xlfn.CONCAT(makulatura4[[#This Row],[Imie]]," ",makulatura4[[#This Row],[Nazwisko]])</f>
        <v>Teodor Fornal</v>
      </c>
    </row>
    <row r="1995" spans="1:5" x14ac:dyDescent="0.25">
      <c r="A1995" s="1">
        <v>43060</v>
      </c>
      <c r="B1995" s="2" t="s">
        <v>171</v>
      </c>
      <c r="C1995" s="2" t="s">
        <v>5</v>
      </c>
      <c r="D1995">
        <v>31</v>
      </c>
      <c r="E1995" t="str">
        <f>_xlfn.CONCAT(makulatura4[[#This Row],[Imie]]," ",makulatura4[[#This Row],[Nazwisko]])</f>
        <v>Zofia Polak</v>
      </c>
    </row>
    <row r="1996" spans="1:5" x14ac:dyDescent="0.25">
      <c r="A1996" s="1">
        <v>43060</v>
      </c>
      <c r="B1996" s="2" t="s">
        <v>299</v>
      </c>
      <c r="C1996" s="2" t="s">
        <v>300</v>
      </c>
      <c r="D1996">
        <v>46</v>
      </c>
      <c r="E1996" t="str">
        <f>_xlfn.CONCAT(makulatura4[[#This Row],[Imie]]," ",makulatura4[[#This Row],[Nazwisko]])</f>
        <v>Zbigniew Paderewski</v>
      </c>
    </row>
    <row r="1997" spans="1:5" x14ac:dyDescent="0.25">
      <c r="A1997" s="1">
        <v>43060</v>
      </c>
      <c r="B1997" s="2" t="s">
        <v>206</v>
      </c>
      <c r="C1997" s="2" t="s">
        <v>227</v>
      </c>
      <c r="D1997">
        <v>9</v>
      </c>
      <c r="E1997" t="str">
        <f>_xlfn.CONCAT(makulatura4[[#This Row],[Imie]]," ",makulatura4[[#This Row],[Nazwisko]])</f>
        <v>Pawel Nowak</v>
      </c>
    </row>
    <row r="1998" spans="1:5" x14ac:dyDescent="0.25">
      <c r="A1998" s="1">
        <v>43060</v>
      </c>
      <c r="B1998" s="2" t="s">
        <v>416</v>
      </c>
      <c r="C1998" s="2" t="s">
        <v>572</v>
      </c>
      <c r="D1998">
        <v>9</v>
      </c>
      <c r="E1998" t="str">
        <f>_xlfn.CONCAT(makulatura4[[#This Row],[Imie]]," ",makulatura4[[#This Row],[Nazwisko]])</f>
        <v>Kazimierz Biedka</v>
      </c>
    </row>
    <row r="1999" spans="1:5" x14ac:dyDescent="0.25">
      <c r="A1999" s="1">
        <v>43060</v>
      </c>
      <c r="B1999" s="2" t="s">
        <v>43</v>
      </c>
      <c r="C1999" s="2" t="s">
        <v>44</v>
      </c>
      <c r="D1999">
        <v>53</v>
      </c>
      <c r="E1999" t="str">
        <f>_xlfn.CONCAT(makulatura4[[#This Row],[Imie]]," ",makulatura4[[#This Row],[Nazwisko]])</f>
        <v>Andrzej Moldawiec</v>
      </c>
    </row>
    <row r="2000" spans="1:5" x14ac:dyDescent="0.25">
      <c r="A2000" s="1">
        <v>43060</v>
      </c>
      <c r="B2000" s="2" t="s">
        <v>131</v>
      </c>
      <c r="C2000" s="2" t="s">
        <v>451</v>
      </c>
      <c r="D2000">
        <v>5</v>
      </c>
      <c r="E2000" t="str">
        <f>_xlfn.CONCAT(makulatura4[[#This Row],[Imie]]," ",makulatura4[[#This Row],[Nazwisko]])</f>
        <v>Ewelina Bialkowska</v>
      </c>
    </row>
    <row r="2001" spans="1:5" x14ac:dyDescent="0.25">
      <c r="A2001" s="1">
        <v>43060</v>
      </c>
      <c r="B2001" s="2" t="s">
        <v>137</v>
      </c>
      <c r="C2001" s="2" t="s">
        <v>138</v>
      </c>
      <c r="D2001">
        <v>39</v>
      </c>
      <c r="E2001" t="str">
        <f>_xlfn.CONCAT(makulatura4[[#This Row],[Imie]]," ",makulatura4[[#This Row],[Nazwisko]])</f>
        <v>Stanislaw Derek</v>
      </c>
    </row>
    <row r="2002" spans="1:5" x14ac:dyDescent="0.25">
      <c r="A2002" s="1">
        <v>43060</v>
      </c>
      <c r="B2002" s="2" t="s">
        <v>372</v>
      </c>
      <c r="C2002" s="2" t="s">
        <v>373</v>
      </c>
      <c r="D2002">
        <v>43</v>
      </c>
      <c r="E2002" t="str">
        <f>_xlfn.CONCAT(makulatura4[[#This Row],[Imie]]," ",makulatura4[[#This Row],[Nazwisko]])</f>
        <v>Ryszarda Januszek</v>
      </c>
    </row>
    <row r="2003" spans="1:5" x14ac:dyDescent="0.25">
      <c r="A2003" s="1">
        <v>43060</v>
      </c>
      <c r="B2003" s="2" t="s">
        <v>83</v>
      </c>
      <c r="C2003" s="2" t="s">
        <v>350</v>
      </c>
      <c r="D2003">
        <v>14</v>
      </c>
      <c r="E2003" t="str">
        <f>_xlfn.CONCAT(makulatura4[[#This Row],[Imie]]," ",makulatura4[[#This Row],[Nazwisko]])</f>
        <v>Jan Zdunski</v>
      </c>
    </row>
    <row r="2004" spans="1:5" x14ac:dyDescent="0.25">
      <c r="A2004" s="1">
        <v>43060</v>
      </c>
      <c r="B2004" s="2" t="s">
        <v>150</v>
      </c>
      <c r="C2004" s="2" t="s">
        <v>151</v>
      </c>
      <c r="D2004">
        <v>25</v>
      </c>
      <c r="E2004" t="str">
        <f>_xlfn.CONCAT(makulatura4[[#This Row],[Imie]]," ",makulatura4[[#This Row],[Nazwisko]])</f>
        <v>Krzysztof Konieckiewicz</v>
      </c>
    </row>
    <row r="2005" spans="1:5" x14ac:dyDescent="0.25">
      <c r="A2005" s="1">
        <v>43060</v>
      </c>
      <c r="B2005" s="2" t="s">
        <v>121</v>
      </c>
      <c r="C2005" s="2" t="s">
        <v>122</v>
      </c>
      <c r="D2005">
        <v>16</v>
      </c>
      <c r="E2005" t="str">
        <f>_xlfn.CONCAT(makulatura4[[#This Row],[Imie]]," ",makulatura4[[#This Row],[Nazwisko]])</f>
        <v>Justyna Pozarzycka</v>
      </c>
    </row>
    <row r="2006" spans="1:5" x14ac:dyDescent="0.25">
      <c r="A2006" s="1">
        <v>43060</v>
      </c>
      <c r="B2006" s="2" t="s">
        <v>374</v>
      </c>
      <c r="C2006" s="2" t="s">
        <v>581</v>
      </c>
      <c r="D2006">
        <v>23</v>
      </c>
      <c r="E2006" t="str">
        <f>_xlfn.CONCAT(makulatura4[[#This Row],[Imie]]," ",makulatura4[[#This Row],[Nazwisko]])</f>
        <v>Bruno Tomczyk</v>
      </c>
    </row>
    <row r="2007" spans="1:5" x14ac:dyDescent="0.25">
      <c r="A2007" s="1">
        <v>43061</v>
      </c>
      <c r="B2007" s="2" t="s">
        <v>4</v>
      </c>
      <c r="C2007" s="2" t="s">
        <v>5</v>
      </c>
      <c r="D2007">
        <v>12</v>
      </c>
      <c r="E2007" t="str">
        <f>_xlfn.CONCAT(makulatura4[[#This Row],[Imie]]," ",makulatura4[[#This Row],[Nazwisko]])</f>
        <v>Agnieszka Polak</v>
      </c>
    </row>
    <row r="2008" spans="1:5" x14ac:dyDescent="0.25">
      <c r="A2008" s="1">
        <v>43061</v>
      </c>
      <c r="B2008" s="2" t="s">
        <v>374</v>
      </c>
      <c r="C2008" s="2" t="s">
        <v>375</v>
      </c>
      <c r="D2008">
        <v>10</v>
      </c>
      <c r="E2008" t="str">
        <f>_xlfn.CONCAT(makulatura4[[#This Row],[Imie]]," ",makulatura4[[#This Row],[Nazwisko]])</f>
        <v>Bruno Tomaszewski</v>
      </c>
    </row>
    <row r="2009" spans="1:5" x14ac:dyDescent="0.25">
      <c r="A2009" s="1">
        <v>43061</v>
      </c>
      <c r="B2009" s="2" t="s">
        <v>16</v>
      </c>
      <c r="C2009" s="2" t="s">
        <v>642</v>
      </c>
      <c r="D2009">
        <v>49</v>
      </c>
      <c r="E2009" t="str">
        <f>_xlfn.CONCAT(makulatura4[[#This Row],[Imie]]," ",makulatura4[[#This Row],[Nazwisko]])</f>
        <v>Balbina Majewska</v>
      </c>
    </row>
    <row r="2010" spans="1:5" x14ac:dyDescent="0.25">
      <c r="A2010" s="1">
        <v>43061</v>
      </c>
      <c r="B2010" s="2" t="s">
        <v>367</v>
      </c>
      <c r="C2010" s="2" t="s">
        <v>5</v>
      </c>
      <c r="D2010">
        <v>9</v>
      </c>
      <c r="E2010" t="str">
        <f>_xlfn.CONCAT(makulatura4[[#This Row],[Imie]]," ",makulatura4[[#This Row],[Nazwisko]])</f>
        <v>Szymon Polak</v>
      </c>
    </row>
    <row r="2011" spans="1:5" x14ac:dyDescent="0.25">
      <c r="A2011" s="1">
        <v>43061</v>
      </c>
      <c r="B2011" s="2" t="s">
        <v>55</v>
      </c>
      <c r="C2011" s="2" t="s">
        <v>56</v>
      </c>
      <c r="D2011">
        <v>14</v>
      </c>
      <c r="E2011" t="str">
        <f>_xlfn.CONCAT(makulatura4[[#This Row],[Imie]]," ",makulatura4[[#This Row],[Nazwisko]])</f>
        <v>Anna Kosowicz</v>
      </c>
    </row>
    <row r="2012" spans="1:5" x14ac:dyDescent="0.25">
      <c r="A2012" s="1">
        <v>43061</v>
      </c>
      <c r="B2012" s="2" t="s">
        <v>412</v>
      </c>
      <c r="C2012" s="2" t="s">
        <v>413</v>
      </c>
      <c r="D2012">
        <v>23</v>
      </c>
      <c r="E2012" t="str">
        <f>_xlfn.CONCAT(makulatura4[[#This Row],[Imie]]," ",makulatura4[[#This Row],[Nazwisko]])</f>
        <v>Matylda Kluziak</v>
      </c>
    </row>
    <row r="2013" spans="1:5" x14ac:dyDescent="0.25">
      <c r="A2013" s="1">
        <v>43061</v>
      </c>
      <c r="B2013" s="2" t="s">
        <v>367</v>
      </c>
      <c r="C2013" s="2" t="s">
        <v>368</v>
      </c>
      <c r="D2013">
        <v>12</v>
      </c>
      <c r="E2013" t="str">
        <f>_xlfn.CONCAT(makulatura4[[#This Row],[Imie]]," ",makulatura4[[#This Row],[Nazwisko]])</f>
        <v>Szymon Mrozniak</v>
      </c>
    </row>
    <row r="2014" spans="1:5" x14ac:dyDescent="0.25">
      <c r="A2014" s="1">
        <v>43061</v>
      </c>
      <c r="B2014" s="2" t="s">
        <v>314</v>
      </c>
      <c r="C2014" s="2" t="s">
        <v>315</v>
      </c>
      <c r="D2014">
        <v>14</v>
      </c>
      <c r="E2014" t="str">
        <f>_xlfn.CONCAT(makulatura4[[#This Row],[Imie]]," ",makulatura4[[#This Row],[Nazwisko]])</f>
        <v>Lukasz Kopecki</v>
      </c>
    </row>
    <row r="2015" spans="1:5" x14ac:dyDescent="0.25">
      <c r="A2015" s="1">
        <v>43061</v>
      </c>
      <c r="B2015" s="2" t="s">
        <v>92</v>
      </c>
      <c r="C2015" s="2" t="s">
        <v>93</v>
      </c>
      <c r="D2015">
        <v>5</v>
      </c>
      <c r="E2015" t="str">
        <f>_xlfn.CONCAT(makulatura4[[#This Row],[Imie]]," ",makulatura4[[#This Row],[Nazwisko]])</f>
        <v>Paulina Szklarska</v>
      </c>
    </row>
    <row r="2016" spans="1:5" x14ac:dyDescent="0.25">
      <c r="A2016" s="1">
        <v>43061</v>
      </c>
      <c r="B2016" s="2" t="s">
        <v>30</v>
      </c>
      <c r="C2016" s="2" t="s">
        <v>680</v>
      </c>
      <c r="D2016">
        <v>13</v>
      </c>
      <c r="E2016" t="str">
        <f>_xlfn.CONCAT(makulatura4[[#This Row],[Imie]]," ",makulatura4[[#This Row],[Nazwisko]])</f>
        <v>Maciej Wodecki</v>
      </c>
    </row>
    <row r="2017" spans="1:5" x14ac:dyDescent="0.25">
      <c r="A2017" s="1">
        <v>43061</v>
      </c>
      <c r="B2017" s="2" t="s">
        <v>232</v>
      </c>
      <c r="C2017" s="2" t="s">
        <v>233</v>
      </c>
      <c r="D2017">
        <v>5</v>
      </c>
      <c r="E2017" t="str">
        <f>_xlfn.CONCAT(makulatura4[[#This Row],[Imie]]," ",makulatura4[[#This Row],[Nazwisko]])</f>
        <v>Monika Piterka</v>
      </c>
    </row>
    <row r="2018" spans="1:5" x14ac:dyDescent="0.25">
      <c r="A2018" s="1">
        <v>43061</v>
      </c>
      <c r="B2018" s="2" t="s">
        <v>39</v>
      </c>
      <c r="C2018" s="2" t="s">
        <v>436</v>
      </c>
      <c r="D2018">
        <v>29</v>
      </c>
      <c r="E2018" t="str">
        <f>_xlfn.CONCAT(makulatura4[[#This Row],[Imie]]," ",makulatura4[[#This Row],[Nazwisko]])</f>
        <v>Jakub Holmes</v>
      </c>
    </row>
    <row r="2019" spans="1:5" x14ac:dyDescent="0.25">
      <c r="A2019" s="1">
        <v>43061</v>
      </c>
      <c r="B2019" s="2" t="s">
        <v>427</v>
      </c>
      <c r="C2019" s="2" t="s">
        <v>118</v>
      </c>
      <c r="D2019">
        <v>24</v>
      </c>
      <c r="E2019" t="str">
        <f>_xlfn.CONCAT(makulatura4[[#This Row],[Imie]]," ",makulatura4[[#This Row],[Nazwisko]])</f>
        <v>Julian Snopek</v>
      </c>
    </row>
    <row r="2020" spans="1:5" x14ac:dyDescent="0.25">
      <c r="A2020" s="1">
        <v>43061</v>
      </c>
      <c r="B2020" s="2" t="s">
        <v>494</v>
      </c>
      <c r="C2020" s="2" t="s">
        <v>495</v>
      </c>
      <c r="D2020">
        <v>2</v>
      </c>
      <c r="E2020" t="str">
        <f>_xlfn.CONCAT(makulatura4[[#This Row],[Imie]]," ",makulatura4[[#This Row],[Nazwisko]])</f>
        <v>Radoslaw Sowinska</v>
      </c>
    </row>
    <row r="2021" spans="1:5" x14ac:dyDescent="0.25">
      <c r="A2021" s="1">
        <v>43061</v>
      </c>
      <c r="B2021" s="2" t="s">
        <v>55</v>
      </c>
      <c r="C2021" s="2" t="s">
        <v>691</v>
      </c>
      <c r="D2021">
        <v>41</v>
      </c>
      <c r="E2021" t="str">
        <f>_xlfn.CONCAT(makulatura4[[#This Row],[Imie]]," ",makulatura4[[#This Row],[Nazwisko]])</f>
        <v>Anna Jopek</v>
      </c>
    </row>
    <row r="2022" spans="1:5" x14ac:dyDescent="0.25">
      <c r="A2022" s="1">
        <v>43061</v>
      </c>
      <c r="B2022" s="2" t="s">
        <v>18</v>
      </c>
      <c r="C2022" s="2" t="s">
        <v>597</v>
      </c>
      <c r="D2022">
        <v>21</v>
      </c>
      <c r="E2022" t="str">
        <f>_xlfn.CONCAT(makulatura4[[#This Row],[Imie]]," ",makulatura4[[#This Row],[Nazwisko]])</f>
        <v>Filip Strupiechowski</v>
      </c>
    </row>
    <row r="2023" spans="1:5" x14ac:dyDescent="0.25">
      <c r="A2023" s="1">
        <v>43061</v>
      </c>
      <c r="B2023" s="2" t="s">
        <v>171</v>
      </c>
      <c r="C2023" s="2" t="s">
        <v>651</v>
      </c>
      <c r="D2023">
        <v>25</v>
      </c>
      <c r="E2023" t="str">
        <f>_xlfn.CONCAT(makulatura4[[#This Row],[Imie]]," ",makulatura4[[#This Row],[Nazwisko]])</f>
        <v>Zofia Adamiak</v>
      </c>
    </row>
    <row r="2024" spans="1:5" x14ac:dyDescent="0.25">
      <c r="A2024" s="1">
        <v>43061</v>
      </c>
      <c r="B2024" s="2" t="s">
        <v>169</v>
      </c>
      <c r="C2024" s="2" t="s">
        <v>684</v>
      </c>
      <c r="D2024">
        <v>26</v>
      </c>
      <c r="E2024" t="str">
        <f>_xlfn.CONCAT(makulatura4[[#This Row],[Imie]]," ",makulatura4[[#This Row],[Nazwisko]])</f>
        <v>Aleks Wojcicki</v>
      </c>
    </row>
    <row r="2025" spans="1:5" x14ac:dyDescent="0.25">
      <c r="A2025" s="1">
        <v>43061</v>
      </c>
      <c r="B2025" s="2" t="s">
        <v>87</v>
      </c>
      <c r="C2025" s="2" t="s">
        <v>424</v>
      </c>
      <c r="D2025">
        <v>14</v>
      </c>
      <c r="E2025" t="str">
        <f>_xlfn.CONCAT(makulatura4[[#This Row],[Imie]]," ",makulatura4[[#This Row],[Nazwisko]])</f>
        <v>Ewa Tarnowska</v>
      </c>
    </row>
    <row r="2026" spans="1:5" x14ac:dyDescent="0.25">
      <c r="A2026" s="1">
        <v>43062</v>
      </c>
      <c r="B2026" s="2" t="s">
        <v>83</v>
      </c>
      <c r="C2026" s="2" t="s">
        <v>149</v>
      </c>
      <c r="D2026">
        <v>14</v>
      </c>
      <c r="E2026" t="str">
        <f>_xlfn.CONCAT(makulatura4[[#This Row],[Imie]]," ",makulatura4[[#This Row],[Nazwisko]])</f>
        <v>Jan Bikot</v>
      </c>
    </row>
    <row r="2027" spans="1:5" x14ac:dyDescent="0.25">
      <c r="A2027" s="1">
        <v>43062</v>
      </c>
      <c r="B2027" s="2" t="s">
        <v>427</v>
      </c>
      <c r="C2027" s="2" t="s">
        <v>118</v>
      </c>
      <c r="D2027">
        <v>39</v>
      </c>
      <c r="E2027" t="str">
        <f>_xlfn.CONCAT(makulatura4[[#This Row],[Imie]]," ",makulatura4[[#This Row],[Nazwisko]])</f>
        <v>Julian Snopek</v>
      </c>
    </row>
    <row r="2028" spans="1:5" x14ac:dyDescent="0.25">
      <c r="A2028" s="1">
        <v>43062</v>
      </c>
      <c r="B2028" s="2" t="s">
        <v>81</v>
      </c>
      <c r="C2028" s="2" t="s">
        <v>648</v>
      </c>
      <c r="D2028">
        <v>25</v>
      </c>
      <c r="E2028" t="str">
        <f>_xlfn.CONCAT(makulatura4[[#This Row],[Imie]]," ",makulatura4[[#This Row],[Nazwisko]])</f>
        <v>Karol Hubicki</v>
      </c>
    </row>
    <row r="2029" spans="1:5" x14ac:dyDescent="0.25">
      <c r="A2029" s="1">
        <v>43062</v>
      </c>
      <c r="B2029" s="2" t="s">
        <v>395</v>
      </c>
      <c r="C2029" s="2" t="s">
        <v>599</v>
      </c>
      <c r="D2029">
        <v>15</v>
      </c>
      <c r="E2029" t="str">
        <f>_xlfn.CONCAT(makulatura4[[#This Row],[Imie]]," ",makulatura4[[#This Row],[Nazwisko]])</f>
        <v>Tomasz Tutaj</v>
      </c>
    </row>
    <row r="2030" spans="1:5" x14ac:dyDescent="0.25">
      <c r="A2030" s="1">
        <v>43062</v>
      </c>
      <c r="B2030" s="2" t="s">
        <v>69</v>
      </c>
      <c r="C2030" s="2" t="s">
        <v>200</v>
      </c>
      <c r="D2030">
        <v>9</v>
      </c>
      <c r="E2030" t="str">
        <f>_xlfn.CONCAT(makulatura4[[#This Row],[Imie]]," ",makulatura4[[#This Row],[Nazwisko]])</f>
        <v>Adam Madejski</v>
      </c>
    </row>
    <row r="2031" spans="1:5" x14ac:dyDescent="0.25">
      <c r="A2031" s="1">
        <v>43062</v>
      </c>
      <c r="B2031" s="2" t="s">
        <v>359</v>
      </c>
      <c r="C2031" s="2" t="s">
        <v>431</v>
      </c>
      <c r="D2031">
        <v>10</v>
      </c>
      <c r="E2031" t="str">
        <f>_xlfn.CONCAT(makulatura4[[#This Row],[Imie]]," ",makulatura4[[#This Row],[Nazwisko]])</f>
        <v>Aleksandra Kwas</v>
      </c>
    </row>
    <row r="2032" spans="1:5" x14ac:dyDescent="0.25">
      <c r="A2032" s="1">
        <v>43062</v>
      </c>
      <c r="B2032" s="2" t="s">
        <v>69</v>
      </c>
      <c r="C2032" s="2" t="s">
        <v>200</v>
      </c>
      <c r="D2032">
        <v>12</v>
      </c>
      <c r="E2032" t="str">
        <f>_xlfn.CONCAT(makulatura4[[#This Row],[Imie]]," ",makulatura4[[#This Row],[Nazwisko]])</f>
        <v>Adam Madejski</v>
      </c>
    </row>
    <row r="2033" spans="1:5" x14ac:dyDescent="0.25">
      <c r="A2033" s="1">
        <v>43062</v>
      </c>
      <c r="B2033" s="2" t="s">
        <v>69</v>
      </c>
      <c r="C2033" s="2" t="s">
        <v>461</v>
      </c>
      <c r="D2033">
        <v>19</v>
      </c>
      <c r="E2033" t="str">
        <f>_xlfn.CONCAT(makulatura4[[#This Row],[Imie]]," ",makulatura4[[#This Row],[Nazwisko]])</f>
        <v>Adam Borkowski</v>
      </c>
    </row>
    <row r="2034" spans="1:5" x14ac:dyDescent="0.25">
      <c r="A2034" s="1">
        <v>43062</v>
      </c>
      <c r="B2034" s="2" t="s">
        <v>131</v>
      </c>
      <c r="C2034" s="2" t="s">
        <v>626</v>
      </c>
      <c r="D2034">
        <v>43</v>
      </c>
      <c r="E2034" t="str">
        <f>_xlfn.CONCAT(makulatura4[[#This Row],[Imie]]," ",makulatura4[[#This Row],[Nazwisko]])</f>
        <v>Ewelina Mirska</v>
      </c>
    </row>
    <row r="2035" spans="1:5" x14ac:dyDescent="0.25">
      <c r="A2035" s="1">
        <v>43063</v>
      </c>
      <c r="B2035" s="2" t="s">
        <v>83</v>
      </c>
      <c r="C2035" s="2" t="s">
        <v>698</v>
      </c>
      <c r="D2035">
        <v>13</v>
      </c>
      <c r="E2035" t="str">
        <f>_xlfn.CONCAT(makulatura4[[#This Row],[Imie]]," ",makulatura4[[#This Row],[Nazwisko]])</f>
        <v>Jan Kwiatkowski</v>
      </c>
    </row>
    <row r="2036" spans="1:5" x14ac:dyDescent="0.25">
      <c r="A2036" s="1">
        <v>43063</v>
      </c>
      <c r="B2036" s="2" t="s">
        <v>201</v>
      </c>
      <c r="C2036" s="2" t="s">
        <v>202</v>
      </c>
      <c r="D2036">
        <v>38</v>
      </c>
      <c r="E2036" t="str">
        <f>_xlfn.CONCAT(makulatura4[[#This Row],[Imie]]," ",makulatura4[[#This Row],[Nazwisko]])</f>
        <v>Marcin Wrobel</v>
      </c>
    </row>
    <row r="2037" spans="1:5" x14ac:dyDescent="0.25">
      <c r="A2037" s="1">
        <v>43063</v>
      </c>
      <c r="B2037" s="2" t="s">
        <v>150</v>
      </c>
      <c r="C2037" s="2" t="s">
        <v>556</v>
      </c>
      <c r="D2037">
        <v>9</v>
      </c>
      <c r="E2037" t="str">
        <f>_xlfn.CONCAT(makulatura4[[#This Row],[Imie]]," ",makulatura4[[#This Row],[Nazwisko]])</f>
        <v>Krzysztof Plecien</v>
      </c>
    </row>
    <row r="2038" spans="1:5" x14ac:dyDescent="0.25">
      <c r="A2038" s="1">
        <v>43063</v>
      </c>
      <c r="B2038" s="2" t="s">
        <v>69</v>
      </c>
      <c r="C2038" s="2" t="s">
        <v>200</v>
      </c>
      <c r="D2038">
        <v>10</v>
      </c>
      <c r="E2038" t="str">
        <f>_xlfn.CONCAT(makulatura4[[#This Row],[Imie]]," ",makulatura4[[#This Row],[Nazwisko]])</f>
        <v>Adam Madejski</v>
      </c>
    </row>
    <row r="2039" spans="1:5" x14ac:dyDescent="0.25">
      <c r="A2039" s="1">
        <v>43063</v>
      </c>
      <c r="B2039" s="2" t="s">
        <v>367</v>
      </c>
      <c r="C2039" s="2" t="s">
        <v>5</v>
      </c>
      <c r="D2039">
        <v>13</v>
      </c>
      <c r="E2039" t="str">
        <f>_xlfn.CONCAT(makulatura4[[#This Row],[Imie]]," ",makulatura4[[#This Row],[Nazwisko]])</f>
        <v>Szymon Polak</v>
      </c>
    </row>
    <row r="2040" spans="1:5" x14ac:dyDescent="0.25">
      <c r="A2040" s="1">
        <v>43063</v>
      </c>
      <c r="B2040" s="2" t="s">
        <v>97</v>
      </c>
      <c r="C2040" s="2" t="s">
        <v>188</v>
      </c>
      <c r="D2040">
        <v>6</v>
      </c>
      <c r="E2040" t="str">
        <f>_xlfn.CONCAT(makulatura4[[#This Row],[Imie]]," ",makulatura4[[#This Row],[Nazwisko]])</f>
        <v>Mateusz Kowalczyk</v>
      </c>
    </row>
    <row r="2041" spans="1:5" x14ac:dyDescent="0.25">
      <c r="A2041" s="1">
        <v>43063</v>
      </c>
      <c r="B2041" s="2" t="s">
        <v>39</v>
      </c>
      <c r="C2041" s="2" t="s">
        <v>434</v>
      </c>
      <c r="D2041">
        <v>26</v>
      </c>
      <c r="E2041" t="str">
        <f>_xlfn.CONCAT(makulatura4[[#This Row],[Imie]]," ",makulatura4[[#This Row],[Nazwisko]])</f>
        <v>Jakub Przestrzelski</v>
      </c>
    </row>
    <row r="2042" spans="1:5" x14ac:dyDescent="0.25">
      <c r="A2042" s="1">
        <v>43063</v>
      </c>
      <c r="B2042" s="2" t="s">
        <v>355</v>
      </c>
      <c r="C2042" s="2" t="s">
        <v>356</v>
      </c>
      <c r="D2042">
        <v>24</v>
      </c>
      <c r="E2042" t="str">
        <f>_xlfn.CONCAT(makulatura4[[#This Row],[Imie]]," ",makulatura4[[#This Row],[Nazwisko]])</f>
        <v>Janina Podlaska</v>
      </c>
    </row>
    <row r="2043" spans="1:5" x14ac:dyDescent="0.25">
      <c r="A2043" s="1">
        <v>43063</v>
      </c>
      <c r="B2043" s="2" t="s">
        <v>77</v>
      </c>
      <c r="C2043" s="2" t="s">
        <v>78</v>
      </c>
      <c r="D2043">
        <v>13</v>
      </c>
      <c r="E2043" t="str">
        <f>_xlfn.CONCAT(makulatura4[[#This Row],[Imie]]," ",makulatura4[[#This Row],[Nazwisko]])</f>
        <v>Hubert Smyk</v>
      </c>
    </row>
    <row r="2044" spans="1:5" x14ac:dyDescent="0.25">
      <c r="A2044" s="1">
        <v>43063</v>
      </c>
      <c r="B2044" s="2" t="s">
        <v>34</v>
      </c>
      <c r="C2044" s="2" t="s">
        <v>160</v>
      </c>
      <c r="D2044">
        <v>19</v>
      </c>
      <c r="E2044" t="str">
        <f>_xlfn.CONCAT(makulatura4[[#This Row],[Imie]]," ",makulatura4[[#This Row],[Nazwisko]])</f>
        <v>Julia Stuhr</v>
      </c>
    </row>
    <row r="2045" spans="1:5" x14ac:dyDescent="0.25">
      <c r="A2045" s="1">
        <v>43063</v>
      </c>
      <c r="B2045" s="2" t="s">
        <v>150</v>
      </c>
      <c r="C2045" s="2" t="s">
        <v>258</v>
      </c>
      <c r="D2045">
        <v>22</v>
      </c>
      <c r="E2045" t="str">
        <f>_xlfn.CONCAT(makulatura4[[#This Row],[Imie]]," ",makulatura4[[#This Row],[Nazwisko]])</f>
        <v>Krzysztof Figurski</v>
      </c>
    </row>
    <row r="2046" spans="1:5" x14ac:dyDescent="0.25">
      <c r="A2046" s="1">
        <v>43063</v>
      </c>
      <c r="B2046" s="2" t="s">
        <v>97</v>
      </c>
      <c r="C2046" s="2" t="s">
        <v>5</v>
      </c>
      <c r="D2046">
        <v>2</v>
      </c>
      <c r="E2046" t="str">
        <f>_xlfn.CONCAT(makulatura4[[#This Row],[Imie]]," ",makulatura4[[#This Row],[Nazwisko]])</f>
        <v>Mateusz Polak</v>
      </c>
    </row>
    <row r="2047" spans="1:5" x14ac:dyDescent="0.25">
      <c r="A2047" s="1">
        <v>43063</v>
      </c>
      <c r="B2047" s="2" t="s">
        <v>23</v>
      </c>
      <c r="C2047" s="2" t="s">
        <v>604</v>
      </c>
      <c r="D2047">
        <v>2</v>
      </c>
      <c r="E2047" t="str">
        <f>_xlfn.CONCAT(makulatura4[[#This Row],[Imie]]," ",makulatura4[[#This Row],[Nazwisko]])</f>
        <v>Alicja Wymyslowska</v>
      </c>
    </row>
    <row r="2048" spans="1:5" x14ac:dyDescent="0.25">
      <c r="A2048" s="1">
        <v>43063</v>
      </c>
      <c r="B2048" s="2" t="s">
        <v>30</v>
      </c>
      <c r="C2048" s="2" t="s">
        <v>227</v>
      </c>
      <c r="D2048">
        <v>18</v>
      </c>
      <c r="E2048" t="str">
        <f>_xlfn.CONCAT(makulatura4[[#This Row],[Imie]]," ",makulatura4[[#This Row],[Nazwisko]])</f>
        <v>Maciej Nowak</v>
      </c>
    </row>
    <row r="2049" spans="1:5" x14ac:dyDescent="0.25">
      <c r="A2049" s="1">
        <v>43063</v>
      </c>
      <c r="B2049" s="2" t="s">
        <v>18</v>
      </c>
      <c r="C2049" s="2" t="s">
        <v>74</v>
      </c>
      <c r="D2049">
        <v>24</v>
      </c>
      <c r="E2049" t="str">
        <f>_xlfn.CONCAT(makulatura4[[#This Row],[Imie]]," ",makulatura4[[#This Row],[Nazwisko]])</f>
        <v>Filip Strack</v>
      </c>
    </row>
    <row r="2050" spans="1:5" x14ac:dyDescent="0.25">
      <c r="A2050" s="1">
        <v>43063</v>
      </c>
      <c r="B2050" s="2" t="s">
        <v>32</v>
      </c>
      <c r="C2050" s="2" t="s">
        <v>406</v>
      </c>
      <c r="D2050">
        <v>24</v>
      </c>
      <c r="E2050" t="str">
        <f>_xlfn.CONCAT(makulatura4[[#This Row],[Imie]]," ",makulatura4[[#This Row],[Nazwisko]])</f>
        <v>Daria Mikos</v>
      </c>
    </row>
    <row r="2051" spans="1:5" x14ac:dyDescent="0.25">
      <c r="A2051" s="1">
        <v>43063</v>
      </c>
      <c r="B2051" s="2" t="s">
        <v>193</v>
      </c>
      <c r="C2051" s="2" t="s">
        <v>228</v>
      </c>
      <c r="D2051">
        <v>17</v>
      </c>
      <c r="E2051" t="str">
        <f>_xlfn.CONCAT(makulatura4[[#This Row],[Imie]]," ",makulatura4[[#This Row],[Nazwisko]])</f>
        <v>Karolina Karpacka</v>
      </c>
    </row>
    <row r="2052" spans="1:5" x14ac:dyDescent="0.25">
      <c r="A2052" s="1">
        <v>43063</v>
      </c>
      <c r="B2052" s="2" t="s">
        <v>95</v>
      </c>
      <c r="C2052" s="2" t="s">
        <v>426</v>
      </c>
      <c r="D2052">
        <v>18</v>
      </c>
      <c r="E2052" t="str">
        <f>_xlfn.CONCAT(makulatura4[[#This Row],[Imie]]," ",makulatura4[[#This Row],[Nazwisko]])</f>
        <v>Dominik Szmitko</v>
      </c>
    </row>
    <row r="2053" spans="1:5" x14ac:dyDescent="0.25">
      <c r="A2053" s="1">
        <v>43063</v>
      </c>
      <c r="B2053" s="2" t="s">
        <v>83</v>
      </c>
      <c r="C2053" s="2" t="s">
        <v>470</v>
      </c>
      <c r="D2053">
        <v>26</v>
      </c>
      <c r="E2053" t="str">
        <f>_xlfn.CONCAT(makulatura4[[#This Row],[Imie]]," ",makulatura4[[#This Row],[Nazwisko]])</f>
        <v>Jan Marasek</v>
      </c>
    </row>
    <row r="2054" spans="1:5" x14ac:dyDescent="0.25">
      <c r="A2054" s="1">
        <v>43066</v>
      </c>
      <c r="B2054" s="2" t="s">
        <v>55</v>
      </c>
      <c r="C2054" s="2" t="s">
        <v>56</v>
      </c>
      <c r="D2054">
        <v>2</v>
      </c>
      <c r="E2054" t="str">
        <f>_xlfn.CONCAT(makulatura4[[#This Row],[Imie]]," ",makulatura4[[#This Row],[Nazwisko]])</f>
        <v>Anna Kosowicz</v>
      </c>
    </row>
    <row r="2055" spans="1:5" x14ac:dyDescent="0.25">
      <c r="A2055" s="1">
        <v>43066</v>
      </c>
      <c r="B2055" s="2" t="s">
        <v>314</v>
      </c>
      <c r="C2055" s="2" t="s">
        <v>366</v>
      </c>
      <c r="D2055">
        <v>51</v>
      </c>
      <c r="E2055" t="str">
        <f>_xlfn.CONCAT(makulatura4[[#This Row],[Imie]]," ",makulatura4[[#This Row],[Nazwisko]])</f>
        <v>Lukasz Pawlik</v>
      </c>
    </row>
    <row r="2056" spans="1:5" x14ac:dyDescent="0.25">
      <c r="A2056" s="1">
        <v>43066</v>
      </c>
      <c r="B2056" s="2" t="s">
        <v>310</v>
      </c>
      <c r="C2056" s="2" t="s">
        <v>699</v>
      </c>
      <c r="D2056">
        <v>20</v>
      </c>
      <c r="E2056" t="str">
        <f>_xlfn.CONCAT(makulatura4[[#This Row],[Imie]]," ",makulatura4[[#This Row],[Nazwisko]])</f>
        <v>Antoni Pisowlodzki</v>
      </c>
    </row>
    <row r="2057" spans="1:5" x14ac:dyDescent="0.25">
      <c r="A2057" s="1">
        <v>43066</v>
      </c>
      <c r="B2057" s="2" t="s">
        <v>81</v>
      </c>
      <c r="C2057" s="2" t="s">
        <v>648</v>
      </c>
      <c r="D2057">
        <v>5</v>
      </c>
      <c r="E2057" t="str">
        <f>_xlfn.CONCAT(makulatura4[[#This Row],[Imie]]," ",makulatura4[[#This Row],[Nazwisko]])</f>
        <v>Karol Hubicki</v>
      </c>
    </row>
    <row r="2058" spans="1:5" x14ac:dyDescent="0.25">
      <c r="A2058" s="1">
        <v>43066</v>
      </c>
      <c r="B2058" s="2" t="s">
        <v>346</v>
      </c>
      <c r="C2058" s="2" t="s">
        <v>347</v>
      </c>
      <c r="D2058">
        <v>43</v>
      </c>
      <c r="E2058" t="str">
        <f>_xlfn.CONCAT(makulatura4[[#This Row],[Imie]]," ",makulatura4[[#This Row],[Nazwisko]])</f>
        <v>Maksymilian Piwko</v>
      </c>
    </row>
    <row r="2059" spans="1:5" x14ac:dyDescent="0.25">
      <c r="A2059" s="1">
        <v>43066</v>
      </c>
      <c r="B2059" s="2" t="s">
        <v>39</v>
      </c>
      <c r="C2059" s="2" t="s">
        <v>436</v>
      </c>
      <c r="D2059">
        <v>25</v>
      </c>
      <c r="E2059" t="str">
        <f>_xlfn.CONCAT(makulatura4[[#This Row],[Imie]]," ",makulatura4[[#This Row],[Nazwisko]])</f>
        <v>Jakub Holmes</v>
      </c>
    </row>
    <row r="2060" spans="1:5" x14ac:dyDescent="0.25">
      <c r="A2060" s="1">
        <v>43066</v>
      </c>
      <c r="B2060" s="2" t="s">
        <v>141</v>
      </c>
      <c r="C2060" s="2" t="s">
        <v>142</v>
      </c>
      <c r="D2060">
        <v>26</v>
      </c>
      <c r="E2060" t="str">
        <f>_xlfn.CONCAT(makulatura4[[#This Row],[Imie]]," ",makulatura4[[#This Row],[Nazwisko]])</f>
        <v>Joanna Baranska</v>
      </c>
    </row>
    <row r="2061" spans="1:5" x14ac:dyDescent="0.25">
      <c r="A2061" s="1">
        <v>43066</v>
      </c>
      <c r="B2061" s="2" t="s">
        <v>45</v>
      </c>
      <c r="C2061" s="2" t="s">
        <v>388</v>
      </c>
      <c r="D2061">
        <v>25</v>
      </c>
      <c r="E2061" t="str">
        <f>_xlfn.CONCAT(makulatura4[[#This Row],[Imie]]," ",makulatura4[[#This Row],[Nazwisko]])</f>
        <v>Zuzanna Kalisz</v>
      </c>
    </row>
    <row r="2062" spans="1:5" x14ac:dyDescent="0.25">
      <c r="A2062" s="1">
        <v>43066</v>
      </c>
      <c r="B2062" s="2" t="s">
        <v>133</v>
      </c>
      <c r="C2062" s="2" t="s">
        <v>328</v>
      </c>
      <c r="D2062">
        <v>40</v>
      </c>
      <c r="E2062" t="str">
        <f>_xlfn.CONCAT(makulatura4[[#This Row],[Imie]]," ",makulatura4[[#This Row],[Nazwisko]])</f>
        <v>Dominika Wierzbicka</v>
      </c>
    </row>
    <row r="2063" spans="1:5" x14ac:dyDescent="0.25">
      <c r="A2063" s="1">
        <v>43067</v>
      </c>
      <c r="B2063" s="2" t="s">
        <v>34</v>
      </c>
      <c r="C2063" s="2" t="s">
        <v>35</v>
      </c>
      <c r="D2063">
        <v>26</v>
      </c>
      <c r="E2063" t="str">
        <f>_xlfn.CONCAT(makulatura4[[#This Row],[Imie]]," ",makulatura4[[#This Row],[Nazwisko]])</f>
        <v>Julia Rutkiewicz</v>
      </c>
    </row>
    <row r="2064" spans="1:5" x14ac:dyDescent="0.25">
      <c r="A2064" s="1">
        <v>43067</v>
      </c>
      <c r="B2064" s="2" t="s">
        <v>144</v>
      </c>
      <c r="C2064" s="2" t="s">
        <v>525</v>
      </c>
      <c r="D2064">
        <v>49</v>
      </c>
      <c r="E2064" t="str">
        <f>_xlfn.CONCAT(makulatura4[[#This Row],[Imie]]," ",makulatura4[[#This Row],[Nazwisko]])</f>
        <v>Aleksander Koc</v>
      </c>
    </row>
    <row r="2065" spans="1:5" x14ac:dyDescent="0.25">
      <c r="A2065" s="1">
        <v>43067</v>
      </c>
      <c r="B2065" s="2" t="s">
        <v>427</v>
      </c>
      <c r="C2065" s="2" t="s">
        <v>558</v>
      </c>
      <c r="D2065">
        <v>6</v>
      </c>
      <c r="E2065" t="str">
        <f>_xlfn.CONCAT(makulatura4[[#This Row],[Imie]]," ",makulatura4[[#This Row],[Nazwisko]])</f>
        <v>Julian Pawik</v>
      </c>
    </row>
    <row r="2066" spans="1:5" x14ac:dyDescent="0.25">
      <c r="A2066" s="1">
        <v>43067</v>
      </c>
      <c r="B2066" s="2" t="s">
        <v>47</v>
      </c>
      <c r="C2066" s="2" t="s">
        <v>465</v>
      </c>
      <c r="D2066">
        <v>6</v>
      </c>
      <c r="E2066" t="str">
        <f>_xlfn.CONCAT(makulatura4[[#This Row],[Imie]]," ",makulatura4[[#This Row],[Nazwisko]])</f>
        <v>Marek Zybert</v>
      </c>
    </row>
    <row r="2067" spans="1:5" x14ac:dyDescent="0.25">
      <c r="A2067" s="1">
        <v>43067</v>
      </c>
      <c r="B2067" s="2" t="s">
        <v>47</v>
      </c>
      <c r="C2067" s="2" t="s">
        <v>465</v>
      </c>
      <c r="D2067">
        <v>11</v>
      </c>
      <c r="E2067" t="str">
        <f>_xlfn.CONCAT(makulatura4[[#This Row],[Imie]]," ",makulatura4[[#This Row],[Nazwisko]])</f>
        <v>Marek Zybert</v>
      </c>
    </row>
    <row r="2068" spans="1:5" x14ac:dyDescent="0.25">
      <c r="A2068" s="1">
        <v>43067</v>
      </c>
      <c r="B2068" s="2" t="s">
        <v>30</v>
      </c>
      <c r="C2068" s="2" t="s">
        <v>680</v>
      </c>
      <c r="D2068">
        <v>34</v>
      </c>
      <c r="E2068" t="str">
        <f>_xlfn.CONCAT(makulatura4[[#This Row],[Imie]]," ",makulatura4[[#This Row],[Nazwisko]])</f>
        <v>Maciej Wodecki</v>
      </c>
    </row>
    <row r="2069" spans="1:5" x14ac:dyDescent="0.25">
      <c r="A2069" s="1">
        <v>43067</v>
      </c>
      <c r="B2069" s="2" t="s">
        <v>81</v>
      </c>
      <c r="C2069" s="2" t="s">
        <v>82</v>
      </c>
      <c r="D2069">
        <v>8</v>
      </c>
      <c r="E2069" t="str">
        <f>_xlfn.CONCAT(makulatura4[[#This Row],[Imie]]," ",makulatura4[[#This Row],[Nazwisko]])</f>
        <v>Karol Felisiak</v>
      </c>
    </row>
    <row r="2070" spans="1:5" x14ac:dyDescent="0.25">
      <c r="A2070" s="1">
        <v>43067</v>
      </c>
      <c r="B2070" s="2" t="s">
        <v>152</v>
      </c>
      <c r="C2070" s="2" t="s">
        <v>696</v>
      </c>
      <c r="D2070">
        <v>17</v>
      </c>
      <c r="E2070" t="str">
        <f>_xlfn.CONCAT(makulatura4[[#This Row],[Imie]]," ",makulatura4[[#This Row],[Nazwisko]])</f>
        <v>Natalia Mroz</v>
      </c>
    </row>
    <row r="2071" spans="1:5" x14ac:dyDescent="0.25">
      <c r="A2071" s="1">
        <v>43067</v>
      </c>
      <c r="B2071" s="2" t="s">
        <v>41</v>
      </c>
      <c r="C2071" s="2" t="s">
        <v>42</v>
      </c>
      <c r="D2071">
        <v>29</v>
      </c>
      <c r="E2071" t="str">
        <f>_xlfn.CONCAT(makulatura4[[#This Row],[Imie]]," ",makulatura4[[#This Row],[Nazwisko]])</f>
        <v>Marta Opolska</v>
      </c>
    </row>
    <row r="2072" spans="1:5" x14ac:dyDescent="0.25">
      <c r="A2072" s="1">
        <v>43068</v>
      </c>
      <c r="B2072" s="2" t="s">
        <v>77</v>
      </c>
      <c r="C2072" s="2" t="s">
        <v>85</v>
      </c>
      <c r="D2072">
        <v>12</v>
      </c>
      <c r="E2072" t="str">
        <f>_xlfn.CONCAT(makulatura4[[#This Row],[Imie]]," ",makulatura4[[#This Row],[Nazwisko]])</f>
        <v>Hubert Nowaczynski</v>
      </c>
    </row>
    <row r="2073" spans="1:5" x14ac:dyDescent="0.25">
      <c r="A2073" s="1">
        <v>43068</v>
      </c>
      <c r="B2073" s="2" t="s">
        <v>150</v>
      </c>
      <c r="C2073" s="2" t="s">
        <v>297</v>
      </c>
      <c r="D2073">
        <v>19</v>
      </c>
      <c r="E2073" t="str">
        <f>_xlfn.CONCAT(makulatura4[[#This Row],[Imie]]," ",makulatura4[[#This Row],[Nazwisko]])</f>
        <v>Krzysztof Czyz</v>
      </c>
    </row>
    <row r="2074" spans="1:5" x14ac:dyDescent="0.25">
      <c r="A2074" s="1">
        <v>43068</v>
      </c>
      <c r="B2074" s="2" t="s">
        <v>150</v>
      </c>
      <c r="C2074" s="2" t="s">
        <v>297</v>
      </c>
      <c r="D2074">
        <v>21</v>
      </c>
      <c r="E2074" t="str">
        <f>_xlfn.CONCAT(makulatura4[[#This Row],[Imie]]," ",makulatura4[[#This Row],[Nazwisko]])</f>
        <v>Krzysztof Czyz</v>
      </c>
    </row>
    <row r="2075" spans="1:5" x14ac:dyDescent="0.25">
      <c r="A2075" s="1">
        <v>43068</v>
      </c>
      <c r="B2075" s="2" t="s">
        <v>87</v>
      </c>
      <c r="C2075" s="2" t="s">
        <v>397</v>
      </c>
      <c r="D2075">
        <v>33</v>
      </c>
      <c r="E2075" t="str">
        <f>_xlfn.CONCAT(makulatura4[[#This Row],[Imie]]," ",makulatura4[[#This Row],[Nazwisko]])</f>
        <v>Ewa Milion</v>
      </c>
    </row>
    <row r="2076" spans="1:5" x14ac:dyDescent="0.25">
      <c r="A2076" s="1">
        <v>43068</v>
      </c>
      <c r="B2076" s="2" t="s">
        <v>36</v>
      </c>
      <c r="C2076" s="2" t="s">
        <v>37</v>
      </c>
      <c r="D2076">
        <v>51</v>
      </c>
      <c r="E2076" t="str">
        <f>_xlfn.CONCAT(makulatura4[[#This Row],[Imie]]," ",makulatura4[[#This Row],[Nazwisko]])</f>
        <v>Piotr Bialaszewski</v>
      </c>
    </row>
    <row r="2077" spans="1:5" x14ac:dyDescent="0.25">
      <c r="A2077" s="1">
        <v>43068</v>
      </c>
      <c r="B2077" s="2" t="s">
        <v>83</v>
      </c>
      <c r="C2077" s="2" t="s">
        <v>591</v>
      </c>
      <c r="D2077">
        <v>10</v>
      </c>
      <c r="E2077" t="str">
        <f>_xlfn.CONCAT(makulatura4[[#This Row],[Imie]]," ",makulatura4[[#This Row],[Nazwisko]])</f>
        <v>Jan Kildanowski</v>
      </c>
    </row>
    <row r="2078" spans="1:5" x14ac:dyDescent="0.25">
      <c r="A2078" s="1">
        <v>43068</v>
      </c>
      <c r="B2078" s="2" t="s">
        <v>193</v>
      </c>
      <c r="C2078" s="2" t="s">
        <v>194</v>
      </c>
      <c r="D2078">
        <v>35</v>
      </c>
      <c r="E2078" t="str">
        <f>_xlfn.CONCAT(makulatura4[[#This Row],[Imie]]," ",makulatura4[[#This Row],[Nazwisko]])</f>
        <v>Karolina Welc</v>
      </c>
    </row>
    <row r="2079" spans="1:5" x14ac:dyDescent="0.25">
      <c r="A2079" s="1">
        <v>43068</v>
      </c>
      <c r="B2079" s="2" t="s">
        <v>51</v>
      </c>
      <c r="C2079" s="2" t="s">
        <v>358</v>
      </c>
      <c r="D2079">
        <v>22</v>
      </c>
      <c r="E2079" t="str">
        <f>_xlfn.CONCAT(makulatura4[[#This Row],[Imie]]," ",makulatura4[[#This Row],[Nazwisko]])</f>
        <v>Barbara Bury</v>
      </c>
    </row>
    <row r="2080" spans="1:5" x14ac:dyDescent="0.25">
      <c r="A2080" s="1">
        <v>43068</v>
      </c>
      <c r="B2080" s="2" t="s">
        <v>155</v>
      </c>
      <c r="C2080" s="2" t="s">
        <v>186</v>
      </c>
      <c r="D2080">
        <v>17</v>
      </c>
      <c r="E2080" t="str">
        <f>_xlfn.CONCAT(makulatura4[[#This Row],[Imie]]," ",makulatura4[[#This Row],[Nazwisko]])</f>
        <v>Jacek Szypulski</v>
      </c>
    </row>
    <row r="2081" spans="1:5" x14ac:dyDescent="0.25">
      <c r="A2081" s="1">
        <v>43069</v>
      </c>
      <c r="B2081" s="2" t="s">
        <v>574</v>
      </c>
      <c r="C2081" s="2" t="s">
        <v>421</v>
      </c>
      <c r="D2081">
        <v>28</v>
      </c>
      <c r="E2081" t="str">
        <f>_xlfn.CONCAT(makulatura4[[#This Row],[Imie]]," ",makulatura4[[#This Row],[Nazwisko]])</f>
        <v>Urszula Pawlak</v>
      </c>
    </row>
    <row r="2082" spans="1:5" x14ac:dyDescent="0.25">
      <c r="A2082" s="1">
        <v>43069</v>
      </c>
      <c r="B2082" s="2" t="s">
        <v>114</v>
      </c>
      <c r="C2082" s="2" t="s">
        <v>173</v>
      </c>
      <c r="D2082">
        <v>33</v>
      </c>
      <c r="E2082" t="str">
        <f>_xlfn.CONCAT(makulatura4[[#This Row],[Imie]]," ",makulatura4[[#This Row],[Nazwisko]])</f>
        <v>Jaroslaw Kopiec</v>
      </c>
    </row>
    <row r="2083" spans="1:5" x14ac:dyDescent="0.25">
      <c r="A2083" s="1">
        <v>43069</v>
      </c>
      <c r="B2083" s="2" t="s">
        <v>155</v>
      </c>
      <c r="C2083" s="2" t="s">
        <v>384</v>
      </c>
      <c r="D2083">
        <v>45</v>
      </c>
      <c r="E2083" t="str">
        <f>_xlfn.CONCAT(makulatura4[[#This Row],[Imie]]," ",makulatura4[[#This Row],[Nazwisko]])</f>
        <v>Jacek Pieczatowski</v>
      </c>
    </row>
    <row r="2084" spans="1:5" x14ac:dyDescent="0.25">
      <c r="A2084" s="1">
        <v>43069</v>
      </c>
      <c r="B2084" s="2" t="s">
        <v>95</v>
      </c>
      <c r="C2084" s="2" t="s">
        <v>426</v>
      </c>
      <c r="D2084">
        <v>20</v>
      </c>
      <c r="E2084" t="str">
        <f>_xlfn.CONCAT(makulatura4[[#This Row],[Imie]]," ",makulatura4[[#This Row],[Nazwisko]])</f>
        <v>Dominik Szmitko</v>
      </c>
    </row>
    <row r="2085" spans="1:5" x14ac:dyDescent="0.25">
      <c r="A2085" s="1">
        <v>43069</v>
      </c>
      <c r="B2085" s="2" t="s">
        <v>147</v>
      </c>
      <c r="C2085" s="2" t="s">
        <v>148</v>
      </c>
      <c r="D2085">
        <v>39</v>
      </c>
      <c r="E2085" t="str">
        <f>_xlfn.CONCAT(makulatura4[[#This Row],[Imie]]," ",makulatura4[[#This Row],[Nazwisko]])</f>
        <v>Mariusz Brydzinski</v>
      </c>
    </row>
    <row r="2086" spans="1:5" x14ac:dyDescent="0.25">
      <c r="A2086" s="1">
        <v>43069</v>
      </c>
      <c r="B2086" s="2" t="s">
        <v>27</v>
      </c>
      <c r="C2086" s="2" t="s">
        <v>28</v>
      </c>
      <c r="D2086">
        <v>8</v>
      </c>
      <c r="E2086" t="str">
        <f>_xlfn.CONCAT(makulatura4[[#This Row],[Imie]]," ",makulatura4[[#This Row],[Nazwisko]])</f>
        <v>Jerzy Polanicki</v>
      </c>
    </row>
    <row r="2087" spans="1:5" x14ac:dyDescent="0.25">
      <c r="A2087" s="1">
        <v>43069</v>
      </c>
      <c r="B2087" s="2" t="s">
        <v>57</v>
      </c>
      <c r="C2087" s="2" t="s">
        <v>58</v>
      </c>
      <c r="D2087">
        <v>10</v>
      </c>
      <c r="E2087" t="str">
        <f>_xlfn.CONCAT(makulatura4[[#This Row],[Imie]]," ",makulatura4[[#This Row],[Nazwisko]])</f>
        <v>Patrycja Glowinska</v>
      </c>
    </row>
    <row r="2088" spans="1:5" x14ac:dyDescent="0.25">
      <c r="A2088" s="1">
        <v>43069</v>
      </c>
      <c r="B2088" s="2" t="s">
        <v>69</v>
      </c>
      <c r="C2088" s="2" t="s">
        <v>286</v>
      </c>
      <c r="D2088">
        <v>5</v>
      </c>
      <c r="E2088" t="str">
        <f>_xlfn.CONCAT(makulatura4[[#This Row],[Imie]]," ",makulatura4[[#This Row],[Nazwisko]])</f>
        <v>Adam Zega</v>
      </c>
    </row>
    <row r="2089" spans="1:5" x14ac:dyDescent="0.25">
      <c r="A2089" s="1">
        <v>43069</v>
      </c>
      <c r="B2089" s="2" t="s">
        <v>219</v>
      </c>
      <c r="C2089" s="2" t="s">
        <v>254</v>
      </c>
      <c r="D2089">
        <v>32</v>
      </c>
      <c r="E2089" t="str">
        <f>_xlfn.CONCAT(makulatura4[[#This Row],[Imie]]," ",makulatura4[[#This Row],[Nazwisko]])</f>
        <v>Beata Fles</v>
      </c>
    </row>
    <row r="2090" spans="1:5" x14ac:dyDescent="0.25">
      <c r="A2090" s="1">
        <v>43070</v>
      </c>
      <c r="B2090" s="2" t="s">
        <v>232</v>
      </c>
      <c r="C2090" s="2" t="s">
        <v>233</v>
      </c>
      <c r="D2090">
        <v>23</v>
      </c>
      <c r="E2090" t="str">
        <f>_xlfn.CONCAT(makulatura4[[#This Row],[Imie]]," ",makulatura4[[#This Row],[Nazwisko]])</f>
        <v>Monika Piterka</v>
      </c>
    </row>
    <row r="2091" spans="1:5" x14ac:dyDescent="0.25">
      <c r="A2091" s="1">
        <v>43070</v>
      </c>
      <c r="B2091" s="2" t="s">
        <v>193</v>
      </c>
      <c r="C2091" s="2" t="s">
        <v>483</v>
      </c>
      <c r="D2091">
        <v>11</v>
      </c>
      <c r="E2091" t="str">
        <f>_xlfn.CONCAT(makulatura4[[#This Row],[Imie]]," ",makulatura4[[#This Row],[Nazwisko]])</f>
        <v>Karolina Pawelska</v>
      </c>
    </row>
    <row r="2092" spans="1:5" x14ac:dyDescent="0.25">
      <c r="A2092" s="1">
        <v>43070</v>
      </c>
      <c r="B2092" s="2" t="s">
        <v>59</v>
      </c>
      <c r="C2092" s="2" t="s">
        <v>60</v>
      </c>
      <c r="D2092">
        <v>17</v>
      </c>
      <c r="E2092" t="str">
        <f>_xlfn.CONCAT(makulatura4[[#This Row],[Imie]]," ",makulatura4[[#This Row],[Nazwisko]])</f>
        <v>Laura Chmielewska</v>
      </c>
    </row>
    <row r="2093" spans="1:5" x14ac:dyDescent="0.25">
      <c r="A2093" s="1">
        <v>43070</v>
      </c>
      <c r="B2093" s="2" t="s">
        <v>49</v>
      </c>
      <c r="C2093" s="2" t="s">
        <v>50</v>
      </c>
      <c r="D2093">
        <v>22</v>
      </c>
      <c r="E2093" t="str">
        <f>_xlfn.CONCAT(makulatura4[[#This Row],[Imie]]," ",makulatura4[[#This Row],[Nazwisko]])</f>
        <v>Sebastian Powoj</v>
      </c>
    </row>
    <row r="2094" spans="1:5" x14ac:dyDescent="0.25">
      <c r="A2094" s="1">
        <v>43070</v>
      </c>
      <c r="B2094" s="2" t="s">
        <v>49</v>
      </c>
      <c r="C2094" s="2" t="s">
        <v>50</v>
      </c>
      <c r="D2094">
        <v>26</v>
      </c>
      <c r="E2094" t="str">
        <f>_xlfn.CONCAT(makulatura4[[#This Row],[Imie]]," ",makulatura4[[#This Row],[Nazwisko]])</f>
        <v>Sebastian Powoj</v>
      </c>
    </row>
    <row r="2095" spans="1:5" x14ac:dyDescent="0.25">
      <c r="A2095" s="1">
        <v>43070</v>
      </c>
      <c r="B2095" s="2" t="s">
        <v>55</v>
      </c>
      <c r="C2095" s="2" t="s">
        <v>265</v>
      </c>
      <c r="D2095">
        <v>48</v>
      </c>
      <c r="E2095" t="str">
        <f>_xlfn.CONCAT(makulatura4[[#This Row],[Imie]]," ",makulatura4[[#This Row],[Nazwisko]])</f>
        <v>Anna Janowska</v>
      </c>
    </row>
    <row r="2096" spans="1:5" x14ac:dyDescent="0.25">
      <c r="A2096" s="1">
        <v>43070</v>
      </c>
      <c r="B2096" s="2" t="s">
        <v>12</v>
      </c>
      <c r="C2096" s="2" t="s">
        <v>13</v>
      </c>
      <c r="D2096">
        <v>5</v>
      </c>
      <c r="E2096" t="str">
        <f>_xlfn.CONCAT(makulatura4[[#This Row],[Imie]]," ",makulatura4[[#This Row],[Nazwisko]])</f>
        <v>Maja Kulkowska</v>
      </c>
    </row>
    <row r="2097" spans="1:5" x14ac:dyDescent="0.25">
      <c r="A2097" s="1">
        <v>43070</v>
      </c>
      <c r="B2097" s="2" t="s">
        <v>49</v>
      </c>
      <c r="C2097" s="2" t="s">
        <v>50</v>
      </c>
      <c r="D2097">
        <v>31</v>
      </c>
      <c r="E2097" t="str">
        <f>_xlfn.CONCAT(makulatura4[[#This Row],[Imie]]," ",makulatura4[[#This Row],[Nazwisko]])</f>
        <v>Sebastian Powoj</v>
      </c>
    </row>
    <row r="2098" spans="1:5" x14ac:dyDescent="0.25">
      <c r="A2098" s="1">
        <v>43070</v>
      </c>
      <c r="B2098" s="2" t="s">
        <v>141</v>
      </c>
      <c r="C2098" s="2" t="s">
        <v>550</v>
      </c>
      <c r="D2098">
        <v>5</v>
      </c>
      <c r="E2098" t="str">
        <f>_xlfn.CONCAT(makulatura4[[#This Row],[Imie]]," ",makulatura4[[#This Row],[Nazwisko]])</f>
        <v>Joanna Oleksiak</v>
      </c>
    </row>
    <row r="2099" spans="1:5" x14ac:dyDescent="0.25">
      <c r="A2099" s="1">
        <v>43073</v>
      </c>
      <c r="B2099" s="2" t="s">
        <v>34</v>
      </c>
      <c r="C2099" s="2" t="s">
        <v>338</v>
      </c>
      <c r="D2099">
        <v>18</v>
      </c>
      <c r="E2099" t="str">
        <f>_xlfn.CONCAT(makulatura4[[#This Row],[Imie]]," ",makulatura4[[#This Row],[Nazwisko]])</f>
        <v>Julia Salanowska</v>
      </c>
    </row>
    <row r="2100" spans="1:5" x14ac:dyDescent="0.25">
      <c r="A2100" s="1">
        <v>43073</v>
      </c>
      <c r="B2100" s="2" t="s">
        <v>36</v>
      </c>
      <c r="C2100" s="2" t="s">
        <v>166</v>
      </c>
      <c r="D2100">
        <v>13</v>
      </c>
      <c r="E2100" t="str">
        <f>_xlfn.CONCAT(makulatura4[[#This Row],[Imie]]," ",makulatura4[[#This Row],[Nazwisko]])</f>
        <v>Piotr Flis</v>
      </c>
    </row>
    <row r="2101" spans="1:5" x14ac:dyDescent="0.25">
      <c r="A2101" s="1">
        <v>43073</v>
      </c>
      <c r="B2101" s="2" t="s">
        <v>327</v>
      </c>
      <c r="C2101" s="2" t="s">
        <v>102</v>
      </c>
      <c r="D2101">
        <v>55</v>
      </c>
      <c r="E2101" t="str">
        <f>_xlfn.CONCAT(makulatura4[[#This Row],[Imie]]," ",makulatura4[[#This Row],[Nazwisko]])</f>
        <v>Anastazja Borowska</v>
      </c>
    </row>
    <row r="2102" spans="1:5" x14ac:dyDescent="0.25">
      <c r="A2102" s="1">
        <v>43073</v>
      </c>
      <c r="B2102" s="2" t="s">
        <v>30</v>
      </c>
      <c r="C2102" s="2" t="s">
        <v>463</v>
      </c>
      <c r="D2102">
        <v>12</v>
      </c>
      <c r="E2102" t="str">
        <f>_xlfn.CONCAT(makulatura4[[#This Row],[Imie]]," ",makulatura4[[#This Row],[Nazwisko]])</f>
        <v>Maciej Bugaj</v>
      </c>
    </row>
    <row r="2103" spans="1:5" x14ac:dyDescent="0.25">
      <c r="A2103" s="1">
        <v>43073</v>
      </c>
      <c r="B2103" s="2" t="s">
        <v>10</v>
      </c>
      <c r="C2103" s="2" t="s">
        <v>700</v>
      </c>
      <c r="D2103">
        <v>15</v>
      </c>
      <c r="E2103" t="str">
        <f>_xlfn.CONCAT(makulatura4[[#This Row],[Imie]]," ",makulatura4[[#This Row],[Nazwisko]])</f>
        <v>Katarzyna Karnia</v>
      </c>
    </row>
    <row r="2104" spans="1:5" x14ac:dyDescent="0.25">
      <c r="A2104" s="1">
        <v>43073</v>
      </c>
      <c r="B2104" s="2" t="s">
        <v>49</v>
      </c>
      <c r="C2104" s="2" t="s">
        <v>50</v>
      </c>
      <c r="D2104">
        <v>10</v>
      </c>
      <c r="E2104" t="str">
        <f>_xlfn.CONCAT(makulatura4[[#This Row],[Imie]]," ",makulatura4[[#This Row],[Nazwisko]])</f>
        <v>Sebastian Powoj</v>
      </c>
    </row>
    <row r="2105" spans="1:5" x14ac:dyDescent="0.25">
      <c r="A2105" s="1">
        <v>43073</v>
      </c>
      <c r="B2105" s="2" t="s">
        <v>603</v>
      </c>
      <c r="C2105" s="2" t="s">
        <v>439</v>
      </c>
      <c r="D2105">
        <v>6</v>
      </c>
      <c r="E2105" t="str">
        <f>_xlfn.CONCAT(makulatura4[[#This Row],[Imie]]," ",makulatura4[[#This Row],[Nazwisko]])</f>
        <v>Bonifacy Pleszewski</v>
      </c>
    </row>
    <row r="2106" spans="1:5" x14ac:dyDescent="0.25">
      <c r="A2106" s="1">
        <v>43073</v>
      </c>
      <c r="B2106" s="2" t="s">
        <v>307</v>
      </c>
      <c r="C2106" s="2" t="s">
        <v>308</v>
      </c>
      <c r="D2106">
        <v>9</v>
      </c>
      <c r="E2106" t="str">
        <f>_xlfn.CONCAT(makulatura4[[#This Row],[Imie]]," ",makulatura4[[#This Row],[Nazwisko]])</f>
        <v>Konrad Lipowski</v>
      </c>
    </row>
    <row r="2107" spans="1:5" x14ac:dyDescent="0.25">
      <c r="A2107" s="1">
        <v>43073</v>
      </c>
      <c r="B2107" s="2" t="s">
        <v>14</v>
      </c>
      <c r="C2107" s="2" t="s">
        <v>430</v>
      </c>
      <c r="D2107">
        <v>48</v>
      </c>
      <c r="E2107" t="str">
        <f>_xlfn.CONCAT(makulatura4[[#This Row],[Imie]]," ",makulatura4[[#This Row],[Nazwisko]])</f>
        <v>Patryk Geszczynski</v>
      </c>
    </row>
    <row r="2108" spans="1:5" x14ac:dyDescent="0.25">
      <c r="A2108" s="1">
        <v>43074</v>
      </c>
      <c r="B2108" s="2" t="s">
        <v>416</v>
      </c>
      <c r="C2108" s="2" t="s">
        <v>417</v>
      </c>
      <c r="D2108">
        <v>21</v>
      </c>
      <c r="E2108" t="str">
        <f>_xlfn.CONCAT(makulatura4[[#This Row],[Imie]]," ",makulatura4[[#This Row],[Nazwisko]])</f>
        <v>Kazimierz Bartosik</v>
      </c>
    </row>
    <row r="2109" spans="1:5" x14ac:dyDescent="0.25">
      <c r="A2109" s="1">
        <v>43074</v>
      </c>
      <c r="B2109" s="2" t="s">
        <v>139</v>
      </c>
      <c r="C2109" s="2" t="s">
        <v>654</v>
      </c>
      <c r="D2109">
        <v>2</v>
      </c>
      <c r="E2109" t="str">
        <f>_xlfn.CONCAT(makulatura4[[#This Row],[Imie]]," ",makulatura4[[#This Row],[Nazwisko]])</f>
        <v>Mariola Mleczko</v>
      </c>
    </row>
    <row r="2110" spans="1:5" x14ac:dyDescent="0.25">
      <c r="A2110" s="1">
        <v>43074</v>
      </c>
      <c r="B2110" s="2" t="s">
        <v>55</v>
      </c>
      <c r="C2110" s="2" t="s">
        <v>184</v>
      </c>
      <c r="D2110">
        <v>45</v>
      </c>
      <c r="E2110" t="str">
        <f>_xlfn.CONCAT(makulatura4[[#This Row],[Imie]]," ",makulatura4[[#This Row],[Nazwisko]])</f>
        <v>Anna Trzebiatowska</v>
      </c>
    </row>
    <row r="2111" spans="1:5" x14ac:dyDescent="0.25">
      <c r="A2111" s="1">
        <v>43074</v>
      </c>
      <c r="B2111" s="2" t="s">
        <v>63</v>
      </c>
      <c r="C2111" s="2" t="s">
        <v>441</v>
      </c>
      <c r="D2111">
        <v>34</v>
      </c>
      <c r="E2111" t="str">
        <f>_xlfn.CONCAT(makulatura4[[#This Row],[Imie]]," ",makulatura4[[#This Row],[Nazwisko]])</f>
        <v>Adrian Baran</v>
      </c>
    </row>
    <row r="2112" spans="1:5" x14ac:dyDescent="0.25">
      <c r="A2112" s="1">
        <v>43074</v>
      </c>
      <c r="B2112" s="2" t="s">
        <v>36</v>
      </c>
      <c r="C2112" s="2" t="s">
        <v>180</v>
      </c>
      <c r="D2112">
        <v>22</v>
      </c>
      <c r="E2112" t="str">
        <f>_xlfn.CONCAT(makulatura4[[#This Row],[Imie]]," ",makulatura4[[#This Row],[Nazwisko]])</f>
        <v>Piotr Felus</v>
      </c>
    </row>
    <row r="2113" spans="1:5" x14ac:dyDescent="0.25">
      <c r="A2113" s="1">
        <v>43074</v>
      </c>
      <c r="B2113" s="2" t="s">
        <v>8</v>
      </c>
      <c r="C2113" s="2" t="s">
        <v>491</v>
      </c>
      <c r="D2113">
        <v>6</v>
      </c>
      <c r="E2113" t="str">
        <f>_xlfn.CONCAT(makulatura4[[#This Row],[Imie]]," ",makulatura4[[#This Row],[Nazwisko]])</f>
        <v>Agata Zgoda</v>
      </c>
    </row>
    <row r="2114" spans="1:5" x14ac:dyDescent="0.25">
      <c r="A2114" s="1">
        <v>43074</v>
      </c>
      <c r="B2114" s="2" t="s">
        <v>143</v>
      </c>
      <c r="C2114" s="2" t="s">
        <v>510</v>
      </c>
      <c r="D2114">
        <v>19</v>
      </c>
      <c r="E2114" t="str">
        <f>_xlfn.CONCAT(makulatura4[[#This Row],[Imie]]," ",makulatura4[[#This Row],[Nazwisko]])</f>
        <v>Przemyslaw Widawski</v>
      </c>
    </row>
    <row r="2115" spans="1:5" x14ac:dyDescent="0.25">
      <c r="A2115" s="1">
        <v>43074</v>
      </c>
      <c r="B2115" s="2" t="s">
        <v>14</v>
      </c>
      <c r="C2115" s="2" t="s">
        <v>15</v>
      </c>
      <c r="D2115">
        <v>22</v>
      </c>
      <c r="E2115" t="str">
        <f>_xlfn.CONCAT(makulatura4[[#This Row],[Imie]]," ",makulatura4[[#This Row],[Nazwisko]])</f>
        <v>Patryk Giemza</v>
      </c>
    </row>
    <row r="2116" spans="1:5" x14ac:dyDescent="0.25">
      <c r="A2116" s="1">
        <v>43074</v>
      </c>
      <c r="B2116" s="2" t="s">
        <v>4</v>
      </c>
      <c r="C2116" s="2" t="s">
        <v>386</v>
      </c>
      <c r="D2116">
        <v>10</v>
      </c>
      <c r="E2116" t="str">
        <f>_xlfn.CONCAT(makulatura4[[#This Row],[Imie]]," ",makulatura4[[#This Row],[Nazwisko]])</f>
        <v>Agnieszka Kaminska</v>
      </c>
    </row>
    <row r="2117" spans="1:5" x14ac:dyDescent="0.25">
      <c r="A2117" s="1">
        <v>43075</v>
      </c>
      <c r="B2117" s="2" t="s">
        <v>271</v>
      </c>
      <c r="C2117" s="2" t="s">
        <v>548</v>
      </c>
      <c r="D2117">
        <v>20</v>
      </c>
      <c r="E2117" t="str">
        <f>_xlfn.CONCAT(makulatura4[[#This Row],[Imie]]," ",makulatura4[[#This Row],[Nazwisko]])</f>
        <v>Olgierd Hazubski</v>
      </c>
    </row>
    <row r="2118" spans="1:5" x14ac:dyDescent="0.25">
      <c r="A2118" s="1">
        <v>43075</v>
      </c>
      <c r="B2118" s="2" t="s">
        <v>314</v>
      </c>
      <c r="C2118" s="2" t="s">
        <v>84</v>
      </c>
      <c r="D2118">
        <v>40</v>
      </c>
      <c r="E2118" t="str">
        <f>_xlfn.CONCAT(makulatura4[[#This Row],[Imie]]," ",makulatura4[[#This Row],[Nazwisko]])</f>
        <v>Lukasz Gacek</v>
      </c>
    </row>
    <row r="2119" spans="1:5" x14ac:dyDescent="0.25">
      <c r="A2119" s="1">
        <v>43075</v>
      </c>
      <c r="B2119" s="2" t="s">
        <v>137</v>
      </c>
      <c r="C2119" s="2" t="s">
        <v>685</v>
      </c>
      <c r="D2119">
        <v>14</v>
      </c>
      <c r="E2119" t="str">
        <f>_xlfn.CONCAT(makulatura4[[#This Row],[Imie]]," ",makulatura4[[#This Row],[Nazwisko]])</f>
        <v>Stanislaw Dabrowski</v>
      </c>
    </row>
    <row r="2120" spans="1:5" x14ac:dyDescent="0.25">
      <c r="A2120" s="1">
        <v>43075</v>
      </c>
      <c r="B2120" s="2" t="s">
        <v>232</v>
      </c>
      <c r="C2120" s="2" t="s">
        <v>405</v>
      </c>
      <c r="D2120">
        <v>5</v>
      </c>
      <c r="E2120" t="str">
        <f>_xlfn.CONCAT(makulatura4[[#This Row],[Imie]]," ",makulatura4[[#This Row],[Nazwisko]])</f>
        <v>Monika Nowaczkiewicz</v>
      </c>
    </row>
    <row r="2121" spans="1:5" x14ac:dyDescent="0.25">
      <c r="A2121" s="1">
        <v>43075</v>
      </c>
      <c r="B2121" s="2" t="s">
        <v>178</v>
      </c>
      <c r="C2121" s="2" t="s">
        <v>333</v>
      </c>
      <c r="D2121">
        <v>3</v>
      </c>
      <c r="E2121" t="str">
        <f>_xlfn.CONCAT(makulatura4[[#This Row],[Imie]]," ",makulatura4[[#This Row],[Nazwisko]])</f>
        <v>Malgorzata Malec</v>
      </c>
    </row>
    <row r="2122" spans="1:5" x14ac:dyDescent="0.25">
      <c r="A2122" s="1">
        <v>43075</v>
      </c>
      <c r="B2122" s="2" t="s">
        <v>361</v>
      </c>
      <c r="C2122" s="2" t="s">
        <v>424</v>
      </c>
      <c r="D2122">
        <v>14</v>
      </c>
      <c r="E2122" t="str">
        <f>_xlfn.CONCAT(makulatura4[[#This Row],[Imie]]," ",makulatura4[[#This Row],[Nazwisko]])</f>
        <v>Lidia Tarnowska</v>
      </c>
    </row>
    <row r="2123" spans="1:5" x14ac:dyDescent="0.25">
      <c r="A2123" s="1">
        <v>43075</v>
      </c>
      <c r="B2123" s="2" t="s">
        <v>30</v>
      </c>
      <c r="C2123" s="2" t="s">
        <v>463</v>
      </c>
      <c r="D2123">
        <v>7</v>
      </c>
      <c r="E2123" t="str">
        <f>_xlfn.CONCAT(makulatura4[[#This Row],[Imie]]," ",makulatura4[[#This Row],[Nazwisko]])</f>
        <v>Maciej Bugaj</v>
      </c>
    </row>
    <row r="2124" spans="1:5" x14ac:dyDescent="0.25">
      <c r="A2124" s="1">
        <v>43075</v>
      </c>
      <c r="B2124" s="2" t="s">
        <v>83</v>
      </c>
      <c r="C2124" s="2" t="s">
        <v>561</v>
      </c>
      <c r="D2124">
        <v>24</v>
      </c>
      <c r="E2124" t="str">
        <f>_xlfn.CONCAT(makulatura4[[#This Row],[Imie]]," ",makulatura4[[#This Row],[Nazwisko]])</f>
        <v>Jan Jarek</v>
      </c>
    </row>
    <row r="2125" spans="1:5" x14ac:dyDescent="0.25">
      <c r="A2125" s="1">
        <v>43075</v>
      </c>
      <c r="B2125" s="2" t="s">
        <v>10</v>
      </c>
      <c r="C2125" s="2" t="s">
        <v>266</v>
      </c>
      <c r="D2125">
        <v>39</v>
      </c>
      <c r="E2125" t="str">
        <f>_xlfn.CONCAT(makulatura4[[#This Row],[Imie]]," ",makulatura4[[#This Row],[Nazwisko]])</f>
        <v>Katarzyna Wip</v>
      </c>
    </row>
    <row r="2126" spans="1:5" x14ac:dyDescent="0.25">
      <c r="A2126" s="1">
        <v>43075</v>
      </c>
      <c r="B2126" s="2" t="s">
        <v>20</v>
      </c>
      <c r="C2126" s="2" t="s">
        <v>123</v>
      </c>
      <c r="D2126">
        <v>9</v>
      </c>
      <c r="E2126" t="str">
        <f>_xlfn.CONCAT(makulatura4[[#This Row],[Imie]]," ",makulatura4[[#This Row],[Nazwisko]])</f>
        <v>Borys Biedal</v>
      </c>
    </row>
    <row r="2127" spans="1:5" x14ac:dyDescent="0.25">
      <c r="A2127" s="1">
        <v>43076</v>
      </c>
      <c r="B2127" s="2" t="s">
        <v>63</v>
      </c>
      <c r="C2127" s="2" t="s">
        <v>64</v>
      </c>
      <c r="D2127">
        <v>17</v>
      </c>
      <c r="E2127" t="str">
        <f>_xlfn.CONCAT(makulatura4[[#This Row],[Imie]]," ",makulatura4[[#This Row],[Nazwisko]])</f>
        <v>Adrian Zawisza</v>
      </c>
    </row>
    <row r="2128" spans="1:5" x14ac:dyDescent="0.25">
      <c r="A2128" s="1">
        <v>43076</v>
      </c>
      <c r="B2128" s="2" t="s">
        <v>352</v>
      </c>
      <c r="C2128" s="2" t="s">
        <v>363</v>
      </c>
      <c r="D2128">
        <v>22</v>
      </c>
      <c r="E2128" t="str">
        <f>_xlfn.CONCAT(makulatura4[[#This Row],[Imie]]," ",makulatura4[[#This Row],[Nazwisko]])</f>
        <v>Ilona Gorska</v>
      </c>
    </row>
    <row r="2129" spans="1:5" x14ac:dyDescent="0.25">
      <c r="A2129" s="1">
        <v>43076</v>
      </c>
      <c r="B2129" s="2" t="s">
        <v>374</v>
      </c>
      <c r="C2129" s="2" t="s">
        <v>581</v>
      </c>
      <c r="D2129">
        <v>12</v>
      </c>
      <c r="E2129" t="str">
        <f>_xlfn.CONCAT(makulatura4[[#This Row],[Imie]]," ",makulatura4[[#This Row],[Nazwisko]])</f>
        <v>Bruno Tomczyk</v>
      </c>
    </row>
    <row r="2130" spans="1:5" x14ac:dyDescent="0.25">
      <c r="A2130" s="1">
        <v>43076</v>
      </c>
      <c r="B2130" s="2" t="s">
        <v>331</v>
      </c>
      <c r="C2130" s="2" t="s">
        <v>26</v>
      </c>
      <c r="D2130">
        <v>7</v>
      </c>
      <c r="E2130" t="str">
        <f>_xlfn.CONCAT(makulatura4[[#This Row],[Imie]]," ",makulatura4[[#This Row],[Nazwisko]])</f>
        <v>Krystyna Szybki</v>
      </c>
    </row>
    <row r="2131" spans="1:5" x14ac:dyDescent="0.25">
      <c r="A2131" s="1">
        <v>43076</v>
      </c>
      <c r="B2131" s="2" t="s">
        <v>39</v>
      </c>
      <c r="C2131" s="2" t="s">
        <v>289</v>
      </c>
      <c r="D2131">
        <v>15</v>
      </c>
      <c r="E2131" t="str">
        <f>_xlfn.CONCAT(makulatura4[[#This Row],[Imie]]," ",makulatura4[[#This Row],[Nazwisko]])</f>
        <v>Jakub Bracik</v>
      </c>
    </row>
    <row r="2132" spans="1:5" x14ac:dyDescent="0.25">
      <c r="A2132" s="1">
        <v>43076</v>
      </c>
      <c r="B2132" s="2" t="s">
        <v>147</v>
      </c>
      <c r="C2132" s="2" t="s">
        <v>644</v>
      </c>
      <c r="D2132">
        <v>24</v>
      </c>
      <c r="E2132" t="str">
        <f>_xlfn.CONCAT(makulatura4[[#This Row],[Imie]]," ",makulatura4[[#This Row],[Nazwisko]])</f>
        <v>Mariusz Kornik</v>
      </c>
    </row>
    <row r="2133" spans="1:5" x14ac:dyDescent="0.25">
      <c r="A2133" s="1">
        <v>43076</v>
      </c>
      <c r="B2133" s="2" t="s">
        <v>133</v>
      </c>
      <c r="C2133" s="2" t="s">
        <v>499</v>
      </c>
      <c r="D2133">
        <v>49</v>
      </c>
      <c r="E2133" t="str">
        <f>_xlfn.CONCAT(makulatura4[[#This Row],[Imie]]," ",makulatura4[[#This Row],[Nazwisko]])</f>
        <v>Dominika Szwec</v>
      </c>
    </row>
    <row r="2134" spans="1:5" x14ac:dyDescent="0.25">
      <c r="A2134" s="1">
        <v>43076</v>
      </c>
      <c r="B2134" s="2" t="s">
        <v>92</v>
      </c>
      <c r="C2134" s="2" t="s">
        <v>638</v>
      </c>
      <c r="D2134">
        <v>12</v>
      </c>
      <c r="E2134" t="str">
        <f>_xlfn.CONCAT(makulatura4[[#This Row],[Imie]]," ",makulatura4[[#This Row],[Nazwisko]])</f>
        <v>Paulina Baranowska</v>
      </c>
    </row>
    <row r="2135" spans="1:5" x14ac:dyDescent="0.25">
      <c r="A2135" s="1">
        <v>43076</v>
      </c>
      <c r="B2135" s="2" t="s">
        <v>280</v>
      </c>
      <c r="C2135" s="2" t="s">
        <v>281</v>
      </c>
      <c r="D2135">
        <v>24</v>
      </c>
      <c r="E2135" t="str">
        <f>_xlfn.CONCAT(makulatura4[[#This Row],[Imie]]," ",makulatura4[[#This Row],[Nazwisko]])</f>
        <v>Kamila Wolan</v>
      </c>
    </row>
    <row r="2136" spans="1:5" x14ac:dyDescent="0.25">
      <c r="A2136" s="1">
        <v>43076</v>
      </c>
      <c r="B2136" s="2" t="s">
        <v>55</v>
      </c>
      <c r="C2136" s="2" t="s">
        <v>265</v>
      </c>
      <c r="D2136">
        <v>9</v>
      </c>
      <c r="E2136" t="str">
        <f>_xlfn.CONCAT(makulatura4[[#This Row],[Imie]]," ",makulatura4[[#This Row],[Nazwisko]])</f>
        <v>Anna Janowska</v>
      </c>
    </row>
    <row r="2137" spans="1:5" x14ac:dyDescent="0.25">
      <c r="A2137" s="1">
        <v>43077</v>
      </c>
      <c r="B2137" s="2" t="s">
        <v>30</v>
      </c>
      <c r="C2137" s="2" t="s">
        <v>31</v>
      </c>
      <c r="D2137">
        <v>6</v>
      </c>
      <c r="E2137" t="str">
        <f>_xlfn.CONCAT(makulatura4[[#This Row],[Imie]]," ",makulatura4[[#This Row],[Nazwisko]])</f>
        <v>Maciej Lyszcz</v>
      </c>
    </row>
    <row r="2138" spans="1:5" x14ac:dyDescent="0.25">
      <c r="A2138" s="1">
        <v>43077</v>
      </c>
      <c r="B2138" s="2" t="s">
        <v>420</v>
      </c>
      <c r="C2138" s="2" t="s">
        <v>634</v>
      </c>
      <c r="D2138">
        <v>5</v>
      </c>
      <c r="E2138" t="str">
        <f>_xlfn.CONCAT(makulatura4[[#This Row],[Imie]]," ",makulatura4[[#This Row],[Nazwisko]])</f>
        <v>Renata Kepa</v>
      </c>
    </row>
    <row r="2139" spans="1:5" x14ac:dyDescent="0.25">
      <c r="A2139" s="1">
        <v>43077</v>
      </c>
      <c r="B2139" s="2" t="s">
        <v>12</v>
      </c>
      <c r="C2139" s="2" t="s">
        <v>38</v>
      </c>
      <c r="D2139">
        <v>9</v>
      </c>
      <c r="E2139" t="str">
        <f>_xlfn.CONCAT(makulatura4[[#This Row],[Imie]]," ",makulatura4[[#This Row],[Nazwisko]])</f>
        <v>Maja Lipka</v>
      </c>
    </row>
    <row r="2140" spans="1:5" x14ac:dyDescent="0.25">
      <c r="A2140" s="1">
        <v>43077</v>
      </c>
      <c r="B2140" s="2" t="s">
        <v>393</v>
      </c>
      <c r="C2140" s="2" t="s">
        <v>86</v>
      </c>
      <c r="D2140">
        <v>15</v>
      </c>
      <c r="E2140" t="str">
        <f>_xlfn.CONCAT(makulatura4[[#This Row],[Imie]]," ",makulatura4[[#This Row],[Nazwisko]])</f>
        <v>Kacper Kowalski</v>
      </c>
    </row>
    <row r="2141" spans="1:5" x14ac:dyDescent="0.25">
      <c r="A2141" s="1">
        <v>43077</v>
      </c>
      <c r="B2141" s="2" t="s">
        <v>593</v>
      </c>
      <c r="C2141" s="2" t="s">
        <v>594</v>
      </c>
      <c r="D2141">
        <v>21</v>
      </c>
      <c r="E2141" t="str">
        <f>_xlfn.CONCAT(makulatura4[[#This Row],[Imie]]," ",makulatura4[[#This Row],[Nazwisko]])</f>
        <v>Olga Paluszkiewicz</v>
      </c>
    </row>
    <row r="2142" spans="1:5" x14ac:dyDescent="0.25">
      <c r="A2142" s="1">
        <v>43077</v>
      </c>
      <c r="B2142" s="2" t="s">
        <v>39</v>
      </c>
      <c r="C2142" s="2" t="s">
        <v>609</v>
      </c>
      <c r="D2142">
        <v>2</v>
      </c>
      <c r="E2142" t="str">
        <f>_xlfn.CONCAT(makulatura4[[#This Row],[Imie]]," ",makulatura4[[#This Row],[Nazwisko]])</f>
        <v>Jakub Radomski</v>
      </c>
    </row>
    <row r="2143" spans="1:5" x14ac:dyDescent="0.25">
      <c r="A2143" s="1">
        <v>43077</v>
      </c>
      <c r="B2143" s="2" t="s">
        <v>39</v>
      </c>
      <c r="C2143" s="2" t="s">
        <v>586</v>
      </c>
      <c r="D2143">
        <v>48</v>
      </c>
      <c r="E2143" t="str">
        <f>_xlfn.CONCAT(makulatura4[[#This Row],[Imie]]," ",makulatura4[[#This Row],[Nazwisko]])</f>
        <v>Jakub Radziszewski</v>
      </c>
    </row>
    <row r="2144" spans="1:5" x14ac:dyDescent="0.25">
      <c r="A2144" s="1">
        <v>43077</v>
      </c>
      <c r="B2144" s="2" t="s">
        <v>150</v>
      </c>
      <c r="C2144" s="2" t="s">
        <v>462</v>
      </c>
      <c r="D2144">
        <v>3</v>
      </c>
      <c r="E2144" t="str">
        <f>_xlfn.CONCAT(makulatura4[[#This Row],[Imie]]," ",makulatura4[[#This Row],[Nazwisko]])</f>
        <v>Krzysztof Wloch</v>
      </c>
    </row>
    <row r="2145" spans="1:5" x14ac:dyDescent="0.25">
      <c r="A2145" s="1">
        <v>43077</v>
      </c>
      <c r="B2145" s="2" t="s">
        <v>329</v>
      </c>
      <c r="C2145" s="2" t="s">
        <v>330</v>
      </c>
      <c r="D2145">
        <v>52</v>
      </c>
      <c r="E2145" t="str">
        <f>_xlfn.CONCAT(makulatura4[[#This Row],[Imie]]," ",makulatura4[[#This Row],[Nazwisko]])</f>
        <v>Martyna Marmelowska</v>
      </c>
    </row>
    <row r="2146" spans="1:5" x14ac:dyDescent="0.25">
      <c r="A2146" s="1">
        <v>43077</v>
      </c>
      <c r="B2146" s="2" t="s">
        <v>307</v>
      </c>
      <c r="C2146" s="2" t="s">
        <v>308</v>
      </c>
      <c r="D2146">
        <v>7</v>
      </c>
      <c r="E2146" t="str">
        <f>_xlfn.CONCAT(makulatura4[[#This Row],[Imie]]," ",makulatura4[[#This Row],[Nazwisko]])</f>
        <v>Konrad Lipowski</v>
      </c>
    </row>
    <row r="2147" spans="1:5" x14ac:dyDescent="0.25">
      <c r="A2147" s="1">
        <v>43080</v>
      </c>
      <c r="B2147" s="2" t="s">
        <v>232</v>
      </c>
      <c r="C2147" s="2" t="s">
        <v>573</v>
      </c>
      <c r="D2147">
        <v>12</v>
      </c>
      <c r="E2147" t="str">
        <f>_xlfn.CONCAT(makulatura4[[#This Row],[Imie]]," ",makulatura4[[#This Row],[Nazwisko]])</f>
        <v>Monika Srubka</v>
      </c>
    </row>
    <row r="2148" spans="1:5" x14ac:dyDescent="0.25">
      <c r="A2148" s="1">
        <v>43080</v>
      </c>
      <c r="B2148" s="2" t="s">
        <v>152</v>
      </c>
      <c r="C2148" s="2" t="s">
        <v>319</v>
      </c>
      <c r="D2148">
        <v>5</v>
      </c>
      <c r="E2148" t="str">
        <f>_xlfn.CONCAT(makulatura4[[#This Row],[Imie]]," ",makulatura4[[#This Row],[Nazwisko]])</f>
        <v>Natalia Wolny</v>
      </c>
    </row>
    <row r="2149" spans="1:5" x14ac:dyDescent="0.25">
      <c r="A2149" s="1">
        <v>43080</v>
      </c>
      <c r="B2149" s="2" t="s">
        <v>280</v>
      </c>
      <c r="C2149" s="2" t="s">
        <v>281</v>
      </c>
      <c r="D2149">
        <v>7</v>
      </c>
      <c r="E2149" t="str">
        <f>_xlfn.CONCAT(makulatura4[[#This Row],[Imie]]," ",makulatura4[[#This Row],[Nazwisko]])</f>
        <v>Kamila Wolan</v>
      </c>
    </row>
    <row r="2150" spans="1:5" x14ac:dyDescent="0.25">
      <c r="A2150" s="1">
        <v>43080</v>
      </c>
      <c r="B2150" s="2" t="s">
        <v>128</v>
      </c>
      <c r="C2150" s="2" t="s">
        <v>639</v>
      </c>
      <c r="D2150">
        <v>22</v>
      </c>
      <c r="E2150" t="str">
        <f>_xlfn.CONCAT(makulatura4[[#This Row],[Imie]]," ",makulatura4[[#This Row],[Nazwisko]])</f>
        <v>Wojciech Czyzewski</v>
      </c>
    </row>
    <row r="2151" spans="1:5" x14ac:dyDescent="0.25">
      <c r="A2151" s="1">
        <v>43080</v>
      </c>
      <c r="B2151" s="2" t="s">
        <v>280</v>
      </c>
      <c r="C2151" s="2" t="s">
        <v>451</v>
      </c>
      <c r="D2151">
        <v>5</v>
      </c>
      <c r="E2151" t="str">
        <f>_xlfn.CONCAT(makulatura4[[#This Row],[Imie]]," ",makulatura4[[#This Row],[Nazwisko]])</f>
        <v>Kamila Bialkowska</v>
      </c>
    </row>
    <row r="2152" spans="1:5" x14ac:dyDescent="0.25">
      <c r="A2152" s="1">
        <v>43080</v>
      </c>
      <c r="B2152" s="2" t="s">
        <v>77</v>
      </c>
      <c r="C2152" s="2" t="s">
        <v>85</v>
      </c>
      <c r="D2152">
        <v>9</v>
      </c>
      <c r="E2152" t="str">
        <f>_xlfn.CONCAT(makulatura4[[#This Row],[Imie]]," ",makulatura4[[#This Row],[Nazwisko]])</f>
        <v>Hubert Nowaczynski</v>
      </c>
    </row>
    <row r="2153" spans="1:5" x14ac:dyDescent="0.25">
      <c r="A2153" s="1">
        <v>43080</v>
      </c>
      <c r="B2153" s="2" t="s">
        <v>176</v>
      </c>
      <c r="C2153" s="2" t="s">
        <v>486</v>
      </c>
      <c r="D2153">
        <v>4</v>
      </c>
      <c r="E2153" t="str">
        <f>_xlfn.CONCAT(makulatura4[[#This Row],[Imie]]," ",makulatura4[[#This Row],[Nazwisko]])</f>
        <v>Kinga Trawinska</v>
      </c>
    </row>
    <row r="2154" spans="1:5" x14ac:dyDescent="0.25">
      <c r="A2154" s="1">
        <v>43080</v>
      </c>
      <c r="B2154" s="2" t="s">
        <v>635</v>
      </c>
      <c r="C2154" s="2" t="s">
        <v>636</v>
      </c>
      <c r="D2154">
        <v>31</v>
      </c>
      <c r="E2154" t="str">
        <f>_xlfn.CONCAT(makulatura4[[#This Row],[Imie]]," ",makulatura4[[#This Row],[Nazwisko]])</f>
        <v>Lucja Zych</v>
      </c>
    </row>
    <row r="2155" spans="1:5" x14ac:dyDescent="0.25">
      <c r="A2155" s="1">
        <v>43080</v>
      </c>
      <c r="B2155" s="2" t="s">
        <v>232</v>
      </c>
      <c r="C2155" s="2" t="s">
        <v>451</v>
      </c>
      <c r="D2155">
        <v>16</v>
      </c>
      <c r="E2155" t="str">
        <f>_xlfn.CONCAT(makulatura4[[#This Row],[Imie]]," ",makulatura4[[#This Row],[Nazwisko]])</f>
        <v>Monika Bialkowska</v>
      </c>
    </row>
    <row r="2156" spans="1:5" x14ac:dyDescent="0.25">
      <c r="A2156" s="1">
        <v>43080</v>
      </c>
      <c r="B2156" s="2" t="s">
        <v>47</v>
      </c>
      <c r="C2156" s="2" t="s">
        <v>465</v>
      </c>
      <c r="D2156">
        <v>21</v>
      </c>
      <c r="E2156" t="str">
        <f>_xlfn.CONCAT(makulatura4[[#This Row],[Imie]]," ",makulatura4[[#This Row],[Nazwisko]])</f>
        <v>Marek Zybert</v>
      </c>
    </row>
    <row r="2157" spans="1:5" x14ac:dyDescent="0.25">
      <c r="A2157" s="1">
        <v>43081</v>
      </c>
      <c r="B2157" s="2" t="s">
        <v>206</v>
      </c>
      <c r="C2157" s="2" t="s">
        <v>192</v>
      </c>
      <c r="D2157">
        <v>22</v>
      </c>
      <c r="E2157" t="str">
        <f>_xlfn.CONCAT(makulatura4[[#This Row],[Imie]]," ",makulatura4[[#This Row],[Nazwisko]])</f>
        <v>Pawel Nowakowski</v>
      </c>
    </row>
    <row r="2158" spans="1:5" x14ac:dyDescent="0.25">
      <c r="A2158" s="1">
        <v>43081</v>
      </c>
      <c r="B2158" s="2" t="s">
        <v>152</v>
      </c>
      <c r="C2158" s="2" t="s">
        <v>153</v>
      </c>
      <c r="D2158">
        <v>20</v>
      </c>
      <c r="E2158" t="str">
        <f>_xlfn.CONCAT(makulatura4[[#This Row],[Imie]]," ",makulatura4[[#This Row],[Nazwisko]])</f>
        <v>Natalia Belicka</v>
      </c>
    </row>
    <row r="2159" spans="1:5" x14ac:dyDescent="0.25">
      <c r="A2159" s="1">
        <v>43081</v>
      </c>
      <c r="B2159" s="2" t="s">
        <v>193</v>
      </c>
      <c r="C2159" s="2" t="s">
        <v>228</v>
      </c>
      <c r="D2159">
        <v>24</v>
      </c>
      <c r="E2159" t="str">
        <f>_xlfn.CONCAT(makulatura4[[#This Row],[Imie]]," ",makulatura4[[#This Row],[Nazwisko]])</f>
        <v>Karolina Karpacka</v>
      </c>
    </row>
    <row r="2160" spans="1:5" x14ac:dyDescent="0.25">
      <c r="A2160" s="1">
        <v>43081</v>
      </c>
      <c r="B2160" s="2" t="s">
        <v>352</v>
      </c>
      <c r="C2160" s="2" t="s">
        <v>227</v>
      </c>
      <c r="D2160">
        <v>17</v>
      </c>
      <c r="E2160" t="str">
        <f>_xlfn.CONCAT(makulatura4[[#This Row],[Imie]]," ",makulatura4[[#This Row],[Nazwisko]])</f>
        <v>Ilona Nowak</v>
      </c>
    </row>
    <row r="2161" spans="1:5" x14ac:dyDescent="0.25">
      <c r="A2161" s="1">
        <v>43081</v>
      </c>
      <c r="B2161" s="2" t="s">
        <v>92</v>
      </c>
      <c r="C2161" s="2" t="s">
        <v>638</v>
      </c>
      <c r="D2161">
        <v>25</v>
      </c>
      <c r="E2161" t="str">
        <f>_xlfn.CONCAT(makulatura4[[#This Row],[Imie]]," ",makulatura4[[#This Row],[Nazwisko]])</f>
        <v>Paulina Baranowska</v>
      </c>
    </row>
    <row r="2162" spans="1:5" x14ac:dyDescent="0.25">
      <c r="A2162" s="1">
        <v>43081</v>
      </c>
      <c r="B2162" s="2" t="s">
        <v>49</v>
      </c>
      <c r="C2162" s="2" t="s">
        <v>50</v>
      </c>
      <c r="D2162">
        <v>22</v>
      </c>
      <c r="E2162" t="str">
        <f>_xlfn.CONCAT(makulatura4[[#This Row],[Imie]]," ",makulatura4[[#This Row],[Nazwisko]])</f>
        <v>Sebastian Powoj</v>
      </c>
    </row>
    <row r="2163" spans="1:5" x14ac:dyDescent="0.25">
      <c r="A2163" s="1">
        <v>43081</v>
      </c>
      <c r="B2163" s="2" t="s">
        <v>83</v>
      </c>
      <c r="C2163" s="2" t="s">
        <v>698</v>
      </c>
      <c r="D2163">
        <v>50</v>
      </c>
      <c r="E2163" t="str">
        <f>_xlfn.CONCAT(makulatura4[[#This Row],[Imie]]," ",makulatura4[[#This Row],[Nazwisko]])</f>
        <v>Jan Kwiatkowski</v>
      </c>
    </row>
    <row r="2164" spans="1:5" x14ac:dyDescent="0.25">
      <c r="A2164" s="1">
        <v>43081</v>
      </c>
      <c r="B2164" s="2" t="s">
        <v>4</v>
      </c>
      <c r="C2164" s="2" t="s">
        <v>386</v>
      </c>
      <c r="D2164">
        <v>6</v>
      </c>
      <c r="E2164" t="str">
        <f>_xlfn.CONCAT(makulatura4[[#This Row],[Imie]]," ",makulatura4[[#This Row],[Nazwisko]])</f>
        <v>Agnieszka Kaminska</v>
      </c>
    </row>
    <row r="2165" spans="1:5" x14ac:dyDescent="0.25">
      <c r="A2165" s="1">
        <v>43081</v>
      </c>
      <c r="B2165" s="2" t="s">
        <v>8</v>
      </c>
      <c r="C2165" s="2" t="s">
        <v>322</v>
      </c>
      <c r="D2165">
        <v>27</v>
      </c>
      <c r="E2165" t="str">
        <f>_xlfn.CONCAT(makulatura4[[#This Row],[Imie]]," ",makulatura4[[#This Row],[Nazwisko]])</f>
        <v>Agata Zdrojewska</v>
      </c>
    </row>
    <row r="2166" spans="1:5" x14ac:dyDescent="0.25">
      <c r="A2166" s="1">
        <v>43081</v>
      </c>
      <c r="B2166" s="2" t="s">
        <v>361</v>
      </c>
      <c r="C2166" s="2" t="s">
        <v>424</v>
      </c>
      <c r="D2166">
        <v>29</v>
      </c>
      <c r="E2166" t="str">
        <f>_xlfn.CONCAT(makulatura4[[#This Row],[Imie]]," ",makulatura4[[#This Row],[Nazwisko]])</f>
        <v>Lidia Tarnowska</v>
      </c>
    </row>
    <row r="2167" spans="1:5" x14ac:dyDescent="0.25">
      <c r="A2167" s="1">
        <v>43082</v>
      </c>
      <c r="B2167" s="2" t="s">
        <v>352</v>
      </c>
      <c r="C2167" s="2" t="s">
        <v>227</v>
      </c>
      <c r="D2167">
        <v>12</v>
      </c>
      <c r="E2167" t="str">
        <f>_xlfn.CONCAT(makulatura4[[#This Row],[Imie]]," ",makulatura4[[#This Row],[Nazwisko]])</f>
        <v>Ilona Nowak</v>
      </c>
    </row>
    <row r="2168" spans="1:5" x14ac:dyDescent="0.25">
      <c r="A2168" s="1">
        <v>43082</v>
      </c>
      <c r="B2168" s="2" t="s">
        <v>121</v>
      </c>
      <c r="C2168" s="2" t="s">
        <v>600</v>
      </c>
      <c r="D2168">
        <v>28</v>
      </c>
      <c r="E2168" t="str">
        <f>_xlfn.CONCAT(makulatura4[[#This Row],[Imie]]," ",makulatura4[[#This Row],[Nazwisko]])</f>
        <v>Justyna Wysocka</v>
      </c>
    </row>
    <row r="2169" spans="1:5" x14ac:dyDescent="0.25">
      <c r="A2169" s="1">
        <v>43082</v>
      </c>
      <c r="B2169" s="2" t="s">
        <v>508</v>
      </c>
      <c r="C2169" s="2" t="s">
        <v>509</v>
      </c>
      <c r="D2169">
        <v>21</v>
      </c>
      <c r="E2169" t="str">
        <f>_xlfn.CONCAT(makulatura4[[#This Row],[Imie]]," ",makulatura4[[#This Row],[Nazwisko]])</f>
        <v>Dawid Szreder</v>
      </c>
    </row>
    <row r="2170" spans="1:5" x14ac:dyDescent="0.25">
      <c r="A2170" s="1">
        <v>43082</v>
      </c>
      <c r="B2170" s="2" t="s">
        <v>30</v>
      </c>
      <c r="C2170" s="2" t="s">
        <v>109</v>
      </c>
      <c r="D2170">
        <v>19</v>
      </c>
      <c r="E2170" t="str">
        <f>_xlfn.CONCAT(makulatura4[[#This Row],[Imie]]," ",makulatura4[[#This Row],[Nazwisko]])</f>
        <v>Maciej Siemiatkowski</v>
      </c>
    </row>
    <row r="2171" spans="1:5" x14ac:dyDescent="0.25">
      <c r="A2171" s="1">
        <v>43082</v>
      </c>
      <c r="B2171" s="2" t="s">
        <v>128</v>
      </c>
      <c r="C2171" s="2" t="s">
        <v>250</v>
      </c>
      <c r="D2171">
        <v>29</v>
      </c>
      <c r="E2171" t="str">
        <f>_xlfn.CONCAT(makulatura4[[#This Row],[Imie]]," ",makulatura4[[#This Row],[Nazwisko]])</f>
        <v>Wojciech Wroblewski</v>
      </c>
    </row>
    <row r="2172" spans="1:5" x14ac:dyDescent="0.25">
      <c r="A2172" s="1">
        <v>43082</v>
      </c>
      <c r="B2172" s="2" t="s">
        <v>144</v>
      </c>
      <c r="C2172" s="2" t="s">
        <v>390</v>
      </c>
      <c r="D2172">
        <v>9</v>
      </c>
      <c r="E2172" t="str">
        <f>_xlfn.CONCAT(makulatura4[[#This Row],[Imie]]," ",makulatura4[[#This Row],[Nazwisko]])</f>
        <v>Aleksander Pasternak</v>
      </c>
    </row>
    <row r="2173" spans="1:5" x14ac:dyDescent="0.25">
      <c r="A2173" s="1">
        <v>43082</v>
      </c>
      <c r="B2173" s="2" t="s">
        <v>635</v>
      </c>
      <c r="C2173" s="2" t="s">
        <v>636</v>
      </c>
      <c r="D2173">
        <v>24</v>
      </c>
      <c r="E2173" t="str">
        <f>_xlfn.CONCAT(makulatura4[[#This Row],[Imie]]," ",makulatura4[[#This Row],[Nazwisko]])</f>
        <v>Lucja Zych</v>
      </c>
    </row>
    <row r="2174" spans="1:5" x14ac:dyDescent="0.25">
      <c r="A2174" s="1">
        <v>43082</v>
      </c>
      <c r="B2174" s="2" t="s">
        <v>193</v>
      </c>
      <c r="C2174" s="2" t="s">
        <v>595</v>
      </c>
      <c r="D2174">
        <v>24</v>
      </c>
      <c r="E2174" t="str">
        <f>_xlfn.CONCAT(makulatura4[[#This Row],[Imie]]," ",makulatura4[[#This Row],[Nazwisko]])</f>
        <v>Karolina Perez</v>
      </c>
    </row>
    <row r="2175" spans="1:5" x14ac:dyDescent="0.25">
      <c r="A2175" s="1">
        <v>43082</v>
      </c>
      <c r="B2175" s="2" t="s">
        <v>128</v>
      </c>
      <c r="C2175" s="2" t="s">
        <v>559</v>
      </c>
      <c r="D2175">
        <v>8</v>
      </c>
      <c r="E2175" t="str">
        <f>_xlfn.CONCAT(makulatura4[[#This Row],[Imie]]," ",makulatura4[[#This Row],[Nazwisko]])</f>
        <v>Wojciech Goc</v>
      </c>
    </row>
    <row r="2176" spans="1:5" x14ac:dyDescent="0.25">
      <c r="A2176" s="1">
        <v>43082</v>
      </c>
      <c r="B2176" s="2" t="s">
        <v>618</v>
      </c>
      <c r="C2176" s="2" t="s">
        <v>619</v>
      </c>
      <c r="D2176">
        <v>5</v>
      </c>
      <c r="E2176" t="str">
        <f>_xlfn.CONCAT(makulatura4[[#This Row],[Imie]]," ",makulatura4[[#This Row],[Nazwisko]])</f>
        <v>Magda Makowicz</v>
      </c>
    </row>
    <row r="2177" spans="1:5" x14ac:dyDescent="0.25">
      <c r="A2177" s="1">
        <v>43083</v>
      </c>
      <c r="B2177" s="2" t="s">
        <v>47</v>
      </c>
      <c r="C2177" s="2" t="s">
        <v>465</v>
      </c>
      <c r="D2177">
        <v>32</v>
      </c>
      <c r="E2177" t="str">
        <f>_xlfn.CONCAT(makulatura4[[#This Row],[Imie]]," ",makulatura4[[#This Row],[Nazwisko]])</f>
        <v>Marek Zybert</v>
      </c>
    </row>
    <row r="2178" spans="1:5" x14ac:dyDescent="0.25">
      <c r="A2178" s="1">
        <v>43083</v>
      </c>
      <c r="B2178" s="2" t="s">
        <v>178</v>
      </c>
      <c r="C2178" s="2" t="s">
        <v>333</v>
      </c>
      <c r="D2178">
        <v>34</v>
      </c>
      <c r="E2178" t="str">
        <f>_xlfn.CONCAT(makulatura4[[#This Row],[Imie]]," ",makulatura4[[#This Row],[Nazwisko]])</f>
        <v>Malgorzata Malec</v>
      </c>
    </row>
    <row r="2179" spans="1:5" x14ac:dyDescent="0.25">
      <c r="A2179" s="1">
        <v>43083</v>
      </c>
      <c r="B2179" s="2" t="s">
        <v>69</v>
      </c>
      <c r="C2179" s="2" t="s">
        <v>535</v>
      </c>
      <c r="D2179">
        <v>9</v>
      </c>
      <c r="E2179" t="str">
        <f>_xlfn.CONCAT(makulatura4[[#This Row],[Imie]]," ",makulatura4[[#This Row],[Nazwisko]])</f>
        <v>Adam Czarnecki</v>
      </c>
    </row>
    <row r="2180" spans="1:5" x14ac:dyDescent="0.25">
      <c r="A2180" s="1">
        <v>43083</v>
      </c>
      <c r="B2180" s="2" t="s">
        <v>57</v>
      </c>
      <c r="C2180" s="2" t="s">
        <v>531</v>
      </c>
      <c r="D2180">
        <v>49</v>
      </c>
      <c r="E2180" t="str">
        <f>_xlfn.CONCAT(makulatura4[[#This Row],[Imie]]," ",makulatura4[[#This Row],[Nazwisko]])</f>
        <v>Patrycja Wcislo</v>
      </c>
    </row>
    <row r="2181" spans="1:5" x14ac:dyDescent="0.25">
      <c r="A2181" s="1">
        <v>43083</v>
      </c>
      <c r="B2181" s="2" t="s">
        <v>280</v>
      </c>
      <c r="C2181" s="2" t="s">
        <v>281</v>
      </c>
      <c r="D2181">
        <v>18</v>
      </c>
      <c r="E2181" t="str">
        <f>_xlfn.CONCAT(makulatura4[[#This Row],[Imie]]," ",makulatura4[[#This Row],[Nazwisko]])</f>
        <v>Kamila Wolan</v>
      </c>
    </row>
    <row r="2182" spans="1:5" x14ac:dyDescent="0.25">
      <c r="A2182" s="1">
        <v>43083</v>
      </c>
      <c r="B2182" s="2" t="s">
        <v>57</v>
      </c>
      <c r="C2182" s="2" t="s">
        <v>531</v>
      </c>
      <c r="D2182">
        <v>56</v>
      </c>
      <c r="E2182" t="str">
        <f>_xlfn.CONCAT(makulatura4[[#This Row],[Imie]]," ",makulatura4[[#This Row],[Nazwisko]])</f>
        <v>Patrycja Wcislo</v>
      </c>
    </row>
    <row r="2183" spans="1:5" x14ac:dyDescent="0.25">
      <c r="A2183" s="1">
        <v>43083</v>
      </c>
      <c r="B2183" s="2" t="s">
        <v>248</v>
      </c>
      <c r="C2183" s="2" t="s">
        <v>249</v>
      </c>
      <c r="D2183">
        <v>46</v>
      </c>
      <c r="E2183" t="str">
        <f>_xlfn.CONCAT(makulatura4[[#This Row],[Imie]]," ",makulatura4[[#This Row],[Nazwisko]])</f>
        <v>Zenon Bartek</v>
      </c>
    </row>
    <row r="2184" spans="1:5" x14ac:dyDescent="0.25">
      <c r="A2184" s="1">
        <v>43083</v>
      </c>
      <c r="B2184" s="2" t="s">
        <v>640</v>
      </c>
      <c r="C2184" s="2" t="s">
        <v>655</v>
      </c>
      <c r="D2184">
        <v>11</v>
      </c>
      <c r="E2184" t="str">
        <f>_xlfn.CONCAT(makulatura4[[#This Row],[Imie]]," ",makulatura4[[#This Row],[Nazwisko]])</f>
        <v>Amelia Wicher</v>
      </c>
    </row>
    <row r="2185" spans="1:5" x14ac:dyDescent="0.25">
      <c r="A2185" s="1">
        <v>43083</v>
      </c>
      <c r="B2185" s="2" t="s">
        <v>282</v>
      </c>
      <c r="C2185" s="2" t="s">
        <v>283</v>
      </c>
      <c r="D2185">
        <v>24</v>
      </c>
      <c r="E2185" t="str">
        <f>_xlfn.CONCAT(makulatura4[[#This Row],[Imie]]," ",makulatura4[[#This Row],[Nazwisko]])</f>
        <v>Inka Sochacka</v>
      </c>
    </row>
    <row r="2186" spans="1:5" x14ac:dyDescent="0.25">
      <c r="A2186" s="1">
        <v>43083</v>
      </c>
      <c r="B2186" s="2" t="s">
        <v>83</v>
      </c>
      <c r="C2186" s="2" t="s">
        <v>646</v>
      </c>
      <c r="D2186">
        <v>28</v>
      </c>
      <c r="E2186" t="str">
        <f>_xlfn.CONCAT(makulatura4[[#This Row],[Imie]]," ",makulatura4[[#This Row],[Nazwisko]])</f>
        <v>Jan Adamowicz</v>
      </c>
    </row>
    <row r="2187" spans="1:5" x14ac:dyDescent="0.25">
      <c r="A2187" s="1">
        <v>43084</v>
      </c>
      <c r="B2187" s="2" t="s">
        <v>252</v>
      </c>
      <c r="C2187" s="2" t="s">
        <v>253</v>
      </c>
      <c r="D2187">
        <v>29</v>
      </c>
      <c r="E2187" t="str">
        <f>_xlfn.CONCAT(makulatura4[[#This Row],[Imie]]," ",makulatura4[[#This Row],[Nazwisko]])</f>
        <v>Irena Banasiewicz</v>
      </c>
    </row>
    <row r="2188" spans="1:5" x14ac:dyDescent="0.25">
      <c r="A2188" s="1">
        <v>43084</v>
      </c>
      <c r="B2188" s="2" t="s">
        <v>523</v>
      </c>
      <c r="C2188" s="2" t="s">
        <v>524</v>
      </c>
      <c r="D2188">
        <v>4</v>
      </c>
      <c r="E2188" t="str">
        <f>_xlfn.CONCAT(makulatura4[[#This Row],[Imie]]," ",makulatura4[[#This Row],[Nazwisko]])</f>
        <v>Protazy Warszawski</v>
      </c>
    </row>
    <row r="2189" spans="1:5" x14ac:dyDescent="0.25">
      <c r="A2189" s="1">
        <v>43084</v>
      </c>
      <c r="B2189" s="2" t="s">
        <v>67</v>
      </c>
      <c r="C2189" s="2" t="s">
        <v>301</v>
      </c>
      <c r="D2189">
        <v>3</v>
      </c>
      <c r="E2189" t="str">
        <f>_xlfn.CONCAT(makulatura4[[#This Row],[Imie]]," ",makulatura4[[#This Row],[Nazwisko]])</f>
        <v>Bartosz Tusinski</v>
      </c>
    </row>
    <row r="2190" spans="1:5" x14ac:dyDescent="0.25">
      <c r="A2190" s="1">
        <v>43084</v>
      </c>
      <c r="B2190" s="2" t="s">
        <v>635</v>
      </c>
      <c r="C2190" s="2" t="s">
        <v>636</v>
      </c>
      <c r="D2190">
        <v>30</v>
      </c>
      <c r="E2190" t="str">
        <f>_xlfn.CONCAT(makulatura4[[#This Row],[Imie]]," ",makulatura4[[#This Row],[Nazwisko]])</f>
        <v>Lucja Zych</v>
      </c>
    </row>
    <row r="2191" spans="1:5" x14ac:dyDescent="0.25">
      <c r="A2191" s="1">
        <v>43084</v>
      </c>
      <c r="B2191" s="2" t="s">
        <v>195</v>
      </c>
      <c r="C2191" s="2" t="s">
        <v>401</v>
      </c>
      <c r="D2191">
        <v>4</v>
      </c>
      <c r="E2191" t="str">
        <f>_xlfn.CONCAT(makulatura4[[#This Row],[Imie]]," ",makulatura4[[#This Row],[Nazwisko]])</f>
        <v>Emilia Szczepanska</v>
      </c>
    </row>
    <row r="2192" spans="1:5" x14ac:dyDescent="0.25">
      <c r="A2192" s="1">
        <v>43084</v>
      </c>
      <c r="B2192" s="2" t="s">
        <v>81</v>
      </c>
      <c r="C2192" s="2" t="s">
        <v>584</v>
      </c>
      <c r="D2192">
        <v>21</v>
      </c>
      <c r="E2192" t="str">
        <f>_xlfn.CONCAT(makulatura4[[#This Row],[Imie]]," ",makulatura4[[#This Row],[Nazwisko]])</f>
        <v>Karol Wichrowski</v>
      </c>
    </row>
    <row r="2193" spans="1:5" x14ac:dyDescent="0.25">
      <c r="A2193" s="1">
        <v>43084</v>
      </c>
      <c r="B2193" s="2" t="s">
        <v>106</v>
      </c>
      <c r="C2193" s="2" t="s">
        <v>240</v>
      </c>
      <c r="D2193">
        <v>15</v>
      </c>
      <c r="E2193" t="str">
        <f>_xlfn.CONCAT(makulatura4[[#This Row],[Imie]]," ",makulatura4[[#This Row],[Nazwisko]])</f>
        <v>Lena Miszkin</v>
      </c>
    </row>
    <row r="2194" spans="1:5" x14ac:dyDescent="0.25">
      <c r="A2194" s="1">
        <v>43084</v>
      </c>
      <c r="B2194" s="2" t="s">
        <v>55</v>
      </c>
      <c r="C2194" s="2" t="s">
        <v>56</v>
      </c>
      <c r="D2194">
        <v>13</v>
      </c>
      <c r="E2194" t="str">
        <f>_xlfn.CONCAT(makulatura4[[#This Row],[Imie]]," ",makulatura4[[#This Row],[Nazwisko]])</f>
        <v>Anna Kosowicz</v>
      </c>
    </row>
    <row r="2195" spans="1:5" x14ac:dyDescent="0.25">
      <c r="A2195" s="1">
        <v>43084</v>
      </c>
      <c r="B2195" s="2" t="s">
        <v>25</v>
      </c>
      <c r="C2195" s="2" t="s">
        <v>146</v>
      </c>
      <c r="D2195">
        <v>13</v>
      </c>
      <c r="E2195" t="str">
        <f>_xlfn.CONCAT(makulatura4[[#This Row],[Imie]]," ",makulatura4[[#This Row],[Nazwisko]])</f>
        <v>Leon Price</v>
      </c>
    </row>
    <row r="2196" spans="1:5" x14ac:dyDescent="0.25">
      <c r="A2196" s="1">
        <v>43084</v>
      </c>
      <c r="B2196" s="2" t="s">
        <v>521</v>
      </c>
      <c r="C2196" s="2" t="s">
        <v>440</v>
      </c>
      <c r="D2196">
        <v>43</v>
      </c>
      <c r="E2196" t="str">
        <f>_xlfn.CONCAT(makulatura4[[#This Row],[Imie]]," ",makulatura4[[#This Row],[Nazwisko]])</f>
        <v>Bernard Madej</v>
      </c>
    </row>
    <row r="2197" spans="1:5" x14ac:dyDescent="0.25">
      <c r="A2197" s="1">
        <v>43087</v>
      </c>
      <c r="B2197" s="2" t="s">
        <v>47</v>
      </c>
      <c r="C2197" s="2" t="s">
        <v>192</v>
      </c>
      <c r="D2197">
        <v>31</v>
      </c>
      <c r="E2197" t="str">
        <f>_xlfn.CONCAT(makulatura4[[#This Row],[Imie]]," ",makulatura4[[#This Row],[Nazwisko]])</f>
        <v>Marek Nowakowski</v>
      </c>
    </row>
    <row r="2198" spans="1:5" x14ac:dyDescent="0.25">
      <c r="A2198" s="1">
        <v>43087</v>
      </c>
      <c r="B2198" s="2" t="s">
        <v>343</v>
      </c>
      <c r="C2198" s="2" t="s">
        <v>675</v>
      </c>
      <c r="D2198">
        <v>34</v>
      </c>
      <c r="E2198" t="str">
        <f>_xlfn.CONCAT(makulatura4[[#This Row],[Imie]]," ",makulatura4[[#This Row],[Nazwisko]])</f>
        <v>Izabela Draszczyk</v>
      </c>
    </row>
    <row r="2199" spans="1:5" x14ac:dyDescent="0.25">
      <c r="A2199" s="1">
        <v>43087</v>
      </c>
      <c r="B2199" s="2" t="s">
        <v>143</v>
      </c>
      <c r="C2199" s="2" t="s">
        <v>585</v>
      </c>
      <c r="D2199">
        <v>12</v>
      </c>
      <c r="E2199" t="str">
        <f>_xlfn.CONCAT(makulatura4[[#This Row],[Imie]]," ",makulatura4[[#This Row],[Nazwisko]])</f>
        <v>Przemyslaw Bajewski</v>
      </c>
    </row>
    <row r="2200" spans="1:5" x14ac:dyDescent="0.25">
      <c r="A2200" s="1">
        <v>43087</v>
      </c>
      <c r="B2200" s="2" t="s">
        <v>161</v>
      </c>
      <c r="C2200" s="2" t="s">
        <v>305</v>
      </c>
      <c r="D2200">
        <v>10</v>
      </c>
      <c r="E2200" t="str">
        <f>_xlfn.CONCAT(makulatura4[[#This Row],[Imie]]," ",makulatura4[[#This Row],[Nazwisko]])</f>
        <v>Anita Tych</v>
      </c>
    </row>
    <row r="2201" spans="1:5" x14ac:dyDescent="0.25">
      <c r="A2201" s="1">
        <v>43087</v>
      </c>
      <c r="B2201" s="2" t="s">
        <v>72</v>
      </c>
      <c r="C2201" s="2" t="s">
        <v>73</v>
      </c>
      <c r="D2201">
        <v>5</v>
      </c>
      <c r="E2201" t="str">
        <f>_xlfn.CONCAT(makulatura4[[#This Row],[Imie]]," ",makulatura4[[#This Row],[Nazwisko]])</f>
        <v>Teodor Fornal</v>
      </c>
    </row>
    <row r="2202" spans="1:5" x14ac:dyDescent="0.25">
      <c r="A2202" s="1">
        <v>43087</v>
      </c>
      <c r="B2202" s="2" t="s">
        <v>57</v>
      </c>
      <c r="C2202" s="2" t="s">
        <v>58</v>
      </c>
      <c r="D2202">
        <v>4</v>
      </c>
      <c r="E2202" t="str">
        <f>_xlfn.CONCAT(makulatura4[[#This Row],[Imie]]," ",makulatura4[[#This Row],[Nazwisko]])</f>
        <v>Patrycja Glowinska</v>
      </c>
    </row>
    <row r="2203" spans="1:5" x14ac:dyDescent="0.25">
      <c r="A2203" s="1">
        <v>43087</v>
      </c>
      <c r="B2203" s="2" t="s">
        <v>41</v>
      </c>
      <c r="C2203" s="2" t="s">
        <v>690</v>
      </c>
      <c r="D2203">
        <v>44</v>
      </c>
      <c r="E2203" t="str">
        <f>_xlfn.CONCAT(makulatura4[[#This Row],[Imie]]," ",makulatura4[[#This Row],[Nazwisko]])</f>
        <v>Marta Kolodziejczyk</v>
      </c>
    </row>
    <row r="2204" spans="1:5" x14ac:dyDescent="0.25">
      <c r="A2204" s="1">
        <v>43087</v>
      </c>
      <c r="B2204" s="2" t="s">
        <v>393</v>
      </c>
      <c r="C2204" s="2" t="s">
        <v>227</v>
      </c>
      <c r="D2204">
        <v>32</v>
      </c>
      <c r="E2204" t="str">
        <f>_xlfn.CONCAT(makulatura4[[#This Row],[Imie]]," ",makulatura4[[#This Row],[Nazwisko]])</f>
        <v>Kacper Nowak</v>
      </c>
    </row>
    <row r="2205" spans="1:5" x14ac:dyDescent="0.25">
      <c r="A2205" s="1">
        <v>43087</v>
      </c>
      <c r="B2205" s="2" t="s">
        <v>92</v>
      </c>
      <c r="C2205" s="2" t="s">
        <v>93</v>
      </c>
      <c r="D2205">
        <v>11</v>
      </c>
      <c r="E2205" t="str">
        <f>_xlfn.CONCAT(makulatura4[[#This Row],[Imie]]," ",makulatura4[[#This Row],[Nazwisko]])</f>
        <v>Paulina Szklarska</v>
      </c>
    </row>
    <row r="2206" spans="1:5" x14ac:dyDescent="0.25">
      <c r="A2206" s="1">
        <v>43087</v>
      </c>
      <c r="B2206" s="2" t="s">
        <v>152</v>
      </c>
      <c r="C2206" s="2" t="s">
        <v>534</v>
      </c>
      <c r="D2206">
        <v>33</v>
      </c>
      <c r="E2206" t="str">
        <f>_xlfn.CONCAT(makulatura4[[#This Row],[Imie]]," ",makulatura4[[#This Row],[Nazwisko]])</f>
        <v>Natalia Olkuska</v>
      </c>
    </row>
    <row r="2207" spans="1:5" x14ac:dyDescent="0.25">
      <c r="A2207" s="1">
        <v>43088</v>
      </c>
      <c r="B2207" s="2" t="s">
        <v>39</v>
      </c>
      <c r="C2207" s="2" t="s">
        <v>371</v>
      </c>
      <c r="D2207">
        <v>56</v>
      </c>
      <c r="E2207" t="str">
        <f>_xlfn.CONCAT(makulatura4[[#This Row],[Imie]]," ",makulatura4[[#This Row],[Nazwisko]])</f>
        <v>Jakub Marszalek</v>
      </c>
    </row>
    <row r="2208" spans="1:5" x14ac:dyDescent="0.25">
      <c r="A2208" s="1">
        <v>43088</v>
      </c>
      <c r="B2208" s="2" t="s">
        <v>117</v>
      </c>
      <c r="C2208" s="2" t="s">
        <v>118</v>
      </c>
      <c r="D2208">
        <v>3</v>
      </c>
      <c r="E2208" t="str">
        <f>_xlfn.CONCAT(makulatura4[[#This Row],[Imie]]," ",makulatura4[[#This Row],[Nazwisko]])</f>
        <v>Edward Snopek</v>
      </c>
    </row>
    <row r="2209" spans="1:5" x14ac:dyDescent="0.25">
      <c r="A2209" s="1">
        <v>43088</v>
      </c>
      <c r="B2209" s="2" t="s">
        <v>117</v>
      </c>
      <c r="C2209" s="2" t="s">
        <v>183</v>
      </c>
      <c r="D2209">
        <v>24</v>
      </c>
      <c r="E2209" t="str">
        <f>_xlfn.CONCAT(makulatura4[[#This Row],[Imie]]," ",makulatura4[[#This Row],[Nazwisko]])</f>
        <v>Edward Zdunek</v>
      </c>
    </row>
    <row r="2210" spans="1:5" x14ac:dyDescent="0.25">
      <c r="A2210" s="1">
        <v>43088</v>
      </c>
      <c r="B2210" s="2" t="s">
        <v>635</v>
      </c>
      <c r="C2210" s="2" t="s">
        <v>636</v>
      </c>
      <c r="D2210">
        <v>14</v>
      </c>
      <c r="E2210" t="str">
        <f>_xlfn.CONCAT(makulatura4[[#This Row],[Imie]]," ",makulatura4[[#This Row],[Nazwisko]])</f>
        <v>Lucja Zych</v>
      </c>
    </row>
    <row r="2211" spans="1:5" x14ac:dyDescent="0.25">
      <c r="A2211" s="1">
        <v>43088</v>
      </c>
      <c r="B2211" s="2" t="s">
        <v>393</v>
      </c>
      <c r="C2211" s="2" t="s">
        <v>686</v>
      </c>
      <c r="D2211">
        <v>42</v>
      </c>
      <c r="E2211" t="str">
        <f>_xlfn.CONCAT(makulatura4[[#This Row],[Imie]]," ",makulatura4[[#This Row],[Nazwisko]])</f>
        <v>Kacper Pioro</v>
      </c>
    </row>
    <row r="2212" spans="1:5" x14ac:dyDescent="0.25">
      <c r="A2212" s="1">
        <v>43088</v>
      </c>
      <c r="B2212" s="2" t="s">
        <v>63</v>
      </c>
      <c r="C2212" s="2" t="s">
        <v>105</v>
      </c>
      <c r="D2212">
        <v>21</v>
      </c>
      <c r="E2212" t="str">
        <f>_xlfn.CONCAT(makulatura4[[#This Row],[Imie]]," ",makulatura4[[#This Row],[Nazwisko]])</f>
        <v>Adrian Dulski</v>
      </c>
    </row>
    <row r="2213" spans="1:5" x14ac:dyDescent="0.25">
      <c r="A2213" s="1">
        <v>43088</v>
      </c>
      <c r="B2213" s="2" t="s">
        <v>232</v>
      </c>
      <c r="C2213" s="2" t="s">
        <v>526</v>
      </c>
      <c r="D2213">
        <v>4</v>
      </c>
      <c r="E2213" t="str">
        <f>_xlfn.CONCAT(makulatura4[[#This Row],[Imie]]," ",makulatura4[[#This Row],[Nazwisko]])</f>
        <v>Monika Trojan</v>
      </c>
    </row>
    <row r="2214" spans="1:5" x14ac:dyDescent="0.25">
      <c r="A2214" s="1">
        <v>43088</v>
      </c>
      <c r="B2214" s="2" t="s">
        <v>79</v>
      </c>
      <c r="C2214" s="2" t="s">
        <v>80</v>
      </c>
      <c r="D2214">
        <v>41</v>
      </c>
      <c r="E2214" t="str">
        <f>_xlfn.CONCAT(makulatura4[[#This Row],[Imie]]," ",makulatura4[[#This Row],[Nazwisko]])</f>
        <v>Adelajda Zylinska</v>
      </c>
    </row>
    <row r="2215" spans="1:5" x14ac:dyDescent="0.25">
      <c r="A2215" s="1">
        <v>43088</v>
      </c>
      <c r="B2215" s="2" t="s">
        <v>25</v>
      </c>
      <c r="C2215" s="2" t="s">
        <v>146</v>
      </c>
      <c r="D2215">
        <v>51</v>
      </c>
      <c r="E2215" t="str">
        <f>_xlfn.CONCAT(makulatura4[[#This Row],[Imie]]," ",makulatura4[[#This Row],[Nazwisko]])</f>
        <v>Leon Price</v>
      </c>
    </row>
    <row r="2216" spans="1:5" x14ac:dyDescent="0.25">
      <c r="A2216" s="1">
        <v>43089</v>
      </c>
      <c r="B2216" s="2" t="s">
        <v>34</v>
      </c>
      <c r="C2216" s="2" t="s">
        <v>679</v>
      </c>
      <c r="D2216">
        <v>29</v>
      </c>
      <c r="E2216" t="str">
        <f>_xlfn.CONCAT(makulatura4[[#This Row],[Imie]]," ",makulatura4[[#This Row],[Nazwisko]])</f>
        <v>Julia Samulczyk</v>
      </c>
    </row>
    <row r="2217" spans="1:5" x14ac:dyDescent="0.25">
      <c r="A2217" s="1">
        <v>43089</v>
      </c>
      <c r="B2217" s="2" t="s">
        <v>30</v>
      </c>
      <c r="C2217" s="2" t="s">
        <v>680</v>
      </c>
      <c r="D2217">
        <v>29</v>
      </c>
      <c r="E2217" t="str">
        <f>_xlfn.CONCAT(makulatura4[[#This Row],[Imie]]," ",makulatura4[[#This Row],[Nazwisko]])</f>
        <v>Maciej Wodecki</v>
      </c>
    </row>
    <row r="2218" spans="1:5" x14ac:dyDescent="0.25">
      <c r="A2218" s="1">
        <v>43089</v>
      </c>
      <c r="B2218" s="2" t="s">
        <v>453</v>
      </c>
      <c r="C2218" s="2" t="s">
        <v>454</v>
      </c>
      <c r="D2218">
        <v>22</v>
      </c>
      <c r="E2218" t="str">
        <f>_xlfn.CONCAT(makulatura4[[#This Row],[Imie]]," ",makulatura4[[#This Row],[Nazwisko]])</f>
        <v>Angelika Walaszek</v>
      </c>
    </row>
    <row r="2219" spans="1:5" x14ac:dyDescent="0.25">
      <c r="A2219" s="1">
        <v>43089</v>
      </c>
      <c r="B2219" s="2" t="s">
        <v>10</v>
      </c>
      <c r="C2219" s="2" t="s">
        <v>266</v>
      </c>
      <c r="D2219">
        <v>4</v>
      </c>
      <c r="E2219" t="str">
        <f>_xlfn.CONCAT(makulatura4[[#This Row],[Imie]]," ",makulatura4[[#This Row],[Nazwisko]])</f>
        <v>Katarzyna Wip</v>
      </c>
    </row>
    <row r="2220" spans="1:5" x14ac:dyDescent="0.25">
      <c r="A2220" s="1">
        <v>43089</v>
      </c>
      <c r="B2220" s="2" t="s">
        <v>208</v>
      </c>
      <c r="C2220" s="2" t="s">
        <v>697</v>
      </c>
      <c r="D2220">
        <v>34</v>
      </c>
      <c r="E2220" t="str">
        <f>_xlfn.CONCAT(makulatura4[[#This Row],[Imie]]," ",makulatura4[[#This Row],[Nazwisko]])</f>
        <v>Grzegorz Jackowski</v>
      </c>
    </row>
    <row r="2221" spans="1:5" x14ac:dyDescent="0.25">
      <c r="A2221" s="1">
        <v>43089</v>
      </c>
      <c r="B2221" s="2" t="s">
        <v>63</v>
      </c>
      <c r="C2221" s="2" t="s">
        <v>105</v>
      </c>
      <c r="D2221">
        <v>6</v>
      </c>
      <c r="E2221" t="str">
        <f>_xlfn.CONCAT(makulatura4[[#This Row],[Imie]]," ",makulatura4[[#This Row],[Nazwisko]])</f>
        <v>Adrian Dulski</v>
      </c>
    </row>
    <row r="2222" spans="1:5" x14ac:dyDescent="0.25">
      <c r="A2222" s="1">
        <v>43089</v>
      </c>
      <c r="B2222" s="2" t="s">
        <v>395</v>
      </c>
      <c r="C2222" s="2" t="s">
        <v>587</v>
      </c>
      <c r="D2222">
        <v>11</v>
      </c>
      <c r="E2222" t="str">
        <f>_xlfn.CONCAT(makulatura4[[#This Row],[Imie]]," ",makulatura4[[#This Row],[Nazwisko]])</f>
        <v>Tomasz Zbik</v>
      </c>
    </row>
    <row r="2223" spans="1:5" x14ac:dyDescent="0.25">
      <c r="A2223" s="1">
        <v>43089</v>
      </c>
      <c r="B2223" s="2" t="s">
        <v>275</v>
      </c>
      <c r="C2223" s="2" t="s">
        <v>276</v>
      </c>
      <c r="D2223">
        <v>9</v>
      </c>
      <c r="E2223" t="str">
        <f>_xlfn.CONCAT(makulatura4[[#This Row],[Imie]]," ",makulatura4[[#This Row],[Nazwisko]])</f>
        <v>Andrea Witkowska</v>
      </c>
    </row>
    <row r="2224" spans="1:5" x14ac:dyDescent="0.25">
      <c r="A2224" s="1">
        <v>43089</v>
      </c>
      <c r="B2224" s="2" t="s">
        <v>128</v>
      </c>
      <c r="C2224" s="2" t="s">
        <v>309</v>
      </c>
      <c r="D2224">
        <v>21</v>
      </c>
      <c r="E2224" t="str">
        <f>_xlfn.CONCAT(makulatura4[[#This Row],[Imie]]," ",makulatura4[[#This Row],[Nazwisko]])</f>
        <v>Wojciech Filipowicz</v>
      </c>
    </row>
    <row r="2225" spans="1:5" x14ac:dyDescent="0.25">
      <c r="A2225" s="1">
        <v>43090</v>
      </c>
      <c r="B2225" s="2" t="s">
        <v>574</v>
      </c>
      <c r="C2225" s="2" t="s">
        <v>607</v>
      </c>
      <c r="D2225">
        <v>26</v>
      </c>
      <c r="E2225" t="str">
        <f>_xlfn.CONCAT(makulatura4[[#This Row],[Imie]]," ",makulatura4[[#This Row],[Nazwisko]])</f>
        <v>Urszula Engel</v>
      </c>
    </row>
    <row r="2226" spans="1:5" x14ac:dyDescent="0.25">
      <c r="A2226" s="1">
        <v>43090</v>
      </c>
      <c r="B2226" s="2" t="s">
        <v>271</v>
      </c>
      <c r="C2226" s="2" t="s">
        <v>272</v>
      </c>
      <c r="D2226">
        <v>4</v>
      </c>
      <c r="E2226" t="str">
        <f>_xlfn.CONCAT(makulatura4[[#This Row],[Imie]]," ",makulatura4[[#This Row],[Nazwisko]])</f>
        <v>Olgierd Baranek</v>
      </c>
    </row>
    <row r="2227" spans="1:5" x14ac:dyDescent="0.25">
      <c r="A2227" s="1">
        <v>43090</v>
      </c>
      <c r="B2227" s="2" t="s">
        <v>30</v>
      </c>
      <c r="C2227" s="2" t="s">
        <v>432</v>
      </c>
      <c r="D2227">
        <v>18</v>
      </c>
      <c r="E2227" t="str">
        <f>_xlfn.CONCAT(makulatura4[[#This Row],[Imie]]," ",makulatura4[[#This Row],[Nazwisko]])</f>
        <v>Maciej Tasz</v>
      </c>
    </row>
    <row r="2228" spans="1:5" x14ac:dyDescent="0.25">
      <c r="A2228" s="1">
        <v>43090</v>
      </c>
      <c r="B2228" s="2" t="s">
        <v>150</v>
      </c>
      <c r="C2228" s="2" t="s">
        <v>462</v>
      </c>
      <c r="D2228">
        <v>27</v>
      </c>
      <c r="E2228" t="str">
        <f>_xlfn.CONCAT(makulatura4[[#This Row],[Imie]]," ",makulatura4[[#This Row],[Nazwisko]])</f>
        <v>Krzysztof Wloch</v>
      </c>
    </row>
    <row r="2229" spans="1:5" x14ac:dyDescent="0.25">
      <c r="A2229" s="1">
        <v>43090</v>
      </c>
      <c r="B2229" s="2" t="s">
        <v>521</v>
      </c>
      <c r="C2229" s="2" t="s">
        <v>440</v>
      </c>
      <c r="D2229">
        <v>15</v>
      </c>
      <c r="E2229" t="str">
        <f>_xlfn.CONCAT(makulatura4[[#This Row],[Imie]]," ",makulatura4[[#This Row],[Nazwisko]])</f>
        <v>Bernard Madej</v>
      </c>
    </row>
    <row r="2230" spans="1:5" x14ac:dyDescent="0.25">
      <c r="A2230" s="1">
        <v>43090</v>
      </c>
      <c r="B2230" s="2" t="s">
        <v>128</v>
      </c>
      <c r="C2230" s="2" t="s">
        <v>559</v>
      </c>
      <c r="D2230">
        <v>50</v>
      </c>
      <c r="E2230" t="str">
        <f>_xlfn.CONCAT(makulatura4[[#This Row],[Imie]]," ",makulatura4[[#This Row],[Nazwisko]])</f>
        <v>Wojciech Goc</v>
      </c>
    </row>
    <row r="2231" spans="1:5" x14ac:dyDescent="0.25">
      <c r="A2231" s="1">
        <v>43090</v>
      </c>
      <c r="B2231" s="2" t="s">
        <v>150</v>
      </c>
      <c r="C2231" s="2" t="s">
        <v>200</v>
      </c>
      <c r="D2231">
        <v>13</v>
      </c>
      <c r="E2231" t="str">
        <f>_xlfn.CONCAT(makulatura4[[#This Row],[Imie]]," ",makulatura4[[#This Row],[Nazwisko]])</f>
        <v>Krzysztof Madejski</v>
      </c>
    </row>
    <row r="2232" spans="1:5" x14ac:dyDescent="0.25">
      <c r="A2232" s="1">
        <v>43090</v>
      </c>
      <c r="B2232" s="2" t="s">
        <v>310</v>
      </c>
      <c r="C2232" s="2" t="s">
        <v>505</v>
      </c>
      <c r="D2232">
        <v>27</v>
      </c>
      <c r="E2232" t="str">
        <f>_xlfn.CONCAT(makulatura4[[#This Row],[Imie]]," ",makulatura4[[#This Row],[Nazwisko]])</f>
        <v>Antoni Wierzbicki</v>
      </c>
    </row>
    <row r="2233" spans="1:5" x14ac:dyDescent="0.25">
      <c r="A2233" s="1">
        <v>43090</v>
      </c>
      <c r="B2233" s="2" t="s">
        <v>137</v>
      </c>
      <c r="C2233" s="2" t="s">
        <v>138</v>
      </c>
      <c r="D2233">
        <v>7</v>
      </c>
      <c r="E2233" t="str">
        <f>_xlfn.CONCAT(makulatura4[[#This Row],[Imie]]," ",makulatura4[[#This Row],[Nazwisko]])</f>
        <v>Stanislaw Derek</v>
      </c>
    </row>
    <row r="2234" spans="1:5" x14ac:dyDescent="0.25">
      <c r="A2234" s="1">
        <v>43091</v>
      </c>
      <c r="B2234" s="2" t="s">
        <v>10</v>
      </c>
      <c r="C2234" s="2" t="s">
        <v>629</v>
      </c>
      <c r="D2234">
        <v>26</v>
      </c>
      <c r="E2234" t="str">
        <f>_xlfn.CONCAT(makulatura4[[#This Row],[Imie]]," ",makulatura4[[#This Row],[Nazwisko]])</f>
        <v>Katarzyna Aniec</v>
      </c>
    </row>
    <row r="2235" spans="1:5" x14ac:dyDescent="0.25">
      <c r="A2235" s="1">
        <v>43091</v>
      </c>
      <c r="B2235" s="2" t="s">
        <v>55</v>
      </c>
      <c r="C2235" s="2" t="s">
        <v>125</v>
      </c>
      <c r="D2235">
        <v>16</v>
      </c>
      <c r="E2235" t="str">
        <f>_xlfn.CONCAT(makulatura4[[#This Row],[Imie]]," ",makulatura4[[#This Row],[Nazwisko]])</f>
        <v>Anna Minska</v>
      </c>
    </row>
    <row r="2236" spans="1:5" x14ac:dyDescent="0.25">
      <c r="A2236" s="1">
        <v>43091</v>
      </c>
      <c r="B2236" s="2" t="s">
        <v>101</v>
      </c>
      <c r="C2236" s="2" t="s">
        <v>42</v>
      </c>
      <c r="D2236">
        <v>45</v>
      </c>
      <c r="E2236" t="str">
        <f>_xlfn.CONCAT(makulatura4[[#This Row],[Imie]]," ",makulatura4[[#This Row],[Nazwisko]])</f>
        <v>Maria Opolska</v>
      </c>
    </row>
    <row r="2237" spans="1:5" x14ac:dyDescent="0.25">
      <c r="A2237" s="1">
        <v>43091</v>
      </c>
      <c r="B2237" s="2" t="s">
        <v>346</v>
      </c>
      <c r="C2237" s="2" t="s">
        <v>669</v>
      </c>
      <c r="D2237">
        <v>34</v>
      </c>
      <c r="E2237" t="str">
        <f>_xlfn.CONCAT(makulatura4[[#This Row],[Imie]]," ",makulatura4[[#This Row],[Nazwisko]])</f>
        <v>Maksymilian Lewita</v>
      </c>
    </row>
    <row r="2238" spans="1:5" x14ac:dyDescent="0.25">
      <c r="A2238" s="1">
        <v>43091</v>
      </c>
      <c r="B2238" s="2" t="s">
        <v>36</v>
      </c>
      <c r="C2238" s="2" t="s">
        <v>474</v>
      </c>
      <c r="D2238">
        <v>10</v>
      </c>
      <c r="E2238" t="str">
        <f>_xlfn.CONCAT(makulatura4[[#This Row],[Imie]]," ",makulatura4[[#This Row],[Nazwisko]])</f>
        <v>Piotr Duszota</v>
      </c>
    </row>
    <row r="2239" spans="1:5" x14ac:dyDescent="0.25">
      <c r="A2239" s="1">
        <v>43091</v>
      </c>
      <c r="B2239" s="2" t="s">
        <v>541</v>
      </c>
      <c r="C2239" s="2" t="s">
        <v>542</v>
      </c>
      <c r="D2239">
        <v>55</v>
      </c>
      <c r="E2239" t="str">
        <f>_xlfn.CONCAT(makulatura4[[#This Row],[Imie]]," ",makulatura4[[#This Row],[Nazwisko]])</f>
        <v>Leslaw Kupis</v>
      </c>
    </row>
    <row r="2240" spans="1:5" x14ac:dyDescent="0.25">
      <c r="A2240" s="1">
        <v>43091</v>
      </c>
      <c r="B2240" s="2" t="s">
        <v>18</v>
      </c>
      <c r="C2240" s="2" t="s">
        <v>19</v>
      </c>
      <c r="D2240">
        <v>17</v>
      </c>
      <c r="E2240" t="str">
        <f>_xlfn.CONCAT(makulatura4[[#This Row],[Imie]]," ",makulatura4[[#This Row],[Nazwisko]])</f>
        <v>Filip Spychala</v>
      </c>
    </row>
    <row r="2241" spans="1:5" x14ac:dyDescent="0.25">
      <c r="A2241" s="1">
        <v>43091</v>
      </c>
      <c r="B2241" s="2" t="s">
        <v>114</v>
      </c>
      <c r="C2241" s="2" t="s">
        <v>173</v>
      </c>
      <c r="D2241">
        <v>13</v>
      </c>
      <c r="E2241" t="str">
        <f>_xlfn.CONCAT(makulatura4[[#This Row],[Imie]]," ",makulatura4[[#This Row],[Nazwisko]])</f>
        <v>Jaroslaw Kopiec</v>
      </c>
    </row>
    <row r="2242" spans="1:5" x14ac:dyDescent="0.25">
      <c r="A2242" s="1">
        <v>43091</v>
      </c>
      <c r="B2242" s="2" t="s">
        <v>128</v>
      </c>
      <c r="C2242" s="2" t="s">
        <v>677</v>
      </c>
      <c r="D2242">
        <v>55</v>
      </c>
      <c r="E2242" t="str">
        <f>_xlfn.CONCAT(makulatura4[[#This Row],[Imie]]," ",makulatura4[[#This Row],[Nazwisko]])</f>
        <v>Wojciech Kulakowski</v>
      </c>
    </row>
    <row r="2243" spans="1:5" x14ac:dyDescent="0.25">
      <c r="A2243" s="1">
        <v>43096</v>
      </c>
      <c r="B2243" s="2" t="s">
        <v>83</v>
      </c>
      <c r="C2243" s="2" t="s">
        <v>110</v>
      </c>
      <c r="D2243">
        <v>45</v>
      </c>
      <c r="E2243" t="str">
        <f>_xlfn.CONCAT(makulatura4[[#This Row],[Imie]]," ",makulatura4[[#This Row],[Nazwisko]])</f>
        <v>Jan Inny</v>
      </c>
    </row>
    <row r="2244" spans="1:5" x14ac:dyDescent="0.25">
      <c r="A2244" s="1">
        <v>43096</v>
      </c>
      <c r="B2244" s="2" t="s">
        <v>317</v>
      </c>
      <c r="C2244" s="2" t="s">
        <v>318</v>
      </c>
      <c r="D2244">
        <v>8</v>
      </c>
      <c r="E2244" t="str">
        <f>_xlfn.CONCAT(makulatura4[[#This Row],[Imie]]," ",makulatura4[[#This Row],[Nazwisko]])</f>
        <v>Bohdan Gigant</v>
      </c>
    </row>
    <row r="2245" spans="1:5" x14ac:dyDescent="0.25">
      <c r="A2245" s="1">
        <v>43096</v>
      </c>
      <c r="B2245" s="2" t="s">
        <v>395</v>
      </c>
      <c r="C2245" s="2" t="s">
        <v>587</v>
      </c>
      <c r="D2245">
        <v>6</v>
      </c>
      <c r="E2245" t="str">
        <f>_xlfn.CONCAT(makulatura4[[#This Row],[Imie]]," ",makulatura4[[#This Row],[Nazwisko]])</f>
        <v>Tomasz Zbik</v>
      </c>
    </row>
    <row r="2246" spans="1:5" x14ac:dyDescent="0.25">
      <c r="A2246" s="1">
        <v>43096</v>
      </c>
      <c r="B2246" s="2" t="s">
        <v>176</v>
      </c>
      <c r="C2246" s="2" t="s">
        <v>693</v>
      </c>
      <c r="D2246">
        <v>11</v>
      </c>
      <c r="E2246" t="str">
        <f>_xlfn.CONCAT(makulatura4[[#This Row],[Imie]]," ",makulatura4[[#This Row],[Nazwisko]])</f>
        <v>Kinga Famura</v>
      </c>
    </row>
    <row r="2247" spans="1:5" x14ac:dyDescent="0.25">
      <c r="A2247" s="1">
        <v>43096</v>
      </c>
      <c r="B2247" s="2" t="s">
        <v>623</v>
      </c>
      <c r="C2247" s="2" t="s">
        <v>624</v>
      </c>
      <c r="D2247">
        <v>29</v>
      </c>
      <c r="E2247" t="str">
        <f>_xlfn.CONCAT(makulatura4[[#This Row],[Imie]]," ",makulatura4[[#This Row],[Nazwisko]])</f>
        <v>Marlena Mazar</v>
      </c>
    </row>
    <row r="2248" spans="1:5" x14ac:dyDescent="0.25">
      <c r="A2248" s="1">
        <v>43096</v>
      </c>
      <c r="B2248" s="2" t="s">
        <v>27</v>
      </c>
      <c r="C2248" s="2" t="s">
        <v>446</v>
      </c>
      <c r="D2248">
        <v>10</v>
      </c>
      <c r="E2248" t="str">
        <f>_xlfn.CONCAT(makulatura4[[#This Row],[Imie]]," ",makulatura4[[#This Row],[Nazwisko]])</f>
        <v>Jerzy Pawiec</v>
      </c>
    </row>
    <row r="2249" spans="1:5" x14ac:dyDescent="0.25">
      <c r="A2249" s="1">
        <v>43096</v>
      </c>
      <c r="B2249" s="2" t="s">
        <v>83</v>
      </c>
      <c r="C2249" s="2" t="s">
        <v>591</v>
      </c>
      <c r="D2249">
        <v>38</v>
      </c>
      <c r="E2249" t="str">
        <f>_xlfn.CONCAT(makulatura4[[#This Row],[Imie]]," ",makulatura4[[#This Row],[Nazwisko]])</f>
        <v>Jan Kildanowski</v>
      </c>
    </row>
    <row r="2250" spans="1:5" x14ac:dyDescent="0.25">
      <c r="A2250" s="1">
        <v>43096</v>
      </c>
      <c r="B2250" s="2" t="s">
        <v>69</v>
      </c>
      <c r="C2250" s="2" t="s">
        <v>461</v>
      </c>
      <c r="D2250">
        <v>8</v>
      </c>
      <c r="E2250" t="str">
        <f>_xlfn.CONCAT(makulatura4[[#This Row],[Imie]]," ",makulatura4[[#This Row],[Nazwisko]])</f>
        <v>Adam Borkowski</v>
      </c>
    </row>
    <row r="2251" spans="1:5" x14ac:dyDescent="0.25">
      <c r="A2251" s="1">
        <v>43096</v>
      </c>
      <c r="B2251" s="2" t="s">
        <v>14</v>
      </c>
      <c r="C2251" s="2" t="s">
        <v>422</v>
      </c>
      <c r="D2251">
        <v>19</v>
      </c>
      <c r="E2251" t="str">
        <f>_xlfn.CONCAT(makulatura4[[#This Row],[Imie]]," ",makulatura4[[#This Row],[Nazwisko]])</f>
        <v>Patryk Glac</v>
      </c>
    </row>
    <row r="2252" spans="1:5" x14ac:dyDescent="0.25">
      <c r="A2252" s="1">
        <v>43097</v>
      </c>
      <c r="B2252" s="2" t="s">
        <v>27</v>
      </c>
      <c r="C2252" s="2" t="s">
        <v>446</v>
      </c>
      <c r="D2252">
        <v>22</v>
      </c>
      <c r="E2252" t="str">
        <f>_xlfn.CONCAT(makulatura4[[#This Row],[Imie]]," ",makulatura4[[#This Row],[Nazwisko]])</f>
        <v>Jerzy Pawiec</v>
      </c>
    </row>
    <row r="2253" spans="1:5" x14ac:dyDescent="0.25">
      <c r="A2253" s="1">
        <v>43097</v>
      </c>
      <c r="B2253" s="2" t="s">
        <v>174</v>
      </c>
      <c r="C2253" s="2" t="s">
        <v>424</v>
      </c>
      <c r="D2253">
        <v>12</v>
      </c>
      <c r="E2253" t="str">
        <f>_xlfn.CONCAT(makulatura4[[#This Row],[Imie]]," ",makulatura4[[#This Row],[Nazwisko]])</f>
        <v>Dorota Tarnowska</v>
      </c>
    </row>
    <row r="2254" spans="1:5" x14ac:dyDescent="0.25">
      <c r="A2254" s="1">
        <v>43097</v>
      </c>
      <c r="B2254" s="2" t="s">
        <v>278</v>
      </c>
      <c r="C2254" s="2" t="s">
        <v>202</v>
      </c>
      <c r="D2254">
        <v>7</v>
      </c>
      <c r="E2254" t="str">
        <f>_xlfn.CONCAT(makulatura4[[#This Row],[Imie]]," ",makulatura4[[#This Row],[Nazwisko]])</f>
        <v>Janusz Wrobel</v>
      </c>
    </row>
    <row r="2255" spans="1:5" x14ac:dyDescent="0.25">
      <c r="A2255" s="1">
        <v>43097</v>
      </c>
      <c r="B2255" s="2" t="s">
        <v>39</v>
      </c>
      <c r="C2255" s="2" t="s">
        <v>391</v>
      </c>
      <c r="D2255">
        <v>17</v>
      </c>
      <c r="E2255" t="str">
        <f>_xlfn.CONCAT(makulatura4[[#This Row],[Imie]]," ",makulatura4[[#This Row],[Nazwisko]])</f>
        <v>Jakub Porydzaj</v>
      </c>
    </row>
    <row r="2256" spans="1:5" x14ac:dyDescent="0.25">
      <c r="A2256" s="1">
        <v>43097</v>
      </c>
      <c r="B2256" s="2" t="s">
        <v>150</v>
      </c>
      <c r="C2256" s="2" t="s">
        <v>462</v>
      </c>
      <c r="D2256">
        <v>29</v>
      </c>
      <c r="E2256" t="str">
        <f>_xlfn.CONCAT(makulatura4[[#This Row],[Imie]]," ",makulatura4[[#This Row],[Nazwisko]])</f>
        <v>Krzysztof Wloch</v>
      </c>
    </row>
    <row r="2257" spans="1:5" x14ac:dyDescent="0.25">
      <c r="A2257" s="1">
        <v>43097</v>
      </c>
      <c r="B2257" s="2" t="s">
        <v>219</v>
      </c>
      <c r="C2257" s="2" t="s">
        <v>543</v>
      </c>
      <c r="D2257">
        <v>9</v>
      </c>
      <c r="E2257" t="str">
        <f>_xlfn.CONCAT(makulatura4[[#This Row],[Imie]]," ",makulatura4[[#This Row],[Nazwisko]])</f>
        <v>Beata Mirowska</v>
      </c>
    </row>
    <row r="2258" spans="1:5" x14ac:dyDescent="0.25">
      <c r="A2258" s="1">
        <v>43097</v>
      </c>
      <c r="B2258" s="2" t="s">
        <v>427</v>
      </c>
      <c r="C2258" s="2" t="s">
        <v>428</v>
      </c>
      <c r="D2258">
        <v>21</v>
      </c>
      <c r="E2258" t="str">
        <f>_xlfn.CONCAT(makulatura4[[#This Row],[Imie]]," ",makulatura4[[#This Row],[Nazwisko]])</f>
        <v>Julian Lisowski</v>
      </c>
    </row>
    <row r="2259" spans="1:5" x14ac:dyDescent="0.25">
      <c r="A2259" s="1">
        <v>43097</v>
      </c>
      <c r="B2259" s="2" t="s">
        <v>106</v>
      </c>
      <c r="C2259" s="2" t="s">
        <v>602</v>
      </c>
      <c r="D2259">
        <v>10</v>
      </c>
      <c r="E2259" t="str">
        <f>_xlfn.CONCAT(makulatura4[[#This Row],[Imie]]," ",makulatura4[[#This Row],[Nazwisko]])</f>
        <v>Lena Mrozik</v>
      </c>
    </row>
    <row r="2260" spans="1:5" x14ac:dyDescent="0.25">
      <c r="A2260" s="1">
        <v>43097</v>
      </c>
      <c r="B2260" s="2" t="s">
        <v>219</v>
      </c>
      <c r="C2260" s="2" t="s">
        <v>220</v>
      </c>
      <c r="D2260">
        <v>30</v>
      </c>
      <c r="E2260" t="str">
        <f>_xlfn.CONCAT(makulatura4[[#This Row],[Imie]]," ",makulatura4[[#This Row],[Nazwisko]])</f>
        <v>Beata Lubelska</v>
      </c>
    </row>
    <row r="2261" spans="1:5" x14ac:dyDescent="0.25">
      <c r="A2261" s="1">
        <v>43098</v>
      </c>
      <c r="B2261" s="2" t="s">
        <v>95</v>
      </c>
      <c r="C2261" s="2" t="s">
        <v>96</v>
      </c>
      <c r="D2261">
        <v>14</v>
      </c>
      <c r="E2261" t="str">
        <f>_xlfn.CONCAT(makulatura4[[#This Row],[Imie]]," ",makulatura4[[#This Row],[Nazwisko]])</f>
        <v>Dominik Szczucki</v>
      </c>
    </row>
    <row r="2262" spans="1:5" x14ac:dyDescent="0.25">
      <c r="A2262" s="1">
        <v>43098</v>
      </c>
      <c r="B2262" s="2" t="s">
        <v>232</v>
      </c>
      <c r="C2262" s="2" t="s">
        <v>451</v>
      </c>
      <c r="D2262">
        <v>15</v>
      </c>
      <c r="E2262" t="str">
        <f>_xlfn.CONCAT(makulatura4[[#This Row],[Imie]]," ",makulatura4[[#This Row],[Nazwisko]])</f>
        <v>Monika Bialkowska</v>
      </c>
    </row>
    <row r="2263" spans="1:5" x14ac:dyDescent="0.25">
      <c r="A2263" s="1">
        <v>43098</v>
      </c>
      <c r="B2263" s="2" t="s">
        <v>16</v>
      </c>
      <c r="C2263" s="2" t="s">
        <v>17</v>
      </c>
      <c r="D2263">
        <v>24</v>
      </c>
      <c r="E2263" t="str">
        <f>_xlfn.CONCAT(makulatura4[[#This Row],[Imie]]," ",makulatura4[[#This Row],[Nazwisko]])</f>
        <v>Balbina Boryczko</v>
      </c>
    </row>
    <row r="2264" spans="1:5" x14ac:dyDescent="0.25">
      <c r="A2264" s="1">
        <v>43098</v>
      </c>
      <c r="B2264" s="2" t="s">
        <v>193</v>
      </c>
      <c r="C2264" s="2" t="s">
        <v>194</v>
      </c>
      <c r="D2264">
        <v>26</v>
      </c>
      <c r="E2264" t="str">
        <f>_xlfn.CONCAT(makulatura4[[#This Row],[Imie]]," ",makulatura4[[#This Row],[Nazwisko]])</f>
        <v>Karolina Welc</v>
      </c>
    </row>
    <row r="2265" spans="1:5" x14ac:dyDescent="0.25">
      <c r="A2265" s="1">
        <v>43098</v>
      </c>
      <c r="B2265" s="2" t="s">
        <v>47</v>
      </c>
      <c r="C2265" s="2" t="s">
        <v>336</v>
      </c>
      <c r="D2265">
        <v>22</v>
      </c>
      <c r="E2265" t="str">
        <f>_xlfn.CONCAT(makulatura4[[#This Row],[Imie]]," ",makulatura4[[#This Row],[Nazwisko]])</f>
        <v>Marek Janowski</v>
      </c>
    </row>
    <row r="2266" spans="1:5" x14ac:dyDescent="0.25">
      <c r="A2266" s="1">
        <v>43098</v>
      </c>
      <c r="B2266" s="2" t="s">
        <v>101</v>
      </c>
      <c r="C2266" s="2" t="s">
        <v>701</v>
      </c>
      <c r="D2266">
        <v>35</v>
      </c>
      <c r="E2266" t="str">
        <f>_xlfn.CONCAT(makulatura4[[#This Row],[Imie]]," ",makulatura4[[#This Row],[Nazwisko]])</f>
        <v>Maria Orlicka</v>
      </c>
    </row>
    <row r="2267" spans="1:5" x14ac:dyDescent="0.25">
      <c r="A2267" s="1">
        <v>43098</v>
      </c>
      <c r="B2267" s="2" t="s">
        <v>143</v>
      </c>
      <c r="C2267" s="2" t="s">
        <v>585</v>
      </c>
      <c r="D2267">
        <v>21</v>
      </c>
      <c r="E2267" t="str">
        <f>_xlfn.CONCAT(makulatura4[[#This Row],[Imie]]," ",makulatura4[[#This Row],[Nazwisko]])</f>
        <v>Przemyslaw Bajewski</v>
      </c>
    </row>
    <row r="2268" spans="1:5" x14ac:dyDescent="0.25">
      <c r="A2268" s="1">
        <v>43098</v>
      </c>
      <c r="B2268" s="2" t="s">
        <v>114</v>
      </c>
      <c r="C2268" s="2" t="s">
        <v>115</v>
      </c>
      <c r="D2268">
        <v>16</v>
      </c>
      <c r="E2268" t="str">
        <f>_xlfn.CONCAT(makulatura4[[#This Row],[Imie]]," ",makulatura4[[#This Row],[Nazwisko]])</f>
        <v>Jaroslaw Bicz</v>
      </c>
    </row>
    <row r="2269" spans="1:5" x14ac:dyDescent="0.25">
      <c r="A2269" s="1">
        <v>43098</v>
      </c>
      <c r="B2269" s="2" t="s">
        <v>193</v>
      </c>
      <c r="C2269" s="2" t="s">
        <v>555</v>
      </c>
      <c r="D2269">
        <v>48</v>
      </c>
      <c r="E2269" t="str">
        <f>_xlfn.CONCAT(makulatura4[[#This Row],[Imie]]," ",makulatura4[[#This Row],[Nazwisko]])</f>
        <v>Karolina Bok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FDFF-3105-4590-8246-49BA253072A7}">
  <dimension ref="A1:I2269"/>
  <sheetViews>
    <sheetView workbookViewId="0">
      <selection activeCell="I2" sqref="I2"/>
    </sheetView>
  </sheetViews>
  <sheetFormatPr defaultRowHeight="15" x14ac:dyDescent="0.25"/>
  <cols>
    <col min="1" max="1" width="19.7109375" bestFit="1" customWidth="1"/>
    <col min="2" max="2" width="12.140625" bestFit="1" customWidth="1"/>
    <col min="3" max="3" width="14.85546875" bestFit="1" customWidth="1"/>
    <col min="4" max="4" width="20.28515625" bestFit="1" customWidth="1"/>
    <col min="5" max="5" width="16.42578125" bestFit="1" customWidth="1"/>
    <col min="6" max="6" width="19.28515625" bestFit="1" customWidth="1"/>
    <col min="7" max="8" width="14.28515625" bestFit="1" customWidth="1"/>
    <col min="9" max="9" width="2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1308</v>
      </c>
      <c r="F1" t="s">
        <v>1310</v>
      </c>
      <c r="H1" s="3" t="s">
        <v>1309</v>
      </c>
      <c r="I1" t="s">
        <v>1311</v>
      </c>
    </row>
    <row r="2" spans="1:9" x14ac:dyDescent="0.25">
      <c r="A2" s="1">
        <v>42737</v>
      </c>
      <c r="B2" s="2" t="s">
        <v>4</v>
      </c>
      <c r="C2" s="2" t="s">
        <v>5</v>
      </c>
      <c r="D2">
        <v>2</v>
      </c>
      <c r="E2">
        <f>WEEKDAY(makulatura5[[#This Row],[Data_dostarczenia]],2)</f>
        <v>1</v>
      </c>
      <c r="F2" s="2">
        <f t="shared" ref="F2:F65" si="0">IF(A3=A2,0,1)</f>
        <v>0</v>
      </c>
      <c r="H2" s="8">
        <v>2</v>
      </c>
      <c r="I2" s="7">
        <v>51</v>
      </c>
    </row>
    <row r="3" spans="1:9" x14ac:dyDescent="0.25">
      <c r="A3" s="1">
        <v>42737</v>
      </c>
      <c r="B3" s="2" t="s">
        <v>6</v>
      </c>
      <c r="C3" s="2" t="s">
        <v>7</v>
      </c>
      <c r="D3">
        <v>51</v>
      </c>
      <c r="E3">
        <f>WEEKDAY(makulatura5[[#This Row],[Data_dostarczenia]],2)</f>
        <v>1</v>
      </c>
      <c r="F3" s="2">
        <f t="shared" si="0"/>
        <v>0</v>
      </c>
      <c r="H3" s="4">
        <v>3</v>
      </c>
      <c r="I3" s="2">
        <v>52</v>
      </c>
    </row>
    <row r="4" spans="1:9" x14ac:dyDescent="0.25">
      <c r="A4" s="1">
        <v>42737</v>
      </c>
      <c r="B4" s="2" t="s">
        <v>8</v>
      </c>
      <c r="C4" s="2" t="s">
        <v>9</v>
      </c>
      <c r="D4">
        <v>41</v>
      </c>
      <c r="E4">
        <f>WEEKDAY(makulatura5[[#This Row],[Data_dostarczenia]],2)</f>
        <v>1</v>
      </c>
      <c r="F4" s="2">
        <f t="shared" si="0"/>
        <v>0</v>
      </c>
      <c r="H4" s="4">
        <v>4</v>
      </c>
      <c r="I4" s="2">
        <v>52</v>
      </c>
    </row>
    <row r="5" spans="1:9" x14ac:dyDescent="0.25">
      <c r="A5" s="1">
        <v>42737</v>
      </c>
      <c r="B5" s="2" t="s">
        <v>10</v>
      </c>
      <c r="C5" s="2" t="s">
        <v>11</v>
      </c>
      <c r="D5">
        <v>7</v>
      </c>
      <c r="E5">
        <f>WEEKDAY(makulatura5[[#This Row],[Data_dostarczenia]],2)</f>
        <v>1</v>
      </c>
      <c r="F5" s="2">
        <f t="shared" si="0"/>
        <v>0</v>
      </c>
      <c r="H5" s="4">
        <v>5</v>
      </c>
      <c r="I5" s="2">
        <v>52</v>
      </c>
    </row>
    <row r="6" spans="1:9" x14ac:dyDescent="0.25">
      <c r="A6" s="1">
        <v>42737</v>
      </c>
      <c r="B6" s="2" t="s">
        <v>12</v>
      </c>
      <c r="C6" s="2" t="s">
        <v>13</v>
      </c>
      <c r="D6">
        <v>46</v>
      </c>
      <c r="E6">
        <f>WEEKDAY(makulatura5[[#This Row],[Data_dostarczenia]],2)</f>
        <v>1</v>
      </c>
      <c r="F6" s="2">
        <f t="shared" si="0"/>
        <v>0</v>
      </c>
      <c r="H6" s="4">
        <v>1</v>
      </c>
      <c r="I6" s="2">
        <v>51</v>
      </c>
    </row>
    <row r="7" spans="1:9" x14ac:dyDescent="0.25">
      <c r="A7" s="1">
        <v>42737</v>
      </c>
      <c r="B7" s="2" t="s">
        <v>14</v>
      </c>
      <c r="C7" s="2" t="s">
        <v>15</v>
      </c>
      <c r="D7">
        <v>12</v>
      </c>
      <c r="E7">
        <f>WEEKDAY(makulatura5[[#This Row],[Data_dostarczenia]],2)</f>
        <v>1</v>
      </c>
      <c r="F7" s="2">
        <f t="shared" si="0"/>
        <v>0</v>
      </c>
      <c r="H7" s="4" t="s">
        <v>703</v>
      </c>
      <c r="I7" s="2">
        <v>258</v>
      </c>
    </row>
    <row r="8" spans="1:9" x14ac:dyDescent="0.25">
      <c r="A8" s="1">
        <v>42737</v>
      </c>
      <c r="B8" s="2" t="s">
        <v>16</v>
      </c>
      <c r="C8" s="2" t="s">
        <v>17</v>
      </c>
      <c r="D8">
        <v>54</v>
      </c>
      <c r="E8">
        <f>WEEKDAY(makulatura5[[#This Row],[Data_dostarczenia]],2)</f>
        <v>1</v>
      </c>
      <c r="F8" s="2">
        <f t="shared" si="0"/>
        <v>0</v>
      </c>
    </row>
    <row r="9" spans="1:9" x14ac:dyDescent="0.25">
      <c r="A9" s="1">
        <v>42737</v>
      </c>
      <c r="B9" s="2" t="s">
        <v>18</v>
      </c>
      <c r="C9" s="2" t="s">
        <v>19</v>
      </c>
      <c r="D9">
        <v>55</v>
      </c>
      <c r="E9">
        <f>WEEKDAY(makulatura5[[#This Row],[Data_dostarczenia]],2)</f>
        <v>1</v>
      </c>
      <c r="F9" s="2">
        <f t="shared" si="0"/>
        <v>0</v>
      </c>
    </row>
    <row r="10" spans="1:9" x14ac:dyDescent="0.25">
      <c r="A10" s="1">
        <v>42737</v>
      </c>
      <c r="B10" s="2" t="s">
        <v>20</v>
      </c>
      <c r="C10" s="2" t="s">
        <v>21</v>
      </c>
      <c r="D10">
        <v>45</v>
      </c>
      <c r="E10">
        <f>WEEKDAY(makulatura5[[#This Row],[Data_dostarczenia]],2)</f>
        <v>1</v>
      </c>
      <c r="F10" s="2">
        <f t="shared" si="0"/>
        <v>0</v>
      </c>
    </row>
    <row r="11" spans="1:9" x14ac:dyDescent="0.25">
      <c r="A11" s="1">
        <v>42737</v>
      </c>
      <c r="B11" s="2" t="s">
        <v>4</v>
      </c>
      <c r="C11" s="2" t="s">
        <v>22</v>
      </c>
      <c r="D11">
        <v>3</v>
      </c>
      <c r="E11">
        <f>WEEKDAY(makulatura5[[#This Row],[Data_dostarczenia]],2)</f>
        <v>1</v>
      </c>
      <c r="F11" s="2">
        <f t="shared" si="0"/>
        <v>1</v>
      </c>
    </row>
    <row r="12" spans="1:9" x14ac:dyDescent="0.25">
      <c r="A12" s="1">
        <v>42738</v>
      </c>
      <c r="B12" s="2" t="s">
        <v>23</v>
      </c>
      <c r="C12" s="2" t="s">
        <v>24</v>
      </c>
      <c r="D12">
        <v>6</v>
      </c>
      <c r="E12">
        <f>WEEKDAY(makulatura5[[#This Row],[Data_dostarczenia]],2)</f>
        <v>2</v>
      </c>
      <c r="F12" s="2">
        <f t="shared" si="0"/>
        <v>0</v>
      </c>
    </row>
    <row r="13" spans="1:9" x14ac:dyDescent="0.25">
      <c r="A13" s="1">
        <v>42738</v>
      </c>
      <c r="B13" s="2" t="s">
        <v>25</v>
      </c>
      <c r="C13" s="2" t="s">
        <v>26</v>
      </c>
      <c r="D13">
        <v>23</v>
      </c>
      <c r="E13">
        <f>WEEKDAY(makulatura5[[#This Row],[Data_dostarczenia]],2)</f>
        <v>2</v>
      </c>
      <c r="F13" s="2">
        <f t="shared" si="0"/>
        <v>0</v>
      </c>
    </row>
    <row r="14" spans="1:9" x14ac:dyDescent="0.25">
      <c r="A14" s="1">
        <v>42738</v>
      </c>
      <c r="B14" s="2" t="s">
        <v>27</v>
      </c>
      <c r="C14" s="2" t="s">
        <v>28</v>
      </c>
      <c r="D14">
        <v>53</v>
      </c>
      <c r="E14">
        <f>WEEKDAY(makulatura5[[#This Row],[Data_dostarczenia]],2)</f>
        <v>2</v>
      </c>
      <c r="F14" s="2">
        <f t="shared" si="0"/>
        <v>0</v>
      </c>
    </row>
    <row r="15" spans="1:9" x14ac:dyDescent="0.25">
      <c r="A15" s="1">
        <v>42738</v>
      </c>
      <c r="B15" s="2" t="s">
        <v>18</v>
      </c>
      <c r="C15" s="2" t="s">
        <v>29</v>
      </c>
      <c r="D15">
        <v>15</v>
      </c>
      <c r="E15">
        <f>WEEKDAY(makulatura5[[#This Row],[Data_dostarczenia]],2)</f>
        <v>2</v>
      </c>
      <c r="F15" s="2">
        <f t="shared" si="0"/>
        <v>0</v>
      </c>
    </row>
    <row r="16" spans="1:9" x14ac:dyDescent="0.25">
      <c r="A16" s="1">
        <v>42738</v>
      </c>
      <c r="B16" s="2" t="s">
        <v>30</v>
      </c>
      <c r="C16" s="2" t="s">
        <v>31</v>
      </c>
      <c r="D16">
        <v>44</v>
      </c>
      <c r="E16">
        <f>WEEKDAY(makulatura5[[#This Row],[Data_dostarczenia]],2)</f>
        <v>2</v>
      </c>
      <c r="F16" s="2">
        <f t="shared" si="0"/>
        <v>0</v>
      </c>
    </row>
    <row r="17" spans="1:6" x14ac:dyDescent="0.25">
      <c r="A17" s="1">
        <v>42738</v>
      </c>
      <c r="B17" s="2" t="s">
        <v>32</v>
      </c>
      <c r="C17" s="2" t="s">
        <v>33</v>
      </c>
      <c r="D17">
        <v>14</v>
      </c>
      <c r="E17">
        <f>WEEKDAY(makulatura5[[#This Row],[Data_dostarczenia]],2)</f>
        <v>2</v>
      </c>
      <c r="F17" s="2">
        <f t="shared" si="0"/>
        <v>0</v>
      </c>
    </row>
    <row r="18" spans="1:6" x14ac:dyDescent="0.25">
      <c r="A18" s="1">
        <v>42738</v>
      </c>
      <c r="B18" s="2" t="s">
        <v>34</v>
      </c>
      <c r="C18" s="2" t="s">
        <v>35</v>
      </c>
      <c r="D18">
        <v>26</v>
      </c>
      <c r="E18">
        <f>WEEKDAY(makulatura5[[#This Row],[Data_dostarczenia]],2)</f>
        <v>2</v>
      </c>
      <c r="F18" s="2">
        <f t="shared" si="0"/>
        <v>0</v>
      </c>
    </row>
    <row r="19" spans="1:6" x14ac:dyDescent="0.25">
      <c r="A19" s="1">
        <v>42738</v>
      </c>
      <c r="B19" s="2" t="s">
        <v>36</v>
      </c>
      <c r="C19" s="2" t="s">
        <v>37</v>
      </c>
      <c r="D19">
        <v>19</v>
      </c>
      <c r="E19">
        <f>WEEKDAY(makulatura5[[#This Row],[Data_dostarczenia]],2)</f>
        <v>2</v>
      </c>
      <c r="F19" s="2">
        <f t="shared" si="0"/>
        <v>0</v>
      </c>
    </row>
    <row r="20" spans="1:6" x14ac:dyDescent="0.25">
      <c r="A20" s="1">
        <v>42738</v>
      </c>
      <c r="B20" s="2" t="s">
        <v>12</v>
      </c>
      <c r="C20" s="2" t="s">
        <v>38</v>
      </c>
      <c r="D20">
        <v>14</v>
      </c>
      <c r="E20">
        <f>WEEKDAY(makulatura5[[#This Row],[Data_dostarczenia]],2)</f>
        <v>2</v>
      </c>
      <c r="F20" s="2">
        <f t="shared" si="0"/>
        <v>1</v>
      </c>
    </row>
    <row r="21" spans="1:6" x14ac:dyDescent="0.25">
      <c r="A21" s="1">
        <v>42739</v>
      </c>
      <c r="B21" s="2" t="s">
        <v>39</v>
      </c>
      <c r="C21" s="2" t="s">
        <v>40</v>
      </c>
      <c r="D21">
        <v>56</v>
      </c>
      <c r="E21">
        <f>WEEKDAY(makulatura5[[#This Row],[Data_dostarczenia]],2)</f>
        <v>3</v>
      </c>
      <c r="F21" s="2">
        <f t="shared" si="0"/>
        <v>0</v>
      </c>
    </row>
    <row r="22" spans="1:6" x14ac:dyDescent="0.25">
      <c r="A22" s="1">
        <v>42739</v>
      </c>
      <c r="B22" s="2" t="s">
        <v>41</v>
      </c>
      <c r="C22" s="2" t="s">
        <v>42</v>
      </c>
      <c r="D22">
        <v>20</v>
      </c>
      <c r="E22">
        <f>WEEKDAY(makulatura5[[#This Row],[Data_dostarczenia]],2)</f>
        <v>3</v>
      </c>
      <c r="F22" s="2">
        <f t="shared" si="0"/>
        <v>0</v>
      </c>
    </row>
    <row r="23" spans="1:6" x14ac:dyDescent="0.25">
      <c r="A23" s="1">
        <v>42739</v>
      </c>
      <c r="B23" s="2" t="s">
        <v>43</v>
      </c>
      <c r="C23" s="2" t="s">
        <v>44</v>
      </c>
      <c r="D23">
        <v>28</v>
      </c>
      <c r="E23">
        <f>WEEKDAY(makulatura5[[#This Row],[Data_dostarczenia]],2)</f>
        <v>3</v>
      </c>
      <c r="F23" s="2">
        <f t="shared" si="0"/>
        <v>0</v>
      </c>
    </row>
    <row r="24" spans="1:6" x14ac:dyDescent="0.25">
      <c r="A24" s="1">
        <v>42739</v>
      </c>
      <c r="B24" s="2" t="s">
        <v>45</v>
      </c>
      <c r="C24" s="2" t="s">
        <v>46</v>
      </c>
      <c r="D24">
        <v>24</v>
      </c>
      <c r="E24">
        <f>WEEKDAY(makulatura5[[#This Row],[Data_dostarczenia]],2)</f>
        <v>3</v>
      </c>
      <c r="F24" s="2">
        <f t="shared" si="0"/>
        <v>0</v>
      </c>
    </row>
    <row r="25" spans="1:6" x14ac:dyDescent="0.25">
      <c r="A25" s="1">
        <v>42739</v>
      </c>
      <c r="B25" s="2" t="s">
        <v>47</v>
      </c>
      <c r="C25" s="2" t="s">
        <v>48</v>
      </c>
      <c r="D25">
        <v>21</v>
      </c>
      <c r="E25">
        <f>WEEKDAY(makulatura5[[#This Row],[Data_dostarczenia]],2)</f>
        <v>3</v>
      </c>
      <c r="F25" s="2">
        <f t="shared" si="0"/>
        <v>0</v>
      </c>
    </row>
    <row r="26" spans="1:6" x14ac:dyDescent="0.25">
      <c r="A26" s="1">
        <v>42739</v>
      </c>
      <c r="B26" s="2" t="s">
        <v>49</v>
      </c>
      <c r="C26" s="2" t="s">
        <v>50</v>
      </c>
      <c r="D26">
        <v>16</v>
      </c>
      <c r="E26">
        <f>WEEKDAY(makulatura5[[#This Row],[Data_dostarczenia]],2)</f>
        <v>3</v>
      </c>
      <c r="F26" s="2">
        <f t="shared" si="0"/>
        <v>0</v>
      </c>
    </row>
    <row r="27" spans="1:6" x14ac:dyDescent="0.25">
      <c r="A27" s="1">
        <v>42739</v>
      </c>
      <c r="B27" s="2" t="s">
        <v>51</v>
      </c>
      <c r="C27" s="2" t="s">
        <v>52</v>
      </c>
      <c r="D27">
        <v>8</v>
      </c>
      <c r="E27">
        <f>WEEKDAY(makulatura5[[#This Row],[Data_dostarczenia]],2)</f>
        <v>3</v>
      </c>
      <c r="F27" s="2">
        <f t="shared" si="0"/>
        <v>0</v>
      </c>
    </row>
    <row r="28" spans="1:6" x14ac:dyDescent="0.25">
      <c r="A28" s="1">
        <v>42739</v>
      </c>
      <c r="B28" s="2" t="s">
        <v>53</v>
      </c>
      <c r="C28" s="2" t="s">
        <v>54</v>
      </c>
      <c r="D28">
        <v>41</v>
      </c>
      <c r="E28">
        <f>WEEKDAY(makulatura5[[#This Row],[Data_dostarczenia]],2)</f>
        <v>3</v>
      </c>
      <c r="F28" s="2">
        <f t="shared" si="0"/>
        <v>0</v>
      </c>
    </row>
    <row r="29" spans="1:6" x14ac:dyDescent="0.25">
      <c r="A29" s="1">
        <v>42739</v>
      </c>
      <c r="B29" s="2" t="s">
        <v>55</v>
      </c>
      <c r="C29" s="2" t="s">
        <v>56</v>
      </c>
      <c r="D29">
        <v>9</v>
      </c>
      <c r="E29">
        <f>WEEKDAY(makulatura5[[#This Row],[Data_dostarczenia]],2)</f>
        <v>3</v>
      </c>
      <c r="F29" s="2">
        <f t="shared" si="0"/>
        <v>1</v>
      </c>
    </row>
    <row r="30" spans="1:6" x14ac:dyDescent="0.25">
      <c r="A30" s="1">
        <v>42740</v>
      </c>
      <c r="B30" s="2" t="s">
        <v>57</v>
      </c>
      <c r="C30" s="2" t="s">
        <v>58</v>
      </c>
      <c r="D30">
        <v>19</v>
      </c>
      <c r="E30">
        <f>WEEKDAY(makulatura5[[#This Row],[Data_dostarczenia]],2)</f>
        <v>4</v>
      </c>
      <c r="F30" s="2">
        <f t="shared" si="0"/>
        <v>0</v>
      </c>
    </row>
    <row r="31" spans="1:6" x14ac:dyDescent="0.25">
      <c r="A31" s="1">
        <v>42740</v>
      </c>
      <c r="B31" s="2" t="s">
        <v>59</v>
      </c>
      <c r="C31" s="2" t="s">
        <v>60</v>
      </c>
      <c r="D31">
        <v>33</v>
      </c>
      <c r="E31">
        <f>WEEKDAY(makulatura5[[#This Row],[Data_dostarczenia]],2)</f>
        <v>4</v>
      </c>
      <c r="F31" s="2">
        <f t="shared" si="0"/>
        <v>0</v>
      </c>
    </row>
    <row r="32" spans="1:6" x14ac:dyDescent="0.25">
      <c r="A32" s="1">
        <v>42740</v>
      </c>
      <c r="B32" s="2" t="s">
        <v>61</v>
      </c>
      <c r="C32" s="2" t="s">
        <v>62</v>
      </c>
      <c r="D32">
        <v>29</v>
      </c>
      <c r="E32">
        <f>WEEKDAY(makulatura5[[#This Row],[Data_dostarczenia]],2)</f>
        <v>4</v>
      </c>
      <c r="F32" s="2">
        <f t="shared" si="0"/>
        <v>0</v>
      </c>
    </row>
    <row r="33" spans="1:6" x14ac:dyDescent="0.25">
      <c r="A33" s="1">
        <v>42740</v>
      </c>
      <c r="B33" s="2" t="s">
        <v>63</v>
      </c>
      <c r="C33" s="2" t="s">
        <v>64</v>
      </c>
      <c r="D33">
        <v>27</v>
      </c>
      <c r="E33">
        <f>WEEKDAY(makulatura5[[#This Row],[Data_dostarczenia]],2)</f>
        <v>4</v>
      </c>
      <c r="F33" s="2">
        <f t="shared" si="0"/>
        <v>0</v>
      </c>
    </row>
    <row r="34" spans="1:6" x14ac:dyDescent="0.25">
      <c r="A34" s="1">
        <v>42740</v>
      </c>
      <c r="B34" s="2" t="s">
        <v>65</v>
      </c>
      <c r="C34" s="2" t="s">
        <v>66</v>
      </c>
      <c r="D34">
        <v>23</v>
      </c>
      <c r="E34">
        <f>WEEKDAY(makulatura5[[#This Row],[Data_dostarczenia]],2)</f>
        <v>4</v>
      </c>
      <c r="F34" s="2">
        <f t="shared" si="0"/>
        <v>0</v>
      </c>
    </row>
    <row r="35" spans="1:6" x14ac:dyDescent="0.25">
      <c r="A35" s="1">
        <v>42740</v>
      </c>
      <c r="B35" s="2" t="s">
        <v>67</v>
      </c>
      <c r="C35" s="2" t="s">
        <v>68</v>
      </c>
      <c r="D35">
        <v>50</v>
      </c>
      <c r="E35">
        <f>WEEKDAY(makulatura5[[#This Row],[Data_dostarczenia]],2)</f>
        <v>4</v>
      </c>
      <c r="F35" s="2">
        <f t="shared" si="0"/>
        <v>0</v>
      </c>
    </row>
    <row r="36" spans="1:6" x14ac:dyDescent="0.25">
      <c r="A36" s="1">
        <v>42740</v>
      </c>
      <c r="B36" s="2" t="s">
        <v>69</v>
      </c>
      <c r="C36" s="2" t="s">
        <v>70</v>
      </c>
      <c r="D36">
        <v>15</v>
      </c>
      <c r="E36">
        <f>WEEKDAY(makulatura5[[#This Row],[Data_dostarczenia]],2)</f>
        <v>4</v>
      </c>
      <c r="F36" s="2">
        <f t="shared" si="0"/>
        <v>0</v>
      </c>
    </row>
    <row r="37" spans="1:6" x14ac:dyDescent="0.25">
      <c r="A37" s="1">
        <v>42740</v>
      </c>
      <c r="B37" s="2" t="s">
        <v>43</v>
      </c>
      <c r="C37" s="2" t="s">
        <v>71</v>
      </c>
      <c r="D37">
        <v>18</v>
      </c>
      <c r="E37">
        <f>WEEKDAY(makulatura5[[#This Row],[Data_dostarczenia]],2)</f>
        <v>4</v>
      </c>
      <c r="F37" s="2">
        <f t="shared" si="0"/>
        <v>0</v>
      </c>
    </row>
    <row r="38" spans="1:6" x14ac:dyDescent="0.25">
      <c r="A38" s="1">
        <v>42740</v>
      </c>
      <c r="B38" s="2" t="s">
        <v>72</v>
      </c>
      <c r="C38" s="2" t="s">
        <v>73</v>
      </c>
      <c r="D38">
        <v>2</v>
      </c>
      <c r="E38">
        <f>WEEKDAY(makulatura5[[#This Row],[Data_dostarczenia]],2)</f>
        <v>4</v>
      </c>
      <c r="F38" s="2">
        <f t="shared" si="0"/>
        <v>1</v>
      </c>
    </row>
    <row r="39" spans="1:6" x14ac:dyDescent="0.25">
      <c r="A39" s="1">
        <v>42741</v>
      </c>
      <c r="B39" s="2" t="s">
        <v>67</v>
      </c>
      <c r="C39" s="2" t="s">
        <v>68</v>
      </c>
      <c r="D39">
        <v>23</v>
      </c>
      <c r="E39">
        <f>WEEKDAY(makulatura5[[#This Row],[Data_dostarczenia]],2)</f>
        <v>5</v>
      </c>
      <c r="F39" s="2">
        <f t="shared" si="0"/>
        <v>0</v>
      </c>
    </row>
    <row r="40" spans="1:6" x14ac:dyDescent="0.25">
      <c r="A40" s="1">
        <v>42741</v>
      </c>
      <c r="B40" s="2" t="s">
        <v>18</v>
      </c>
      <c r="C40" s="2" t="s">
        <v>74</v>
      </c>
      <c r="D40">
        <v>22</v>
      </c>
      <c r="E40">
        <f>WEEKDAY(makulatura5[[#This Row],[Data_dostarczenia]],2)</f>
        <v>5</v>
      </c>
      <c r="F40" s="2">
        <f t="shared" si="0"/>
        <v>0</v>
      </c>
    </row>
    <row r="41" spans="1:6" x14ac:dyDescent="0.25">
      <c r="A41" s="1">
        <v>42741</v>
      </c>
      <c r="B41" s="2" t="s">
        <v>75</v>
      </c>
      <c r="C41" s="2" t="s">
        <v>76</v>
      </c>
      <c r="D41">
        <v>17</v>
      </c>
      <c r="E41">
        <f>WEEKDAY(makulatura5[[#This Row],[Data_dostarczenia]],2)</f>
        <v>5</v>
      </c>
      <c r="F41" s="2">
        <f t="shared" si="0"/>
        <v>0</v>
      </c>
    </row>
    <row r="42" spans="1:6" x14ac:dyDescent="0.25">
      <c r="A42" s="1">
        <v>42741</v>
      </c>
      <c r="B42" s="2" t="s">
        <v>12</v>
      </c>
      <c r="C42" s="2" t="s">
        <v>38</v>
      </c>
      <c r="D42">
        <v>19</v>
      </c>
      <c r="E42">
        <f>WEEKDAY(makulatura5[[#This Row],[Data_dostarczenia]],2)</f>
        <v>5</v>
      </c>
      <c r="F42" s="2">
        <f t="shared" si="0"/>
        <v>0</v>
      </c>
    </row>
    <row r="43" spans="1:6" x14ac:dyDescent="0.25">
      <c r="A43" s="1">
        <v>42741</v>
      </c>
      <c r="B43" s="2" t="s">
        <v>77</v>
      </c>
      <c r="C43" s="2" t="s">
        <v>78</v>
      </c>
      <c r="D43">
        <v>43</v>
      </c>
      <c r="E43">
        <f>WEEKDAY(makulatura5[[#This Row],[Data_dostarczenia]],2)</f>
        <v>5</v>
      </c>
      <c r="F43" s="2">
        <f t="shared" si="0"/>
        <v>0</v>
      </c>
    </row>
    <row r="44" spans="1:6" x14ac:dyDescent="0.25">
      <c r="A44" s="1">
        <v>42741</v>
      </c>
      <c r="B44" s="2" t="s">
        <v>79</v>
      </c>
      <c r="C44" s="2" t="s">
        <v>80</v>
      </c>
      <c r="D44">
        <v>22</v>
      </c>
      <c r="E44">
        <f>WEEKDAY(makulatura5[[#This Row],[Data_dostarczenia]],2)</f>
        <v>5</v>
      </c>
      <c r="F44" s="2">
        <f t="shared" si="0"/>
        <v>0</v>
      </c>
    </row>
    <row r="45" spans="1:6" x14ac:dyDescent="0.25">
      <c r="A45" s="1">
        <v>42741</v>
      </c>
      <c r="B45" s="2" t="s">
        <v>81</v>
      </c>
      <c r="C45" s="2" t="s">
        <v>82</v>
      </c>
      <c r="D45">
        <v>29</v>
      </c>
      <c r="E45">
        <f>WEEKDAY(makulatura5[[#This Row],[Data_dostarczenia]],2)</f>
        <v>5</v>
      </c>
      <c r="F45" s="2">
        <f t="shared" si="0"/>
        <v>0</v>
      </c>
    </row>
    <row r="46" spans="1:6" x14ac:dyDescent="0.25">
      <c r="A46" s="1">
        <v>42741</v>
      </c>
      <c r="B46" s="2" t="s">
        <v>83</v>
      </c>
      <c r="C46" s="2" t="s">
        <v>84</v>
      </c>
      <c r="D46">
        <v>26</v>
      </c>
      <c r="E46">
        <f>WEEKDAY(makulatura5[[#This Row],[Data_dostarczenia]],2)</f>
        <v>5</v>
      </c>
      <c r="F46" s="2">
        <f t="shared" si="0"/>
        <v>0</v>
      </c>
    </row>
    <row r="47" spans="1:6" x14ac:dyDescent="0.25">
      <c r="A47" s="1">
        <v>42741</v>
      </c>
      <c r="B47" s="2" t="s">
        <v>77</v>
      </c>
      <c r="C47" s="2" t="s">
        <v>85</v>
      </c>
      <c r="D47">
        <v>53</v>
      </c>
      <c r="E47">
        <f>WEEKDAY(makulatura5[[#This Row],[Data_dostarczenia]],2)</f>
        <v>5</v>
      </c>
      <c r="F47" s="2">
        <f t="shared" si="0"/>
        <v>1</v>
      </c>
    </row>
    <row r="48" spans="1:6" x14ac:dyDescent="0.25">
      <c r="A48" s="1">
        <v>42744</v>
      </c>
      <c r="B48" s="2" t="s">
        <v>30</v>
      </c>
      <c r="C48" s="2" t="s">
        <v>86</v>
      </c>
      <c r="D48">
        <v>20</v>
      </c>
      <c r="E48">
        <f>WEEKDAY(makulatura5[[#This Row],[Data_dostarczenia]],2)</f>
        <v>1</v>
      </c>
      <c r="F48" s="2">
        <f t="shared" si="0"/>
        <v>0</v>
      </c>
    </row>
    <row r="49" spans="1:6" x14ac:dyDescent="0.25">
      <c r="A49" s="1">
        <v>42744</v>
      </c>
      <c r="B49" s="2" t="s">
        <v>87</v>
      </c>
      <c r="C49" s="2" t="s">
        <v>88</v>
      </c>
      <c r="D49">
        <v>26</v>
      </c>
      <c r="E49">
        <f>WEEKDAY(makulatura5[[#This Row],[Data_dostarczenia]],2)</f>
        <v>1</v>
      </c>
      <c r="F49" s="2">
        <f t="shared" si="0"/>
        <v>0</v>
      </c>
    </row>
    <row r="50" spans="1:6" x14ac:dyDescent="0.25">
      <c r="A50" s="1">
        <v>42744</v>
      </c>
      <c r="B50" s="2" t="s">
        <v>30</v>
      </c>
      <c r="C50" s="2" t="s">
        <v>89</v>
      </c>
      <c r="D50">
        <v>36</v>
      </c>
      <c r="E50">
        <f>WEEKDAY(makulatura5[[#This Row],[Data_dostarczenia]],2)</f>
        <v>1</v>
      </c>
      <c r="F50" s="2">
        <f t="shared" si="0"/>
        <v>0</v>
      </c>
    </row>
    <row r="51" spans="1:6" x14ac:dyDescent="0.25">
      <c r="A51" s="1">
        <v>42744</v>
      </c>
      <c r="B51" s="2" t="s">
        <v>34</v>
      </c>
      <c r="C51" s="2" t="s">
        <v>90</v>
      </c>
      <c r="D51">
        <v>11</v>
      </c>
      <c r="E51">
        <f>WEEKDAY(makulatura5[[#This Row],[Data_dostarczenia]],2)</f>
        <v>1</v>
      </c>
      <c r="F51" s="2">
        <f t="shared" si="0"/>
        <v>0</v>
      </c>
    </row>
    <row r="52" spans="1:6" x14ac:dyDescent="0.25">
      <c r="A52" s="1">
        <v>42744</v>
      </c>
      <c r="B52" s="2" t="s">
        <v>47</v>
      </c>
      <c r="C52" s="2" t="s">
        <v>91</v>
      </c>
      <c r="D52">
        <v>52</v>
      </c>
      <c r="E52">
        <f>WEEKDAY(makulatura5[[#This Row],[Data_dostarczenia]],2)</f>
        <v>1</v>
      </c>
      <c r="F52" s="2">
        <f t="shared" si="0"/>
        <v>0</v>
      </c>
    </row>
    <row r="53" spans="1:6" x14ac:dyDescent="0.25">
      <c r="A53" s="1">
        <v>42744</v>
      </c>
      <c r="B53" s="2" t="s">
        <v>92</v>
      </c>
      <c r="C53" s="2" t="s">
        <v>93</v>
      </c>
      <c r="D53">
        <v>11</v>
      </c>
      <c r="E53">
        <f>WEEKDAY(makulatura5[[#This Row],[Data_dostarczenia]],2)</f>
        <v>1</v>
      </c>
      <c r="F53" s="2">
        <f t="shared" si="0"/>
        <v>0</v>
      </c>
    </row>
    <row r="54" spans="1:6" x14ac:dyDescent="0.25">
      <c r="A54" s="1">
        <v>42744</v>
      </c>
      <c r="B54" s="2" t="s">
        <v>27</v>
      </c>
      <c r="C54" s="2" t="s">
        <v>94</v>
      </c>
      <c r="D54">
        <v>11</v>
      </c>
      <c r="E54">
        <f>WEEKDAY(makulatura5[[#This Row],[Data_dostarczenia]],2)</f>
        <v>1</v>
      </c>
      <c r="F54" s="2">
        <f t="shared" si="0"/>
        <v>0</v>
      </c>
    </row>
    <row r="55" spans="1:6" x14ac:dyDescent="0.25">
      <c r="A55" s="1">
        <v>42744</v>
      </c>
      <c r="B55" s="2" t="s">
        <v>27</v>
      </c>
      <c r="C55" s="2" t="s">
        <v>94</v>
      </c>
      <c r="D55">
        <v>10</v>
      </c>
      <c r="E55">
        <f>WEEKDAY(makulatura5[[#This Row],[Data_dostarczenia]],2)</f>
        <v>1</v>
      </c>
      <c r="F55" s="2">
        <f t="shared" si="0"/>
        <v>0</v>
      </c>
    </row>
    <row r="56" spans="1:6" x14ac:dyDescent="0.25">
      <c r="A56" s="1">
        <v>42744</v>
      </c>
      <c r="B56" s="2" t="s">
        <v>95</v>
      </c>
      <c r="C56" s="2" t="s">
        <v>96</v>
      </c>
      <c r="D56">
        <v>8</v>
      </c>
      <c r="E56">
        <f>WEEKDAY(makulatura5[[#This Row],[Data_dostarczenia]],2)</f>
        <v>1</v>
      </c>
      <c r="F56" s="2">
        <f t="shared" si="0"/>
        <v>1</v>
      </c>
    </row>
    <row r="57" spans="1:6" x14ac:dyDescent="0.25">
      <c r="A57" s="1">
        <v>42745</v>
      </c>
      <c r="B57" s="2" t="s">
        <v>43</v>
      </c>
      <c r="C57" s="2" t="s">
        <v>44</v>
      </c>
      <c r="D57">
        <v>13</v>
      </c>
      <c r="E57">
        <f>WEEKDAY(makulatura5[[#This Row],[Data_dostarczenia]],2)</f>
        <v>2</v>
      </c>
      <c r="F57" s="2">
        <f t="shared" si="0"/>
        <v>0</v>
      </c>
    </row>
    <row r="58" spans="1:6" x14ac:dyDescent="0.25">
      <c r="A58" s="1">
        <v>42745</v>
      </c>
      <c r="B58" s="2" t="s">
        <v>97</v>
      </c>
      <c r="C58" s="2" t="s">
        <v>98</v>
      </c>
      <c r="D58">
        <v>16</v>
      </c>
      <c r="E58">
        <f>WEEKDAY(makulatura5[[#This Row],[Data_dostarczenia]],2)</f>
        <v>2</v>
      </c>
      <c r="F58" s="2">
        <f t="shared" si="0"/>
        <v>0</v>
      </c>
    </row>
    <row r="59" spans="1:6" x14ac:dyDescent="0.25">
      <c r="A59" s="1">
        <v>42745</v>
      </c>
      <c r="B59" s="2" t="s">
        <v>99</v>
      </c>
      <c r="C59" s="2" t="s">
        <v>100</v>
      </c>
      <c r="D59">
        <v>46</v>
      </c>
      <c r="E59">
        <f>WEEKDAY(makulatura5[[#This Row],[Data_dostarczenia]],2)</f>
        <v>2</v>
      </c>
      <c r="F59" s="2">
        <f t="shared" si="0"/>
        <v>0</v>
      </c>
    </row>
    <row r="60" spans="1:6" x14ac:dyDescent="0.25">
      <c r="A60" s="1">
        <v>42745</v>
      </c>
      <c r="B60" s="2" t="s">
        <v>101</v>
      </c>
      <c r="C60" s="2" t="s">
        <v>102</v>
      </c>
      <c r="D60">
        <v>41</v>
      </c>
      <c r="E60">
        <f>WEEKDAY(makulatura5[[#This Row],[Data_dostarczenia]],2)</f>
        <v>2</v>
      </c>
      <c r="F60" s="2">
        <f t="shared" si="0"/>
        <v>0</v>
      </c>
    </row>
    <row r="61" spans="1:6" x14ac:dyDescent="0.25">
      <c r="A61" s="1">
        <v>42745</v>
      </c>
      <c r="B61" s="2" t="s">
        <v>39</v>
      </c>
      <c r="C61" s="2" t="s">
        <v>103</v>
      </c>
      <c r="D61">
        <v>26</v>
      </c>
      <c r="E61">
        <f>WEEKDAY(makulatura5[[#This Row],[Data_dostarczenia]],2)</f>
        <v>2</v>
      </c>
      <c r="F61" s="2">
        <f t="shared" si="0"/>
        <v>0</v>
      </c>
    </row>
    <row r="62" spans="1:6" x14ac:dyDescent="0.25">
      <c r="A62" s="1">
        <v>42745</v>
      </c>
      <c r="B62" s="2" t="s">
        <v>81</v>
      </c>
      <c r="C62" s="2" t="s">
        <v>104</v>
      </c>
      <c r="D62">
        <v>22</v>
      </c>
      <c r="E62">
        <f>WEEKDAY(makulatura5[[#This Row],[Data_dostarczenia]],2)</f>
        <v>2</v>
      </c>
      <c r="F62" s="2">
        <f t="shared" si="0"/>
        <v>0</v>
      </c>
    </row>
    <row r="63" spans="1:6" x14ac:dyDescent="0.25">
      <c r="A63" s="1">
        <v>42745</v>
      </c>
      <c r="B63" s="2" t="s">
        <v>63</v>
      </c>
      <c r="C63" s="2" t="s">
        <v>105</v>
      </c>
      <c r="D63">
        <v>6</v>
      </c>
      <c r="E63">
        <f>WEEKDAY(makulatura5[[#This Row],[Data_dostarczenia]],2)</f>
        <v>2</v>
      </c>
      <c r="F63" s="2">
        <f t="shared" si="0"/>
        <v>0</v>
      </c>
    </row>
    <row r="64" spans="1:6" x14ac:dyDescent="0.25">
      <c r="A64" s="1">
        <v>42745</v>
      </c>
      <c r="B64" s="2" t="s">
        <v>106</v>
      </c>
      <c r="C64" s="2" t="s">
        <v>107</v>
      </c>
      <c r="D64">
        <v>24</v>
      </c>
      <c r="E64">
        <f>WEEKDAY(makulatura5[[#This Row],[Data_dostarczenia]],2)</f>
        <v>2</v>
      </c>
      <c r="F64" s="2">
        <f t="shared" si="0"/>
        <v>0</v>
      </c>
    </row>
    <row r="65" spans="1:6" x14ac:dyDescent="0.25">
      <c r="A65" s="1">
        <v>42745</v>
      </c>
      <c r="B65" s="2" t="s">
        <v>43</v>
      </c>
      <c r="C65" s="2" t="s">
        <v>71</v>
      </c>
      <c r="D65">
        <v>11</v>
      </c>
      <c r="E65">
        <f>WEEKDAY(makulatura5[[#This Row],[Data_dostarczenia]],2)</f>
        <v>2</v>
      </c>
      <c r="F65" s="2">
        <f t="shared" si="0"/>
        <v>1</v>
      </c>
    </row>
    <row r="66" spans="1:6" x14ac:dyDescent="0.25">
      <c r="A66" s="1">
        <v>42746</v>
      </c>
      <c r="B66" s="2" t="s">
        <v>49</v>
      </c>
      <c r="C66" s="2" t="s">
        <v>50</v>
      </c>
      <c r="D66">
        <v>16</v>
      </c>
      <c r="E66">
        <f>WEEKDAY(makulatura5[[#This Row],[Data_dostarczenia]],2)</f>
        <v>3</v>
      </c>
      <c r="F66" s="2">
        <f t="shared" ref="F66:F129" si="1">IF(A67=A66,0,1)</f>
        <v>0</v>
      </c>
    </row>
    <row r="67" spans="1:6" x14ac:dyDescent="0.25">
      <c r="A67" s="1">
        <v>42746</v>
      </c>
      <c r="B67" s="2" t="s">
        <v>69</v>
      </c>
      <c r="C67" s="2" t="s">
        <v>108</v>
      </c>
      <c r="D67">
        <v>8</v>
      </c>
      <c r="E67">
        <f>WEEKDAY(makulatura5[[#This Row],[Data_dostarczenia]],2)</f>
        <v>3</v>
      </c>
      <c r="F67" s="2">
        <f t="shared" si="1"/>
        <v>0</v>
      </c>
    </row>
    <row r="68" spans="1:6" x14ac:dyDescent="0.25">
      <c r="A68" s="1">
        <v>42746</v>
      </c>
      <c r="B68" s="2" t="s">
        <v>30</v>
      </c>
      <c r="C68" s="2" t="s">
        <v>109</v>
      </c>
      <c r="D68">
        <v>27</v>
      </c>
      <c r="E68">
        <f>WEEKDAY(makulatura5[[#This Row],[Data_dostarczenia]],2)</f>
        <v>3</v>
      </c>
      <c r="F68" s="2">
        <f t="shared" si="1"/>
        <v>0</v>
      </c>
    </row>
    <row r="69" spans="1:6" x14ac:dyDescent="0.25">
      <c r="A69" s="1">
        <v>42746</v>
      </c>
      <c r="B69" s="2" t="s">
        <v>83</v>
      </c>
      <c r="C69" s="2" t="s">
        <v>110</v>
      </c>
      <c r="D69">
        <v>9</v>
      </c>
      <c r="E69">
        <f>WEEKDAY(makulatura5[[#This Row],[Data_dostarczenia]],2)</f>
        <v>3</v>
      </c>
      <c r="F69" s="2">
        <f t="shared" si="1"/>
        <v>0</v>
      </c>
    </row>
    <row r="70" spans="1:6" x14ac:dyDescent="0.25">
      <c r="A70" s="1">
        <v>42746</v>
      </c>
      <c r="B70" s="2" t="s">
        <v>39</v>
      </c>
      <c r="C70" s="2" t="s">
        <v>111</v>
      </c>
      <c r="D70">
        <v>32</v>
      </c>
      <c r="E70">
        <f>WEEKDAY(makulatura5[[#This Row],[Data_dostarczenia]],2)</f>
        <v>3</v>
      </c>
      <c r="F70" s="2">
        <f t="shared" si="1"/>
        <v>0</v>
      </c>
    </row>
    <row r="71" spans="1:6" x14ac:dyDescent="0.25">
      <c r="A71" s="1">
        <v>42746</v>
      </c>
      <c r="B71" s="2" t="s">
        <v>112</v>
      </c>
      <c r="C71" s="2" t="s">
        <v>113</v>
      </c>
      <c r="D71">
        <v>55</v>
      </c>
      <c r="E71">
        <f>WEEKDAY(makulatura5[[#This Row],[Data_dostarczenia]],2)</f>
        <v>3</v>
      </c>
      <c r="F71" s="2">
        <f t="shared" si="1"/>
        <v>0</v>
      </c>
    </row>
    <row r="72" spans="1:6" x14ac:dyDescent="0.25">
      <c r="A72" s="1">
        <v>42746</v>
      </c>
      <c r="B72" s="2" t="s">
        <v>77</v>
      </c>
      <c r="C72" s="2" t="s">
        <v>85</v>
      </c>
      <c r="D72">
        <v>18</v>
      </c>
      <c r="E72">
        <f>WEEKDAY(makulatura5[[#This Row],[Data_dostarczenia]],2)</f>
        <v>3</v>
      </c>
      <c r="F72" s="2">
        <f t="shared" si="1"/>
        <v>0</v>
      </c>
    </row>
    <row r="73" spans="1:6" x14ac:dyDescent="0.25">
      <c r="A73" s="1">
        <v>42746</v>
      </c>
      <c r="B73" s="2" t="s">
        <v>114</v>
      </c>
      <c r="C73" s="2" t="s">
        <v>115</v>
      </c>
      <c r="D73">
        <v>46</v>
      </c>
      <c r="E73">
        <f>WEEKDAY(makulatura5[[#This Row],[Data_dostarczenia]],2)</f>
        <v>3</v>
      </c>
      <c r="F73" s="2">
        <f t="shared" si="1"/>
        <v>0</v>
      </c>
    </row>
    <row r="74" spans="1:6" x14ac:dyDescent="0.25">
      <c r="A74" s="1">
        <v>42746</v>
      </c>
      <c r="B74" s="2" t="s">
        <v>65</v>
      </c>
      <c r="C74" s="2" t="s">
        <v>116</v>
      </c>
      <c r="D74">
        <v>17</v>
      </c>
      <c r="E74">
        <f>WEEKDAY(makulatura5[[#This Row],[Data_dostarczenia]],2)</f>
        <v>3</v>
      </c>
      <c r="F74" s="2">
        <f t="shared" si="1"/>
        <v>1</v>
      </c>
    </row>
    <row r="75" spans="1:6" x14ac:dyDescent="0.25">
      <c r="A75" s="1">
        <v>42747</v>
      </c>
      <c r="B75" s="2" t="s">
        <v>117</v>
      </c>
      <c r="C75" s="2" t="s">
        <v>118</v>
      </c>
      <c r="D75">
        <v>43</v>
      </c>
      <c r="E75">
        <f>WEEKDAY(makulatura5[[#This Row],[Data_dostarczenia]],2)</f>
        <v>4</v>
      </c>
      <c r="F75" s="2">
        <f t="shared" si="1"/>
        <v>0</v>
      </c>
    </row>
    <row r="76" spans="1:6" x14ac:dyDescent="0.25">
      <c r="A76" s="1">
        <v>42747</v>
      </c>
      <c r="B76" s="2" t="s">
        <v>119</v>
      </c>
      <c r="C76" s="2" t="s">
        <v>120</v>
      </c>
      <c r="D76">
        <v>17</v>
      </c>
      <c r="E76">
        <f>WEEKDAY(makulatura5[[#This Row],[Data_dostarczenia]],2)</f>
        <v>4</v>
      </c>
      <c r="F76" s="2">
        <f t="shared" si="1"/>
        <v>0</v>
      </c>
    </row>
    <row r="77" spans="1:6" x14ac:dyDescent="0.25">
      <c r="A77" s="1">
        <v>42747</v>
      </c>
      <c r="B77" s="2" t="s">
        <v>121</v>
      </c>
      <c r="C77" s="2" t="s">
        <v>122</v>
      </c>
      <c r="D77">
        <v>21</v>
      </c>
      <c r="E77">
        <f>WEEKDAY(makulatura5[[#This Row],[Data_dostarczenia]],2)</f>
        <v>4</v>
      </c>
      <c r="F77" s="2">
        <f t="shared" si="1"/>
        <v>0</v>
      </c>
    </row>
    <row r="78" spans="1:6" x14ac:dyDescent="0.25">
      <c r="A78" s="1">
        <v>42747</v>
      </c>
      <c r="B78" s="2" t="s">
        <v>20</v>
      </c>
      <c r="C78" s="2" t="s">
        <v>123</v>
      </c>
      <c r="D78">
        <v>27</v>
      </c>
      <c r="E78">
        <f>WEEKDAY(makulatura5[[#This Row],[Data_dostarczenia]],2)</f>
        <v>4</v>
      </c>
      <c r="F78" s="2">
        <f t="shared" si="1"/>
        <v>0</v>
      </c>
    </row>
    <row r="79" spans="1:6" x14ac:dyDescent="0.25">
      <c r="A79" s="1">
        <v>42747</v>
      </c>
      <c r="B79" s="2" t="s">
        <v>87</v>
      </c>
      <c r="C79" s="2" t="s">
        <v>124</v>
      </c>
      <c r="D79">
        <v>22</v>
      </c>
      <c r="E79">
        <f>WEEKDAY(makulatura5[[#This Row],[Data_dostarczenia]],2)</f>
        <v>4</v>
      </c>
      <c r="F79" s="2">
        <f t="shared" si="1"/>
        <v>0</v>
      </c>
    </row>
    <row r="80" spans="1:6" x14ac:dyDescent="0.25">
      <c r="A80" s="1">
        <v>42747</v>
      </c>
      <c r="B80" s="2" t="s">
        <v>55</v>
      </c>
      <c r="C80" s="2" t="s">
        <v>125</v>
      </c>
      <c r="D80">
        <v>46</v>
      </c>
      <c r="E80">
        <f>WEEKDAY(makulatura5[[#This Row],[Data_dostarczenia]],2)</f>
        <v>4</v>
      </c>
      <c r="F80" s="2">
        <f t="shared" si="1"/>
        <v>0</v>
      </c>
    </row>
    <row r="81" spans="1:6" x14ac:dyDescent="0.25">
      <c r="A81" s="1">
        <v>42747</v>
      </c>
      <c r="B81" s="2" t="s">
        <v>79</v>
      </c>
      <c r="C81" s="2" t="s">
        <v>80</v>
      </c>
      <c r="D81">
        <v>15</v>
      </c>
      <c r="E81">
        <f>WEEKDAY(makulatura5[[#This Row],[Data_dostarczenia]],2)</f>
        <v>4</v>
      </c>
      <c r="F81" s="2">
        <f t="shared" si="1"/>
        <v>0</v>
      </c>
    </row>
    <row r="82" spans="1:6" x14ac:dyDescent="0.25">
      <c r="A82" s="1">
        <v>42747</v>
      </c>
      <c r="B82" s="2" t="s">
        <v>126</v>
      </c>
      <c r="C82" s="2" t="s">
        <v>127</v>
      </c>
      <c r="D82">
        <v>30</v>
      </c>
      <c r="E82">
        <f>WEEKDAY(makulatura5[[#This Row],[Data_dostarczenia]],2)</f>
        <v>4</v>
      </c>
      <c r="F82" s="2">
        <f t="shared" si="1"/>
        <v>0</v>
      </c>
    </row>
    <row r="83" spans="1:6" x14ac:dyDescent="0.25">
      <c r="A83" s="1">
        <v>42747</v>
      </c>
      <c r="B83" s="2" t="s">
        <v>128</v>
      </c>
      <c r="C83" s="2" t="s">
        <v>129</v>
      </c>
      <c r="D83">
        <v>31</v>
      </c>
      <c r="E83">
        <f>WEEKDAY(makulatura5[[#This Row],[Data_dostarczenia]],2)</f>
        <v>4</v>
      </c>
      <c r="F83" s="2">
        <f t="shared" si="1"/>
        <v>1</v>
      </c>
    </row>
    <row r="84" spans="1:6" x14ac:dyDescent="0.25">
      <c r="A84" s="1">
        <v>42748</v>
      </c>
      <c r="B84" s="2" t="s">
        <v>119</v>
      </c>
      <c r="C84" s="2" t="s">
        <v>120</v>
      </c>
      <c r="D84">
        <v>5</v>
      </c>
      <c r="E84">
        <f>WEEKDAY(makulatura5[[#This Row],[Data_dostarczenia]],2)</f>
        <v>5</v>
      </c>
      <c r="F84" s="2">
        <f t="shared" si="1"/>
        <v>0</v>
      </c>
    </row>
    <row r="85" spans="1:6" x14ac:dyDescent="0.25">
      <c r="A85" s="1">
        <v>42748</v>
      </c>
      <c r="B85" s="2" t="s">
        <v>97</v>
      </c>
      <c r="C85" s="2" t="s">
        <v>130</v>
      </c>
      <c r="D85">
        <v>26</v>
      </c>
      <c r="E85">
        <f>WEEKDAY(makulatura5[[#This Row],[Data_dostarczenia]],2)</f>
        <v>5</v>
      </c>
      <c r="F85" s="2">
        <f t="shared" si="1"/>
        <v>0</v>
      </c>
    </row>
    <row r="86" spans="1:6" x14ac:dyDescent="0.25">
      <c r="A86" s="1">
        <v>42748</v>
      </c>
      <c r="B86" s="2" t="s">
        <v>131</v>
      </c>
      <c r="C86" s="2" t="s">
        <v>132</v>
      </c>
      <c r="D86">
        <v>10</v>
      </c>
      <c r="E86">
        <f>WEEKDAY(makulatura5[[#This Row],[Data_dostarczenia]],2)</f>
        <v>5</v>
      </c>
      <c r="F86" s="2">
        <f t="shared" si="1"/>
        <v>0</v>
      </c>
    </row>
    <row r="87" spans="1:6" x14ac:dyDescent="0.25">
      <c r="A87" s="1">
        <v>42748</v>
      </c>
      <c r="B87" s="2" t="s">
        <v>133</v>
      </c>
      <c r="C87" s="2" t="s">
        <v>134</v>
      </c>
      <c r="D87">
        <v>29</v>
      </c>
      <c r="E87">
        <f>WEEKDAY(makulatura5[[#This Row],[Data_dostarczenia]],2)</f>
        <v>5</v>
      </c>
      <c r="F87" s="2">
        <f t="shared" si="1"/>
        <v>0</v>
      </c>
    </row>
    <row r="88" spans="1:6" x14ac:dyDescent="0.25">
      <c r="A88" s="1">
        <v>42748</v>
      </c>
      <c r="B88" s="2" t="s">
        <v>57</v>
      </c>
      <c r="C88" s="2" t="s">
        <v>135</v>
      </c>
      <c r="D88">
        <v>40</v>
      </c>
      <c r="E88">
        <f>WEEKDAY(makulatura5[[#This Row],[Data_dostarczenia]],2)</f>
        <v>5</v>
      </c>
      <c r="F88" s="2">
        <f t="shared" si="1"/>
        <v>0</v>
      </c>
    </row>
    <row r="89" spans="1:6" x14ac:dyDescent="0.25">
      <c r="A89" s="1">
        <v>42748</v>
      </c>
      <c r="B89" s="2" t="s">
        <v>83</v>
      </c>
      <c r="C89" s="2" t="s">
        <v>136</v>
      </c>
      <c r="D89">
        <v>21</v>
      </c>
      <c r="E89">
        <f>WEEKDAY(makulatura5[[#This Row],[Data_dostarczenia]],2)</f>
        <v>5</v>
      </c>
      <c r="F89" s="2">
        <f t="shared" si="1"/>
        <v>0</v>
      </c>
    </row>
    <row r="90" spans="1:6" x14ac:dyDescent="0.25">
      <c r="A90" s="1">
        <v>42748</v>
      </c>
      <c r="B90" s="2" t="s">
        <v>137</v>
      </c>
      <c r="C90" s="2" t="s">
        <v>138</v>
      </c>
      <c r="D90">
        <v>14</v>
      </c>
      <c r="E90">
        <f>WEEKDAY(makulatura5[[#This Row],[Data_dostarczenia]],2)</f>
        <v>5</v>
      </c>
      <c r="F90" s="2">
        <f t="shared" si="1"/>
        <v>0</v>
      </c>
    </row>
    <row r="91" spans="1:6" x14ac:dyDescent="0.25">
      <c r="A91" s="1">
        <v>42748</v>
      </c>
      <c r="B91" s="2" t="s">
        <v>139</v>
      </c>
      <c r="C91" s="2" t="s">
        <v>140</v>
      </c>
      <c r="D91">
        <v>26</v>
      </c>
      <c r="E91">
        <f>WEEKDAY(makulatura5[[#This Row],[Data_dostarczenia]],2)</f>
        <v>5</v>
      </c>
      <c r="F91" s="2">
        <f t="shared" si="1"/>
        <v>0</v>
      </c>
    </row>
    <row r="92" spans="1:6" x14ac:dyDescent="0.25">
      <c r="A92" s="1">
        <v>42748</v>
      </c>
      <c r="B92" s="2" t="s">
        <v>141</v>
      </c>
      <c r="C92" s="2" t="s">
        <v>142</v>
      </c>
      <c r="D92">
        <v>8</v>
      </c>
      <c r="E92">
        <f>WEEKDAY(makulatura5[[#This Row],[Data_dostarczenia]],2)</f>
        <v>5</v>
      </c>
      <c r="F92" s="2">
        <f t="shared" si="1"/>
        <v>1</v>
      </c>
    </row>
    <row r="93" spans="1:6" x14ac:dyDescent="0.25">
      <c r="A93" s="1">
        <v>42751</v>
      </c>
      <c r="B93" s="2" t="s">
        <v>143</v>
      </c>
      <c r="C93" s="2" t="s">
        <v>47</v>
      </c>
      <c r="D93">
        <v>56</v>
      </c>
      <c r="E93">
        <f>WEEKDAY(makulatura5[[#This Row],[Data_dostarczenia]],2)</f>
        <v>1</v>
      </c>
      <c r="F93" s="2">
        <f t="shared" si="1"/>
        <v>0</v>
      </c>
    </row>
    <row r="94" spans="1:6" x14ac:dyDescent="0.25">
      <c r="A94" s="1">
        <v>42751</v>
      </c>
      <c r="B94" s="2" t="s">
        <v>101</v>
      </c>
      <c r="C94" s="2" t="s">
        <v>102</v>
      </c>
      <c r="D94">
        <v>3</v>
      </c>
      <c r="E94">
        <f>WEEKDAY(makulatura5[[#This Row],[Data_dostarczenia]],2)</f>
        <v>1</v>
      </c>
      <c r="F94" s="2">
        <f t="shared" si="1"/>
        <v>0</v>
      </c>
    </row>
    <row r="95" spans="1:6" x14ac:dyDescent="0.25">
      <c r="A95" s="1">
        <v>42751</v>
      </c>
      <c r="B95" s="2" t="s">
        <v>144</v>
      </c>
      <c r="C95" s="2" t="s">
        <v>145</v>
      </c>
      <c r="D95">
        <v>47</v>
      </c>
      <c r="E95">
        <f>WEEKDAY(makulatura5[[#This Row],[Data_dostarczenia]],2)</f>
        <v>1</v>
      </c>
      <c r="F95" s="2">
        <f t="shared" si="1"/>
        <v>0</v>
      </c>
    </row>
    <row r="96" spans="1:6" x14ac:dyDescent="0.25">
      <c r="A96" s="1">
        <v>42751</v>
      </c>
      <c r="B96" s="2" t="s">
        <v>25</v>
      </c>
      <c r="C96" s="2" t="s">
        <v>146</v>
      </c>
      <c r="D96">
        <v>19</v>
      </c>
      <c r="E96">
        <f>WEEKDAY(makulatura5[[#This Row],[Data_dostarczenia]],2)</f>
        <v>1</v>
      </c>
      <c r="F96" s="2">
        <f t="shared" si="1"/>
        <v>0</v>
      </c>
    </row>
    <row r="97" spans="1:6" x14ac:dyDescent="0.25">
      <c r="A97" s="1">
        <v>42751</v>
      </c>
      <c r="B97" s="2" t="s">
        <v>147</v>
      </c>
      <c r="C97" s="2" t="s">
        <v>148</v>
      </c>
      <c r="D97">
        <v>14</v>
      </c>
      <c r="E97">
        <f>WEEKDAY(makulatura5[[#This Row],[Data_dostarczenia]],2)</f>
        <v>1</v>
      </c>
      <c r="F97" s="2">
        <f t="shared" si="1"/>
        <v>0</v>
      </c>
    </row>
    <row r="98" spans="1:6" x14ac:dyDescent="0.25">
      <c r="A98" s="1">
        <v>42751</v>
      </c>
      <c r="B98" s="2" t="s">
        <v>83</v>
      </c>
      <c r="C98" s="2" t="s">
        <v>149</v>
      </c>
      <c r="D98">
        <v>47</v>
      </c>
      <c r="E98">
        <f>WEEKDAY(makulatura5[[#This Row],[Data_dostarczenia]],2)</f>
        <v>1</v>
      </c>
      <c r="F98" s="2">
        <f t="shared" si="1"/>
        <v>0</v>
      </c>
    </row>
    <row r="99" spans="1:6" x14ac:dyDescent="0.25">
      <c r="A99" s="1">
        <v>42751</v>
      </c>
      <c r="B99" s="2" t="s">
        <v>150</v>
      </c>
      <c r="C99" s="2" t="s">
        <v>151</v>
      </c>
      <c r="D99">
        <v>13</v>
      </c>
      <c r="E99">
        <f>WEEKDAY(makulatura5[[#This Row],[Data_dostarczenia]],2)</f>
        <v>1</v>
      </c>
      <c r="F99" s="2">
        <f t="shared" si="1"/>
        <v>0</v>
      </c>
    </row>
    <row r="100" spans="1:6" x14ac:dyDescent="0.25">
      <c r="A100" s="1">
        <v>42751</v>
      </c>
      <c r="B100" s="2" t="s">
        <v>152</v>
      </c>
      <c r="C100" s="2" t="s">
        <v>153</v>
      </c>
      <c r="D100">
        <v>27</v>
      </c>
      <c r="E100">
        <f>WEEKDAY(makulatura5[[#This Row],[Data_dostarczenia]],2)</f>
        <v>1</v>
      </c>
      <c r="F100" s="2">
        <f t="shared" si="1"/>
        <v>0</v>
      </c>
    </row>
    <row r="101" spans="1:6" x14ac:dyDescent="0.25">
      <c r="A101" s="1">
        <v>42751</v>
      </c>
      <c r="B101" s="2" t="s">
        <v>87</v>
      </c>
      <c r="C101" s="2" t="s">
        <v>154</v>
      </c>
      <c r="D101">
        <v>23</v>
      </c>
      <c r="E101">
        <f>WEEKDAY(makulatura5[[#This Row],[Data_dostarczenia]],2)</f>
        <v>1</v>
      </c>
      <c r="F101" s="2">
        <f t="shared" si="1"/>
        <v>1</v>
      </c>
    </row>
    <row r="102" spans="1:6" x14ac:dyDescent="0.25">
      <c r="A102" s="1">
        <v>42752</v>
      </c>
      <c r="B102" s="2" t="s">
        <v>155</v>
      </c>
      <c r="C102" s="2" t="s">
        <v>156</v>
      </c>
      <c r="D102">
        <v>39</v>
      </c>
      <c r="E102">
        <f>WEEKDAY(makulatura5[[#This Row],[Data_dostarczenia]],2)</f>
        <v>2</v>
      </c>
      <c r="F102" s="2">
        <f t="shared" si="1"/>
        <v>0</v>
      </c>
    </row>
    <row r="103" spans="1:6" x14ac:dyDescent="0.25">
      <c r="A103" s="1">
        <v>42752</v>
      </c>
      <c r="B103" s="2" t="s">
        <v>157</v>
      </c>
      <c r="C103" s="2" t="s">
        <v>115</v>
      </c>
      <c r="D103">
        <v>19</v>
      </c>
      <c r="E103">
        <f>WEEKDAY(makulatura5[[#This Row],[Data_dostarczenia]],2)</f>
        <v>2</v>
      </c>
      <c r="F103" s="2">
        <f t="shared" si="1"/>
        <v>0</v>
      </c>
    </row>
    <row r="104" spans="1:6" x14ac:dyDescent="0.25">
      <c r="A104" s="1">
        <v>42752</v>
      </c>
      <c r="B104" s="2" t="s">
        <v>39</v>
      </c>
      <c r="C104" s="2" t="s">
        <v>158</v>
      </c>
      <c r="D104">
        <v>17</v>
      </c>
      <c r="E104">
        <f>WEEKDAY(makulatura5[[#This Row],[Data_dostarczenia]],2)</f>
        <v>2</v>
      </c>
      <c r="F104" s="2">
        <f t="shared" si="1"/>
        <v>0</v>
      </c>
    </row>
    <row r="105" spans="1:6" x14ac:dyDescent="0.25">
      <c r="A105" s="1">
        <v>42752</v>
      </c>
      <c r="B105" s="2" t="s">
        <v>65</v>
      </c>
      <c r="C105" s="2" t="s">
        <v>159</v>
      </c>
      <c r="D105">
        <v>30</v>
      </c>
      <c r="E105">
        <f>WEEKDAY(makulatura5[[#This Row],[Data_dostarczenia]],2)</f>
        <v>2</v>
      </c>
      <c r="F105" s="2">
        <f t="shared" si="1"/>
        <v>0</v>
      </c>
    </row>
    <row r="106" spans="1:6" x14ac:dyDescent="0.25">
      <c r="A106" s="1">
        <v>42752</v>
      </c>
      <c r="B106" s="2" t="s">
        <v>34</v>
      </c>
      <c r="C106" s="2" t="s">
        <v>160</v>
      </c>
      <c r="D106">
        <v>22</v>
      </c>
      <c r="E106">
        <f>WEEKDAY(makulatura5[[#This Row],[Data_dostarczenia]],2)</f>
        <v>2</v>
      </c>
      <c r="F106" s="2">
        <f t="shared" si="1"/>
        <v>0</v>
      </c>
    </row>
    <row r="107" spans="1:6" x14ac:dyDescent="0.25">
      <c r="A107" s="1">
        <v>42752</v>
      </c>
      <c r="B107" s="2" t="s">
        <v>161</v>
      </c>
      <c r="C107" s="2" t="s">
        <v>162</v>
      </c>
      <c r="D107">
        <v>8</v>
      </c>
      <c r="E107">
        <f>WEEKDAY(makulatura5[[#This Row],[Data_dostarczenia]],2)</f>
        <v>2</v>
      </c>
      <c r="F107" s="2">
        <f t="shared" si="1"/>
        <v>0</v>
      </c>
    </row>
    <row r="108" spans="1:6" x14ac:dyDescent="0.25">
      <c r="A108" s="1">
        <v>42752</v>
      </c>
      <c r="B108" s="2" t="s">
        <v>23</v>
      </c>
      <c r="C108" s="2" t="s">
        <v>163</v>
      </c>
      <c r="D108">
        <v>20</v>
      </c>
      <c r="E108">
        <f>WEEKDAY(makulatura5[[#This Row],[Data_dostarczenia]],2)</f>
        <v>2</v>
      </c>
      <c r="F108" s="2">
        <f t="shared" si="1"/>
        <v>0</v>
      </c>
    </row>
    <row r="109" spans="1:6" x14ac:dyDescent="0.25">
      <c r="A109" s="1">
        <v>42752</v>
      </c>
      <c r="B109" s="2" t="s">
        <v>39</v>
      </c>
      <c r="C109" s="2" t="s">
        <v>40</v>
      </c>
      <c r="D109">
        <v>20</v>
      </c>
      <c r="E109">
        <f>WEEKDAY(makulatura5[[#This Row],[Data_dostarczenia]],2)</f>
        <v>2</v>
      </c>
      <c r="F109" s="2">
        <f t="shared" si="1"/>
        <v>0</v>
      </c>
    </row>
    <row r="110" spans="1:6" x14ac:dyDescent="0.25">
      <c r="A110" s="1">
        <v>42752</v>
      </c>
      <c r="B110" s="2" t="s">
        <v>39</v>
      </c>
      <c r="C110" s="2" t="s">
        <v>164</v>
      </c>
      <c r="D110">
        <v>29</v>
      </c>
      <c r="E110">
        <f>WEEKDAY(makulatura5[[#This Row],[Data_dostarczenia]],2)</f>
        <v>2</v>
      </c>
      <c r="F110" s="2">
        <f t="shared" si="1"/>
        <v>1</v>
      </c>
    </row>
    <row r="111" spans="1:6" x14ac:dyDescent="0.25">
      <c r="A111" s="1">
        <v>42753</v>
      </c>
      <c r="B111" s="2" t="s">
        <v>81</v>
      </c>
      <c r="C111" s="2" t="s">
        <v>165</v>
      </c>
      <c r="D111">
        <v>42</v>
      </c>
      <c r="E111">
        <f>WEEKDAY(makulatura5[[#This Row],[Data_dostarczenia]],2)</f>
        <v>3</v>
      </c>
      <c r="F111" s="2">
        <f t="shared" si="1"/>
        <v>0</v>
      </c>
    </row>
    <row r="112" spans="1:6" x14ac:dyDescent="0.25">
      <c r="A112" s="1">
        <v>42753</v>
      </c>
      <c r="B112" s="2" t="s">
        <v>36</v>
      </c>
      <c r="C112" s="2" t="s">
        <v>166</v>
      </c>
      <c r="D112">
        <v>4</v>
      </c>
      <c r="E112">
        <f>WEEKDAY(makulatura5[[#This Row],[Data_dostarczenia]],2)</f>
        <v>3</v>
      </c>
      <c r="F112" s="2">
        <f t="shared" si="1"/>
        <v>0</v>
      </c>
    </row>
    <row r="113" spans="1:6" x14ac:dyDescent="0.25">
      <c r="A113" s="1">
        <v>42753</v>
      </c>
      <c r="B113" s="2" t="s">
        <v>167</v>
      </c>
      <c r="C113" s="2" t="s">
        <v>168</v>
      </c>
      <c r="D113">
        <v>3</v>
      </c>
      <c r="E113">
        <f>WEEKDAY(makulatura5[[#This Row],[Data_dostarczenia]],2)</f>
        <v>3</v>
      </c>
      <c r="F113" s="2">
        <f t="shared" si="1"/>
        <v>0</v>
      </c>
    </row>
    <row r="114" spans="1:6" x14ac:dyDescent="0.25">
      <c r="A114" s="1">
        <v>42753</v>
      </c>
      <c r="B114" s="2" t="s">
        <v>169</v>
      </c>
      <c r="C114" s="2" t="s">
        <v>170</v>
      </c>
      <c r="D114">
        <v>39</v>
      </c>
      <c r="E114">
        <f>WEEKDAY(makulatura5[[#This Row],[Data_dostarczenia]],2)</f>
        <v>3</v>
      </c>
      <c r="F114" s="2">
        <f t="shared" si="1"/>
        <v>0</v>
      </c>
    </row>
    <row r="115" spans="1:6" x14ac:dyDescent="0.25">
      <c r="A115" s="1">
        <v>42753</v>
      </c>
      <c r="B115" s="2" t="s">
        <v>171</v>
      </c>
      <c r="C115" s="2" t="s">
        <v>172</v>
      </c>
      <c r="D115">
        <v>51</v>
      </c>
      <c r="E115">
        <f>WEEKDAY(makulatura5[[#This Row],[Data_dostarczenia]],2)</f>
        <v>3</v>
      </c>
      <c r="F115" s="2">
        <f t="shared" si="1"/>
        <v>0</v>
      </c>
    </row>
    <row r="116" spans="1:6" x14ac:dyDescent="0.25">
      <c r="A116" s="1">
        <v>42753</v>
      </c>
      <c r="B116" s="2" t="s">
        <v>114</v>
      </c>
      <c r="C116" s="2" t="s">
        <v>173</v>
      </c>
      <c r="D116">
        <v>8</v>
      </c>
      <c r="E116">
        <f>WEEKDAY(makulatura5[[#This Row],[Data_dostarczenia]],2)</f>
        <v>3</v>
      </c>
      <c r="F116" s="2">
        <f t="shared" si="1"/>
        <v>0</v>
      </c>
    </row>
    <row r="117" spans="1:6" x14ac:dyDescent="0.25">
      <c r="A117" s="1">
        <v>42753</v>
      </c>
      <c r="B117" s="2" t="s">
        <v>174</v>
      </c>
      <c r="C117" s="2" t="s">
        <v>175</v>
      </c>
      <c r="D117">
        <v>22</v>
      </c>
      <c r="E117">
        <f>WEEKDAY(makulatura5[[#This Row],[Data_dostarczenia]],2)</f>
        <v>3</v>
      </c>
      <c r="F117" s="2">
        <f t="shared" si="1"/>
        <v>0</v>
      </c>
    </row>
    <row r="118" spans="1:6" x14ac:dyDescent="0.25">
      <c r="A118" s="1">
        <v>42753</v>
      </c>
      <c r="B118" s="2" t="s">
        <v>176</v>
      </c>
      <c r="C118" s="2" t="s">
        <v>177</v>
      </c>
      <c r="D118">
        <v>15</v>
      </c>
      <c r="E118">
        <f>WEEKDAY(makulatura5[[#This Row],[Data_dostarczenia]],2)</f>
        <v>3</v>
      </c>
      <c r="F118" s="2">
        <f t="shared" si="1"/>
        <v>0</v>
      </c>
    </row>
    <row r="119" spans="1:6" x14ac:dyDescent="0.25">
      <c r="A119" s="1">
        <v>42753</v>
      </c>
      <c r="B119" s="2" t="s">
        <v>178</v>
      </c>
      <c r="C119" s="2" t="s">
        <v>179</v>
      </c>
      <c r="D119">
        <v>10</v>
      </c>
      <c r="E119">
        <f>WEEKDAY(makulatura5[[#This Row],[Data_dostarczenia]],2)</f>
        <v>3</v>
      </c>
      <c r="F119" s="2">
        <f t="shared" si="1"/>
        <v>1</v>
      </c>
    </row>
    <row r="120" spans="1:6" x14ac:dyDescent="0.25">
      <c r="A120" s="1">
        <v>42754</v>
      </c>
      <c r="B120" s="2" t="s">
        <v>36</v>
      </c>
      <c r="C120" s="2" t="s">
        <v>180</v>
      </c>
      <c r="D120">
        <v>21</v>
      </c>
      <c r="E120">
        <f>WEEKDAY(makulatura5[[#This Row],[Data_dostarczenia]],2)</f>
        <v>4</v>
      </c>
      <c r="F120" s="2">
        <f t="shared" si="1"/>
        <v>0</v>
      </c>
    </row>
    <row r="121" spans="1:6" x14ac:dyDescent="0.25">
      <c r="A121" s="1">
        <v>42754</v>
      </c>
      <c r="B121" s="2" t="s">
        <v>97</v>
      </c>
      <c r="C121" s="2" t="s">
        <v>181</v>
      </c>
      <c r="D121">
        <v>34</v>
      </c>
      <c r="E121">
        <f>WEEKDAY(makulatura5[[#This Row],[Data_dostarczenia]],2)</f>
        <v>4</v>
      </c>
      <c r="F121" s="2">
        <f t="shared" si="1"/>
        <v>0</v>
      </c>
    </row>
    <row r="122" spans="1:6" x14ac:dyDescent="0.25">
      <c r="A122" s="1">
        <v>42754</v>
      </c>
      <c r="B122" s="2" t="s">
        <v>34</v>
      </c>
      <c r="C122" s="2" t="s">
        <v>182</v>
      </c>
      <c r="D122">
        <v>43</v>
      </c>
      <c r="E122">
        <f>WEEKDAY(makulatura5[[#This Row],[Data_dostarczenia]],2)</f>
        <v>4</v>
      </c>
      <c r="F122" s="2">
        <f t="shared" si="1"/>
        <v>0</v>
      </c>
    </row>
    <row r="123" spans="1:6" x14ac:dyDescent="0.25">
      <c r="A123" s="1">
        <v>42754</v>
      </c>
      <c r="B123" s="2" t="s">
        <v>114</v>
      </c>
      <c r="C123" s="2" t="s">
        <v>173</v>
      </c>
      <c r="D123">
        <v>24</v>
      </c>
      <c r="E123">
        <f>WEEKDAY(makulatura5[[#This Row],[Data_dostarczenia]],2)</f>
        <v>4</v>
      </c>
      <c r="F123" s="2">
        <f t="shared" si="1"/>
        <v>0</v>
      </c>
    </row>
    <row r="124" spans="1:6" x14ac:dyDescent="0.25">
      <c r="A124" s="1">
        <v>42754</v>
      </c>
      <c r="B124" s="2" t="s">
        <v>117</v>
      </c>
      <c r="C124" s="2" t="s">
        <v>183</v>
      </c>
      <c r="D124">
        <v>29</v>
      </c>
      <c r="E124">
        <f>WEEKDAY(makulatura5[[#This Row],[Data_dostarczenia]],2)</f>
        <v>4</v>
      </c>
      <c r="F124" s="2">
        <f t="shared" si="1"/>
        <v>0</v>
      </c>
    </row>
    <row r="125" spans="1:6" x14ac:dyDescent="0.25">
      <c r="A125" s="1">
        <v>42754</v>
      </c>
      <c r="B125" s="2" t="s">
        <v>55</v>
      </c>
      <c r="C125" s="2" t="s">
        <v>184</v>
      </c>
      <c r="D125">
        <v>5</v>
      </c>
      <c r="E125">
        <f>WEEKDAY(makulatura5[[#This Row],[Data_dostarczenia]],2)</f>
        <v>4</v>
      </c>
      <c r="F125" s="2">
        <f t="shared" si="1"/>
        <v>0</v>
      </c>
    </row>
    <row r="126" spans="1:6" x14ac:dyDescent="0.25">
      <c r="A126" s="1">
        <v>42754</v>
      </c>
      <c r="B126" s="2" t="s">
        <v>41</v>
      </c>
      <c r="C126" s="2" t="s">
        <v>42</v>
      </c>
      <c r="D126">
        <v>54</v>
      </c>
      <c r="E126">
        <f>WEEKDAY(makulatura5[[#This Row],[Data_dostarczenia]],2)</f>
        <v>4</v>
      </c>
      <c r="F126" s="2">
        <f t="shared" si="1"/>
        <v>0</v>
      </c>
    </row>
    <row r="127" spans="1:6" x14ac:dyDescent="0.25">
      <c r="A127" s="1">
        <v>42754</v>
      </c>
      <c r="B127" s="2" t="s">
        <v>30</v>
      </c>
      <c r="C127" s="2" t="s">
        <v>185</v>
      </c>
      <c r="D127">
        <v>29</v>
      </c>
      <c r="E127">
        <f>WEEKDAY(makulatura5[[#This Row],[Data_dostarczenia]],2)</f>
        <v>4</v>
      </c>
      <c r="F127" s="2">
        <f t="shared" si="1"/>
        <v>0</v>
      </c>
    </row>
    <row r="128" spans="1:6" x14ac:dyDescent="0.25">
      <c r="A128" s="1">
        <v>42754</v>
      </c>
      <c r="B128" s="2" t="s">
        <v>155</v>
      </c>
      <c r="C128" s="2" t="s">
        <v>186</v>
      </c>
      <c r="D128">
        <v>4</v>
      </c>
      <c r="E128">
        <f>WEEKDAY(makulatura5[[#This Row],[Data_dostarczenia]],2)</f>
        <v>4</v>
      </c>
      <c r="F128" s="2">
        <f t="shared" si="1"/>
        <v>1</v>
      </c>
    </row>
    <row r="129" spans="1:6" x14ac:dyDescent="0.25">
      <c r="A129" s="1">
        <v>42755</v>
      </c>
      <c r="B129" s="2" t="s">
        <v>101</v>
      </c>
      <c r="C129" s="2" t="s">
        <v>187</v>
      </c>
      <c r="D129">
        <v>12</v>
      </c>
      <c r="E129">
        <f>WEEKDAY(makulatura5[[#This Row],[Data_dostarczenia]],2)</f>
        <v>5</v>
      </c>
      <c r="F129" s="2">
        <f t="shared" si="1"/>
        <v>0</v>
      </c>
    </row>
    <row r="130" spans="1:6" x14ac:dyDescent="0.25">
      <c r="A130" s="1">
        <v>42755</v>
      </c>
      <c r="B130" s="2" t="s">
        <v>97</v>
      </c>
      <c r="C130" s="2" t="s">
        <v>181</v>
      </c>
      <c r="D130">
        <v>14</v>
      </c>
      <c r="E130">
        <f>WEEKDAY(makulatura5[[#This Row],[Data_dostarczenia]],2)</f>
        <v>5</v>
      </c>
      <c r="F130" s="2">
        <f t="shared" ref="F130:F193" si="2">IF(A131=A130,0,1)</f>
        <v>0</v>
      </c>
    </row>
    <row r="131" spans="1:6" x14ac:dyDescent="0.25">
      <c r="A131" s="1">
        <v>42755</v>
      </c>
      <c r="B131" s="2" t="s">
        <v>97</v>
      </c>
      <c r="C131" s="2" t="s">
        <v>188</v>
      </c>
      <c r="D131">
        <v>46</v>
      </c>
      <c r="E131">
        <f>WEEKDAY(makulatura5[[#This Row],[Data_dostarczenia]],2)</f>
        <v>5</v>
      </c>
      <c r="F131" s="2">
        <f t="shared" si="2"/>
        <v>0</v>
      </c>
    </row>
    <row r="132" spans="1:6" x14ac:dyDescent="0.25">
      <c r="A132" s="1">
        <v>42755</v>
      </c>
      <c r="B132" s="2" t="s">
        <v>189</v>
      </c>
      <c r="C132" s="2" t="s">
        <v>190</v>
      </c>
      <c r="D132">
        <v>13</v>
      </c>
      <c r="E132">
        <f>WEEKDAY(makulatura5[[#This Row],[Data_dostarczenia]],2)</f>
        <v>5</v>
      </c>
      <c r="F132" s="2">
        <f t="shared" si="2"/>
        <v>0</v>
      </c>
    </row>
    <row r="133" spans="1:6" x14ac:dyDescent="0.25">
      <c r="A133" s="1">
        <v>42755</v>
      </c>
      <c r="B133" s="2" t="s">
        <v>53</v>
      </c>
      <c r="C133" s="2" t="s">
        <v>191</v>
      </c>
      <c r="D133">
        <v>15</v>
      </c>
      <c r="E133">
        <f>WEEKDAY(makulatura5[[#This Row],[Data_dostarczenia]],2)</f>
        <v>5</v>
      </c>
      <c r="F133" s="2">
        <f t="shared" si="2"/>
        <v>0</v>
      </c>
    </row>
    <row r="134" spans="1:6" x14ac:dyDescent="0.25">
      <c r="A134" s="1">
        <v>42755</v>
      </c>
      <c r="B134" s="2" t="s">
        <v>47</v>
      </c>
      <c r="C134" s="2" t="s">
        <v>192</v>
      </c>
      <c r="D134">
        <v>38</v>
      </c>
      <c r="E134">
        <f>WEEKDAY(makulatura5[[#This Row],[Data_dostarczenia]],2)</f>
        <v>5</v>
      </c>
      <c r="F134" s="2">
        <f t="shared" si="2"/>
        <v>0</v>
      </c>
    </row>
    <row r="135" spans="1:6" x14ac:dyDescent="0.25">
      <c r="A135" s="1">
        <v>42755</v>
      </c>
      <c r="B135" s="2" t="s">
        <v>193</v>
      </c>
      <c r="C135" s="2" t="s">
        <v>194</v>
      </c>
      <c r="D135">
        <v>27</v>
      </c>
      <c r="E135">
        <f>WEEKDAY(makulatura5[[#This Row],[Data_dostarczenia]],2)</f>
        <v>5</v>
      </c>
      <c r="F135" s="2">
        <f t="shared" si="2"/>
        <v>0</v>
      </c>
    </row>
    <row r="136" spans="1:6" x14ac:dyDescent="0.25">
      <c r="A136" s="1">
        <v>42755</v>
      </c>
      <c r="B136" s="2" t="s">
        <v>87</v>
      </c>
      <c r="C136" s="2" t="s">
        <v>88</v>
      </c>
      <c r="D136">
        <v>49</v>
      </c>
      <c r="E136">
        <f>WEEKDAY(makulatura5[[#This Row],[Data_dostarczenia]],2)</f>
        <v>5</v>
      </c>
      <c r="F136" s="2">
        <f t="shared" si="2"/>
        <v>0</v>
      </c>
    </row>
    <row r="137" spans="1:6" x14ac:dyDescent="0.25">
      <c r="A137" s="1">
        <v>42755</v>
      </c>
      <c r="B137" s="2" t="s">
        <v>51</v>
      </c>
      <c r="C137" s="2" t="s">
        <v>52</v>
      </c>
      <c r="D137">
        <v>17</v>
      </c>
      <c r="E137">
        <f>WEEKDAY(makulatura5[[#This Row],[Data_dostarczenia]],2)</f>
        <v>5</v>
      </c>
      <c r="F137" s="2">
        <f t="shared" si="2"/>
        <v>1</v>
      </c>
    </row>
    <row r="138" spans="1:6" x14ac:dyDescent="0.25">
      <c r="A138" s="1">
        <v>42758</v>
      </c>
      <c r="B138" s="2" t="s">
        <v>195</v>
      </c>
      <c r="C138" s="2" t="s">
        <v>196</v>
      </c>
      <c r="D138">
        <v>10</v>
      </c>
      <c r="E138">
        <f>WEEKDAY(makulatura5[[#This Row],[Data_dostarczenia]],2)</f>
        <v>1</v>
      </c>
      <c r="F138" s="2">
        <f t="shared" si="2"/>
        <v>0</v>
      </c>
    </row>
    <row r="139" spans="1:6" x14ac:dyDescent="0.25">
      <c r="A139" s="1">
        <v>42758</v>
      </c>
      <c r="B139" s="2" t="s">
        <v>101</v>
      </c>
      <c r="C139" s="2" t="s">
        <v>187</v>
      </c>
      <c r="D139">
        <v>12</v>
      </c>
      <c r="E139">
        <f>WEEKDAY(makulatura5[[#This Row],[Data_dostarczenia]],2)</f>
        <v>1</v>
      </c>
      <c r="F139" s="2">
        <f t="shared" si="2"/>
        <v>0</v>
      </c>
    </row>
    <row r="140" spans="1:6" x14ac:dyDescent="0.25">
      <c r="A140" s="1">
        <v>42758</v>
      </c>
      <c r="B140" s="2" t="s">
        <v>4</v>
      </c>
      <c r="C140" s="2" t="s">
        <v>197</v>
      </c>
      <c r="D140">
        <v>42</v>
      </c>
      <c r="E140">
        <f>WEEKDAY(makulatura5[[#This Row],[Data_dostarczenia]],2)</f>
        <v>1</v>
      </c>
      <c r="F140" s="2">
        <f t="shared" si="2"/>
        <v>0</v>
      </c>
    </row>
    <row r="141" spans="1:6" x14ac:dyDescent="0.25">
      <c r="A141" s="1">
        <v>42758</v>
      </c>
      <c r="B141" s="2" t="s">
        <v>198</v>
      </c>
      <c r="C141" s="2" t="s">
        <v>199</v>
      </c>
      <c r="D141">
        <v>25</v>
      </c>
      <c r="E141">
        <f>WEEKDAY(makulatura5[[#This Row],[Data_dostarczenia]],2)</f>
        <v>1</v>
      </c>
      <c r="F141" s="2">
        <f t="shared" si="2"/>
        <v>0</v>
      </c>
    </row>
    <row r="142" spans="1:6" x14ac:dyDescent="0.25">
      <c r="A142" s="1">
        <v>42758</v>
      </c>
      <c r="B142" s="2" t="s">
        <v>117</v>
      </c>
      <c r="C142" s="2" t="s">
        <v>118</v>
      </c>
      <c r="D142">
        <v>47</v>
      </c>
      <c r="E142">
        <f>WEEKDAY(makulatura5[[#This Row],[Data_dostarczenia]],2)</f>
        <v>1</v>
      </c>
      <c r="F142" s="2">
        <f t="shared" si="2"/>
        <v>0</v>
      </c>
    </row>
    <row r="143" spans="1:6" x14ac:dyDescent="0.25">
      <c r="A143" s="1">
        <v>42758</v>
      </c>
      <c r="B143" s="2" t="s">
        <v>150</v>
      </c>
      <c r="C143" s="2" t="s">
        <v>200</v>
      </c>
      <c r="D143">
        <v>14</v>
      </c>
      <c r="E143">
        <f>WEEKDAY(makulatura5[[#This Row],[Data_dostarczenia]],2)</f>
        <v>1</v>
      </c>
      <c r="F143" s="2">
        <f t="shared" si="2"/>
        <v>0</v>
      </c>
    </row>
    <row r="144" spans="1:6" x14ac:dyDescent="0.25">
      <c r="A144" s="1">
        <v>42758</v>
      </c>
      <c r="B144" s="2" t="s">
        <v>201</v>
      </c>
      <c r="C144" s="2" t="s">
        <v>202</v>
      </c>
      <c r="D144">
        <v>6</v>
      </c>
      <c r="E144">
        <f>WEEKDAY(makulatura5[[#This Row],[Data_dostarczenia]],2)</f>
        <v>1</v>
      </c>
      <c r="F144" s="2">
        <f t="shared" si="2"/>
        <v>0</v>
      </c>
    </row>
    <row r="145" spans="1:6" x14ac:dyDescent="0.25">
      <c r="A145" s="1">
        <v>42758</v>
      </c>
      <c r="B145" s="2" t="s">
        <v>203</v>
      </c>
      <c r="C145" s="2" t="s">
        <v>204</v>
      </c>
      <c r="D145">
        <v>55</v>
      </c>
      <c r="E145">
        <f>WEEKDAY(makulatura5[[#This Row],[Data_dostarczenia]],2)</f>
        <v>1</v>
      </c>
      <c r="F145" s="2">
        <f t="shared" si="2"/>
        <v>0</v>
      </c>
    </row>
    <row r="146" spans="1:6" x14ac:dyDescent="0.25">
      <c r="A146" s="1">
        <v>42758</v>
      </c>
      <c r="B146" s="2" t="s">
        <v>65</v>
      </c>
      <c r="C146" s="2" t="s">
        <v>205</v>
      </c>
      <c r="D146">
        <v>22</v>
      </c>
      <c r="E146">
        <f>WEEKDAY(makulatura5[[#This Row],[Data_dostarczenia]],2)</f>
        <v>1</v>
      </c>
      <c r="F146" s="2">
        <f t="shared" si="2"/>
        <v>1</v>
      </c>
    </row>
    <row r="147" spans="1:6" x14ac:dyDescent="0.25">
      <c r="A147" s="1">
        <v>42759</v>
      </c>
      <c r="B147" s="2" t="s">
        <v>206</v>
      </c>
      <c r="C147" s="2" t="s">
        <v>192</v>
      </c>
      <c r="D147">
        <v>45</v>
      </c>
      <c r="E147">
        <f>WEEKDAY(makulatura5[[#This Row],[Data_dostarczenia]],2)</f>
        <v>2</v>
      </c>
      <c r="F147" s="2">
        <f t="shared" si="2"/>
        <v>0</v>
      </c>
    </row>
    <row r="148" spans="1:6" x14ac:dyDescent="0.25">
      <c r="A148" s="1">
        <v>42759</v>
      </c>
      <c r="B148" s="2" t="s">
        <v>4</v>
      </c>
      <c r="C148" s="2" t="s">
        <v>207</v>
      </c>
      <c r="D148">
        <v>20</v>
      </c>
      <c r="E148">
        <f>WEEKDAY(makulatura5[[#This Row],[Data_dostarczenia]],2)</f>
        <v>2</v>
      </c>
      <c r="F148" s="2">
        <f t="shared" si="2"/>
        <v>0</v>
      </c>
    </row>
    <row r="149" spans="1:6" x14ac:dyDescent="0.25">
      <c r="A149" s="1">
        <v>42759</v>
      </c>
      <c r="B149" s="2" t="s">
        <v>208</v>
      </c>
      <c r="C149" s="2" t="s">
        <v>209</v>
      </c>
      <c r="D149">
        <v>52</v>
      </c>
      <c r="E149">
        <f>WEEKDAY(makulatura5[[#This Row],[Data_dostarczenia]],2)</f>
        <v>2</v>
      </c>
      <c r="F149" s="2">
        <f t="shared" si="2"/>
        <v>0</v>
      </c>
    </row>
    <row r="150" spans="1:6" x14ac:dyDescent="0.25">
      <c r="A150" s="1">
        <v>42759</v>
      </c>
      <c r="B150" s="2" t="s">
        <v>65</v>
      </c>
      <c r="C150" s="2" t="s">
        <v>210</v>
      </c>
      <c r="D150">
        <v>47</v>
      </c>
      <c r="E150">
        <f>WEEKDAY(makulatura5[[#This Row],[Data_dostarczenia]],2)</f>
        <v>2</v>
      </c>
      <c r="F150" s="2">
        <f t="shared" si="2"/>
        <v>0</v>
      </c>
    </row>
    <row r="151" spans="1:6" x14ac:dyDescent="0.25">
      <c r="A151" s="1">
        <v>42759</v>
      </c>
      <c r="B151" s="2" t="s">
        <v>150</v>
      </c>
      <c r="C151" s="2" t="s">
        <v>211</v>
      </c>
      <c r="D151">
        <v>13</v>
      </c>
      <c r="E151">
        <f>WEEKDAY(makulatura5[[#This Row],[Data_dostarczenia]],2)</f>
        <v>2</v>
      </c>
      <c r="F151" s="2">
        <f t="shared" si="2"/>
        <v>0</v>
      </c>
    </row>
    <row r="152" spans="1:6" x14ac:dyDescent="0.25">
      <c r="A152" s="1">
        <v>42759</v>
      </c>
      <c r="B152" s="2" t="s">
        <v>101</v>
      </c>
      <c r="C152" s="2" t="s">
        <v>212</v>
      </c>
      <c r="D152">
        <v>23</v>
      </c>
      <c r="E152">
        <f>WEEKDAY(makulatura5[[#This Row],[Data_dostarczenia]],2)</f>
        <v>2</v>
      </c>
      <c r="F152" s="2">
        <f t="shared" si="2"/>
        <v>0</v>
      </c>
    </row>
    <row r="153" spans="1:6" x14ac:dyDescent="0.25">
      <c r="A153" s="1">
        <v>42759</v>
      </c>
      <c r="B153" s="2" t="s">
        <v>27</v>
      </c>
      <c r="C153" s="2" t="s">
        <v>28</v>
      </c>
      <c r="D153">
        <v>11</v>
      </c>
      <c r="E153">
        <f>WEEKDAY(makulatura5[[#This Row],[Data_dostarczenia]],2)</f>
        <v>2</v>
      </c>
      <c r="F153" s="2">
        <f t="shared" si="2"/>
        <v>0</v>
      </c>
    </row>
    <row r="154" spans="1:6" x14ac:dyDescent="0.25">
      <c r="A154" s="1">
        <v>42759</v>
      </c>
      <c r="B154" s="2" t="s">
        <v>141</v>
      </c>
      <c r="C154" s="2" t="s">
        <v>142</v>
      </c>
      <c r="D154">
        <v>35</v>
      </c>
      <c r="E154">
        <f>WEEKDAY(makulatura5[[#This Row],[Data_dostarczenia]],2)</f>
        <v>2</v>
      </c>
      <c r="F154" s="2">
        <f t="shared" si="2"/>
        <v>0</v>
      </c>
    </row>
    <row r="155" spans="1:6" x14ac:dyDescent="0.25">
      <c r="A155" s="1">
        <v>42759</v>
      </c>
      <c r="B155" s="2" t="s">
        <v>75</v>
      </c>
      <c r="C155" s="2" t="s">
        <v>213</v>
      </c>
      <c r="D155">
        <v>42</v>
      </c>
      <c r="E155">
        <f>WEEKDAY(makulatura5[[#This Row],[Data_dostarczenia]],2)</f>
        <v>2</v>
      </c>
      <c r="F155" s="2">
        <f t="shared" si="2"/>
        <v>1</v>
      </c>
    </row>
    <row r="156" spans="1:6" x14ac:dyDescent="0.25">
      <c r="A156" s="1">
        <v>42760</v>
      </c>
      <c r="B156" s="2" t="s">
        <v>161</v>
      </c>
      <c r="C156" s="2" t="s">
        <v>214</v>
      </c>
      <c r="D156">
        <v>15</v>
      </c>
      <c r="E156">
        <f>WEEKDAY(makulatura5[[#This Row],[Data_dostarczenia]],2)</f>
        <v>3</v>
      </c>
      <c r="F156" s="2">
        <f t="shared" si="2"/>
        <v>0</v>
      </c>
    </row>
    <row r="157" spans="1:6" x14ac:dyDescent="0.25">
      <c r="A157" s="1">
        <v>42760</v>
      </c>
      <c r="B157" s="2" t="s">
        <v>193</v>
      </c>
      <c r="C157" s="2" t="s">
        <v>215</v>
      </c>
      <c r="D157">
        <v>9</v>
      </c>
      <c r="E157">
        <f>WEEKDAY(makulatura5[[#This Row],[Data_dostarczenia]],2)</f>
        <v>3</v>
      </c>
      <c r="F157" s="2">
        <f t="shared" si="2"/>
        <v>0</v>
      </c>
    </row>
    <row r="158" spans="1:6" x14ac:dyDescent="0.25">
      <c r="A158" s="1">
        <v>42760</v>
      </c>
      <c r="B158" s="2" t="s">
        <v>119</v>
      </c>
      <c r="C158" s="2" t="s">
        <v>216</v>
      </c>
      <c r="D158">
        <v>33</v>
      </c>
      <c r="E158">
        <f>WEEKDAY(makulatura5[[#This Row],[Data_dostarczenia]],2)</f>
        <v>3</v>
      </c>
      <c r="F158" s="2">
        <f t="shared" si="2"/>
        <v>0</v>
      </c>
    </row>
    <row r="159" spans="1:6" x14ac:dyDescent="0.25">
      <c r="A159" s="1">
        <v>42760</v>
      </c>
      <c r="B159" s="2" t="s">
        <v>27</v>
      </c>
      <c r="C159" s="2" t="s">
        <v>94</v>
      </c>
      <c r="D159">
        <v>17</v>
      </c>
      <c r="E159">
        <f>WEEKDAY(makulatura5[[#This Row],[Data_dostarczenia]],2)</f>
        <v>3</v>
      </c>
      <c r="F159" s="2">
        <f t="shared" si="2"/>
        <v>0</v>
      </c>
    </row>
    <row r="160" spans="1:6" x14ac:dyDescent="0.25">
      <c r="A160" s="1">
        <v>42760</v>
      </c>
      <c r="B160" s="2" t="s">
        <v>95</v>
      </c>
      <c r="C160" s="2" t="s">
        <v>96</v>
      </c>
      <c r="D160">
        <v>11</v>
      </c>
      <c r="E160">
        <f>WEEKDAY(makulatura5[[#This Row],[Data_dostarczenia]],2)</f>
        <v>3</v>
      </c>
      <c r="F160" s="2">
        <f t="shared" si="2"/>
        <v>0</v>
      </c>
    </row>
    <row r="161" spans="1:6" x14ac:dyDescent="0.25">
      <c r="A161" s="1">
        <v>42760</v>
      </c>
      <c r="B161" s="2" t="s">
        <v>217</v>
      </c>
      <c r="C161" s="2" t="s">
        <v>218</v>
      </c>
      <c r="D161">
        <v>19</v>
      </c>
      <c r="E161">
        <f>WEEKDAY(makulatura5[[#This Row],[Data_dostarczenia]],2)</f>
        <v>3</v>
      </c>
      <c r="F161" s="2">
        <f t="shared" si="2"/>
        <v>0</v>
      </c>
    </row>
    <row r="162" spans="1:6" x14ac:dyDescent="0.25">
      <c r="A162" s="1">
        <v>42760</v>
      </c>
      <c r="B162" s="2" t="s">
        <v>32</v>
      </c>
      <c r="C162" s="2" t="s">
        <v>33</v>
      </c>
      <c r="D162">
        <v>14</v>
      </c>
      <c r="E162">
        <f>WEEKDAY(makulatura5[[#This Row],[Data_dostarczenia]],2)</f>
        <v>3</v>
      </c>
      <c r="F162" s="2">
        <f t="shared" si="2"/>
        <v>0</v>
      </c>
    </row>
    <row r="163" spans="1:6" x14ac:dyDescent="0.25">
      <c r="A163" s="1">
        <v>42760</v>
      </c>
      <c r="B163" s="2" t="s">
        <v>23</v>
      </c>
      <c r="C163" s="2" t="s">
        <v>163</v>
      </c>
      <c r="D163">
        <v>6</v>
      </c>
      <c r="E163">
        <f>WEEKDAY(makulatura5[[#This Row],[Data_dostarczenia]],2)</f>
        <v>3</v>
      </c>
      <c r="F163" s="2">
        <f t="shared" si="2"/>
        <v>0</v>
      </c>
    </row>
    <row r="164" spans="1:6" x14ac:dyDescent="0.25">
      <c r="A164" s="1">
        <v>42760</v>
      </c>
      <c r="B164" s="2" t="s">
        <v>61</v>
      </c>
      <c r="C164" s="2" t="s">
        <v>62</v>
      </c>
      <c r="D164">
        <v>47</v>
      </c>
      <c r="E164">
        <f>WEEKDAY(makulatura5[[#This Row],[Data_dostarczenia]],2)</f>
        <v>3</v>
      </c>
      <c r="F164" s="2">
        <f t="shared" si="2"/>
        <v>0</v>
      </c>
    </row>
    <row r="165" spans="1:6" x14ac:dyDescent="0.25">
      <c r="A165" s="1">
        <v>42760</v>
      </c>
      <c r="B165" s="2" t="s">
        <v>219</v>
      </c>
      <c r="C165" s="2" t="s">
        <v>220</v>
      </c>
      <c r="D165">
        <v>4</v>
      </c>
      <c r="E165">
        <f>WEEKDAY(makulatura5[[#This Row],[Data_dostarczenia]],2)</f>
        <v>3</v>
      </c>
      <c r="F165" s="2">
        <f t="shared" si="2"/>
        <v>0</v>
      </c>
    </row>
    <row r="166" spans="1:6" x14ac:dyDescent="0.25">
      <c r="A166" s="1">
        <v>42760</v>
      </c>
      <c r="B166" s="2" t="s">
        <v>221</v>
      </c>
      <c r="C166" s="2" t="s">
        <v>222</v>
      </c>
      <c r="D166">
        <v>45</v>
      </c>
      <c r="E166">
        <f>WEEKDAY(makulatura5[[#This Row],[Data_dostarczenia]],2)</f>
        <v>3</v>
      </c>
      <c r="F166" s="2">
        <f t="shared" si="2"/>
        <v>1</v>
      </c>
    </row>
    <row r="167" spans="1:6" x14ac:dyDescent="0.25">
      <c r="A167" s="1">
        <v>42761</v>
      </c>
      <c r="B167" s="2" t="s">
        <v>14</v>
      </c>
      <c r="C167" s="2" t="s">
        <v>15</v>
      </c>
      <c r="D167">
        <v>39</v>
      </c>
      <c r="E167">
        <f>WEEKDAY(makulatura5[[#This Row],[Data_dostarczenia]],2)</f>
        <v>4</v>
      </c>
      <c r="F167" s="2">
        <f t="shared" si="2"/>
        <v>0</v>
      </c>
    </row>
    <row r="168" spans="1:6" x14ac:dyDescent="0.25">
      <c r="A168" s="1">
        <v>42761</v>
      </c>
      <c r="B168" s="2" t="s">
        <v>101</v>
      </c>
      <c r="C168" s="2" t="s">
        <v>223</v>
      </c>
      <c r="D168">
        <v>34</v>
      </c>
      <c r="E168">
        <f>WEEKDAY(makulatura5[[#This Row],[Data_dostarczenia]],2)</f>
        <v>4</v>
      </c>
      <c r="F168" s="2">
        <f t="shared" si="2"/>
        <v>0</v>
      </c>
    </row>
    <row r="169" spans="1:6" x14ac:dyDescent="0.25">
      <c r="A169" s="1">
        <v>42761</v>
      </c>
      <c r="B169" s="2" t="s">
        <v>195</v>
      </c>
      <c r="C169" s="2" t="s">
        <v>224</v>
      </c>
      <c r="D169">
        <v>9</v>
      </c>
      <c r="E169">
        <f>WEEKDAY(makulatura5[[#This Row],[Data_dostarczenia]],2)</f>
        <v>4</v>
      </c>
      <c r="F169" s="2">
        <f t="shared" si="2"/>
        <v>0</v>
      </c>
    </row>
    <row r="170" spans="1:6" x14ac:dyDescent="0.25">
      <c r="A170" s="1">
        <v>42761</v>
      </c>
      <c r="B170" s="2" t="s">
        <v>225</v>
      </c>
      <c r="C170" s="2" t="s">
        <v>226</v>
      </c>
      <c r="D170">
        <v>23</v>
      </c>
      <c r="E170">
        <f>WEEKDAY(makulatura5[[#This Row],[Data_dostarczenia]],2)</f>
        <v>4</v>
      </c>
      <c r="F170" s="2">
        <f t="shared" si="2"/>
        <v>0</v>
      </c>
    </row>
    <row r="171" spans="1:6" x14ac:dyDescent="0.25">
      <c r="A171" s="1">
        <v>42761</v>
      </c>
      <c r="B171" s="2" t="s">
        <v>34</v>
      </c>
      <c r="C171" s="2" t="s">
        <v>160</v>
      </c>
      <c r="D171">
        <v>3</v>
      </c>
      <c r="E171">
        <f>WEEKDAY(makulatura5[[#This Row],[Data_dostarczenia]],2)</f>
        <v>4</v>
      </c>
      <c r="F171" s="2">
        <f t="shared" si="2"/>
        <v>0</v>
      </c>
    </row>
    <row r="172" spans="1:6" x14ac:dyDescent="0.25">
      <c r="A172" s="1">
        <v>42761</v>
      </c>
      <c r="B172" s="2" t="s">
        <v>193</v>
      </c>
      <c r="C172" s="2" t="s">
        <v>227</v>
      </c>
      <c r="D172">
        <v>13</v>
      </c>
      <c r="E172">
        <f>WEEKDAY(makulatura5[[#This Row],[Data_dostarczenia]],2)</f>
        <v>4</v>
      </c>
      <c r="F172" s="2">
        <f t="shared" si="2"/>
        <v>0</v>
      </c>
    </row>
    <row r="173" spans="1:6" x14ac:dyDescent="0.25">
      <c r="A173" s="1">
        <v>42761</v>
      </c>
      <c r="B173" s="2" t="s">
        <v>193</v>
      </c>
      <c r="C173" s="2" t="s">
        <v>228</v>
      </c>
      <c r="D173">
        <v>16</v>
      </c>
      <c r="E173">
        <f>WEEKDAY(makulatura5[[#This Row],[Data_dostarczenia]],2)</f>
        <v>4</v>
      </c>
      <c r="F173" s="2">
        <f t="shared" si="2"/>
        <v>0</v>
      </c>
    </row>
    <row r="174" spans="1:6" x14ac:dyDescent="0.25">
      <c r="A174" s="1">
        <v>42761</v>
      </c>
      <c r="B174" s="2" t="s">
        <v>36</v>
      </c>
      <c r="C174" s="2" t="s">
        <v>229</v>
      </c>
      <c r="D174">
        <v>19</v>
      </c>
      <c r="E174">
        <f>WEEKDAY(makulatura5[[#This Row],[Data_dostarczenia]],2)</f>
        <v>4</v>
      </c>
      <c r="F174" s="2">
        <f t="shared" si="2"/>
        <v>0</v>
      </c>
    </row>
    <row r="175" spans="1:6" x14ac:dyDescent="0.25">
      <c r="A175" s="1">
        <v>42761</v>
      </c>
      <c r="B175" s="2" t="s">
        <v>47</v>
      </c>
      <c r="C175" s="2" t="s">
        <v>230</v>
      </c>
      <c r="D175">
        <v>49</v>
      </c>
      <c r="E175">
        <f>WEEKDAY(makulatura5[[#This Row],[Data_dostarczenia]],2)</f>
        <v>4</v>
      </c>
      <c r="F175" s="2">
        <f t="shared" si="2"/>
        <v>0</v>
      </c>
    </row>
    <row r="176" spans="1:6" x14ac:dyDescent="0.25">
      <c r="A176" s="1">
        <v>42761</v>
      </c>
      <c r="B176" s="2" t="s">
        <v>63</v>
      </c>
      <c r="C176" s="2" t="s">
        <v>231</v>
      </c>
      <c r="D176">
        <v>45</v>
      </c>
      <c r="E176">
        <f>WEEKDAY(makulatura5[[#This Row],[Data_dostarczenia]],2)</f>
        <v>4</v>
      </c>
      <c r="F176" s="2">
        <f t="shared" si="2"/>
        <v>0</v>
      </c>
    </row>
    <row r="177" spans="1:6" x14ac:dyDescent="0.25">
      <c r="A177" s="1">
        <v>42761</v>
      </c>
      <c r="B177" s="2" t="s">
        <v>232</v>
      </c>
      <c r="C177" s="2" t="s">
        <v>233</v>
      </c>
      <c r="D177">
        <v>14</v>
      </c>
      <c r="E177">
        <f>WEEKDAY(makulatura5[[#This Row],[Data_dostarczenia]],2)</f>
        <v>4</v>
      </c>
      <c r="F177" s="2">
        <f t="shared" si="2"/>
        <v>1</v>
      </c>
    </row>
    <row r="178" spans="1:6" x14ac:dyDescent="0.25">
      <c r="A178" s="1">
        <v>42762</v>
      </c>
      <c r="B178" s="2" t="s">
        <v>83</v>
      </c>
      <c r="C178" s="2" t="s">
        <v>110</v>
      </c>
      <c r="D178">
        <v>23</v>
      </c>
      <c r="E178">
        <f>WEEKDAY(makulatura5[[#This Row],[Data_dostarczenia]],2)</f>
        <v>5</v>
      </c>
      <c r="F178" s="2">
        <f t="shared" si="2"/>
        <v>0</v>
      </c>
    </row>
    <row r="179" spans="1:6" x14ac:dyDescent="0.25">
      <c r="A179" s="1">
        <v>42762</v>
      </c>
      <c r="B179" s="2" t="s">
        <v>234</v>
      </c>
      <c r="C179" s="2" t="s">
        <v>235</v>
      </c>
      <c r="D179">
        <v>42</v>
      </c>
      <c r="E179">
        <f>WEEKDAY(makulatura5[[#This Row],[Data_dostarczenia]],2)</f>
        <v>5</v>
      </c>
      <c r="F179" s="2">
        <f t="shared" si="2"/>
        <v>0</v>
      </c>
    </row>
    <row r="180" spans="1:6" x14ac:dyDescent="0.25">
      <c r="A180" s="1">
        <v>42762</v>
      </c>
      <c r="B180" s="2" t="s">
        <v>236</v>
      </c>
      <c r="C180" s="2" t="s">
        <v>237</v>
      </c>
      <c r="D180">
        <v>30</v>
      </c>
      <c r="E180">
        <f>WEEKDAY(makulatura5[[#This Row],[Data_dostarczenia]],2)</f>
        <v>5</v>
      </c>
      <c r="F180" s="2">
        <f t="shared" si="2"/>
        <v>0</v>
      </c>
    </row>
    <row r="181" spans="1:6" x14ac:dyDescent="0.25">
      <c r="A181" s="1">
        <v>42762</v>
      </c>
      <c r="B181" s="2" t="s">
        <v>41</v>
      </c>
      <c r="C181" s="2" t="s">
        <v>238</v>
      </c>
      <c r="D181">
        <v>42</v>
      </c>
      <c r="E181">
        <f>WEEKDAY(makulatura5[[#This Row],[Data_dostarczenia]],2)</f>
        <v>5</v>
      </c>
      <c r="F181" s="2">
        <f t="shared" si="2"/>
        <v>0</v>
      </c>
    </row>
    <row r="182" spans="1:6" x14ac:dyDescent="0.25">
      <c r="A182" s="1">
        <v>42762</v>
      </c>
      <c r="B182" s="2" t="s">
        <v>12</v>
      </c>
      <c r="C182" s="2" t="s">
        <v>38</v>
      </c>
      <c r="D182">
        <v>29</v>
      </c>
      <c r="E182">
        <f>WEEKDAY(makulatura5[[#This Row],[Data_dostarczenia]],2)</f>
        <v>5</v>
      </c>
      <c r="F182" s="2">
        <f t="shared" si="2"/>
        <v>0</v>
      </c>
    </row>
    <row r="183" spans="1:6" x14ac:dyDescent="0.25">
      <c r="A183" s="1">
        <v>42762</v>
      </c>
      <c r="B183" s="2" t="s">
        <v>72</v>
      </c>
      <c r="C183" s="2" t="s">
        <v>239</v>
      </c>
      <c r="D183">
        <v>6</v>
      </c>
      <c r="E183">
        <f>WEEKDAY(makulatura5[[#This Row],[Data_dostarczenia]],2)</f>
        <v>5</v>
      </c>
      <c r="F183" s="2">
        <f t="shared" si="2"/>
        <v>0</v>
      </c>
    </row>
    <row r="184" spans="1:6" x14ac:dyDescent="0.25">
      <c r="A184" s="1">
        <v>42762</v>
      </c>
      <c r="B184" s="2" t="s">
        <v>106</v>
      </c>
      <c r="C184" s="2" t="s">
        <v>240</v>
      </c>
      <c r="D184">
        <v>17</v>
      </c>
      <c r="E184">
        <f>WEEKDAY(makulatura5[[#This Row],[Data_dostarczenia]],2)</f>
        <v>5</v>
      </c>
      <c r="F184" s="2">
        <f t="shared" si="2"/>
        <v>0</v>
      </c>
    </row>
    <row r="185" spans="1:6" x14ac:dyDescent="0.25">
      <c r="A185" s="1">
        <v>42762</v>
      </c>
      <c r="B185" s="2" t="s">
        <v>30</v>
      </c>
      <c r="C185" s="2" t="s">
        <v>241</v>
      </c>
      <c r="D185">
        <v>41</v>
      </c>
      <c r="E185">
        <f>WEEKDAY(makulatura5[[#This Row],[Data_dostarczenia]],2)</f>
        <v>5</v>
      </c>
      <c r="F185" s="2">
        <f t="shared" si="2"/>
        <v>0</v>
      </c>
    </row>
    <row r="186" spans="1:6" x14ac:dyDescent="0.25">
      <c r="A186" s="1">
        <v>42762</v>
      </c>
      <c r="B186" s="2" t="s">
        <v>178</v>
      </c>
      <c r="C186" s="2" t="s">
        <v>242</v>
      </c>
      <c r="D186">
        <v>23</v>
      </c>
      <c r="E186">
        <f>WEEKDAY(makulatura5[[#This Row],[Data_dostarczenia]],2)</f>
        <v>5</v>
      </c>
      <c r="F186" s="2">
        <f t="shared" si="2"/>
        <v>0</v>
      </c>
    </row>
    <row r="187" spans="1:6" x14ac:dyDescent="0.25">
      <c r="A187" s="1">
        <v>42762</v>
      </c>
      <c r="B187" s="2" t="s">
        <v>53</v>
      </c>
      <c r="C187" s="2" t="s">
        <v>191</v>
      </c>
      <c r="D187">
        <v>4</v>
      </c>
      <c r="E187">
        <f>WEEKDAY(makulatura5[[#This Row],[Data_dostarczenia]],2)</f>
        <v>5</v>
      </c>
      <c r="F187" s="2">
        <f t="shared" si="2"/>
        <v>0</v>
      </c>
    </row>
    <row r="188" spans="1:6" x14ac:dyDescent="0.25">
      <c r="A188" s="1">
        <v>42762</v>
      </c>
      <c r="B188" s="2" t="s">
        <v>243</v>
      </c>
      <c r="C188" s="2" t="s">
        <v>82</v>
      </c>
      <c r="D188">
        <v>52</v>
      </c>
      <c r="E188">
        <f>WEEKDAY(makulatura5[[#This Row],[Data_dostarczenia]],2)</f>
        <v>5</v>
      </c>
      <c r="F188" s="2">
        <f t="shared" si="2"/>
        <v>1</v>
      </c>
    </row>
    <row r="189" spans="1:6" x14ac:dyDescent="0.25">
      <c r="A189" s="1">
        <v>42765</v>
      </c>
      <c r="B189" s="2" t="s">
        <v>59</v>
      </c>
      <c r="C189" s="2" t="s">
        <v>60</v>
      </c>
      <c r="D189">
        <v>7</v>
      </c>
      <c r="E189">
        <f>WEEKDAY(makulatura5[[#This Row],[Data_dostarczenia]],2)</f>
        <v>1</v>
      </c>
      <c r="F189" s="2">
        <f t="shared" si="2"/>
        <v>0</v>
      </c>
    </row>
    <row r="190" spans="1:6" x14ac:dyDescent="0.25">
      <c r="A190" s="1">
        <v>42765</v>
      </c>
      <c r="B190" s="2" t="s">
        <v>18</v>
      </c>
      <c r="C190" s="2" t="s">
        <v>74</v>
      </c>
      <c r="D190">
        <v>33</v>
      </c>
      <c r="E190">
        <f>WEEKDAY(makulatura5[[#This Row],[Data_dostarczenia]],2)</f>
        <v>1</v>
      </c>
      <c r="F190" s="2">
        <f t="shared" si="2"/>
        <v>0</v>
      </c>
    </row>
    <row r="191" spans="1:6" x14ac:dyDescent="0.25">
      <c r="A191" s="1">
        <v>42765</v>
      </c>
      <c r="B191" s="2" t="s">
        <v>244</v>
      </c>
      <c r="C191" s="2" t="s">
        <v>245</v>
      </c>
      <c r="D191">
        <v>55</v>
      </c>
      <c r="E191">
        <f>WEEKDAY(makulatura5[[#This Row],[Data_dostarczenia]],2)</f>
        <v>1</v>
      </c>
      <c r="F191" s="2">
        <f t="shared" si="2"/>
        <v>0</v>
      </c>
    </row>
    <row r="192" spans="1:6" x14ac:dyDescent="0.25">
      <c r="A192" s="1">
        <v>42765</v>
      </c>
      <c r="B192" s="2" t="s">
        <v>246</v>
      </c>
      <c r="C192" s="2" t="s">
        <v>247</v>
      </c>
      <c r="D192">
        <v>13</v>
      </c>
      <c r="E192">
        <f>WEEKDAY(makulatura5[[#This Row],[Data_dostarczenia]],2)</f>
        <v>1</v>
      </c>
      <c r="F192" s="2">
        <f t="shared" si="2"/>
        <v>0</v>
      </c>
    </row>
    <row r="193" spans="1:6" x14ac:dyDescent="0.25">
      <c r="A193" s="1">
        <v>42765</v>
      </c>
      <c r="B193" s="2" t="s">
        <v>248</v>
      </c>
      <c r="C193" s="2" t="s">
        <v>249</v>
      </c>
      <c r="D193">
        <v>2</v>
      </c>
      <c r="E193">
        <f>WEEKDAY(makulatura5[[#This Row],[Data_dostarczenia]],2)</f>
        <v>1</v>
      </c>
      <c r="F193" s="2">
        <f t="shared" si="2"/>
        <v>0</v>
      </c>
    </row>
    <row r="194" spans="1:6" x14ac:dyDescent="0.25">
      <c r="A194" s="1">
        <v>42765</v>
      </c>
      <c r="B194" s="2" t="s">
        <v>81</v>
      </c>
      <c r="C194" s="2" t="s">
        <v>82</v>
      </c>
      <c r="D194">
        <v>19</v>
      </c>
      <c r="E194">
        <f>WEEKDAY(makulatura5[[#This Row],[Data_dostarczenia]],2)</f>
        <v>1</v>
      </c>
      <c r="F194" s="2">
        <f t="shared" ref="F194:F257" si="3">IF(A195=A194,0,1)</f>
        <v>0</v>
      </c>
    </row>
    <row r="195" spans="1:6" x14ac:dyDescent="0.25">
      <c r="A195" s="1">
        <v>42765</v>
      </c>
      <c r="B195" s="2" t="s">
        <v>128</v>
      </c>
      <c r="C195" s="2" t="s">
        <v>250</v>
      </c>
      <c r="D195">
        <v>28</v>
      </c>
      <c r="E195">
        <f>WEEKDAY(makulatura5[[#This Row],[Data_dostarczenia]],2)</f>
        <v>1</v>
      </c>
      <c r="F195" s="2">
        <f t="shared" si="3"/>
        <v>0</v>
      </c>
    </row>
    <row r="196" spans="1:6" x14ac:dyDescent="0.25">
      <c r="A196" s="1">
        <v>42765</v>
      </c>
      <c r="B196" s="2" t="s">
        <v>87</v>
      </c>
      <c r="C196" s="2" t="s">
        <v>251</v>
      </c>
      <c r="D196">
        <v>43</v>
      </c>
      <c r="E196">
        <f>WEEKDAY(makulatura5[[#This Row],[Data_dostarczenia]],2)</f>
        <v>1</v>
      </c>
      <c r="F196" s="2">
        <f t="shared" si="3"/>
        <v>0</v>
      </c>
    </row>
    <row r="197" spans="1:6" x14ac:dyDescent="0.25">
      <c r="A197" s="1">
        <v>42765</v>
      </c>
      <c r="B197" s="2" t="s">
        <v>252</v>
      </c>
      <c r="C197" s="2" t="s">
        <v>253</v>
      </c>
      <c r="D197">
        <v>20</v>
      </c>
      <c r="E197">
        <f>WEEKDAY(makulatura5[[#This Row],[Data_dostarczenia]],2)</f>
        <v>1</v>
      </c>
      <c r="F197" s="2">
        <f t="shared" si="3"/>
        <v>0</v>
      </c>
    </row>
    <row r="198" spans="1:6" x14ac:dyDescent="0.25">
      <c r="A198" s="1">
        <v>42765</v>
      </c>
      <c r="B198" s="2" t="s">
        <v>219</v>
      </c>
      <c r="C198" s="2" t="s">
        <v>254</v>
      </c>
      <c r="D198">
        <v>22</v>
      </c>
      <c r="E198">
        <f>WEEKDAY(makulatura5[[#This Row],[Data_dostarczenia]],2)</f>
        <v>1</v>
      </c>
      <c r="F198" s="2">
        <f t="shared" si="3"/>
        <v>0</v>
      </c>
    </row>
    <row r="199" spans="1:6" x14ac:dyDescent="0.25">
      <c r="A199" s="1">
        <v>42765</v>
      </c>
      <c r="B199" s="2" t="s">
        <v>87</v>
      </c>
      <c r="C199" s="2" t="s">
        <v>255</v>
      </c>
      <c r="D199">
        <v>9</v>
      </c>
      <c r="E199">
        <f>WEEKDAY(makulatura5[[#This Row],[Data_dostarczenia]],2)</f>
        <v>1</v>
      </c>
      <c r="F199" s="2">
        <f t="shared" si="3"/>
        <v>1</v>
      </c>
    </row>
    <row r="200" spans="1:6" x14ac:dyDescent="0.25">
      <c r="A200" s="1">
        <v>42766</v>
      </c>
      <c r="B200" s="2" t="s">
        <v>12</v>
      </c>
      <c r="C200" s="2" t="s">
        <v>13</v>
      </c>
      <c r="D200">
        <v>26</v>
      </c>
      <c r="E200">
        <f>WEEKDAY(makulatura5[[#This Row],[Data_dostarczenia]],2)</f>
        <v>2</v>
      </c>
      <c r="F200" s="2">
        <f t="shared" si="3"/>
        <v>0</v>
      </c>
    </row>
    <row r="201" spans="1:6" x14ac:dyDescent="0.25">
      <c r="A201" s="1">
        <v>42766</v>
      </c>
      <c r="B201" s="2" t="s">
        <v>47</v>
      </c>
      <c r="C201" s="2" t="s">
        <v>256</v>
      </c>
      <c r="D201">
        <v>38</v>
      </c>
      <c r="E201">
        <f>WEEKDAY(makulatura5[[#This Row],[Data_dostarczenia]],2)</f>
        <v>2</v>
      </c>
      <c r="F201" s="2">
        <f t="shared" si="3"/>
        <v>0</v>
      </c>
    </row>
    <row r="202" spans="1:6" x14ac:dyDescent="0.25">
      <c r="A202" s="1">
        <v>42766</v>
      </c>
      <c r="B202" s="2" t="s">
        <v>55</v>
      </c>
      <c r="C202" s="2" t="s">
        <v>199</v>
      </c>
      <c r="D202">
        <v>40</v>
      </c>
      <c r="E202">
        <f>WEEKDAY(makulatura5[[#This Row],[Data_dostarczenia]],2)</f>
        <v>2</v>
      </c>
      <c r="F202" s="2">
        <f t="shared" si="3"/>
        <v>0</v>
      </c>
    </row>
    <row r="203" spans="1:6" x14ac:dyDescent="0.25">
      <c r="A203" s="1">
        <v>42766</v>
      </c>
      <c r="B203" s="2" t="s">
        <v>152</v>
      </c>
      <c r="C203" s="2" t="s">
        <v>257</v>
      </c>
      <c r="D203">
        <v>56</v>
      </c>
      <c r="E203">
        <f>WEEKDAY(makulatura5[[#This Row],[Data_dostarczenia]],2)</f>
        <v>2</v>
      </c>
      <c r="F203" s="2">
        <f t="shared" si="3"/>
        <v>0</v>
      </c>
    </row>
    <row r="204" spans="1:6" x14ac:dyDescent="0.25">
      <c r="A204" s="1">
        <v>42766</v>
      </c>
      <c r="B204" s="2" t="s">
        <v>150</v>
      </c>
      <c r="C204" s="2" t="s">
        <v>258</v>
      </c>
      <c r="D204">
        <v>18</v>
      </c>
      <c r="E204">
        <f>WEEKDAY(makulatura5[[#This Row],[Data_dostarczenia]],2)</f>
        <v>2</v>
      </c>
      <c r="F204" s="2">
        <f t="shared" si="3"/>
        <v>0</v>
      </c>
    </row>
    <row r="205" spans="1:6" x14ac:dyDescent="0.25">
      <c r="A205" s="1">
        <v>42766</v>
      </c>
      <c r="B205" s="2" t="s">
        <v>101</v>
      </c>
      <c r="C205" s="2" t="s">
        <v>102</v>
      </c>
      <c r="D205">
        <v>14</v>
      </c>
      <c r="E205">
        <f>WEEKDAY(makulatura5[[#This Row],[Data_dostarczenia]],2)</f>
        <v>2</v>
      </c>
      <c r="F205" s="2">
        <f t="shared" si="3"/>
        <v>0</v>
      </c>
    </row>
    <row r="206" spans="1:6" x14ac:dyDescent="0.25">
      <c r="A206" s="1">
        <v>42766</v>
      </c>
      <c r="B206" s="2" t="s">
        <v>87</v>
      </c>
      <c r="C206" s="2" t="s">
        <v>259</v>
      </c>
      <c r="D206">
        <v>16</v>
      </c>
      <c r="E206">
        <f>WEEKDAY(makulatura5[[#This Row],[Data_dostarczenia]],2)</f>
        <v>2</v>
      </c>
      <c r="F206" s="2">
        <f t="shared" si="3"/>
        <v>0</v>
      </c>
    </row>
    <row r="207" spans="1:6" x14ac:dyDescent="0.25">
      <c r="A207" s="1">
        <v>42766</v>
      </c>
      <c r="B207" s="2" t="s">
        <v>141</v>
      </c>
      <c r="C207" s="2" t="s">
        <v>260</v>
      </c>
      <c r="D207">
        <v>41</v>
      </c>
      <c r="E207">
        <f>WEEKDAY(makulatura5[[#This Row],[Data_dostarczenia]],2)</f>
        <v>2</v>
      </c>
      <c r="F207" s="2">
        <f t="shared" si="3"/>
        <v>0</v>
      </c>
    </row>
    <row r="208" spans="1:6" x14ac:dyDescent="0.25">
      <c r="A208" s="1">
        <v>42766</v>
      </c>
      <c r="B208" s="2" t="s">
        <v>261</v>
      </c>
      <c r="C208" s="2" t="s">
        <v>262</v>
      </c>
      <c r="D208">
        <v>52</v>
      </c>
      <c r="E208">
        <f>WEEKDAY(makulatura5[[#This Row],[Data_dostarczenia]],2)</f>
        <v>2</v>
      </c>
      <c r="F208" s="2">
        <f t="shared" si="3"/>
        <v>0</v>
      </c>
    </row>
    <row r="209" spans="1:6" x14ac:dyDescent="0.25">
      <c r="A209" s="1">
        <v>42766</v>
      </c>
      <c r="B209" s="2" t="s">
        <v>101</v>
      </c>
      <c r="C209" s="2" t="s">
        <v>263</v>
      </c>
      <c r="D209">
        <v>50</v>
      </c>
      <c r="E209">
        <f>WEEKDAY(makulatura5[[#This Row],[Data_dostarczenia]],2)</f>
        <v>2</v>
      </c>
      <c r="F209" s="2">
        <f t="shared" si="3"/>
        <v>0</v>
      </c>
    </row>
    <row r="210" spans="1:6" x14ac:dyDescent="0.25">
      <c r="A210" s="1">
        <v>42766</v>
      </c>
      <c r="B210" s="2" t="s">
        <v>75</v>
      </c>
      <c r="C210" s="2" t="s">
        <v>264</v>
      </c>
      <c r="D210">
        <v>34</v>
      </c>
      <c r="E210">
        <f>WEEKDAY(makulatura5[[#This Row],[Data_dostarczenia]],2)</f>
        <v>2</v>
      </c>
      <c r="F210" s="2">
        <f t="shared" si="3"/>
        <v>1</v>
      </c>
    </row>
    <row r="211" spans="1:6" x14ac:dyDescent="0.25">
      <c r="A211" s="1">
        <v>42767</v>
      </c>
      <c r="B211" s="2" t="s">
        <v>55</v>
      </c>
      <c r="C211" s="2" t="s">
        <v>265</v>
      </c>
      <c r="D211">
        <v>17</v>
      </c>
      <c r="E211">
        <f>WEEKDAY(makulatura5[[#This Row],[Data_dostarczenia]],2)</f>
        <v>3</v>
      </c>
      <c r="F211" s="2">
        <f t="shared" si="3"/>
        <v>0</v>
      </c>
    </row>
    <row r="212" spans="1:6" x14ac:dyDescent="0.25">
      <c r="A212" s="1">
        <v>42767</v>
      </c>
      <c r="B212" s="2" t="s">
        <v>10</v>
      </c>
      <c r="C212" s="2" t="s">
        <v>266</v>
      </c>
      <c r="D212">
        <v>3</v>
      </c>
      <c r="E212">
        <f>WEEKDAY(makulatura5[[#This Row],[Data_dostarczenia]],2)</f>
        <v>3</v>
      </c>
      <c r="F212" s="2">
        <f t="shared" si="3"/>
        <v>0</v>
      </c>
    </row>
    <row r="213" spans="1:6" x14ac:dyDescent="0.25">
      <c r="A213" s="1">
        <v>42767</v>
      </c>
      <c r="B213" s="2" t="s">
        <v>267</v>
      </c>
      <c r="C213" s="2" t="s">
        <v>268</v>
      </c>
      <c r="D213">
        <v>3</v>
      </c>
      <c r="E213">
        <f>WEEKDAY(makulatura5[[#This Row],[Data_dostarczenia]],2)</f>
        <v>3</v>
      </c>
      <c r="F213" s="2">
        <f t="shared" si="3"/>
        <v>0</v>
      </c>
    </row>
    <row r="214" spans="1:6" x14ac:dyDescent="0.25">
      <c r="A214" s="1">
        <v>42767</v>
      </c>
      <c r="B214" s="2" t="s">
        <v>161</v>
      </c>
      <c r="C214" s="2" t="s">
        <v>214</v>
      </c>
      <c r="D214">
        <v>26</v>
      </c>
      <c r="E214">
        <f>WEEKDAY(makulatura5[[#This Row],[Data_dostarczenia]],2)</f>
        <v>3</v>
      </c>
      <c r="F214" s="2">
        <f t="shared" si="3"/>
        <v>0</v>
      </c>
    </row>
    <row r="215" spans="1:6" x14ac:dyDescent="0.25">
      <c r="A215" s="1">
        <v>42767</v>
      </c>
      <c r="B215" s="2" t="s">
        <v>61</v>
      </c>
      <c r="C215" s="2" t="s">
        <v>62</v>
      </c>
      <c r="D215">
        <v>3</v>
      </c>
      <c r="E215">
        <f>WEEKDAY(makulatura5[[#This Row],[Data_dostarczenia]],2)</f>
        <v>3</v>
      </c>
      <c r="F215" s="2">
        <f t="shared" si="3"/>
        <v>0</v>
      </c>
    </row>
    <row r="216" spans="1:6" x14ac:dyDescent="0.25">
      <c r="A216" s="1">
        <v>42767</v>
      </c>
      <c r="B216" s="2" t="s">
        <v>269</v>
      </c>
      <c r="C216" s="2" t="s">
        <v>270</v>
      </c>
      <c r="D216">
        <v>20</v>
      </c>
      <c r="E216">
        <f>WEEKDAY(makulatura5[[#This Row],[Data_dostarczenia]],2)</f>
        <v>3</v>
      </c>
      <c r="F216" s="2">
        <f t="shared" si="3"/>
        <v>0</v>
      </c>
    </row>
    <row r="217" spans="1:6" x14ac:dyDescent="0.25">
      <c r="A217" s="1">
        <v>42767</v>
      </c>
      <c r="B217" s="2" t="s">
        <v>271</v>
      </c>
      <c r="C217" s="2" t="s">
        <v>272</v>
      </c>
      <c r="D217">
        <v>23</v>
      </c>
      <c r="E217">
        <f>WEEKDAY(makulatura5[[#This Row],[Data_dostarczenia]],2)</f>
        <v>3</v>
      </c>
      <c r="F217" s="2">
        <f t="shared" si="3"/>
        <v>0</v>
      </c>
    </row>
    <row r="218" spans="1:6" x14ac:dyDescent="0.25">
      <c r="A218" s="1">
        <v>42767</v>
      </c>
      <c r="B218" s="2" t="s">
        <v>273</v>
      </c>
      <c r="C218" s="2" t="s">
        <v>274</v>
      </c>
      <c r="D218">
        <v>24</v>
      </c>
      <c r="E218">
        <f>WEEKDAY(makulatura5[[#This Row],[Data_dostarczenia]],2)</f>
        <v>3</v>
      </c>
      <c r="F218" s="2">
        <f t="shared" si="3"/>
        <v>0</v>
      </c>
    </row>
    <row r="219" spans="1:6" x14ac:dyDescent="0.25">
      <c r="A219" s="1">
        <v>42767</v>
      </c>
      <c r="B219" s="2" t="s">
        <v>275</v>
      </c>
      <c r="C219" s="2" t="s">
        <v>276</v>
      </c>
      <c r="D219">
        <v>17</v>
      </c>
      <c r="E219">
        <f>WEEKDAY(makulatura5[[#This Row],[Data_dostarczenia]],2)</f>
        <v>3</v>
      </c>
      <c r="F219" s="2">
        <f t="shared" si="3"/>
        <v>0</v>
      </c>
    </row>
    <row r="220" spans="1:6" x14ac:dyDescent="0.25">
      <c r="A220" s="1">
        <v>42767</v>
      </c>
      <c r="B220" s="2" t="s">
        <v>106</v>
      </c>
      <c r="C220" s="2" t="s">
        <v>277</v>
      </c>
      <c r="D220">
        <v>6</v>
      </c>
      <c r="E220">
        <f>WEEKDAY(makulatura5[[#This Row],[Data_dostarczenia]],2)</f>
        <v>3</v>
      </c>
      <c r="F220" s="2">
        <f t="shared" si="3"/>
        <v>0</v>
      </c>
    </row>
    <row r="221" spans="1:6" x14ac:dyDescent="0.25">
      <c r="A221" s="1">
        <v>42767</v>
      </c>
      <c r="B221" s="2" t="s">
        <v>278</v>
      </c>
      <c r="C221" s="2" t="s">
        <v>279</v>
      </c>
      <c r="D221">
        <v>47</v>
      </c>
      <c r="E221">
        <f>WEEKDAY(makulatura5[[#This Row],[Data_dostarczenia]],2)</f>
        <v>3</v>
      </c>
      <c r="F221" s="2">
        <f t="shared" si="3"/>
        <v>1</v>
      </c>
    </row>
    <row r="222" spans="1:6" x14ac:dyDescent="0.25">
      <c r="A222" s="1">
        <v>42768</v>
      </c>
      <c r="B222" s="2" t="s">
        <v>280</v>
      </c>
      <c r="C222" s="2" t="s">
        <v>281</v>
      </c>
      <c r="D222">
        <v>25</v>
      </c>
      <c r="E222">
        <f>WEEKDAY(makulatura5[[#This Row],[Data_dostarczenia]],2)</f>
        <v>4</v>
      </c>
      <c r="F222" s="2">
        <f t="shared" si="3"/>
        <v>0</v>
      </c>
    </row>
    <row r="223" spans="1:6" x14ac:dyDescent="0.25">
      <c r="A223" s="1">
        <v>42768</v>
      </c>
      <c r="B223" s="2" t="s">
        <v>282</v>
      </c>
      <c r="C223" s="2" t="s">
        <v>283</v>
      </c>
      <c r="D223">
        <v>20</v>
      </c>
      <c r="E223">
        <f>WEEKDAY(makulatura5[[#This Row],[Data_dostarczenia]],2)</f>
        <v>4</v>
      </c>
      <c r="F223" s="2">
        <f t="shared" si="3"/>
        <v>0</v>
      </c>
    </row>
    <row r="224" spans="1:6" x14ac:dyDescent="0.25">
      <c r="A224" s="1">
        <v>42768</v>
      </c>
      <c r="B224" s="2" t="s">
        <v>284</v>
      </c>
      <c r="C224" s="2" t="s">
        <v>285</v>
      </c>
      <c r="D224">
        <v>6</v>
      </c>
      <c r="E224">
        <f>WEEKDAY(makulatura5[[#This Row],[Data_dostarczenia]],2)</f>
        <v>4</v>
      </c>
      <c r="F224" s="2">
        <f t="shared" si="3"/>
        <v>0</v>
      </c>
    </row>
    <row r="225" spans="1:6" x14ac:dyDescent="0.25">
      <c r="A225" s="1">
        <v>42768</v>
      </c>
      <c r="B225" s="2" t="s">
        <v>69</v>
      </c>
      <c r="C225" s="2" t="s">
        <v>286</v>
      </c>
      <c r="D225">
        <v>16</v>
      </c>
      <c r="E225">
        <f>WEEKDAY(makulatura5[[#This Row],[Data_dostarczenia]],2)</f>
        <v>4</v>
      </c>
      <c r="F225" s="2">
        <f t="shared" si="3"/>
        <v>0</v>
      </c>
    </row>
    <row r="226" spans="1:6" x14ac:dyDescent="0.25">
      <c r="A226" s="1">
        <v>42768</v>
      </c>
      <c r="B226" s="2" t="s">
        <v>267</v>
      </c>
      <c r="C226" s="2" t="s">
        <v>287</v>
      </c>
      <c r="D226">
        <v>16</v>
      </c>
      <c r="E226">
        <f>WEEKDAY(makulatura5[[#This Row],[Data_dostarczenia]],2)</f>
        <v>4</v>
      </c>
      <c r="F226" s="2">
        <f t="shared" si="3"/>
        <v>0</v>
      </c>
    </row>
    <row r="227" spans="1:6" x14ac:dyDescent="0.25">
      <c r="A227" s="1">
        <v>42768</v>
      </c>
      <c r="B227" s="2" t="s">
        <v>252</v>
      </c>
      <c r="C227" s="2" t="s">
        <v>288</v>
      </c>
      <c r="D227">
        <v>8</v>
      </c>
      <c r="E227">
        <f>WEEKDAY(makulatura5[[#This Row],[Data_dostarczenia]],2)</f>
        <v>4</v>
      </c>
      <c r="F227" s="2">
        <f t="shared" si="3"/>
        <v>0</v>
      </c>
    </row>
    <row r="228" spans="1:6" x14ac:dyDescent="0.25">
      <c r="A228" s="1">
        <v>42768</v>
      </c>
      <c r="B228" s="2" t="s">
        <v>178</v>
      </c>
      <c r="C228" s="2" t="s">
        <v>242</v>
      </c>
      <c r="D228">
        <v>17</v>
      </c>
      <c r="E228">
        <f>WEEKDAY(makulatura5[[#This Row],[Data_dostarczenia]],2)</f>
        <v>4</v>
      </c>
      <c r="F228" s="2">
        <f t="shared" si="3"/>
        <v>0</v>
      </c>
    </row>
    <row r="229" spans="1:6" x14ac:dyDescent="0.25">
      <c r="A229" s="1">
        <v>42768</v>
      </c>
      <c r="B229" s="2" t="s">
        <v>39</v>
      </c>
      <c r="C229" s="2" t="s">
        <v>289</v>
      </c>
      <c r="D229">
        <v>8</v>
      </c>
      <c r="E229">
        <f>WEEKDAY(makulatura5[[#This Row],[Data_dostarczenia]],2)</f>
        <v>4</v>
      </c>
      <c r="F229" s="2">
        <f t="shared" si="3"/>
        <v>0</v>
      </c>
    </row>
    <row r="230" spans="1:6" x14ac:dyDescent="0.25">
      <c r="A230" s="1">
        <v>42768</v>
      </c>
      <c r="B230" s="2" t="s">
        <v>30</v>
      </c>
      <c r="C230" s="2" t="s">
        <v>31</v>
      </c>
      <c r="D230">
        <v>29</v>
      </c>
      <c r="E230">
        <f>WEEKDAY(makulatura5[[#This Row],[Data_dostarczenia]],2)</f>
        <v>4</v>
      </c>
      <c r="F230" s="2">
        <f t="shared" si="3"/>
        <v>0</v>
      </c>
    </row>
    <row r="231" spans="1:6" x14ac:dyDescent="0.25">
      <c r="A231" s="1">
        <v>42768</v>
      </c>
      <c r="B231" s="2" t="s">
        <v>206</v>
      </c>
      <c r="C231" s="2" t="s">
        <v>227</v>
      </c>
      <c r="D231">
        <v>43</v>
      </c>
      <c r="E231">
        <f>WEEKDAY(makulatura5[[#This Row],[Data_dostarczenia]],2)</f>
        <v>4</v>
      </c>
      <c r="F231" s="2">
        <f t="shared" si="3"/>
        <v>0</v>
      </c>
    </row>
    <row r="232" spans="1:6" x14ac:dyDescent="0.25">
      <c r="A232" s="1">
        <v>42768</v>
      </c>
      <c r="B232" s="2" t="s">
        <v>290</v>
      </c>
      <c r="C232" s="2" t="s">
        <v>291</v>
      </c>
      <c r="D232">
        <v>17</v>
      </c>
      <c r="E232">
        <f>WEEKDAY(makulatura5[[#This Row],[Data_dostarczenia]],2)</f>
        <v>4</v>
      </c>
      <c r="F232" s="2">
        <f t="shared" si="3"/>
        <v>1</v>
      </c>
    </row>
    <row r="233" spans="1:6" x14ac:dyDescent="0.25">
      <c r="A233" s="1">
        <v>42769</v>
      </c>
      <c r="B233" s="2" t="s">
        <v>67</v>
      </c>
      <c r="C233" s="2" t="s">
        <v>68</v>
      </c>
      <c r="D233">
        <v>29</v>
      </c>
      <c r="E233">
        <f>WEEKDAY(makulatura5[[#This Row],[Data_dostarczenia]],2)</f>
        <v>5</v>
      </c>
      <c r="F233" s="2">
        <f t="shared" si="3"/>
        <v>0</v>
      </c>
    </row>
    <row r="234" spans="1:6" x14ac:dyDescent="0.25">
      <c r="A234" s="1">
        <v>42769</v>
      </c>
      <c r="B234" s="2" t="s">
        <v>117</v>
      </c>
      <c r="C234" s="2" t="s">
        <v>183</v>
      </c>
      <c r="D234">
        <v>7</v>
      </c>
      <c r="E234">
        <f>WEEKDAY(makulatura5[[#This Row],[Data_dostarczenia]],2)</f>
        <v>5</v>
      </c>
      <c r="F234" s="2">
        <f t="shared" si="3"/>
        <v>0</v>
      </c>
    </row>
    <row r="235" spans="1:6" x14ac:dyDescent="0.25">
      <c r="A235" s="1">
        <v>42769</v>
      </c>
      <c r="B235" s="2" t="s">
        <v>141</v>
      </c>
      <c r="C235" s="2" t="s">
        <v>292</v>
      </c>
      <c r="D235">
        <v>16</v>
      </c>
      <c r="E235">
        <f>WEEKDAY(makulatura5[[#This Row],[Data_dostarczenia]],2)</f>
        <v>5</v>
      </c>
      <c r="F235" s="2">
        <f t="shared" si="3"/>
        <v>0</v>
      </c>
    </row>
    <row r="236" spans="1:6" x14ac:dyDescent="0.25">
      <c r="A236" s="1">
        <v>42769</v>
      </c>
      <c r="B236" s="2" t="s">
        <v>150</v>
      </c>
      <c r="C236" s="2" t="s">
        <v>258</v>
      </c>
      <c r="D236">
        <v>3</v>
      </c>
      <c r="E236">
        <f>WEEKDAY(makulatura5[[#This Row],[Data_dostarczenia]],2)</f>
        <v>5</v>
      </c>
      <c r="F236" s="2">
        <f t="shared" si="3"/>
        <v>0</v>
      </c>
    </row>
    <row r="237" spans="1:6" x14ac:dyDescent="0.25">
      <c r="A237" s="1">
        <v>42769</v>
      </c>
      <c r="B237" s="2" t="s">
        <v>12</v>
      </c>
      <c r="C237" s="2" t="s">
        <v>13</v>
      </c>
      <c r="D237">
        <v>26</v>
      </c>
      <c r="E237">
        <f>WEEKDAY(makulatura5[[#This Row],[Data_dostarczenia]],2)</f>
        <v>5</v>
      </c>
      <c r="F237" s="2">
        <f t="shared" si="3"/>
        <v>0</v>
      </c>
    </row>
    <row r="238" spans="1:6" x14ac:dyDescent="0.25">
      <c r="A238" s="1">
        <v>42769</v>
      </c>
      <c r="B238" s="2" t="s">
        <v>101</v>
      </c>
      <c r="C238" s="2" t="s">
        <v>293</v>
      </c>
      <c r="D238">
        <v>5</v>
      </c>
      <c r="E238">
        <f>WEEKDAY(makulatura5[[#This Row],[Data_dostarczenia]],2)</f>
        <v>5</v>
      </c>
      <c r="F238" s="2">
        <f t="shared" si="3"/>
        <v>0</v>
      </c>
    </row>
    <row r="239" spans="1:6" x14ac:dyDescent="0.25">
      <c r="A239" s="1">
        <v>42769</v>
      </c>
      <c r="B239" s="2" t="s">
        <v>39</v>
      </c>
      <c r="C239" s="2" t="s">
        <v>294</v>
      </c>
      <c r="D239">
        <v>16</v>
      </c>
      <c r="E239">
        <f>WEEKDAY(makulatura5[[#This Row],[Data_dostarczenia]],2)</f>
        <v>5</v>
      </c>
      <c r="F239" s="2">
        <f t="shared" si="3"/>
        <v>0</v>
      </c>
    </row>
    <row r="240" spans="1:6" x14ac:dyDescent="0.25">
      <c r="A240" s="1">
        <v>42769</v>
      </c>
      <c r="B240" s="2" t="s">
        <v>36</v>
      </c>
      <c r="C240" s="2" t="s">
        <v>295</v>
      </c>
      <c r="D240">
        <v>19</v>
      </c>
      <c r="E240">
        <f>WEEKDAY(makulatura5[[#This Row],[Data_dostarczenia]],2)</f>
        <v>5</v>
      </c>
      <c r="F240" s="2">
        <f t="shared" si="3"/>
        <v>0</v>
      </c>
    </row>
    <row r="241" spans="1:6" x14ac:dyDescent="0.25">
      <c r="A241" s="1">
        <v>42769</v>
      </c>
      <c r="B241" s="2" t="s">
        <v>217</v>
      </c>
      <c r="C241" s="2" t="s">
        <v>218</v>
      </c>
      <c r="D241">
        <v>13</v>
      </c>
      <c r="E241">
        <f>WEEKDAY(makulatura5[[#This Row],[Data_dostarczenia]],2)</f>
        <v>5</v>
      </c>
      <c r="F241" s="2">
        <f t="shared" si="3"/>
        <v>0</v>
      </c>
    </row>
    <row r="242" spans="1:6" x14ac:dyDescent="0.25">
      <c r="A242" s="1">
        <v>42769</v>
      </c>
      <c r="B242" s="2" t="s">
        <v>206</v>
      </c>
      <c r="C242" s="2" t="s">
        <v>296</v>
      </c>
      <c r="D242">
        <v>8</v>
      </c>
      <c r="E242">
        <f>WEEKDAY(makulatura5[[#This Row],[Data_dostarczenia]],2)</f>
        <v>5</v>
      </c>
      <c r="F242" s="2">
        <f t="shared" si="3"/>
        <v>0</v>
      </c>
    </row>
    <row r="243" spans="1:6" x14ac:dyDescent="0.25">
      <c r="A243" s="1">
        <v>42769</v>
      </c>
      <c r="B243" s="2" t="s">
        <v>150</v>
      </c>
      <c r="C243" s="2" t="s">
        <v>297</v>
      </c>
      <c r="D243">
        <v>13</v>
      </c>
      <c r="E243">
        <f>WEEKDAY(makulatura5[[#This Row],[Data_dostarczenia]],2)</f>
        <v>5</v>
      </c>
      <c r="F243" s="2">
        <f t="shared" si="3"/>
        <v>1</v>
      </c>
    </row>
    <row r="244" spans="1:6" x14ac:dyDescent="0.25">
      <c r="A244" s="1">
        <v>42772</v>
      </c>
      <c r="B244" s="2" t="s">
        <v>150</v>
      </c>
      <c r="C244" s="2" t="s">
        <v>298</v>
      </c>
      <c r="D244">
        <v>25</v>
      </c>
      <c r="E244">
        <f>WEEKDAY(makulatura5[[#This Row],[Data_dostarczenia]],2)</f>
        <v>1</v>
      </c>
      <c r="F244" s="2">
        <f t="shared" si="3"/>
        <v>0</v>
      </c>
    </row>
    <row r="245" spans="1:6" x14ac:dyDescent="0.25">
      <c r="A245" s="1">
        <v>42772</v>
      </c>
      <c r="B245" s="2" t="s">
        <v>299</v>
      </c>
      <c r="C245" s="2" t="s">
        <v>300</v>
      </c>
      <c r="D245">
        <v>25</v>
      </c>
      <c r="E245">
        <f>WEEKDAY(makulatura5[[#This Row],[Data_dostarczenia]],2)</f>
        <v>1</v>
      </c>
      <c r="F245" s="2">
        <f t="shared" si="3"/>
        <v>0</v>
      </c>
    </row>
    <row r="246" spans="1:6" x14ac:dyDescent="0.25">
      <c r="A246" s="1">
        <v>42772</v>
      </c>
      <c r="B246" s="2" t="s">
        <v>67</v>
      </c>
      <c r="C246" s="2" t="s">
        <v>301</v>
      </c>
      <c r="D246">
        <v>56</v>
      </c>
      <c r="E246">
        <f>WEEKDAY(makulatura5[[#This Row],[Data_dostarczenia]],2)</f>
        <v>1</v>
      </c>
      <c r="F246" s="2">
        <f t="shared" si="3"/>
        <v>0</v>
      </c>
    </row>
    <row r="247" spans="1:6" x14ac:dyDescent="0.25">
      <c r="A247" s="1">
        <v>42772</v>
      </c>
      <c r="B247" s="2" t="s">
        <v>198</v>
      </c>
      <c r="C247" s="2" t="s">
        <v>199</v>
      </c>
      <c r="D247">
        <v>3</v>
      </c>
      <c r="E247">
        <f>WEEKDAY(makulatura5[[#This Row],[Data_dostarczenia]],2)</f>
        <v>1</v>
      </c>
      <c r="F247" s="2">
        <f t="shared" si="3"/>
        <v>0</v>
      </c>
    </row>
    <row r="248" spans="1:6" x14ac:dyDescent="0.25">
      <c r="A248" s="1">
        <v>42772</v>
      </c>
      <c r="B248" s="2" t="s">
        <v>41</v>
      </c>
      <c r="C248" s="2" t="s">
        <v>302</v>
      </c>
      <c r="D248">
        <v>18</v>
      </c>
      <c r="E248">
        <f>WEEKDAY(makulatura5[[#This Row],[Data_dostarczenia]],2)</f>
        <v>1</v>
      </c>
      <c r="F248" s="2">
        <f t="shared" si="3"/>
        <v>0</v>
      </c>
    </row>
    <row r="249" spans="1:6" x14ac:dyDescent="0.25">
      <c r="A249" s="1">
        <v>42772</v>
      </c>
      <c r="B249" s="2" t="s">
        <v>67</v>
      </c>
      <c r="C249" s="2" t="s">
        <v>301</v>
      </c>
      <c r="D249">
        <v>14</v>
      </c>
      <c r="E249">
        <f>WEEKDAY(makulatura5[[#This Row],[Data_dostarczenia]],2)</f>
        <v>1</v>
      </c>
      <c r="F249" s="2">
        <f t="shared" si="3"/>
        <v>0</v>
      </c>
    </row>
    <row r="250" spans="1:6" x14ac:dyDescent="0.25">
      <c r="A250" s="1">
        <v>42772</v>
      </c>
      <c r="B250" s="2" t="s">
        <v>303</v>
      </c>
      <c r="C250" s="2" t="s">
        <v>304</v>
      </c>
      <c r="D250">
        <v>5</v>
      </c>
      <c r="E250">
        <f>WEEKDAY(makulatura5[[#This Row],[Data_dostarczenia]],2)</f>
        <v>1</v>
      </c>
      <c r="F250" s="2">
        <f t="shared" si="3"/>
        <v>0</v>
      </c>
    </row>
    <row r="251" spans="1:6" x14ac:dyDescent="0.25">
      <c r="A251" s="1">
        <v>42772</v>
      </c>
      <c r="B251" s="2" t="s">
        <v>161</v>
      </c>
      <c r="C251" s="2" t="s">
        <v>305</v>
      </c>
      <c r="D251">
        <v>3</v>
      </c>
      <c r="E251">
        <f>WEEKDAY(makulatura5[[#This Row],[Data_dostarczenia]],2)</f>
        <v>1</v>
      </c>
      <c r="F251" s="2">
        <f t="shared" si="3"/>
        <v>0</v>
      </c>
    </row>
    <row r="252" spans="1:6" x14ac:dyDescent="0.25">
      <c r="A252" s="1">
        <v>42772</v>
      </c>
      <c r="B252" s="2" t="s">
        <v>36</v>
      </c>
      <c r="C252" s="2" t="s">
        <v>306</v>
      </c>
      <c r="D252">
        <v>27</v>
      </c>
      <c r="E252">
        <f>WEEKDAY(makulatura5[[#This Row],[Data_dostarczenia]],2)</f>
        <v>1</v>
      </c>
      <c r="F252" s="2">
        <f t="shared" si="3"/>
        <v>0</v>
      </c>
    </row>
    <row r="253" spans="1:6" x14ac:dyDescent="0.25">
      <c r="A253" s="1">
        <v>42772</v>
      </c>
      <c r="B253" s="2" t="s">
        <v>307</v>
      </c>
      <c r="C253" s="2" t="s">
        <v>308</v>
      </c>
      <c r="D253">
        <v>28</v>
      </c>
      <c r="E253">
        <f>WEEKDAY(makulatura5[[#This Row],[Data_dostarczenia]],2)</f>
        <v>1</v>
      </c>
      <c r="F253" s="2">
        <f t="shared" si="3"/>
        <v>0</v>
      </c>
    </row>
    <row r="254" spans="1:6" x14ac:dyDescent="0.25">
      <c r="A254" s="1">
        <v>42772</v>
      </c>
      <c r="B254" s="2" t="s">
        <v>128</v>
      </c>
      <c r="C254" s="2" t="s">
        <v>309</v>
      </c>
      <c r="D254">
        <v>2</v>
      </c>
      <c r="E254">
        <f>WEEKDAY(makulatura5[[#This Row],[Data_dostarczenia]],2)</f>
        <v>1</v>
      </c>
      <c r="F254" s="2">
        <f t="shared" si="3"/>
        <v>1</v>
      </c>
    </row>
    <row r="255" spans="1:6" x14ac:dyDescent="0.25">
      <c r="A255" s="1">
        <v>42773</v>
      </c>
      <c r="B255" s="2" t="s">
        <v>269</v>
      </c>
      <c r="C255" s="2" t="s">
        <v>270</v>
      </c>
      <c r="D255">
        <v>29</v>
      </c>
      <c r="E255">
        <f>WEEKDAY(makulatura5[[#This Row],[Data_dostarczenia]],2)</f>
        <v>2</v>
      </c>
      <c r="F255" s="2">
        <f t="shared" si="3"/>
        <v>0</v>
      </c>
    </row>
    <row r="256" spans="1:6" x14ac:dyDescent="0.25">
      <c r="A256" s="1">
        <v>42773</v>
      </c>
      <c r="B256" s="2" t="s">
        <v>310</v>
      </c>
      <c r="C256" s="2" t="s">
        <v>311</v>
      </c>
      <c r="D256">
        <v>54</v>
      </c>
      <c r="E256">
        <f>WEEKDAY(makulatura5[[#This Row],[Data_dostarczenia]],2)</f>
        <v>2</v>
      </c>
      <c r="F256" s="2">
        <f t="shared" si="3"/>
        <v>0</v>
      </c>
    </row>
    <row r="257" spans="1:6" x14ac:dyDescent="0.25">
      <c r="A257" s="1">
        <v>42773</v>
      </c>
      <c r="B257" s="2" t="s">
        <v>312</v>
      </c>
      <c r="C257" s="2" t="s">
        <v>88</v>
      </c>
      <c r="D257">
        <v>4</v>
      </c>
      <c r="E257">
        <f>WEEKDAY(makulatura5[[#This Row],[Data_dostarczenia]],2)</f>
        <v>2</v>
      </c>
      <c r="F257" s="2">
        <f t="shared" si="3"/>
        <v>0</v>
      </c>
    </row>
    <row r="258" spans="1:6" x14ac:dyDescent="0.25">
      <c r="A258" s="1">
        <v>42773</v>
      </c>
      <c r="B258" s="2" t="s">
        <v>150</v>
      </c>
      <c r="C258" s="2" t="s">
        <v>313</v>
      </c>
      <c r="D258">
        <v>29</v>
      </c>
      <c r="E258">
        <f>WEEKDAY(makulatura5[[#This Row],[Data_dostarczenia]],2)</f>
        <v>2</v>
      </c>
      <c r="F258" s="2">
        <f t="shared" ref="F258:F321" si="4">IF(A259=A258,0,1)</f>
        <v>0</v>
      </c>
    </row>
    <row r="259" spans="1:6" x14ac:dyDescent="0.25">
      <c r="A259" s="1">
        <v>42773</v>
      </c>
      <c r="B259" s="2" t="s">
        <v>314</v>
      </c>
      <c r="C259" s="2" t="s">
        <v>315</v>
      </c>
      <c r="D259">
        <v>22</v>
      </c>
      <c r="E259">
        <f>WEEKDAY(makulatura5[[#This Row],[Data_dostarczenia]],2)</f>
        <v>2</v>
      </c>
      <c r="F259" s="2">
        <f t="shared" si="4"/>
        <v>0</v>
      </c>
    </row>
    <row r="260" spans="1:6" x14ac:dyDescent="0.25">
      <c r="A260" s="1">
        <v>42773</v>
      </c>
      <c r="B260" s="2" t="s">
        <v>150</v>
      </c>
      <c r="C260" s="2" t="s">
        <v>313</v>
      </c>
      <c r="D260">
        <v>6</v>
      </c>
      <c r="E260">
        <f>WEEKDAY(makulatura5[[#This Row],[Data_dostarczenia]],2)</f>
        <v>2</v>
      </c>
      <c r="F260" s="2">
        <f t="shared" si="4"/>
        <v>0</v>
      </c>
    </row>
    <row r="261" spans="1:6" x14ac:dyDescent="0.25">
      <c r="A261" s="1">
        <v>42773</v>
      </c>
      <c r="B261" s="2" t="s">
        <v>169</v>
      </c>
      <c r="C261" s="2" t="s">
        <v>170</v>
      </c>
      <c r="D261">
        <v>7</v>
      </c>
      <c r="E261">
        <f>WEEKDAY(makulatura5[[#This Row],[Data_dostarczenia]],2)</f>
        <v>2</v>
      </c>
      <c r="F261" s="2">
        <f t="shared" si="4"/>
        <v>0</v>
      </c>
    </row>
    <row r="262" spans="1:6" x14ac:dyDescent="0.25">
      <c r="A262" s="1">
        <v>42773</v>
      </c>
      <c r="B262" s="2" t="s">
        <v>133</v>
      </c>
      <c r="C262" s="2" t="s">
        <v>316</v>
      </c>
      <c r="D262">
        <v>21</v>
      </c>
      <c r="E262">
        <f>WEEKDAY(makulatura5[[#This Row],[Data_dostarczenia]],2)</f>
        <v>2</v>
      </c>
      <c r="F262" s="2">
        <f t="shared" si="4"/>
        <v>0</v>
      </c>
    </row>
    <row r="263" spans="1:6" x14ac:dyDescent="0.25">
      <c r="A263" s="1">
        <v>42773</v>
      </c>
      <c r="B263" s="2" t="s">
        <v>39</v>
      </c>
      <c r="C263" s="2" t="s">
        <v>164</v>
      </c>
      <c r="D263">
        <v>19</v>
      </c>
      <c r="E263">
        <f>WEEKDAY(makulatura5[[#This Row],[Data_dostarczenia]],2)</f>
        <v>2</v>
      </c>
      <c r="F263" s="2">
        <f t="shared" si="4"/>
        <v>0</v>
      </c>
    </row>
    <row r="264" spans="1:6" x14ac:dyDescent="0.25">
      <c r="A264" s="1">
        <v>42773</v>
      </c>
      <c r="B264" s="2" t="s">
        <v>317</v>
      </c>
      <c r="C264" s="2" t="s">
        <v>318</v>
      </c>
      <c r="D264">
        <v>8</v>
      </c>
      <c r="E264">
        <f>WEEKDAY(makulatura5[[#This Row],[Data_dostarczenia]],2)</f>
        <v>2</v>
      </c>
      <c r="F264" s="2">
        <f t="shared" si="4"/>
        <v>0</v>
      </c>
    </row>
    <row r="265" spans="1:6" x14ac:dyDescent="0.25">
      <c r="A265" s="1">
        <v>42773</v>
      </c>
      <c r="B265" s="2" t="s">
        <v>39</v>
      </c>
      <c r="C265" s="2" t="s">
        <v>40</v>
      </c>
      <c r="D265">
        <v>2</v>
      </c>
      <c r="E265">
        <f>WEEKDAY(makulatura5[[#This Row],[Data_dostarczenia]],2)</f>
        <v>2</v>
      </c>
      <c r="F265" s="2">
        <f t="shared" si="4"/>
        <v>1</v>
      </c>
    </row>
    <row r="266" spans="1:6" x14ac:dyDescent="0.25">
      <c r="A266" s="1">
        <v>42774</v>
      </c>
      <c r="B266" s="2" t="s">
        <v>267</v>
      </c>
      <c r="C266" s="2" t="s">
        <v>287</v>
      </c>
      <c r="D266">
        <v>45</v>
      </c>
      <c r="E266">
        <f>WEEKDAY(makulatura5[[#This Row],[Data_dostarczenia]],2)</f>
        <v>3</v>
      </c>
      <c r="F266" s="2">
        <f t="shared" si="4"/>
        <v>0</v>
      </c>
    </row>
    <row r="267" spans="1:6" x14ac:dyDescent="0.25">
      <c r="A267" s="1">
        <v>42774</v>
      </c>
      <c r="B267" s="2" t="s">
        <v>152</v>
      </c>
      <c r="C267" s="2" t="s">
        <v>319</v>
      </c>
      <c r="D267">
        <v>3</v>
      </c>
      <c r="E267">
        <f>WEEKDAY(makulatura5[[#This Row],[Data_dostarczenia]],2)</f>
        <v>3</v>
      </c>
      <c r="F267" s="2">
        <f t="shared" si="4"/>
        <v>0</v>
      </c>
    </row>
    <row r="268" spans="1:6" x14ac:dyDescent="0.25">
      <c r="A268" s="1">
        <v>42774</v>
      </c>
      <c r="B268" s="2" t="s">
        <v>320</v>
      </c>
      <c r="C268" s="2" t="s">
        <v>321</v>
      </c>
      <c r="D268">
        <v>36</v>
      </c>
      <c r="E268">
        <f>WEEKDAY(makulatura5[[#This Row],[Data_dostarczenia]],2)</f>
        <v>3</v>
      </c>
      <c r="F268" s="2">
        <f t="shared" si="4"/>
        <v>0</v>
      </c>
    </row>
    <row r="269" spans="1:6" x14ac:dyDescent="0.25">
      <c r="A269" s="1">
        <v>42774</v>
      </c>
      <c r="B269" s="2" t="s">
        <v>152</v>
      </c>
      <c r="C269" s="2" t="s">
        <v>319</v>
      </c>
      <c r="D269">
        <v>9</v>
      </c>
      <c r="E269">
        <f>WEEKDAY(makulatura5[[#This Row],[Data_dostarczenia]],2)</f>
        <v>3</v>
      </c>
      <c r="F269" s="2">
        <f t="shared" si="4"/>
        <v>0</v>
      </c>
    </row>
    <row r="270" spans="1:6" x14ac:dyDescent="0.25">
      <c r="A270" s="1">
        <v>42774</v>
      </c>
      <c r="B270" s="2" t="s">
        <v>8</v>
      </c>
      <c r="C270" s="2" t="s">
        <v>322</v>
      </c>
      <c r="D270">
        <v>24</v>
      </c>
      <c r="E270">
        <f>WEEKDAY(makulatura5[[#This Row],[Data_dostarczenia]],2)</f>
        <v>3</v>
      </c>
      <c r="F270" s="2">
        <f t="shared" si="4"/>
        <v>0</v>
      </c>
    </row>
    <row r="271" spans="1:6" x14ac:dyDescent="0.25">
      <c r="A271" s="1">
        <v>42774</v>
      </c>
      <c r="B271" s="2" t="s">
        <v>51</v>
      </c>
      <c r="C271" s="2" t="s">
        <v>52</v>
      </c>
      <c r="D271">
        <v>5</v>
      </c>
      <c r="E271">
        <f>WEEKDAY(makulatura5[[#This Row],[Data_dostarczenia]],2)</f>
        <v>3</v>
      </c>
      <c r="F271" s="2">
        <f t="shared" si="4"/>
        <v>0</v>
      </c>
    </row>
    <row r="272" spans="1:6" x14ac:dyDescent="0.25">
      <c r="A272" s="1">
        <v>42774</v>
      </c>
      <c r="B272" s="2" t="s">
        <v>323</v>
      </c>
      <c r="C272" s="2" t="s">
        <v>324</v>
      </c>
      <c r="D272">
        <v>22</v>
      </c>
      <c r="E272">
        <f>WEEKDAY(makulatura5[[#This Row],[Data_dostarczenia]],2)</f>
        <v>3</v>
      </c>
      <c r="F272" s="2">
        <f t="shared" si="4"/>
        <v>0</v>
      </c>
    </row>
    <row r="273" spans="1:6" x14ac:dyDescent="0.25">
      <c r="A273" s="1">
        <v>42774</v>
      </c>
      <c r="B273" s="2" t="s">
        <v>307</v>
      </c>
      <c r="C273" s="2" t="s">
        <v>325</v>
      </c>
      <c r="D273">
        <v>9</v>
      </c>
      <c r="E273">
        <f>WEEKDAY(makulatura5[[#This Row],[Data_dostarczenia]],2)</f>
        <v>3</v>
      </c>
      <c r="F273" s="2">
        <f t="shared" si="4"/>
        <v>0</v>
      </c>
    </row>
    <row r="274" spans="1:6" x14ac:dyDescent="0.25">
      <c r="A274" s="1">
        <v>42774</v>
      </c>
      <c r="B274" s="2" t="s">
        <v>55</v>
      </c>
      <c r="C274" s="2" t="s">
        <v>326</v>
      </c>
      <c r="D274">
        <v>6</v>
      </c>
      <c r="E274">
        <f>WEEKDAY(makulatura5[[#This Row],[Data_dostarczenia]],2)</f>
        <v>3</v>
      </c>
      <c r="F274" s="2">
        <f t="shared" si="4"/>
        <v>0</v>
      </c>
    </row>
    <row r="275" spans="1:6" x14ac:dyDescent="0.25">
      <c r="A275" s="1">
        <v>42774</v>
      </c>
      <c r="B275" s="2" t="s">
        <v>327</v>
      </c>
      <c r="C275" s="2" t="s">
        <v>102</v>
      </c>
      <c r="D275">
        <v>9</v>
      </c>
      <c r="E275">
        <f>WEEKDAY(makulatura5[[#This Row],[Data_dostarczenia]],2)</f>
        <v>3</v>
      </c>
      <c r="F275" s="2">
        <f t="shared" si="4"/>
        <v>0</v>
      </c>
    </row>
    <row r="276" spans="1:6" x14ac:dyDescent="0.25">
      <c r="A276" s="1">
        <v>42774</v>
      </c>
      <c r="B276" s="2" t="s">
        <v>133</v>
      </c>
      <c r="C276" s="2" t="s">
        <v>328</v>
      </c>
      <c r="D276">
        <v>19</v>
      </c>
      <c r="E276">
        <f>WEEKDAY(makulatura5[[#This Row],[Data_dostarczenia]],2)</f>
        <v>3</v>
      </c>
      <c r="F276" s="2">
        <f t="shared" si="4"/>
        <v>1</v>
      </c>
    </row>
    <row r="277" spans="1:6" x14ac:dyDescent="0.25">
      <c r="A277" s="1">
        <v>42775</v>
      </c>
      <c r="B277" s="2" t="s">
        <v>329</v>
      </c>
      <c r="C277" s="2" t="s">
        <v>330</v>
      </c>
      <c r="D277">
        <v>14</v>
      </c>
      <c r="E277">
        <f>WEEKDAY(makulatura5[[#This Row],[Data_dostarczenia]],2)</f>
        <v>4</v>
      </c>
      <c r="F277" s="2">
        <f t="shared" si="4"/>
        <v>0</v>
      </c>
    </row>
    <row r="278" spans="1:6" x14ac:dyDescent="0.25">
      <c r="A278" s="1">
        <v>42775</v>
      </c>
      <c r="B278" s="2" t="s">
        <v>331</v>
      </c>
      <c r="C278" s="2" t="s">
        <v>26</v>
      </c>
      <c r="D278">
        <v>44</v>
      </c>
      <c r="E278">
        <f>WEEKDAY(makulatura5[[#This Row],[Data_dostarczenia]],2)</f>
        <v>4</v>
      </c>
      <c r="F278" s="2">
        <f t="shared" si="4"/>
        <v>0</v>
      </c>
    </row>
    <row r="279" spans="1:6" x14ac:dyDescent="0.25">
      <c r="A279" s="1">
        <v>42775</v>
      </c>
      <c r="B279" s="2" t="s">
        <v>206</v>
      </c>
      <c r="C279" s="2" t="s">
        <v>332</v>
      </c>
      <c r="D279">
        <v>38</v>
      </c>
      <c r="E279">
        <f>WEEKDAY(makulatura5[[#This Row],[Data_dostarczenia]],2)</f>
        <v>4</v>
      </c>
      <c r="F279" s="2">
        <f t="shared" si="4"/>
        <v>0</v>
      </c>
    </row>
    <row r="280" spans="1:6" x14ac:dyDescent="0.25">
      <c r="A280" s="1">
        <v>42775</v>
      </c>
      <c r="B280" s="2" t="s">
        <v>178</v>
      </c>
      <c r="C280" s="2" t="s">
        <v>333</v>
      </c>
      <c r="D280">
        <v>18</v>
      </c>
      <c r="E280">
        <f>WEEKDAY(makulatura5[[#This Row],[Data_dostarczenia]],2)</f>
        <v>4</v>
      </c>
      <c r="F280" s="2">
        <f t="shared" si="4"/>
        <v>0</v>
      </c>
    </row>
    <row r="281" spans="1:6" x14ac:dyDescent="0.25">
      <c r="A281" s="1">
        <v>42775</v>
      </c>
      <c r="B281" s="2" t="s">
        <v>47</v>
      </c>
      <c r="C281" s="2" t="s">
        <v>256</v>
      </c>
      <c r="D281">
        <v>51</v>
      </c>
      <c r="E281">
        <f>WEEKDAY(makulatura5[[#This Row],[Data_dostarczenia]],2)</f>
        <v>4</v>
      </c>
      <c r="F281" s="2">
        <f t="shared" si="4"/>
        <v>0</v>
      </c>
    </row>
    <row r="282" spans="1:6" x14ac:dyDescent="0.25">
      <c r="A282" s="1">
        <v>42775</v>
      </c>
      <c r="B282" s="2" t="s">
        <v>47</v>
      </c>
      <c r="C282" s="2" t="s">
        <v>334</v>
      </c>
      <c r="D282">
        <v>10</v>
      </c>
      <c r="E282">
        <f>WEEKDAY(makulatura5[[#This Row],[Data_dostarczenia]],2)</f>
        <v>4</v>
      </c>
      <c r="F282" s="2">
        <f t="shared" si="4"/>
        <v>0</v>
      </c>
    </row>
    <row r="283" spans="1:6" x14ac:dyDescent="0.25">
      <c r="A283" s="1">
        <v>42775</v>
      </c>
      <c r="B283" s="2" t="s">
        <v>178</v>
      </c>
      <c r="C283" s="2" t="s">
        <v>335</v>
      </c>
      <c r="D283">
        <v>47</v>
      </c>
      <c r="E283">
        <f>WEEKDAY(makulatura5[[#This Row],[Data_dostarczenia]],2)</f>
        <v>4</v>
      </c>
      <c r="F283" s="2">
        <f t="shared" si="4"/>
        <v>0</v>
      </c>
    </row>
    <row r="284" spans="1:6" x14ac:dyDescent="0.25">
      <c r="A284" s="1">
        <v>42775</v>
      </c>
      <c r="B284" s="2" t="s">
        <v>47</v>
      </c>
      <c r="C284" s="2" t="s">
        <v>336</v>
      </c>
      <c r="D284">
        <v>54</v>
      </c>
      <c r="E284">
        <f>WEEKDAY(makulatura5[[#This Row],[Data_dostarczenia]],2)</f>
        <v>4</v>
      </c>
      <c r="F284" s="2">
        <f t="shared" si="4"/>
        <v>0</v>
      </c>
    </row>
    <row r="285" spans="1:6" x14ac:dyDescent="0.25">
      <c r="A285" s="1">
        <v>42775</v>
      </c>
      <c r="B285" s="2" t="s">
        <v>87</v>
      </c>
      <c r="C285" s="2" t="s">
        <v>88</v>
      </c>
      <c r="D285">
        <v>32</v>
      </c>
      <c r="E285">
        <f>WEEKDAY(makulatura5[[#This Row],[Data_dostarczenia]],2)</f>
        <v>4</v>
      </c>
      <c r="F285" s="2">
        <f t="shared" si="4"/>
        <v>0</v>
      </c>
    </row>
    <row r="286" spans="1:6" x14ac:dyDescent="0.25">
      <c r="A286" s="1">
        <v>42775</v>
      </c>
      <c r="B286" s="2" t="s">
        <v>248</v>
      </c>
      <c r="C286" s="2" t="s">
        <v>337</v>
      </c>
      <c r="D286">
        <v>16</v>
      </c>
      <c r="E286">
        <f>WEEKDAY(makulatura5[[#This Row],[Data_dostarczenia]],2)</f>
        <v>4</v>
      </c>
      <c r="F286" s="2">
        <f t="shared" si="4"/>
        <v>0</v>
      </c>
    </row>
    <row r="287" spans="1:6" x14ac:dyDescent="0.25">
      <c r="A287" s="1">
        <v>42775</v>
      </c>
      <c r="B287" s="2" t="s">
        <v>34</v>
      </c>
      <c r="C287" s="2" t="s">
        <v>338</v>
      </c>
      <c r="D287">
        <v>18</v>
      </c>
      <c r="E287">
        <f>WEEKDAY(makulatura5[[#This Row],[Data_dostarczenia]],2)</f>
        <v>4</v>
      </c>
      <c r="F287" s="2">
        <f t="shared" si="4"/>
        <v>1</v>
      </c>
    </row>
    <row r="288" spans="1:6" x14ac:dyDescent="0.25">
      <c r="A288" s="1">
        <v>42776</v>
      </c>
      <c r="B288" s="2" t="s">
        <v>339</v>
      </c>
      <c r="C288" s="2" t="s">
        <v>340</v>
      </c>
      <c r="D288">
        <v>38</v>
      </c>
      <c r="E288">
        <f>WEEKDAY(makulatura5[[#This Row],[Data_dostarczenia]],2)</f>
        <v>5</v>
      </c>
      <c r="F288" s="2">
        <f t="shared" si="4"/>
        <v>0</v>
      </c>
    </row>
    <row r="289" spans="1:6" x14ac:dyDescent="0.25">
      <c r="A289" s="1">
        <v>42776</v>
      </c>
      <c r="B289" s="2" t="s">
        <v>341</v>
      </c>
      <c r="C289" s="2" t="s">
        <v>342</v>
      </c>
      <c r="D289">
        <v>7</v>
      </c>
      <c r="E289">
        <f>WEEKDAY(makulatura5[[#This Row],[Data_dostarczenia]],2)</f>
        <v>5</v>
      </c>
      <c r="F289" s="2">
        <f t="shared" si="4"/>
        <v>0</v>
      </c>
    </row>
    <row r="290" spans="1:6" x14ac:dyDescent="0.25">
      <c r="A290" s="1">
        <v>42776</v>
      </c>
      <c r="B290" s="2" t="s">
        <v>343</v>
      </c>
      <c r="C290" s="2" t="s">
        <v>344</v>
      </c>
      <c r="D290">
        <v>16</v>
      </c>
      <c r="E290">
        <f>WEEKDAY(makulatura5[[#This Row],[Data_dostarczenia]],2)</f>
        <v>5</v>
      </c>
      <c r="F290" s="2">
        <f t="shared" si="4"/>
        <v>0</v>
      </c>
    </row>
    <row r="291" spans="1:6" x14ac:dyDescent="0.25">
      <c r="A291" s="1">
        <v>42776</v>
      </c>
      <c r="B291" s="2" t="s">
        <v>161</v>
      </c>
      <c r="C291" s="2" t="s">
        <v>345</v>
      </c>
      <c r="D291">
        <v>42</v>
      </c>
      <c r="E291">
        <f>WEEKDAY(makulatura5[[#This Row],[Data_dostarczenia]],2)</f>
        <v>5</v>
      </c>
      <c r="F291" s="2">
        <f t="shared" si="4"/>
        <v>0</v>
      </c>
    </row>
    <row r="292" spans="1:6" x14ac:dyDescent="0.25">
      <c r="A292" s="1">
        <v>42776</v>
      </c>
      <c r="B292" s="2" t="s">
        <v>346</v>
      </c>
      <c r="C292" s="2" t="s">
        <v>347</v>
      </c>
      <c r="D292">
        <v>27</v>
      </c>
      <c r="E292">
        <f>WEEKDAY(makulatura5[[#This Row],[Data_dostarczenia]],2)</f>
        <v>5</v>
      </c>
      <c r="F292" s="2">
        <f t="shared" si="4"/>
        <v>0</v>
      </c>
    </row>
    <row r="293" spans="1:6" x14ac:dyDescent="0.25">
      <c r="A293" s="1">
        <v>42776</v>
      </c>
      <c r="B293" s="2" t="s">
        <v>30</v>
      </c>
      <c r="C293" s="2" t="s">
        <v>185</v>
      </c>
      <c r="D293">
        <v>19</v>
      </c>
      <c r="E293">
        <f>WEEKDAY(makulatura5[[#This Row],[Data_dostarczenia]],2)</f>
        <v>5</v>
      </c>
      <c r="F293" s="2">
        <f t="shared" si="4"/>
        <v>0</v>
      </c>
    </row>
    <row r="294" spans="1:6" x14ac:dyDescent="0.25">
      <c r="A294" s="1">
        <v>42776</v>
      </c>
      <c r="B294" s="2" t="s">
        <v>267</v>
      </c>
      <c r="C294" s="2" t="s">
        <v>268</v>
      </c>
      <c r="D294">
        <v>37</v>
      </c>
      <c r="E294">
        <f>WEEKDAY(makulatura5[[#This Row],[Data_dostarczenia]],2)</f>
        <v>5</v>
      </c>
      <c r="F294" s="2">
        <f t="shared" si="4"/>
        <v>0</v>
      </c>
    </row>
    <row r="295" spans="1:6" x14ac:dyDescent="0.25">
      <c r="A295" s="1">
        <v>42776</v>
      </c>
      <c r="B295" s="2" t="s">
        <v>221</v>
      </c>
      <c r="C295" s="2" t="s">
        <v>348</v>
      </c>
      <c r="D295">
        <v>49</v>
      </c>
      <c r="E295">
        <f>WEEKDAY(makulatura5[[#This Row],[Data_dostarczenia]],2)</f>
        <v>5</v>
      </c>
      <c r="F295" s="2">
        <f t="shared" si="4"/>
        <v>0</v>
      </c>
    </row>
    <row r="296" spans="1:6" x14ac:dyDescent="0.25">
      <c r="A296" s="1">
        <v>42776</v>
      </c>
      <c r="B296" s="2" t="s">
        <v>119</v>
      </c>
      <c r="C296" s="2" t="s">
        <v>349</v>
      </c>
      <c r="D296">
        <v>38</v>
      </c>
      <c r="E296">
        <f>WEEKDAY(makulatura5[[#This Row],[Data_dostarczenia]],2)</f>
        <v>5</v>
      </c>
      <c r="F296" s="2">
        <f t="shared" si="4"/>
        <v>0</v>
      </c>
    </row>
    <row r="297" spans="1:6" x14ac:dyDescent="0.25">
      <c r="A297" s="1">
        <v>42776</v>
      </c>
      <c r="B297" s="2" t="s">
        <v>79</v>
      </c>
      <c r="C297" s="2" t="s">
        <v>80</v>
      </c>
      <c r="D297">
        <v>8</v>
      </c>
      <c r="E297">
        <f>WEEKDAY(makulatura5[[#This Row],[Data_dostarczenia]],2)</f>
        <v>5</v>
      </c>
      <c r="F297" s="2">
        <f t="shared" si="4"/>
        <v>0</v>
      </c>
    </row>
    <row r="298" spans="1:6" x14ac:dyDescent="0.25">
      <c r="A298" s="1">
        <v>42776</v>
      </c>
      <c r="B298" s="2" t="s">
        <v>106</v>
      </c>
      <c r="C298" s="2" t="s">
        <v>240</v>
      </c>
      <c r="D298">
        <v>9</v>
      </c>
      <c r="E298">
        <f>WEEKDAY(makulatura5[[#This Row],[Data_dostarczenia]],2)</f>
        <v>5</v>
      </c>
      <c r="F298" s="2">
        <f t="shared" si="4"/>
        <v>1</v>
      </c>
    </row>
    <row r="299" spans="1:6" x14ac:dyDescent="0.25">
      <c r="A299" s="1">
        <v>42779</v>
      </c>
      <c r="B299" s="2" t="s">
        <v>278</v>
      </c>
      <c r="C299" s="2" t="s">
        <v>279</v>
      </c>
      <c r="D299">
        <v>48</v>
      </c>
      <c r="E299">
        <f>WEEKDAY(makulatura5[[#This Row],[Data_dostarczenia]],2)</f>
        <v>1</v>
      </c>
      <c r="F299" s="2">
        <f t="shared" si="4"/>
        <v>0</v>
      </c>
    </row>
    <row r="300" spans="1:6" x14ac:dyDescent="0.25">
      <c r="A300" s="1">
        <v>42779</v>
      </c>
      <c r="B300" s="2" t="s">
        <v>280</v>
      </c>
      <c r="C300" s="2" t="s">
        <v>281</v>
      </c>
      <c r="D300">
        <v>19</v>
      </c>
      <c r="E300">
        <f>WEEKDAY(makulatura5[[#This Row],[Data_dostarczenia]],2)</f>
        <v>1</v>
      </c>
      <c r="F300" s="2">
        <f t="shared" si="4"/>
        <v>0</v>
      </c>
    </row>
    <row r="301" spans="1:6" x14ac:dyDescent="0.25">
      <c r="A301" s="1">
        <v>42779</v>
      </c>
      <c r="B301" s="2" t="s">
        <v>97</v>
      </c>
      <c r="C301" s="2" t="s">
        <v>5</v>
      </c>
      <c r="D301">
        <v>5</v>
      </c>
      <c r="E301">
        <f>WEEKDAY(makulatura5[[#This Row],[Data_dostarczenia]],2)</f>
        <v>1</v>
      </c>
      <c r="F301" s="2">
        <f t="shared" si="4"/>
        <v>0</v>
      </c>
    </row>
    <row r="302" spans="1:6" x14ac:dyDescent="0.25">
      <c r="A302" s="1">
        <v>42779</v>
      </c>
      <c r="B302" s="2" t="s">
        <v>83</v>
      </c>
      <c r="C302" s="2" t="s">
        <v>350</v>
      </c>
      <c r="D302">
        <v>25</v>
      </c>
      <c r="E302">
        <f>WEEKDAY(makulatura5[[#This Row],[Data_dostarczenia]],2)</f>
        <v>1</v>
      </c>
      <c r="F302" s="2">
        <f t="shared" si="4"/>
        <v>0</v>
      </c>
    </row>
    <row r="303" spans="1:6" x14ac:dyDescent="0.25">
      <c r="A303" s="1">
        <v>42779</v>
      </c>
      <c r="B303" s="2" t="s">
        <v>248</v>
      </c>
      <c r="C303" s="2" t="s">
        <v>249</v>
      </c>
      <c r="D303">
        <v>21</v>
      </c>
      <c r="E303">
        <f>WEEKDAY(makulatura5[[#This Row],[Data_dostarczenia]],2)</f>
        <v>1</v>
      </c>
      <c r="F303" s="2">
        <f t="shared" si="4"/>
        <v>0</v>
      </c>
    </row>
    <row r="304" spans="1:6" x14ac:dyDescent="0.25">
      <c r="A304" s="1">
        <v>42779</v>
      </c>
      <c r="B304" s="2" t="s">
        <v>351</v>
      </c>
      <c r="C304" s="2" t="s">
        <v>227</v>
      </c>
      <c r="D304">
        <v>6</v>
      </c>
      <c r="E304">
        <f>WEEKDAY(makulatura5[[#This Row],[Data_dostarczenia]],2)</f>
        <v>1</v>
      </c>
      <c r="F304" s="2">
        <f t="shared" si="4"/>
        <v>0</v>
      </c>
    </row>
    <row r="305" spans="1:6" x14ac:dyDescent="0.25">
      <c r="A305" s="1">
        <v>42779</v>
      </c>
      <c r="B305" s="2" t="s">
        <v>133</v>
      </c>
      <c r="C305" s="2" t="s">
        <v>288</v>
      </c>
      <c r="D305">
        <v>4</v>
      </c>
      <c r="E305">
        <f>WEEKDAY(makulatura5[[#This Row],[Data_dostarczenia]],2)</f>
        <v>1</v>
      </c>
      <c r="F305" s="2">
        <f t="shared" si="4"/>
        <v>0</v>
      </c>
    </row>
    <row r="306" spans="1:6" x14ac:dyDescent="0.25">
      <c r="A306" s="1">
        <v>42779</v>
      </c>
      <c r="B306" s="2" t="s">
        <v>352</v>
      </c>
      <c r="C306" s="2" t="s">
        <v>227</v>
      </c>
      <c r="D306">
        <v>9</v>
      </c>
      <c r="E306">
        <f>WEEKDAY(makulatura5[[#This Row],[Data_dostarczenia]],2)</f>
        <v>1</v>
      </c>
      <c r="F306" s="2">
        <f t="shared" si="4"/>
        <v>0</v>
      </c>
    </row>
    <row r="307" spans="1:6" x14ac:dyDescent="0.25">
      <c r="A307" s="1">
        <v>42779</v>
      </c>
      <c r="B307" s="2" t="s">
        <v>81</v>
      </c>
      <c r="C307" s="2" t="s">
        <v>82</v>
      </c>
      <c r="D307">
        <v>10</v>
      </c>
      <c r="E307">
        <f>WEEKDAY(makulatura5[[#This Row],[Data_dostarczenia]],2)</f>
        <v>1</v>
      </c>
      <c r="F307" s="2">
        <f t="shared" si="4"/>
        <v>0</v>
      </c>
    </row>
    <row r="308" spans="1:6" x14ac:dyDescent="0.25">
      <c r="A308" s="1">
        <v>42779</v>
      </c>
      <c r="B308" s="2" t="s">
        <v>133</v>
      </c>
      <c r="C308" s="2" t="s">
        <v>316</v>
      </c>
      <c r="D308">
        <v>26</v>
      </c>
      <c r="E308">
        <f>WEEKDAY(makulatura5[[#This Row],[Data_dostarczenia]],2)</f>
        <v>1</v>
      </c>
      <c r="F308" s="2">
        <f t="shared" si="4"/>
        <v>0</v>
      </c>
    </row>
    <row r="309" spans="1:6" x14ac:dyDescent="0.25">
      <c r="A309" s="1">
        <v>42779</v>
      </c>
      <c r="B309" s="2" t="s">
        <v>30</v>
      </c>
      <c r="C309" s="2" t="s">
        <v>185</v>
      </c>
      <c r="D309">
        <v>26</v>
      </c>
      <c r="E309">
        <f>WEEKDAY(makulatura5[[#This Row],[Data_dostarczenia]],2)</f>
        <v>1</v>
      </c>
      <c r="F309" s="2">
        <f t="shared" si="4"/>
        <v>1</v>
      </c>
    </row>
    <row r="310" spans="1:6" x14ac:dyDescent="0.25">
      <c r="A310" s="1">
        <v>42780</v>
      </c>
      <c r="B310" s="2" t="s">
        <v>69</v>
      </c>
      <c r="C310" s="2" t="s">
        <v>353</v>
      </c>
      <c r="D310">
        <v>42</v>
      </c>
      <c r="E310">
        <f>WEEKDAY(makulatura5[[#This Row],[Data_dostarczenia]],2)</f>
        <v>2</v>
      </c>
      <c r="F310" s="2">
        <f t="shared" si="4"/>
        <v>0</v>
      </c>
    </row>
    <row r="311" spans="1:6" x14ac:dyDescent="0.25">
      <c r="A311" s="1">
        <v>42780</v>
      </c>
      <c r="B311" s="2" t="s">
        <v>331</v>
      </c>
      <c r="C311" s="2" t="s">
        <v>26</v>
      </c>
      <c r="D311">
        <v>8</v>
      </c>
      <c r="E311">
        <f>WEEKDAY(makulatura5[[#This Row],[Data_dostarczenia]],2)</f>
        <v>2</v>
      </c>
      <c r="F311" s="2">
        <f t="shared" si="4"/>
        <v>0</v>
      </c>
    </row>
    <row r="312" spans="1:6" x14ac:dyDescent="0.25">
      <c r="A312" s="1">
        <v>42780</v>
      </c>
      <c r="B312" s="2" t="s">
        <v>18</v>
      </c>
      <c r="C312" s="2" t="s">
        <v>354</v>
      </c>
      <c r="D312">
        <v>8</v>
      </c>
      <c r="E312">
        <f>WEEKDAY(makulatura5[[#This Row],[Data_dostarczenia]],2)</f>
        <v>2</v>
      </c>
      <c r="F312" s="2">
        <f t="shared" si="4"/>
        <v>0</v>
      </c>
    </row>
    <row r="313" spans="1:6" x14ac:dyDescent="0.25">
      <c r="A313" s="1">
        <v>42780</v>
      </c>
      <c r="B313" s="2" t="s">
        <v>355</v>
      </c>
      <c r="C313" s="2" t="s">
        <v>356</v>
      </c>
      <c r="D313">
        <v>45</v>
      </c>
      <c r="E313">
        <f>WEEKDAY(makulatura5[[#This Row],[Data_dostarczenia]],2)</f>
        <v>2</v>
      </c>
      <c r="F313" s="2">
        <f t="shared" si="4"/>
        <v>0</v>
      </c>
    </row>
    <row r="314" spans="1:6" x14ac:dyDescent="0.25">
      <c r="A314" s="1">
        <v>42780</v>
      </c>
      <c r="B314" s="2" t="s">
        <v>201</v>
      </c>
      <c r="C314" s="2" t="s">
        <v>357</v>
      </c>
      <c r="D314">
        <v>41</v>
      </c>
      <c r="E314">
        <f>WEEKDAY(makulatura5[[#This Row],[Data_dostarczenia]],2)</f>
        <v>2</v>
      </c>
      <c r="F314" s="2">
        <f t="shared" si="4"/>
        <v>0</v>
      </c>
    </row>
    <row r="315" spans="1:6" x14ac:dyDescent="0.25">
      <c r="A315" s="1">
        <v>42780</v>
      </c>
      <c r="B315" s="2" t="s">
        <v>51</v>
      </c>
      <c r="C315" s="2" t="s">
        <v>358</v>
      </c>
      <c r="D315">
        <v>5</v>
      </c>
      <c r="E315">
        <f>WEEKDAY(makulatura5[[#This Row],[Data_dostarczenia]],2)</f>
        <v>2</v>
      </c>
      <c r="F315" s="2">
        <f t="shared" si="4"/>
        <v>0</v>
      </c>
    </row>
    <row r="316" spans="1:6" x14ac:dyDescent="0.25">
      <c r="A316" s="1">
        <v>42780</v>
      </c>
      <c r="B316" s="2" t="s">
        <v>359</v>
      </c>
      <c r="C316" s="2" t="s">
        <v>360</v>
      </c>
      <c r="D316">
        <v>54</v>
      </c>
      <c r="E316">
        <f>WEEKDAY(makulatura5[[#This Row],[Data_dostarczenia]],2)</f>
        <v>2</v>
      </c>
      <c r="F316" s="2">
        <f t="shared" si="4"/>
        <v>0</v>
      </c>
    </row>
    <row r="317" spans="1:6" x14ac:dyDescent="0.25">
      <c r="A317" s="1">
        <v>42780</v>
      </c>
      <c r="B317" s="2" t="s">
        <v>101</v>
      </c>
      <c r="C317" s="2" t="s">
        <v>263</v>
      </c>
      <c r="D317">
        <v>6</v>
      </c>
      <c r="E317">
        <f>WEEKDAY(makulatura5[[#This Row],[Data_dostarczenia]],2)</f>
        <v>2</v>
      </c>
      <c r="F317" s="2">
        <f t="shared" si="4"/>
        <v>0</v>
      </c>
    </row>
    <row r="318" spans="1:6" x14ac:dyDescent="0.25">
      <c r="A318" s="1">
        <v>42780</v>
      </c>
      <c r="B318" s="2" t="s">
        <v>361</v>
      </c>
      <c r="C318" s="2" t="s">
        <v>362</v>
      </c>
      <c r="D318">
        <v>3</v>
      </c>
      <c r="E318">
        <f>WEEKDAY(makulatura5[[#This Row],[Data_dostarczenia]],2)</f>
        <v>2</v>
      </c>
      <c r="F318" s="2">
        <f t="shared" si="4"/>
        <v>0</v>
      </c>
    </row>
    <row r="319" spans="1:6" x14ac:dyDescent="0.25">
      <c r="A319" s="1">
        <v>42780</v>
      </c>
      <c r="B319" s="2" t="s">
        <v>97</v>
      </c>
      <c r="C319" s="2" t="s">
        <v>130</v>
      </c>
      <c r="D319">
        <v>49</v>
      </c>
      <c r="E319">
        <f>WEEKDAY(makulatura5[[#This Row],[Data_dostarczenia]],2)</f>
        <v>2</v>
      </c>
      <c r="F319" s="2">
        <f t="shared" si="4"/>
        <v>0</v>
      </c>
    </row>
    <row r="320" spans="1:6" x14ac:dyDescent="0.25">
      <c r="A320" s="1">
        <v>42780</v>
      </c>
      <c r="B320" s="2" t="s">
        <v>39</v>
      </c>
      <c r="C320" s="2" t="s">
        <v>164</v>
      </c>
      <c r="D320">
        <v>19</v>
      </c>
      <c r="E320">
        <f>WEEKDAY(makulatura5[[#This Row],[Data_dostarczenia]],2)</f>
        <v>2</v>
      </c>
      <c r="F320" s="2">
        <f t="shared" si="4"/>
        <v>1</v>
      </c>
    </row>
    <row r="321" spans="1:6" x14ac:dyDescent="0.25">
      <c r="A321" s="1">
        <v>42781</v>
      </c>
      <c r="B321" s="2" t="s">
        <v>47</v>
      </c>
      <c r="C321" s="2" t="s">
        <v>230</v>
      </c>
      <c r="D321">
        <v>29</v>
      </c>
      <c r="E321">
        <f>WEEKDAY(makulatura5[[#This Row],[Data_dostarczenia]],2)</f>
        <v>3</v>
      </c>
      <c r="F321" s="2">
        <f t="shared" si="4"/>
        <v>0</v>
      </c>
    </row>
    <row r="322" spans="1:6" x14ac:dyDescent="0.25">
      <c r="A322" s="1">
        <v>42781</v>
      </c>
      <c r="B322" s="2" t="s">
        <v>352</v>
      </c>
      <c r="C322" s="2" t="s">
        <v>363</v>
      </c>
      <c r="D322">
        <v>14</v>
      </c>
      <c r="E322">
        <f>WEEKDAY(makulatura5[[#This Row],[Data_dostarczenia]],2)</f>
        <v>3</v>
      </c>
      <c r="F322" s="2">
        <f t="shared" ref="F322:F385" si="5">IF(A323=A322,0,1)</f>
        <v>0</v>
      </c>
    </row>
    <row r="323" spans="1:6" x14ac:dyDescent="0.25">
      <c r="A323" s="1">
        <v>42781</v>
      </c>
      <c r="B323" s="2" t="s">
        <v>141</v>
      </c>
      <c r="C323" s="2" t="s">
        <v>364</v>
      </c>
      <c r="D323">
        <v>12</v>
      </c>
      <c r="E323">
        <f>WEEKDAY(makulatura5[[#This Row],[Data_dostarczenia]],2)</f>
        <v>3</v>
      </c>
      <c r="F323" s="2">
        <f t="shared" si="5"/>
        <v>0</v>
      </c>
    </row>
    <row r="324" spans="1:6" x14ac:dyDescent="0.25">
      <c r="A324" s="1">
        <v>42781</v>
      </c>
      <c r="B324" s="2" t="s">
        <v>365</v>
      </c>
      <c r="C324" s="2" t="s">
        <v>366</v>
      </c>
      <c r="D324">
        <v>4</v>
      </c>
      <c r="E324">
        <f>WEEKDAY(makulatura5[[#This Row],[Data_dostarczenia]],2)</f>
        <v>3</v>
      </c>
      <c r="F324" s="2">
        <f t="shared" si="5"/>
        <v>0</v>
      </c>
    </row>
    <row r="325" spans="1:6" x14ac:dyDescent="0.25">
      <c r="A325" s="1">
        <v>42781</v>
      </c>
      <c r="B325" s="2" t="s">
        <v>178</v>
      </c>
      <c r="C325" s="2" t="s">
        <v>242</v>
      </c>
      <c r="D325">
        <v>14</v>
      </c>
      <c r="E325">
        <f>WEEKDAY(makulatura5[[#This Row],[Data_dostarczenia]],2)</f>
        <v>3</v>
      </c>
      <c r="F325" s="2">
        <f t="shared" si="5"/>
        <v>0</v>
      </c>
    </row>
    <row r="326" spans="1:6" x14ac:dyDescent="0.25">
      <c r="A326" s="1">
        <v>42781</v>
      </c>
      <c r="B326" s="2" t="s">
        <v>367</v>
      </c>
      <c r="C326" s="2" t="s">
        <v>368</v>
      </c>
      <c r="D326">
        <v>12</v>
      </c>
      <c r="E326">
        <f>WEEKDAY(makulatura5[[#This Row],[Data_dostarczenia]],2)</f>
        <v>3</v>
      </c>
      <c r="F326" s="2">
        <f t="shared" si="5"/>
        <v>0</v>
      </c>
    </row>
    <row r="327" spans="1:6" x14ac:dyDescent="0.25">
      <c r="A327" s="1">
        <v>42781</v>
      </c>
      <c r="B327" s="2" t="s">
        <v>193</v>
      </c>
      <c r="C327" s="2" t="s">
        <v>369</v>
      </c>
      <c r="D327">
        <v>52</v>
      </c>
      <c r="E327">
        <f>WEEKDAY(makulatura5[[#This Row],[Data_dostarczenia]],2)</f>
        <v>3</v>
      </c>
      <c r="F327" s="2">
        <f t="shared" si="5"/>
        <v>0</v>
      </c>
    </row>
    <row r="328" spans="1:6" x14ac:dyDescent="0.25">
      <c r="A328" s="1">
        <v>42781</v>
      </c>
      <c r="B328" s="2" t="s">
        <v>203</v>
      </c>
      <c r="C328" s="2" t="s">
        <v>370</v>
      </c>
      <c r="D328">
        <v>9</v>
      </c>
      <c r="E328">
        <f>WEEKDAY(makulatura5[[#This Row],[Data_dostarczenia]],2)</f>
        <v>3</v>
      </c>
      <c r="F328" s="2">
        <f t="shared" si="5"/>
        <v>0</v>
      </c>
    </row>
    <row r="329" spans="1:6" x14ac:dyDescent="0.25">
      <c r="A329" s="1">
        <v>42781</v>
      </c>
      <c r="B329" s="2" t="s">
        <v>39</v>
      </c>
      <c r="C329" s="2" t="s">
        <v>371</v>
      </c>
      <c r="D329">
        <v>13</v>
      </c>
      <c r="E329">
        <f>WEEKDAY(makulatura5[[#This Row],[Data_dostarczenia]],2)</f>
        <v>3</v>
      </c>
      <c r="F329" s="2">
        <f t="shared" si="5"/>
        <v>0</v>
      </c>
    </row>
    <row r="330" spans="1:6" x14ac:dyDescent="0.25">
      <c r="A330" s="1">
        <v>42781</v>
      </c>
      <c r="B330" s="2" t="s">
        <v>372</v>
      </c>
      <c r="C330" s="2" t="s">
        <v>373</v>
      </c>
      <c r="D330">
        <v>29</v>
      </c>
      <c r="E330">
        <f>WEEKDAY(makulatura5[[#This Row],[Data_dostarczenia]],2)</f>
        <v>3</v>
      </c>
      <c r="F330" s="2">
        <f t="shared" si="5"/>
        <v>0</v>
      </c>
    </row>
    <row r="331" spans="1:6" x14ac:dyDescent="0.25">
      <c r="A331" s="1">
        <v>42781</v>
      </c>
      <c r="B331" s="2" t="s">
        <v>374</v>
      </c>
      <c r="C331" s="2" t="s">
        <v>375</v>
      </c>
      <c r="D331">
        <v>18</v>
      </c>
      <c r="E331">
        <f>WEEKDAY(makulatura5[[#This Row],[Data_dostarczenia]],2)</f>
        <v>3</v>
      </c>
      <c r="F331" s="2">
        <f t="shared" si="5"/>
        <v>1</v>
      </c>
    </row>
    <row r="332" spans="1:6" x14ac:dyDescent="0.25">
      <c r="A332" s="1">
        <v>42782</v>
      </c>
      <c r="B332" s="2" t="s">
        <v>193</v>
      </c>
      <c r="C332" s="2" t="s">
        <v>215</v>
      </c>
      <c r="D332">
        <v>17</v>
      </c>
      <c r="E332">
        <f>WEEKDAY(makulatura5[[#This Row],[Data_dostarczenia]],2)</f>
        <v>4</v>
      </c>
      <c r="F332" s="2">
        <f t="shared" si="5"/>
        <v>0</v>
      </c>
    </row>
    <row r="333" spans="1:6" x14ac:dyDescent="0.25">
      <c r="A333" s="1">
        <v>42782</v>
      </c>
      <c r="B333" s="2" t="s">
        <v>178</v>
      </c>
      <c r="C333" s="2" t="s">
        <v>376</v>
      </c>
      <c r="D333">
        <v>9</v>
      </c>
      <c r="E333">
        <f>WEEKDAY(makulatura5[[#This Row],[Data_dostarczenia]],2)</f>
        <v>4</v>
      </c>
      <c r="F333" s="2">
        <f t="shared" si="5"/>
        <v>0</v>
      </c>
    </row>
    <row r="334" spans="1:6" x14ac:dyDescent="0.25">
      <c r="A334" s="1">
        <v>42782</v>
      </c>
      <c r="B334" s="2" t="s">
        <v>83</v>
      </c>
      <c r="C334" s="2" t="s">
        <v>136</v>
      </c>
      <c r="D334">
        <v>20</v>
      </c>
      <c r="E334">
        <f>WEEKDAY(makulatura5[[#This Row],[Data_dostarczenia]],2)</f>
        <v>4</v>
      </c>
      <c r="F334" s="2">
        <f t="shared" si="5"/>
        <v>0</v>
      </c>
    </row>
    <row r="335" spans="1:6" x14ac:dyDescent="0.25">
      <c r="A335" s="1">
        <v>42782</v>
      </c>
      <c r="B335" s="2" t="s">
        <v>30</v>
      </c>
      <c r="C335" s="2" t="s">
        <v>377</v>
      </c>
      <c r="D335">
        <v>50</v>
      </c>
      <c r="E335">
        <f>WEEKDAY(makulatura5[[#This Row],[Data_dostarczenia]],2)</f>
        <v>4</v>
      </c>
      <c r="F335" s="2">
        <f t="shared" si="5"/>
        <v>0</v>
      </c>
    </row>
    <row r="336" spans="1:6" x14ac:dyDescent="0.25">
      <c r="A336" s="1">
        <v>42782</v>
      </c>
      <c r="B336" s="2" t="s">
        <v>232</v>
      </c>
      <c r="C336" s="2" t="s">
        <v>378</v>
      </c>
      <c r="D336">
        <v>9</v>
      </c>
      <c r="E336">
        <f>WEEKDAY(makulatura5[[#This Row],[Data_dostarczenia]],2)</f>
        <v>4</v>
      </c>
      <c r="F336" s="2">
        <f t="shared" si="5"/>
        <v>0</v>
      </c>
    </row>
    <row r="337" spans="1:6" x14ac:dyDescent="0.25">
      <c r="A337" s="1">
        <v>42782</v>
      </c>
      <c r="B337" s="2" t="s">
        <v>83</v>
      </c>
      <c r="C337" s="2" t="s">
        <v>350</v>
      </c>
      <c r="D337">
        <v>4</v>
      </c>
      <c r="E337">
        <f>WEEKDAY(makulatura5[[#This Row],[Data_dostarczenia]],2)</f>
        <v>4</v>
      </c>
      <c r="F337" s="2">
        <f t="shared" si="5"/>
        <v>0</v>
      </c>
    </row>
    <row r="338" spans="1:6" x14ac:dyDescent="0.25">
      <c r="A338" s="1">
        <v>42782</v>
      </c>
      <c r="B338" s="2" t="s">
        <v>39</v>
      </c>
      <c r="C338" s="2" t="s">
        <v>158</v>
      </c>
      <c r="D338">
        <v>41</v>
      </c>
      <c r="E338">
        <f>WEEKDAY(makulatura5[[#This Row],[Data_dostarczenia]],2)</f>
        <v>4</v>
      </c>
      <c r="F338" s="2">
        <f t="shared" si="5"/>
        <v>0</v>
      </c>
    </row>
    <row r="339" spans="1:6" x14ac:dyDescent="0.25">
      <c r="A339" s="1">
        <v>42782</v>
      </c>
      <c r="B339" s="2" t="s">
        <v>8</v>
      </c>
      <c r="C339" s="2" t="s">
        <v>322</v>
      </c>
      <c r="D339">
        <v>11</v>
      </c>
      <c r="E339">
        <f>WEEKDAY(makulatura5[[#This Row],[Data_dostarczenia]],2)</f>
        <v>4</v>
      </c>
      <c r="F339" s="2">
        <f t="shared" si="5"/>
        <v>0</v>
      </c>
    </row>
    <row r="340" spans="1:6" x14ac:dyDescent="0.25">
      <c r="A340" s="1">
        <v>42782</v>
      </c>
      <c r="B340" s="2" t="s">
        <v>152</v>
      </c>
      <c r="C340" s="2" t="s">
        <v>153</v>
      </c>
      <c r="D340">
        <v>22</v>
      </c>
      <c r="E340">
        <f>WEEKDAY(makulatura5[[#This Row],[Data_dostarczenia]],2)</f>
        <v>4</v>
      </c>
      <c r="F340" s="2">
        <f t="shared" si="5"/>
        <v>0</v>
      </c>
    </row>
    <row r="341" spans="1:6" x14ac:dyDescent="0.25">
      <c r="A341" s="1">
        <v>42782</v>
      </c>
      <c r="B341" s="2" t="s">
        <v>43</v>
      </c>
      <c r="C341" s="2" t="s">
        <v>71</v>
      </c>
      <c r="D341">
        <v>23</v>
      </c>
      <c r="E341">
        <f>WEEKDAY(makulatura5[[#This Row],[Data_dostarczenia]],2)</f>
        <v>4</v>
      </c>
      <c r="F341" s="2">
        <f t="shared" si="5"/>
        <v>0</v>
      </c>
    </row>
    <row r="342" spans="1:6" x14ac:dyDescent="0.25">
      <c r="A342" s="1">
        <v>42782</v>
      </c>
      <c r="B342" s="2" t="s">
        <v>137</v>
      </c>
      <c r="C342" s="2" t="s">
        <v>379</v>
      </c>
      <c r="D342">
        <v>33</v>
      </c>
      <c r="E342">
        <f>WEEKDAY(makulatura5[[#This Row],[Data_dostarczenia]],2)</f>
        <v>4</v>
      </c>
      <c r="F342" s="2">
        <f t="shared" si="5"/>
        <v>1</v>
      </c>
    </row>
    <row r="343" spans="1:6" x14ac:dyDescent="0.25">
      <c r="A343" s="1">
        <v>42783</v>
      </c>
      <c r="B343" s="2" t="s">
        <v>97</v>
      </c>
      <c r="C343" s="2" t="s">
        <v>380</v>
      </c>
      <c r="D343">
        <v>14</v>
      </c>
      <c r="E343">
        <f>WEEKDAY(makulatura5[[#This Row],[Data_dostarczenia]],2)</f>
        <v>5</v>
      </c>
      <c r="F343" s="2">
        <f t="shared" si="5"/>
        <v>0</v>
      </c>
    </row>
    <row r="344" spans="1:6" x14ac:dyDescent="0.25">
      <c r="A344" s="1">
        <v>42783</v>
      </c>
      <c r="B344" s="2" t="s">
        <v>20</v>
      </c>
      <c r="C344" s="2" t="s">
        <v>381</v>
      </c>
      <c r="D344">
        <v>28</v>
      </c>
      <c r="E344">
        <f>WEEKDAY(makulatura5[[#This Row],[Data_dostarczenia]],2)</f>
        <v>5</v>
      </c>
      <c r="F344" s="2">
        <f t="shared" si="5"/>
        <v>0</v>
      </c>
    </row>
    <row r="345" spans="1:6" x14ac:dyDescent="0.25">
      <c r="A345" s="1">
        <v>42783</v>
      </c>
      <c r="B345" s="2" t="s">
        <v>4</v>
      </c>
      <c r="C345" s="2" t="s">
        <v>382</v>
      </c>
      <c r="D345">
        <v>12</v>
      </c>
      <c r="E345">
        <f>WEEKDAY(makulatura5[[#This Row],[Data_dostarczenia]],2)</f>
        <v>5</v>
      </c>
      <c r="F345" s="2">
        <f t="shared" si="5"/>
        <v>0</v>
      </c>
    </row>
    <row r="346" spans="1:6" x14ac:dyDescent="0.25">
      <c r="A346" s="1">
        <v>42783</v>
      </c>
      <c r="B346" s="2" t="s">
        <v>155</v>
      </c>
      <c r="C346" s="2" t="s">
        <v>186</v>
      </c>
      <c r="D346">
        <v>55</v>
      </c>
      <c r="E346">
        <f>WEEKDAY(makulatura5[[#This Row],[Data_dostarczenia]],2)</f>
        <v>5</v>
      </c>
      <c r="F346" s="2">
        <f t="shared" si="5"/>
        <v>0</v>
      </c>
    </row>
    <row r="347" spans="1:6" x14ac:dyDescent="0.25">
      <c r="A347" s="1">
        <v>42783</v>
      </c>
      <c r="B347" s="2" t="s">
        <v>106</v>
      </c>
      <c r="C347" s="2" t="s">
        <v>107</v>
      </c>
      <c r="D347">
        <v>27</v>
      </c>
      <c r="E347">
        <f>WEEKDAY(makulatura5[[#This Row],[Data_dostarczenia]],2)</f>
        <v>5</v>
      </c>
      <c r="F347" s="2">
        <f t="shared" si="5"/>
        <v>0</v>
      </c>
    </row>
    <row r="348" spans="1:6" x14ac:dyDescent="0.25">
      <c r="A348" s="1">
        <v>42783</v>
      </c>
      <c r="B348" s="2" t="s">
        <v>367</v>
      </c>
      <c r="C348" s="2" t="s">
        <v>5</v>
      </c>
      <c r="D348">
        <v>12</v>
      </c>
      <c r="E348">
        <f>WEEKDAY(makulatura5[[#This Row],[Data_dostarczenia]],2)</f>
        <v>5</v>
      </c>
      <c r="F348" s="2">
        <f t="shared" si="5"/>
        <v>0</v>
      </c>
    </row>
    <row r="349" spans="1:6" x14ac:dyDescent="0.25">
      <c r="A349" s="1">
        <v>42783</v>
      </c>
      <c r="B349" s="2" t="s">
        <v>128</v>
      </c>
      <c r="C349" s="2" t="s">
        <v>12</v>
      </c>
      <c r="D349">
        <v>50</v>
      </c>
      <c r="E349">
        <f>WEEKDAY(makulatura5[[#This Row],[Data_dostarczenia]],2)</f>
        <v>5</v>
      </c>
      <c r="F349" s="2">
        <f t="shared" si="5"/>
        <v>0</v>
      </c>
    </row>
    <row r="350" spans="1:6" x14ac:dyDescent="0.25">
      <c r="A350" s="1">
        <v>42783</v>
      </c>
      <c r="B350" s="2" t="s">
        <v>341</v>
      </c>
      <c r="C350" s="2" t="s">
        <v>342</v>
      </c>
      <c r="D350">
        <v>23</v>
      </c>
      <c r="E350">
        <f>WEEKDAY(makulatura5[[#This Row],[Data_dostarczenia]],2)</f>
        <v>5</v>
      </c>
      <c r="F350" s="2">
        <f t="shared" si="5"/>
        <v>0</v>
      </c>
    </row>
    <row r="351" spans="1:6" x14ac:dyDescent="0.25">
      <c r="A351" s="1">
        <v>42783</v>
      </c>
      <c r="B351" s="2" t="s">
        <v>87</v>
      </c>
      <c r="C351" s="2" t="s">
        <v>383</v>
      </c>
      <c r="D351">
        <v>24</v>
      </c>
      <c r="E351">
        <f>WEEKDAY(makulatura5[[#This Row],[Data_dostarczenia]],2)</f>
        <v>5</v>
      </c>
      <c r="F351" s="2">
        <f t="shared" si="5"/>
        <v>0</v>
      </c>
    </row>
    <row r="352" spans="1:6" x14ac:dyDescent="0.25">
      <c r="A352" s="1">
        <v>42783</v>
      </c>
      <c r="B352" s="2" t="s">
        <v>77</v>
      </c>
      <c r="C352" s="2" t="s">
        <v>384</v>
      </c>
      <c r="D352">
        <v>29</v>
      </c>
      <c r="E352">
        <f>WEEKDAY(makulatura5[[#This Row],[Data_dostarczenia]],2)</f>
        <v>5</v>
      </c>
      <c r="F352" s="2">
        <f t="shared" si="5"/>
        <v>0</v>
      </c>
    </row>
    <row r="353" spans="1:6" x14ac:dyDescent="0.25">
      <c r="A353" s="1">
        <v>42783</v>
      </c>
      <c r="B353" s="2" t="s">
        <v>119</v>
      </c>
      <c r="C353" s="2" t="s">
        <v>349</v>
      </c>
      <c r="D353">
        <v>25</v>
      </c>
      <c r="E353">
        <f>WEEKDAY(makulatura5[[#This Row],[Data_dostarczenia]],2)</f>
        <v>5</v>
      </c>
      <c r="F353" s="2">
        <f t="shared" si="5"/>
        <v>1</v>
      </c>
    </row>
    <row r="354" spans="1:6" x14ac:dyDescent="0.25">
      <c r="A354" s="1">
        <v>42786</v>
      </c>
      <c r="B354" s="2" t="s">
        <v>206</v>
      </c>
      <c r="C354" s="2" t="s">
        <v>385</v>
      </c>
      <c r="D354">
        <v>17</v>
      </c>
      <c r="E354">
        <f>WEEKDAY(makulatura5[[#This Row],[Data_dostarczenia]],2)</f>
        <v>1</v>
      </c>
      <c r="F354" s="2">
        <f t="shared" si="5"/>
        <v>0</v>
      </c>
    </row>
    <row r="355" spans="1:6" x14ac:dyDescent="0.25">
      <c r="A355" s="1">
        <v>42786</v>
      </c>
      <c r="B355" s="2" t="s">
        <v>4</v>
      </c>
      <c r="C355" s="2" t="s">
        <v>386</v>
      </c>
      <c r="D355">
        <v>5</v>
      </c>
      <c r="E355">
        <f>WEEKDAY(makulatura5[[#This Row],[Data_dostarczenia]],2)</f>
        <v>1</v>
      </c>
      <c r="F355" s="2">
        <f t="shared" si="5"/>
        <v>0</v>
      </c>
    </row>
    <row r="356" spans="1:6" x14ac:dyDescent="0.25">
      <c r="A356" s="1">
        <v>42786</v>
      </c>
      <c r="B356" s="2" t="s">
        <v>97</v>
      </c>
      <c r="C356" s="2" t="s">
        <v>188</v>
      </c>
      <c r="D356">
        <v>12</v>
      </c>
      <c r="E356">
        <f>WEEKDAY(makulatura5[[#This Row],[Data_dostarczenia]],2)</f>
        <v>1</v>
      </c>
      <c r="F356" s="2">
        <f t="shared" si="5"/>
        <v>0</v>
      </c>
    </row>
    <row r="357" spans="1:6" x14ac:dyDescent="0.25">
      <c r="A357" s="1">
        <v>42786</v>
      </c>
      <c r="B357" s="2" t="s">
        <v>198</v>
      </c>
      <c r="C357" s="2" t="s">
        <v>199</v>
      </c>
      <c r="D357">
        <v>31</v>
      </c>
      <c r="E357">
        <f>WEEKDAY(makulatura5[[#This Row],[Data_dostarczenia]],2)</f>
        <v>1</v>
      </c>
      <c r="F357" s="2">
        <f t="shared" si="5"/>
        <v>0</v>
      </c>
    </row>
    <row r="358" spans="1:6" x14ac:dyDescent="0.25">
      <c r="A358" s="1">
        <v>42786</v>
      </c>
      <c r="B358" s="2" t="s">
        <v>30</v>
      </c>
      <c r="C358" s="2" t="s">
        <v>387</v>
      </c>
      <c r="D358">
        <v>7</v>
      </c>
      <c r="E358">
        <f>WEEKDAY(makulatura5[[#This Row],[Data_dostarczenia]],2)</f>
        <v>1</v>
      </c>
      <c r="F358" s="2">
        <f t="shared" si="5"/>
        <v>0</v>
      </c>
    </row>
    <row r="359" spans="1:6" x14ac:dyDescent="0.25">
      <c r="A359" s="1">
        <v>42786</v>
      </c>
      <c r="B359" s="2" t="s">
        <v>150</v>
      </c>
      <c r="C359" s="2" t="s">
        <v>140</v>
      </c>
      <c r="D359">
        <v>26</v>
      </c>
      <c r="E359">
        <f>WEEKDAY(makulatura5[[#This Row],[Data_dostarczenia]],2)</f>
        <v>1</v>
      </c>
      <c r="F359" s="2">
        <f t="shared" si="5"/>
        <v>0</v>
      </c>
    </row>
    <row r="360" spans="1:6" x14ac:dyDescent="0.25">
      <c r="A360" s="1">
        <v>42786</v>
      </c>
      <c r="B360" s="2" t="s">
        <v>83</v>
      </c>
      <c r="C360" s="2" t="s">
        <v>91</v>
      </c>
      <c r="D360">
        <v>28</v>
      </c>
      <c r="E360">
        <f>WEEKDAY(makulatura5[[#This Row],[Data_dostarczenia]],2)</f>
        <v>1</v>
      </c>
      <c r="F360" s="2">
        <f t="shared" si="5"/>
        <v>0</v>
      </c>
    </row>
    <row r="361" spans="1:6" x14ac:dyDescent="0.25">
      <c r="A361" s="1">
        <v>42786</v>
      </c>
      <c r="B361" s="2" t="s">
        <v>45</v>
      </c>
      <c r="C361" s="2" t="s">
        <v>46</v>
      </c>
      <c r="D361">
        <v>19</v>
      </c>
      <c r="E361">
        <f>WEEKDAY(makulatura5[[#This Row],[Data_dostarczenia]],2)</f>
        <v>1</v>
      </c>
      <c r="F361" s="2">
        <f t="shared" si="5"/>
        <v>0</v>
      </c>
    </row>
    <row r="362" spans="1:6" x14ac:dyDescent="0.25">
      <c r="A362" s="1">
        <v>42786</v>
      </c>
      <c r="B362" s="2" t="s">
        <v>8</v>
      </c>
      <c r="C362" s="2" t="s">
        <v>322</v>
      </c>
      <c r="D362">
        <v>3</v>
      </c>
      <c r="E362">
        <f>WEEKDAY(makulatura5[[#This Row],[Data_dostarczenia]],2)</f>
        <v>1</v>
      </c>
      <c r="F362" s="2">
        <f t="shared" si="5"/>
        <v>0</v>
      </c>
    </row>
    <row r="363" spans="1:6" x14ac:dyDescent="0.25">
      <c r="A363" s="1">
        <v>42786</v>
      </c>
      <c r="B363" s="2" t="s">
        <v>69</v>
      </c>
      <c r="C363" s="2" t="s">
        <v>108</v>
      </c>
      <c r="D363">
        <v>12</v>
      </c>
      <c r="E363">
        <f>WEEKDAY(makulatura5[[#This Row],[Data_dostarczenia]],2)</f>
        <v>1</v>
      </c>
      <c r="F363" s="2">
        <f t="shared" si="5"/>
        <v>0</v>
      </c>
    </row>
    <row r="364" spans="1:6" x14ac:dyDescent="0.25">
      <c r="A364" s="1">
        <v>42786</v>
      </c>
      <c r="B364" s="2" t="s">
        <v>45</v>
      </c>
      <c r="C364" s="2" t="s">
        <v>388</v>
      </c>
      <c r="D364">
        <v>11</v>
      </c>
      <c r="E364">
        <f>WEEKDAY(makulatura5[[#This Row],[Data_dostarczenia]],2)</f>
        <v>1</v>
      </c>
      <c r="F364" s="2">
        <f t="shared" si="5"/>
        <v>1</v>
      </c>
    </row>
    <row r="365" spans="1:6" x14ac:dyDescent="0.25">
      <c r="A365" s="1">
        <v>42787</v>
      </c>
      <c r="B365" s="2" t="s">
        <v>280</v>
      </c>
      <c r="C365" s="2" t="s">
        <v>281</v>
      </c>
      <c r="D365">
        <v>29</v>
      </c>
      <c r="E365">
        <f>WEEKDAY(makulatura5[[#This Row],[Data_dostarczenia]],2)</f>
        <v>2</v>
      </c>
      <c r="F365" s="2">
        <f t="shared" si="5"/>
        <v>0</v>
      </c>
    </row>
    <row r="366" spans="1:6" x14ac:dyDescent="0.25">
      <c r="A366" s="1">
        <v>42787</v>
      </c>
      <c r="B366" s="2" t="s">
        <v>53</v>
      </c>
      <c r="C366" s="2" t="s">
        <v>389</v>
      </c>
      <c r="D366">
        <v>4</v>
      </c>
      <c r="E366">
        <f>WEEKDAY(makulatura5[[#This Row],[Data_dostarczenia]],2)</f>
        <v>2</v>
      </c>
      <c r="F366" s="2">
        <f t="shared" si="5"/>
        <v>0</v>
      </c>
    </row>
    <row r="367" spans="1:6" x14ac:dyDescent="0.25">
      <c r="A367" s="1">
        <v>42787</v>
      </c>
      <c r="B367" s="2" t="s">
        <v>144</v>
      </c>
      <c r="C367" s="2" t="s">
        <v>390</v>
      </c>
      <c r="D367">
        <v>2</v>
      </c>
      <c r="E367">
        <f>WEEKDAY(makulatura5[[#This Row],[Data_dostarczenia]],2)</f>
        <v>2</v>
      </c>
      <c r="F367" s="2">
        <f t="shared" si="5"/>
        <v>0</v>
      </c>
    </row>
    <row r="368" spans="1:6" x14ac:dyDescent="0.25">
      <c r="A368" s="1">
        <v>42787</v>
      </c>
      <c r="B368" s="2" t="s">
        <v>39</v>
      </c>
      <c r="C368" s="2" t="s">
        <v>391</v>
      </c>
      <c r="D368">
        <v>45</v>
      </c>
      <c r="E368">
        <f>WEEKDAY(makulatura5[[#This Row],[Data_dostarczenia]],2)</f>
        <v>2</v>
      </c>
      <c r="F368" s="2">
        <f t="shared" si="5"/>
        <v>0</v>
      </c>
    </row>
    <row r="369" spans="1:6" x14ac:dyDescent="0.25">
      <c r="A369" s="1">
        <v>42787</v>
      </c>
      <c r="B369" s="2" t="s">
        <v>18</v>
      </c>
      <c r="C369" s="2" t="s">
        <v>392</v>
      </c>
      <c r="D369">
        <v>46</v>
      </c>
      <c r="E369">
        <f>WEEKDAY(makulatura5[[#This Row],[Data_dostarczenia]],2)</f>
        <v>2</v>
      </c>
      <c r="F369" s="2">
        <f t="shared" si="5"/>
        <v>0</v>
      </c>
    </row>
    <row r="370" spans="1:6" x14ac:dyDescent="0.25">
      <c r="A370" s="1">
        <v>42787</v>
      </c>
      <c r="B370" s="2" t="s">
        <v>393</v>
      </c>
      <c r="C370" s="2" t="s">
        <v>394</v>
      </c>
      <c r="D370">
        <v>21</v>
      </c>
      <c r="E370">
        <f>WEEKDAY(makulatura5[[#This Row],[Data_dostarczenia]],2)</f>
        <v>2</v>
      </c>
      <c r="F370" s="2">
        <f t="shared" si="5"/>
        <v>0</v>
      </c>
    </row>
    <row r="371" spans="1:6" x14ac:dyDescent="0.25">
      <c r="A371" s="1">
        <v>42787</v>
      </c>
      <c r="B371" s="2" t="s">
        <v>395</v>
      </c>
      <c r="C371" s="2" t="s">
        <v>396</v>
      </c>
      <c r="D371">
        <v>24</v>
      </c>
      <c r="E371">
        <f>WEEKDAY(makulatura5[[#This Row],[Data_dostarczenia]],2)</f>
        <v>2</v>
      </c>
      <c r="F371" s="2">
        <f t="shared" si="5"/>
        <v>0</v>
      </c>
    </row>
    <row r="372" spans="1:6" x14ac:dyDescent="0.25">
      <c r="A372" s="1">
        <v>42787</v>
      </c>
      <c r="B372" s="2" t="s">
        <v>87</v>
      </c>
      <c r="C372" s="2" t="s">
        <v>397</v>
      </c>
      <c r="D372">
        <v>53</v>
      </c>
      <c r="E372">
        <f>WEEKDAY(makulatura5[[#This Row],[Data_dostarczenia]],2)</f>
        <v>2</v>
      </c>
      <c r="F372" s="2">
        <f t="shared" si="5"/>
        <v>0</v>
      </c>
    </row>
    <row r="373" spans="1:6" x14ac:dyDescent="0.25">
      <c r="A373" s="1">
        <v>42787</v>
      </c>
      <c r="B373" s="2" t="s">
        <v>393</v>
      </c>
      <c r="C373" s="2" t="s">
        <v>398</v>
      </c>
      <c r="D373">
        <v>45</v>
      </c>
      <c r="E373">
        <f>WEEKDAY(makulatura5[[#This Row],[Data_dostarczenia]],2)</f>
        <v>2</v>
      </c>
      <c r="F373" s="2">
        <f t="shared" si="5"/>
        <v>0</v>
      </c>
    </row>
    <row r="374" spans="1:6" x14ac:dyDescent="0.25">
      <c r="A374" s="1">
        <v>42787</v>
      </c>
      <c r="B374" s="2" t="s">
        <v>57</v>
      </c>
      <c r="C374" s="2" t="s">
        <v>399</v>
      </c>
      <c r="D374">
        <v>56</v>
      </c>
      <c r="E374">
        <f>WEEKDAY(makulatura5[[#This Row],[Data_dostarczenia]],2)</f>
        <v>2</v>
      </c>
      <c r="F374" s="2">
        <f t="shared" si="5"/>
        <v>0</v>
      </c>
    </row>
    <row r="375" spans="1:6" x14ac:dyDescent="0.25">
      <c r="A375" s="1">
        <v>42787</v>
      </c>
      <c r="B375" s="2" t="s">
        <v>97</v>
      </c>
      <c r="C375" s="2" t="s">
        <v>181</v>
      </c>
      <c r="D375">
        <v>28</v>
      </c>
      <c r="E375">
        <f>WEEKDAY(makulatura5[[#This Row],[Data_dostarczenia]],2)</f>
        <v>2</v>
      </c>
      <c r="F375" s="2">
        <f t="shared" si="5"/>
        <v>1</v>
      </c>
    </row>
    <row r="376" spans="1:6" x14ac:dyDescent="0.25">
      <c r="A376" s="1">
        <v>42788</v>
      </c>
      <c r="B376" s="2" t="s">
        <v>144</v>
      </c>
      <c r="C376" s="2" t="s">
        <v>390</v>
      </c>
      <c r="D376">
        <v>45</v>
      </c>
      <c r="E376">
        <f>WEEKDAY(makulatura5[[#This Row],[Data_dostarczenia]],2)</f>
        <v>3</v>
      </c>
      <c r="F376" s="2">
        <f t="shared" si="5"/>
        <v>0</v>
      </c>
    </row>
    <row r="377" spans="1:6" x14ac:dyDescent="0.25">
      <c r="A377" s="1">
        <v>42788</v>
      </c>
      <c r="B377" s="2" t="s">
        <v>39</v>
      </c>
      <c r="C377" s="2" t="s">
        <v>400</v>
      </c>
      <c r="D377">
        <v>43</v>
      </c>
      <c r="E377">
        <f>WEEKDAY(makulatura5[[#This Row],[Data_dostarczenia]],2)</f>
        <v>3</v>
      </c>
      <c r="F377" s="2">
        <f t="shared" si="5"/>
        <v>0</v>
      </c>
    </row>
    <row r="378" spans="1:6" x14ac:dyDescent="0.25">
      <c r="A378" s="1">
        <v>42788</v>
      </c>
      <c r="B378" s="2" t="s">
        <v>87</v>
      </c>
      <c r="C378" s="2" t="s">
        <v>124</v>
      </c>
      <c r="D378">
        <v>6</v>
      </c>
      <c r="E378">
        <f>WEEKDAY(makulatura5[[#This Row],[Data_dostarczenia]],2)</f>
        <v>3</v>
      </c>
      <c r="F378" s="2">
        <f t="shared" si="5"/>
        <v>0</v>
      </c>
    </row>
    <row r="379" spans="1:6" x14ac:dyDescent="0.25">
      <c r="A379" s="1">
        <v>42788</v>
      </c>
      <c r="B379" s="2" t="s">
        <v>195</v>
      </c>
      <c r="C379" s="2" t="s">
        <v>401</v>
      </c>
      <c r="D379">
        <v>5</v>
      </c>
      <c r="E379">
        <f>WEEKDAY(makulatura5[[#This Row],[Data_dostarczenia]],2)</f>
        <v>3</v>
      </c>
      <c r="F379" s="2">
        <f t="shared" si="5"/>
        <v>0</v>
      </c>
    </row>
    <row r="380" spans="1:6" x14ac:dyDescent="0.25">
      <c r="A380" s="1">
        <v>42788</v>
      </c>
      <c r="B380" s="2" t="s">
        <v>402</v>
      </c>
      <c r="C380" s="2" t="s">
        <v>403</v>
      </c>
      <c r="D380">
        <v>47</v>
      </c>
      <c r="E380">
        <f>WEEKDAY(makulatura5[[#This Row],[Data_dostarczenia]],2)</f>
        <v>3</v>
      </c>
      <c r="F380" s="2">
        <f t="shared" si="5"/>
        <v>0</v>
      </c>
    </row>
    <row r="381" spans="1:6" x14ac:dyDescent="0.25">
      <c r="A381" s="1">
        <v>42788</v>
      </c>
      <c r="B381" s="2" t="s">
        <v>36</v>
      </c>
      <c r="C381" s="2" t="s">
        <v>404</v>
      </c>
      <c r="D381">
        <v>6</v>
      </c>
      <c r="E381">
        <f>WEEKDAY(makulatura5[[#This Row],[Data_dostarczenia]],2)</f>
        <v>3</v>
      </c>
      <c r="F381" s="2">
        <f t="shared" si="5"/>
        <v>0</v>
      </c>
    </row>
    <row r="382" spans="1:6" x14ac:dyDescent="0.25">
      <c r="A382" s="1">
        <v>42788</v>
      </c>
      <c r="B382" s="2" t="s">
        <v>117</v>
      </c>
      <c r="C382" s="2" t="s">
        <v>183</v>
      </c>
      <c r="D382">
        <v>55</v>
      </c>
      <c r="E382">
        <f>WEEKDAY(makulatura5[[#This Row],[Data_dostarczenia]],2)</f>
        <v>3</v>
      </c>
      <c r="F382" s="2">
        <f t="shared" si="5"/>
        <v>0</v>
      </c>
    </row>
    <row r="383" spans="1:6" x14ac:dyDescent="0.25">
      <c r="A383" s="1">
        <v>42788</v>
      </c>
      <c r="B383" s="2" t="s">
        <v>23</v>
      </c>
      <c r="C383" s="2" t="s">
        <v>24</v>
      </c>
      <c r="D383">
        <v>37</v>
      </c>
      <c r="E383">
        <f>WEEKDAY(makulatura5[[#This Row],[Data_dostarczenia]],2)</f>
        <v>3</v>
      </c>
      <c r="F383" s="2">
        <f t="shared" si="5"/>
        <v>0</v>
      </c>
    </row>
    <row r="384" spans="1:6" x14ac:dyDescent="0.25">
      <c r="A384" s="1">
        <v>42788</v>
      </c>
      <c r="B384" s="2" t="s">
        <v>128</v>
      </c>
      <c r="C384" s="2" t="s">
        <v>309</v>
      </c>
      <c r="D384">
        <v>10</v>
      </c>
      <c r="E384">
        <f>WEEKDAY(makulatura5[[#This Row],[Data_dostarczenia]],2)</f>
        <v>3</v>
      </c>
      <c r="F384" s="2">
        <f t="shared" si="5"/>
        <v>0</v>
      </c>
    </row>
    <row r="385" spans="1:6" x14ac:dyDescent="0.25">
      <c r="A385" s="1">
        <v>42788</v>
      </c>
      <c r="B385" s="2" t="s">
        <v>27</v>
      </c>
      <c r="C385" s="2" t="s">
        <v>94</v>
      </c>
      <c r="D385">
        <v>39</v>
      </c>
      <c r="E385">
        <f>WEEKDAY(makulatura5[[#This Row],[Data_dostarczenia]],2)</f>
        <v>3</v>
      </c>
      <c r="F385" s="2">
        <f t="shared" si="5"/>
        <v>0</v>
      </c>
    </row>
    <row r="386" spans="1:6" x14ac:dyDescent="0.25">
      <c r="A386" s="1">
        <v>42788</v>
      </c>
      <c r="B386" s="2" t="s">
        <v>232</v>
      </c>
      <c r="C386" s="2" t="s">
        <v>405</v>
      </c>
      <c r="D386">
        <v>23</v>
      </c>
      <c r="E386">
        <f>WEEKDAY(makulatura5[[#This Row],[Data_dostarczenia]],2)</f>
        <v>3</v>
      </c>
      <c r="F386" s="2">
        <f t="shared" ref="F386:F449" si="6">IF(A387=A386,0,1)</f>
        <v>1</v>
      </c>
    </row>
    <row r="387" spans="1:6" x14ac:dyDescent="0.25">
      <c r="A387" s="1">
        <v>42789</v>
      </c>
      <c r="B387" s="2" t="s">
        <v>41</v>
      </c>
      <c r="C387" s="2" t="s">
        <v>238</v>
      </c>
      <c r="D387">
        <v>19</v>
      </c>
      <c r="E387">
        <f>WEEKDAY(makulatura5[[#This Row],[Data_dostarczenia]],2)</f>
        <v>4</v>
      </c>
      <c r="F387" s="2">
        <f t="shared" si="6"/>
        <v>0</v>
      </c>
    </row>
    <row r="388" spans="1:6" x14ac:dyDescent="0.25">
      <c r="A388" s="1">
        <v>42789</v>
      </c>
      <c r="B388" s="2" t="s">
        <v>87</v>
      </c>
      <c r="C388" s="2" t="s">
        <v>383</v>
      </c>
      <c r="D388">
        <v>28</v>
      </c>
      <c r="E388">
        <f>WEEKDAY(makulatura5[[#This Row],[Data_dostarczenia]],2)</f>
        <v>4</v>
      </c>
      <c r="F388" s="2">
        <f t="shared" si="6"/>
        <v>0</v>
      </c>
    </row>
    <row r="389" spans="1:6" x14ac:dyDescent="0.25">
      <c r="A389" s="1">
        <v>42789</v>
      </c>
      <c r="B389" s="2" t="s">
        <v>128</v>
      </c>
      <c r="C389" s="2" t="s">
        <v>129</v>
      </c>
      <c r="D389">
        <v>2</v>
      </c>
      <c r="E389">
        <f>WEEKDAY(makulatura5[[#This Row],[Data_dostarczenia]],2)</f>
        <v>4</v>
      </c>
      <c r="F389" s="2">
        <f t="shared" si="6"/>
        <v>0</v>
      </c>
    </row>
    <row r="390" spans="1:6" x14ac:dyDescent="0.25">
      <c r="A390" s="1">
        <v>42789</v>
      </c>
      <c r="B390" s="2" t="s">
        <v>47</v>
      </c>
      <c r="C390" s="2" t="s">
        <v>48</v>
      </c>
      <c r="D390">
        <v>6</v>
      </c>
      <c r="E390">
        <f>WEEKDAY(makulatura5[[#This Row],[Data_dostarczenia]],2)</f>
        <v>4</v>
      </c>
      <c r="F390" s="2">
        <f t="shared" si="6"/>
        <v>0</v>
      </c>
    </row>
    <row r="391" spans="1:6" x14ac:dyDescent="0.25">
      <c r="A391" s="1">
        <v>42789</v>
      </c>
      <c r="B391" s="2" t="s">
        <v>32</v>
      </c>
      <c r="C391" s="2" t="s">
        <v>406</v>
      </c>
      <c r="D391">
        <v>26</v>
      </c>
      <c r="E391">
        <f>WEEKDAY(makulatura5[[#This Row],[Data_dostarczenia]],2)</f>
        <v>4</v>
      </c>
      <c r="F391" s="2">
        <f t="shared" si="6"/>
        <v>0</v>
      </c>
    </row>
    <row r="392" spans="1:6" x14ac:dyDescent="0.25">
      <c r="A392" s="1">
        <v>42789</v>
      </c>
      <c r="B392" s="2" t="s">
        <v>407</v>
      </c>
      <c r="C392" s="2" t="s">
        <v>408</v>
      </c>
      <c r="D392">
        <v>55</v>
      </c>
      <c r="E392">
        <f>WEEKDAY(makulatura5[[#This Row],[Data_dostarczenia]],2)</f>
        <v>4</v>
      </c>
      <c r="F392" s="2">
        <f t="shared" si="6"/>
        <v>0</v>
      </c>
    </row>
    <row r="393" spans="1:6" x14ac:dyDescent="0.25">
      <c r="A393" s="1">
        <v>42789</v>
      </c>
      <c r="B393" s="2" t="s">
        <v>409</v>
      </c>
      <c r="C393" s="2" t="s">
        <v>410</v>
      </c>
      <c r="D393">
        <v>52</v>
      </c>
      <c r="E393">
        <f>WEEKDAY(makulatura5[[#This Row],[Data_dostarczenia]],2)</f>
        <v>4</v>
      </c>
      <c r="F393" s="2">
        <f t="shared" si="6"/>
        <v>0</v>
      </c>
    </row>
    <row r="394" spans="1:6" x14ac:dyDescent="0.25">
      <c r="A394" s="1">
        <v>42789</v>
      </c>
      <c r="B394" s="2" t="s">
        <v>367</v>
      </c>
      <c r="C394" s="2" t="s">
        <v>411</v>
      </c>
      <c r="D394">
        <v>55</v>
      </c>
      <c r="E394">
        <f>WEEKDAY(makulatura5[[#This Row],[Data_dostarczenia]],2)</f>
        <v>4</v>
      </c>
      <c r="F394" s="2">
        <f t="shared" si="6"/>
        <v>0</v>
      </c>
    </row>
    <row r="395" spans="1:6" x14ac:dyDescent="0.25">
      <c r="A395" s="1">
        <v>42789</v>
      </c>
      <c r="B395" s="2" t="s">
        <v>412</v>
      </c>
      <c r="C395" s="2" t="s">
        <v>413</v>
      </c>
      <c r="D395">
        <v>15</v>
      </c>
      <c r="E395">
        <f>WEEKDAY(makulatura5[[#This Row],[Data_dostarczenia]],2)</f>
        <v>4</v>
      </c>
      <c r="F395" s="2">
        <f t="shared" si="6"/>
        <v>0</v>
      </c>
    </row>
    <row r="396" spans="1:6" x14ac:dyDescent="0.25">
      <c r="A396" s="1">
        <v>42789</v>
      </c>
      <c r="B396" s="2" t="s">
        <v>155</v>
      </c>
      <c r="C396" s="2" t="s">
        <v>414</v>
      </c>
      <c r="D396">
        <v>44</v>
      </c>
      <c r="E396">
        <f>WEEKDAY(makulatura5[[#This Row],[Data_dostarczenia]],2)</f>
        <v>4</v>
      </c>
      <c r="F396" s="2">
        <f t="shared" si="6"/>
        <v>0</v>
      </c>
    </row>
    <row r="397" spans="1:6" x14ac:dyDescent="0.25">
      <c r="A397" s="1">
        <v>42789</v>
      </c>
      <c r="B397" s="2" t="s">
        <v>41</v>
      </c>
      <c r="C397" s="2" t="s">
        <v>42</v>
      </c>
      <c r="D397">
        <v>28</v>
      </c>
      <c r="E397">
        <f>WEEKDAY(makulatura5[[#This Row],[Data_dostarczenia]],2)</f>
        <v>4</v>
      </c>
      <c r="F397" s="2">
        <f t="shared" si="6"/>
        <v>1</v>
      </c>
    </row>
    <row r="398" spans="1:6" x14ac:dyDescent="0.25">
      <c r="A398" s="1">
        <v>42790</v>
      </c>
      <c r="B398" s="2" t="s">
        <v>174</v>
      </c>
      <c r="C398" s="2" t="s">
        <v>415</v>
      </c>
      <c r="D398">
        <v>19</v>
      </c>
      <c r="E398">
        <f>WEEKDAY(makulatura5[[#This Row],[Data_dostarczenia]],2)</f>
        <v>5</v>
      </c>
      <c r="F398" s="2">
        <f t="shared" si="6"/>
        <v>0</v>
      </c>
    </row>
    <row r="399" spans="1:6" x14ac:dyDescent="0.25">
      <c r="A399" s="1">
        <v>42790</v>
      </c>
      <c r="B399" s="2" t="s">
        <v>193</v>
      </c>
      <c r="C399" s="2" t="s">
        <v>215</v>
      </c>
      <c r="D399">
        <v>20</v>
      </c>
      <c r="E399">
        <f>WEEKDAY(makulatura5[[#This Row],[Data_dostarczenia]],2)</f>
        <v>5</v>
      </c>
      <c r="F399" s="2">
        <f t="shared" si="6"/>
        <v>0</v>
      </c>
    </row>
    <row r="400" spans="1:6" x14ac:dyDescent="0.25">
      <c r="A400" s="1">
        <v>42790</v>
      </c>
      <c r="B400" s="2" t="s">
        <v>416</v>
      </c>
      <c r="C400" s="2" t="s">
        <v>417</v>
      </c>
      <c r="D400">
        <v>24</v>
      </c>
      <c r="E400">
        <f>WEEKDAY(makulatura5[[#This Row],[Data_dostarczenia]],2)</f>
        <v>5</v>
      </c>
      <c r="F400" s="2">
        <f t="shared" si="6"/>
        <v>0</v>
      </c>
    </row>
    <row r="401" spans="1:6" x14ac:dyDescent="0.25">
      <c r="A401" s="1">
        <v>42790</v>
      </c>
      <c r="B401" s="2" t="s">
        <v>34</v>
      </c>
      <c r="C401" s="2" t="s">
        <v>182</v>
      </c>
      <c r="D401">
        <v>8</v>
      </c>
      <c r="E401">
        <f>WEEKDAY(makulatura5[[#This Row],[Data_dostarczenia]],2)</f>
        <v>5</v>
      </c>
      <c r="F401" s="2">
        <f t="shared" si="6"/>
        <v>0</v>
      </c>
    </row>
    <row r="402" spans="1:6" x14ac:dyDescent="0.25">
      <c r="A402" s="1">
        <v>42790</v>
      </c>
      <c r="B402" s="2" t="s">
        <v>57</v>
      </c>
      <c r="C402" s="2" t="s">
        <v>418</v>
      </c>
      <c r="D402">
        <v>8</v>
      </c>
      <c r="E402">
        <f>WEEKDAY(makulatura5[[#This Row],[Data_dostarczenia]],2)</f>
        <v>5</v>
      </c>
      <c r="F402" s="2">
        <f t="shared" si="6"/>
        <v>0</v>
      </c>
    </row>
    <row r="403" spans="1:6" x14ac:dyDescent="0.25">
      <c r="A403" s="1">
        <v>42790</v>
      </c>
      <c r="B403" s="2" t="s">
        <v>275</v>
      </c>
      <c r="C403" s="2" t="s">
        <v>276</v>
      </c>
      <c r="D403">
        <v>18</v>
      </c>
      <c r="E403">
        <f>WEEKDAY(makulatura5[[#This Row],[Data_dostarczenia]],2)</f>
        <v>5</v>
      </c>
      <c r="F403" s="2">
        <f t="shared" si="6"/>
        <v>0</v>
      </c>
    </row>
    <row r="404" spans="1:6" x14ac:dyDescent="0.25">
      <c r="A404" s="1">
        <v>42790</v>
      </c>
      <c r="B404" s="2" t="s">
        <v>67</v>
      </c>
      <c r="C404" s="2" t="s">
        <v>68</v>
      </c>
      <c r="D404">
        <v>26</v>
      </c>
      <c r="E404">
        <f>WEEKDAY(makulatura5[[#This Row],[Data_dostarczenia]],2)</f>
        <v>5</v>
      </c>
      <c r="F404" s="2">
        <f t="shared" si="6"/>
        <v>0</v>
      </c>
    </row>
    <row r="405" spans="1:6" x14ac:dyDescent="0.25">
      <c r="A405" s="1">
        <v>42790</v>
      </c>
      <c r="B405" s="2" t="s">
        <v>77</v>
      </c>
      <c r="C405" s="2" t="s">
        <v>384</v>
      </c>
      <c r="D405">
        <v>5</v>
      </c>
      <c r="E405">
        <f>WEEKDAY(makulatura5[[#This Row],[Data_dostarczenia]],2)</f>
        <v>5</v>
      </c>
      <c r="F405" s="2">
        <f t="shared" si="6"/>
        <v>0</v>
      </c>
    </row>
    <row r="406" spans="1:6" x14ac:dyDescent="0.25">
      <c r="A406" s="1">
        <v>42790</v>
      </c>
      <c r="B406" s="2" t="s">
        <v>219</v>
      </c>
      <c r="C406" s="2" t="s">
        <v>220</v>
      </c>
      <c r="D406">
        <v>39</v>
      </c>
      <c r="E406">
        <f>WEEKDAY(makulatura5[[#This Row],[Data_dostarczenia]],2)</f>
        <v>5</v>
      </c>
      <c r="F406" s="2">
        <f t="shared" si="6"/>
        <v>0</v>
      </c>
    </row>
    <row r="407" spans="1:6" x14ac:dyDescent="0.25">
      <c r="A407" s="1">
        <v>42790</v>
      </c>
      <c r="B407" s="2" t="s">
        <v>57</v>
      </c>
      <c r="C407" s="2" t="s">
        <v>418</v>
      </c>
      <c r="D407">
        <v>13</v>
      </c>
      <c r="E407">
        <f>WEEKDAY(makulatura5[[#This Row],[Data_dostarczenia]],2)</f>
        <v>5</v>
      </c>
      <c r="F407" s="2">
        <f t="shared" si="6"/>
        <v>0</v>
      </c>
    </row>
    <row r="408" spans="1:6" x14ac:dyDescent="0.25">
      <c r="A408" s="1">
        <v>42790</v>
      </c>
      <c r="B408" s="2" t="s">
        <v>317</v>
      </c>
      <c r="C408" s="2" t="s">
        <v>318</v>
      </c>
      <c r="D408">
        <v>52</v>
      </c>
      <c r="E408">
        <f>WEEKDAY(makulatura5[[#This Row],[Data_dostarczenia]],2)</f>
        <v>5</v>
      </c>
      <c r="F408" s="2">
        <f t="shared" si="6"/>
        <v>1</v>
      </c>
    </row>
    <row r="409" spans="1:6" x14ac:dyDescent="0.25">
      <c r="A409" s="1">
        <v>42793</v>
      </c>
      <c r="B409" s="2" t="s">
        <v>393</v>
      </c>
      <c r="C409" s="2" t="s">
        <v>419</v>
      </c>
      <c r="D409">
        <v>21</v>
      </c>
      <c r="E409">
        <f>WEEKDAY(makulatura5[[#This Row],[Data_dostarczenia]],2)</f>
        <v>1</v>
      </c>
      <c r="F409" s="2">
        <f t="shared" si="6"/>
        <v>0</v>
      </c>
    </row>
    <row r="410" spans="1:6" x14ac:dyDescent="0.25">
      <c r="A410" s="1">
        <v>42793</v>
      </c>
      <c r="B410" s="2" t="s">
        <v>97</v>
      </c>
      <c r="C410" s="2" t="s">
        <v>136</v>
      </c>
      <c r="D410">
        <v>50</v>
      </c>
      <c r="E410">
        <f>WEEKDAY(makulatura5[[#This Row],[Data_dostarczenia]],2)</f>
        <v>1</v>
      </c>
      <c r="F410" s="2">
        <f t="shared" si="6"/>
        <v>0</v>
      </c>
    </row>
    <row r="411" spans="1:6" x14ac:dyDescent="0.25">
      <c r="A411" s="1">
        <v>42793</v>
      </c>
      <c r="B411" s="2" t="s">
        <v>63</v>
      </c>
      <c r="C411" s="2" t="s">
        <v>231</v>
      </c>
      <c r="D411">
        <v>17</v>
      </c>
      <c r="E411">
        <f>WEEKDAY(makulatura5[[#This Row],[Data_dostarczenia]],2)</f>
        <v>1</v>
      </c>
      <c r="F411" s="2">
        <f t="shared" si="6"/>
        <v>0</v>
      </c>
    </row>
    <row r="412" spans="1:6" x14ac:dyDescent="0.25">
      <c r="A412" s="1">
        <v>42793</v>
      </c>
      <c r="B412" s="2" t="s">
        <v>420</v>
      </c>
      <c r="C412" s="2" t="s">
        <v>421</v>
      </c>
      <c r="D412">
        <v>45</v>
      </c>
      <c r="E412">
        <f>WEEKDAY(makulatura5[[#This Row],[Data_dostarczenia]],2)</f>
        <v>1</v>
      </c>
      <c r="F412" s="2">
        <f t="shared" si="6"/>
        <v>0</v>
      </c>
    </row>
    <row r="413" spans="1:6" x14ac:dyDescent="0.25">
      <c r="A413" s="1">
        <v>42793</v>
      </c>
      <c r="B413" s="2" t="s">
        <v>150</v>
      </c>
      <c r="C413" s="2" t="s">
        <v>211</v>
      </c>
      <c r="D413">
        <v>10</v>
      </c>
      <c r="E413">
        <f>WEEKDAY(makulatura5[[#This Row],[Data_dostarczenia]],2)</f>
        <v>1</v>
      </c>
      <c r="F413" s="2">
        <f t="shared" si="6"/>
        <v>0</v>
      </c>
    </row>
    <row r="414" spans="1:6" x14ac:dyDescent="0.25">
      <c r="A414" s="1">
        <v>42793</v>
      </c>
      <c r="B414" s="2" t="s">
        <v>14</v>
      </c>
      <c r="C414" s="2" t="s">
        <v>422</v>
      </c>
      <c r="D414">
        <v>24</v>
      </c>
      <c r="E414">
        <f>WEEKDAY(makulatura5[[#This Row],[Data_dostarczenia]],2)</f>
        <v>1</v>
      </c>
      <c r="F414" s="2">
        <f t="shared" si="6"/>
        <v>0</v>
      </c>
    </row>
    <row r="415" spans="1:6" x14ac:dyDescent="0.25">
      <c r="A415" s="1">
        <v>42793</v>
      </c>
      <c r="B415" s="2" t="s">
        <v>34</v>
      </c>
      <c r="C415" s="2" t="s">
        <v>338</v>
      </c>
      <c r="D415">
        <v>7</v>
      </c>
      <c r="E415">
        <f>WEEKDAY(makulatura5[[#This Row],[Data_dostarczenia]],2)</f>
        <v>1</v>
      </c>
      <c r="F415" s="2">
        <f t="shared" si="6"/>
        <v>0</v>
      </c>
    </row>
    <row r="416" spans="1:6" x14ac:dyDescent="0.25">
      <c r="A416" s="1">
        <v>42793</v>
      </c>
      <c r="B416" s="2" t="s">
        <v>10</v>
      </c>
      <c r="C416" s="2" t="s">
        <v>423</v>
      </c>
      <c r="D416">
        <v>30</v>
      </c>
      <c r="E416">
        <f>WEEKDAY(makulatura5[[#This Row],[Data_dostarczenia]],2)</f>
        <v>1</v>
      </c>
      <c r="F416" s="2">
        <f t="shared" si="6"/>
        <v>0</v>
      </c>
    </row>
    <row r="417" spans="1:6" x14ac:dyDescent="0.25">
      <c r="A417" s="1">
        <v>42793</v>
      </c>
      <c r="B417" s="2" t="s">
        <v>87</v>
      </c>
      <c r="C417" s="2" t="s">
        <v>424</v>
      </c>
      <c r="D417">
        <v>41</v>
      </c>
      <c r="E417">
        <f>WEEKDAY(makulatura5[[#This Row],[Data_dostarczenia]],2)</f>
        <v>1</v>
      </c>
      <c r="F417" s="2">
        <f t="shared" si="6"/>
        <v>0</v>
      </c>
    </row>
    <row r="418" spans="1:6" x14ac:dyDescent="0.25">
      <c r="A418" s="1">
        <v>42793</v>
      </c>
      <c r="B418" s="2" t="s">
        <v>45</v>
      </c>
      <c r="C418" s="2" t="s">
        <v>388</v>
      </c>
      <c r="D418">
        <v>22</v>
      </c>
      <c r="E418">
        <f>WEEKDAY(makulatura5[[#This Row],[Data_dostarczenia]],2)</f>
        <v>1</v>
      </c>
      <c r="F418" s="2">
        <f t="shared" si="6"/>
        <v>0</v>
      </c>
    </row>
    <row r="419" spans="1:6" x14ac:dyDescent="0.25">
      <c r="A419" s="1">
        <v>42793</v>
      </c>
      <c r="B419" s="2" t="s">
        <v>352</v>
      </c>
      <c r="C419" s="2" t="s">
        <v>425</v>
      </c>
      <c r="D419">
        <v>18</v>
      </c>
      <c r="E419">
        <f>WEEKDAY(makulatura5[[#This Row],[Data_dostarczenia]],2)</f>
        <v>1</v>
      </c>
      <c r="F419" s="2">
        <f t="shared" si="6"/>
        <v>1</v>
      </c>
    </row>
    <row r="420" spans="1:6" x14ac:dyDescent="0.25">
      <c r="A420" s="1">
        <v>42794</v>
      </c>
      <c r="B420" s="2" t="s">
        <v>83</v>
      </c>
      <c r="C420" s="2" t="s">
        <v>84</v>
      </c>
      <c r="D420">
        <v>9</v>
      </c>
      <c r="E420">
        <f>WEEKDAY(makulatura5[[#This Row],[Data_dostarczenia]],2)</f>
        <v>2</v>
      </c>
      <c r="F420" s="2">
        <f t="shared" si="6"/>
        <v>0</v>
      </c>
    </row>
    <row r="421" spans="1:6" x14ac:dyDescent="0.25">
      <c r="A421" s="1">
        <v>42794</v>
      </c>
      <c r="B421" s="2" t="s">
        <v>53</v>
      </c>
      <c r="C421" s="2" t="s">
        <v>54</v>
      </c>
      <c r="D421">
        <v>19</v>
      </c>
      <c r="E421">
        <f>WEEKDAY(makulatura5[[#This Row],[Data_dostarczenia]],2)</f>
        <v>2</v>
      </c>
      <c r="F421" s="2">
        <f t="shared" si="6"/>
        <v>0</v>
      </c>
    </row>
    <row r="422" spans="1:6" x14ac:dyDescent="0.25">
      <c r="A422" s="1">
        <v>42794</v>
      </c>
      <c r="B422" s="2" t="s">
        <v>30</v>
      </c>
      <c r="C422" s="2" t="s">
        <v>31</v>
      </c>
      <c r="D422">
        <v>16</v>
      </c>
      <c r="E422">
        <f>WEEKDAY(makulatura5[[#This Row],[Data_dostarczenia]],2)</f>
        <v>2</v>
      </c>
      <c r="F422" s="2">
        <f t="shared" si="6"/>
        <v>0</v>
      </c>
    </row>
    <row r="423" spans="1:6" x14ac:dyDescent="0.25">
      <c r="A423" s="1">
        <v>42794</v>
      </c>
      <c r="B423" s="2" t="s">
        <v>95</v>
      </c>
      <c r="C423" s="2" t="s">
        <v>426</v>
      </c>
      <c r="D423">
        <v>27</v>
      </c>
      <c r="E423">
        <f>WEEKDAY(makulatura5[[#This Row],[Data_dostarczenia]],2)</f>
        <v>2</v>
      </c>
      <c r="F423" s="2">
        <f t="shared" si="6"/>
        <v>0</v>
      </c>
    </row>
    <row r="424" spans="1:6" x14ac:dyDescent="0.25">
      <c r="A424" s="1">
        <v>42794</v>
      </c>
      <c r="B424" s="2" t="s">
        <v>427</v>
      </c>
      <c r="C424" s="2" t="s">
        <v>428</v>
      </c>
      <c r="D424">
        <v>13</v>
      </c>
      <c r="E424">
        <f>WEEKDAY(makulatura5[[#This Row],[Data_dostarczenia]],2)</f>
        <v>2</v>
      </c>
      <c r="F424" s="2">
        <f t="shared" si="6"/>
        <v>0</v>
      </c>
    </row>
    <row r="425" spans="1:6" x14ac:dyDescent="0.25">
      <c r="A425" s="1">
        <v>42794</v>
      </c>
      <c r="B425" s="2" t="s">
        <v>252</v>
      </c>
      <c r="C425" s="2" t="s">
        <v>253</v>
      </c>
      <c r="D425">
        <v>44</v>
      </c>
      <c r="E425">
        <f>WEEKDAY(makulatura5[[#This Row],[Data_dostarczenia]],2)</f>
        <v>2</v>
      </c>
      <c r="F425" s="2">
        <f t="shared" si="6"/>
        <v>0</v>
      </c>
    </row>
    <row r="426" spans="1:6" x14ac:dyDescent="0.25">
      <c r="A426" s="1">
        <v>42794</v>
      </c>
      <c r="B426" s="2" t="s">
        <v>147</v>
      </c>
      <c r="C426" s="2" t="s">
        <v>148</v>
      </c>
      <c r="D426">
        <v>16</v>
      </c>
      <c r="E426">
        <f>WEEKDAY(makulatura5[[#This Row],[Data_dostarczenia]],2)</f>
        <v>2</v>
      </c>
      <c r="F426" s="2">
        <f t="shared" si="6"/>
        <v>0</v>
      </c>
    </row>
    <row r="427" spans="1:6" x14ac:dyDescent="0.25">
      <c r="A427" s="1">
        <v>42794</v>
      </c>
      <c r="B427" s="2" t="s">
        <v>244</v>
      </c>
      <c r="C427" s="2" t="s">
        <v>245</v>
      </c>
      <c r="D427">
        <v>13</v>
      </c>
      <c r="E427">
        <f>WEEKDAY(makulatura5[[#This Row],[Data_dostarczenia]],2)</f>
        <v>2</v>
      </c>
      <c r="F427" s="2">
        <f t="shared" si="6"/>
        <v>0</v>
      </c>
    </row>
    <row r="428" spans="1:6" x14ac:dyDescent="0.25">
      <c r="A428" s="1">
        <v>42794</v>
      </c>
      <c r="B428" s="2" t="s">
        <v>57</v>
      </c>
      <c r="C428" s="2" t="s">
        <v>429</v>
      </c>
      <c r="D428">
        <v>42</v>
      </c>
      <c r="E428">
        <f>WEEKDAY(makulatura5[[#This Row],[Data_dostarczenia]],2)</f>
        <v>2</v>
      </c>
      <c r="F428" s="2">
        <f t="shared" si="6"/>
        <v>0</v>
      </c>
    </row>
    <row r="429" spans="1:6" x14ac:dyDescent="0.25">
      <c r="A429" s="1">
        <v>42794</v>
      </c>
      <c r="B429" s="2" t="s">
        <v>217</v>
      </c>
      <c r="C429" s="2" t="s">
        <v>218</v>
      </c>
      <c r="D429">
        <v>28</v>
      </c>
      <c r="E429">
        <f>WEEKDAY(makulatura5[[#This Row],[Data_dostarczenia]],2)</f>
        <v>2</v>
      </c>
      <c r="F429" s="2">
        <f t="shared" si="6"/>
        <v>0</v>
      </c>
    </row>
    <row r="430" spans="1:6" x14ac:dyDescent="0.25">
      <c r="A430" s="1">
        <v>42794</v>
      </c>
      <c r="B430" s="2" t="s">
        <v>14</v>
      </c>
      <c r="C430" s="2" t="s">
        <v>430</v>
      </c>
      <c r="D430">
        <v>54</v>
      </c>
      <c r="E430">
        <f>WEEKDAY(makulatura5[[#This Row],[Data_dostarczenia]],2)</f>
        <v>2</v>
      </c>
      <c r="F430" s="2">
        <f t="shared" si="6"/>
        <v>1</v>
      </c>
    </row>
    <row r="431" spans="1:6" x14ac:dyDescent="0.25">
      <c r="A431" s="1">
        <v>42795</v>
      </c>
      <c r="B431" s="2" t="s">
        <v>359</v>
      </c>
      <c r="C431" s="2" t="s">
        <v>431</v>
      </c>
      <c r="D431">
        <v>40</v>
      </c>
      <c r="E431">
        <f>WEEKDAY(makulatura5[[#This Row],[Data_dostarczenia]],2)</f>
        <v>3</v>
      </c>
      <c r="F431" s="2">
        <f t="shared" si="6"/>
        <v>0</v>
      </c>
    </row>
    <row r="432" spans="1:6" x14ac:dyDescent="0.25">
      <c r="A432" s="1">
        <v>42795</v>
      </c>
      <c r="B432" s="2" t="s">
        <v>30</v>
      </c>
      <c r="C432" s="2" t="s">
        <v>432</v>
      </c>
      <c r="D432">
        <v>19</v>
      </c>
      <c r="E432">
        <f>WEEKDAY(makulatura5[[#This Row],[Data_dostarczenia]],2)</f>
        <v>3</v>
      </c>
      <c r="F432" s="2">
        <f t="shared" si="6"/>
        <v>0</v>
      </c>
    </row>
    <row r="433" spans="1:6" x14ac:dyDescent="0.25">
      <c r="A433" s="1">
        <v>42795</v>
      </c>
      <c r="B433" s="2" t="s">
        <v>147</v>
      </c>
      <c r="C433" s="2" t="s">
        <v>148</v>
      </c>
      <c r="D433">
        <v>18</v>
      </c>
      <c r="E433">
        <f>WEEKDAY(makulatura5[[#This Row],[Data_dostarczenia]],2)</f>
        <v>3</v>
      </c>
      <c r="F433" s="2">
        <f t="shared" si="6"/>
        <v>0</v>
      </c>
    </row>
    <row r="434" spans="1:6" x14ac:dyDescent="0.25">
      <c r="A434" s="1">
        <v>42795</v>
      </c>
      <c r="B434" s="2" t="s">
        <v>393</v>
      </c>
      <c r="C434" s="2" t="s">
        <v>394</v>
      </c>
      <c r="D434">
        <v>24</v>
      </c>
      <c r="E434">
        <f>WEEKDAY(makulatura5[[#This Row],[Data_dostarczenia]],2)</f>
        <v>3</v>
      </c>
      <c r="F434" s="2">
        <f t="shared" si="6"/>
        <v>0</v>
      </c>
    </row>
    <row r="435" spans="1:6" x14ac:dyDescent="0.25">
      <c r="A435" s="1">
        <v>42795</v>
      </c>
      <c r="B435" s="2" t="s">
        <v>81</v>
      </c>
      <c r="C435" s="2" t="s">
        <v>145</v>
      </c>
      <c r="D435">
        <v>25</v>
      </c>
      <c r="E435">
        <f>WEEKDAY(makulatura5[[#This Row],[Data_dostarczenia]],2)</f>
        <v>3</v>
      </c>
      <c r="F435" s="2">
        <f t="shared" si="6"/>
        <v>0</v>
      </c>
    </row>
    <row r="436" spans="1:6" x14ac:dyDescent="0.25">
      <c r="A436" s="1">
        <v>42795</v>
      </c>
      <c r="B436" s="2" t="s">
        <v>201</v>
      </c>
      <c r="C436" s="2" t="s">
        <v>433</v>
      </c>
      <c r="D436">
        <v>7</v>
      </c>
      <c r="E436">
        <f>WEEKDAY(makulatura5[[#This Row],[Data_dostarczenia]],2)</f>
        <v>3</v>
      </c>
      <c r="F436" s="2">
        <f t="shared" si="6"/>
        <v>0</v>
      </c>
    </row>
    <row r="437" spans="1:6" x14ac:dyDescent="0.25">
      <c r="A437" s="1">
        <v>42795</v>
      </c>
      <c r="B437" s="2" t="s">
        <v>34</v>
      </c>
      <c r="C437" s="2" t="s">
        <v>160</v>
      </c>
      <c r="D437">
        <v>52</v>
      </c>
      <c r="E437">
        <f>WEEKDAY(makulatura5[[#This Row],[Data_dostarczenia]],2)</f>
        <v>3</v>
      </c>
      <c r="F437" s="2">
        <f t="shared" si="6"/>
        <v>0</v>
      </c>
    </row>
    <row r="438" spans="1:6" x14ac:dyDescent="0.25">
      <c r="A438" s="1">
        <v>42795</v>
      </c>
      <c r="B438" s="2" t="s">
        <v>30</v>
      </c>
      <c r="C438" s="2" t="s">
        <v>241</v>
      </c>
      <c r="D438">
        <v>23</v>
      </c>
      <c r="E438">
        <f>WEEKDAY(makulatura5[[#This Row],[Data_dostarczenia]],2)</f>
        <v>3</v>
      </c>
      <c r="F438" s="2">
        <f t="shared" si="6"/>
        <v>0</v>
      </c>
    </row>
    <row r="439" spans="1:6" x14ac:dyDescent="0.25">
      <c r="A439" s="1">
        <v>42795</v>
      </c>
      <c r="B439" s="2" t="s">
        <v>217</v>
      </c>
      <c r="C439" s="2" t="s">
        <v>218</v>
      </c>
      <c r="D439">
        <v>45</v>
      </c>
      <c r="E439">
        <f>WEEKDAY(makulatura5[[#This Row],[Data_dostarczenia]],2)</f>
        <v>3</v>
      </c>
      <c r="F439" s="2">
        <f t="shared" si="6"/>
        <v>0</v>
      </c>
    </row>
    <row r="440" spans="1:6" x14ac:dyDescent="0.25">
      <c r="A440" s="1">
        <v>42795</v>
      </c>
      <c r="B440" s="2" t="s">
        <v>14</v>
      </c>
      <c r="C440" s="2" t="s">
        <v>422</v>
      </c>
      <c r="D440">
        <v>12</v>
      </c>
      <c r="E440">
        <f>WEEKDAY(makulatura5[[#This Row],[Data_dostarczenia]],2)</f>
        <v>3</v>
      </c>
      <c r="F440" s="2">
        <f t="shared" si="6"/>
        <v>0</v>
      </c>
    </row>
    <row r="441" spans="1:6" x14ac:dyDescent="0.25">
      <c r="A441" s="1">
        <v>42795</v>
      </c>
      <c r="B441" s="2" t="s">
        <v>39</v>
      </c>
      <c r="C441" s="2" t="s">
        <v>434</v>
      </c>
      <c r="D441">
        <v>25</v>
      </c>
      <c r="E441">
        <f>WEEKDAY(makulatura5[[#This Row],[Data_dostarczenia]],2)</f>
        <v>3</v>
      </c>
      <c r="F441" s="2">
        <f t="shared" si="6"/>
        <v>1</v>
      </c>
    </row>
    <row r="442" spans="1:6" x14ac:dyDescent="0.25">
      <c r="A442" s="1">
        <v>42796</v>
      </c>
      <c r="B442" s="2" t="s">
        <v>141</v>
      </c>
      <c r="C442" s="2" t="s">
        <v>435</v>
      </c>
      <c r="D442">
        <v>4</v>
      </c>
      <c r="E442">
        <f>WEEKDAY(makulatura5[[#This Row],[Data_dostarczenia]],2)</f>
        <v>4</v>
      </c>
      <c r="F442" s="2">
        <f t="shared" si="6"/>
        <v>0</v>
      </c>
    </row>
    <row r="443" spans="1:6" x14ac:dyDescent="0.25">
      <c r="A443" s="1">
        <v>42796</v>
      </c>
      <c r="B443" s="2" t="s">
        <v>39</v>
      </c>
      <c r="C443" s="2" t="s">
        <v>436</v>
      </c>
      <c r="D443">
        <v>10</v>
      </c>
      <c r="E443">
        <f>WEEKDAY(makulatura5[[#This Row],[Data_dostarczenia]],2)</f>
        <v>4</v>
      </c>
      <c r="F443" s="2">
        <f t="shared" si="6"/>
        <v>0</v>
      </c>
    </row>
    <row r="444" spans="1:6" x14ac:dyDescent="0.25">
      <c r="A444" s="1">
        <v>42796</v>
      </c>
      <c r="B444" s="2" t="s">
        <v>77</v>
      </c>
      <c r="C444" s="2" t="s">
        <v>384</v>
      </c>
      <c r="D444">
        <v>23</v>
      </c>
      <c r="E444">
        <f>WEEKDAY(makulatura5[[#This Row],[Data_dostarczenia]],2)</f>
        <v>4</v>
      </c>
      <c r="F444" s="2">
        <f t="shared" si="6"/>
        <v>0</v>
      </c>
    </row>
    <row r="445" spans="1:6" x14ac:dyDescent="0.25">
      <c r="A445" s="1">
        <v>42796</v>
      </c>
      <c r="B445" s="2" t="s">
        <v>437</v>
      </c>
      <c r="C445" s="2" t="s">
        <v>199</v>
      </c>
      <c r="D445">
        <v>56</v>
      </c>
      <c r="E445">
        <f>WEEKDAY(makulatura5[[#This Row],[Data_dostarczenia]],2)</f>
        <v>4</v>
      </c>
      <c r="F445" s="2">
        <f t="shared" si="6"/>
        <v>0</v>
      </c>
    </row>
    <row r="446" spans="1:6" x14ac:dyDescent="0.25">
      <c r="A446" s="1">
        <v>42796</v>
      </c>
      <c r="B446" s="2" t="s">
        <v>18</v>
      </c>
      <c r="C446" s="2" t="s">
        <v>74</v>
      </c>
      <c r="D446">
        <v>38</v>
      </c>
      <c r="E446">
        <f>WEEKDAY(makulatura5[[#This Row],[Data_dostarczenia]],2)</f>
        <v>4</v>
      </c>
      <c r="F446" s="2">
        <f t="shared" si="6"/>
        <v>0</v>
      </c>
    </row>
    <row r="447" spans="1:6" x14ac:dyDescent="0.25">
      <c r="A447" s="1">
        <v>42796</v>
      </c>
      <c r="B447" s="2" t="s">
        <v>438</v>
      </c>
      <c r="C447" s="2" t="s">
        <v>439</v>
      </c>
      <c r="D447">
        <v>27</v>
      </c>
      <c r="E447">
        <f>WEEKDAY(makulatura5[[#This Row],[Data_dostarczenia]],2)</f>
        <v>4</v>
      </c>
      <c r="F447" s="2">
        <f t="shared" si="6"/>
        <v>0</v>
      </c>
    </row>
    <row r="448" spans="1:6" x14ac:dyDescent="0.25">
      <c r="A448" s="1">
        <v>42796</v>
      </c>
      <c r="B448" s="2" t="s">
        <v>206</v>
      </c>
      <c r="C448" s="2" t="s">
        <v>332</v>
      </c>
      <c r="D448">
        <v>28</v>
      </c>
      <c r="E448">
        <f>WEEKDAY(makulatura5[[#This Row],[Data_dostarczenia]],2)</f>
        <v>4</v>
      </c>
      <c r="F448" s="2">
        <f t="shared" si="6"/>
        <v>0</v>
      </c>
    </row>
    <row r="449" spans="1:6" x14ac:dyDescent="0.25">
      <c r="A449" s="1">
        <v>42796</v>
      </c>
      <c r="B449" s="2" t="s">
        <v>36</v>
      </c>
      <c r="C449" s="2" t="s">
        <v>306</v>
      </c>
      <c r="D449">
        <v>8</v>
      </c>
      <c r="E449">
        <f>WEEKDAY(makulatura5[[#This Row],[Data_dostarczenia]],2)</f>
        <v>4</v>
      </c>
      <c r="F449" s="2">
        <f t="shared" si="6"/>
        <v>0</v>
      </c>
    </row>
    <row r="450" spans="1:6" x14ac:dyDescent="0.25">
      <c r="A450" s="1">
        <v>42796</v>
      </c>
      <c r="B450" s="2" t="s">
        <v>101</v>
      </c>
      <c r="C450" s="2" t="s">
        <v>42</v>
      </c>
      <c r="D450">
        <v>39</v>
      </c>
      <c r="E450">
        <f>WEEKDAY(makulatura5[[#This Row],[Data_dostarczenia]],2)</f>
        <v>4</v>
      </c>
      <c r="F450" s="2">
        <f t="shared" ref="F450:F513" si="7">IF(A451=A450,0,1)</f>
        <v>0</v>
      </c>
    </row>
    <row r="451" spans="1:6" x14ac:dyDescent="0.25">
      <c r="A451" s="1">
        <v>42796</v>
      </c>
      <c r="B451" s="2" t="s">
        <v>16</v>
      </c>
      <c r="C451" s="2" t="s">
        <v>440</v>
      </c>
      <c r="D451">
        <v>4</v>
      </c>
      <c r="E451">
        <f>WEEKDAY(makulatura5[[#This Row],[Data_dostarczenia]],2)</f>
        <v>4</v>
      </c>
      <c r="F451" s="2">
        <f t="shared" si="7"/>
        <v>0</v>
      </c>
    </row>
    <row r="452" spans="1:6" x14ac:dyDescent="0.25">
      <c r="A452" s="1">
        <v>42796</v>
      </c>
      <c r="B452" s="2" t="s">
        <v>112</v>
      </c>
      <c r="C452" s="2" t="s">
        <v>113</v>
      </c>
      <c r="D452">
        <v>56</v>
      </c>
      <c r="E452">
        <f>WEEKDAY(makulatura5[[#This Row],[Data_dostarczenia]],2)</f>
        <v>4</v>
      </c>
      <c r="F452" s="2">
        <f t="shared" si="7"/>
        <v>1</v>
      </c>
    </row>
    <row r="453" spans="1:6" x14ac:dyDescent="0.25">
      <c r="A453" s="1">
        <v>42797</v>
      </c>
      <c r="B453" s="2" t="s">
        <v>101</v>
      </c>
      <c r="C453" s="2" t="s">
        <v>188</v>
      </c>
      <c r="D453">
        <v>33</v>
      </c>
      <c r="E453">
        <f>WEEKDAY(makulatura5[[#This Row],[Data_dostarczenia]],2)</f>
        <v>5</v>
      </c>
      <c r="F453" s="2">
        <f t="shared" si="7"/>
        <v>0</v>
      </c>
    </row>
    <row r="454" spans="1:6" x14ac:dyDescent="0.25">
      <c r="A454" s="1">
        <v>42797</v>
      </c>
      <c r="B454" s="2" t="s">
        <v>63</v>
      </c>
      <c r="C454" s="2" t="s">
        <v>441</v>
      </c>
      <c r="D454">
        <v>53</v>
      </c>
      <c r="E454">
        <f>WEEKDAY(makulatura5[[#This Row],[Data_dostarczenia]],2)</f>
        <v>5</v>
      </c>
      <c r="F454" s="2">
        <f t="shared" si="7"/>
        <v>0</v>
      </c>
    </row>
    <row r="455" spans="1:6" x14ac:dyDescent="0.25">
      <c r="A455" s="1">
        <v>42797</v>
      </c>
      <c r="B455" s="2" t="s">
        <v>442</v>
      </c>
      <c r="C455" s="2" t="s">
        <v>443</v>
      </c>
      <c r="D455">
        <v>26</v>
      </c>
      <c r="E455">
        <f>WEEKDAY(makulatura5[[#This Row],[Data_dostarczenia]],2)</f>
        <v>5</v>
      </c>
      <c r="F455" s="2">
        <f t="shared" si="7"/>
        <v>0</v>
      </c>
    </row>
    <row r="456" spans="1:6" x14ac:dyDescent="0.25">
      <c r="A456" s="1">
        <v>42797</v>
      </c>
      <c r="B456" s="2" t="s">
        <v>55</v>
      </c>
      <c r="C456" s="2" t="s">
        <v>444</v>
      </c>
      <c r="D456">
        <v>27</v>
      </c>
      <c r="E456">
        <f>WEEKDAY(makulatura5[[#This Row],[Data_dostarczenia]],2)</f>
        <v>5</v>
      </c>
      <c r="F456" s="2">
        <f t="shared" si="7"/>
        <v>0</v>
      </c>
    </row>
    <row r="457" spans="1:6" x14ac:dyDescent="0.25">
      <c r="A457" s="1">
        <v>42797</v>
      </c>
      <c r="B457" s="2" t="s">
        <v>34</v>
      </c>
      <c r="C457" s="2" t="s">
        <v>445</v>
      </c>
      <c r="D457">
        <v>49</v>
      </c>
      <c r="E457">
        <f>WEEKDAY(makulatura5[[#This Row],[Data_dostarczenia]],2)</f>
        <v>5</v>
      </c>
      <c r="F457" s="2">
        <f t="shared" si="7"/>
        <v>0</v>
      </c>
    </row>
    <row r="458" spans="1:6" x14ac:dyDescent="0.25">
      <c r="A458" s="1">
        <v>42797</v>
      </c>
      <c r="B458" s="2" t="s">
        <v>32</v>
      </c>
      <c r="C458" s="2" t="s">
        <v>446</v>
      </c>
      <c r="D458">
        <v>20</v>
      </c>
      <c r="E458">
        <f>WEEKDAY(makulatura5[[#This Row],[Data_dostarczenia]],2)</f>
        <v>5</v>
      </c>
      <c r="F458" s="2">
        <f t="shared" si="7"/>
        <v>0</v>
      </c>
    </row>
    <row r="459" spans="1:6" x14ac:dyDescent="0.25">
      <c r="A459" s="1">
        <v>42797</v>
      </c>
      <c r="B459" s="2" t="s">
        <v>352</v>
      </c>
      <c r="C459" s="2" t="s">
        <v>425</v>
      </c>
      <c r="D459">
        <v>7</v>
      </c>
      <c r="E459">
        <f>WEEKDAY(makulatura5[[#This Row],[Data_dostarczenia]],2)</f>
        <v>5</v>
      </c>
      <c r="F459" s="2">
        <f t="shared" si="7"/>
        <v>0</v>
      </c>
    </row>
    <row r="460" spans="1:6" x14ac:dyDescent="0.25">
      <c r="A460" s="1">
        <v>42797</v>
      </c>
      <c r="B460" s="2" t="s">
        <v>141</v>
      </c>
      <c r="C460" s="2" t="s">
        <v>447</v>
      </c>
      <c r="D460">
        <v>3</v>
      </c>
      <c r="E460">
        <f>WEEKDAY(makulatura5[[#This Row],[Data_dostarczenia]],2)</f>
        <v>5</v>
      </c>
      <c r="F460" s="2">
        <f t="shared" si="7"/>
        <v>0</v>
      </c>
    </row>
    <row r="461" spans="1:6" x14ac:dyDescent="0.25">
      <c r="A461" s="1">
        <v>42797</v>
      </c>
      <c r="B461" s="2" t="s">
        <v>141</v>
      </c>
      <c r="C461" s="2" t="s">
        <v>448</v>
      </c>
      <c r="D461">
        <v>47</v>
      </c>
      <c r="E461">
        <f>WEEKDAY(makulatura5[[#This Row],[Data_dostarczenia]],2)</f>
        <v>5</v>
      </c>
      <c r="F461" s="2">
        <f t="shared" si="7"/>
        <v>0</v>
      </c>
    </row>
    <row r="462" spans="1:6" x14ac:dyDescent="0.25">
      <c r="A462" s="1">
        <v>42797</v>
      </c>
      <c r="B462" s="2" t="s">
        <v>150</v>
      </c>
      <c r="C462" s="2" t="s">
        <v>140</v>
      </c>
      <c r="D462">
        <v>48</v>
      </c>
      <c r="E462">
        <f>WEEKDAY(makulatura5[[#This Row],[Data_dostarczenia]],2)</f>
        <v>5</v>
      </c>
      <c r="F462" s="2">
        <f t="shared" si="7"/>
        <v>0</v>
      </c>
    </row>
    <row r="463" spans="1:6" x14ac:dyDescent="0.25">
      <c r="A463" s="1">
        <v>42797</v>
      </c>
      <c r="B463" s="2" t="s">
        <v>449</v>
      </c>
      <c r="C463" s="2" t="s">
        <v>382</v>
      </c>
      <c r="D463">
        <v>24</v>
      </c>
      <c r="E463">
        <f>WEEKDAY(makulatura5[[#This Row],[Data_dostarczenia]],2)</f>
        <v>5</v>
      </c>
      <c r="F463" s="2">
        <f t="shared" si="7"/>
        <v>1</v>
      </c>
    </row>
    <row r="464" spans="1:6" x14ac:dyDescent="0.25">
      <c r="A464" s="1">
        <v>42800</v>
      </c>
      <c r="B464" s="2" t="s">
        <v>47</v>
      </c>
      <c r="C464" s="2" t="s">
        <v>91</v>
      </c>
      <c r="D464">
        <v>33</v>
      </c>
      <c r="E464">
        <f>WEEKDAY(makulatura5[[#This Row],[Data_dostarczenia]],2)</f>
        <v>1</v>
      </c>
      <c r="F464" s="2">
        <f t="shared" si="7"/>
        <v>0</v>
      </c>
    </row>
    <row r="465" spans="1:6" x14ac:dyDescent="0.25">
      <c r="A465" s="1">
        <v>42800</v>
      </c>
      <c r="B465" s="2" t="s">
        <v>55</v>
      </c>
      <c r="C465" s="2" t="s">
        <v>444</v>
      </c>
      <c r="D465">
        <v>20</v>
      </c>
      <c r="E465">
        <f>WEEKDAY(makulatura5[[#This Row],[Data_dostarczenia]],2)</f>
        <v>1</v>
      </c>
      <c r="F465" s="2">
        <f t="shared" si="7"/>
        <v>0</v>
      </c>
    </row>
    <row r="466" spans="1:6" x14ac:dyDescent="0.25">
      <c r="A466" s="1">
        <v>42800</v>
      </c>
      <c r="B466" s="2" t="s">
        <v>32</v>
      </c>
      <c r="C466" s="2" t="s">
        <v>33</v>
      </c>
      <c r="D466">
        <v>35</v>
      </c>
      <c r="E466">
        <f>WEEKDAY(makulatura5[[#This Row],[Data_dostarczenia]],2)</f>
        <v>1</v>
      </c>
      <c r="F466" s="2">
        <f t="shared" si="7"/>
        <v>0</v>
      </c>
    </row>
    <row r="467" spans="1:6" x14ac:dyDescent="0.25">
      <c r="A467" s="1">
        <v>42800</v>
      </c>
      <c r="B467" s="2" t="s">
        <v>314</v>
      </c>
      <c r="C467" s="2" t="s">
        <v>450</v>
      </c>
      <c r="D467">
        <v>10</v>
      </c>
      <c r="E467">
        <f>WEEKDAY(makulatura5[[#This Row],[Data_dostarczenia]],2)</f>
        <v>1</v>
      </c>
      <c r="F467" s="2">
        <f t="shared" si="7"/>
        <v>0</v>
      </c>
    </row>
    <row r="468" spans="1:6" x14ac:dyDescent="0.25">
      <c r="A468" s="1">
        <v>42800</v>
      </c>
      <c r="B468" s="2" t="s">
        <v>20</v>
      </c>
      <c r="C468" s="2" t="s">
        <v>123</v>
      </c>
      <c r="D468">
        <v>43</v>
      </c>
      <c r="E468">
        <f>WEEKDAY(makulatura5[[#This Row],[Data_dostarczenia]],2)</f>
        <v>1</v>
      </c>
      <c r="F468" s="2">
        <f t="shared" si="7"/>
        <v>0</v>
      </c>
    </row>
    <row r="469" spans="1:6" x14ac:dyDescent="0.25">
      <c r="A469" s="1">
        <v>42800</v>
      </c>
      <c r="B469" s="2" t="s">
        <v>280</v>
      </c>
      <c r="C469" s="2" t="s">
        <v>451</v>
      </c>
      <c r="D469">
        <v>15</v>
      </c>
      <c r="E469">
        <f>WEEKDAY(makulatura5[[#This Row],[Data_dostarczenia]],2)</f>
        <v>1</v>
      </c>
      <c r="F469" s="2">
        <f t="shared" si="7"/>
        <v>0</v>
      </c>
    </row>
    <row r="470" spans="1:6" x14ac:dyDescent="0.25">
      <c r="A470" s="1">
        <v>42800</v>
      </c>
      <c r="B470" s="2" t="s">
        <v>352</v>
      </c>
      <c r="C470" s="2" t="s">
        <v>363</v>
      </c>
      <c r="D470">
        <v>8</v>
      </c>
      <c r="E470">
        <f>WEEKDAY(makulatura5[[#This Row],[Data_dostarczenia]],2)</f>
        <v>1</v>
      </c>
      <c r="F470" s="2">
        <f t="shared" si="7"/>
        <v>0</v>
      </c>
    </row>
    <row r="471" spans="1:6" x14ac:dyDescent="0.25">
      <c r="A471" s="1">
        <v>42800</v>
      </c>
      <c r="B471" s="2" t="s">
        <v>81</v>
      </c>
      <c r="C471" s="2" t="s">
        <v>104</v>
      </c>
      <c r="D471">
        <v>20</v>
      </c>
      <c r="E471">
        <f>WEEKDAY(makulatura5[[#This Row],[Data_dostarczenia]],2)</f>
        <v>1</v>
      </c>
      <c r="F471" s="2">
        <f t="shared" si="7"/>
        <v>0</v>
      </c>
    </row>
    <row r="472" spans="1:6" x14ac:dyDescent="0.25">
      <c r="A472" s="1">
        <v>42800</v>
      </c>
      <c r="B472" s="2" t="s">
        <v>65</v>
      </c>
      <c r="C472" s="2" t="s">
        <v>116</v>
      </c>
      <c r="D472">
        <v>35</v>
      </c>
      <c r="E472">
        <f>WEEKDAY(makulatura5[[#This Row],[Data_dostarczenia]],2)</f>
        <v>1</v>
      </c>
      <c r="F472" s="2">
        <f t="shared" si="7"/>
        <v>0</v>
      </c>
    </row>
    <row r="473" spans="1:6" x14ac:dyDescent="0.25">
      <c r="A473" s="1">
        <v>42800</v>
      </c>
      <c r="B473" s="2" t="s">
        <v>267</v>
      </c>
      <c r="C473" s="2" t="s">
        <v>287</v>
      </c>
      <c r="D473">
        <v>26</v>
      </c>
      <c r="E473">
        <f>WEEKDAY(makulatura5[[#This Row],[Data_dostarczenia]],2)</f>
        <v>1</v>
      </c>
      <c r="F473" s="2">
        <f t="shared" si="7"/>
        <v>0</v>
      </c>
    </row>
    <row r="474" spans="1:6" x14ac:dyDescent="0.25">
      <c r="A474" s="1">
        <v>42800</v>
      </c>
      <c r="B474" s="2" t="s">
        <v>72</v>
      </c>
      <c r="C474" s="2" t="s">
        <v>239</v>
      </c>
      <c r="D474">
        <v>39</v>
      </c>
      <c r="E474">
        <f>WEEKDAY(makulatura5[[#This Row],[Data_dostarczenia]],2)</f>
        <v>1</v>
      </c>
      <c r="F474" s="2">
        <f t="shared" si="7"/>
        <v>1</v>
      </c>
    </row>
    <row r="475" spans="1:6" x14ac:dyDescent="0.25">
      <c r="A475" s="1">
        <v>42801</v>
      </c>
      <c r="B475" s="2" t="s">
        <v>97</v>
      </c>
      <c r="C475" s="2" t="s">
        <v>98</v>
      </c>
      <c r="D475">
        <v>52</v>
      </c>
      <c r="E475">
        <f>WEEKDAY(makulatura5[[#This Row],[Data_dostarczenia]],2)</f>
        <v>2</v>
      </c>
      <c r="F475" s="2">
        <f t="shared" si="7"/>
        <v>0</v>
      </c>
    </row>
    <row r="476" spans="1:6" x14ac:dyDescent="0.25">
      <c r="A476" s="1">
        <v>42801</v>
      </c>
      <c r="B476" s="2" t="s">
        <v>193</v>
      </c>
      <c r="C476" s="2" t="s">
        <v>215</v>
      </c>
      <c r="D476">
        <v>13</v>
      </c>
      <c r="E476">
        <f>WEEKDAY(makulatura5[[#This Row],[Data_dostarczenia]],2)</f>
        <v>2</v>
      </c>
      <c r="F476" s="2">
        <f t="shared" si="7"/>
        <v>0</v>
      </c>
    </row>
    <row r="477" spans="1:6" x14ac:dyDescent="0.25">
      <c r="A477" s="1">
        <v>42801</v>
      </c>
      <c r="B477" s="2" t="s">
        <v>83</v>
      </c>
      <c r="C477" s="2" t="s">
        <v>136</v>
      </c>
      <c r="D477">
        <v>16</v>
      </c>
      <c r="E477">
        <f>WEEKDAY(makulatura5[[#This Row],[Data_dostarczenia]],2)</f>
        <v>2</v>
      </c>
      <c r="F477" s="2">
        <f t="shared" si="7"/>
        <v>0</v>
      </c>
    </row>
    <row r="478" spans="1:6" x14ac:dyDescent="0.25">
      <c r="A478" s="1">
        <v>42801</v>
      </c>
      <c r="B478" s="2" t="s">
        <v>141</v>
      </c>
      <c r="C478" s="2" t="s">
        <v>202</v>
      </c>
      <c r="D478">
        <v>17</v>
      </c>
      <c r="E478">
        <f>WEEKDAY(makulatura5[[#This Row],[Data_dostarczenia]],2)</f>
        <v>2</v>
      </c>
      <c r="F478" s="2">
        <f t="shared" si="7"/>
        <v>0</v>
      </c>
    </row>
    <row r="479" spans="1:6" x14ac:dyDescent="0.25">
      <c r="A479" s="1">
        <v>42801</v>
      </c>
      <c r="B479" s="2" t="s">
        <v>243</v>
      </c>
      <c r="C479" s="2" t="s">
        <v>82</v>
      </c>
      <c r="D479">
        <v>7</v>
      </c>
      <c r="E479">
        <f>WEEKDAY(makulatura5[[#This Row],[Data_dostarczenia]],2)</f>
        <v>2</v>
      </c>
      <c r="F479" s="2">
        <f t="shared" si="7"/>
        <v>0</v>
      </c>
    </row>
    <row r="480" spans="1:6" x14ac:dyDescent="0.25">
      <c r="A480" s="1">
        <v>42801</v>
      </c>
      <c r="B480" s="2" t="s">
        <v>32</v>
      </c>
      <c r="C480" s="2" t="s">
        <v>446</v>
      </c>
      <c r="D480">
        <v>48</v>
      </c>
      <c r="E480">
        <f>WEEKDAY(makulatura5[[#This Row],[Data_dostarczenia]],2)</f>
        <v>2</v>
      </c>
      <c r="F480" s="2">
        <f t="shared" si="7"/>
        <v>0</v>
      </c>
    </row>
    <row r="481" spans="1:6" x14ac:dyDescent="0.25">
      <c r="A481" s="1">
        <v>42801</v>
      </c>
      <c r="B481" s="2" t="s">
        <v>97</v>
      </c>
      <c r="C481" s="2" t="s">
        <v>452</v>
      </c>
      <c r="D481">
        <v>20</v>
      </c>
      <c r="E481">
        <f>WEEKDAY(makulatura5[[#This Row],[Data_dostarczenia]],2)</f>
        <v>2</v>
      </c>
      <c r="F481" s="2">
        <f t="shared" si="7"/>
        <v>0</v>
      </c>
    </row>
    <row r="482" spans="1:6" x14ac:dyDescent="0.25">
      <c r="A482" s="1">
        <v>42801</v>
      </c>
      <c r="B482" s="2" t="s">
        <v>97</v>
      </c>
      <c r="C482" s="2" t="s">
        <v>309</v>
      </c>
      <c r="D482">
        <v>3</v>
      </c>
      <c r="E482">
        <f>WEEKDAY(makulatura5[[#This Row],[Data_dostarczenia]],2)</f>
        <v>2</v>
      </c>
      <c r="F482" s="2">
        <f t="shared" si="7"/>
        <v>0</v>
      </c>
    </row>
    <row r="483" spans="1:6" x14ac:dyDescent="0.25">
      <c r="A483" s="1">
        <v>42801</v>
      </c>
      <c r="B483" s="2" t="s">
        <v>87</v>
      </c>
      <c r="C483" s="2" t="s">
        <v>259</v>
      </c>
      <c r="D483">
        <v>22</v>
      </c>
      <c r="E483">
        <f>WEEKDAY(makulatura5[[#This Row],[Data_dostarczenia]],2)</f>
        <v>2</v>
      </c>
      <c r="F483" s="2">
        <f t="shared" si="7"/>
        <v>1</v>
      </c>
    </row>
    <row r="484" spans="1:6" x14ac:dyDescent="0.25">
      <c r="A484" s="1">
        <v>42802</v>
      </c>
      <c r="B484" s="2" t="s">
        <v>87</v>
      </c>
      <c r="C484" s="2" t="s">
        <v>397</v>
      </c>
      <c r="D484">
        <v>14</v>
      </c>
      <c r="E484">
        <f>WEEKDAY(makulatura5[[#This Row],[Data_dostarczenia]],2)</f>
        <v>3</v>
      </c>
      <c r="F484" s="2">
        <f t="shared" si="7"/>
        <v>0</v>
      </c>
    </row>
    <row r="485" spans="1:6" x14ac:dyDescent="0.25">
      <c r="A485" s="1">
        <v>42802</v>
      </c>
      <c r="B485" s="2" t="s">
        <v>155</v>
      </c>
      <c r="C485" s="2" t="s">
        <v>186</v>
      </c>
      <c r="D485">
        <v>17</v>
      </c>
      <c r="E485">
        <f>WEEKDAY(makulatura5[[#This Row],[Data_dostarczenia]],2)</f>
        <v>3</v>
      </c>
      <c r="F485" s="2">
        <f t="shared" si="7"/>
        <v>0</v>
      </c>
    </row>
    <row r="486" spans="1:6" x14ac:dyDescent="0.25">
      <c r="A486" s="1">
        <v>42802</v>
      </c>
      <c r="B486" s="2" t="s">
        <v>30</v>
      </c>
      <c r="C486" s="2" t="s">
        <v>89</v>
      </c>
      <c r="D486">
        <v>3</v>
      </c>
      <c r="E486">
        <f>WEEKDAY(makulatura5[[#This Row],[Data_dostarczenia]],2)</f>
        <v>3</v>
      </c>
      <c r="F486" s="2">
        <f t="shared" si="7"/>
        <v>0</v>
      </c>
    </row>
    <row r="487" spans="1:6" x14ac:dyDescent="0.25">
      <c r="A487" s="1">
        <v>42802</v>
      </c>
      <c r="B487" s="2" t="s">
        <v>453</v>
      </c>
      <c r="C487" s="2" t="s">
        <v>454</v>
      </c>
      <c r="D487">
        <v>10</v>
      </c>
      <c r="E487">
        <f>WEEKDAY(makulatura5[[#This Row],[Data_dostarczenia]],2)</f>
        <v>3</v>
      </c>
      <c r="F487" s="2">
        <f t="shared" si="7"/>
        <v>0</v>
      </c>
    </row>
    <row r="488" spans="1:6" x14ac:dyDescent="0.25">
      <c r="A488" s="1">
        <v>42802</v>
      </c>
      <c r="B488" s="2" t="s">
        <v>178</v>
      </c>
      <c r="C488" s="2" t="s">
        <v>242</v>
      </c>
      <c r="D488">
        <v>14</v>
      </c>
      <c r="E488">
        <f>WEEKDAY(makulatura5[[#This Row],[Data_dostarczenia]],2)</f>
        <v>3</v>
      </c>
      <c r="F488" s="2">
        <f t="shared" si="7"/>
        <v>0</v>
      </c>
    </row>
    <row r="489" spans="1:6" x14ac:dyDescent="0.25">
      <c r="A489" s="1">
        <v>42802</v>
      </c>
      <c r="B489" s="2" t="s">
        <v>393</v>
      </c>
      <c r="C489" s="2" t="s">
        <v>398</v>
      </c>
      <c r="D489">
        <v>3</v>
      </c>
      <c r="E489">
        <f>WEEKDAY(makulatura5[[#This Row],[Data_dostarczenia]],2)</f>
        <v>3</v>
      </c>
      <c r="F489" s="2">
        <f t="shared" si="7"/>
        <v>0</v>
      </c>
    </row>
    <row r="490" spans="1:6" x14ac:dyDescent="0.25">
      <c r="A490" s="1">
        <v>42802</v>
      </c>
      <c r="B490" s="2" t="s">
        <v>141</v>
      </c>
      <c r="C490" s="2" t="s">
        <v>364</v>
      </c>
      <c r="D490">
        <v>22</v>
      </c>
      <c r="E490">
        <f>WEEKDAY(makulatura5[[#This Row],[Data_dostarczenia]],2)</f>
        <v>3</v>
      </c>
      <c r="F490" s="2">
        <f t="shared" si="7"/>
        <v>0</v>
      </c>
    </row>
    <row r="491" spans="1:6" x14ac:dyDescent="0.25">
      <c r="A491" s="1">
        <v>42802</v>
      </c>
      <c r="B491" s="2" t="s">
        <v>83</v>
      </c>
      <c r="C491" s="2" t="s">
        <v>455</v>
      </c>
      <c r="D491">
        <v>11</v>
      </c>
      <c r="E491">
        <f>WEEKDAY(makulatura5[[#This Row],[Data_dostarczenia]],2)</f>
        <v>3</v>
      </c>
      <c r="F491" s="2">
        <f t="shared" si="7"/>
        <v>0</v>
      </c>
    </row>
    <row r="492" spans="1:6" x14ac:dyDescent="0.25">
      <c r="A492" s="1">
        <v>42802</v>
      </c>
      <c r="B492" s="2" t="s">
        <v>32</v>
      </c>
      <c r="C492" s="2" t="s">
        <v>406</v>
      </c>
      <c r="D492">
        <v>7</v>
      </c>
      <c r="E492">
        <f>WEEKDAY(makulatura5[[#This Row],[Data_dostarczenia]],2)</f>
        <v>3</v>
      </c>
      <c r="F492" s="2">
        <f t="shared" si="7"/>
        <v>1</v>
      </c>
    </row>
    <row r="493" spans="1:6" x14ac:dyDescent="0.25">
      <c r="A493" s="1">
        <v>42803</v>
      </c>
      <c r="B493" s="2" t="s">
        <v>87</v>
      </c>
      <c r="C493" s="2" t="s">
        <v>88</v>
      </c>
      <c r="D493">
        <v>13</v>
      </c>
      <c r="E493">
        <f>WEEKDAY(makulatura5[[#This Row],[Data_dostarczenia]],2)</f>
        <v>4</v>
      </c>
      <c r="F493" s="2">
        <f t="shared" si="7"/>
        <v>0</v>
      </c>
    </row>
    <row r="494" spans="1:6" x14ac:dyDescent="0.25">
      <c r="A494" s="1">
        <v>42803</v>
      </c>
      <c r="B494" s="2" t="s">
        <v>55</v>
      </c>
      <c r="C494" s="2" t="s">
        <v>456</v>
      </c>
      <c r="D494">
        <v>47</v>
      </c>
      <c r="E494">
        <f>WEEKDAY(makulatura5[[#This Row],[Data_dostarczenia]],2)</f>
        <v>4</v>
      </c>
      <c r="F494" s="2">
        <f t="shared" si="7"/>
        <v>0</v>
      </c>
    </row>
    <row r="495" spans="1:6" x14ac:dyDescent="0.25">
      <c r="A495" s="1">
        <v>42803</v>
      </c>
      <c r="B495" s="2" t="s">
        <v>155</v>
      </c>
      <c r="C495" s="2" t="s">
        <v>156</v>
      </c>
      <c r="D495">
        <v>22</v>
      </c>
      <c r="E495">
        <f>WEEKDAY(makulatura5[[#This Row],[Data_dostarczenia]],2)</f>
        <v>4</v>
      </c>
      <c r="F495" s="2">
        <f t="shared" si="7"/>
        <v>0</v>
      </c>
    </row>
    <row r="496" spans="1:6" x14ac:dyDescent="0.25">
      <c r="A496" s="1">
        <v>42803</v>
      </c>
      <c r="B496" s="2" t="s">
        <v>97</v>
      </c>
      <c r="C496" s="2" t="s">
        <v>457</v>
      </c>
      <c r="D496">
        <v>10</v>
      </c>
      <c r="E496">
        <f>WEEKDAY(makulatura5[[#This Row],[Data_dostarczenia]],2)</f>
        <v>4</v>
      </c>
      <c r="F496" s="2">
        <f t="shared" si="7"/>
        <v>0</v>
      </c>
    </row>
    <row r="497" spans="1:6" x14ac:dyDescent="0.25">
      <c r="A497" s="1">
        <v>42803</v>
      </c>
      <c r="B497" s="2" t="s">
        <v>310</v>
      </c>
      <c r="C497" s="2" t="s">
        <v>458</v>
      </c>
      <c r="D497">
        <v>38</v>
      </c>
      <c r="E497">
        <f>WEEKDAY(makulatura5[[#This Row],[Data_dostarczenia]],2)</f>
        <v>4</v>
      </c>
      <c r="F497" s="2">
        <f t="shared" si="7"/>
        <v>0</v>
      </c>
    </row>
    <row r="498" spans="1:6" x14ac:dyDescent="0.25">
      <c r="A498" s="1">
        <v>42803</v>
      </c>
      <c r="B498" s="2" t="s">
        <v>55</v>
      </c>
      <c r="C498" s="2" t="s">
        <v>459</v>
      </c>
      <c r="D498">
        <v>48</v>
      </c>
      <c r="E498">
        <f>WEEKDAY(makulatura5[[#This Row],[Data_dostarczenia]],2)</f>
        <v>4</v>
      </c>
      <c r="F498" s="2">
        <f t="shared" si="7"/>
        <v>0</v>
      </c>
    </row>
    <row r="499" spans="1:6" x14ac:dyDescent="0.25">
      <c r="A499" s="1">
        <v>42803</v>
      </c>
      <c r="B499" s="2" t="s">
        <v>67</v>
      </c>
      <c r="C499" s="2" t="s">
        <v>460</v>
      </c>
      <c r="D499">
        <v>9</v>
      </c>
      <c r="E499">
        <f>WEEKDAY(makulatura5[[#This Row],[Data_dostarczenia]],2)</f>
        <v>4</v>
      </c>
      <c r="F499" s="2">
        <f t="shared" si="7"/>
        <v>0</v>
      </c>
    </row>
    <row r="500" spans="1:6" x14ac:dyDescent="0.25">
      <c r="A500" s="1">
        <v>42803</v>
      </c>
      <c r="B500" s="2" t="s">
        <v>101</v>
      </c>
      <c r="C500" s="2" t="s">
        <v>212</v>
      </c>
      <c r="D500">
        <v>6</v>
      </c>
      <c r="E500">
        <f>WEEKDAY(makulatura5[[#This Row],[Data_dostarczenia]],2)</f>
        <v>4</v>
      </c>
      <c r="F500" s="2">
        <f t="shared" si="7"/>
        <v>0</v>
      </c>
    </row>
    <row r="501" spans="1:6" x14ac:dyDescent="0.25">
      <c r="A501" s="1">
        <v>42803</v>
      </c>
      <c r="B501" s="2" t="s">
        <v>195</v>
      </c>
      <c r="C501" s="2" t="s">
        <v>196</v>
      </c>
      <c r="D501">
        <v>13</v>
      </c>
      <c r="E501">
        <f>WEEKDAY(makulatura5[[#This Row],[Data_dostarczenia]],2)</f>
        <v>4</v>
      </c>
      <c r="F501" s="2">
        <f t="shared" si="7"/>
        <v>1</v>
      </c>
    </row>
    <row r="502" spans="1:6" x14ac:dyDescent="0.25">
      <c r="A502" s="1">
        <v>42804</v>
      </c>
      <c r="B502" s="2" t="s">
        <v>97</v>
      </c>
      <c r="C502" s="2" t="s">
        <v>181</v>
      </c>
      <c r="D502">
        <v>30</v>
      </c>
      <c r="E502">
        <f>WEEKDAY(makulatura5[[#This Row],[Data_dostarczenia]],2)</f>
        <v>5</v>
      </c>
      <c r="F502" s="2">
        <f t="shared" si="7"/>
        <v>0</v>
      </c>
    </row>
    <row r="503" spans="1:6" x14ac:dyDescent="0.25">
      <c r="A503" s="1">
        <v>42804</v>
      </c>
      <c r="B503" s="2" t="s">
        <v>69</v>
      </c>
      <c r="C503" s="2" t="s">
        <v>461</v>
      </c>
      <c r="D503">
        <v>3</v>
      </c>
      <c r="E503">
        <f>WEEKDAY(makulatura5[[#This Row],[Data_dostarczenia]],2)</f>
        <v>5</v>
      </c>
      <c r="F503" s="2">
        <f t="shared" si="7"/>
        <v>0</v>
      </c>
    </row>
    <row r="504" spans="1:6" x14ac:dyDescent="0.25">
      <c r="A504" s="1">
        <v>42804</v>
      </c>
      <c r="B504" s="2" t="s">
        <v>12</v>
      </c>
      <c r="C504" s="2" t="s">
        <v>38</v>
      </c>
      <c r="D504">
        <v>8</v>
      </c>
      <c r="E504">
        <f>WEEKDAY(makulatura5[[#This Row],[Data_dostarczenia]],2)</f>
        <v>5</v>
      </c>
      <c r="F504" s="2">
        <f t="shared" si="7"/>
        <v>0</v>
      </c>
    </row>
    <row r="505" spans="1:6" x14ac:dyDescent="0.25">
      <c r="A505" s="1">
        <v>42804</v>
      </c>
      <c r="B505" s="2" t="s">
        <v>178</v>
      </c>
      <c r="C505" s="2" t="s">
        <v>242</v>
      </c>
      <c r="D505">
        <v>12</v>
      </c>
      <c r="E505">
        <f>WEEKDAY(makulatura5[[#This Row],[Data_dostarczenia]],2)</f>
        <v>5</v>
      </c>
      <c r="F505" s="2">
        <f t="shared" si="7"/>
        <v>0</v>
      </c>
    </row>
    <row r="506" spans="1:6" x14ac:dyDescent="0.25">
      <c r="A506" s="1">
        <v>42804</v>
      </c>
      <c r="B506" s="2" t="s">
        <v>16</v>
      </c>
      <c r="C506" s="2" t="s">
        <v>440</v>
      </c>
      <c r="D506">
        <v>14</v>
      </c>
      <c r="E506">
        <f>WEEKDAY(makulatura5[[#This Row],[Data_dostarczenia]],2)</f>
        <v>5</v>
      </c>
      <c r="F506" s="2">
        <f t="shared" si="7"/>
        <v>0</v>
      </c>
    </row>
    <row r="507" spans="1:6" x14ac:dyDescent="0.25">
      <c r="A507" s="1">
        <v>42804</v>
      </c>
      <c r="B507" s="2" t="s">
        <v>453</v>
      </c>
      <c r="C507" s="2" t="s">
        <v>454</v>
      </c>
      <c r="D507">
        <v>4</v>
      </c>
      <c r="E507">
        <f>WEEKDAY(makulatura5[[#This Row],[Data_dostarczenia]],2)</f>
        <v>5</v>
      </c>
      <c r="F507" s="2">
        <f t="shared" si="7"/>
        <v>0</v>
      </c>
    </row>
    <row r="508" spans="1:6" x14ac:dyDescent="0.25">
      <c r="A508" s="1">
        <v>42804</v>
      </c>
      <c r="B508" s="2" t="s">
        <v>99</v>
      </c>
      <c r="C508" s="2" t="s">
        <v>100</v>
      </c>
      <c r="D508">
        <v>5</v>
      </c>
      <c r="E508">
        <f>WEEKDAY(makulatura5[[#This Row],[Data_dostarczenia]],2)</f>
        <v>5</v>
      </c>
      <c r="F508" s="2">
        <f t="shared" si="7"/>
        <v>0</v>
      </c>
    </row>
    <row r="509" spans="1:6" x14ac:dyDescent="0.25">
      <c r="A509" s="1">
        <v>42804</v>
      </c>
      <c r="B509" s="2" t="s">
        <v>150</v>
      </c>
      <c r="C509" s="2" t="s">
        <v>462</v>
      </c>
      <c r="D509">
        <v>13</v>
      </c>
      <c r="E509">
        <f>WEEKDAY(makulatura5[[#This Row],[Data_dostarczenia]],2)</f>
        <v>5</v>
      </c>
      <c r="F509" s="2">
        <f t="shared" si="7"/>
        <v>0</v>
      </c>
    </row>
    <row r="510" spans="1:6" x14ac:dyDescent="0.25">
      <c r="A510" s="1">
        <v>42804</v>
      </c>
      <c r="B510" s="2" t="s">
        <v>30</v>
      </c>
      <c r="C510" s="2" t="s">
        <v>463</v>
      </c>
      <c r="D510">
        <v>9</v>
      </c>
      <c r="E510">
        <f>WEEKDAY(makulatura5[[#This Row],[Data_dostarczenia]],2)</f>
        <v>5</v>
      </c>
      <c r="F510" s="2">
        <f t="shared" si="7"/>
        <v>1</v>
      </c>
    </row>
    <row r="511" spans="1:6" x14ac:dyDescent="0.25">
      <c r="A511" s="1">
        <v>42807</v>
      </c>
      <c r="B511" s="2" t="s">
        <v>97</v>
      </c>
      <c r="C511" s="2" t="s">
        <v>464</v>
      </c>
      <c r="D511">
        <v>14</v>
      </c>
      <c r="E511">
        <f>WEEKDAY(makulatura5[[#This Row],[Data_dostarczenia]],2)</f>
        <v>1</v>
      </c>
      <c r="F511" s="2">
        <f t="shared" si="7"/>
        <v>0</v>
      </c>
    </row>
    <row r="512" spans="1:6" x14ac:dyDescent="0.25">
      <c r="A512" s="1">
        <v>42807</v>
      </c>
      <c r="B512" s="2" t="s">
        <v>47</v>
      </c>
      <c r="C512" s="2" t="s">
        <v>465</v>
      </c>
      <c r="D512">
        <v>19</v>
      </c>
      <c r="E512">
        <f>WEEKDAY(makulatura5[[#This Row],[Data_dostarczenia]],2)</f>
        <v>1</v>
      </c>
      <c r="F512" s="2">
        <f t="shared" si="7"/>
        <v>0</v>
      </c>
    </row>
    <row r="513" spans="1:6" x14ac:dyDescent="0.25">
      <c r="A513" s="1">
        <v>42807</v>
      </c>
      <c r="B513" s="2" t="s">
        <v>282</v>
      </c>
      <c r="C513" s="2" t="s">
        <v>283</v>
      </c>
      <c r="D513">
        <v>21</v>
      </c>
      <c r="E513">
        <f>WEEKDAY(makulatura5[[#This Row],[Data_dostarczenia]],2)</f>
        <v>1</v>
      </c>
      <c r="F513" s="2">
        <f t="shared" si="7"/>
        <v>0</v>
      </c>
    </row>
    <row r="514" spans="1:6" x14ac:dyDescent="0.25">
      <c r="A514" s="1">
        <v>42807</v>
      </c>
      <c r="B514" s="2" t="s">
        <v>141</v>
      </c>
      <c r="C514" s="2" t="s">
        <v>292</v>
      </c>
      <c r="D514">
        <v>5</v>
      </c>
      <c r="E514">
        <f>WEEKDAY(makulatura5[[#This Row],[Data_dostarczenia]],2)</f>
        <v>1</v>
      </c>
      <c r="F514" s="2">
        <f t="shared" ref="F514:F577" si="8">IF(A515=A514,0,1)</f>
        <v>0</v>
      </c>
    </row>
    <row r="515" spans="1:6" x14ac:dyDescent="0.25">
      <c r="A515" s="1">
        <v>42807</v>
      </c>
      <c r="B515" s="2" t="s">
        <v>314</v>
      </c>
      <c r="C515" s="2" t="s">
        <v>466</v>
      </c>
      <c r="D515">
        <v>18</v>
      </c>
      <c r="E515">
        <f>WEEKDAY(makulatura5[[#This Row],[Data_dostarczenia]],2)</f>
        <v>1</v>
      </c>
      <c r="F515" s="2">
        <f t="shared" si="8"/>
        <v>0</v>
      </c>
    </row>
    <row r="516" spans="1:6" x14ac:dyDescent="0.25">
      <c r="A516" s="1">
        <v>42807</v>
      </c>
      <c r="B516" s="2" t="s">
        <v>55</v>
      </c>
      <c r="C516" s="2" t="s">
        <v>56</v>
      </c>
      <c r="D516">
        <v>4</v>
      </c>
      <c r="E516">
        <f>WEEKDAY(makulatura5[[#This Row],[Data_dostarczenia]],2)</f>
        <v>1</v>
      </c>
      <c r="F516" s="2">
        <f t="shared" si="8"/>
        <v>0</v>
      </c>
    </row>
    <row r="517" spans="1:6" x14ac:dyDescent="0.25">
      <c r="A517" s="1">
        <v>42807</v>
      </c>
      <c r="B517" s="2" t="s">
        <v>395</v>
      </c>
      <c r="C517" s="2" t="s">
        <v>467</v>
      </c>
      <c r="D517">
        <v>34</v>
      </c>
      <c r="E517">
        <f>WEEKDAY(makulatura5[[#This Row],[Data_dostarczenia]],2)</f>
        <v>1</v>
      </c>
      <c r="F517" s="2">
        <f t="shared" si="8"/>
        <v>0</v>
      </c>
    </row>
    <row r="518" spans="1:6" x14ac:dyDescent="0.25">
      <c r="A518" s="1">
        <v>42807</v>
      </c>
      <c r="B518" s="2" t="s">
        <v>36</v>
      </c>
      <c r="C518" s="2" t="s">
        <v>37</v>
      </c>
      <c r="D518">
        <v>7</v>
      </c>
      <c r="E518">
        <f>WEEKDAY(makulatura5[[#This Row],[Data_dostarczenia]],2)</f>
        <v>1</v>
      </c>
      <c r="F518" s="2">
        <f t="shared" si="8"/>
        <v>0</v>
      </c>
    </row>
    <row r="519" spans="1:6" x14ac:dyDescent="0.25">
      <c r="A519" s="1">
        <v>42807</v>
      </c>
      <c r="B519" s="2" t="s">
        <v>171</v>
      </c>
      <c r="C519" s="2" t="s">
        <v>468</v>
      </c>
      <c r="D519">
        <v>41</v>
      </c>
      <c r="E519">
        <f>WEEKDAY(makulatura5[[#This Row],[Data_dostarczenia]],2)</f>
        <v>1</v>
      </c>
      <c r="F519" s="2">
        <f t="shared" si="8"/>
        <v>1</v>
      </c>
    </row>
    <row r="520" spans="1:6" x14ac:dyDescent="0.25">
      <c r="A520" s="1">
        <v>42808</v>
      </c>
      <c r="B520" s="2" t="s">
        <v>41</v>
      </c>
      <c r="C520" s="2" t="s">
        <v>42</v>
      </c>
      <c r="D520">
        <v>10</v>
      </c>
      <c r="E520">
        <f>WEEKDAY(makulatura5[[#This Row],[Data_dostarczenia]],2)</f>
        <v>2</v>
      </c>
      <c r="F520" s="2">
        <f t="shared" si="8"/>
        <v>0</v>
      </c>
    </row>
    <row r="521" spans="1:6" x14ac:dyDescent="0.25">
      <c r="A521" s="1">
        <v>42808</v>
      </c>
      <c r="B521" s="2" t="s">
        <v>87</v>
      </c>
      <c r="C521" s="2" t="s">
        <v>124</v>
      </c>
      <c r="D521">
        <v>42</v>
      </c>
      <c r="E521">
        <f>WEEKDAY(makulatura5[[#This Row],[Data_dostarczenia]],2)</f>
        <v>2</v>
      </c>
      <c r="F521" s="2">
        <f t="shared" si="8"/>
        <v>0</v>
      </c>
    </row>
    <row r="522" spans="1:6" x14ac:dyDescent="0.25">
      <c r="A522" s="1">
        <v>42808</v>
      </c>
      <c r="B522" s="2" t="s">
        <v>178</v>
      </c>
      <c r="C522" s="2" t="s">
        <v>335</v>
      </c>
      <c r="D522">
        <v>10</v>
      </c>
      <c r="E522">
        <f>WEEKDAY(makulatura5[[#This Row],[Data_dostarczenia]],2)</f>
        <v>2</v>
      </c>
      <c r="F522" s="2">
        <f t="shared" si="8"/>
        <v>0</v>
      </c>
    </row>
    <row r="523" spans="1:6" x14ac:dyDescent="0.25">
      <c r="A523" s="1">
        <v>42808</v>
      </c>
      <c r="B523" s="2" t="s">
        <v>51</v>
      </c>
      <c r="C523" s="2" t="s">
        <v>469</v>
      </c>
      <c r="D523">
        <v>4</v>
      </c>
      <c r="E523">
        <f>WEEKDAY(makulatura5[[#This Row],[Data_dostarczenia]],2)</f>
        <v>2</v>
      </c>
      <c r="F523" s="2">
        <f t="shared" si="8"/>
        <v>0</v>
      </c>
    </row>
    <row r="524" spans="1:6" x14ac:dyDescent="0.25">
      <c r="A524" s="1">
        <v>42808</v>
      </c>
      <c r="B524" s="2" t="s">
        <v>442</v>
      </c>
      <c r="C524" s="2" t="s">
        <v>443</v>
      </c>
      <c r="D524">
        <v>17</v>
      </c>
      <c r="E524">
        <f>WEEKDAY(makulatura5[[#This Row],[Data_dostarczenia]],2)</f>
        <v>2</v>
      </c>
      <c r="F524" s="2">
        <f t="shared" si="8"/>
        <v>0</v>
      </c>
    </row>
    <row r="525" spans="1:6" x14ac:dyDescent="0.25">
      <c r="A525" s="1">
        <v>42808</v>
      </c>
      <c r="B525" s="2" t="s">
        <v>121</v>
      </c>
      <c r="C525" s="2" t="s">
        <v>122</v>
      </c>
      <c r="D525">
        <v>29</v>
      </c>
      <c r="E525">
        <f>WEEKDAY(makulatura5[[#This Row],[Data_dostarczenia]],2)</f>
        <v>2</v>
      </c>
      <c r="F525" s="2">
        <f t="shared" si="8"/>
        <v>0</v>
      </c>
    </row>
    <row r="526" spans="1:6" x14ac:dyDescent="0.25">
      <c r="A526" s="1">
        <v>42808</v>
      </c>
      <c r="B526" s="2" t="s">
        <v>83</v>
      </c>
      <c r="C526" s="2" t="s">
        <v>470</v>
      </c>
      <c r="D526">
        <v>6</v>
      </c>
      <c r="E526">
        <f>WEEKDAY(makulatura5[[#This Row],[Data_dostarczenia]],2)</f>
        <v>2</v>
      </c>
      <c r="F526" s="2">
        <f t="shared" si="8"/>
        <v>0</v>
      </c>
    </row>
    <row r="527" spans="1:6" x14ac:dyDescent="0.25">
      <c r="A527" s="1">
        <v>42808</v>
      </c>
      <c r="B527" s="2" t="s">
        <v>8</v>
      </c>
      <c r="C527" s="2" t="s">
        <v>9</v>
      </c>
      <c r="D527">
        <v>12</v>
      </c>
      <c r="E527">
        <f>WEEKDAY(makulatura5[[#This Row],[Data_dostarczenia]],2)</f>
        <v>2</v>
      </c>
      <c r="F527" s="2">
        <f t="shared" si="8"/>
        <v>0</v>
      </c>
    </row>
    <row r="528" spans="1:6" x14ac:dyDescent="0.25">
      <c r="A528" s="1">
        <v>42808</v>
      </c>
      <c r="B528" s="2" t="s">
        <v>193</v>
      </c>
      <c r="C528" s="2" t="s">
        <v>406</v>
      </c>
      <c r="D528">
        <v>14</v>
      </c>
      <c r="E528">
        <f>WEEKDAY(makulatura5[[#This Row],[Data_dostarczenia]],2)</f>
        <v>2</v>
      </c>
      <c r="F528" s="2">
        <f t="shared" si="8"/>
        <v>1</v>
      </c>
    </row>
    <row r="529" spans="1:6" x14ac:dyDescent="0.25">
      <c r="A529" s="1">
        <v>42809</v>
      </c>
      <c r="B529" s="2" t="s">
        <v>47</v>
      </c>
      <c r="C529" s="2" t="s">
        <v>471</v>
      </c>
      <c r="D529">
        <v>28</v>
      </c>
      <c r="E529">
        <f>WEEKDAY(makulatura5[[#This Row],[Data_dostarczenia]],2)</f>
        <v>3</v>
      </c>
      <c r="F529" s="2">
        <f t="shared" si="8"/>
        <v>0</v>
      </c>
    </row>
    <row r="530" spans="1:6" x14ac:dyDescent="0.25">
      <c r="A530" s="1">
        <v>42809</v>
      </c>
      <c r="B530" s="2" t="s">
        <v>131</v>
      </c>
      <c r="C530" s="2" t="s">
        <v>472</v>
      </c>
      <c r="D530">
        <v>19</v>
      </c>
      <c r="E530">
        <f>WEEKDAY(makulatura5[[#This Row],[Data_dostarczenia]],2)</f>
        <v>3</v>
      </c>
      <c r="F530" s="2">
        <f t="shared" si="8"/>
        <v>0</v>
      </c>
    </row>
    <row r="531" spans="1:6" x14ac:dyDescent="0.25">
      <c r="A531" s="1">
        <v>42809</v>
      </c>
      <c r="B531" s="2" t="s">
        <v>87</v>
      </c>
      <c r="C531" s="2" t="s">
        <v>135</v>
      </c>
      <c r="D531">
        <v>30</v>
      </c>
      <c r="E531">
        <f>WEEKDAY(makulatura5[[#This Row],[Data_dostarczenia]],2)</f>
        <v>3</v>
      </c>
      <c r="F531" s="2">
        <f t="shared" si="8"/>
        <v>0</v>
      </c>
    </row>
    <row r="532" spans="1:6" x14ac:dyDescent="0.25">
      <c r="A532" s="1">
        <v>42809</v>
      </c>
      <c r="B532" s="2" t="s">
        <v>137</v>
      </c>
      <c r="C532" s="2" t="s">
        <v>473</v>
      </c>
      <c r="D532">
        <v>54</v>
      </c>
      <c r="E532">
        <f>WEEKDAY(makulatura5[[#This Row],[Data_dostarczenia]],2)</f>
        <v>3</v>
      </c>
      <c r="F532" s="2">
        <f t="shared" si="8"/>
        <v>0</v>
      </c>
    </row>
    <row r="533" spans="1:6" x14ac:dyDescent="0.25">
      <c r="A533" s="1">
        <v>42809</v>
      </c>
      <c r="B533" s="2" t="s">
        <v>131</v>
      </c>
      <c r="C533" s="2" t="s">
        <v>132</v>
      </c>
      <c r="D533">
        <v>21</v>
      </c>
      <c r="E533">
        <f>WEEKDAY(makulatura5[[#This Row],[Data_dostarczenia]],2)</f>
        <v>3</v>
      </c>
      <c r="F533" s="2">
        <f t="shared" si="8"/>
        <v>0</v>
      </c>
    </row>
    <row r="534" spans="1:6" x14ac:dyDescent="0.25">
      <c r="A534" s="1">
        <v>42809</v>
      </c>
      <c r="B534" s="2" t="s">
        <v>4</v>
      </c>
      <c r="C534" s="2" t="s">
        <v>386</v>
      </c>
      <c r="D534">
        <v>10</v>
      </c>
      <c r="E534">
        <f>WEEKDAY(makulatura5[[#This Row],[Data_dostarczenia]],2)</f>
        <v>3</v>
      </c>
      <c r="F534" s="2">
        <f t="shared" si="8"/>
        <v>0</v>
      </c>
    </row>
    <row r="535" spans="1:6" x14ac:dyDescent="0.25">
      <c r="A535" s="1">
        <v>42809</v>
      </c>
      <c r="B535" s="2" t="s">
        <v>97</v>
      </c>
      <c r="C535" s="2" t="s">
        <v>464</v>
      </c>
      <c r="D535">
        <v>25</v>
      </c>
      <c r="E535">
        <f>WEEKDAY(makulatura5[[#This Row],[Data_dostarczenia]],2)</f>
        <v>3</v>
      </c>
      <c r="F535" s="2">
        <f t="shared" si="8"/>
        <v>0</v>
      </c>
    </row>
    <row r="536" spans="1:6" x14ac:dyDescent="0.25">
      <c r="A536" s="1">
        <v>42809</v>
      </c>
      <c r="B536" s="2" t="s">
        <v>36</v>
      </c>
      <c r="C536" s="2" t="s">
        <v>295</v>
      </c>
      <c r="D536">
        <v>5</v>
      </c>
      <c r="E536">
        <f>WEEKDAY(makulatura5[[#This Row],[Data_dostarczenia]],2)</f>
        <v>3</v>
      </c>
      <c r="F536" s="2">
        <f t="shared" si="8"/>
        <v>0</v>
      </c>
    </row>
    <row r="537" spans="1:6" x14ac:dyDescent="0.25">
      <c r="A537" s="1">
        <v>42809</v>
      </c>
      <c r="B537" s="2" t="s">
        <v>30</v>
      </c>
      <c r="C537" s="2" t="s">
        <v>109</v>
      </c>
      <c r="D537">
        <v>12</v>
      </c>
      <c r="E537">
        <f>WEEKDAY(makulatura5[[#This Row],[Data_dostarczenia]],2)</f>
        <v>3</v>
      </c>
      <c r="F537" s="2">
        <f t="shared" si="8"/>
        <v>1</v>
      </c>
    </row>
    <row r="538" spans="1:6" x14ac:dyDescent="0.25">
      <c r="A538" s="1">
        <v>42810</v>
      </c>
      <c r="B538" s="2" t="s">
        <v>150</v>
      </c>
      <c r="C538" s="2" t="s">
        <v>313</v>
      </c>
      <c r="D538">
        <v>24</v>
      </c>
      <c r="E538">
        <f>WEEKDAY(makulatura5[[#This Row],[Data_dostarczenia]],2)</f>
        <v>4</v>
      </c>
      <c r="F538" s="2">
        <f t="shared" si="8"/>
        <v>0</v>
      </c>
    </row>
    <row r="539" spans="1:6" x14ac:dyDescent="0.25">
      <c r="A539" s="1">
        <v>42810</v>
      </c>
      <c r="B539" s="2" t="s">
        <v>106</v>
      </c>
      <c r="C539" s="2" t="s">
        <v>240</v>
      </c>
      <c r="D539">
        <v>11</v>
      </c>
      <c r="E539">
        <f>WEEKDAY(makulatura5[[#This Row],[Data_dostarczenia]],2)</f>
        <v>4</v>
      </c>
      <c r="F539" s="2">
        <f t="shared" si="8"/>
        <v>0</v>
      </c>
    </row>
    <row r="540" spans="1:6" x14ac:dyDescent="0.25">
      <c r="A540" s="1">
        <v>42810</v>
      </c>
      <c r="B540" s="2" t="s">
        <v>36</v>
      </c>
      <c r="C540" s="2" t="s">
        <v>474</v>
      </c>
      <c r="D540">
        <v>37</v>
      </c>
      <c r="E540">
        <f>WEEKDAY(makulatura5[[#This Row],[Data_dostarczenia]],2)</f>
        <v>4</v>
      </c>
      <c r="F540" s="2">
        <f t="shared" si="8"/>
        <v>0</v>
      </c>
    </row>
    <row r="541" spans="1:6" x14ac:dyDescent="0.25">
      <c r="A541" s="1">
        <v>42810</v>
      </c>
      <c r="B541" s="2" t="s">
        <v>178</v>
      </c>
      <c r="C541" s="2" t="s">
        <v>333</v>
      </c>
      <c r="D541">
        <v>26</v>
      </c>
      <c r="E541">
        <f>WEEKDAY(makulatura5[[#This Row],[Data_dostarczenia]],2)</f>
        <v>4</v>
      </c>
      <c r="F541" s="2">
        <f t="shared" si="8"/>
        <v>0</v>
      </c>
    </row>
    <row r="542" spans="1:6" x14ac:dyDescent="0.25">
      <c r="A542" s="1">
        <v>42810</v>
      </c>
      <c r="B542" s="2" t="s">
        <v>208</v>
      </c>
      <c r="C542" s="2" t="s">
        <v>475</v>
      </c>
      <c r="D542">
        <v>3</v>
      </c>
      <c r="E542">
        <f>WEEKDAY(makulatura5[[#This Row],[Data_dostarczenia]],2)</f>
        <v>4</v>
      </c>
      <c r="F542" s="2">
        <f t="shared" si="8"/>
        <v>0</v>
      </c>
    </row>
    <row r="543" spans="1:6" x14ac:dyDescent="0.25">
      <c r="A543" s="1">
        <v>42810</v>
      </c>
      <c r="B543" s="2" t="s">
        <v>476</v>
      </c>
      <c r="C543" s="2" t="s">
        <v>477</v>
      </c>
      <c r="D543">
        <v>52</v>
      </c>
      <c r="E543">
        <f>WEEKDAY(makulatura5[[#This Row],[Data_dostarczenia]],2)</f>
        <v>4</v>
      </c>
      <c r="F543" s="2">
        <f t="shared" si="8"/>
        <v>0</v>
      </c>
    </row>
    <row r="544" spans="1:6" x14ac:dyDescent="0.25">
      <c r="A544" s="1">
        <v>42810</v>
      </c>
      <c r="B544" s="2" t="s">
        <v>10</v>
      </c>
      <c r="C544" s="2" t="s">
        <v>266</v>
      </c>
      <c r="D544">
        <v>24</v>
      </c>
      <c r="E544">
        <f>WEEKDAY(makulatura5[[#This Row],[Data_dostarczenia]],2)</f>
        <v>4</v>
      </c>
      <c r="F544" s="2">
        <f t="shared" si="8"/>
        <v>0</v>
      </c>
    </row>
    <row r="545" spans="1:6" x14ac:dyDescent="0.25">
      <c r="A545" s="1">
        <v>42810</v>
      </c>
      <c r="B545" s="2" t="s">
        <v>12</v>
      </c>
      <c r="C545" s="2" t="s">
        <v>386</v>
      </c>
      <c r="D545">
        <v>43</v>
      </c>
      <c r="E545">
        <f>WEEKDAY(makulatura5[[#This Row],[Data_dostarczenia]],2)</f>
        <v>4</v>
      </c>
      <c r="F545" s="2">
        <f t="shared" si="8"/>
        <v>0</v>
      </c>
    </row>
    <row r="546" spans="1:6" x14ac:dyDescent="0.25">
      <c r="A546" s="1">
        <v>42810</v>
      </c>
      <c r="B546" s="2" t="s">
        <v>128</v>
      </c>
      <c r="C546" s="2" t="s">
        <v>478</v>
      </c>
      <c r="D546">
        <v>54</v>
      </c>
      <c r="E546">
        <f>WEEKDAY(makulatura5[[#This Row],[Data_dostarczenia]],2)</f>
        <v>4</v>
      </c>
      <c r="F546" s="2">
        <f t="shared" si="8"/>
        <v>0</v>
      </c>
    </row>
    <row r="547" spans="1:6" x14ac:dyDescent="0.25">
      <c r="A547" s="1">
        <v>42810</v>
      </c>
      <c r="B547" s="2" t="s">
        <v>119</v>
      </c>
      <c r="C547" s="2" t="s">
        <v>120</v>
      </c>
      <c r="D547">
        <v>42</v>
      </c>
      <c r="E547">
        <f>WEEKDAY(makulatura5[[#This Row],[Data_dostarczenia]],2)</f>
        <v>4</v>
      </c>
      <c r="F547" s="2">
        <f t="shared" si="8"/>
        <v>1</v>
      </c>
    </row>
    <row r="548" spans="1:6" x14ac:dyDescent="0.25">
      <c r="A548" s="1">
        <v>42811</v>
      </c>
      <c r="B548" s="2" t="s">
        <v>479</v>
      </c>
      <c r="C548" s="2" t="s">
        <v>480</v>
      </c>
      <c r="D548">
        <v>10</v>
      </c>
      <c r="E548">
        <f>WEEKDAY(makulatura5[[#This Row],[Data_dostarczenia]],2)</f>
        <v>5</v>
      </c>
      <c r="F548" s="2">
        <f t="shared" si="8"/>
        <v>0</v>
      </c>
    </row>
    <row r="549" spans="1:6" x14ac:dyDescent="0.25">
      <c r="A549" s="1">
        <v>42811</v>
      </c>
      <c r="B549" s="2" t="s">
        <v>232</v>
      </c>
      <c r="C549" s="2" t="s">
        <v>405</v>
      </c>
      <c r="D549">
        <v>40</v>
      </c>
      <c r="E549">
        <f>WEEKDAY(makulatura5[[#This Row],[Data_dostarczenia]],2)</f>
        <v>5</v>
      </c>
      <c r="F549" s="2">
        <f t="shared" si="8"/>
        <v>0</v>
      </c>
    </row>
    <row r="550" spans="1:6" x14ac:dyDescent="0.25">
      <c r="A550" s="1">
        <v>42811</v>
      </c>
      <c r="B550" s="2" t="s">
        <v>34</v>
      </c>
      <c r="C550" s="2" t="s">
        <v>481</v>
      </c>
      <c r="D550">
        <v>16</v>
      </c>
      <c r="E550">
        <f>WEEKDAY(makulatura5[[#This Row],[Data_dostarczenia]],2)</f>
        <v>5</v>
      </c>
      <c r="F550" s="2">
        <f t="shared" si="8"/>
        <v>0</v>
      </c>
    </row>
    <row r="551" spans="1:6" x14ac:dyDescent="0.25">
      <c r="A551" s="1">
        <v>42811</v>
      </c>
      <c r="B551" s="2" t="s">
        <v>299</v>
      </c>
      <c r="C551" s="2" t="s">
        <v>482</v>
      </c>
      <c r="D551">
        <v>27</v>
      </c>
      <c r="E551">
        <f>WEEKDAY(makulatura5[[#This Row],[Data_dostarczenia]],2)</f>
        <v>5</v>
      </c>
      <c r="F551" s="2">
        <f t="shared" si="8"/>
        <v>0</v>
      </c>
    </row>
    <row r="552" spans="1:6" x14ac:dyDescent="0.25">
      <c r="A552" s="1">
        <v>42811</v>
      </c>
      <c r="B552" s="2" t="s">
        <v>8</v>
      </c>
      <c r="C552" s="2" t="s">
        <v>9</v>
      </c>
      <c r="D552">
        <v>14</v>
      </c>
      <c r="E552">
        <f>WEEKDAY(makulatura5[[#This Row],[Data_dostarczenia]],2)</f>
        <v>5</v>
      </c>
      <c r="F552" s="2">
        <f t="shared" si="8"/>
        <v>0</v>
      </c>
    </row>
    <row r="553" spans="1:6" x14ac:dyDescent="0.25">
      <c r="A553" s="1">
        <v>42811</v>
      </c>
      <c r="B553" s="2" t="s">
        <v>131</v>
      </c>
      <c r="C553" s="2" t="s">
        <v>132</v>
      </c>
      <c r="D553">
        <v>5</v>
      </c>
      <c r="E553">
        <f>WEEKDAY(makulatura5[[#This Row],[Data_dostarczenia]],2)</f>
        <v>5</v>
      </c>
      <c r="F553" s="2">
        <f t="shared" si="8"/>
        <v>0</v>
      </c>
    </row>
    <row r="554" spans="1:6" x14ac:dyDescent="0.25">
      <c r="A554" s="1">
        <v>42811</v>
      </c>
      <c r="B554" s="2" t="s">
        <v>101</v>
      </c>
      <c r="C554" s="2" t="s">
        <v>263</v>
      </c>
      <c r="D554">
        <v>23</v>
      </c>
      <c r="E554">
        <f>WEEKDAY(makulatura5[[#This Row],[Data_dostarczenia]],2)</f>
        <v>5</v>
      </c>
      <c r="F554" s="2">
        <f t="shared" si="8"/>
        <v>0</v>
      </c>
    </row>
    <row r="555" spans="1:6" x14ac:dyDescent="0.25">
      <c r="A555" s="1">
        <v>42811</v>
      </c>
      <c r="B555" s="2" t="s">
        <v>67</v>
      </c>
      <c r="C555" s="2" t="s">
        <v>460</v>
      </c>
      <c r="D555">
        <v>17</v>
      </c>
      <c r="E555">
        <f>WEEKDAY(makulatura5[[#This Row],[Data_dostarczenia]],2)</f>
        <v>5</v>
      </c>
      <c r="F555" s="2">
        <f t="shared" si="8"/>
        <v>0</v>
      </c>
    </row>
    <row r="556" spans="1:6" x14ac:dyDescent="0.25">
      <c r="A556" s="1">
        <v>42811</v>
      </c>
      <c r="B556" s="2" t="s">
        <v>193</v>
      </c>
      <c r="C556" s="2" t="s">
        <v>483</v>
      </c>
      <c r="D556">
        <v>54</v>
      </c>
      <c r="E556">
        <f>WEEKDAY(makulatura5[[#This Row],[Data_dostarczenia]],2)</f>
        <v>5</v>
      </c>
      <c r="F556" s="2">
        <f t="shared" si="8"/>
        <v>0</v>
      </c>
    </row>
    <row r="557" spans="1:6" x14ac:dyDescent="0.25">
      <c r="A557" s="1">
        <v>42811</v>
      </c>
      <c r="B557" s="2" t="s">
        <v>484</v>
      </c>
      <c r="C557" s="2" t="s">
        <v>485</v>
      </c>
      <c r="D557">
        <v>24</v>
      </c>
      <c r="E557">
        <f>WEEKDAY(makulatura5[[#This Row],[Data_dostarczenia]],2)</f>
        <v>5</v>
      </c>
      <c r="F557" s="2">
        <f t="shared" si="8"/>
        <v>1</v>
      </c>
    </row>
    <row r="558" spans="1:6" x14ac:dyDescent="0.25">
      <c r="A558" s="1">
        <v>42814</v>
      </c>
      <c r="B558" s="2" t="s">
        <v>176</v>
      </c>
      <c r="C558" s="2" t="s">
        <v>486</v>
      </c>
      <c r="D558">
        <v>19</v>
      </c>
      <c r="E558">
        <f>WEEKDAY(makulatura5[[#This Row],[Data_dostarczenia]],2)</f>
        <v>1</v>
      </c>
      <c r="F558" s="2">
        <f t="shared" si="8"/>
        <v>0</v>
      </c>
    </row>
    <row r="559" spans="1:6" x14ac:dyDescent="0.25">
      <c r="A559" s="1">
        <v>42814</v>
      </c>
      <c r="B559" s="2" t="s">
        <v>232</v>
      </c>
      <c r="C559" s="2" t="s">
        <v>487</v>
      </c>
      <c r="D559">
        <v>17</v>
      </c>
      <c r="E559">
        <f>WEEKDAY(makulatura5[[#This Row],[Data_dostarczenia]],2)</f>
        <v>1</v>
      </c>
      <c r="F559" s="2">
        <f t="shared" si="8"/>
        <v>0</v>
      </c>
    </row>
    <row r="560" spans="1:6" x14ac:dyDescent="0.25">
      <c r="A560" s="1">
        <v>42814</v>
      </c>
      <c r="B560" s="2" t="s">
        <v>81</v>
      </c>
      <c r="C560" s="2" t="s">
        <v>488</v>
      </c>
      <c r="D560">
        <v>20</v>
      </c>
      <c r="E560">
        <f>WEEKDAY(makulatura5[[#This Row],[Data_dostarczenia]],2)</f>
        <v>1</v>
      </c>
      <c r="F560" s="2">
        <f t="shared" si="8"/>
        <v>0</v>
      </c>
    </row>
    <row r="561" spans="1:6" x14ac:dyDescent="0.25">
      <c r="A561" s="1">
        <v>42814</v>
      </c>
      <c r="B561" s="2" t="s">
        <v>193</v>
      </c>
      <c r="C561" s="2" t="s">
        <v>194</v>
      </c>
      <c r="D561">
        <v>42</v>
      </c>
      <c r="E561">
        <f>WEEKDAY(makulatura5[[#This Row],[Data_dostarczenia]],2)</f>
        <v>1</v>
      </c>
      <c r="F561" s="2">
        <f t="shared" si="8"/>
        <v>0</v>
      </c>
    </row>
    <row r="562" spans="1:6" x14ac:dyDescent="0.25">
      <c r="A562" s="1">
        <v>42814</v>
      </c>
      <c r="B562" s="2" t="s">
        <v>36</v>
      </c>
      <c r="C562" s="2" t="s">
        <v>37</v>
      </c>
      <c r="D562">
        <v>14</v>
      </c>
      <c r="E562">
        <f>WEEKDAY(makulatura5[[#This Row],[Data_dostarczenia]],2)</f>
        <v>1</v>
      </c>
      <c r="F562" s="2">
        <f t="shared" si="8"/>
        <v>0</v>
      </c>
    </row>
    <row r="563" spans="1:6" x14ac:dyDescent="0.25">
      <c r="A563" s="1">
        <v>42814</v>
      </c>
      <c r="B563" s="2" t="s">
        <v>4</v>
      </c>
      <c r="C563" s="2" t="s">
        <v>489</v>
      </c>
      <c r="D563">
        <v>10</v>
      </c>
      <c r="E563">
        <f>WEEKDAY(makulatura5[[#This Row],[Data_dostarczenia]],2)</f>
        <v>1</v>
      </c>
      <c r="F563" s="2">
        <f t="shared" si="8"/>
        <v>0</v>
      </c>
    </row>
    <row r="564" spans="1:6" x14ac:dyDescent="0.25">
      <c r="A564" s="1">
        <v>42814</v>
      </c>
      <c r="B564" s="2" t="s">
        <v>36</v>
      </c>
      <c r="C564" s="2" t="s">
        <v>490</v>
      </c>
      <c r="D564">
        <v>24</v>
      </c>
      <c r="E564">
        <f>WEEKDAY(makulatura5[[#This Row],[Data_dostarczenia]],2)</f>
        <v>1</v>
      </c>
      <c r="F564" s="2">
        <f t="shared" si="8"/>
        <v>0</v>
      </c>
    </row>
    <row r="565" spans="1:6" x14ac:dyDescent="0.25">
      <c r="A565" s="1">
        <v>42814</v>
      </c>
      <c r="B565" s="2" t="s">
        <v>97</v>
      </c>
      <c r="C565" s="2" t="s">
        <v>309</v>
      </c>
      <c r="D565">
        <v>10</v>
      </c>
      <c r="E565">
        <f>WEEKDAY(makulatura5[[#This Row],[Data_dostarczenia]],2)</f>
        <v>1</v>
      </c>
      <c r="F565" s="2">
        <f t="shared" si="8"/>
        <v>0</v>
      </c>
    </row>
    <row r="566" spans="1:6" x14ac:dyDescent="0.25">
      <c r="A566" s="1">
        <v>42814</v>
      </c>
      <c r="B566" s="2" t="s">
        <v>314</v>
      </c>
      <c r="C566" s="2" t="s">
        <v>315</v>
      </c>
      <c r="D566">
        <v>17</v>
      </c>
      <c r="E566">
        <f>WEEKDAY(makulatura5[[#This Row],[Data_dostarczenia]],2)</f>
        <v>1</v>
      </c>
      <c r="F566" s="2">
        <f t="shared" si="8"/>
        <v>0</v>
      </c>
    </row>
    <row r="567" spans="1:6" x14ac:dyDescent="0.25">
      <c r="A567" s="1">
        <v>42814</v>
      </c>
      <c r="B567" s="2" t="s">
        <v>8</v>
      </c>
      <c r="C567" s="2" t="s">
        <v>491</v>
      </c>
      <c r="D567">
        <v>4</v>
      </c>
      <c r="E567">
        <f>WEEKDAY(makulatura5[[#This Row],[Data_dostarczenia]],2)</f>
        <v>1</v>
      </c>
      <c r="F567" s="2">
        <f t="shared" si="8"/>
        <v>1</v>
      </c>
    </row>
    <row r="568" spans="1:6" x14ac:dyDescent="0.25">
      <c r="A568" s="1">
        <v>42815</v>
      </c>
      <c r="B568" s="2" t="s">
        <v>55</v>
      </c>
      <c r="C568" s="2" t="s">
        <v>492</v>
      </c>
      <c r="D568">
        <v>30</v>
      </c>
      <c r="E568">
        <f>WEEKDAY(makulatura5[[#This Row],[Data_dostarczenia]],2)</f>
        <v>2</v>
      </c>
      <c r="F568" s="2">
        <f t="shared" si="8"/>
        <v>0</v>
      </c>
    </row>
    <row r="569" spans="1:6" x14ac:dyDescent="0.25">
      <c r="A569" s="1">
        <v>42815</v>
      </c>
      <c r="B569" s="2" t="s">
        <v>374</v>
      </c>
      <c r="C569" s="2" t="s">
        <v>375</v>
      </c>
      <c r="D569">
        <v>13</v>
      </c>
      <c r="E569">
        <f>WEEKDAY(makulatura5[[#This Row],[Data_dostarczenia]],2)</f>
        <v>2</v>
      </c>
      <c r="F569" s="2">
        <f t="shared" si="8"/>
        <v>0</v>
      </c>
    </row>
    <row r="570" spans="1:6" x14ac:dyDescent="0.25">
      <c r="A570" s="1">
        <v>42815</v>
      </c>
      <c r="B570" s="2" t="s">
        <v>206</v>
      </c>
      <c r="C570" s="2" t="s">
        <v>332</v>
      </c>
      <c r="D570">
        <v>8</v>
      </c>
      <c r="E570">
        <f>WEEKDAY(makulatura5[[#This Row],[Data_dostarczenia]],2)</f>
        <v>2</v>
      </c>
      <c r="F570" s="2">
        <f t="shared" si="8"/>
        <v>0</v>
      </c>
    </row>
    <row r="571" spans="1:6" x14ac:dyDescent="0.25">
      <c r="A571" s="1">
        <v>42815</v>
      </c>
      <c r="B571" s="2" t="s">
        <v>55</v>
      </c>
      <c r="C571" s="2" t="s">
        <v>493</v>
      </c>
      <c r="D571">
        <v>21</v>
      </c>
      <c r="E571">
        <f>WEEKDAY(makulatura5[[#This Row],[Data_dostarczenia]],2)</f>
        <v>2</v>
      </c>
      <c r="F571" s="2">
        <f t="shared" si="8"/>
        <v>0</v>
      </c>
    </row>
    <row r="572" spans="1:6" x14ac:dyDescent="0.25">
      <c r="A572" s="1">
        <v>42815</v>
      </c>
      <c r="B572" s="2" t="s">
        <v>494</v>
      </c>
      <c r="C572" s="2" t="s">
        <v>495</v>
      </c>
      <c r="D572">
        <v>7</v>
      </c>
      <c r="E572">
        <f>WEEKDAY(makulatura5[[#This Row],[Data_dostarczenia]],2)</f>
        <v>2</v>
      </c>
      <c r="F572" s="2">
        <f t="shared" si="8"/>
        <v>0</v>
      </c>
    </row>
    <row r="573" spans="1:6" x14ac:dyDescent="0.25">
      <c r="A573" s="1">
        <v>42815</v>
      </c>
      <c r="B573" s="2" t="s">
        <v>97</v>
      </c>
      <c r="C573" s="2" t="s">
        <v>188</v>
      </c>
      <c r="D573">
        <v>13</v>
      </c>
      <c r="E573">
        <f>WEEKDAY(makulatura5[[#This Row],[Data_dostarczenia]],2)</f>
        <v>2</v>
      </c>
      <c r="F573" s="2">
        <f t="shared" si="8"/>
        <v>0</v>
      </c>
    </row>
    <row r="574" spans="1:6" x14ac:dyDescent="0.25">
      <c r="A574" s="1">
        <v>42815</v>
      </c>
      <c r="B574" s="2" t="s">
        <v>81</v>
      </c>
      <c r="C574" s="2" t="s">
        <v>496</v>
      </c>
      <c r="D574">
        <v>19</v>
      </c>
      <c r="E574">
        <f>WEEKDAY(makulatura5[[#This Row],[Data_dostarczenia]],2)</f>
        <v>2</v>
      </c>
      <c r="F574" s="2">
        <f t="shared" si="8"/>
        <v>0</v>
      </c>
    </row>
    <row r="575" spans="1:6" x14ac:dyDescent="0.25">
      <c r="A575" s="1">
        <v>42815</v>
      </c>
      <c r="B575" s="2" t="s">
        <v>128</v>
      </c>
      <c r="C575" s="2" t="s">
        <v>309</v>
      </c>
      <c r="D575">
        <v>47</v>
      </c>
      <c r="E575">
        <f>WEEKDAY(makulatura5[[#This Row],[Data_dostarczenia]],2)</f>
        <v>2</v>
      </c>
      <c r="F575" s="2">
        <f t="shared" si="8"/>
        <v>0</v>
      </c>
    </row>
    <row r="576" spans="1:6" x14ac:dyDescent="0.25">
      <c r="A576" s="1">
        <v>42815</v>
      </c>
      <c r="B576" s="2" t="s">
        <v>355</v>
      </c>
      <c r="C576" s="2" t="s">
        <v>356</v>
      </c>
      <c r="D576">
        <v>15</v>
      </c>
      <c r="E576">
        <f>WEEKDAY(makulatura5[[#This Row],[Data_dostarczenia]],2)</f>
        <v>2</v>
      </c>
      <c r="F576" s="2">
        <f t="shared" si="8"/>
        <v>0</v>
      </c>
    </row>
    <row r="577" spans="1:6" x14ac:dyDescent="0.25">
      <c r="A577" s="1">
        <v>42815</v>
      </c>
      <c r="B577" s="2" t="s">
        <v>355</v>
      </c>
      <c r="C577" s="2" t="s">
        <v>497</v>
      </c>
      <c r="D577">
        <v>50</v>
      </c>
      <c r="E577">
        <f>WEEKDAY(makulatura5[[#This Row],[Data_dostarczenia]],2)</f>
        <v>2</v>
      </c>
      <c r="F577" s="2">
        <f t="shared" si="8"/>
        <v>1</v>
      </c>
    </row>
    <row r="578" spans="1:6" x14ac:dyDescent="0.25">
      <c r="A578" s="1">
        <v>42816</v>
      </c>
      <c r="B578" s="2" t="s">
        <v>498</v>
      </c>
      <c r="C578" s="2" t="s">
        <v>110</v>
      </c>
      <c r="D578">
        <v>10</v>
      </c>
      <c r="E578">
        <f>WEEKDAY(makulatura5[[#This Row],[Data_dostarczenia]],2)</f>
        <v>3</v>
      </c>
      <c r="F578" s="2">
        <f t="shared" ref="F578:F641" si="9">IF(A579=A578,0,1)</f>
        <v>0</v>
      </c>
    </row>
    <row r="579" spans="1:6" x14ac:dyDescent="0.25">
      <c r="A579" s="1">
        <v>42816</v>
      </c>
      <c r="B579" s="2" t="s">
        <v>267</v>
      </c>
      <c r="C579" s="2" t="s">
        <v>268</v>
      </c>
      <c r="D579">
        <v>21</v>
      </c>
      <c r="E579">
        <f>WEEKDAY(makulatura5[[#This Row],[Data_dostarczenia]],2)</f>
        <v>3</v>
      </c>
      <c r="F579" s="2">
        <f t="shared" si="9"/>
        <v>0</v>
      </c>
    </row>
    <row r="580" spans="1:6" x14ac:dyDescent="0.25">
      <c r="A580" s="1">
        <v>42816</v>
      </c>
      <c r="B580" s="2" t="s">
        <v>133</v>
      </c>
      <c r="C580" s="2" t="s">
        <v>499</v>
      </c>
      <c r="D580">
        <v>7</v>
      </c>
      <c r="E580">
        <f>WEEKDAY(makulatura5[[#This Row],[Data_dostarczenia]],2)</f>
        <v>3</v>
      </c>
      <c r="F580" s="2">
        <f t="shared" si="9"/>
        <v>0</v>
      </c>
    </row>
    <row r="581" spans="1:6" x14ac:dyDescent="0.25">
      <c r="A581" s="1">
        <v>42816</v>
      </c>
      <c r="B581" s="2" t="s">
        <v>47</v>
      </c>
      <c r="C581" s="2" t="s">
        <v>334</v>
      </c>
      <c r="D581">
        <v>13</v>
      </c>
      <c r="E581">
        <f>WEEKDAY(makulatura5[[#This Row],[Data_dostarczenia]],2)</f>
        <v>3</v>
      </c>
      <c r="F581" s="2">
        <f t="shared" si="9"/>
        <v>0</v>
      </c>
    </row>
    <row r="582" spans="1:6" x14ac:dyDescent="0.25">
      <c r="A582" s="1">
        <v>42816</v>
      </c>
      <c r="B582" s="2" t="s">
        <v>18</v>
      </c>
      <c r="C582" s="2" t="s">
        <v>19</v>
      </c>
      <c r="D582">
        <v>27</v>
      </c>
      <c r="E582">
        <f>WEEKDAY(makulatura5[[#This Row],[Data_dostarczenia]],2)</f>
        <v>3</v>
      </c>
      <c r="F582" s="2">
        <f t="shared" si="9"/>
        <v>0</v>
      </c>
    </row>
    <row r="583" spans="1:6" x14ac:dyDescent="0.25">
      <c r="A583" s="1">
        <v>42816</v>
      </c>
      <c r="B583" s="2" t="s">
        <v>75</v>
      </c>
      <c r="C583" s="2" t="s">
        <v>500</v>
      </c>
      <c r="D583">
        <v>23</v>
      </c>
      <c r="E583">
        <f>WEEKDAY(makulatura5[[#This Row],[Data_dostarczenia]],2)</f>
        <v>3</v>
      </c>
      <c r="F583" s="2">
        <f t="shared" si="9"/>
        <v>0</v>
      </c>
    </row>
    <row r="584" spans="1:6" x14ac:dyDescent="0.25">
      <c r="A584" s="1">
        <v>42816</v>
      </c>
      <c r="B584" s="2" t="s">
        <v>18</v>
      </c>
      <c r="C584" s="2" t="s">
        <v>19</v>
      </c>
      <c r="D584">
        <v>18</v>
      </c>
      <c r="E584">
        <f>WEEKDAY(makulatura5[[#This Row],[Data_dostarczenia]],2)</f>
        <v>3</v>
      </c>
      <c r="F584" s="2">
        <f t="shared" si="9"/>
        <v>0</v>
      </c>
    </row>
    <row r="585" spans="1:6" x14ac:dyDescent="0.25">
      <c r="A585" s="1">
        <v>42816</v>
      </c>
      <c r="B585" s="2" t="s">
        <v>178</v>
      </c>
      <c r="C585" s="2" t="s">
        <v>376</v>
      </c>
      <c r="D585">
        <v>16</v>
      </c>
      <c r="E585">
        <f>WEEKDAY(makulatura5[[#This Row],[Data_dostarczenia]],2)</f>
        <v>3</v>
      </c>
      <c r="F585" s="2">
        <f t="shared" si="9"/>
        <v>0</v>
      </c>
    </row>
    <row r="586" spans="1:6" x14ac:dyDescent="0.25">
      <c r="A586" s="1">
        <v>42816</v>
      </c>
      <c r="B586" s="2" t="s">
        <v>83</v>
      </c>
      <c r="C586" s="2" t="s">
        <v>350</v>
      </c>
      <c r="D586">
        <v>21</v>
      </c>
      <c r="E586">
        <f>WEEKDAY(makulatura5[[#This Row],[Data_dostarczenia]],2)</f>
        <v>3</v>
      </c>
      <c r="F586" s="2">
        <f t="shared" si="9"/>
        <v>0</v>
      </c>
    </row>
    <row r="587" spans="1:6" x14ac:dyDescent="0.25">
      <c r="A587" s="1">
        <v>42816</v>
      </c>
      <c r="B587" s="2" t="s">
        <v>393</v>
      </c>
      <c r="C587" s="2" t="s">
        <v>419</v>
      </c>
      <c r="D587">
        <v>17</v>
      </c>
      <c r="E587">
        <f>WEEKDAY(makulatura5[[#This Row],[Data_dostarczenia]],2)</f>
        <v>3</v>
      </c>
      <c r="F587" s="2">
        <f t="shared" si="9"/>
        <v>1</v>
      </c>
    </row>
    <row r="588" spans="1:6" x14ac:dyDescent="0.25">
      <c r="A588" s="1">
        <v>42817</v>
      </c>
      <c r="B588" s="2" t="s">
        <v>30</v>
      </c>
      <c r="C588" s="2" t="s">
        <v>89</v>
      </c>
      <c r="D588">
        <v>21</v>
      </c>
      <c r="E588">
        <f>WEEKDAY(makulatura5[[#This Row],[Data_dostarczenia]],2)</f>
        <v>4</v>
      </c>
      <c r="F588" s="2">
        <f t="shared" si="9"/>
        <v>0</v>
      </c>
    </row>
    <row r="589" spans="1:6" x14ac:dyDescent="0.25">
      <c r="A589" s="1">
        <v>42817</v>
      </c>
      <c r="B589" s="2" t="s">
        <v>343</v>
      </c>
      <c r="C589" s="2" t="s">
        <v>501</v>
      </c>
      <c r="D589">
        <v>19</v>
      </c>
      <c r="E589">
        <f>WEEKDAY(makulatura5[[#This Row],[Data_dostarczenia]],2)</f>
        <v>4</v>
      </c>
      <c r="F589" s="2">
        <f t="shared" si="9"/>
        <v>0</v>
      </c>
    </row>
    <row r="590" spans="1:6" x14ac:dyDescent="0.25">
      <c r="A590" s="1">
        <v>42817</v>
      </c>
      <c r="B590" s="2" t="s">
        <v>393</v>
      </c>
      <c r="C590" s="2" t="s">
        <v>398</v>
      </c>
      <c r="D590">
        <v>24</v>
      </c>
      <c r="E590">
        <f>WEEKDAY(makulatura5[[#This Row],[Data_dostarczenia]],2)</f>
        <v>4</v>
      </c>
      <c r="F590" s="2">
        <f t="shared" si="9"/>
        <v>0</v>
      </c>
    </row>
    <row r="591" spans="1:6" x14ac:dyDescent="0.25">
      <c r="A591" s="1">
        <v>42817</v>
      </c>
      <c r="B591" s="2" t="s">
        <v>442</v>
      </c>
      <c r="C591" s="2" t="s">
        <v>502</v>
      </c>
      <c r="D591">
        <v>16</v>
      </c>
      <c r="E591">
        <f>WEEKDAY(makulatura5[[#This Row],[Data_dostarczenia]],2)</f>
        <v>4</v>
      </c>
      <c r="F591" s="2">
        <f t="shared" si="9"/>
        <v>0</v>
      </c>
    </row>
    <row r="592" spans="1:6" x14ac:dyDescent="0.25">
      <c r="A592" s="1">
        <v>42817</v>
      </c>
      <c r="B592" s="2" t="s">
        <v>503</v>
      </c>
      <c r="C592" s="2" t="s">
        <v>183</v>
      </c>
      <c r="D592">
        <v>8</v>
      </c>
      <c r="E592">
        <f>WEEKDAY(makulatura5[[#This Row],[Data_dostarczenia]],2)</f>
        <v>4</v>
      </c>
      <c r="F592" s="2">
        <f t="shared" si="9"/>
        <v>0</v>
      </c>
    </row>
    <row r="593" spans="1:6" x14ac:dyDescent="0.25">
      <c r="A593" s="1">
        <v>42817</v>
      </c>
      <c r="B593" s="2" t="s">
        <v>232</v>
      </c>
      <c r="C593" s="2" t="s">
        <v>233</v>
      </c>
      <c r="D593">
        <v>27</v>
      </c>
      <c r="E593">
        <f>WEEKDAY(makulatura5[[#This Row],[Data_dostarczenia]],2)</f>
        <v>4</v>
      </c>
      <c r="F593" s="2">
        <f t="shared" si="9"/>
        <v>0</v>
      </c>
    </row>
    <row r="594" spans="1:6" x14ac:dyDescent="0.25">
      <c r="A594" s="1">
        <v>42817</v>
      </c>
      <c r="B594" s="2" t="s">
        <v>393</v>
      </c>
      <c r="C594" s="2" t="s">
        <v>394</v>
      </c>
      <c r="D594">
        <v>25</v>
      </c>
      <c r="E594">
        <f>WEEKDAY(makulatura5[[#This Row],[Data_dostarczenia]],2)</f>
        <v>4</v>
      </c>
      <c r="F594" s="2">
        <f t="shared" si="9"/>
        <v>0</v>
      </c>
    </row>
    <row r="595" spans="1:6" x14ac:dyDescent="0.25">
      <c r="A595" s="1">
        <v>42817</v>
      </c>
      <c r="B595" s="2" t="s">
        <v>36</v>
      </c>
      <c r="C595" s="2" t="s">
        <v>295</v>
      </c>
      <c r="D595">
        <v>10</v>
      </c>
      <c r="E595">
        <f>WEEKDAY(makulatura5[[#This Row],[Data_dostarczenia]],2)</f>
        <v>4</v>
      </c>
      <c r="F595" s="2">
        <f t="shared" si="9"/>
        <v>0</v>
      </c>
    </row>
    <row r="596" spans="1:6" x14ac:dyDescent="0.25">
      <c r="A596" s="1">
        <v>42817</v>
      </c>
      <c r="B596" s="2" t="s">
        <v>10</v>
      </c>
      <c r="C596" s="2" t="s">
        <v>504</v>
      </c>
      <c r="D596">
        <v>11</v>
      </c>
      <c r="E596">
        <f>WEEKDAY(makulatura5[[#This Row],[Data_dostarczenia]],2)</f>
        <v>4</v>
      </c>
      <c r="F596" s="2">
        <f t="shared" si="9"/>
        <v>0</v>
      </c>
    </row>
    <row r="597" spans="1:6" x14ac:dyDescent="0.25">
      <c r="A597" s="1">
        <v>42817</v>
      </c>
      <c r="B597" s="2" t="s">
        <v>310</v>
      </c>
      <c r="C597" s="2" t="s">
        <v>505</v>
      </c>
      <c r="D597">
        <v>3</v>
      </c>
      <c r="E597">
        <f>WEEKDAY(makulatura5[[#This Row],[Data_dostarczenia]],2)</f>
        <v>4</v>
      </c>
      <c r="F597" s="2">
        <f t="shared" si="9"/>
        <v>1</v>
      </c>
    </row>
    <row r="598" spans="1:6" x14ac:dyDescent="0.25">
      <c r="A598" s="1">
        <v>42818</v>
      </c>
      <c r="B598" s="2" t="s">
        <v>4</v>
      </c>
      <c r="C598" s="2" t="s">
        <v>489</v>
      </c>
      <c r="D598">
        <v>15</v>
      </c>
      <c r="E598">
        <f>WEEKDAY(makulatura5[[#This Row],[Data_dostarczenia]],2)</f>
        <v>5</v>
      </c>
      <c r="F598" s="2">
        <f t="shared" si="9"/>
        <v>0</v>
      </c>
    </row>
    <row r="599" spans="1:6" x14ac:dyDescent="0.25">
      <c r="A599" s="1">
        <v>42818</v>
      </c>
      <c r="B599" s="2" t="s">
        <v>87</v>
      </c>
      <c r="C599" s="2" t="s">
        <v>124</v>
      </c>
      <c r="D599">
        <v>14</v>
      </c>
      <c r="E599">
        <f>WEEKDAY(makulatura5[[#This Row],[Data_dostarczenia]],2)</f>
        <v>5</v>
      </c>
      <c r="F599" s="2">
        <f t="shared" si="9"/>
        <v>0</v>
      </c>
    </row>
    <row r="600" spans="1:6" x14ac:dyDescent="0.25">
      <c r="A600" s="1">
        <v>42818</v>
      </c>
      <c r="B600" s="2" t="s">
        <v>55</v>
      </c>
      <c r="C600" s="2" t="s">
        <v>506</v>
      </c>
      <c r="D600">
        <v>37</v>
      </c>
      <c r="E600">
        <f>WEEKDAY(makulatura5[[#This Row],[Data_dostarczenia]],2)</f>
        <v>5</v>
      </c>
      <c r="F600" s="2">
        <f t="shared" si="9"/>
        <v>0</v>
      </c>
    </row>
    <row r="601" spans="1:6" x14ac:dyDescent="0.25">
      <c r="A601" s="1">
        <v>42818</v>
      </c>
      <c r="B601" s="2" t="s">
        <v>43</v>
      </c>
      <c r="C601" s="2" t="s">
        <v>507</v>
      </c>
      <c r="D601">
        <v>22</v>
      </c>
      <c r="E601">
        <f>WEEKDAY(makulatura5[[#This Row],[Data_dostarczenia]],2)</f>
        <v>5</v>
      </c>
      <c r="F601" s="2">
        <f t="shared" si="9"/>
        <v>0</v>
      </c>
    </row>
    <row r="602" spans="1:6" x14ac:dyDescent="0.25">
      <c r="A602" s="1">
        <v>42818</v>
      </c>
      <c r="B602" s="2" t="s">
        <v>67</v>
      </c>
      <c r="C602" s="2" t="s">
        <v>301</v>
      </c>
      <c r="D602">
        <v>5</v>
      </c>
      <c r="E602">
        <f>WEEKDAY(makulatura5[[#This Row],[Data_dostarczenia]],2)</f>
        <v>5</v>
      </c>
      <c r="F602" s="2">
        <f t="shared" si="9"/>
        <v>0</v>
      </c>
    </row>
    <row r="603" spans="1:6" x14ac:dyDescent="0.25">
      <c r="A603" s="1">
        <v>42818</v>
      </c>
      <c r="B603" s="2" t="s">
        <v>30</v>
      </c>
      <c r="C603" s="2" t="s">
        <v>227</v>
      </c>
      <c r="D603">
        <v>29</v>
      </c>
      <c r="E603">
        <f>WEEKDAY(makulatura5[[#This Row],[Data_dostarczenia]],2)</f>
        <v>5</v>
      </c>
      <c r="F603" s="2">
        <f t="shared" si="9"/>
        <v>0</v>
      </c>
    </row>
    <row r="604" spans="1:6" x14ac:dyDescent="0.25">
      <c r="A604" s="1">
        <v>42818</v>
      </c>
      <c r="B604" s="2" t="s">
        <v>32</v>
      </c>
      <c r="C604" s="2" t="s">
        <v>33</v>
      </c>
      <c r="D604">
        <v>25</v>
      </c>
      <c r="E604">
        <f>WEEKDAY(makulatura5[[#This Row],[Data_dostarczenia]],2)</f>
        <v>5</v>
      </c>
      <c r="F604" s="2">
        <f t="shared" si="9"/>
        <v>0</v>
      </c>
    </row>
    <row r="605" spans="1:6" x14ac:dyDescent="0.25">
      <c r="A605" s="1">
        <v>42818</v>
      </c>
      <c r="B605" s="2" t="s">
        <v>101</v>
      </c>
      <c r="C605" s="2" t="s">
        <v>223</v>
      </c>
      <c r="D605">
        <v>52</v>
      </c>
      <c r="E605">
        <f>WEEKDAY(makulatura5[[#This Row],[Data_dostarczenia]],2)</f>
        <v>5</v>
      </c>
      <c r="F605" s="2">
        <f t="shared" si="9"/>
        <v>0</v>
      </c>
    </row>
    <row r="606" spans="1:6" x14ac:dyDescent="0.25">
      <c r="A606" s="1">
        <v>42818</v>
      </c>
      <c r="B606" s="2" t="s">
        <v>508</v>
      </c>
      <c r="C606" s="2" t="s">
        <v>509</v>
      </c>
      <c r="D606">
        <v>2</v>
      </c>
      <c r="E606">
        <f>WEEKDAY(makulatura5[[#This Row],[Data_dostarczenia]],2)</f>
        <v>5</v>
      </c>
      <c r="F606" s="2">
        <f t="shared" si="9"/>
        <v>0</v>
      </c>
    </row>
    <row r="607" spans="1:6" x14ac:dyDescent="0.25">
      <c r="A607" s="1">
        <v>42818</v>
      </c>
      <c r="B607" s="2" t="s">
        <v>75</v>
      </c>
      <c r="C607" s="2" t="s">
        <v>76</v>
      </c>
      <c r="D607">
        <v>27</v>
      </c>
      <c r="E607">
        <f>WEEKDAY(makulatura5[[#This Row],[Data_dostarczenia]],2)</f>
        <v>5</v>
      </c>
      <c r="F607" s="2">
        <f t="shared" si="9"/>
        <v>1</v>
      </c>
    </row>
    <row r="608" spans="1:6" x14ac:dyDescent="0.25">
      <c r="A608" s="1">
        <v>42821</v>
      </c>
      <c r="B608" s="2" t="s">
        <v>121</v>
      </c>
      <c r="C608" s="2" t="s">
        <v>122</v>
      </c>
      <c r="D608">
        <v>43</v>
      </c>
      <c r="E608">
        <f>WEEKDAY(makulatura5[[#This Row],[Data_dostarczenia]],2)</f>
        <v>1</v>
      </c>
      <c r="F608" s="2">
        <f t="shared" si="9"/>
        <v>0</v>
      </c>
    </row>
    <row r="609" spans="1:6" x14ac:dyDescent="0.25">
      <c r="A609" s="1">
        <v>42821</v>
      </c>
      <c r="B609" s="2" t="s">
        <v>169</v>
      </c>
      <c r="C609" s="2" t="s">
        <v>170</v>
      </c>
      <c r="D609">
        <v>23</v>
      </c>
      <c r="E609">
        <f>WEEKDAY(makulatura5[[#This Row],[Data_dostarczenia]],2)</f>
        <v>1</v>
      </c>
      <c r="F609" s="2">
        <f t="shared" si="9"/>
        <v>0</v>
      </c>
    </row>
    <row r="610" spans="1:6" x14ac:dyDescent="0.25">
      <c r="A610" s="1">
        <v>42821</v>
      </c>
      <c r="B610" s="2" t="s">
        <v>361</v>
      </c>
      <c r="C610" s="2" t="s">
        <v>362</v>
      </c>
      <c r="D610">
        <v>19</v>
      </c>
      <c r="E610">
        <f>WEEKDAY(makulatura5[[#This Row],[Data_dostarczenia]],2)</f>
        <v>1</v>
      </c>
      <c r="F610" s="2">
        <f t="shared" si="9"/>
        <v>0</v>
      </c>
    </row>
    <row r="611" spans="1:6" x14ac:dyDescent="0.25">
      <c r="A611" s="1">
        <v>42821</v>
      </c>
      <c r="B611" s="2" t="s">
        <v>16</v>
      </c>
      <c r="C611" s="2" t="s">
        <v>440</v>
      </c>
      <c r="D611">
        <v>36</v>
      </c>
      <c r="E611">
        <f>WEEKDAY(makulatura5[[#This Row],[Data_dostarczenia]],2)</f>
        <v>1</v>
      </c>
      <c r="F611" s="2">
        <f t="shared" si="9"/>
        <v>0</v>
      </c>
    </row>
    <row r="612" spans="1:6" x14ac:dyDescent="0.25">
      <c r="A612" s="1">
        <v>42821</v>
      </c>
      <c r="B612" s="2" t="s">
        <v>57</v>
      </c>
      <c r="C612" s="2" t="s">
        <v>418</v>
      </c>
      <c r="D612">
        <v>26</v>
      </c>
      <c r="E612">
        <f>WEEKDAY(makulatura5[[#This Row],[Data_dostarczenia]],2)</f>
        <v>1</v>
      </c>
      <c r="F612" s="2">
        <f t="shared" si="9"/>
        <v>0</v>
      </c>
    </row>
    <row r="613" spans="1:6" x14ac:dyDescent="0.25">
      <c r="A613" s="1">
        <v>42821</v>
      </c>
      <c r="B613" s="2" t="s">
        <v>143</v>
      </c>
      <c r="C613" s="2" t="s">
        <v>510</v>
      </c>
      <c r="D613">
        <v>24</v>
      </c>
      <c r="E613">
        <f>WEEKDAY(makulatura5[[#This Row],[Data_dostarczenia]],2)</f>
        <v>1</v>
      </c>
      <c r="F613" s="2">
        <f t="shared" si="9"/>
        <v>0</v>
      </c>
    </row>
    <row r="614" spans="1:6" x14ac:dyDescent="0.25">
      <c r="A614" s="1">
        <v>42821</v>
      </c>
      <c r="B614" s="2" t="s">
        <v>119</v>
      </c>
      <c r="C614" s="2" t="s">
        <v>380</v>
      </c>
      <c r="D614">
        <v>5</v>
      </c>
      <c r="E614">
        <f>WEEKDAY(makulatura5[[#This Row],[Data_dostarczenia]],2)</f>
        <v>1</v>
      </c>
      <c r="F614" s="2">
        <f t="shared" si="9"/>
        <v>0</v>
      </c>
    </row>
    <row r="615" spans="1:6" x14ac:dyDescent="0.25">
      <c r="A615" s="1">
        <v>42821</v>
      </c>
      <c r="B615" s="2" t="s">
        <v>39</v>
      </c>
      <c r="C615" s="2" t="s">
        <v>391</v>
      </c>
      <c r="D615">
        <v>53</v>
      </c>
      <c r="E615">
        <f>WEEKDAY(makulatura5[[#This Row],[Data_dostarczenia]],2)</f>
        <v>1</v>
      </c>
      <c r="F615" s="2">
        <f t="shared" si="9"/>
        <v>0</v>
      </c>
    </row>
    <row r="616" spans="1:6" x14ac:dyDescent="0.25">
      <c r="A616" s="1">
        <v>42821</v>
      </c>
      <c r="B616" s="2" t="s">
        <v>10</v>
      </c>
      <c r="C616" s="2" t="s">
        <v>504</v>
      </c>
      <c r="D616">
        <v>18</v>
      </c>
      <c r="E616">
        <f>WEEKDAY(makulatura5[[#This Row],[Data_dostarczenia]],2)</f>
        <v>1</v>
      </c>
      <c r="F616" s="2">
        <f t="shared" si="9"/>
        <v>0</v>
      </c>
    </row>
    <row r="617" spans="1:6" x14ac:dyDescent="0.25">
      <c r="A617" s="1">
        <v>42821</v>
      </c>
      <c r="B617" s="2" t="s">
        <v>36</v>
      </c>
      <c r="C617" s="2" t="s">
        <v>490</v>
      </c>
      <c r="D617">
        <v>15</v>
      </c>
      <c r="E617">
        <f>WEEKDAY(makulatura5[[#This Row],[Data_dostarczenia]],2)</f>
        <v>1</v>
      </c>
      <c r="F617" s="2">
        <f t="shared" si="9"/>
        <v>1</v>
      </c>
    </row>
    <row r="618" spans="1:6" x14ac:dyDescent="0.25">
      <c r="A618" s="1">
        <v>42822</v>
      </c>
      <c r="B618" s="2" t="s">
        <v>152</v>
      </c>
      <c r="C618" s="2" t="s">
        <v>511</v>
      </c>
      <c r="D618">
        <v>20</v>
      </c>
      <c r="E618">
        <f>WEEKDAY(makulatura5[[#This Row],[Data_dostarczenia]],2)</f>
        <v>2</v>
      </c>
      <c r="F618" s="2">
        <f t="shared" si="9"/>
        <v>0</v>
      </c>
    </row>
    <row r="619" spans="1:6" x14ac:dyDescent="0.25">
      <c r="A619" s="1">
        <v>42822</v>
      </c>
      <c r="B619" s="2" t="s">
        <v>141</v>
      </c>
      <c r="C619" s="2" t="s">
        <v>512</v>
      </c>
      <c r="D619">
        <v>34</v>
      </c>
      <c r="E619">
        <f>WEEKDAY(makulatura5[[#This Row],[Data_dostarczenia]],2)</f>
        <v>2</v>
      </c>
      <c r="F619" s="2">
        <f t="shared" si="9"/>
        <v>0</v>
      </c>
    </row>
    <row r="620" spans="1:6" x14ac:dyDescent="0.25">
      <c r="A620" s="1">
        <v>42822</v>
      </c>
      <c r="B620" s="2" t="s">
        <v>63</v>
      </c>
      <c r="C620" s="2" t="s">
        <v>64</v>
      </c>
      <c r="D620">
        <v>35</v>
      </c>
      <c r="E620">
        <f>WEEKDAY(makulatura5[[#This Row],[Data_dostarczenia]],2)</f>
        <v>2</v>
      </c>
      <c r="F620" s="2">
        <f t="shared" si="9"/>
        <v>0</v>
      </c>
    </row>
    <row r="621" spans="1:6" x14ac:dyDescent="0.25">
      <c r="A621" s="1">
        <v>42822</v>
      </c>
      <c r="B621" s="2" t="s">
        <v>83</v>
      </c>
      <c r="C621" s="2" t="s">
        <v>513</v>
      </c>
      <c r="D621">
        <v>29</v>
      </c>
      <c r="E621">
        <f>WEEKDAY(makulatura5[[#This Row],[Data_dostarczenia]],2)</f>
        <v>2</v>
      </c>
      <c r="F621" s="2">
        <f t="shared" si="9"/>
        <v>0</v>
      </c>
    </row>
    <row r="622" spans="1:6" x14ac:dyDescent="0.25">
      <c r="A622" s="1">
        <v>42822</v>
      </c>
      <c r="B622" s="2" t="s">
        <v>442</v>
      </c>
      <c r="C622" s="2" t="s">
        <v>502</v>
      </c>
      <c r="D622">
        <v>7</v>
      </c>
      <c r="E622">
        <f>WEEKDAY(makulatura5[[#This Row],[Data_dostarczenia]],2)</f>
        <v>2</v>
      </c>
      <c r="F622" s="2">
        <f t="shared" si="9"/>
        <v>0</v>
      </c>
    </row>
    <row r="623" spans="1:6" x14ac:dyDescent="0.25">
      <c r="A623" s="1">
        <v>42822</v>
      </c>
      <c r="B623" s="2" t="s">
        <v>41</v>
      </c>
      <c r="C623" s="2" t="s">
        <v>238</v>
      </c>
      <c r="D623">
        <v>10</v>
      </c>
      <c r="E623">
        <f>WEEKDAY(makulatura5[[#This Row],[Data_dostarczenia]],2)</f>
        <v>2</v>
      </c>
      <c r="F623" s="2">
        <f t="shared" si="9"/>
        <v>0</v>
      </c>
    </row>
    <row r="624" spans="1:6" x14ac:dyDescent="0.25">
      <c r="A624" s="1">
        <v>42822</v>
      </c>
      <c r="B624" s="2" t="s">
        <v>514</v>
      </c>
      <c r="C624" s="2" t="s">
        <v>515</v>
      </c>
      <c r="D624">
        <v>14</v>
      </c>
      <c r="E624">
        <f>WEEKDAY(makulatura5[[#This Row],[Data_dostarczenia]],2)</f>
        <v>2</v>
      </c>
      <c r="F624" s="2">
        <f t="shared" si="9"/>
        <v>0</v>
      </c>
    </row>
    <row r="625" spans="1:6" x14ac:dyDescent="0.25">
      <c r="A625" s="1">
        <v>42822</v>
      </c>
      <c r="B625" s="2" t="s">
        <v>234</v>
      </c>
      <c r="C625" s="2" t="s">
        <v>516</v>
      </c>
      <c r="D625">
        <v>23</v>
      </c>
      <c r="E625">
        <f>WEEKDAY(makulatura5[[#This Row],[Data_dostarczenia]],2)</f>
        <v>2</v>
      </c>
      <c r="F625" s="2">
        <f t="shared" si="9"/>
        <v>0</v>
      </c>
    </row>
    <row r="626" spans="1:6" x14ac:dyDescent="0.25">
      <c r="A626" s="1">
        <v>42822</v>
      </c>
      <c r="B626" s="2" t="s">
        <v>232</v>
      </c>
      <c r="C626" s="2" t="s">
        <v>487</v>
      </c>
      <c r="D626">
        <v>26</v>
      </c>
      <c r="E626">
        <f>WEEKDAY(makulatura5[[#This Row],[Data_dostarczenia]],2)</f>
        <v>2</v>
      </c>
      <c r="F626" s="2">
        <f t="shared" si="9"/>
        <v>0</v>
      </c>
    </row>
    <row r="627" spans="1:6" x14ac:dyDescent="0.25">
      <c r="A627" s="1">
        <v>42822</v>
      </c>
      <c r="B627" s="2" t="s">
        <v>280</v>
      </c>
      <c r="C627" s="2" t="s">
        <v>281</v>
      </c>
      <c r="D627">
        <v>2</v>
      </c>
      <c r="E627">
        <f>WEEKDAY(makulatura5[[#This Row],[Data_dostarczenia]],2)</f>
        <v>2</v>
      </c>
      <c r="F627" s="2">
        <f t="shared" si="9"/>
        <v>1</v>
      </c>
    </row>
    <row r="628" spans="1:6" x14ac:dyDescent="0.25">
      <c r="A628" s="1">
        <v>42823</v>
      </c>
      <c r="B628" s="2" t="s">
        <v>119</v>
      </c>
      <c r="C628" s="2" t="s">
        <v>319</v>
      </c>
      <c r="D628">
        <v>36</v>
      </c>
      <c r="E628">
        <f>WEEKDAY(makulatura5[[#This Row],[Data_dostarczenia]],2)</f>
        <v>3</v>
      </c>
      <c r="F628" s="2">
        <f t="shared" si="9"/>
        <v>0</v>
      </c>
    </row>
    <row r="629" spans="1:6" x14ac:dyDescent="0.25">
      <c r="A629" s="1">
        <v>42823</v>
      </c>
      <c r="B629" s="2" t="s">
        <v>119</v>
      </c>
      <c r="C629" s="2" t="s">
        <v>517</v>
      </c>
      <c r="D629">
        <v>18</v>
      </c>
      <c r="E629">
        <f>WEEKDAY(makulatura5[[#This Row],[Data_dostarczenia]],2)</f>
        <v>3</v>
      </c>
      <c r="F629" s="2">
        <f t="shared" si="9"/>
        <v>0</v>
      </c>
    </row>
    <row r="630" spans="1:6" x14ac:dyDescent="0.25">
      <c r="A630" s="1">
        <v>42823</v>
      </c>
      <c r="B630" s="2" t="s">
        <v>83</v>
      </c>
      <c r="C630" s="2" t="s">
        <v>518</v>
      </c>
      <c r="D630">
        <v>23</v>
      </c>
      <c r="E630">
        <f>WEEKDAY(makulatura5[[#This Row],[Data_dostarczenia]],2)</f>
        <v>3</v>
      </c>
      <c r="F630" s="2">
        <f t="shared" si="9"/>
        <v>0</v>
      </c>
    </row>
    <row r="631" spans="1:6" x14ac:dyDescent="0.25">
      <c r="A631" s="1">
        <v>42823</v>
      </c>
      <c r="B631" s="2" t="s">
        <v>143</v>
      </c>
      <c r="C631" s="2" t="s">
        <v>510</v>
      </c>
      <c r="D631">
        <v>20</v>
      </c>
      <c r="E631">
        <f>WEEKDAY(makulatura5[[#This Row],[Data_dostarczenia]],2)</f>
        <v>3</v>
      </c>
      <c r="F631" s="2">
        <f t="shared" si="9"/>
        <v>0</v>
      </c>
    </row>
    <row r="632" spans="1:6" x14ac:dyDescent="0.25">
      <c r="A632" s="1">
        <v>42823</v>
      </c>
      <c r="B632" s="2" t="s">
        <v>193</v>
      </c>
      <c r="C632" s="2" t="s">
        <v>369</v>
      </c>
      <c r="D632">
        <v>16</v>
      </c>
      <c r="E632">
        <f>WEEKDAY(makulatura5[[#This Row],[Data_dostarczenia]],2)</f>
        <v>3</v>
      </c>
      <c r="F632" s="2">
        <f t="shared" si="9"/>
        <v>0</v>
      </c>
    </row>
    <row r="633" spans="1:6" x14ac:dyDescent="0.25">
      <c r="A633" s="1">
        <v>42823</v>
      </c>
      <c r="B633" s="2" t="s">
        <v>519</v>
      </c>
      <c r="C633" s="2" t="s">
        <v>520</v>
      </c>
      <c r="D633">
        <v>7</v>
      </c>
      <c r="E633">
        <f>WEEKDAY(makulatura5[[#This Row],[Data_dostarczenia]],2)</f>
        <v>3</v>
      </c>
      <c r="F633" s="2">
        <f t="shared" si="9"/>
        <v>0</v>
      </c>
    </row>
    <row r="634" spans="1:6" x14ac:dyDescent="0.25">
      <c r="A634" s="1">
        <v>42823</v>
      </c>
      <c r="B634" s="2" t="s">
        <v>521</v>
      </c>
      <c r="C634" s="2" t="s">
        <v>410</v>
      </c>
      <c r="D634">
        <v>47</v>
      </c>
      <c r="E634">
        <f>WEEKDAY(makulatura5[[#This Row],[Data_dostarczenia]],2)</f>
        <v>3</v>
      </c>
      <c r="F634" s="2">
        <f t="shared" si="9"/>
        <v>0</v>
      </c>
    </row>
    <row r="635" spans="1:6" x14ac:dyDescent="0.25">
      <c r="A635" s="1">
        <v>42823</v>
      </c>
      <c r="B635" s="2" t="s">
        <v>314</v>
      </c>
      <c r="C635" s="2" t="s">
        <v>366</v>
      </c>
      <c r="D635">
        <v>9</v>
      </c>
      <c r="E635">
        <f>WEEKDAY(makulatura5[[#This Row],[Data_dostarczenia]],2)</f>
        <v>3</v>
      </c>
      <c r="F635" s="2">
        <f t="shared" si="9"/>
        <v>0</v>
      </c>
    </row>
    <row r="636" spans="1:6" x14ac:dyDescent="0.25">
      <c r="A636" s="1">
        <v>42823</v>
      </c>
      <c r="B636" s="2" t="s">
        <v>51</v>
      </c>
      <c r="C636" s="2" t="s">
        <v>522</v>
      </c>
      <c r="D636">
        <v>11</v>
      </c>
      <c r="E636">
        <f>WEEKDAY(makulatura5[[#This Row],[Data_dostarczenia]],2)</f>
        <v>3</v>
      </c>
      <c r="F636" s="2">
        <f t="shared" si="9"/>
        <v>0</v>
      </c>
    </row>
    <row r="637" spans="1:6" x14ac:dyDescent="0.25">
      <c r="A637" s="1">
        <v>42823</v>
      </c>
      <c r="B637" s="2" t="s">
        <v>523</v>
      </c>
      <c r="C637" s="2" t="s">
        <v>524</v>
      </c>
      <c r="D637">
        <v>12</v>
      </c>
      <c r="E637">
        <f>WEEKDAY(makulatura5[[#This Row],[Data_dostarczenia]],2)</f>
        <v>3</v>
      </c>
      <c r="F637" s="2">
        <f t="shared" si="9"/>
        <v>1</v>
      </c>
    </row>
    <row r="638" spans="1:6" x14ac:dyDescent="0.25">
      <c r="A638" s="1">
        <v>42824</v>
      </c>
      <c r="B638" s="2" t="s">
        <v>144</v>
      </c>
      <c r="C638" s="2" t="s">
        <v>525</v>
      </c>
      <c r="D638">
        <v>2</v>
      </c>
      <c r="E638">
        <f>WEEKDAY(makulatura5[[#This Row],[Data_dostarczenia]],2)</f>
        <v>4</v>
      </c>
      <c r="F638" s="2">
        <f t="shared" si="9"/>
        <v>0</v>
      </c>
    </row>
    <row r="639" spans="1:6" x14ac:dyDescent="0.25">
      <c r="A639" s="1">
        <v>42824</v>
      </c>
      <c r="B639" s="2" t="s">
        <v>280</v>
      </c>
      <c r="C639" s="2" t="s">
        <v>281</v>
      </c>
      <c r="D639">
        <v>23</v>
      </c>
      <c r="E639">
        <f>WEEKDAY(makulatura5[[#This Row],[Data_dostarczenia]],2)</f>
        <v>4</v>
      </c>
      <c r="F639" s="2">
        <f t="shared" si="9"/>
        <v>0</v>
      </c>
    </row>
    <row r="640" spans="1:6" x14ac:dyDescent="0.25">
      <c r="A640" s="1">
        <v>42824</v>
      </c>
      <c r="B640" s="2" t="s">
        <v>23</v>
      </c>
      <c r="C640" s="2" t="s">
        <v>24</v>
      </c>
      <c r="D640">
        <v>52</v>
      </c>
      <c r="E640">
        <f>WEEKDAY(makulatura5[[#This Row],[Data_dostarczenia]],2)</f>
        <v>4</v>
      </c>
      <c r="F640" s="2">
        <f t="shared" si="9"/>
        <v>0</v>
      </c>
    </row>
    <row r="641" spans="1:6" x14ac:dyDescent="0.25">
      <c r="A641" s="1">
        <v>42824</v>
      </c>
      <c r="B641" s="2" t="s">
        <v>81</v>
      </c>
      <c r="C641" s="2" t="s">
        <v>145</v>
      </c>
      <c r="D641">
        <v>10</v>
      </c>
      <c r="E641">
        <f>WEEKDAY(makulatura5[[#This Row],[Data_dostarczenia]],2)</f>
        <v>4</v>
      </c>
      <c r="F641" s="2">
        <f t="shared" si="9"/>
        <v>0</v>
      </c>
    </row>
    <row r="642" spans="1:6" x14ac:dyDescent="0.25">
      <c r="A642" s="1">
        <v>42824</v>
      </c>
      <c r="B642" s="2" t="s">
        <v>43</v>
      </c>
      <c r="C642" s="2" t="s">
        <v>124</v>
      </c>
      <c r="D642">
        <v>47</v>
      </c>
      <c r="E642">
        <f>WEEKDAY(makulatura5[[#This Row],[Data_dostarczenia]],2)</f>
        <v>4</v>
      </c>
      <c r="F642" s="2">
        <f t="shared" ref="F642:F705" si="10">IF(A643=A642,0,1)</f>
        <v>0</v>
      </c>
    </row>
    <row r="643" spans="1:6" x14ac:dyDescent="0.25">
      <c r="A643" s="1">
        <v>42824</v>
      </c>
      <c r="B643" s="2" t="s">
        <v>503</v>
      </c>
      <c r="C643" s="2" t="s">
        <v>183</v>
      </c>
      <c r="D643">
        <v>20</v>
      </c>
      <c r="E643">
        <f>WEEKDAY(makulatura5[[#This Row],[Data_dostarczenia]],2)</f>
        <v>4</v>
      </c>
      <c r="F643" s="2">
        <f t="shared" si="10"/>
        <v>0</v>
      </c>
    </row>
    <row r="644" spans="1:6" x14ac:dyDescent="0.25">
      <c r="A644" s="1">
        <v>42824</v>
      </c>
      <c r="B644" s="2" t="s">
        <v>30</v>
      </c>
      <c r="C644" s="2" t="s">
        <v>241</v>
      </c>
      <c r="D644">
        <v>3</v>
      </c>
      <c r="E644">
        <f>WEEKDAY(makulatura5[[#This Row],[Data_dostarczenia]],2)</f>
        <v>4</v>
      </c>
      <c r="F644" s="2">
        <f t="shared" si="10"/>
        <v>0</v>
      </c>
    </row>
    <row r="645" spans="1:6" x14ac:dyDescent="0.25">
      <c r="A645" s="1">
        <v>42824</v>
      </c>
      <c r="B645" s="2" t="s">
        <v>232</v>
      </c>
      <c r="C645" s="2" t="s">
        <v>526</v>
      </c>
      <c r="D645">
        <v>9</v>
      </c>
      <c r="E645">
        <f>WEEKDAY(makulatura5[[#This Row],[Data_dostarczenia]],2)</f>
        <v>4</v>
      </c>
      <c r="F645" s="2">
        <f t="shared" si="10"/>
        <v>0</v>
      </c>
    </row>
    <row r="646" spans="1:6" x14ac:dyDescent="0.25">
      <c r="A646" s="1">
        <v>42824</v>
      </c>
      <c r="B646" s="2" t="s">
        <v>147</v>
      </c>
      <c r="C646" s="2" t="s">
        <v>527</v>
      </c>
      <c r="D646">
        <v>22</v>
      </c>
      <c r="E646">
        <f>WEEKDAY(makulatura5[[#This Row],[Data_dostarczenia]],2)</f>
        <v>4</v>
      </c>
      <c r="F646" s="2">
        <f t="shared" si="10"/>
        <v>0</v>
      </c>
    </row>
    <row r="647" spans="1:6" x14ac:dyDescent="0.25">
      <c r="A647" s="1">
        <v>42824</v>
      </c>
      <c r="B647" s="2" t="s">
        <v>55</v>
      </c>
      <c r="C647" s="2" t="s">
        <v>326</v>
      </c>
      <c r="D647">
        <v>9</v>
      </c>
      <c r="E647">
        <f>WEEKDAY(makulatura5[[#This Row],[Data_dostarczenia]],2)</f>
        <v>4</v>
      </c>
      <c r="F647" s="2">
        <f t="shared" si="10"/>
        <v>1</v>
      </c>
    </row>
    <row r="648" spans="1:6" x14ac:dyDescent="0.25">
      <c r="A648" s="1">
        <v>42825</v>
      </c>
      <c r="B648" s="2" t="s">
        <v>47</v>
      </c>
      <c r="C648" s="2" t="s">
        <v>334</v>
      </c>
      <c r="D648">
        <v>30</v>
      </c>
      <c r="E648">
        <f>WEEKDAY(makulatura5[[#This Row],[Data_dostarczenia]],2)</f>
        <v>5</v>
      </c>
      <c r="F648" s="2">
        <f t="shared" si="10"/>
        <v>0</v>
      </c>
    </row>
    <row r="649" spans="1:6" x14ac:dyDescent="0.25">
      <c r="A649" s="1">
        <v>42825</v>
      </c>
      <c r="B649" s="2" t="s">
        <v>528</v>
      </c>
      <c r="C649" s="2" t="s">
        <v>428</v>
      </c>
      <c r="D649">
        <v>18</v>
      </c>
      <c r="E649">
        <f>WEEKDAY(makulatura5[[#This Row],[Data_dostarczenia]],2)</f>
        <v>5</v>
      </c>
      <c r="F649" s="2">
        <f t="shared" si="10"/>
        <v>0</v>
      </c>
    </row>
    <row r="650" spans="1:6" x14ac:dyDescent="0.25">
      <c r="A650" s="1">
        <v>42825</v>
      </c>
      <c r="B650" s="2" t="s">
        <v>30</v>
      </c>
      <c r="C650" s="2" t="s">
        <v>86</v>
      </c>
      <c r="D650">
        <v>55</v>
      </c>
      <c r="E650">
        <f>WEEKDAY(makulatura5[[#This Row],[Data_dostarczenia]],2)</f>
        <v>5</v>
      </c>
      <c r="F650" s="2">
        <f t="shared" si="10"/>
        <v>0</v>
      </c>
    </row>
    <row r="651" spans="1:6" x14ac:dyDescent="0.25">
      <c r="A651" s="1">
        <v>42825</v>
      </c>
      <c r="B651" s="2" t="s">
        <v>20</v>
      </c>
      <c r="C651" s="2" t="s">
        <v>381</v>
      </c>
      <c r="D651">
        <v>17</v>
      </c>
      <c r="E651">
        <f>WEEKDAY(makulatura5[[#This Row],[Data_dostarczenia]],2)</f>
        <v>5</v>
      </c>
      <c r="F651" s="2">
        <f t="shared" si="10"/>
        <v>0</v>
      </c>
    </row>
    <row r="652" spans="1:6" x14ac:dyDescent="0.25">
      <c r="A652" s="1">
        <v>42825</v>
      </c>
      <c r="B652" s="2" t="s">
        <v>97</v>
      </c>
      <c r="C652" s="2" t="s">
        <v>529</v>
      </c>
      <c r="D652">
        <v>30</v>
      </c>
      <c r="E652">
        <f>WEEKDAY(makulatura5[[#This Row],[Data_dostarczenia]],2)</f>
        <v>5</v>
      </c>
      <c r="F652" s="2">
        <f t="shared" si="10"/>
        <v>0</v>
      </c>
    </row>
    <row r="653" spans="1:6" x14ac:dyDescent="0.25">
      <c r="A653" s="1">
        <v>42825</v>
      </c>
      <c r="B653" s="2" t="s">
        <v>508</v>
      </c>
      <c r="C653" s="2" t="s">
        <v>509</v>
      </c>
      <c r="D653">
        <v>4</v>
      </c>
      <c r="E653">
        <f>WEEKDAY(makulatura5[[#This Row],[Data_dostarczenia]],2)</f>
        <v>5</v>
      </c>
      <c r="F653" s="2">
        <f t="shared" si="10"/>
        <v>0</v>
      </c>
    </row>
    <row r="654" spans="1:6" x14ac:dyDescent="0.25">
      <c r="A654" s="1">
        <v>42825</v>
      </c>
      <c r="B654" s="2" t="s">
        <v>361</v>
      </c>
      <c r="C654" s="2" t="s">
        <v>362</v>
      </c>
      <c r="D654">
        <v>21</v>
      </c>
      <c r="E654">
        <f>WEEKDAY(makulatura5[[#This Row],[Data_dostarczenia]],2)</f>
        <v>5</v>
      </c>
      <c r="F654" s="2">
        <f t="shared" si="10"/>
        <v>0</v>
      </c>
    </row>
    <row r="655" spans="1:6" x14ac:dyDescent="0.25">
      <c r="A655" s="1">
        <v>42825</v>
      </c>
      <c r="B655" s="2" t="s">
        <v>6</v>
      </c>
      <c r="C655" s="2" t="s">
        <v>7</v>
      </c>
      <c r="D655">
        <v>7</v>
      </c>
      <c r="E655">
        <f>WEEKDAY(makulatura5[[#This Row],[Data_dostarczenia]],2)</f>
        <v>5</v>
      </c>
      <c r="F655" s="2">
        <f t="shared" si="10"/>
        <v>0</v>
      </c>
    </row>
    <row r="656" spans="1:6" x14ac:dyDescent="0.25">
      <c r="A656" s="1">
        <v>42825</v>
      </c>
      <c r="B656" s="2" t="s">
        <v>39</v>
      </c>
      <c r="C656" s="2" t="s">
        <v>40</v>
      </c>
      <c r="D656">
        <v>20</v>
      </c>
      <c r="E656">
        <f>WEEKDAY(makulatura5[[#This Row],[Data_dostarczenia]],2)</f>
        <v>5</v>
      </c>
      <c r="F656" s="2">
        <f t="shared" si="10"/>
        <v>0</v>
      </c>
    </row>
    <row r="657" spans="1:6" x14ac:dyDescent="0.25">
      <c r="A657" s="1">
        <v>42825</v>
      </c>
      <c r="B657" s="2" t="s">
        <v>341</v>
      </c>
      <c r="C657" s="2" t="s">
        <v>342</v>
      </c>
      <c r="D657">
        <v>6</v>
      </c>
      <c r="E657">
        <f>WEEKDAY(makulatura5[[#This Row],[Data_dostarczenia]],2)</f>
        <v>5</v>
      </c>
      <c r="F657" s="2">
        <f t="shared" si="10"/>
        <v>1</v>
      </c>
    </row>
    <row r="658" spans="1:6" x14ac:dyDescent="0.25">
      <c r="A658" s="1">
        <v>42828</v>
      </c>
      <c r="B658" s="2" t="s">
        <v>278</v>
      </c>
      <c r="C658" s="2" t="s">
        <v>530</v>
      </c>
      <c r="D658">
        <v>12</v>
      </c>
      <c r="E658">
        <f>WEEKDAY(makulatura5[[#This Row],[Data_dostarczenia]],2)</f>
        <v>1</v>
      </c>
      <c r="F658" s="2">
        <f t="shared" si="10"/>
        <v>0</v>
      </c>
    </row>
    <row r="659" spans="1:6" x14ac:dyDescent="0.25">
      <c r="A659" s="1">
        <v>42828</v>
      </c>
      <c r="B659" s="2" t="s">
        <v>41</v>
      </c>
      <c r="C659" s="2" t="s">
        <v>238</v>
      </c>
      <c r="D659">
        <v>29</v>
      </c>
      <c r="E659">
        <f>WEEKDAY(makulatura5[[#This Row],[Data_dostarczenia]],2)</f>
        <v>1</v>
      </c>
      <c r="F659" s="2">
        <f t="shared" si="10"/>
        <v>0</v>
      </c>
    </row>
    <row r="660" spans="1:6" x14ac:dyDescent="0.25">
      <c r="A660" s="1">
        <v>42828</v>
      </c>
      <c r="B660" s="2" t="s">
        <v>278</v>
      </c>
      <c r="C660" s="2" t="s">
        <v>202</v>
      </c>
      <c r="D660">
        <v>2</v>
      </c>
      <c r="E660">
        <f>WEEKDAY(makulatura5[[#This Row],[Data_dostarczenia]],2)</f>
        <v>1</v>
      </c>
      <c r="F660" s="2">
        <f t="shared" si="10"/>
        <v>0</v>
      </c>
    </row>
    <row r="661" spans="1:6" x14ac:dyDescent="0.25">
      <c r="A661" s="1">
        <v>42828</v>
      </c>
      <c r="B661" s="2" t="s">
        <v>69</v>
      </c>
      <c r="C661" s="2" t="s">
        <v>353</v>
      </c>
      <c r="D661">
        <v>27</v>
      </c>
      <c r="E661">
        <f>WEEKDAY(makulatura5[[#This Row],[Data_dostarczenia]],2)</f>
        <v>1</v>
      </c>
      <c r="F661" s="2">
        <f t="shared" si="10"/>
        <v>0</v>
      </c>
    </row>
    <row r="662" spans="1:6" x14ac:dyDescent="0.25">
      <c r="A662" s="1">
        <v>42828</v>
      </c>
      <c r="B662" s="2" t="s">
        <v>57</v>
      </c>
      <c r="C662" s="2" t="s">
        <v>531</v>
      </c>
      <c r="D662">
        <v>9</v>
      </c>
      <c r="E662">
        <f>WEEKDAY(makulatura5[[#This Row],[Data_dostarczenia]],2)</f>
        <v>1</v>
      </c>
      <c r="F662" s="2">
        <f t="shared" si="10"/>
        <v>0</v>
      </c>
    </row>
    <row r="663" spans="1:6" x14ac:dyDescent="0.25">
      <c r="A663" s="1">
        <v>42828</v>
      </c>
      <c r="B663" s="2" t="s">
        <v>141</v>
      </c>
      <c r="C663" s="2" t="s">
        <v>202</v>
      </c>
      <c r="D663">
        <v>25</v>
      </c>
      <c r="E663">
        <f>WEEKDAY(makulatura5[[#This Row],[Data_dostarczenia]],2)</f>
        <v>1</v>
      </c>
      <c r="F663" s="2">
        <f t="shared" si="10"/>
        <v>0</v>
      </c>
    </row>
    <row r="664" spans="1:6" x14ac:dyDescent="0.25">
      <c r="A664" s="1">
        <v>42828</v>
      </c>
      <c r="B664" s="2" t="s">
        <v>12</v>
      </c>
      <c r="C664" s="2" t="s">
        <v>532</v>
      </c>
      <c r="D664">
        <v>45</v>
      </c>
      <c r="E664">
        <f>WEEKDAY(makulatura5[[#This Row],[Data_dostarczenia]],2)</f>
        <v>1</v>
      </c>
      <c r="F664" s="2">
        <f t="shared" si="10"/>
        <v>0</v>
      </c>
    </row>
    <row r="665" spans="1:6" x14ac:dyDescent="0.25">
      <c r="A665" s="1">
        <v>42828</v>
      </c>
      <c r="B665" s="2" t="s">
        <v>36</v>
      </c>
      <c r="C665" s="2" t="s">
        <v>533</v>
      </c>
      <c r="D665">
        <v>12</v>
      </c>
      <c r="E665">
        <f>WEEKDAY(makulatura5[[#This Row],[Data_dostarczenia]],2)</f>
        <v>1</v>
      </c>
      <c r="F665" s="2">
        <f t="shared" si="10"/>
        <v>0</v>
      </c>
    </row>
    <row r="666" spans="1:6" x14ac:dyDescent="0.25">
      <c r="A666" s="1">
        <v>42828</v>
      </c>
      <c r="B666" s="2" t="s">
        <v>225</v>
      </c>
      <c r="C666" s="2" t="s">
        <v>226</v>
      </c>
      <c r="D666">
        <v>44</v>
      </c>
      <c r="E666">
        <f>WEEKDAY(makulatura5[[#This Row],[Data_dostarczenia]],2)</f>
        <v>1</v>
      </c>
      <c r="F666" s="2">
        <f t="shared" si="10"/>
        <v>0</v>
      </c>
    </row>
    <row r="667" spans="1:6" x14ac:dyDescent="0.25">
      <c r="A667" s="1">
        <v>42828</v>
      </c>
      <c r="B667" s="2" t="s">
        <v>53</v>
      </c>
      <c r="C667" s="2" t="s">
        <v>227</v>
      </c>
      <c r="D667">
        <v>18</v>
      </c>
      <c r="E667">
        <f>WEEKDAY(makulatura5[[#This Row],[Data_dostarczenia]],2)</f>
        <v>1</v>
      </c>
      <c r="F667" s="2">
        <f t="shared" si="10"/>
        <v>1</v>
      </c>
    </row>
    <row r="668" spans="1:6" x14ac:dyDescent="0.25">
      <c r="A668" s="1">
        <v>42829</v>
      </c>
      <c r="B668" s="2" t="s">
        <v>152</v>
      </c>
      <c r="C668" s="2" t="s">
        <v>534</v>
      </c>
      <c r="D668">
        <v>16</v>
      </c>
      <c r="E668">
        <f>WEEKDAY(makulatura5[[#This Row],[Data_dostarczenia]],2)</f>
        <v>2</v>
      </c>
      <c r="F668" s="2">
        <f t="shared" si="10"/>
        <v>0</v>
      </c>
    </row>
    <row r="669" spans="1:6" x14ac:dyDescent="0.25">
      <c r="A669" s="1">
        <v>42829</v>
      </c>
      <c r="B669" s="2" t="s">
        <v>217</v>
      </c>
      <c r="C669" s="2" t="s">
        <v>218</v>
      </c>
      <c r="D669">
        <v>18</v>
      </c>
      <c r="E669">
        <f>WEEKDAY(makulatura5[[#This Row],[Data_dostarczenia]],2)</f>
        <v>2</v>
      </c>
      <c r="F669" s="2">
        <f t="shared" si="10"/>
        <v>0</v>
      </c>
    </row>
    <row r="670" spans="1:6" x14ac:dyDescent="0.25">
      <c r="A670" s="1">
        <v>42829</v>
      </c>
      <c r="B670" s="2" t="s">
        <v>437</v>
      </c>
      <c r="C670" s="2" t="s">
        <v>199</v>
      </c>
      <c r="D670">
        <v>6</v>
      </c>
      <c r="E670">
        <f>WEEKDAY(makulatura5[[#This Row],[Data_dostarczenia]],2)</f>
        <v>2</v>
      </c>
      <c r="F670" s="2">
        <f t="shared" si="10"/>
        <v>0</v>
      </c>
    </row>
    <row r="671" spans="1:6" x14ac:dyDescent="0.25">
      <c r="A671" s="1">
        <v>42829</v>
      </c>
      <c r="B671" s="2" t="s">
        <v>246</v>
      </c>
      <c r="C671" s="2" t="s">
        <v>247</v>
      </c>
      <c r="D671">
        <v>17</v>
      </c>
      <c r="E671">
        <f>WEEKDAY(makulatura5[[#This Row],[Data_dostarczenia]],2)</f>
        <v>2</v>
      </c>
      <c r="F671" s="2">
        <f t="shared" si="10"/>
        <v>0</v>
      </c>
    </row>
    <row r="672" spans="1:6" x14ac:dyDescent="0.25">
      <c r="A672" s="1">
        <v>42829</v>
      </c>
      <c r="B672" s="2" t="s">
        <v>55</v>
      </c>
      <c r="C672" s="2" t="s">
        <v>265</v>
      </c>
      <c r="D672">
        <v>18</v>
      </c>
      <c r="E672">
        <f>WEEKDAY(makulatura5[[#This Row],[Data_dostarczenia]],2)</f>
        <v>2</v>
      </c>
      <c r="F672" s="2">
        <f t="shared" si="10"/>
        <v>0</v>
      </c>
    </row>
    <row r="673" spans="1:6" x14ac:dyDescent="0.25">
      <c r="A673" s="1">
        <v>42829</v>
      </c>
      <c r="B673" s="2" t="s">
        <v>234</v>
      </c>
      <c r="C673" s="2" t="s">
        <v>516</v>
      </c>
      <c r="D673">
        <v>4</v>
      </c>
      <c r="E673">
        <f>WEEKDAY(makulatura5[[#This Row],[Data_dostarczenia]],2)</f>
        <v>2</v>
      </c>
      <c r="F673" s="2">
        <f t="shared" si="10"/>
        <v>0</v>
      </c>
    </row>
    <row r="674" spans="1:6" x14ac:dyDescent="0.25">
      <c r="A674" s="1">
        <v>42829</v>
      </c>
      <c r="B674" s="2" t="s">
        <v>8</v>
      </c>
      <c r="C674" s="2" t="s">
        <v>9</v>
      </c>
      <c r="D674">
        <v>13</v>
      </c>
      <c r="E674">
        <f>WEEKDAY(makulatura5[[#This Row],[Data_dostarczenia]],2)</f>
        <v>2</v>
      </c>
      <c r="F674" s="2">
        <f t="shared" si="10"/>
        <v>0</v>
      </c>
    </row>
    <row r="675" spans="1:6" x14ac:dyDescent="0.25">
      <c r="A675" s="1">
        <v>42829</v>
      </c>
      <c r="B675" s="2" t="s">
        <v>41</v>
      </c>
      <c r="C675" s="2" t="s">
        <v>302</v>
      </c>
      <c r="D675">
        <v>52</v>
      </c>
      <c r="E675">
        <f>WEEKDAY(makulatura5[[#This Row],[Data_dostarczenia]],2)</f>
        <v>2</v>
      </c>
      <c r="F675" s="2">
        <f t="shared" si="10"/>
        <v>0</v>
      </c>
    </row>
    <row r="676" spans="1:6" x14ac:dyDescent="0.25">
      <c r="A676" s="1">
        <v>42829</v>
      </c>
      <c r="B676" s="2" t="s">
        <v>83</v>
      </c>
      <c r="C676" s="2" t="s">
        <v>470</v>
      </c>
      <c r="D676">
        <v>10</v>
      </c>
      <c r="E676">
        <f>WEEKDAY(makulatura5[[#This Row],[Data_dostarczenia]],2)</f>
        <v>2</v>
      </c>
      <c r="F676" s="2">
        <f t="shared" si="10"/>
        <v>0</v>
      </c>
    </row>
    <row r="677" spans="1:6" x14ac:dyDescent="0.25">
      <c r="A677" s="1">
        <v>42829</v>
      </c>
      <c r="B677" s="2" t="s">
        <v>47</v>
      </c>
      <c r="C677" s="2" t="s">
        <v>48</v>
      </c>
      <c r="D677">
        <v>33</v>
      </c>
      <c r="E677">
        <f>WEEKDAY(makulatura5[[#This Row],[Data_dostarczenia]],2)</f>
        <v>2</v>
      </c>
      <c r="F677" s="2">
        <f t="shared" si="10"/>
        <v>1</v>
      </c>
    </row>
    <row r="678" spans="1:6" x14ac:dyDescent="0.25">
      <c r="A678" s="1">
        <v>42830</v>
      </c>
      <c r="B678" s="2" t="s">
        <v>95</v>
      </c>
      <c r="C678" s="2" t="s">
        <v>96</v>
      </c>
      <c r="D678">
        <v>6</v>
      </c>
      <c r="E678">
        <f>WEEKDAY(makulatura5[[#This Row],[Data_dostarczenia]],2)</f>
        <v>3</v>
      </c>
      <c r="F678" s="2">
        <f t="shared" si="10"/>
        <v>0</v>
      </c>
    </row>
    <row r="679" spans="1:6" x14ac:dyDescent="0.25">
      <c r="A679" s="1">
        <v>42830</v>
      </c>
      <c r="B679" s="2" t="s">
        <v>87</v>
      </c>
      <c r="C679" s="2" t="s">
        <v>255</v>
      </c>
      <c r="D679">
        <v>21</v>
      </c>
      <c r="E679">
        <f>WEEKDAY(makulatura5[[#This Row],[Data_dostarczenia]],2)</f>
        <v>3</v>
      </c>
      <c r="F679" s="2">
        <f t="shared" si="10"/>
        <v>0</v>
      </c>
    </row>
    <row r="680" spans="1:6" x14ac:dyDescent="0.25">
      <c r="A680" s="1">
        <v>42830</v>
      </c>
      <c r="B680" s="2" t="s">
        <v>45</v>
      </c>
      <c r="C680" s="2" t="s">
        <v>46</v>
      </c>
      <c r="D680">
        <v>2</v>
      </c>
      <c r="E680">
        <f>WEEKDAY(makulatura5[[#This Row],[Data_dostarczenia]],2)</f>
        <v>3</v>
      </c>
      <c r="F680" s="2">
        <f t="shared" si="10"/>
        <v>0</v>
      </c>
    </row>
    <row r="681" spans="1:6" x14ac:dyDescent="0.25">
      <c r="A681" s="1">
        <v>42830</v>
      </c>
      <c r="B681" s="2" t="s">
        <v>51</v>
      </c>
      <c r="C681" s="2" t="s">
        <v>469</v>
      </c>
      <c r="D681">
        <v>16</v>
      </c>
      <c r="E681">
        <f>WEEKDAY(makulatura5[[#This Row],[Data_dostarczenia]],2)</f>
        <v>3</v>
      </c>
      <c r="F681" s="2">
        <f t="shared" si="10"/>
        <v>0</v>
      </c>
    </row>
    <row r="682" spans="1:6" x14ac:dyDescent="0.25">
      <c r="A682" s="1">
        <v>42830</v>
      </c>
      <c r="B682" s="2" t="s">
        <v>314</v>
      </c>
      <c r="C682" s="2" t="s">
        <v>466</v>
      </c>
      <c r="D682">
        <v>23</v>
      </c>
      <c r="E682">
        <f>WEEKDAY(makulatura5[[#This Row],[Data_dostarczenia]],2)</f>
        <v>3</v>
      </c>
      <c r="F682" s="2">
        <f t="shared" si="10"/>
        <v>0</v>
      </c>
    </row>
    <row r="683" spans="1:6" x14ac:dyDescent="0.25">
      <c r="A683" s="1">
        <v>42830</v>
      </c>
      <c r="B683" s="2" t="s">
        <v>314</v>
      </c>
      <c r="C683" s="2" t="s">
        <v>535</v>
      </c>
      <c r="D683">
        <v>50</v>
      </c>
      <c r="E683">
        <f>WEEKDAY(makulatura5[[#This Row],[Data_dostarczenia]],2)</f>
        <v>3</v>
      </c>
      <c r="F683" s="2">
        <f t="shared" si="10"/>
        <v>0</v>
      </c>
    </row>
    <row r="684" spans="1:6" x14ac:dyDescent="0.25">
      <c r="A684" s="1">
        <v>42830</v>
      </c>
      <c r="B684" s="2" t="s">
        <v>43</v>
      </c>
      <c r="C684" s="2" t="s">
        <v>71</v>
      </c>
      <c r="D684">
        <v>26</v>
      </c>
      <c r="E684">
        <f>WEEKDAY(makulatura5[[#This Row],[Data_dostarczenia]],2)</f>
        <v>3</v>
      </c>
      <c r="F684" s="2">
        <f t="shared" si="10"/>
        <v>0</v>
      </c>
    </row>
    <row r="685" spans="1:6" x14ac:dyDescent="0.25">
      <c r="A685" s="1">
        <v>42830</v>
      </c>
      <c r="B685" s="2" t="s">
        <v>536</v>
      </c>
      <c r="C685" s="2" t="s">
        <v>537</v>
      </c>
      <c r="D685">
        <v>42</v>
      </c>
      <c r="E685">
        <f>WEEKDAY(makulatura5[[#This Row],[Data_dostarczenia]],2)</f>
        <v>3</v>
      </c>
      <c r="F685" s="2">
        <f t="shared" si="10"/>
        <v>0</v>
      </c>
    </row>
    <row r="686" spans="1:6" x14ac:dyDescent="0.25">
      <c r="A686" s="1">
        <v>42830</v>
      </c>
      <c r="B686" s="2" t="s">
        <v>538</v>
      </c>
      <c r="C686" s="2" t="s">
        <v>539</v>
      </c>
      <c r="D686">
        <v>39</v>
      </c>
      <c r="E686">
        <f>WEEKDAY(makulatura5[[#This Row],[Data_dostarczenia]],2)</f>
        <v>3</v>
      </c>
      <c r="F686" s="2">
        <f t="shared" si="10"/>
        <v>1</v>
      </c>
    </row>
    <row r="687" spans="1:6" x14ac:dyDescent="0.25">
      <c r="A687" s="1">
        <v>42831</v>
      </c>
      <c r="B687" s="2" t="s">
        <v>30</v>
      </c>
      <c r="C687" s="2" t="s">
        <v>432</v>
      </c>
      <c r="D687">
        <v>17</v>
      </c>
      <c r="E687">
        <f>WEEKDAY(makulatura5[[#This Row],[Data_dostarczenia]],2)</f>
        <v>4</v>
      </c>
      <c r="F687" s="2">
        <f t="shared" si="10"/>
        <v>0</v>
      </c>
    </row>
    <row r="688" spans="1:6" x14ac:dyDescent="0.25">
      <c r="A688" s="1">
        <v>42831</v>
      </c>
      <c r="B688" s="2" t="s">
        <v>4</v>
      </c>
      <c r="C688" s="2" t="s">
        <v>386</v>
      </c>
      <c r="D688">
        <v>10</v>
      </c>
      <c r="E688">
        <f>WEEKDAY(makulatura5[[#This Row],[Data_dostarczenia]],2)</f>
        <v>4</v>
      </c>
      <c r="F688" s="2">
        <f t="shared" si="10"/>
        <v>0</v>
      </c>
    </row>
    <row r="689" spans="1:6" x14ac:dyDescent="0.25">
      <c r="A689" s="1">
        <v>42831</v>
      </c>
      <c r="B689" s="2" t="s">
        <v>508</v>
      </c>
      <c r="C689" s="2" t="s">
        <v>509</v>
      </c>
      <c r="D689">
        <v>13</v>
      </c>
      <c r="E689">
        <f>WEEKDAY(makulatura5[[#This Row],[Data_dostarczenia]],2)</f>
        <v>4</v>
      </c>
      <c r="F689" s="2">
        <f t="shared" si="10"/>
        <v>0</v>
      </c>
    </row>
    <row r="690" spans="1:6" x14ac:dyDescent="0.25">
      <c r="A690" s="1">
        <v>42831</v>
      </c>
      <c r="B690" s="2" t="s">
        <v>523</v>
      </c>
      <c r="C690" s="2" t="s">
        <v>524</v>
      </c>
      <c r="D690">
        <v>7</v>
      </c>
      <c r="E690">
        <f>WEEKDAY(makulatura5[[#This Row],[Data_dostarczenia]],2)</f>
        <v>4</v>
      </c>
      <c r="F690" s="2">
        <f t="shared" si="10"/>
        <v>0</v>
      </c>
    </row>
    <row r="691" spans="1:6" x14ac:dyDescent="0.25">
      <c r="A691" s="1">
        <v>42831</v>
      </c>
      <c r="B691" s="2" t="s">
        <v>128</v>
      </c>
      <c r="C691" s="2" t="s">
        <v>129</v>
      </c>
      <c r="D691">
        <v>32</v>
      </c>
      <c r="E691">
        <f>WEEKDAY(makulatura5[[#This Row],[Data_dostarczenia]],2)</f>
        <v>4</v>
      </c>
      <c r="F691" s="2">
        <f t="shared" si="10"/>
        <v>0</v>
      </c>
    </row>
    <row r="692" spans="1:6" x14ac:dyDescent="0.25">
      <c r="A692" s="1">
        <v>42831</v>
      </c>
      <c r="B692" s="2" t="s">
        <v>53</v>
      </c>
      <c r="C692" s="2" t="s">
        <v>389</v>
      </c>
      <c r="D692">
        <v>16</v>
      </c>
      <c r="E692">
        <f>WEEKDAY(makulatura5[[#This Row],[Data_dostarczenia]],2)</f>
        <v>4</v>
      </c>
      <c r="F692" s="2">
        <f t="shared" si="10"/>
        <v>0</v>
      </c>
    </row>
    <row r="693" spans="1:6" x14ac:dyDescent="0.25">
      <c r="A693" s="1">
        <v>42831</v>
      </c>
      <c r="B693" s="2" t="s">
        <v>63</v>
      </c>
      <c r="C693" s="2" t="s">
        <v>411</v>
      </c>
      <c r="D693">
        <v>38</v>
      </c>
      <c r="E693">
        <f>WEEKDAY(makulatura5[[#This Row],[Data_dostarczenia]],2)</f>
        <v>4</v>
      </c>
      <c r="F693" s="2">
        <f t="shared" si="10"/>
        <v>0</v>
      </c>
    </row>
    <row r="694" spans="1:6" x14ac:dyDescent="0.25">
      <c r="A694" s="1">
        <v>42831</v>
      </c>
      <c r="B694" s="2" t="s">
        <v>161</v>
      </c>
      <c r="C694" s="2" t="s">
        <v>214</v>
      </c>
      <c r="D694">
        <v>10</v>
      </c>
      <c r="E694">
        <f>WEEKDAY(makulatura5[[#This Row],[Data_dostarczenia]],2)</f>
        <v>4</v>
      </c>
      <c r="F694" s="2">
        <f t="shared" si="10"/>
        <v>1</v>
      </c>
    </row>
    <row r="695" spans="1:6" x14ac:dyDescent="0.25">
      <c r="A695" s="1">
        <v>42832</v>
      </c>
      <c r="B695" s="2" t="s">
        <v>442</v>
      </c>
      <c r="C695" s="2" t="s">
        <v>540</v>
      </c>
      <c r="D695">
        <v>19</v>
      </c>
      <c r="E695">
        <f>WEEKDAY(makulatura5[[#This Row],[Data_dostarczenia]],2)</f>
        <v>5</v>
      </c>
      <c r="F695" s="2">
        <f t="shared" si="10"/>
        <v>0</v>
      </c>
    </row>
    <row r="696" spans="1:6" x14ac:dyDescent="0.25">
      <c r="A696" s="1">
        <v>42832</v>
      </c>
      <c r="B696" s="2" t="s">
        <v>171</v>
      </c>
      <c r="C696" s="2" t="s">
        <v>468</v>
      </c>
      <c r="D696">
        <v>17</v>
      </c>
      <c r="E696">
        <f>WEEKDAY(makulatura5[[#This Row],[Data_dostarczenia]],2)</f>
        <v>5</v>
      </c>
      <c r="F696" s="2">
        <f t="shared" si="10"/>
        <v>0</v>
      </c>
    </row>
    <row r="697" spans="1:6" x14ac:dyDescent="0.25">
      <c r="A697" s="1">
        <v>42832</v>
      </c>
      <c r="B697" s="2" t="s">
        <v>79</v>
      </c>
      <c r="C697" s="2" t="s">
        <v>80</v>
      </c>
      <c r="D697">
        <v>2</v>
      </c>
      <c r="E697">
        <f>WEEKDAY(makulatura5[[#This Row],[Data_dostarczenia]],2)</f>
        <v>5</v>
      </c>
      <c r="F697" s="2">
        <f t="shared" si="10"/>
        <v>0</v>
      </c>
    </row>
    <row r="698" spans="1:6" x14ac:dyDescent="0.25">
      <c r="A698" s="1">
        <v>42832</v>
      </c>
      <c r="B698" s="2" t="s">
        <v>541</v>
      </c>
      <c r="C698" s="2" t="s">
        <v>542</v>
      </c>
      <c r="D698">
        <v>15</v>
      </c>
      <c r="E698">
        <f>WEEKDAY(makulatura5[[#This Row],[Data_dostarczenia]],2)</f>
        <v>5</v>
      </c>
      <c r="F698" s="2">
        <f t="shared" si="10"/>
        <v>0</v>
      </c>
    </row>
    <row r="699" spans="1:6" x14ac:dyDescent="0.25">
      <c r="A699" s="1">
        <v>42832</v>
      </c>
      <c r="B699" s="2" t="s">
        <v>244</v>
      </c>
      <c r="C699" s="2" t="s">
        <v>245</v>
      </c>
      <c r="D699">
        <v>12</v>
      </c>
      <c r="E699">
        <f>WEEKDAY(makulatura5[[#This Row],[Data_dostarczenia]],2)</f>
        <v>5</v>
      </c>
      <c r="F699" s="2">
        <f t="shared" si="10"/>
        <v>0</v>
      </c>
    </row>
    <row r="700" spans="1:6" x14ac:dyDescent="0.25">
      <c r="A700" s="1">
        <v>42832</v>
      </c>
      <c r="B700" s="2" t="s">
        <v>206</v>
      </c>
      <c r="C700" s="2" t="s">
        <v>332</v>
      </c>
      <c r="D700">
        <v>25</v>
      </c>
      <c r="E700">
        <f>WEEKDAY(makulatura5[[#This Row],[Data_dostarczenia]],2)</f>
        <v>5</v>
      </c>
      <c r="F700" s="2">
        <f t="shared" si="10"/>
        <v>0</v>
      </c>
    </row>
    <row r="701" spans="1:6" x14ac:dyDescent="0.25">
      <c r="A701" s="1">
        <v>42832</v>
      </c>
      <c r="B701" s="2" t="s">
        <v>150</v>
      </c>
      <c r="C701" s="2" t="s">
        <v>258</v>
      </c>
      <c r="D701">
        <v>6</v>
      </c>
      <c r="E701">
        <f>WEEKDAY(makulatura5[[#This Row],[Data_dostarczenia]],2)</f>
        <v>5</v>
      </c>
      <c r="F701" s="2">
        <f t="shared" si="10"/>
        <v>0</v>
      </c>
    </row>
    <row r="702" spans="1:6" x14ac:dyDescent="0.25">
      <c r="A702" s="1">
        <v>42832</v>
      </c>
      <c r="B702" s="2" t="s">
        <v>161</v>
      </c>
      <c r="C702" s="2" t="s">
        <v>162</v>
      </c>
      <c r="D702">
        <v>19</v>
      </c>
      <c r="E702">
        <f>WEEKDAY(makulatura5[[#This Row],[Data_dostarczenia]],2)</f>
        <v>5</v>
      </c>
      <c r="F702" s="2">
        <f t="shared" si="10"/>
        <v>1</v>
      </c>
    </row>
    <row r="703" spans="1:6" x14ac:dyDescent="0.25">
      <c r="A703" s="1">
        <v>42835</v>
      </c>
      <c r="B703" s="2" t="s">
        <v>352</v>
      </c>
      <c r="C703" s="2" t="s">
        <v>363</v>
      </c>
      <c r="D703">
        <v>15</v>
      </c>
      <c r="E703">
        <f>WEEKDAY(makulatura5[[#This Row],[Data_dostarczenia]],2)</f>
        <v>1</v>
      </c>
      <c r="F703" s="2">
        <f t="shared" si="10"/>
        <v>0</v>
      </c>
    </row>
    <row r="704" spans="1:6" x14ac:dyDescent="0.25">
      <c r="A704" s="1">
        <v>42835</v>
      </c>
      <c r="B704" s="2" t="s">
        <v>219</v>
      </c>
      <c r="C704" s="2" t="s">
        <v>543</v>
      </c>
      <c r="D704">
        <v>9</v>
      </c>
      <c r="E704">
        <f>WEEKDAY(makulatura5[[#This Row],[Data_dostarczenia]],2)</f>
        <v>1</v>
      </c>
      <c r="F704" s="2">
        <f t="shared" si="10"/>
        <v>0</v>
      </c>
    </row>
    <row r="705" spans="1:6" x14ac:dyDescent="0.25">
      <c r="A705" s="1">
        <v>42835</v>
      </c>
      <c r="B705" s="2" t="s">
        <v>544</v>
      </c>
      <c r="C705" s="2" t="s">
        <v>145</v>
      </c>
      <c r="D705">
        <v>35</v>
      </c>
      <c r="E705">
        <f>WEEKDAY(makulatura5[[#This Row],[Data_dostarczenia]],2)</f>
        <v>1</v>
      </c>
      <c r="F705" s="2">
        <f t="shared" si="10"/>
        <v>0</v>
      </c>
    </row>
    <row r="706" spans="1:6" x14ac:dyDescent="0.25">
      <c r="A706" s="1">
        <v>42835</v>
      </c>
      <c r="B706" s="2" t="s">
        <v>8</v>
      </c>
      <c r="C706" s="2" t="s">
        <v>545</v>
      </c>
      <c r="D706">
        <v>44</v>
      </c>
      <c r="E706">
        <f>WEEKDAY(makulatura5[[#This Row],[Data_dostarczenia]],2)</f>
        <v>1</v>
      </c>
      <c r="F706" s="2">
        <f t="shared" ref="F706:F769" si="11">IF(A707=A706,0,1)</f>
        <v>0</v>
      </c>
    </row>
    <row r="707" spans="1:6" x14ac:dyDescent="0.25">
      <c r="A707" s="1">
        <v>42835</v>
      </c>
      <c r="B707" s="2" t="s">
        <v>83</v>
      </c>
      <c r="C707" s="2" t="s">
        <v>84</v>
      </c>
      <c r="D707">
        <v>36</v>
      </c>
      <c r="E707">
        <f>WEEKDAY(makulatura5[[#This Row],[Data_dostarczenia]],2)</f>
        <v>1</v>
      </c>
      <c r="F707" s="2">
        <f t="shared" si="11"/>
        <v>0</v>
      </c>
    </row>
    <row r="708" spans="1:6" x14ac:dyDescent="0.25">
      <c r="A708" s="1">
        <v>42835</v>
      </c>
      <c r="B708" s="2" t="s">
        <v>45</v>
      </c>
      <c r="C708" s="2" t="s">
        <v>546</v>
      </c>
      <c r="D708">
        <v>53</v>
      </c>
      <c r="E708">
        <f>WEEKDAY(makulatura5[[#This Row],[Data_dostarczenia]],2)</f>
        <v>1</v>
      </c>
      <c r="F708" s="2">
        <f t="shared" si="11"/>
        <v>0</v>
      </c>
    </row>
    <row r="709" spans="1:6" x14ac:dyDescent="0.25">
      <c r="A709" s="1">
        <v>42835</v>
      </c>
      <c r="B709" s="2" t="s">
        <v>83</v>
      </c>
      <c r="C709" s="2" t="s">
        <v>547</v>
      </c>
      <c r="D709">
        <v>12</v>
      </c>
      <c r="E709">
        <f>WEEKDAY(makulatura5[[#This Row],[Data_dostarczenia]],2)</f>
        <v>1</v>
      </c>
      <c r="F709" s="2">
        <f t="shared" si="11"/>
        <v>0</v>
      </c>
    </row>
    <row r="710" spans="1:6" x14ac:dyDescent="0.25">
      <c r="A710" s="1">
        <v>42835</v>
      </c>
      <c r="B710" s="2" t="s">
        <v>141</v>
      </c>
      <c r="C710" s="2" t="s">
        <v>202</v>
      </c>
      <c r="D710">
        <v>29</v>
      </c>
      <c r="E710">
        <f>WEEKDAY(makulatura5[[#This Row],[Data_dostarczenia]],2)</f>
        <v>1</v>
      </c>
      <c r="F710" s="2">
        <f t="shared" si="11"/>
        <v>1</v>
      </c>
    </row>
    <row r="711" spans="1:6" x14ac:dyDescent="0.25">
      <c r="A711" s="1">
        <v>42836</v>
      </c>
      <c r="B711" s="2" t="s">
        <v>36</v>
      </c>
      <c r="C711" s="2" t="s">
        <v>404</v>
      </c>
      <c r="D711">
        <v>9</v>
      </c>
      <c r="E711">
        <f>WEEKDAY(makulatura5[[#This Row],[Data_dostarczenia]],2)</f>
        <v>2</v>
      </c>
      <c r="F711" s="2">
        <f t="shared" si="11"/>
        <v>0</v>
      </c>
    </row>
    <row r="712" spans="1:6" x14ac:dyDescent="0.25">
      <c r="A712" s="1">
        <v>42836</v>
      </c>
      <c r="B712" s="2" t="s">
        <v>8</v>
      </c>
      <c r="C712" s="2" t="s">
        <v>322</v>
      </c>
      <c r="D712">
        <v>29</v>
      </c>
      <c r="E712">
        <f>WEEKDAY(makulatura5[[#This Row],[Data_dostarczenia]],2)</f>
        <v>2</v>
      </c>
      <c r="F712" s="2">
        <f t="shared" si="11"/>
        <v>0</v>
      </c>
    </row>
    <row r="713" spans="1:6" x14ac:dyDescent="0.25">
      <c r="A713" s="1">
        <v>42836</v>
      </c>
      <c r="B713" s="2" t="s">
        <v>75</v>
      </c>
      <c r="C713" s="2" t="s">
        <v>46</v>
      </c>
      <c r="D713">
        <v>6</v>
      </c>
      <c r="E713">
        <f>WEEKDAY(makulatura5[[#This Row],[Data_dostarczenia]],2)</f>
        <v>2</v>
      </c>
      <c r="F713" s="2">
        <f t="shared" si="11"/>
        <v>0</v>
      </c>
    </row>
    <row r="714" spans="1:6" x14ac:dyDescent="0.25">
      <c r="A714" s="1">
        <v>42836</v>
      </c>
      <c r="B714" s="2" t="s">
        <v>189</v>
      </c>
      <c r="C714" s="2" t="s">
        <v>190</v>
      </c>
      <c r="D714">
        <v>12</v>
      </c>
      <c r="E714">
        <f>WEEKDAY(makulatura5[[#This Row],[Data_dostarczenia]],2)</f>
        <v>2</v>
      </c>
      <c r="F714" s="2">
        <f t="shared" si="11"/>
        <v>0</v>
      </c>
    </row>
    <row r="715" spans="1:6" x14ac:dyDescent="0.25">
      <c r="A715" s="1">
        <v>42836</v>
      </c>
      <c r="B715" s="2" t="s">
        <v>83</v>
      </c>
      <c r="C715" s="2" t="s">
        <v>91</v>
      </c>
      <c r="D715">
        <v>23</v>
      </c>
      <c r="E715">
        <f>WEEKDAY(makulatura5[[#This Row],[Data_dostarczenia]],2)</f>
        <v>2</v>
      </c>
      <c r="F715" s="2">
        <f t="shared" si="11"/>
        <v>0</v>
      </c>
    </row>
    <row r="716" spans="1:6" x14ac:dyDescent="0.25">
      <c r="A716" s="1">
        <v>42836</v>
      </c>
      <c r="B716" s="2" t="s">
        <v>498</v>
      </c>
      <c r="C716" s="2" t="s">
        <v>110</v>
      </c>
      <c r="D716">
        <v>21</v>
      </c>
      <c r="E716">
        <f>WEEKDAY(makulatura5[[#This Row],[Data_dostarczenia]],2)</f>
        <v>2</v>
      </c>
      <c r="F716" s="2">
        <f t="shared" si="11"/>
        <v>0</v>
      </c>
    </row>
    <row r="717" spans="1:6" x14ac:dyDescent="0.25">
      <c r="A717" s="1">
        <v>42836</v>
      </c>
      <c r="B717" s="2" t="s">
        <v>271</v>
      </c>
      <c r="C717" s="2" t="s">
        <v>548</v>
      </c>
      <c r="D717">
        <v>16</v>
      </c>
      <c r="E717">
        <f>WEEKDAY(makulatura5[[#This Row],[Data_dostarczenia]],2)</f>
        <v>2</v>
      </c>
      <c r="F717" s="2">
        <f t="shared" si="11"/>
        <v>0</v>
      </c>
    </row>
    <row r="718" spans="1:6" x14ac:dyDescent="0.25">
      <c r="A718" s="1">
        <v>42836</v>
      </c>
      <c r="B718" s="2" t="s">
        <v>365</v>
      </c>
      <c r="C718" s="2" t="s">
        <v>366</v>
      </c>
      <c r="D718">
        <v>21</v>
      </c>
      <c r="E718">
        <f>WEEKDAY(makulatura5[[#This Row],[Data_dostarczenia]],2)</f>
        <v>2</v>
      </c>
      <c r="F718" s="2">
        <f t="shared" si="11"/>
        <v>1</v>
      </c>
    </row>
    <row r="719" spans="1:6" x14ac:dyDescent="0.25">
      <c r="A719" s="1">
        <v>42837</v>
      </c>
      <c r="B719" s="2" t="s">
        <v>246</v>
      </c>
      <c r="C719" s="2" t="s">
        <v>247</v>
      </c>
      <c r="D719">
        <v>25</v>
      </c>
      <c r="E719">
        <f>WEEKDAY(makulatura5[[#This Row],[Data_dostarczenia]],2)</f>
        <v>3</v>
      </c>
      <c r="F719" s="2">
        <f t="shared" si="11"/>
        <v>0</v>
      </c>
    </row>
    <row r="720" spans="1:6" x14ac:dyDescent="0.25">
      <c r="A720" s="1">
        <v>42837</v>
      </c>
      <c r="B720" s="2" t="s">
        <v>484</v>
      </c>
      <c r="C720" s="2" t="s">
        <v>485</v>
      </c>
      <c r="D720">
        <v>4</v>
      </c>
      <c r="E720">
        <f>WEEKDAY(makulatura5[[#This Row],[Data_dostarczenia]],2)</f>
        <v>3</v>
      </c>
      <c r="F720" s="2">
        <f t="shared" si="11"/>
        <v>0</v>
      </c>
    </row>
    <row r="721" spans="1:6" x14ac:dyDescent="0.25">
      <c r="A721" s="1">
        <v>42837</v>
      </c>
      <c r="B721" s="2" t="s">
        <v>53</v>
      </c>
      <c r="C721" s="2" t="s">
        <v>191</v>
      </c>
      <c r="D721">
        <v>19</v>
      </c>
      <c r="E721">
        <f>WEEKDAY(makulatura5[[#This Row],[Data_dostarczenia]],2)</f>
        <v>3</v>
      </c>
      <c r="F721" s="2">
        <f t="shared" si="11"/>
        <v>0</v>
      </c>
    </row>
    <row r="722" spans="1:6" x14ac:dyDescent="0.25">
      <c r="A722" s="1">
        <v>42837</v>
      </c>
      <c r="B722" s="2" t="s">
        <v>92</v>
      </c>
      <c r="C722" s="2" t="s">
        <v>93</v>
      </c>
      <c r="D722">
        <v>17</v>
      </c>
      <c r="E722">
        <f>WEEKDAY(makulatura5[[#This Row],[Data_dostarczenia]],2)</f>
        <v>3</v>
      </c>
      <c r="F722" s="2">
        <f t="shared" si="11"/>
        <v>0</v>
      </c>
    </row>
    <row r="723" spans="1:6" x14ac:dyDescent="0.25">
      <c r="A723" s="1">
        <v>42837</v>
      </c>
      <c r="B723" s="2" t="s">
        <v>12</v>
      </c>
      <c r="C723" s="2" t="s">
        <v>549</v>
      </c>
      <c r="D723">
        <v>9</v>
      </c>
      <c r="E723">
        <f>WEEKDAY(makulatura5[[#This Row],[Data_dostarczenia]],2)</f>
        <v>3</v>
      </c>
      <c r="F723" s="2">
        <f t="shared" si="11"/>
        <v>0</v>
      </c>
    </row>
    <row r="724" spans="1:6" x14ac:dyDescent="0.25">
      <c r="A724" s="1">
        <v>42837</v>
      </c>
      <c r="B724" s="2" t="s">
        <v>329</v>
      </c>
      <c r="C724" s="2" t="s">
        <v>330</v>
      </c>
      <c r="D724">
        <v>8</v>
      </c>
      <c r="E724">
        <f>WEEKDAY(makulatura5[[#This Row],[Data_dostarczenia]],2)</f>
        <v>3</v>
      </c>
      <c r="F724" s="2">
        <f t="shared" si="11"/>
        <v>0</v>
      </c>
    </row>
    <row r="725" spans="1:6" x14ac:dyDescent="0.25">
      <c r="A725" s="1">
        <v>42837</v>
      </c>
      <c r="B725" s="2" t="s">
        <v>232</v>
      </c>
      <c r="C725" s="2" t="s">
        <v>378</v>
      </c>
      <c r="D725">
        <v>11</v>
      </c>
      <c r="E725">
        <f>WEEKDAY(makulatura5[[#This Row],[Data_dostarczenia]],2)</f>
        <v>3</v>
      </c>
      <c r="F725" s="2">
        <f t="shared" si="11"/>
        <v>0</v>
      </c>
    </row>
    <row r="726" spans="1:6" x14ac:dyDescent="0.25">
      <c r="A726" s="1">
        <v>42837</v>
      </c>
      <c r="B726" s="2" t="s">
        <v>244</v>
      </c>
      <c r="C726" s="2" t="s">
        <v>245</v>
      </c>
      <c r="D726">
        <v>26</v>
      </c>
      <c r="E726">
        <f>WEEKDAY(makulatura5[[#This Row],[Data_dostarczenia]],2)</f>
        <v>3</v>
      </c>
      <c r="F726" s="2">
        <f t="shared" si="11"/>
        <v>0</v>
      </c>
    </row>
    <row r="727" spans="1:6" x14ac:dyDescent="0.25">
      <c r="A727" s="1">
        <v>42837</v>
      </c>
      <c r="B727" s="2" t="s">
        <v>141</v>
      </c>
      <c r="C727" s="2" t="s">
        <v>550</v>
      </c>
      <c r="D727">
        <v>23</v>
      </c>
      <c r="E727">
        <f>WEEKDAY(makulatura5[[#This Row],[Data_dostarczenia]],2)</f>
        <v>3</v>
      </c>
      <c r="F727" s="2">
        <f t="shared" si="11"/>
        <v>1</v>
      </c>
    </row>
    <row r="728" spans="1:6" x14ac:dyDescent="0.25">
      <c r="A728" s="1">
        <v>42838</v>
      </c>
      <c r="B728" s="2" t="s">
        <v>203</v>
      </c>
      <c r="C728" s="2" t="s">
        <v>370</v>
      </c>
      <c r="D728">
        <v>55</v>
      </c>
      <c r="E728">
        <f>WEEKDAY(makulatura5[[#This Row],[Data_dostarczenia]],2)</f>
        <v>4</v>
      </c>
      <c r="F728" s="2">
        <f t="shared" si="11"/>
        <v>0</v>
      </c>
    </row>
    <row r="729" spans="1:6" x14ac:dyDescent="0.25">
      <c r="A729" s="1">
        <v>42838</v>
      </c>
      <c r="B729" s="2" t="s">
        <v>171</v>
      </c>
      <c r="C729" s="2" t="s">
        <v>172</v>
      </c>
      <c r="D729">
        <v>38</v>
      </c>
      <c r="E729">
        <f>WEEKDAY(makulatura5[[#This Row],[Data_dostarczenia]],2)</f>
        <v>4</v>
      </c>
      <c r="F729" s="2">
        <f t="shared" si="11"/>
        <v>0</v>
      </c>
    </row>
    <row r="730" spans="1:6" x14ac:dyDescent="0.25">
      <c r="A730" s="1">
        <v>42838</v>
      </c>
      <c r="B730" s="2" t="s">
        <v>97</v>
      </c>
      <c r="C730" s="2" t="s">
        <v>309</v>
      </c>
      <c r="D730">
        <v>9</v>
      </c>
      <c r="E730">
        <f>WEEKDAY(makulatura5[[#This Row],[Data_dostarczenia]],2)</f>
        <v>4</v>
      </c>
      <c r="F730" s="2">
        <f t="shared" si="11"/>
        <v>0</v>
      </c>
    </row>
    <row r="731" spans="1:6" x14ac:dyDescent="0.25">
      <c r="A731" s="1">
        <v>42838</v>
      </c>
      <c r="B731" s="2" t="s">
        <v>221</v>
      </c>
      <c r="C731" s="2" t="s">
        <v>551</v>
      </c>
      <c r="D731">
        <v>34</v>
      </c>
      <c r="E731">
        <f>WEEKDAY(makulatura5[[#This Row],[Data_dostarczenia]],2)</f>
        <v>4</v>
      </c>
      <c r="F731" s="2">
        <f t="shared" si="11"/>
        <v>0</v>
      </c>
    </row>
    <row r="732" spans="1:6" x14ac:dyDescent="0.25">
      <c r="A732" s="1">
        <v>42838</v>
      </c>
      <c r="B732" s="2" t="s">
        <v>232</v>
      </c>
      <c r="C732" s="2" t="s">
        <v>487</v>
      </c>
      <c r="D732">
        <v>14</v>
      </c>
      <c r="E732">
        <f>WEEKDAY(makulatura5[[#This Row],[Data_dostarczenia]],2)</f>
        <v>4</v>
      </c>
      <c r="F732" s="2">
        <f t="shared" si="11"/>
        <v>0</v>
      </c>
    </row>
    <row r="733" spans="1:6" x14ac:dyDescent="0.25">
      <c r="A733" s="1">
        <v>42838</v>
      </c>
      <c r="B733" s="2" t="s">
        <v>69</v>
      </c>
      <c r="C733" s="2" t="s">
        <v>70</v>
      </c>
      <c r="D733">
        <v>5</v>
      </c>
      <c r="E733">
        <f>WEEKDAY(makulatura5[[#This Row],[Data_dostarczenia]],2)</f>
        <v>4</v>
      </c>
      <c r="F733" s="2">
        <f t="shared" si="11"/>
        <v>0</v>
      </c>
    </row>
    <row r="734" spans="1:6" x14ac:dyDescent="0.25">
      <c r="A734" s="1">
        <v>42838</v>
      </c>
      <c r="B734" s="2" t="s">
        <v>41</v>
      </c>
      <c r="C734" s="2" t="s">
        <v>302</v>
      </c>
      <c r="D734">
        <v>2</v>
      </c>
      <c r="E734">
        <f>WEEKDAY(makulatura5[[#This Row],[Data_dostarczenia]],2)</f>
        <v>4</v>
      </c>
      <c r="F734" s="2">
        <f t="shared" si="11"/>
        <v>0</v>
      </c>
    </row>
    <row r="735" spans="1:6" x14ac:dyDescent="0.25">
      <c r="A735" s="1">
        <v>42838</v>
      </c>
      <c r="B735" s="2" t="s">
        <v>144</v>
      </c>
      <c r="C735" s="2" t="s">
        <v>145</v>
      </c>
      <c r="D735">
        <v>20</v>
      </c>
      <c r="E735">
        <f>WEEKDAY(makulatura5[[#This Row],[Data_dostarczenia]],2)</f>
        <v>4</v>
      </c>
      <c r="F735" s="2">
        <f t="shared" si="11"/>
        <v>0</v>
      </c>
    </row>
    <row r="736" spans="1:6" x14ac:dyDescent="0.25">
      <c r="A736" s="1">
        <v>42838</v>
      </c>
      <c r="B736" s="2" t="s">
        <v>18</v>
      </c>
      <c r="C736" s="2" t="s">
        <v>19</v>
      </c>
      <c r="D736">
        <v>6</v>
      </c>
      <c r="E736">
        <f>WEEKDAY(makulatura5[[#This Row],[Data_dostarczenia]],2)</f>
        <v>4</v>
      </c>
      <c r="F736" s="2">
        <f t="shared" si="11"/>
        <v>0</v>
      </c>
    </row>
    <row r="737" spans="1:6" x14ac:dyDescent="0.25">
      <c r="A737" s="1">
        <v>42838</v>
      </c>
      <c r="B737" s="2" t="s">
        <v>83</v>
      </c>
      <c r="C737" s="2" t="s">
        <v>136</v>
      </c>
      <c r="D737">
        <v>22</v>
      </c>
      <c r="E737">
        <f>WEEKDAY(makulatura5[[#This Row],[Data_dostarczenia]],2)</f>
        <v>4</v>
      </c>
      <c r="F737" s="2">
        <f t="shared" si="11"/>
        <v>0</v>
      </c>
    </row>
    <row r="738" spans="1:6" x14ac:dyDescent="0.25">
      <c r="A738" s="1">
        <v>42838</v>
      </c>
      <c r="B738" s="2" t="s">
        <v>169</v>
      </c>
      <c r="C738" s="2" t="s">
        <v>170</v>
      </c>
      <c r="D738">
        <v>26</v>
      </c>
      <c r="E738">
        <f>WEEKDAY(makulatura5[[#This Row],[Data_dostarczenia]],2)</f>
        <v>4</v>
      </c>
      <c r="F738" s="2">
        <f t="shared" si="11"/>
        <v>0</v>
      </c>
    </row>
    <row r="739" spans="1:6" x14ac:dyDescent="0.25">
      <c r="A739" s="1">
        <v>42838</v>
      </c>
      <c r="B739" s="2" t="s">
        <v>69</v>
      </c>
      <c r="C739" s="2" t="s">
        <v>286</v>
      </c>
      <c r="D739">
        <v>27</v>
      </c>
      <c r="E739">
        <f>WEEKDAY(makulatura5[[#This Row],[Data_dostarczenia]],2)</f>
        <v>4</v>
      </c>
      <c r="F739" s="2">
        <f t="shared" si="11"/>
        <v>0</v>
      </c>
    </row>
    <row r="740" spans="1:6" x14ac:dyDescent="0.25">
      <c r="A740" s="1">
        <v>42838</v>
      </c>
      <c r="B740" s="2" t="s">
        <v>141</v>
      </c>
      <c r="C740" s="2" t="s">
        <v>202</v>
      </c>
      <c r="D740">
        <v>26</v>
      </c>
      <c r="E740">
        <f>WEEKDAY(makulatura5[[#This Row],[Data_dostarczenia]],2)</f>
        <v>4</v>
      </c>
      <c r="F740" s="2">
        <f t="shared" si="11"/>
        <v>0</v>
      </c>
    </row>
    <row r="741" spans="1:6" x14ac:dyDescent="0.25">
      <c r="A741" s="1">
        <v>42838</v>
      </c>
      <c r="B741" s="2" t="s">
        <v>43</v>
      </c>
      <c r="C741" s="2" t="s">
        <v>507</v>
      </c>
      <c r="D741">
        <v>29</v>
      </c>
      <c r="E741">
        <f>WEEKDAY(makulatura5[[#This Row],[Data_dostarczenia]],2)</f>
        <v>4</v>
      </c>
      <c r="F741" s="2">
        <f t="shared" si="11"/>
        <v>0</v>
      </c>
    </row>
    <row r="742" spans="1:6" x14ac:dyDescent="0.25">
      <c r="A742" s="1">
        <v>42838</v>
      </c>
      <c r="B742" s="2" t="s">
        <v>106</v>
      </c>
      <c r="C742" s="2" t="s">
        <v>277</v>
      </c>
      <c r="D742">
        <v>10</v>
      </c>
      <c r="E742">
        <f>WEEKDAY(makulatura5[[#This Row],[Data_dostarczenia]],2)</f>
        <v>4</v>
      </c>
      <c r="F742" s="2">
        <f t="shared" si="11"/>
        <v>1</v>
      </c>
    </row>
    <row r="743" spans="1:6" x14ac:dyDescent="0.25">
      <c r="A743" s="1">
        <v>42839</v>
      </c>
      <c r="B743" s="2" t="s">
        <v>167</v>
      </c>
      <c r="C743" s="2" t="s">
        <v>552</v>
      </c>
      <c r="D743">
        <v>37</v>
      </c>
      <c r="E743">
        <f>WEEKDAY(makulatura5[[#This Row],[Data_dostarczenia]],2)</f>
        <v>5</v>
      </c>
      <c r="F743" s="2">
        <f t="shared" si="11"/>
        <v>0</v>
      </c>
    </row>
    <row r="744" spans="1:6" x14ac:dyDescent="0.25">
      <c r="A744" s="1">
        <v>42839</v>
      </c>
      <c r="B744" s="2" t="s">
        <v>232</v>
      </c>
      <c r="C744" s="2" t="s">
        <v>405</v>
      </c>
      <c r="D744">
        <v>7</v>
      </c>
      <c r="E744">
        <f>WEEKDAY(makulatura5[[#This Row],[Data_dostarczenia]],2)</f>
        <v>5</v>
      </c>
      <c r="F744" s="2">
        <f t="shared" si="11"/>
        <v>0</v>
      </c>
    </row>
    <row r="745" spans="1:6" x14ac:dyDescent="0.25">
      <c r="A745" s="1">
        <v>42839</v>
      </c>
      <c r="B745" s="2" t="s">
        <v>101</v>
      </c>
      <c r="C745" s="2" t="s">
        <v>293</v>
      </c>
      <c r="D745">
        <v>44</v>
      </c>
      <c r="E745">
        <f>WEEKDAY(makulatura5[[#This Row],[Data_dostarczenia]],2)</f>
        <v>5</v>
      </c>
      <c r="F745" s="2">
        <f t="shared" si="11"/>
        <v>0</v>
      </c>
    </row>
    <row r="746" spans="1:6" x14ac:dyDescent="0.25">
      <c r="A746" s="1">
        <v>42839</v>
      </c>
      <c r="B746" s="2" t="s">
        <v>367</v>
      </c>
      <c r="C746" s="2" t="s">
        <v>368</v>
      </c>
      <c r="D746">
        <v>11</v>
      </c>
      <c r="E746">
        <f>WEEKDAY(makulatura5[[#This Row],[Data_dostarczenia]],2)</f>
        <v>5</v>
      </c>
      <c r="F746" s="2">
        <f t="shared" si="11"/>
        <v>0</v>
      </c>
    </row>
    <row r="747" spans="1:6" x14ac:dyDescent="0.25">
      <c r="A747" s="1">
        <v>42839</v>
      </c>
      <c r="B747" s="2" t="s">
        <v>553</v>
      </c>
      <c r="C747" s="2" t="s">
        <v>554</v>
      </c>
      <c r="D747">
        <v>25</v>
      </c>
      <c r="E747">
        <f>WEEKDAY(makulatura5[[#This Row],[Data_dostarczenia]],2)</f>
        <v>5</v>
      </c>
      <c r="F747" s="2">
        <f t="shared" si="11"/>
        <v>0</v>
      </c>
    </row>
    <row r="748" spans="1:6" x14ac:dyDescent="0.25">
      <c r="A748" s="1">
        <v>42839</v>
      </c>
      <c r="B748" s="2" t="s">
        <v>412</v>
      </c>
      <c r="C748" s="2" t="s">
        <v>413</v>
      </c>
      <c r="D748">
        <v>18</v>
      </c>
      <c r="E748">
        <f>WEEKDAY(makulatura5[[#This Row],[Data_dostarczenia]],2)</f>
        <v>5</v>
      </c>
      <c r="F748" s="2">
        <f t="shared" si="11"/>
        <v>1</v>
      </c>
    </row>
    <row r="749" spans="1:6" x14ac:dyDescent="0.25">
      <c r="A749" s="1">
        <v>42842</v>
      </c>
      <c r="B749" s="2" t="s">
        <v>528</v>
      </c>
      <c r="C749" s="2" t="s">
        <v>428</v>
      </c>
      <c r="D749">
        <v>44</v>
      </c>
      <c r="E749">
        <f>WEEKDAY(makulatura5[[#This Row],[Data_dostarczenia]],2)</f>
        <v>1</v>
      </c>
      <c r="F749" s="2">
        <f t="shared" si="11"/>
        <v>0</v>
      </c>
    </row>
    <row r="750" spans="1:6" x14ac:dyDescent="0.25">
      <c r="A750" s="1">
        <v>42842</v>
      </c>
      <c r="B750" s="2" t="s">
        <v>119</v>
      </c>
      <c r="C750" s="2" t="s">
        <v>319</v>
      </c>
      <c r="D750">
        <v>26</v>
      </c>
      <c r="E750">
        <f>WEEKDAY(makulatura5[[#This Row],[Data_dostarczenia]],2)</f>
        <v>1</v>
      </c>
      <c r="F750" s="2">
        <f t="shared" si="11"/>
        <v>0</v>
      </c>
    </row>
    <row r="751" spans="1:6" x14ac:dyDescent="0.25">
      <c r="A751" s="1">
        <v>42842</v>
      </c>
      <c r="B751" s="2" t="s">
        <v>193</v>
      </c>
      <c r="C751" s="2" t="s">
        <v>555</v>
      </c>
      <c r="D751">
        <v>7</v>
      </c>
      <c r="E751">
        <f>WEEKDAY(makulatura5[[#This Row],[Data_dostarczenia]],2)</f>
        <v>1</v>
      </c>
      <c r="F751" s="2">
        <f t="shared" si="11"/>
        <v>0</v>
      </c>
    </row>
    <row r="752" spans="1:6" x14ac:dyDescent="0.25">
      <c r="A752" s="1">
        <v>42842</v>
      </c>
      <c r="B752" s="2" t="s">
        <v>43</v>
      </c>
      <c r="C752" s="2" t="s">
        <v>71</v>
      </c>
      <c r="D752">
        <v>41</v>
      </c>
      <c r="E752">
        <f>WEEKDAY(makulatura5[[#This Row],[Data_dostarczenia]],2)</f>
        <v>1</v>
      </c>
      <c r="F752" s="2">
        <f t="shared" si="11"/>
        <v>0</v>
      </c>
    </row>
    <row r="753" spans="1:6" x14ac:dyDescent="0.25">
      <c r="A753" s="1">
        <v>42842</v>
      </c>
      <c r="B753" s="2" t="s">
        <v>232</v>
      </c>
      <c r="C753" s="2" t="s">
        <v>526</v>
      </c>
      <c r="D753">
        <v>46</v>
      </c>
      <c r="E753">
        <f>WEEKDAY(makulatura5[[#This Row],[Data_dostarczenia]],2)</f>
        <v>1</v>
      </c>
      <c r="F753" s="2">
        <f t="shared" si="11"/>
        <v>0</v>
      </c>
    </row>
    <row r="754" spans="1:6" x14ac:dyDescent="0.25">
      <c r="A754" s="1">
        <v>42842</v>
      </c>
      <c r="B754" s="2" t="s">
        <v>18</v>
      </c>
      <c r="C754" s="2" t="s">
        <v>392</v>
      </c>
      <c r="D754">
        <v>52</v>
      </c>
      <c r="E754">
        <f>WEEKDAY(makulatura5[[#This Row],[Data_dostarczenia]],2)</f>
        <v>1</v>
      </c>
      <c r="F754" s="2">
        <f t="shared" si="11"/>
        <v>1</v>
      </c>
    </row>
    <row r="755" spans="1:6" x14ac:dyDescent="0.25">
      <c r="A755" s="1">
        <v>42843</v>
      </c>
      <c r="B755" s="2" t="s">
        <v>12</v>
      </c>
      <c r="C755" s="2" t="s">
        <v>386</v>
      </c>
      <c r="D755">
        <v>6</v>
      </c>
      <c r="E755">
        <f>WEEKDAY(makulatura5[[#This Row],[Data_dostarczenia]],2)</f>
        <v>2</v>
      </c>
      <c r="F755" s="2">
        <f t="shared" si="11"/>
        <v>0</v>
      </c>
    </row>
    <row r="756" spans="1:6" x14ac:dyDescent="0.25">
      <c r="A756" s="1">
        <v>42843</v>
      </c>
      <c r="B756" s="2" t="s">
        <v>51</v>
      </c>
      <c r="C756" s="2" t="s">
        <v>358</v>
      </c>
      <c r="D756">
        <v>23</v>
      </c>
      <c r="E756">
        <f>WEEKDAY(makulatura5[[#This Row],[Data_dostarczenia]],2)</f>
        <v>2</v>
      </c>
      <c r="F756" s="2">
        <f t="shared" si="11"/>
        <v>0</v>
      </c>
    </row>
    <row r="757" spans="1:6" x14ac:dyDescent="0.25">
      <c r="A757" s="1">
        <v>42843</v>
      </c>
      <c r="B757" s="2" t="s">
        <v>275</v>
      </c>
      <c r="C757" s="2" t="s">
        <v>276</v>
      </c>
      <c r="D757">
        <v>22</v>
      </c>
      <c r="E757">
        <f>WEEKDAY(makulatura5[[#This Row],[Data_dostarczenia]],2)</f>
        <v>2</v>
      </c>
      <c r="F757" s="2">
        <f t="shared" si="11"/>
        <v>0</v>
      </c>
    </row>
    <row r="758" spans="1:6" x14ac:dyDescent="0.25">
      <c r="A758" s="1">
        <v>42843</v>
      </c>
      <c r="B758" s="2" t="s">
        <v>131</v>
      </c>
      <c r="C758" s="2" t="s">
        <v>451</v>
      </c>
      <c r="D758">
        <v>21</v>
      </c>
      <c r="E758">
        <f>WEEKDAY(makulatura5[[#This Row],[Data_dostarczenia]],2)</f>
        <v>2</v>
      </c>
      <c r="F758" s="2">
        <f t="shared" si="11"/>
        <v>0</v>
      </c>
    </row>
    <row r="759" spans="1:6" x14ac:dyDescent="0.25">
      <c r="A759" s="1">
        <v>42843</v>
      </c>
      <c r="B759" s="2" t="s">
        <v>30</v>
      </c>
      <c r="C759" s="2" t="s">
        <v>387</v>
      </c>
      <c r="D759">
        <v>29</v>
      </c>
      <c r="E759">
        <f>WEEKDAY(makulatura5[[#This Row],[Data_dostarczenia]],2)</f>
        <v>2</v>
      </c>
      <c r="F759" s="2">
        <f t="shared" si="11"/>
        <v>0</v>
      </c>
    </row>
    <row r="760" spans="1:6" x14ac:dyDescent="0.25">
      <c r="A760" s="1">
        <v>42843</v>
      </c>
      <c r="B760" s="2" t="s">
        <v>150</v>
      </c>
      <c r="C760" s="2" t="s">
        <v>556</v>
      </c>
      <c r="D760">
        <v>21</v>
      </c>
      <c r="E760">
        <f>WEEKDAY(makulatura5[[#This Row],[Data_dostarczenia]],2)</f>
        <v>2</v>
      </c>
      <c r="F760" s="2">
        <f t="shared" si="11"/>
        <v>1</v>
      </c>
    </row>
    <row r="761" spans="1:6" x14ac:dyDescent="0.25">
      <c r="A761" s="1">
        <v>42844</v>
      </c>
      <c r="B761" s="2" t="s">
        <v>484</v>
      </c>
      <c r="C761" s="2" t="s">
        <v>485</v>
      </c>
      <c r="D761">
        <v>3</v>
      </c>
      <c r="E761">
        <f>WEEKDAY(makulatura5[[#This Row],[Data_dostarczenia]],2)</f>
        <v>3</v>
      </c>
      <c r="F761" s="2">
        <f t="shared" si="11"/>
        <v>0</v>
      </c>
    </row>
    <row r="762" spans="1:6" x14ac:dyDescent="0.25">
      <c r="A762" s="1">
        <v>42844</v>
      </c>
      <c r="B762" s="2" t="s">
        <v>34</v>
      </c>
      <c r="C762" s="2" t="s">
        <v>557</v>
      </c>
      <c r="D762">
        <v>29</v>
      </c>
      <c r="E762">
        <f>WEEKDAY(makulatura5[[#This Row],[Data_dostarczenia]],2)</f>
        <v>3</v>
      </c>
      <c r="F762" s="2">
        <f t="shared" si="11"/>
        <v>0</v>
      </c>
    </row>
    <row r="763" spans="1:6" x14ac:dyDescent="0.25">
      <c r="A763" s="1">
        <v>42844</v>
      </c>
      <c r="B763" s="2" t="s">
        <v>427</v>
      </c>
      <c r="C763" s="2" t="s">
        <v>558</v>
      </c>
      <c r="D763">
        <v>56</v>
      </c>
      <c r="E763">
        <f>WEEKDAY(makulatura5[[#This Row],[Data_dostarczenia]],2)</f>
        <v>3</v>
      </c>
      <c r="F763" s="2">
        <f t="shared" si="11"/>
        <v>0</v>
      </c>
    </row>
    <row r="764" spans="1:6" x14ac:dyDescent="0.25">
      <c r="A764" s="1">
        <v>42844</v>
      </c>
      <c r="B764" s="2" t="s">
        <v>201</v>
      </c>
      <c r="C764" s="2" t="s">
        <v>202</v>
      </c>
      <c r="D764">
        <v>15</v>
      </c>
      <c r="E764">
        <f>WEEKDAY(makulatura5[[#This Row],[Data_dostarczenia]],2)</f>
        <v>3</v>
      </c>
      <c r="F764" s="2">
        <f t="shared" si="11"/>
        <v>0</v>
      </c>
    </row>
    <row r="765" spans="1:6" x14ac:dyDescent="0.25">
      <c r="A765" s="1">
        <v>42844</v>
      </c>
      <c r="B765" s="2" t="s">
        <v>193</v>
      </c>
      <c r="C765" s="2" t="s">
        <v>194</v>
      </c>
      <c r="D765">
        <v>12</v>
      </c>
      <c r="E765">
        <f>WEEKDAY(makulatura5[[#This Row],[Data_dostarczenia]],2)</f>
        <v>3</v>
      </c>
      <c r="F765" s="2">
        <f t="shared" si="11"/>
        <v>0</v>
      </c>
    </row>
    <row r="766" spans="1:6" x14ac:dyDescent="0.25">
      <c r="A766" s="1">
        <v>42844</v>
      </c>
      <c r="B766" s="2" t="s">
        <v>55</v>
      </c>
      <c r="C766" s="2" t="s">
        <v>56</v>
      </c>
      <c r="D766">
        <v>19</v>
      </c>
      <c r="E766">
        <f>WEEKDAY(makulatura5[[#This Row],[Data_dostarczenia]],2)</f>
        <v>3</v>
      </c>
      <c r="F766" s="2">
        <f t="shared" si="11"/>
        <v>1</v>
      </c>
    </row>
    <row r="767" spans="1:6" x14ac:dyDescent="0.25">
      <c r="A767" s="1">
        <v>42845</v>
      </c>
      <c r="B767" s="2" t="s">
        <v>416</v>
      </c>
      <c r="C767" s="2" t="s">
        <v>417</v>
      </c>
      <c r="D767">
        <v>14</v>
      </c>
      <c r="E767">
        <f>WEEKDAY(makulatura5[[#This Row],[Data_dostarczenia]],2)</f>
        <v>4</v>
      </c>
      <c r="F767" s="2">
        <f t="shared" si="11"/>
        <v>0</v>
      </c>
    </row>
    <row r="768" spans="1:6" x14ac:dyDescent="0.25">
      <c r="A768" s="1">
        <v>42845</v>
      </c>
      <c r="B768" s="2" t="s">
        <v>234</v>
      </c>
      <c r="C768" s="2" t="s">
        <v>516</v>
      </c>
      <c r="D768">
        <v>42</v>
      </c>
      <c r="E768">
        <f>WEEKDAY(makulatura5[[#This Row],[Data_dostarczenia]],2)</f>
        <v>4</v>
      </c>
      <c r="F768" s="2">
        <f t="shared" si="11"/>
        <v>0</v>
      </c>
    </row>
    <row r="769" spans="1:6" x14ac:dyDescent="0.25">
      <c r="A769" s="1">
        <v>42845</v>
      </c>
      <c r="B769" s="2" t="s">
        <v>128</v>
      </c>
      <c r="C769" s="2" t="s">
        <v>559</v>
      </c>
      <c r="D769">
        <v>10</v>
      </c>
      <c r="E769">
        <f>WEEKDAY(makulatura5[[#This Row],[Data_dostarczenia]],2)</f>
        <v>4</v>
      </c>
      <c r="F769" s="2">
        <f t="shared" si="11"/>
        <v>0</v>
      </c>
    </row>
    <row r="770" spans="1:6" x14ac:dyDescent="0.25">
      <c r="A770" s="1">
        <v>42845</v>
      </c>
      <c r="B770" s="2" t="s">
        <v>55</v>
      </c>
      <c r="C770" s="2" t="s">
        <v>184</v>
      </c>
      <c r="D770">
        <v>20</v>
      </c>
      <c r="E770">
        <f>WEEKDAY(makulatura5[[#This Row],[Data_dostarczenia]],2)</f>
        <v>4</v>
      </c>
      <c r="F770" s="2">
        <f t="shared" ref="F770:F833" si="12">IF(A771=A770,0,1)</f>
        <v>0</v>
      </c>
    </row>
    <row r="771" spans="1:6" x14ac:dyDescent="0.25">
      <c r="A771" s="1">
        <v>42845</v>
      </c>
      <c r="B771" s="2" t="s">
        <v>361</v>
      </c>
      <c r="C771" s="2" t="s">
        <v>362</v>
      </c>
      <c r="D771">
        <v>51</v>
      </c>
      <c r="E771">
        <f>WEEKDAY(makulatura5[[#This Row],[Data_dostarczenia]],2)</f>
        <v>4</v>
      </c>
      <c r="F771" s="2">
        <f t="shared" si="12"/>
        <v>0</v>
      </c>
    </row>
    <row r="772" spans="1:6" x14ac:dyDescent="0.25">
      <c r="A772" s="1">
        <v>42845</v>
      </c>
      <c r="B772" s="2" t="s">
        <v>36</v>
      </c>
      <c r="C772" s="2" t="s">
        <v>560</v>
      </c>
      <c r="D772">
        <v>35</v>
      </c>
      <c r="E772">
        <f>WEEKDAY(makulatura5[[#This Row],[Data_dostarczenia]],2)</f>
        <v>4</v>
      </c>
      <c r="F772" s="2">
        <f t="shared" si="12"/>
        <v>1</v>
      </c>
    </row>
    <row r="773" spans="1:6" x14ac:dyDescent="0.25">
      <c r="A773" s="1">
        <v>42846</v>
      </c>
      <c r="B773" s="2" t="s">
        <v>83</v>
      </c>
      <c r="C773" s="2" t="s">
        <v>561</v>
      </c>
      <c r="D773">
        <v>45</v>
      </c>
      <c r="E773">
        <f>WEEKDAY(makulatura5[[#This Row],[Data_dostarczenia]],2)</f>
        <v>5</v>
      </c>
      <c r="F773" s="2">
        <f t="shared" si="12"/>
        <v>0</v>
      </c>
    </row>
    <row r="774" spans="1:6" x14ac:dyDescent="0.25">
      <c r="A774" s="1">
        <v>42846</v>
      </c>
      <c r="B774" s="2" t="s">
        <v>87</v>
      </c>
      <c r="C774" s="2" t="s">
        <v>255</v>
      </c>
      <c r="D774">
        <v>29</v>
      </c>
      <c r="E774">
        <f>WEEKDAY(makulatura5[[#This Row],[Data_dostarczenia]],2)</f>
        <v>5</v>
      </c>
      <c r="F774" s="2">
        <f t="shared" si="12"/>
        <v>0</v>
      </c>
    </row>
    <row r="775" spans="1:6" x14ac:dyDescent="0.25">
      <c r="A775" s="1">
        <v>42846</v>
      </c>
      <c r="B775" s="2" t="s">
        <v>43</v>
      </c>
      <c r="C775" s="2" t="s">
        <v>507</v>
      </c>
      <c r="D775">
        <v>5</v>
      </c>
      <c r="E775">
        <f>WEEKDAY(makulatura5[[#This Row],[Data_dostarczenia]],2)</f>
        <v>5</v>
      </c>
      <c r="F775" s="2">
        <f t="shared" si="12"/>
        <v>0</v>
      </c>
    </row>
    <row r="776" spans="1:6" x14ac:dyDescent="0.25">
      <c r="A776" s="1">
        <v>42846</v>
      </c>
      <c r="B776" s="2" t="s">
        <v>4</v>
      </c>
      <c r="C776" s="2" t="s">
        <v>197</v>
      </c>
      <c r="D776">
        <v>16</v>
      </c>
      <c r="E776">
        <f>WEEKDAY(makulatura5[[#This Row],[Data_dostarczenia]],2)</f>
        <v>5</v>
      </c>
      <c r="F776" s="2">
        <f t="shared" si="12"/>
        <v>0</v>
      </c>
    </row>
    <row r="777" spans="1:6" x14ac:dyDescent="0.25">
      <c r="A777" s="1">
        <v>42846</v>
      </c>
      <c r="B777" s="2" t="s">
        <v>352</v>
      </c>
      <c r="C777" s="2" t="s">
        <v>363</v>
      </c>
      <c r="D777">
        <v>25</v>
      </c>
      <c r="E777">
        <f>WEEKDAY(makulatura5[[#This Row],[Data_dostarczenia]],2)</f>
        <v>5</v>
      </c>
      <c r="F777" s="2">
        <f t="shared" si="12"/>
        <v>0</v>
      </c>
    </row>
    <row r="778" spans="1:6" x14ac:dyDescent="0.25">
      <c r="A778" s="1">
        <v>42846</v>
      </c>
      <c r="B778" s="2" t="s">
        <v>171</v>
      </c>
      <c r="C778" s="2" t="s">
        <v>562</v>
      </c>
      <c r="D778">
        <v>38</v>
      </c>
      <c r="E778">
        <f>WEEKDAY(makulatura5[[#This Row],[Data_dostarczenia]],2)</f>
        <v>5</v>
      </c>
      <c r="F778" s="2">
        <f t="shared" si="12"/>
        <v>1</v>
      </c>
    </row>
    <row r="779" spans="1:6" x14ac:dyDescent="0.25">
      <c r="A779" s="1">
        <v>42849</v>
      </c>
      <c r="B779" s="2" t="s">
        <v>178</v>
      </c>
      <c r="C779" s="2" t="s">
        <v>179</v>
      </c>
      <c r="D779">
        <v>33</v>
      </c>
      <c r="E779">
        <f>WEEKDAY(makulatura5[[#This Row],[Data_dostarczenia]],2)</f>
        <v>1</v>
      </c>
      <c r="F779" s="2">
        <f t="shared" si="12"/>
        <v>0</v>
      </c>
    </row>
    <row r="780" spans="1:6" x14ac:dyDescent="0.25">
      <c r="A780" s="1">
        <v>42849</v>
      </c>
      <c r="B780" s="2" t="s">
        <v>206</v>
      </c>
      <c r="C780" s="2" t="s">
        <v>563</v>
      </c>
      <c r="D780">
        <v>48</v>
      </c>
      <c r="E780">
        <f>WEEKDAY(makulatura5[[#This Row],[Data_dostarczenia]],2)</f>
        <v>1</v>
      </c>
      <c r="F780" s="2">
        <f t="shared" si="12"/>
        <v>0</v>
      </c>
    </row>
    <row r="781" spans="1:6" x14ac:dyDescent="0.25">
      <c r="A781" s="1">
        <v>42849</v>
      </c>
      <c r="B781" s="2" t="s">
        <v>201</v>
      </c>
      <c r="C781" s="2" t="s">
        <v>433</v>
      </c>
      <c r="D781">
        <v>14</v>
      </c>
      <c r="E781">
        <f>WEEKDAY(makulatura5[[#This Row],[Data_dostarczenia]],2)</f>
        <v>1</v>
      </c>
      <c r="F781" s="2">
        <f t="shared" si="12"/>
        <v>0</v>
      </c>
    </row>
    <row r="782" spans="1:6" x14ac:dyDescent="0.25">
      <c r="A782" s="1">
        <v>42849</v>
      </c>
      <c r="B782" s="2" t="s">
        <v>275</v>
      </c>
      <c r="C782" s="2" t="s">
        <v>276</v>
      </c>
      <c r="D782">
        <v>13</v>
      </c>
      <c r="E782">
        <f>WEEKDAY(makulatura5[[#This Row],[Data_dostarczenia]],2)</f>
        <v>1</v>
      </c>
      <c r="F782" s="2">
        <f t="shared" si="12"/>
        <v>0</v>
      </c>
    </row>
    <row r="783" spans="1:6" x14ac:dyDescent="0.25">
      <c r="A783" s="1">
        <v>42849</v>
      </c>
      <c r="B783" s="2" t="s">
        <v>34</v>
      </c>
      <c r="C783" s="2" t="s">
        <v>564</v>
      </c>
      <c r="D783">
        <v>24</v>
      </c>
      <c r="E783">
        <f>WEEKDAY(makulatura5[[#This Row],[Data_dostarczenia]],2)</f>
        <v>1</v>
      </c>
      <c r="F783" s="2">
        <f t="shared" si="12"/>
        <v>0</v>
      </c>
    </row>
    <row r="784" spans="1:6" x14ac:dyDescent="0.25">
      <c r="A784" s="1">
        <v>42849</v>
      </c>
      <c r="B784" s="2" t="s">
        <v>101</v>
      </c>
      <c r="C784" s="2" t="s">
        <v>102</v>
      </c>
      <c r="D784">
        <v>23</v>
      </c>
      <c r="E784">
        <f>WEEKDAY(makulatura5[[#This Row],[Data_dostarczenia]],2)</f>
        <v>1</v>
      </c>
      <c r="F784" s="2">
        <f t="shared" si="12"/>
        <v>1</v>
      </c>
    </row>
    <row r="785" spans="1:6" x14ac:dyDescent="0.25">
      <c r="A785" s="1">
        <v>42850</v>
      </c>
      <c r="B785" s="2" t="s">
        <v>150</v>
      </c>
      <c r="C785" s="2" t="s">
        <v>297</v>
      </c>
      <c r="D785">
        <v>23</v>
      </c>
      <c r="E785">
        <f>WEEKDAY(makulatura5[[#This Row],[Data_dostarczenia]],2)</f>
        <v>2</v>
      </c>
      <c r="F785" s="2">
        <f t="shared" si="12"/>
        <v>0</v>
      </c>
    </row>
    <row r="786" spans="1:6" x14ac:dyDescent="0.25">
      <c r="A786" s="1">
        <v>42850</v>
      </c>
      <c r="B786" s="2" t="s">
        <v>339</v>
      </c>
      <c r="C786" s="2" t="s">
        <v>565</v>
      </c>
      <c r="D786">
        <v>32</v>
      </c>
      <c r="E786">
        <f>WEEKDAY(makulatura5[[#This Row],[Data_dostarczenia]],2)</f>
        <v>2</v>
      </c>
      <c r="F786" s="2">
        <f t="shared" si="12"/>
        <v>0</v>
      </c>
    </row>
    <row r="787" spans="1:6" x14ac:dyDescent="0.25">
      <c r="A787" s="1">
        <v>42850</v>
      </c>
      <c r="B787" s="2" t="s">
        <v>566</v>
      </c>
      <c r="C787" s="2" t="s">
        <v>567</v>
      </c>
      <c r="D787">
        <v>34</v>
      </c>
      <c r="E787">
        <f>WEEKDAY(makulatura5[[#This Row],[Data_dostarczenia]],2)</f>
        <v>2</v>
      </c>
      <c r="F787" s="2">
        <f t="shared" si="12"/>
        <v>0</v>
      </c>
    </row>
    <row r="788" spans="1:6" x14ac:dyDescent="0.25">
      <c r="A788" s="1">
        <v>42850</v>
      </c>
      <c r="B788" s="2" t="s">
        <v>30</v>
      </c>
      <c r="C788" s="2" t="s">
        <v>387</v>
      </c>
      <c r="D788">
        <v>48</v>
      </c>
      <c r="E788">
        <f>WEEKDAY(makulatura5[[#This Row],[Data_dostarczenia]],2)</f>
        <v>2</v>
      </c>
      <c r="F788" s="2">
        <f t="shared" si="12"/>
        <v>0</v>
      </c>
    </row>
    <row r="789" spans="1:6" x14ac:dyDescent="0.25">
      <c r="A789" s="1">
        <v>42850</v>
      </c>
      <c r="B789" s="2" t="s">
        <v>30</v>
      </c>
      <c r="C789" s="2" t="s">
        <v>568</v>
      </c>
      <c r="D789">
        <v>26</v>
      </c>
      <c r="E789">
        <f>WEEKDAY(makulatura5[[#This Row],[Data_dostarczenia]],2)</f>
        <v>2</v>
      </c>
      <c r="F789" s="2">
        <f t="shared" si="12"/>
        <v>0</v>
      </c>
    </row>
    <row r="790" spans="1:6" x14ac:dyDescent="0.25">
      <c r="A790" s="1">
        <v>42850</v>
      </c>
      <c r="B790" s="2" t="s">
        <v>314</v>
      </c>
      <c r="C790" s="2" t="s">
        <v>315</v>
      </c>
      <c r="D790">
        <v>11</v>
      </c>
      <c r="E790">
        <f>WEEKDAY(makulatura5[[#This Row],[Data_dostarczenia]],2)</f>
        <v>2</v>
      </c>
      <c r="F790" s="2">
        <f t="shared" si="12"/>
        <v>1</v>
      </c>
    </row>
    <row r="791" spans="1:6" x14ac:dyDescent="0.25">
      <c r="A791" s="1">
        <v>42851</v>
      </c>
      <c r="B791" s="2" t="s">
        <v>75</v>
      </c>
      <c r="C791" s="2" t="s">
        <v>264</v>
      </c>
      <c r="D791">
        <v>23</v>
      </c>
      <c r="E791">
        <f>WEEKDAY(makulatura5[[#This Row],[Data_dostarczenia]],2)</f>
        <v>3</v>
      </c>
      <c r="F791" s="2">
        <f t="shared" si="12"/>
        <v>0</v>
      </c>
    </row>
    <row r="792" spans="1:6" x14ac:dyDescent="0.25">
      <c r="A792" s="1">
        <v>42851</v>
      </c>
      <c r="B792" s="2" t="s">
        <v>152</v>
      </c>
      <c r="C792" s="2" t="s">
        <v>153</v>
      </c>
      <c r="D792">
        <v>50</v>
      </c>
      <c r="E792">
        <f>WEEKDAY(makulatura5[[#This Row],[Data_dostarczenia]],2)</f>
        <v>3</v>
      </c>
      <c r="F792" s="2">
        <f t="shared" si="12"/>
        <v>0</v>
      </c>
    </row>
    <row r="793" spans="1:6" x14ac:dyDescent="0.25">
      <c r="A793" s="1">
        <v>42851</v>
      </c>
      <c r="B793" s="2" t="s">
        <v>34</v>
      </c>
      <c r="C793" s="2" t="s">
        <v>564</v>
      </c>
      <c r="D793">
        <v>14</v>
      </c>
      <c r="E793">
        <f>WEEKDAY(makulatura5[[#This Row],[Data_dostarczenia]],2)</f>
        <v>3</v>
      </c>
      <c r="F793" s="2">
        <f t="shared" si="12"/>
        <v>0</v>
      </c>
    </row>
    <row r="794" spans="1:6" x14ac:dyDescent="0.25">
      <c r="A794" s="1">
        <v>42851</v>
      </c>
      <c r="B794" s="2" t="s">
        <v>374</v>
      </c>
      <c r="C794" s="2" t="s">
        <v>375</v>
      </c>
      <c r="D794">
        <v>12</v>
      </c>
      <c r="E794">
        <f>WEEKDAY(makulatura5[[#This Row],[Data_dostarczenia]],2)</f>
        <v>3</v>
      </c>
      <c r="F794" s="2">
        <f t="shared" si="12"/>
        <v>0</v>
      </c>
    </row>
    <row r="795" spans="1:6" x14ac:dyDescent="0.25">
      <c r="A795" s="1">
        <v>42851</v>
      </c>
      <c r="B795" s="2" t="s">
        <v>55</v>
      </c>
      <c r="C795" s="2" t="s">
        <v>456</v>
      </c>
      <c r="D795">
        <v>39</v>
      </c>
      <c r="E795">
        <f>WEEKDAY(makulatura5[[#This Row],[Data_dostarczenia]],2)</f>
        <v>3</v>
      </c>
      <c r="F795" s="2">
        <f t="shared" si="12"/>
        <v>0</v>
      </c>
    </row>
    <row r="796" spans="1:6" x14ac:dyDescent="0.25">
      <c r="A796" s="1">
        <v>42851</v>
      </c>
      <c r="B796" s="2" t="s">
        <v>43</v>
      </c>
      <c r="C796" s="2" t="s">
        <v>569</v>
      </c>
      <c r="D796">
        <v>20</v>
      </c>
      <c r="E796">
        <f>WEEKDAY(makulatura5[[#This Row],[Data_dostarczenia]],2)</f>
        <v>3</v>
      </c>
      <c r="F796" s="2">
        <f t="shared" si="12"/>
        <v>1</v>
      </c>
    </row>
    <row r="797" spans="1:6" x14ac:dyDescent="0.25">
      <c r="A797" s="1">
        <v>42852</v>
      </c>
      <c r="B797" s="2" t="s">
        <v>174</v>
      </c>
      <c r="C797" s="2" t="s">
        <v>570</v>
      </c>
      <c r="D797">
        <v>51</v>
      </c>
      <c r="E797">
        <f>WEEKDAY(makulatura5[[#This Row],[Data_dostarczenia]],2)</f>
        <v>4</v>
      </c>
      <c r="F797" s="2">
        <f t="shared" si="12"/>
        <v>0</v>
      </c>
    </row>
    <row r="798" spans="1:6" x14ac:dyDescent="0.25">
      <c r="A798" s="1">
        <v>42852</v>
      </c>
      <c r="B798" s="2" t="s">
        <v>55</v>
      </c>
      <c r="C798" s="2" t="s">
        <v>571</v>
      </c>
      <c r="D798">
        <v>47</v>
      </c>
      <c r="E798">
        <f>WEEKDAY(makulatura5[[#This Row],[Data_dostarczenia]],2)</f>
        <v>4</v>
      </c>
      <c r="F798" s="2">
        <f t="shared" si="12"/>
        <v>0</v>
      </c>
    </row>
    <row r="799" spans="1:6" x14ac:dyDescent="0.25">
      <c r="A799" s="1">
        <v>42852</v>
      </c>
      <c r="B799" s="2" t="s">
        <v>95</v>
      </c>
      <c r="C799" s="2" t="s">
        <v>426</v>
      </c>
      <c r="D799">
        <v>29</v>
      </c>
      <c r="E799">
        <f>WEEKDAY(makulatura5[[#This Row],[Data_dostarczenia]],2)</f>
        <v>4</v>
      </c>
      <c r="F799" s="2">
        <f t="shared" si="12"/>
        <v>0</v>
      </c>
    </row>
    <row r="800" spans="1:6" x14ac:dyDescent="0.25">
      <c r="A800" s="1">
        <v>42852</v>
      </c>
      <c r="B800" s="2" t="s">
        <v>521</v>
      </c>
      <c r="C800" s="2" t="s">
        <v>410</v>
      </c>
      <c r="D800">
        <v>34</v>
      </c>
      <c r="E800">
        <f>WEEKDAY(makulatura5[[#This Row],[Data_dostarczenia]],2)</f>
        <v>4</v>
      </c>
      <c r="F800" s="2">
        <f t="shared" si="12"/>
        <v>0</v>
      </c>
    </row>
    <row r="801" spans="1:6" x14ac:dyDescent="0.25">
      <c r="A801" s="1">
        <v>42852</v>
      </c>
      <c r="B801" s="2" t="s">
        <v>416</v>
      </c>
      <c r="C801" s="2" t="s">
        <v>572</v>
      </c>
      <c r="D801">
        <v>12</v>
      </c>
      <c r="E801">
        <f>WEEKDAY(makulatura5[[#This Row],[Data_dostarczenia]],2)</f>
        <v>4</v>
      </c>
      <c r="F801" s="2">
        <f t="shared" si="12"/>
        <v>0</v>
      </c>
    </row>
    <row r="802" spans="1:6" x14ac:dyDescent="0.25">
      <c r="A802" s="1">
        <v>42852</v>
      </c>
      <c r="B802" s="2" t="s">
        <v>117</v>
      </c>
      <c r="C802" s="2" t="s">
        <v>183</v>
      </c>
      <c r="D802">
        <v>6</v>
      </c>
      <c r="E802">
        <f>WEEKDAY(makulatura5[[#This Row],[Data_dostarczenia]],2)</f>
        <v>4</v>
      </c>
      <c r="F802" s="2">
        <f t="shared" si="12"/>
        <v>1</v>
      </c>
    </row>
    <row r="803" spans="1:6" x14ac:dyDescent="0.25">
      <c r="A803" s="1">
        <v>42853</v>
      </c>
      <c r="B803" s="2" t="s">
        <v>232</v>
      </c>
      <c r="C803" s="2" t="s">
        <v>573</v>
      </c>
      <c r="D803">
        <v>5</v>
      </c>
      <c r="E803">
        <f>WEEKDAY(makulatura5[[#This Row],[Data_dostarczenia]],2)</f>
        <v>5</v>
      </c>
      <c r="F803" s="2">
        <f t="shared" si="12"/>
        <v>0</v>
      </c>
    </row>
    <row r="804" spans="1:6" x14ac:dyDescent="0.25">
      <c r="A804" s="1">
        <v>42853</v>
      </c>
      <c r="B804" s="2" t="s">
        <v>171</v>
      </c>
      <c r="C804" s="2" t="s">
        <v>562</v>
      </c>
      <c r="D804">
        <v>13</v>
      </c>
      <c r="E804">
        <f>WEEKDAY(makulatura5[[#This Row],[Data_dostarczenia]],2)</f>
        <v>5</v>
      </c>
      <c r="F804" s="2">
        <f t="shared" si="12"/>
        <v>0</v>
      </c>
    </row>
    <row r="805" spans="1:6" x14ac:dyDescent="0.25">
      <c r="A805" s="1">
        <v>42853</v>
      </c>
      <c r="B805" s="2" t="s">
        <v>361</v>
      </c>
      <c r="C805" s="2" t="s">
        <v>424</v>
      </c>
      <c r="D805">
        <v>18</v>
      </c>
      <c r="E805">
        <f>WEEKDAY(makulatura5[[#This Row],[Data_dostarczenia]],2)</f>
        <v>5</v>
      </c>
      <c r="F805" s="2">
        <f t="shared" si="12"/>
        <v>0</v>
      </c>
    </row>
    <row r="806" spans="1:6" x14ac:dyDescent="0.25">
      <c r="A806" s="1">
        <v>42853</v>
      </c>
      <c r="B806" s="2" t="s">
        <v>574</v>
      </c>
      <c r="C806" s="2" t="s">
        <v>421</v>
      </c>
      <c r="D806">
        <v>7</v>
      </c>
      <c r="E806">
        <f>WEEKDAY(makulatura5[[#This Row],[Data_dostarczenia]],2)</f>
        <v>5</v>
      </c>
      <c r="F806" s="2">
        <f t="shared" si="12"/>
        <v>0</v>
      </c>
    </row>
    <row r="807" spans="1:6" x14ac:dyDescent="0.25">
      <c r="A807" s="1">
        <v>42853</v>
      </c>
      <c r="B807" s="2" t="s">
        <v>77</v>
      </c>
      <c r="C807" s="2" t="s">
        <v>575</v>
      </c>
      <c r="D807">
        <v>28</v>
      </c>
      <c r="E807">
        <f>WEEKDAY(makulatura5[[#This Row],[Data_dostarczenia]],2)</f>
        <v>5</v>
      </c>
      <c r="F807" s="2">
        <f t="shared" si="12"/>
        <v>0</v>
      </c>
    </row>
    <row r="808" spans="1:6" x14ac:dyDescent="0.25">
      <c r="A808" s="1">
        <v>42853</v>
      </c>
      <c r="B808" s="2" t="s">
        <v>55</v>
      </c>
      <c r="C808" s="2" t="s">
        <v>184</v>
      </c>
      <c r="D808">
        <v>37</v>
      </c>
      <c r="E808">
        <f>WEEKDAY(makulatura5[[#This Row],[Data_dostarczenia]],2)</f>
        <v>5</v>
      </c>
      <c r="F808" s="2">
        <f t="shared" si="12"/>
        <v>1</v>
      </c>
    </row>
    <row r="809" spans="1:6" x14ac:dyDescent="0.25">
      <c r="A809" s="1">
        <v>42856</v>
      </c>
      <c r="B809" s="2" t="s">
        <v>352</v>
      </c>
      <c r="C809" s="2" t="s">
        <v>227</v>
      </c>
      <c r="D809">
        <v>23</v>
      </c>
      <c r="E809">
        <f>WEEKDAY(makulatura5[[#This Row],[Data_dostarczenia]],2)</f>
        <v>1</v>
      </c>
      <c r="F809" s="2">
        <f t="shared" si="12"/>
        <v>0</v>
      </c>
    </row>
    <row r="810" spans="1:6" x14ac:dyDescent="0.25">
      <c r="A810" s="1">
        <v>42856</v>
      </c>
      <c r="B810" s="2" t="s">
        <v>97</v>
      </c>
      <c r="C810" s="2" t="s">
        <v>188</v>
      </c>
      <c r="D810">
        <v>26</v>
      </c>
      <c r="E810">
        <f>WEEKDAY(makulatura5[[#This Row],[Data_dostarczenia]],2)</f>
        <v>1</v>
      </c>
      <c r="F810" s="2">
        <f t="shared" si="12"/>
        <v>0</v>
      </c>
    </row>
    <row r="811" spans="1:6" x14ac:dyDescent="0.25">
      <c r="A811" s="1">
        <v>42856</v>
      </c>
      <c r="B811" s="2" t="s">
        <v>34</v>
      </c>
      <c r="C811" s="2" t="s">
        <v>338</v>
      </c>
      <c r="D811">
        <v>11</v>
      </c>
      <c r="E811">
        <f>WEEKDAY(makulatura5[[#This Row],[Data_dostarczenia]],2)</f>
        <v>1</v>
      </c>
      <c r="F811" s="2">
        <f t="shared" si="12"/>
        <v>0</v>
      </c>
    </row>
    <row r="812" spans="1:6" x14ac:dyDescent="0.25">
      <c r="A812" s="1">
        <v>42856</v>
      </c>
      <c r="B812" s="2" t="s">
        <v>438</v>
      </c>
      <c r="C812" s="2" t="s">
        <v>439</v>
      </c>
      <c r="D812">
        <v>25</v>
      </c>
      <c r="E812">
        <f>WEEKDAY(makulatura5[[#This Row],[Data_dostarczenia]],2)</f>
        <v>1</v>
      </c>
      <c r="F812" s="2">
        <f t="shared" si="12"/>
        <v>0</v>
      </c>
    </row>
    <row r="813" spans="1:6" x14ac:dyDescent="0.25">
      <c r="A813" s="1">
        <v>42856</v>
      </c>
      <c r="B813" s="2" t="s">
        <v>36</v>
      </c>
      <c r="C813" s="2" t="s">
        <v>180</v>
      </c>
      <c r="D813">
        <v>3</v>
      </c>
      <c r="E813">
        <f>WEEKDAY(makulatura5[[#This Row],[Data_dostarczenia]],2)</f>
        <v>1</v>
      </c>
      <c r="F813" s="2">
        <f t="shared" si="12"/>
        <v>0</v>
      </c>
    </row>
    <row r="814" spans="1:6" x14ac:dyDescent="0.25">
      <c r="A814" s="1">
        <v>42856</v>
      </c>
      <c r="B814" s="2" t="s">
        <v>87</v>
      </c>
      <c r="C814" s="2" t="s">
        <v>383</v>
      </c>
      <c r="D814">
        <v>30</v>
      </c>
      <c r="E814">
        <f>WEEKDAY(makulatura5[[#This Row],[Data_dostarczenia]],2)</f>
        <v>1</v>
      </c>
      <c r="F814" s="2">
        <f t="shared" si="12"/>
        <v>1</v>
      </c>
    </row>
    <row r="815" spans="1:6" x14ac:dyDescent="0.25">
      <c r="A815" s="1">
        <v>42857</v>
      </c>
      <c r="B815" s="2" t="s">
        <v>574</v>
      </c>
      <c r="C815" s="2" t="s">
        <v>421</v>
      </c>
      <c r="D815">
        <v>12</v>
      </c>
      <c r="E815">
        <f>WEEKDAY(makulatura5[[#This Row],[Data_dostarczenia]],2)</f>
        <v>2</v>
      </c>
      <c r="F815" s="2">
        <f t="shared" si="12"/>
        <v>0</v>
      </c>
    </row>
    <row r="816" spans="1:6" x14ac:dyDescent="0.25">
      <c r="A816" s="1">
        <v>42857</v>
      </c>
      <c r="B816" s="2" t="s">
        <v>101</v>
      </c>
      <c r="C816" s="2" t="s">
        <v>212</v>
      </c>
      <c r="D816">
        <v>27</v>
      </c>
      <c r="E816">
        <f>WEEKDAY(makulatura5[[#This Row],[Data_dostarczenia]],2)</f>
        <v>2</v>
      </c>
      <c r="F816" s="2">
        <f t="shared" si="12"/>
        <v>0</v>
      </c>
    </row>
    <row r="817" spans="1:6" x14ac:dyDescent="0.25">
      <c r="A817" s="1">
        <v>42857</v>
      </c>
      <c r="B817" s="2" t="s">
        <v>217</v>
      </c>
      <c r="C817" s="2" t="s">
        <v>218</v>
      </c>
      <c r="D817">
        <v>16</v>
      </c>
      <c r="E817">
        <f>WEEKDAY(makulatura5[[#This Row],[Data_dostarczenia]],2)</f>
        <v>2</v>
      </c>
      <c r="F817" s="2">
        <f t="shared" si="12"/>
        <v>0</v>
      </c>
    </row>
    <row r="818" spans="1:6" x14ac:dyDescent="0.25">
      <c r="A818" s="1">
        <v>42857</v>
      </c>
      <c r="B818" s="2" t="s">
        <v>49</v>
      </c>
      <c r="C818" s="2" t="s">
        <v>50</v>
      </c>
      <c r="D818">
        <v>38</v>
      </c>
      <c r="E818">
        <f>WEEKDAY(makulatura5[[#This Row],[Data_dostarczenia]],2)</f>
        <v>2</v>
      </c>
      <c r="F818" s="2">
        <f t="shared" si="12"/>
        <v>0</v>
      </c>
    </row>
    <row r="819" spans="1:6" x14ac:dyDescent="0.25">
      <c r="A819" s="1">
        <v>42857</v>
      </c>
      <c r="B819" s="2" t="s">
        <v>193</v>
      </c>
      <c r="C819" s="2" t="s">
        <v>160</v>
      </c>
      <c r="D819">
        <v>35</v>
      </c>
      <c r="E819">
        <f>WEEKDAY(makulatura5[[#This Row],[Data_dostarczenia]],2)</f>
        <v>2</v>
      </c>
      <c r="F819" s="2">
        <f t="shared" si="12"/>
        <v>0</v>
      </c>
    </row>
    <row r="820" spans="1:6" x14ac:dyDescent="0.25">
      <c r="A820" s="1">
        <v>42857</v>
      </c>
      <c r="B820" s="2" t="s">
        <v>97</v>
      </c>
      <c r="C820" s="2" t="s">
        <v>309</v>
      </c>
      <c r="D820">
        <v>16</v>
      </c>
      <c r="E820">
        <f>WEEKDAY(makulatura5[[#This Row],[Data_dostarczenia]],2)</f>
        <v>2</v>
      </c>
      <c r="F820" s="2">
        <f t="shared" si="12"/>
        <v>1</v>
      </c>
    </row>
    <row r="821" spans="1:6" x14ac:dyDescent="0.25">
      <c r="A821" s="1">
        <v>42858</v>
      </c>
      <c r="B821" s="2" t="s">
        <v>10</v>
      </c>
      <c r="C821" s="2" t="s">
        <v>266</v>
      </c>
      <c r="D821">
        <v>6</v>
      </c>
      <c r="E821">
        <f>WEEKDAY(makulatura5[[#This Row],[Data_dostarczenia]],2)</f>
        <v>3</v>
      </c>
      <c r="F821" s="2">
        <f t="shared" si="12"/>
        <v>0</v>
      </c>
    </row>
    <row r="822" spans="1:6" x14ac:dyDescent="0.25">
      <c r="A822" s="1">
        <v>42858</v>
      </c>
      <c r="B822" s="2" t="s">
        <v>217</v>
      </c>
      <c r="C822" s="2" t="s">
        <v>218</v>
      </c>
      <c r="D822">
        <v>23</v>
      </c>
      <c r="E822">
        <f>WEEKDAY(makulatura5[[#This Row],[Data_dostarczenia]],2)</f>
        <v>3</v>
      </c>
      <c r="F822" s="2">
        <f t="shared" si="12"/>
        <v>0</v>
      </c>
    </row>
    <row r="823" spans="1:6" x14ac:dyDescent="0.25">
      <c r="A823" s="1">
        <v>42858</v>
      </c>
      <c r="B823" s="2" t="s">
        <v>280</v>
      </c>
      <c r="C823" s="2" t="s">
        <v>466</v>
      </c>
      <c r="D823">
        <v>22</v>
      </c>
      <c r="E823">
        <f>WEEKDAY(makulatura5[[#This Row],[Data_dostarczenia]],2)</f>
        <v>3</v>
      </c>
      <c r="F823" s="2">
        <f t="shared" si="12"/>
        <v>0</v>
      </c>
    </row>
    <row r="824" spans="1:6" x14ac:dyDescent="0.25">
      <c r="A824" s="1">
        <v>42858</v>
      </c>
      <c r="B824" s="2" t="s">
        <v>77</v>
      </c>
      <c r="C824" s="2" t="s">
        <v>85</v>
      </c>
      <c r="D824">
        <v>5</v>
      </c>
      <c r="E824">
        <f>WEEKDAY(makulatura5[[#This Row],[Data_dostarczenia]],2)</f>
        <v>3</v>
      </c>
      <c r="F824" s="2">
        <f t="shared" si="12"/>
        <v>0</v>
      </c>
    </row>
    <row r="825" spans="1:6" x14ac:dyDescent="0.25">
      <c r="A825" s="1">
        <v>42858</v>
      </c>
      <c r="B825" s="2" t="s">
        <v>206</v>
      </c>
      <c r="C825" s="2" t="s">
        <v>332</v>
      </c>
      <c r="D825">
        <v>2</v>
      </c>
      <c r="E825">
        <f>WEEKDAY(makulatura5[[#This Row],[Data_dostarczenia]],2)</f>
        <v>3</v>
      </c>
      <c r="F825" s="2">
        <f t="shared" si="12"/>
        <v>0</v>
      </c>
    </row>
    <row r="826" spans="1:6" x14ac:dyDescent="0.25">
      <c r="A826" s="1">
        <v>42858</v>
      </c>
      <c r="B826" s="2" t="s">
        <v>92</v>
      </c>
      <c r="C826" s="2" t="s">
        <v>93</v>
      </c>
      <c r="D826">
        <v>29</v>
      </c>
      <c r="E826">
        <f>WEEKDAY(makulatura5[[#This Row],[Data_dostarczenia]],2)</f>
        <v>3</v>
      </c>
      <c r="F826" s="2">
        <f t="shared" si="12"/>
        <v>1</v>
      </c>
    </row>
    <row r="827" spans="1:6" x14ac:dyDescent="0.25">
      <c r="A827" s="1">
        <v>42859</v>
      </c>
      <c r="B827" s="2" t="s">
        <v>97</v>
      </c>
      <c r="C827" s="2" t="s">
        <v>181</v>
      </c>
      <c r="D827">
        <v>19</v>
      </c>
      <c r="E827">
        <f>WEEKDAY(makulatura5[[#This Row],[Data_dostarczenia]],2)</f>
        <v>4</v>
      </c>
      <c r="F827" s="2">
        <f t="shared" si="12"/>
        <v>0</v>
      </c>
    </row>
    <row r="828" spans="1:6" x14ac:dyDescent="0.25">
      <c r="A828" s="1">
        <v>42859</v>
      </c>
      <c r="B828" s="2" t="s">
        <v>133</v>
      </c>
      <c r="C828" s="2" t="s">
        <v>499</v>
      </c>
      <c r="D828">
        <v>23</v>
      </c>
      <c r="E828">
        <f>WEEKDAY(makulatura5[[#This Row],[Data_dostarczenia]],2)</f>
        <v>4</v>
      </c>
      <c r="F828" s="2">
        <f t="shared" si="12"/>
        <v>0</v>
      </c>
    </row>
    <row r="829" spans="1:6" x14ac:dyDescent="0.25">
      <c r="A829" s="1">
        <v>42859</v>
      </c>
      <c r="B829" s="2" t="s">
        <v>442</v>
      </c>
      <c r="C829" s="2" t="s">
        <v>540</v>
      </c>
      <c r="D829">
        <v>27</v>
      </c>
      <c r="E829">
        <f>WEEKDAY(makulatura5[[#This Row],[Data_dostarczenia]],2)</f>
        <v>4</v>
      </c>
      <c r="F829" s="2">
        <f t="shared" si="12"/>
        <v>0</v>
      </c>
    </row>
    <row r="830" spans="1:6" x14ac:dyDescent="0.25">
      <c r="A830" s="1">
        <v>42859</v>
      </c>
      <c r="B830" s="2" t="s">
        <v>299</v>
      </c>
      <c r="C830" s="2" t="s">
        <v>482</v>
      </c>
      <c r="D830">
        <v>53</v>
      </c>
      <c r="E830">
        <f>WEEKDAY(makulatura5[[#This Row],[Data_dostarczenia]],2)</f>
        <v>4</v>
      </c>
      <c r="F830" s="2">
        <f t="shared" si="12"/>
        <v>0</v>
      </c>
    </row>
    <row r="831" spans="1:6" x14ac:dyDescent="0.25">
      <c r="A831" s="1">
        <v>42859</v>
      </c>
      <c r="B831" s="2" t="s">
        <v>87</v>
      </c>
      <c r="C831" s="2" t="s">
        <v>124</v>
      </c>
      <c r="D831">
        <v>35</v>
      </c>
      <c r="E831">
        <f>WEEKDAY(makulatura5[[#This Row],[Data_dostarczenia]],2)</f>
        <v>4</v>
      </c>
      <c r="F831" s="2">
        <f t="shared" si="12"/>
        <v>0</v>
      </c>
    </row>
    <row r="832" spans="1:6" x14ac:dyDescent="0.25">
      <c r="A832" s="1">
        <v>42859</v>
      </c>
      <c r="B832" s="2" t="s">
        <v>30</v>
      </c>
      <c r="C832" s="2" t="s">
        <v>241</v>
      </c>
      <c r="D832">
        <v>3</v>
      </c>
      <c r="E832">
        <f>WEEKDAY(makulatura5[[#This Row],[Data_dostarczenia]],2)</f>
        <v>4</v>
      </c>
      <c r="F832" s="2">
        <f t="shared" si="12"/>
        <v>1</v>
      </c>
    </row>
    <row r="833" spans="1:6" x14ac:dyDescent="0.25">
      <c r="A833" s="1">
        <v>42860</v>
      </c>
      <c r="B833" s="2" t="s">
        <v>141</v>
      </c>
      <c r="C833" s="2" t="s">
        <v>364</v>
      </c>
      <c r="D833">
        <v>15</v>
      </c>
      <c r="E833">
        <f>WEEKDAY(makulatura5[[#This Row],[Data_dostarczenia]],2)</f>
        <v>5</v>
      </c>
      <c r="F833" s="2">
        <f t="shared" si="12"/>
        <v>0</v>
      </c>
    </row>
    <row r="834" spans="1:6" x14ac:dyDescent="0.25">
      <c r="A834" s="1">
        <v>42860</v>
      </c>
      <c r="B834" s="2" t="s">
        <v>55</v>
      </c>
      <c r="C834" s="2" t="s">
        <v>326</v>
      </c>
      <c r="D834">
        <v>3</v>
      </c>
      <c r="E834">
        <f>WEEKDAY(makulatura5[[#This Row],[Data_dostarczenia]],2)</f>
        <v>5</v>
      </c>
      <c r="F834" s="2">
        <f t="shared" ref="F834:F897" si="13">IF(A835=A834,0,1)</f>
        <v>0</v>
      </c>
    </row>
    <row r="835" spans="1:6" x14ac:dyDescent="0.25">
      <c r="A835" s="1">
        <v>42860</v>
      </c>
      <c r="B835" s="2" t="s">
        <v>367</v>
      </c>
      <c r="C835" s="2" t="s">
        <v>368</v>
      </c>
      <c r="D835">
        <v>2</v>
      </c>
      <c r="E835">
        <f>WEEKDAY(makulatura5[[#This Row],[Data_dostarczenia]],2)</f>
        <v>5</v>
      </c>
      <c r="F835" s="2">
        <f t="shared" si="13"/>
        <v>0</v>
      </c>
    </row>
    <row r="836" spans="1:6" x14ac:dyDescent="0.25">
      <c r="A836" s="1">
        <v>42860</v>
      </c>
      <c r="B836" s="2" t="s">
        <v>141</v>
      </c>
      <c r="C836" s="2" t="s">
        <v>550</v>
      </c>
      <c r="D836">
        <v>28</v>
      </c>
      <c r="E836">
        <f>WEEKDAY(makulatura5[[#This Row],[Data_dostarczenia]],2)</f>
        <v>5</v>
      </c>
      <c r="F836" s="2">
        <f t="shared" si="13"/>
        <v>0</v>
      </c>
    </row>
    <row r="837" spans="1:6" x14ac:dyDescent="0.25">
      <c r="A837" s="1">
        <v>42860</v>
      </c>
      <c r="B837" s="2" t="s">
        <v>395</v>
      </c>
      <c r="C837" s="2" t="s">
        <v>461</v>
      </c>
      <c r="D837">
        <v>23</v>
      </c>
      <c r="E837">
        <f>WEEKDAY(makulatura5[[#This Row],[Data_dostarczenia]],2)</f>
        <v>5</v>
      </c>
      <c r="F837" s="2">
        <f t="shared" si="13"/>
        <v>0</v>
      </c>
    </row>
    <row r="838" spans="1:6" x14ac:dyDescent="0.25">
      <c r="A838" s="1">
        <v>42860</v>
      </c>
      <c r="B838" s="2" t="s">
        <v>39</v>
      </c>
      <c r="C838" s="2" t="s">
        <v>164</v>
      </c>
      <c r="D838">
        <v>20</v>
      </c>
      <c r="E838">
        <f>WEEKDAY(makulatura5[[#This Row],[Data_dostarczenia]],2)</f>
        <v>5</v>
      </c>
      <c r="F838" s="2">
        <f t="shared" si="13"/>
        <v>1</v>
      </c>
    </row>
    <row r="839" spans="1:6" x14ac:dyDescent="0.25">
      <c r="A839" s="1">
        <v>42863</v>
      </c>
      <c r="B839" s="2" t="s">
        <v>193</v>
      </c>
      <c r="C839" s="2" t="s">
        <v>160</v>
      </c>
      <c r="D839">
        <v>35</v>
      </c>
      <c r="E839">
        <f>WEEKDAY(makulatura5[[#This Row],[Data_dostarczenia]],2)</f>
        <v>1</v>
      </c>
      <c r="F839" s="2">
        <f t="shared" si="13"/>
        <v>0</v>
      </c>
    </row>
    <row r="840" spans="1:6" x14ac:dyDescent="0.25">
      <c r="A840" s="1">
        <v>42863</v>
      </c>
      <c r="B840" s="2" t="s">
        <v>206</v>
      </c>
      <c r="C840" s="2" t="s">
        <v>563</v>
      </c>
      <c r="D840">
        <v>45</v>
      </c>
      <c r="E840">
        <f>WEEKDAY(makulatura5[[#This Row],[Data_dostarczenia]],2)</f>
        <v>1</v>
      </c>
      <c r="F840" s="2">
        <f t="shared" si="13"/>
        <v>0</v>
      </c>
    </row>
    <row r="841" spans="1:6" x14ac:dyDescent="0.25">
      <c r="A841" s="1">
        <v>42863</v>
      </c>
      <c r="B841" s="2" t="s">
        <v>519</v>
      </c>
      <c r="C841" s="2" t="s">
        <v>520</v>
      </c>
      <c r="D841">
        <v>39</v>
      </c>
      <c r="E841">
        <f>WEEKDAY(makulatura5[[#This Row],[Data_dostarczenia]],2)</f>
        <v>1</v>
      </c>
      <c r="F841" s="2">
        <f t="shared" si="13"/>
        <v>0</v>
      </c>
    </row>
    <row r="842" spans="1:6" x14ac:dyDescent="0.25">
      <c r="A842" s="1">
        <v>42863</v>
      </c>
      <c r="B842" s="2" t="s">
        <v>34</v>
      </c>
      <c r="C842" s="2" t="s">
        <v>564</v>
      </c>
      <c r="D842">
        <v>13</v>
      </c>
      <c r="E842">
        <f>WEEKDAY(makulatura5[[#This Row],[Data_dostarczenia]],2)</f>
        <v>1</v>
      </c>
      <c r="F842" s="2">
        <f t="shared" si="13"/>
        <v>0</v>
      </c>
    </row>
    <row r="843" spans="1:6" x14ac:dyDescent="0.25">
      <c r="A843" s="1">
        <v>42863</v>
      </c>
      <c r="B843" s="2" t="s">
        <v>87</v>
      </c>
      <c r="C843" s="2" t="s">
        <v>154</v>
      </c>
      <c r="D843">
        <v>2</v>
      </c>
      <c r="E843">
        <f>WEEKDAY(makulatura5[[#This Row],[Data_dostarczenia]],2)</f>
        <v>1</v>
      </c>
      <c r="F843" s="2">
        <f t="shared" si="13"/>
        <v>0</v>
      </c>
    </row>
    <row r="844" spans="1:6" x14ac:dyDescent="0.25">
      <c r="A844" s="1">
        <v>42863</v>
      </c>
      <c r="B844" s="2" t="s">
        <v>195</v>
      </c>
      <c r="C844" s="2" t="s">
        <v>196</v>
      </c>
      <c r="D844">
        <v>38</v>
      </c>
      <c r="E844">
        <f>WEEKDAY(makulatura5[[#This Row],[Data_dostarczenia]],2)</f>
        <v>1</v>
      </c>
      <c r="F844" s="2">
        <f t="shared" si="13"/>
        <v>1</v>
      </c>
    </row>
    <row r="845" spans="1:6" x14ac:dyDescent="0.25">
      <c r="A845" s="1">
        <v>42864</v>
      </c>
      <c r="B845" s="2" t="s">
        <v>161</v>
      </c>
      <c r="C845" s="2" t="s">
        <v>345</v>
      </c>
      <c r="D845">
        <v>48</v>
      </c>
      <c r="E845">
        <f>WEEKDAY(makulatura5[[#This Row],[Data_dostarczenia]],2)</f>
        <v>2</v>
      </c>
      <c r="F845" s="2">
        <f t="shared" si="13"/>
        <v>0</v>
      </c>
    </row>
    <row r="846" spans="1:6" x14ac:dyDescent="0.25">
      <c r="A846" s="1">
        <v>42864</v>
      </c>
      <c r="B846" s="2" t="s">
        <v>51</v>
      </c>
      <c r="C846" s="2" t="s">
        <v>469</v>
      </c>
      <c r="D846">
        <v>41</v>
      </c>
      <c r="E846">
        <f>WEEKDAY(makulatura5[[#This Row],[Data_dostarczenia]],2)</f>
        <v>2</v>
      </c>
      <c r="F846" s="2">
        <f t="shared" si="13"/>
        <v>0</v>
      </c>
    </row>
    <row r="847" spans="1:6" x14ac:dyDescent="0.25">
      <c r="A847" s="1">
        <v>42864</v>
      </c>
      <c r="B847" s="2" t="s">
        <v>101</v>
      </c>
      <c r="C847" s="2" t="s">
        <v>102</v>
      </c>
      <c r="D847">
        <v>6</v>
      </c>
      <c r="E847">
        <f>WEEKDAY(makulatura5[[#This Row],[Data_dostarczenia]],2)</f>
        <v>2</v>
      </c>
      <c r="F847" s="2">
        <f t="shared" si="13"/>
        <v>0</v>
      </c>
    </row>
    <row r="848" spans="1:6" x14ac:dyDescent="0.25">
      <c r="A848" s="1">
        <v>42864</v>
      </c>
      <c r="B848" s="2" t="s">
        <v>367</v>
      </c>
      <c r="C848" s="2" t="s">
        <v>411</v>
      </c>
      <c r="D848">
        <v>14</v>
      </c>
      <c r="E848">
        <f>WEEKDAY(makulatura5[[#This Row],[Data_dostarczenia]],2)</f>
        <v>2</v>
      </c>
      <c r="F848" s="2">
        <f t="shared" si="13"/>
        <v>0</v>
      </c>
    </row>
    <row r="849" spans="1:6" x14ac:dyDescent="0.25">
      <c r="A849" s="1">
        <v>42864</v>
      </c>
      <c r="B849" s="2" t="s">
        <v>576</v>
      </c>
      <c r="C849" s="2" t="s">
        <v>577</v>
      </c>
      <c r="D849">
        <v>35</v>
      </c>
      <c r="E849">
        <f>WEEKDAY(makulatura5[[#This Row],[Data_dostarczenia]],2)</f>
        <v>2</v>
      </c>
      <c r="F849" s="2">
        <f t="shared" si="13"/>
        <v>0</v>
      </c>
    </row>
    <row r="850" spans="1:6" x14ac:dyDescent="0.25">
      <c r="A850" s="1">
        <v>42864</v>
      </c>
      <c r="B850" s="2" t="s">
        <v>147</v>
      </c>
      <c r="C850" s="2" t="s">
        <v>578</v>
      </c>
      <c r="D850">
        <v>26</v>
      </c>
      <c r="E850">
        <f>WEEKDAY(makulatura5[[#This Row],[Data_dostarczenia]],2)</f>
        <v>2</v>
      </c>
      <c r="F850" s="2">
        <f t="shared" si="13"/>
        <v>1</v>
      </c>
    </row>
    <row r="851" spans="1:6" x14ac:dyDescent="0.25">
      <c r="A851" s="1">
        <v>42865</v>
      </c>
      <c r="B851" s="2" t="s">
        <v>83</v>
      </c>
      <c r="C851" s="2" t="s">
        <v>84</v>
      </c>
      <c r="D851">
        <v>49</v>
      </c>
      <c r="E851">
        <f>WEEKDAY(makulatura5[[#This Row],[Data_dostarczenia]],2)</f>
        <v>3</v>
      </c>
      <c r="F851" s="2">
        <f t="shared" si="13"/>
        <v>0</v>
      </c>
    </row>
    <row r="852" spans="1:6" x14ac:dyDescent="0.25">
      <c r="A852" s="1">
        <v>42865</v>
      </c>
      <c r="B852" s="2" t="s">
        <v>280</v>
      </c>
      <c r="C852" s="2" t="s">
        <v>281</v>
      </c>
      <c r="D852">
        <v>22</v>
      </c>
      <c r="E852">
        <f>WEEKDAY(makulatura5[[#This Row],[Data_dostarczenia]],2)</f>
        <v>3</v>
      </c>
      <c r="F852" s="2">
        <f t="shared" si="13"/>
        <v>0</v>
      </c>
    </row>
    <row r="853" spans="1:6" x14ac:dyDescent="0.25">
      <c r="A853" s="1">
        <v>42865</v>
      </c>
      <c r="B853" s="2" t="s">
        <v>97</v>
      </c>
      <c r="C853" s="2" t="s">
        <v>579</v>
      </c>
      <c r="D853">
        <v>56</v>
      </c>
      <c r="E853">
        <f>WEEKDAY(makulatura5[[#This Row],[Data_dostarczenia]],2)</f>
        <v>3</v>
      </c>
      <c r="F853" s="2">
        <f t="shared" si="13"/>
        <v>0</v>
      </c>
    </row>
    <row r="854" spans="1:6" x14ac:dyDescent="0.25">
      <c r="A854" s="1">
        <v>42865</v>
      </c>
      <c r="B854" s="2" t="s">
        <v>367</v>
      </c>
      <c r="C854" s="2" t="s">
        <v>368</v>
      </c>
      <c r="D854">
        <v>6</v>
      </c>
      <c r="E854">
        <f>WEEKDAY(makulatura5[[#This Row],[Data_dostarczenia]],2)</f>
        <v>3</v>
      </c>
      <c r="F854" s="2">
        <f t="shared" si="13"/>
        <v>0</v>
      </c>
    </row>
    <row r="855" spans="1:6" x14ac:dyDescent="0.25">
      <c r="A855" s="1">
        <v>42865</v>
      </c>
      <c r="B855" s="2" t="s">
        <v>232</v>
      </c>
      <c r="C855" s="2" t="s">
        <v>378</v>
      </c>
      <c r="D855">
        <v>13</v>
      </c>
      <c r="E855">
        <f>WEEKDAY(makulatura5[[#This Row],[Data_dostarczenia]],2)</f>
        <v>3</v>
      </c>
      <c r="F855" s="2">
        <f t="shared" si="13"/>
        <v>0</v>
      </c>
    </row>
    <row r="856" spans="1:6" x14ac:dyDescent="0.25">
      <c r="A856" s="1">
        <v>42865</v>
      </c>
      <c r="B856" s="2" t="s">
        <v>574</v>
      </c>
      <c r="C856" s="2" t="s">
        <v>421</v>
      </c>
      <c r="D856">
        <v>3</v>
      </c>
      <c r="E856">
        <f>WEEKDAY(makulatura5[[#This Row],[Data_dostarczenia]],2)</f>
        <v>3</v>
      </c>
      <c r="F856" s="2">
        <f t="shared" si="13"/>
        <v>1</v>
      </c>
    </row>
    <row r="857" spans="1:6" x14ac:dyDescent="0.25">
      <c r="A857" s="1">
        <v>42866</v>
      </c>
      <c r="B857" s="2" t="s">
        <v>47</v>
      </c>
      <c r="C857" s="2" t="s">
        <v>336</v>
      </c>
      <c r="D857">
        <v>7</v>
      </c>
      <c r="E857">
        <f>WEEKDAY(makulatura5[[#This Row],[Data_dostarczenia]],2)</f>
        <v>4</v>
      </c>
      <c r="F857" s="2">
        <f t="shared" si="13"/>
        <v>0</v>
      </c>
    </row>
    <row r="858" spans="1:6" x14ac:dyDescent="0.25">
      <c r="A858" s="1">
        <v>42866</v>
      </c>
      <c r="B858" s="2" t="s">
        <v>83</v>
      </c>
      <c r="C858" s="2" t="s">
        <v>136</v>
      </c>
      <c r="D858">
        <v>29</v>
      </c>
      <c r="E858">
        <f>WEEKDAY(makulatura5[[#This Row],[Data_dostarczenia]],2)</f>
        <v>4</v>
      </c>
      <c r="F858" s="2">
        <f t="shared" si="13"/>
        <v>0</v>
      </c>
    </row>
    <row r="859" spans="1:6" x14ac:dyDescent="0.25">
      <c r="A859" s="1">
        <v>42866</v>
      </c>
      <c r="B859" s="2" t="s">
        <v>45</v>
      </c>
      <c r="C859" s="2" t="s">
        <v>388</v>
      </c>
      <c r="D859">
        <v>53</v>
      </c>
      <c r="E859">
        <f>WEEKDAY(makulatura5[[#This Row],[Data_dostarczenia]],2)</f>
        <v>4</v>
      </c>
      <c r="F859" s="2">
        <f t="shared" si="13"/>
        <v>0</v>
      </c>
    </row>
    <row r="860" spans="1:6" x14ac:dyDescent="0.25">
      <c r="A860" s="1">
        <v>42866</v>
      </c>
      <c r="B860" s="2" t="s">
        <v>16</v>
      </c>
      <c r="C860" s="2" t="s">
        <v>440</v>
      </c>
      <c r="D860">
        <v>52</v>
      </c>
      <c r="E860">
        <f>WEEKDAY(makulatura5[[#This Row],[Data_dostarczenia]],2)</f>
        <v>4</v>
      </c>
      <c r="F860" s="2">
        <f t="shared" si="13"/>
        <v>0</v>
      </c>
    </row>
    <row r="861" spans="1:6" x14ac:dyDescent="0.25">
      <c r="A861" s="1">
        <v>42866</v>
      </c>
      <c r="B861" s="2" t="s">
        <v>280</v>
      </c>
      <c r="C861" s="2" t="s">
        <v>580</v>
      </c>
      <c r="D861">
        <v>26</v>
      </c>
      <c r="E861">
        <f>WEEKDAY(makulatura5[[#This Row],[Data_dostarczenia]],2)</f>
        <v>4</v>
      </c>
      <c r="F861" s="2">
        <f t="shared" si="13"/>
        <v>0</v>
      </c>
    </row>
    <row r="862" spans="1:6" x14ac:dyDescent="0.25">
      <c r="A862" s="1">
        <v>42866</v>
      </c>
      <c r="B862" s="2" t="s">
        <v>101</v>
      </c>
      <c r="C862" s="2" t="s">
        <v>293</v>
      </c>
      <c r="D862">
        <v>28</v>
      </c>
      <c r="E862">
        <f>WEEKDAY(makulatura5[[#This Row],[Data_dostarczenia]],2)</f>
        <v>4</v>
      </c>
      <c r="F862" s="2">
        <f t="shared" si="13"/>
        <v>1</v>
      </c>
    </row>
    <row r="863" spans="1:6" x14ac:dyDescent="0.25">
      <c r="A863" s="1">
        <v>42867</v>
      </c>
      <c r="B863" s="2" t="s">
        <v>69</v>
      </c>
      <c r="C863" s="2" t="s">
        <v>200</v>
      </c>
      <c r="D863">
        <v>12</v>
      </c>
      <c r="E863">
        <f>WEEKDAY(makulatura5[[#This Row],[Data_dostarczenia]],2)</f>
        <v>5</v>
      </c>
      <c r="F863" s="2">
        <f t="shared" si="13"/>
        <v>0</v>
      </c>
    </row>
    <row r="864" spans="1:6" x14ac:dyDescent="0.25">
      <c r="A864" s="1">
        <v>42867</v>
      </c>
      <c r="B864" s="2" t="s">
        <v>161</v>
      </c>
      <c r="C864" s="2" t="s">
        <v>214</v>
      </c>
      <c r="D864">
        <v>10</v>
      </c>
      <c r="E864">
        <f>WEEKDAY(makulatura5[[#This Row],[Data_dostarczenia]],2)</f>
        <v>5</v>
      </c>
      <c r="F864" s="2">
        <f t="shared" si="13"/>
        <v>0</v>
      </c>
    </row>
    <row r="865" spans="1:6" x14ac:dyDescent="0.25">
      <c r="A865" s="1">
        <v>42867</v>
      </c>
      <c r="B865" s="2" t="s">
        <v>72</v>
      </c>
      <c r="C865" s="2" t="s">
        <v>73</v>
      </c>
      <c r="D865">
        <v>10</v>
      </c>
      <c r="E865">
        <f>WEEKDAY(makulatura5[[#This Row],[Data_dostarczenia]],2)</f>
        <v>5</v>
      </c>
      <c r="F865" s="2">
        <f t="shared" si="13"/>
        <v>0</v>
      </c>
    </row>
    <row r="866" spans="1:6" x14ac:dyDescent="0.25">
      <c r="A866" s="1">
        <v>42867</v>
      </c>
      <c r="B866" s="2" t="s">
        <v>119</v>
      </c>
      <c r="C866" s="2" t="s">
        <v>380</v>
      </c>
      <c r="D866">
        <v>54</v>
      </c>
      <c r="E866">
        <f>WEEKDAY(makulatura5[[#This Row],[Data_dostarczenia]],2)</f>
        <v>5</v>
      </c>
      <c r="F866" s="2">
        <f t="shared" si="13"/>
        <v>0</v>
      </c>
    </row>
    <row r="867" spans="1:6" x14ac:dyDescent="0.25">
      <c r="A867" s="1">
        <v>42867</v>
      </c>
      <c r="B867" s="2" t="s">
        <v>374</v>
      </c>
      <c r="C867" s="2" t="s">
        <v>581</v>
      </c>
      <c r="D867">
        <v>19</v>
      </c>
      <c r="E867">
        <f>WEEKDAY(makulatura5[[#This Row],[Data_dostarczenia]],2)</f>
        <v>5</v>
      </c>
      <c r="F867" s="2">
        <f t="shared" si="13"/>
        <v>0</v>
      </c>
    </row>
    <row r="868" spans="1:6" x14ac:dyDescent="0.25">
      <c r="A868" s="1">
        <v>42867</v>
      </c>
      <c r="B868" s="2" t="s">
        <v>152</v>
      </c>
      <c r="C868" s="2" t="s">
        <v>257</v>
      </c>
      <c r="D868">
        <v>53</v>
      </c>
      <c r="E868">
        <f>WEEKDAY(makulatura5[[#This Row],[Data_dostarczenia]],2)</f>
        <v>5</v>
      </c>
      <c r="F868" s="2">
        <f t="shared" si="13"/>
        <v>1</v>
      </c>
    </row>
    <row r="869" spans="1:6" x14ac:dyDescent="0.25">
      <c r="A869" s="1">
        <v>42870</v>
      </c>
      <c r="B869" s="2" t="s">
        <v>47</v>
      </c>
      <c r="C869" s="2" t="s">
        <v>334</v>
      </c>
      <c r="D869">
        <v>18</v>
      </c>
      <c r="E869">
        <f>WEEKDAY(makulatura5[[#This Row],[Data_dostarczenia]],2)</f>
        <v>1</v>
      </c>
      <c r="F869" s="2">
        <f t="shared" si="13"/>
        <v>0</v>
      </c>
    </row>
    <row r="870" spans="1:6" x14ac:dyDescent="0.25">
      <c r="A870" s="1">
        <v>42870</v>
      </c>
      <c r="B870" s="2" t="s">
        <v>393</v>
      </c>
      <c r="C870" s="2" t="s">
        <v>582</v>
      </c>
      <c r="D870">
        <v>27</v>
      </c>
      <c r="E870">
        <f>WEEKDAY(makulatura5[[#This Row],[Data_dostarczenia]],2)</f>
        <v>1</v>
      </c>
      <c r="F870" s="2">
        <f t="shared" si="13"/>
        <v>0</v>
      </c>
    </row>
    <row r="871" spans="1:6" x14ac:dyDescent="0.25">
      <c r="A871" s="1">
        <v>42870</v>
      </c>
      <c r="B871" s="2" t="s">
        <v>479</v>
      </c>
      <c r="C871" s="2" t="s">
        <v>480</v>
      </c>
      <c r="D871">
        <v>26</v>
      </c>
      <c r="E871">
        <f>WEEKDAY(makulatura5[[#This Row],[Data_dostarczenia]],2)</f>
        <v>1</v>
      </c>
      <c r="F871" s="2">
        <f t="shared" si="13"/>
        <v>0</v>
      </c>
    </row>
    <row r="872" spans="1:6" x14ac:dyDescent="0.25">
      <c r="A872" s="1">
        <v>42870</v>
      </c>
      <c r="B872" s="2" t="s">
        <v>339</v>
      </c>
      <c r="C872" s="2" t="s">
        <v>583</v>
      </c>
      <c r="D872">
        <v>52</v>
      </c>
      <c r="E872">
        <f>WEEKDAY(makulatura5[[#This Row],[Data_dostarczenia]],2)</f>
        <v>1</v>
      </c>
      <c r="F872" s="2">
        <f t="shared" si="13"/>
        <v>0</v>
      </c>
    </row>
    <row r="873" spans="1:6" x14ac:dyDescent="0.25">
      <c r="A873" s="1">
        <v>42870</v>
      </c>
      <c r="B873" s="2" t="s">
        <v>81</v>
      </c>
      <c r="C873" s="2" t="s">
        <v>104</v>
      </c>
      <c r="D873">
        <v>10</v>
      </c>
      <c r="E873">
        <f>WEEKDAY(makulatura5[[#This Row],[Data_dostarczenia]],2)</f>
        <v>1</v>
      </c>
      <c r="F873" s="2">
        <f t="shared" si="13"/>
        <v>0</v>
      </c>
    </row>
    <row r="874" spans="1:6" x14ac:dyDescent="0.25">
      <c r="A874" s="1">
        <v>42870</v>
      </c>
      <c r="B874" s="2" t="s">
        <v>34</v>
      </c>
      <c r="C874" s="2" t="s">
        <v>557</v>
      </c>
      <c r="D874">
        <v>5</v>
      </c>
      <c r="E874">
        <f>WEEKDAY(makulatura5[[#This Row],[Data_dostarczenia]],2)</f>
        <v>1</v>
      </c>
      <c r="F874" s="2">
        <f t="shared" si="13"/>
        <v>1</v>
      </c>
    </row>
    <row r="875" spans="1:6" x14ac:dyDescent="0.25">
      <c r="A875" s="1">
        <v>42871</v>
      </c>
      <c r="B875" s="2" t="s">
        <v>81</v>
      </c>
      <c r="C875" s="2" t="s">
        <v>584</v>
      </c>
      <c r="D875">
        <v>38</v>
      </c>
      <c r="E875">
        <f>WEEKDAY(makulatura5[[#This Row],[Data_dostarczenia]],2)</f>
        <v>2</v>
      </c>
      <c r="F875" s="2">
        <f t="shared" si="13"/>
        <v>0</v>
      </c>
    </row>
    <row r="876" spans="1:6" x14ac:dyDescent="0.25">
      <c r="A876" s="1">
        <v>42871</v>
      </c>
      <c r="B876" s="2" t="s">
        <v>55</v>
      </c>
      <c r="C876" s="2" t="s">
        <v>466</v>
      </c>
      <c r="D876">
        <v>20</v>
      </c>
      <c r="E876">
        <f>WEEKDAY(makulatura5[[#This Row],[Data_dostarczenia]],2)</f>
        <v>2</v>
      </c>
      <c r="F876" s="2">
        <f t="shared" si="13"/>
        <v>0</v>
      </c>
    </row>
    <row r="877" spans="1:6" x14ac:dyDescent="0.25">
      <c r="A877" s="1">
        <v>42871</v>
      </c>
      <c r="B877" s="2" t="s">
        <v>77</v>
      </c>
      <c r="C877" s="2" t="s">
        <v>78</v>
      </c>
      <c r="D877">
        <v>2</v>
      </c>
      <c r="E877">
        <f>WEEKDAY(makulatura5[[#This Row],[Data_dostarczenia]],2)</f>
        <v>2</v>
      </c>
      <c r="F877" s="2">
        <f t="shared" si="13"/>
        <v>0</v>
      </c>
    </row>
    <row r="878" spans="1:6" x14ac:dyDescent="0.25">
      <c r="A878" s="1">
        <v>42871</v>
      </c>
      <c r="B878" s="2" t="s">
        <v>83</v>
      </c>
      <c r="C878" s="2" t="s">
        <v>91</v>
      </c>
      <c r="D878">
        <v>25</v>
      </c>
      <c r="E878">
        <f>WEEKDAY(makulatura5[[#This Row],[Data_dostarczenia]],2)</f>
        <v>2</v>
      </c>
      <c r="F878" s="2">
        <f t="shared" si="13"/>
        <v>0</v>
      </c>
    </row>
    <row r="879" spans="1:6" x14ac:dyDescent="0.25">
      <c r="A879" s="1">
        <v>42871</v>
      </c>
      <c r="B879" s="2" t="s">
        <v>101</v>
      </c>
      <c r="C879" s="2" t="s">
        <v>188</v>
      </c>
      <c r="D879">
        <v>13</v>
      </c>
      <c r="E879">
        <f>WEEKDAY(makulatura5[[#This Row],[Data_dostarczenia]],2)</f>
        <v>2</v>
      </c>
      <c r="F879" s="2">
        <f t="shared" si="13"/>
        <v>0</v>
      </c>
    </row>
    <row r="880" spans="1:6" x14ac:dyDescent="0.25">
      <c r="A880" s="1">
        <v>42871</v>
      </c>
      <c r="B880" s="2" t="s">
        <v>402</v>
      </c>
      <c r="C880" s="2" t="s">
        <v>403</v>
      </c>
      <c r="D880">
        <v>54</v>
      </c>
      <c r="E880">
        <f>WEEKDAY(makulatura5[[#This Row],[Data_dostarczenia]],2)</f>
        <v>2</v>
      </c>
      <c r="F880" s="2">
        <f t="shared" si="13"/>
        <v>1</v>
      </c>
    </row>
    <row r="881" spans="1:6" x14ac:dyDescent="0.25">
      <c r="A881" s="1">
        <v>42872</v>
      </c>
      <c r="B881" s="2" t="s">
        <v>372</v>
      </c>
      <c r="C881" s="2" t="s">
        <v>373</v>
      </c>
      <c r="D881">
        <v>27</v>
      </c>
      <c r="E881">
        <f>WEEKDAY(makulatura5[[#This Row],[Data_dostarczenia]],2)</f>
        <v>3</v>
      </c>
      <c r="F881" s="2">
        <f t="shared" si="13"/>
        <v>0</v>
      </c>
    </row>
    <row r="882" spans="1:6" x14ac:dyDescent="0.25">
      <c r="A882" s="1">
        <v>42872</v>
      </c>
      <c r="B882" s="2" t="s">
        <v>18</v>
      </c>
      <c r="C882" s="2" t="s">
        <v>29</v>
      </c>
      <c r="D882">
        <v>15</v>
      </c>
      <c r="E882">
        <f>WEEKDAY(makulatura5[[#This Row],[Data_dostarczenia]],2)</f>
        <v>3</v>
      </c>
      <c r="F882" s="2">
        <f t="shared" si="13"/>
        <v>0</v>
      </c>
    </row>
    <row r="883" spans="1:6" x14ac:dyDescent="0.25">
      <c r="A883" s="1">
        <v>42872</v>
      </c>
      <c r="B883" s="2" t="s">
        <v>4</v>
      </c>
      <c r="C883" s="2" t="s">
        <v>489</v>
      </c>
      <c r="D883">
        <v>19</v>
      </c>
      <c r="E883">
        <f>WEEKDAY(makulatura5[[#This Row],[Data_dostarczenia]],2)</f>
        <v>3</v>
      </c>
      <c r="F883" s="2">
        <f t="shared" si="13"/>
        <v>0</v>
      </c>
    </row>
    <row r="884" spans="1:6" x14ac:dyDescent="0.25">
      <c r="A884" s="1">
        <v>42872</v>
      </c>
      <c r="B884" s="2" t="s">
        <v>69</v>
      </c>
      <c r="C884" s="2" t="s">
        <v>286</v>
      </c>
      <c r="D884">
        <v>22</v>
      </c>
      <c r="E884">
        <f>WEEKDAY(makulatura5[[#This Row],[Data_dostarczenia]],2)</f>
        <v>3</v>
      </c>
      <c r="F884" s="2">
        <f t="shared" si="13"/>
        <v>0</v>
      </c>
    </row>
    <row r="885" spans="1:6" x14ac:dyDescent="0.25">
      <c r="A885" s="1">
        <v>42872</v>
      </c>
      <c r="B885" s="2" t="s">
        <v>143</v>
      </c>
      <c r="C885" s="2" t="s">
        <v>585</v>
      </c>
      <c r="D885">
        <v>12</v>
      </c>
      <c r="E885">
        <f>WEEKDAY(makulatura5[[#This Row],[Data_dostarczenia]],2)</f>
        <v>3</v>
      </c>
      <c r="F885" s="2">
        <f t="shared" si="13"/>
        <v>0</v>
      </c>
    </row>
    <row r="886" spans="1:6" x14ac:dyDescent="0.25">
      <c r="A886" s="1">
        <v>42872</v>
      </c>
      <c r="B886" s="2" t="s">
        <v>479</v>
      </c>
      <c r="C886" s="2" t="s">
        <v>480</v>
      </c>
      <c r="D886">
        <v>6</v>
      </c>
      <c r="E886">
        <f>WEEKDAY(makulatura5[[#This Row],[Data_dostarczenia]],2)</f>
        <v>3</v>
      </c>
      <c r="F886" s="2">
        <f t="shared" si="13"/>
        <v>1</v>
      </c>
    </row>
    <row r="887" spans="1:6" x14ac:dyDescent="0.25">
      <c r="A887" s="1">
        <v>42873</v>
      </c>
      <c r="B887" s="2" t="s">
        <v>343</v>
      </c>
      <c r="C887" s="2" t="s">
        <v>344</v>
      </c>
      <c r="D887">
        <v>27</v>
      </c>
      <c r="E887">
        <f>WEEKDAY(makulatura5[[#This Row],[Data_dostarczenia]],2)</f>
        <v>4</v>
      </c>
      <c r="F887" s="2">
        <f t="shared" si="13"/>
        <v>0</v>
      </c>
    </row>
    <row r="888" spans="1:6" x14ac:dyDescent="0.25">
      <c r="A888" s="1">
        <v>42873</v>
      </c>
      <c r="B888" s="2" t="s">
        <v>137</v>
      </c>
      <c r="C888" s="2" t="s">
        <v>379</v>
      </c>
      <c r="D888">
        <v>6</v>
      </c>
      <c r="E888">
        <f>WEEKDAY(makulatura5[[#This Row],[Data_dostarczenia]],2)</f>
        <v>4</v>
      </c>
      <c r="F888" s="2">
        <f t="shared" si="13"/>
        <v>0</v>
      </c>
    </row>
    <row r="889" spans="1:6" x14ac:dyDescent="0.25">
      <c r="A889" s="1">
        <v>42873</v>
      </c>
      <c r="B889" s="2" t="s">
        <v>484</v>
      </c>
      <c r="C889" s="2" t="s">
        <v>485</v>
      </c>
      <c r="D889">
        <v>6</v>
      </c>
      <c r="E889">
        <f>WEEKDAY(makulatura5[[#This Row],[Data_dostarczenia]],2)</f>
        <v>4</v>
      </c>
      <c r="F889" s="2">
        <f t="shared" si="13"/>
        <v>0</v>
      </c>
    </row>
    <row r="890" spans="1:6" x14ac:dyDescent="0.25">
      <c r="A890" s="1">
        <v>42873</v>
      </c>
      <c r="B890" s="2" t="s">
        <v>39</v>
      </c>
      <c r="C890" s="2" t="s">
        <v>586</v>
      </c>
      <c r="D890">
        <v>4</v>
      </c>
      <c r="E890">
        <f>WEEKDAY(makulatura5[[#This Row],[Data_dostarczenia]],2)</f>
        <v>4</v>
      </c>
      <c r="F890" s="2">
        <f t="shared" si="13"/>
        <v>0</v>
      </c>
    </row>
    <row r="891" spans="1:6" x14ac:dyDescent="0.25">
      <c r="A891" s="1">
        <v>42873</v>
      </c>
      <c r="B891" s="2" t="s">
        <v>201</v>
      </c>
      <c r="C891" s="2" t="s">
        <v>433</v>
      </c>
      <c r="D891">
        <v>28</v>
      </c>
      <c r="E891">
        <f>WEEKDAY(makulatura5[[#This Row],[Data_dostarczenia]],2)</f>
        <v>4</v>
      </c>
      <c r="F891" s="2">
        <f t="shared" si="13"/>
        <v>0</v>
      </c>
    </row>
    <row r="892" spans="1:6" x14ac:dyDescent="0.25">
      <c r="A892" s="1">
        <v>42873</v>
      </c>
      <c r="B892" s="2" t="s">
        <v>143</v>
      </c>
      <c r="C892" s="2" t="s">
        <v>585</v>
      </c>
      <c r="D892">
        <v>48</v>
      </c>
      <c r="E892">
        <f>WEEKDAY(makulatura5[[#This Row],[Data_dostarczenia]],2)</f>
        <v>4</v>
      </c>
      <c r="F892" s="2">
        <f t="shared" si="13"/>
        <v>1</v>
      </c>
    </row>
    <row r="893" spans="1:6" x14ac:dyDescent="0.25">
      <c r="A893" s="1">
        <v>42874</v>
      </c>
      <c r="B893" s="2" t="s">
        <v>69</v>
      </c>
      <c r="C893" s="2" t="s">
        <v>461</v>
      </c>
      <c r="D893">
        <v>40</v>
      </c>
      <c r="E893">
        <f>WEEKDAY(makulatura5[[#This Row],[Data_dostarczenia]],2)</f>
        <v>5</v>
      </c>
      <c r="F893" s="2">
        <f t="shared" si="13"/>
        <v>0</v>
      </c>
    </row>
    <row r="894" spans="1:6" x14ac:dyDescent="0.25">
      <c r="A894" s="1">
        <v>42874</v>
      </c>
      <c r="B894" s="2" t="s">
        <v>101</v>
      </c>
      <c r="C894" s="2" t="s">
        <v>187</v>
      </c>
      <c r="D894">
        <v>17</v>
      </c>
      <c r="E894">
        <f>WEEKDAY(makulatura5[[#This Row],[Data_dostarczenia]],2)</f>
        <v>5</v>
      </c>
      <c r="F894" s="2">
        <f t="shared" si="13"/>
        <v>0</v>
      </c>
    </row>
    <row r="895" spans="1:6" x14ac:dyDescent="0.25">
      <c r="A895" s="1">
        <v>42874</v>
      </c>
      <c r="B895" s="2" t="s">
        <v>203</v>
      </c>
      <c r="C895" s="2" t="s">
        <v>370</v>
      </c>
      <c r="D895">
        <v>22</v>
      </c>
      <c r="E895">
        <f>WEEKDAY(makulatura5[[#This Row],[Data_dostarczenia]],2)</f>
        <v>5</v>
      </c>
      <c r="F895" s="2">
        <f t="shared" si="13"/>
        <v>0</v>
      </c>
    </row>
    <row r="896" spans="1:6" x14ac:dyDescent="0.25">
      <c r="A896" s="1">
        <v>42874</v>
      </c>
      <c r="B896" s="2" t="s">
        <v>174</v>
      </c>
      <c r="C896" s="2" t="s">
        <v>175</v>
      </c>
      <c r="D896">
        <v>2</v>
      </c>
      <c r="E896">
        <f>WEEKDAY(makulatura5[[#This Row],[Data_dostarczenia]],2)</f>
        <v>5</v>
      </c>
      <c r="F896" s="2">
        <f t="shared" si="13"/>
        <v>0</v>
      </c>
    </row>
    <row r="897" spans="1:6" x14ac:dyDescent="0.25">
      <c r="A897" s="1">
        <v>42874</v>
      </c>
      <c r="B897" s="2" t="s">
        <v>30</v>
      </c>
      <c r="C897" s="2" t="s">
        <v>31</v>
      </c>
      <c r="D897">
        <v>5</v>
      </c>
      <c r="E897">
        <f>WEEKDAY(makulatura5[[#This Row],[Data_dostarczenia]],2)</f>
        <v>5</v>
      </c>
      <c r="F897" s="2">
        <f t="shared" si="13"/>
        <v>0</v>
      </c>
    </row>
    <row r="898" spans="1:6" x14ac:dyDescent="0.25">
      <c r="A898" s="1">
        <v>42874</v>
      </c>
      <c r="B898" s="2" t="s">
        <v>280</v>
      </c>
      <c r="C898" s="2" t="s">
        <v>451</v>
      </c>
      <c r="D898">
        <v>25</v>
      </c>
      <c r="E898">
        <f>WEEKDAY(makulatura5[[#This Row],[Data_dostarczenia]],2)</f>
        <v>5</v>
      </c>
      <c r="F898" s="2">
        <f t="shared" ref="F898:F961" si="14">IF(A899=A898,0,1)</f>
        <v>1</v>
      </c>
    </row>
    <row r="899" spans="1:6" x14ac:dyDescent="0.25">
      <c r="A899" s="1">
        <v>42877</v>
      </c>
      <c r="B899" s="2" t="s">
        <v>167</v>
      </c>
      <c r="C899" s="2" t="s">
        <v>552</v>
      </c>
      <c r="D899">
        <v>21</v>
      </c>
      <c r="E899">
        <f>WEEKDAY(makulatura5[[#This Row],[Data_dostarczenia]],2)</f>
        <v>1</v>
      </c>
      <c r="F899" s="2">
        <f t="shared" si="14"/>
        <v>0</v>
      </c>
    </row>
    <row r="900" spans="1:6" x14ac:dyDescent="0.25">
      <c r="A900" s="1">
        <v>42877</v>
      </c>
      <c r="B900" s="2" t="s">
        <v>30</v>
      </c>
      <c r="C900" s="2" t="s">
        <v>432</v>
      </c>
      <c r="D900">
        <v>31</v>
      </c>
      <c r="E900">
        <f>WEEKDAY(makulatura5[[#This Row],[Data_dostarczenia]],2)</f>
        <v>1</v>
      </c>
      <c r="F900" s="2">
        <f t="shared" si="14"/>
        <v>0</v>
      </c>
    </row>
    <row r="901" spans="1:6" x14ac:dyDescent="0.25">
      <c r="A901" s="1">
        <v>42877</v>
      </c>
      <c r="B901" s="2" t="s">
        <v>75</v>
      </c>
      <c r="C901" s="2" t="s">
        <v>213</v>
      </c>
      <c r="D901">
        <v>21</v>
      </c>
      <c r="E901">
        <f>WEEKDAY(makulatura5[[#This Row],[Data_dostarczenia]],2)</f>
        <v>1</v>
      </c>
      <c r="F901" s="2">
        <f t="shared" si="14"/>
        <v>0</v>
      </c>
    </row>
    <row r="902" spans="1:6" x14ac:dyDescent="0.25">
      <c r="A902" s="1">
        <v>42877</v>
      </c>
      <c r="B902" s="2" t="s">
        <v>232</v>
      </c>
      <c r="C902" s="2" t="s">
        <v>573</v>
      </c>
      <c r="D902">
        <v>19</v>
      </c>
      <c r="E902">
        <f>WEEKDAY(makulatura5[[#This Row],[Data_dostarczenia]],2)</f>
        <v>1</v>
      </c>
      <c r="F902" s="2">
        <f t="shared" si="14"/>
        <v>0</v>
      </c>
    </row>
    <row r="903" spans="1:6" x14ac:dyDescent="0.25">
      <c r="A903" s="1">
        <v>42877</v>
      </c>
      <c r="B903" s="2" t="s">
        <v>57</v>
      </c>
      <c r="C903" s="2" t="s">
        <v>58</v>
      </c>
      <c r="D903">
        <v>6</v>
      </c>
      <c r="E903">
        <f>WEEKDAY(makulatura5[[#This Row],[Data_dostarczenia]],2)</f>
        <v>1</v>
      </c>
      <c r="F903" s="2">
        <f t="shared" si="14"/>
        <v>0</v>
      </c>
    </row>
    <row r="904" spans="1:6" x14ac:dyDescent="0.25">
      <c r="A904" s="1">
        <v>42877</v>
      </c>
      <c r="B904" s="2" t="s">
        <v>150</v>
      </c>
      <c r="C904" s="2" t="s">
        <v>140</v>
      </c>
      <c r="D904">
        <v>24</v>
      </c>
      <c r="E904">
        <f>WEEKDAY(makulatura5[[#This Row],[Data_dostarczenia]],2)</f>
        <v>1</v>
      </c>
      <c r="F904" s="2">
        <f t="shared" si="14"/>
        <v>1</v>
      </c>
    </row>
    <row r="905" spans="1:6" x14ac:dyDescent="0.25">
      <c r="A905" s="1">
        <v>42878</v>
      </c>
      <c r="B905" s="2" t="s">
        <v>343</v>
      </c>
      <c r="C905" s="2" t="s">
        <v>344</v>
      </c>
      <c r="D905">
        <v>54</v>
      </c>
      <c r="E905">
        <f>WEEKDAY(makulatura5[[#This Row],[Data_dostarczenia]],2)</f>
        <v>2</v>
      </c>
      <c r="F905" s="2">
        <f t="shared" si="14"/>
        <v>0</v>
      </c>
    </row>
    <row r="906" spans="1:6" x14ac:dyDescent="0.25">
      <c r="A906" s="1">
        <v>42878</v>
      </c>
      <c r="B906" s="2" t="s">
        <v>53</v>
      </c>
      <c r="C906" s="2" t="s">
        <v>54</v>
      </c>
      <c r="D906">
        <v>18</v>
      </c>
      <c r="E906">
        <f>WEEKDAY(makulatura5[[#This Row],[Data_dostarczenia]],2)</f>
        <v>2</v>
      </c>
      <c r="F906" s="2">
        <f t="shared" si="14"/>
        <v>0</v>
      </c>
    </row>
    <row r="907" spans="1:6" x14ac:dyDescent="0.25">
      <c r="A907" s="1">
        <v>42878</v>
      </c>
      <c r="B907" s="2" t="s">
        <v>343</v>
      </c>
      <c r="C907" s="2" t="s">
        <v>501</v>
      </c>
      <c r="D907">
        <v>8</v>
      </c>
      <c r="E907">
        <f>WEEKDAY(makulatura5[[#This Row],[Data_dostarczenia]],2)</f>
        <v>2</v>
      </c>
      <c r="F907" s="2">
        <f t="shared" si="14"/>
        <v>0</v>
      </c>
    </row>
    <row r="908" spans="1:6" x14ac:dyDescent="0.25">
      <c r="A908" s="1">
        <v>42878</v>
      </c>
      <c r="B908" s="2" t="s">
        <v>243</v>
      </c>
      <c r="C908" s="2" t="s">
        <v>82</v>
      </c>
      <c r="D908">
        <v>4</v>
      </c>
      <c r="E908">
        <f>WEEKDAY(makulatura5[[#This Row],[Data_dostarczenia]],2)</f>
        <v>2</v>
      </c>
      <c r="F908" s="2">
        <f t="shared" si="14"/>
        <v>0</v>
      </c>
    </row>
    <row r="909" spans="1:6" x14ac:dyDescent="0.25">
      <c r="A909" s="1">
        <v>42878</v>
      </c>
      <c r="B909" s="2" t="s">
        <v>53</v>
      </c>
      <c r="C909" s="2" t="s">
        <v>227</v>
      </c>
      <c r="D909">
        <v>16</v>
      </c>
      <c r="E909">
        <f>WEEKDAY(makulatura5[[#This Row],[Data_dostarczenia]],2)</f>
        <v>2</v>
      </c>
      <c r="F909" s="2">
        <f t="shared" si="14"/>
        <v>0</v>
      </c>
    </row>
    <row r="910" spans="1:6" x14ac:dyDescent="0.25">
      <c r="A910" s="1">
        <v>42878</v>
      </c>
      <c r="B910" s="2" t="s">
        <v>34</v>
      </c>
      <c r="C910" s="2" t="s">
        <v>557</v>
      </c>
      <c r="D910">
        <v>6</v>
      </c>
      <c r="E910">
        <f>WEEKDAY(makulatura5[[#This Row],[Data_dostarczenia]],2)</f>
        <v>2</v>
      </c>
      <c r="F910" s="2">
        <f t="shared" si="14"/>
        <v>1</v>
      </c>
    </row>
    <row r="911" spans="1:6" x14ac:dyDescent="0.25">
      <c r="A911" s="1">
        <v>42879</v>
      </c>
      <c r="B911" s="2" t="s">
        <v>43</v>
      </c>
      <c r="C911" s="2" t="s">
        <v>124</v>
      </c>
      <c r="D911">
        <v>54</v>
      </c>
      <c r="E911">
        <f>WEEKDAY(makulatura5[[#This Row],[Data_dostarczenia]],2)</f>
        <v>3</v>
      </c>
      <c r="F911" s="2">
        <f t="shared" si="14"/>
        <v>0</v>
      </c>
    </row>
    <row r="912" spans="1:6" x14ac:dyDescent="0.25">
      <c r="A912" s="1">
        <v>42879</v>
      </c>
      <c r="B912" s="2" t="s">
        <v>83</v>
      </c>
      <c r="C912" s="2" t="s">
        <v>459</v>
      </c>
      <c r="D912">
        <v>35</v>
      </c>
      <c r="E912">
        <f>WEEKDAY(makulatura5[[#This Row],[Data_dostarczenia]],2)</f>
        <v>3</v>
      </c>
      <c r="F912" s="2">
        <f t="shared" si="14"/>
        <v>0</v>
      </c>
    </row>
    <row r="913" spans="1:6" x14ac:dyDescent="0.25">
      <c r="A913" s="1">
        <v>42879</v>
      </c>
      <c r="B913" s="2" t="s">
        <v>234</v>
      </c>
      <c r="C913" s="2" t="s">
        <v>235</v>
      </c>
      <c r="D913">
        <v>23</v>
      </c>
      <c r="E913">
        <f>WEEKDAY(makulatura5[[#This Row],[Data_dostarczenia]],2)</f>
        <v>3</v>
      </c>
      <c r="F913" s="2">
        <f t="shared" si="14"/>
        <v>0</v>
      </c>
    </row>
    <row r="914" spans="1:6" x14ac:dyDescent="0.25">
      <c r="A914" s="1">
        <v>42879</v>
      </c>
      <c r="B914" s="2" t="s">
        <v>72</v>
      </c>
      <c r="C914" s="2" t="s">
        <v>227</v>
      </c>
      <c r="D914">
        <v>52</v>
      </c>
      <c r="E914">
        <f>WEEKDAY(makulatura5[[#This Row],[Data_dostarczenia]],2)</f>
        <v>3</v>
      </c>
      <c r="F914" s="2">
        <f t="shared" si="14"/>
        <v>0</v>
      </c>
    </row>
    <row r="915" spans="1:6" x14ac:dyDescent="0.25">
      <c r="A915" s="1">
        <v>42879</v>
      </c>
      <c r="B915" s="2" t="s">
        <v>367</v>
      </c>
      <c r="C915" s="2" t="s">
        <v>411</v>
      </c>
      <c r="D915">
        <v>26</v>
      </c>
      <c r="E915">
        <f>WEEKDAY(makulatura5[[#This Row],[Data_dostarczenia]],2)</f>
        <v>3</v>
      </c>
      <c r="F915" s="2">
        <f t="shared" si="14"/>
        <v>0</v>
      </c>
    </row>
    <row r="916" spans="1:6" x14ac:dyDescent="0.25">
      <c r="A916" s="1">
        <v>42879</v>
      </c>
      <c r="B916" s="2" t="s">
        <v>343</v>
      </c>
      <c r="C916" s="2" t="s">
        <v>501</v>
      </c>
      <c r="D916">
        <v>26</v>
      </c>
      <c r="E916">
        <f>WEEKDAY(makulatura5[[#This Row],[Data_dostarczenia]],2)</f>
        <v>3</v>
      </c>
      <c r="F916" s="2">
        <f t="shared" si="14"/>
        <v>1</v>
      </c>
    </row>
    <row r="917" spans="1:6" x14ac:dyDescent="0.25">
      <c r="A917" s="1">
        <v>42880</v>
      </c>
      <c r="B917" s="2" t="s">
        <v>97</v>
      </c>
      <c r="C917" s="2" t="s">
        <v>457</v>
      </c>
      <c r="D917">
        <v>2</v>
      </c>
      <c r="E917">
        <f>WEEKDAY(makulatura5[[#This Row],[Data_dostarczenia]],2)</f>
        <v>4</v>
      </c>
      <c r="F917" s="2">
        <f t="shared" si="14"/>
        <v>0</v>
      </c>
    </row>
    <row r="918" spans="1:6" x14ac:dyDescent="0.25">
      <c r="A918" s="1">
        <v>42880</v>
      </c>
      <c r="B918" s="2" t="s">
        <v>51</v>
      </c>
      <c r="C918" s="2" t="s">
        <v>469</v>
      </c>
      <c r="D918">
        <v>31</v>
      </c>
      <c r="E918">
        <f>WEEKDAY(makulatura5[[#This Row],[Data_dostarczenia]],2)</f>
        <v>4</v>
      </c>
      <c r="F918" s="2">
        <f t="shared" si="14"/>
        <v>0</v>
      </c>
    </row>
    <row r="919" spans="1:6" x14ac:dyDescent="0.25">
      <c r="A919" s="1">
        <v>42880</v>
      </c>
      <c r="B919" s="2" t="s">
        <v>20</v>
      </c>
      <c r="C919" s="2" t="s">
        <v>21</v>
      </c>
      <c r="D919">
        <v>38</v>
      </c>
      <c r="E919">
        <f>WEEKDAY(makulatura5[[#This Row],[Data_dostarczenia]],2)</f>
        <v>4</v>
      </c>
      <c r="F919" s="2">
        <f t="shared" si="14"/>
        <v>0</v>
      </c>
    </row>
    <row r="920" spans="1:6" x14ac:dyDescent="0.25">
      <c r="A920" s="1">
        <v>42880</v>
      </c>
      <c r="B920" s="2" t="s">
        <v>4</v>
      </c>
      <c r="C920" s="2" t="s">
        <v>386</v>
      </c>
      <c r="D920">
        <v>8</v>
      </c>
      <c r="E920">
        <f>WEEKDAY(makulatura5[[#This Row],[Data_dostarczenia]],2)</f>
        <v>4</v>
      </c>
      <c r="F920" s="2">
        <f t="shared" si="14"/>
        <v>0</v>
      </c>
    </row>
    <row r="921" spans="1:6" x14ac:dyDescent="0.25">
      <c r="A921" s="1">
        <v>42880</v>
      </c>
      <c r="B921" s="2" t="s">
        <v>36</v>
      </c>
      <c r="C921" s="2" t="s">
        <v>295</v>
      </c>
      <c r="D921">
        <v>53</v>
      </c>
      <c r="E921">
        <f>WEEKDAY(makulatura5[[#This Row],[Data_dostarczenia]],2)</f>
        <v>4</v>
      </c>
      <c r="F921" s="2">
        <f t="shared" si="14"/>
        <v>0</v>
      </c>
    </row>
    <row r="922" spans="1:6" x14ac:dyDescent="0.25">
      <c r="A922" s="1">
        <v>42880</v>
      </c>
      <c r="B922" s="2" t="s">
        <v>484</v>
      </c>
      <c r="C922" s="2" t="s">
        <v>485</v>
      </c>
      <c r="D922">
        <v>6</v>
      </c>
      <c r="E922">
        <f>WEEKDAY(makulatura5[[#This Row],[Data_dostarczenia]],2)</f>
        <v>4</v>
      </c>
      <c r="F922" s="2">
        <f t="shared" si="14"/>
        <v>1</v>
      </c>
    </row>
    <row r="923" spans="1:6" x14ac:dyDescent="0.25">
      <c r="A923" s="1">
        <v>42881</v>
      </c>
      <c r="B923" s="2" t="s">
        <v>72</v>
      </c>
      <c r="C923" s="2" t="s">
        <v>73</v>
      </c>
      <c r="D923">
        <v>55</v>
      </c>
      <c r="E923">
        <f>WEEKDAY(makulatura5[[#This Row],[Data_dostarczenia]],2)</f>
        <v>5</v>
      </c>
      <c r="F923" s="2">
        <f t="shared" si="14"/>
        <v>0</v>
      </c>
    </row>
    <row r="924" spans="1:6" x14ac:dyDescent="0.25">
      <c r="A924" s="1">
        <v>42881</v>
      </c>
      <c r="B924" s="2" t="s">
        <v>395</v>
      </c>
      <c r="C924" s="2" t="s">
        <v>587</v>
      </c>
      <c r="D924">
        <v>15</v>
      </c>
      <c r="E924">
        <f>WEEKDAY(makulatura5[[#This Row],[Data_dostarczenia]],2)</f>
        <v>5</v>
      </c>
      <c r="F924" s="2">
        <f t="shared" si="14"/>
        <v>0</v>
      </c>
    </row>
    <row r="925" spans="1:6" x14ac:dyDescent="0.25">
      <c r="A925" s="1">
        <v>42881</v>
      </c>
      <c r="B925" s="2" t="s">
        <v>155</v>
      </c>
      <c r="C925" s="2" t="s">
        <v>414</v>
      </c>
      <c r="D925">
        <v>25</v>
      </c>
      <c r="E925">
        <f>WEEKDAY(makulatura5[[#This Row],[Data_dostarczenia]],2)</f>
        <v>5</v>
      </c>
      <c r="F925" s="2">
        <f t="shared" si="14"/>
        <v>0</v>
      </c>
    </row>
    <row r="926" spans="1:6" x14ac:dyDescent="0.25">
      <c r="A926" s="1">
        <v>42881</v>
      </c>
      <c r="B926" s="2" t="s">
        <v>69</v>
      </c>
      <c r="C926" s="2" t="s">
        <v>588</v>
      </c>
      <c r="D926">
        <v>39</v>
      </c>
      <c r="E926">
        <f>WEEKDAY(makulatura5[[#This Row],[Data_dostarczenia]],2)</f>
        <v>5</v>
      </c>
      <c r="F926" s="2">
        <f t="shared" si="14"/>
        <v>0</v>
      </c>
    </row>
    <row r="927" spans="1:6" x14ac:dyDescent="0.25">
      <c r="A927" s="1">
        <v>42881</v>
      </c>
      <c r="B927" s="2" t="s">
        <v>201</v>
      </c>
      <c r="C927" s="2" t="s">
        <v>357</v>
      </c>
      <c r="D927">
        <v>25</v>
      </c>
      <c r="E927">
        <f>WEEKDAY(makulatura5[[#This Row],[Data_dostarczenia]],2)</f>
        <v>5</v>
      </c>
      <c r="F927" s="2">
        <f t="shared" si="14"/>
        <v>0</v>
      </c>
    </row>
    <row r="928" spans="1:6" x14ac:dyDescent="0.25">
      <c r="A928" s="1">
        <v>42881</v>
      </c>
      <c r="B928" s="2" t="s">
        <v>55</v>
      </c>
      <c r="C928" s="2" t="s">
        <v>265</v>
      </c>
      <c r="D928">
        <v>22</v>
      </c>
      <c r="E928">
        <f>WEEKDAY(makulatura5[[#This Row],[Data_dostarczenia]],2)</f>
        <v>5</v>
      </c>
      <c r="F928" s="2">
        <f t="shared" si="14"/>
        <v>1</v>
      </c>
    </row>
    <row r="929" spans="1:6" x14ac:dyDescent="0.25">
      <c r="A929" s="1">
        <v>42884</v>
      </c>
      <c r="B929" s="2" t="s">
        <v>589</v>
      </c>
      <c r="C929" s="2" t="s">
        <v>590</v>
      </c>
      <c r="D929">
        <v>22</v>
      </c>
      <c r="E929">
        <f>WEEKDAY(makulatura5[[#This Row],[Data_dostarczenia]],2)</f>
        <v>1</v>
      </c>
      <c r="F929" s="2">
        <f t="shared" si="14"/>
        <v>0</v>
      </c>
    </row>
    <row r="930" spans="1:6" x14ac:dyDescent="0.25">
      <c r="A930" s="1">
        <v>42884</v>
      </c>
      <c r="B930" s="2" t="s">
        <v>150</v>
      </c>
      <c r="C930" s="2" t="s">
        <v>200</v>
      </c>
      <c r="D930">
        <v>2</v>
      </c>
      <c r="E930">
        <f>WEEKDAY(makulatura5[[#This Row],[Data_dostarczenia]],2)</f>
        <v>1</v>
      </c>
      <c r="F930" s="2">
        <f t="shared" si="14"/>
        <v>0</v>
      </c>
    </row>
    <row r="931" spans="1:6" x14ac:dyDescent="0.25">
      <c r="A931" s="1">
        <v>42884</v>
      </c>
      <c r="B931" s="2" t="s">
        <v>101</v>
      </c>
      <c r="C931" s="2" t="s">
        <v>293</v>
      </c>
      <c r="D931">
        <v>8</v>
      </c>
      <c r="E931">
        <f>WEEKDAY(makulatura5[[#This Row],[Data_dostarczenia]],2)</f>
        <v>1</v>
      </c>
      <c r="F931" s="2">
        <f t="shared" si="14"/>
        <v>0</v>
      </c>
    </row>
    <row r="932" spans="1:6" x14ac:dyDescent="0.25">
      <c r="A932" s="1">
        <v>42884</v>
      </c>
      <c r="B932" s="2" t="s">
        <v>83</v>
      </c>
      <c r="C932" s="2" t="s">
        <v>591</v>
      </c>
      <c r="D932">
        <v>50</v>
      </c>
      <c r="E932">
        <f>WEEKDAY(makulatura5[[#This Row],[Data_dostarczenia]],2)</f>
        <v>1</v>
      </c>
      <c r="F932" s="2">
        <f t="shared" si="14"/>
        <v>0</v>
      </c>
    </row>
    <row r="933" spans="1:6" x14ac:dyDescent="0.25">
      <c r="A933" s="1">
        <v>42884</v>
      </c>
      <c r="B933" s="2" t="s">
        <v>95</v>
      </c>
      <c r="C933" s="2" t="s">
        <v>96</v>
      </c>
      <c r="D933">
        <v>17</v>
      </c>
      <c r="E933">
        <f>WEEKDAY(makulatura5[[#This Row],[Data_dostarczenia]],2)</f>
        <v>1</v>
      </c>
      <c r="F933" s="2">
        <f t="shared" si="14"/>
        <v>0</v>
      </c>
    </row>
    <row r="934" spans="1:6" x14ac:dyDescent="0.25">
      <c r="A934" s="1">
        <v>42884</v>
      </c>
      <c r="B934" s="2" t="s">
        <v>65</v>
      </c>
      <c r="C934" s="2" t="s">
        <v>66</v>
      </c>
      <c r="D934">
        <v>9</v>
      </c>
      <c r="E934">
        <f>WEEKDAY(makulatura5[[#This Row],[Data_dostarczenia]],2)</f>
        <v>1</v>
      </c>
      <c r="F934" s="2">
        <f t="shared" si="14"/>
        <v>1</v>
      </c>
    </row>
    <row r="935" spans="1:6" x14ac:dyDescent="0.25">
      <c r="A935" s="1">
        <v>42885</v>
      </c>
      <c r="B935" s="2" t="s">
        <v>307</v>
      </c>
      <c r="C935" s="2" t="s">
        <v>325</v>
      </c>
      <c r="D935">
        <v>52</v>
      </c>
      <c r="E935">
        <f>WEEKDAY(makulatura5[[#This Row],[Data_dostarczenia]],2)</f>
        <v>2</v>
      </c>
      <c r="F935" s="2">
        <f t="shared" si="14"/>
        <v>0</v>
      </c>
    </row>
    <row r="936" spans="1:6" x14ac:dyDescent="0.25">
      <c r="A936" s="1">
        <v>42885</v>
      </c>
      <c r="B936" s="2" t="s">
        <v>232</v>
      </c>
      <c r="C936" s="2" t="s">
        <v>451</v>
      </c>
      <c r="D936">
        <v>18</v>
      </c>
      <c r="E936">
        <f>WEEKDAY(makulatura5[[#This Row],[Data_dostarczenia]],2)</f>
        <v>2</v>
      </c>
      <c r="F936" s="2">
        <f t="shared" si="14"/>
        <v>0</v>
      </c>
    </row>
    <row r="937" spans="1:6" x14ac:dyDescent="0.25">
      <c r="A937" s="1">
        <v>42885</v>
      </c>
      <c r="B937" s="2" t="s">
        <v>23</v>
      </c>
      <c r="C937" s="2" t="s">
        <v>592</v>
      </c>
      <c r="D937">
        <v>17</v>
      </c>
      <c r="E937">
        <f>WEEKDAY(makulatura5[[#This Row],[Data_dostarczenia]],2)</f>
        <v>2</v>
      </c>
      <c r="F937" s="2">
        <f t="shared" si="14"/>
        <v>0</v>
      </c>
    </row>
    <row r="938" spans="1:6" x14ac:dyDescent="0.25">
      <c r="A938" s="1">
        <v>42885</v>
      </c>
      <c r="B938" s="2" t="s">
        <v>299</v>
      </c>
      <c r="C938" s="2" t="s">
        <v>300</v>
      </c>
      <c r="D938">
        <v>52</v>
      </c>
      <c r="E938">
        <f>WEEKDAY(makulatura5[[#This Row],[Data_dostarczenia]],2)</f>
        <v>2</v>
      </c>
      <c r="F938" s="2">
        <f t="shared" si="14"/>
        <v>0</v>
      </c>
    </row>
    <row r="939" spans="1:6" x14ac:dyDescent="0.25">
      <c r="A939" s="1">
        <v>42885</v>
      </c>
      <c r="B939" s="2" t="s">
        <v>65</v>
      </c>
      <c r="C939" s="2" t="s">
        <v>116</v>
      </c>
      <c r="D939">
        <v>13</v>
      </c>
      <c r="E939">
        <f>WEEKDAY(makulatura5[[#This Row],[Data_dostarczenia]],2)</f>
        <v>2</v>
      </c>
      <c r="F939" s="2">
        <f t="shared" si="14"/>
        <v>0</v>
      </c>
    </row>
    <row r="940" spans="1:6" x14ac:dyDescent="0.25">
      <c r="A940" s="1">
        <v>42885</v>
      </c>
      <c r="B940" s="2" t="s">
        <v>25</v>
      </c>
      <c r="C940" s="2" t="s">
        <v>26</v>
      </c>
      <c r="D940">
        <v>10</v>
      </c>
      <c r="E940">
        <f>WEEKDAY(makulatura5[[#This Row],[Data_dostarczenia]],2)</f>
        <v>2</v>
      </c>
      <c r="F940" s="2">
        <f t="shared" si="14"/>
        <v>1</v>
      </c>
    </row>
    <row r="941" spans="1:6" x14ac:dyDescent="0.25">
      <c r="A941" s="1">
        <v>42886</v>
      </c>
      <c r="B941" s="2" t="s">
        <v>593</v>
      </c>
      <c r="C941" s="2" t="s">
        <v>594</v>
      </c>
      <c r="D941">
        <v>18</v>
      </c>
      <c r="E941">
        <f>WEEKDAY(makulatura5[[#This Row],[Data_dostarczenia]],2)</f>
        <v>3</v>
      </c>
      <c r="F941" s="2">
        <f t="shared" si="14"/>
        <v>0</v>
      </c>
    </row>
    <row r="942" spans="1:6" x14ac:dyDescent="0.25">
      <c r="A942" s="1">
        <v>42886</v>
      </c>
      <c r="B942" s="2" t="s">
        <v>67</v>
      </c>
      <c r="C942" s="2" t="s">
        <v>301</v>
      </c>
      <c r="D942">
        <v>16</v>
      </c>
      <c r="E942">
        <f>WEEKDAY(makulatura5[[#This Row],[Data_dostarczenia]],2)</f>
        <v>3</v>
      </c>
      <c r="F942" s="2">
        <f t="shared" si="14"/>
        <v>0</v>
      </c>
    </row>
    <row r="943" spans="1:6" x14ac:dyDescent="0.25">
      <c r="A943" s="1">
        <v>42886</v>
      </c>
      <c r="B943" s="2" t="s">
        <v>193</v>
      </c>
      <c r="C943" s="2" t="s">
        <v>595</v>
      </c>
      <c r="D943">
        <v>8</v>
      </c>
      <c r="E943">
        <f>WEEKDAY(makulatura5[[#This Row],[Data_dostarczenia]],2)</f>
        <v>3</v>
      </c>
      <c r="F943" s="2">
        <f t="shared" si="14"/>
        <v>0</v>
      </c>
    </row>
    <row r="944" spans="1:6" x14ac:dyDescent="0.25">
      <c r="A944" s="1">
        <v>42886</v>
      </c>
      <c r="B944" s="2" t="s">
        <v>30</v>
      </c>
      <c r="C944" s="2" t="s">
        <v>241</v>
      </c>
      <c r="D944">
        <v>26</v>
      </c>
      <c r="E944">
        <f>WEEKDAY(makulatura5[[#This Row],[Data_dostarczenia]],2)</f>
        <v>3</v>
      </c>
      <c r="F944" s="2">
        <f t="shared" si="14"/>
        <v>0</v>
      </c>
    </row>
    <row r="945" spans="1:6" x14ac:dyDescent="0.25">
      <c r="A945" s="1">
        <v>42886</v>
      </c>
      <c r="B945" s="2" t="s">
        <v>12</v>
      </c>
      <c r="C945" s="2" t="s">
        <v>532</v>
      </c>
      <c r="D945">
        <v>53</v>
      </c>
      <c r="E945">
        <f>WEEKDAY(makulatura5[[#This Row],[Data_dostarczenia]],2)</f>
        <v>3</v>
      </c>
      <c r="F945" s="2">
        <f t="shared" si="14"/>
        <v>0</v>
      </c>
    </row>
    <row r="946" spans="1:6" x14ac:dyDescent="0.25">
      <c r="A946" s="1">
        <v>42886</v>
      </c>
      <c r="B946" s="2" t="s">
        <v>77</v>
      </c>
      <c r="C946" s="2" t="s">
        <v>575</v>
      </c>
      <c r="D946">
        <v>3</v>
      </c>
      <c r="E946">
        <f>WEEKDAY(makulatura5[[#This Row],[Data_dostarczenia]],2)</f>
        <v>3</v>
      </c>
      <c r="F946" s="2">
        <f t="shared" si="14"/>
        <v>1</v>
      </c>
    </row>
    <row r="947" spans="1:6" x14ac:dyDescent="0.25">
      <c r="A947" s="1">
        <v>42887</v>
      </c>
      <c r="B947" s="2" t="s">
        <v>65</v>
      </c>
      <c r="C947" s="2" t="s">
        <v>83</v>
      </c>
      <c r="D947">
        <v>36</v>
      </c>
      <c r="E947">
        <f>WEEKDAY(makulatura5[[#This Row],[Data_dostarczenia]],2)</f>
        <v>4</v>
      </c>
      <c r="F947" s="2">
        <f t="shared" si="14"/>
        <v>0</v>
      </c>
    </row>
    <row r="948" spans="1:6" x14ac:dyDescent="0.25">
      <c r="A948" s="1">
        <v>42887</v>
      </c>
      <c r="B948" s="2" t="s">
        <v>203</v>
      </c>
      <c r="C948" s="2" t="s">
        <v>370</v>
      </c>
      <c r="D948">
        <v>17</v>
      </c>
      <c r="E948">
        <f>WEEKDAY(makulatura5[[#This Row],[Data_dostarczenia]],2)</f>
        <v>4</v>
      </c>
      <c r="F948" s="2">
        <f t="shared" si="14"/>
        <v>0</v>
      </c>
    </row>
    <row r="949" spans="1:6" x14ac:dyDescent="0.25">
      <c r="A949" s="1">
        <v>42887</v>
      </c>
      <c r="B949" s="2" t="s">
        <v>63</v>
      </c>
      <c r="C949" s="2" t="s">
        <v>105</v>
      </c>
      <c r="D949">
        <v>14</v>
      </c>
      <c r="E949">
        <f>WEEKDAY(makulatura5[[#This Row],[Data_dostarczenia]],2)</f>
        <v>4</v>
      </c>
      <c r="F949" s="2">
        <f t="shared" si="14"/>
        <v>0</v>
      </c>
    </row>
    <row r="950" spans="1:6" x14ac:dyDescent="0.25">
      <c r="A950" s="1">
        <v>42887</v>
      </c>
      <c r="B950" s="2" t="s">
        <v>34</v>
      </c>
      <c r="C950" s="2" t="s">
        <v>557</v>
      </c>
      <c r="D950">
        <v>54</v>
      </c>
      <c r="E950">
        <f>WEEKDAY(makulatura5[[#This Row],[Data_dostarczenia]],2)</f>
        <v>4</v>
      </c>
      <c r="F950" s="2">
        <f t="shared" si="14"/>
        <v>0</v>
      </c>
    </row>
    <row r="951" spans="1:6" x14ac:dyDescent="0.25">
      <c r="A951" s="1">
        <v>42887</v>
      </c>
      <c r="B951" s="2" t="s">
        <v>12</v>
      </c>
      <c r="C951" s="2" t="s">
        <v>386</v>
      </c>
      <c r="D951">
        <v>22</v>
      </c>
      <c r="E951">
        <f>WEEKDAY(makulatura5[[#This Row],[Data_dostarczenia]],2)</f>
        <v>4</v>
      </c>
      <c r="F951" s="2">
        <f t="shared" si="14"/>
        <v>0</v>
      </c>
    </row>
    <row r="952" spans="1:6" x14ac:dyDescent="0.25">
      <c r="A952" s="1">
        <v>42887</v>
      </c>
      <c r="B952" s="2" t="s">
        <v>339</v>
      </c>
      <c r="C952" s="2" t="s">
        <v>565</v>
      </c>
      <c r="D952">
        <v>33</v>
      </c>
      <c r="E952">
        <f>WEEKDAY(makulatura5[[#This Row],[Data_dostarczenia]],2)</f>
        <v>4</v>
      </c>
      <c r="F952" s="2">
        <f t="shared" si="14"/>
        <v>1</v>
      </c>
    </row>
    <row r="953" spans="1:6" x14ac:dyDescent="0.25">
      <c r="A953" s="1">
        <v>42888</v>
      </c>
      <c r="B953" s="2" t="s">
        <v>101</v>
      </c>
      <c r="C953" s="2" t="s">
        <v>187</v>
      </c>
      <c r="D953">
        <v>22</v>
      </c>
      <c r="E953">
        <f>WEEKDAY(makulatura5[[#This Row],[Data_dostarczenia]],2)</f>
        <v>5</v>
      </c>
      <c r="F953" s="2">
        <f t="shared" si="14"/>
        <v>0</v>
      </c>
    </row>
    <row r="954" spans="1:6" x14ac:dyDescent="0.25">
      <c r="A954" s="1">
        <v>42888</v>
      </c>
      <c r="B954" s="2" t="s">
        <v>367</v>
      </c>
      <c r="C954" s="2" t="s">
        <v>368</v>
      </c>
      <c r="D954">
        <v>2</v>
      </c>
      <c r="E954">
        <f>WEEKDAY(makulatura5[[#This Row],[Data_dostarczenia]],2)</f>
        <v>5</v>
      </c>
      <c r="F954" s="2">
        <f t="shared" si="14"/>
        <v>0</v>
      </c>
    </row>
    <row r="955" spans="1:6" x14ac:dyDescent="0.25">
      <c r="A955" s="1">
        <v>42888</v>
      </c>
      <c r="B955" s="2" t="s">
        <v>246</v>
      </c>
      <c r="C955" s="2" t="s">
        <v>247</v>
      </c>
      <c r="D955">
        <v>8</v>
      </c>
      <c r="E955">
        <f>WEEKDAY(makulatura5[[#This Row],[Data_dostarczenia]],2)</f>
        <v>5</v>
      </c>
      <c r="F955" s="2">
        <f t="shared" si="14"/>
        <v>0</v>
      </c>
    </row>
    <row r="956" spans="1:6" x14ac:dyDescent="0.25">
      <c r="A956" s="1">
        <v>42888</v>
      </c>
      <c r="B956" s="2" t="s">
        <v>83</v>
      </c>
      <c r="C956" s="2" t="s">
        <v>596</v>
      </c>
      <c r="D956">
        <v>5</v>
      </c>
      <c r="E956">
        <f>WEEKDAY(makulatura5[[#This Row],[Data_dostarczenia]],2)</f>
        <v>5</v>
      </c>
      <c r="F956" s="2">
        <f t="shared" si="14"/>
        <v>0</v>
      </c>
    </row>
    <row r="957" spans="1:6" x14ac:dyDescent="0.25">
      <c r="A957" s="1">
        <v>42888</v>
      </c>
      <c r="B957" s="2" t="s">
        <v>63</v>
      </c>
      <c r="C957" s="2" t="s">
        <v>441</v>
      </c>
      <c r="D957">
        <v>25</v>
      </c>
      <c r="E957">
        <f>WEEKDAY(makulatura5[[#This Row],[Data_dostarczenia]],2)</f>
        <v>5</v>
      </c>
      <c r="F957" s="2">
        <f t="shared" si="14"/>
        <v>0</v>
      </c>
    </row>
    <row r="958" spans="1:6" x14ac:dyDescent="0.25">
      <c r="A958" s="1">
        <v>42888</v>
      </c>
      <c r="B958" s="2" t="s">
        <v>143</v>
      </c>
      <c r="C958" s="2" t="s">
        <v>585</v>
      </c>
      <c r="D958">
        <v>18</v>
      </c>
      <c r="E958">
        <f>WEEKDAY(makulatura5[[#This Row],[Data_dostarczenia]],2)</f>
        <v>5</v>
      </c>
      <c r="F958" s="2">
        <f t="shared" si="14"/>
        <v>1</v>
      </c>
    </row>
    <row r="959" spans="1:6" x14ac:dyDescent="0.25">
      <c r="A959" s="1">
        <v>42891</v>
      </c>
      <c r="B959" s="2" t="s">
        <v>131</v>
      </c>
      <c r="C959" s="2" t="s">
        <v>451</v>
      </c>
      <c r="D959">
        <v>8</v>
      </c>
      <c r="E959">
        <f>WEEKDAY(makulatura5[[#This Row],[Data_dostarczenia]],2)</f>
        <v>1</v>
      </c>
      <c r="F959" s="2">
        <f t="shared" si="14"/>
        <v>0</v>
      </c>
    </row>
    <row r="960" spans="1:6" x14ac:dyDescent="0.25">
      <c r="A960" s="1">
        <v>42891</v>
      </c>
      <c r="B960" s="2" t="s">
        <v>106</v>
      </c>
      <c r="C960" s="2" t="s">
        <v>107</v>
      </c>
      <c r="D960">
        <v>20</v>
      </c>
      <c r="E960">
        <f>WEEKDAY(makulatura5[[#This Row],[Data_dostarczenia]],2)</f>
        <v>1</v>
      </c>
      <c r="F960" s="2">
        <f t="shared" si="14"/>
        <v>0</v>
      </c>
    </row>
    <row r="961" spans="1:6" x14ac:dyDescent="0.25">
      <c r="A961" s="1">
        <v>42891</v>
      </c>
      <c r="B961" s="2" t="s">
        <v>57</v>
      </c>
      <c r="C961" s="2" t="s">
        <v>399</v>
      </c>
      <c r="D961">
        <v>23</v>
      </c>
      <c r="E961">
        <f>WEEKDAY(makulatura5[[#This Row],[Data_dostarczenia]],2)</f>
        <v>1</v>
      </c>
      <c r="F961" s="2">
        <f t="shared" si="14"/>
        <v>0</v>
      </c>
    </row>
    <row r="962" spans="1:6" x14ac:dyDescent="0.25">
      <c r="A962" s="1">
        <v>42891</v>
      </c>
      <c r="B962" s="2" t="s">
        <v>25</v>
      </c>
      <c r="C962" s="2" t="s">
        <v>26</v>
      </c>
      <c r="D962">
        <v>52</v>
      </c>
      <c r="E962">
        <f>WEEKDAY(makulatura5[[#This Row],[Data_dostarczenia]],2)</f>
        <v>1</v>
      </c>
      <c r="F962" s="2">
        <f t="shared" ref="F962:F1025" si="15">IF(A963=A962,0,1)</f>
        <v>0</v>
      </c>
    </row>
    <row r="963" spans="1:6" x14ac:dyDescent="0.25">
      <c r="A963" s="1">
        <v>42891</v>
      </c>
      <c r="B963" s="2" t="s">
        <v>65</v>
      </c>
      <c r="C963" s="2" t="s">
        <v>210</v>
      </c>
      <c r="D963">
        <v>14</v>
      </c>
      <c r="E963">
        <f>WEEKDAY(makulatura5[[#This Row],[Data_dostarczenia]],2)</f>
        <v>1</v>
      </c>
      <c r="F963" s="2">
        <f t="shared" si="15"/>
        <v>0</v>
      </c>
    </row>
    <row r="964" spans="1:6" x14ac:dyDescent="0.25">
      <c r="A964" s="1">
        <v>42891</v>
      </c>
      <c r="B964" s="2" t="s">
        <v>8</v>
      </c>
      <c r="C964" s="2" t="s">
        <v>545</v>
      </c>
      <c r="D964">
        <v>27</v>
      </c>
      <c r="E964">
        <f>WEEKDAY(makulatura5[[#This Row],[Data_dostarczenia]],2)</f>
        <v>1</v>
      </c>
      <c r="F964" s="2">
        <f t="shared" si="15"/>
        <v>1</v>
      </c>
    </row>
    <row r="965" spans="1:6" x14ac:dyDescent="0.25">
      <c r="A965" s="1">
        <v>42892</v>
      </c>
      <c r="B965" s="2" t="s">
        <v>47</v>
      </c>
      <c r="C965" s="2" t="s">
        <v>48</v>
      </c>
      <c r="D965">
        <v>21</v>
      </c>
      <c r="E965">
        <f>WEEKDAY(makulatura5[[#This Row],[Data_dostarczenia]],2)</f>
        <v>2</v>
      </c>
      <c r="F965" s="2">
        <f t="shared" si="15"/>
        <v>0</v>
      </c>
    </row>
    <row r="966" spans="1:6" x14ac:dyDescent="0.25">
      <c r="A966" s="1">
        <v>42892</v>
      </c>
      <c r="B966" s="2" t="s">
        <v>23</v>
      </c>
      <c r="C966" s="2" t="s">
        <v>24</v>
      </c>
      <c r="D966">
        <v>28</v>
      </c>
      <c r="E966">
        <f>WEEKDAY(makulatura5[[#This Row],[Data_dostarczenia]],2)</f>
        <v>2</v>
      </c>
      <c r="F966" s="2">
        <f t="shared" si="15"/>
        <v>0</v>
      </c>
    </row>
    <row r="967" spans="1:6" x14ac:dyDescent="0.25">
      <c r="A967" s="1">
        <v>42892</v>
      </c>
      <c r="B967" s="2" t="s">
        <v>18</v>
      </c>
      <c r="C967" s="2" t="s">
        <v>597</v>
      </c>
      <c r="D967">
        <v>50</v>
      </c>
      <c r="E967">
        <f>WEEKDAY(makulatura5[[#This Row],[Data_dostarczenia]],2)</f>
        <v>2</v>
      </c>
      <c r="F967" s="2">
        <f t="shared" si="15"/>
        <v>0</v>
      </c>
    </row>
    <row r="968" spans="1:6" x14ac:dyDescent="0.25">
      <c r="A968" s="1">
        <v>42892</v>
      </c>
      <c r="B968" s="2" t="s">
        <v>77</v>
      </c>
      <c r="C968" s="2" t="s">
        <v>78</v>
      </c>
      <c r="D968">
        <v>5</v>
      </c>
      <c r="E968">
        <f>WEEKDAY(makulatura5[[#This Row],[Data_dostarczenia]],2)</f>
        <v>2</v>
      </c>
      <c r="F968" s="2">
        <f t="shared" si="15"/>
        <v>0</v>
      </c>
    </row>
    <row r="969" spans="1:6" x14ac:dyDescent="0.25">
      <c r="A969" s="1">
        <v>42892</v>
      </c>
      <c r="B969" s="2" t="s">
        <v>201</v>
      </c>
      <c r="C969" s="2" t="s">
        <v>598</v>
      </c>
      <c r="D969">
        <v>7</v>
      </c>
      <c r="E969">
        <f>WEEKDAY(makulatura5[[#This Row],[Data_dostarczenia]],2)</f>
        <v>2</v>
      </c>
      <c r="F969" s="2">
        <f t="shared" si="15"/>
        <v>0</v>
      </c>
    </row>
    <row r="970" spans="1:6" x14ac:dyDescent="0.25">
      <c r="A970" s="1">
        <v>42892</v>
      </c>
      <c r="B970" s="2" t="s">
        <v>395</v>
      </c>
      <c r="C970" s="2" t="s">
        <v>599</v>
      </c>
      <c r="D970">
        <v>11</v>
      </c>
      <c r="E970">
        <f>WEEKDAY(makulatura5[[#This Row],[Data_dostarczenia]],2)</f>
        <v>2</v>
      </c>
      <c r="F970" s="2">
        <f t="shared" si="15"/>
        <v>1</v>
      </c>
    </row>
    <row r="971" spans="1:6" x14ac:dyDescent="0.25">
      <c r="A971" s="1">
        <v>42893</v>
      </c>
      <c r="B971" s="2" t="s">
        <v>101</v>
      </c>
      <c r="C971" s="2" t="s">
        <v>187</v>
      </c>
      <c r="D971">
        <v>17</v>
      </c>
      <c r="E971">
        <f>WEEKDAY(makulatura5[[#This Row],[Data_dostarczenia]],2)</f>
        <v>3</v>
      </c>
      <c r="F971" s="2">
        <f t="shared" si="15"/>
        <v>0</v>
      </c>
    </row>
    <row r="972" spans="1:6" x14ac:dyDescent="0.25">
      <c r="A972" s="1">
        <v>42893</v>
      </c>
      <c r="B972" s="2" t="s">
        <v>119</v>
      </c>
      <c r="C972" s="2" t="s">
        <v>120</v>
      </c>
      <c r="D972">
        <v>12</v>
      </c>
      <c r="E972">
        <f>WEEKDAY(makulatura5[[#This Row],[Data_dostarczenia]],2)</f>
        <v>3</v>
      </c>
      <c r="F972" s="2">
        <f t="shared" si="15"/>
        <v>0</v>
      </c>
    </row>
    <row r="973" spans="1:6" x14ac:dyDescent="0.25">
      <c r="A973" s="1">
        <v>42893</v>
      </c>
      <c r="B973" s="2" t="s">
        <v>171</v>
      </c>
      <c r="C973" s="2" t="s">
        <v>5</v>
      </c>
      <c r="D973">
        <v>49</v>
      </c>
      <c r="E973">
        <f>WEEKDAY(makulatura5[[#This Row],[Data_dostarczenia]],2)</f>
        <v>3</v>
      </c>
      <c r="F973" s="2">
        <f t="shared" si="15"/>
        <v>0</v>
      </c>
    </row>
    <row r="974" spans="1:6" x14ac:dyDescent="0.25">
      <c r="A974" s="1">
        <v>42893</v>
      </c>
      <c r="B974" s="2" t="s">
        <v>41</v>
      </c>
      <c r="C974" s="2" t="s">
        <v>42</v>
      </c>
      <c r="D974">
        <v>6</v>
      </c>
      <c r="E974">
        <f>WEEKDAY(makulatura5[[#This Row],[Data_dostarczenia]],2)</f>
        <v>3</v>
      </c>
      <c r="F974" s="2">
        <f t="shared" si="15"/>
        <v>0</v>
      </c>
    </row>
    <row r="975" spans="1:6" x14ac:dyDescent="0.25">
      <c r="A975" s="1">
        <v>42893</v>
      </c>
      <c r="B975" s="2" t="s">
        <v>8</v>
      </c>
      <c r="C975" s="2" t="s">
        <v>9</v>
      </c>
      <c r="D975">
        <v>13</v>
      </c>
      <c r="E975">
        <f>WEEKDAY(makulatura5[[#This Row],[Data_dostarczenia]],2)</f>
        <v>3</v>
      </c>
      <c r="F975" s="2">
        <f t="shared" si="15"/>
        <v>0</v>
      </c>
    </row>
    <row r="976" spans="1:6" x14ac:dyDescent="0.25">
      <c r="A976" s="1">
        <v>42893</v>
      </c>
      <c r="B976" s="2" t="s">
        <v>121</v>
      </c>
      <c r="C976" s="2" t="s">
        <v>600</v>
      </c>
      <c r="D976">
        <v>40</v>
      </c>
      <c r="E976">
        <f>WEEKDAY(makulatura5[[#This Row],[Data_dostarczenia]],2)</f>
        <v>3</v>
      </c>
      <c r="F976" s="2">
        <f t="shared" si="15"/>
        <v>1</v>
      </c>
    </row>
    <row r="977" spans="1:6" x14ac:dyDescent="0.25">
      <c r="A977" s="1">
        <v>42894</v>
      </c>
      <c r="B977" s="2" t="s">
        <v>150</v>
      </c>
      <c r="C977" s="2" t="s">
        <v>601</v>
      </c>
      <c r="D977">
        <v>26</v>
      </c>
      <c r="E977">
        <f>WEEKDAY(makulatura5[[#This Row],[Data_dostarczenia]],2)</f>
        <v>4</v>
      </c>
      <c r="F977" s="2">
        <f t="shared" si="15"/>
        <v>0</v>
      </c>
    </row>
    <row r="978" spans="1:6" x14ac:dyDescent="0.25">
      <c r="A978" s="1">
        <v>42894</v>
      </c>
      <c r="B978" s="2" t="s">
        <v>106</v>
      </c>
      <c r="C978" s="2" t="s">
        <v>602</v>
      </c>
      <c r="D978">
        <v>16</v>
      </c>
      <c r="E978">
        <f>WEEKDAY(makulatura5[[#This Row],[Data_dostarczenia]],2)</f>
        <v>4</v>
      </c>
      <c r="F978" s="2">
        <f t="shared" si="15"/>
        <v>0</v>
      </c>
    </row>
    <row r="979" spans="1:6" x14ac:dyDescent="0.25">
      <c r="A979" s="1">
        <v>42894</v>
      </c>
      <c r="B979" s="2" t="s">
        <v>416</v>
      </c>
      <c r="C979" s="2" t="s">
        <v>572</v>
      </c>
      <c r="D979">
        <v>36</v>
      </c>
      <c r="E979">
        <f>WEEKDAY(makulatura5[[#This Row],[Data_dostarczenia]],2)</f>
        <v>4</v>
      </c>
      <c r="F979" s="2">
        <f t="shared" si="15"/>
        <v>0</v>
      </c>
    </row>
    <row r="980" spans="1:6" x14ac:dyDescent="0.25">
      <c r="A980" s="1">
        <v>42894</v>
      </c>
      <c r="B980" s="2" t="s">
        <v>206</v>
      </c>
      <c r="C980" s="2" t="s">
        <v>192</v>
      </c>
      <c r="D980">
        <v>8</v>
      </c>
      <c r="E980">
        <f>WEEKDAY(makulatura5[[#This Row],[Data_dostarczenia]],2)</f>
        <v>4</v>
      </c>
      <c r="F980" s="2">
        <f t="shared" si="15"/>
        <v>0</v>
      </c>
    </row>
    <row r="981" spans="1:6" x14ac:dyDescent="0.25">
      <c r="A981" s="1">
        <v>42894</v>
      </c>
      <c r="B981" s="2" t="s">
        <v>36</v>
      </c>
      <c r="C981" s="2" t="s">
        <v>306</v>
      </c>
      <c r="D981">
        <v>7</v>
      </c>
      <c r="E981">
        <f>WEEKDAY(makulatura5[[#This Row],[Data_dostarczenia]],2)</f>
        <v>4</v>
      </c>
      <c r="F981" s="2">
        <f t="shared" si="15"/>
        <v>0</v>
      </c>
    </row>
    <row r="982" spans="1:6" x14ac:dyDescent="0.25">
      <c r="A982" s="1">
        <v>42894</v>
      </c>
      <c r="B982" s="2" t="s">
        <v>232</v>
      </c>
      <c r="C982" s="2" t="s">
        <v>573</v>
      </c>
      <c r="D982">
        <v>25</v>
      </c>
      <c r="E982">
        <f>WEEKDAY(makulatura5[[#This Row],[Data_dostarczenia]],2)</f>
        <v>4</v>
      </c>
      <c r="F982" s="2">
        <f t="shared" si="15"/>
        <v>1</v>
      </c>
    </row>
    <row r="983" spans="1:6" x14ac:dyDescent="0.25">
      <c r="A983" s="1">
        <v>42895</v>
      </c>
      <c r="B983" s="2" t="s">
        <v>603</v>
      </c>
      <c r="C983" s="2" t="s">
        <v>439</v>
      </c>
      <c r="D983">
        <v>43</v>
      </c>
      <c r="E983">
        <f>WEEKDAY(makulatura5[[#This Row],[Data_dostarczenia]],2)</f>
        <v>5</v>
      </c>
      <c r="F983" s="2">
        <f t="shared" si="15"/>
        <v>0</v>
      </c>
    </row>
    <row r="984" spans="1:6" x14ac:dyDescent="0.25">
      <c r="A984" s="1">
        <v>42895</v>
      </c>
      <c r="B984" s="2" t="s">
        <v>39</v>
      </c>
      <c r="C984" s="2" t="s">
        <v>164</v>
      </c>
      <c r="D984">
        <v>23</v>
      </c>
      <c r="E984">
        <f>WEEKDAY(makulatura5[[#This Row],[Data_dostarczenia]],2)</f>
        <v>5</v>
      </c>
      <c r="F984" s="2">
        <f t="shared" si="15"/>
        <v>0</v>
      </c>
    </row>
    <row r="985" spans="1:6" x14ac:dyDescent="0.25">
      <c r="A985" s="1">
        <v>42895</v>
      </c>
      <c r="B985" s="2" t="s">
        <v>243</v>
      </c>
      <c r="C985" s="2" t="s">
        <v>82</v>
      </c>
      <c r="D985">
        <v>5</v>
      </c>
      <c r="E985">
        <f>WEEKDAY(makulatura5[[#This Row],[Data_dostarczenia]],2)</f>
        <v>5</v>
      </c>
      <c r="F985" s="2">
        <f t="shared" si="15"/>
        <v>0</v>
      </c>
    </row>
    <row r="986" spans="1:6" x14ac:dyDescent="0.25">
      <c r="A986" s="1">
        <v>42895</v>
      </c>
      <c r="B986" s="2" t="s">
        <v>232</v>
      </c>
      <c r="C986" s="2" t="s">
        <v>378</v>
      </c>
      <c r="D986">
        <v>2</v>
      </c>
      <c r="E986">
        <f>WEEKDAY(makulatura5[[#This Row],[Data_dostarczenia]],2)</f>
        <v>5</v>
      </c>
      <c r="F986" s="2">
        <f t="shared" si="15"/>
        <v>0</v>
      </c>
    </row>
    <row r="987" spans="1:6" x14ac:dyDescent="0.25">
      <c r="A987" s="1">
        <v>42895</v>
      </c>
      <c r="B987" s="2" t="s">
        <v>178</v>
      </c>
      <c r="C987" s="2" t="s">
        <v>335</v>
      </c>
      <c r="D987">
        <v>5</v>
      </c>
      <c r="E987">
        <f>WEEKDAY(makulatura5[[#This Row],[Data_dostarczenia]],2)</f>
        <v>5</v>
      </c>
      <c r="F987" s="2">
        <f t="shared" si="15"/>
        <v>0</v>
      </c>
    </row>
    <row r="988" spans="1:6" x14ac:dyDescent="0.25">
      <c r="A988" s="1">
        <v>42895</v>
      </c>
      <c r="B988" s="2" t="s">
        <v>23</v>
      </c>
      <c r="C988" s="2" t="s">
        <v>604</v>
      </c>
      <c r="D988">
        <v>50</v>
      </c>
      <c r="E988">
        <f>WEEKDAY(makulatura5[[#This Row],[Data_dostarczenia]],2)</f>
        <v>5</v>
      </c>
      <c r="F988" s="2">
        <f t="shared" si="15"/>
        <v>1</v>
      </c>
    </row>
    <row r="989" spans="1:6" x14ac:dyDescent="0.25">
      <c r="A989" s="1">
        <v>42898</v>
      </c>
      <c r="B989" s="2" t="s">
        <v>25</v>
      </c>
      <c r="C989" s="2" t="s">
        <v>146</v>
      </c>
      <c r="D989">
        <v>11</v>
      </c>
      <c r="E989">
        <f>WEEKDAY(makulatura5[[#This Row],[Data_dostarczenia]],2)</f>
        <v>1</v>
      </c>
      <c r="F989" s="2">
        <f t="shared" si="15"/>
        <v>0</v>
      </c>
    </row>
    <row r="990" spans="1:6" x14ac:dyDescent="0.25">
      <c r="A990" s="1">
        <v>42898</v>
      </c>
      <c r="B990" s="2" t="s">
        <v>30</v>
      </c>
      <c r="C990" s="2" t="s">
        <v>109</v>
      </c>
      <c r="D990">
        <v>18</v>
      </c>
      <c r="E990">
        <f>WEEKDAY(makulatura5[[#This Row],[Data_dostarczenia]],2)</f>
        <v>1</v>
      </c>
      <c r="F990" s="2">
        <f t="shared" si="15"/>
        <v>0</v>
      </c>
    </row>
    <row r="991" spans="1:6" x14ac:dyDescent="0.25">
      <c r="A991" s="1">
        <v>42898</v>
      </c>
      <c r="B991" s="2" t="s">
        <v>97</v>
      </c>
      <c r="C991" s="2" t="s">
        <v>181</v>
      </c>
      <c r="D991">
        <v>24</v>
      </c>
      <c r="E991">
        <f>WEEKDAY(makulatura5[[#This Row],[Data_dostarczenia]],2)</f>
        <v>1</v>
      </c>
      <c r="F991" s="2">
        <f t="shared" si="15"/>
        <v>0</v>
      </c>
    </row>
    <row r="992" spans="1:6" x14ac:dyDescent="0.25">
      <c r="A992" s="1">
        <v>42898</v>
      </c>
      <c r="B992" s="2" t="s">
        <v>4</v>
      </c>
      <c r="C992" s="2" t="s">
        <v>382</v>
      </c>
      <c r="D992">
        <v>20</v>
      </c>
      <c r="E992">
        <f>WEEKDAY(makulatura5[[#This Row],[Data_dostarczenia]],2)</f>
        <v>1</v>
      </c>
      <c r="F992" s="2">
        <f t="shared" si="15"/>
        <v>0</v>
      </c>
    </row>
    <row r="993" spans="1:6" x14ac:dyDescent="0.25">
      <c r="A993" s="1">
        <v>42898</v>
      </c>
      <c r="B993" s="2" t="s">
        <v>267</v>
      </c>
      <c r="C993" s="2" t="s">
        <v>287</v>
      </c>
      <c r="D993">
        <v>55</v>
      </c>
      <c r="E993">
        <f>WEEKDAY(makulatura5[[#This Row],[Data_dostarczenia]],2)</f>
        <v>1</v>
      </c>
      <c r="F993" s="2">
        <f t="shared" si="15"/>
        <v>0</v>
      </c>
    </row>
    <row r="994" spans="1:6" x14ac:dyDescent="0.25">
      <c r="A994" s="1">
        <v>42898</v>
      </c>
      <c r="B994" s="2" t="s">
        <v>269</v>
      </c>
      <c r="C994" s="2" t="s">
        <v>605</v>
      </c>
      <c r="D994">
        <v>52</v>
      </c>
      <c r="E994">
        <f>WEEKDAY(makulatura5[[#This Row],[Data_dostarczenia]],2)</f>
        <v>1</v>
      </c>
      <c r="F994" s="2">
        <f t="shared" si="15"/>
        <v>1</v>
      </c>
    </row>
    <row r="995" spans="1:6" x14ac:dyDescent="0.25">
      <c r="A995" s="1">
        <v>42899</v>
      </c>
      <c r="B995" s="2" t="s">
        <v>121</v>
      </c>
      <c r="C995" s="2" t="s">
        <v>606</v>
      </c>
      <c r="D995">
        <v>41</v>
      </c>
      <c r="E995">
        <f>WEEKDAY(makulatura5[[#This Row],[Data_dostarczenia]],2)</f>
        <v>2</v>
      </c>
      <c r="F995" s="2">
        <f t="shared" si="15"/>
        <v>0</v>
      </c>
    </row>
    <row r="996" spans="1:6" x14ac:dyDescent="0.25">
      <c r="A996" s="1">
        <v>42899</v>
      </c>
      <c r="B996" s="2" t="s">
        <v>87</v>
      </c>
      <c r="C996" s="2" t="s">
        <v>255</v>
      </c>
      <c r="D996">
        <v>27</v>
      </c>
      <c r="E996">
        <f>WEEKDAY(makulatura5[[#This Row],[Data_dostarczenia]],2)</f>
        <v>2</v>
      </c>
      <c r="F996" s="2">
        <f t="shared" si="15"/>
        <v>0</v>
      </c>
    </row>
    <row r="997" spans="1:6" x14ac:dyDescent="0.25">
      <c r="A997" s="1">
        <v>42899</v>
      </c>
      <c r="B997" s="2" t="s">
        <v>36</v>
      </c>
      <c r="C997" s="2" t="s">
        <v>404</v>
      </c>
      <c r="D997">
        <v>12</v>
      </c>
      <c r="E997">
        <f>WEEKDAY(makulatura5[[#This Row],[Data_dostarczenia]],2)</f>
        <v>2</v>
      </c>
      <c r="F997" s="2">
        <f t="shared" si="15"/>
        <v>0</v>
      </c>
    </row>
    <row r="998" spans="1:6" x14ac:dyDescent="0.25">
      <c r="A998" s="1">
        <v>42899</v>
      </c>
      <c r="B998" s="2" t="s">
        <v>97</v>
      </c>
      <c r="C998" s="2" t="s">
        <v>464</v>
      </c>
      <c r="D998">
        <v>23</v>
      </c>
      <c r="E998">
        <f>WEEKDAY(makulatura5[[#This Row],[Data_dostarczenia]],2)</f>
        <v>2</v>
      </c>
      <c r="F998" s="2">
        <f t="shared" si="15"/>
        <v>0</v>
      </c>
    </row>
    <row r="999" spans="1:6" x14ac:dyDescent="0.25">
      <c r="A999" s="1">
        <v>42899</v>
      </c>
      <c r="B999" s="2" t="s">
        <v>327</v>
      </c>
      <c r="C999" s="2" t="s">
        <v>102</v>
      </c>
      <c r="D999">
        <v>4</v>
      </c>
      <c r="E999">
        <f>WEEKDAY(makulatura5[[#This Row],[Data_dostarczenia]],2)</f>
        <v>2</v>
      </c>
      <c r="F999" s="2">
        <f t="shared" si="15"/>
        <v>0</v>
      </c>
    </row>
    <row r="1000" spans="1:6" x14ac:dyDescent="0.25">
      <c r="A1000" s="1">
        <v>42899</v>
      </c>
      <c r="B1000" s="2" t="s">
        <v>77</v>
      </c>
      <c r="C1000" s="2" t="s">
        <v>384</v>
      </c>
      <c r="D1000">
        <v>27</v>
      </c>
      <c r="E1000">
        <f>WEEKDAY(makulatura5[[#This Row],[Data_dostarczenia]],2)</f>
        <v>2</v>
      </c>
      <c r="F1000" s="2">
        <f t="shared" si="15"/>
        <v>1</v>
      </c>
    </row>
    <row r="1001" spans="1:6" x14ac:dyDescent="0.25">
      <c r="A1001" s="1">
        <v>42900</v>
      </c>
      <c r="B1001" s="2" t="s">
        <v>72</v>
      </c>
      <c r="C1001" s="2" t="s">
        <v>73</v>
      </c>
      <c r="D1001">
        <v>36</v>
      </c>
      <c r="E1001">
        <f>WEEKDAY(makulatura5[[#This Row],[Data_dostarczenia]],2)</f>
        <v>3</v>
      </c>
      <c r="F1001" s="2">
        <f t="shared" si="15"/>
        <v>0</v>
      </c>
    </row>
    <row r="1002" spans="1:6" x14ac:dyDescent="0.25">
      <c r="A1002" s="1">
        <v>42900</v>
      </c>
      <c r="B1002" s="2" t="s">
        <v>51</v>
      </c>
      <c r="C1002" s="2" t="s">
        <v>522</v>
      </c>
      <c r="D1002">
        <v>20</v>
      </c>
      <c r="E1002">
        <f>WEEKDAY(makulatura5[[#This Row],[Data_dostarczenia]],2)</f>
        <v>3</v>
      </c>
      <c r="F1002" s="2">
        <f t="shared" si="15"/>
        <v>0</v>
      </c>
    </row>
    <row r="1003" spans="1:6" x14ac:dyDescent="0.25">
      <c r="A1003" s="1">
        <v>42900</v>
      </c>
      <c r="B1003" s="2" t="s">
        <v>442</v>
      </c>
      <c r="C1003" s="2" t="s">
        <v>502</v>
      </c>
      <c r="D1003">
        <v>26</v>
      </c>
      <c r="E1003">
        <f>WEEKDAY(makulatura5[[#This Row],[Data_dostarczenia]],2)</f>
        <v>3</v>
      </c>
      <c r="F1003" s="2">
        <f t="shared" si="15"/>
        <v>0</v>
      </c>
    </row>
    <row r="1004" spans="1:6" x14ac:dyDescent="0.25">
      <c r="A1004" s="1">
        <v>42900</v>
      </c>
      <c r="B1004" s="2" t="s">
        <v>442</v>
      </c>
      <c r="C1004" s="2" t="s">
        <v>540</v>
      </c>
      <c r="D1004">
        <v>8</v>
      </c>
      <c r="E1004">
        <f>WEEKDAY(makulatura5[[#This Row],[Data_dostarczenia]],2)</f>
        <v>3</v>
      </c>
      <c r="F1004" s="2">
        <f t="shared" si="15"/>
        <v>0</v>
      </c>
    </row>
    <row r="1005" spans="1:6" x14ac:dyDescent="0.25">
      <c r="A1005" s="1">
        <v>42900</v>
      </c>
      <c r="B1005" s="2" t="s">
        <v>141</v>
      </c>
      <c r="C1005" s="2" t="s">
        <v>448</v>
      </c>
      <c r="D1005">
        <v>6</v>
      </c>
      <c r="E1005">
        <f>WEEKDAY(makulatura5[[#This Row],[Data_dostarczenia]],2)</f>
        <v>3</v>
      </c>
      <c r="F1005" s="2">
        <f t="shared" si="15"/>
        <v>0</v>
      </c>
    </row>
    <row r="1006" spans="1:6" x14ac:dyDescent="0.25">
      <c r="A1006" s="1">
        <v>42900</v>
      </c>
      <c r="B1006" s="2" t="s">
        <v>232</v>
      </c>
      <c r="C1006" s="2" t="s">
        <v>573</v>
      </c>
      <c r="D1006">
        <v>5</v>
      </c>
      <c r="E1006">
        <f>WEEKDAY(makulatura5[[#This Row],[Data_dostarczenia]],2)</f>
        <v>3</v>
      </c>
      <c r="F1006" s="2">
        <f t="shared" si="15"/>
        <v>1</v>
      </c>
    </row>
    <row r="1007" spans="1:6" x14ac:dyDescent="0.25">
      <c r="A1007" s="1">
        <v>42901</v>
      </c>
      <c r="B1007" s="2" t="s">
        <v>39</v>
      </c>
      <c r="C1007" s="2" t="s">
        <v>391</v>
      </c>
      <c r="D1007">
        <v>8</v>
      </c>
      <c r="E1007">
        <f>WEEKDAY(makulatura5[[#This Row],[Data_dostarczenia]],2)</f>
        <v>4</v>
      </c>
      <c r="F1007" s="2">
        <f t="shared" si="15"/>
        <v>0</v>
      </c>
    </row>
    <row r="1008" spans="1:6" x14ac:dyDescent="0.25">
      <c r="A1008" s="1">
        <v>42901</v>
      </c>
      <c r="B1008" s="2" t="s">
        <v>150</v>
      </c>
      <c r="C1008" s="2" t="s">
        <v>140</v>
      </c>
      <c r="D1008">
        <v>4</v>
      </c>
      <c r="E1008">
        <f>WEEKDAY(makulatura5[[#This Row],[Data_dostarczenia]],2)</f>
        <v>4</v>
      </c>
      <c r="F1008" s="2">
        <f t="shared" si="15"/>
        <v>0</v>
      </c>
    </row>
    <row r="1009" spans="1:6" x14ac:dyDescent="0.25">
      <c r="A1009" s="1">
        <v>42901</v>
      </c>
      <c r="B1009" s="2" t="s">
        <v>195</v>
      </c>
      <c r="C1009" s="2" t="s">
        <v>401</v>
      </c>
      <c r="D1009">
        <v>31</v>
      </c>
      <c r="E1009">
        <f>WEEKDAY(makulatura5[[#This Row],[Data_dostarczenia]],2)</f>
        <v>4</v>
      </c>
      <c r="F1009" s="2">
        <f t="shared" si="15"/>
        <v>0</v>
      </c>
    </row>
    <row r="1010" spans="1:6" x14ac:dyDescent="0.25">
      <c r="A1010" s="1">
        <v>42901</v>
      </c>
      <c r="B1010" s="2" t="s">
        <v>57</v>
      </c>
      <c r="C1010" s="2" t="s">
        <v>418</v>
      </c>
      <c r="D1010">
        <v>36</v>
      </c>
      <c r="E1010">
        <f>WEEKDAY(makulatura5[[#This Row],[Data_dostarczenia]],2)</f>
        <v>4</v>
      </c>
      <c r="F1010" s="2">
        <f t="shared" si="15"/>
        <v>0</v>
      </c>
    </row>
    <row r="1011" spans="1:6" x14ac:dyDescent="0.25">
      <c r="A1011" s="1">
        <v>42901</v>
      </c>
      <c r="B1011" s="2" t="s">
        <v>271</v>
      </c>
      <c r="C1011" s="2" t="s">
        <v>548</v>
      </c>
      <c r="D1011">
        <v>3</v>
      </c>
      <c r="E1011">
        <f>WEEKDAY(makulatura5[[#This Row],[Data_dostarczenia]],2)</f>
        <v>4</v>
      </c>
      <c r="F1011" s="2">
        <f t="shared" si="15"/>
        <v>0</v>
      </c>
    </row>
    <row r="1012" spans="1:6" x14ac:dyDescent="0.25">
      <c r="A1012" s="1">
        <v>42901</v>
      </c>
      <c r="B1012" s="2" t="s">
        <v>83</v>
      </c>
      <c r="C1012" s="2" t="s">
        <v>518</v>
      </c>
      <c r="D1012">
        <v>31</v>
      </c>
      <c r="E1012">
        <f>WEEKDAY(makulatura5[[#This Row],[Data_dostarczenia]],2)</f>
        <v>4</v>
      </c>
      <c r="F1012" s="2">
        <f t="shared" si="15"/>
        <v>1</v>
      </c>
    </row>
    <row r="1013" spans="1:6" x14ac:dyDescent="0.25">
      <c r="A1013" s="1">
        <v>42902</v>
      </c>
      <c r="B1013" s="2" t="s">
        <v>55</v>
      </c>
      <c r="C1013" s="2" t="s">
        <v>184</v>
      </c>
      <c r="D1013">
        <v>3</v>
      </c>
      <c r="E1013">
        <f>WEEKDAY(makulatura5[[#This Row],[Data_dostarczenia]],2)</f>
        <v>5</v>
      </c>
      <c r="F1013" s="2">
        <f t="shared" si="15"/>
        <v>0</v>
      </c>
    </row>
    <row r="1014" spans="1:6" x14ac:dyDescent="0.25">
      <c r="A1014" s="1">
        <v>42902</v>
      </c>
      <c r="B1014" s="2" t="s">
        <v>574</v>
      </c>
      <c r="C1014" s="2" t="s">
        <v>607</v>
      </c>
      <c r="D1014">
        <v>2</v>
      </c>
      <c r="E1014">
        <f>WEEKDAY(makulatura5[[#This Row],[Data_dostarczenia]],2)</f>
        <v>5</v>
      </c>
      <c r="F1014" s="2">
        <f t="shared" si="15"/>
        <v>0</v>
      </c>
    </row>
    <row r="1015" spans="1:6" x14ac:dyDescent="0.25">
      <c r="A1015" s="1">
        <v>42902</v>
      </c>
      <c r="B1015" s="2" t="s">
        <v>143</v>
      </c>
      <c r="C1015" s="2" t="s">
        <v>510</v>
      </c>
      <c r="D1015">
        <v>53</v>
      </c>
      <c r="E1015">
        <f>WEEKDAY(makulatura5[[#This Row],[Data_dostarczenia]],2)</f>
        <v>5</v>
      </c>
      <c r="F1015" s="2">
        <f t="shared" si="15"/>
        <v>0</v>
      </c>
    </row>
    <row r="1016" spans="1:6" x14ac:dyDescent="0.25">
      <c r="A1016" s="1">
        <v>42902</v>
      </c>
      <c r="B1016" s="2" t="s">
        <v>327</v>
      </c>
      <c r="C1016" s="2" t="s">
        <v>608</v>
      </c>
      <c r="D1016">
        <v>7</v>
      </c>
      <c r="E1016">
        <f>WEEKDAY(makulatura5[[#This Row],[Data_dostarczenia]],2)</f>
        <v>5</v>
      </c>
      <c r="F1016" s="2">
        <f t="shared" si="15"/>
        <v>0</v>
      </c>
    </row>
    <row r="1017" spans="1:6" x14ac:dyDescent="0.25">
      <c r="A1017" s="1">
        <v>42902</v>
      </c>
      <c r="B1017" s="2" t="s">
        <v>139</v>
      </c>
      <c r="C1017" s="2" t="s">
        <v>140</v>
      </c>
      <c r="D1017">
        <v>27</v>
      </c>
      <c r="E1017">
        <f>WEEKDAY(makulatura5[[#This Row],[Data_dostarczenia]],2)</f>
        <v>5</v>
      </c>
      <c r="F1017" s="2">
        <f t="shared" si="15"/>
        <v>0</v>
      </c>
    </row>
    <row r="1018" spans="1:6" x14ac:dyDescent="0.25">
      <c r="A1018" s="1">
        <v>42902</v>
      </c>
      <c r="B1018" s="2" t="s">
        <v>4</v>
      </c>
      <c r="C1018" s="2" t="s">
        <v>489</v>
      </c>
      <c r="D1018">
        <v>29</v>
      </c>
      <c r="E1018">
        <f>WEEKDAY(makulatura5[[#This Row],[Data_dostarczenia]],2)</f>
        <v>5</v>
      </c>
      <c r="F1018" s="2">
        <f t="shared" si="15"/>
        <v>1</v>
      </c>
    </row>
    <row r="1019" spans="1:6" x14ac:dyDescent="0.25">
      <c r="A1019" s="1">
        <v>42905</v>
      </c>
      <c r="B1019" s="2" t="s">
        <v>25</v>
      </c>
      <c r="C1019" s="2" t="s">
        <v>26</v>
      </c>
      <c r="D1019">
        <v>19</v>
      </c>
      <c r="E1019">
        <f>WEEKDAY(makulatura5[[#This Row],[Data_dostarczenia]],2)</f>
        <v>1</v>
      </c>
      <c r="F1019" s="2">
        <f t="shared" si="15"/>
        <v>0</v>
      </c>
    </row>
    <row r="1020" spans="1:6" x14ac:dyDescent="0.25">
      <c r="A1020" s="1">
        <v>42905</v>
      </c>
      <c r="B1020" s="2" t="s">
        <v>152</v>
      </c>
      <c r="C1020" s="2" t="s">
        <v>17</v>
      </c>
      <c r="D1020">
        <v>15</v>
      </c>
      <c r="E1020">
        <f>WEEKDAY(makulatura5[[#This Row],[Data_dostarczenia]],2)</f>
        <v>1</v>
      </c>
      <c r="F1020" s="2">
        <f t="shared" si="15"/>
        <v>0</v>
      </c>
    </row>
    <row r="1021" spans="1:6" x14ac:dyDescent="0.25">
      <c r="A1021" s="1">
        <v>42905</v>
      </c>
      <c r="B1021" s="2" t="s">
        <v>128</v>
      </c>
      <c r="C1021" s="2" t="s">
        <v>478</v>
      </c>
      <c r="D1021">
        <v>24</v>
      </c>
      <c r="E1021">
        <f>WEEKDAY(makulatura5[[#This Row],[Data_dostarczenia]],2)</f>
        <v>1</v>
      </c>
      <c r="F1021" s="2">
        <f t="shared" si="15"/>
        <v>0</v>
      </c>
    </row>
    <row r="1022" spans="1:6" x14ac:dyDescent="0.25">
      <c r="A1022" s="1">
        <v>42905</v>
      </c>
      <c r="B1022" s="2" t="s">
        <v>87</v>
      </c>
      <c r="C1022" s="2" t="s">
        <v>255</v>
      </c>
      <c r="D1022">
        <v>50</v>
      </c>
      <c r="E1022">
        <f>WEEKDAY(makulatura5[[#This Row],[Data_dostarczenia]],2)</f>
        <v>1</v>
      </c>
      <c r="F1022" s="2">
        <f t="shared" si="15"/>
        <v>0</v>
      </c>
    </row>
    <row r="1023" spans="1:6" x14ac:dyDescent="0.25">
      <c r="A1023" s="1">
        <v>42905</v>
      </c>
      <c r="B1023" s="2" t="s">
        <v>36</v>
      </c>
      <c r="C1023" s="2" t="s">
        <v>166</v>
      </c>
      <c r="D1023">
        <v>18</v>
      </c>
      <c r="E1023">
        <f>WEEKDAY(makulatura5[[#This Row],[Data_dostarczenia]],2)</f>
        <v>1</v>
      </c>
      <c r="F1023" s="2">
        <f t="shared" si="15"/>
        <v>0</v>
      </c>
    </row>
    <row r="1024" spans="1:6" x14ac:dyDescent="0.25">
      <c r="A1024" s="1">
        <v>42905</v>
      </c>
      <c r="B1024" s="2" t="s">
        <v>39</v>
      </c>
      <c r="C1024" s="2" t="s">
        <v>609</v>
      </c>
      <c r="D1024">
        <v>36</v>
      </c>
      <c r="E1024">
        <f>WEEKDAY(makulatura5[[#This Row],[Data_dostarczenia]],2)</f>
        <v>1</v>
      </c>
      <c r="F1024" s="2">
        <f t="shared" si="15"/>
        <v>1</v>
      </c>
    </row>
    <row r="1025" spans="1:6" x14ac:dyDescent="0.25">
      <c r="A1025" s="1">
        <v>42906</v>
      </c>
      <c r="B1025" s="2" t="s">
        <v>352</v>
      </c>
      <c r="C1025" s="2" t="s">
        <v>425</v>
      </c>
      <c r="D1025">
        <v>13</v>
      </c>
      <c r="E1025">
        <f>WEEKDAY(makulatura5[[#This Row],[Data_dostarczenia]],2)</f>
        <v>2</v>
      </c>
      <c r="F1025" s="2">
        <f t="shared" si="15"/>
        <v>0</v>
      </c>
    </row>
    <row r="1026" spans="1:6" x14ac:dyDescent="0.25">
      <c r="A1026" s="1">
        <v>42906</v>
      </c>
      <c r="B1026" s="2" t="s">
        <v>101</v>
      </c>
      <c r="C1026" s="2" t="s">
        <v>610</v>
      </c>
      <c r="D1026">
        <v>29</v>
      </c>
      <c r="E1026">
        <f>WEEKDAY(makulatura5[[#This Row],[Data_dostarczenia]],2)</f>
        <v>2</v>
      </c>
      <c r="F1026" s="2">
        <f t="shared" ref="F1026:F1089" si="16">IF(A1027=A1026,0,1)</f>
        <v>0</v>
      </c>
    </row>
    <row r="1027" spans="1:6" x14ac:dyDescent="0.25">
      <c r="A1027" s="1">
        <v>42906</v>
      </c>
      <c r="B1027" s="2" t="s">
        <v>412</v>
      </c>
      <c r="C1027" s="2" t="s">
        <v>413</v>
      </c>
      <c r="D1027">
        <v>47</v>
      </c>
      <c r="E1027">
        <f>WEEKDAY(makulatura5[[#This Row],[Data_dostarczenia]],2)</f>
        <v>2</v>
      </c>
      <c r="F1027" s="2">
        <f t="shared" si="16"/>
        <v>0</v>
      </c>
    </row>
    <row r="1028" spans="1:6" x14ac:dyDescent="0.25">
      <c r="A1028" s="1">
        <v>42906</v>
      </c>
      <c r="B1028" s="2" t="s">
        <v>67</v>
      </c>
      <c r="C1028" s="2" t="s">
        <v>460</v>
      </c>
      <c r="D1028">
        <v>17</v>
      </c>
      <c r="E1028">
        <f>WEEKDAY(makulatura5[[#This Row],[Data_dostarczenia]],2)</f>
        <v>2</v>
      </c>
      <c r="F1028" s="2">
        <f t="shared" si="16"/>
        <v>0</v>
      </c>
    </row>
    <row r="1029" spans="1:6" x14ac:dyDescent="0.25">
      <c r="A1029" s="1">
        <v>42906</v>
      </c>
      <c r="B1029" s="2" t="s">
        <v>155</v>
      </c>
      <c r="C1029" s="2" t="s">
        <v>186</v>
      </c>
      <c r="D1029">
        <v>9</v>
      </c>
      <c r="E1029">
        <f>WEEKDAY(makulatura5[[#This Row],[Data_dostarczenia]],2)</f>
        <v>2</v>
      </c>
      <c r="F1029" s="2">
        <f t="shared" si="16"/>
        <v>0</v>
      </c>
    </row>
    <row r="1030" spans="1:6" x14ac:dyDescent="0.25">
      <c r="A1030" s="1">
        <v>42906</v>
      </c>
      <c r="B1030" s="2" t="s">
        <v>139</v>
      </c>
      <c r="C1030" s="2" t="s">
        <v>140</v>
      </c>
      <c r="D1030">
        <v>8</v>
      </c>
      <c r="E1030">
        <f>WEEKDAY(makulatura5[[#This Row],[Data_dostarczenia]],2)</f>
        <v>2</v>
      </c>
      <c r="F1030" s="2">
        <f t="shared" si="16"/>
        <v>1</v>
      </c>
    </row>
    <row r="1031" spans="1:6" x14ac:dyDescent="0.25">
      <c r="A1031" s="1">
        <v>42907</v>
      </c>
      <c r="B1031" s="2" t="s">
        <v>395</v>
      </c>
      <c r="C1031" s="2" t="s">
        <v>599</v>
      </c>
      <c r="D1031">
        <v>4</v>
      </c>
      <c r="E1031">
        <f>WEEKDAY(makulatura5[[#This Row],[Data_dostarczenia]],2)</f>
        <v>3</v>
      </c>
      <c r="F1031" s="2">
        <f t="shared" si="16"/>
        <v>0</v>
      </c>
    </row>
    <row r="1032" spans="1:6" x14ac:dyDescent="0.25">
      <c r="A1032" s="1">
        <v>42907</v>
      </c>
      <c r="B1032" s="2" t="s">
        <v>314</v>
      </c>
      <c r="C1032" s="2" t="s">
        <v>466</v>
      </c>
      <c r="D1032">
        <v>53</v>
      </c>
      <c r="E1032">
        <f>WEEKDAY(makulatura5[[#This Row],[Data_dostarczenia]],2)</f>
        <v>3</v>
      </c>
      <c r="F1032" s="2">
        <f t="shared" si="16"/>
        <v>0</v>
      </c>
    </row>
    <row r="1033" spans="1:6" x14ac:dyDescent="0.25">
      <c r="A1033" s="1">
        <v>42907</v>
      </c>
      <c r="B1033" s="2" t="s">
        <v>329</v>
      </c>
      <c r="C1033" s="2" t="s">
        <v>330</v>
      </c>
      <c r="D1033">
        <v>29</v>
      </c>
      <c r="E1033">
        <f>WEEKDAY(makulatura5[[#This Row],[Data_dostarczenia]],2)</f>
        <v>3</v>
      </c>
      <c r="F1033" s="2">
        <f t="shared" si="16"/>
        <v>0</v>
      </c>
    </row>
    <row r="1034" spans="1:6" x14ac:dyDescent="0.25">
      <c r="A1034" s="1">
        <v>42907</v>
      </c>
      <c r="B1034" s="2" t="s">
        <v>69</v>
      </c>
      <c r="C1034" s="2" t="s">
        <v>70</v>
      </c>
      <c r="D1034">
        <v>52</v>
      </c>
      <c r="E1034">
        <f>WEEKDAY(makulatura5[[#This Row],[Data_dostarczenia]],2)</f>
        <v>3</v>
      </c>
      <c r="F1034" s="2">
        <f t="shared" si="16"/>
        <v>0</v>
      </c>
    </row>
    <row r="1035" spans="1:6" x14ac:dyDescent="0.25">
      <c r="A1035" s="1">
        <v>42907</v>
      </c>
      <c r="B1035" s="2" t="s">
        <v>395</v>
      </c>
      <c r="C1035" s="2" t="s">
        <v>599</v>
      </c>
      <c r="D1035">
        <v>8</v>
      </c>
      <c r="E1035">
        <f>WEEKDAY(makulatura5[[#This Row],[Data_dostarczenia]],2)</f>
        <v>3</v>
      </c>
      <c r="F1035" s="2">
        <f t="shared" si="16"/>
        <v>0</v>
      </c>
    </row>
    <row r="1036" spans="1:6" x14ac:dyDescent="0.25">
      <c r="A1036" s="1">
        <v>42907</v>
      </c>
      <c r="B1036" s="2" t="s">
        <v>87</v>
      </c>
      <c r="C1036" s="2" t="s">
        <v>154</v>
      </c>
      <c r="D1036">
        <v>32</v>
      </c>
      <c r="E1036">
        <f>WEEKDAY(makulatura5[[#This Row],[Data_dostarczenia]],2)</f>
        <v>3</v>
      </c>
      <c r="F1036" s="2">
        <f t="shared" si="16"/>
        <v>1</v>
      </c>
    </row>
    <row r="1037" spans="1:6" x14ac:dyDescent="0.25">
      <c r="A1037" s="1">
        <v>42908</v>
      </c>
      <c r="B1037" s="2" t="s">
        <v>208</v>
      </c>
      <c r="C1037" s="2" t="s">
        <v>611</v>
      </c>
      <c r="D1037">
        <v>11</v>
      </c>
      <c r="E1037">
        <f>WEEKDAY(makulatura5[[#This Row],[Data_dostarczenia]],2)</f>
        <v>4</v>
      </c>
      <c r="F1037" s="2">
        <f t="shared" si="16"/>
        <v>0</v>
      </c>
    </row>
    <row r="1038" spans="1:6" x14ac:dyDescent="0.25">
      <c r="A1038" s="1">
        <v>42908</v>
      </c>
      <c r="B1038" s="2" t="s">
        <v>395</v>
      </c>
      <c r="C1038" s="2" t="s">
        <v>467</v>
      </c>
      <c r="D1038">
        <v>35</v>
      </c>
      <c r="E1038">
        <f>WEEKDAY(makulatura5[[#This Row],[Data_dostarczenia]],2)</f>
        <v>4</v>
      </c>
      <c r="F1038" s="2">
        <f t="shared" si="16"/>
        <v>0</v>
      </c>
    </row>
    <row r="1039" spans="1:6" x14ac:dyDescent="0.25">
      <c r="A1039" s="1">
        <v>42908</v>
      </c>
      <c r="B1039" s="2" t="s">
        <v>141</v>
      </c>
      <c r="C1039" s="2" t="s">
        <v>612</v>
      </c>
      <c r="D1039">
        <v>4</v>
      </c>
      <c r="E1039">
        <f>WEEKDAY(makulatura5[[#This Row],[Data_dostarczenia]],2)</f>
        <v>4</v>
      </c>
      <c r="F1039" s="2">
        <f t="shared" si="16"/>
        <v>0</v>
      </c>
    </row>
    <row r="1040" spans="1:6" x14ac:dyDescent="0.25">
      <c r="A1040" s="1">
        <v>42908</v>
      </c>
      <c r="B1040" s="2" t="s">
        <v>141</v>
      </c>
      <c r="C1040" s="2" t="s">
        <v>435</v>
      </c>
      <c r="D1040">
        <v>18</v>
      </c>
      <c r="E1040">
        <f>WEEKDAY(makulatura5[[#This Row],[Data_dostarczenia]],2)</f>
        <v>4</v>
      </c>
      <c r="F1040" s="2">
        <f t="shared" si="16"/>
        <v>0</v>
      </c>
    </row>
    <row r="1041" spans="1:6" x14ac:dyDescent="0.25">
      <c r="A1041" s="1">
        <v>42908</v>
      </c>
      <c r="B1041" s="2" t="s">
        <v>83</v>
      </c>
      <c r="C1041" s="2" t="s">
        <v>591</v>
      </c>
      <c r="D1041">
        <v>5</v>
      </c>
      <c r="E1041">
        <f>WEEKDAY(makulatura5[[#This Row],[Data_dostarczenia]],2)</f>
        <v>4</v>
      </c>
      <c r="F1041" s="2">
        <f t="shared" si="16"/>
        <v>0</v>
      </c>
    </row>
    <row r="1042" spans="1:6" x14ac:dyDescent="0.25">
      <c r="A1042" s="1">
        <v>42908</v>
      </c>
      <c r="B1042" s="2" t="s">
        <v>30</v>
      </c>
      <c r="C1042" s="2" t="s">
        <v>432</v>
      </c>
      <c r="D1042">
        <v>32</v>
      </c>
      <c r="E1042">
        <f>WEEKDAY(makulatura5[[#This Row],[Data_dostarczenia]],2)</f>
        <v>4</v>
      </c>
      <c r="F1042" s="2">
        <f t="shared" si="16"/>
        <v>1</v>
      </c>
    </row>
    <row r="1043" spans="1:6" x14ac:dyDescent="0.25">
      <c r="A1043" s="1">
        <v>42909</v>
      </c>
      <c r="B1043" s="2" t="s">
        <v>161</v>
      </c>
      <c r="C1043" s="2" t="s">
        <v>345</v>
      </c>
      <c r="D1043">
        <v>18</v>
      </c>
      <c r="E1043">
        <f>WEEKDAY(makulatura5[[#This Row],[Data_dostarczenia]],2)</f>
        <v>5</v>
      </c>
      <c r="F1043" s="2">
        <f t="shared" si="16"/>
        <v>0</v>
      </c>
    </row>
    <row r="1044" spans="1:6" x14ac:dyDescent="0.25">
      <c r="A1044" s="1">
        <v>42909</v>
      </c>
      <c r="B1044" s="2" t="s">
        <v>32</v>
      </c>
      <c r="C1044" s="2" t="s">
        <v>406</v>
      </c>
      <c r="D1044">
        <v>19</v>
      </c>
      <c r="E1044">
        <f>WEEKDAY(makulatura5[[#This Row],[Data_dostarczenia]],2)</f>
        <v>5</v>
      </c>
      <c r="F1044" s="2">
        <f t="shared" si="16"/>
        <v>0</v>
      </c>
    </row>
    <row r="1045" spans="1:6" x14ac:dyDescent="0.25">
      <c r="A1045" s="1">
        <v>42909</v>
      </c>
      <c r="B1045" s="2" t="s">
        <v>161</v>
      </c>
      <c r="C1045" s="2" t="s">
        <v>162</v>
      </c>
      <c r="D1045">
        <v>8</v>
      </c>
      <c r="E1045">
        <f>WEEKDAY(makulatura5[[#This Row],[Data_dostarczenia]],2)</f>
        <v>5</v>
      </c>
      <c r="F1045" s="2">
        <f t="shared" si="16"/>
        <v>0</v>
      </c>
    </row>
    <row r="1046" spans="1:6" x14ac:dyDescent="0.25">
      <c r="A1046" s="1">
        <v>42909</v>
      </c>
      <c r="B1046" s="2" t="s">
        <v>449</v>
      </c>
      <c r="C1046" s="2" t="s">
        <v>613</v>
      </c>
      <c r="D1046">
        <v>16</v>
      </c>
      <c r="E1046">
        <f>WEEKDAY(makulatura5[[#This Row],[Data_dostarczenia]],2)</f>
        <v>5</v>
      </c>
      <c r="F1046" s="2">
        <f t="shared" si="16"/>
        <v>0</v>
      </c>
    </row>
    <row r="1047" spans="1:6" x14ac:dyDescent="0.25">
      <c r="A1047" s="1">
        <v>42909</v>
      </c>
      <c r="B1047" s="2" t="s">
        <v>41</v>
      </c>
      <c r="C1047" s="2" t="s">
        <v>614</v>
      </c>
      <c r="D1047">
        <v>39</v>
      </c>
      <c r="E1047">
        <f>WEEKDAY(makulatura5[[#This Row],[Data_dostarczenia]],2)</f>
        <v>5</v>
      </c>
      <c r="F1047" s="2">
        <f t="shared" si="16"/>
        <v>0</v>
      </c>
    </row>
    <row r="1048" spans="1:6" x14ac:dyDescent="0.25">
      <c r="A1048" s="1">
        <v>42909</v>
      </c>
      <c r="B1048" s="2" t="s">
        <v>101</v>
      </c>
      <c r="C1048" s="2" t="s">
        <v>610</v>
      </c>
      <c r="D1048">
        <v>45</v>
      </c>
      <c r="E1048">
        <f>WEEKDAY(makulatura5[[#This Row],[Data_dostarczenia]],2)</f>
        <v>5</v>
      </c>
      <c r="F1048" s="2">
        <f t="shared" si="16"/>
        <v>1</v>
      </c>
    </row>
    <row r="1049" spans="1:6" x14ac:dyDescent="0.25">
      <c r="A1049" s="1">
        <v>42912</v>
      </c>
      <c r="B1049" s="2" t="s">
        <v>141</v>
      </c>
      <c r="C1049" s="2" t="s">
        <v>435</v>
      </c>
      <c r="D1049">
        <v>46</v>
      </c>
      <c r="E1049">
        <f>WEEKDAY(makulatura5[[#This Row],[Data_dostarczenia]],2)</f>
        <v>1</v>
      </c>
      <c r="F1049" s="2">
        <f t="shared" si="16"/>
        <v>0</v>
      </c>
    </row>
    <row r="1050" spans="1:6" x14ac:dyDescent="0.25">
      <c r="A1050" s="1">
        <v>42912</v>
      </c>
      <c r="B1050" s="2" t="s">
        <v>83</v>
      </c>
      <c r="C1050" s="2" t="s">
        <v>91</v>
      </c>
      <c r="D1050">
        <v>26</v>
      </c>
      <c r="E1050">
        <f>WEEKDAY(makulatura5[[#This Row],[Data_dostarczenia]],2)</f>
        <v>1</v>
      </c>
      <c r="F1050" s="2">
        <f t="shared" si="16"/>
        <v>0</v>
      </c>
    </row>
    <row r="1051" spans="1:6" x14ac:dyDescent="0.25">
      <c r="A1051" s="1">
        <v>42912</v>
      </c>
      <c r="B1051" s="2" t="s">
        <v>351</v>
      </c>
      <c r="C1051" s="2" t="s">
        <v>227</v>
      </c>
      <c r="D1051">
        <v>53</v>
      </c>
      <c r="E1051">
        <f>WEEKDAY(makulatura5[[#This Row],[Data_dostarczenia]],2)</f>
        <v>1</v>
      </c>
      <c r="F1051" s="2">
        <f t="shared" si="16"/>
        <v>0</v>
      </c>
    </row>
    <row r="1052" spans="1:6" x14ac:dyDescent="0.25">
      <c r="A1052" s="1">
        <v>42912</v>
      </c>
      <c r="B1052" s="2" t="s">
        <v>503</v>
      </c>
      <c r="C1052" s="2" t="s">
        <v>183</v>
      </c>
      <c r="D1052">
        <v>26</v>
      </c>
      <c r="E1052">
        <f>WEEKDAY(makulatura5[[#This Row],[Data_dostarczenia]],2)</f>
        <v>1</v>
      </c>
      <c r="F1052" s="2">
        <f t="shared" si="16"/>
        <v>0</v>
      </c>
    </row>
    <row r="1053" spans="1:6" x14ac:dyDescent="0.25">
      <c r="A1053" s="1">
        <v>42912</v>
      </c>
      <c r="B1053" s="2" t="s">
        <v>4</v>
      </c>
      <c r="C1053" s="2" t="s">
        <v>5</v>
      </c>
      <c r="D1053">
        <v>16</v>
      </c>
      <c r="E1053">
        <f>WEEKDAY(makulatura5[[#This Row],[Data_dostarczenia]],2)</f>
        <v>1</v>
      </c>
      <c r="F1053" s="2">
        <f t="shared" si="16"/>
        <v>0</v>
      </c>
    </row>
    <row r="1054" spans="1:6" x14ac:dyDescent="0.25">
      <c r="A1054" s="1">
        <v>42912</v>
      </c>
      <c r="B1054" s="2" t="s">
        <v>83</v>
      </c>
      <c r="C1054" s="2" t="s">
        <v>615</v>
      </c>
      <c r="D1054">
        <v>10</v>
      </c>
      <c r="E1054">
        <f>WEEKDAY(makulatura5[[#This Row],[Data_dostarczenia]],2)</f>
        <v>1</v>
      </c>
      <c r="F1054" s="2">
        <f t="shared" si="16"/>
        <v>1</v>
      </c>
    </row>
    <row r="1055" spans="1:6" x14ac:dyDescent="0.25">
      <c r="A1055" s="1">
        <v>42913</v>
      </c>
      <c r="B1055" s="2" t="s">
        <v>161</v>
      </c>
      <c r="C1055" s="2" t="s">
        <v>214</v>
      </c>
      <c r="D1055">
        <v>23</v>
      </c>
      <c r="E1055">
        <f>WEEKDAY(makulatura5[[#This Row],[Data_dostarczenia]],2)</f>
        <v>2</v>
      </c>
      <c r="F1055" s="2">
        <f t="shared" si="16"/>
        <v>0</v>
      </c>
    </row>
    <row r="1056" spans="1:6" x14ac:dyDescent="0.25">
      <c r="A1056" s="1">
        <v>42913</v>
      </c>
      <c r="B1056" s="2" t="s">
        <v>32</v>
      </c>
      <c r="C1056" s="2" t="s">
        <v>33</v>
      </c>
      <c r="D1056">
        <v>22</v>
      </c>
      <c r="E1056">
        <f>WEEKDAY(makulatura5[[#This Row],[Data_dostarczenia]],2)</f>
        <v>2</v>
      </c>
      <c r="F1056" s="2">
        <f t="shared" si="16"/>
        <v>0</v>
      </c>
    </row>
    <row r="1057" spans="1:6" x14ac:dyDescent="0.25">
      <c r="A1057" s="1">
        <v>42913</v>
      </c>
      <c r="B1057" s="2" t="s">
        <v>41</v>
      </c>
      <c r="C1057" s="2" t="s">
        <v>302</v>
      </c>
      <c r="D1057">
        <v>29</v>
      </c>
      <c r="E1057">
        <f>WEEKDAY(makulatura5[[#This Row],[Data_dostarczenia]],2)</f>
        <v>2</v>
      </c>
      <c r="F1057" s="2">
        <f t="shared" si="16"/>
        <v>0</v>
      </c>
    </row>
    <row r="1058" spans="1:6" x14ac:dyDescent="0.25">
      <c r="A1058" s="1">
        <v>42913</v>
      </c>
      <c r="B1058" s="2" t="s">
        <v>150</v>
      </c>
      <c r="C1058" s="2" t="s">
        <v>151</v>
      </c>
      <c r="D1058">
        <v>26</v>
      </c>
      <c r="E1058">
        <f>WEEKDAY(makulatura5[[#This Row],[Data_dostarczenia]],2)</f>
        <v>2</v>
      </c>
      <c r="F1058" s="2">
        <f t="shared" si="16"/>
        <v>0</v>
      </c>
    </row>
    <row r="1059" spans="1:6" x14ac:dyDescent="0.25">
      <c r="A1059" s="1">
        <v>42913</v>
      </c>
      <c r="B1059" s="2" t="s">
        <v>51</v>
      </c>
      <c r="C1059" s="2" t="s">
        <v>358</v>
      </c>
      <c r="D1059">
        <v>9</v>
      </c>
      <c r="E1059">
        <f>WEEKDAY(makulatura5[[#This Row],[Data_dostarczenia]],2)</f>
        <v>2</v>
      </c>
      <c r="F1059" s="2">
        <f t="shared" si="16"/>
        <v>0</v>
      </c>
    </row>
    <row r="1060" spans="1:6" x14ac:dyDescent="0.25">
      <c r="A1060" s="1">
        <v>42913</v>
      </c>
      <c r="B1060" s="2" t="s">
        <v>81</v>
      </c>
      <c r="C1060" s="2" t="s">
        <v>104</v>
      </c>
      <c r="D1060">
        <v>20</v>
      </c>
      <c r="E1060">
        <f>WEEKDAY(makulatura5[[#This Row],[Data_dostarczenia]],2)</f>
        <v>2</v>
      </c>
      <c r="F1060" s="2">
        <f t="shared" si="16"/>
        <v>1</v>
      </c>
    </row>
    <row r="1061" spans="1:6" x14ac:dyDescent="0.25">
      <c r="A1061" s="1">
        <v>42914</v>
      </c>
      <c r="B1061" s="2" t="s">
        <v>128</v>
      </c>
      <c r="C1061" s="2" t="s">
        <v>250</v>
      </c>
      <c r="D1061">
        <v>7</v>
      </c>
      <c r="E1061">
        <f>WEEKDAY(makulatura5[[#This Row],[Data_dostarczenia]],2)</f>
        <v>3</v>
      </c>
      <c r="F1061" s="2">
        <f t="shared" si="16"/>
        <v>0</v>
      </c>
    </row>
    <row r="1062" spans="1:6" x14ac:dyDescent="0.25">
      <c r="A1062" s="1">
        <v>42914</v>
      </c>
      <c r="B1062" s="2" t="s">
        <v>176</v>
      </c>
      <c r="C1062" s="2" t="s">
        <v>486</v>
      </c>
      <c r="D1062">
        <v>27</v>
      </c>
      <c r="E1062">
        <f>WEEKDAY(makulatura5[[#This Row],[Data_dostarczenia]],2)</f>
        <v>3</v>
      </c>
      <c r="F1062" s="2">
        <f t="shared" si="16"/>
        <v>0</v>
      </c>
    </row>
    <row r="1063" spans="1:6" x14ac:dyDescent="0.25">
      <c r="A1063" s="1">
        <v>42914</v>
      </c>
      <c r="B1063" s="2" t="s">
        <v>119</v>
      </c>
      <c r="C1063" s="2" t="s">
        <v>120</v>
      </c>
      <c r="D1063">
        <v>35</v>
      </c>
      <c r="E1063">
        <f>WEEKDAY(makulatura5[[#This Row],[Data_dostarczenia]],2)</f>
        <v>3</v>
      </c>
      <c r="F1063" s="2">
        <f t="shared" si="16"/>
        <v>0</v>
      </c>
    </row>
    <row r="1064" spans="1:6" x14ac:dyDescent="0.25">
      <c r="A1064" s="1">
        <v>42914</v>
      </c>
      <c r="B1064" s="2" t="s">
        <v>395</v>
      </c>
      <c r="C1064" s="2" t="s">
        <v>599</v>
      </c>
      <c r="D1064">
        <v>15</v>
      </c>
      <c r="E1064">
        <f>WEEKDAY(makulatura5[[#This Row],[Data_dostarczenia]],2)</f>
        <v>3</v>
      </c>
      <c r="F1064" s="2">
        <f t="shared" si="16"/>
        <v>0</v>
      </c>
    </row>
    <row r="1065" spans="1:6" x14ac:dyDescent="0.25">
      <c r="A1065" s="1">
        <v>42914</v>
      </c>
      <c r="B1065" s="2" t="s">
        <v>83</v>
      </c>
      <c r="C1065" s="2" t="s">
        <v>596</v>
      </c>
      <c r="D1065">
        <v>29</v>
      </c>
      <c r="E1065">
        <f>WEEKDAY(makulatura5[[#This Row],[Data_dostarczenia]],2)</f>
        <v>3</v>
      </c>
      <c r="F1065" s="2">
        <f t="shared" si="16"/>
        <v>0</v>
      </c>
    </row>
    <row r="1066" spans="1:6" x14ac:dyDescent="0.25">
      <c r="A1066" s="1">
        <v>42914</v>
      </c>
      <c r="B1066" s="2" t="s">
        <v>133</v>
      </c>
      <c r="C1066" s="2" t="s">
        <v>616</v>
      </c>
      <c r="D1066">
        <v>42</v>
      </c>
      <c r="E1066">
        <f>WEEKDAY(makulatura5[[#This Row],[Data_dostarczenia]],2)</f>
        <v>3</v>
      </c>
      <c r="F1066" s="2">
        <f t="shared" si="16"/>
        <v>1</v>
      </c>
    </row>
    <row r="1067" spans="1:6" x14ac:dyDescent="0.25">
      <c r="A1067" s="1">
        <v>42915</v>
      </c>
      <c r="B1067" s="2" t="s">
        <v>280</v>
      </c>
      <c r="C1067" s="2" t="s">
        <v>451</v>
      </c>
      <c r="D1067">
        <v>9</v>
      </c>
      <c r="E1067">
        <f>WEEKDAY(makulatura5[[#This Row],[Data_dostarczenia]],2)</f>
        <v>4</v>
      </c>
      <c r="F1067" s="2">
        <f t="shared" si="16"/>
        <v>0</v>
      </c>
    </row>
    <row r="1068" spans="1:6" x14ac:dyDescent="0.25">
      <c r="A1068" s="1">
        <v>42915</v>
      </c>
      <c r="B1068" s="2" t="s">
        <v>137</v>
      </c>
      <c r="C1068" s="2" t="s">
        <v>617</v>
      </c>
      <c r="D1068">
        <v>50</v>
      </c>
      <c r="E1068">
        <f>WEEKDAY(makulatura5[[#This Row],[Data_dostarczenia]],2)</f>
        <v>4</v>
      </c>
      <c r="F1068" s="2">
        <f t="shared" si="16"/>
        <v>0</v>
      </c>
    </row>
    <row r="1069" spans="1:6" x14ac:dyDescent="0.25">
      <c r="A1069" s="1">
        <v>42915</v>
      </c>
      <c r="B1069" s="2" t="s">
        <v>95</v>
      </c>
      <c r="C1069" s="2" t="s">
        <v>426</v>
      </c>
      <c r="D1069">
        <v>6</v>
      </c>
      <c r="E1069">
        <f>WEEKDAY(makulatura5[[#This Row],[Data_dostarczenia]],2)</f>
        <v>4</v>
      </c>
      <c r="F1069" s="2">
        <f t="shared" si="16"/>
        <v>0</v>
      </c>
    </row>
    <row r="1070" spans="1:6" x14ac:dyDescent="0.25">
      <c r="A1070" s="1">
        <v>42915</v>
      </c>
      <c r="B1070" s="2" t="s">
        <v>87</v>
      </c>
      <c r="C1070" s="2" t="s">
        <v>383</v>
      </c>
      <c r="D1070">
        <v>18</v>
      </c>
      <c r="E1070">
        <f>WEEKDAY(makulatura5[[#This Row],[Data_dostarczenia]],2)</f>
        <v>4</v>
      </c>
      <c r="F1070" s="2">
        <f t="shared" si="16"/>
        <v>0</v>
      </c>
    </row>
    <row r="1071" spans="1:6" x14ac:dyDescent="0.25">
      <c r="A1071" s="1">
        <v>42915</v>
      </c>
      <c r="B1071" s="2" t="s">
        <v>83</v>
      </c>
      <c r="C1071" s="2" t="s">
        <v>615</v>
      </c>
      <c r="D1071">
        <v>28</v>
      </c>
      <c r="E1071">
        <f>WEEKDAY(makulatura5[[#This Row],[Data_dostarczenia]],2)</f>
        <v>4</v>
      </c>
      <c r="F1071" s="2">
        <f t="shared" si="16"/>
        <v>0</v>
      </c>
    </row>
    <row r="1072" spans="1:6" x14ac:dyDescent="0.25">
      <c r="A1072" s="1">
        <v>42915</v>
      </c>
      <c r="B1072" s="2" t="s">
        <v>83</v>
      </c>
      <c r="C1072" s="2" t="s">
        <v>455</v>
      </c>
      <c r="D1072">
        <v>7</v>
      </c>
      <c r="E1072">
        <f>WEEKDAY(makulatura5[[#This Row],[Data_dostarczenia]],2)</f>
        <v>4</v>
      </c>
      <c r="F1072" s="2">
        <f t="shared" si="16"/>
        <v>1</v>
      </c>
    </row>
    <row r="1073" spans="1:6" x14ac:dyDescent="0.25">
      <c r="A1073" s="1">
        <v>42916</v>
      </c>
      <c r="B1073" s="2" t="s">
        <v>618</v>
      </c>
      <c r="C1073" s="2" t="s">
        <v>619</v>
      </c>
      <c r="D1073">
        <v>28</v>
      </c>
      <c r="E1073">
        <f>WEEKDAY(makulatura5[[#This Row],[Data_dostarczenia]],2)</f>
        <v>5</v>
      </c>
      <c r="F1073" s="2">
        <f t="shared" si="16"/>
        <v>0</v>
      </c>
    </row>
    <row r="1074" spans="1:6" x14ac:dyDescent="0.25">
      <c r="A1074" s="1">
        <v>42916</v>
      </c>
      <c r="B1074" s="2" t="s">
        <v>95</v>
      </c>
      <c r="C1074" s="2" t="s">
        <v>96</v>
      </c>
      <c r="D1074">
        <v>27</v>
      </c>
      <c r="E1074">
        <f>WEEKDAY(makulatura5[[#This Row],[Data_dostarczenia]],2)</f>
        <v>5</v>
      </c>
      <c r="F1074" s="2">
        <f t="shared" si="16"/>
        <v>0</v>
      </c>
    </row>
    <row r="1075" spans="1:6" x14ac:dyDescent="0.25">
      <c r="A1075" s="1">
        <v>42916</v>
      </c>
      <c r="B1075" s="2" t="s">
        <v>36</v>
      </c>
      <c r="C1075" s="2" t="s">
        <v>166</v>
      </c>
      <c r="D1075">
        <v>19</v>
      </c>
      <c r="E1075">
        <f>WEEKDAY(makulatura5[[#This Row],[Data_dostarczenia]],2)</f>
        <v>5</v>
      </c>
      <c r="F1075" s="2">
        <f t="shared" si="16"/>
        <v>0</v>
      </c>
    </row>
    <row r="1076" spans="1:6" x14ac:dyDescent="0.25">
      <c r="A1076" s="1">
        <v>42916</v>
      </c>
      <c r="B1076" s="2" t="s">
        <v>77</v>
      </c>
      <c r="C1076" s="2" t="s">
        <v>384</v>
      </c>
      <c r="D1076">
        <v>19</v>
      </c>
      <c r="E1076">
        <f>WEEKDAY(makulatura5[[#This Row],[Data_dostarczenia]],2)</f>
        <v>5</v>
      </c>
      <c r="F1076" s="2">
        <f t="shared" si="16"/>
        <v>0</v>
      </c>
    </row>
    <row r="1077" spans="1:6" x14ac:dyDescent="0.25">
      <c r="A1077" s="1">
        <v>42916</v>
      </c>
      <c r="B1077" s="2" t="s">
        <v>34</v>
      </c>
      <c r="C1077" s="2" t="s">
        <v>35</v>
      </c>
      <c r="D1077">
        <v>18</v>
      </c>
      <c r="E1077">
        <f>WEEKDAY(makulatura5[[#This Row],[Data_dostarczenia]],2)</f>
        <v>5</v>
      </c>
      <c r="F1077" s="2">
        <f t="shared" si="16"/>
        <v>0</v>
      </c>
    </row>
    <row r="1078" spans="1:6" x14ac:dyDescent="0.25">
      <c r="A1078" s="1">
        <v>42916</v>
      </c>
      <c r="B1078" s="2" t="s">
        <v>141</v>
      </c>
      <c r="C1078" s="2" t="s">
        <v>364</v>
      </c>
      <c r="D1078">
        <v>27</v>
      </c>
      <c r="E1078">
        <f>WEEKDAY(makulatura5[[#This Row],[Data_dostarczenia]],2)</f>
        <v>5</v>
      </c>
      <c r="F1078" s="2">
        <f t="shared" si="16"/>
        <v>1</v>
      </c>
    </row>
    <row r="1079" spans="1:6" x14ac:dyDescent="0.25">
      <c r="A1079" s="1">
        <v>42919</v>
      </c>
      <c r="B1079" s="2" t="s">
        <v>339</v>
      </c>
      <c r="C1079" s="2" t="s">
        <v>565</v>
      </c>
      <c r="D1079">
        <v>21</v>
      </c>
      <c r="E1079">
        <f>WEEKDAY(makulatura5[[#This Row],[Data_dostarczenia]],2)</f>
        <v>1</v>
      </c>
      <c r="F1079" s="2">
        <f t="shared" si="16"/>
        <v>0</v>
      </c>
    </row>
    <row r="1080" spans="1:6" x14ac:dyDescent="0.25">
      <c r="A1080" s="1">
        <v>42919</v>
      </c>
      <c r="B1080" s="2" t="s">
        <v>106</v>
      </c>
      <c r="C1080" s="2" t="s">
        <v>277</v>
      </c>
      <c r="D1080">
        <v>14</v>
      </c>
      <c r="E1080">
        <f>WEEKDAY(makulatura5[[#This Row],[Data_dostarczenia]],2)</f>
        <v>1</v>
      </c>
      <c r="F1080" s="2">
        <f t="shared" si="16"/>
        <v>0</v>
      </c>
    </row>
    <row r="1081" spans="1:6" x14ac:dyDescent="0.25">
      <c r="A1081" s="1">
        <v>42919</v>
      </c>
      <c r="B1081" s="2" t="s">
        <v>147</v>
      </c>
      <c r="C1081" s="2" t="s">
        <v>527</v>
      </c>
      <c r="D1081">
        <v>34</v>
      </c>
      <c r="E1081">
        <f>WEEKDAY(makulatura5[[#This Row],[Data_dostarczenia]],2)</f>
        <v>1</v>
      </c>
      <c r="F1081" s="2">
        <f t="shared" si="16"/>
        <v>0</v>
      </c>
    </row>
    <row r="1082" spans="1:6" x14ac:dyDescent="0.25">
      <c r="A1082" s="1">
        <v>42919</v>
      </c>
      <c r="B1082" s="2" t="s">
        <v>97</v>
      </c>
      <c r="C1082" s="2" t="s">
        <v>464</v>
      </c>
      <c r="D1082">
        <v>29</v>
      </c>
      <c r="E1082">
        <f>WEEKDAY(makulatura5[[#This Row],[Data_dostarczenia]],2)</f>
        <v>1</v>
      </c>
      <c r="F1082" s="2">
        <f t="shared" si="16"/>
        <v>0</v>
      </c>
    </row>
    <row r="1083" spans="1:6" x14ac:dyDescent="0.25">
      <c r="A1083" s="1">
        <v>42919</v>
      </c>
      <c r="B1083" s="2" t="s">
        <v>126</v>
      </c>
      <c r="C1083" s="2" t="s">
        <v>127</v>
      </c>
      <c r="D1083">
        <v>37</v>
      </c>
      <c r="E1083">
        <f>WEEKDAY(makulatura5[[#This Row],[Data_dostarczenia]],2)</f>
        <v>1</v>
      </c>
      <c r="F1083" s="2">
        <f t="shared" si="16"/>
        <v>0</v>
      </c>
    </row>
    <row r="1084" spans="1:6" x14ac:dyDescent="0.25">
      <c r="A1084" s="1">
        <v>42919</v>
      </c>
      <c r="B1084" s="2" t="s">
        <v>39</v>
      </c>
      <c r="C1084" s="2" t="s">
        <v>391</v>
      </c>
      <c r="D1084">
        <v>28</v>
      </c>
      <c r="E1084">
        <f>WEEKDAY(makulatura5[[#This Row],[Data_dostarczenia]],2)</f>
        <v>1</v>
      </c>
      <c r="F1084" s="2">
        <f t="shared" si="16"/>
        <v>1</v>
      </c>
    </row>
    <row r="1085" spans="1:6" x14ac:dyDescent="0.25">
      <c r="A1085" s="1">
        <v>42920</v>
      </c>
      <c r="B1085" s="2" t="s">
        <v>234</v>
      </c>
      <c r="C1085" s="2" t="s">
        <v>516</v>
      </c>
      <c r="D1085">
        <v>8</v>
      </c>
      <c r="E1085">
        <f>WEEKDAY(makulatura5[[#This Row],[Data_dostarczenia]],2)</f>
        <v>2</v>
      </c>
      <c r="F1085" s="2">
        <f t="shared" si="16"/>
        <v>0</v>
      </c>
    </row>
    <row r="1086" spans="1:6" x14ac:dyDescent="0.25">
      <c r="A1086" s="1">
        <v>42920</v>
      </c>
      <c r="B1086" s="2" t="s">
        <v>14</v>
      </c>
      <c r="C1086" s="2" t="s">
        <v>430</v>
      </c>
      <c r="D1086">
        <v>16</v>
      </c>
      <c r="E1086">
        <f>WEEKDAY(makulatura5[[#This Row],[Data_dostarczenia]],2)</f>
        <v>2</v>
      </c>
      <c r="F1086" s="2">
        <f t="shared" si="16"/>
        <v>0</v>
      </c>
    </row>
    <row r="1087" spans="1:6" x14ac:dyDescent="0.25">
      <c r="A1087" s="1">
        <v>42920</v>
      </c>
      <c r="B1087" s="2" t="s">
        <v>139</v>
      </c>
      <c r="C1087" s="2" t="s">
        <v>140</v>
      </c>
      <c r="D1087">
        <v>7</v>
      </c>
      <c r="E1087">
        <f>WEEKDAY(makulatura5[[#This Row],[Data_dostarczenia]],2)</f>
        <v>2</v>
      </c>
      <c r="F1087" s="2">
        <f t="shared" si="16"/>
        <v>0</v>
      </c>
    </row>
    <row r="1088" spans="1:6" x14ac:dyDescent="0.25">
      <c r="A1088" s="1">
        <v>42920</v>
      </c>
      <c r="B1088" s="2" t="s">
        <v>171</v>
      </c>
      <c r="C1088" s="2" t="s">
        <v>562</v>
      </c>
      <c r="D1088">
        <v>29</v>
      </c>
      <c r="E1088">
        <f>WEEKDAY(makulatura5[[#This Row],[Data_dostarczenia]],2)</f>
        <v>2</v>
      </c>
      <c r="F1088" s="2">
        <f t="shared" si="16"/>
        <v>0</v>
      </c>
    </row>
    <row r="1089" spans="1:6" x14ac:dyDescent="0.25">
      <c r="A1089" s="1">
        <v>42920</v>
      </c>
      <c r="B1089" s="2" t="s">
        <v>47</v>
      </c>
      <c r="C1089" s="2" t="s">
        <v>334</v>
      </c>
      <c r="D1089">
        <v>4</v>
      </c>
      <c r="E1089">
        <f>WEEKDAY(makulatura5[[#This Row],[Data_dostarczenia]],2)</f>
        <v>2</v>
      </c>
      <c r="F1089" s="2">
        <f t="shared" si="16"/>
        <v>0</v>
      </c>
    </row>
    <row r="1090" spans="1:6" x14ac:dyDescent="0.25">
      <c r="A1090" s="1">
        <v>42920</v>
      </c>
      <c r="B1090" s="2" t="s">
        <v>81</v>
      </c>
      <c r="C1090" s="2" t="s">
        <v>488</v>
      </c>
      <c r="D1090">
        <v>3</v>
      </c>
      <c r="E1090">
        <f>WEEKDAY(makulatura5[[#This Row],[Data_dostarczenia]],2)</f>
        <v>2</v>
      </c>
      <c r="F1090" s="2">
        <f t="shared" ref="F1090:F1153" si="17">IF(A1091=A1090,0,1)</f>
        <v>1</v>
      </c>
    </row>
    <row r="1091" spans="1:6" x14ac:dyDescent="0.25">
      <c r="A1091" s="1">
        <v>42921</v>
      </c>
      <c r="B1091" s="2" t="s">
        <v>420</v>
      </c>
      <c r="C1091" s="2" t="s">
        <v>421</v>
      </c>
      <c r="D1091">
        <v>35</v>
      </c>
      <c r="E1091">
        <f>WEEKDAY(makulatura5[[#This Row],[Data_dostarczenia]],2)</f>
        <v>3</v>
      </c>
      <c r="F1091" s="2">
        <f t="shared" si="17"/>
        <v>0</v>
      </c>
    </row>
    <row r="1092" spans="1:6" x14ac:dyDescent="0.25">
      <c r="A1092" s="1">
        <v>42921</v>
      </c>
      <c r="B1092" s="2" t="s">
        <v>152</v>
      </c>
      <c r="C1092" s="2" t="s">
        <v>534</v>
      </c>
      <c r="D1092">
        <v>24</v>
      </c>
      <c r="E1092">
        <f>WEEKDAY(makulatura5[[#This Row],[Data_dostarczenia]],2)</f>
        <v>3</v>
      </c>
      <c r="F1092" s="2">
        <f t="shared" si="17"/>
        <v>0</v>
      </c>
    </row>
    <row r="1093" spans="1:6" x14ac:dyDescent="0.25">
      <c r="A1093" s="1">
        <v>42921</v>
      </c>
      <c r="B1093" s="2" t="s">
        <v>36</v>
      </c>
      <c r="C1093" s="2" t="s">
        <v>180</v>
      </c>
      <c r="D1093">
        <v>39</v>
      </c>
      <c r="E1093">
        <f>WEEKDAY(makulatura5[[#This Row],[Data_dostarczenia]],2)</f>
        <v>3</v>
      </c>
      <c r="F1093" s="2">
        <f t="shared" si="17"/>
        <v>0</v>
      </c>
    </row>
    <row r="1094" spans="1:6" x14ac:dyDescent="0.25">
      <c r="A1094" s="1">
        <v>42921</v>
      </c>
      <c r="B1094" s="2" t="s">
        <v>269</v>
      </c>
      <c r="C1094" s="2" t="s">
        <v>270</v>
      </c>
      <c r="D1094">
        <v>56</v>
      </c>
      <c r="E1094">
        <f>WEEKDAY(makulatura5[[#This Row],[Data_dostarczenia]],2)</f>
        <v>3</v>
      </c>
      <c r="F1094" s="2">
        <f t="shared" si="17"/>
        <v>0</v>
      </c>
    </row>
    <row r="1095" spans="1:6" x14ac:dyDescent="0.25">
      <c r="A1095" s="1">
        <v>42921</v>
      </c>
      <c r="B1095" s="2" t="s">
        <v>476</v>
      </c>
      <c r="C1095" s="2" t="s">
        <v>620</v>
      </c>
      <c r="D1095">
        <v>54</v>
      </c>
      <c r="E1095">
        <f>WEEKDAY(makulatura5[[#This Row],[Data_dostarczenia]],2)</f>
        <v>3</v>
      </c>
      <c r="F1095" s="2">
        <f t="shared" si="17"/>
        <v>0</v>
      </c>
    </row>
    <row r="1096" spans="1:6" x14ac:dyDescent="0.25">
      <c r="A1096" s="1">
        <v>42921</v>
      </c>
      <c r="B1096" s="2" t="s">
        <v>43</v>
      </c>
      <c r="C1096" s="2" t="s">
        <v>44</v>
      </c>
      <c r="D1096">
        <v>12</v>
      </c>
      <c r="E1096">
        <f>WEEKDAY(makulatura5[[#This Row],[Data_dostarczenia]],2)</f>
        <v>3</v>
      </c>
      <c r="F1096" s="2">
        <f t="shared" si="17"/>
        <v>1</v>
      </c>
    </row>
    <row r="1097" spans="1:6" x14ac:dyDescent="0.25">
      <c r="A1097" s="1">
        <v>42922</v>
      </c>
      <c r="B1097" s="2" t="s">
        <v>341</v>
      </c>
      <c r="C1097" s="2" t="s">
        <v>342</v>
      </c>
      <c r="D1097">
        <v>7</v>
      </c>
      <c r="E1097">
        <f>WEEKDAY(makulatura5[[#This Row],[Data_dostarczenia]],2)</f>
        <v>4</v>
      </c>
      <c r="F1097" s="2">
        <f t="shared" si="17"/>
        <v>0</v>
      </c>
    </row>
    <row r="1098" spans="1:6" x14ac:dyDescent="0.25">
      <c r="A1098" s="1">
        <v>42922</v>
      </c>
      <c r="B1098" s="2" t="s">
        <v>178</v>
      </c>
      <c r="C1098" s="2" t="s">
        <v>335</v>
      </c>
      <c r="D1098">
        <v>11</v>
      </c>
      <c r="E1098">
        <f>WEEKDAY(makulatura5[[#This Row],[Data_dostarczenia]],2)</f>
        <v>4</v>
      </c>
      <c r="F1098" s="2">
        <f t="shared" si="17"/>
        <v>0</v>
      </c>
    </row>
    <row r="1099" spans="1:6" x14ac:dyDescent="0.25">
      <c r="A1099" s="1">
        <v>42922</v>
      </c>
      <c r="B1099" s="2" t="s">
        <v>30</v>
      </c>
      <c r="C1099" s="2" t="s">
        <v>432</v>
      </c>
      <c r="D1099">
        <v>7</v>
      </c>
      <c r="E1099">
        <f>WEEKDAY(makulatura5[[#This Row],[Data_dostarczenia]],2)</f>
        <v>4</v>
      </c>
      <c r="F1099" s="2">
        <f t="shared" si="17"/>
        <v>0</v>
      </c>
    </row>
    <row r="1100" spans="1:6" x14ac:dyDescent="0.25">
      <c r="A1100" s="1">
        <v>42922</v>
      </c>
      <c r="B1100" s="2" t="s">
        <v>193</v>
      </c>
      <c r="C1100" s="2" t="s">
        <v>194</v>
      </c>
      <c r="D1100">
        <v>28</v>
      </c>
      <c r="E1100">
        <f>WEEKDAY(makulatura5[[#This Row],[Data_dostarczenia]],2)</f>
        <v>4</v>
      </c>
      <c r="F1100" s="2">
        <f t="shared" si="17"/>
        <v>0</v>
      </c>
    </row>
    <row r="1101" spans="1:6" x14ac:dyDescent="0.25">
      <c r="A1101" s="1">
        <v>42922</v>
      </c>
      <c r="B1101" s="2" t="s">
        <v>14</v>
      </c>
      <c r="C1101" s="2" t="s">
        <v>430</v>
      </c>
      <c r="D1101">
        <v>20</v>
      </c>
      <c r="E1101">
        <f>WEEKDAY(makulatura5[[#This Row],[Data_dostarczenia]],2)</f>
        <v>4</v>
      </c>
      <c r="F1101" s="2">
        <f t="shared" si="17"/>
        <v>0</v>
      </c>
    </row>
    <row r="1102" spans="1:6" x14ac:dyDescent="0.25">
      <c r="A1102" s="1">
        <v>42922</v>
      </c>
      <c r="B1102" s="2" t="s">
        <v>143</v>
      </c>
      <c r="C1102" s="2" t="s">
        <v>510</v>
      </c>
      <c r="D1102">
        <v>11</v>
      </c>
      <c r="E1102">
        <f>WEEKDAY(makulatura5[[#This Row],[Data_dostarczenia]],2)</f>
        <v>4</v>
      </c>
      <c r="F1102" s="2">
        <f t="shared" si="17"/>
        <v>1</v>
      </c>
    </row>
    <row r="1103" spans="1:6" x14ac:dyDescent="0.25">
      <c r="A1103" s="1">
        <v>42923</v>
      </c>
      <c r="B1103" s="2" t="s">
        <v>51</v>
      </c>
      <c r="C1103" s="2" t="s">
        <v>621</v>
      </c>
      <c r="D1103">
        <v>55</v>
      </c>
      <c r="E1103">
        <f>WEEKDAY(makulatura5[[#This Row],[Data_dostarczenia]],2)</f>
        <v>5</v>
      </c>
      <c r="F1103" s="2">
        <f t="shared" si="17"/>
        <v>0</v>
      </c>
    </row>
    <row r="1104" spans="1:6" x14ac:dyDescent="0.25">
      <c r="A1104" s="1">
        <v>42923</v>
      </c>
      <c r="B1104" s="2" t="s">
        <v>97</v>
      </c>
      <c r="C1104" s="2" t="s">
        <v>464</v>
      </c>
      <c r="D1104">
        <v>41</v>
      </c>
      <c r="E1104">
        <f>WEEKDAY(makulatura5[[#This Row],[Data_dostarczenia]],2)</f>
        <v>5</v>
      </c>
      <c r="F1104" s="2">
        <f t="shared" si="17"/>
        <v>0</v>
      </c>
    </row>
    <row r="1105" spans="1:6" x14ac:dyDescent="0.25">
      <c r="A1105" s="1">
        <v>42923</v>
      </c>
      <c r="B1105" s="2" t="s">
        <v>476</v>
      </c>
      <c r="C1105" s="2" t="s">
        <v>622</v>
      </c>
      <c r="D1105">
        <v>21</v>
      </c>
      <c r="E1105">
        <f>WEEKDAY(makulatura5[[#This Row],[Data_dostarczenia]],2)</f>
        <v>5</v>
      </c>
      <c r="F1105" s="2">
        <f t="shared" si="17"/>
        <v>0</v>
      </c>
    </row>
    <row r="1106" spans="1:6" x14ac:dyDescent="0.25">
      <c r="A1106" s="1">
        <v>42923</v>
      </c>
      <c r="B1106" s="2" t="s">
        <v>339</v>
      </c>
      <c r="C1106" s="2" t="s">
        <v>583</v>
      </c>
      <c r="D1106">
        <v>33</v>
      </c>
      <c r="E1106">
        <f>WEEKDAY(makulatura5[[#This Row],[Data_dostarczenia]],2)</f>
        <v>5</v>
      </c>
      <c r="F1106" s="2">
        <f t="shared" si="17"/>
        <v>0</v>
      </c>
    </row>
    <row r="1107" spans="1:6" x14ac:dyDescent="0.25">
      <c r="A1107" s="1">
        <v>42923</v>
      </c>
      <c r="B1107" s="2" t="s">
        <v>18</v>
      </c>
      <c r="C1107" s="2" t="s">
        <v>597</v>
      </c>
      <c r="D1107">
        <v>7</v>
      </c>
      <c r="E1107">
        <f>WEEKDAY(makulatura5[[#This Row],[Data_dostarczenia]],2)</f>
        <v>5</v>
      </c>
      <c r="F1107" s="2">
        <f t="shared" si="17"/>
        <v>0</v>
      </c>
    </row>
    <row r="1108" spans="1:6" x14ac:dyDescent="0.25">
      <c r="A1108" s="1">
        <v>42923</v>
      </c>
      <c r="B1108" s="2" t="s">
        <v>45</v>
      </c>
      <c r="C1108" s="2" t="s">
        <v>388</v>
      </c>
      <c r="D1108">
        <v>15</v>
      </c>
      <c r="E1108">
        <f>WEEKDAY(makulatura5[[#This Row],[Data_dostarczenia]],2)</f>
        <v>5</v>
      </c>
      <c r="F1108" s="2">
        <f t="shared" si="17"/>
        <v>1</v>
      </c>
    </row>
    <row r="1109" spans="1:6" x14ac:dyDescent="0.25">
      <c r="A1109" s="1">
        <v>42926</v>
      </c>
      <c r="B1109" s="2" t="s">
        <v>141</v>
      </c>
      <c r="C1109" s="2" t="s">
        <v>260</v>
      </c>
      <c r="D1109">
        <v>39</v>
      </c>
      <c r="E1109">
        <f>WEEKDAY(makulatura5[[#This Row],[Data_dostarczenia]],2)</f>
        <v>1</v>
      </c>
      <c r="F1109" s="2">
        <f t="shared" si="17"/>
        <v>0</v>
      </c>
    </row>
    <row r="1110" spans="1:6" x14ac:dyDescent="0.25">
      <c r="A1110" s="1">
        <v>42926</v>
      </c>
      <c r="B1110" s="2" t="s">
        <v>479</v>
      </c>
      <c r="C1110" s="2" t="s">
        <v>480</v>
      </c>
      <c r="D1110">
        <v>20</v>
      </c>
      <c r="E1110">
        <f>WEEKDAY(makulatura5[[#This Row],[Data_dostarczenia]],2)</f>
        <v>1</v>
      </c>
      <c r="F1110" s="2">
        <f t="shared" si="17"/>
        <v>0</v>
      </c>
    </row>
    <row r="1111" spans="1:6" x14ac:dyDescent="0.25">
      <c r="A1111" s="1">
        <v>42926</v>
      </c>
      <c r="B1111" s="2" t="s">
        <v>83</v>
      </c>
      <c r="C1111" s="2" t="s">
        <v>455</v>
      </c>
      <c r="D1111">
        <v>11</v>
      </c>
      <c r="E1111">
        <f>WEEKDAY(makulatura5[[#This Row],[Data_dostarczenia]],2)</f>
        <v>1</v>
      </c>
      <c r="F1111" s="2">
        <f t="shared" si="17"/>
        <v>0</v>
      </c>
    </row>
    <row r="1112" spans="1:6" x14ac:dyDescent="0.25">
      <c r="A1112" s="1">
        <v>42926</v>
      </c>
      <c r="B1112" s="2" t="s">
        <v>623</v>
      </c>
      <c r="C1112" s="2" t="s">
        <v>624</v>
      </c>
      <c r="D1112">
        <v>55</v>
      </c>
      <c r="E1112">
        <f>WEEKDAY(makulatura5[[#This Row],[Data_dostarczenia]],2)</f>
        <v>1</v>
      </c>
      <c r="F1112" s="2">
        <f t="shared" si="17"/>
        <v>0</v>
      </c>
    </row>
    <row r="1113" spans="1:6" x14ac:dyDescent="0.25">
      <c r="A1113" s="1">
        <v>42926</v>
      </c>
      <c r="B1113" s="2" t="s">
        <v>69</v>
      </c>
      <c r="C1113" s="2" t="s">
        <v>588</v>
      </c>
      <c r="D1113">
        <v>36</v>
      </c>
      <c r="E1113">
        <f>WEEKDAY(makulatura5[[#This Row],[Data_dostarczenia]],2)</f>
        <v>1</v>
      </c>
      <c r="F1113" s="2">
        <f t="shared" si="17"/>
        <v>0</v>
      </c>
    </row>
    <row r="1114" spans="1:6" x14ac:dyDescent="0.25">
      <c r="A1114" s="1">
        <v>42926</v>
      </c>
      <c r="B1114" s="2" t="s">
        <v>20</v>
      </c>
      <c r="C1114" s="2" t="s">
        <v>381</v>
      </c>
      <c r="D1114">
        <v>19</v>
      </c>
      <c r="E1114">
        <f>WEEKDAY(makulatura5[[#This Row],[Data_dostarczenia]],2)</f>
        <v>1</v>
      </c>
      <c r="F1114" s="2">
        <f t="shared" si="17"/>
        <v>1</v>
      </c>
    </row>
    <row r="1115" spans="1:6" x14ac:dyDescent="0.25">
      <c r="A1115" s="1">
        <v>42927</v>
      </c>
      <c r="B1115" s="2" t="s">
        <v>416</v>
      </c>
      <c r="C1115" s="2" t="s">
        <v>417</v>
      </c>
      <c r="D1115">
        <v>15</v>
      </c>
      <c r="E1115">
        <f>WEEKDAY(makulatura5[[#This Row],[Data_dostarczenia]],2)</f>
        <v>2</v>
      </c>
      <c r="F1115" s="2">
        <f t="shared" si="17"/>
        <v>0</v>
      </c>
    </row>
    <row r="1116" spans="1:6" x14ac:dyDescent="0.25">
      <c r="A1116" s="1">
        <v>42927</v>
      </c>
      <c r="B1116" s="2" t="s">
        <v>131</v>
      </c>
      <c r="C1116" s="2" t="s">
        <v>132</v>
      </c>
      <c r="D1116">
        <v>11</v>
      </c>
      <c r="E1116">
        <f>WEEKDAY(makulatura5[[#This Row],[Data_dostarczenia]],2)</f>
        <v>2</v>
      </c>
      <c r="F1116" s="2">
        <f t="shared" si="17"/>
        <v>0</v>
      </c>
    </row>
    <row r="1117" spans="1:6" x14ac:dyDescent="0.25">
      <c r="A1117" s="1">
        <v>42927</v>
      </c>
      <c r="B1117" s="2" t="s">
        <v>34</v>
      </c>
      <c r="C1117" s="2" t="s">
        <v>35</v>
      </c>
      <c r="D1117">
        <v>30</v>
      </c>
      <c r="E1117">
        <f>WEEKDAY(makulatura5[[#This Row],[Data_dostarczenia]],2)</f>
        <v>2</v>
      </c>
      <c r="F1117" s="2">
        <f t="shared" si="17"/>
        <v>0</v>
      </c>
    </row>
    <row r="1118" spans="1:6" x14ac:dyDescent="0.25">
      <c r="A1118" s="1">
        <v>42927</v>
      </c>
      <c r="B1118" s="2" t="s">
        <v>278</v>
      </c>
      <c r="C1118" s="2" t="s">
        <v>202</v>
      </c>
      <c r="D1118">
        <v>6</v>
      </c>
      <c r="E1118">
        <f>WEEKDAY(makulatura5[[#This Row],[Data_dostarczenia]],2)</f>
        <v>2</v>
      </c>
      <c r="F1118" s="2">
        <f t="shared" si="17"/>
        <v>0</v>
      </c>
    </row>
    <row r="1119" spans="1:6" x14ac:dyDescent="0.25">
      <c r="A1119" s="1">
        <v>42927</v>
      </c>
      <c r="B1119" s="2" t="s">
        <v>83</v>
      </c>
      <c r="C1119" s="2" t="s">
        <v>455</v>
      </c>
      <c r="D1119">
        <v>16</v>
      </c>
      <c r="E1119">
        <f>WEEKDAY(makulatura5[[#This Row],[Data_dostarczenia]],2)</f>
        <v>2</v>
      </c>
      <c r="F1119" s="2">
        <f t="shared" si="17"/>
        <v>0</v>
      </c>
    </row>
    <row r="1120" spans="1:6" x14ac:dyDescent="0.25">
      <c r="A1120" s="1">
        <v>42927</v>
      </c>
      <c r="B1120" s="2" t="s">
        <v>51</v>
      </c>
      <c r="C1120" s="2" t="s">
        <v>522</v>
      </c>
      <c r="D1120">
        <v>26</v>
      </c>
      <c r="E1120">
        <f>WEEKDAY(makulatura5[[#This Row],[Data_dostarczenia]],2)</f>
        <v>2</v>
      </c>
      <c r="F1120" s="2">
        <f t="shared" si="17"/>
        <v>1</v>
      </c>
    </row>
    <row r="1121" spans="1:6" x14ac:dyDescent="0.25">
      <c r="A1121" s="1">
        <v>42928</v>
      </c>
      <c r="B1121" s="2" t="s">
        <v>55</v>
      </c>
      <c r="C1121" s="2" t="s">
        <v>493</v>
      </c>
      <c r="D1121">
        <v>48</v>
      </c>
      <c r="E1121">
        <f>WEEKDAY(makulatura5[[#This Row],[Data_dostarczenia]],2)</f>
        <v>3</v>
      </c>
      <c r="F1121" s="2">
        <f t="shared" si="17"/>
        <v>0</v>
      </c>
    </row>
    <row r="1122" spans="1:6" x14ac:dyDescent="0.25">
      <c r="A1122" s="1">
        <v>42928</v>
      </c>
      <c r="B1122" s="2" t="s">
        <v>101</v>
      </c>
      <c r="C1122" s="2" t="s">
        <v>263</v>
      </c>
      <c r="D1122">
        <v>24</v>
      </c>
      <c r="E1122">
        <f>WEEKDAY(makulatura5[[#This Row],[Data_dostarczenia]],2)</f>
        <v>3</v>
      </c>
      <c r="F1122" s="2">
        <f t="shared" si="17"/>
        <v>0</v>
      </c>
    </row>
    <row r="1123" spans="1:6" x14ac:dyDescent="0.25">
      <c r="A1123" s="1">
        <v>42928</v>
      </c>
      <c r="B1123" s="2" t="s">
        <v>55</v>
      </c>
      <c r="C1123" s="2" t="s">
        <v>625</v>
      </c>
      <c r="D1123">
        <v>9</v>
      </c>
      <c r="E1123">
        <f>WEEKDAY(makulatura5[[#This Row],[Data_dostarczenia]],2)</f>
        <v>3</v>
      </c>
      <c r="F1123" s="2">
        <f t="shared" si="17"/>
        <v>0</v>
      </c>
    </row>
    <row r="1124" spans="1:6" x14ac:dyDescent="0.25">
      <c r="A1124" s="1">
        <v>42928</v>
      </c>
      <c r="B1124" s="2" t="s">
        <v>65</v>
      </c>
      <c r="C1124" s="2" t="s">
        <v>159</v>
      </c>
      <c r="D1124">
        <v>55</v>
      </c>
      <c r="E1124">
        <f>WEEKDAY(makulatura5[[#This Row],[Data_dostarczenia]],2)</f>
        <v>3</v>
      </c>
      <c r="F1124" s="2">
        <f t="shared" si="17"/>
        <v>0</v>
      </c>
    </row>
    <row r="1125" spans="1:6" x14ac:dyDescent="0.25">
      <c r="A1125" s="1">
        <v>42928</v>
      </c>
      <c r="B1125" s="2" t="s">
        <v>331</v>
      </c>
      <c r="C1125" s="2" t="s">
        <v>26</v>
      </c>
      <c r="D1125">
        <v>51</v>
      </c>
      <c r="E1125">
        <f>WEEKDAY(makulatura5[[#This Row],[Data_dostarczenia]],2)</f>
        <v>3</v>
      </c>
      <c r="F1125" s="2">
        <f t="shared" si="17"/>
        <v>0</v>
      </c>
    </row>
    <row r="1126" spans="1:6" x14ac:dyDescent="0.25">
      <c r="A1126" s="1">
        <v>42928</v>
      </c>
      <c r="B1126" s="2" t="s">
        <v>41</v>
      </c>
      <c r="C1126" s="2" t="s">
        <v>42</v>
      </c>
      <c r="D1126">
        <v>10</v>
      </c>
      <c r="E1126">
        <f>WEEKDAY(makulatura5[[#This Row],[Data_dostarczenia]],2)</f>
        <v>3</v>
      </c>
      <c r="F1126" s="2">
        <f t="shared" si="17"/>
        <v>1</v>
      </c>
    </row>
    <row r="1127" spans="1:6" x14ac:dyDescent="0.25">
      <c r="A1127" s="1">
        <v>42929</v>
      </c>
      <c r="B1127" s="2" t="s">
        <v>155</v>
      </c>
      <c r="C1127" s="2" t="s">
        <v>156</v>
      </c>
      <c r="D1127">
        <v>15</v>
      </c>
      <c r="E1127">
        <f>WEEKDAY(makulatura5[[#This Row],[Data_dostarczenia]],2)</f>
        <v>4</v>
      </c>
      <c r="F1127" s="2">
        <f t="shared" si="17"/>
        <v>0</v>
      </c>
    </row>
    <row r="1128" spans="1:6" x14ac:dyDescent="0.25">
      <c r="A1128" s="1">
        <v>42929</v>
      </c>
      <c r="B1128" s="2" t="s">
        <v>131</v>
      </c>
      <c r="C1128" s="2" t="s">
        <v>626</v>
      </c>
      <c r="D1128">
        <v>26</v>
      </c>
      <c r="E1128">
        <f>WEEKDAY(makulatura5[[#This Row],[Data_dostarczenia]],2)</f>
        <v>4</v>
      </c>
      <c r="F1128" s="2">
        <f t="shared" si="17"/>
        <v>0</v>
      </c>
    </row>
    <row r="1129" spans="1:6" x14ac:dyDescent="0.25">
      <c r="A1129" s="1">
        <v>42929</v>
      </c>
      <c r="B1129" s="2" t="s">
        <v>541</v>
      </c>
      <c r="C1129" s="2" t="s">
        <v>542</v>
      </c>
      <c r="D1129">
        <v>21</v>
      </c>
      <c r="E1129">
        <f>WEEKDAY(makulatura5[[#This Row],[Data_dostarczenia]],2)</f>
        <v>4</v>
      </c>
      <c r="F1129" s="2">
        <f t="shared" si="17"/>
        <v>0</v>
      </c>
    </row>
    <row r="1130" spans="1:6" x14ac:dyDescent="0.25">
      <c r="A1130" s="1">
        <v>42929</v>
      </c>
      <c r="B1130" s="2" t="s">
        <v>290</v>
      </c>
      <c r="C1130" s="2" t="s">
        <v>291</v>
      </c>
      <c r="D1130">
        <v>4</v>
      </c>
      <c r="E1130">
        <f>WEEKDAY(makulatura5[[#This Row],[Data_dostarczenia]],2)</f>
        <v>4</v>
      </c>
      <c r="F1130" s="2">
        <f t="shared" si="17"/>
        <v>0</v>
      </c>
    </row>
    <row r="1131" spans="1:6" x14ac:dyDescent="0.25">
      <c r="A1131" s="1">
        <v>42929</v>
      </c>
      <c r="B1131" s="2" t="s">
        <v>63</v>
      </c>
      <c r="C1131" s="2" t="s">
        <v>411</v>
      </c>
      <c r="D1131">
        <v>43</v>
      </c>
      <c r="E1131">
        <f>WEEKDAY(makulatura5[[#This Row],[Data_dostarczenia]],2)</f>
        <v>4</v>
      </c>
      <c r="F1131" s="2">
        <f t="shared" si="17"/>
        <v>0</v>
      </c>
    </row>
    <row r="1132" spans="1:6" x14ac:dyDescent="0.25">
      <c r="A1132" s="1">
        <v>42929</v>
      </c>
      <c r="B1132" s="2" t="s">
        <v>141</v>
      </c>
      <c r="C1132" s="2" t="s">
        <v>202</v>
      </c>
      <c r="D1132">
        <v>7</v>
      </c>
      <c r="E1132">
        <f>WEEKDAY(makulatura5[[#This Row],[Data_dostarczenia]],2)</f>
        <v>4</v>
      </c>
      <c r="F1132" s="2">
        <f t="shared" si="17"/>
        <v>0</v>
      </c>
    </row>
    <row r="1133" spans="1:6" x14ac:dyDescent="0.25">
      <c r="A1133" s="1">
        <v>42929</v>
      </c>
      <c r="B1133" s="2" t="s">
        <v>101</v>
      </c>
      <c r="C1133" s="2" t="s">
        <v>263</v>
      </c>
      <c r="D1133">
        <v>44</v>
      </c>
      <c r="E1133">
        <f>WEEKDAY(makulatura5[[#This Row],[Data_dostarczenia]],2)</f>
        <v>4</v>
      </c>
      <c r="F1133" s="2">
        <f t="shared" si="17"/>
        <v>1</v>
      </c>
    </row>
    <row r="1134" spans="1:6" x14ac:dyDescent="0.25">
      <c r="A1134" s="1">
        <v>42930</v>
      </c>
      <c r="B1134" s="2" t="s">
        <v>97</v>
      </c>
      <c r="C1134" s="2" t="s">
        <v>529</v>
      </c>
      <c r="D1134">
        <v>19</v>
      </c>
      <c r="E1134">
        <f>WEEKDAY(makulatura5[[#This Row],[Data_dostarczenia]],2)</f>
        <v>5</v>
      </c>
      <c r="F1134" s="2">
        <f t="shared" si="17"/>
        <v>0</v>
      </c>
    </row>
    <row r="1135" spans="1:6" x14ac:dyDescent="0.25">
      <c r="A1135" s="1">
        <v>42930</v>
      </c>
      <c r="B1135" s="2" t="s">
        <v>232</v>
      </c>
      <c r="C1135" s="2" t="s">
        <v>627</v>
      </c>
      <c r="D1135">
        <v>29</v>
      </c>
      <c r="E1135">
        <f>WEEKDAY(makulatura5[[#This Row],[Data_dostarczenia]],2)</f>
        <v>5</v>
      </c>
      <c r="F1135" s="2">
        <f t="shared" si="17"/>
        <v>0</v>
      </c>
    </row>
    <row r="1136" spans="1:6" x14ac:dyDescent="0.25">
      <c r="A1136" s="1">
        <v>42930</v>
      </c>
      <c r="B1136" s="2" t="s">
        <v>161</v>
      </c>
      <c r="C1136" s="2" t="s">
        <v>305</v>
      </c>
      <c r="D1136">
        <v>33</v>
      </c>
      <c r="E1136">
        <f>WEEKDAY(makulatura5[[#This Row],[Data_dostarczenia]],2)</f>
        <v>5</v>
      </c>
      <c r="F1136" s="2">
        <f t="shared" si="17"/>
        <v>0</v>
      </c>
    </row>
    <row r="1137" spans="1:6" x14ac:dyDescent="0.25">
      <c r="A1137" s="1">
        <v>42930</v>
      </c>
      <c r="B1137" s="2" t="s">
        <v>65</v>
      </c>
      <c r="C1137" s="2" t="s">
        <v>116</v>
      </c>
      <c r="D1137">
        <v>2</v>
      </c>
      <c r="E1137">
        <f>WEEKDAY(makulatura5[[#This Row],[Data_dostarczenia]],2)</f>
        <v>5</v>
      </c>
      <c r="F1137" s="2">
        <f t="shared" si="17"/>
        <v>0</v>
      </c>
    </row>
    <row r="1138" spans="1:6" x14ac:dyDescent="0.25">
      <c r="A1138" s="1">
        <v>42930</v>
      </c>
      <c r="B1138" s="2" t="s">
        <v>141</v>
      </c>
      <c r="C1138" s="2" t="s">
        <v>292</v>
      </c>
      <c r="D1138">
        <v>15</v>
      </c>
      <c r="E1138">
        <f>WEEKDAY(makulatura5[[#This Row],[Data_dostarczenia]],2)</f>
        <v>5</v>
      </c>
      <c r="F1138" s="2">
        <f t="shared" si="17"/>
        <v>0</v>
      </c>
    </row>
    <row r="1139" spans="1:6" x14ac:dyDescent="0.25">
      <c r="A1139" s="1">
        <v>42930</v>
      </c>
      <c r="B1139" s="2" t="s">
        <v>27</v>
      </c>
      <c r="C1139" s="2" t="s">
        <v>28</v>
      </c>
      <c r="D1139">
        <v>30</v>
      </c>
      <c r="E1139">
        <f>WEEKDAY(makulatura5[[#This Row],[Data_dostarczenia]],2)</f>
        <v>5</v>
      </c>
      <c r="F1139" s="2">
        <f t="shared" si="17"/>
        <v>0</v>
      </c>
    </row>
    <row r="1140" spans="1:6" x14ac:dyDescent="0.25">
      <c r="A1140" s="1">
        <v>42930</v>
      </c>
      <c r="B1140" s="2" t="s">
        <v>39</v>
      </c>
      <c r="C1140" s="2" t="s">
        <v>400</v>
      </c>
      <c r="D1140">
        <v>5</v>
      </c>
      <c r="E1140">
        <f>WEEKDAY(makulatura5[[#This Row],[Data_dostarczenia]],2)</f>
        <v>5</v>
      </c>
      <c r="F1140" s="2">
        <f t="shared" si="17"/>
        <v>1</v>
      </c>
    </row>
    <row r="1141" spans="1:6" x14ac:dyDescent="0.25">
      <c r="A1141" s="1">
        <v>42933</v>
      </c>
      <c r="B1141" s="2" t="s">
        <v>97</v>
      </c>
      <c r="C1141" s="2" t="s">
        <v>464</v>
      </c>
      <c r="D1141">
        <v>14</v>
      </c>
      <c r="E1141">
        <f>WEEKDAY(makulatura5[[#This Row],[Data_dostarczenia]],2)</f>
        <v>1</v>
      </c>
      <c r="F1141" s="2">
        <f t="shared" si="17"/>
        <v>0</v>
      </c>
    </row>
    <row r="1142" spans="1:6" x14ac:dyDescent="0.25">
      <c r="A1142" s="1">
        <v>42933</v>
      </c>
      <c r="B1142" s="2" t="s">
        <v>30</v>
      </c>
      <c r="C1142" s="2" t="s">
        <v>628</v>
      </c>
      <c r="D1142">
        <v>8</v>
      </c>
      <c r="E1142">
        <f>WEEKDAY(makulatura5[[#This Row],[Data_dostarczenia]],2)</f>
        <v>1</v>
      </c>
      <c r="F1142" s="2">
        <f t="shared" si="17"/>
        <v>0</v>
      </c>
    </row>
    <row r="1143" spans="1:6" x14ac:dyDescent="0.25">
      <c r="A1143" s="1">
        <v>42933</v>
      </c>
      <c r="B1143" s="2" t="s">
        <v>81</v>
      </c>
      <c r="C1143" s="2" t="s">
        <v>104</v>
      </c>
      <c r="D1143">
        <v>44</v>
      </c>
      <c r="E1143">
        <f>WEEKDAY(makulatura5[[#This Row],[Data_dostarczenia]],2)</f>
        <v>1</v>
      </c>
      <c r="F1143" s="2">
        <f t="shared" si="17"/>
        <v>0</v>
      </c>
    </row>
    <row r="1144" spans="1:6" x14ac:dyDescent="0.25">
      <c r="A1144" s="1">
        <v>42933</v>
      </c>
      <c r="B1144" s="2" t="s">
        <v>476</v>
      </c>
      <c r="C1144" s="2" t="s">
        <v>477</v>
      </c>
      <c r="D1144">
        <v>50</v>
      </c>
      <c r="E1144">
        <f>WEEKDAY(makulatura5[[#This Row],[Data_dostarczenia]],2)</f>
        <v>1</v>
      </c>
      <c r="F1144" s="2">
        <f t="shared" si="17"/>
        <v>0</v>
      </c>
    </row>
    <row r="1145" spans="1:6" x14ac:dyDescent="0.25">
      <c r="A1145" s="1">
        <v>42933</v>
      </c>
      <c r="B1145" s="2" t="s">
        <v>83</v>
      </c>
      <c r="C1145" s="2" t="s">
        <v>91</v>
      </c>
      <c r="D1145">
        <v>15</v>
      </c>
      <c r="E1145">
        <f>WEEKDAY(makulatura5[[#This Row],[Data_dostarczenia]],2)</f>
        <v>1</v>
      </c>
      <c r="F1145" s="2">
        <f t="shared" si="17"/>
        <v>0</v>
      </c>
    </row>
    <row r="1146" spans="1:6" x14ac:dyDescent="0.25">
      <c r="A1146" s="1">
        <v>42933</v>
      </c>
      <c r="B1146" s="2" t="s">
        <v>393</v>
      </c>
      <c r="C1146" s="2" t="s">
        <v>582</v>
      </c>
      <c r="D1146">
        <v>46</v>
      </c>
      <c r="E1146">
        <f>WEEKDAY(makulatura5[[#This Row],[Data_dostarczenia]],2)</f>
        <v>1</v>
      </c>
      <c r="F1146" s="2">
        <f t="shared" si="17"/>
        <v>0</v>
      </c>
    </row>
    <row r="1147" spans="1:6" x14ac:dyDescent="0.25">
      <c r="A1147" s="1">
        <v>42933</v>
      </c>
      <c r="B1147" s="2" t="s">
        <v>34</v>
      </c>
      <c r="C1147" s="2" t="s">
        <v>338</v>
      </c>
      <c r="D1147">
        <v>5</v>
      </c>
      <c r="E1147">
        <f>WEEKDAY(makulatura5[[#This Row],[Data_dostarczenia]],2)</f>
        <v>1</v>
      </c>
      <c r="F1147" s="2">
        <f t="shared" si="17"/>
        <v>1</v>
      </c>
    </row>
    <row r="1148" spans="1:6" x14ac:dyDescent="0.25">
      <c r="A1148" s="1">
        <v>42934</v>
      </c>
      <c r="B1148" s="2" t="s">
        <v>407</v>
      </c>
      <c r="C1148" s="2" t="s">
        <v>408</v>
      </c>
      <c r="D1148">
        <v>27</v>
      </c>
      <c r="E1148">
        <f>WEEKDAY(makulatura5[[#This Row],[Data_dostarczenia]],2)</f>
        <v>2</v>
      </c>
      <c r="F1148" s="2">
        <f t="shared" si="17"/>
        <v>0</v>
      </c>
    </row>
    <row r="1149" spans="1:6" x14ac:dyDescent="0.25">
      <c r="A1149" s="1">
        <v>42934</v>
      </c>
      <c r="B1149" s="2" t="s">
        <v>10</v>
      </c>
      <c r="C1149" s="2" t="s">
        <v>266</v>
      </c>
      <c r="D1149">
        <v>25</v>
      </c>
      <c r="E1149">
        <f>WEEKDAY(makulatura5[[#This Row],[Data_dostarczenia]],2)</f>
        <v>2</v>
      </c>
      <c r="F1149" s="2">
        <f t="shared" si="17"/>
        <v>0</v>
      </c>
    </row>
    <row r="1150" spans="1:6" x14ac:dyDescent="0.25">
      <c r="A1150" s="1">
        <v>42934</v>
      </c>
      <c r="B1150" s="2" t="s">
        <v>101</v>
      </c>
      <c r="C1150" s="2" t="s">
        <v>610</v>
      </c>
      <c r="D1150">
        <v>22</v>
      </c>
      <c r="E1150">
        <f>WEEKDAY(makulatura5[[#This Row],[Data_dostarczenia]],2)</f>
        <v>2</v>
      </c>
      <c r="F1150" s="2">
        <f t="shared" si="17"/>
        <v>0</v>
      </c>
    </row>
    <row r="1151" spans="1:6" x14ac:dyDescent="0.25">
      <c r="A1151" s="1">
        <v>42934</v>
      </c>
      <c r="B1151" s="2" t="s">
        <v>343</v>
      </c>
      <c r="C1151" s="2" t="s">
        <v>344</v>
      </c>
      <c r="D1151">
        <v>3</v>
      </c>
      <c r="E1151">
        <f>WEEKDAY(makulatura5[[#This Row],[Data_dostarczenia]],2)</f>
        <v>2</v>
      </c>
      <c r="F1151" s="2">
        <f t="shared" si="17"/>
        <v>0</v>
      </c>
    </row>
    <row r="1152" spans="1:6" x14ac:dyDescent="0.25">
      <c r="A1152" s="1">
        <v>42934</v>
      </c>
      <c r="B1152" s="2" t="s">
        <v>346</v>
      </c>
      <c r="C1152" s="2" t="s">
        <v>347</v>
      </c>
      <c r="D1152">
        <v>28</v>
      </c>
      <c r="E1152">
        <f>WEEKDAY(makulatura5[[#This Row],[Data_dostarczenia]],2)</f>
        <v>2</v>
      </c>
      <c r="F1152" s="2">
        <f t="shared" si="17"/>
        <v>0</v>
      </c>
    </row>
    <row r="1153" spans="1:6" x14ac:dyDescent="0.25">
      <c r="A1153" s="1">
        <v>42934</v>
      </c>
      <c r="B1153" s="2" t="s">
        <v>30</v>
      </c>
      <c r="C1153" s="2" t="s">
        <v>241</v>
      </c>
      <c r="D1153">
        <v>8</v>
      </c>
      <c r="E1153">
        <f>WEEKDAY(makulatura5[[#This Row],[Data_dostarczenia]],2)</f>
        <v>2</v>
      </c>
      <c r="F1153" s="2">
        <f t="shared" si="17"/>
        <v>0</v>
      </c>
    </row>
    <row r="1154" spans="1:6" x14ac:dyDescent="0.25">
      <c r="A1154" s="1">
        <v>42934</v>
      </c>
      <c r="B1154" s="2" t="s">
        <v>395</v>
      </c>
      <c r="C1154" s="2" t="s">
        <v>467</v>
      </c>
      <c r="D1154">
        <v>8</v>
      </c>
      <c r="E1154">
        <f>WEEKDAY(makulatura5[[#This Row],[Data_dostarczenia]],2)</f>
        <v>2</v>
      </c>
      <c r="F1154" s="2">
        <f t="shared" ref="F1154:F1217" si="18">IF(A1155=A1154,0,1)</f>
        <v>1</v>
      </c>
    </row>
    <row r="1155" spans="1:6" x14ac:dyDescent="0.25">
      <c r="A1155" s="1">
        <v>42935</v>
      </c>
      <c r="B1155" s="2" t="s">
        <v>106</v>
      </c>
      <c r="C1155" s="2" t="s">
        <v>107</v>
      </c>
      <c r="D1155">
        <v>18</v>
      </c>
      <c r="E1155">
        <f>WEEKDAY(makulatura5[[#This Row],[Data_dostarczenia]],2)</f>
        <v>3</v>
      </c>
      <c r="F1155" s="2">
        <f t="shared" si="18"/>
        <v>0</v>
      </c>
    </row>
    <row r="1156" spans="1:6" x14ac:dyDescent="0.25">
      <c r="A1156" s="1">
        <v>42935</v>
      </c>
      <c r="B1156" s="2" t="s">
        <v>201</v>
      </c>
      <c r="C1156" s="2" t="s">
        <v>598</v>
      </c>
      <c r="D1156">
        <v>27</v>
      </c>
      <c r="E1156">
        <f>WEEKDAY(makulatura5[[#This Row],[Data_dostarczenia]],2)</f>
        <v>3</v>
      </c>
      <c r="F1156" s="2">
        <f t="shared" si="18"/>
        <v>0</v>
      </c>
    </row>
    <row r="1157" spans="1:6" x14ac:dyDescent="0.25">
      <c r="A1157" s="1">
        <v>42935</v>
      </c>
      <c r="B1157" s="2" t="s">
        <v>278</v>
      </c>
      <c r="C1157" s="2" t="s">
        <v>530</v>
      </c>
      <c r="D1157">
        <v>23</v>
      </c>
      <c r="E1157">
        <f>WEEKDAY(makulatura5[[#This Row],[Data_dostarczenia]],2)</f>
        <v>3</v>
      </c>
      <c r="F1157" s="2">
        <f t="shared" si="18"/>
        <v>0</v>
      </c>
    </row>
    <row r="1158" spans="1:6" x14ac:dyDescent="0.25">
      <c r="A1158" s="1">
        <v>42935</v>
      </c>
      <c r="B1158" s="2" t="s">
        <v>12</v>
      </c>
      <c r="C1158" s="2" t="s">
        <v>13</v>
      </c>
      <c r="D1158">
        <v>46</v>
      </c>
      <c r="E1158">
        <f>WEEKDAY(makulatura5[[#This Row],[Data_dostarczenia]],2)</f>
        <v>3</v>
      </c>
      <c r="F1158" s="2">
        <f t="shared" si="18"/>
        <v>0</v>
      </c>
    </row>
    <row r="1159" spans="1:6" x14ac:dyDescent="0.25">
      <c r="A1159" s="1">
        <v>42935</v>
      </c>
      <c r="B1159" s="2" t="s">
        <v>150</v>
      </c>
      <c r="C1159" s="2" t="s">
        <v>200</v>
      </c>
      <c r="D1159">
        <v>16</v>
      </c>
      <c r="E1159">
        <f>WEEKDAY(makulatura5[[#This Row],[Data_dostarczenia]],2)</f>
        <v>3</v>
      </c>
      <c r="F1159" s="2">
        <f t="shared" si="18"/>
        <v>0</v>
      </c>
    </row>
    <row r="1160" spans="1:6" x14ac:dyDescent="0.25">
      <c r="A1160" s="1">
        <v>42935</v>
      </c>
      <c r="B1160" s="2" t="s">
        <v>39</v>
      </c>
      <c r="C1160" s="2" t="s">
        <v>289</v>
      </c>
      <c r="D1160">
        <v>27</v>
      </c>
      <c r="E1160">
        <f>WEEKDAY(makulatura5[[#This Row],[Data_dostarczenia]],2)</f>
        <v>3</v>
      </c>
      <c r="F1160" s="2">
        <f t="shared" si="18"/>
        <v>0</v>
      </c>
    </row>
    <row r="1161" spans="1:6" x14ac:dyDescent="0.25">
      <c r="A1161" s="1">
        <v>42935</v>
      </c>
      <c r="B1161" s="2" t="s">
        <v>83</v>
      </c>
      <c r="C1161" s="2" t="s">
        <v>547</v>
      </c>
      <c r="D1161">
        <v>12</v>
      </c>
      <c r="E1161">
        <f>WEEKDAY(makulatura5[[#This Row],[Data_dostarczenia]],2)</f>
        <v>3</v>
      </c>
      <c r="F1161" s="2">
        <f t="shared" si="18"/>
        <v>1</v>
      </c>
    </row>
    <row r="1162" spans="1:6" x14ac:dyDescent="0.25">
      <c r="A1162" s="1">
        <v>42936</v>
      </c>
      <c r="B1162" s="2" t="s">
        <v>150</v>
      </c>
      <c r="C1162" s="2" t="s">
        <v>556</v>
      </c>
      <c r="D1162">
        <v>21</v>
      </c>
      <c r="E1162">
        <f>WEEKDAY(makulatura5[[#This Row],[Data_dostarczenia]],2)</f>
        <v>4</v>
      </c>
      <c r="F1162" s="2">
        <f t="shared" si="18"/>
        <v>0</v>
      </c>
    </row>
    <row r="1163" spans="1:6" x14ac:dyDescent="0.25">
      <c r="A1163" s="1">
        <v>42936</v>
      </c>
      <c r="B1163" s="2" t="s">
        <v>407</v>
      </c>
      <c r="C1163" s="2" t="s">
        <v>408</v>
      </c>
      <c r="D1163">
        <v>45</v>
      </c>
      <c r="E1163">
        <f>WEEKDAY(makulatura5[[#This Row],[Data_dostarczenia]],2)</f>
        <v>4</v>
      </c>
      <c r="F1163" s="2">
        <f t="shared" si="18"/>
        <v>0</v>
      </c>
    </row>
    <row r="1164" spans="1:6" x14ac:dyDescent="0.25">
      <c r="A1164" s="1">
        <v>42936</v>
      </c>
      <c r="B1164" s="2" t="s">
        <v>150</v>
      </c>
      <c r="C1164" s="2" t="s">
        <v>200</v>
      </c>
      <c r="D1164">
        <v>22</v>
      </c>
      <c r="E1164">
        <f>WEEKDAY(makulatura5[[#This Row],[Data_dostarczenia]],2)</f>
        <v>4</v>
      </c>
      <c r="F1164" s="2">
        <f t="shared" si="18"/>
        <v>0</v>
      </c>
    </row>
    <row r="1165" spans="1:6" x14ac:dyDescent="0.25">
      <c r="A1165" s="1">
        <v>42936</v>
      </c>
      <c r="B1165" s="2" t="s">
        <v>32</v>
      </c>
      <c r="C1165" s="2" t="s">
        <v>406</v>
      </c>
      <c r="D1165">
        <v>40</v>
      </c>
      <c r="E1165">
        <f>WEEKDAY(makulatura5[[#This Row],[Data_dostarczenia]],2)</f>
        <v>4</v>
      </c>
      <c r="F1165" s="2">
        <f t="shared" si="18"/>
        <v>0</v>
      </c>
    </row>
    <row r="1166" spans="1:6" x14ac:dyDescent="0.25">
      <c r="A1166" s="1">
        <v>42936</v>
      </c>
      <c r="B1166" s="2" t="s">
        <v>278</v>
      </c>
      <c r="C1166" s="2" t="s">
        <v>530</v>
      </c>
      <c r="D1166">
        <v>10</v>
      </c>
      <c r="E1166">
        <f>WEEKDAY(makulatura5[[#This Row],[Data_dostarczenia]],2)</f>
        <v>4</v>
      </c>
      <c r="F1166" s="2">
        <f t="shared" si="18"/>
        <v>0</v>
      </c>
    </row>
    <row r="1167" spans="1:6" x14ac:dyDescent="0.25">
      <c r="A1167" s="1">
        <v>42936</v>
      </c>
      <c r="B1167" s="2" t="s">
        <v>65</v>
      </c>
      <c r="C1167" s="2" t="s">
        <v>116</v>
      </c>
      <c r="D1167">
        <v>33</v>
      </c>
      <c r="E1167">
        <f>WEEKDAY(makulatura5[[#This Row],[Data_dostarczenia]],2)</f>
        <v>4</v>
      </c>
      <c r="F1167" s="2">
        <f t="shared" si="18"/>
        <v>0</v>
      </c>
    </row>
    <row r="1168" spans="1:6" x14ac:dyDescent="0.25">
      <c r="A1168" s="1">
        <v>42936</v>
      </c>
      <c r="B1168" s="2" t="s">
        <v>57</v>
      </c>
      <c r="C1168" s="2" t="s">
        <v>58</v>
      </c>
      <c r="D1168">
        <v>15</v>
      </c>
      <c r="E1168">
        <f>WEEKDAY(makulatura5[[#This Row],[Data_dostarczenia]],2)</f>
        <v>4</v>
      </c>
      <c r="F1168" s="2">
        <f t="shared" si="18"/>
        <v>1</v>
      </c>
    </row>
    <row r="1169" spans="1:6" x14ac:dyDescent="0.25">
      <c r="A1169" s="1">
        <v>42937</v>
      </c>
      <c r="B1169" s="2" t="s">
        <v>282</v>
      </c>
      <c r="C1169" s="2" t="s">
        <v>283</v>
      </c>
      <c r="D1169">
        <v>12</v>
      </c>
      <c r="E1169">
        <f>WEEKDAY(makulatura5[[#This Row],[Data_dostarczenia]],2)</f>
        <v>5</v>
      </c>
      <c r="F1169" s="2">
        <f t="shared" si="18"/>
        <v>0</v>
      </c>
    </row>
    <row r="1170" spans="1:6" x14ac:dyDescent="0.25">
      <c r="A1170" s="1">
        <v>42937</v>
      </c>
      <c r="B1170" s="2" t="s">
        <v>69</v>
      </c>
      <c r="C1170" s="2" t="s">
        <v>70</v>
      </c>
      <c r="D1170">
        <v>32</v>
      </c>
      <c r="E1170">
        <f>WEEKDAY(makulatura5[[#This Row],[Data_dostarczenia]],2)</f>
        <v>5</v>
      </c>
      <c r="F1170" s="2">
        <f t="shared" si="18"/>
        <v>0</v>
      </c>
    </row>
    <row r="1171" spans="1:6" x14ac:dyDescent="0.25">
      <c r="A1171" s="1">
        <v>42937</v>
      </c>
      <c r="B1171" s="2" t="s">
        <v>232</v>
      </c>
      <c r="C1171" s="2" t="s">
        <v>405</v>
      </c>
      <c r="D1171">
        <v>10</v>
      </c>
      <c r="E1171">
        <f>WEEKDAY(makulatura5[[#This Row],[Data_dostarczenia]],2)</f>
        <v>5</v>
      </c>
      <c r="F1171" s="2">
        <f t="shared" si="18"/>
        <v>0</v>
      </c>
    </row>
    <row r="1172" spans="1:6" x14ac:dyDescent="0.25">
      <c r="A1172" s="1">
        <v>42937</v>
      </c>
      <c r="B1172" s="2" t="s">
        <v>69</v>
      </c>
      <c r="C1172" s="2" t="s">
        <v>70</v>
      </c>
      <c r="D1172">
        <v>5</v>
      </c>
      <c r="E1172">
        <f>WEEKDAY(makulatura5[[#This Row],[Data_dostarczenia]],2)</f>
        <v>5</v>
      </c>
      <c r="F1172" s="2">
        <f t="shared" si="18"/>
        <v>0</v>
      </c>
    </row>
    <row r="1173" spans="1:6" x14ac:dyDescent="0.25">
      <c r="A1173" s="1">
        <v>42937</v>
      </c>
      <c r="B1173" s="2" t="s">
        <v>442</v>
      </c>
      <c r="C1173" s="2" t="s">
        <v>540</v>
      </c>
      <c r="D1173">
        <v>28</v>
      </c>
      <c r="E1173">
        <f>WEEKDAY(makulatura5[[#This Row],[Data_dostarczenia]],2)</f>
        <v>5</v>
      </c>
      <c r="F1173" s="2">
        <f t="shared" si="18"/>
        <v>0</v>
      </c>
    </row>
    <row r="1174" spans="1:6" x14ac:dyDescent="0.25">
      <c r="A1174" s="1">
        <v>42937</v>
      </c>
      <c r="B1174" s="2" t="s">
        <v>144</v>
      </c>
      <c r="C1174" s="2" t="s">
        <v>390</v>
      </c>
      <c r="D1174">
        <v>11</v>
      </c>
      <c r="E1174">
        <f>WEEKDAY(makulatura5[[#This Row],[Data_dostarczenia]],2)</f>
        <v>5</v>
      </c>
      <c r="F1174" s="2">
        <f t="shared" si="18"/>
        <v>0</v>
      </c>
    </row>
    <row r="1175" spans="1:6" x14ac:dyDescent="0.25">
      <c r="A1175" s="1">
        <v>42937</v>
      </c>
      <c r="B1175" s="2" t="s">
        <v>589</v>
      </c>
      <c r="C1175" s="2" t="s">
        <v>590</v>
      </c>
      <c r="D1175">
        <v>11</v>
      </c>
      <c r="E1175">
        <f>WEEKDAY(makulatura5[[#This Row],[Data_dostarczenia]],2)</f>
        <v>5</v>
      </c>
      <c r="F1175" s="2">
        <f t="shared" si="18"/>
        <v>1</v>
      </c>
    </row>
    <row r="1176" spans="1:6" x14ac:dyDescent="0.25">
      <c r="A1176" s="1">
        <v>42940</v>
      </c>
      <c r="B1176" s="2" t="s">
        <v>39</v>
      </c>
      <c r="C1176" s="2" t="s">
        <v>391</v>
      </c>
      <c r="D1176">
        <v>28</v>
      </c>
      <c r="E1176">
        <f>WEEKDAY(makulatura5[[#This Row],[Data_dostarczenia]],2)</f>
        <v>1</v>
      </c>
      <c r="F1176" s="2">
        <f t="shared" si="18"/>
        <v>0</v>
      </c>
    </row>
    <row r="1177" spans="1:6" x14ac:dyDescent="0.25">
      <c r="A1177" s="1">
        <v>42940</v>
      </c>
      <c r="B1177" s="2" t="s">
        <v>346</v>
      </c>
      <c r="C1177" s="2" t="s">
        <v>347</v>
      </c>
      <c r="D1177">
        <v>13</v>
      </c>
      <c r="E1177">
        <f>WEEKDAY(makulatura5[[#This Row],[Data_dostarczenia]],2)</f>
        <v>1</v>
      </c>
      <c r="F1177" s="2">
        <f t="shared" si="18"/>
        <v>0</v>
      </c>
    </row>
    <row r="1178" spans="1:6" x14ac:dyDescent="0.25">
      <c r="A1178" s="1">
        <v>42940</v>
      </c>
      <c r="B1178" s="2" t="s">
        <v>10</v>
      </c>
      <c r="C1178" s="2" t="s">
        <v>629</v>
      </c>
      <c r="D1178">
        <v>22</v>
      </c>
      <c r="E1178">
        <f>WEEKDAY(makulatura5[[#This Row],[Data_dostarczenia]],2)</f>
        <v>1</v>
      </c>
      <c r="F1178" s="2">
        <f t="shared" si="18"/>
        <v>0</v>
      </c>
    </row>
    <row r="1179" spans="1:6" x14ac:dyDescent="0.25">
      <c r="A1179" s="1">
        <v>42940</v>
      </c>
      <c r="B1179" s="2" t="s">
        <v>47</v>
      </c>
      <c r="C1179" s="2" t="s">
        <v>630</v>
      </c>
      <c r="D1179">
        <v>19</v>
      </c>
      <c r="E1179">
        <f>WEEKDAY(makulatura5[[#This Row],[Data_dostarczenia]],2)</f>
        <v>1</v>
      </c>
      <c r="F1179" s="2">
        <f t="shared" si="18"/>
        <v>0</v>
      </c>
    </row>
    <row r="1180" spans="1:6" x14ac:dyDescent="0.25">
      <c r="A1180" s="1">
        <v>42940</v>
      </c>
      <c r="B1180" s="2" t="s">
        <v>157</v>
      </c>
      <c r="C1180" s="2" t="s">
        <v>115</v>
      </c>
      <c r="D1180">
        <v>46</v>
      </c>
      <c r="E1180">
        <f>WEEKDAY(makulatura5[[#This Row],[Data_dostarczenia]],2)</f>
        <v>1</v>
      </c>
      <c r="F1180" s="2">
        <f t="shared" si="18"/>
        <v>0</v>
      </c>
    </row>
    <row r="1181" spans="1:6" x14ac:dyDescent="0.25">
      <c r="A1181" s="1">
        <v>42940</v>
      </c>
      <c r="B1181" s="2" t="s">
        <v>203</v>
      </c>
      <c r="C1181" s="2" t="s">
        <v>204</v>
      </c>
      <c r="D1181">
        <v>17</v>
      </c>
      <c r="E1181">
        <f>WEEKDAY(makulatura5[[#This Row],[Data_dostarczenia]],2)</f>
        <v>1</v>
      </c>
      <c r="F1181" s="2">
        <f t="shared" si="18"/>
        <v>0</v>
      </c>
    </row>
    <row r="1182" spans="1:6" x14ac:dyDescent="0.25">
      <c r="A1182" s="1">
        <v>42940</v>
      </c>
      <c r="B1182" s="2" t="s">
        <v>101</v>
      </c>
      <c r="C1182" s="2" t="s">
        <v>212</v>
      </c>
      <c r="D1182">
        <v>27</v>
      </c>
      <c r="E1182">
        <f>WEEKDAY(makulatura5[[#This Row],[Data_dostarczenia]],2)</f>
        <v>1</v>
      </c>
      <c r="F1182" s="2">
        <f t="shared" si="18"/>
        <v>1</v>
      </c>
    </row>
    <row r="1183" spans="1:6" x14ac:dyDescent="0.25">
      <c r="A1183" s="1">
        <v>42941</v>
      </c>
      <c r="B1183" s="2" t="s">
        <v>133</v>
      </c>
      <c r="C1183" s="2" t="s">
        <v>499</v>
      </c>
      <c r="D1183">
        <v>3</v>
      </c>
      <c r="E1183">
        <f>WEEKDAY(makulatura5[[#This Row],[Data_dostarczenia]],2)</f>
        <v>2</v>
      </c>
      <c r="F1183" s="2">
        <f t="shared" si="18"/>
        <v>0</v>
      </c>
    </row>
    <row r="1184" spans="1:6" x14ac:dyDescent="0.25">
      <c r="A1184" s="1">
        <v>42941</v>
      </c>
      <c r="B1184" s="2" t="s">
        <v>393</v>
      </c>
      <c r="C1184" s="2" t="s">
        <v>394</v>
      </c>
      <c r="D1184">
        <v>11</v>
      </c>
      <c r="E1184">
        <f>WEEKDAY(makulatura5[[#This Row],[Data_dostarczenia]],2)</f>
        <v>2</v>
      </c>
      <c r="F1184" s="2">
        <f t="shared" si="18"/>
        <v>0</v>
      </c>
    </row>
    <row r="1185" spans="1:6" x14ac:dyDescent="0.25">
      <c r="A1185" s="1">
        <v>42941</v>
      </c>
      <c r="B1185" s="2" t="s">
        <v>176</v>
      </c>
      <c r="C1185" s="2" t="s">
        <v>177</v>
      </c>
      <c r="D1185">
        <v>17</v>
      </c>
      <c r="E1185">
        <f>WEEKDAY(makulatura5[[#This Row],[Data_dostarczenia]],2)</f>
        <v>2</v>
      </c>
      <c r="F1185" s="2">
        <f t="shared" si="18"/>
        <v>0</v>
      </c>
    </row>
    <row r="1186" spans="1:6" x14ac:dyDescent="0.25">
      <c r="A1186" s="1">
        <v>42941</v>
      </c>
      <c r="B1186" s="2" t="s">
        <v>217</v>
      </c>
      <c r="C1186" s="2" t="s">
        <v>218</v>
      </c>
      <c r="D1186">
        <v>16</v>
      </c>
      <c r="E1186">
        <f>WEEKDAY(makulatura5[[#This Row],[Data_dostarczenia]],2)</f>
        <v>2</v>
      </c>
      <c r="F1186" s="2">
        <f t="shared" si="18"/>
        <v>0</v>
      </c>
    </row>
    <row r="1187" spans="1:6" x14ac:dyDescent="0.25">
      <c r="A1187" s="1">
        <v>42941</v>
      </c>
      <c r="B1187" s="2" t="s">
        <v>39</v>
      </c>
      <c r="C1187" s="2" t="s">
        <v>40</v>
      </c>
      <c r="D1187">
        <v>25</v>
      </c>
      <c r="E1187">
        <f>WEEKDAY(makulatura5[[#This Row],[Data_dostarczenia]],2)</f>
        <v>2</v>
      </c>
      <c r="F1187" s="2">
        <f t="shared" si="18"/>
        <v>0</v>
      </c>
    </row>
    <row r="1188" spans="1:6" x14ac:dyDescent="0.25">
      <c r="A1188" s="1">
        <v>42941</v>
      </c>
      <c r="B1188" s="2" t="s">
        <v>271</v>
      </c>
      <c r="C1188" s="2" t="s">
        <v>272</v>
      </c>
      <c r="D1188">
        <v>43</v>
      </c>
      <c r="E1188">
        <f>WEEKDAY(makulatura5[[#This Row],[Data_dostarczenia]],2)</f>
        <v>2</v>
      </c>
      <c r="F1188" s="2">
        <f t="shared" si="18"/>
        <v>0</v>
      </c>
    </row>
    <row r="1189" spans="1:6" x14ac:dyDescent="0.25">
      <c r="A1189" s="1">
        <v>42941</v>
      </c>
      <c r="B1189" s="2" t="s">
        <v>208</v>
      </c>
      <c r="C1189" s="2" t="s">
        <v>209</v>
      </c>
      <c r="D1189">
        <v>5</v>
      </c>
      <c r="E1189">
        <f>WEEKDAY(makulatura5[[#This Row],[Data_dostarczenia]],2)</f>
        <v>2</v>
      </c>
      <c r="F1189" s="2">
        <f t="shared" si="18"/>
        <v>1</v>
      </c>
    </row>
    <row r="1190" spans="1:6" x14ac:dyDescent="0.25">
      <c r="A1190" s="1">
        <v>42942</v>
      </c>
      <c r="B1190" s="2" t="s">
        <v>343</v>
      </c>
      <c r="C1190" s="2" t="s">
        <v>344</v>
      </c>
      <c r="D1190">
        <v>21</v>
      </c>
      <c r="E1190">
        <f>WEEKDAY(makulatura5[[#This Row],[Data_dostarczenia]],2)</f>
        <v>3</v>
      </c>
      <c r="F1190" s="2">
        <f t="shared" si="18"/>
        <v>0</v>
      </c>
    </row>
    <row r="1191" spans="1:6" x14ac:dyDescent="0.25">
      <c r="A1191" s="1">
        <v>42942</v>
      </c>
      <c r="B1191" s="2" t="s">
        <v>252</v>
      </c>
      <c r="C1191" s="2" t="s">
        <v>253</v>
      </c>
      <c r="D1191">
        <v>48</v>
      </c>
      <c r="E1191">
        <f>WEEKDAY(makulatura5[[#This Row],[Data_dostarczenia]],2)</f>
        <v>3</v>
      </c>
      <c r="F1191" s="2">
        <f t="shared" si="18"/>
        <v>0</v>
      </c>
    </row>
    <row r="1192" spans="1:6" x14ac:dyDescent="0.25">
      <c r="A1192" s="1">
        <v>42942</v>
      </c>
      <c r="B1192" s="2" t="s">
        <v>97</v>
      </c>
      <c r="C1192" s="2" t="s">
        <v>529</v>
      </c>
      <c r="D1192">
        <v>29</v>
      </c>
      <c r="E1192">
        <f>WEEKDAY(makulatura5[[#This Row],[Data_dostarczenia]],2)</f>
        <v>3</v>
      </c>
      <c r="F1192" s="2">
        <f t="shared" si="18"/>
        <v>0</v>
      </c>
    </row>
    <row r="1193" spans="1:6" x14ac:dyDescent="0.25">
      <c r="A1193" s="1">
        <v>42942</v>
      </c>
      <c r="B1193" s="2" t="s">
        <v>273</v>
      </c>
      <c r="C1193" s="2" t="s">
        <v>274</v>
      </c>
      <c r="D1193">
        <v>23</v>
      </c>
      <c r="E1193">
        <f>WEEKDAY(makulatura5[[#This Row],[Data_dostarczenia]],2)</f>
        <v>3</v>
      </c>
      <c r="F1193" s="2">
        <f t="shared" si="18"/>
        <v>0</v>
      </c>
    </row>
    <row r="1194" spans="1:6" x14ac:dyDescent="0.25">
      <c r="A1194" s="1">
        <v>42942</v>
      </c>
      <c r="B1194" s="2" t="s">
        <v>133</v>
      </c>
      <c r="C1194" s="2" t="s">
        <v>616</v>
      </c>
      <c r="D1194">
        <v>52</v>
      </c>
      <c r="E1194">
        <f>WEEKDAY(makulatura5[[#This Row],[Data_dostarczenia]],2)</f>
        <v>3</v>
      </c>
      <c r="F1194" s="2">
        <f t="shared" si="18"/>
        <v>0</v>
      </c>
    </row>
    <row r="1195" spans="1:6" x14ac:dyDescent="0.25">
      <c r="A1195" s="1">
        <v>42942</v>
      </c>
      <c r="B1195" s="2" t="s">
        <v>87</v>
      </c>
      <c r="C1195" s="2" t="s">
        <v>124</v>
      </c>
      <c r="D1195">
        <v>6</v>
      </c>
      <c r="E1195">
        <f>WEEKDAY(makulatura5[[#This Row],[Data_dostarczenia]],2)</f>
        <v>3</v>
      </c>
      <c r="F1195" s="2">
        <f t="shared" si="18"/>
        <v>0</v>
      </c>
    </row>
    <row r="1196" spans="1:6" x14ac:dyDescent="0.25">
      <c r="A1196" s="1">
        <v>42942</v>
      </c>
      <c r="B1196" s="2" t="s">
        <v>393</v>
      </c>
      <c r="C1196" s="2" t="s">
        <v>419</v>
      </c>
      <c r="D1196">
        <v>29</v>
      </c>
      <c r="E1196">
        <f>WEEKDAY(makulatura5[[#This Row],[Data_dostarczenia]],2)</f>
        <v>3</v>
      </c>
      <c r="F1196" s="2">
        <f t="shared" si="18"/>
        <v>1</v>
      </c>
    </row>
    <row r="1197" spans="1:6" x14ac:dyDescent="0.25">
      <c r="A1197" s="1">
        <v>42943</v>
      </c>
      <c r="B1197" s="2" t="s">
        <v>494</v>
      </c>
      <c r="C1197" s="2" t="s">
        <v>495</v>
      </c>
      <c r="D1197">
        <v>26</v>
      </c>
      <c r="E1197">
        <f>WEEKDAY(makulatura5[[#This Row],[Data_dostarczenia]],2)</f>
        <v>4</v>
      </c>
      <c r="F1197" s="2">
        <f t="shared" si="18"/>
        <v>0</v>
      </c>
    </row>
    <row r="1198" spans="1:6" x14ac:dyDescent="0.25">
      <c r="A1198" s="1">
        <v>42943</v>
      </c>
      <c r="B1198" s="2" t="s">
        <v>232</v>
      </c>
      <c r="C1198" s="2" t="s">
        <v>573</v>
      </c>
      <c r="D1198">
        <v>13</v>
      </c>
      <c r="E1198">
        <f>WEEKDAY(makulatura5[[#This Row],[Data_dostarczenia]],2)</f>
        <v>4</v>
      </c>
      <c r="F1198" s="2">
        <f t="shared" si="18"/>
        <v>0</v>
      </c>
    </row>
    <row r="1199" spans="1:6" x14ac:dyDescent="0.25">
      <c r="A1199" s="1">
        <v>42943</v>
      </c>
      <c r="B1199" s="2" t="s">
        <v>87</v>
      </c>
      <c r="C1199" s="2" t="s">
        <v>397</v>
      </c>
      <c r="D1199">
        <v>28</v>
      </c>
      <c r="E1199">
        <f>WEEKDAY(makulatura5[[#This Row],[Data_dostarczenia]],2)</f>
        <v>4</v>
      </c>
      <c r="F1199" s="2">
        <f t="shared" si="18"/>
        <v>0</v>
      </c>
    </row>
    <row r="1200" spans="1:6" x14ac:dyDescent="0.25">
      <c r="A1200" s="1">
        <v>42943</v>
      </c>
      <c r="B1200" s="2" t="s">
        <v>416</v>
      </c>
      <c r="C1200" s="2" t="s">
        <v>572</v>
      </c>
      <c r="D1200">
        <v>3</v>
      </c>
      <c r="E1200">
        <f>WEEKDAY(makulatura5[[#This Row],[Data_dostarczenia]],2)</f>
        <v>4</v>
      </c>
      <c r="F1200" s="2">
        <f t="shared" si="18"/>
        <v>0</v>
      </c>
    </row>
    <row r="1201" spans="1:6" x14ac:dyDescent="0.25">
      <c r="A1201" s="1">
        <v>42943</v>
      </c>
      <c r="B1201" s="2" t="s">
        <v>442</v>
      </c>
      <c r="C1201" s="2" t="s">
        <v>443</v>
      </c>
      <c r="D1201">
        <v>42</v>
      </c>
      <c r="E1201">
        <f>WEEKDAY(makulatura5[[#This Row],[Data_dostarczenia]],2)</f>
        <v>4</v>
      </c>
      <c r="F1201" s="2">
        <f t="shared" si="18"/>
        <v>0</v>
      </c>
    </row>
    <row r="1202" spans="1:6" x14ac:dyDescent="0.25">
      <c r="A1202" s="1">
        <v>42943</v>
      </c>
      <c r="B1202" s="2" t="s">
        <v>121</v>
      </c>
      <c r="C1202" s="2" t="s">
        <v>122</v>
      </c>
      <c r="D1202">
        <v>15</v>
      </c>
      <c r="E1202">
        <f>WEEKDAY(makulatura5[[#This Row],[Data_dostarczenia]],2)</f>
        <v>4</v>
      </c>
      <c r="F1202" s="2">
        <f t="shared" si="18"/>
        <v>0</v>
      </c>
    </row>
    <row r="1203" spans="1:6" x14ac:dyDescent="0.25">
      <c r="A1203" s="1">
        <v>42943</v>
      </c>
      <c r="B1203" s="2" t="s">
        <v>234</v>
      </c>
      <c r="C1203" s="2" t="s">
        <v>227</v>
      </c>
      <c r="D1203">
        <v>3</v>
      </c>
      <c r="E1203">
        <f>WEEKDAY(makulatura5[[#This Row],[Data_dostarczenia]],2)</f>
        <v>4</v>
      </c>
      <c r="F1203" s="2">
        <f t="shared" si="18"/>
        <v>1</v>
      </c>
    </row>
    <row r="1204" spans="1:6" x14ac:dyDescent="0.25">
      <c r="A1204" s="1">
        <v>42944</v>
      </c>
      <c r="B1204" s="2" t="s">
        <v>10</v>
      </c>
      <c r="C1204" s="2" t="s">
        <v>11</v>
      </c>
      <c r="D1204">
        <v>17</v>
      </c>
      <c r="E1204">
        <f>WEEKDAY(makulatura5[[#This Row],[Data_dostarczenia]],2)</f>
        <v>5</v>
      </c>
      <c r="F1204" s="2">
        <f t="shared" si="18"/>
        <v>0</v>
      </c>
    </row>
    <row r="1205" spans="1:6" x14ac:dyDescent="0.25">
      <c r="A1205" s="1">
        <v>42944</v>
      </c>
      <c r="B1205" s="2" t="s">
        <v>20</v>
      </c>
      <c r="C1205" s="2" t="s">
        <v>381</v>
      </c>
      <c r="D1205">
        <v>18</v>
      </c>
      <c r="E1205">
        <f>WEEKDAY(makulatura5[[#This Row],[Data_dostarczenia]],2)</f>
        <v>5</v>
      </c>
      <c r="F1205" s="2">
        <f t="shared" si="18"/>
        <v>0</v>
      </c>
    </row>
    <row r="1206" spans="1:6" x14ac:dyDescent="0.25">
      <c r="A1206" s="1">
        <v>42944</v>
      </c>
      <c r="B1206" s="2" t="s">
        <v>32</v>
      </c>
      <c r="C1206" s="2" t="s">
        <v>33</v>
      </c>
      <c r="D1206">
        <v>23</v>
      </c>
      <c r="E1206">
        <f>WEEKDAY(makulatura5[[#This Row],[Data_dostarczenia]],2)</f>
        <v>5</v>
      </c>
      <c r="F1206" s="2">
        <f t="shared" si="18"/>
        <v>0</v>
      </c>
    </row>
    <row r="1207" spans="1:6" x14ac:dyDescent="0.25">
      <c r="A1207" s="1">
        <v>42944</v>
      </c>
      <c r="B1207" s="2" t="s">
        <v>374</v>
      </c>
      <c r="C1207" s="2" t="s">
        <v>581</v>
      </c>
      <c r="D1207">
        <v>34</v>
      </c>
      <c r="E1207">
        <f>WEEKDAY(makulatura5[[#This Row],[Data_dostarczenia]],2)</f>
        <v>5</v>
      </c>
      <c r="F1207" s="2">
        <f t="shared" si="18"/>
        <v>0</v>
      </c>
    </row>
    <row r="1208" spans="1:6" x14ac:dyDescent="0.25">
      <c r="A1208" s="1">
        <v>42944</v>
      </c>
      <c r="B1208" s="2" t="s">
        <v>133</v>
      </c>
      <c r="C1208" s="2" t="s">
        <v>616</v>
      </c>
      <c r="D1208">
        <v>16</v>
      </c>
      <c r="E1208">
        <f>WEEKDAY(makulatura5[[#This Row],[Data_dostarczenia]],2)</f>
        <v>5</v>
      </c>
      <c r="F1208" s="2">
        <f t="shared" si="18"/>
        <v>0</v>
      </c>
    </row>
    <row r="1209" spans="1:6" x14ac:dyDescent="0.25">
      <c r="A1209" s="1">
        <v>42944</v>
      </c>
      <c r="B1209" s="2" t="s">
        <v>290</v>
      </c>
      <c r="C1209" s="2" t="s">
        <v>291</v>
      </c>
      <c r="D1209">
        <v>29</v>
      </c>
      <c r="E1209">
        <f>WEEKDAY(makulatura5[[#This Row],[Data_dostarczenia]],2)</f>
        <v>5</v>
      </c>
      <c r="F1209" s="2">
        <f t="shared" si="18"/>
        <v>0</v>
      </c>
    </row>
    <row r="1210" spans="1:6" x14ac:dyDescent="0.25">
      <c r="A1210" s="1">
        <v>42944</v>
      </c>
      <c r="B1210" s="2" t="s">
        <v>67</v>
      </c>
      <c r="C1210" s="2" t="s">
        <v>301</v>
      </c>
      <c r="D1210">
        <v>14</v>
      </c>
      <c r="E1210">
        <f>WEEKDAY(makulatura5[[#This Row],[Data_dostarczenia]],2)</f>
        <v>5</v>
      </c>
      <c r="F1210" s="2">
        <f t="shared" si="18"/>
        <v>1</v>
      </c>
    </row>
    <row r="1211" spans="1:6" x14ac:dyDescent="0.25">
      <c r="A1211" s="1">
        <v>42947</v>
      </c>
      <c r="B1211" s="2" t="s">
        <v>178</v>
      </c>
      <c r="C1211" s="2" t="s">
        <v>242</v>
      </c>
      <c r="D1211">
        <v>2</v>
      </c>
      <c r="E1211">
        <f>WEEKDAY(makulatura5[[#This Row],[Data_dostarczenia]],2)</f>
        <v>1</v>
      </c>
      <c r="F1211" s="2">
        <f t="shared" si="18"/>
        <v>0</v>
      </c>
    </row>
    <row r="1212" spans="1:6" x14ac:dyDescent="0.25">
      <c r="A1212" s="1">
        <v>42947</v>
      </c>
      <c r="B1212" s="2" t="s">
        <v>34</v>
      </c>
      <c r="C1212" s="2" t="s">
        <v>564</v>
      </c>
      <c r="D1212">
        <v>55</v>
      </c>
      <c r="E1212">
        <f>WEEKDAY(makulatura5[[#This Row],[Data_dostarczenia]],2)</f>
        <v>1</v>
      </c>
      <c r="F1212" s="2">
        <f t="shared" si="18"/>
        <v>0</v>
      </c>
    </row>
    <row r="1213" spans="1:6" x14ac:dyDescent="0.25">
      <c r="A1213" s="1">
        <v>42947</v>
      </c>
      <c r="B1213" s="2" t="s">
        <v>201</v>
      </c>
      <c r="C1213" s="2" t="s">
        <v>357</v>
      </c>
      <c r="D1213">
        <v>20</v>
      </c>
      <c r="E1213">
        <f>WEEKDAY(makulatura5[[#This Row],[Data_dostarczenia]],2)</f>
        <v>1</v>
      </c>
      <c r="F1213" s="2">
        <f t="shared" si="18"/>
        <v>0</v>
      </c>
    </row>
    <row r="1214" spans="1:6" x14ac:dyDescent="0.25">
      <c r="A1214" s="1">
        <v>42947</v>
      </c>
      <c r="B1214" s="2" t="s">
        <v>10</v>
      </c>
      <c r="C1214" s="2" t="s">
        <v>423</v>
      </c>
      <c r="D1214">
        <v>40</v>
      </c>
      <c r="E1214">
        <f>WEEKDAY(makulatura5[[#This Row],[Data_dostarczenia]],2)</f>
        <v>1</v>
      </c>
      <c r="F1214" s="2">
        <f t="shared" si="18"/>
        <v>0</v>
      </c>
    </row>
    <row r="1215" spans="1:6" x14ac:dyDescent="0.25">
      <c r="A1215" s="1">
        <v>42947</v>
      </c>
      <c r="B1215" s="2" t="s">
        <v>36</v>
      </c>
      <c r="C1215" s="2" t="s">
        <v>306</v>
      </c>
      <c r="D1215">
        <v>13</v>
      </c>
      <c r="E1215">
        <f>WEEKDAY(makulatura5[[#This Row],[Data_dostarczenia]],2)</f>
        <v>1</v>
      </c>
      <c r="F1215" s="2">
        <f t="shared" si="18"/>
        <v>0</v>
      </c>
    </row>
    <row r="1216" spans="1:6" x14ac:dyDescent="0.25">
      <c r="A1216" s="1">
        <v>42947</v>
      </c>
      <c r="B1216" s="2" t="s">
        <v>83</v>
      </c>
      <c r="C1216" s="2" t="s">
        <v>513</v>
      </c>
      <c r="D1216">
        <v>53</v>
      </c>
      <c r="E1216">
        <f>WEEKDAY(makulatura5[[#This Row],[Data_dostarczenia]],2)</f>
        <v>1</v>
      </c>
      <c r="F1216" s="2">
        <f t="shared" si="18"/>
        <v>0</v>
      </c>
    </row>
    <row r="1217" spans="1:6" x14ac:dyDescent="0.25">
      <c r="A1217" s="1">
        <v>42947</v>
      </c>
      <c r="B1217" s="2" t="s">
        <v>65</v>
      </c>
      <c r="C1217" s="2" t="s">
        <v>631</v>
      </c>
      <c r="D1217">
        <v>51</v>
      </c>
      <c r="E1217">
        <f>WEEKDAY(makulatura5[[#This Row],[Data_dostarczenia]],2)</f>
        <v>1</v>
      </c>
      <c r="F1217" s="2">
        <f t="shared" si="18"/>
        <v>1</v>
      </c>
    </row>
    <row r="1218" spans="1:6" x14ac:dyDescent="0.25">
      <c r="A1218" s="1">
        <v>42948</v>
      </c>
      <c r="B1218" s="2" t="s">
        <v>47</v>
      </c>
      <c r="C1218" s="2" t="s">
        <v>336</v>
      </c>
      <c r="D1218">
        <v>17</v>
      </c>
      <c r="E1218">
        <f>WEEKDAY(makulatura5[[#This Row],[Data_dostarczenia]],2)</f>
        <v>2</v>
      </c>
      <c r="F1218" s="2">
        <f t="shared" ref="F1218:F1281" si="19">IF(A1219=A1218,0,1)</f>
        <v>0</v>
      </c>
    </row>
    <row r="1219" spans="1:6" x14ac:dyDescent="0.25">
      <c r="A1219" s="1">
        <v>42948</v>
      </c>
      <c r="B1219" s="2" t="s">
        <v>39</v>
      </c>
      <c r="C1219" s="2" t="s">
        <v>436</v>
      </c>
      <c r="D1219">
        <v>10</v>
      </c>
      <c r="E1219">
        <f>WEEKDAY(makulatura5[[#This Row],[Data_dostarczenia]],2)</f>
        <v>2</v>
      </c>
      <c r="F1219" s="2">
        <f t="shared" si="19"/>
        <v>0</v>
      </c>
    </row>
    <row r="1220" spans="1:6" x14ac:dyDescent="0.25">
      <c r="A1220" s="1">
        <v>42948</v>
      </c>
      <c r="B1220" s="2" t="s">
        <v>195</v>
      </c>
      <c r="C1220" s="2" t="s">
        <v>401</v>
      </c>
      <c r="D1220">
        <v>24</v>
      </c>
      <c r="E1220">
        <f>WEEKDAY(makulatura5[[#This Row],[Data_dostarczenia]],2)</f>
        <v>2</v>
      </c>
      <c r="F1220" s="2">
        <f t="shared" si="19"/>
        <v>0</v>
      </c>
    </row>
    <row r="1221" spans="1:6" x14ac:dyDescent="0.25">
      <c r="A1221" s="1">
        <v>42948</v>
      </c>
      <c r="B1221" s="2" t="s">
        <v>155</v>
      </c>
      <c r="C1221" s="2" t="s">
        <v>156</v>
      </c>
      <c r="D1221">
        <v>11</v>
      </c>
      <c r="E1221">
        <f>WEEKDAY(makulatura5[[#This Row],[Data_dostarczenia]],2)</f>
        <v>2</v>
      </c>
      <c r="F1221" s="2">
        <f t="shared" si="19"/>
        <v>0</v>
      </c>
    </row>
    <row r="1222" spans="1:6" x14ac:dyDescent="0.25">
      <c r="A1222" s="1">
        <v>42948</v>
      </c>
      <c r="B1222" s="2" t="s">
        <v>36</v>
      </c>
      <c r="C1222" s="2" t="s">
        <v>490</v>
      </c>
      <c r="D1222">
        <v>18</v>
      </c>
      <c r="E1222">
        <f>WEEKDAY(makulatura5[[#This Row],[Data_dostarczenia]],2)</f>
        <v>2</v>
      </c>
      <c r="F1222" s="2">
        <f t="shared" si="19"/>
        <v>0</v>
      </c>
    </row>
    <row r="1223" spans="1:6" x14ac:dyDescent="0.25">
      <c r="A1223" s="1">
        <v>42948</v>
      </c>
      <c r="B1223" s="2" t="s">
        <v>267</v>
      </c>
      <c r="C1223" s="2" t="s">
        <v>287</v>
      </c>
      <c r="D1223">
        <v>12</v>
      </c>
      <c r="E1223">
        <f>WEEKDAY(makulatura5[[#This Row],[Data_dostarczenia]],2)</f>
        <v>2</v>
      </c>
      <c r="F1223" s="2">
        <f t="shared" si="19"/>
        <v>0</v>
      </c>
    </row>
    <row r="1224" spans="1:6" x14ac:dyDescent="0.25">
      <c r="A1224" s="1">
        <v>42948</v>
      </c>
      <c r="B1224" s="2" t="s">
        <v>395</v>
      </c>
      <c r="C1224" s="2" t="s">
        <v>599</v>
      </c>
      <c r="D1224">
        <v>8</v>
      </c>
      <c r="E1224">
        <f>WEEKDAY(makulatura5[[#This Row],[Data_dostarczenia]],2)</f>
        <v>2</v>
      </c>
      <c r="F1224" s="2">
        <f t="shared" si="19"/>
        <v>1</v>
      </c>
    </row>
    <row r="1225" spans="1:6" x14ac:dyDescent="0.25">
      <c r="A1225" s="1">
        <v>42949</v>
      </c>
      <c r="B1225" s="2" t="s">
        <v>155</v>
      </c>
      <c r="C1225" s="2" t="s">
        <v>384</v>
      </c>
      <c r="D1225">
        <v>36</v>
      </c>
      <c r="E1225">
        <f>WEEKDAY(makulatura5[[#This Row],[Data_dostarczenia]],2)</f>
        <v>3</v>
      </c>
      <c r="F1225" s="2">
        <f t="shared" si="19"/>
        <v>0</v>
      </c>
    </row>
    <row r="1226" spans="1:6" x14ac:dyDescent="0.25">
      <c r="A1226" s="1">
        <v>42949</v>
      </c>
      <c r="B1226" s="2" t="s">
        <v>57</v>
      </c>
      <c r="C1226" s="2" t="s">
        <v>135</v>
      </c>
      <c r="D1226">
        <v>24</v>
      </c>
      <c r="E1226">
        <f>WEEKDAY(makulatura5[[#This Row],[Data_dostarczenia]],2)</f>
        <v>3</v>
      </c>
      <c r="F1226" s="2">
        <f t="shared" si="19"/>
        <v>0</v>
      </c>
    </row>
    <row r="1227" spans="1:6" x14ac:dyDescent="0.25">
      <c r="A1227" s="1">
        <v>42949</v>
      </c>
      <c r="B1227" s="2" t="s">
        <v>290</v>
      </c>
      <c r="C1227" s="2" t="s">
        <v>291</v>
      </c>
      <c r="D1227">
        <v>13</v>
      </c>
      <c r="E1227">
        <f>WEEKDAY(makulatura5[[#This Row],[Data_dostarczenia]],2)</f>
        <v>3</v>
      </c>
      <c r="F1227" s="2">
        <f t="shared" si="19"/>
        <v>0</v>
      </c>
    </row>
    <row r="1228" spans="1:6" x14ac:dyDescent="0.25">
      <c r="A1228" s="1">
        <v>42949</v>
      </c>
      <c r="B1228" s="2" t="s">
        <v>128</v>
      </c>
      <c r="C1228" s="2" t="s">
        <v>559</v>
      </c>
      <c r="D1228">
        <v>51</v>
      </c>
      <c r="E1228">
        <f>WEEKDAY(makulatura5[[#This Row],[Data_dostarczenia]],2)</f>
        <v>3</v>
      </c>
      <c r="F1228" s="2">
        <f t="shared" si="19"/>
        <v>0</v>
      </c>
    </row>
    <row r="1229" spans="1:6" x14ac:dyDescent="0.25">
      <c r="A1229" s="1">
        <v>42949</v>
      </c>
      <c r="B1229" s="2" t="s">
        <v>169</v>
      </c>
      <c r="C1229" s="2" t="s">
        <v>170</v>
      </c>
      <c r="D1229">
        <v>31</v>
      </c>
      <c r="E1229">
        <f>WEEKDAY(makulatura5[[#This Row],[Data_dostarczenia]],2)</f>
        <v>3</v>
      </c>
      <c r="F1229" s="2">
        <f t="shared" si="19"/>
        <v>0</v>
      </c>
    </row>
    <row r="1230" spans="1:6" x14ac:dyDescent="0.25">
      <c r="A1230" s="1">
        <v>42949</v>
      </c>
      <c r="B1230" s="2" t="s">
        <v>69</v>
      </c>
      <c r="C1230" s="2" t="s">
        <v>108</v>
      </c>
      <c r="D1230">
        <v>17</v>
      </c>
      <c r="E1230">
        <f>WEEKDAY(makulatura5[[#This Row],[Data_dostarczenia]],2)</f>
        <v>3</v>
      </c>
      <c r="F1230" s="2">
        <f t="shared" si="19"/>
        <v>0</v>
      </c>
    </row>
    <row r="1231" spans="1:6" x14ac:dyDescent="0.25">
      <c r="A1231" s="1">
        <v>42949</v>
      </c>
      <c r="B1231" s="2" t="s">
        <v>395</v>
      </c>
      <c r="C1231" s="2" t="s">
        <v>587</v>
      </c>
      <c r="D1231">
        <v>6</v>
      </c>
      <c r="E1231">
        <f>WEEKDAY(makulatura5[[#This Row],[Data_dostarczenia]],2)</f>
        <v>3</v>
      </c>
      <c r="F1231" s="2">
        <f t="shared" si="19"/>
        <v>1</v>
      </c>
    </row>
    <row r="1232" spans="1:6" x14ac:dyDescent="0.25">
      <c r="A1232" s="1">
        <v>42950</v>
      </c>
      <c r="B1232" s="2" t="s">
        <v>248</v>
      </c>
      <c r="C1232" s="2" t="s">
        <v>249</v>
      </c>
      <c r="D1232">
        <v>47</v>
      </c>
      <c r="E1232">
        <f>WEEKDAY(makulatura5[[#This Row],[Data_dostarczenia]],2)</f>
        <v>4</v>
      </c>
      <c r="F1232" s="2">
        <f t="shared" si="19"/>
        <v>0</v>
      </c>
    </row>
    <row r="1233" spans="1:6" x14ac:dyDescent="0.25">
      <c r="A1233" s="1">
        <v>42950</v>
      </c>
      <c r="B1233" s="2" t="s">
        <v>632</v>
      </c>
      <c r="C1233" s="2" t="s">
        <v>633</v>
      </c>
      <c r="D1233">
        <v>52</v>
      </c>
      <c r="E1233">
        <f>WEEKDAY(makulatura5[[#This Row],[Data_dostarczenia]],2)</f>
        <v>4</v>
      </c>
      <c r="F1233" s="2">
        <f t="shared" si="19"/>
        <v>0</v>
      </c>
    </row>
    <row r="1234" spans="1:6" x14ac:dyDescent="0.25">
      <c r="A1234" s="1">
        <v>42950</v>
      </c>
      <c r="B1234" s="2" t="s">
        <v>395</v>
      </c>
      <c r="C1234" s="2" t="s">
        <v>467</v>
      </c>
      <c r="D1234">
        <v>10</v>
      </c>
      <c r="E1234">
        <f>WEEKDAY(makulatura5[[#This Row],[Data_dostarczenia]],2)</f>
        <v>4</v>
      </c>
      <c r="F1234" s="2">
        <f t="shared" si="19"/>
        <v>0</v>
      </c>
    </row>
    <row r="1235" spans="1:6" x14ac:dyDescent="0.25">
      <c r="A1235" s="1">
        <v>42950</v>
      </c>
      <c r="B1235" s="2" t="s">
        <v>4</v>
      </c>
      <c r="C1235" s="2" t="s">
        <v>489</v>
      </c>
      <c r="D1235">
        <v>3</v>
      </c>
      <c r="E1235">
        <f>WEEKDAY(makulatura5[[#This Row],[Data_dostarczenia]],2)</f>
        <v>4</v>
      </c>
      <c r="F1235" s="2">
        <f t="shared" si="19"/>
        <v>0</v>
      </c>
    </row>
    <row r="1236" spans="1:6" x14ac:dyDescent="0.25">
      <c r="A1236" s="1">
        <v>42950</v>
      </c>
      <c r="B1236" s="2" t="s">
        <v>420</v>
      </c>
      <c r="C1236" s="2" t="s">
        <v>634</v>
      </c>
      <c r="D1236">
        <v>10</v>
      </c>
      <c r="E1236">
        <f>WEEKDAY(makulatura5[[#This Row],[Data_dostarczenia]],2)</f>
        <v>4</v>
      </c>
      <c r="F1236" s="2">
        <f t="shared" si="19"/>
        <v>0</v>
      </c>
    </row>
    <row r="1237" spans="1:6" x14ac:dyDescent="0.25">
      <c r="A1237" s="1">
        <v>42950</v>
      </c>
      <c r="B1237" s="2" t="s">
        <v>635</v>
      </c>
      <c r="C1237" s="2" t="s">
        <v>636</v>
      </c>
      <c r="D1237">
        <v>15</v>
      </c>
      <c r="E1237">
        <f>WEEKDAY(makulatura5[[#This Row],[Data_dostarczenia]],2)</f>
        <v>4</v>
      </c>
      <c r="F1237" s="2">
        <f t="shared" si="19"/>
        <v>0</v>
      </c>
    </row>
    <row r="1238" spans="1:6" x14ac:dyDescent="0.25">
      <c r="A1238" s="1">
        <v>42950</v>
      </c>
      <c r="B1238" s="2" t="s">
        <v>178</v>
      </c>
      <c r="C1238" s="2" t="s">
        <v>335</v>
      </c>
      <c r="D1238">
        <v>26</v>
      </c>
      <c r="E1238">
        <f>WEEKDAY(makulatura5[[#This Row],[Data_dostarczenia]],2)</f>
        <v>4</v>
      </c>
      <c r="F1238" s="2">
        <f t="shared" si="19"/>
        <v>1</v>
      </c>
    </row>
    <row r="1239" spans="1:6" x14ac:dyDescent="0.25">
      <c r="A1239" s="1">
        <v>42951</v>
      </c>
      <c r="B1239" s="2" t="s">
        <v>83</v>
      </c>
      <c r="C1239" s="2" t="s">
        <v>637</v>
      </c>
      <c r="D1239">
        <v>41</v>
      </c>
      <c r="E1239">
        <f>WEEKDAY(makulatura5[[#This Row],[Data_dostarczenia]],2)</f>
        <v>5</v>
      </c>
      <c r="F1239" s="2">
        <f t="shared" si="19"/>
        <v>0</v>
      </c>
    </row>
    <row r="1240" spans="1:6" x14ac:dyDescent="0.25">
      <c r="A1240" s="1">
        <v>42951</v>
      </c>
      <c r="B1240" s="2" t="s">
        <v>45</v>
      </c>
      <c r="C1240" s="2" t="s">
        <v>388</v>
      </c>
      <c r="D1240">
        <v>20</v>
      </c>
      <c r="E1240">
        <f>WEEKDAY(makulatura5[[#This Row],[Data_dostarczenia]],2)</f>
        <v>5</v>
      </c>
      <c r="F1240" s="2">
        <f t="shared" si="19"/>
        <v>0</v>
      </c>
    </row>
    <row r="1241" spans="1:6" x14ac:dyDescent="0.25">
      <c r="A1241" s="1">
        <v>42951</v>
      </c>
      <c r="B1241" s="2" t="s">
        <v>101</v>
      </c>
      <c r="C1241" s="2" t="s">
        <v>188</v>
      </c>
      <c r="D1241">
        <v>9</v>
      </c>
      <c r="E1241">
        <f>WEEKDAY(makulatura5[[#This Row],[Data_dostarczenia]],2)</f>
        <v>5</v>
      </c>
      <c r="F1241" s="2">
        <f t="shared" si="19"/>
        <v>0</v>
      </c>
    </row>
    <row r="1242" spans="1:6" x14ac:dyDescent="0.25">
      <c r="A1242" s="1">
        <v>42951</v>
      </c>
      <c r="B1242" s="2" t="s">
        <v>92</v>
      </c>
      <c r="C1242" s="2" t="s">
        <v>638</v>
      </c>
      <c r="D1242">
        <v>14</v>
      </c>
      <c r="E1242">
        <f>WEEKDAY(makulatura5[[#This Row],[Data_dostarczenia]],2)</f>
        <v>5</v>
      </c>
      <c r="F1242" s="2">
        <f t="shared" si="19"/>
        <v>0</v>
      </c>
    </row>
    <row r="1243" spans="1:6" x14ac:dyDescent="0.25">
      <c r="A1243" s="1">
        <v>42951</v>
      </c>
      <c r="B1243" s="2" t="s">
        <v>147</v>
      </c>
      <c r="C1243" s="2" t="s">
        <v>578</v>
      </c>
      <c r="D1243">
        <v>14</v>
      </c>
      <c r="E1243">
        <f>WEEKDAY(makulatura5[[#This Row],[Data_dostarczenia]],2)</f>
        <v>5</v>
      </c>
      <c r="F1243" s="2">
        <f t="shared" si="19"/>
        <v>0</v>
      </c>
    </row>
    <row r="1244" spans="1:6" x14ac:dyDescent="0.25">
      <c r="A1244" s="1">
        <v>42951</v>
      </c>
      <c r="B1244" s="2" t="s">
        <v>65</v>
      </c>
      <c r="C1244" s="2" t="s">
        <v>83</v>
      </c>
      <c r="D1244">
        <v>16</v>
      </c>
      <c r="E1244">
        <f>WEEKDAY(makulatura5[[#This Row],[Data_dostarczenia]],2)</f>
        <v>5</v>
      </c>
      <c r="F1244" s="2">
        <f t="shared" si="19"/>
        <v>0</v>
      </c>
    </row>
    <row r="1245" spans="1:6" x14ac:dyDescent="0.25">
      <c r="A1245" s="1">
        <v>42951</v>
      </c>
      <c r="B1245" s="2" t="s">
        <v>367</v>
      </c>
      <c r="C1245" s="2" t="s">
        <v>5</v>
      </c>
      <c r="D1245">
        <v>54</v>
      </c>
      <c r="E1245">
        <f>WEEKDAY(makulatura5[[#This Row],[Data_dostarczenia]],2)</f>
        <v>5</v>
      </c>
      <c r="F1245" s="2">
        <f t="shared" si="19"/>
        <v>1</v>
      </c>
    </row>
    <row r="1246" spans="1:6" x14ac:dyDescent="0.25">
      <c r="A1246" s="1">
        <v>42954</v>
      </c>
      <c r="B1246" s="2" t="s">
        <v>23</v>
      </c>
      <c r="C1246" s="2" t="s">
        <v>592</v>
      </c>
      <c r="D1246">
        <v>11</v>
      </c>
      <c r="E1246">
        <f>WEEKDAY(makulatura5[[#This Row],[Data_dostarczenia]],2)</f>
        <v>1</v>
      </c>
      <c r="F1246" s="2">
        <f t="shared" si="19"/>
        <v>0</v>
      </c>
    </row>
    <row r="1247" spans="1:6" x14ac:dyDescent="0.25">
      <c r="A1247" s="1">
        <v>42954</v>
      </c>
      <c r="B1247" s="2" t="s">
        <v>339</v>
      </c>
      <c r="C1247" s="2" t="s">
        <v>340</v>
      </c>
      <c r="D1247">
        <v>6</v>
      </c>
      <c r="E1247">
        <f>WEEKDAY(makulatura5[[#This Row],[Data_dostarczenia]],2)</f>
        <v>1</v>
      </c>
      <c r="F1247" s="2">
        <f t="shared" si="19"/>
        <v>0</v>
      </c>
    </row>
    <row r="1248" spans="1:6" x14ac:dyDescent="0.25">
      <c r="A1248" s="1">
        <v>42954</v>
      </c>
      <c r="B1248" s="2" t="s">
        <v>83</v>
      </c>
      <c r="C1248" s="2" t="s">
        <v>596</v>
      </c>
      <c r="D1248">
        <v>19</v>
      </c>
      <c r="E1248">
        <f>WEEKDAY(makulatura5[[#This Row],[Data_dostarczenia]],2)</f>
        <v>1</v>
      </c>
      <c r="F1248" s="2">
        <f t="shared" si="19"/>
        <v>0</v>
      </c>
    </row>
    <row r="1249" spans="1:6" x14ac:dyDescent="0.25">
      <c r="A1249" s="1">
        <v>42954</v>
      </c>
      <c r="B1249" s="2" t="s">
        <v>314</v>
      </c>
      <c r="C1249" s="2" t="s">
        <v>466</v>
      </c>
      <c r="D1249">
        <v>13</v>
      </c>
      <c r="E1249">
        <f>WEEKDAY(makulatura5[[#This Row],[Data_dostarczenia]],2)</f>
        <v>1</v>
      </c>
      <c r="F1249" s="2">
        <f t="shared" si="19"/>
        <v>0</v>
      </c>
    </row>
    <row r="1250" spans="1:6" x14ac:dyDescent="0.25">
      <c r="A1250" s="1">
        <v>42954</v>
      </c>
      <c r="B1250" s="2" t="s">
        <v>43</v>
      </c>
      <c r="C1250" s="2" t="s">
        <v>507</v>
      </c>
      <c r="D1250">
        <v>35</v>
      </c>
      <c r="E1250">
        <f>WEEKDAY(makulatura5[[#This Row],[Data_dostarczenia]],2)</f>
        <v>1</v>
      </c>
      <c r="F1250" s="2">
        <f t="shared" si="19"/>
        <v>0</v>
      </c>
    </row>
    <row r="1251" spans="1:6" x14ac:dyDescent="0.25">
      <c r="A1251" s="1">
        <v>42954</v>
      </c>
      <c r="B1251" s="2" t="s">
        <v>83</v>
      </c>
      <c r="C1251" s="2" t="s">
        <v>513</v>
      </c>
      <c r="D1251">
        <v>14</v>
      </c>
      <c r="E1251">
        <f>WEEKDAY(makulatura5[[#This Row],[Data_dostarczenia]],2)</f>
        <v>1</v>
      </c>
      <c r="F1251" s="2">
        <f t="shared" si="19"/>
        <v>0</v>
      </c>
    </row>
    <row r="1252" spans="1:6" x14ac:dyDescent="0.25">
      <c r="A1252" s="1">
        <v>42954</v>
      </c>
      <c r="B1252" s="2" t="s">
        <v>106</v>
      </c>
      <c r="C1252" s="2" t="s">
        <v>277</v>
      </c>
      <c r="D1252">
        <v>7</v>
      </c>
      <c r="E1252">
        <f>WEEKDAY(makulatura5[[#This Row],[Data_dostarczenia]],2)</f>
        <v>1</v>
      </c>
      <c r="F1252" s="2">
        <f t="shared" si="19"/>
        <v>1</v>
      </c>
    </row>
    <row r="1253" spans="1:6" x14ac:dyDescent="0.25">
      <c r="A1253" s="1">
        <v>42955</v>
      </c>
      <c r="B1253" s="2" t="s">
        <v>141</v>
      </c>
      <c r="C1253" s="2" t="s">
        <v>447</v>
      </c>
      <c r="D1253">
        <v>54</v>
      </c>
      <c r="E1253">
        <f>WEEKDAY(makulatura5[[#This Row],[Data_dostarczenia]],2)</f>
        <v>2</v>
      </c>
      <c r="F1253" s="2">
        <f t="shared" si="19"/>
        <v>0</v>
      </c>
    </row>
    <row r="1254" spans="1:6" x14ac:dyDescent="0.25">
      <c r="A1254" s="1">
        <v>42955</v>
      </c>
      <c r="B1254" s="2" t="s">
        <v>4</v>
      </c>
      <c r="C1254" s="2" t="s">
        <v>5</v>
      </c>
      <c r="D1254">
        <v>11</v>
      </c>
      <c r="E1254">
        <f>WEEKDAY(makulatura5[[#This Row],[Data_dostarczenia]],2)</f>
        <v>2</v>
      </c>
      <c r="F1254" s="2">
        <f t="shared" si="19"/>
        <v>0</v>
      </c>
    </row>
    <row r="1255" spans="1:6" x14ac:dyDescent="0.25">
      <c r="A1255" s="1">
        <v>42955</v>
      </c>
      <c r="B1255" s="2" t="s">
        <v>83</v>
      </c>
      <c r="C1255" s="2" t="s">
        <v>591</v>
      </c>
      <c r="D1255">
        <v>8</v>
      </c>
      <c r="E1255">
        <f>WEEKDAY(makulatura5[[#This Row],[Data_dostarczenia]],2)</f>
        <v>2</v>
      </c>
      <c r="F1255" s="2">
        <f t="shared" si="19"/>
        <v>0</v>
      </c>
    </row>
    <row r="1256" spans="1:6" x14ac:dyDescent="0.25">
      <c r="A1256" s="1">
        <v>42955</v>
      </c>
      <c r="B1256" s="2" t="s">
        <v>412</v>
      </c>
      <c r="C1256" s="2" t="s">
        <v>413</v>
      </c>
      <c r="D1256">
        <v>3</v>
      </c>
      <c r="E1256">
        <f>WEEKDAY(makulatura5[[#This Row],[Data_dostarczenia]],2)</f>
        <v>2</v>
      </c>
      <c r="F1256" s="2">
        <f t="shared" si="19"/>
        <v>0</v>
      </c>
    </row>
    <row r="1257" spans="1:6" x14ac:dyDescent="0.25">
      <c r="A1257" s="1">
        <v>42955</v>
      </c>
      <c r="B1257" s="2" t="s">
        <v>314</v>
      </c>
      <c r="C1257" s="2" t="s">
        <v>535</v>
      </c>
      <c r="D1257">
        <v>2</v>
      </c>
      <c r="E1257">
        <f>WEEKDAY(makulatura5[[#This Row],[Data_dostarczenia]],2)</f>
        <v>2</v>
      </c>
      <c r="F1257" s="2">
        <f t="shared" si="19"/>
        <v>0</v>
      </c>
    </row>
    <row r="1258" spans="1:6" x14ac:dyDescent="0.25">
      <c r="A1258" s="1">
        <v>42955</v>
      </c>
      <c r="B1258" s="2" t="s">
        <v>81</v>
      </c>
      <c r="C1258" s="2" t="s">
        <v>165</v>
      </c>
      <c r="D1258">
        <v>25</v>
      </c>
      <c r="E1258">
        <f>WEEKDAY(makulatura5[[#This Row],[Data_dostarczenia]],2)</f>
        <v>2</v>
      </c>
      <c r="F1258" s="2">
        <f t="shared" si="19"/>
        <v>0</v>
      </c>
    </row>
    <row r="1259" spans="1:6" x14ac:dyDescent="0.25">
      <c r="A1259" s="1">
        <v>42955</v>
      </c>
      <c r="B1259" s="2" t="s">
        <v>412</v>
      </c>
      <c r="C1259" s="2" t="s">
        <v>413</v>
      </c>
      <c r="D1259">
        <v>44</v>
      </c>
      <c r="E1259">
        <f>WEEKDAY(makulatura5[[#This Row],[Data_dostarczenia]],2)</f>
        <v>2</v>
      </c>
      <c r="F1259" s="2">
        <f t="shared" si="19"/>
        <v>1</v>
      </c>
    </row>
    <row r="1260" spans="1:6" x14ac:dyDescent="0.25">
      <c r="A1260" s="1">
        <v>42956</v>
      </c>
      <c r="B1260" s="2" t="s">
        <v>553</v>
      </c>
      <c r="C1260" s="2" t="s">
        <v>554</v>
      </c>
      <c r="D1260">
        <v>13</v>
      </c>
      <c r="E1260">
        <f>WEEKDAY(makulatura5[[#This Row],[Data_dostarczenia]],2)</f>
        <v>3</v>
      </c>
      <c r="F1260" s="2">
        <f t="shared" si="19"/>
        <v>0</v>
      </c>
    </row>
    <row r="1261" spans="1:6" x14ac:dyDescent="0.25">
      <c r="A1261" s="1">
        <v>42956</v>
      </c>
      <c r="B1261" s="2" t="s">
        <v>81</v>
      </c>
      <c r="C1261" s="2" t="s">
        <v>584</v>
      </c>
      <c r="D1261">
        <v>44</v>
      </c>
      <c r="E1261">
        <f>WEEKDAY(makulatura5[[#This Row],[Data_dostarczenia]],2)</f>
        <v>3</v>
      </c>
      <c r="F1261" s="2">
        <f t="shared" si="19"/>
        <v>0</v>
      </c>
    </row>
    <row r="1262" spans="1:6" x14ac:dyDescent="0.25">
      <c r="A1262" s="1">
        <v>42956</v>
      </c>
      <c r="B1262" s="2" t="s">
        <v>232</v>
      </c>
      <c r="C1262" s="2" t="s">
        <v>451</v>
      </c>
      <c r="D1262">
        <v>21</v>
      </c>
      <c r="E1262">
        <f>WEEKDAY(makulatura5[[#This Row],[Data_dostarczenia]],2)</f>
        <v>3</v>
      </c>
      <c r="F1262" s="2">
        <f t="shared" si="19"/>
        <v>0</v>
      </c>
    </row>
    <row r="1263" spans="1:6" x14ac:dyDescent="0.25">
      <c r="A1263" s="1">
        <v>42956</v>
      </c>
      <c r="B1263" s="2" t="s">
        <v>87</v>
      </c>
      <c r="C1263" s="2" t="s">
        <v>255</v>
      </c>
      <c r="D1263">
        <v>4</v>
      </c>
      <c r="E1263">
        <f>WEEKDAY(makulatura5[[#This Row],[Data_dostarczenia]],2)</f>
        <v>3</v>
      </c>
      <c r="F1263" s="2">
        <f t="shared" si="19"/>
        <v>0</v>
      </c>
    </row>
    <row r="1264" spans="1:6" x14ac:dyDescent="0.25">
      <c r="A1264" s="1">
        <v>42956</v>
      </c>
      <c r="B1264" s="2" t="s">
        <v>128</v>
      </c>
      <c r="C1264" s="2" t="s">
        <v>639</v>
      </c>
      <c r="D1264">
        <v>6</v>
      </c>
      <c r="E1264">
        <f>WEEKDAY(makulatura5[[#This Row],[Data_dostarczenia]],2)</f>
        <v>3</v>
      </c>
      <c r="F1264" s="2">
        <f t="shared" si="19"/>
        <v>0</v>
      </c>
    </row>
    <row r="1265" spans="1:6" x14ac:dyDescent="0.25">
      <c r="A1265" s="1">
        <v>42956</v>
      </c>
      <c r="B1265" s="2" t="s">
        <v>81</v>
      </c>
      <c r="C1265" s="2" t="s">
        <v>82</v>
      </c>
      <c r="D1265">
        <v>17</v>
      </c>
      <c r="E1265">
        <f>WEEKDAY(makulatura5[[#This Row],[Data_dostarczenia]],2)</f>
        <v>3</v>
      </c>
      <c r="F1265" s="2">
        <f t="shared" si="19"/>
        <v>0</v>
      </c>
    </row>
    <row r="1266" spans="1:6" x14ac:dyDescent="0.25">
      <c r="A1266" s="1">
        <v>42956</v>
      </c>
      <c r="B1266" s="2" t="s">
        <v>14</v>
      </c>
      <c r="C1266" s="2" t="s">
        <v>430</v>
      </c>
      <c r="D1266">
        <v>12</v>
      </c>
      <c r="E1266">
        <f>WEEKDAY(makulatura5[[#This Row],[Data_dostarczenia]],2)</f>
        <v>3</v>
      </c>
      <c r="F1266" s="2">
        <f t="shared" si="19"/>
        <v>1</v>
      </c>
    </row>
    <row r="1267" spans="1:6" x14ac:dyDescent="0.25">
      <c r="A1267" s="1">
        <v>42957</v>
      </c>
      <c r="B1267" s="2" t="s">
        <v>141</v>
      </c>
      <c r="C1267" s="2" t="s">
        <v>435</v>
      </c>
      <c r="D1267">
        <v>21</v>
      </c>
      <c r="E1267">
        <f>WEEKDAY(makulatura5[[#This Row],[Data_dostarczenia]],2)</f>
        <v>4</v>
      </c>
      <c r="F1267" s="2">
        <f t="shared" si="19"/>
        <v>0</v>
      </c>
    </row>
    <row r="1268" spans="1:6" x14ac:dyDescent="0.25">
      <c r="A1268" s="1">
        <v>42957</v>
      </c>
      <c r="B1268" s="2" t="s">
        <v>640</v>
      </c>
      <c r="C1268" s="2" t="s">
        <v>199</v>
      </c>
      <c r="D1268">
        <v>12</v>
      </c>
      <c r="E1268">
        <f>WEEKDAY(makulatura5[[#This Row],[Data_dostarczenia]],2)</f>
        <v>4</v>
      </c>
      <c r="F1268" s="2">
        <f t="shared" si="19"/>
        <v>0</v>
      </c>
    </row>
    <row r="1269" spans="1:6" x14ac:dyDescent="0.25">
      <c r="A1269" s="1">
        <v>42957</v>
      </c>
      <c r="B1269" s="2" t="s">
        <v>63</v>
      </c>
      <c r="C1269" s="2" t="s">
        <v>231</v>
      </c>
      <c r="D1269">
        <v>54</v>
      </c>
      <c r="E1269">
        <f>WEEKDAY(makulatura5[[#This Row],[Data_dostarczenia]],2)</f>
        <v>4</v>
      </c>
      <c r="F1269" s="2">
        <f t="shared" si="19"/>
        <v>0</v>
      </c>
    </row>
    <row r="1270" spans="1:6" x14ac:dyDescent="0.25">
      <c r="A1270" s="1">
        <v>42957</v>
      </c>
      <c r="B1270" s="2" t="s">
        <v>150</v>
      </c>
      <c r="C1270" s="2" t="s">
        <v>641</v>
      </c>
      <c r="D1270">
        <v>11</v>
      </c>
      <c r="E1270">
        <f>WEEKDAY(makulatura5[[#This Row],[Data_dostarczenia]],2)</f>
        <v>4</v>
      </c>
      <c r="F1270" s="2">
        <f t="shared" si="19"/>
        <v>0</v>
      </c>
    </row>
    <row r="1271" spans="1:6" x14ac:dyDescent="0.25">
      <c r="A1271" s="1">
        <v>42957</v>
      </c>
      <c r="B1271" s="2" t="s">
        <v>39</v>
      </c>
      <c r="C1271" s="2" t="s">
        <v>609</v>
      </c>
      <c r="D1271">
        <v>47</v>
      </c>
      <c r="E1271">
        <f>WEEKDAY(makulatura5[[#This Row],[Data_dostarczenia]],2)</f>
        <v>4</v>
      </c>
      <c r="F1271" s="2">
        <f t="shared" si="19"/>
        <v>0</v>
      </c>
    </row>
    <row r="1272" spans="1:6" x14ac:dyDescent="0.25">
      <c r="A1272" s="1">
        <v>42957</v>
      </c>
      <c r="B1272" s="2" t="s">
        <v>77</v>
      </c>
      <c r="C1272" s="2" t="s">
        <v>384</v>
      </c>
      <c r="D1272">
        <v>55</v>
      </c>
      <c r="E1272">
        <f>WEEKDAY(makulatura5[[#This Row],[Data_dostarczenia]],2)</f>
        <v>4</v>
      </c>
      <c r="F1272" s="2">
        <f t="shared" si="19"/>
        <v>0</v>
      </c>
    </row>
    <row r="1273" spans="1:6" x14ac:dyDescent="0.25">
      <c r="A1273" s="1">
        <v>42957</v>
      </c>
      <c r="B1273" s="2" t="s">
        <v>14</v>
      </c>
      <c r="C1273" s="2" t="s">
        <v>422</v>
      </c>
      <c r="D1273">
        <v>24</v>
      </c>
      <c r="E1273">
        <f>WEEKDAY(makulatura5[[#This Row],[Data_dostarczenia]],2)</f>
        <v>4</v>
      </c>
      <c r="F1273" s="2">
        <f t="shared" si="19"/>
        <v>1</v>
      </c>
    </row>
    <row r="1274" spans="1:6" x14ac:dyDescent="0.25">
      <c r="A1274" s="1">
        <v>42958</v>
      </c>
      <c r="B1274" s="2" t="s">
        <v>16</v>
      </c>
      <c r="C1274" s="2" t="s">
        <v>642</v>
      </c>
      <c r="D1274">
        <v>3</v>
      </c>
      <c r="E1274">
        <f>WEEKDAY(makulatura5[[#This Row],[Data_dostarczenia]],2)</f>
        <v>5</v>
      </c>
      <c r="F1274" s="2">
        <f t="shared" si="19"/>
        <v>0</v>
      </c>
    </row>
    <row r="1275" spans="1:6" x14ac:dyDescent="0.25">
      <c r="A1275" s="1">
        <v>42958</v>
      </c>
      <c r="B1275" s="2" t="s">
        <v>39</v>
      </c>
      <c r="C1275" s="2" t="s">
        <v>289</v>
      </c>
      <c r="D1275">
        <v>15</v>
      </c>
      <c r="E1275">
        <f>WEEKDAY(makulatura5[[#This Row],[Data_dostarczenia]],2)</f>
        <v>5</v>
      </c>
      <c r="F1275" s="2">
        <f t="shared" si="19"/>
        <v>0</v>
      </c>
    </row>
    <row r="1276" spans="1:6" x14ac:dyDescent="0.25">
      <c r="A1276" s="1">
        <v>42958</v>
      </c>
      <c r="B1276" s="2" t="s">
        <v>201</v>
      </c>
      <c r="C1276" s="2" t="s">
        <v>643</v>
      </c>
      <c r="D1276">
        <v>15</v>
      </c>
      <c r="E1276">
        <f>WEEKDAY(makulatura5[[#This Row],[Data_dostarczenia]],2)</f>
        <v>5</v>
      </c>
      <c r="F1276" s="2">
        <f t="shared" si="19"/>
        <v>0</v>
      </c>
    </row>
    <row r="1277" spans="1:6" x14ac:dyDescent="0.25">
      <c r="A1277" s="1">
        <v>42958</v>
      </c>
      <c r="B1277" s="2" t="s">
        <v>34</v>
      </c>
      <c r="C1277" s="2" t="s">
        <v>35</v>
      </c>
      <c r="D1277">
        <v>27</v>
      </c>
      <c r="E1277">
        <f>WEEKDAY(makulatura5[[#This Row],[Data_dostarczenia]],2)</f>
        <v>5</v>
      </c>
      <c r="F1277" s="2">
        <f t="shared" si="19"/>
        <v>0</v>
      </c>
    </row>
    <row r="1278" spans="1:6" x14ac:dyDescent="0.25">
      <c r="A1278" s="1">
        <v>42958</v>
      </c>
      <c r="B1278" s="2" t="s">
        <v>55</v>
      </c>
      <c r="C1278" s="2" t="s">
        <v>493</v>
      </c>
      <c r="D1278">
        <v>31</v>
      </c>
      <c r="E1278">
        <f>WEEKDAY(makulatura5[[#This Row],[Data_dostarczenia]],2)</f>
        <v>5</v>
      </c>
      <c r="F1278" s="2">
        <f t="shared" si="19"/>
        <v>0</v>
      </c>
    </row>
    <row r="1279" spans="1:6" x14ac:dyDescent="0.25">
      <c r="A1279" s="1">
        <v>42958</v>
      </c>
      <c r="B1279" s="2" t="s">
        <v>150</v>
      </c>
      <c r="C1279" s="2" t="s">
        <v>140</v>
      </c>
      <c r="D1279">
        <v>7</v>
      </c>
      <c r="E1279">
        <f>WEEKDAY(makulatura5[[#This Row],[Data_dostarczenia]],2)</f>
        <v>5</v>
      </c>
      <c r="F1279" s="2">
        <f t="shared" si="19"/>
        <v>0</v>
      </c>
    </row>
    <row r="1280" spans="1:6" x14ac:dyDescent="0.25">
      <c r="A1280" s="1">
        <v>42958</v>
      </c>
      <c r="B1280" s="2" t="s">
        <v>427</v>
      </c>
      <c r="C1280" s="2" t="s">
        <v>118</v>
      </c>
      <c r="D1280">
        <v>20</v>
      </c>
      <c r="E1280">
        <f>WEEKDAY(makulatura5[[#This Row],[Data_dostarczenia]],2)</f>
        <v>5</v>
      </c>
      <c r="F1280" s="2">
        <f t="shared" si="19"/>
        <v>0</v>
      </c>
    </row>
    <row r="1281" spans="1:6" x14ac:dyDescent="0.25">
      <c r="A1281" s="1">
        <v>42958</v>
      </c>
      <c r="B1281" s="2" t="s">
        <v>36</v>
      </c>
      <c r="C1281" s="2" t="s">
        <v>533</v>
      </c>
      <c r="D1281">
        <v>30</v>
      </c>
      <c r="E1281">
        <f>WEEKDAY(makulatura5[[#This Row],[Data_dostarczenia]],2)</f>
        <v>5</v>
      </c>
      <c r="F1281" s="2">
        <f t="shared" si="19"/>
        <v>1</v>
      </c>
    </row>
    <row r="1282" spans="1:6" x14ac:dyDescent="0.25">
      <c r="A1282" s="1">
        <v>42961</v>
      </c>
      <c r="B1282" s="2" t="s">
        <v>25</v>
      </c>
      <c r="C1282" s="2" t="s">
        <v>146</v>
      </c>
      <c r="D1282">
        <v>22</v>
      </c>
      <c r="E1282">
        <f>WEEKDAY(makulatura5[[#This Row],[Data_dostarczenia]],2)</f>
        <v>1</v>
      </c>
      <c r="F1282" s="2">
        <f t="shared" ref="F1282:F1345" si="20">IF(A1283=A1282,0,1)</f>
        <v>0</v>
      </c>
    </row>
    <row r="1283" spans="1:6" x14ac:dyDescent="0.25">
      <c r="A1283" s="1">
        <v>42961</v>
      </c>
      <c r="B1283" s="2" t="s">
        <v>32</v>
      </c>
      <c r="C1283" s="2" t="s">
        <v>276</v>
      </c>
      <c r="D1283">
        <v>44</v>
      </c>
      <c r="E1283">
        <f>WEEKDAY(makulatura5[[#This Row],[Data_dostarczenia]],2)</f>
        <v>1</v>
      </c>
      <c r="F1283" s="2">
        <f t="shared" si="20"/>
        <v>0</v>
      </c>
    </row>
    <row r="1284" spans="1:6" x14ac:dyDescent="0.25">
      <c r="A1284" s="1">
        <v>42961</v>
      </c>
      <c r="B1284" s="2" t="s">
        <v>51</v>
      </c>
      <c r="C1284" s="2" t="s">
        <v>358</v>
      </c>
      <c r="D1284">
        <v>5</v>
      </c>
      <c r="E1284">
        <f>WEEKDAY(makulatura5[[#This Row],[Data_dostarczenia]],2)</f>
        <v>1</v>
      </c>
      <c r="F1284" s="2">
        <f t="shared" si="20"/>
        <v>0</v>
      </c>
    </row>
    <row r="1285" spans="1:6" x14ac:dyDescent="0.25">
      <c r="A1285" s="1">
        <v>42961</v>
      </c>
      <c r="B1285" s="2" t="s">
        <v>45</v>
      </c>
      <c r="C1285" s="2" t="s">
        <v>388</v>
      </c>
      <c r="D1285">
        <v>3</v>
      </c>
      <c r="E1285">
        <f>WEEKDAY(makulatura5[[#This Row],[Data_dostarczenia]],2)</f>
        <v>1</v>
      </c>
      <c r="F1285" s="2">
        <f t="shared" si="20"/>
        <v>0</v>
      </c>
    </row>
    <row r="1286" spans="1:6" x14ac:dyDescent="0.25">
      <c r="A1286" s="1">
        <v>42961</v>
      </c>
      <c r="B1286" s="2" t="s">
        <v>128</v>
      </c>
      <c r="C1286" s="2" t="s">
        <v>12</v>
      </c>
      <c r="D1286">
        <v>6</v>
      </c>
      <c r="E1286">
        <f>WEEKDAY(makulatura5[[#This Row],[Data_dostarczenia]],2)</f>
        <v>1</v>
      </c>
      <c r="F1286" s="2">
        <f t="shared" si="20"/>
        <v>0</v>
      </c>
    </row>
    <row r="1287" spans="1:6" x14ac:dyDescent="0.25">
      <c r="A1287" s="1">
        <v>42961</v>
      </c>
      <c r="B1287" s="2" t="s">
        <v>30</v>
      </c>
      <c r="C1287" s="2" t="s">
        <v>185</v>
      </c>
      <c r="D1287">
        <v>12</v>
      </c>
      <c r="E1287">
        <f>WEEKDAY(makulatura5[[#This Row],[Data_dostarczenia]],2)</f>
        <v>1</v>
      </c>
      <c r="F1287" s="2">
        <f t="shared" si="20"/>
        <v>0</v>
      </c>
    </row>
    <row r="1288" spans="1:6" x14ac:dyDescent="0.25">
      <c r="A1288" s="1">
        <v>42961</v>
      </c>
      <c r="B1288" s="2" t="s">
        <v>155</v>
      </c>
      <c r="C1288" s="2" t="s">
        <v>156</v>
      </c>
      <c r="D1288">
        <v>5</v>
      </c>
      <c r="E1288">
        <f>WEEKDAY(makulatura5[[#This Row],[Data_dostarczenia]],2)</f>
        <v>1</v>
      </c>
      <c r="F1288" s="2">
        <f t="shared" si="20"/>
        <v>0</v>
      </c>
    </row>
    <row r="1289" spans="1:6" x14ac:dyDescent="0.25">
      <c r="A1289" s="1">
        <v>42961</v>
      </c>
      <c r="B1289" s="2" t="s">
        <v>147</v>
      </c>
      <c r="C1289" s="2" t="s">
        <v>644</v>
      </c>
      <c r="D1289">
        <v>6</v>
      </c>
      <c r="E1289">
        <f>WEEKDAY(makulatura5[[#This Row],[Data_dostarczenia]],2)</f>
        <v>1</v>
      </c>
      <c r="F1289" s="2">
        <f t="shared" si="20"/>
        <v>1</v>
      </c>
    </row>
    <row r="1290" spans="1:6" x14ac:dyDescent="0.25">
      <c r="A1290" s="1">
        <v>42962</v>
      </c>
      <c r="B1290" s="2" t="s">
        <v>30</v>
      </c>
      <c r="C1290" s="2" t="s">
        <v>89</v>
      </c>
      <c r="D1290">
        <v>29</v>
      </c>
      <c r="E1290">
        <f>WEEKDAY(makulatura5[[#This Row],[Data_dostarczenia]],2)</f>
        <v>2</v>
      </c>
      <c r="F1290" s="2">
        <f t="shared" si="20"/>
        <v>0</v>
      </c>
    </row>
    <row r="1291" spans="1:6" x14ac:dyDescent="0.25">
      <c r="A1291" s="1">
        <v>42962</v>
      </c>
      <c r="B1291" s="2" t="s">
        <v>55</v>
      </c>
      <c r="C1291" s="2" t="s">
        <v>326</v>
      </c>
      <c r="D1291">
        <v>46</v>
      </c>
      <c r="E1291">
        <f>WEEKDAY(makulatura5[[#This Row],[Data_dostarczenia]],2)</f>
        <v>2</v>
      </c>
      <c r="F1291" s="2">
        <f t="shared" si="20"/>
        <v>0</v>
      </c>
    </row>
    <row r="1292" spans="1:6" x14ac:dyDescent="0.25">
      <c r="A1292" s="1">
        <v>42962</v>
      </c>
      <c r="B1292" s="2" t="s">
        <v>171</v>
      </c>
      <c r="C1292" s="2" t="s">
        <v>645</v>
      </c>
      <c r="D1292">
        <v>20</v>
      </c>
      <c r="E1292">
        <f>WEEKDAY(makulatura5[[#This Row],[Data_dostarczenia]],2)</f>
        <v>2</v>
      </c>
      <c r="F1292" s="2">
        <f t="shared" si="20"/>
        <v>0</v>
      </c>
    </row>
    <row r="1293" spans="1:6" x14ac:dyDescent="0.25">
      <c r="A1293" s="1">
        <v>42962</v>
      </c>
      <c r="B1293" s="2" t="s">
        <v>47</v>
      </c>
      <c r="C1293" s="2" t="s">
        <v>471</v>
      </c>
      <c r="D1293">
        <v>28</v>
      </c>
      <c r="E1293">
        <f>WEEKDAY(makulatura5[[#This Row],[Data_dostarczenia]],2)</f>
        <v>2</v>
      </c>
      <c r="F1293" s="2">
        <f t="shared" si="20"/>
        <v>0</v>
      </c>
    </row>
    <row r="1294" spans="1:6" x14ac:dyDescent="0.25">
      <c r="A1294" s="1">
        <v>42962</v>
      </c>
      <c r="B1294" s="2" t="s">
        <v>574</v>
      </c>
      <c r="C1294" s="2" t="s">
        <v>421</v>
      </c>
      <c r="D1294">
        <v>5</v>
      </c>
      <c r="E1294">
        <f>WEEKDAY(makulatura5[[#This Row],[Data_dostarczenia]],2)</f>
        <v>2</v>
      </c>
      <c r="F1294" s="2">
        <f t="shared" si="20"/>
        <v>0</v>
      </c>
    </row>
    <row r="1295" spans="1:6" x14ac:dyDescent="0.25">
      <c r="A1295" s="1">
        <v>42962</v>
      </c>
      <c r="B1295" s="2" t="s">
        <v>87</v>
      </c>
      <c r="C1295" s="2" t="s">
        <v>383</v>
      </c>
      <c r="D1295">
        <v>12</v>
      </c>
      <c r="E1295">
        <f>WEEKDAY(makulatura5[[#This Row],[Data_dostarczenia]],2)</f>
        <v>2</v>
      </c>
      <c r="F1295" s="2">
        <f t="shared" si="20"/>
        <v>0</v>
      </c>
    </row>
    <row r="1296" spans="1:6" x14ac:dyDescent="0.25">
      <c r="A1296" s="1">
        <v>42962</v>
      </c>
      <c r="B1296" s="2" t="s">
        <v>57</v>
      </c>
      <c r="C1296" s="2" t="s">
        <v>399</v>
      </c>
      <c r="D1296">
        <v>29</v>
      </c>
      <c r="E1296">
        <f>WEEKDAY(makulatura5[[#This Row],[Data_dostarczenia]],2)</f>
        <v>2</v>
      </c>
      <c r="F1296" s="2">
        <f t="shared" si="20"/>
        <v>0</v>
      </c>
    </row>
    <row r="1297" spans="1:6" x14ac:dyDescent="0.25">
      <c r="A1297" s="1">
        <v>42962</v>
      </c>
      <c r="B1297" s="2" t="s">
        <v>41</v>
      </c>
      <c r="C1297" s="2" t="s">
        <v>302</v>
      </c>
      <c r="D1297">
        <v>14</v>
      </c>
      <c r="E1297">
        <f>WEEKDAY(makulatura5[[#This Row],[Data_dostarczenia]],2)</f>
        <v>2</v>
      </c>
      <c r="F1297" s="2">
        <f t="shared" si="20"/>
        <v>1</v>
      </c>
    </row>
    <row r="1298" spans="1:6" x14ac:dyDescent="0.25">
      <c r="A1298" s="1">
        <v>42963</v>
      </c>
      <c r="B1298" s="2" t="s">
        <v>476</v>
      </c>
      <c r="C1298" s="2" t="s">
        <v>622</v>
      </c>
      <c r="D1298">
        <v>29</v>
      </c>
      <c r="E1298">
        <f>WEEKDAY(makulatura5[[#This Row],[Data_dostarczenia]],2)</f>
        <v>3</v>
      </c>
      <c r="F1298" s="2">
        <f t="shared" si="20"/>
        <v>0</v>
      </c>
    </row>
    <row r="1299" spans="1:6" x14ac:dyDescent="0.25">
      <c r="A1299" s="1">
        <v>42963</v>
      </c>
      <c r="B1299" s="2" t="s">
        <v>208</v>
      </c>
      <c r="C1299" s="2" t="s">
        <v>209</v>
      </c>
      <c r="D1299">
        <v>15</v>
      </c>
      <c r="E1299">
        <f>WEEKDAY(makulatura5[[#This Row],[Data_dostarczenia]],2)</f>
        <v>3</v>
      </c>
      <c r="F1299" s="2">
        <f t="shared" si="20"/>
        <v>0</v>
      </c>
    </row>
    <row r="1300" spans="1:6" x14ac:dyDescent="0.25">
      <c r="A1300" s="1">
        <v>42963</v>
      </c>
      <c r="B1300" s="2" t="s">
        <v>36</v>
      </c>
      <c r="C1300" s="2" t="s">
        <v>560</v>
      </c>
      <c r="D1300">
        <v>35</v>
      </c>
      <c r="E1300">
        <f>WEEKDAY(makulatura5[[#This Row],[Data_dostarczenia]],2)</f>
        <v>3</v>
      </c>
      <c r="F1300" s="2">
        <f t="shared" si="20"/>
        <v>0</v>
      </c>
    </row>
    <row r="1301" spans="1:6" x14ac:dyDescent="0.25">
      <c r="A1301" s="1">
        <v>42963</v>
      </c>
      <c r="B1301" s="2" t="s">
        <v>169</v>
      </c>
      <c r="C1301" s="2" t="s">
        <v>170</v>
      </c>
      <c r="D1301">
        <v>28</v>
      </c>
      <c r="E1301">
        <f>WEEKDAY(makulatura5[[#This Row],[Data_dostarczenia]],2)</f>
        <v>3</v>
      </c>
      <c r="F1301" s="2">
        <f t="shared" si="20"/>
        <v>0</v>
      </c>
    </row>
    <row r="1302" spans="1:6" x14ac:dyDescent="0.25">
      <c r="A1302" s="1">
        <v>42963</v>
      </c>
      <c r="B1302" s="2" t="s">
        <v>248</v>
      </c>
      <c r="C1302" s="2" t="s">
        <v>249</v>
      </c>
      <c r="D1302">
        <v>3</v>
      </c>
      <c r="E1302">
        <f>WEEKDAY(makulatura5[[#This Row],[Data_dostarczenia]],2)</f>
        <v>3</v>
      </c>
      <c r="F1302" s="2">
        <f t="shared" si="20"/>
        <v>0</v>
      </c>
    </row>
    <row r="1303" spans="1:6" x14ac:dyDescent="0.25">
      <c r="A1303" s="1">
        <v>42963</v>
      </c>
      <c r="B1303" s="2" t="s">
        <v>106</v>
      </c>
      <c r="C1303" s="2" t="s">
        <v>240</v>
      </c>
      <c r="D1303">
        <v>49</v>
      </c>
      <c r="E1303">
        <f>WEEKDAY(makulatura5[[#This Row],[Data_dostarczenia]],2)</f>
        <v>3</v>
      </c>
      <c r="F1303" s="2">
        <f t="shared" si="20"/>
        <v>0</v>
      </c>
    </row>
    <row r="1304" spans="1:6" x14ac:dyDescent="0.25">
      <c r="A1304" s="1">
        <v>42963</v>
      </c>
      <c r="B1304" s="2" t="s">
        <v>407</v>
      </c>
      <c r="C1304" s="2" t="s">
        <v>408</v>
      </c>
      <c r="D1304">
        <v>21</v>
      </c>
      <c r="E1304">
        <f>WEEKDAY(makulatura5[[#This Row],[Data_dostarczenia]],2)</f>
        <v>3</v>
      </c>
      <c r="F1304" s="2">
        <f t="shared" si="20"/>
        <v>0</v>
      </c>
    </row>
    <row r="1305" spans="1:6" x14ac:dyDescent="0.25">
      <c r="A1305" s="1">
        <v>42963</v>
      </c>
      <c r="B1305" s="2" t="s">
        <v>83</v>
      </c>
      <c r="C1305" s="2" t="s">
        <v>646</v>
      </c>
      <c r="D1305">
        <v>43</v>
      </c>
      <c r="E1305">
        <f>WEEKDAY(makulatura5[[#This Row],[Data_dostarczenia]],2)</f>
        <v>3</v>
      </c>
      <c r="F1305" s="2">
        <f t="shared" si="20"/>
        <v>1</v>
      </c>
    </row>
    <row r="1306" spans="1:6" x14ac:dyDescent="0.25">
      <c r="A1306" s="1">
        <v>42964</v>
      </c>
      <c r="B1306" s="2" t="s">
        <v>128</v>
      </c>
      <c r="C1306" s="2" t="s">
        <v>12</v>
      </c>
      <c r="D1306">
        <v>6</v>
      </c>
      <c r="E1306">
        <f>WEEKDAY(makulatura5[[#This Row],[Data_dostarczenia]],2)</f>
        <v>4</v>
      </c>
      <c r="F1306" s="2">
        <f t="shared" si="20"/>
        <v>0</v>
      </c>
    </row>
    <row r="1307" spans="1:6" x14ac:dyDescent="0.25">
      <c r="A1307" s="1">
        <v>42964</v>
      </c>
      <c r="B1307" s="2" t="s">
        <v>36</v>
      </c>
      <c r="C1307" s="2" t="s">
        <v>180</v>
      </c>
      <c r="D1307">
        <v>10</v>
      </c>
      <c r="E1307">
        <f>WEEKDAY(makulatura5[[#This Row],[Data_dostarczenia]],2)</f>
        <v>4</v>
      </c>
      <c r="F1307" s="2">
        <f t="shared" si="20"/>
        <v>0</v>
      </c>
    </row>
    <row r="1308" spans="1:6" x14ac:dyDescent="0.25">
      <c r="A1308" s="1">
        <v>42964</v>
      </c>
      <c r="B1308" s="2" t="s">
        <v>97</v>
      </c>
      <c r="C1308" s="2" t="s">
        <v>188</v>
      </c>
      <c r="D1308">
        <v>7</v>
      </c>
      <c r="E1308">
        <f>WEEKDAY(makulatura5[[#This Row],[Data_dostarczenia]],2)</f>
        <v>4</v>
      </c>
      <c r="F1308" s="2">
        <f t="shared" si="20"/>
        <v>0</v>
      </c>
    </row>
    <row r="1309" spans="1:6" x14ac:dyDescent="0.25">
      <c r="A1309" s="1">
        <v>42964</v>
      </c>
      <c r="B1309" s="2" t="s">
        <v>23</v>
      </c>
      <c r="C1309" s="2" t="s">
        <v>163</v>
      </c>
      <c r="D1309">
        <v>7</v>
      </c>
      <c r="E1309">
        <f>WEEKDAY(makulatura5[[#This Row],[Data_dostarczenia]],2)</f>
        <v>4</v>
      </c>
      <c r="F1309" s="2">
        <f t="shared" si="20"/>
        <v>0</v>
      </c>
    </row>
    <row r="1310" spans="1:6" x14ac:dyDescent="0.25">
      <c r="A1310" s="1">
        <v>42964</v>
      </c>
      <c r="B1310" s="2" t="s">
        <v>152</v>
      </c>
      <c r="C1310" s="2" t="s">
        <v>319</v>
      </c>
      <c r="D1310">
        <v>22</v>
      </c>
      <c r="E1310">
        <f>WEEKDAY(makulatura5[[#This Row],[Data_dostarczenia]],2)</f>
        <v>4</v>
      </c>
      <c r="F1310" s="2">
        <f t="shared" si="20"/>
        <v>0</v>
      </c>
    </row>
    <row r="1311" spans="1:6" x14ac:dyDescent="0.25">
      <c r="A1311" s="1">
        <v>42964</v>
      </c>
      <c r="B1311" s="2" t="s">
        <v>171</v>
      </c>
      <c r="C1311" s="2" t="s">
        <v>562</v>
      </c>
      <c r="D1311">
        <v>36</v>
      </c>
      <c r="E1311">
        <f>WEEKDAY(makulatura5[[#This Row],[Data_dostarczenia]],2)</f>
        <v>4</v>
      </c>
      <c r="F1311" s="2">
        <f t="shared" si="20"/>
        <v>0</v>
      </c>
    </row>
    <row r="1312" spans="1:6" x14ac:dyDescent="0.25">
      <c r="A1312" s="1">
        <v>42964</v>
      </c>
      <c r="B1312" s="2" t="s">
        <v>206</v>
      </c>
      <c r="C1312" s="2" t="s">
        <v>192</v>
      </c>
      <c r="D1312">
        <v>13</v>
      </c>
      <c r="E1312">
        <f>WEEKDAY(makulatura5[[#This Row],[Data_dostarczenia]],2)</f>
        <v>4</v>
      </c>
      <c r="F1312" s="2">
        <f t="shared" si="20"/>
        <v>0</v>
      </c>
    </row>
    <row r="1313" spans="1:6" x14ac:dyDescent="0.25">
      <c r="A1313" s="1">
        <v>42964</v>
      </c>
      <c r="B1313" s="2" t="s">
        <v>155</v>
      </c>
      <c r="C1313" s="2" t="s">
        <v>156</v>
      </c>
      <c r="D1313">
        <v>14</v>
      </c>
      <c r="E1313">
        <f>WEEKDAY(makulatura5[[#This Row],[Data_dostarczenia]],2)</f>
        <v>4</v>
      </c>
      <c r="F1313" s="2">
        <f t="shared" si="20"/>
        <v>1</v>
      </c>
    </row>
    <row r="1314" spans="1:6" x14ac:dyDescent="0.25">
      <c r="A1314" s="1">
        <v>42965</v>
      </c>
      <c r="B1314" s="2" t="s">
        <v>150</v>
      </c>
      <c r="C1314" s="2" t="s">
        <v>462</v>
      </c>
      <c r="D1314">
        <v>6</v>
      </c>
      <c r="E1314">
        <f>WEEKDAY(makulatura5[[#This Row],[Data_dostarczenia]],2)</f>
        <v>5</v>
      </c>
      <c r="F1314" s="2">
        <f t="shared" si="20"/>
        <v>0</v>
      </c>
    </row>
    <row r="1315" spans="1:6" x14ac:dyDescent="0.25">
      <c r="A1315" s="1">
        <v>42965</v>
      </c>
      <c r="B1315" s="2" t="s">
        <v>193</v>
      </c>
      <c r="C1315" s="2" t="s">
        <v>228</v>
      </c>
      <c r="D1315">
        <v>11</v>
      </c>
      <c r="E1315">
        <f>WEEKDAY(makulatura5[[#This Row],[Data_dostarczenia]],2)</f>
        <v>5</v>
      </c>
      <c r="F1315" s="2">
        <f t="shared" si="20"/>
        <v>0</v>
      </c>
    </row>
    <row r="1316" spans="1:6" x14ac:dyDescent="0.25">
      <c r="A1316" s="1">
        <v>42965</v>
      </c>
      <c r="B1316" s="2" t="s">
        <v>147</v>
      </c>
      <c r="C1316" s="2" t="s">
        <v>644</v>
      </c>
      <c r="D1316">
        <v>22</v>
      </c>
      <c r="E1316">
        <f>WEEKDAY(makulatura5[[#This Row],[Data_dostarczenia]],2)</f>
        <v>5</v>
      </c>
      <c r="F1316" s="2">
        <f t="shared" si="20"/>
        <v>0</v>
      </c>
    </row>
    <row r="1317" spans="1:6" x14ac:dyDescent="0.25">
      <c r="A1317" s="1">
        <v>42965</v>
      </c>
      <c r="B1317" s="2" t="s">
        <v>47</v>
      </c>
      <c r="C1317" s="2" t="s">
        <v>48</v>
      </c>
      <c r="D1317">
        <v>56</v>
      </c>
      <c r="E1317">
        <f>WEEKDAY(makulatura5[[#This Row],[Data_dostarczenia]],2)</f>
        <v>5</v>
      </c>
      <c r="F1317" s="2">
        <f t="shared" si="20"/>
        <v>0</v>
      </c>
    </row>
    <row r="1318" spans="1:6" x14ac:dyDescent="0.25">
      <c r="A1318" s="1">
        <v>42965</v>
      </c>
      <c r="B1318" s="2" t="s">
        <v>55</v>
      </c>
      <c r="C1318" s="2" t="s">
        <v>459</v>
      </c>
      <c r="D1318">
        <v>55</v>
      </c>
      <c r="E1318">
        <f>WEEKDAY(makulatura5[[#This Row],[Data_dostarczenia]],2)</f>
        <v>5</v>
      </c>
      <c r="F1318" s="2">
        <f t="shared" si="20"/>
        <v>0</v>
      </c>
    </row>
    <row r="1319" spans="1:6" x14ac:dyDescent="0.25">
      <c r="A1319" s="1">
        <v>42965</v>
      </c>
      <c r="B1319" s="2" t="s">
        <v>176</v>
      </c>
      <c r="C1319" s="2" t="s">
        <v>177</v>
      </c>
      <c r="D1319">
        <v>45</v>
      </c>
      <c r="E1319">
        <f>WEEKDAY(makulatura5[[#This Row],[Data_dostarczenia]],2)</f>
        <v>5</v>
      </c>
      <c r="F1319" s="2">
        <f t="shared" si="20"/>
        <v>0</v>
      </c>
    </row>
    <row r="1320" spans="1:6" x14ac:dyDescent="0.25">
      <c r="A1320" s="1">
        <v>42965</v>
      </c>
      <c r="B1320" s="2" t="s">
        <v>63</v>
      </c>
      <c r="C1320" s="2" t="s">
        <v>231</v>
      </c>
      <c r="D1320">
        <v>12</v>
      </c>
      <c r="E1320">
        <f>WEEKDAY(makulatura5[[#This Row],[Data_dostarczenia]],2)</f>
        <v>5</v>
      </c>
      <c r="F1320" s="2">
        <f t="shared" si="20"/>
        <v>0</v>
      </c>
    </row>
    <row r="1321" spans="1:6" x14ac:dyDescent="0.25">
      <c r="A1321" s="1">
        <v>42965</v>
      </c>
      <c r="B1321" s="2" t="s">
        <v>81</v>
      </c>
      <c r="C1321" s="2" t="s">
        <v>82</v>
      </c>
      <c r="D1321">
        <v>20</v>
      </c>
      <c r="E1321">
        <f>WEEKDAY(makulatura5[[#This Row],[Data_dostarczenia]],2)</f>
        <v>5</v>
      </c>
      <c r="F1321" s="2">
        <f t="shared" si="20"/>
        <v>1</v>
      </c>
    </row>
    <row r="1322" spans="1:6" x14ac:dyDescent="0.25">
      <c r="A1322" s="1">
        <v>42968</v>
      </c>
      <c r="B1322" s="2" t="s">
        <v>514</v>
      </c>
      <c r="C1322" s="2" t="s">
        <v>515</v>
      </c>
      <c r="D1322">
        <v>8</v>
      </c>
      <c r="E1322">
        <f>WEEKDAY(makulatura5[[#This Row],[Data_dostarczenia]],2)</f>
        <v>1</v>
      </c>
      <c r="F1322" s="2">
        <f t="shared" si="20"/>
        <v>0</v>
      </c>
    </row>
    <row r="1323" spans="1:6" x14ac:dyDescent="0.25">
      <c r="A1323" s="1">
        <v>42968</v>
      </c>
      <c r="B1323" s="2" t="s">
        <v>36</v>
      </c>
      <c r="C1323" s="2" t="s">
        <v>229</v>
      </c>
      <c r="D1323">
        <v>33</v>
      </c>
      <c r="E1323">
        <f>WEEKDAY(makulatura5[[#This Row],[Data_dostarczenia]],2)</f>
        <v>1</v>
      </c>
      <c r="F1323" s="2">
        <f t="shared" si="20"/>
        <v>0</v>
      </c>
    </row>
    <row r="1324" spans="1:6" x14ac:dyDescent="0.25">
      <c r="A1324" s="1">
        <v>42968</v>
      </c>
      <c r="B1324" s="2" t="s">
        <v>41</v>
      </c>
      <c r="C1324" s="2" t="s">
        <v>302</v>
      </c>
      <c r="D1324">
        <v>9</v>
      </c>
      <c r="E1324">
        <f>WEEKDAY(makulatura5[[#This Row],[Data_dostarczenia]],2)</f>
        <v>1</v>
      </c>
      <c r="F1324" s="2">
        <f t="shared" si="20"/>
        <v>0</v>
      </c>
    </row>
    <row r="1325" spans="1:6" x14ac:dyDescent="0.25">
      <c r="A1325" s="1">
        <v>42968</v>
      </c>
      <c r="B1325" s="2" t="s">
        <v>523</v>
      </c>
      <c r="C1325" s="2" t="s">
        <v>524</v>
      </c>
      <c r="D1325">
        <v>52</v>
      </c>
      <c r="E1325">
        <f>WEEKDAY(makulatura5[[#This Row],[Data_dostarczenia]],2)</f>
        <v>1</v>
      </c>
      <c r="F1325" s="2">
        <f t="shared" si="20"/>
        <v>0</v>
      </c>
    </row>
    <row r="1326" spans="1:6" x14ac:dyDescent="0.25">
      <c r="A1326" s="1">
        <v>42968</v>
      </c>
      <c r="B1326" s="2" t="s">
        <v>232</v>
      </c>
      <c r="C1326" s="2" t="s">
        <v>627</v>
      </c>
      <c r="D1326">
        <v>48</v>
      </c>
      <c r="E1326">
        <f>WEEKDAY(makulatura5[[#This Row],[Data_dostarczenia]],2)</f>
        <v>1</v>
      </c>
      <c r="F1326" s="2">
        <f t="shared" si="20"/>
        <v>0</v>
      </c>
    </row>
    <row r="1327" spans="1:6" x14ac:dyDescent="0.25">
      <c r="A1327" s="1">
        <v>42968</v>
      </c>
      <c r="B1327" s="2" t="s">
        <v>632</v>
      </c>
      <c r="C1327" s="2" t="s">
        <v>647</v>
      </c>
      <c r="D1327">
        <v>40</v>
      </c>
      <c r="E1327">
        <f>WEEKDAY(makulatura5[[#This Row],[Data_dostarczenia]],2)</f>
        <v>1</v>
      </c>
      <c r="F1327" s="2">
        <f t="shared" si="20"/>
        <v>0</v>
      </c>
    </row>
    <row r="1328" spans="1:6" x14ac:dyDescent="0.25">
      <c r="A1328" s="1">
        <v>42968</v>
      </c>
      <c r="B1328" s="2" t="s">
        <v>81</v>
      </c>
      <c r="C1328" s="2" t="s">
        <v>648</v>
      </c>
      <c r="D1328">
        <v>52</v>
      </c>
      <c r="E1328">
        <f>WEEKDAY(makulatura5[[#This Row],[Data_dostarczenia]],2)</f>
        <v>1</v>
      </c>
      <c r="F1328" s="2">
        <f t="shared" si="20"/>
        <v>0</v>
      </c>
    </row>
    <row r="1329" spans="1:6" x14ac:dyDescent="0.25">
      <c r="A1329" s="1">
        <v>42968</v>
      </c>
      <c r="B1329" s="2" t="s">
        <v>92</v>
      </c>
      <c r="C1329" s="2" t="s">
        <v>638</v>
      </c>
      <c r="D1329">
        <v>34</v>
      </c>
      <c r="E1329">
        <f>WEEKDAY(makulatura5[[#This Row],[Data_dostarczenia]],2)</f>
        <v>1</v>
      </c>
      <c r="F1329" s="2">
        <f t="shared" si="20"/>
        <v>1</v>
      </c>
    </row>
    <row r="1330" spans="1:6" x14ac:dyDescent="0.25">
      <c r="A1330" s="1">
        <v>42969</v>
      </c>
      <c r="B1330" s="2" t="s">
        <v>416</v>
      </c>
      <c r="C1330" s="2" t="s">
        <v>572</v>
      </c>
      <c r="D1330">
        <v>2</v>
      </c>
      <c r="E1330">
        <f>WEEKDAY(makulatura5[[#This Row],[Data_dostarczenia]],2)</f>
        <v>2</v>
      </c>
      <c r="F1330" s="2">
        <f t="shared" si="20"/>
        <v>0</v>
      </c>
    </row>
    <row r="1331" spans="1:6" x14ac:dyDescent="0.25">
      <c r="A1331" s="1">
        <v>42969</v>
      </c>
      <c r="B1331" s="2" t="s">
        <v>34</v>
      </c>
      <c r="C1331" s="2" t="s">
        <v>35</v>
      </c>
      <c r="D1331">
        <v>9</v>
      </c>
      <c r="E1331">
        <f>WEEKDAY(makulatura5[[#This Row],[Data_dostarczenia]],2)</f>
        <v>2</v>
      </c>
      <c r="F1331" s="2">
        <f t="shared" si="20"/>
        <v>0</v>
      </c>
    </row>
    <row r="1332" spans="1:6" x14ac:dyDescent="0.25">
      <c r="A1332" s="1">
        <v>42969</v>
      </c>
      <c r="B1332" s="2" t="s">
        <v>97</v>
      </c>
      <c r="C1332" s="2" t="s">
        <v>380</v>
      </c>
      <c r="D1332">
        <v>24</v>
      </c>
      <c r="E1332">
        <f>WEEKDAY(makulatura5[[#This Row],[Data_dostarczenia]],2)</f>
        <v>2</v>
      </c>
      <c r="F1332" s="2">
        <f t="shared" si="20"/>
        <v>0</v>
      </c>
    </row>
    <row r="1333" spans="1:6" x14ac:dyDescent="0.25">
      <c r="A1333" s="1">
        <v>42969</v>
      </c>
      <c r="B1333" s="2" t="s">
        <v>327</v>
      </c>
      <c r="C1333" s="2" t="s">
        <v>102</v>
      </c>
      <c r="D1333">
        <v>28</v>
      </c>
      <c r="E1333">
        <f>WEEKDAY(makulatura5[[#This Row],[Data_dostarczenia]],2)</f>
        <v>2</v>
      </c>
      <c r="F1333" s="2">
        <f t="shared" si="20"/>
        <v>0</v>
      </c>
    </row>
    <row r="1334" spans="1:6" x14ac:dyDescent="0.25">
      <c r="A1334" s="1">
        <v>42969</v>
      </c>
      <c r="B1334" s="2" t="s">
        <v>243</v>
      </c>
      <c r="C1334" s="2" t="s">
        <v>82</v>
      </c>
      <c r="D1334">
        <v>16</v>
      </c>
      <c r="E1334">
        <f>WEEKDAY(makulatura5[[#This Row],[Data_dostarczenia]],2)</f>
        <v>2</v>
      </c>
      <c r="F1334" s="2">
        <f t="shared" si="20"/>
        <v>0</v>
      </c>
    </row>
    <row r="1335" spans="1:6" x14ac:dyDescent="0.25">
      <c r="A1335" s="1">
        <v>42969</v>
      </c>
      <c r="B1335" s="2" t="s">
        <v>195</v>
      </c>
      <c r="C1335" s="2" t="s">
        <v>401</v>
      </c>
      <c r="D1335">
        <v>19</v>
      </c>
      <c r="E1335">
        <f>WEEKDAY(makulatura5[[#This Row],[Data_dostarczenia]],2)</f>
        <v>2</v>
      </c>
      <c r="F1335" s="2">
        <f t="shared" si="20"/>
        <v>0</v>
      </c>
    </row>
    <row r="1336" spans="1:6" x14ac:dyDescent="0.25">
      <c r="A1336" s="1">
        <v>42969</v>
      </c>
      <c r="B1336" s="2" t="s">
        <v>30</v>
      </c>
      <c r="C1336" s="2" t="s">
        <v>185</v>
      </c>
      <c r="D1336">
        <v>26</v>
      </c>
      <c r="E1336">
        <f>WEEKDAY(makulatura5[[#This Row],[Data_dostarczenia]],2)</f>
        <v>2</v>
      </c>
      <c r="F1336" s="2">
        <f t="shared" si="20"/>
        <v>0</v>
      </c>
    </row>
    <row r="1337" spans="1:6" x14ac:dyDescent="0.25">
      <c r="A1337" s="1">
        <v>42969</v>
      </c>
      <c r="B1337" s="2" t="s">
        <v>30</v>
      </c>
      <c r="C1337" s="2" t="s">
        <v>387</v>
      </c>
      <c r="D1337">
        <v>29</v>
      </c>
      <c r="E1337">
        <f>WEEKDAY(makulatura5[[#This Row],[Data_dostarczenia]],2)</f>
        <v>2</v>
      </c>
      <c r="F1337" s="2">
        <f t="shared" si="20"/>
        <v>1</v>
      </c>
    </row>
    <row r="1338" spans="1:6" x14ac:dyDescent="0.25">
      <c r="A1338" s="1">
        <v>42970</v>
      </c>
      <c r="B1338" s="2" t="s">
        <v>141</v>
      </c>
      <c r="C1338" s="2" t="s">
        <v>649</v>
      </c>
      <c r="D1338">
        <v>51</v>
      </c>
      <c r="E1338">
        <f>WEEKDAY(makulatura5[[#This Row],[Data_dostarczenia]],2)</f>
        <v>3</v>
      </c>
      <c r="F1338" s="2">
        <f t="shared" si="20"/>
        <v>0</v>
      </c>
    </row>
    <row r="1339" spans="1:6" x14ac:dyDescent="0.25">
      <c r="A1339" s="1">
        <v>42970</v>
      </c>
      <c r="B1339" s="2" t="s">
        <v>53</v>
      </c>
      <c r="C1339" s="2" t="s">
        <v>54</v>
      </c>
      <c r="D1339">
        <v>25</v>
      </c>
      <c r="E1339">
        <f>WEEKDAY(makulatura5[[#This Row],[Data_dostarczenia]],2)</f>
        <v>3</v>
      </c>
      <c r="F1339" s="2">
        <f t="shared" si="20"/>
        <v>0</v>
      </c>
    </row>
    <row r="1340" spans="1:6" x14ac:dyDescent="0.25">
      <c r="A1340" s="1">
        <v>42970</v>
      </c>
      <c r="B1340" s="2" t="s">
        <v>23</v>
      </c>
      <c r="C1340" s="2" t="s">
        <v>604</v>
      </c>
      <c r="D1340">
        <v>33</v>
      </c>
      <c r="E1340">
        <f>WEEKDAY(makulatura5[[#This Row],[Data_dostarczenia]],2)</f>
        <v>3</v>
      </c>
      <c r="F1340" s="2">
        <f t="shared" si="20"/>
        <v>0</v>
      </c>
    </row>
    <row r="1341" spans="1:6" x14ac:dyDescent="0.25">
      <c r="A1341" s="1">
        <v>42970</v>
      </c>
      <c r="B1341" s="2" t="s">
        <v>267</v>
      </c>
      <c r="C1341" s="2" t="s">
        <v>268</v>
      </c>
      <c r="D1341">
        <v>18</v>
      </c>
      <c r="E1341">
        <f>WEEKDAY(makulatura5[[#This Row],[Data_dostarczenia]],2)</f>
        <v>3</v>
      </c>
      <c r="F1341" s="2">
        <f t="shared" si="20"/>
        <v>0</v>
      </c>
    </row>
    <row r="1342" spans="1:6" x14ac:dyDescent="0.25">
      <c r="A1342" s="1">
        <v>42970</v>
      </c>
      <c r="B1342" s="2" t="s">
        <v>92</v>
      </c>
      <c r="C1342" s="2" t="s">
        <v>638</v>
      </c>
      <c r="D1342">
        <v>19</v>
      </c>
      <c r="E1342">
        <f>WEEKDAY(makulatura5[[#This Row],[Data_dostarczenia]],2)</f>
        <v>3</v>
      </c>
      <c r="F1342" s="2">
        <f t="shared" si="20"/>
        <v>0</v>
      </c>
    </row>
    <row r="1343" spans="1:6" x14ac:dyDescent="0.25">
      <c r="A1343" s="1">
        <v>42970</v>
      </c>
      <c r="B1343" s="2" t="s">
        <v>30</v>
      </c>
      <c r="C1343" s="2" t="s">
        <v>89</v>
      </c>
      <c r="D1343">
        <v>42</v>
      </c>
      <c r="E1343">
        <f>WEEKDAY(makulatura5[[#This Row],[Data_dostarczenia]],2)</f>
        <v>3</v>
      </c>
      <c r="F1343" s="2">
        <f t="shared" si="20"/>
        <v>0</v>
      </c>
    </row>
    <row r="1344" spans="1:6" x14ac:dyDescent="0.25">
      <c r="A1344" s="1">
        <v>42970</v>
      </c>
      <c r="B1344" s="2" t="s">
        <v>30</v>
      </c>
      <c r="C1344" s="2" t="s">
        <v>387</v>
      </c>
      <c r="D1344">
        <v>15</v>
      </c>
      <c r="E1344">
        <f>WEEKDAY(makulatura5[[#This Row],[Data_dostarczenia]],2)</f>
        <v>3</v>
      </c>
      <c r="F1344" s="2">
        <f t="shared" si="20"/>
        <v>0</v>
      </c>
    </row>
    <row r="1345" spans="1:6" x14ac:dyDescent="0.25">
      <c r="A1345" s="1">
        <v>42970</v>
      </c>
      <c r="B1345" s="2" t="s">
        <v>361</v>
      </c>
      <c r="C1345" s="2" t="s">
        <v>424</v>
      </c>
      <c r="D1345">
        <v>15</v>
      </c>
      <c r="E1345">
        <f>WEEKDAY(makulatura5[[#This Row],[Data_dostarczenia]],2)</f>
        <v>3</v>
      </c>
      <c r="F1345" s="2">
        <f t="shared" si="20"/>
        <v>1</v>
      </c>
    </row>
    <row r="1346" spans="1:6" x14ac:dyDescent="0.25">
      <c r="A1346" s="1">
        <v>42971</v>
      </c>
      <c r="B1346" s="2" t="s">
        <v>174</v>
      </c>
      <c r="C1346" s="2" t="s">
        <v>175</v>
      </c>
      <c r="D1346">
        <v>3</v>
      </c>
      <c r="E1346">
        <f>WEEKDAY(makulatura5[[#This Row],[Data_dostarczenia]],2)</f>
        <v>4</v>
      </c>
      <c r="F1346" s="2">
        <f t="shared" ref="F1346:F1409" si="21">IF(A1347=A1346,0,1)</f>
        <v>0</v>
      </c>
    </row>
    <row r="1347" spans="1:6" x14ac:dyDescent="0.25">
      <c r="A1347" s="1">
        <v>42971</v>
      </c>
      <c r="B1347" s="2" t="s">
        <v>284</v>
      </c>
      <c r="C1347" s="2" t="s">
        <v>285</v>
      </c>
      <c r="D1347">
        <v>13</v>
      </c>
      <c r="E1347">
        <f>WEEKDAY(makulatura5[[#This Row],[Data_dostarczenia]],2)</f>
        <v>4</v>
      </c>
      <c r="F1347" s="2">
        <f t="shared" si="21"/>
        <v>0</v>
      </c>
    </row>
    <row r="1348" spans="1:6" x14ac:dyDescent="0.25">
      <c r="A1348" s="1">
        <v>42971</v>
      </c>
      <c r="B1348" s="2" t="s">
        <v>393</v>
      </c>
      <c r="C1348" s="2" t="s">
        <v>398</v>
      </c>
      <c r="D1348">
        <v>27</v>
      </c>
      <c r="E1348">
        <f>WEEKDAY(makulatura5[[#This Row],[Data_dostarczenia]],2)</f>
        <v>4</v>
      </c>
      <c r="F1348" s="2">
        <f t="shared" si="21"/>
        <v>0</v>
      </c>
    </row>
    <row r="1349" spans="1:6" x14ac:dyDescent="0.25">
      <c r="A1349" s="1">
        <v>42971</v>
      </c>
      <c r="B1349" s="2" t="s">
        <v>155</v>
      </c>
      <c r="C1349" s="2" t="s">
        <v>650</v>
      </c>
      <c r="D1349">
        <v>18</v>
      </c>
      <c r="E1349">
        <f>WEEKDAY(makulatura5[[#This Row],[Data_dostarczenia]],2)</f>
        <v>4</v>
      </c>
      <c r="F1349" s="2">
        <f t="shared" si="21"/>
        <v>0</v>
      </c>
    </row>
    <row r="1350" spans="1:6" x14ac:dyDescent="0.25">
      <c r="A1350" s="1">
        <v>42971</v>
      </c>
      <c r="B1350" s="2" t="s">
        <v>171</v>
      </c>
      <c r="C1350" s="2" t="s">
        <v>651</v>
      </c>
      <c r="D1350">
        <v>42</v>
      </c>
      <c r="E1350">
        <f>WEEKDAY(makulatura5[[#This Row],[Data_dostarczenia]],2)</f>
        <v>4</v>
      </c>
      <c r="F1350" s="2">
        <f t="shared" si="21"/>
        <v>0</v>
      </c>
    </row>
    <row r="1351" spans="1:6" x14ac:dyDescent="0.25">
      <c r="A1351" s="1">
        <v>42971</v>
      </c>
      <c r="B1351" s="2" t="s">
        <v>280</v>
      </c>
      <c r="C1351" s="2" t="s">
        <v>281</v>
      </c>
      <c r="D1351">
        <v>9</v>
      </c>
      <c r="E1351">
        <f>WEEKDAY(makulatura5[[#This Row],[Data_dostarczenia]],2)</f>
        <v>4</v>
      </c>
      <c r="F1351" s="2">
        <f t="shared" si="21"/>
        <v>0</v>
      </c>
    </row>
    <row r="1352" spans="1:6" x14ac:dyDescent="0.25">
      <c r="A1352" s="1">
        <v>42971</v>
      </c>
      <c r="B1352" s="2" t="s">
        <v>83</v>
      </c>
      <c r="C1352" s="2" t="s">
        <v>513</v>
      </c>
      <c r="D1352">
        <v>22</v>
      </c>
      <c r="E1352">
        <f>WEEKDAY(makulatura5[[#This Row],[Data_dostarczenia]],2)</f>
        <v>4</v>
      </c>
      <c r="F1352" s="2">
        <f t="shared" si="21"/>
        <v>0</v>
      </c>
    </row>
    <row r="1353" spans="1:6" x14ac:dyDescent="0.25">
      <c r="A1353" s="1">
        <v>42971</v>
      </c>
      <c r="B1353" s="2" t="s">
        <v>34</v>
      </c>
      <c r="C1353" s="2" t="s">
        <v>481</v>
      </c>
      <c r="D1353">
        <v>47</v>
      </c>
      <c r="E1353">
        <f>WEEKDAY(makulatura5[[#This Row],[Data_dostarczenia]],2)</f>
        <v>4</v>
      </c>
      <c r="F1353" s="2">
        <f t="shared" si="21"/>
        <v>1</v>
      </c>
    </row>
    <row r="1354" spans="1:6" x14ac:dyDescent="0.25">
      <c r="A1354" s="1">
        <v>42972</v>
      </c>
      <c r="B1354" s="2" t="s">
        <v>632</v>
      </c>
      <c r="C1354" s="2" t="s">
        <v>647</v>
      </c>
      <c r="D1354">
        <v>55</v>
      </c>
      <c r="E1354">
        <f>WEEKDAY(makulatura5[[#This Row],[Data_dostarczenia]],2)</f>
        <v>5</v>
      </c>
      <c r="F1354" s="2">
        <f t="shared" si="21"/>
        <v>0</v>
      </c>
    </row>
    <row r="1355" spans="1:6" x14ac:dyDescent="0.25">
      <c r="A1355" s="1">
        <v>42972</v>
      </c>
      <c r="B1355" s="2" t="s">
        <v>41</v>
      </c>
      <c r="C1355" s="2" t="s">
        <v>238</v>
      </c>
      <c r="D1355">
        <v>9</v>
      </c>
      <c r="E1355">
        <f>WEEKDAY(makulatura5[[#This Row],[Data_dostarczenia]],2)</f>
        <v>5</v>
      </c>
      <c r="F1355" s="2">
        <f t="shared" si="21"/>
        <v>0</v>
      </c>
    </row>
    <row r="1356" spans="1:6" x14ac:dyDescent="0.25">
      <c r="A1356" s="1">
        <v>42972</v>
      </c>
      <c r="B1356" s="2" t="s">
        <v>12</v>
      </c>
      <c r="C1356" s="2" t="s">
        <v>13</v>
      </c>
      <c r="D1356">
        <v>27</v>
      </c>
      <c r="E1356">
        <f>WEEKDAY(makulatura5[[#This Row],[Data_dostarczenia]],2)</f>
        <v>5</v>
      </c>
      <c r="F1356" s="2">
        <f t="shared" si="21"/>
        <v>0</v>
      </c>
    </row>
    <row r="1357" spans="1:6" x14ac:dyDescent="0.25">
      <c r="A1357" s="1">
        <v>42972</v>
      </c>
      <c r="B1357" s="2" t="s">
        <v>131</v>
      </c>
      <c r="C1357" s="2" t="s">
        <v>451</v>
      </c>
      <c r="D1357">
        <v>11</v>
      </c>
      <c r="E1357">
        <f>WEEKDAY(makulatura5[[#This Row],[Data_dostarczenia]],2)</f>
        <v>5</v>
      </c>
      <c r="F1357" s="2">
        <f t="shared" si="21"/>
        <v>0</v>
      </c>
    </row>
    <row r="1358" spans="1:6" x14ac:dyDescent="0.25">
      <c r="A1358" s="1">
        <v>42972</v>
      </c>
      <c r="B1358" s="2" t="s">
        <v>39</v>
      </c>
      <c r="C1358" s="2" t="s">
        <v>289</v>
      </c>
      <c r="D1358">
        <v>42</v>
      </c>
      <c r="E1358">
        <f>WEEKDAY(makulatura5[[#This Row],[Data_dostarczenia]],2)</f>
        <v>5</v>
      </c>
      <c r="F1358" s="2">
        <f t="shared" si="21"/>
        <v>0</v>
      </c>
    </row>
    <row r="1359" spans="1:6" x14ac:dyDescent="0.25">
      <c r="A1359" s="1">
        <v>42972</v>
      </c>
      <c r="B1359" s="2" t="s">
        <v>133</v>
      </c>
      <c r="C1359" s="2" t="s">
        <v>652</v>
      </c>
      <c r="D1359">
        <v>8</v>
      </c>
      <c r="E1359">
        <f>WEEKDAY(makulatura5[[#This Row],[Data_dostarczenia]],2)</f>
        <v>5</v>
      </c>
      <c r="F1359" s="2">
        <f t="shared" si="21"/>
        <v>0</v>
      </c>
    </row>
    <row r="1360" spans="1:6" x14ac:dyDescent="0.25">
      <c r="A1360" s="1">
        <v>42972</v>
      </c>
      <c r="B1360" s="2" t="s">
        <v>244</v>
      </c>
      <c r="C1360" s="2" t="s">
        <v>245</v>
      </c>
      <c r="D1360">
        <v>39</v>
      </c>
      <c r="E1360">
        <f>WEEKDAY(makulatura5[[#This Row],[Data_dostarczenia]],2)</f>
        <v>5</v>
      </c>
      <c r="F1360" s="2">
        <f t="shared" si="21"/>
        <v>0</v>
      </c>
    </row>
    <row r="1361" spans="1:6" x14ac:dyDescent="0.25">
      <c r="A1361" s="1">
        <v>42972</v>
      </c>
      <c r="B1361" s="2" t="s">
        <v>193</v>
      </c>
      <c r="C1361" s="2" t="s">
        <v>406</v>
      </c>
      <c r="D1361">
        <v>26</v>
      </c>
      <c r="E1361">
        <f>WEEKDAY(makulatura5[[#This Row],[Data_dostarczenia]],2)</f>
        <v>5</v>
      </c>
      <c r="F1361" s="2">
        <f t="shared" si="21"/>
        <v>1</v>
      </c>
    </row>
    <row r="1362" spans="1:6" x14ac:dyDescent="0.25">
      <c r="A1362" s="1">
        <v>42975</v>
      </c>
      <c r="B1362" s="2" t="s">
        <v>32</v>
      </c>
      <c r="C1362" s="2" t="s">
        <v>33</v>
      </c>
      <c r="D1362">
        <v>28</v>
      </c>
      <c r="E1362">
        <f>WEEKDAY(makulatura5[[#This Row],[Data_dostarczenia]],2)</f>
        <v>1</v>
      </c>
      <c r="F1362" s="2">
        <f t="shared" si="21"/>
        <v>0</v>
      </c>
    </row>
    <row r="1363" spans="1:6" x14ac:dyDescent="0.25">
      <c r="A1363" s="1">
        <v>42975</v>
      </c>
      <c r="B1363" s="2" t="s">
        <v>114</v>
      </c>
      <c r="C1363" s="2" t="s">
        <v>653</v>
      </c>
      <c r="D1363">
        <v>40</v>
      </c>
      <c r="E1363">
        <f>WEEKDAY(makulatura5[[#This Row],[Data_dostarczenia]],2)</f>
        <v>1</v>
      </c>
      <c r="F1363" s="2">
        <f t="shared" si="21"/>
        <v>0</v>
      </c>
    </row>
    <row r="1364" spans="1:6" x14ac:dyDescent="0.25">
      <c r="A1364" s="1">
        <v>42975</v>
      </c>
      <c r="B1364" s="2" t="s">
        <v>203</v>
      </c>
      <c r="C1364" s="2" t="s">
        <v>370</v>
      </c>
      <c r="D1364">
        <v>17</v>
      </c>
      <c r="E1364">
        <f>WEEKDAY(makulatura5[[#This Row],[Data_dostarczenia]],2)</f>
        <v>1</v>
      </c>
      <c r="F1364" s="2">
        <f t="shared" si="21"/>
        <v>0</v>
      </c>
    </row>
    <row r="1365" spans="1:6" x14ac:dyDescent="0.25">
      <c r="A1365" s="1">
        <v>42975</v>
      </c>
      <c r="B1365" s="2" t="s">
        <v>299</v>
      </c>
      <c r="C1365" s="2" t="s">
        <v>482</v>
      </c>
      <c r="D1365">
        <v>2</v>
      </c>
      <c r="E1365">
        <f>WEEKDAY(makulatura5[[#This Row],[Data_dostarczenia]],2)</f>
        <v>1</v>
      </c>
      <c r="F1365" s="2">
        <f t="shared" si="21"/>
        <v>0</v>
      </c>
    </row>
    <row r="1366" spans="1:6" x14ac:dyDescent="0.25">
      <c r="A1366" s="1">
        <v>42975</v>
      </c>
      <c r="B1366" s="2" t="s">
        <v>106</v>
      </c>
      <c r="C1366" s="2" t="s">
        <v>277</v>
      </c>
      <c r="D1366">
        <v>22</v>
      </c>
      <c r="E1366">
        <f>WEEKDAY(makulatura5[[#This Row],[Data_dostarczenia]],2)</f>
        <v>1</v>
      </c>
      <c r="F1366" s="2">
        <f t="shared" si="21"/>
        <v>0</v>
      </c>
    </row>
    <row r="1367" spans="1:6" x14ac:dyDescent="0.25">
      <c r="A1367" s="1">
        <v>42975</v>
      </c>
      <c r="B1367" s="2" t="s">
        <v>39</v>
      </c>
      <c r="C1367" s="2" t="s">
        <v>289</v>
      </c>
      <c r="D1367">
        <v>18</v>
      </c>
      <c r="E1367">
        <f>WEEKDAY(makulatura5[[#This Row],[Data_dostarczenia]],2)</f>
        <v>1</v>
      </c>
      <c r="F1367" s="2">
        <f t="shared" si="21"/>
        <v>0</v>
      </c>
    </row>
    <row r="1368" spans="1:6" x14ac:dyDescent="0.25">
      <c r="A1368" s="1">
        <v>42975</v>
      </c>
      <c r="B1368" s="2" t="s">
        <v>83</v>
      </c>
      <c r="C1368" s="2" t="s">
        <v>561</v>
      </c>
      <c r="D1368">
        <v>35</v>
      </c>
      <c r="E1368">
        <f>WEEKDAY(makulatura5[[#This Row],[Data_dostarczenia]],2)</f>
        <v>1</v>
      </c>
      <c r="F1368" s="2">
        <f t="shared" si="21"/>
        <v>0</v>
      </c>
    </row>
    <row r="1369" spans="1:6" x14ac:dyDescent="0.25">
      <c r="A1369" s="1">
        <v>42975</v>
      </c>
      <c r="B1369" s="2" t="s">
        <v>178</v>
      </c>
      <c r="C1369" s="2" t="s">
        <v>335</v>
      </c>
      <c r="D1369">
        <v>7</v>
      </c>
      <c r="E1369">
        <f>WEEKDAY(makulatura5[[#This Row],[Data_dostarczenia]],2)</f>
        <v>1</v>
      </c>
      <c r="F1369" s="2">
        <f t="shared" si="21"/>
        <v>0</v>
      </c>
    </row>
    <row r="1370" spans="1:6" x14ac:dyDescent="0.25">
      <c r="A1370" s="1">
        <v>42975</v>
      </c>
      <c r="B1370" s="2" t="s">
        <v>280</v>
      </c>
      <c r="C1370" s="2" t="s">
        <v>447</v>
      </c>
      <c r="D1370">
        <v>12</v>
      </c>
      <c r="E1370">
        <f>WEEKDAY(makulatura5[[#This Row],[Data_dostarczenia]],2)</f>
        <v>1</v>
      </c>
      <c r="F1370" s="2">
        <f t="shared" si="21"/>
        <v>0</v>
      </c>
    </row>
    <row r="1371" spans="1:6" x14ac:dyDescent="0.25">
      <c r="A1371" s="1">
        <v>42975</v>
      </c>
      <c r="B1371" s="2" t="s">
        <v>139</v>
      </c>
      <c r="C1371" s="2" t="s">
        <v>654</v>
      </c>
      <c r="D1371">
        <v>32</v>
      </c>
      <c r="E1371">
        <f>WEEKDAY(makulatura5[[#This Row],[Data_dostarczenia]],2)</f>
        <v>1</v>
      </c>
      <c r="F1371" s="2">
        <f t="shared" si="21"/>
        <v>1</v>
      </c>
    </row>
    <row r="1372" spans="1:6" x14ac:dyDescent="0.25">
      <c r="A1372" s="1">
        <v>42976</v>
      </c>
      <c r="B1372" s="2" t="s">
        <v>45</v>
      </c>
      <c r="C1372" s="2" t="s">
        <v>388</v>
      </c>
      <c r="D1372">
        <v>22</v>
      </c>
      <c r="E1372">
        <f>WEEKDAY(makulatura5[[#This Row],[Data_dostarczenia]],2)</f>
        <v>2</v>
      </c>
      <c r="F1372" s="2">
        <f t="shared" si="21"/>
        <v>0</v>
      </c>
    </row>
    <row r="1373" spans="1:6" x14ac:dyDescent="0.25">
      <c r="A1373" s="1">
        <v>42976</v>
      </c>
      <c r="B1373" s="2" t="s">
        <v>97</v>
      </c>
      <c r="C1373" s="2" t="s">
        <v>579</v>
      </c>
      <c r="D1373">
        <v>25</v>
      </c>
      <c r="E1373">
        <f>WEEKDAY(makulatura5[[#This Row],[Data_dostarczenia]],2)</f>
        <v>2</v>
      </c>
      <c r="F1373" s="2">
        <f t="shared" si="21"/>
        <v>0</v>
      </c>
    </row>
    <row r="1374" spans="1:6" x14ac:dyDescent="0.25">
      <c r="A1374" s="1">
        <v>42976</v>
      </c>
      <c r="B1374" s="2" t="s">
        <v>640</v>
      </c>
      <c r="C1374" s="2" t="s">
        <v>655</v>
      </c>
      <c r="D1374">
        <v>25</v>
      </c>
      <c r="E1374">
        <f>WEEKDAY(makulatura5[[#This Row],[Data_dostarczenia]],2)</f>
        <v>2</v>
      </c>
      <c r="F1374" s="2">
        <f t="shared" si="21"/>
        <v>0</v>
      </c>
    </row>
    <row r="1375" spans="1:6" x14ac:dyDescent="0.25">
      <c r="A1375" s="1">
        <v>42976</v>
      </c>
      <c r="B1375" s="2" t="s">
        <v>409</v>
      </c>
      <c r="C1375" s="2" t="s">
        <v>656</v>
      </c>
      <c r="D1375">
        <v>6</v>
      </c>
      <c r="E1375">
        <f>WEEKDAY(makulatura5[[#This Row],[Data_dostarczenia]],2)</f>
        <v>2</v>
      </c>
      <c r="F1375" s="2">
        <f t="shared" si="21"/>
        <v>0</v>
      </c>
    </row>
    <row r="1376" spans="1:6" x14ac:dyDescent="0.25">
      <c r="A1376" s="1">
        <v>42976</v>
      </c>
      <c r="B1376" s="2" t="s">
        <v>310</v>
      </c>
      <c r="C1376" s="2" t="s">
        <v>641</v>
      </c>
      <c r="D1376">
        <v>50</v>
      </c>
      <c r="E1376">
        <f>WEEKDAY(makulatura5[[#This Row],[Data_dostarczenia]],2)</f>
        <v>2</v>
      </c>
      <c r="F1376" s="2">
        <f t="shared" si="21"/>
        <v>0</v>
      </c>
    </row>
    <row r="1377" spans="1:6" x14ac:dyDescent="0.25">
      <c r="A1377" s="1">
        <v>42976</v>
      </c>
      <c r="B1377" s="2" t="s">
        <v>77</v>
      </c>
      <c r="C1377" s="2" t="s">
        <v>78</v>
      </c>
      <c r="D1377">
        <v>16</v>
      </c>
      <c r="E1377">
        <f>WEEKDAY(makulatura5[[#This Row],[Data_dostarczenia]],2)</f>
        <v>2</v>
      </c>
      <c r="F1377" s="2">
        <f t="shared" si="21"/>
        <v>0</v>
      </c>
    </row>
    <row r="1378" spans="1:6" x14ac:dyDescent="0.25">
      <c r="A1378" s="1">
        <v>42976</v>
      </c>
      <c r="B1378" s="2" t="s">
        <v>201</v>
      </c>
      <c r="C1378" s="2" t="s">
        <v>357</v>
      </c>
      <c r="D1378">
        <v>23</v>
      </c>
      <c r="E1378">
        <f>WEEKDAY(makulatura5[[#This Row],[Data_dostarczenia]],2)</f>
        <v>2</v>
      </c>
      <c r="F1378" s="2">
        <f t="shared" si="21"/>
        <v>0</v>
      </c>
    </row>
    <row r="1379" spans="1:6" x14ac:dyDescent="0.25">
      <c r="A1379" s="1">
        <v>42976</v>
      </c>
      <c r="B1379" s="2" t="s">
        <v>83</v>
      </c>
      <c r="C1379" s="2" t="s">
        <v>615</v>
      </c>
      <c r="D1379">
        <v>7</v>
      </c>
      <c r="E1379">
        <f>WEEKDAY(makulatura5[[#This Row],[Data_dostarczenia]],2)</f>
        <v>2</v>
      </c>
      <c r="F1379" s="2">
        <f t="shared" si="21"/>
        <v>0</v>
      </c>
    </row>
    <row r="1380" spans="1:6" x14ac:dyDescent="0.25">
      <c r="A1380" s="1">
        <v>42976</v>
      </c>
      <c r="B1380" s="2" t="s">
        <v>416</v>
      </c>
      <c r="C1380" s="2" t="s">
        <v>417</v>
      </c>
      <c r="D1380">
        <v>6</v>
      </c>
      <c r="E1380">
        <f>WEEKDAY(makulatura5[[#This Row],[Data_dostarczenia]],2)</f>
        <v>2</v>
      </c>
      <c r="F1380" s="2">
        <f t="shared" si="21"/>
        <v>0</v>
      </c>
    </row>
    <row r="1381" spans="1:6" x14ac:dyDescent="0.25">
      <c r="A1381" s="1">
        <v>42976</v>
      </c>
      <c r="B1381" s="2" t="s">
        <v>206</v>
      </c>
      <c r="C1381" s="2" t="s">
        <v>192</v>
      </c>
      <c r="D1381">
        <v>44</v>
      </c>
      <c r="E1381">
        <f>WEEKDAY(makulatura5[[#This Row],[Data_dostarczenia]],2)</f>
        <v>2</v>
      </c>
      <c r="F1381" s="2">
        <f t="shared" si="21"/>
        <v>1</v>
      </c>
    </row>
    <row r="1382" spans="1:6" x14ac:dyDescent="0.25">
      <c r="A1382" s="1">
        <v>42977</v>
      </c>
      <c r="B1382" s="2" t="s">
        <v>51</v>
      </c>
      <c r="C1382" s="2" t="s">
        <v>621</v>
      </c>
      <c r="D1382">
        <v>33</v>
      </c>
      <c r="E1382">
        <f>WEEKDAY(makulatura5[[#This Row],[Data_dostarczenia]],2)</f>
        <v>3</v>
      </c>
      <c r="F1382" s="2">
        <f t="shared" si="21"/>
        <v>0</v>
      </c>
    </row>
    <row r="1383" spans="1:6" x14ac:dyDescent="0.25">
      <c r="A1383" s="1">
        <v>42977</v>
      </c>
      <c r="B1383" s="2" t="s">
        <v>43</v>
      </c>
      <c r="C1383" s="2" t="s">
        <v>507</v>
      </c>
      <c r="D1383">
        <v>26</v>
      </c>
      <c r="E1383">
        <f>WEEKDAY(makulatura5[[#This Row],[Data_dostarczenia]],2)</f>
        <v>3</v>
      </c>
      <c r="F1383" s="2">
        <f t="shared" si="21"/>
        <v>0</v>
      </c>
    </row>
    <row r="1384" spans="1:6" x14ac:dyDescent="0.25">
      <c r="A1384" s="1">
        <v>42977</v>
      </c>
      <c r="B1384" s="2" t="s">
        <v>39</v>
      </c>
      <c r="C1384" s="2" t="s">
        <v>609</v>
      </c>
      <c r="D1384">
        <v>18</v>
      </c>
      <c r="E1384">
        <f>WEEKDAY(makulatura5[[#This Row],[Data_dostarczenia]],2)</f>
        <v>3</v>
      </c>
      <c r="F1384" s="2">
        <f t="shared" si="21"/>
        <v>0</v>
      </c>
    </row>
    <row r="1385" spans="1:6" x14ac:dyDescent="0.25">
      <c r="A1385" s="1">
        <v>42977</v>
      </c>
      <c r="B1385" s="2" t="s">
        <v>16</v>
      </c>
      <c r="C1385" s="2" t="s">
        <v>440</v>
      </c>
      <c r="D1385">
        <v>5</v>
      </c>
      <c r="E1385">
        <f>WEEKDAY(makulatura5[[#This Row],[Data_dostarczenia]],2)</f>
        <v>3</v>
      </c>
      <c r="F1385" s="2">
        <f t="shared" si="21"/>
        <v>0</v>
      </c>
    </row>
    <row r="1386" spans="1:6" x14ac:dyDescent="0.25">
      <c r="A1386" s="1">
        <v>42977</v>
      </c>
      <c r="B1386" s="2" t="s">
        <v>150</v>
      </c>
      <c r="C1386" s="2" t="s">
        <v>556</v>
      </c>
      <c r="D1386">
        <v>4</v>
      </c>
      <c r="E1386">
        <f>WEEKDAY(makulatura5[[#This Row],[Data_dostarczenia]],2)</f>
        <v>3</v>
      </c>
      <c r="F1386" s="2">
        <f t="shared" si="21"/>
        <v>0</v>
      </c>
    </row>
    <row r="1387" spans="1:6" x14ac:dyDescent="0.25">
      <c r="A1387" s="1">
        <v>42977</v>
      </c>
      <c r="B1387" s="2" t="s">
        <v>34</v>
      </c>
      <c r="C1387" s="2" t="s">
        <v>182</v>
      </c>
      <c r="D1387">
        <v>4</v>
      </c>
      <c r="E1387">
        <f>WEEKDAY(makulatura5[[#This Row],[Data_dostarczenia]],2)</f>
        <v>3</v>
      </c>
      <c r="F1387" s="2">
        <f t="shared" si="21"/>
        <v>0</v>
      </c>
    </row>
    <row r="1388" spans="1:6" x14ac:dyDescent="0.25">
      <c r="A1388" s="1">
        <v>42977</v>
      </c>
      <c r="B1388" s="2" t="s">
        <v>39</v>
      </c>
      <c r="C1388" s="2" t="s">
        <v>436</v>
      </c>
      <c r="D1388">
        <v>43</v>
      </c>
      <c r="E1388">
        <f>WEEKDAY(makulatura5[[#This Row],[Data_dostarczenia]],2)</f>
        <v>3</v>
      </c>
      <c r="F1388" s="2">
        <f t="shared" si="21"/>
        <v>0</v>
      </c>
    </row>
    <row r="1389" spans="1:6" x14ac:dyDescent="0.25">
      <c r="A1389" s="1">
        <v>42977</v>
      </c>
      <c r="B1389" s="2" t="s">
        <v>75</v>
      </c>
      <c r="C1389" s="2" t="s">
        <v>500</v>
      </c>
      <c r="D1389">
        <v>48</v>
      </c>
      <c r="E1389">
        <f>WEEKDAY(makulatura5[[#This Row],[Data_dostarczenia]],2)</f>
        <v>3</v>
      </c>
      <c r="F1389" s="2">
        <f t="shared" si="21"/>
        <v>0</v>
      </c>
    </row>
    <row r="1390" spans="1:6" x14ac:dyDescent="0.25">
      <c r="A1390" s="1">
        <v>42977</v>
      </c>
      <c r="B1390" s="2" t="s">
        <v>273</v>
      </c>
      <c r="C1390" s="2" t="s">
        <v>274</v>
      </c>
      <c r="D1390">
        <v>12</v>
      </c>
      <c r="E1390">
        <f>WEEKDAY(makulatura5[[#This Row],[Data_dostarczenia]],2)</f>
        <v>3</v>
      </c>
      <c r="F1390" s="2">
        <f t="shared" si="21"/>
        <v>0</v>
      </c>
    </row>
    <row r="1391" spans="1:6" x14ac:dyDescent="0.25">
      <c r="A1391" s="1">
        <v>42977</v>
      </c>
      <c r="B1391" s="2" t="s">
        <v>503</v>
      </c>
      <c r="C1391" s="2" t="s">
        <v>183</v>
      </c>
      <c r="D1391">
        <v>21</v>
      </c>
      <c r="E1391">
        <f>WEEKDAY(makulatura5[[#This Row],[Data_dostarczenia]],2)</f>
        <v>3</v>
      </c>
      <c r="F1391" s="2">
        <f t="shared" si="21"/>
        <v>1</v>
      </c>
    </row>
    <row r="1392" spans="1:6" x14ac:dyDescent="0.25">
      <c r="A1392" s="1">
        <v>42978</v>
      </c>
      <c r="B1392" s="2" t="s">
        <v>39</v>
      </c>
      <c r="C1392" s="2" t="s">
        <v>657</v>
      </c>
      <c r="D1392">
        <v>21</v>
      </c>
      <c r="E1392">
        <f>WEEKDAY(makulatura5[[#This Row],[Data_dostarczenia]],2)</f>
        <v>4</v>
      </c>
      <c r="F1392" s="2">
        <f t="shared" si="21"/>
        <v>0</v>
      </c>
    </row>
    <row r="1393" spans="1:6" x14ac:dyDescent="0.25">
      <c r="A1393" s="1">
        <v>42978</v>
      </c>
      <c r="B1393" s="2" t="s">
        <v>36</v>
      </c>
      <c r="C1393" s="2" t="s">
        <v>306</v>
      </c>
      <c r="D1393">
        <v>2</v>
      </c>
      <c r="E1393">
        <f>WEEKDAY(makulatura5[[#This Row],[Data_dostarczenia]],2)</f>
        <v>4</v>
      </c>
      <c r="F1393" s="2">
        <f t="shared" si="21"/>
        <v>0</v>
      </c>
    </row>
    <row r="1394" spans="1:6" x14ac:dyDescent="0.25">
      <c r="A1394" s="1">
        <v>42978</v>
      </c>
      <c r="B1394" s="2" t="s">
        <v>83</v>
      </c>
      <c r="C1394" s="2" t="s">
        <v>658</v>
      </c>
      <c r="D1394">
        <v>14</v>
      </c>
      <c r="E1394">
        <f>WEEKDAY(makulatura5[[#This Row],[Data_dostarczenia]],2)</f>
        <v>4</v>
      </c>
      <c r="F1394" s="2">
        <f t="shared" si="21"/>
        <v>0</v>
      </c>
    </row>
    <row r="1395" spans="1:6" x14ac:dyDescent="0.25">
      <c r="A1395" s="1">
        <v>42978</v>
      </c>
      <c r="B1395" s="2" t="s">
        <v>67</v>
      </c>
      <c r="C1395" s="2" t="s">
        <v>301</v>
      </c>
      <c r="D1395">
        <v>26</v>
      </c>
      <c r="E1395">
        <f>WEEKDAY(makulatura5[[#This Row],[Data_dostarczenia]],2)</f>
        <v>4</v>
      </c>
      <c r="F1395" s="2">
        <f t="shared" si="21"/>
        <v>0</v>
      </c>
    </row>
    <row r="1396" spans="1:6" x14ac:dyDescent="0.25">
      <c r="A1396" s="1">
        <v>42978</v>
      </c>
      <c r="B1396" s="2" t="s">
        <v>97</v>
      </c>
      <c r="C1396" s="2" t="s">
        <v>309</v>
      </c>
      <c r="D1396">
        <v>44</v>
      </c>
      <c r="E1396">
        <f>WEEKDAY(makulatura5[[#This Row],[Data_dostarczenia]],2)</f>
        <v>4</v>
      </c>
      <c r="F1396" s="2">
        <f t="shared" si="21"/>
        <v>0</v>
      </c>
    </row>
    <row r="1397" spans="1:6" x14ac:dyDescent="0.25">
      <c r="A1397" s="1">
        <v>42978</v>
      </c>
      <c r="B1397" s="2" t="s">
        <v>133</v>
      </c>
      <c r="C1397" s="2" t="s">
        <v>499</v>
      </c>
      <c r="D1397">
        <v>31</v>
      </c>
      <c r="E1397">
        <f>WEEKDAY(makulatura5[[#This Row],[Data_dostarczenia]],2)</f>
        <v>4</v>
      </c>
      <c r="F1397" s="2">
        <f t="shared" si="21"/>
        <v>0</v>
      </c>
    </row>
    <row r="1398" spans="1:6" x14ac:dyDescent="0.25">
      <c r="A1398" s="1">
        <v>42978</v>
      </c>
      <c r="B1398" s="2" t="s">
        <v>63</v>
      </c>
      <c r="C1398" s="2" t="s">
        <v>231</v>
      </c>
      <c r="D1398">
        <v>29</v>
      </c>
      <c r="E1398">
        <f>WEEKDAY(makulatura5[[#This Row],[Data_dostarczenia]],2)</f>
        <v>4</v>
      </c>
      <c r="F1398" s="2">
        <f t="shared" si="21"/>
        <v>0</v>
      </c>
    </row>
    <row r="1399" spans="1:6" x14ac:dyDescent="0.25">
      <c r="A1399" s="1">
        <v>42978</v>
      </c>
      <c r="B1399" s="2" t="s">
        <v>39</v>
      </c>
      <c r="C1399" s="2" t="s">
        <v>436</v>
      </c>
      <c r="D1399">
        <v>13</v>
      </c>
      <c r="E1399">
        <f>WEEKDAY(makulatura5[[#This Row],[Data_dostarczenia]],2)</f>
        <v>4</v>
      </c>
      <c r="F1399" s="2">
        <f t="shared" si="21"/>
        <v>0</v>
      </c>
    </row>
    <row r="1400" spans="1:6" x14ac:dyDescent="0.25">
      <c r="A1400" s="1">
        <v>42978</v>
      </c>
      <c r="B1400" s="2" t="s">
        <v>593</v>
      </c>
      <c r="C1400" s="2" t="s">
        <v>659</v>
      </c>
      <c r="D1400">
        <v>28</v>
      </c>
      <c r="E1400">
        <f>WEEKDAY(makulatura5[[#This Row],[Data_dostarczenia]],2)</f>
        <v>4</v>
      </c>
      <c r="F1400" s="2">
        <f t="shared" si="21"/>
        <v>0</v>
      </c>
    </row>
    <row r="1401" spans="1:6" x14ac:dyDescent="0.25">
      <c r="A1401" s="1">
        <v>42978</v>
      </c>
      <c r="B1401" s="2" t="s">
        <v>23</v>
      </c>
      <c r="C1401" s="2" t="s">
        <v>163</v>
      </c>
      <c r="D1401">
        <v>23</v>
      </c>
      <c r="E1401">
        <f>WEEKDAY(makulatura5[[#This Row],[Data_dostarczenia]],2)</f>
        <v>4</v>
      </c>
      <c r="F1401" s="2">
        <f t="shared" si="21"/>
        <v>1</v>
      </c>
    </row>
    <row r="1402" spans="1:6" x14ac:dyDescent="0.25">
      <c r="A1402" s="1">
        <v>42979</v>
      </c>
      <c r="B1402" s="2" t="s">
        <v>57</v>
      </c>
      <c r="C1402" s="2" t="s">
        <v>58</v>
      </c>
      <c r="D1402">
        <v>5</v>
      </c>
      <c r="E1402">
        <f>WEEKDAY(makulatura5[[#This Row],[Data_dostarczenia]],2)</f>
        <v>5</v>
      </c>
      <c r="F1402" s="2">
        <f t="shared" si="21"/>
        <v>0</v>
      </c>
    </row>
    <row r="1403" spans="1:6" x14ac:dyDescent="0.25">
      <c r="A1403" s="1">
        <v>42979</v>
      </c>
      <c r="B1403" s="2" t="s">
        <v>14</v>
      </c>
      <c r="C1403" s="2" t="s">
        <v>660</v>
      </c>
      <c r="D1403">
        <v>16</v>
      </c>
      <c r="E1403">
        <f>WEEKDAY(makulatura5[[#This Row],[Data_dostarczenia]],2)</f>
        <v>5</v>
      </c>
      <c r="F1403" s="2">
        <f t="shared" si="21"/>
        <v>0</v>
      </c>
    </row>
    <row r="1404" spans="1:6" x14ac:dyDescent="0.25">
      <c r="A1404" s="1">
        <v>42979</v>
      </c>
      <c r="B1404" s="2" t="s">
        <v>327</v>
      </c>
      <c r="C1404" s="2" t="s">
        <v>102</v>
      </c>
      <c r="D1404">
        <v>21</v>
      </c>
      <c r="E1404">
        <f>WEEKDAY(makulatura5[[#This Row],[Data_dostarczenia]],2)</f>
        <v>5</v>
      </c>
      <c r="F1404" s="2">
        <f t="shared" si="21"/>
        <v>0</v>
      </c>
    </row>
    <row r="1405" spans="1:6" x14ac:dyDescent="0.25">
      <c r="A1405" s="1">
        <v>42979</v>
      </c>
      <c r="B1405" s="2" t="s">
        <v>593</v>
      </c>
      <c r="C1405" s="2" t="s">
        <v>659</v>
      </c>
      <c r="D1405">
        <v>46</v>
      </c>
      <c r="E1405">
        <f>WEEKDAY(makulatura5[[#This Row],[Data_dostarczenia]],2)</f>
        <v>5</v>
      </c>
      <c r="F1405" s="2">
        <f t="shared" si="21"/>
        <v>0</v>
      </c>
    </row>
    <row r="1406" spans="1:6" x14ac:dyDescent="0.25">
      <c r="A1406" s="1">
        <v>42979</v>
      </c>
      <c r="B1406" s="2" t="s">
        <v>576</v>
      </c>
      <c r="C1406" s="2" t="s">
        <v>577</v>
      </c>
      <c r="D1406">
        <v>39</v>
      </c>
      <c r="E1406">
        <f>WEEKDAY(makulatura5[[#This Row],[Data_dostarczenia]],2)</f>
        <v>5</v>
      </c>
      <c r="F1406" s="2">
        <f t="shared" si="21"/>
        <v>0</v>
      </c>
    </row>
    <row r="1407" spans="1:6" x14ac:dyDescent="0.25">
      <c r="A1407" s="1">
        <v>42979</v>
      </c>
      <c r="B1407" s="2" t="s">
        <v>178</v>
      </c>
      <c r="C1407" s="2" t="s">
        <v>333</v>
      </c>
      <c r="D1407">
        <v>18</v>
      </c>
      <c r="E1407">
        <f>WEEKDAY(makulatura5[[#This Row],[Data_dostarczenia]],2)</f>
        <v>5</v>
      </c>
      <c r="F1407" s="2">
        <f t="shared" si="21"/>
        <v>0</v>
      </c>
    </row>
    <row r="1408" spans="1:6" x14ac:dyDescent="0.25">
      <c r="A1408" s="1">
        <v>42979</v>
      </c>
      <c r="B1408" s="2" t="s">
        <v>519</v>
      </c>
      <c r="C1408" s="2" t="s">
        <v>661</v>
      </c>
      <c r="D1408">
        <v>47</v>
      </c>
      <c r="E1408">
        <f>WEEKDAY(makulatura5[[#This Row],[Data_dostarczenia]],2)</f>
        <v>5</v>
      </c>
      <c r="F1408" s="2">
        <f t="shared" si="21"/>
        <v>0</v>
      </c>
    </row>
    <row r="1409" spans="1:6" x14ac:dyDescent="0.25">
      <c r="A1409" s="1">
        <v>42979</v>
      </c>
      <c r="B1409" s="2" t="s">
        <v>128</v>
      </c>
      <c r="C1409" s="2" t="s">
        <v>129</v>
      </c>
      <c r="D1409">
        <v>23</v>
      </c>
      <c r="E1409">
        <f>WEEKDAY(makulatura5[[#This Row],[Data_dostarczenia]],2)</f>
        <v>5</v>
      </c>
      <c r="F1409" s="2">
        <f t="shared" si="21"/>
        <v>0</v>
      </c>
    </row>
    <row r="1410" spans="1:6" x14ac:dyDescent="0.25">
      <c r="A1410" s="1">
        <v>42979</v>
      </c>
      <c r="B1410" s="2" t="s">
        <v>14</v>
      </c>
      <c r="C1410" s="2" t="s">
        <v>422</v>
      </c>
      <c r="D1410">
        <v>27</v>
      </c>
      <c r="E1410">
        <f>WEEKDAY(makulatura5[[#This Row],[Data_dostarczenia]],2)</f>
        <v>5</v>
      </c>
      <c r="F1410" s="2">
        <f t="shared" ref="F1410:F1473" si="22">IF(A1411=A1410,0,1)</f>
        <v>0</v>
      </c>
    </row>
    <row r="1411" spans="1:6" x14ac:dyDescent="0.25">
      <c r="A1411" s="1">
        <v>42979</v>
      </c>
      <c r="B1411" s="2" t="s">
        <v>20</v>
      </c>
      <c r="C1411" s="2" t="s">
        <v>123</v>
      </c>
      <c r="D1411">
        <v>25</v>
      </c>
      <c r="E1411">
        <f>WEEKDAY(makulatura5[[#This Row],[Data_dostarczenia]],2)</f>
        <v>5</v>
      </c>
      <c r="F1411" s="2">
        <f t="shared" si="22"/>
        <v>1</v>
      </c>
    </row>
    <row r="1412" spans="1:6" x14ac:dyDescent="0.25">
      <c r="A1412" s="1">
        <v>42982</v>
      </c>
      <c r="B1412" s="2" t="s">
        <v>269</v>
      </c>
      <c r="C1412" s="2" t="s">
        <v>605</v>
      </c>
      <c r="D1412">
        <v>23</v>
      </c>
      <c r="E1412">
        <f>WEEKDAY(makulatura5[[#This Row],[Data_dostarczenia]],2)</f>
        <v>1</v>
      </c>
      <c r="F1412" s="2">
        <f t="shared" si="22"/>
        <v>0</v>
      </c>
    </row>
    <row r="1413" spans="1:6" x14ac:dyDescent="0.25">
      <c r="A1413" s="1">
        <v>42982</v>
      </c>
      <c r="B1413" s="2" t="s">
        <v>514</v>
      </c>
      <c r="C1413" s="2" t="s">
        <v>515</v>
      </c>
      <c r="D1413">
        <v>25</v>
      </c>
      <c r="E1413">
        <f>WEEKDAY(makulatura5[[#This Row],[Data_dostarczenia]],2)</f>
        <v>1</v>
      </c>
      <c r="F1413" s="2">
        <f t="shared" si="22"/>
        <v>0</v>
      </c>
    </row>
    <row r="1414" spans="1:6" x14ac:dyDescent="0.25">
      <c r="A1414" s="1">
        <v>42982</v>
      </c>
      <c r="B1414" s="2" t="s">
        <v>39</v>
      </c>
      <c r="C1414" s="2" t="s">
        <v>657</v>
      </c>
      <c r="D1414">
        <v>16</v>
      </c>
      <c r="E1414">
        <f>WEEKDAY(makulatura5[[#This Row],[Data_dostarczenia]],2)</f>
        <v>1</v>
      </c>
      <c r="F1414" s="2">
        <f t="shared" si="22"/>
        <v>0</v>
      </c>
    </row>
    <row r="1415" spans="1:6" x14ac:dyDescent="0.25">
      <c r="A1415" s="1">
        <v>42982</v>
      </c>
      <c r="B1415" s="2" t="s">
        <v>69</v>
      </c>
      <c r="C1415" s="2" t="s">
        <v>461</v>
      </c>
      <c r="D1415">
        <v>29</v>
      </c>
      <c r="E1415">
        <f>WEEKDAY(makulatura5[[#This Row],[Data_dostarczenia]],2)</f>
        <v>1</v>
      </c>
      <c r="F1415" s="2">
        <f t="shared" si="22"/>
        <v>0</v>
      </c>
    </row>
    <row r="1416" spans="1:6" x14ac:dyDescent="0.25">
      <c r="A1416" s="1">
        <v>42982</v>
      </c>
      <c r="B1416" s="2" t="s">
        <v>329</v>
      </c>
      <c r="C1416" s="2" t="s">
        <v>330</v>
      </c>
      <c r="D1416">
        <v>23</v>
      </c>
      <c r="E1416">
        <f>WEEKDAY(makulatura5[[#This Row],[Data_dostarczenia]],2)</f>
        <v>1</v>
      </c>
      <c r="F1416" s="2">
        <f t="shared" si="22"/>
        <v>0</v>
      </c>
    </row>
    <row r="1417" spans="1:6" x14ac:dyDescent="0.25">
      <c r="A1417" s="1">
        <v>42982</v>
      </c>
      <c r="B1417" s="2" t="s">
        <v>47</v>
      </c>
      <c r="C1417" s="2" t="s">
        <v>48</v>
      </c>
      <c r="D1417">
        <v>25</v>
      </c>
      <c r="E1417">
        <f>WEEKDAY(makulatura5[[#This Row],[Data_dostarczenia]],2)</f>
        <v>1</v>
      </c>
      <c r="F1417" s="2">
        <f t="shared" si="22"/>
        <v>0</v>
      </c>
    </row>
    <row r="1418" spans="1:6" x14ac:dyDescent="0.25">
      <c r="A1418" s="1">
        <v>42982</v>
      </c>
      <c r="B1418" s="2" t="s">
        <v>278</v>
      </c>
      <c r="C1418" s="2" t="s">
        <v>202</v>
      </c>
      <c r="D1418">
        <v>14</v>
      </c>
      <c r="E1418">
        <f>WEEKDAY(makulatura5[[#This Row],[Data_dostarczenia]],2)</f>
        <v>1</v>
      </c>
      <c r="F1418" s="2">
        <f t="shared" si="22"/>
        <v>0</v>
      </c>
    </row>
    <row r="1419" spans="1:6" x14ac:dyDescent="0.25">
      <c r="A1419" s="1">
        <v>42982</v>
      </c>
      <c r="B1419" s="2" t="s">
        <v>114</v>
      </c>
      <c r="C1419" s="2" t="s">
        <v>173</v>
      </c>
      <c r="D1419">
        <v>20</v>
      </c>
      <c r="E1419">
        <f>WEEKDAY(makulatura5[[#This Row],[Data_dostarczenia]],2)</f>
        <v>1</v>
      </c>
      <c r="F1419" s="2">
        <f t="shared" si="22"/>
        <v>0</v>
      </c>
    </row>
    <row r="1420" spans="1:6" x14ac:dyDescent="0.25">
      <c r="A1420" s="1">
        <v>42982</v>
      </c>
      <c r="B1420" s="2" t="s">
        <v>343</v>
      </c>
      <c r="C1420" s="2" t="s">
        <v>344</v>
      </c>
      <c r="D1420">
        <v>12</v>
      </c>
      <c r="E1420">
        <f>WEEKDAY(makulatura5[[#This Row],[Data_dostarczenia]],2)</f>
        <v>1</v>
      </c>
      <c r="F1420" s="2">
        <f t="shared" si="22"/>
        <v>0</v>
      </c>
    </row>
    <row r="1421" spans="1:6" x14ac:dyDescent="0.25">
      <c r="A1421" s="1">
        <v>42982</v>
      </c>
      <c r="B1421" s="2" t="s">
        <v>97</v>
      </c>
      <c r="C1421" s="2" t="s">
        <v>529</v>
      </c>
      <c r="D1421">
        <v>2</v>
      </c>
      <c r="E1421">
        <f>WEEKDAY(makulatura5[[#This Row],[Data_dostarczenia]],2)</f>
        <v>1</v>
      </c>
      <c r="F1421" s="2">
        <f t="shared" si="22"/>
        <v>1</v>
      </c>
    </row>
    <row r="1422" spans="1:6" x14ac:dyDescent="0.25">
      <c r="A1422" s="1">
        <v>42983</v>
      </c>
      <c r="B1422" s="2" t="s">
        <v>34</v>
      </c>
      <c r="C1422" s="2" t="s">
        <v>662</v>
      </c>
      <c r="D1422">
        <v>53</v>
      </c>
      <c r="E1422">
        <f>WEEKDAY(makulatura5[[#This Row],[Data_dostarczenia]],2)</f>
        <v>2</v>
      </c>
      <c r="F1422" s="2">
        <f t="shared" si="22"/>
        <v>0</v>
      </c>
    </row>
    <row r="1423" spans="1:6" x14ac:dyDescent="0.25">
      <c r="A1423" s="1">
        <v>42983</v>
      </c>
      <c r="B1423" s="2" t="s">
        <v>280</v>
      </c>
      <c r="C1423" s="2" t="s">
        <v>466</v>
      </c>
      <c r="D1423">
        <v>20</v>
      </c>
      <c r="E1423">
        <f>WEEKDAY(makulatura5[[#This Row],[Data_dostarczenia]],2)</f>
        <v>2</v>
      </c>
      <c r="F1423" s="2">
        <f t="shared" si="22"/>
        <v>0</v>
      </c>
    </row>
    <row r="1424" spans="1:6" x14ac:dyDescent="0.25">
      <c r="A1424" s="1">
        <v>42983</v>
      </c>
      <c r="B1424" s="2" t="s">
        <v>479</v>
      </c>
      <c r="C1424" s="2" t="s">
        <v>480</v>
      </c>
      <c r="D1424">
        <v>4</v>
      </c>
      <c r="E1424">
        <f>WEEKDAY(makulatura5[[#This Row],[Data_dostarczenia]],2)</f>
        <v>2</v>
      </c>
      <c r="F1424" s="2">
        <f t="shared" si="22"/>
        <v>0</v>
      </c>
    </row>
    <row r="1425" spans="1:6" x14ac:dyDescent="0.25">
      <c r="A1425" s="1">
        <v>42983</v>
      </c>
      <c r="B1425" s="2" t="s">
        <v>141</v>
      </c>
      <c r="C1425" s="2" t="s">
        <v>292</v>
      </c>
      <c r="D1425">
        <v>5</v>
      </c>
      <c r="E1425">
        <f>WEEKDAY(makulatura5[[#This Row],[Data_dostarczenia]],2)</f>
        <v>2</v>
      </c>
      <c r="F1425" s="2">
        <f t="shared" si="22"/>
        <v>0</v>
      </c>
    </row>
    <row r="1426" spans="1:6" x14ac:dyDescent="0.25">
      <c r="A1426" s="1">
        <v>42983</v>
      </c>
      <c r="B1426" s="2" t="s">
        <v>34</v>
      </c>
      <c r="C1426" s="2" t="s">
        <v>182</v>
      </c>
      <c r="D1426">
        <v>36</v>
      </c>
      <c r="E1426">
        <f>WEEKDAY(makulatura5[[#This Row],[Data_dostarczenia]],2)</f>
        <v>2</v>
      </c>
      <c r="F1426" s="2">
        <f t="shared" si="22"/>
        <v>0</v>
      </c>
    </row>
    <row r="1427" spans="1:6" x14ac:dyDescent="0.25">
      <c r="A1427" s="1">
        <v>42983</v>
      </c>
      <c r="B1427" s="2" t="s">
        <v>442</v>
      </c>
      <c r="C1427" s="2" t="s">
        <v>540</v>
      </c>
      <c r="D1427">
        <v>23</v>
      </c>
      <c r="E1427">
        <f>WEEKDAY(makulatura5[[#This Row],[Data_dostarczenia]],2)</f>
        <v>2</v>
      </c>
      <c r="F1427" s="2">
        <f t="shared" si="22"/>
        <v>0</v>
      </c>
    </row>
    <row r="1428" spans="1:6" x14ac:dyDescent="0.25">
      <c r="A1428" s="1">
        <v>42983</v>
      </c>
      <c r="B1428" s="2" t="s">
        <v>137</v>
      </c>
      <c r="C1428" s="2" t="s">
        <v>138</v>
      </c>
      <c r="D1428">
        <v>6</v>
      </c>
      <c r="E1428">
        <f>WEEKDAY(makulatura5[[#This Row],[Data_dostarczenia]],2)</f>
        <v>2</v>
      </c>
      <c r="F1428" s="2">
        <f t="shared" si="22"/>
        <v>0</v>
      </c>
    </row>
    <row r="1429" spans="1:6" x14ac:dyDescent="0.25">
      <c r="A1429" s="1">
        <v>42983</v>
      </c>
      <c r="B1429" s="2" t="s">
        <v>133</v>
      </c>
      <c r="C1429" s="2" t="s">
        <v>652</v>
      </c>
      <c r="D1429">
        <v>43</v>
      </c>
      <c r="E1429">
        <f>WEEKDAY(makulatura5[[#This Row],[Data_dostarczenia]],2)</f>
        <v>2</v>
      </c>
      <c r="F1429" s="2">
        <f t="shared" si="22"/>
        <v>0</v>
      </c>
    </row>
    <row r="1430" spans="1:6" x14ac:dyDescent="0.25">
      <c r="A1430" s="1">
        <v>42983</v>
      </c>
      <c r="B1430" s="2" t="s">
        <v>72</v>
      </c>
      <c r="C1430" s="2" t="s">
        <v>239</v>
      </c>
      <c r="D1430">
        <v>11</v>
      </c>
      <c r="E1430">
        <f>WEEKDAY(makulatura5[[#This Row],[Data_dostarczenia]],2)</f>
        <v>2</v>
      </c>
      <c r="F1430" s="2">
        <f t="shared" si="22"/>
        <v>0</v>
      </c>
    </row>
    <row r="1431" spans="1:6" x14ac:dyDescent="0.25">
      <c r="A1431" s="1">
        <v>42983</v>
      </c>
      <c r="B1431" s="2" t="s">
        <v>63</v>
      </c>
      <c r="C1431" s="2" t="s">
        <v>64</v>
      </c>
      <c r="D1431">
        <v>9</v>
      </c>
      <c r="E1431">
        <f>WEEKDAY(makulatura5[[#This Row],[Data_dostarczenia]],2)</f>
        <v>2</v>
      </c>
      <c r="F1431" s="2">
        <f t="shared" si="22"/>
        <v>1</v>
      </c>
    </row>
    <row r="1432" spans="1:6" x14ac:dyDescent="0.25">
      <c r="A1432" s="1">
        <v>42984</v>
      </c>
      <c r="B1432" s="2" t="s">
        <v>150</v>
      </c>
      <c r="C1432" s="2" t="s">
        <v>151</v>
      </c>
      <c r="D1432">
        <v>15</v>
      </c>
      <c r="E1432">
        <f>WEEKDAY(makulatura5[[#This Row],[Data_dostarczenia]],2)</f>
        <v>3</v>
      </c>
      <c r="F1432" s="2">
        <f t="shared" si="22"/>
        <v>0</v>
      </c>
    </row>
    <row r="1433" spans="1:6" x14ac:dyDescent="0.25">
      <c r="A1433" s="1">
        <v>42984</v>
      </c>
      <c r="B1433" s="2" t="s">
        <v>252</v>
      </c>
      <c r="C1433" s="2" t="s">
        <v>253</v>
      </c>
      <c r="D1433">
        <v>2</v>
      </c>
      <c r="E1433">
        <f>WEEKDAY(makulatura5[[#This Row],[Data_dostarczenia]],2)</f>
        <v>3</v>
      </c>
      <c r="F1433" s="2">
        <f t="shared" si="22"/>
        <v>0</v>
      </c>
    </row>
    <row r="1434" spans="1:6" x14ac:dyDescent="0.25">
      <c r="A1434" s="1">
        <v>42984</v>
      </c>
      <c r="B1434" s="2" t="s">
        <v>171</v>
      </c>
      <c r="C1434" s="2" t="s">
        <v>562</v>
      </c>
      <c r="D1434">
        <v>10</v>
      </c>
      <c r="E1434">
        <f>WEEKDAY(makulatura5[[#This Row],[Data_dostarczenia]],2)</f>
        <v>3</v>
      </c>
      <c r="F1434" s="2">
        <f t="shared" si="22"/>
        <v>0</v>
      </c>
    </row>
    <row r="1435" spans="1:6" x14ac:dyDescent="0.25">
      <c r="A1435" s="1">
        <v>42984</v>
      </c>
      <c r="B1435" s="2" t="s">
        <v>355</v>
      </c>
      <c r="C1435" s="2" t="s">
        <v>497</v>
      </c>
      <c r="D1435">
        <v>55</v>
      </c>
      <c r="E1435">
        <f>WEEKDAY(makulatura5[[#This Row],[Data_dostarczenia]],2)</f>
        <v>3</v>
      </c>
      <c r="F1435" s="2">
        <f t="shared" si="22"/>
        <v>0</v>
      </c>
    </row>
    <row r="1436" spans="1:6" x14ac:dyDescent="0.25">
      <c r="A1436" s="1">
        <v>42984</v>
      </c>
      <c r="B1436" s="2" t="s">
        <v>663</v>
      </c>
      <c r="C1436" s="2" t="s">
        <v>134</v>
      </c>
      <c r="D1436">
        <v>45</v>
      </c>
      <c r="E1436">
        <f>WEEKDAY(makulatura5[[#This Row],[Data_dostarczenia]],2)</f>
        <v>3</v>
      </c>
      <c r="F1436" s="2">
        <f t="shared" si="22"/>
        <v>0</v>
      </c>
    </row>
    <row r="1437" spans="1:6" x14ac:dyDescent="0.25">
      <c r="A1437" s="1">
        <v>42984</v>
      </c>
      <c r="B1437" s="2" t="s">
        <v>193</v>
      </c>
      <c r="C1437" s="2" t="s">
        <v>227</v>
      </c>
      <c r="D1437">
        <v>5</v>
      </c>
      <c r="E1437">
        <f>WEEKDAY(makulatura5[[#This Row],[Data_dostarczenia]],2)</f>
        <v>3</v>
      </c>
      <c r="F1437" s="2">
        <f t="shared" si="22"/>
        <v>0</v>
      </c>
    </row>
    <row r="1438" spans="1:6" x14ac:dyDescent="0.25">
      <c r="A1438" s="1">
        <v>42984</v>
      </c>
      <c r="B1438" s="2" t="s">
        <v>141</v>
      </c>
      <c r="C1438" s="2" t="s">
        <v>364</v>
      </c>
      <c r="D1438">
        <v>22</v>
      </c>
      <c r="E1438">
        <f>WEEKDAY(makulatura5[[#This Row],[Data_dostarczenia]],2)</f>
        <v>3</v>
      </c>
      <c r="F1438" s="2">
        <f t="shared" si="22"/>
        <v>0</v>
      </c>
    </row>
    <row r="1439" spans="1:6" x14ac:dyDescent="0.25">
      <c r="A1439" s="1">
        <v>42984</v>
      </c>
      <c r="B1439" s="2" t="s">
        <v>150</v>
      </c>
      <c r="C1439" s="2" t="s">
        <v>200</v>
      </c>
      <c r="D1439">
        <v>20</v>
      </c>
      <c r="E1439">
        <f>WEEKDAY(makulatura5[[#This Row],[Data_dostarczenia]],2)</f>
        <v>3</v>
      </c>
      <c r="F1439" s="2">
        <f t="shared" si="22"/>
        <v>0</v>
      </c>
    </row>
    <row r="1440" spans="1:6" x14ac:dyDescent="0.25">
      <c r="A1440" s="1">
        <v>42984</v>
      </c>
      <c r="B1440" s="2" t="s">
        <v>484</v>
      </c>
      <c r="C1440" s="2" t="s">
        <v>485</v>
      </c>
      <c r="D1440">
        <v>27</v>
      </c>
      <c r="E1440">
        <f>WEEKDAY(makulatura5[[#This Row],[Data_dostarczenia]],2)</f>
        <v>3</v>
      </c>
      <c r="F1440" s="2">
        <f t="shared" si="22"/>
        <v>0</v>
      </c>
    </row>
    <row r="1441" spans="1:6" x14ac:dyDescent="0.25">
      <c r="A1441" s="1">
        <v>42984</v>
      </c>
      <c r="B1441" s="2" t="s">
        <v>137</v>
      </c>
      <c r="C1441" s="2" t="s">
        <v>138</v>
      </c>
      <c r="D1441">
        <v>6</v>
      </c>
      <c r="E1441">
        <f>WEEKDAY(makulatura5[[#This Row],[Data_dostarczenia]],2)</f>
        <v>3</v>
      </c>
      <c r="F1441" s="2">
        <f t="shared" si="22"/>
        <v>1</v>
      </c>
    </row>
    <row r="1442" spans="1:6" x14ac:dyDescent="0.25">
      <c r="A1442" s="1">
        <v>42985</v>
      </c>
      <c r="B1442" s="2" t="s">
        <v>150</v>
      </c>
      <c r="C1442" s="2" t="s">
        <v>200</v>
      </c>
      <c r="D1442">
        <v>29</v>
      </c>
      <c r="E1442">
        <f>WEEKDAY(makulatura5[[#This Row],[Data_dostarczenia]],2)</f>
        <v>4</v>
      </c>
      <c r="F1442" s="2">
        <f t="shared" si="22"/>
        <v>0</v>
      </c>
    </row>
    <row r="1443" spans="1:6" x14ac:dyDescent="0.25">
      <c r="A1443" s="1">
        <v>42985</v>
      </c>
      <c r="B1443" s="2" t="s">
        <v>97</v>
      </c>
      <c r="C1443" s="2" t="s">
        <v>452</v>
      </c>
      <c r="D1443">
        <v>15</v>
      </c>
      <c r="E1443">
        <f>WEEKDAY(makulatura5[[#This Row],[Data_dostarczenia]],2)</f>
        <v>4</v>
      </c>
      <c r="F1443" s="2">
        <f t="shared" si="22"/>
        <v>0</v>
      </c>
    </row>
    <row r="1444" spans="1:6" x14ac:dyDescent="0.25">
      <c r="A1444" s="1">
        <v>42985</v>
      </c>
      <c r="B1444" s="2" t="s">
        <v>367</v>
      </c>
      <c r="C1444" s="2" t="s">
        <v>5</v>
      </c>
      <c r="D1444">
        <v>5</v>
      </c>
      <c r="E1444">
        <f>WEEKDAY(makulatura5[[#This Row],[Data_dostarczenia]],2)</f>
        <v>4</v>
      </c>
      <c r="F1444" s="2">
        <f t="shared" si="22"/>
        <v>0</v>
      </c>
    </row>
    <row r="1445" spans="1:6" x14ac:dyDescent="0.25">
      <c r="A1445" s="1">
        <v>42985</v>
      </c>
      <c r="B1445" s="2" t="s">
        <v>476</v>
      </c>
      <c r="C1445" s="2" t="s">
        <v>620</v>
      </c>
      <c r="D1445">
        <v>34</v>
      </c>
      <c r="E1445">
        <f>WEEKDAY(makulatura5[[#This Row],[Data_dostarczenia]],2)</f>
        <v>4</v>
      </c>
      <c r="F1445" s="2">
        <f t="shared" si="22"/>
        <v>0</v>
      </c>
    </row>
    <row r="1446" spans="1:6" x14ac:dyDescent="0.25">
      <c r="A1446" s="1">
        <v>42985</v>
      </c>
      <c r="B1446" s="2" t="s">
        <v>55</v>
      </c>
      <c r="C1446" s="2" t="s">
        <v>223</v>
      </c>
      <c r="D1446">
        <v>30</v>
      </c>
      <c r="E1446">
        <f>WEEKDAY(makulatura5[[#This Row],[Data_dostarczenia]],2)</f>
        <v>4</v>
      </c>
      <c r="F1446" s="2">
        <f t="shared" si="22"/>
        <v>0</v>
      </c>
    </row>
    <row r="1447" spans="1:6" x14ac:dyDescent="0.25">
      <c r="A1447" s="1">
        <v>42985</v>
      </c>
      <c r="B1447" s="2" t="s">
        <v>367</v>
      </c>
      <c r="C1447" s="2" t="s">
        <v>368</v>
      </c>
      <c r="D1447">
        <v>3</v>
      </c>
      <c r="E1447">
        <f>WEEKDAY(makulatura5[[#This Row],[Data_dostarczenia]],2)</f>
        <v>4</v>
      </c>
      <c r="F1447" s="2">
        <f t="shared" si="22"/>
        <v>0</v>
      </c>
    </row>
    <row r="1448" spans="1:6" x14ac:dyDescent="0.25">
      <c r="A1448" s="1">
        <v>42985</v>
      </c>
      <c r="B1448" s="2" t="s">
        <v>30</v>
      </c>
      <c r="C1448" s="2" t="s">
        <v>628</v>
      </c>
      <c r="D1448">
        <v>34</v>
      </c>
      <c r="E1448">
        <f>WEEKDAY(makulatura5[[#This Row],[Data_dostarczenia]],2)</f>
        <v>4</v>
      </c>
      <c r="F1448" s="2">
        <f t="shared" si="22"/>
        <v>0</v>
      </c>
    </row>
    <row r="1449" spans="1:6" x14ac:dyDescent="0.25">
      <c r="A1449" s="1">
        <v>42985</v>
      </c>
      <c r="B1449" s="2" t="s">
        <v>128</v>
      </c>
      <c r="C1449" s="2" t="s">
        <v>309</v>
      </c>
      <c r="D1449">
        <v>7</v>
      </c>
      <c r="E1449">
        <f>WEEKDAY(makulatura5[[#This Row],[Data_dostarczenia]],2)</f>
        <v>4</v>
      </c>
      <c r="F1449" s="2">
        <f t="shared" si="22"/>
        <v>0</v>
      </c>
    </row>
    <row r="1450" spans="1:6" x14ac:dyDescent="0.25">
      <c r="A1450" s="1">
        <v>42985</v>
      </c>
      <c r="B1450" s="2" t="s">
        <v>203</v>
      </c>
      <c r="C1450" s="2" t="s">
        <v>370</v>
      </c>
      <c r="D1450">
        <v>17</v>
      </c>
      <c r="E1450">
        <f>WEEKDAY(makulatura5[[#This Row],[Data_dostarczenia]],2)</f>
        <v>4</v>
      </c>
      <c r="F1450" s="2">
        <f t="shared" si="22"/>
        <v>0</v>
      </c>
    </row>
    <row r="1451" spans="1:6" x14ac:dyDescent="0.25">
      <c r="A1451" s="1">
        <v>42985</v>
      </c>
      <c r="B1451" s="2" t="s">
        <v>39</v>
      </c>
      <c r="C1451" s="2" t="s">
        <v>657</v>
      </c>
      <c r="D1451">
        <v>26</v>
      </c>
      <c r="E1451">
        <f>WEEKDAY(makulatura5[[#This Row],[Data_dostarczenia]],2)</f>
        <v>4</v>
      </c>
      <c r="F1451" s="2">
        <f t="shared" si="22"/>
        <v>1</v>
      </c>
    </row>
    <row r="1452" spans="1:6" x14ac:dyDescent="0.25">
      <c r="A1452" s="1">
        <v>42986</v>
      </c>
      <c r="B1452" s="2" t="s">
        <v>30</v>
      </c>
      <c r="C1452" s="2" t="s">
        <v>185</v>
      </c>
      <c r="D1452">
        <v>20</v>
      </c>
      <c r="E1452">
        <f>WEEKDAY(makulatura5[[#This Row],[Data_dostarczenia]],2)</f>
        <v>5</v>
      </c>
      <c r="F1452" s="2">
        <f t="shared" si="22"/>
        <v>0</v>
      </c>
    </row>
    <row r="1453" spans="1:6" x14ac:dyDescent="0.25">
      <c r="A1453" s="1">
        <v>42986</v>
      </c>
      <c r="B1453" s="2" t="s">
        <v>83</v>
      </c>
      <c r="C1453" s="2" t="s">
        <v>596</v>
      </c>
      <c r="D1453">
        <v>24</v>
      </c>
      <c r="E1453">
        <f>WEEKDAY(makulatura5[[#This Row],[Data_dostarczenia]],2)</f>
        <v>5</v>
      </c>
      <c r="F1453" s="2">
        <f t="shared" si="22"/>
        <v>0</v>
      </c>
    </row>
    <row r="1454" spans="1:6" x14ac:dyDescent="0.25">
      <c r="A1454" s="1">
        <v>42986</v>
      </c>
      <c r="B1454" s="2" t="s">
        <v>101</v>
      </c>
      <c r="C1454" s="2" t="s">
        <v>293</v>
      </c>
      <c r="D1454">
        <v>21</v>
      </c>
      <c r="E1454">
        <f>WEEKDAY(makulatura5[[#This Row],[Data_dostarczenia]],2)</f>
        <v>5</v>
      </c>
      <c r="F1454" s="2">
        <f t="shared" si="22"/>
        <v>0</v>
      </c>
    </row>
    <row r="1455" spans="1:6" x14ac:dyDescent="0.25">
      <c r="A1455" s="1">
        <v>42986</v>
      </c>
      <c r="B1455" s="2" t="s">
        <v>449</v>
      </c>
      <c r="C1455" s="2" t="s">
        <v>664</v>
      </c>
      <c r="D1455">
        <v>3</v>
      </c>
      <c r="E1455">
        <f>WEEKDAY(makulatura5[[#This Row],[Data_dostarczenia]],2)</f>
        <v>5</v>
      </c>
      <c r="F1455" s="2">
        <f t="shared" si="22"/>
        <v>0</v>
      </c>
    </row>
    <row r="1456" spans="1:6" x14ac:dyDescent="0.25">
      <c r="A1456" s="1">
        <v>42986</v>
      </c>
      <c r="B1456" s="2" t="s">
        <v>273</v>
      </c>
      <c r="C1456" s="2" t="s">
        <v>274</v>
      </c>
      <c r="D1456">
        <v>9</v>
      </c>
      <c r="E1456">
        <f>WEEKDAY(makulatura5[[#This Row],[Data_dostarczenia]],2)</f>
        <v>5</v>
      </c>
      <c r="F1456" s="2">
        <f t="shared" si="22"/>
        <v>0</v>
      </c>
    </row>
    <row r="1457" spans="1:6" x14ac:dyDescent="0.25">
      <c r="A1457" s="1">
        <v>42986</v>
      </c>
      <c r="B1457" s="2" t="s">
        <v>150</v>
      </c>
      <c r="C1457" s="2" t="s">
        <v>298</v>
      </c>
      <c r="D1457">
        <v>46</v>
      </c>
      <c r="E1457">
        <f>WEEKDAY(makulatura5[[#This Row],[Data_dostarczenia]],2)</f>
        <v>5</v>
      </c>
      <c r="F1457" s="2">
        <f t="shared" si="22"/>
        <v>0</v>
      </c>
    </row>
    <row r="1458" spans="1:6" x14ac:dyDescent="0.25">
      <c r="A1458" s="1">
        <v>42986</v>
      </c>
      <c r="B1458" s="2" t="s">
        <v>208</v>
      </c>
      <c r="C1458" s="2" t="s">
        <v>209</v>
      </c>
      <c r="D1458">
        <v>16</v>
      </c>
      <c r="E1458">
        <f>WEEKDAY(makulatura5[[#This Row],[Data_dostarczenia]],2)</f>
        <v>5</v>
      </c>
      <c r="F1458" s="2">
        <f t="shared" si="22"/>
        <v>0</v>
      </c>
    </row>
    <row r="1459" spans="1:6" x14ac:dyDescent="0.25">
      <c r="A1459" s="1">
        <v>42986</v>
      </c>
      <c r="B1459" s="2" t="s">
        <v>18</v>
      </c>
      <c r="C1459" s="2" t="s">
        <v>392</v>
      </c>
      <c r="D1459">
        <v>24</v>
      </c>
      <c r="E1459">
        <f>WEEKDAY(makulatura5[[#This Row],[Data_dostarczenia]],2)</f>
        <v>5</v>
      </c>
      <c r="F1459" s="2">
        <f t="shared" si="22"/>
        <v>0</v>
      </c>
    </row>
    <row r="1460" spans="1:6" x14ac:dyDescent="0.25">
      <c r="A1460" s="1">
        <v>42986</v>
      </c>
      <c r="B1460" s="2" t="s">
        <v>178</v>
      </c>
      <c r="C1460" s="2" t="s">
        <v>242</v>
      </c>
      <c r="D1460">
        <v>23</v>
      </c>
      <c r="E1460">
        <f>WEEKDAY(makulatura5[[#This Row],[Data_dostarczenia]],2)</f>
        <v>5</v>
      </c>
      <c r="F1460" s="2">
        <f t="shared" si="22"/>
        <v>0</v>
      </c>
    </row>
    <row r="1461" spans="1:6" x14ac:dyDescent="0.25">
      <c r="A1461" s="1">
        <v>42986</v>
      </c>
      <c r="B1461" s="2" t="s">
        <v>208</v>
      </c>
      <c r="C1461" s="2" t="s">
        <v>209</v>
      </c>
      <c r="D1461">
        <v>18</v>
      </c>
      <c r="E1461">
        <f>WEEKDAY(makulatura5[[#This Row],[Data_dostarczenia]],2)</f>
        <v>5</v>
      </c>
      <c r="F1461" s="2">
        <f t="shared" si="22"/>
        <v>1</v>
      </c>
    </row>
    <row r="1462" spans="1:6" x14ac:dyDescent="0.25">
      <c r="A1462" s="1">
        <v>42989</v>
      </c>
      <c r="B1462" s="2" t="s">
        <v>178</v>
      </c>
      <c r="C1462" s="2" t="s">
        <v>333</v>
      </c>
      <c r="D1462">
        <v>29</v>
      </c>
      <c r="E1462">
        <f>WEEKDAY(makulatura5[[#This Row],[Data_dostarczenia]],2)</f>
        <v>1</v>
      </c>
      <c r="F1462" s="2">
        <f t="shared" si="22"/>
        <v>0</v>
      </c>
    </row>
    <row r="1463" spans="1:6" x14ac:dyDescent="0.25">
      <c r="A1463" s="1">
        <v>42989</v>
      </c>
      <c r="B1463" s="2" t="s">
        <v>81</v>
      </c>
      <c r="C1463" s="2" t="s">
        <v>165</v>
      </c>
      <c r="D1463">
        <v>24</v>
      </c>
      <c r="E1463">
        <f>WEEKDAY(makulatura5[[#This Row],[Data_dostarczenia]],2)</f>
        <v>1</v>
      </c>
      <c r="F1463" s="2">
        <f t="shared" si="22"/>
        <v>0</v>
      </c>
    </row>
    <row r="1464" spans="1:6" x14ac:dyDescent="0.25">
      <c r="A1464" s="1">
        <v>42989</v>
      </c>
      <c r="B1464" s="2" t="s">
        <v>150</v>
      </c>
      <c r="C1464" s="2" t="s">
        <v>462</v>
      </c>
      <c r="D1464">
        <v>36</v>
      </c>
      <c r="E1464">
        <f>WEEKDAY(makulatura5[[#This Row],[Data_dostarczenia]],2)</f>
        <v>1</v>
      </c>
      <c r="F1464" s="2">
        <f t="shared" si="22"/>
        <v>0</v>
      </c>
    </row>
    <row r="1465" spans="1:6" x14ac:dyDescent="0.25">
      <c r="A1465" s="1">
        <v>42989</v>
      </c>
      <c r="B1465" s="2" t="s">
        <v>553</v>
      </c>
      <c r="C1465" s="2" t="s">
        <v>554</v>
      </c>
      <c r="D1465">
        <v>6</v>
      </c>
      <c r="E1465">
        <f>WEEKDAY(makulatura5[[#This Row],[Data_dostarczenia]],2)</f>
        <v>1</v>
      </c>
      <c r="F1465" s="2">
        <f t="shared" si="22"/>
        <v>0</v>
      </c>
    </row>
    <row r="1466" spans="1:6" x14ac:dyDescent="0.25">
      <c r="A1466" s="1">
        <v>42989</v>
      </c>
      <c r="B1466" s="2" t="s">
        <v>361</v>
      </c>
      <c r="C1466" s="2" t="s">
        <v>362</v>
      </c>
      <c r="D1466">
        <v>29</v>
      </c>
      <c r="E1466">
        <f>WEEKDAY(makulatura5[[#This Row],[Data_dostarczenia]],2)</f>
        <v>1</v>
      </c>
      <c r="F1466" s="2">
        <f t="shared" si="22"/>
        <v>0</v>
      </c>
    </row>
    <row r="1467" spans="1:6" x14ac:dyDescent="0.25">
      <c r="A1467" s="1">
        <v>42989</v>
      </c>
      <c r="B1467" s="2" t="s">
        <v>150</v>
      </c>
      <c r="C1467" s="2" t="s">
        <v>313</v>
      </c>
      <c r="D1467">
        <v>15</v>
      </c>
      <c r="E1467">
        <f>WEEKDAY(makulatura5[[#This Row],[Data_dostarczenia]],2)</f>
        <v>1</v>
      </c>
      <c r="F1467" s="2">
        <f t="shared" si="22"/>
        <v>0</v>
      </c>
    </row>
    <row r="1468" spans="1:6" x14ac:dyDescent="0.25">
      <c r="A1468" s="1">
        <v>42989</v>
      </c>
      <c r="B1468" s="2" t="s">
        <v>63</v>
      </c>
      <c r="C1468" s="2" t="s">
        <v>231</v>
      </c>
      <c r="D1468">
        <v>8</v>
      </c>
      <c r="E1468">
        <f>WEEKDAY(makulatura5[[#This Row],[Data_dostarczenia]],2)</f>
        <v>1</v>
      </c>
      <c r="F1468" s="2">
        <f t="shared" si="22"/>
        <v>0</v>
      </c>
    </row>
    <row r="1469" spans="1:6" x14ac:dyDescent="0.25">
      <c r="A1469" s="1">
        <v>42989</v>
      </c>
      <c r="B1469" s="2" t="s">
        <v>150</v>
      </c>
      <c r="C1469" s="2" t="s">
        <v>211</v>
      </c>
      <c r="D1469">
        <v>47</v>
      </c>
      <c r="E1469">
        <f>WEEKDAY(makulatura5[[#This Row],[Data_dostarczenia]],2)</f>
        <v>1</v>
      </c>
      <c r="F1469" s="2">
        <f t="shared" si="22"/>
        <v>0</v>
      </c>
    </row>
    <row r="1470" spans="1:6" x14ac:dyDescent="0.25">
      <c r="A1470" s="1">
        <v>42989</v>
      </c>
      <c r="B1470" s="2" t="s">
        <v>280</v>
      </c>
      <c r="C1470" s="2" t="s">
        <v>281</v>
      </c>
      <c r="D1470">
        <v>23</v>
      </c>
      <c r="E1470">
        <f>WEEKDAY(makulatura5[[#This Row],[Data_dostarczenia]],2)</f>
        <v>1</v>
      </c>
      <c r="F1470" s="2">
        <f t="shared" si="22"/>
        <v>0</v>
      </c>
    </row>
    <row r="1471" spans="1:6" x14ac:dyDescent="0.25">
      <c r="A1471" s="1">
        <v>42989</v>
      </c>
      <c r="B1471" s="2" t="s">
        <v>51</v>
      </c>
      <c r="C1471" s="2" t="s">
        <v>52</v>
      </c>
      <c r="D1471">
        <v>5</v>
      </c>
      <c r="E1471">
        <f>WEEKDAY(makulatura5[[#This Row],[Data_dostarczenia]],2)</f>
        <v>1</v>
      </c>
      <c r="F1471" s="2">
        <f t="shared" si="22"/>
        <v>0</v>
      </c>
    </row>
    <row r="1472" spans="1:6" x14ac:dyDescent="0.25">
      <c r="A1472" s="1">
        <v>42989</v>
      </c>
      <c r="B1472" s="2" t="s">
        <v>36</v>
      </c>
      <c r="C1472" s="2" t="s">
        <v>306</v>
      </c>
      <c r="D1472">
        <v>31</v>
      </c>
      <c r="E1472">
        <f>WEEKDAY(makulatura5[[#This Row],[Data_dostarczenia]],2)</f>
        <v>1</v>
      </c>
      <c r="F1472" s="2">
        <f t="shared" si="22"/>
        <v>0</v>
      </c>
    </row>
    <row r="1473" spans="1:6" x14ac:dyDescent="0.25">
      <c r="A1473" s="1">
        <v>42989</v>
      </c>
      <c r="B1473" s="2" t="s">
        <v>101</v>
      </c>
      <c r="C1473" s="2" t="s">
        <v>188</v>
      </c>
      <c r="D1473">
        <v>28</v>
      </c>
      <c r="E1473">
        <f>WEEKDAY(makulatura5[[#This Row],[Data_dostarczenia]],2)</f>
        <v>1</v>
      </c>
      <c r="F1473" s="2">
        <f t="shared" si="22"/>
        <v>0</v>
      </c>
    </row>
    <row r="1474" spans="1:6" x14ac:dyDescent="0.25">
      <c r="A1474" s="1">
        <v>42989</v>
      </c>
      <c r="B1474" s="2" t="s">
        <v>189</v>
      </c>
      <c r="C1474" s="2" t="s">
        <v>190</v>
      </c>
      <c r="D1474">
        <v>11</v>
      </c>
      <c r="E1474">
        <f>WEEKDAY(makulatura5[[#This Row],[Data_dostarczenia]],2)</f>
        <v>1</v>
      </c>
      <c r="F1474" s="2">
        <f t="shared" ref="F1474:F1537" si="23">IF(A1475=A1474,0,1)</f>
        <v>0</v>
      </c>
    </row>
    <row r="1475" spans="1:6" x14ac:dyDescent="0.25">
      <c r="A1475" s="1">
        <v>42989</v>
      </c>
      <c r="B1475" s="2" t="s">
        <v>81</v>
      </c>
      <c r="C1475" s="2" t="s">
        <v>104</v>
      </c>
      <c r="D1475">
        <v>26</v>
      </c>
      <c r="E1475">
        <f>WEEKDAY(makulatura5[[#This Row],[Data_dostarczenia]],2)</f>
        <v>1</v>
      </c>
      <c r="F1475" s="2">
        <f t="shared" si="23"/>
        <v>1</v>
      </c>
    </row>
    <row r="1476" spans="1:6" x14ac:dyDescent="0.25">
      <c r="A1476" s="1">
        <v>42990</v>
      </c>
      <c r="B1476" s="2" t="s">
        <v>514</v>
      </c>
      <c r="C1476" s="2" t="s">
        <v>515</v>
      </c>
      <c r="D1476">
        <v>46</v>
      </c>
      <c r="E1476">
        <f>WEEKDAY(makulatura5[[#This Row],[Data_dostarczenia]],2)</f>
        <v>2</v>
      </c>
      <c r="F1476" s="2">
        <f t="shared" si="23"/>
        <v>0</v>
      </c>
    </row>
    <row r="1477" spans="1:6" x14ac:dyDescent="0.25">
      <c r="A1477" s="1">
        <v>42990</v>
      </c>
      <c r="B1477" s="2" t="s">
        <v>278</v>
      </c>
      <c r="C1477" s="2" t="s">
        <v>530</v>
      </c>
      <c r="D1477">
        <v>36</v>
      </c>
      <c r="E1477">
        <f>WEEKDAY(makulatura5[[#This Row],[Data_dostarczenia]],2)</f>
        <v>2</v>
      </c>
      <c r="F1477" s="2">
        <f t="shared" si="23"/>
        <v>0</v>
      </c>
    </row>
    <row r="1478" spans="1:6" x14ac:dyDescent="0.25">
      <c r="A1478" s="1">
        <v>42990</v>
      </c>
      <c r="B1478" s="2" t="s">
        <v>352</v>
      </c>
      <c r="C1478" s="2" t="s">
        <v>227</v>
      </c>
      <c r="D1478">
        <v>21</v>
      </c>
      <c r="E1478">
        <f>WEEKDAY(makulatura5[[#This Row],[Data_dostarczenia]],2)</f>
        <v>2</v>
      </c>
      <c r="F1478" s="2">
        <f t="shared" si="23"/>
        <v>0</v>
      </c>
    </row>
    <row r="1479" spans="1:6" x14ac:dyDescent="0.25">
      <c r="A1479" s="1">
        <v>42990</v>
      </c>
      <c r="B1479" s="2" t="s">
        <v>36</v>
      </c>
      <c r="C1479" s="2" t="s">
        <v>37</v>
      </c>
      <c r="D1479">
        <v>15</v>
      </c>
      <c r="E1479">
        <f>WEEKDAY(makulatura5[[#This Row],[Data_dostarczenia]],2)</f>
        <v>2</v>
      </c>
      <c r="F1479" s="2">
        <f t="shared" si="23"/>
        <v>0</v>
      </c>
    </row>
    <row r="1480" spans="1:6" x14ac:dyDescent="0.25">
      <c r="A1480" s="1">
        <v>42990</v>
      </c>
      <c r="B1480" s="2" t="s">
        <v>449</v>
      </c>
      <c r="C1480" s="2" t="s">
        <v>613</v>
      </c>
      <c r="D1480">
        <v>16</v>
      </c>
      <c r="E1480">
        <f>WEEKDAY(makulatura5[[#This Row],[Data_dostarczenia]],2)</f>
        <v>2</v>
      </c>
      <c r="F1480" s="2">
        <f t="shared" si="23"/>
        <v>0</v>
      </c>
    </row>
    <row r="1481" spans="1:6" x14ac:dyDescent="0.25">
      <c r="A1481" s="1">
        <v>42990</v>
      </c>
      <c r="B1481" s="2" t="s">
        <v>81</v>
      </c>
      <c r="C1481" s="2" t="s">
        <v>145</v>
      </c>
      <c r="D1481">
        <v>26</v>
      </c>
      <c r="E1481">
        <f>WEEKDAY(makulatura5[[#This Row],[Data_dostarczenia]],2)</f>
        <v>2</v>
      </c>
      <c r="F1481" s="2">
        <f t="shared" si="23"/>
        <v>0</v>
      </c>
    </row>
    <row r="1482" spans="1:6" x14ac:dyDescent="0.25">
      <c r="A1482" s="1">
        <v>42990</v>
      </c>
      <c r="B1482" s="2" t="s">
        <v>243</v>
      </c>
      <c r="C1482" s="2" t="s">
        <v>82</v>
      </c>
      <c r="D1482">
        <v>14</v>
      </c>
      <c r="E1482">
        <f>WEEKDAY(makulatura5[[#This Row],[Data_dostarczenia]],2)</f>
        <v>2</v>
      </c>
      <c r="F1482" s="2">
        <f t="shared" si="23"/>
        <v>0</v>
      </c>
    </row>
    <row r="1483" spans="1:6" x14ac:dyDescent="0.25">
      <c r="A1483" s="1">
        <v>42990</v>
      </c>
      <c r="B1483" s="2" t="s">
        <v>290</v>
      </c>
      <c r="C1483" s="2" t="s">
        <v>291</v>
      </c>
      <c r="D1483">
        <v>20</v>
      </c>
      <c r="E1483">
        <f>WEEKDAY(makulatura5[[#This Row],[Data_dostarczenia]],2)</f>
        <v>2</v>
      </c>
      <c r="F1483" s="2">
        <f t="shared" si="23"/>
        <v>0</v>
      </c>
    </row>
    <row r="1484" spans="1:6" x14ac:dyDescent="0.25">
      <c r="A1484" s="1">
        <v>42990</v>
      </c>
      <c r="B1484" s="2" t="s">
        <v>67</v>
      </c>
      <c r="C1484" s="2" t="s">
        <v>460</v>
      </c>
      <c r="D1484">
        <v>20</v>
      </c>
      <c r="E1484">
        <f>WEEKDAY(makulatura5[[#This Row],[Data_dostarczenia]],2)</f>
        <v>2</v>
      </c>
      <c r="F1484" s="2">
        <f t="shared" si="23"/>
        <v>0</v>
      </c>
    </row>
    <row r="1485" spans="1:6" x14ac:dyDescent="0.25">
      <c r="A1485" s="1">
        <v>42990</v>
      </c>
      <c r="B1485" s="2" t="s">
        <v>34</v>
      </c>
      <c r="C1485" s="2" t="s">
        <v>160</v>
      </c>
      <c r="D1485">
        <v>22</v>
      </c>
      <c r="E1485">
        <f>WEEKDAY(makulatura5[[#This Row],[Data_dostarczenia]],2)</f>
        <v>2</v>
      </c>
      <c r="F1485" s="2">
        <f t="shared" si="23"/>
        <v>0</v>
      </c>
    </row>
    <row r="1486" spans="1:6" x14ac:dyDescent="0.25">
      <c r="A1486" s="1">
        <v>42990</v>
      </c>
      <c r="B1486" s="2" t="s">
        <v>133</v>
      </c>
      <c r="C1486" s="2" t="s">
        <v>316</v>
      </c>
      <c r="D1486">
        <v>16</v>
      </c>
      <c r="E1486">
        <f>WEEKDAY(makulatura5[[#This Row],[Data_dostarczenia]],2)</f>
        <v>2</v>
      </c>
      <c r="F1486" s="2">
        <f t="shared" si="23"/>
        <v>0</v>
      </c>
    </row>
    <row r="1487" spans="1:6" x14ac:dyDescent="0.25">
      <c r="A1487" s="1">
        <v>42990</v>
      </c>
      <c r="B1487" s="2" t="s">
        <v>51</v>
      </c>
      <c r="C1487" s="2" t="s">
        <v>522</v>
      </c>
      <c r="D1487">
        <v>17</v>
      </c>
      <c r="E1487">
        <f>WEEKDAY(makulatura5[[#This Row],[Data_dostarczenia]],2)</f>
        <v>2</v>
      </c>
      <c r="F1487" s="2">
        <f t="shared" si="23"/>
        <v>0</v>
      </c>
    </row>
    <row r="1488" spans="1:6" x14ac:dyDescent="0.25">
      <c r="A1488" s="1">
        <v>42990</v>
      </c>
      <c r="B1488" s="2" t="s">
        <v>174</v>
      </c>
      <c r="C1488" s="2" t="s">
        <v>424</v>
      </c>
      <c r="D1488">
        <v>41</v>
      </c>
      <c r="E1488">
        <f>WEEKDAY(makulatura5[[#This Row],[Data_dostarczenia]],2)</f>
        <v>2</v>
      </c>
      <c r="F1488" s="2">
        <f t="shared" si="23"/>
        <v>0</v>
      </c>
    </row>
    <row r="1489" spans="1:6" x14ac:dyDescent="0.25">
      <c r="A1489" s="1">
        <v>42990</v>
      </c>
      <c r="B1489" s="2" t="s">
        <v>438</v>
      </c>
      <c r="C1489" s="2" t="s">
        <v>439</v>
      </c>
      <c r="D1489">
        <v>3</v>
      </c>
      <c r="E1489">
        <f>WEEKDAY(makulatura5[[#This Row],[Data_dostarczenia]],2)</f>
        <v>2</v>
      </c>
      <c r="F1489" s="2">
        <f t="shared" si="23"/>
        <v>1</v>
      </c>
    </row>
    <row r="1490" spans="1:6" x14ac:dyDescent="0.25">
      <c r="A1490" s="1">
        <v>42991</v>
      </c>
      <c r="B1490" s="2" t="s">
        <v>131</v>
      </c>
      <c r="C1490" s="2" t="s">
        <v>472</v>
      </c>
      <c r="D1490">
        <v>20</v>
      </c>
      <c r="E1490">
        <f>WEEKDAY(makulatura5[[#This Row],[Data_dostarczenia]],2)</f>
        <v>3</v>
      </c>
      <c r="F1490" s="2">
        <f t="shared" si="23"/>
        <v>0</v>
      </c>
    </row>
    <row r="1491" spans="1:6" x14ac:dyDescent="0.25">
      <c r="A1491" s="1">
        <v>42991</v>
      </c>
      <c r="B1491" s="2" t="s">
        <v>12</v>
      </c>
      <c r="C1491" s="2" t="s">
        <v>386</v>
      </c>
      <c r="D1491">
        <v>7</v>
      </c>
      <c r="E1491">
        <f>WEEKDAY(makulatura5[[#This Row],[Data_dostarczenia]],2)</f>
        <v>3</v>
      </c>
      <c r="F1491" s="2">
        <f t="shared" si="23"/>
        <v>0</v>
      </c>
    </row>
    <row r="1492" spans="1:6" x14ac:dyDescent="0.25">
      <c r="A1492" s="1">
        <v>42991</v>
      </c>
      <c r="B1492" s="2" t="s">
        <v>55</v>
      </c>
      <c r="C1492" s="2" t="s">
        <v>466</v>
      </c>
      <c r="D1492">
        <v>41</v>
      </c>
      <c r="E1492">
        <f>WEEKDAY(makulatura5[[#This Row],[Data_dostarczenia]],2)</f>
        <v>3</v>
      </c>
      <c r="F1492" s="2">
        <f t="shared" si="23"/>
        <v>0</v>
      </c>
    </row>
    <row r="1493" spans="1:6" x14ac:dyDescent="0.25">
      <c r="A1493" s="1">
        <v>42991</v>
      </c>
      <c r="B1493" s="2" t="s">
        <v>10</v>
      </c>
      <c r="C1493" s="2" t="s">
        <v>266</v>
      </c>
      <c r="D1493">
        <v>4</v>
      </c>
      <c r="E1493">
        <f>WEEKDAY(makulatura5[[#This Row],[Data_dostarczenia]],2)</f>
        <v>3</v>
      </c>
      <c r="F1493" s="2">
        <f t="shared" si="23"/>
        <v>0</v>
      </c>
    </row>
    <row r="1494" spans="1:6" x14ac:dyDescent="0.25">
      <c r="A1494" s="1">
        <v>42991</v>
      </c>
      <c r="B1494" s="2" t="s">
        <v>269</v>
      </c>
      <c r="C1494" s="2" t="s">
        <v>270</v>
      </c>
      <c r="D1494">
        <v>31</v>
      </c>
      <c r="E1494">
        <f>WEEKDAY(makulatura5[[#This Row],[Data_dostarczenia]],2)</f>
        <v>3</v>
      </c>
      <c r="F1494" s="2">
        <f t="shared" si="23"/>
        <v>0</v>
      </c>
    </row>
    <row r="1495" spans="1:6" x14ac:dyDescent="0.25">
      <c r="A1495" s="1">
        <v>42991</v>
      </c>
      <c r="B1495" s="2" t="s">
        <v>346</v>
      </c>
      <c r="C1495" s="2" t="s">
        <v>665</v>
      </c>
      <c r="D1495">
        <v>6</v>
      </c>
      <c r="E1495">
        <f>WEEKDAY(makulatura5[[#This Row],[Data_dostarczenia]],2)</f>
        <v>3</v>
      </c>
      <c r="F1495" s="2">
        <f t="shared" si="23"/>
        <v>0</v>
      </c>
    </row>
    <row r="1496" spans="1:6" x14ac:dyDescent="0.25">
      <c r="A1496" s="1">
        <v>42991</v>
      </c>
      <c r="B1496" s="2" t="s">
        <v>101</v>
      </c>
      <c r="C1496" s="2" t="s">
        <v>102</v>
      </c>
      <c r="D1496">
        <v>12</v>
      </c>
      <c r="E1496">
        <f>WEEKDAY(makulatura5[[#This Row],[Data_dostarczenia]],2)</f>
        <v>3</v>
      </c>
      <c r="F1496" s="2">
        <f t="shared" si="23"/>
        <v>0</v>
      </c>
    </row>
    <row r="1497" spans="1:6" x14ac:dyDescent="0.25">
      <c r="A1497" s="1">
        <v>42991</v>
      </c>
      <c r="B1497" s="2" t="s">
        <v>55</v>
      </c>
      <c r="C1497" s="2" t="s">
        <v>666</v>
      </c>
      <c r="D1497">
        <v>5</v>
      </c>
      <c r="E1497">
        <f>WEEKDAY(makulatura5[[#This Row],[Data_dostarczenia]],2)</f>
        <v>3</v>
      </c>
      <c r="F1497" s="2">
        <f t="shared" si="23"/>
        <v>0</v>
      </c>
    </row>
    <row r="1498" spans="1:6" x14ac:dyDescent="0.25">
      <c r="A1498" s="1">
        <v>42991</v>
      </c>
      <c r="B1498" s="2" t="s">
        <v>221</v>
      </c>
      <c r="C1498" s="2" t="s">
        <v>551</v>
      </c>
      <c r="D1498">
        <v>5</v>
      </c>
      <c r="E1498">
        <f>WEEKDAY(makulatura5[[#This Row],[Data_dostarczenia]],2)</f>
        <v>3</v>
      </c>
      <c r="F1498" s="2">
        <f t="shared" si="23"/>
        <v>0</v>
      </c>
    </row>
    <row r="1499" spans="1:6" x14ac:dyDescent="0.25">
      <c r="A1499" s="1">
        <v>42991</v>
      </c>
      <c r="B1499" s="2" t="s">
        <v>12</v>
      </c>
      <c r="C1499" s="2" t="s">
        <v>667</v>
      </c>
      <c r="D1499">
        <v>19</v>
      </c>
      <c r="E1499">
        <f>WEEKDAY(makulatura5[[#This Row],[Data_dostarczenia]],2)</f>
        <v>3</v>
      </c>
      <c r="F1499" s="2">
        <f t="shared" si="23"/>
        <v>0</v>
      </c>
    </row>
    <row r="1500" spans="1:6" x14ac:dyDescent="0.25">
      <c r="A1500" s="1">
        <v>42991</v>
      </c>
      <c r="B1500" s="2" t="s">
        <v>53</v>
      </c>
      <c r="C1500" s="2" t="s">
        <v>191</v>
      </c>
      <c r="D1500">
        <v>8</v>
      </c>
      <c r="E1500">
        <f>WEEKDAY(makulatura5[[#This Row],[Data_dostarczenia]],2)</f>
        <v>3</v>
      </c>
      <c r="F1500" s="2">
        <f t="shared" si="23"/>
        <v>0</v>
      </c>
    </row>
    <row r="1501" spans="1:6" x14ac:dyDescent="0.25">
      <c r="A1501" s="1">
        <v>42991</v>
      </c>
      <c r="B1501" s="2" t="s">
        <v>365</v>
      </c>
      <c r="C1501" s="2" t="s">
        <v>366</v>
      </c>
      <c r="D1501">
        <v>8</v>
      </c>
      <c r="E1501">
        <f>WEEKDAY(makulatura5[[#This Row],[Data_dostarczenia]],2)</f>
        <v>3</v>
      </c>
      <c r="F1501" s="2">
        <f t="shared" si="23"/>
        <v>0</v>
      </c>
    </row>
    <row r="1502" spans="1:6" x14ac:dyDescent="0.25">
      <c r="A1502" s="1">
        <v>42991</v>
      </c>
      <c r="B1502" s="2" t="s">
        <v>4</v>
      </c>
      <c r="C1502" s="2" t="s">
        <v>382</v>
      </c>
      <c r="D1502">
        <v>56</v>
      </c>
      <c r="E1502">
        <f>WEEKDAY(makulatura5[[#This Row],[Data_dostarczenia]],2)</f>
        <v>3</v>
      </c>
      <c r="F1502" s="2">
        <f t="shared" si="23"/>
        <v>0</v>
      </c>
    </row>
    <row r="1503" spans="1:6" x14ac:dyDescent="0.25">
      <c r="A1503" s="1">
        <v>42991</v>
      </c>
      <c r="B1503" s="2" t="s">
        <v>39</v>
      </c>
      <c r="C1503" s="2" t="s">
        <v>164</v>
      </c>
      <c r="D1503">
        <v>8</v>
      </c>
      <c r="E1503">
        <f>WEEKDAY(makulatura5[[#This Row],[Data_dostarczenia]],2)</f>
        <v>3</v>
      </c>
      <c r="F1503" s="2">
        <f t="shared" si="23"/>
        <v>1</v>
      </c>
    </row>
    <row r="1504" spans="1:6" x14ac:dyDescent="0.25">
      <c r="A1504" s="1">
        <v>42992</v>
      </c>
      <c r="B1504" s="2" t="s">
        <v>83</v>
      </c>
      <c r="C1504" s="2" t="s">
        <v>658</v>
      </c>
      <c r="D1504">
        <v>25</v>
      </c>
      <c r="E1504">
        <f>WEEKDAY(makulatura5[[#This Row],[Data_dostarczenia]],2)</f>
        <v>4</v>
      </c>
      <c r="F1504" s="2">
        <f t="shared" si="23"/>
        <v>0</v>
      </c>
    </row>
    <row r="1505" spans="1:6" x14ac:dyDescent="0.25">
      <c r="A1505" s="1">
        <v>42992</v>
      </c>
      <c r="B1505" s="2" t="s">
        <v>51</v>
      </c>
      <c r="C1505" s="2" t="s">
        <v>52</v>
      </c>
      <c r="D1505">
        <v>23</v>
      </c>
      <c r="E1505">
        <f>WEEKDAY(makulatura5[[#This Row],[Data_dostarczenia]],2)</f>
        <v>4</v>
      </c>
      <c r="F1505" s="2">
        <f t="shared" si="23"/>
        <v>0</v>
      </c>
    </row>
    <row r="1506" spans="1:6" x14ac:dyDescent="0.25">
      <c r="A1506" s="1">
        <v>42992</v>
      </c>
      <c r="B1506" s="2" t="s">
        <v>12</v>
      </c>
      <c r="C1506" s="2" t="s">
        <v>668</v>
      </c>
      <c r="D1506">
        <v>33</v>
      </c>
      <c r="E1506">
        <f>WEEKDAY(makulatura5[[#This Row],[Data_dostarczenia]],2)</f>
        <v>4</v>
      </c>
      <c r="F1506" s="2">
        <f t="shared" si="23"/>
        <v>0</v>
      </c>
    </row>
    <row r="1507" spans="1:6" x14ac:dyDescent="0.25">
      <c r="A1507" s="1">
        <v>42992</v>
      </c>
      <c r="B1507" s="2" t="s">
        <v>128</v>
      </c>
      <c r="C1507" s="2" t="s">
        <v>12</v>
      </c>
      <c r="D1507">
        <v>15</v>
      </c>
      <c r="E1507">
        <f>WEEKDAY(makulatura5[[#This Row],[Data_dostarczenia]],2)</f>
        <v>4</v>
      </c>
      <c r="F1507" s="2">
        <f t="shared" si="23"/>
        <v>0</v>
      </c>
    </row>
    <row r="1508" spans="1:6" x14ac:dyDescent="0.25">
      <c r="A1508" s="1">
        <v>42992</v>
      </c>
      <c r="B1508" s="2" t="s">
        <v>141</v>
      </c>
      <c r="C1508" s="2" t="s">
        <v>292</v>
      </c>
      <c r="D1508">
        <v>16</v>
      </c>
      <c r="E1508">
        <f>WEEKDAY(makulatura5[[#This Row],[Data_dostarczenia]],2)</f>
        <v>4</v>
      </c>
      <c r="F1508" s="2">
        <f t="shared" si="23"/>
        <v>0</v>
      </c>
    </row>
    <row r="1509" spans="1:6" x14ac:dyDescent="0.25">
      <c r="A1509" s="1">
        <v>42992</v>
      </c>
      <c r="B1509" s="2" t="s">
        <v>119</v>
      </c>
      <c r="C1509" s="2" t="s">
        <v>164</v>
      </c>
      <c r="D1509">
        <v>29</v>
      </c>
      <c r="E1509">
        <f>WEEKDAY(makulatura5[[#This Row],[Data_dostarczenia]],2)</f>
        <v>4</v>
      </c>
      <c r="F1509" s="2">
        <f t="shared" si="23"/>
        <v>0</v>
      </c>
    </row>
    <row r="1510" spans="1:6" x14ac:dyDescent="0.25">
      <c r="A1510" s="1">
        <v>42992</v>
      </c>
      <c r="B1510" s="2" t="s">
        <v>252</v>
      </c>
      <c r="C1510" s="2" t="s">
        <v>253</v>
      </c>
      <c r="D1510">
        <v>2</v>
      </c>
      <c r="E1510">
        <f>WEEKDAY(makulatura5[[#This Row],[Data_dostarczenia]],2)</f>
        <v>4</v>
      </c>
      <c r="F1510" s="2">
        <f t="shared" si="23"/>
        <v>0</v>
      </c>
    </row>
    <row r="1511" spans="1:6" x14ac:dyDescent="0.25">
      <c r="A1511" s="1">
        <v>42992</v>
      </c>
      <c r="B1511" s="2" t="s">
        <v>208</v>
      </c>
      <c r="C1511" s="2" t="s">
        <v>475</v>
      </c>
      <c r="D1511">
        <v>15</v>
      </c>
      <c r="E1511">
        <f>WEEKDAY(makulatura5[[#This Row],[Data_dostarczenia]],2)</f>
        <v>4</v>
      </c>
      <c r="F1511" s="2">
        <f t="shared" si="23"/>
        <v>0</v>
      </c>
    </row>
    <row r="1512" spans="1:6" x14ac:dyDescent="0.25">
      <c r="A1512" s="1">
        <v>42992</v>
      </c>
      <c r="B1512" s="2" t="s">
        <v>206</v>
      </c>
      <c r="C1512" s="2" t="s">
        <v>227</v>
      </c>
      <c r="D1512">
        <v>17</v>
      </c>
      <c r="E1512">
        <f>WEEKDAY(makulatura5[[#This Row],[Data_dostarczenia]],2)</f>
        <v>4</v>
      </c>
      <c r="F1512" s="2">
        <f t="shared" si="23"/>
        <v>0</v>
      </c>
    </row>
    <row r="1513" spans="1:6" x14ac:dyDescent="0.25">
      <c r="A1513" s="1">
        <v>42992</v>
      </c>
      <c r="B1513" s="2" t="s">
        <v>36</v>
      </c>
      <c r="C1513" s="2" t="s">
        <v>166</v>
      </c>
      <c r="D1513">
        <v>54</v>
      </c>
      <c r="E1513">
        <f>WEEKDAY(makulatura5[[#This Row],[Data_dostarczenia]],2)</f>
        <v>4</v>
      </c>
      <c r="F1513" s="2">
        <f t="shared" si="23"/>
        <v>0</v>
      </c>
    </row>
    <row r="1514" spans="1:6" x14ac:dyDescent="0.25">
      <c r="A1514" s="1">
        <v>42992</v>
      </c>
      <c r="B1514" s="2" t="s">
        <v>189</v>
      </c>
      <c r="C1514" s="2" t="s">
        <v>190</v>
      </c>
      <c r="D1514">
        <v>38</v>
      </c>
      <c r="E1514">
        <f>WEEKDAY(makulatura5[[#This Row],[Data_dostarczenia]],2)</f>
        <v>4</v>
      </c>
      <c r="F1514" s="2">
        <f t="shared" si="23"/>
        <v>0</v>
      </c>
    </row>
    <row r="1515" spans="1:6" x14ac:dyDescent="0.25">
      <c r="A1515" s="1">
        <v>42992</v>
      </c>
      <c r="B1515" s="2" t="s">
        <v>150</v>
      </c>
      <c r="C1515" s="2" t="s">
        <v>200</v>
      </c>
      <c r="D1515">
        <v>9</v>
      </c>
      <c r="E1515">
        <f>WEEKDAY(makulatura5[[#This Row],[Data_dostarczenia]],2)</f>
        <v>4</v>
      </c>
      <c r="F1515" s="2">
        <f t="shared" si="23"/>
        <v>0</v>
      </c>
    </row>
    <row r="1516" spans="1:6" x14ac:dyDescent="0.25">
      <c r="A1516" s="1">
        <v>42992</v>
      </c>
      <c r="B1516" s="2" t="s">
        <v>63</v>
      </c>
      <c r="C1516" s="2" t="s">
        <v>64</v>
      </c>
      <c r="D1516">
        <v>3</v>
      </c>
      <c r="E1516">
        <f>WEEKDAY(makulatura5[[#This Row],[Data_dostarczenia]],2)</f>
        <v>4</v>
      </c>
      <c r="F1516" s="2">
        <f t="shared" si="23"/>
        <v>0</v>
      </c>
    </row>
    <row r="1517" spans="1:6" x14ac:dyDescent="0.25">
      <c r="A1517" s="1">
        <v>42992</v>
      </c>
      <c r="B1517" s="2" t="s">
        <v>69</v>
      </c>
      <c r="C1517" s="2" t="s">
        <v>108</v>
      </c>
      <c r="D1517">
        <v>17</v>
      </c>
      <c r="E1517">
        <f>WEEKDAY(makulatura5[[#This Row],[Data_dostarczenia]],2)</f>
        <v>4</v>
      </c>
      <c r="F1517" s="2">
        <f t="shared" si="23"/>
        <v>1</v>
      </c>
    </row>
    <row r="1518" spans="1:6" x14ac:dyDescent="0.25">
      <c r="A1518" s="1">
        <v>42993</v>
      </c>
      <c r="B1518" s="2" t="s">
        <v>248</v>
      </c>
      <c r="C1518" s="2" t="s">
        <v>337</v>
      </c>
      <c r="D1518">
        <v>12</v>
      </c>
      <c r="E1518">
        <f>WEEKDAY(makulatura5[[#This Row],[Data_dostarczenia]],2)</f>
        <v>5</v>
      </c>
      <c r="F1518" s="2">
        <f t="shared" si="23"/>
        <v>0</v>
      </c>
    </row>
    <row r="1519" spans="1:6" x14ac:dyDescent="0.25">
      <c r="A1519" s="1">
        <v>42993</v>
      </c>
      <c r="B1519" s="2" t="s">
        <v>57</v>
      </c>
      <c r="C1519" s="2" t="s">
        <v>399</v>
      </c>
      <c r="D1519">
        <v>28</v>
      </c>
      <c r="E1519">
        <f>WEEKDAY(makulatura5[[#This Row],[Data_dostarczenia]],2)</f>
        <v>5</v>
      </c>
      <c r="F1519" s="2">
        <f t="shared" si="23"/>
        <v>0</v>
      </c>
    </row>
    <row r="1520" spans="1:6" x14ac:dyDescent="0.25">
      <c r="A1520" s="1">
        <v>42993</v>
      </c>
      <c r="B1520" s="2" t="s">
        <v>128</v>
      </c>
      <c r="C1520" s="2" t="s">
        <v>309</v>
      </c>
      <c r="D1520">
        <v>4</v>
      </c>
      <c r="E1520">
        <f>WEEKDAY(makulatura5[[#This Row],[Data_dostarczenia]],2)</f>
        <v>5</v>
      </c>
      <c r="F1520" s="2">
        <f t="shared" si="23"/>
        <v>0</v>
      </c>
    </row>
    <row r="1521" spans="1:6" x14ac:dyDescent="0.25">
      <c r="A1521" s="1">
        <v>42993</v>
      </c>
      <c r="B1521" s="2" t="s">
        <v>346</v>
      </c>
      <c r="C1521" s="2" t="s">
        <v>669</v>
      </c>
      <c r="D1521">
        <v>5</v>
      </c>
      <c r="E1521">
        <f>WEEKDAY(makulatura5[[#This Row],[Data_dostarczenia]],2)</f>
        <v>5</v>
      </c>
      <c r="F1521" s="2">
        <f t="shared" si="23"/>
        <v>0</v>
      </c>
    </row>
    <row r="1522" spans="1:6" x14ac:dyDescent="0.25">
      <c r="A1522" s="1">
        <v>42993</v>
      </c>
      <c r="B1522" s="2" t="s">
        <v>67</v>
      </c>
      <c r="C1522" s="2" t="s">
        <v>670</v>
      </c>
      <c r="D1522">
        <v>30</v>
      </c>
      <c r="E1522">
        <f>WEEKDAY(makulatura5[[#This Row],[Data_dostarczenia]],2)</f>
        <v>5</v>
      </c>
      <c r="F1522" s="2">
        <f t="shared" si="23"/>
        <v>0</v>
      </c>
    </row>
    <row r="1523" spans="1:6" x14ac:dyDescent="0.25">
      <c r="A1523" s="1">
        <v>42993</v>
      </c>
      <c r="B1523" s="2" t="s">
        <v>55</v>
      </c>
      <c r="C1523" s="2" t="s">
        <v>326</v>
      </c>
      <c r="D1523">
        <v>40</v>
      </c>
      <c r="E1523">
        <f>WEEKDAY(makulatura5[[#This Row],[Data_dostarczenia]],2)</f>
        <v>5</v>
      </c>
      <c r="F1523" s="2">
        <f t="shared" si="23"/>
        <v>0</v>
      </c>
    </row>
    <row r="1524" spans="1:6" x14ac:dyDescent="0.25">
      <c r="A1524" s="1">
        <v>42993</v>
      </c>
      <c r="B1524" s="2" t="s">
        <v>193</v>
      </c>
      <c r="C1524" s="2" t="s">
        <v>228</v>
      </c>
      <c r="D1524">
        <v>10</v>
      </c>
      <c r="E1524">
        <f>WEEKDAY(makulatura5[[#This Row],[Data_dostarczenia]],2)</f>
        <v>5</v>
      </c>
      <c r="F1524" s="2">
        <f t="shared" si="23"/>
        <v>0</v>
      </c>
    </row>
    <row r="1525" spans="1:6" x14ac:dyDescent="0.25">
      <c r="A1525" s="1">
        <v>42993</v>
      </c>
      <c r="B1525" s="2" t="s">
        <v>346</v>
      </c>
      <c r="C1525" s="2" t="s">
        <v>347</v>
      </c>
      <c r="D1525">
        <v>20</v>
      </c>
      <c r="E1525">
        <f>WEEKDAY(makulatura5[[#This Row],[Data_dostarczenia]],2)</f>
        <v>5</v>
      </c>
      <c r="F1525" s="2">
        <f t="shared" si="23"/>
        <v>0</v>
      </c>
    </row>
    <row r="1526" spans="1:6" x14ac:dyDescent="0.25">
      <c r="A1526" s="1">
        <v>42993</v>
      </c>
      <c r="B1526" s="2" t="s">
        <v>150</v>
      </c>
      <c r="C1526" s="2" t="s">
        <v>313</v>
      </c>
      <c r="D1526">
        <v>12</v>
      </c>
      <c r="E1526">
        <f>WEEKDAY(makulatura5[[#This Row],[Data_dostarczenia]],2)</f>
        <v>5</v>
      </c>
      <c r="F1526" s="2">
        <f t="shared" si="23"/>
        <v>0</v>
      </c>
    </row>
    <row r="1527" spans="1:6" x14ac:dyDescent="0.25">
      <c r="A1527" s="1">
        <v>42993</v>
      </c>
      <c r="B1527" s="2" t="s">
        <v>201</v>
      </c>
      <c r="C1527" s="2" t="s">
        <v>357</v>
      </c>
      <c r="D1527">
        <v>9</v>
      </c>
      <c r="E1527">
        <f>WEEKDAY(makulatura5[[#This Row],[Data_dostarczenia]],2)</f>
        <v>5</v>
      </c>
      <c r="F1527" s="2">
        <f t="shared" si="23"/>
        <v>0</v>
      </c>
    </row>
    <row r="1528" spans="1:6" x14ac:dyDescent="0.25">
      <c r="A1528" s="1">
        <v>42993</v>
      </c>
      <c r="B1528" s="2" t="s">
        <v>232</v>
      </c>
      <c r="C1528" s="2" t="s">
        <v>487</v>
      </c>
      <c r="D1528">
        <v>46</v>
      </c>
      <c r="E1528">
        <f>WEEKDAY(makulatura5[[#This Row],[Data_dostarczenia]],2)</f>
        <v>5</v>
      </c>
      <c r="F1528" s="2">
        <f t="shared" si="23"/>
        <v>0</v>
      </c>
    </row>
    <row r="1529" spans="1:6" x14ac:dyDescent="0.25">
      <c r="A1529" s="1">
        <v>42993</v>
      </c>
      <c r="B1529" s="2" t="s">
        <v>234</v>
      </c>
      <c r="C1529" s="2" t="s">
        <v>516</v>
      </c>
      <c r="D1529">
        <v>30</v>
      </c>
      <c r="E1529">
        <f>WEEKDAY(makulatura5[[#This Row],[Data_dostarczenia]],2)</f>
        <v>5</v>
      </c>
      <c r="F1529" s="2">
        <f t="shared" si="23"/>
        <v>0</v>
      </c>
    </row>
    <row r="1530" spans="1:6" x14ac:dyDescent="0.25">
      <c r="A1530" s="1">
        <v>42993</v>
      </c>
      <c r="B1530" s="2" t="s">
        <v>53</v>
      </c>
      <c r="C1530" s="2" t="s">
        <v>227</v>
      </c>
      <c r="D1530">
        <v>25</v>
      </c>
      <c r="E1530">
        <f>WEEKDAY(makulatura5[[#This Row],[Data_dostarczenia]],2)</f>
        <v>5</v>
      </c>
      <c r="F1530" s="2">
        <f t="shared" si="23"/>
        <v>0</v>
      </c>
    </row>
    <row r="1531" spans="1:6" x14ac:dyDescent="0.25">
      <c r="A1531" s="1">
        <v>42993</v>
      </c>
      <c r="B1531" s="2" t="s">
        <v>55</v>
      </c>
      <c r="C1531" s="2" t="s">
        <v>265</v>
      </c>
      <c r="D1531">
        <v>25</v>
      </c>
      <c r="E1531">
        <f>WEEKDAY(makulatura5[[#This Row],[Data_dostarczenia]],2)</f>
        <v>5</v>
      </c>
      <c r="F1531" s="2">
        <f t="shared" si="23"/>
        <v>1</v>
      </c>
    </row>
    <row r="1532" spans="1:6" x14ac:dyDescent="0.25">
      <c r="A1532" s="1">
        <v>42996</v>
      </c>
      <c r="B1532" s="2" t="s">
        <v>155</v>
      </c>
      <c r="C1532" s="2" t="s">
        <v>186</v>
      </c>
      <c r="D1532">
        <v>15</v>
      </c>
      <c r="E1532">
        <f>WEEKDAY(makulatura5[[#This Row],[Data_dostarczenia]],2)</f>
        <v>1</v>
      </c>
      <c r="F1532" s="2">
        <f t="shared" si="23"/>
        <v>0</v>
      </c>
    </row>
    <row r="1533" spans="1:6" x14ac:dyDescent="0.25">
      <c r="A1533" s="1">
        <v>42996</v>
      </c>
      <c r="B1533" s="2" t="s">
        <v>152</v>
      </c>
      <c r="C1533" s="2" t="s">
        <v>534</v>
      </c>
      <c r="D1533">
        <v>8</v>
      </c>
      <c r="E1533">
        <f>WEEKDAY(makulatura5[[#This Row],[Data_dostarczenia]],2)</f>
        <v>1</v>
      </c>
      <c r="F1533" s="2">
        <f t="shared" si="23"/>
        <v>0</v>
      </c>
    </row>
    <row r="1534" spans="1:6" x14ac:dyDescent="0.25">
      <c r="A1534" s="1">
        <v>42996</v>
      </c>
      <c r="B1534" s="2" t="s">
        <v>232</v>
      </c>
      <c r="C1534" s="2" t="s">
        <v>451</v>
      </c>
      <c r="D1534">
        <v>8</v>
      </c>
      <c r="E1534">
        <f>WEEKDAY(makulatura5[[#This Row],[Data_dostarczenia]],2)</f>
        <v>1</v>
      </c>
      <c r="F1534" s="2">
        <f t="shared" si="23"/>
        <v>0</v>
      </c>
    </row>
    <row r="1535" spans="1:6" x14ac:dyDescent="0.25">
      <c r="A1535" s="1">
        <v>42996</v>
      </c>
      <c r="B1535" s="2" t="s">
        <v>83</v>
      </c>
      <c r="C1535" s="2" t="s">
        <v>455</v>
      </c>
      <c r="D1535">
        <v>20</v>
      </c>
      <c r="E1535">
        <f>WEEKDAY(makulatura5[[#This Row],[Data_dostarczenia]],2)</f>
        <v>1</v>
      </c>
      <c r="F1535" s="2">
        <f t="shared" si="23"/>
        <v>0</v>
      </c>
    </row>
    <row r="1536" spans="1:6" x14ac:dyDescent="0.25">
      <c r="A1536" s="1">
        <v>42996</v>
      </c>
      <c r="B1536" s="2" t="s">
        <v>20</v>
      </c>
      <c r="C1536" s="2" t="s">
        <v>123</v>
      </c>
      <c r="D1536">
        <v>53</v>
      </c>
      <c r="E1536">
        <f>WEEKDAY(makulatura5[[#This Row],[Data_dostarczenia]],2)</f>
        <v>1</v>
      </c>
      <c r="F1536" s="2">
        <f t="shared" si="23"/>
        <v>0</v>
      </c>
    </row>
    <row r="1537" spans="1:6" x14ac:dyDescent="0.25">
      <c r="A1537" s="1">
        <v>42996</v>
      </c>
      <c r="B1537" s="2" t="s">
        <v>280</v>
      </c>
      <c r="C1537" s="2" t="s">
        <v>466</v>
      </c>
      <c r="D1537">
        <v>50</v>
      </c>
      <c r="E1537">
        <f>WEEKDAY(makulatura5[[#This Row],[Data_dostarczenia]],2)</f>
        <v>1</v>
      </c>
      <c r="F1537" s="2">
        <f t="shared" si="23"/>
        <v>0</v>
      </c>
    </row>
    <row r="1538" spans="1:6" x14ac:dyDescent="0.25">
      <c r="A1538" s="1">
        <v>42996</v>
      </c>
      <c r="B1538" s="2" t="s">
        <v>63</v>
      </c>
      <c r="C1538" s="2" t="s">
        <v>671</v>
      </c>
      <c r="D1538">
        <v>52</v>
      </c>
      <c r="E1538">
        <f>WEEKDAY(makulatura5[[#This Row],[Data_dostarczenia]],2)</f>
        <v>1</v>
      </c>
      <c r="F1538" s="2">
        <f t="shared" ref="F1538:F1601" si="24">IF(A1539=A1538,0,1)</f>
        <v>0</v>
      </c>
    </row>
    <row r="1539" spans="1:6" x14ac:dyDescent="0.25">
      <c r="A1539" s="1">
        <v>42996</v>
      </c>
      <c r="B1539" s="2" t="s">
        <v>141</v>
      </c>
      <c r="C1539" s="2" t="s">
        <v>649</v>
      </c>
      <c r="D1539">
        <v>12</v>
      </c>
      <c r="E1539">
        <f>WEEKDAY(makulatura5[[#This Row],[Data_dostarczenia]],2)</f>
        <v>1</v>
      </c>
      <c r="F1539" s="2">
        <f t="shared" si="24"/>
        <v>0</v>
      </c>
    </row>
    <row r="1540" spans="1:6" x14ac:dyDescent="0.25">
      <c r="A1540" s="1">
        <v>42996</v>
      </c>
      <c r="B1540" s="2" t="s">
        <v>81</v>
      </c>
      <c r="C1540" s="2" t="s">
        <v>496</v>
      </c>
      <c r="D1540">
        <v>14</v>
      </c>
      <c r="E1540">
        <f>WEEKDAY(makulatura5[[#This Row],[Data_dostarczenia]],2)</f>
        <v>1</v>
      </c>
      <c r="F1540" s="2">
        <f t="shared" si="24"/>
        <v>0</v>
      </c>
    </row>
    <row r="1541" spans="1:6" x14ac:dyDescent="0.25">
      <c r="A1541" s="1">
        <v>42996</v>
      </c>
      <c r="B1541" s="2" t="s">
        <v>87</v>
      </c>
      <c r="C1541" s="2" t="s">
        <v>255</v>
      </c>
      <c r="D1541">
        <v>12</v>
      </c>
      <c r="E1541">
        <f>WEEKDAY(makulatura5[[#This Row],[Data_dostarczenia]],2)</f>
        <v>1</v>
      </c>
      <c r="F1541" s="2">
        <f t="shared" si="24"/>
        <v>0</v>
      </c>
    </row>
    <row r="1542" spans="1:6" x14ac:dyDescent="0.25">
      <c r="A1542" s="1">
        <v>42996</v>
      </c>
      <c r="B1542" s="2" t="s">
        <v>27</v>
      </c>
      <c r="C1542" s="2" t="s">
        <v>28</v>
      </c>
      <c r="D1542">
        <v>27</v>
      </c>
      <c r="E1542">
        <f>WEEKDAY(makulatura5[[#This Row],[Data_dostarczenia]],2)</f>
        <v>1</v>
      </c>
      <c r="F1542" s="2">
        <f t="shared" si="24"/>
        <v>0</v>
      </c>
    </row>
    <row r="1543" spans="1:6" x14ac:dyDescent="0.25">
      <c r="A1543" s="1">
        <v>42996</v>
      </c>
      <c r="B1543" s="2" t="s">
        <v>234</v>
      </c>
      <c r="C1543" s="2" t="s">
        <v>516</v>
      </c>
      <c r="D1543">
        <v>25</v>
      </c>
      <c r="E1543">
        <f>WEEKDAY(makulatura5[[#This Row],[Data_dostarczenia]],2)</f>
        <v>1</v>
      </c>
      <c r="F1543" s="2">
        <f t="shared" si="24"/>
        <v>1</v>
      </c>
    </row>
    <row r="1544" spans="1:6" x14ac:dyDescent="0.25">
      <c r="A1544" s="1">
        <v>42997</v>
      </c>
      <c r="B1544" s="2" t="s">
        <v>494</v>
      </c>
      <c r="C1544" s="2" t="s">
        <v>495</v>
      </c>
      <c r="D1544">
        <v>29</v>
      </c>
      <c r="E1544">
        <f>WEEKDAY(makulatura5[[#This Row],[Data_dostarczenia]],2)</f>
        <v>2</v>
      </c>
      <c r="F1544" s="2">
        <f t="shared" si="24"/>
        <v>0</v>
      </c>
    </row>
    <row r="1545" spans="1:6" x14ac:dyDescent="0.25">
      <c r="A1545" s="1">
        <v>42997</v>
      </c>
      <c r="B1545" s="2" t="s">
        <v>341</v>
      </c>
      <c r="C1545" s="2" t="s">
        <v>342</v>
      </c>
      <c r="D1545">
        <v>54</v>
      </c>
      <c r="E1545">
        <f>WEEKDAY(makulatura5[[#This Row],[Data_dostarczenia]],2)</f>
        <v>2</v>
      </c>
      <c r="F1545" s="2">
        <f t="shared" si="24"/>
        <v>0</v>
      </c>
    </row>
    <row r="1546" spans="1:6" x14ac:dyDescent="0.25">
      <c r="A1546" s="1">
        <v>42997</v>
      </c>
      <c r="B1546" s="2" t="s">
        <v>97</v>
      </c>
      <c r="C1546" s="2" t="s">
        <v>452</v>
      </c>
      <c r="D1546">
        <v>10</v>
      </c>
      <c r="E1546">
        <f>WEEKDAY(makulatura5[[#This Row],[Data_dostarczenia]],2)</f>
        <v>2</v>
      </c>
      <c r="F1546" s="2">
        <f t="shared" si="24"/>
        <v>0</v>
      </c>
    </row>
    <row r="1547" spans="1:6" x14ac:dyDescent="0.25">
      <c r="A1547" s="1">
        <v>42997</v>
      </c>
      <c r="B1547" s="2" t="s">
        <v>30</v>
      </c>
      <c r="C1547" s="2" t="s">
        <v>463</v>
      </c>
      <c r="D1547">
        <v>28</v>
      </c>
      <c r="E1547">
        <f>WEEKDAY(makulatura5[[#This Row],[Data_dostarczenia]],2)</f>
        <v>2</v>
      </c>
      <c r="F1547" s="2">
        <f t="shared" si="24"/>
        <v>0</v>
      </c>
    </row>
    <row r="1548" spans="1:6" x14ac:dyDescent="0.25">
      <c r="A1548" s="1">
        <v>42997</v>
      </c>
      <c r="B1548" s="2" t="s">
        <v>271</v>
      </c>
      <c r="C1548" s="2" t="s">
        <v>272</v>
      </c>
      <c r="D1548">
        <v>7</v>
      </c>
      <c r="E1548">
        <f>WEEKDAY(makulatura5[[#This Row],[Data_dostarczenia]],2)</f>
        <v>2</v>
      </c>
      <c r="F1548" s="2">
        <f t="shared" si="24"/>
        <v>0</v>
      </c>
    </row>
    <row r="1549" spans="1:6" x14ac:dyDescent="0.25">
      <c r="A1549" s="1">
        <v>42997</v>
      </c>
      <c r="B1549" s="2" t="s">
        <v>83</v>
      </c>
      <c r="C1549" s="2" t="s">
        <v>646</v>
      </c>
      <c r="D1549">
        <v>18</v>
      </c>
      <c r="E1549">
        <f>WEEKDAY(makulatura5[[#This Row],[Data_dostarczenia]],2)</f>
        <v>2</v>
      </c>
      <c r="F1549" s="2">
        <f t="shared" si="24"/>
        <v>0</v>
      </c>
    </row>
    <row r="1550" spans="1:6" x14ac:dyDescent="0.25">
      <c r="A1550" s="1">
        <v>42997</v>
      </c>
      <c r="B1550" s="2" t="s">
        <v>141</v>
      </c>
      <c r="C1550" s="2" t="s">
        <v>612</v>
      </c>
      <c r="D1550">
        <v>10</v>
      </c>
      <c r="E1550">
        <f>WEEKDAY(makulatura5[[#This Row],[Data_dostarczenia]],2)</f>
        <v>2</v>
      </c>
      <c r="F1550" s="2">
        <f t="shared" si="24"/>
        <v>0</v>
      </c>
    </row>
    <row r="1551" spans="1:6" x14ac:dyDescent="0.25">
      <c r="A1551" s="1">
        <v>42997</v>
      </c>
      <c r="B1551" s="2" t="s">
        <v>27</v>
      </c>
      <c r="C1551" s="2" t="s">
        <v>94</v>
      </c>
      <c r="D1551">
        <v>24</v>
      </c>
      <c r="E1551">
        <f>WEEKDAY(makulatura5[[#This Row],[Data_dostarczenia]],2)</f>
        <v>2</v>
      </c>
      <c r="F1551" s="2">
        <f t="shared" si="24"/>
        <v>0</v>
      </c>
    </row>
    <row r="1552" spans="1:6" x14ac:dyDescent="0.25">
      <c r="A1552" s="1">
        <v>42997</v>
      </c>
      <c r="B1552" s="2" t="s">
        <v>18</v>
      </c>
      <c r="C1552" s="2" t="s">
        <v>392</v>
      </c>
      <c r="D1552">
        <v>19</v>
      </c>
      <c r="E1552">
        <f>WEEKDAY(makulatura5[[#This Row],[Data_dostarczenia]],2)</f>
        <v>2</v>
      </c>
      <c r="F1552" s="2">
        <f t="shared" si="24"/>
        <v>0</v>
      </c>
    </row>
    <row r="1553" spans="1:6" x14ac:dyDescent="0.25">
      <c r="A1553" s="1">
        <v>42997</v>
      </c>
      <c r="B1553" s="2" t="s">
        <v>219</v>
      </c>
      <c r="C1553" s="2" t="s">
        <v>543</v>
      </c>
      <c r="D1553">
        <v>28</v>
      </c>
      <c r="E1553">
        <f>WEEKDAY(makulatura5[[#This Row],[Data_dostarczenia]],2)</f>
        <v>2</v>
      </c>
      <c r="F1553" s="2">
        <f t="shared" si="24"/>
        <v>0</v>
      </c>
    </row>
    <row r="1554" spans="1:6" x14ac:dyDescent="0.25">
      <c r="A1554" s="1">
        <v>42997</v>
      </c>
      <c r="B1554" s="2" t="s">
        <v>150</v>
      </c>
      <c r="C1554" s="2" t="s">
        <v>298</v>
      </c>
      <c r="D1554">
        <v>5</v>
      </c>
      <c r="E1554">
        <f>WEEKDAY(makulatura5[[#This Row],[Data_dostarczenia]],2)</f>
        <v>2</v>
      </c>
      <c r="F1554" s="2">
        <f t="shared" si="24"/>
        <v>0</v>
      </c>
    </row>
    <row r="1555" spans="1:6" x14ac:dyDescent="0.25">
      <c r="A1555" s="1">
        <v>42997</v>
      </c>
      <c r="B1555" s="2" t="s">
        <v>314</v>
      </c>
      <c r="C1555" s="2" t="s">
        <v>315</v>
      </c>
      <c r="D1555">
        <v>17</v>
      </c>
      <c r="E1555">
        <f>WEEKDAY(makulatura5[[#This Row],[Data_dostarczenia]],2)</f>
        <v>2</v>
      </c>
      <c r="F1555" s="2">
        <f t="shared" si="24"/>
        <v>1</v>
      </c>
    </row>
    <row r="1556" spans="1:6" x14ac:dyDescent="0.25">
      <c r="A1556" s="1">
        <v>42998</v>
      </c>
      <c r="B1556" s="2" t="s">
        <v>67</v>
      </c>
      <c r="C1556" s="2" t="s">
        <v>460</v>
      </c>
      <c r="D1556">
        <v>53</v>
      </c>
      <c r="E1556">
        <f>WEEKDAY(makulatura5[[#This Row],[Data_dostarczenia]],2)</f>
        <v>3</v>
      </c>
      <c r="F1556" s="2">
        <f t="shared" si="24"/>
        <v>0</v>
      </c>
    </row>
    <row r="1557" spans="1:6" x14ac:dyDescent="0.25">
      <c r="A1557" s="1">
        <v>42998</v>
      </c>
      <c r="B1557" s="2" t="s">
        <v>217</v>
      </c>
      <c r="C1557" s="2" t="s">
        <v>218</v>
      </c>
      <c r="D1557">
        <v>5</v>
      </c>
      <c r="E1557">
        <f>WEEKDAY(makulatura5[[#This Row],[Data_dostarczenia]],2)</f>
        <v>3</v>
      </c>
      <c r="F1557" s="2">
        <f t="shared" si="24"/>
        <v>0</v>
      </c>
    </row>
    <row r="1558" spans="1:6" x14ac:dyDescent="0.25">
      <c r="A1558" s="1">
        <v>42998</v>
      </c>
      <c r="B1558" s="2" t="s">
        <v>672</v>
      </c>
      <c r="C1558" s="2" t="s">
        <v>673</v>
      </c>
      <c r="D1558">
        <v>35</v>
      </c>
      <c r="E1558">
        <f>WEEKDAY(makulatura5[[#This Row],[Data_dostarczenia]],2)</f>
        <v>3</v>
      </c>
      <c r="F1558" s="2">
        <f t="shared" si="24"/>
        <v>0</v>
      </c>
    </row>
    <row r="1559" spans="1:6" x14ac:dyDescent="0.25">
      <c r="A1559" s="1">
        <v>42998</v>
      </c>
      <c r="B1559" s="2" t="s">
        <v>12</v>
      </c>
      <c r="C1559" s="2" t="s">
        <v>38</v>
      </c>
      <c r="D1559">
        <v>17</v>
      </c>
      <c r="E1559">
        <f>WEEKDAY(makulatura5[[#This Row],[Data_dostarczenia]],2)</f>
        <v>3</v>
      </c>
      <c r="F1559" s="2">
        <f t="shared" si="24"/>
        <v>0</v>
      </c>
    </row>
    <row r="1560" spans="1:6" x14ac:dyDescent="0.25">
      <c r="A1560" s="1">
        <v>42998</v>
      </c>
      <c r="B1560" s="2" t="s">
        <v>67</v>
      </c>
      <c r="C1560" s="2" t="s">
        <v>68</v>
      </c>
      <c r="D1560">
        <v>12</v>
      </c>
      <c r="E1560">
        <f>WEEKDAY(makulatura5[[#This Row],[Data_dostarczenia]],2)</f>
        <v>3</v>
      </c>
      <c r="F1560" s="2">
        <f t="shared" si="24"/>
        <v>0</v>
      </c>
    </row>
    <row r="1561" spans="1:6" x14ac:dyDescent="0.25">
      <c r="A1561" s="1">
        <v>42998</v>
      </c>
      <c r="B1561" s="2" t="s">
        <v>81</v>
      </c>
      <c r="C1561" s="2" t="s">
        <v>104</v>
      </c>
      <c r="D1561">
        <v>28</v>
      </c>
      <c r="E1561">
        <f>WEEKDAY(makulatura5[[#This Row],[Data_dostarczenia]],2)</f>
        <v>3</v>
      </c>
      <c r="F1561" s="2">
        <f t="shared" si="24"/>
        <v>0</v>
      </c>
    </row>
    <row r="1562" spans="1:6" x14ac:dyDescent="0.25">
      <c r="A1562" s="1">
        <v>42998</v>
      </c>
      <c r="B1562" s="2" t="s">
        <v>55</v>
      </c>
      <c r="C1562" s="2" t="s">
        <v>492</v>
      </c>
      <c r="D1562">
        <v>47</v>
      </c>
      <c r="E1562">
        <f>WEEKDAY(makulatura5[[#This Row],[Data_dostarczenia]],2)</f>
        <v>3</v>
      </c>
      <c r="F1562" s="2">
        <f t="shared" si="24"/>
        <v>0</v>
      </c>
    </row>
    <row r="1563" spans="1:6" x14ac:dyDescent="0.25">
      <c r="A1563" s="1">
        <v>42998</v>
      </c>
      <c r="B1563" s="2" t="s">
        <v>69</v>
      </c>
      <c r="C1563" s="2" t="s">
        <v>461</v>
      </c>
      <c r="D1563">
        <v>5</v>
      </c>
      <c r="E1563">
        <f>WEEKDAY(makulatura5[[#This Row],[Data_dostarczenia]],2)</f>
        <v>3</v>
      </c>
      <c r="F1563" s="2">
        <f t="shared" si="24"/>
        <v>1</v>
      </c>
    </row>
    <row r="1564" spans="1:6" x14ac:dyDescent="0.25">
      <c r="A1564" s="1">
        <v>42999</v>
      </c>
      <c r="B1564" s="2" t="s">
        <v>83</v>
      </c>
      <c r="C1564" s="2" t="s">
        <v>596</v>
      </c>
      <c r="D1564">
        <v>7</v>
      </c>
      <c r="E1564">
        <f>WEEKDAY(makulatura5[[#This Row],[Data_dostarczenia]],2)</f>
        <v>4</v>
      </c>
      <c r="F1564" s="2">
        <f t="shared" si="24"/>
        <v>0</v>
      </c>
    </row>
    <row r="1565" spans="1:6" x14ac:dyDescent="0.25">
      <c r="A1565" s="1">
        <v>42999</v>
      </c>
      <c r="B1565" s="2" t="s">
        <v>65</v>
      </c>
      <c r="C1565" s="2" t="s">
        <v>674</v>
      </c>
      <c r="D1565">
        <v>52</v>
      </c>
      <c r="E1565">
        <f>WEEKDAY(makulatura5[[#This Row],[Data_dostarczenia]],2)</f>
        <v>4</v>
      </c>
      <c r="F1565" s="2">
        <f t="shared" si="24"/>
        <v>0</v>
      </c>
    </row>
    <row r="1566" spans="1:6" x14ac:dyDescent="0.25">
      <c r="A1566" s="1">
        <v>42999</v>
      </c>
      <c r="B1566" s="2" t="s">
        <v>12</v>
      </c>
      <c r="C1566" s="2" t="s">
        <v>549</v>
      </c>
      <c r="D1566">
        <v>50</v>
      </c>
      <c r="E1566">
        <f>WEEKDAY(makulatura5[[#This Row],[Data_dostarczenia]],2)</f>
        <v>4</v>
      </c>
      <c r="F1566" s="2">
        <f t="shared" si="24"/>
        <v>0</v>
      </c>
    </row>
    <row r="1567" spans="1:6" x14ac:dyDescent="0.25">
      <c r="A1567" s="1">
        <v>42999</v>
      </c>
      <c r="B1567" s="2" t="s">
        <v>34</v>
      </c>
      <c r="C1567" s="2" t="s">
        <v>182</v>
      </c>
      <c r="D1567">
        <v>10</v>
      </c>
      <c r="E1567">
        <f>WEEKDAY(makulatura5[[#This Row],[Data_dostarczenia]],2)</f>
        <v>4</v>
      </c>
      <c r="F1567" s="2">
        <f t="shared" si="24"/>
        <v>0</v>
      </c>
    </row>
    <row r="1568" spans="1:6" x14ac:dyDescent="0.25">
      <c r="A1568" s="1">
        <v>42999</v>
      </c>
      <c r="B1568" s="2" t="s">
        <v>438</v>
      </c>
      <c r="C1568" s="2" t="s">
        <v>439</v>
      </c>
      <c r="D1568">
        <v>5</v>
      </c>
      <c r="E1568">
        <f>WEEKDAY(makulatura5[[#This Row],[Data_dostarczenia]],2)</f>
        <v>4</v>
      </c>
      <c r="F1568" s="2">
        <f t="shared" si="24"/>
        <v>0</v>
      </c>
    </row>
    <row r="1569" spans="1:6" x14ac:dyDescent="0.25">
      <c r="A1569" s="1">
        <v>42999</v>
      </c>
      <c r="B1569" s="2" t="s">
        <v>81</v>
      </c>
      <c r="C1569" s="2" t="s">
        <v>584</v>
      </c>
      <c r="D1569">
        <v>17</v>
      </c>
      <c r="E1569">
        <f>WEEKDAY(makulatura5[[#This Row],[Data_dostarczenia]],2)</f>
        <v>4</v>
      </c>
      <c r="F1569" s="2">
        <f t="shared" si="24"/>
        <v>0</v>
      </c>
    </row>
    <row r="1570" spans="1:6" x14ac:dyDescent="0.25">
      <c r="A1570" s="1">
        <v>42999</v>
      </c>
      <c r="B1570" s="2" t="s">
        <v>12</v>
      </c>
      <c r="C1570" s="2" t="s">
        <v>386</v>
      </c>
      <c r="D1570">
        <v>24</v>
      </c>
      <c r="E1570">
        <f>WEEKDAY(makulatura5[[#This Row],[Data_dostarczenia]],2)</f>
        <v>4</v>
      </c>
      <c r="F1570" s="2">
        <f t="shared" si="24"/>
        <v>0</v>
      </c>
    </row>
    <row r="1571" spans="1:6" x14ac:dyDescent="0.25">
      <c r="A1571" s="1">
        <v>42999</v>
      </c>
      <c r="B1571" s="2" t="s">
        <v>409</v>
      </c>
      <c r="C1571" s="2" t="s">
        <v>656</v>
      </c>
      <c r="D1571">
        <v>50</v>
      </c>
      <c r="E1571">
        <f>WEEKDAY(makulatura5[[#This Row],[Data_dostarczenia]],2)</f>
        <v>4</v>
      </c>
      <c r="F1571" s="2">
        <f t="shared" si="24"/>
        <v>1</v>
      </c>
    </row>
    <row r="1572" spans="1:6" x14ac:dyDescent="0.25">
      <c r="A1572" s="1">
        <v>43000</v>
      </c>
      <c r="B1572" s="2" t="s">
        <v>101</v>
      </c>
      <c r="C1572" s="2" t="s">
        <v>188</v>
      </c>
      <c r="D1572">
        <v>9</v>
      </c>
      <c r="E1572">
        <f>WEEKDAY(makulatura5[[#This Row],[Data_dostarczenia]],2)</f>
        <v>5</v>
      </c>
      <c r="F1572" s="2">
        <f t="shared" si="24"/>
        <v>0</v>
      </c>
    </row>
    <row r="1573" spans="1:6" x14ac:dyDescent="0.25">
      <c r="A1573" s="1">
        <v>43000</v>
      </c>
      <c r="B1573" s="2" t="s">
        <v>83</v>
      </c>
      <c r="C1573" s="2" t="s">
        <v>561</v>
      </c>
      <c r="D1573">
        <v>6</v>
      </c>
      <c r="E1573">
        <f>WEEKDAY(makulatura5[[#This Row],[Data_dostarczenia]],2)</f>
        <v>5</v>
      </c>
      <c r="F1573" s="2">
        <f t="shared" si="24"/>
        <v>0</v>
      </c>
    </row>
    <row r="1574" spans="1:6" x14ac:dyDescent="0.25">
      <c r="A1574" s="1">
        <v>43000</v>
      </c>
      <c r="B1574" s="2" t="s">
        <v>232</v>
      </c>
      <c r="C1574" s="2" t="s">
        <v>405</v>
      </c>
      <c r="D1574">
        <v>24</v>
      </c>
      <c r="E1574">
        <f>WEEKDAY(makulatura5[[#This Row],[Data_dostarczenia]],2)</f>
        <v>5</v>
      </c>
      <c r="F1574" s="2">
        <f t="shared" si="24"/>
        <v>0</v>
      </c>
    </row>
    <row r="1575" spans="1:6" x14ac:dyDescent="0.25">
      <c r="A1575" s="1">
        <v>43000</v>
      </c>
      <c r="B1575" s="2" t="s">
        <v>95</v>
      </c>
      <c r="C1575" s="2" t="s">
        <v>426</v>
      </c>
      <c r="D1575">
        <v>15</v>
      </c>
      <c r="E1575">
        <f>WEEKDAY(makulatura5[[#This Row],[Data_dostarczenia]],2)</f>
        <v>5</v>
      </c>
      <c r="F1575" s="2">
        <f t="shared" si="24"/>
        <v>0</v>
      </c>
    </row>
    <row r="1576" spans="1:6" x14ac:dyDescent="0.25">
      <c r="A1576" s="1">
        <v>43000</v>
      </c>
      <c r="B1576" s="2" t="s">
        <v>150</v>
      </c>
      <c r="C1576" s="2" t="s">
        <v>258</v>
      </c>
      <c r="D1576">
        <v>16</v>
      </c>
      <c r="E1576">
        <f>WEEKDAY(makulatura5[[#This Row],[Data_dostarczenia]],2)</f>
        <v>5</v>
      </c>
      <c r="F1576" s="2">
        <f t="shared" si="24"/>
        <v>0</v>
      </c>
    </row>
    <row r="1577" spans="1:6" x14ac:dyDescent="0.25">
      <c r="A1577" s="1">
        <v>43000</v>
      </c>
      <c r="B1577" s="2" t="s">
        <v>55</v>
      </c>
      <c r="C1577" s="2" t="s">
        <v>493</v>
      </c>
      <c r="D1577">
        <v>10</v>
      </c>
      <c r="E1577">
        <f>WEEKDAY(makulatura5[[#This Row],[Data_dostarczenia]],2)</f>
        <v>5</v>
      </c>
      <c r="F1577" s="2">
        <f t="shared" si="24"/>
        <v>0</v>
      </c>
    </row>
    <row r="1578" spans="1:6" x14ac:dyDescent="0.25">
      <c r="A1578" s="1">
        <v>43000</v>
      </c>
      <c r="B1578" s="2" t="s">
        <v>307</v>
      </c>
      <c r="C1578" s="2" t="s">
        <v>325</v>
      </c>
      <c r="D1578">
        <v>32</v>
      </c>
      <c r="E1578">
        <f>WEEKDAY(makulatura5[[#This Row],[Data_dostarczenia]],2)</f>
        <v>5</v>
      </c>
      <c r="F1578" s="2">
        <f t="shared" si="24"/>
        <v>0</v>
      </c>
    </row>
    <row r="1579" spans="1:6" x14ac:dyDescent="0.25">
      <c r="A1579" s="1">
        <v>43000</v>
      </c>
      <c r="B1579" s="2" t="s">
        <v>51</v>
      </c>
      <c r="C1579" s="2" t="s">
        <v>469</v>
      </c>
      <c r="D1579">
        <v>24</v>
      </c>
      <c r="E1579">
        <f>WEEKDAY(makulatura5[[#This Row],[Data_dostarczenia]],2)</f>
        <v>5</v>
      </c>
      <c r="F1579" s="2">
        <f t="shared" si="24"/>
        <v>1</v>
      </c>
    </row>
    <row r="1580" spans="1:6" x14ac:dyDescent="0.25">
      <c r="A1580" s="1">
        <v>43003</v>
      </c>
      <c r="B1580" s="2" t="s">
        <v>178</v>
      </c>
      <c r="C1580" s="2" t="s">
        <v>242</v>
      </c>
      <c r="D1580">
        <v>34</v>
      </c>
      <c r="E1580">
        <f>WEEKDAY(makulatura5[[#This Row],[Data_dostarczenia]],2)</f>
        <v>1</v>
      </c>
      <c r="F1580" s="2">
        <f t="shared" si="24"/>
        <v>0</v>
      </c>
    </row>
    <row r="1581" spans="1:6" x14ac:dyDescent="0.25">
      <c r="A1581" s="1">
        <v>43003</v>
      </c>
      <c r="B1581" s="2" t="s">
        <v>47</v>
      </c>
      <c r="C1581" s="2" t="s">
        <v>256</v>
      </c>
      <c r="D1581">
        <v>28</v>
      </c>
      <c r="E1581">
        <f>WEEKDAY(makulatura5[[#This Row],[Data_dostarczenia]],2)</f>
        <v>1</v>
      </c>
      <c r="F1581" s="2">
        <f t="shared" si="24"/>
        <v>0</v>
      </c>
    </row>
    <row r="1582" spans="1:6" x14ac:dyDescent="0.25">
      <c r="A1582" s="1">
        <v>43003</v>
      </c>
      <c r="B1582" s="2" t="s">
        <v>55</v>
      </c>
      <c r="C1582" s="2" t="s">
        <v>506</v>
      </c>
      <c r="D1582">
        <v>18</v>
      </c>
      <c r="E1582">
        <f>WEEKDAY(makulatura5[[#This Row],[Data_dostarczenia]],2)</f>
        <v>1</v>
      </c>
      <c r="F1582" s="2">
        <f t="shared" si="24"/>
        <v>0</v>
      </c>
    </row>
    <row r="1583" spans="1:6" x14ac:dyDescent="0.25">
      <c r="A1583" s="1">
        <v>43003</v>
      </c>
      <c r="B1583" s="2" t="s">
        <v>343</v>
      </c>
      <c r="C1583" s="2" t="s">
        <v>675</v>
      </c>
      <c r="D1583">
        <v>19</v>
      </c>
      <c r="E1583">
        <f>WEEKDAY(makulatura5[[#This Row],[Data_dostarczenia]],2)</f>
        <v>1</v>
      </c>
      <c r="F1583" s="2">
        <f t="shared" si="24"/>
        <v>0</v>
      </c>
    </row>
    <row r="1584" spans="1:6" x14ac:dyDescent="0.25">
      <c r="A1584" s="1">
        <v>43003</v>
      </c>
      <c r="B1584" s="2" t="s">
        <v>314</v>
      </c>
      <c r="C1584" s="2" t="s">
        <v>466</v>
      </c>
      <c r="D1584">
        <v>7</v>
      </c>
      <c r="E1584">
        <f>WEEKDAY(makulatura5[[#This Row],[Data_dostarczenia]],2)</f>
        <v>1</v>
      </c>
      <c r="F1584" s="2">
        <f t="shared" si="24"/>
        <v>0</v>
      </c>
    </row>
    <row r="1585" spans="1:6" x14ac:dyDescent="0.25">
      <c r="A1585" s="1">
        <v>43003</v>
      </c>
      <c r="B1585" s="2" t="s">
        <v>219</v>
      </c>
      <c r="C1585" s="2" t="s">
        <v>543</v>
      </c>
      <c r="D1585">
        <v>29</v>
      </c>
      <c r="E1585">
        <f>WEEKDAY(makulatura5[[#This Row],[Data_dostarczenia]],2)</f>
        <v>1</v>
      </c>
      <c r="F1585" s="2">
        <f t="shared" si="24"/>
        <v>0</v>
      </c>
    </row>
    <row r="1586" spans="1:6" x14ac:dyDescent="0.25">
      <c r="A1586" s="1">
        <v>43003</v>
      </c>
      <c r="B1586" s="2" t="s">
        <v>150</v>
      </c>
      <c r="C1586" s="2" t="s">
        <v>676</v>
      </c>
      <c r="D1586">
        <v>56</v>
      </c>
      <c r="E1586">
        <f>WEEKDAY(makulatura5[[#This Row],[Data_dostarczenia]],2)</f>
        <v>1</v>
      </c>
      <c r="F1586" s="2">
        <f t="shared" si="24"/>
        <v>0</v>
      </c>
    </row>
    <row r="1587" spans="1:6" x14ac:dyDescent="0.25">
      <c r="A1587" s="1">
        <v>43003</v>
      </c>
      <c r="B1587" s="2" t="s">
        <v>234</v>
      </c>
      <c r="C1587" s="2" t="s">
        <v>227</v>
      </c>
      <c r="D1587">
        <v>11</v>
      </c>
      <c r="E1587">
        <f>WEEKDAY(makulatura5[[#This Row],[Data_dostarczenia]],2)</f>
        <v>1</v>
      </c>
      <c r="F1587" s="2">
        <f t="shared" si="24"/>
        <v>1</v>
      </c>
    </row>
    <row r="1588" spans="1:6" x14ac:dyDescent="0.25">
      <c r="A1588" s="1">
        <v>43004</v>
      </c>
      <c r="B1588" s="2" t="s">
        <v>310</v>
      </c>
      <c r="C1588" s="2" t="s">
        <v>641</v>
      </c>
      <c r="D1588">
        <v>33</v>
      </c>
      <c r="E1588">
        <f>WEEKDAY(makulatura5[[#This Row],[Data_dostarczenia]],2)</f>
        <v>2</v>
      </c>
      <c r="F1588" s="2">
        <f t="shared" si="24"/>
        <v>0</v>
      </c>
    </row>
    <row r="1589" spans="1:6" x14ac:dyDescent="0.25">
      <c r="A1589" s="1">
        <v>43004</v>
      </c>
      <c r="B1589" s="2" t="s">
        <v>57</v>
      </c>
      <c r="C1589" s="2" t="s">
        <v>399</v>
      </c>
      <c r="D1589">
        <v>5</v>
      </c>
      <c r="E1589">
        <f>WEEKDAY(makulatura5[[#This Row],[Data_dostarczenia]],2)</f>
        <v>2</v>
      </c>
      <c r="F1589" s="2">
        <f t="shared" si="24"/>
        <v>0</v>
      </c>
    </row>
    <row r="1590" spans="1:6" x14ac:dyDescent="0.25">
      <c r="A1590" s="1">
        <v>43004</v>
      </c>
      <c r="B1590" s="2" t="s">
        <v>195</v>
      </c>
      <c r="C1590" s="2" t="s">
        <v>196</v>
      </c>
      <c r="D1590">
        <v>25</v>
      </c>
      <c r="E1590">
        <f>WEEKDAY(makulatura5[[#This Row],[Data_dostarczenia]],2)</f>
        <v>2</v>
      </c>
      <c r="F1590" s="2">
        <f t="shared" si="24"/>
        <v>0</v>
      </c>
    </row>
    <row r="1591" spans="1:6" x14ac:dyDescent="0.25">
      <c r="A1591" s="1">
        <v>43004</v>
      </c>
      <c r="B1591" s="2" t="s">
        <v>352</v>
      </c>
      <c r="C1591" s="2" t="s">
        <v>425</v>
      </c>
      <c r="D1591">
        <v>10</v>
      </c>
      <c r="E1591">
        <f>WEEKDAY(makulatura5[[#This Row],[Data_dostarczenia]],2)</f>
        <v>2</v>
      </c>
      <c r="F1591" s="2">
        <f t="shared" si="24"/>
        <v>0</v>
      </c>
    </row>
    <row r="1592" spans="1:6" x14ac:dyDescent="0.25">
      <c r="A1592" s="1">
        <v>43004</v>
      </c>
      <c r="B1592" s="2" t="s">
        <v>131</v>
      </c>
      <c r="C1592" s="2" t="s">
        <v>451</v>
      </c>
      <c r="D1592">
        <v>18</v>
      </c>
      <c r="E1592">
        <f>WEEKDAY(makulatura5[[#This Row],[Data_dostarczenia]],2)</f>
        <v>2</v>
      </c>
      <c r="F1592" s="2">
        <f t="shared" si="24"/>
        <v>0</v>
      </c>
    </row>
    <row r="1593" spans="1:6" x14ac:dyDescent="0.25">
      <c r="A1593" s="1">
        <v>43004</v>
      </c>
      <c r="B1593" s="2" t="s">
        <v>34</v>
      </c>
      <c r="C1593" s="2" t="s">
        <v>557</v>
      </c>
      <c r="D1593">
        <v>26</v>
      </c>
      <c r="E1593">
        <f>WEEKDAY(makulatura5[[#This Row],[Data_dostarczenia]],2)</f>
        <v>2</v>
      </c>
      <c r="F1593" s="2">
        <f t="shared" si="24"/>
        <v>0</v>
      </c>
    </row>
    <row r="1594" spans="1:6" x14ac:dyDescent="0.25">
      <c r="A1594" s="1">
        <v>43004</v>
      </c>
      <c r="B1594" s="2" t="s">
        <v>278</v>
      </c>
      <c r="C1594" s="2" t="s">
        <v>530</v>
      </c>
      <c r="D1594">
        <v>12</v>
      </c>
      <c r="E1594">
        <f>WEEKDAY(makulatura5[[#This Row],[Data_dostarczenia]],2)</f>
        <v>2</v>
      </c>
      <c r="F1594" s="2">
        <f t="shared" si="24"/>
        <v>0</v>
      </c>
    </row>
    <row r="1595" spans="1:6" x14ac:dyDescent="0.25">
      <c r="A1595" s="1">
        <v>43004</v>
      </c>
      <c r="B1595" s="2" t="s">
        <v>72</v>
      </c>
      <c r="C1595" s="2" t="s">
        <v>227</v>
      </c>
      <c r="D1595">
        <v>22</v>
      </c>
      <c r="E1595">
        <f>WEEKDAY(makulatura5[[#This Row],[Data_dostarczenia]],2)</f>
        <v>2</v>
      </c>
      <c r="F1595" s="2">
        <f t="shared" si="24"/>
        <v>1</v>
      </c>
    </row>
    <row r="1596" spans="1:6" x14ac:dyDescent="0.25">
      <c r="A1596" s="1">
        <v>43005</v>
      </c>
      <c r="B1596" s="2" t="s">
        <v>206</v>
      </c>
      <c r="C1596" s="2" t="s">
        <v>385</v>
      </c>
      <c r="D1596">
        <v>19</v>
      </c>
      <c r="E1596">
        <f>WEEKDAY(makulatura5[[#This Row],[Data_dostarczenia]],2)</f>
        <v>3</v>
      </c>
      <c r="F1596" s="2">
        <f t="shared" si="24"/>
        <v>0</v>
      </c>
    </row>
    <row r="1597" spans="1:6" x14ac:dyDescent="0.25">
      <c r="A1597" s="1">
        <v>43005</v>
      </c>
      <c r="B1597" s="2" t="s">
        <v>30</v>
      </c>
      <c r="C1597" s="2" t="s">
        <v>463</v>
      </c>
      <c r="D1597">
        <v>5</v>
      </c>
      <c r="E1597">
        <f>WEEKDAY(makulatura5[[#This Row],[Data_dostarczenia]],2)</f>
        <v>3</v>
      </c>
      <c r="F1597" s="2">
        <f t="shared" si="24"/>
        <v>0</v>
      </c>
    </row>
    <row r="1598" spans="1:6" x14ac:dyDescent="0.25">
      <c r="A1598" s="1">
        <v>43005</v>
      </c>
      <c r="B1598" s="2" t="s">
        <v>150</v>
      </c>
      <c r="C1598" s="2" t="s">
        <v>462</v>
      </c>
      <c r="D1598">
        <v>7</v>
      </c>
      <c r="E1598">
        <f>WEEKDAY(makulatura5[[#This Row],[Data_dostarczenia]],2)</f>
        <v>3</v>
      </c>
      <c r="F1598" s="2">
        <f t="shared" si="24"/>
        <v>0</v>
      </c>
    </row>
    <row r="1599" spans="1:6" x14ac:dyDescent="0.25">
      <c r="A1599" s="1">
        <v>43005</v>
      </c>
      <c r="B1599" s="2" t="s">
        <v>4</v>
      </c>
      <c r="C1599" s="2" t="s">
        <v>382</v>
      </c>
      <c r="D1599">
        <v>28</v>
      </c>
      <c r="E1599">
        <f>WEEKDAY(makulatura5[[#This Row],[Data_dostarczenia]],2)</f>
        <v>3</v>
      </c>
      <c r="F1599" s="2">
        <f t="shared" si="24"/>
        <v>0</v>
      </c>
    </row>
    <row r="1600" spans="1:6" x14ac:dyDescent="0.25">
      <c r="A1600" s="1">
        <v>43005</v>
      </c>
      <c r="B1600" s="2" t="s">
        <v>128</v>
      </c>
      <c r="C1600" s="2" t="s">
        <v>677</v>
      </c>
      <c r="D1600">
        <v>53</v>
      </c>
      <c r="E1600">
        <f>WEEKDAY(makulatura5[[#This Row],[Data_dostarczenia]],2)</f>
        <v>3</v>
      </c>
      <c r="F1600" s="2">
        <f t="shared" si="24"/>
        <v>0</v>
      </c>
    </row>
    <row r="1601" spans="1:6" x14ac:dyDescent="0.25">
      <c r="A1601" s="1">
        <v>43005</v>
      </c>
      <c r="B1601" s="2" t="s">
        <v>147</v>
      </c>
      <c r="C1601" s="2" t="s">
        <v>578</v>
      </c>
      <c r="D1601">
        <v>28</v>
      </c>
      <c r="E1601">
        <f>WEEKDAY(makulatura5[[#This Row],[Data_dostarczenia]],2)</f>
        <v>3</v>
      </c>
      <c r="F1601" s="2">
        <f t="shared" si="24"/>
        <v>0</v>
      </c>
    </row>
    <row r="1602" spans="1:6" x14ac:dyDescent="0.25">
      <c r="A1602" s="1">
        <v>43005</v>
      </c>
      <c r="B1602" s="2" t="s">
        <v>494</v>
      </c>
      <c r="C1602" s="2" t="s">
        <v>495</v>
      </c>
      <c r="D1602">
        <v>17</v>
      </c>
      <c r="E1602">
        <f>WEEKDAY(makulatura5[[#This Row],[Data_dostarczenia]],2)</f>
        <v>3</v>
      </c>
      <c r="F1602" s="2">
        <f t="shared" ref="F1602:F1665" si="25">IF(A1603=A1602,0,1)</f>
        <v>0</v>
      </c>
    </row>
    <row r="1603" spans="1:6" x14ac:dyDescent="0.25">
      <c r="A1603" s="1">
        <v>43005</v>
      </c>
      <c r="B1603" s="2" t="s">
        <v>141</v>
      </c>
      <c r="C1603" s="2" t="s">
        <v>435</v>
      </c>
      <c r="D1603">
        <v>20</v>
      </c>
      <c r="E1603">
        <f>WEEKDAY(makulatura5[[#This Row],[Data_dostarczenia]],2)</f>
        <v>3</v>
      </c>
      <c r="F1603" s="2">
        <f t="shared" si="25"/>
        <v>1</v>
      </c>
    </row>
    <row r="1604" spans="1:6" x14ac:dyDescent="0.25">
      <c r="A1604" s="1">
        <v>43006</v>
      </c>
      <c r="B1604" s="2" t="s">
        <v>57</v>
      </c>
      <c r="C1604" s="2" t="s">
        <v>418</v>
      </c>
      <c r="D1604">
        <v>50</v>
      </c>
      <c r="E1604">
        <f>WEEKDAY(makulatura5[[#This Row],[Data_dostarczenia]],2)</f>
        <v>4</v>
      </c>
      <c r="F1604" s="2">
        <f t="shared" si="25"/>
        <v>0</v>
      </c>
    </row>
    <row r="1605" spans="1:6" x14ac:dyDescent="0.25">
      <c r="A1605" s="1">
        <v>43006</v>
      </c>
      <c r="B1605" s="2" t="s">
        <v>137</v>
      </c>
      <c r="C1605" s="2" t="s">
        <v>138</v>
      </c>
      <c r="D1605">
        <v>15</v>
      </c>
      <c r="E1605">
        <f>WEEKDAY(makulatura5[[#This Row],[Data_dostarczenia]],2)</f>
        <v>4</v>
      </c>
      <c r="F1605" s="2">
        <f t="shared" si="25"/>
        <v>0</v>
      </c>
    </row>
    <row r="1606" spans="1:6" x14ac:dyDescent="0.25">
      <c r="A1606" s="1">
        <v>43006</v>
      </c>
      <c r="B1606" s="2" t="s">
        <v>81</v>
      </c>
      <c r="C1606" s="2" t="s">
        <v>145</v>
      </c>
      <c r="D1606">
        <v>27</v>
      </c>
      <c r="E1606">
        <f>WEEKDAY(makulatura5[[#This Row],[Data_dostarczenia]],2)</f>
        <v>4</v>
      </c>
      <c r="F1606" s="2">
        <f t="shared" si="25"/>
        <v>0</v>
      </c>
    </row>
    <row r="1607" spans="1:6" x14ac:dyDescent="0.25">
      <c r="A1607" s="1">
        <v>43006</v>
      </c>
      <c r="B1607" s="2" t="s">
        <v>97</v>
      </c>
      <c r="C1607" s="2" t="s">
        <v>188</v>
      </c>
      <c r="D1607">
        <v>2</v>
      </c>
      <c r="E1607">
        <f>WEEKDAY(makulatura5[[#This Row],[Data_dostarczenia]],2)</f>
        <v>4</v>
      </c>
      <c r="F1607" s="2">
        <f t="shared" si="25"/>
        <v>0</v>
      </c>
    </row>
    <row r="1608" spans="1:6" x14ac:dyDescent="0.25">
      <c r="A1608" s="1">
        <v>43006</v>
      </c>
      <c r="B1608" s="2" t="s">
        <v>119</v>
      </c>
      <c r="C1608" s="2" t="s">
        <v>120</v>
      </c>
      <c r="D1608">
        <v>17</v>
      </c>
      <c r="E1608">
        <f>WEEKDAY(makulatura5[[#This Row],[Data_dostarczenia]],2)</f>
        <v>4</v>
      </c>
      <c r="F1608" s="2">
        <f t="shared" si="25"/>
        <v>0</v>
      </c>
    </row>
    <row r="1609" spans="1:6" x14ac:dyDescent="0.25">
      <c r="A1609" s="1">
        <v>43006</v>
      </c>
      <c r="B1609" s="2" t="s">
        <v>453</v>
      </c>
      <c r="C1609" s="2" t="s">
        <v>454</v>
      </c>
      <c r="D1609">
        <v>53</v>
      </c>
      <c r="E1609">
        <f>WEEKDAY(makulatura5[[#This Row],[Data_dostarczenia]],2)</f>
        <v>4</v>
      </c>
      <c r="F1609" s="2">
        <f t="shared" si="25"/>
        <v>0</v>
      </c>
    </row>
    <row r="1610" spans="1:6" x14ac:dyDescent="0.25">
      <c r="A1610" s="1">
        <v>43006</v>
      </c>
      <c r="B1610" s="2" t="s">
        <v>83</v>
      </c>
      <c r="C1610" s="2" t="s">
        <v>646</v>
      </c>
      <c r="D1610">
        <v>30</v>
      </c>
      <c r="E1610">
        <f>WEEKDAY(makulatura5[[#This Row],[Data_dostarczenia]],2)</f>
        <v>4</v>
      </c>
      <c r="F1610" s="2">
        <f t="shared" si="25"/>
        <v>0</v>
      </c>
    </row>
    <row r="1611" spans="1:6" x14ac:dyDescent="0.25">
      <c r="A1611" s="1">
        <v>43006</v>
      </c>
      <c r="B1611" s="2" t="s">
        <v>193</v>
      </c>
      <c r="C1611" s="2" t="s">
        <v>483</v>
      </c>
      <c r="D1611">
        <v>7</v>
      </c>
      <c r="E1611">
        <f>WEEKDAY(makulatura5[[#This Row],[Data_dostarczenia]],2)</f>
        <v>4</v>
      </c>
      <c r="F1611" s="2">
        <f t="shared" si="25"/>
        <v>1</v>
      </c>
    </row>
    <row r="1612" spans="1:6" x14ac:dyDescent="0.25">
      <c r="A1612" s="1">
        <v>43007</v>
      </c>
      <c r="B1612" s="2" t="s">
        <v>83</v>
      </c>
      <c r="C1612" s="2" t="s">
        <v>350</v>
      </c>
      <c r="D1612">
        <v>15</v>
      </c>
      <c r="E1612">
        <f>WEEKDAY(makulatura5[[#This Row],[Data_dostarczenia]],2)</f>
        <v>5</v>
      </c>
      <c r="F1612" s="2">
        <f t="shared" si="25"/>
        <v>0</v>
      </c>
    </row>
    <row r="1613" spans="1:6" x14ac:dyDescent="0.25">
      <c r="A1613" s="1">
        <v>43007</v>
      </c>
      <c r="B1613" s="2" t="s">
        <v>152</v>
      </c>
      <c r="C1613" s="2" t="s">
        <v>511</v>
      </c>
      <c r="D1613">
        <v>55</v>
      </c>
      <c r="E1613">
        <f>WEEKDAY(makulatura5[[#This Row],[Data_dostarczenia]],2)</f>
        <v>5</v>
      </c>
      <c r="F1613" s="2">
        <f t="shared" si="25"/>
        <v>0</v>
      </c>
    </row>
    <row r="1614" spans="1:6" x14ac:dyDescent="0.25">
      <c r="A1614" s="1">
        <v>43007</v>
      </c>
      <c r="B1614" s="2" t="s">
        <v>494</v>
      </c>
      <c r="C1614" s="2" t="s">
        <v>495</v>
      </c>
      <c r="D1614">
        <v>39</v>
      </c>
      <c r="E1614">
        <f>WEEKDAY(makulatura5[[#This Row],[Data_dostarczenia]],2)</f>
        <v>5</v>
      </c>
      <c r="F1614" s="2">
        <f t="shared" si="25"/>
        <v>0</v>
      </c>
    </row>
    <row r="1615" spans="1:6" x14ac:dyDescent="0.25">
      <c r="A1615" s="1">
        <v>43007</v>
      </c>
      <c r="B1615" s="2" t="s">
        <v>150</v>
      </c>
      <c r="C1615" s="2" t="s">
        <v>297</v>
      </c>
      <c r="D1615">
        <v>18</v>
      </c>
      <c r="E1615">
        <f>WEEKDAY(makulatura5[[#This Row],[Data_dostarczenia]],2)</f>
        <v>5</v>
      </c>
      <c r="F1615" s="2">
        <f t="shared" si="25"/>
        <v>0</v>
      </c>
    </row>
    <row r="1616" spans="1:6" x14ac:dyDescent="0.25">
      <c r="A1616" s="1">
        <v>43007</v>
      </c>
      <c r="B1616" s="2" t="s">
        <v>23</v>
      </c>
      <c r="C1616" s="2" t="s">
        <v>592</v>
      </c>
      <c r="D1616">
        <v>9</v>
      </c>
      <c r="E1616">
        <f>WEEKDAY(makulatura5[[#This Row],[Data_dostarczenia]],2)</f>
        <v>5</v>
      </c>
      <c r="F1616" s="2">
        <f t="shared" si="25"/>
        <v>0</v>
      </c>
    </row>
    <row r="1617" spans="1:6" x14ac:dyDescent="0.25">
      <c r="A1617" s="1">
        <v>43007</v>
      </c>
      <c r="B1617" s="2" t="s">
        <v>395</v>
      </c>
      <c r="C1617" s="2" t="s">
        <v>678</v>
      </c>
      <c r="D1617">
        <v>55</v>
      </c>
      <c r="E1617">
        <f>WEEKDAY(makulatura5[[#This Row],[Data_dostarczenia]],2)</f>
        <v>5</v>
      </c>
      <c r="F1617" s="2">
        <f t="shared" si="25"/>
        <v>0</v>
      </c>
    </row>
    <row r="1618" spans="1:6" x14ac:dyDescent="0.25">
      <c r="A1618" s="1">
        <v>43007</v>
      </c>
      <c r="B1618" s="2" t="s">
        <v>278</v>
      </c>
      <c r="C1618" s="2" t="s">
        <v>530</v>
      </c>
      <c r="D1618">
        <v>24</v>
      </c>
      <c r="E1618">
        <f>WEEKDAY(makulatura5[[#This Row],[Data_dostarczenia]],2)</f>
        <v>5</v>
      </c>
      <c r="F1618" s="2">
        <f t="shared" si="25"/>
        <v>0</v>
      </c>
    </row>
    <row r="1619" spans="1:6" x14ac:dyDescent="0.25">
      <c r="A1619" s="1">
        <v>43007</v>
      </c>
      <c r="B1619" s="2" t="s">
        <v>278</v>
      </c>
      <c r="C1619" s="2" t="s">
        <v>202</v>
      </c>
      <c r="D1619">
        <v>52</v>
      </c>
      <c r="E1619">
        <f>WEEKDAY(makulatura5[[#This Row],[Data_dostarczenia]],2)</f>
        <v>5</v>
      </c>
      <c r="F1619" s="2">
        <f t="shared" si="25"/>
        <v>1</v>
      </c>
    </row>
    <row r="1620" spans="1:6" x14ac:dyDescent="0.25">
      <c r="A1620" s="1">
        <v>43010</v>
      </c>
      <c r="B1620" s="2" t="s">
        <v>395</v>
      </c>
      <c r="C1620" s="2" t="s">
        <v>461</v>
      </c>
      <c r="D1620">
        <v>42</v>
      </c>
      <c r="E1620">
        <f>WEEKDAY(makulatura5[[#This Row],[Data_dostarczenia]],2)</f>
        <v>1</v>
      </c>
      <c r="F1620" s="2">
        <f t="shared" si="25"/>
        <v>0</v>
      </c>
    </row>
    <row r="1621" spans="1:6" x14ac:dyDescent="0.25">
      <c r="A1621" s="1">
        <v>43010</v>
      </c>
      <c r="B1621" s="2" t="s">
        <v>314</v>
      </c>
      <c r="C1621" s="2" t="s">
        <v>450</v>
      </c>
      <c r="D1621">
        <v>16</v>
      </c>
      <c r="E1621">
        <f>WEEKDAY(makulatura5[[#This Row],[Data_dostarczenia]],2)</f>
        <v>1</v>
      </c>
      <c r="F1621" s="2">
        <f t="shared" si="25"/>
        <v>0</v>
      </c>
    </row>
    <row r="1622" spans="1:6" x14ac:dyDescent="0.25">
      <c r="A1622" s="1">
        <v>43010</v>
      </c>
      <c r="B1622" s="2" t="s">
        <v>34</v>
      </c>
      <c r="C1622" s="2" t="s">
        <v>679</v>
      </c>
      <c r="D1622">
        <v>43</v>
      </c>
      <c r="E1622">
        <f>WEEKDAY(makulatura5[[#This Row],[Data_dostarczenia]],2)</f>
        <v>1</v>
      </c>
      <c r="F1622" s="2">
        <f t="shared" si="25"/>
        <v>0</v>
      </c>
    </row>
    <row r="1623" spans="1:6" x14ac:dyDescent="0.25">
      <c r="A1623" s="1">
        <v>43010</v>
      </c>
      <c r="B1623" s="2" t="s">
        <v>23</v>
      </c>
      <c r="C1623" s="2" t="s">
        <v>163</v>
      </c>
      <c r="D1623">
        <v>55</v>
      </c>
      <c r="E1623">
        <f>WEEKDAY(makulatura5[[#This Row],[Data_dostarczenia]],2)</f>
        <v>1</v>
      </c>
      <c r="F1623" s="2">
        <f t="shared" si="25"/>
        <v>0</v>
      </c>
    </row>
    <row r="1624" spans="1:6" x14ac:dyDescent="0.25">
      <c r="A1624" s="1">
        <v>43010</v>
      </c>
      <c r="B1624" s="2" t="s">
        <v>206</v>
      </c>
      <c r="C1624" s="2" t="s">
        <v>296</v>
      </c>
      <c r="D1624">
        <v>45</v>
      </c>
      <c r="E1624">
        <f>WEEKDAY(makulatura5[[#This Row],[Data_dostarczenia]],2)</f>
        <v>1</v>
      </c>
      <c r="F1624" s="2">
        <f t="shared" si="25"/>
        <v>0</v>
      </c>
    </row>
    <row r="1625" spans="1:6" x14ac:dyDescent="0.25">
      <c r="A1625" s="1">
        <v>43010</v>
      </c>
      <c r="B1625" s="2" t="s">
        <v>307</v>
      </c>
      <c r="C1625" s="2" t="s">
        <v>308</v>
      </c>
      <c r="D1625">
        <v>25</v>
      </c>
      <c r="E1625">
        <f>WEEKDAY(makulatura5[[#This Row],[Data_dostarczenia]],2)</f>
        <v>1</v>
      </c>
      <c r="F1625" s="2">
        <f t="shared" si="25"/>
        <v>1</v>
      </c>
    </row>
    <row r="1626" spans="1:6" x14ac:dyDescent="0.25">
      <c r="A1626" s="1">
        <v>43011</v>
      </c>
      <c r="B1626" s="2" t="s">
        <v>133</v>
      </c>
      <c r="C1626" s="2" t="s">
        <v>499</v>
      </c>
      <c r="D1626">
        <v>28</v>
      </c>
      <c r="E1626">
        <f>WEEKDAY(makulatura5[[#This Row],[Data_dostarczenia]],2)</f>
        <v>2</v>
      </c>
      <c r="F1626" s="2">
        <f t="shared" si="25"/>
        <v>0</v>
      </c>
    </row>
    <row r="1627" spans="1:6" x14ac:dyDescent="0.25">
      <c r="A1627" s="1">
        <v>43011</v>
      </c>
      <c r="B1627" s="2" t="s">
        <v>372</v>
      </c>
      <c r="C1627" s="2" t="s">
        <v>373</v>
      </c>
      <c r="D1627">
        <v>14</v>
      </c>
      <c r="E1627">
        <f>WEEKDAY(makulatura5[[#This Row],[Data_dostarczenia]],2)</f>
        <v>2</v>
      </c>
      <c r="F1627" s="2">
        <f t="shared" si="25"/>
        <v>0</v>
      </c>
    </row>
    <row r="1628" spans="1:6" x14ac:dyDescent="0.25">
      <c r="A1628" s="1">
        <v>43011</v>
      </c>
      <c r="B1628" s="2" t="s">
        <v>252</v>
      </c>
      <c r="C1628" s="2" t="s">
        <v>288</v>
      </c>
      <c r="D1628">
        <v>26</v>
      </c>
      <c r="E1628">
        <f>WEEKDAY(makulatura5[[#This Row],[Data_dostarczenia]],2)</f>
        <v>2</v>
      </c>
      <c r="F1628" s="2">
        <f t="shared" si="25"/>
        <v>0</v>
      </c>
    </row>
    <row r="1629" spans="1:6" x14ac:dyDescent="0.25">
      <c r="A1629" s="1">
        <v>43011</v>
      </c>
      <c r="B1629" s="2" t="s">
        <v>41</v>
      </c>
      <c r="C1629" s="2" t="s">
        <v>238</v>
      </c>
      <c r="D1629">
        <v>21</v>
      </c>
      <c r="E1629">
        <f>WEEKDAY(makulatura5[[#This Row],[Data_dostarczenia]],2)</f>
        <v>2</v>
      </c>
      <c r="F1629" s="2">
        <f t="shared" si="25"/>
        <v>0</v>
      </c>
    </row>
    <row r="1630" spans="1:6" x14ac:dyDescent="0.25">
      <c r="A1630" s="1">
        <v>43011</v>
      </c>
      <c r="B1630" s="2" t="s">
        <v>36</v>
      </c>
      <c r="C1630" s="2" t="s">
        <v>404</v>
      </c>
      <c r="D1630">
        <v>14</v>
      </c>
      <c r="E1630">
        <f>WEEKDAY(makulatura5[[#This Row],[Data_dostarczenia]],2)</f>
        <v>2</v>
      </c>
      <c r="F1630" s="2">
        <f t="shared" si="25"/>
        <v>0</v>
      </c>
    </row>
    <row r="1631" spans="1:6" x14ac:dyDescent="0.25">
      <c r="A1631" s="1">
        <v>43011</v>
      </c>
      <c r="B1631" s="2" t="s">
        <v>59</v>
      </c>
      <c r="C1631" s="2" t="s">
        <v>60</v>
      </c>
      <c r="D1631">
        <v>36</v>
      </c>
      <c r="E1631">
        <f>WEEKDAY(makulatura5[[#This Row],[Data_dostarczenia]],2)</f>
        <v>2</v>
      </c>
      <c r="F1631" s="2">
        <f t="shared" si="25"/>
        <v>1</v>
      </c>
    </row>
    <row r="1632" spans="1:6" x14ac:dyDescent="0.25">
      <c r="A1632" s="1">
        <v>43012</v>
      </c>
      <c r="B1632" s="2" t="s">
        <v>43</v>
      </c>
      <c r="C1632" s="2" t="s">
        <v>124</v>
      </c>
      <c r="D1632">
        <v>3</v>
      </c>
      <c r="E1632">
        <f>WEEKDAY(makulatura5[[#This Row],[Data_dostarczenia]],2)</f>
        <v>3</v>
      </c>
      <c r="F1632" s="2">
        <f t="shared" si="25"/>
        <v>0</v>
      </c>
    </row>
    <row r="1633" spans="1:6" x14ac:dyDescent="0.25">
      <c r="A1633" s="1">
        <v>43012</v>
      </c>
      <c r="B1633" s="2" t="s">
        <v>453</v>
      </c>
      <c r="C1633" s="2" t="s">
        <v>454</v>
      </c>
      <c r="D1633">
        <v>11</v>
      </c>
      <c r="E1633">
        <f>WEEKDAY(makulatura5[[#This Row],[Data_dostarczenia]],2)</f>
        <v>3</v>
      </c>
      <c r="F1633" s="2">
        <f t="shared" si="25"/>
        <v>0</v>
      </c>
    </row>
    <row r="1634" spans="1:6" x14ac:dyDescent="0.25">
      <c r="A1634" s="1">
        <v>43012</v>
      </c>
      <c r="B1634" s="2" t="s">
        <v>147</v>
      </c>
      <c r="C1634" s="2" t="s">
        <v>148</v>
      </c>
      <c r="D1634">
        <v>49</v>
      </c>
      <c r="E1634">
        <f>WEEKDAY(makulatura5[[#This Row],[Data_dostarczenia]],2)</f>
        <v>3</v>
      </c>
      <c r="F1634" s="2">
        <f t="shared" si="25"/>
        <v>0</v>
      </c>
    </row>
    <row r="1635" spans="1:6" x14ac:dyDescent="0.25">
      <c r="A1635" s="1">
        <v>43012</v>
      </c>
      <c r="B1635" s="2" t="s">
        <v>339</v>
      </c>
      <c r="C1635" s="2" t="s">
        <v>565</v>
      </c>
      <c r="D1635">
        <v>16</v>
      </c>
      <c r="E1635">
        <f>WEEKDAY(makulatura5[[#This Row],[Data_dostarczenia]],2)</f>
        <v>3</v>
      </c>
      <c r="F1635" s="2">
        <f t="shared" si="25"/>
        <v>0</v>
      </c>
    </row>
    <row r="1636" spans="1:6" x14ac:dyDescent="0.25">
      <c r="A1636" s="1">
        <v>43012</v>
      </c>
      <c r="B1636" s="2" t="s">
        <v>43</v>
      </c>
      <c r="C1636" s="2" t="s">
        <v>569</v>
      </c>
      <c r="D1636">
        <v>26</v>
      </c>
      <c r="E1636">
        <f>WEEKDAY(makulatura5[[#This Row],[Data_dostarczenia]],2)</f>
        <v>3</v>
      </c>
      <c r="F1636" s="2">
        <f t="shared" si="25"/>
        <v>0</v>
      </c>
    </row>
    <row r="1637" spans="1:6" x14ac:dyDescent="0.25">
      <c r="A1637" s="1">
        <v>43012</v>
      </c>
      <c r="B1637" s="2" t="s">
        <v>36</v>
      </c>
      <c r="C1637" s="2" t="s">
        <v>229</v>
      </c>
      <c r="D1637">
        <v>50</v>
      </c>
      <c r="E1637">
        <f>WEEKDAY(makulatura5[[#This Row],[Data_dostarczenia]],2)</f>
        <v>3</v>
      </c>
      <c r="F1637" s="2">
        <f t="shared" si="25"/>
        <v>1</v>
      </c>
    </row>
    <row r="1638" spans="1:6" x14ac:dyDescent="0.25">
      <c r="A1638" s="1">
        <v>43013</v>
      </c>
      <c r="B1638" s="2" t="s">
        <v>155</v>
      </c>
      <c r="C1638" s="2" t="s">
        <v>414</v>
      </c>
      <c r="D1638">
        <v>19</v>
      </c>
      <c r="E1638">
        <f>WEEKDAY(makulatura5[[#This Row],[Data_dostarczenia]],2)</f>
        <v>4</v>
      </c>
      <c r="F1638" s="2">
        <f t="shared" si="25"/>
        <v>0</v>
      </c>
    </row>
    <row r="1639" spans="1:6" x14ac:dyDescent="0.25">
      <c r="A1639" s="1">
        <v>43013</v>
      </c>
      <c r="B1639" s="2" t="s">
        <v>161</v>
      </c>
      <c r="C1639" s="2" t="s">
        <v>214</v>
      </c>
      <c r="D1639">
        <v>27</v>
      </c>
      <c r="E1639">
        <f>WEEKDAY(makulatura5[[#This Row],[Data_dostarczenia]],2)</f>
        <v>4</v>
      </c>
      <c r="F1639" s="2">
        <f t="shared" si="25"/>
        <v>0</v>
      </c>
    </row>
    <row r="1640" spans="1:6" x14ac:dyDescent="0.25">
      <c r="A1640" s="1">
        <v>43013</v>
      </c>
      <c r="B1640" s="2" t="s">
        <v>150</v>
      </c>
      <c r="C1640" s="2" t="s">
        <v>151</v>
      </c>
      <c r="D1640">
        <v>2</v>
      </c>
      <c r="E1640">
        <f>WEEKDAY(makulatura5[[#This Row],[Data_dostarczenia]],2)</f>
        <v>4</v>
      </c>
      <c r="F1640" s="2">
        <f t="shared" si="25"/>
        <v>0</v>
      </c>
    </row>
    <row r="1641" spans="1:6" x14ac:dyDescent="0.25">
      <c r="A1641" s="1">
        <v>43013</v>
      </c>
      <c r="B1641" s="2" t="s">
        <v>514</v>
      </c>
      <c r="C1641" s="2" t="s">
        <v>515</v>
      </c>
      <c r="D1641">
        <v>15</v>
      </c>
      <c r="E1641">
        <f>WEEKDAY(makulatura5[[#This Row],[Data_dostarczenia]],2)</f>
        <v>4</v>
      </c>
      <c r="F1641" s="2">
        <f t="shared" si="25"/>
        <v>0</v>
      </c>
    </row>
    <row r="1642" spans="1:6" x14ac:dyDescent="0.25">
      <c r="A1642" s="1">
        <v>43013</v>
      </c>
      <c r="B1642" s="2" t="s">
        <v>83</v>
      </c>
      <c r="C1642" s="2" t="s">
        <v>91</v>
      </c>
      <c r="D1642">
        <v>3</v>
      </c>
      <c r="E1642">
        <f>WEEKDAY(makulatura5[[#This Row],[Data_dostarczenia]],2)</f>
        <v>4</v>
      </c>
      <c r="F1642" s="2">
        <f t="shared" si="25"/>
        <v>0</v>
      </c>
    </row>
    <row r="1643" spans="1:6" x14ac:dyDescent="0.25">
      <c r="A1643" s="1">
        <v>43013</v>
      </c>
      <c r="B1643" s="2" t="s">
        <v>161</v>
      </c>
      <c r="C1643" s="2" t="s">
        <v>305</v>
      </c>
      <c r="D1643">
        <v>56</v>
      </c>
      <c r="E1643">
        <f>WEEKDAY(makulatura5[[#This Row],[Data_dostarczenia]],2)</f>
        <v>4</v>
      </c>
      <c r="F1643" s="2">
        <f t="shared" si="25"/>
        <v>1</v>
      </c>
    </row>
    <row r="1644" spans="1:6" x14ac:dyDescent="0.25">
      <c r="A1644" s="1">
        <v>43014</v>
      </c>
      <c r="B1644" s="2" t="s">
        <v>32</v>
      </c>
      <c r="C1644" s="2" t="s">
        <v>276</v>
      </c>
      <c r="D1644">
        <v>36</v>
      </c>
      <c r="E1644">
        <f>WEEKDAY(makulatura5[[#This Row],[Data_dostarczenia]],2)</f>
        <v>5</v>
      </c>
      <c r="F1644" s="2">
        <f t="shared" si="25"/>
        <v>0</v>
      </c>
    </row>
    <row r="1645" spans="1:6" x14ac:dyDescent="0.25">
      <c r="A1645" s="1">
        <v>43014</v>
      </c>
      <c r="B1645" s="2" t="s">
        <v>361</v>
      </c>
      <c r="C1645" s="2" t="s">
        <v>424</v>
      </c>
      <c r="D1645">
        <v>32</v>
      </c>
      <c r="E1645">
        <f>WEEKDAY(makulatura5[[#This Row],[Data_dostarczenia]],2)</f>
        <v>5</v>
      </c>
      <c r="F1645" s="2">
        <f t="shared" si="25"/>
        <v>0</v>
      </c>
    </row>
    <row r="1646" spans="1:6" x14ac:dyDescent="0.25">
      <c r="A1646" s="1">
        <v>43014</v>
      </c>
      <c r="B1646" s="2" t="s">
        <v>280</v>
      </c>
      <c r="C1646" s="2" t="s">
        <v>466</v>
      </c>
      <c r="D1646">
        <v>50</v>
      </c>
      <c r="E1646">
        <f>WEEKDAY(makulatura5[[#This Row],[Data_dostarczenia]],2)</f>
        <v>5</v>
      </c>
      <c r="F1646" s="2">
        <f t="shared" si="25"/>
        <v>0</v>
      </c>
    </row>
    <row r="1647" spans="1:6" x14ac:dyDescent="0.25">
      <c r="A1647" s="1">
        <v>43014</v>
      </c>
      <c r="B1647" s="2" t="s">
        <v>331</v>
      </c>
      <c r="C1647" s="2" t="s">
        <v>26</v>
      </c>
      <c r="D1647">
        <v>26</v>
      </c>
      <c r="E1647">
        <f>WEEKDAY(makulatura5[[#This Row],[Data_dostarczenia]],2)</f>
        <v>5</v>
      </c>
      <c r="F1647" s="2">
        <f t="shared" si="25"/>
        <v>0</v>
      </c>
    </row>
    <row r="1648" spans="1:6" x14ac:dyDescent="0.25">
      <c r="A1648" s="1">
        <v>43014</v>
      </c>
      <c r="B1648" s="2" t="s">
        <v>30</v>
      </c>
      <c r="C1648" s="2" t="s">
        <v>680</v>
      </c>
      <c r="D1648">
        <v>13</v>
      </c>
      <c r="E1648">
        <f>WEEKDAY(makulatura5[[#This Row],[Data_dostarczenia]],2)</f>
        <v>5</v>
      </c>
      <c r="F1648" s="2">
        <f t="shared" si="25"/>
        <v>0</v>
      </c>
    </row>
    <row r="1649" spans="1:6" x14ac:dyDescent="0.25">
      <c r="A1649" s="1">
        <v>43014</v>
      </c>
      <c r="B1649" s="2" t="s">
        <v>41</v>
      </c>
      <c r="C1649" s="2" t="s">
        <v>614</v>
      </c>
      <c r="D1649">
        <v>2</v>
      </c>
      <c r="E1649">
        <f>WEEKDAY(makulatura5[[#This Row],[Data_dostarczenia]],2)</f>
        <v>5</v>
      </c>
      <c r="F1649" s="2">
        <f t="shared" si="25"/>
        <v>1</v>
      </c>
    </row>
    <row r="1650" spans="1:6" x14ac:dyDescent="0.25">
      <c r="A1650" s="1">
        <v>43017</v>
      </c>
      <c r="B1650" s="2" t="s">
        <v>106</v>
      </c>
      <c r="C1650" s="2" t="s">
        <v>107</v>
      </c>
      <c r="D1650">
        <v>11</v>
      </c>
      <c r="E1650">
        <f>WEEKDAY(makulatura5[[#This Row],[Data_dostarczenia]],2)</f>
        <v>1</v>
      </c>
      <c r="F1650" s="2">
        <f t="shared" si="25"/>
        <v>0</v>
      </c>
    </row>
    <row r="1651" spans="1:6" x14ac:dyDescent="0.25">
      <c r="A1651" s="1">
        <v>43017</v>
      </c>
      <c r="B1651" s="2" t="s">
        <v>83</v>
      </c>
      <c r="C1651" s="2" t="s">
        <v>615</v>
      </c>
      <c r="D1651">
        <v>19</v>
      </c>
      <c r="E1651">
        <f>WEEKDAY(makulatura5[[#This Row],[Data_dostarczenia]],2)</f>
        <v>1</v>
      </c>
      <c r="F1651" s="2">
        <f t="shared" si="25"/>
        <v>0</v>
      </c>
    </row>
    <row r="1652" spans="1:6" x14ac:dyDescent="0.25">
      <c r="A1652" s="1">
        <v>43017</v>
      </c>
      <c r="B1652" s="2" t="s">
        <v>359</v>
      </c>
      <c r="C1652" s="2" t="s">
        <v>360</v>
      </c>
      <c r="D1652">
        <v>23</v>
      </c>
      <c r="E1652">
        <f>WEEKDAY(makulatura5[[#This Row],[Data_dostarczenia]],2)</f>
        <v>1</v>
      </c>
      <c r="F1652" s="2">
        <f t="shared" si="25"/>
        <v>0</v>
      </c>
    </row>
    <row r="1653" spans="1:6" x14ac:dyDescent="0.25">
      <c r="A1653" s="1">
        <v>43017</v>
      </c>
      <c r="B1653" s="2" t="s">
        <v>69</v>
      </c>
      <c r="C1653" s="2" t="s">
        <v>200</v>
      </c>
      <c r="D1653">
        <v>22</v>
      </c>
      <c r="E1653">
        <f>WEEKDAY(makulatura5[[#This Row],[Data_dostarczenia]],2)</f>
        <v>1</v>
      </c>
      <c r="F1653" s="2">
        <f t="shared" si="25"/>
        <v>0</v>
      </c>
    </row>
    <row r="1654" spans="1:6" x14ac:dyDescent="0.25">
      <c r="A1654" s="1">
        <v>43017</v>
      </c>
      <c r="B1654" s="2" t="s">
        <v>95</v>
      </c>
      <c r="C1654" s="2" t="s">
        <v>426</v>
      </c>
      <c r="D1654">
        <v>19</v>
      </c>
      <c r="E1654">
        <f>WEEKDAY(makulatura5[[#This Row],[Data_dostarczenia]],2)</f>
        <v>1</v>
      </c>
      <c r="F1654" s="2">
        <f t="shared" si="25"/>
        <v>0</v>
      </c>
    </row>
    <row r="1655" spans="1:6" x14ac:dyDescent="0.25">
      <c r="A1655" s="1">
        <v>43017</v>
      </c>
      <c r="B1655" s="2" t="s">
        <v>83</v>
      </c>
      <c r="C1655" s="2" t="s">
        <v>637</v>
      </c>
      <c r="D1655">
        <v>5</v>
      </c>
      <c r="E1655">
        <f>WEEKDAY(makulatura5[[#This Row],[Data_dostarczenia]],2)</f>
        <v>1</v>
      </c>
      <c r="F1655" s="2">
        <f t="shared" si="25"/>
        <v>1</v>
      </c>
    </row>
    <row r="1656" spans="1:6" x14ac:dyDescent="0.25">
      <c r="A1656" s="1">
        <v>43018</v>
      </c>
      <c r="B1656" s="2" t="s">
        <v>206</v>
      </c>
      <c r="C1656" s="2" t="s">
        <v>332</v>
      </c>
      <c r="D1656">
        <v>10</v>
      </c>
      <c r="E1656">
        <f>WEEKDAY(makulatura5[[#This Row],[Data_dostarczenia]],2)</f>
        <v>2</v>
      </c>
      <c r="F1656" s="2">
        <f t="shared" si="25"/>
        <v>0</v>
      </c>
    </row>
    <row r="1657" spans="1:6" x14ac:dyDescent="0.25">
      <c r="A1657" s="1">
        <v>43018</v>
      </c>
      <c r="B1657" s="2" t="s">
        <v>150</v>
      </c>
      <c r="C1657" s="2" t="s">
        <v>298</v>
      </c>
      <c r="D1657">
        <v>13</v>
      </c>
      <c r="E1657">
        <f>WEEKDAY(makulatura5[[#This Row],[Data_dostarczenia]],2)</f>
        <v>2</v>
      </c>
      <c r="F1657" s="2">
        <f t="shared" si="25"/>
        <v>0</v>
      </c>
    </row>
    <row r="1658" spans="1:6" x14ac:dyDescent="0.25">
      <c r="A1658" s="1">
        <v>43018</v>
      </c>
      <c r="B1658" s="2" t="s">
        <v>339</v>
      </c>
      <c r="C1658" s="2" t="s">
        <v>565</v>
      </c>
      <c r="D1658">
        <v>12</v>
      </c>
      <c r="E1658">
        <f>WEEKDAY(makulatura5[[#This Row],[Data_dostarczenia]],2)</f>
        <v>2</v>
      </c>
      <c r="F1658" s="2">
        <f t="shared" si="25"/>
        <v>0</v>
      </c>
    </row>
    <row r="1659" spans="1:6" x14ac:dyDescent="0.25">
      <c r="A1659" s="1">
        <v>43018</v>
      </c>
      <c r="B1659" s="2" t="s">
        <v>81</v>
      </c>
      <c r="C1659" s="2" t="s">
        <v>584</v>
      </c>
      <c r="D1659">
        <v>25</v>
      </c>
      <c r="E1659">
        <f>WEEKDAY(makulatura5[[#This Row],[Data_dostarczenia]],2)</f>
        <v>2</v>
      </c>
      <c r="F1659" s="2">
        <f t="shared" si="25"/>
        <v>0</v>
      </c>
    </row>
    <row r="1660" spans="1:6" x14ac:dyDescent="0.25">
      <c r="A1660" s="1">
        <v>43018</v>
      </c>
      <c r="B1660" s="2" t="s">
        <v>55</v>
      </c>
      <c r="C1660" s="2" t="s">
        <v>223</v>
      </c>
      <c r="D1660">
        <v>25</v>
      </c>
      <c r="E1660">
        <f>WEEKDAY(makulatura5[[#This Row],[Data_dostarczenia]],2)</f>
        <v>2</v>
      </c>
      <c r="F1660" s="2">
        <f t="shared" si="25"/>
        <v>0</v>
      </c>
    </row>
    <row r="1661" spans="1:6" x14ac:dyDescent="0.25">
      <c r="A1661" s="1">
        <v>43018</v>
      </c>
      <c r="B1661" s="2" t="s">
        <v>282</v>
      </c>
      <c r="C1661" s="2" t="s">
        <v>283</v>
      </c>
      <c r="D1661">
        <v>9</v>
      </c>
      <c r="E1661">
        <f>WEEKDAY(makulatura5[[#This Row],[Data_dostarczenia]],2)</f>
        <v>2</v>
      </c>
      <c r="F1661" s="2">
        <f t="shared" si="25"/>
        <v>1</v>
      </c>
    </row>
    <row r="1662" spans="1:6" x14ac:dyDescent="0.25">
      <c r="A1662" s="1">
        <v>43019</v>
      </c>
      <c r="B1662" s="2" t="s">
        <v>81</v>
      </c>
      <c r="C1662" s="2" t="s">
        <v>104</v>
      </c>
      <c r="D1662">
        <v>17</v>
      </c>
      <c r="E1662">
        <f>WEEKDAY(makulatura5[[#This Row],[Data_dostarczenia]],2)</f>
        <v>3</v>
      </c>
      <c r="F1662" s="2">
        <f t="shared" si="25"/>
        <v>0</v>
      </c>
    </row>
    <row r="1663" spans="1:6" x14ac:dyDescent="0.25">
      <c r="A1663" s="1">
        <v>43019</v>
      </c>
      <c r="B1663" s="2" t="s">
        <v>681</v>
      </c>
      <c r="C1663" s="2" t="s">
        <v>682</v>
      </c>
      <c r="D1663">
        <v>26</v>
      </c>
      <c r="E1663">
        <f>WEEKDAY(makulatura5[[#This Row],[Data_dostarczenia]],2)</f>
        <v>3</v>
      </c>
      <c r="F1663" s="2">
        <f t="shared" si="25"/>
        <v>0</v>
      </c>
    </row>
    <row r="1664" spans="1:6" x14ac:dyDescent="0.25">
      <c r="A1664" s="1">
        <v>43019</v>
      </c>
      <c r="B1664" s="2" t="s">
        <v>97</v>
      </c>
      <c r="C1664" s="2" t="s">
        <v>136</v>
      </c>
      <c r="D1664">
        <v>44</v>
      </c>
      <c r="E1664">
        <f>WEEKDAY(makulatura5[[#This Row],[Data_dostarczenia]],2)</f>
        <v>3</v>
      </c>
      <c r="F1664" s="2">
        <f t="shared" si="25"/>
        <v>0</v>
      </c>
    </row>
    <row r="1665" spans="1:6" x14ac:dyDescent="0.25">
      <c r="A1665" s="1">
        <v>43019</v>
      </c>
      <c r="B1665" s="2" t="s">
        <v>69</v>
      </c>
      <c r="C1665" s="2" t="s">
        <v>108</v>
      </c>
      <c r="D1665">
        <v>31</v>
      </c>
      <c r="E1665">
        <f>WEEKDAY(makulatura5[[#This Row],[Data_dostarczenia]],2)</f>
        <v>3</v>
      </c>
      <c r="F1665" s="2">
        <f t="shared" si="25"/>
        <v>0</v>
      </c>
    </row>
    <row r="1666" spans="1:6" x14ac:dyDescent="0.25">
      <c r="A1666" s="1">
        <v>43019</v>
      </c>
      <c r="B1666" s="2" t="s">
        <v>553</v>
      </c>
      <c r="C1666" s="2" t="s">
        <v>554</v>
      </c>
      <c r="D1666">
        <v>6</v>
      </c>
      <c r="E1666">
        <f>WEEKDAY(makulatura5[[#This Row],[Data_dostarczenia]],2)</f>
        <v>3</v>
      </c>
      <c r="F1666" s="2">
        <f t="shared" ref="F1666:F1729" si="26">IF(A1667=A1666,0,1)</f>
        <v>0</v>
      </c>
    </row>
    <row r="1667" spans="1:6" x14ac:dyDescent="0.25">
      <c r="A1667" s="1">
        <v>43019</v>
      </c>
      <c r="B1667" s="2" t="s">
        <v>27</v>
      </c>
      <c r="C1667" s="2" t="s">
        <v>683</v>
      </c>
      <c r="D1667">
        <v>14</v>
      </c>
      <c r="E1667">
        <f>WEEKDAY(makulatura5[[#This Row],[Data_dostarczenia]],2)</f>
        <v>3</v>
      </c>
      <c r="F1667" s="2">
        <f t="shared" si="26"/>
        <v>1</v>
      </c>
    </row>
    <row r="1668" spans="1:6" x14ac:dyDescent="0.25">
      <c r="A1668" s="1">
        <v>43020</v>
      </c>
      <c r="B1668" s="2" t="s">
        <v>523</v>
      </c>
      <c r="C1668" s="2" t="s">
        <v>524</v>
      </c>
      <c r="D1668">
        <v>5</v>
      </c>
      <c r="E1668">
        <f>WEEKDAY(makulatura5[[#This Row],[Data_dostarczenia]],2)</f>
        <v>4</v>
      </c>
      <c r="F1668" s="2">
        <f t="shared" si="26"/>
        <v>0</v>
      </c>
    </row>
    <row r="1669" spans="1:6" x14ac:dyDescent="0.25">
      <c r="A1669" s="1">
        <v>43020</v>
      </c>
      <c r="B1669" s="2" t="s">
        <v>314</v>
      </c>
      <c r="C1669" s="2" t="s">
        <v>466</v>
      </c>
      <c r="D1669">
        <v>21</v>
      </c>
      <c r="E1669">
        <f>WEEKDAY(makulatura5[[#This Row],[Data_dostarczenia]],2)</f>
        <v>4</v>
      </c>
      <c r="F1669" s="2">
        <f t="shared" si="26"/>
        <v>0</v>
      </c>
    </row>
    <row r="1670" spans="1:6" x14ac:dyDescent="0.25">
      <c r="A1670" s="1">
        <v>43020</v>
      </c>
      <c r="B1670" s="2" t="s">
        <v>18</v>
      </c>
      <c r="C1670" s="2" t="s">
        <v>597</v>
      </c>
      <c r="D1670">
        <v>4</v>
      </c>
      <c r="E1670">
        <f>WEEKDAY(makulatura5[[#This Row],[Data_dostarczenia]],2)</f>
        <v>4</v>
      </c>
      <c r="F1670" s="2">
        <f t="shared" si="26"/>
        <v>0</v>
      </c>
    </row>
    <row r="1671" spans="1:6" x14ac:dyDescent="0.25">
      <c r="A1671" s="1">
        <v>43020</v>
      </c>
      <c r="B1671" s="2" t="s">
        <v>51</v>
      </c>
      <c r="C1671" s="2" t="s">
        <v>358</v>
      </c>
      <c r="D1671">
        <v>51</v>
      </c>
      <c r="E1671">
        <f>WEEKDAY(makulatura5[[#This Row],[Data_dostarczenia]],2)</f>
        <v>4</v>
      </c>
      <c r="F1671" s="2">
        <f t="shared" si="26"/>
        <v>0</v>
      </c>
    </row>
    <row r="1672" spans="1:6" x14ac:dyDescent="0.25">
      <c r="A1672" s="1">
        <v>43020</v>
      </c>
      <c r="B1672" s="2" t="s">
        <v>267</v>
      </c>
      <c r="C1672" s="2" t="s">
        <v>268</v>
      </c>
      <c r="D1672">
        <v>27</v>
      </c>
      <c r="E1672">
        <f>WEEKDAY(makulatura5[[#This Row],[Data_dostarczenia]],2)</f>
        <v>4</v>
      </c>
      <c r="F1672" s="2">
        <f t="shared" si="26"/>
        <v>0</v>
      </c>
    </row>
    <row r="1673" spans="1:6" x14ac:dyDescent="0.25">
      <c r="A1673" s="1">
        <v>43020</v>
      </c>
      <c r="B1673" s="2" t="s">
        <v>589</v>
      </c>
      <c r="C1673" s="2" t="s">
        <v>590</v>
      </c>
      <c r="D1673">
        <v>15</v>
      </c>
      <c r="E1673">
        <f>WEEKDAY(makulatura5[[#This Row],[Data_dostarczenia]],2)</f>
        <v>4</v>
      </c>
      <c r="F1673" s="2">
        <f t="shared" si="26"/>
        <v>1</v>
      </c>
    </row>
    <row r="1674" spans="1:6" x14ac:dyDescent="0.25">
      <c r="A1674" s="1">
        <v>43021</v>
      </c>
      <c r="B1674" s="2" t="s">
        <v>4</v>
      </c>
      <c r="C1674" s="2" t="s">
        <v>489</v>
      </c>
      <c r="D1674">
        <v>15</v>
      </c>
      <c r="E1674">
        <f>WEEKDAY(makulatura5[[#This Row],[Data_dostarczenia]],2)</f>
        <v>5</v>
      </c>
      <c r="F1674" s="2">
        <f t="shared" si="26"/>
        <v>0</v>
      </c>
    </row>
    <row r="1675" spans="1:6" x14ac:dyDescent="0.25">
      <c r="A1675" s="1">
        <v>43021</v>
      </c>
      <c r="B1675" s="2" t="s">
        <v>114</v>
      </c>
      <c r="C1675" s="2" t="s">
        <v>173</v>
      </c>
      <c r="D1675">
        <v>13</v>
      </c>
      <c r="E1675">
        <f>WEEKDAY(makulatura5[[#This Row],[Data_dostarczenia]],2)</f>
        <v>5</v>
      </c>
      <c r="F1675" s="2">
        <f t="shared" si="26"/>
        <v>0</v>
      </c>
    </row>
    <row r="1676" spans="1:6" x14ac:dyDescent="0.25">
      <c r="A1676" s="1">
        <v>43021</v>
      </c>
      <c r="B1676" s="2" t="s">
        <v>141</v>
      </c>
      <c r="C1676" s="2" t="s">
        <v>202</v>
      </c>
      <c r="D1676">
        <v>22</v>
      </c>
      <c r="E1676">
        <f>WEEKDAY(makulatura5[[#This Row],[Data_dostarczenia]],2)</f>
        <v>5</v>
      </c>
      <c r="F1676" s="2">
        <f t="shared" si="26"/>
        <v>0</v>
      </c>
    </row>
    <row r="1677" spans="1:6" x14ac:dyDescent="0.25">
      <c r="A1677" s="1">
        <v>43021</v>
      </c>
      <c r="B1677" s="2" t="s">
        <v>150</v>
      </c>
      <c r="C1677" s="2" t="s">
        <v>151</v>
      </c>
      <c r="D1677">
        <v>16</v>
      </c>
      <c r="E1677">
        <f>WEEKDAY(makulatura5[[#This Row],[Data_dostarczenia]],2)</f>
        <v>5</v>
      </c>
      <c r="F1677" s="2">
        <f t="shared" si="26"/>
        <v>0</v>
      </c>
    </row>
    <row r="1678" spans="1:6" x14ac:dyDescent="0.25">
      <c r="A1678" s="1">
        <v>43021</v>
      </c>
      <c r="B1678" s="2" t="s">
        <v>55</v>
      </c>
      <c r="C1678" s="2" t="s">
        <v>326</v>
      </c>
      <c r="D1678">
        <v>9</v>
      </c>
      <c r="E1678">
        <f>WEEKDAY(makulatura5[[#This Row],[Data_dostarczenia]],2)</f>
        <v>5</v>
      </c>
      <c r="F1678" s="2">
        <f t="shared" si="26"/>
        <v>0</v>
      </c>
    </row>
    <row r="1679" spans="1:6" x14ac:dyDescent="0.25">
      <c r="A1679" s="1">
        <v>43021</v>
      </c>
      <c r="B1679" s="2" t="s">
        <v>147</v>
      </c>
      <c r="C1679" s="2" t="s">
        <v>578</v>
      </c>
      <c r="D1679">
        <v>8</v>
      </c>
      <c r="E1679">
        <f>WEEKDAY(makulatura5[[#This Row],[Data_dostarczenia]],2)</f>
        <v>5</v>
      </c>
      <c r="F1679" s="2">
        <f t="shared" si="26"/>
        <v>1</v>
      </c>
    </row>
    <row r="1680" spans="1:6" x14ac:dyDescent="0.25">
      <c r="A1680" s="1">
        <v>43024</v>
      </c>
      <c r="B1680" s="2" t="s">
        <v>101</v>
      </c>
      <c r="C1680" s="2" t="s">
        <v>263</v>
      </c>
      <c r="D1680">
        <v>5</v>
      </c>
      <c r="E1680">
        <f>WEEKDAY(makulatura5[[#This Row],[Data_dostarczenia]],2)</f>
        <v>1</v>
      </c>
      <c r="F1680" s="2">
        <f t="shared" si="26"/>
        <v>0</v>
      </c>
    </row>
    <row r="1681" spans="1:6" x14ac:dyDescent="0.25">
      <c r="A1681" s="1">
        <v>43024</v>
      </c>
      <c r="B1681" s="2" t="s">
        <v>4</v>
      </c>
      <c r="C1681" s="2" t="s">
        <v>22</v>
      </c>
      <c r="D1681">
        <v>10</v>
      </c>
      <c r="E1681">
        <f>WEEKDAY(makulatura5[[#This Row],[Data_dostarczenia]],2)</f>
        <v>1</v>
      </c>
      <c r="F1681" s="2">
        <f t="shared" si="26"/>
        <v>0</v>
      </c>
    </row>
    <row r="1682" spans="1:6" x14ac:dyDescent="0.25">
      <c r="A1682" s="1">
        <v>43024</v>
      </c>
      <c r="B1682" s="2" t="s">
        <v>27</v>
      </c>
      <c r="C1682" s="2" t="s">
        <v>94</v>
      </c>
      <c r="D1682">
        <v>29</v>
      </c>
      <c r="E1682">
        <f>WEEKDAY(makulatura5[[#This Row],[Data_dostarczenia]],2)</f>
        <v>1</v>
      </c>
      <c r="F1682" s="2">
        <f t="shared" si="26"/>
        <v>0</v>
      </c>
    </row>
    <row r="1683" spans="1:6" x14ac:dyDescent="0.25">
      <c r="A1683" s="1">
        <v>43024</v>
      </c>
      <c r="B1683" s="2" t="s">
        <v>55</v>
      </c>
      <c r="C1683" s="2" t="s">
        <v>571</v>
      </c>
      <c r="D1683">
        <v>20</v>
      </c>
      <c r="E1683">
        <f>WEEKDAY(makulatura5[[#This Row],[Data_dostarczenia]],2)</f>
        <v>1</v>
      </c>
      <c r="F1683" s="2">
        <f t="shared" si="26"/>
        <v>0</v>
      </c>
    </row>
    <row r="1684" spans="1:6" x14ac:dyDescent="0.25">
      <c r="A1684" s="1">
        <v>43024</v>
      </c>
      <c r="B1684" s="2" t="s">
        <v>36</v>
      </c>
      <c r="C1684" s="2" t="s">
        <v>166</v>
      </c>
      <c r="D1684">
        <v>11</v>
      </c>
      <c r="E1684">
        <f>WEEKDAY(makulatura5[[#This Row],[Data_dostarczenia]],2)</f>
        <v>1</v>
      </c>
      <c r="F1684" s="2">
        <f t="shared" si="26"/>
        <v>0</v>
      </c>
    </row>
    <row r="1685" spans="1:6" x14ac:dyDescent="0.25">
      <c r="A1685" s="1">
        <v>43024</v>
      </c>
      <c r="B1685" s="2" t="s">
        <v>314</v>
      </c>
      <c r="C1685" s="2" t="s">
        <v>535</v>
      </c>
      <c r="D1685">
        <v>45</v>
      </c>
      <c r="E1685">
        <f>WEEKDAY(makulatura5[[#This Row],[Data_dostarczenia]],2)</f>
        <v>1</v>
      </c>
      <c r="F1685" s="2">
        <f t="shared" si="26"/>
        <v>0</v>
      </c>
    </row>
    <row r="1686" spans="1:6" x14ac:dyDescent="0.25">
      <c r="A1686" s="1">
        <v>43024</v>
      </c>
      <c r="B1686" s="2" t="s">
        <v>372</v>
      </c>
      <c r="C1686" s="2" t="s">
        <v>373</v>
      </c>
      <c r="D1686">
        <v>9</v>
      </c>
      <c r="E1686">
        <f>WEEKDAY(makulatura5[[#This Row],[Data_dostarczenia]],2)</f>
        <v>1</v>
      </c>
      <c r="F1686" s="2">
        <f t="shared" si="26"/>
        <v>0</v>
      </c>
    </row>
    <row r="1687" spans="1:6" x14ac:dyDescent="0.25">
      <c r="A1687" s="1">
        <v>43024</v>
      </c>
      <c r="B1687" s="2" t="s">
        <v>169</v>
      </c>
      <c r="C1687" s="2" t="s">
        <v>684</v>
      </c>
      <c r="D1687">
        <v>15</v>
      </c>
      <c r="E1687">
        <f>WEEKDAY(makulatura5[[#This Row],[Data_dostarczenia]],2)</f>
        <v>1</v>
      </c>
      <c r="F1687" s="2">
        <f t="shared" si="26"/>
        <v>0</v>
      </c>
    </row>
    <row r="1688" spans="1:6" x14ac:dyDescent="0.25">
      <c r="A1688" s="1">
        <v>43024</v>
      </c>
      <c r="B1688" s="2" t="s">
        <v>137</v>
      </c>
      <c r="C1688" s="2" t="s">
        <v>685</v>
      </c>
      <c r="D1688">
        <v>6</v>
      </c>
      <c r="E1688">
        <f>WEEKDAY(makulatura5[[#This Row],[Data_dostarczenia]],2)</f>
        <v>1</v>
      </c>
      <c r="F1688" s="2">
        <f t="shared" si="26"/>
        <v>0</v>
      </c>
    </row>
    <row r="1689" spans="1:6" x14ac:dyDescent="0.25">
      <c r="A1689" s="1">
        <v>43024</v>
      </c>
      <c r="B1689" s="2" t="s">
        <v>141</v>
      </c>
      <c r="C1689" s="2" t="s">
        <v>447</v>
      </c>
      <c r="D1689">
        <v>13</v>
      </c>
      <c r="E1689">
        <f>WEEKDAY(makulatura5[[#This Row],[Data_dostarczenia]],2)</f>
        <v>1</v>
      </c>
      <c r="F1689" s="2">
        <f t="shared" si="26"/>
        <v>0</v>
      </c>
    </row>
    <row r="1690" spans="1:6" x14ac:dyDescent="0.25">
      <c r="A1690" s="1">
        <v>43024</v>
      </c>
      <c r="B1690" s="2" t="s">
        <v>232</v>
      </c>
      <c r="C1690" s="2" t="s">
        <v>487</v>
      </c>
      <c r="D1690">
        <v>7</v>
      </c>
      <c r="E1690">
        <f>WEEKDAY(makulatura5[[#This Row],[Data_dostarczenia]],2)</f>
        <v>1</v>
      </c>
      <c r="F1690" s="2">
        <f t="shared" si="26"/>
        <v>0</v>
      </c>
    </row>
    <row r="1691" spans="1:6" x14ac:dyDescent="0.25">
      <c r="A1691" s="1">
        <v>43024</v>
      </c>
      <c r="B1691" s="2" t="s">
        <v>81</v>
      </c>
      <c r="C1691" s="2" t="s">
        <v>496</v>
      </c>
      <c r="D1691">
        <v>34</v>
      </c>
      <c r="E1691">
        <f>WEEKDAY(makulatura5[[#This Row],[Data_dostarczenia]],2)</f>
        <v>1</v>
      </c>
      <c r="F1691" s="2">
        <f t="shared" si="26"/>
        <v>0</v>
      </c>
    </row>
    <row r="1692" spans="1:6" x14ac:dyDescent="0.25">
      <c r="A1692" s="1">
        <v>43024</v>
      </c>
      <c r="B1692" s="2" t="s">
        <v>176</v>
      </c>
      <c r="C1692" s="2" t="s">
        <v>486</v>
      </c>
      <c r="D1692">
        <v>4</v>
      </c>
      <c r="E1692">
        <f>WEEKDAY(makulatura5[[#This Row],[Data_dostarczenia]],2)</f>
        <v>1</v>
      </c>
      <c r="F1692" s="2">
        <f t="shared" si="26"/>
        <v>0</v>
      </c>
    </row>
    <row r="1693" spans="1:6" x14ac:dyDescent="0.25">
      <c r="A1693" s="1">
        <v>43024</v>
      </c>
      <c r="B1693" s="2" t="s">
        <v>69</v>
      </c>
      <c r="C1693" s="2" t="s">
        <v>108</v>
      </c>
      <c r="D1693">
        <v>17</v>
      </c>
      <c r="E1693">
        <f>WEEKDAY(makulatura5[[#This Row],[Data_dostarczenia]],2)</f>
        <v>1</v>
      </c>
      <c r="F1693" s="2">
        <f t="shared" si="26"/>
        <v>1</v>
      </c>
    </row>
    <row r="1694" spans="1:6" x14ac:dyDescent="0.25">
      <c r="A1694" s="1">
        <v>43025</v>
      </c>
      <c r="B1694" s="2" t="s">
        <v>374</v>
      </c>
      <c r="C1694" s="2" t="s">
        <v>375</v>
      </c>
      <c r="D1694">
        <v>5</v>
      </c>
      <c r="E1694">
        <f>WEEKDAY(makulatura5[[#This Row],[Data_dostarczenia]],2)</f>
        <v>2</v>
      </c>
      <c r="F1694" s="2">
        <f t="shared" si="26"/>
        <v>0</v>
      </c>
    </row>
    <row r="1695" spans="1:6" x14ac:dyDescent="0.25">
      <c r="A1695" s="1">
        <v>43025</v>
      </c>
      <c r="B1695" s="2" t="s">
        <v>30</v>
      </c>
      <c r="C1695" s="2" t="s">
        <v>680</v>
      </c>
      <c r="D1695">
        <v>9</v>
      </c>
      <c r="E1695">
        <f>WEEKDAY(makulatura5[[#This Row],[Data_dostarczenia]],2)</f>
        <v>2</v>
      </c>
      <c r="F1695" s="2">
        <f t="shared" si="26"/>
        <v>0</v>
      </c>
    </row>
    <row r="1696" spans="1:6" x14ac:dyDescent="0.25">
      <c r="A1696" s="1">
        <v>43025</v>
      </c>
      <c r="B1696" s="2" t="s">
        <v>23</v>
      </c>
      <c r="C1696" s="2" t="s">
        <v>24</v>
      </c>
      <c r="D1696">
        <v>12</v>
      </c>
      <c r="E1696">
        <f>WEEKDAY(makulatura5[[#This Row],[Data_dostarczenia]],2)</f>
        <v>2</v>
      </c>
      <c r="F1696" s="2">
        <f t="shared" si="26"/>
        <v>0</v>
      </c>
    </row>
    <row r="1697" spans="1:6" x14ac:dyDescent="0.25">
      <c r="A1697" s="1">
        <v>43025</v>
      </c>
      <c r="B1697" s="2" t="s">
        <v>55</v>
      </c>
      <c r="C1697" s="2" t="s">
        <v>625</v>
      </c>
      <c r="D1697">
        <v>22</v>
      </c>
      <c r="E1697">
        <f>WEEKDAY(makulatura5[[#This Row],[Data_dostarczenia]],2)</f>
        <v>2</v>
      </c>
      <c r="F1697" s="2">
        <f t="shared" si="26"/>
        <v>0</v>
      </c>
    </row>
    <row r="1698" spans="1:6" x14ac:dyDescent="0.25">
      <c r="A1698" s="1">
        <v>43025</v>
      </c>
      <c r="B1698" s="2" t="s">
        <v>393</v>
      </c>
      <c r="C1698" s="2" t="s">
        <v>394</v>
      </c>
      <c r="D1698">
        <v>4</v>
      </c>
      <c r="E1698">
        <f>WEEKDAY(makulatura5[[#This Row],[Data_dostarczenia]],2)</f>
        <v>2</v>
      </c>
      <c r="F1698" s="2">
        <f t="shared" si="26"/>
        <v>0</v>
      </c>
    </row>
    <row r="1699" spans="1:6" x14ac:dyDescent="0.25">
      <c r="A1699" s="1">
        <v>43025</v>
      </c>
      <c r="B1699" s="2" t="s">
        <v>352</v>
      </c>
      <c r="C1699" s="2" t="s">
        <v>425</v>
      </c>
      <c r="D1699">
        <v>12</v>
      </c>
      <c r="E1699">
        <f>WEEKDAY(makulatura5[[#This Row],[Data_dostarczenia]],2)</f>
        <v>2</v>
      </c>
      <c r="F1699" s="2">
        <f t="shared" si="26"/>
        <v>0</v>
      </c>
    </row>
    <row r="1700" spans="1:6" x14ac:dyDescent="0.25">
      <c r="A1700" s="1">
        <v>43025</v>
      </c>
      <c r="B1700" s="2" t="s">
        <v>55</v>
      </c>
      <c r="C1700" s="2" t="s">
        <v>493</v>
      </c>
      <c r="D1700">
        <v>5</v>
      </c>
      <c r="E1700">
        <f>WEEKDAY(makulatura5[[#This Row],[Data_dostarczenia]],2)</f>
        <v>2</v>
      </c>
      <c r="F1700" s="2">
        <f t="shared" si="26"/>
        <v>0</v>
      </c>
    </row>
    <row r="1701" spans="1:6" x14ac:dyDescent="0.25">
      <c r="A1701" s="1">
        <v>43025</v>
      </c>
      <c r="B1701" s="2" t="s">
        <v>663</v>
      </c>
      <c r="C1701" s="2" t="s">
        <v>134</v>
      </c>
      <c r="D1701">
        <v>9</v>
      </c>
      <c r="E1701">
        <f>WEEKDAY(makulatura5[[#This Row],[Data_dostarczenia]],2)</f>
        <v>2</v>
      </c>
      <c r="F1701" s="2">
        <f t="shared" si="26"/>
        <v>0</v>
      </c>
    </row>
    <row r="1702" spans="1:6" x14ac:dyDescent="0.25">
      <c r="A1702" s="1">
        <v>43025</v>
      </c>
      <c r="B1702" s="2" t="s">
        <v>30</v>
      </c>
      <c r="C1702" s="2" t="s">
        <v>89</v>
      </c>
      <c r="D1702">
        <v>8</v>
      </c>
      <c r="E1702">
        <f>WEEKDAY(makulatura5[[#This Row],[Data_dostarczenia]],2)</f>
        <v>2</v>
      </c>
      <c r="F1702" s="2">
        <f t="shared" si="26"/>
        <v>0</v>
      </c>
    </row>
    <row r="1703" spans="1:6" x14ac:dyDescent="0.25">
      <c r="A1703" s="1">
        <v>43025</v>
      </c>
      <c r="B1703" s="2" t="s">
        <v>25</v>
      </c>
      <c r="C1703" s="2" t="s">
        <v>26</v>
      </c>
      <c r="D1703">
        <v>25</v>
      </c>
      <c r="E1703">
        <f>WEEKDAY(makulatura5[[#This Row],[Data_dostarczenia]],2)</f>
        <v>2</v>
      </c>
      <c r="F1703" s="2">
        <f t="shared" si="26"/>
        <v>0</v>
      </c>
    </row>
    <row r="1704" spans="1:6" x14ac:dyDescent="0.25">
      <c r="A1704" s="1">
        <v>43025</v>
      </c>
      <c r="B1704" s="2" t="s">
        <v>69</v>
      </c>
      <c r="C1704" s="2" t="s">
        <v>286</v>
      </c>
      <c r="D1704">
        <v>2</v>
      </c>
      <c r="E1704">
        <f>WEEKDAY(makulatura5[[#This Row],[Data_dostarczenia]],2)</f>
        <v>2</v>
      </c>
      <c r="F1704" s="2">
        <f t="shared" si="26"/>
        <v>0</v>
      </c>
    </row>
    <row r="1705" spans="1:6" x14ac:dyDescent="0.25">
      <c r="A1705" s="1">
        <v>43025</v>
      </c>
      <c r="B1705" s="2" t="s">
        <v>83</v>
      </c>
      <c r="C1705" s="2" t="s">
        <v>561</v>
      </c>
      <c r="D1705">
        <v>22</v>
      </c>
      <c r="E1705">
        <f>WEEKDAY(makulatura5[[#This Row],[Data_dostarczenia]],2)</f>
        <v>2</v>
      </c>
      <c r="F1705" s="2">
        <f t="shared" si="26"/>
        <v>0</v>
      </c>
    </row>
    <row r="1706" spans="1:6" x14ac:dyDescent="0.25">
      <c r="A1706" s="1">
        <v>43025</v>
      </c>
      <c r="B1706" s="2" t="s">
        <v>69</v>
      </c>
      <c r="C1706" s="2" t="s">
        <v>200</v>
      </c>
      <c r="D1706">
        <v>23</v>
      </c>
      <c r="E1706">
        <f>WEEKDAY(makulatura5[[#This Row],[Data_dostarczenia]],2)</f>
        <v>2</v>
      </c>
      <c r="F1706" s="2">
        <f t="shared" si="26"/>
        <v>0</v>
      </c>
    </row>
    <row r="1707" spans="1:6" x14ac:dyDescent="0.25">
      <c r="A1707" s="1">
        <v>43025</v>
      </c>
      <c r="B1707" s="2" t="s">
        <v>171</v>
      </c>
      <c r="C1707" s="2" t="s">
        <v>645</v>
      </c>
      <c r="D1707">
        <v>14</v>
      </c>
      <c r="E1707">
        <f>WEEKDAY(makulatura5[[#This Row],[Data_dostarczenia]],2)</f>
        <v>2</v>
      </c>
      <c r="F1707" s="2">
        <f t="shared" si="26"/>
        <v>0</v>
      </c>
    </row>
    <row r="1708" spans="1:6" x14ac:dyDescent="0.25">
      <c r="A1708" s="1">
        <v>43025</v>
      </c>
      <c r="B1708" s="2" t="s">
        <v>39</v>
      </c>
      <c r="C1708" s="2" t="s">
        <v>609</v>
      </c>
      <c r="D1708">
        <v>7</v>
      </c>
      <c r="E1708">
        <f>WEEKDAY(makulatura5[[#This Row],[Data_dostarczenia]],2)</f>
        <v>2</v>
      </c>
      <c r="F1708" s="2">
        <f t="shared" si="26"/>
        <v>1</v>
      </c>
    </row>
    <row r="1709" spans="1:6" x14ac:dyDescent="0.25">
      <c r="A1709" s="1">
        <v>43026</v>
      </c>
      <c r="B1709" s="2" t="s">
        <v>141</v>
      </c>
      <c r="C1709" s="2" t="s">
        <v>550</v>
      </c>
      <c r="D1709">
        <v>37</v>
      </c>
      <c r="E1709">
        <f>WEEKDAY(makulatura5[[#This Row],[Data_dostarczenia]],2)</f>
        <v>3</v>
      </c>
      <c r="F1709" s="2">
        <f t="shared" si="26"/>
        <v>0</v>
      </c>
    </row>
    <row r="1710" spans="1:6" x14ac:dyDescent="0.25">
      <c r="A1710" s="1">
        <v>43026</v>
      </c>
      <c r="B1710" s="2" t="s">
        <v>34</v>
      </c>
      <c r="C1710" s="2" t="s">
        <v>679</v>
      </c>
      <c r="D1710">
        <v>18</v>
      </c>
      <c r="E1710">
        <f>WEEKDAY(makulatura5[[#This Row],[Data_dostarczenia]],2)</f>
        <v>3</v>
      </c>
      <c r="F1710" s="2">
        <f t="shared" si="26"/>
        <v>0</v>
      </c>
    </row>
    <row r="1711" spans="1:6" x14ac:dyDescent="0.25">
      <c r="A1711" s="1">
        <v>43026</v>
      </c>
      <c r="B1711" s="2" t="s">
        <v>395</v>
      </c>
      <c r="C1711" s="2" t="s">
        <v>467</v>
      </c>
      <c r="D1711">
        <v>7</v>
      </c>
      <c r="E1711">
        <f>WEEKDAY(makulatura5[[#This Row],[Data_dostarczenia]],2)</f>
        <v>3</v>
      </c>
      <c r="F1711" s="2">
        <f t="shared" si="26"/>
        <v>0</v>
      </c>
    </row>
    <row r="1712" spans="1:6" x14ac:dyDescent="0.25">
      <c r="A1712" s="1">
        <v>43026</v>
      </c>
      <c r="B1712" s="2" t="s">
        <v>503</v>
      </c>
      <c r="C1712" s="2" t="s">
        <v>183</v>
      </c>
      <c r="D1712">
        <v>24</v>
      </c>
      <c r="E1712">
        <f>WEEKDAY(makulatura5[[#This Row],[Data_dostarczenia]],2)</f>
        <v>3</v>
      </c>
      <c r="F1712" s="2">
        <f t="shared" si="26"/>
        <v>0</v>
      </c>
    </row>
    <row r="1713" spans="1:6" x14ac:dyDescent="0.25">
      <c r="A1713" s="1">
        <v>43026</v>
      </c>
      <c r="B1713" s="2" t="s">
        <v>43</v>
      </c>
      <c r="C1713" s="2" t="s">
        <v>71</v>
      </c>
      <c r="D1713">
        <v>2</v>
      </c>
      <c r="E1713">
        <f>WEEKDAY(makulatura5[[#This Row],[Data_dostarczenia]],2)</f>
        <v>3</v>
      </c>
      <c r="F1713" s="2">
        <f t="shared" si="26"/>
        <v>0</v>
      </c>
    </row>
    <row r="1714" spans="1:6" x14ac:dyDescent="0.25">
      <c r="A1714" s="1">
        <v>43026</v>
      </c>
      <c r="B1714" s="2" t="s">
        <v>141</v>
      </c>
      <c r="C1714" s="2" t="s">
        <v>435</v>
      </c>
      <c r="D1714">
        <v>16</v>
      </c>
      <c r="E1714">
        <f>WEEKDAY(makulatura5[[#This Row],[Data_dostarczenia]],2)</f>
        <v>3</v>
      </c>
      <c r="F1714" s="2">
        <f t="shared" si="26"/>
        <v>0</v>
      </c>
    </row>
    <row r="1715" spans="1:6" x14ac:dyDescent="0.25">
      <c r="A1715" s="1">
        <v>43026</v>
      </c>
      <c r="B1715" s="2" t="s">
        <v>372</v>
      </c>
      <c r="C1715" s="2" t="s">
        <v>373</v>
      </c>
      <c r="D1715">
        <v>11</v>
      </c>
      <c r="E1715">
        <f>WEEKDAY(makulatura5[[#This Row],[Data_dostarczenia]],2)</f>
        <v>3</v>
      </c>
      <c r="F1715" s="2">
        <f t="shared" si="26"/>
        <v>0</v>
      </c>
    </row>
    <row r="1716" spans="1:6" x14ac:dyDescent="0.25">
      <c r="A1716" s="1">
        <v>43026</v>
      </c>
      <c r="B1716" s="2" t="s">
        <v>351</v>
      </c>
      <c r="C1716" s="2" t="s">
        <v>227</v>
      </c>
      <c r="D1716">
        <v>27</v>
      </c>
      <c r="E1716">
        <f>WEEKDAY(makulatura5[[#This Row],[Data_dostarczenia]],2)</f>
        <v>3</v>
      </c>
      <c r="F1716" s="2">
        <f t="shared" si="26"/>
        <v>0</v>
      </c>
    </row>
    <row r="1717" spans="1:6" x14ac:dyDescent="0.25">
      <c r="A1717" s="1">
        <v>43026</v>
      </c>
      <c r="B1717" s="2" t="s">
        <v>41</v>
      </c>
      <c r="C1717" s="2" t="s">
        <v>614</v>
      </c>
      <c r="D1717">
        <v>27</v>
      </c>
      <c r="E1717">
        <f>WEEKDAY(makulatura5[[#This Row],[Data_dostarczenia]],2)</f>
        <v>3</v>
      </c>
      <c r="F1717" s="2">
        <f t="shared" si="26"/>
        <v>0</v>
      </c>
    </row>
    <row r="1718" spans="1:6" x14ac:dyDescent="0.25">
      <c r="A1718" s="1">
        <v>43026</v>
      </c>
      <c r="B1718" s="2" t="s">
        <v>150</v>
      </c>
      <c r="C1718" s="2" t="s">
        <v>676</v>
      </c>
      <c r="D1718">
        <v>42</v>
      </c>
      <c r="E1718">
        <f>WEEKDAY(makulatura5[[#This Row],[Data_dostarczenia]],2)</f>
        <v>3</v>
      </c>
      <c r="F1718" s="2">
        <f t="shared" si="26"/>
        <v>0</v>
      </c>
    </row>
    <row r="1719" spans="1:6" x14ac:dyDescent="0.25">
      <c r="A1719" s="1">
        <v>43026</v>
      </c>
      <c r="B1719" s="2" t="s">
        <v>374</v>
      </c>
      <c r="C1719" s="2" t="s">
        <v>375</v>
      </c>
      <c r="D1719">
        <v>10</v>
      </c>
      <c r="E1719">
        <f>WEEKDAY(makulatura5[[#This Row],[Data_dostarczenia]],2)</f>
        <v>3</v>
      </c>
      <c r="F1719" s="2">
        <f t="shared" si="26"/>
        <v>0</v>
      </c>
    </row>
    <row r="1720" spans="1:6" x14ac:dyDescent="0.25">
      <c r="A1720" s="1">
        <v>43026</v>
      </c>
      <c r="B1720" s="2" t="s">
        <v>232</v>
      </c>
      <c r="C1720" s="2" t="s">
        <v>526</v>
      </c>
      <c r="D1720">
        <v>28</v>
      </c>
      <c r="E1720">
        <f>WEEKDAY(makulatura5[[#This Row],[Data_dostarczenia]],2)</f>
        <v>3</v>
      </c>
      <c r="F1720" s="2">
        <f t="shared" si="26"/>
        <v>0</v>
      </c>
    </row>
    <row r="1721" spans="1:6" x14ac:dyDescent="0.25">
      <c r="A1721" s="1">
        <v>43026</v>
      </c>
      <c r="B1721" s="2" t="s">
        <v>310</v>
      </c>
      <c r="C1721" s="2" t="s">
        <v>505</v>
      </c>
      <c r="D1721">
        <v>13</v>
      </c>
      <c r="E1721">
        <f>WEEKDAY(makulatura5[[#This Row],[Data_dostarczenia]],2)</f>
        <v>3</v>
      </c>
      <c r="F1721" s="2">
        <f t="shared" si="26"/>
        <v>0</v>
      </c>
    </row>
    <row r="1722" spans="1:6" x14ac:dyDescent="0.25">
      <c r="A1722" s="1">
        <v>43026</v>
      </c>
      <c r="B1722" s="2" t="s">
        <v>117</v>
      </c>
      <c r="C1722" s="2" t="s">
        <v>118</v>
      </c>
      <c r="D1722">
        <v>29</v>
      </c>
      <c r="E1722">
        <f>WEEKDAY(makulatura5[[#This Row],[Data_dostarczenia]],2)</f>
        <v>3</v>
      </c>
      <c r="F1722" s="2">
        <f t="shared" si="26"/>
        <v>0</v>
      </c>
    </row>
    <row r="1723" spans="1:6" x14ac:dyDescent="0.25">
      <c r="A1723" s="1">
        <v>43026</v>
      </c>
      <c r="B1723" s="2" t="s">
        <v>208</v>
      </c>
      <c r="C1723" s="2" t="s">
        <v>611</v>
      </c>
      <c r="D1723">
        <v>46</v>
      </c>
      <c r="E1723">
        <f>WEEKDAY(makulatura5[[#This Row],[Data_dostarczenia]],2)</f>
        <v>3</v>
      </c>
      <c r="F1723" s="2">
        <f t="shared" si="26"/>
        <v>1</v>
      </c>
    </row>
    <row r="1724" spans="1:6" x14ac:dyDescent="0.25">
      <c r="A1724" s="1">
        <v>43027</v>
      </c>
      <c r="B1724" s="2" t="s">
        <v>20</v>
      </c>
      <c r="C1724" s="2" t="s">
        <v>381</v>
      </c>
      <c r="D1724">
        <v>5</v>
      </c>
      <c r="E1724">
        <f>WEEKDAY(makulatura5[[#This Row],[Data_dostarczenia]],2)</f>
        <v>4</v>
      </c>
      <c r="F1724" s="2">
        <f t="shared" si="26"/>
        <v>0</v>
      </c>
    </row>
    <row r="1725" spans="1:6" x14ac:dyDescent="0.25">
      <c r="A1725" s="1">
        <v>43027</v>
      </c>
      <c r="B1725" s="2" t="s">
        <v>374</v>
      </c>
      <c r="C1725" s="2" t="s">
        <v>581</v>
      </c>
      <c r="D1725">
        <v>35</v>
      </c>
      <c r="E1725">
        <f>WEEKDAY(makulatura5[[#This Row],[Data_dostarczenia]],2)</f>
        <v>4</v>
      </c>
      <c r="F1725" s="2">
        <f t="shared" si="26"/>
        <v>0</v>
      </c>
    </row>
    <row r="1726" spans="1:6" x14ac:dyDescent="0.25">
      <c r="A1726" s="1">
        <v>43027</v>
      </c>
      <c r="B1726" s="2" t="s">
        <v>55</v>
      </c>
      <c r="C1726" s="2" t="s">
        <v>184</v>
      </c>
      <c r="D1726">
        <v>5</v>
      </c>
      <c r="E1726">
        <f>WEEKDAY(makulatura5[[#This Row],[Data_dostarczenia]],2)</f>
        <v>4</v>
      </c>
      <c r="F1726" s="2">
        <f t="shared" si="26"/>
        <v>0</v>
      </c>
    </row>
    <row r="1727" spans="1:6" x14ac:dyDescent="0.25">
      <c r="A1727" s="1">
        <v>43027</v>
      </c>
      <c r="B1727" s="2" t="s">
        <v>393</v>
      </c>
      <c r="C1727" s="2" t="s">
        <v>686</v>
      </c>
      <c r="D1727">
        <v>35</v>
      </c>
      <c r="E1727">
        <f>WEEKDAY(makulatura5[[#This Row],[Data_dostarczenia]],2)</f>
        <v>4</v>
      </c>
      <c r="F1727" s="2">
        <f t="shared" si="26"/>
        <v>0</v>
      </c>
    </row>
    <row r="1728" spans="1:6" x14ac:dyDescent="0.25">
      <c r="A1728" s="1">
        <v>43027</v>
      </c>
      <c r="B1728" s="2" t="s">
        <v>101</v>
      </c>
      <c r="C1728" s="2" t="s">
        <v>212</v>
      </c>
      <c r="D1728">
        <v>8</v>
      </c>
      <c r="E1728">
        <f>WEEKDAY(makulatura5[[#This Row],[Data_dostarczenia]],2)</f>
        <v>4</v>
      </c>
      <c r="F1728" s="2">
        <f t="shared" si="26"/>
        <v>0</v>
      </c>
    </row>
    <row r="1729" spans="1:6" x14ac:dyDescent="0.25">
      <c r="A1729" s="1">
        <v>43027</v>
      </c>
      <c r="B1729" s="2" t="s">
        <v>343</v>
      </c>
      <c r="C1729" s="2" t="s">
        <v>501</v>
      </c>
      <c r="D1729">
        <v>44</v>
      </c>
      <c r="E1729">
        <f>WEEKDAY(makulatura5[[#This Row],[Data_dostarczenia]],2)</f>
        <v>4</v>
      </c>
      <c r="F1729" s="2">
        <f t="shared" si="26"/>
        <v>0</v>
      </c>
    </row>
    <row r="1730" spans="1:6" x14ac:dyDescent="0.25">
      <c r="A1730" s="1">
        <v>43027</v>
      </c>
      <c r="B1730" s="2" t="s">
        <v>343</v>
      </c>
      <c r="C1730" s="2" t="s">
        <v>501</v>
      </c>
      <c r="D1730">
        <v>34</v>
      </c>
      <c r="E1730">
        <f>WEEKDAY(makulatura5[[#This Row],[Data_dostarczenia]],2)</f>
        <v>4</v>
      </c>
      <c r="F1730" s="2">
        <f t="shared" ref="F1730:F1793" si="27">IF(A1731=A1730,0,1)</f>
        <v>0</v>
      </c>
    </row>
    <row r="1731" spans="1:6" x14ac:dyDescent="0.25">
      <c r="A1731" s="1">
        <v>43027</v>
      </c>
      <c r="B1731" s="2" t="s">
        <v>310</v>
      </c>
      <c r="C1731" s="2" t="s">
        <v>311</v>
      </c>
      <c r="D1731">
        <v>6</v>
      </c>
      <c r="E1731">
        <f>WEEKDAY(makulatura5[[#This Row],[Data_dostarczenia]],2)</f>
        <v>4</v>
      </c>
      <c r="F1731" s="2">
        <f t="shared" si="27"/>
        <v>0</v>
      </c>
    </row>
    <row r="1732" spans="1:6" x14ac:dyDescent="0.25">
      <c r="A1732" s="1">
        <v>43027</v>
      </c>
      <c r="B1732" s="2" t="s">
        <v>147</v>
      </c>
      <c r="C1732" s="2" t="s">
        <v>644</v>
      </c>
      <c r="D1732">
        <v>16</v>
      </c>
      <c r="E1732">
        <f>WEEKDAY(makulatura5[[#This Row],[Data_dostarczenia]],2)</f>
        <v>4</v>
      </c>
      <c r="F1732" s="2">
        <f t="shared" si="27"/>
        <v>0</v>
      </c>
    </row>
    <row r="1733" spans="1:6" x14ac:dyDescent="0.25">
      <c r="A1733" s="1">
        <v>43027</v>
      </c>
      <c r="B1733" s="2" t="s">
        <v>65</v>
      </c>
      <c r="C1733" s="2" t="s">
        <v>205</v>
      </c>
      <c r="D1733">
        <v>32</v>
      </c>
      <c r="E1733">
        <f>WEEKDAY(makulatura5[[#This Row],[Data_dostarczenia]],2)</f>
        <v>4</v>
      </c>
      <c r="F1733" s="2">
        <f t="shared" si="27"/>
        <v>0</v>
      </c>
    </row>
    <row r="1734" spans="1:6" x14ac:dyDescent="0.25">
      <c r="A1734" s="1">
        <v>43027</v>
      </c>
      <c r="B1734" s="2" t="s">
        <v>34</v>
      </c>
      <c r="C1734" s="2" t="s">
        <v>445</v>
      </c>
      <c r="D1734">
        <v>35</v>
      </c>
      <c r="E1734">
        <f>WEEKDAY(makulatura5[[#This Row],[Data_dostarczenia]],2)</f>
        <v>4</v>
      </c>
      <c r="F1734" s="2">
        <f t="shared" si="27"/>
        <v>0</v>
      </c>
    </row>
    <row r="1735" spans="1:6" x14ac:dyDescent="0.25">
      <c r="A1735" s="1">
        <v>43027</v>
      </c>
      <c r="B1735" s="2" t="s">
        <v>67</v>
      </c>
      <c r="C1735" s="2" t="s">
        <v>301</v>
      </c>
      <c r="D1735">
        <v>9</v>
      </c>
      <c r="E1735">
        <f>WEEKDAY(makulatura5[[#This Row],[Data_dostarczenia]],2)</f>
        <v>4</v>
      </c>
      <c r="F1735" s="2">
        <f t="shared" si="27"/>
        <v>0</v>
      </c>
    </row>
    <row r="1736" spans="1:6" x14ac:dyDescent="0.25">
      <c r="A1736" s="1">
        <v>43027</v>
      </c>
      <c r="B1736" s="2" t="s">
        <v>310</v>
      </c>
      <c r="C1736" s="2" t="s">
        <v>458</v>
      </c>
      <c r="D1736">
        <v>29</v>
      </c>
      <c r="E1736">
        <f>WEEKDAY(makulatura5[[#This Row],[Data_dostarczenia]],2)</f>
        <v>4</v>
      </c>
      <c r="F1736" s="2">
        <f t="shared" si="27"/>
        <v>0</v>
      </c>
    </row>
    <row r="1737" spans="1:6" x14ac:dyDescent="0.25">
      <c r="A1737" s="1">
        <v>43027</v>
      </c>
      <c r="B1737" s="2" t="s">
        <v>174</v>
      </c>
      <c r="C1737" s="2" t="s">
        <v>570</v>
      </c>
      <c r="D1737">
        <v>51</v>
      </c>
      <c r="E1737">
        <f>WEEKDAY(makulatura5[[#This Row],[Data_dostarczenia]],2)</f>
        <v>4</v>
      </c>
      <c r="F1737" s="2">
        <f t="shared" si="27"/>
        <v>1</v>
      </c>
    </row>
    <row r="1738" spans="1:6" x14ac:dyDescent="0.25">
      <c r="A1738" s="1">
        <v>43028</v>
      </c>
      <c r="B1738" s="2" t="s">
        <v>143</v>
      </c>
      <c r="C1738" s="2" t="s">
        <v>510</v>
      </c>
      <c r="D1738">
        <v>14</v>
      </c>
      <c r="E1738">
        <f>WEEKDAY(makulatura5[[#This Row],[Data_dostarczenia]],2)</f>
        <v>5</v>
      </c>
      <c r="F1738" s="2">
        <f t="shared" si="27"/>
        <v>0</v>
      </c>
    </row>
    <row r="1739" spans="1:6" x14ac:dyDescent="0.25">
      <c r="A1739" s="1">
        <v>43028</v>
      </c>
      <c r="B1739" s="2" t="s">
        <v>150</v>
      </c>
      <c r="C1739" s="2" t="s">
        <v>200</v>
      </c>
      <c r="D1739">
        <v>6</v>
      </c>
      <c r="E1739">
        <f>WEEKDAY(makulatura5[[#This Row],[Data_dostarczenia]],2)</f>
        <v>5</v>
      </c>
      <c r="F1739" s="2">
        <f t="shared" si="27"/>
        <v>0</v>
      </c>
    </row>
    <row r="1740" spans="1:6" x14ac:dyDescent="0.25">
      <c r="A1740" s="1">
        <v>43028</v>
      </c>
      <c r="B1740" s="2" t="s">
        <v>442</v>
      </c>
      <c r="C1740" s="2" t="s">
        <v>540</v>
      </c>
      <c r="D1740">
        <v>7</v>
      </c>
      <c r="E1740">
        <f>WEEKDAY(makulatura5[[#This Row],[Data_dostarczenia]],2)</f>
        <v>5</v>
      </c>
      <c r="F1740" s="2">
        <f t="shared" si="27"/>
        <v>0</v>
      </c>
    </row>
    <row r="1741" spans="1:6" x14ac:dyDescent="0.25">
      <c r="A1741" s="1">
        <v>43028</v>
      </c>
      <c r="B1741" s="2" t="s">
        <v>150</v>
      </c>
      <c r="C1741" s="2" t="s">
        <v>556</v>
      </c>
      <c r="D1741">
        <v>23</v>
      </c>
      <c r="E1741">
        <f>WEEKDAY(makulatura5[[#This Row],[Data_dostarczenia]],2)</f>
        <v>5</v>
      </c>
      <c r="F1741" s="2">
        <f t="shared" si="27"/>
        <v>0</v>
      </c>
    </row>
    <row r="1742" spans="1:6" x14ac:dyDescent="0.25">
      <c r="A1742" s="1">
        <v>43028</v>
      </c>
      <c r="B1742" s="2" t="s">
        <v>97</v>
      </c>
      <c r="C1742" s="2" t="s">
        <v>188</v>
      </c>
      <c r="D1742">
        <v>19</v>
      </c>
      <c r="E1742">
        <f>WEEKDAY(makulatura5[[#This Row],[Data_dostarczenia]],2)</f>
        <v>5</v>
      </c>
      <c r="F1742" s="2">
        <f t="shared" si="27"/>
        <v>0</v>
      </c>
    </row>
    <row r="1743" spans="1:6" x14ac:dyDescent="0.25">
      <c r="A1743" s="1">
        <v>43028</v>
      </c>
      <c r="B1743" s="2" t="s">
        <v>20</v>
      </c>
      <c r="C1743" s="2" t="s">
        <v>381</v>
      </c>
      <c r="D1743">
        <v>9</v>
      </c>
      <c r="E1743">
        <f>WEEKDAY(makulatura5[[#This Row],[Data_dostarczenia]],2)</f>
        <v>5</v>
      </c>
      <c r="F1743" s="2">
        <f t="shared" si="27"/>
        <v>0</v>
      </c>
    </row>
    <row r="1744" spans="1:6" x14ac:dyDescent="0.25">
      <c r="A1744" s="1">
        <v>43028</v>
      </c>
      <c r="B1744" s="2" t="s">
        <v>635</v>
      </c>
      <c r="C1744" s="2" t="s">
        <v>636</v>
      </c>
      <c r="D1744">
        <v>24</v>
      </c>
      <c r="E1744">
        <f>WEEKDAY(makulatura5[[#This Row],[Data_dostarczenia]],2)</f>
        <v>5</v>
      </c>
      <c r="F1744" s="2">
        <f t="shared" si="27"/>
        <v>0</v>
      </c>
    </row>
    <row r="1745" spans="1:6" x14ac:dyDescent="0.25">
      <c r="A1745" s="1">
        <v>43028</v>
      </c>
      <c r="B1745" s="2" t="s">
        <v>361</v>
      </c>
      <c r="C1745" s="2" t="s">
        <v>362</v>
      </c>
      <c r="D1745">
        <v>22</v>
      </c>
      <c r="E1745">
        <f>WEEKDAY(makulatura5[[#This Row],[Data_dostarczenia]],2)</f>
        <v>5</v>
      </c>
      <c r="F1745" s="2">
        <f t="shared" si="27"/>
        <v>0</v>
      </c>
    </row>
    <row r="1746" spans="1:6" x14ac:dyDescent="0.25">
      <c r="A1746" s="1">
        <v>43028</v>
      </c>
      <c r="B1746" s="2" t="s">
        <v>101</v>
      </c>
      <c r="C1746" s="2" t="s">
        <v>188</v>
      </c>
      <c r="D1746">
        <v>22</v>
      </c>
      <c r="E1746">
        <f>WEEKDAY(makulatura5[[#This Row],[Data_dostarczenia]],2)</f>
        <v>5</v>
      </c>
      <c r="F1746" s="2">
        <f t="shared" si="27"/>
        <v>0</v>
      </c>
    </row>
    <row r="1747" spans="1:6" x14ac:dyDescent="0.25">
      <c r="A1747" s="1">
        <v>43028</v>
      </c>
      <c r="B1747" s="2" t="s">
        <v>395</v>
      </c>
      <c r="C1747" s="2" t="s">
        <v>687</v>
      </c>
      <c r="D1747">
        <v>31</v>
      </c>
      <c r="E1747">
        <f>WEEKDAY(makulatura5[[#This Row],[Data_dostarczenia]],2)</f>
        <v>5</v>
      </c>
      <c r="F1747" s="2">
        <f t="shared" si="27"/>
        <v>0</v>
      </c>
    </row>
    <row r="1748" spans="1:6" x14ac:dyDescent="0.25">
      <c r="A1748" s="1">
        <v>43028</v>
      </c>
      <c r="B1748" s="2" t="s">
        <v>128</v>
      </c>
      <c r="C1748" s="2" t="s">
        <v>12</v>
      </c>
      <c r="D1748">
        <v>4</v>
      </c>
      <c r="E1748">
        <f>WEEKDAY(makulatura5[[#This Row],[Data_dostarczenia]],2)</f>
        <v>5</v>
      </c>
      <c r="F1748" s="2">
        <f t="shared" si="27"/>
        <v>0</v>
      </c>
    </row>
    <row r="1749" spans="1:6" x14ac:dyDescent="0.25">
      <c r="A1749" s="1">
        <v>43028</v>
      </c>
      <c r="B1749" s="2" t="s">
        <v>53</v>
      </c>
      <c r="C1749" s="2" t="s">
        <v>227</v>
      </c>
      <c r="D1749">
        <v>2</v>
      </c>
      <c r="E1749">
        <f>WEEKDAY(makulatura5[[#This Row],[Data_dostarczenia]],2)</f>
        <v>5</v>
      </c>
      <c r="F1749" s="2">
        <f t="shared" si="27"/>
        <v>0</v>
      </c>
    </row>
    <row r="1750" spans="1:6" x14ac:dyDescent="0.25">
      <c r="A1750" s="1">
        <v>43028</v>
      </c>
      <c r="B1750" s="2" t="s">
        <v>193</v>
      </c>
      <c r="C1750" s="2" t="s">
        <v>555</v>
      </c>
      <c r="D1750">
        <v>25</v>
      </c>
      <c r="E1750">
        <f>WEEKDAY(makulatura5[[#This Row],[Data_dostarczenia]],2)</f>
        <v>5</v>
      </c>
      <c r="F1750" s="2">
        <f t="shared" si="27"/>
        <v>0</v>
      </c>
    </row>
    <row r="1751" spans="1:6" x14ac:dyDescent="0.25">
      <c r="A1751" s="1">
        <v>43028</v>
      </c>
      <c r="B1751" s="2" t="s">
        <v>312</v>
      </c>
      <c r="C1751" s="2" t="s">
        <v>88</v>
      </c>
      <c r="D1751">
        <v>17</v>
      </c>
      <c r="E1751">
        <f>WEEKDAY(makulatura5[[#This Row],[Data_dostarczenia]],2)</f>
        <v>5</v>
      </c>
      <c r="F1751" s="2">
        <f t="shared" si="27"/>
        <v>0</v>
      </c>
    </row>
    <row r="1752" spans="1:6" x14ac:dyDescent="0.25">
      <c r="A1752" s="1">
        <v>43028</v>
      </c>
      <c r="B1752" s="2" t="s">
        <v>152</v>
      </c>
      <c r="C1752" s="2" t="s">
        <v>17</v>
      </c>
      <c r="D1752">
        <v>6</v>
      </c>
      <c r="E1752">
        <f>WEEKDAY(makulatura5[[#This Row],[Data_dostarczenia]],2)</f>
        <v>5</v>
      </c>
      <c r="F1752" s="2">
        <f t="shared" si="27"/>
        <v>0</v>
      </c>
    </row>
    <row r="1753" spans="1:6" x14ac:dyDescent="0.25">
      <c r="A1753" s="1">
        <v>43028</v>
      </c>
      <c r="B1753" s="2" t="s">
        <v>144</v>
      </c>
      <c r="C1753" s="2" t="s">
        <v>390</v>
      </c>
      <c r="D1753">
        <v>21</v>
      </c>
      <c r="E1753">
        <f>WEEKDAY(makulatura5[[#This Row],[Data_dostarczenia]],2)</f>
        <v>5</v>
      </c>
      <c r="F1753" s="2">
        <f t="shared" si="27"/>
        <v>0</v>
      </c>
    </row>
    <row r="1754" spans="1:6" x14ac:dyDescent="0.25">
      <c r="A1754" s="1">
        <v>43028</v>
      </c>
      <c r="B1754" s="2" t="s">
        <v>150</v>
      </c>
      <c r="C1754" s="2" t="s">
        <v>211</v>
      </c>
      <c r="D1754">
        <v>26</v>
      </c>
      <c r="E1754">
        <f>WEEKDAY(makulatura5[[#This Row],[Data_dostarczenia]],2)</f>
        <v>5</v>
      </c>
      <c r="F1754" s="2">
        <f t="shared" si="27"/>
        <v>1</v>
      </c>
    </row>
    <row r="1755" spans="1:6" x14ac:dyDescent="0.25">
      <c r="A1755" s="1">
        <v>43031</v>
      </c>
      <c r="B1755" s="2" t="s">
        <v>427</v>
      </c>
      <c r="C1755" s="2" t="s">
        <v>118</v>
      </c>
      <c r="D1755">
        <v>41</v>
      </c>
      <c r="E1755">
        <f>WEEKDAY(makulatura5[[#This Row],[Data_dostarczenia]],2)</f>
        <v>1</v>
      </c>
      <c r="F1755" s="2">
        <f t="shared" si="27"/>
        <v>0</v>
      </c>
    </row>
    <row r="1756" spans="1:6" x14ac:dyDescent="0.25">
      <c r="A1756" s="1">
        <v>43031</v>
      </c>
      <c r="B1756" s="2" t="s">
        <v>34</v>
      </c>
      <c r="C1756" s="2" t="s">
        <v>564</v>
      </c>
      <c r="D1756">
        <v>28</v>
      </c>
      <c r="E1756">
        <f>WEEKDAY(makulatura5[[#This Row],[Data_dostarczenia]],2)</f>
        <v>1</v>
      </c>
      <c r="F1756" s="2">
        <f t="shared" si="27"/>
        <v>0</v>
      </c>
    </row>
    <row r="1757" spans="1:6" x14ac:dyDescent="0.25">
      <c r="A1757" s="1">
        <v>43031</v>
      </c>
      <c r="B1757" s="2" t="s">
        <v>137</v>
      </c>
      <c r="C1757" s="2" t="s">
        <v>617</v>
      </c>
      <c r="D1757">
        <v>11</v>
      </c>
      <c r="E1757">
        <f>WEEKDAY(makulatura5[[#This Row],[Data_dostarczenia]],2)</f>
        <v>1</v>
      </c>
      <c r="F1757" s="2">
        <f t="shared" si="27"/>
        <v>0</v>
      </c>
    </row>
    <row r="1758" spans="1:6" x14ac:dyDescent="0.25">
      <c r="A1758" s="1">
        <v>43031</v>
      </c>
      <c r="B1758" s="2" t="s">
        <v>41</v>
      </c>
      <c r="C1758" s="2" t="s">
        <v>42</v>
      </c>
      <c r="D1758">
        <v>27</v>
      </c>
      <c r="E1758">
        <f>WEEKDAY(makulatura5[[#This Row],[Data_dostarczenia]],2)</f>
        <v>1</v>
      </c>
      <c r="F1758" s="2">
        <f t="shared" si="27"/>
        <v>0</v>
      </c>
    </row>
    <row r="1759" spans="1:6" x14ac:dyDescent="0.25">
      <c r="A1759" s="1">
        <v>43031</v>
      </c>
      <c r="B1759" s="2" t="s">
        <v>150</v>
      </c>
      <c r="C1759" s="2" t="s">
        <v>200</v>
      </c>
      <c r="D1759">
        <v>14</v>
      </c>
      <c r="E1759">
        <f>WEEKDAY(makulatura5[[#This Row],[Data_dostarczenia]],2)</f>
        <v>1</v>
      </c>
      <c r="F1759" s="2">
        <f t="shared" si="27"/>
        <v>0</v>
      </c>
    </row>
    <row r="1760" spans="1:6" x14ac:dyDescent="0.25">
      <c r="A1760" s="1">
        <v>43031</v>
      </c>
      <c r="B1760" s="2" t="s">
        <v>449</v>
      </c>
      <c r="C1760" s="2" t="s">
        <v>382</v>
      </c>
      <c r="D1760">
        <v>37</v>
      </c>
      <c r="E1760">
        <f>WEEKDAY(makulatura5[[#This Row],[Data_dostarczenia]],2)</f>
        <v>1</v>
      </c>
      <c r="F1760" s="2">
        <f t="shared" si="27"/>
        <v>0</v>
      </c>
    </row>
    <row r="1761" spans="1:6" x14ac:dyDescent="0.25">
      <c r="A1761" s="1">
        <v>43031</v>
      </c>
      <c r="B1761" s="2" t="s">
        <v>221</v>
      </c>
      <c r="C1761" s="2" t="s">
        <v>348</v>
      </c>
      <c r="D1761">
        <v>49</v>
      </c>
      <c r="E1761">
        <f>WEEKDAY(makulatura5[[#This Row],[Data_dostarczenia]],2)</f>
        <v>1</v>
      </c>
      <c r="F1761" s="2">
        <f t="shared" si="27"/>
        <v>0</v>
      </c>
    </row>
    <row r="1762" spans="1:6" x14ac:dyDescent="0.25">
      <c r="A1762" s="1">
        <v>43031</v>
      </c>
      <c r="B1762" s="2" t="s">
        <v>126</v>
      </c>
      <c r="C1762" s="2" t="s">
        <v>127</v>
      </c>
      <c r="D1762">
        <v>12</v>
      </c>
      <c r="E1762">
        <f>WEEKDAY(makulatura5[[#This Row],[Data_dostarczenia]],2)</f>
        <v>1</v>
      </c>
      <c r="F1762" s="2">
        <f t="shared" si="27"/>
        <v>0</v>
      </c>
    </row>
    <row r="1763" spans="1:6" x14ac:dyDescent="0.25">
      <c r="A1763" s="1">
        <v>43031</v>
      </c>
      <c r="B1763" s="2" t="s">
        <v>688</v>
      </c>
      <c r="C1763" s="2" t="s">
        <v>689</v>
      </c>
      <c r="D1763">
        <v>16</v>
      </c>
      <c r="E1763">
        <f>WEEKDAY(makulatura5[[#This Row],[Data_dostarczenia]],2)</f>
        <v>1</v>
      </c>
      <c r="F1763" s="2">
        <f t="shared" si="27"/>
        <v>0</v>
      </c>
    </row>
    <row r="1764" spans="1:6" x14ac:dyDescent="0.25">
      <c r="A1764" s="1">
        <v>43031</v>
      </c>
      <c r="B1764" s="2" t="s">
        <v>34</v>
      </c>
      <c r="C1764" s="2" t="s">
        <v>557</v>
      </c>
      <c r="D1764">
        <v>20</v>
      </c>
      <c r="E1764">
        <f>WEEKDAY(makulatura5[[#This Row],[Data_dostarczenia]],2)</f>
        <v>1</v>
      </c>
      <c r="F1764" s="2">
        <f t="shared" si="27"/>
        <v>0</v>
      </c>
    </row>
    <row r="1765" spans="1:6" x14ac:dyDescent="0.25">
      <c r="A1765" s="1">
        <v>43031</v>
      </c>
      <c r="B1765" s="2" t="s">
        <v>101</v>
      </c>
      <c r="C1765" s="2" t="s">
        <v>610</v>
      </c>
      <c r="D1765">
        <v>19</v>
      </c>
      <c r="E1765">
        <f>WEEKDAY(makulatura5[[#This Row],[Data_dostarczenia]],2)</f>
        <v>1</v>
      </c>
      <c r="F1765" s="2">
        <f t="shared" si="27"/>
        <v>0</v>
      </c>
    </row>
    <row r="1766" spans="1:6" x14ac:dyDescent="0.25">
      <c r="A1766" s="1">
        <v>43031</v>
      </c>
      <c r="B1766" s="2" t="s">
        <v>341</v>
      </c>
      <c r="C1766" s="2" t="s">
        <v>342</v>
      </c>
      <c r="D1766">
        <v>17</v>
      </c>
      <c r="E1766">
        <f>WEEKDAY(makulatura5[[#This Row],[Data_dostarczenia]],2)</f>
        <v>1</v>
      </c>
      <c r="F1766" s="2">
        <f t="shared" si="27"/>
        <v>0</v>
      </c>
    </row>
    <row r="1767" spans="1:6" x14ac:dyDescent="0.25">
      <c r="A1767" s="1">
        <v>43031</v>
      </c>
      <c r="B1767" s="2" t="s">
        <v>427</v>
      </c>
      <c r="C1767" s="2" t="s">
        <v>118</v>
      </c>
      <c r="D1767">
        <v>24</v>
      </c>
      <c r="E1767">
        <f>WEEKDAY(makulatura5[[#This Row],[Data_dostarczenia]],2)</f>
        <v>1</v>
      </c>
      <c r="F1767" s="2">
        <f t="shared" si="27"/>
        <v>0</v>
      </c>
    </row>
    <row r="1768" spans="1:6" x14ac:dyDescent="0.25">
      <c r="A1768" s="1">
        <v>43031</v>
      </c>
      <c r="B1768" s="2" t="s">
        <v>67</v>
      </c>
      <c r="C1768" s="2" t="s">
        <v>68</v>
      </c>
      <c r="D1768">
        <v>28</v>
      </c>
      <c r="E1768">
        <f>WEEKDAY(makulatura5[[#This Row],[Data_dostarczenia]],2)</f>
        <v>1</v>
      </c>
      <c r="F1768" s="2">
        <f t="shared" si="27"/>
        <v>0</v>
      </c>
    </row>
    <row r="1769" spans="1:6" x14ac:dyDescent="0.25">
      <c r="A1769" s="1">
        <v>43031</v>
      </c>
      <c r="B1769" s="2" t="s">
        <v>69</v>
      </c>
      <c r="C1769" s="2" t="s">
        <v>286</v>
      </c>
      <c r="D1769">
        <v>14</v>
      </c>
      <c r="E1769">
        <f>WEEKDAY(makulatura5[[#This Row],[Data_dostarczenia]],2)</f>
        <v>1</v>
      </c>
      <c r="F1769" s="2">
        <f t="shared" si="27"/>
        <v>0</v>
      </c>
    </row>
    <row r="1770" spans="1:6" x14ac:dyDescent="0.25">
      <c r="A1770" s="1">
        <v>43031</v>
      </c>
      <c r="B1770" s="2" t="s">
        <v>178</v>
      </c>
      <c r="C1770" s="2" t="s">
        <v>335</v>
      </c>
      <c r="D1770">
        <v>47</v>
      </c>
      <c r="E1770">
        <f>WEEKDAY(makulatura5[[#This Row],[Data_dostarczenia]],2)</f>
        <v>1</v>
      </c>
      <c r="F1770" s="2">
        <f t="shared" si="27"/>
        <v>0</v>
      </c>
    </row>
    <row r="1771" spans="1:6" x14ac:dyDescent="0.25">
      <c r="A1771" s="1">
        <v>43031</v>
      </c>
      <c r="B1771" s="2" t="s">
        <v>150</v>
      </c>
      <c r="C1771" s="2" t="s">
        <v>140</v>
      </c>
      <c r="D1771">
        <v>6</v>
      </c>
      <c r="E1771">
        <f>WEEKDAY(makulatura5[[#This Row],[Data_dostarczenia]],2)</f>
        <v>1</v>
      </c>
      <c r="F1771" s="2">
        <f t="shared" si="27"/>
        <v>1</v>
      </c>
    </row>
    <row r="1772" spans="1:6" x14ac:dyDescent="0.25">
      <c r="A1772" s="1">
        <v>43032</v>
      </c>
      <c r="B1772" s="2" t="s">
        <v>536</v>
      </c>
      <c r="C1772" s="2" t="s">
        <v>537</v>
      </c>
      <c r="D1772">
        <v>20</v>
      </c>
      <c r="E1772">
        <f>WEEKDAY(makulatura5[[#This Row],[Data_dostarczenia]],2)</f>
        <v>2</v>
      </c>
      <c r="F1772" s="2">
        <f t="shared" si="27"/>
        <v>0</v>
      </c>
    </row>
    <row r="1773" spans="1:6" x14ac:dyDescent="0.25">
      <c r="A1773" s="1">
        <v>43032</v>
      </c>
      <c r="B1773" s="2" t="s">
        <v>280</v>
      </c>
      <c r="C1773" s="2" t="s">
        <v>447</v>
      </c>
      <c r="D1773">
        <v>9</v>
      </c>
      <c r="E1773">
        <f>WEEKDAY(makulatura5[[#This Row],[Data_dostarczenia]],2)</f>
        <v>2</v>
      </c>
      <c r="F1773" s="2">
        <f t="shared" si="27"/>
        <v>0</v>
      </c>
    </row>
    <row r="1774" spans="1:6" x14ac:dyDescent="0.25">
      <c r="A1774" s="1">
        <v>43032</v>
      </c>
      <c r="B1774" s="2" t="s">
        <v>87</v>
      </c>
      <c r="C1774" s="2" t="s">
        <v>251</v>
      </c>
      <c r="D1774">
        <v>43</v>
      </c>
      <c r="E1774">
        <f>WEEKDAY(makulatura5[[#This Row],[Data_dostarczenia]],2)</f>
        <v>2</v>
      </c>
      <c r="F1774" s="2">
        <f t="shared" si="27"/>
        <v>0</v>
      </c>
    </row>
    <row r="1775" spans="1:6" x14ac:dyDescent="0.25">
      <c r="A1775" s="1">
        <v>43032</v>
      </c>
      <c r="B1775" s="2" t="s">
        <v>63</v>
      </c>
      <c r="C1775" s="2" t="s">
        <v>671</v>
      </c>
      <c r="D1775">
        <v>50</v>
      </c>
      <c r="E1775">
        <f>WEEKDAY(makulatura5[[#This Row],[Data_dostarczenia]],2)</f>
        <v>2</v>
      </c>
      <c r="F1775" s="2">
        <f t="shared" si="27"/>
        <v>0</v>
      </c>
    </row>
    <row r="1776" spans="1:6" x14ac:dyDescent="0.25">
      <c r="A1776" s="1">
        <v>43032</v>
      </c>
      <c r="B1776" s="2" t="s">
        <v>83</v>
      </c>
      <c r="C1776" s="2" t="s">
        <v>513</v>
      </c>
      <c r="D1776">
        <v>13</v>
      </c>
      <c r="E1776">
        <f>WEEKDAY(makulatura5[[#This Row],[Data_dostarczenia]],2)</f>
        <v>2</v>
      </c>
      <c r="F1776" s="2">
        <f t="shared" si="27"/>
        <v>0</v>
      </c>
    </row>
    <row r="1777" spans="1:6" x14ac:dyDescent="0.25">
      <c r="A1777" s="1">
        <v>43032</v>
      </c>
      <c r="B1777" s="2" t="s">
        <v>27</v>
      </c>
      <c r="C1777" s="2" t="s">
        <v>683</v>
      </c>
      <c r="D1777">
        <v>30</v>
      </c>
      <c r="E1777">
        <f>WEEKDAY(makulatura5[[#This Row],[Data_dostarczenia]],2)</f>
        <v>2</v>
      </c>
      <c r="F1777" s="2">
        <f t="shared" si="27"/>
        <v>0</v>
      </c>
    </row>
    <row r="1778" spans="1:6" x14ac:dyDescent="0.25">
      <c r="A1778" s="1">
        <v>43032</v>
      </c>
      <c r="B1778" s="2" t="s">
        <v>290</v>
      </c>
      <c r="C1778" s="2" t="s">
        <v>291</v>
      </c>
      <c r="D1778">
        <v>7</v>
      </c>
      <c r="E1778">
        <f>WEEKDAY(makulatura5[[#This Row],[Data_dostarczenia]],2)</f>
        <v>2</v>
      </c>
      <c r="F1778" s="2">
        <f t="shared" si="27"/>
        <v>0</v>
      </c>
    </row>
    <row r="1779" spans="1:6" x14ac:dyDescent="0.25">
      <c r="A1779" s="1">
        <v>43032</v>
      </c>
      <c r="B1779" s="2" t="s">
        <v>150</v>
      </c>
      <c r="C1779" s="2" t="s">
        <v>601</v>
      </c>
      <c r="D1779">
        <v>52</v>
      </c>
      <c r="E1779">
        <f>WEEKDAY(makulatura5[[#This Row],[Data_dostarczenia]],2)</f>
        <v>2</v>
      </c>
      <c r="F1779" s="2">
        <f t="shared" si="27"/>
        <v>0</v>
      </c>
    </row>
    <row r="1780" spans="1:6" x14ac:dyDescent="0.25">
      <c r="A1780" s="1">
        <v>43032</v>
      </c>
      <c r="B1780" s="2" t="s">
        <v>83</v>
      </c>
      <c r="C1780" s="2" t="s">
        <v>455</v>
      </c>
      <c r="D1780">
        <v>7</v>
      </c>
      <c r="E1780">
        <f>WEEKDAY(makulatura5[[#This Row],[Data_dostarczenia]],2)</f>
        <v>2</v>
      </c>
      <c r="F1780" s="2">
        <f t="shared" si="27"/>
        <v>0</v>
      </c>
    </row>
    <row r="1781" spans="1:6" x14ac:dyDescent="0.25">
      <c r="A1781" s="1">
        <v>43032</v>
      </c>
      <c r="B1781" s="2" t="s">
        <v>174</v>
      </c>
      <c r="C1781" s="2" t="s">
        <v>415</v>
      </c>
      <c r="D1781">
        <v>6</v>
      </c>
      <c r="E1781">
        <f>WEEKDAY(makulatura5[[#This Row],[Data_dostarczenia]],2)</f>
        <v>2</v>
      </c>
      <c r="F1781" s="2">
        <f t="shared" si="27"/>
        <v>0</v>
      </c>
    </row>
    <row r="1782" spans="1:6" x14ac:dyDescent="0.25">
      <c r="A1782" s="1">
        <v>43032</v>
      </c>
      <c r="B1782" s="2" t="s">
        <v>30</v>
      </c>
      <c r="C1782" s="2" t="s">
        <v>680</v>
      </c>
      <c r="D1782">
        <v>4</v>
      </c>
      <c r="E1782">
        <f>WEEKDAY(makulatura5[[#This Row],[Data_dostarczenia]],2)</f>
        <v>2</v>
      </c>
      <c r="F1782" s="2">
        <f t="shared" si="27"/>
        <v>0</v>
      </c>
    </row>
    <row r="1783" spans="1:6" x14ac:dyDescent="0.25">
      <c r="A1783" s="1">
        <v>43032</v>
      </c>
      <c r="B1783" s="2" t="s">
        <v>67</v>
      </c>
      <c r="C1783" s="2" t="s">
        <v>670</v>
      </c>
      <c r="D1783">
        <v>56</v>
      </c>
      <c r="E1783">
        <f>WEEKDAY(makulatura5[[#This Row],[Data_dostarczenia]],2)</f>
        <v>2</v>
      </c>
      <c r="F1783" s="2">
        <f t="shared" si="27"/>
        <v>0</v>
      </c>
    </row>
    <row r="1784" spans="1:6" x14ac:dyDescent="0.25">
      <c r="A1784" s="1">
        <v>43032</v>
      </c>
      <c r="B1784" s="2" t="s">
        <v>106</v>
      </c>
      <c r="C1784" s="2" t="s">
        <v>277</v>
      </c>
      <c r="D1784">
        <v>54</v>
      </c>
      <c r="E1784">
        <f>WEEKDAY(makulatura5[[#This Row],[Data_dostarczenia]],2)</f>
        <v>2</v>
      </c>
      <c r="F1784" s="2">
        <f t="shared" si="27"/>
        <v>0</v>
      </c>
    </row>
    <row r="1785" spans="1:6" x14ac:dyDescent="0.25">
      <c r="A1785" s="1">
        <v>43032</v>
      </c>
      <c r="B1785" s="2" t="s">
        <v>395</v>
      </c>
      <c r="C1785" s="2" t="s">
        <v>587</v>
      </c>
      <c r="D1785">
        <v>10</v>
      </c>
      <c r="E1785">
        <f>WEEKDAY(makulatura5[[#This Row],[Data_dostarczenia]],2)</f>
        <v>2</v>
      </c>
      <c r="F1785" s="2">
        <f t="shared" si="27"/>
        <v>0</v>
      </c>
    </row>
    <row r="1786" spans="1:6" x14ac:dyDescent="0.25">
      <c r="A1786" s="1">
        <v>43032</v>
      </c>
      <c r="B1786" s="2" t="s">
        <v>87</v>
      </c>
      <c r="C1786" s="2" t="s">
        <v>88</v>
      </c>
      <c r="D1786">
        <v>4</v>
      </c>
      <c r="E1786">
        <f>WEEKDAY(makulatura5[[#This Row],[Data_dostarczenia]],2)</f>
        <v>2</v>
      </c>
      <c r="F1786" s="2">
        <f t="shared" si="27"/>
        <v>0</v>
      </c>
    </row>
    <row r="1787" spans="1:6" x14ac:dyDescent="0.25">
      <c r="A1787" s="1">
        <v>43032</v>
      </c>
      <c r="B1787" s="2" t="s">
        <v>117</v>
      </c>
      <c r="C1787" s="2" t="s">
        <v>118</v>
      </c>
      <c r="D1787">
        <v>27</v>
      </c>
      <c r="E1787">
        <f>WEEKDAY(makulatura5[[#This Row],[Data_dostarczenia]],2)</f>
        <v>2</v>
      </c>
      <c r="F1787" s="2">
        <f t="shared" si="27"/>
        <v>0</v>
      </c>
    </row>
    <row r="1788" spans="1:6" x14ac:dyDescent="0.25">
      <c r="A1788" s="1">
        <v>43032</v>
      </c>
      <c r="B1788" s="2" t="s">
        <v>150</v>
      </c>
      <c r="C1788" s="2" t="s">
        <v>298</v>
      </c>
      <c r="D1788">
        <v>10</v>
      </c>
      <c r="E1788">
        <f>WEEKDAY(makulatura5[[#This Row],[Data_dostarczenia]],2)</f>
        <v>2</v>
      </c>
      <c r="F1788" s="2">
        <f t="shared" si="27"/>
        <v>1</v>
      </c>
    </row>
    <row r="1789" spans="1:6" x14ac:dyDescent="0.25">
      <c r="A1789" s="1">
        <v>43033</v>
      </c>
      <c r="B1789" s="2" t="s">
        <v>114</v>
      </c>
      <c r="C1789" s="2" t="s">
        <v>653</v>
      </c>
      <c r="D1789">
        <v>11</v>
      </c>
      <c r="E1789">
        <f>WEEKDAY(makulatura5[[#This Row],[Data_dostarczenia]],2)</f>
        <v>3</v>
      </c>
      <c r="F1789" s="2">
        <f t="shared" si="27"/>
        <v>0</v>
      </c>
    </row>
    <row r="1790" spans="1:6" x14ac:dyDescent="0.25">
      <c r="A1790" s="1">
        <v>43033</v>
      </c>
      <c r="B1790" s="2" t="s">
        <v>18</v>
      </c>
      <c r="C1790" s="2" t="s">
        <v>354</v>
      </c>
      <c r="D1790">
        <v>46</v>
      </c>
      <c r="E1790">
        <f>WEEKDAY(makulatura5[[#This Row],[Data_dostarczenia]],2)</f>
        <v>3</v>
      </c>
      <c r="F1790" s="2">
        <f t="shared" si="27"/>
        <v>0</v>
      </c>
    </row>
    <row r="1791" spans="1:6" x14ac:dyDescent="0.25">
      <c r="A1791" s="1">
        <v>43033</v>
      </c>
      <c r="B1791" s="2" t="s">
        <v>18</v>
      </c>
      <c r="C1791" s="2" t="s">
        <v>597</v>
      </c>
      <c r="D1791">
        <v>28</v>
      </c>
      <c r="E1791">
        <f>WEEKDAY(makulatura5[[#This Row],[Data_dostarczenia]],2)</f>
        <v>3</v>
      </c>
      <c r="F1791" s="2">
        <f t="shared" si="27"/>
        <v>0</v>
      </c>
    </row>
    <row r="1792" spans="1:6" x14ac:dyDescent="0.25">
      <c r="A1792" s="1">
        <v>43033</v>
      </c>
      <c r="B1792" s="2" t="s">
        <v>53</v>
      </c>
      <c r="C1792" s="2" t="s">
        <v>191</v>
      </c>
      <c r="D1792">
        <v>21</v>
      </c>
      <c r="E1792">
        <f>WEEKDAY(makulatura5[[#This Row],[Data_dostarczenia]],2)</f>
        <v>3</v>
      </c>
      <c r="F1792" s="2">
        <f t="shared" si="27"/>
        <v>0</v>
      </c>
    </row>
    <row r="1793" spans="1:6" x14ac:dyDescent="0.25">
      <c r="A1793" s="1">
        <v>43033</v>
      </c>
      <c r="B1793" s="2" t="s">
        <v>18</v>
      </c>
      <c r="C1793" s="2" t="s">
        <v>392</v>
      </c>
      <c r="D1793">
        <v>2</v>
      </c>
      <c r="E1793">
        <f>WEEKDAY(makulatura5[[#This Row],[Data_dostarczenia]],2)</f>
        <v>3</v>
      </c>
      <c r="F1793" s="2">
        <f t="shared" si="27"/>
        <v>0</v>
      </c>
    </row>
    <row r="1794" spans="1:6" x14ac:dyDescent="0.25">
      <c r="A1794" s="1">
        <v>43033</v>
      </c>
      <c r="B1794" s="2" t="s">
        <v>603</v>
      </c>
      <c r="C1794" s="2" t="s">
        <v>439</v>
      </c>
      <c r="D1794">
        <v>15</v>
      </c>
      <c r="E1794">
        <f>WEEKDAY(makulatura5[[#This Row],[Data_dostarczenia]],2)</f>
        <v>3</v>
      </c>
      <c r="F1794" s="2">
        <f t="shared" ref="F1794:F1857" si="28">IF(A1795=A1794,0,1)</f>
        <v>0</v>
      </c>
    </row>
    <row r="1795" spans="1:6" x14ac:dyDescent="0.25">
      <c r="A1795" s="1">
        <v>43033</v>
      </c>
      <c r="B1795" s="2" t="s">
        <v>152</v>
      </c>
      <c r="C1795" s="2" t="s">
        <v>153</v>
      </c>
      <c r="D1795">
        <v>34</v>
      </c>
      <c r="E1795">
        <f>WEEKDAY(makulatura5[[#This Row],[Data_dostarczenia]],2)</f>
        <v>3</v>
      </c>
      <c r="F1795" s="2">
        <f t="shared" si="28"/>
        <v>0</v>
      </c>
    </row>
    <row r="1796" spans="1:6" x14ac:dyDescent="0.25">
      <c r="A1796" s="1">
        <v>43033</v>
      </c>
      <c r="B1796" s="2" t="s">
        <v>55</v>
      </c>
      <c r="C1796" s="2" t="s">
        <v>625</v>
      </c>
      <c r="D1796">
        <v>52</v>
      </c>
      <c r="E1796">
        <f>WEEKDAY(makulatura5[[#This Row],[Data_dostarczenia]],2)</f>
        <v>3</v>
      </c>
      <c r="F1796" s="2">
        <f t="shared" si="28"/>
        <v>0</v>
      </c>
    </row>
    <row r="1797" spans="1:6" x14ac:dyDescent="0.25">
      <c r="A1797" s="1">
        <v>43033</v>
      </c>
      <c r="B1797" s="2" t="s">
        <v>193</v>
      </c>
      <c r="C1797" s="2" t="s">
        <v>228</v>
      </c>
      <c r="D1797">
        <v>49</v>
      </c>
      <c r="E1797">
        <f>WEEKDAY(makulatura5[[#This Row],[Data_dostarczenia]],2)</f>
        <v>3</v>
      </c>
      <c r="F1797" s="2">
        <f t="shared" si="28"/>
        <v>0</v>
      </c>
    </row>
    <row r="1798" spans="1:6" x14ac:dyDescent="0.25">
      <c r="A1798" s="1">
        <v>43033</v>
      </c>
      <c r="B1798" s="2" t="s">
        <v>393</v>
      </c>
      <c r="C1798" s="2" t="s">
        <v>398</v>
      </c>
      <c r="D1798">
        <v>4</v>
      </c>
      <c r="E1798">
        <f>WEEKDAY(makulatura5[[#This Row],[Data_dostarczenia]],2)</f>
        <v>3</v>
      </c>
      <c r="F1798" s="2">
        <f t="shared" si="28"/>
        <v>0</v>
      </c>
    </row>
    <row r="1799" spans="1:6" x14ac:dyDescent="0.25">
      <c r="A1799" s="1">
        <v>43033</v>
      </c>
      <c r="B1799" s="2" t="s">
        <v>131</v>
      </c>
      <c r="C1799" s="2" t="s">
        <v>451</v>
      </c>
      <c r="D1799">
        <v>17</v>
      </c>
      <c r="E1799">
        <f>WEEKDAY(makulatura5[[#This Row],[Data_dostarczenia]],2)</f>
        <v>3</v>
      </c>
      <c r="F1799" s="2">
        <f t="shared" si="28"/>
        <v>0</v>
      </c>
    </row>
    <row r="1800" spans="1:6" x14ac:dyDescent="0.25">
      <c r="A1800" s="1">
        <v>43033</v>
      </c>
      <c r="B1800" s="2" t="s">
        <v>574</v>
      </c>
      <c r="C1800" s="2" t="s">
        <v>607</v>
      </c>
      <c r="D1800">
        <v>8</v>
      </c>
      <c r="E1800">
        <f>WEEKDAY(makulatura5[[#This Row],[Data_dostarczenia]],2)</f>
        <v>3</v>
      </c>
      <c r="F1800" s="2">
        <f t="shared" si="28"/>
        <v>0</v>
      </c>
    </row>
    <row r="1801" spans="1:6" x14ac:dyDescent="0.25">
      <c r="A1801" s="1">
        <v>43033</v>
      </c>
      <c r="B1801" s="2" t="s">
        <v>8</v>
      </c>
      <c r="C1801" s="2" t="s">
        <v>322</v>
      </c>
      <c r="D1801">
        <v>39</v>
      </c>
      <c r="E1801">
        <f>WEEKDAY(makulatura5[[#This Row],[Data_dostarczenia]],2)</f>
        <v>3</v>
      </c>
      <c r="F1801" s="2">
        <f t="shared" si="28"/>
        <v>0</v>
      </c>
    </row>
    <row r="1802" spans="1:6" x14ac:dyDescent="0.25">
      <c r="A1802" s="1">
        <v>43033</v>
      </c>
      <c r="B1802" s="2" t="s">
        <v>201</v>
      </c>
      <c r="C1802" s="2" t="s">
        <v>433</v>
      </c>
      <c r="D1802">
        <v>32</v>
      </c>
      <c r="E1802">
        <f>WEEKDAY(makulatura5[[#This Row],[Data_dostarczenia]],2)</f>
        <v>3</v>
      </c>
      <c r="F1802" s="2">
        <f t="shared" si="28"/>
        <v>0</v>
      </c>
    </row>
    <row r="1803" spans="1:6" x14ac:dyDescent="0.25">
      <c r="A1803" s="1">
        <v>43033</v>
      </c>
      <c r="B1803" s="2" t="s">
        <v>57</v>
      </c>
      <c r="C1803" s="2" t="s">
        <v>429</v>
      </c>
      <c r="D1803">
        <v>12</v>
      </c>
      <c r="E1803">
        <f>WEEKDAY(makulatura5[[#This Row],[Data_dostarczenia]],2)</f>
        <v>3</v>
      </c>
      <c r="F1803" s="2">
        <f t="shared" si="28"/>
        <v>0</v>
      </c>
    </row>
    <row r="1804" spans="1:6" x14ac:dyDescent="0.25">
      <c r="A1804" s="1">
        <v>43033</v>
      </c>
      <c r="B1804" s="2" t="s">
        <v>41</v>
      </c>
      <c r="C1804" s="2" t="s">
        <v>690</v>
      </c>
      <c r="D1804">
        <v>10</v>
      </c>
      <c r="E1804">
        <f>WEEKDAY(makulatura5[[#This Row],[Data_dostarczenia]],2)</f>
        <v>3</v>
      </c>
      <c r="F1804" s="2">
        <f t="shared" si="28"/>
        <v>1</v>
      </c>
    </row>
    <row r="1805" spans="1:6" x14ac:dyDescent="0.25">
      <c r="A1805" s="1">
        <v>43034</v>
      </c>
      <c r="B1805" s="2" t="s">
        <v>178</v>
      </c>
      <c r="C1805" s="2" t="s">
        <v>179</v>
      </c>
      <c r="D1805">
        <v>9</v>
      </c>
      <c r="E1805">
        <f>WEEKDAY(makulatura5[[#This Row],[Data_dostarczenia]],2)</f>
        <v>4</v>
      </c>
      <c r="F1805" s="2">
        <f t="shared" si="28"/>
        <v>0</v>
      </c>
    </row>
    <row r="1806" spans="1:6" x14ac:dyDescent="0.25">
      <c r="A1806" s="1">
        <v>43034</v>
      </c>
      <c r="B1806" s="2" t="s">
        <v>87</v>
      </c>
      <c r="C1806" s="2" t="s">
        <v>397</v>
      </c>
      <c r="D1806">
        <v>26</v>
      </c>
      <c r="E1806">
        <f>WEEKDAY(makulatura5[[#This Row],[Data_dostarczenia]],2)</f>
        <v>4</v>
      </c>
      <c r="F1806" s="2">
        <f t="shared" si="28"/>
        <v>0</v>
      </c>
    </row>
    <row r="1807" spans="1:6" x14ac:dyDescent="0.25">
      <c r="A1807" s="1">
        <v>43034</v>
      </c>
      <c r="B1807" s="2" t="s">
        <v>55</v>
      </c>
      <c r="C1807" s="2" t="s">
        <v>691</v>
      </c>
      <c r="D1807">
        <v>25</v>
      </c>
      <c r="E1807">
        <f>WEEKDAY(makulatura5[[#This Row],[Data_dostarczenia]],2)</f>
        <v>4</v>
      </c>
      <c r="F1807" s="2">
        <f t="shared" si="28"/>
        <v>0</v>
      </c>
    </row>
    <row r="1808" spans="1:6" x14ac:dyDescent="0.25">
      <c r="A1808" s="1">
        <v>43034</v>
      </c>
      <c r="B1808" s="2" t="s">
        <v>141</v>
      </c>
      <c r="C1808" s="2" t="s">
        <v>142</v>
      </c>
      <c r="D1808">
        <v>2</v>
      </c>
      <c r="E1808">
        <f>WEEKDAY(makulatura5[[#This Row],[Data_dostarczenia]],2)</f>
        <v>4</v>
      </c>
      <c r="F1808" s="2">
        <f t="shared" si="28"/>
        <v>0</v>
      </c>
    </row>
    <row r="1809" spans="1:6" x14ac:dyDescent="0.25">
      <c r="A1809" s="1">
        <v>43034</v>
      </c>
      <c r="B1809" s="2" t="s">
        <v>101</v>
      </c>
      <c r="C1809" s="2" t="s">
        <v>293</v>
      </c>
      <c r="D1809">
        <v>23</v>
      </c>
      <c r="E1809">
        <f>WEEKDAY(makulatura5[[#This Row],[Data_dostarczenia]],2)</f>
        <v>4</v>
      </c>
      <c r="F1809" s="2">
        <f t="shared" si="28"/>
        <v>0</v>
      </c>
    </row>
    <row r="1810" spans="1:6" x14ac:dyDescent="0.25">
      <c r="A1810" s="1">
        <v>43034</v>
      </c>
      <c r="B1810" s="2" t="s">
        <v>16</v>
      </c>
      <c r="C1810" s="2" t="s">
        <v>440</v>
      </c>
      <c r="D1810">
        <v>27</v>
      </c>
      <c r="E1810">
        <f>WEEKDAY(makulatura5[[#This Row],[Data_dostarczenia]],2)</f>
        <v>4</v>
      </c>
      <c r="F1810" s="2">
        <f t="shared" si="28"/>
        <v>1</v>
      </c>
    </row>
    <row r="1811" spans="1:6" x14ac:dyDescent="0.25">
      <c r="A1811" s="1">
        <v>43035</v>
      </c>
      <c r="B1811" s="2" t="s">
        <v>236</v>
      </c>
      <c r="C1811" s="2" t="s">
        <v>237</v>
      </c>
      <c r="D1811">
        <v>12</v>
      </c>
      <c r="E1811">
        <f>WEEKDAY(makulatura5[[#This Row],[Data_dostarczenia]],2)</f>
        <v>5</v>
      </c>
      <c r="F1811" s="2">
        <f t="shared" si="28"/>
        <v>0</v>
      </c>
    </row>
    <row r="1812" spans="1:6" x14ac:dyDescent="0.25">
      <c r="A1812" s="1">
        <v>43035</v>
      </c>
      <c r="B1812" s="2" t="s">
        <v>81</v>
      </c>
      <c r="C1812" s="2" t="s">
        <v>145</v>
      </c>
      <c r="D1812">
        <v>22</v>
      </c>
      <c r="E1812">
        <f>WEEKDAY(makulatura5[[#This Row],[Data_dostarczenia]],2)</f>
        <v>5</v>
      </c>
      <c r="F1812" s="2">
        <f t="shared" si="28"/>
        <v>0</v>
      </c>
    </row>
    <row r="1813" spans="1:6" x14ac:dyDescent="0.25">
      <c r="A1813" s="1">
        <v>43035</v>
      </c>
      <c r="B1813" s="2" t="s">
        <v>53</v>
      </c>
      <c r="C1813" s="2" t="s">
        <v>191</v>
      </c>
      <c r="D1813">
        <v>22</v>
      </c>
      <c r="E1813">
        <f>WEEKDAY(makulatura5[[#This Row],[Data_dostarczenia]],2)</f>
        <v>5</v>
      </c>
      <c r="F1813" s="2">
        <f t="shared" si="28"/>
        <v>0</v>
      </c>
    </row>
    <row r="1814" spans="1:6" x14ac:dyDescent="0.25">
      <c r="A1814" s="1">
        <v>43035</v>
      </c>
      <c r="B1814" s="2" t="s">
        <v>30</v>
      </c>
      <c r="C1814" s="2" t="s">
        <v>377</v>
      </c>
      <c r="D1814">
        <v>13</v>
      </c>
      <c r="E1814">
        <f>WEEKDAY(makulatura5[[#This Row],[Data_dostarczenia]],2)</f>
        <v>5</v>
      </c>
      <c r="F1814" s="2">
        <f t="shared" si="28"/>
        <v>0</v>
      </c>
    </row>
    <row r="1815" spans="1:6" x14ac:dyDescent="0.25">
      <c r="A1815" s="1">
        <v>43035</v>
      </c>
      <c r="B1815" s="2" t="s">
        <v>416</v>
      </c>
      <c r="C1815" s="2" t="s">
        <v>417</v>
      </c>
      <c r="D1815">
        <v>8</v>
      </c>
      <c r="E1815">
        <f>WEEKDAY(makulatura5[[#This Row],[Data_dostarczenia]],2)</f>
        <v>5</v>
      </c>
      <c r="F1815" s="2">
        <f t="shared" si="28"/>
        <v>0</v>
      </c>
    </row>
    <row r="1816" spans="1:6" x14ac:dyDescent="0.25">
      <c r="A1816" s="1">
        <v>43035</v>
      </c>
      <c r="B1816" s="2" t="s">
        <v>87</v>
      </c>
      <c r="C1816" s="2" t="s">
        <v>692</v>
      </c>
      <c r="D1816">
        <v>29</v>
      </c>
      <c r="E1816">
        <f>WEEKDAY(makulatura5[[#This Row],[Data_dostarczenia]],2)</f>
        <v>5</v>
      </c>
      <c r="F1816" s="2">
        <f t="shared" si="28"/>
        <v>1</v>
      </c>
    </row>
    <row r="1817" spans="1:6" x14ac:dyDescent="0.25">
      <c r="A1817" s="1">
        <v>43038</v>
      </c>
      <c r="B1817" s="2" t="s">
        <v>393</v>
      </c>
      <c r="C1817" s="2" t="s">
        <v>86</v>
      </c>
      <c r="D1817">
        <v>22</v>
      </c>
      <c r="E1817">
        <f>WEEKDAY(makulatura5[[#This Row],[Data_dostarczenia]],2)</f>
        <v>1</v>
      </c>
      <c r="F1817" s="2">
        <f t="shared" si="28"/>
        <v>0</v>
      </c>
    </row>
    <row r="1818" spans="1:6" x14ac:dyDescent="0.25">
      <c r="A1818" s="1">
        <v>43038</v>
      </c>
      <c r="B1818" s="2" t="s">
        <v>51</v>
      </c>
      <c r="C1818" s="2" t="s">
        <v>522</v>
      </c>
      <c r="D1818">
        <v>16</v>
      </c>
      <c r="E1818">
        <f>WEEKDAY(makulatura5[[#This Row],[Data_dostarczenia]],2)</f>
        <v>1</v>
      </c>
      <c r="F1818" s="2">
        <f t="shared" si="28"/>
        <v>0</v>
      </c>
    </row>
    <row r="1819" spans="1:6" x14ac:dyDescent="0.25">
      <c r="A1819" s="1">
        <v>43038</v>
      </c>
      <c r="B1819" s="2" t="s">
        <v>119</v>
      </c>
      <c r="C1819" s="2" t="s">
        <v>216</v>
      </c>
      <c r="D1819">
        <v>56</v>
      </c>
      <c r="E1819">
        <f>WEEKDAY(makulatura5[[#This Row],[Data_dostarczenia]],2)</f>
        <v>1</v>
      </c>
      <c r="F1819" s="2">
        <f t="shared" si="28"/>
        <v>0</v>
      </c>
    </row>
    <row r="1820" spans="1:6" x14ac:dyDescent="0.25">
      <c r="A1820" s="1">
        <v>43038</v>
      </c>
      <c r="B1820" s="2" t="s">
        <v>143</v>
      </c>
      <c r="C1820" s="2" t="s">
        <v>47</v>
      </c>
      <c r="D1820">
        <v>3</v>
      </c>
      <c r="E1820">
        <f>WEEKDAY(makulatura5[[#This Row],[Data_dostarczenia]],2)</f>
        <v>1</v>
      </c>
      <c r="F1820" s="2">
        <f t="shared" si="28"/>
        <v>0</v>
      </c>
    </row>
    <row r="1821" spans="1:6" x14ac:dyDescent="0.25">
      <c r="A1821" s="1">
        <v>43038</v>
      </c>
      <c r="B1821" s="2" t="s">
        <v>176</v>
      </c>
      <c r="C1821" s="2" t="s">
        <v>693</v>
      </c>
      <c r="D1821">
        <v>46</v>
      </c>
      <c r="E1821">
        <f>WEEKDAY(makulatura5[[#This Row],[Data_dostarczenia]],2)</f>
        <v>1</v>
      </c>
      <c r="F1821" s="2">
        <f t="shared" si="28"/>
        <v>0</v>
      </c>
    </row>
    <row r="1822" spans="1:6" x14ac:dyDescent="0.25">
      <c r="A1822" s="1">
        <v>43038</v>
      </c>
      <c r="B1822" s="2" t="s">
        <v>352</v>
      </c>
      <c r="C1822" s="2" t="s">
        <v>363</v>
      </c>
      <c r="D1822">
        <v>28</v>
      </c>
      <c r="E1822">
        <f>WEEKDAY(makulatura5[[#This Row],[Data_dostarczenia]],2)</f>
        <v>1</v>
      </c>
      <c r="F1822" s="2">
        <f t="shared" si="28"/>
        <v>1</v>
      </c>
    </row>
    <row r="1823" spans="1:6" x14ac:dyDescent="0.25">
      <c r="A1823" s="1">
        <v>43039</v>
      </c>
      <c r="B1823" s="2" t="s">
        <v>18</v>
      </c>
      <c r="C1823" s="2" t="s">
        <v>597</v>
      </c>
      <c r="D1823">
        <v>42</v>
      </c>
      <c r="E1823">
        <f>WEEKDAY(makulatura5[[#This Row],[Data_dostarczenia]],2)</f>
        <v>2</v>
      </c>
      <c r="F1823" s="2">
        <f t="shared" si="28"/>
        <v>0</v>
      </c>
    </row>
    <row r="1824" spans="1:6" x14ac:dyDescent="0.25">
      <c r="A1824" s="1">
        <v>43039</v>
      </c>
      <c r="B1824" s="2" t="s">
        <v>87</v>
      </c>
      <c r="C1824" s="2" t="s">
        <v>397</v>
      </c>
      <c r="D1824">
        <v>7</v>
      </c>
      <c r="E1824">
        <f>WEEKDAY(makulatura5[[#This Row],[Data_dostarczenia]],2)</f>
        <v>2</v>
      </c>
      <c r="F1824" s="2">
        <f t="shared" si="28"/>
        <v>0</v>
      </c>
    </row>
    <row r="1825" spans="1:6" x14ac:dyDescent="0.25">
      <c r="A1825" s="1">
        <v>43039</v>
      </c>
      <c r="B1825" s="2" t="s">
        <v>133</v>
      </c>
      <c r="C1825" s="2" t="s">
        <v>134</v>
      </c>
      <c r="D1825">
        <v>18</v>
      </c>
      <c r="E1825">
        <f>WEEKDAY(makulatura5[[#This Row],[Data_dostarczenia]],2)</f>
        <v>2</v>
      </c>
      <c r="F1825" s="2">
        <f t="shared" si="28"/>
        <v>0</v>
      </c>
    </row>
    <row r="1826" spans="1:6" x14ac:dyDescent="0.25">
      <c r="A1826" s="1">
        <v>43039</v>
      </c>
      <c r="B1826" s="2" t="s">
        <v>150</v>
      </c>
      <c r="C1826" s="2" t="s">
        <v>313</v>
      </c>
      <c r="D1826">
        <v>16</v>
      </c>
      <c r="E1826">
        <f>WEEKDAY(makulatura5[[#This Row],[Data_dostarczenia]],2)</f>
        <v>2</v>
      </c>
      <c r="F1826" s="2">
        <f t="shared" si="28"/>
        <v>0</v>
      </c>
    </row>
    <row r="1827" spans="1:6" x14ac:dyDescent="0.25">
      <c r="A1827" s="1">
        <v>43039</v>
      </c>
      <c r="B1827" s="2" t="s">
        <v>201</v>
      </c>
      <c r="C1827" s="2" t="s">
        <v>357</v>
      </c>
      <c r="D1827">
        <v>12</v>
      </c>
      <c r="E1827">
        <f>WEEKDAY(makulatura5[[#This Row],[Data_dostarczenia]],2)</f>
        <v>2</v>
      </c>
      <c r="F1827" s="2">
        <f t="shared" si="28"/>
        <v>0</v>
      </c>
    </row>
    <row r="1828" spans="1:6" x14ac:dyDescent="0.25">
      <c r="A1828" s="1">
        <v>43039</v>
      </c>
      <c r="B1828" s="2" t="s">
        <v>147</v>
      </c>
      <c r="C1828" s="2" t="s">
        <v>644</v>
      </c>
      <c r="D1828">
        <v>4</v>
      </c>
      <c r="E1828">
        <f>WEEKDAY(makulatura5[[#This Row],[Data_dostarczenia]],2)</f>
        <v>2</v>
      </c>
      <c r="F1828" s="2">
        <f t="shared" si="28"/>
        <v>0</v>
      </c>
    </row>
    <row r="1829" spans="1:6" x14ac:dyDescent="0.25">
      <c r="A1829" s="1">
        <v>43039</v>
      </c>
      <c r="B1829" s="2" t="s">
        <v>681</v>
      </c>
      <c r="C1829" s="2" t="s">
        <v>682</v>
      </c>
      <c r="D1829">
        <v>36</v>
      </c>
      <c r="E1829">
        <f>WEEKDAY(makulatura5[[#This Row],[Data_dostarczenia]],2)</f>
        <v>2</v>
      </c>
      <c r="F1829" s="2">
        <f t="shared" si="28"/>
        <v>0</v>
      </c>
    </row>
    <row r="1830" spans="1:6" x14ac:dyDescent="0.25">
      <c r="A1830" s="1">
        <v>43039</v>
      </c>
      <c r="B1830" s="2" t="s">
        <v>201</v>
      </c>
      <c r="C1830" s="2" t="s">
        <v>433</v>
      </c>
      <c r="D1830">
        <v>22</v>
      </c>
      <c r="E1830">
        <f>WEEKDAY(makulatura5[[#This Row],[Data_dostarczenia]],2)</f>
        <v>2</v>
      </c>
      <c r="F1830" s="2">
        <f t="shared" si="28"/>
        <v>0</v>
      </c>
    </row>
    <row r="1831" spans="1:6" x14ac:dyDescent="0.25">
      <c r="A1831" s="1">
        <v>43039</v>
      </c>
      <c r="B1831" s="2" t="s">
        <v>278</v>
      </c>
      <c r="C1831" s="2" t="s">
        <v>530</v>
      </c>
      <c r="D1831">
        <v>22</v>
      </c>
      <c r="E1831">
        <f>WEEKDAY(makulatura5[[#This Row],[Data_dostarczenia]],2)</f>
        <v>2</v>
      </c>
      <c r="F1831" s="2">
        <f t="shared" si="28"/>
        <v>0</v>
      </c>
    </row>
    <row r="1832" spans="1:6" x14ac:dyDescent="0.25">
      <c r="A1832" s="1">
        <v>43039</v>
      </c>
      <c r="B1832" s="2" t="s">
        <v>144</v>
      </c>
      <c r="C1832" s="2" t="s">
        <v>390</v>
      </c>
      <c r="D1832">
        <v>10</v>
      </c>
      <c r="E1832">
        <f>WEEKDAY(makulatura5[[#This Row],[Data_dostarczenia]],2)</f>
        <v>2</v>
      </c>
      <c r="F1832" s="2">
        <f t="shared" si="28"/>
        <v>0</v>
      </c>
    </row>
    <row r="1833" spans="1:6" x14ac:dyDescent="0.25">
      <c r="A1833" s="1">
        <v>43039</v>
      </c>
      <c r="B1833" s="2" t="s">
        <v>25</v>
      </c>
      <c r="C1833" s="2" t="s">
        <v>26</v>
      </c>
      <c r="D1833">
        <v>3</v>
      </c>
      <c r="E1833">
        <f>WEEKDAY(makulatura5[[#This Row],[Data_dostarczenia]],2)</f>
        <v>2</v>
      </c>
      <c r="F1833" s="2">
        <f t="shared" si="28"/>
        <v>0</v>
      </c>
    </row>
    <row r="1834" spans="1:6" x14ac:dyDescent="0.25">
      <c r="A1834" s="1">
        <v>43039</v>
      </c>
      <c r="B1834" s="2" t="s">
        <v>36</v>
      </c>
      <c r="C1834" s="2" t="s">
        <v>404</v>
      </c>
      <c r="D1834">
        <v>8</v>
      </c>
      <c r="E1834">
        <f>WEEKDAY(makulatura5[[#This Row],[Data_dostarczenia]],2)</f>
        <v>2</v>
      </c>
      <c r="F1834" s="2">
        <f t="shared" si="28"/>
        <v>0</v>
      </c>
    </row>
    <row r="1835" spans="1:6" x14ac:dyDescent="0.25">
      <c r="A1835" s="1">
        <v>43039</v>
      </c>
      <c r="B1835" s="2" t="s">
        <v>514</v>
      </c>
      <c r="C1835" s="2" t="s">
        <v>515</v>
      </c>
      <c r="D1835">
        <v>7</v>
      </c>
      <c r="E1835">
        <f>WEEKDAY(makulatura5[[#This Row],[Data_dostarczenia]],2)</f>
        <v>2</v>
      </c>
      <c r="F1835" s="2">
        <f t="shared" si="28"/>
        <v>0</v>
      </c>
    </row>
    <row r="1836" spans="1:6" x14ac:dyDescent="0.25">
      <c r="A1836" s="1">
        <v>43039</v>
      </c>
      <c r="B1836" s="2" t="s">
        <v>87</v>
      </c>
      <c r="C1836" s="2" t="s">
        <v>88</v>
      </c>
      <c r="D1836">
        <v>29</v>
      </c>
      <c r="E1836">
        <f>WEEKDAY(makulatura5[[#This Row],[Data_dostarczenia]],2)</f>
        <v>2</v>
      </c>
      <c r="F1836" s="2">
        <f t="shared" si="28"/>
        <v>0</v>
      </c>
    </row>
    <row r="1837" spans="1:6" x14ac:dyDescent="0.25">
      <c r="A1837" s="1">
        <v>43039</v>
      </c>
      <c r="B1837" s="2" t="s">
        <v>47</v>
      </c>
      <c r="C1837" s="2" t="s">
        <v>336</v>
      </c>
      <c r="D1837">
        <v>7</v>
      </c>
      <c r="E1837">
        <f>WEEKDAY(makulatura5[[#This Row],[Data_dostarczenia]],2)</f>
        <v>2</v>
      </c>
      <c r="F1837" s="2">
        <f t="shared" si="28"/>
        <v>0</v>
      </c>
    </row>
    <row r="1838" spans="1:6" x14ac:dyDescent="0.25">
      <c r="A1838" s="1">
        <v>43039</v>
      </c>
      <c r="B1838" s="2" t="s">
        <v>23</v>
      </c>
      <c r="C1838" s="2" t="s">
        <v>163</v>
      </c>
      <c r="D1838">
        <v>20</v>
      </c>
      <c r="E1838">
        <f>WEEKDAY(makulatura5[[#This Row],[Data_dostarczenia]],2)</f>
        <v>2</v>
      </c>
      <c r="F1838" s="2">
        <f t="shared" si="28"/>
        <v>0</v>
      </c>
    </row>
    <row r="1839" spans="1:6" x14ac:dyDescent="0.25">
      <c r="A1839" s="1">
        <v>43039</v>
      </c>
      <c r="B1839" s="2" t="s">
        <v>81</v>
      </c>
      <c r="C1839" s="2" t="s">
        <v>145</v>
      </c>
      <c r="D1839">
        <v>13</v>
      </c>
      <c r="E1839">
        <f>WEEKDAY(makulatura5[[#This Row],[Data_dostarczenia]],2)</f>
        <v>2</v>
      </c>
      <c r="F1839" s="2">
        <f t="shared" si="28"/>
        <v>1</v>
      </c>
    </row>
    <row r="1840" spans="1:6" x14ac:dyDescent="0.25">
      <c r="A1840" s="1">
        <v>43040</v>
      </c>
      <c r="B1840" s="2" t="s">
        <v>69</v>
      </c>
      <c r="C1840" s="2" t="s">
        <v>70</v>
      </c>
      <c r="D1840">
        <v>12</v>
      </c>
      <c r="E1840">
        <f>WEEKDAY(makulatura5[[#This Row],[Data_dostarczenia]],2)</f>
        <v>3</v>
      </c>
      <c r="F1840" s="2">
        <f t="shared" si="28"/>
        <v>0</v>
      </c>
    </row>
    <row r="1841" spans="1:6" x14ac:dyDescent="0.25">
      <c r="A1841" s="1">
        <v>43040</v>
      </c>
      <c r="B1841" s="2" t="s">
        <v>81</v>
      </c>
      <c r="C1841" s="2" t="s">
        <v>496</v>
      </c>
      <c r="D1841">
        <v>16</v>
      </c>
      <c r="E1841">
        <f>WEEKDAY(makulatura5[[#This Row],[Data_dostarczenia]],2)</f>
        <v>3</v>
      </c>
      <c r="F1841" s="2">
        <f t="shared" si="28"/>
        <v>0</v>
      </c>
    </row>
    <row r="1842" spans="1:6" x14ac:dyDescent="0.25">
      <c r="A1842" s="1">
        <v>43040</v>
      </c>
      <c r="B1842" s="2" t="s">
        <v>77</v>
      </c>
      <c r="C1842" s="2" t="s">
        <v>384</v>
      </c>
      <c r="D1842">
        <v>11</v>
      </c>
      <c r="E1842">
        <f>WEEKDAY(makulatura5[[#This Row],[Data_dostarczenia]],2)</f>
        <v>3</v>
      </c>
      <c r="F1842" s="2">
        <f t="shared" si="28"/>
        <v>0</v>
      </c>
    </row>
    <row r="1843" spans="1:6" x14ac:dyDescent="0.25">
      <c r="A1843" s="1">
        <v>43040</v>
      </c>
      <c r="B1843" s="2" t="s">
        <v>51</v>
      </c>
      <c r="C1843" s="2" t="s">
        <v>52</v>
      </c>
      <c r="D1843">
        <v>40</v>
      </c>
      <c r="E1843">
        <f>WEEKDAY(makulatura5[[#This Row],[Data_dostarczenia]],2)</f>
        <v>3</v>
      </c>
      <c r="F1843" s="2">
        <f t="shared" si="28"/>
        <v>0</v>
      </c>
    </row>
    <row r="1844" spans="1:6" x14ac:dyDescent="0.25">
      <c r="A1844" s="1">
        <v>43040</v>
      </c>
      <c r="B1844" s="2" t="s">
        <v>39</v>
      </c>
      <c r="C1844" s="2" t="s">
        <v>400</v>
      </c>
      <c r="D1844">
        <v>34</v>
      </c>
      <c r="E1844">
        <f>WEEKDAY(makulatura5[[#This Row],[Data_dostarczenia]],2)</f>
        <v>3</v>
      </c>
      <c r="F1844" s="2">
        <f t="shared" si="28"/>
        <v>0</v>
      </c>
    </row>
    <row r="1845" spans="1:6" x14ac:dyDescent="0.25">
      <c r="A1845" s="1">
        <v>43040</v>
      </c>
      <c r="B1845" s="2" t="s">
        <v>53</v>
      </c>
      <c r="C1845" s="2" t="s">
        <v>227</v>
      </c>
      <c r="D1845">
        <v>36</v>
      </c>
      <c r="E1845">
        <f>WEEKDAY(makulatura5[[#This Row],[Data_dostarczenia]],2)</f>
        <v>3</v>
      </c>
      <c r="F1845" s="2">
        <f t="shared" si="28"/>
        <v>0</v>
      </c>
    </row>
    <row r="1846" spans="1:6" x14ac:dyDescent="0.25">
      <c r="A1846" s="1">
        <v>43040</v>
      </c>
      <c r="B1846" s="2" t="s">
        <v>45</v>
      </c>
      <c r="C1846" s="2" t="s">
        <v>46</v>
      </c>
      <c r="D1846">
        <v>19</v>
      </c>
      <c r="E1846">
        <f>WEEKDAY(makulatura5[[#This Row],[Data_dostarczenia]],2)</f>
        <v>3</v>
      </c>
      <c r="F1846" s="2">
        <f t="shared" si="28"/>
        <v>0</v>
      </c>
    </row>
    <row r="1847" spans="1:6" x14ac:dyDescent="0.25">
      <c r="A1847" s="1">
        <v>43040</v>
      </c>
      <c r="B1847" s="2" t="s">
        <v>41</v>
      </c>
      <c r="C1847" s="2" t="s">
        <v>614</v>
      </c>
      <c r="D1847">
        <v>22</v>
      </c>
      <c r="E1847">
        <f>WEEKDAY(makulatura5[[#This Row],[Data_dostarczenia]],2)</f>
        <v>3</v>
      </c>
      <c r="F1847" s="2">
        <f t="shared" si="28"/>
        <v>0</v>
      </c>
    </row>
    <row r="1848" spans="1:6" x14ac:dyDescent="0.25">
      <c r="A1848" s="1">
        <v>43040</v>
      </c>
      <c r="B1848" s="2" t="s">
        <v>128</v>
      </c>
      <c r="C1848" s="2" t="s">
        <v>250</v>
      </c>
      <c r="D1848">
        <v>12</v>
      </c>
      <c r="E1848">
        <f>WEEKDAY(makulatura5[[#This Row],[Data_dostarczenia]],2)</f>
        <v>3</v>
      </c>
      <c r="F1848" s="2">
        <f t="shared" si="28"/>
        <v>0</v>
      </c>
    </row>
    <row r="1849" spans="1:6" x14ac:dyDescent="0.25">
      <c r="A1849" s="1">
        <v>43040</v>
      </c>
      <c r="B1849" s="2" t="s">
        <v>55</v>
      </c>
      <c r="C1849" s="2" t="s">
        <v>691</v>
      </c>
      <c r="D1849">
        <v>28</v>
      </c>
      <c r="E1849">
        <f>WEEKDAY(makulatura5[[#This Row],[Data_dostarczenia]],2)</f>
        <v>3</v>
      </c>
      <c r="F1849" s="2">
        <f t="shared" si="28"/>
        <v>0</v>
      </c>
    </row>
    <row r="1850" spans="1:6" x14ac:dyDescent="0.25">
      <c r="A1850" s="1">
        <v>43040</v>
      </c>
      <c r="B1850" s="2" t="s">
        <v>39</v>
      </c>
      <c r="C1850" s="2" t="s">
        <v>294</v>
      </c>
      <c r="D1850">
        <v>48</v>
      </c>
      <c r="E1850">
        <f>WEEKDAY(makulatura5[[#This Row],[Data_dostarczenia]],2)</f>
        <v>3</v>
      </c>
      <c r="F1850" s="2">
        <f t="shared" si="28"/>
        <v>0</v>
      </c>
    </row>
    <row r="1851" spans="1:6" x14ac:dyDescent="0.25">
      <c r="A1851" s="1">
        <v>43040</v>
      </c>
      <c r="B1851" s="2" t="s">
        <v>61</v>
      </c>
      <c r="C1851" s="2" t="s">
        <v>62</v>
      </c>
      <c r="D1851">
        <v>25</v>
      </c>
      <c r="E1851">
        <f>WEEKDAY(makulatura5[[#This Row],[Data_dostarczenia]],2)</f>
        <v>3</v>
      </c>
      <c r="F1851" s="2">
        <f t="shared" si="28"/>
        <v>0</v>
      </c>
    </row>
    <row r="1852" spans="1:6" x14ac:dyDescent="0.25">
      <c r="A1852" s="1">
        <v>43040</v>
      </c>
      <c r="B1852" s="2" t="s">
        <v>632</v>
      </c>
      <c r="C1852" s="2" t="s">
        <v>633</v>
      </c>
      <c r="D1852">
        <v>16</v>
      </c>
      <c r="E1852">
        <f>WEEKDAY(makulatura5[[#This Row],[Data_dostarczenia]],2)</f>
        <v>3</v>
      </c>
      <c r="F1852" s="2">
        <f t="shared" si="28"/>
        <v>0</v>
      </c>
    </row>
    <row r="1853" spans="1:6" x14ac:dyDescent="0.25">
      <c r="A1853" s="1">
        <v>43040</v>
      </c>
      <c r="B1853" s="2" t="s">
        <v>79</v>
      </c>
      <c r="C1853" s="2" t="s">
        <v>80</v>
      </c>
      <c r="D1853">
        <v>12</v>
      </c>
      <c r="E1853">
        <f>WEEKDAY(makulatura5[[#This Row],[Data_dostarczenia]],2)</f>
        <v>3</v>
      </c>
      <c r="F1853" s="2">
        <f t="shared" si="28"/>
        <v>0</v>
      </c>
    </row>
    <row r="1854" spans="1:6" x14ac:dyDescent="0.25">
      <c r="A1854" s="1">
        <v>43040</v>
      </c>
      <c r="B1854" s="2" t="s">
        <v>128</v>
      </c>
      <c r="C1854" s="2" t="s">
        <v>129</v>
      </c>
      <c r="D1854">
        <v>28</v>
      </c>
      <c r="E1854">
        <f>WEEKDAY(makulatura5[[#This Row],[Data_dostarczenia]],2)</f>
        <v>3</v>
      </c>
      <c r="F1854" s="2">
        <f t="shared" si="28"/>
        <v>0</v>
      </c>
    </row>
    <row r="1855" spans="1:6" x14ac:dyDescent="0.25">
      <c r="A1855" s="1">
        <v>43040</v>
      </c>
      <c r="B1855" s="2" t="s">
        <v>30</v>
      </c>
      <c r="C1855" s="2" t="s">
        <v>109</v>
      </c>
      <c r="D1855">
        <v>12</v>
      </c>
      <c r="E1855">
        <f>WEEKDAY(makulatura5[[#This Row],[Data_dostarczenia]],2)</f>
        <v>3</v>
      </c>
      <c r="F1855" s="2">
        <f t="shared" si="28"/>
        <v>0</v>
      </c>
    </row>
    <row r="1856" spans="1:6" x14ac:dyDescent="0.25">
      <c r="A1856" s="1">
        <v>43040</v>
      </c>
      <c r="B1856" s="2" t="s">
        <v>299</v>
      </c>
      <c r="C1856" s="2" t="s">
        <v>482</v>
      </c>
      <c r="D1856">
        <v>17</v>
      </c>
      <c r="E1856">
        <f>WEEKDAY(makulatura5[[#This Row],[Data_dostarczenia]],2)</f>
        <v>3</v>
      </c>
      <c r="F1856" s="2">
        <f t="shared" si="28"/>
        <v>1</v>
      </c>
    </row>
    <row r="1857" spans="1:6" x14ac:dyDescent="0.25">
      <c r="A1857" s="1">
        <v>43041</v>
      </c>
      <c r="B1857" s="2" t="s">
        <v>438</v>
      </c>
      <c r="C1857" s="2" t="s">
        <v>439</v>
      </c>
      <c r="D1857">
        <v>16</v>
      </c>
      <c r="E1857">
        <f>WEEKDAY(makulatura5[[#This Row],[Data_dostarczenia]],2)</f>
        <v>4</v>
      </c>
      <c r="F1857" s="2">
        <f t="shared" si="28"/>
        <v>0</v>
      </c>
    </row>
    <row r="1858" spans="1:6" x14ac:dyDescent="0.25">
      <c r="A1858" s="1">
        <v>43041</v>
      </c>
      <c r="B1858" s="2" t="s">
        <v>150</v>
      </c>
      <c r="C1858" s="2" t="s">
        <v>641</v>
      </c>
      <c r="D1858">
        <v>14</v>
      </c>
      <c r="E1858">
        <f>WEEKDAY(makulatura5[[#This Row],[Data_dostarczenia]],2)</f>
        <v>4</v>
      </c>
      <c r="F1858" s="2">
        <f t="shared" ref="F1858:F1921" si="29">IF(A1859=A1858,0,1)</f>
        <v>0</v>
      </c>
    </row>
    <row r="1859" spans="1:6" x14ac:dyDescent="0.25">
      <c r="A1859" s="1">
        <v>43041</v>
      </c>
      <c r="B1859" s="2" t="s">
        <v>232</v>
      </c>
      <c r="C1859" s="2" t="s">
        <v>378</v>
      </c>
      <c r="D1859">
        <v>25</v>
      </c>
      <c r="E1859">
        <f>WEEKDAY(makulatura5[[#This Row],[Data_dostarczenia]],2)</f>
        <v>4</v>
      </c>
      <c r="F1859" s="2">
        <f t="shared" si="29"/>
        <v>0</v>
      </c>
    </row>
    <row r="1860" spans="1:6" x14ac:dyDescent="0.25">
      <c r="A1860" s="1">
        <v>43041</v>
      </c>
      <c r="B1860" s="2" t="s">
        <v>34</v>
      </c>
      <c r="C1860" s="2" t="s">
        <v>160</v>
      </c>
      <c r="D1860">
        <v>15</v>
      </c>
      <c r="E1860">
        <f>WEEKDAY(makulatura5[[#This Row],[Data_dostarczenia]],2)</f>
        <v>4</v>
      </c>
      <c r="F1860" s="2">
        <f t="shared" si="29"/>
        <v>0</v>
      </c>
    </row>
    <row r="1861" spans="1:6" x14ac:dyDescent="0.25">
      <c r="A1861" s="1">
        <v>43041</v>
      </c>
      <c r="B1861" s="2" t="s">
        <v>27</v>
      </c>
      <c r="C1861" s="2" t="s">
        <v>28</v>
      </c>
      <c r="D1861">
        <v>16</v>
      </c>
      <c r="E1861">
        <f>WEEKDAY(makulatura5[[#This Row],[Data_dostarczenia]],2)</f>
        <v>4</v>
      </c>
      <c r="F1861" s="2">
        <f t="shared" si="29"/>
        <v>0</v>
      </c>
    </row>
    <row r="1862" spans="1:6" x14ac:dyDescent="0.25">
      <c r="A1862" s="1">
        <v>43041</v>
      </c>
      <c r="B1862" s="2" t="s">
        <v>327</v>
      </c>
      <c r="C1862" s="2" t="s">
        <v>102</v>
      </c>
      <c r="D1862">
        <v>35</v>
      </c>
      <c r="E1862">
        <f>WEEKDAY(makulatura5[[#This Row],[Data_dostarczenia]],2)</f>
        <v>4</v>
      </c>
      <c r="F1862" s="2">
        <f t="shared" si="29"/>
        <v>1</v>
      </c>
    </row>
    <row r="1863" spans="1:6" x14ac:dyDescent="0.25">
      <c r="A1863" s="1">
        <v>43042</v>
      </c>
      <c r="B1863" s="2" t="s">
        <v>271</v>
      </c>
      <c r="C1863" s="2" t="s">
        <v>272</v>
      </c>
      <c r="D1863">
        <v>2</v>
      </c>
      <c r="E1863">
        <f>WEEKDAY(makulatura5[[#This Row],[Data_dostarczenia]],2)</f>
        <v>5</v>
      </c>
      <c r="F1863" s="2">
        <f t="shared" si="29"/>
        <v>0</v>
      </c>
    </row>
    <row r="1864" spans="1:6" x14ac:dyDescent="0.25">
      <c r="A1864" s="1">
        <v>43042</v>
      </c>
      <c r="B1864" s="2" t="s">
        <v>442</v>
      </c>
      <c r="C1864" s="2" t="s">
        <v>443</v>
      </c>
      <c r="D1864">
        <v>5</v>
      </c>
      <c r="E1864">
        <f>WEEKDAY(makulatura5[[#This Row],[Data_dostarczenia]],2)</f>
        <v>5</v>
      </c>
      <c r="F1864" s="2">
        <f t="shared" si="29"/>
        <v>0</v>
      </c>
    </row>
    <row r="1865" spans="1:6" x14ac:dyDescent="0.25">
      <c r="A1865" s="1">
        <v>43042</v>
      </c>
      <c r="B1865" s="2" t="s">
        <v>34</v>
      </c>
      <c r="C1865" s="2" t="s">
        <v>662</v>
      </c>
      <c r="D1865">
        <v>14</v>
      </c>
      <c r="E1865">
        <f>WEEKDAY(makulatura5[[#This Row],[Data_dostarczenia]],2)</f>
        <v>5</v>
      </c>
      <c r="F1865" s="2">
        <f t="shared" si="29"/>
        <v>0</v>
      </c>
    </row>
    <row r="1866" spans="1:6" x14ac:dyDescent="0.25">
      <c r="A1866" s="1">
        <v>43042</v>
      </c>
      <c r="B1866" s="2" t="s">
        <v>393</v>
      </c>
      <c r="C1866" s="2" t="s">
        <v>394</v>
      </c>
      <c r="D1866">
        <v>29</v>
      </c>
      <c r="E1866">
        <f>WEEKDAY(makulatura5[[#This Row],[Data_dostarczenia]],2)</f>
        <v>5</v>
      </c>
      <c r="F1866" s="2">
        <f t="shared" si="29"/>
        <v>0</v>
      </c>
    </row>
    <row r="1867" spans="1:6" x14ac:dyDescent="0.25">
      <c r="A1867" s="1">
        <v>43042</v>
      </c>
      <c r="B1867" s="2" t="s">
        <v>174</v>
      </c>
      <c r="C1867" s="2" t="s">
        <v>175</v>
      </c>
      <c r="D1867">
        <v>13</v>
      </c>
      <c r="E1867">
        <f>WEEKDAY(makulatura5[[#This Row],[Data_dostarczenia]],2)</f>
        <v>5</v>
      </c>
      <c r="F1867" s="2">
        <f t="shared" si="29"/>
        <v>0</v>
      </c>
    </row>
    <row r="1868" spans="1:6" x14ac:dyDescent="0.25">
      <c r="A1868" s="1">
        <v>43042</v>
      </c>
      <c r="B1868" s="2" t="s">
        <v>361</v>
      </c>
      <c r="C1868" s="2" t="s">
        <v>424</v>
      </c>
      <c r="D1868">
        <v>24</v>
      </c>
      <c r="E1868">
        <f>WEEKDAY(makulatura5[[#This Row],[Data_dostarczenia]],2)</f>
        <v>5</v>
      </c>
      <c r="F1868" s="2">
        <f t="shared" si="29"/>
        <v>1</v>
      </c>
    </row>
    <row r="1869" spans="1:6" x14ac:dyDescent="0.25">
      <c r="A1869" s="1">
        <v>43045</v>
      </c>
      <c r="B1869" s="2" t="s">
        <v>178</v>
      </c>
      <c r="C1869" s="2" t="s">
        <v>242</v>
      </c>
      <c r="D1869">
        <v>2</v>
      </c>
      <c r="E1869">
        <f>WEEKDAY(makulatura5[[#This Row],[Data_dostarczenia]],2)</f>
        <v>1</v>
      </c>
      <c r="F1869" s="2">
        <f t="shared" si="29"/>
        <v>0</v>
      </c>
    </row>
    <row r="1870" spans="1:6" x14ac:dyDescent="0.25">
      <c r="A1870" s="1">
        <v>43045</v>
      </c>
      <c r="B1870" s="2" t="s">
        <v>18</v>
      </c>
      <c r="C1870" s="2" t="s">
        <v>694</v>
      </c>
      <c r="D1870">
        <v>31</v>
      </c>
      <c r="E1870">
        <f>WEEKDAY(makulatura5[[#This Row],[Data_dostarczenia]],2)</f>
        <v>1</v>
      </c>
      <c r="F1870" s="2">
        <f t="shared" si="29"/>
        <v>0</v>
      </c>
    </row>
    <row r="1871" spans="1:6" x14ac:dyDescent="0.25">
      <c r="A1871" s="1">
        <v>43045</v>
      </c>
      <c r="B1871" s="2" t="s">
        <v>280</v>
      </c>
      <c r="C1871" s="2" t="s">
        <v>580</v>
      </c>
      <c r="D1871">
        <v>18</v>
      </c>
      <c r="E1871">
        <f>WEEKDAY(makulatura5[[#This Row],[Data_dostarczenia]],2)</f>
        <v>1</v>
      </c>
      <c r="F1871" s="2">
        <f t="shared" si="29"/>
        <v>0</v>
      </c>
    </row>
    <row r="1872" spans="1:6" x14ac:dyDescent="0.25">
      <c r="A1872" s="1">
        <v>43045</v>
      </c>
      <c r="B1872" s="2" t="s">
        <v>14</v>
      </c>
      <c r="C1872" s="2" t="s">
        <v>660</v>
      </c>
      <c r="D1872">
        <v>3</v>
      </c>
      <c r="E1872">
        <f>WEEKDAY(makulatura5[[#This Row],[Data_dostarczenia]],2)</f>
        <v>1</v>
      </c>
      <c r="F1872" s="2">
        <f t="shared" si="29"/>
        <v>0</v>
      </c>
    </row>
    <row r="1873" spans="1:6" x14ac:dyDescent="0.25">
      <c r="A1873" s="1">
        <v>43045</v>
      </c>
      <c r="B1873" s="2" t="s">
        <v>51</v>
      </c>
      <c r="C1873" s="2" t="s">
        <v>522</v>
      </c>
      <c r="D1873">
        <v>30</v>
      </c>
      <c r="E1873">
        <f>WEEKDAY(makulatura5[[#This Row],[Data_dostarczenia]],2)</f>
        <v>1</v>
      </c>
      <c r="F1873" s="2">
        <f t="shared" si="29"/>
        <v>0</v>
      </c>
    </row>
    <row r="1874" spans="1:6" x14ac:dyDescent="0.25">
      <c r="A1874" s="1">
        <v>43045</v>
      </c>
      <c r="B1874" s="2" t="s">
        <v>640</v>
      </c>
      <c r="C1874" s="2" t="s">
        <v>199</v>
      </c>
      <c r="D1874">
        <v>5</v>
      </c>
      <c r="E1874">
        <f>WEEKDAY(makulatura5[[#This Row],[Data_dostarczenia]],2)</f>
        <v>1</v>
      </c>
      <c r="F1874" s="2">
        <f t="shared" si="29"/>
        <v>1</v>
      </c>
    </row>
    <row r="1875" spans="1:6" x14ac:dyDescent="0.25">
      <c r="A1875" s="1">
        <v>43046</v>
      </c>
      <c r="B1875" s="2" t="s">
        <v>61</v>
      </c>
      <c r="C1875" s="2" t="s">
        <v>62</v>
      </c>
      <c r="D1875">
        <v>13</v>
      </c>
      <c r="E1875">
        <f>WEEKDAY(makulatura5[[#This Row],[Data_dostarczenia]],2)</f>
        <v>2</v>
      </c>
      <c r="F1875" s="2">
        <f t="shared" si="29"/>
        <v>0</v>
      </c>
    </row>
    <row r="1876" spans="1:6" x14ac:dyDescent="0.25">
      <c r="A1876" s="1">
        <v>43046</v>
      </c>
      <c r="B1876" s="2" t="s">
        <v>351</v>
      </c>
      <c r="C1876" s="2" t="s">
        <v>227</v>
      </c>
      <c r="D1876">
        <v>16</v>
      </c>
      <c r="E1876">
        <f>WEEKDAY(makulatura5[[#This Row],[Data_dostarczenia]],2)</f>
        <v>2</v>
      </c>
      <c r="F1876" s="2">
        <f t="shared" si="29"/>
        <v>0</v>
      </c>
    </row>
    <row r="1877" spans="1:6" x14ac:dyDescent="0.25">
      <c r="A1877" s="1">
        <v>43046</v>
      </c>
      <c r="B1877" s="2" t="s">
        <v>346</v>
      </c>
      <c r="C1877" s="2" t="s">
        <v>665</v>
      </c>
      <c r="D1877">
        <v>3</v>
      </c>
      <c r="E1877">
        <f>WEEKDAY(makulatura5[[#This Row],[Data_dostarczenia]],2)</f>
        <v>2</v>
      </c>
      <c r="F1877" s="2">
        <f t="shared" si="29"/>
        <v>0</v>
      </c>
    </row>
    <row r="1878" spans="1:6" x14ac:dyDescent="0.25">
      <c r="A1878" s="1">
        <v>43046</v>
      </c>
      <c r="B1878" s="2" t="s">
        <v>97</v>
      </c>
      <c r="C1878" s="2" t="s">
        <v>380</v>
      </c>
      <c r="D1878">
        <v>50</v>
      </c>
      <c r="E1878">
        <f>WEEKDAY(makulatura5[[#This Row],[Data_dostarczenia]],2)</f>
        <v>2</v>
      </c>
      <c r="F1878" s="2">
        <f t="shared" si="29"/>
        <v>0</v>
      </c>
    </row>
    <row r="1879" spans="1:6" x14ac:dyDescent="0.25">
      <c r="A1879" s="1">
        <v>43046</v>
      </c>
      <c r="B1879" s="2" t="s">
        <v>133</v>
      </c>
      <c r="C1879" s="2" t="s">
        <v>316</v>
      </c>
      <c r="D1879">
        <v>25</v>
      </c>
      <c r="E1879">
        <f>WEEKDAY(makulatura5[[#This Row],[Data_dostarczenia]],2)</f>
        <v>2</v>
      </c>
      <c r="F1879" s="2">
        <f t="shared" si="29"/>
        <v>0</v>
      </c>
    </row>
    <row r="1880" spans="1:6" x14ac:dyDescent="0.25">
      <c r="A1880" s="1">
        <v>43046</v>
      </c>
      <c r="B1880" s="2" t="s">
        <v>523</v>
      </c>
      <c r="C1880" s="2" t="s">
        <v>524</v>
      </c>
      <c r="D1880">
        <v>16</v>
      </c>
      <c r="E1880">
        <f>WEEKDAY(makulatura5[[#This Row],[Data_dostarczenia]],2)</f>
        <v>2</v>
      </c>
      <c r="F1880" s="2">
        <f t="shared" si="29"/>
        <v>1</v>
      </c>
    </row>
    <row r="1881" spans="1:6" x14ac:dyDescent="0.25">
      <c r="A1881" s="1">
        <v>43047</v>
      </c>
      <c r="B1881" s="2" t="s">
        <v>65</v>
      </c>
      <c r="C1881" s="2" t="s">
        <v>631</v>
      </c>
      <c r="D1881">
        <v>13</v>
      </c>
      <c r="E1881">
        <f>WEEKDAY(makulatura5[[#This Row],[Data_dostarczenia]],2)</f>
        <v>3</v>
      </c>
      <c r="F1881" s="2">
        <f t="shared" si="29"/>
        <v>0</v>
      </c>
    </row>
    <row r="1882" spans="1:6" x14ac:dyDescent="0.25">
      <c r="A1882" s="1">
        <v>43047</v>
      </c>
      <c r="B1882" s="2" t="s">
        <v>367</v>
      </c>
      <c r="C1882" s="2" t="s">
        <v>368</v>
      </c>
      <c r="D1882">
        <v>13</v>
      </c>
      <c r="E1882">
        <f>WEEKDAY(makulatura5[[#This Row],[Data_dostarczenia]],2)</f>
        <v>3</v>
      </c>
      <c r="F1882" s="2">
        <f t="shared" si="29"/>
        <v>0</v>
      </c>
    </row>
    <row r="1883" spans="1:6" x14ac:dyDescent="0.25">
      <c r="A1883" s="1">
        <v>43047</v>
      </c>
      <c r="B1883" s="2" t="s">
        <v>314</v>
      </c>
      <c r="C1883" s="2" t="s">
        <v>366</v>
      </c>
      <c r="D1883">
        <v>15</v>
      </c>
      <c r="E1883">
        <f>WEEKDAY(makulatura5[[#This Row],[Data_dostarczenia]],2)</f>
        <v>3</v>
      </c>
      <c r="F1883" s="2">
        <f t="shared" si="29"/>
        <v>0</v>
      </c>
    </row>
    <row r="1884" spans="1:6" x14ac:dyDescent="0.25">
      <c r="A1884" s="1">
        <v>43047</v>
      </c>
      <c r="B1884" s="2" t="s">
        <v>53</v>
      </c>
      <c r="C1884" s="2" t="s">
        <v>227</v>
      </c>
      <c r="D1884">
        <v>41</v>
      </c>
      <c r="E1884">
        <f>WEEKDAY(makulatura5[[#This Row],[Data_dostarczenia]],2)</f>
        <v>3</v>
      </c>
      <c r="F1884" s="2">
        <f t="shared" si="29"/>
        <v>0</v>
      </c>
    </row>
    <row r="1885" spans="1:6" x14ac:dyDescent="0.25">
      <c r="A1885" s="1">
        <v>43047</v>
      </c>
      <c r="B1885" s="2" t="s">
        <v>442</v>
      </c>
      <c r="C1885" s="2" t="s">
        <v>502</v>
      </c>
      <c r="D1885">
        <v>50</v>
      </c>
      <c r="E1885">
        <f>WEEKDAY(makulatura5[[#This Row],[Data_dostarczenia]],2)</f>
        <v>3</v>
      </c>
      <c r="F1885" s="2">
        <f t="shared" si="29"/>
        <v>0</v>
      </c>
    </row>
    <row r="1886" spans="1:6" x14ac:dyDescent="0.25">
      <c r="A1886" s="1">
        <v>43047</v>
      </c>
      <c r="B1886" s="2" t="s">
        <v>32</v>
      </c>
      <c r="C1886" s="2" t="s">
        <v>33</v>
      </c>
      <c r="D1886">
        <v>26</v>
      </c>
      <c r="E1886">
        <f>WEEKDAY(makulatura5[[#This Row],[Data_dostarczenia]],2)</f>
        <v>3</v>
      </c>
      <c r="F1886" s="2">
        <f t="shared" si="29"/>
        <v>1</v>
      </c>
    </row>
    <row r="1887" spans="1:6" x14ac:dyDescent="0.25">
      <c r="A1887" s="1">
        <v>43048</v>
      </c>
      <c r="B1887" s="2" t="s">
        <v>63</v>
      </c>
      <c r="C1887" s="2" t="s">
        <v>64</v>
      </c>
      <c r="D1887">
        <v>10</v>
      </c>
      <c r="E1887">
        <f>WEEKDAY(makulatura5[[#This Row],[Data_dostarczenia]],2)</f>
        <v>4</v>
      </c>
      <c r="F1887" s="2">
        <f t="shared" si="29"/>
        <v>0</v>
      </c>
    </row>
    <row r="1888" spans="1:6" x14ac:dyDescent="0.25">
      <c r="A1888" s="1">
        <v>43048</v>
      </c>
      <c r="B1888" s="2" t="s">
        <v>77</v>
      </c>
      <c r="C1888" s="2" t="s">
        <v>78</v>
      </c>
      <c r="D1888">
        <v>10</v>
      </c>
      <c r="E1888">
        <f>WEEKDAY(makulatura5[[#This Row],[Data_dostarczenia]],2)</f>
        <v>4</v>
      </c>
      <c r="F1888" s="2">
        <f t="shared" si="29"/>
        <v>0</v>
      </c>
    </row>
    <row r="1889" spans="1:6" x14ac:dyDescent="0.25">
      <c r="A1889" s="1">
        <v>43048</v>
      </c>
      <c r="B1889" s="2" t="s">
        <v>244</v>
      </c>
      <c r="C1889" s="2" t="s">
        <v>245</v>
      </c>
      <c r="D1889">
        <v>20</v>
      </c>
      <c r="E1889">
        <f>WEEKDAY(makulatura5[[#This Row],[Data_dostarczenia]],2)</f>
        <v>4</v>
      </c>
      <c r="F1889" s="2">
        <f t="shared" si="29"/>
        <v>0</v>
      </c>
    </row>
    <row r="1890" spans="1:6" x14ac:dyDescent="0.25">
      <c r="A1890" s="1">
        <v>43048</v>
      </c>
      <c r="B1890" s="2" t="s">
        <v>395</v>
      </c>
      <c r="C1890" s="2" t="s">
        <v>678</v>
      </c>
      <c r="D1890">
        <v>26</v>
      </c>
      <c r="E1890">
        <f>WEEKDAY(makulatura5[[#This Row],[Data_dostarczenia]],2)</f>
        <v>4</v>
      </c>
      <c r="F1890" s="2">
        <f t="shared" si="29"/>
        <v>0</v>
      </c>
    </row>
    <row r="1891" spans="1:6" x14ac:dyDescent="0.25">
      <c r="A1891" s="1">
        <v>43048</v>
      </c>
      <c r="B1891" s="2" t="s">
        <v>12</v>
      </c>
      <c r="C1891" s="2" t="s">
        <v>668</v>
      </c>
      <c r="D1891">
        <v>27</v>
      </c>
      <c r="E1891">
        <f>WEEKDAY(makulatura5[[#This Row],[Data_dostarczenia]],2)</f>
        <v>4</v>
      </c>
      <c r="F1891" s="2">
        <f t="shared" si="29"/>
        <v>0</v>
      </c>
    </row>
    <row r="1892" spans="1:6" x14ac:dyDescent="0.25">
      <c r="A1892" s="1">
        <v>43048</v>
      </c>
      <c r="B1892" s="2" t="s">
        <v>128</v>
      </c>
      <c r="C1892" s="2" t="s">
        <v>639</v>
      </c>
      <c r="D1892">
        <v>24</v>
      </c>
      <c r="E1892">
        <f>WEEKDAY(makulatura5[[#This Row],[Data_dostarczenia]],2)</f>
        <v>4</v>
      </c>
      <c r="F1892" s="2">
        <f t="shared" si="29"/>
        <v>1</v>
      </c>
    </row>
    <row r="1893" spans="1:6" x14ac:dyDescent="0.25">
      <c r="A1893" s="1">
        <v>43049</v>
      </c>
      <c r="B1893" s="2" t="s">
        <v>34</v>
      </c>
      <c r="C1893" s="2" t="s">
        <v>90</v>
      </c>
      <c r="D1893">
        <v>41</v>
      </c>
      <c r="E1893">
        <f>WEEKDAY(makulatura5[[#This Row],[Data_dostarczenia]],2)</f>
        <v>5</v>
      </c>
      <c r="F1893" s="2">
        <f t="shared" si="29"/>
        <v>0</v>
      </c>
    </row>
    <row r="1894" spans="1:6" x14ac:dyDescent="0.25">
      <c r="A1894" s="1">
        <v>43049</v>
      </c>
      <c r="B1894" s="2" t="s">
        <v>317</v>
      </c>
      <c r="C1894" s="2" t="s">
        <v>318</v>
      </c>
      <c r="D1894">
        <v>8</v>
      </c>
      <c r="E1894">
        <f>WEEKDAY(makulatura5[[#This Row],[Data_dostarczenia]],2)</f>
        <v>5</v>
      </c>
      <c r="F1894" s="2">
        <f t="shared" si="29"/>
        <v>0</v>
      </c>
    </row>
    <row r="1895" spans="1:6" x14ac:dyDescent="0.25">
      <c r="A1895" s="1">
        <v>43049</v>
      </c>
      <c r="B1895" s="2" t="s">
        <v>69</v>
      </c>
      <c r="C1895" s="2" t="s">
        <v>535</v>
      </c>
      <c r="D1895">
        <v>30</v>
      </c>
      <c r="E1895">
        <f>WEEKDAY(makulatura5[[#This Row],[Data_dostarczenia]],2)</f>
        <v>5</v>
      </c>
      <c r="F1895" s="2">
        <f t="shared" si="29"/>
        <v>0</v>
      </c>
    </row>
    <row r="1896" spans="1:6" x14ac:dyDescent="0.25">
      <c r="A1896" s="1">
        <v>43049</v>
      </c>
      <c r="B1896" s="2" t="s">
        <v>351</v>
      </c>
      <c r="C1896" s="2" t="s">
        <v>227</v>
      </c>
      <c r="D1896">
        <v>30</v>
      </c>
      <c r="E1896">
        <f>WEEKDAY(makulatura5[[#This Row],[Data_dostarczenia]],2)</f>
        <v>5</v>
      </c>
      <c r="F1896" s="2">
        <f t="shared" si="29"/>
        <v>0</v>
      </c>
    </row>
    <row r="1897" spans="1:6" x14ac:dyDescent="0.25">
      <c r="A1897" s="1">
        <v>43049</v>
      </c>
      <c r="B1897" s="2" t="s">
        <v>14</v>
      </c>
      <c r="C1897" s="2" t="s">
        <v>422</v>
      </c>
      <c r="D1897">
        <v>13</v>
      </c>
      <c r="E1897">
        <f>WEEKDAY(makulatura5[[#This Row],[Data_dostarczenia]],2)</f>
        <v>5</v>
      </c>
      <c r="F1897" s="2">
        <f t="shared" si="29"/>
        <v>0</v>
      </c>
    </row>
    <row r="1898" spans="1:6" x14ac:dyDescent="0.25">
      <c r="A1898" s="1">
        <v>43049</v>
      </c>
      <c r="B1898" s="2" t="s">
        <v>246</v>
      </c>
      <c r="C1898" s="2" t="s">
        <v>247</v>
      </c>
      <c r="D1898">
        <v>27</v>
      </c>
      <c r="E1898">
        <f>WEEKDAY(makulatura5[[#This Row],[Data_dostarczenia]],2)</f>
        <v>5</v>
      </c>
      <c r="F1898" s="2">
        <f t="shared" si="29"/>
        <v>0</v>
      </c>
    </row>
    <row r="1899" spans="1:6" x14ac:dyDescent="0.25">
      <c r="A1899" s="1">
        <v>43049</v>
      </c>
      <c r="B1899" s="2" t="s">
        <v>195</v>
      </c>
      <c r="C1899" s="2" t="s">
        <v>196</v>
      </c>
      <c r="D1899">
        <v>41</v>
      </c>
      <c r="E1899">
        <f>WEEKDAY(makulatura5[[#This Row],[Data_dostarczenia]],2)</f>
        <v>5</v>
      </c>
      <c r="F1899" s="2">
        <f t="shared" si="29"/>
        <v>0</v>
      </c>
    </row>
    <row r="1900" spans="1:6" x14ac:dyDescent="0.25">
      <c r="A1900" s="1">
        <v>43049</v>
      </c>
      <c r="B1900" s="2" t="s">
        <v>367</v>
      </c>
      <c r="C1900" s="2" t="s">
        <v>5</v>
      </c>
      <c r="D1900">
        <v>21</v>
      </c>
      <c r="E1900">
        <f>WEEKDAY(makulatura5[[#This Row],[Data_dostarczenia]],2)</f>
        <v>5</v>
      </c>
      <c r="F1900" s="2">
        <f t="shared" si="29"/>
        <v>0</v>
      </c>
    </row>
    <row r="1901" spans="1:6" x14ac:dyDescent="0.25">
      <c r="A1901" s="1">
        <v>43049</v>
      </c>
      <c r="B1901" s="2" t="s">
        <v>278</v>
      </c>
      <c r="C1901" s="2" t="s">
        <v>202</v>
      </c>
      <c r="D1901">
        <v>52</v>
      </c>
      <c r="E1901">
        <f>WEEKDAY(makulatura5[[#This Row],[Data_dostarczenia]],2)</f>
        <v>5</v>
      </c>
      <c r="F1901" s="2">
        <f t="shared" si="29"/>
        <v>0</v>
      </c>
    </row>
    <row r="1902" spans="1:6" x14ac:dyDescent="0.25">
      <c r="A1902" s="1">
        <v>43049</v>
      </c>
      <c r="B1902" s="2" t="s">
        <v>574</v>
      </c>
      <c r="C1902" s="2" t="s">
        <v>607</v>
      </c>
      <c r="D1902">
        <v>23</v>
      </c>
      <c r="E1902">
        <f>WEEKDAY(makulatura5[[#This Row],[Data_dostarczenia]],2)</f>
        <v>5</v>
      </c>
      <c r="F1902" s="2">
        <f t="shared" si="29"/>
        <v>0</v>
      </c>
    </row>
    <row r="1903" spans="1:6" x14ac:dyDescent="0.25">
      <c r="A1903" s="1">
        <v>43049</v>
      </c>
      <c r="B1903" s="2" t="s">
        <v>39</v>
      </c>
      <c r="C1903" s="2" t="s">
        <v>103</v>
      </c>
      <c r="D1903">
        <v>32</v>
      </c>
      <c r="E1903">
        <f>WEEKDAY(makulatura5[[#This Row],[Data_dostarczenia]],2)</f>
        <v>5</v>
      </c>
      <c r="F1903" s="2">
        <f t="shared" si="29"/>
        <v>0</v>
      </c>
    </row>
    <row r="1904" spans="1:6" x14ac:dyDescent="0.25">
      <c r="A1904" s="1">
        <v>43049</v>
      </c>
      <c r="B1904" s="2" t="s">
        <v>352</v>
      </c>
      <c r="C1904" s="2" t="s">
        <v>425</v>
      </c>
      <c r="D1904">
        <v>33</v>
      </c>
      <c r="E1904">
        <f>WEEKDAY(makulatura5[[#This Row],[Data_dostarczenia]],2)</f>
        <v>5</v>
      </c>
      <c r="F1904" s="2">
        <f t="shared" si="29"/>
        <v>0</v>
      </c>
    </row>
    <row r="1905" spans="1:6" x14ac:dyDescent="0.25">
      <c r="A1905" s="1">
        <v>43049</v>
      </c>
      <c r="B1905" s="2" t="s">
        <v>155</v>
      </c>
      <c r="C1905" s="2" t="s">
        <v>650</v>
      </c>
      <c r="D1905">
        <v>41</v>
      </c>
      <c r="E1905">
        <f>WEEKDAY(makulatura5[[#This Row],[Data_dostarczenia]],2)</f>
        <v>5</v>
      </c>
      <c r="F1905" s="2">
        <f t="shared" si="29"/>
        <v>0</v>
      </c>
    </row>
    <row r="1906" spans="1:6" x14ac:dyDescent="0.25">
      <c r="A1906" s="1">
        <v>43049</v>
      </c>
      <c r="B1906" s="2" t="s">
        <v>232</v>
      </c>
      <c r="C1906" s="2" t="s">
        <v>526</v>
      </c>
      <c r="D1906">
        <v>29</v>
      </c>
      <c r="E1906">
        <f>WEEKDAY(makulatura5[[#This Row],[Data_dostarczenia]],2)</f>
        <v>5</v>
      </c>
      <c r="F1906" s="2">
        <f t="shared" si="29"/>
        <v>0</v>
      </c>
    </row>
    <row r="1907" spans="1:6" x14ac:dyDescent="0.25">
      <c r="A1907" s="1">
        <v>43049</v>
      </c>
      <c r="B1907" s="2" t="s">
        <v>119</v>
      </c>
      <c r="C1907" s="2" t="s">
        <v>164</v>
      </c>
      <c r="D1907">
        <v>25</v>
      </c>
      <c r="E1907">
        <f>WEEKDAY(makulatura5[[#This Row],[Data_dostarczenia]],2)</f>
        <v>5</v>
      </c>
      <c r="F1907" s="2">
        <f t="shared" si="29"/>
        <v>0</v>
      </c>
    </row>
    <row r="1908" spans="1:6" x14ac:dyDescent="0.25">
      <c r="A1908" s="1">
        <v>43049</v>
      </c>
      <c r="B1908" s="2" t="s">
        <v>55</v>
      </c>
      <c r="C1908" s="2" t="s">
        <v>666</v>
      </c>
      <c r="D1908">
        <v>3</v>
      </c>
      <c r="E1908">
        <f>WEEKDAY(makulatura5[[#This Row],[Data_dostarczenia]],2)</f>
        <v>5</v>
      </c>
      <c r="F1908" s="2">
        <f t="shared" si="29"/>
        <v>0</v>
      </c>
    </row>
    <row r="1909" spans="1:6" x14ac:dyDescent="0.25">
      <c r="A1909" s="1">
        <v>43049</v>
      </c>
      <c r="B1909" s="2" t="s">
        <v>83</v>
      </c>
      <c r="C1909" s="2" t="s">
        <v>470</v>
      </c>
      <c r="D1909">
        <v>23</v>
      </c>
      <c r="E1909">
        <f>WEEKDAY(makulatura5[[#This Row],[Data_dostarczenia]],2)</f>
        <v>5</v>
      </c>
      <c r="F1909" s="2">
        <f t="shared" si="29"/>
        <v>0</v>
      </c>
    </row>
    <row r="1910" spans="1:6" x14ac:dyDescent="0.25">
      <c r="A1910" s="1">
        <v>43049</v>
      </c>
      <c r="B1910" s="2" t="s">
        <v>139</v>
      </c>
      <c r="C1910" s="2" t="s">
        <v>140</v>
      </c>
      <c r="D1910">
        <v>25</v>
      </c>
      <c r="E1910">
        <f>WEEKDAY(makulatura5[[#This Row],[Data_dostarczenia]],2)</f>
        <v>5</v>
      </c>
      <c r="F1910" s="2">
        <f t="shared" si="29"/>
        <v>0</v>
      </c>
    </row>
    <row r="1911" spans="1:6" x14ac:dyDescent="0.25">
      <c r="A1911" s="1">
        <v>43049</v>
      </c>
      <c r="B1911" s="2" t="s">
        <v>119</v>
      </c>
      <c r="C1911" s="2" t="s">
        <v>517</v>
      </c>
      <c r="D1911">
        <v>29</v>
      </c>
      <c r="E1911">
        <f>WEEKDAY(makulatura5[[#This Row],[Data_dostarczenia]],2)</f>
        <v>5</v>
      </c>
      <c r="F1911" s="2">
        <f t="shared" si="29"/>
        <v>1</v>
      </c>
    </row>
    <row r="1912" spans="1:6" x14ac:dyDescent="0.25">
      <c r="A1912" s="1">
        <v>43052</v>
      </c>
      <c r="B1912" s="2" t="s">
        <v>55</v>
      </c>
      <c r="C1912" s="2" t="s">
        <v>199</v>
      </c>
      <c r="D1912">
        <v>24</v>
      </c>
      <c r="E1912">
        <f>WEEKDAY(makulatura5[[#This Row],[Data_dostarczenia]],2)</f>
        <v>1</v>
      </c>
      <c r="F1912" s="2">
        <f t="shared" si="29"/>
        <v>0</v>
      </c>
    </row>
    <row r="1913" spans="1:6" x14ac:dyDescent="0.25">
      <c r="A1913" s="1">
        <v>43052</v>
      </c>
      <c r="B1913" s="2" t="s">
        <v>449</v>
      </c>
      <c r="C1913" s="2" t="s">
        <v>664</v>
      </c>
      <c r="D1913">
        <v>19</v>
      </c>
      <c r="E1913">
        <f>WEEKDAY(makulatura5[[#This Row],[Data_dostarczenia]],2)</f>
        <v>1</v>
      </c>
      <c r="F1913" s="2">
        <f t="shared" si="29"/>
        <v>0</v>
      </c>
    </row>
    <row r="1914" spans="1:6" x14ac:dyDescent="0.25">
      <c r="A1914" s="1">
        <v>43052</v>
      </c>
      <c r="B1914" s="2" t="s">
        <v>271</v>
      </c>
      <c r="C1914" s="2" t="s">
        <v>548</v>
      </c>
      <c r="D1914">
        <v>7</v>
      </c>
      <c r="E1914">
        <f>WEEKDAY(makulatura5[[#This Row],[Data_dostarczenia]],2)</f>
        <v>1</v>
      </c>
      <c r="F1914" s="2">
        <f t="shared" si="29"/>
        <v>0</v>
      </c>
    </row>
    <row r="1915" spans="1:6" x14ac:dyDescent="0.25">
      <c r="A1915" s="1">
        <v>43052</v>
      </c>
      <c r="B1915" s="2" t="s">
        <v>150</v>
      </c>
      <c r="C1915" s="2" t="s">
        <v>211</v>
      </c>
      <c r="D1915">
        <v>7</v>
      </c>
      <c r="E1915">
        <f>WEEKDAY(makulatura5[[#This Row],[Data_dostarczenia]],2)</f>
        <v>1</v>
      </c>
      <c r="F1915" s="2">
        <f t="shared" si="29"/>
        <v>0</v>
      </c>
    </row>
    <row r="1916" spans="1:6" x14ac:dyDescent="0.25">
      <c r="A1916" s="1">
        <v>43052</v>
      </c>
      <c r="B1916" s="2" t="s">
        <v>553</v>
      </c>
      <c r="C1916" s="2" t="s">
        <v>554</v>
      </c>
      <c r="D1916">
        <v>28</v>
      </c>
      <c r="E1916">
        <f>WEEKDAY(makulatura5[[#This Row],[Data_dostarczenia]],2)</f>
        <v>1</v>
      </c>
      <c r="F1916" s="2">
        <f t="shared" si="29"/>
        <v>0</v>
      </c>
    </row>
    <row r="1917" spans="1:6" x14ac:dyDescent="0.25">
      <c r="A1917" s="1">
        <v>43052</v>
      </c>
      <c r="B1917" s="2" t="s">
        <v>566</v>
      </c>
      <c r="C1917" s="2" t="s">
        <v>567</v>
      </c>
      <c r="D1917">
        <v>50</v>
      </c>
      <c r="E1917">
        <f>WEEKDAY(makulatura5[[#This Row],[Data_dostarczenia]],2)</f>
        <v>1</v>
      </c>
      <c r="F1917" s="2">
        <f t="shared" si="29"/>
        <v>0</v>
      </c>
    </row>
    <row r="1918" spans="1:6" x14ac:dyDescent="0.25">
      <c r="A1918" s="1">
        <v>43052</v>
      </c>
      <c r="B1918" s="2" t="s">
        <v>23</v>
      </c>
      <c r="C1918" s="2" t="s">
        <v>592</v>
      </c>
      <c r="D1918">
        <v>8</v>
      </c>
      <c r="E1918">
        <f>WEEKDAY(makulatura5[[#This Row],[Data_dostarczenia]],2)</f>
        <v>1</v>
      </c>
      <c r="F1918" s="2">
        <f t="shared" si="29"/>
        <v>0</v>
      </c>
    </row>
    <row r="1919" spans="1:6" x14ac:dyDescent="0.25">
      <c r="A1919" s="1">
        <v>43052</v>
      </c>
      <c r="B1919" s="2" t="s">
        <v>4</v>
      </c>
      <c r="C1919" s="2" t="s">
        <v>382</v>
      </c>
      <c r="D1919">
        <v>3</v>
      </c>
      <c r="E1919">
        <f>WEEKDAY(makulatura5[[#This Row],[Data_dostarczenia]],2)</f>
        <v>1</v>
      </c>
      <c r="F1919" s="2">
        <f t="shared" si="29"/>
        <v>0</v>
      </c>
    </row>
    <row r="1920" spans="1:6" x14ac:dyDescent="0.25">
      <c r="A1920" s="1">
        <v>43052</v>
      </c>
      <c r="B1920" s="2" t="s">
        <v>12</v>
      </c>
      <c r="C1920" s="2" t="s">
        <v>386</v>
      </c>
      <c r="D1920">
        <v>13</v>
      </c>
      <c r="E1920">
        <f>WEEKDAY(makulatura5[[#This Row],[Data_dostarczenia]],2)</f>
        <v>1</v>
      </c>
      <c r="F1920" s="2">
        <f t="shared" si="29"/>
        <v>0</v>
      </c>
    </row>
    <row r="1921" spans="1:6" x14ac:dyDescent="0.25">
      <c r="A1921" s="1">
        <v>43052</v>
      </c>
      <c r="B1921" s="2" t="s">
        <v>87</v>
      </c>
      <c r="C1921" s="2" t="s">
        <v>154</v>
      </c>
      <c r="D1921">
        <v>17</v>
      </c>
      <c r="E1921">
        <f>WEEKDAY(makulatura5[[#This Row],[Data_dostarczenia]],2)</f>
        <v>1</v>
      </c>
      <c r="F1921" s="2">
        <f t="shared" si="29"/>
        <v>0</v>
      </c>
    </row>
    <row r="1922" spans="1:6" x14ac:dyDescent="0.25">
      <c r="A1922" s="1">
        <v>43052</v>
      </c>
      <c r="B1922" s="2" t="s">
        <v>221</v>
      </c>
      <c r="C1922" s="2" t="s">
        <v>222</v>
      </c>
      <c r="D1922">
        <v>55</v>
      </c>
      <c r="E1922">
        <f>WEEKDAY(makulatura5[[#This Row],[Data_dostarczenia]],2)</f>
        <v>1</v>
      </c>
      <c r="F1922" s="2">
        <f t="shared" ref="F1922:F1985" si="30">IF(A1923=A1922,0,1)</f>
        <v>0</v>
      </c>
    </row>
    <row r="1923" spans="1:6" x14ac:dyDescent="0.25">
      <c r="A1923" s="1">
        <v>43052</v>
      </c>
      <c r="B1923" s="2" t="s">
        <v>150</v>
      </c>
      <c r="C1923" s="2" t="s">
        <v>258</v>
      </c>
      <c r="D1923">
        <v>46</v>
      </c>
      <c r="E1923">
        <f>WEEKDAY(makulatura5[[#This Row],[Data_dostarczenia]],2)</f>
        <v>1</v>
      </c>
      <c r="F1923" s="2">
        <f t="shared" si="30"/>
        <v>0</v>
      </c>
    </row>
    <row r="1924" spans="1:6" x14ac:dyDescent="0.25">
      <c r="A1924" s="1">
        <v>43052</v>
      </c>
      <c r="B1924" s="2" t="s">
        <v>47</v>
      </c>
      <c r="C1924" s="2" t="s">
        <v>630</v>
      </c>
      <c r="D1924">
        <v>48</v>
      </c>
      <c r="E1924">
        <f>WEEKDAY(makulatura5[[#This Row],[Data_dostarczenia]],2)</f>
        <v>1</v>
      </c>
      <c r="F1924" s="2">
        <f t="shared" si="30"/>
        <v>0</v>
      </c>
    </row>
    <row r="1925" spans="1:6" x14ac:dyDescent="0.25">
      <c r="A1925" s="1">
        <v>43052</v>
      </c>
      <c r="B1925" s="2" t="s">
        <v>395</v>
      </c>
      <c r="C1925" s="2" t="s">
        <v>687</v>
      </c>
      <c r="D1925">
        <v>35</v>
      </c>
      <c r="E1925">
        <f>WEEKDAY(makulatura5[[#This Row],[Data_dostarczenia]],2)</f>
        <v>1</v>
      </c>
      <c r="F1925" s="2">
        <f t="shared" si="30"/>
        <v>0</v>
      </c>
    </row>
    <row r="1926" spans="1:6" x14ac:dyDescent="0.25">
      <c r="A1926" s="1">
        <v>43052</v>
      </c>
      <c r="B1926" s="2" t="s">
        <v>416</v>
      </c>
      <c r="C1926" s="2" t="s">
        <v>572</v>
      </c>
      <c r="D1926">
        <v>54</v>
      </c>
      <c r="E1926">
        <f>WEEKDAY(makulatura5[[#This Row],[Data_dostarczenia]],2)</f>
        <v>1</v>
      </c>
      <c r="F1926" s="2">
        <f t="shared" si="30"/>
        <v>0</v>
      </c>
    </row>
    <row r="1927" spans="1:6" x14ac:dyDescent="0.25">
      <c r="A1927" s="1">
        <v>43052</v>
      </c>
      <c r="B1927" s="2" t="s">
        <v>167</v>
      </c>
      <c r="C1927" s="2" t="s">
        <v>168</v>
      </c>
      <c r="D1927">
        <v>6</v>
      </c>
      <c r="E1927">
        <f>WEEKDAY(makulatura5[[#This Row],[Data_dostarczenia]],2)</f>
        <v>1</v>
      </c>
      <c r="F1927" s="2">
        <f t="shared" si="30"/>
        <v>0</v>
      </c>
    </row>
    <row r="1928" spans="1:6" x14ac:dyDescent="0.25">
      <c r="A1928" s="1">
        <v>43052</v>
      </c>
      <c r="B1928" s="2" t="s">
        <v>87</v>
      </c>
      <c r="C1928" s="2" t="s">
        <v>259</v>
      </c>
      <c r="D1928">
        <v>53</v>
      </c>
      <c r="E1928">
        <f>WEEKDAY(makulatura5[[#This Row],[Data_dostarczenia]],2)</f>
        <v>1</v>
      </c>
      <c r="F1928" s="2">
        <f t="shared" si="30"/>
        <v>0</v>
      </c>
    </row>
    <row r="1929" spans="1:6" x14ac:dyDescent="0.25">
      <c r="A1929" s="1">
        <v>43052</v>
      </c>
      <c r="B1929" s="2" t="s">
        <v>34</v>
      </c>
      <c r="C1929" s="2" t="s">
        <v>564</v>
      </c>
      <c r="D1929">
        <v>29</v>
      </c>
      <c r="E1929">
        <f>WEEKDAY(makulatura5[[#This Row],[Data_dostarczenia]],2)</f>
        <v>1</v>
      </c>
      <c r="F1929" s="2">
        <f t="shared" si="30"/>
        <v>1</v>
      </c>
    </row>
    <row r="1930" spans="1:6" x14ac:dyDescent="0.25">
      <c r="A1930" s="1">
        <v>43053</v>
      </c>
      <c r="B1930" s="2" t="s">
        <v>521</v>
      </c>
      <c r="C1930" s="2" t="s">
        <v>440</v>
      </c>
      <c r="D1930">
        <v>35</v>
      </c>
      <c r="E1930">
        <f>WEEKDAY(makulatura5[[#This Row],[Data_dostarczenia]],2)</f>
        <v>2</v>
      </c>
      <c r="F1930" s="2">
        <f t="shared" si="30"/>
        <v>0</v>
      </c>
    </row>
    <row r="1931" spans="1:6" x14ac:dyDescent="0.25">
      <c r="A1931" s="1">
        <v>43053</v>
      </c>
      <c r="B1931" s="2" t="s">
        <v>246</v>
      </c>
      <c r="C1931" s="2" t="s">
        <v>247</v>
      </c>
      <c r="D1931">
        <v>24</v>
      </c>
      <c r="E1931">
        <f>WEEKDAY(makulatura5[[#This Row],[Data_dostarczenia]],2)</f>
        <v>2</v>
      </c>
      <c r="F1931" s="2">
        <f t="shared" si="30"/>
        <v>0</v>
      </c>
    </row>
    <row r="1932" spans="1:6" x14ac:dyDescent="0.25">
      <c r="A1932" s="1">
        <v>43053</v>
      </c>
      <c r="B1932" s="2" t="s">
        <v>137</v>
      </c>
      <c r="C1932" s="2" t="s">
        <v>473</v>
      </c>
      <c r="D1932">
        <v>25</v>
      </c>
      <c r="E1932">
        <f>WEEKDAY(makulatura5[[#This Row],[Data_dostarczenia]],2)</f>
        <v>2</v>
      </c>
      <c r="F1932" s="2">
        <f t="shared" si="30"/>
        <v>0</v>
      </c>
    </row>
    <row r="1933" spans="1:6" x14ac:dyDescent="0.25">
      <c r="A1933" s="1">
        <v>43053</v>
      </c>
      <c r="B1933" s="2" t="s">
        <v>87</v>
      </c>
      <c r="C1933" s="2" t="s">
        <v>154</v>
      </c>
      <c r="D1933">
        <v>10</v>
      </c>
      <c r="E1933">
        <f>WEEKDAY(makulatura5[[#This Row],[Data_dostarczenia]],2)</f>
        <v>2</v>
      </c>
      <c r="F1933" s="2">
        <f t="shared" si="30"/>
        <v>0</v>
      </c>
    </row>
    <row r="1934" spans="1:6" x14ac:dyDescent="0.25">
      <c r="A1934" s="1">
        <v>43053</v>
      </c>
      <c r="B1934" s="2" t="s">
        <v>139</v>
      </c>
      <c r="C1934" s="2" t="s">
        <v>140</v>
      </c>
      <c r="D1934">
        <v>10</v>
      </c>
      <c r="E1934">
        <f>WEEKDAY(makulatura5[[#This Row],[Data_dostarczenia]],2)</f>
        <v>2</v>
      </c>
      <c r="F1934" s="2">
        <f t="shared" si="30"/>
        <v>0</v>
      </c>
    </row>
    <row r="1935" spans="1:6" x14ac:dyDescent="0.25">
      <c r="A1935" s="1">
        <v>43053</v>
      </c>
      <c r="B1935" s="2" t="s">
        <v>49</v>
      </c>
      <c r="C1935" s="2" t="s">
        <v>50</v>
      </c>
      <c r="D1935">
        <v>6</v>
      </c>
      <c r="E1935">
        <f>WEEKDAY(makulatura5[[#This Row],[Data_dostarczenia]],2)</f>
        <v>2</v>
      </c>
      <c r="F1935" s="2">
        <f t="shared" si="30"/>
        <v>0</v>
      </c>
    </row>
    <row r="1936" spans="1:6" x14ac:dyDescent="0.25">
      <c r="A1936" s="1">
        <v>43053</v>
      </c>
      <c r="B1936" s="2" t="s">
        <v>81</v>
      </c>
      <c r="C1936" s="2" t="s">
        <v>165</v>
      </c>
      <c r="D1936">
        <v>20</v>
      </c>
      <c r="E1936">
        <f>WEEKDAY(makulatura5[[#This Row],[Data_dostarczenia]],2)</f>
        <v>2</v>
      </c>
      <c r="F1936" s="2">
        <f t="shared" si="30"/>
        <v>0</v>
      </c>
    </row>
    <row r="1937" spans="1:6" x14ac:dyDescent="0.25">
      <c r="A1937" s="1">
        <v>43053</v>
      </c>
      <c r="B1937" s="2" t="s">
        <v>195</v>
      </c>
      <c r="C1937" s="2" t="s">
        <v>401</v>
      </c>
      <c r="D1937">
        <v>9</v>
      </c>
      <c r="E1937">
        <f>WEEKDAY(makulatura5[[#This Row],[Data_dostarczenia]],2)</f>
        <v>2</v>
      </c>
      <c r="F1937" s="2">
        <f t="shared" si="30"/>
        <v>1</v>
      </c>
    </row>
    <row r="1938" spans="1:6" x14ac:dyDescent="0.25">
      <c r="A1938" s="1">
        <v>43054</v>
      </c>
      <c r="B1938" s="2" t="s">
        <v>688</v>
      </c>
      <c r="C1938" s="2" t="s">
        <v>689</v>
      </c>
      <c r="D1938">
        <v>5</v>
      </c>
      <c r="E1938">
        <f>WEEKDAY(makulatura5[[#This Row],[Data_dostarczenia]],2)</f>
        <v>3</v>
      </c>
      <c r="F1938" s="2">
        <f t="shared" si="30"/>
        <v>0</v>
      </c>
    </row>
    <row r="1939" spans="1:6" x14ac:dyDescent="0.25">
      <c r="A1939" s="1">
        <v>43054</v>
      </c>
      <c r="B1939" s="2" t="s">
        <v>141</v>
      </c>
      <c r="C1939" s="2" t="s">
        <v>364</v>
      </c>
      <c r="D1939">
        <v>22</v>
      </c>
      <c r="E1939">
        <f>WEEKDAY(makulatura5[[#This Row],[Data_dostarczenia]],2)</f>
        <v>3</v>
      </c>
      <c r="F1939" s="2">
        <f t="shared" si="30"/>
        <v>0</v>
      </c>
    </row>
    <row r="1940" spans="1:6" x14ac:dyDescent="0.25">
      <c r="A1940" s="1">
        <v>43054</v>
      </c>
      <c r="B1940" s="2" t="s">
        <v>232</v>
      </c>
      <c r="C1940" s="2" t="s">
        <v>378</v>
      </c>
      <c r="D1940">
        <v>10</v>
      </c>
      <c r="E1940">
        <f>WEEKDAY(makulatura5[[#This Row],[Data_dostarczenia]],2)</f>
        <v>3</v>
      </c>
      <c r="F1940" s="2">
        <f t="shared" si="30"/>
        <v>0</v>
      </c>
    </row>
    <row r="1941" spans="1:6" x14ac:dyDescent="0.25">
      <c r="A1941" s="1">
        <v>43054</v>
      </c>
      <c r="B1941" s="2" t="s">
        <v>150</v>
      </c>
      <c r="C1941" s="2" t="s">
        <v>556</v>
      </c>
      <c r="D1941">
        <v>13</v>
      </c>
      <c r="E1941">
        <f>WEEKDAY(makulatura5[[#This Row],[Data_dostarczenia]],2)</f>
        <v>3</v>
      </c>
      <c r="F1941" s="2">
        <f t="shared" si="30"/>
        <v>0</v>
      </c>
    </row>
    <row r="1942" spans="1:6" x14ac:dyDescent="0.25">
      <c r="A1942" s="1">
        <v>43054</v>
      </c>
      <c r="B1942" s="2" t="s">
        <v>407</v>
      </c>
      <c r="C1942" s="2" t="s">
        <v>408</v>
      </c>
      <c r="D1942">
        <v>18</v>
      </c>
      <c r="E1942">
        <f>WEEKDAY(makulatura5[[#This Row],[Data_dostarczenia]],2)</f>
        <v>3</v>
      </c>
      <c r="F1942" s="2">
        <f t="shared" si="30"/>
        <v>0</v>
      </c>
    </row>
    <row r="1943" spans="1:6" x14ac:dyDescent="0.25">
      <c r="A1943" s="1">
        <v>43054</v>
      </c>
      <c r="B1943" s="2" t="s">
        <v>121</v>
      </c>
      <c r="C1943" s="2" t="s">
        <v>122</v>
      </c>
      <c r="D1943">
        <v>5</v>
      </c>
      <c r="E1943">
        <f>WEEKDAY(makulatura5[[#This Row],[Data_dostarczenia]],2)</f>
        <v>3</v>
      </c>
      <c r="F1943" s="2">
        <f t="shared" si="30"/>
        <v>0</v>
      </c>
    </row>
    <row r="1944" spans="1:6" x14ac:dyDescent="0.25">
      <c r="A1944" s="1">
        <v>43054</v>
      </c>
      <c r="B1944" s="2" t="s">
        <v>267</v>
      </c>
      <c r="C1944" s="2" t="s">
        <v>287</v>
      </c>
      <c r="D1944">
        <v>26</v>
      </c>
      <c r="E1944">
        <f>WEEKDAY(makulatura5[[#This Row],[Data_dostarczenia]],2)</f>
        <v>3</v>
      </c>
      <c r="F1944" s="2">
        <f t="shared" si="30"/>
        <v>0</v>
      </c>
    </row>
    <row r="1945" spans="1:6" x14ac:dyDescent="0.25">
      <c r="A1945" s="1">
        <v>43054</v>
      </c>
      <c r="B1945" s="2" t="s">
        <v>23</v>
      </c>
      <c r="C1945" s="2" t="s">
        <v>695</v>
      </c>
      <c r="D1945">
        <v>20</v>
      </c>
      <c r="E1945">
        <f>WEEKDAY(makulatura5[[#This Row],[Data_dostarczenia]],2)</f>
        <v>3</v>
      </c>
      <c r="F1945" s="2">
        <f t="shared" si="30"/>
        <v>1</v>
      </c>
    </row>
    <row r="1946" spans="1:6" x14ac:dyDescent="0.25">
      <c r="A1946" s="1">
        <v>43055</v>
      </c>
      <c r="B1946" s="2" t="s">
        <v>189</v>
      </c>
      <c r="C1946" s="2" t="s">
        <v>190</v>
      </c>
      <c r="D1946">
        <v>11</v>
      </c>
      <c r="E1946">
        <f>WEEKDAY(makulatura5[[#This Row],[Data_dostarczenia]],2)</f>
        <v>4</v>
      </c>
      <c r="F1946" s="2">
        <f t="shared" si="30"/>
        <v>0</v>
      </c>
    </row>
    <row r="1947" spans="1:6" x14ac:dyDescent="0.25">
      <c r="A1947" s="1">
        <v>43055</v>
      </c>
      <c r="B1947" s="2" t="s">
        <v>87</v>
      </c>
      <c r="C1947" s="2" t="s">
        <v>383</v>
      </c>
      <c r="D1947">
        <v>23</v>
      </c>
      <c r="E1947">
        <f>WEEKDAY(makulatura5[[#This Row],[Data_dostarczenia]],2)</f>
        <v>4</v>
      </c>
      <c r="F1947" s="2">
        <f t="shared" si="30"/>
        <v>0</v>
      </c>
    </row>
    <row r="1948" spans="1:6" x14ac:dyDescent="0.25">
      <c r="A1948" s="1">
        <v>43055</v>
      </c>
      <c r="B1948" s="2" t="s">
        <v>67</v>
      </c>
      <c r="C1948" s="2" t="s">
        <v>460</v>
      </c>
      <c r="D1948">
        <v>12</v>
      </c>
      <c r="E1948">
        <f>WEEKDAY(makulatura5[[#This Row],[Data_dostarczenia]],2)</f>
        <v>4</v>
      </c>
      <c r="F1948" s="2">
        <f t="shared" si="30"/>
        <v>0</v>
      </c>
    </row>
    <row r="1949" spans="1:6" x14ac:dyDescent="0.25">
      <c r="A1949" s="1">
        <v>43055</v>
      </c>
      <c r="B1949" s="2" t="s">
        <v>303</v>
      </c>
      <c r="C1949" s="2" t="s">
        <v>304</v>
      </c>
      <c r="D1949">
        <v>23</v>
      </c>
      <c r="E1949">
        <f>WEEKDAY(makulatura5[[#This Row],[Data_dostarczenia]],2)</f>
        <v>4</v>
      </c>
      <c r="F1949" s="2">
        <f t="shared" si="30"/>
        <v>0</v>
      </c>
    </row>
    <row r="1950" spans="1:6" x14ac:dyDescent="0.25">
      <c r="A1950" s="1">
        <v>43055</v>
      </c>
      <c r="B1950" s="2" t="s">
        <v>152</v>
      </c>
      <c r="C1950" s="2" t="s">
        <v>696</v>
      </c>
      <c r="D1950">
        <v>9</v>
      </c>
      <c r="E1950">
        <f>WEEKDAY(makulatura5[[#This Row],[Data_dostarczenia]],2)</f>
        <v>4</v>
      </c>
      <c r="F1950" s="2">
        <f t="shared" si="30"/>
        <v>0</v>
      </c>
    </row>
    <row r="1951" spans="1:6" x14ac:dyDescent="0.25">
      <c r="A1951" s="1">
        <v>43055</v>
      </c>
      <c r="B1951" s="2" t="s">
        <v>81</v>
      </c>
      <c r="C1951" s="2" t="s">
        <v>648</v>
      </c>
      <c r="D1951">
        <v>27</v>
      </c>
      <c r="E1951">
        <f>WEEKDAY(makulatura5[[#This Row],[Data_dostarczenia]],2)</f>
        <v>4</v>
      </c>
      <c r="F1951" s="2">
        <f t="shared" si="30"/>
        <v>0</v>
      </c>
    </row>
    <row r="1952" spans="1:6" x14ac:dyDescent="0.25">
      <c r="A1952" s="1">
        <v>43055</v>
      </c>
      <c r="B1952" s="2" t="s">
        <v>36</v>
      </c>
      <c r="C1952" s="2" t="s">
        <v>295</v>
      </c>
      <c r="D1952">
        <v>26</v>
      </c>
      <c r="E1952">
        <f>WEEKDAY(makulatura5[[#This Row],[Data_dostarczenia]],2)</f>
        <v>4</v>
      </c>
      <c r="F1952" s="2">
        <f t="shared" si="30"/>
        <v>0</v>
      </c>
    </row>
    <row r="1953" spans="1:6" x14ac:dyDescent="0.25">
      <c r="A1953" s="1">
        <v>43055</v>
      </c>
      <c r="B1953" s="2" t="s">
        <v>508</v>
      </c>
      <c r="C1953" s="2" t="s">
        <v>509</v>
      </c>
      <c r="D1953">
        <v>11</v>
      </c>
      <c r="E1953">
        <f>WEEKDAY(makulatura5[[#This Row],[Data_dostarczenia]],2)</f>
        <v>4</v>
      </c>
      <c r="F1953" s="2">
        <f t="shared" si="30"/>
        <v>1</v>
      </c>
    </row>
    <row r="1954" spans="1:6" x14ac:dyDescent="0.25">
      <c r="A1954" s="1">
        <v>43056</v>
      </c>
      <c r="B1954" s="2" t="s">
        <v>47</v>
      </c>
      <c r="C1954" s="2" t="s">
        <v>336</v>
      </c>
      <c r="D1954">
        <v>14</v>
      </c>
      <c r="E1954">
        <f>WEEKDAY(makulatura5[[#This Row],[Data_dostarczenia]],2)</f>
        <v>5</v>
      </c>
      <c r="F1954" s="2">
        <f t="shared" si="30"/>
        <v>0</v>
      </c>
    </row>
    <row r="1955" spans="1:6" x14ac:dyDescent="0.25">
      <c r="A1955" s="1">
        <v>43056</v>
      </c>
      <c r="B1955" s="2" t="s">
        <v>4</v>
      </c>
      <c r="C1955" s="2" t="s">
        <v>207</v>
      </c>
      <c r="D1955">
        <v>24</v>
      </c>
      <c r="E1955">
        <f>WEEKDAY(makulatura5[[#This Row],[Data_dostarczenia]],2)</f>
        <v>5</v>
      </c>
      <c r="F1955" s="2">
        <f t="shared" si="30"/>
        <v>0</v>
      </c>
    </row>
    <row r="1956" spans="1:6" x14ac:dyDescent="0.25">
      <c r="A1956" s="1">
        <v>43056</v>
      </c>
      <c r="B1956" s="2" t="s">
        <v>36</v>
      </c>
      <c r="C1956" s="2" t="s">
        <v>180</v>
      </c>
      <c r="D1956">
        <v>18</v>
      </c>
      <c r="E1956">
        <f>WEEKDAY(makulatura5[[#This Row],[Data_dostarczenia]],2)</f>
        <v>5</v>
      </c>
      <c r="F1956" s="2">
        <f t="shared" si="30"/>
        <v>0</v>
      </c>
    </row>
    <row r="1957" spans="1:6" x14ac:dyDescent="0.25">
      <c r="A1957" s="1">
        <v>43056</v>
      </c>
      <c r="B1957" s="2" t="s">
        <v>128</v>
      </c>
      <c r="C1957" s="2" t="s">
        <v>559</v>
      </c>
      <c r="D1957">
        <v>13</v>
      </c>
      <c r="E1957">
        <f>WEEKDAY(makulatura5[[#This Row],[Data_dostarczenia]],2)</f>
        <v>5</v>
      </c>
      <c r="F1957" s="2">
        <f t="shared" si="30"/>
        <v>0</v>
      </c>
    </row>
    <row r="1958" spans="1:6" x14ac:dyDescent="0.25">
      <c r="A1958" s="1">
        <v>43056</v>
      </c>
      <c r="B1958" s="2" t="s">
        <v>45</v>
      </c>
      <c r="C1958" s="2" t="s">
        <v>46</v>
      </c>
      <c r="D1958">
        <v>18</v>
      </c>
      <c r="E1958">
        <f>WEEKDAY(makulatura5[[#This Row],[Data_dostarczenia]],2)</f>
        <v>5</v>
      </c>
      <c r="F1958" s="2">
        <f t="shared" si="30"/>
        <v>0</v>
      </c>
    </row>
    <row r="1959" spans="1:6" x14ac:dyDescent="0.25">
      <c r="A1959" s="1">
        <v>43056</v>
      </c>
      <c r="B1959" s="2" t="s">
        <v>393</v>
      </c>
      <c r="C1959" s="2" t="s">
        <v>227</v>
      </c>
      <c r="D1959">
        <v>36</v>
      </c>
      <c r="E1959">
        <f>WEEKDAY(makulatura5[[#This Row],[Data_dostarczenia]],2)</f>
        <v>5</v>
      </c>
      <c r="F1959" s="2">
        <f t="shared" si="30"/>
        <v>0</v>
      </c>
    </row>
    <row r="1960" spans="1:6" x14ac:dyDescent="0.25">
      <c r="A1960" s="1">
        <v>43056</v>
      </c>
      <c r="B1960" s="2" t="s">
        <v>519</v>
      </c>
      <c r="C1960" s="2" t="s">
        <v>661</v>
      </c>
      <c r="D1960">
        <v>23</v>
      </c>
      <c r="E1960">
        <f>WEEKDAY(makulatura5[[#This Row],[Data_dostarczenia]],2)</f>
        <v>5</v>
      </c>
      <c r="F1960" s="2">
        <f t="shared" si="30"/>
        <v>0</v>
      </c>
    </row>
    <row r="1961" spans="1:6" x14ac:dyDescent="0.25">
      <c r="A1961" s="1">
        <v>43056</v>
      </c>
      <c r="B1961" s="2" t="s">
        <v>453</v>
      </c>
      <c r="C1961" s="2" t="s">
        <v>454</v>
      </c>
      <c r="D1961">
        <v>7</v>
      </c>
      <c r="E1961">
        <f>WEEKDAY(makulatura5[[#This Row],[Data_dostarczenia]],2)</f>
        <v>5</v>
      </c>
      <c r="F1961" s="2">
        <f t="shared" si="30"/>
        <v>0</v>
      </c>
    </row>
    <row r="1962" spans="1:6" x14ac:dyDescent="0.25">
      <c r="A1962" s="1">
        <v>43056</v>
      </c>
      <c r="B1962" s="2" t="s">
        <v>150</v>
      </c>
      <c r="C1962" s="2" t="s">
        <v>211</v>
      </c>
      <c r="D1962">
        <v>54</v>
      </c>
      <c r="E1962">
        <f>WEEKDAY(makulatura5[[#This Row],[Data_dostarczenia]],2)</f>
        <v>5</v>
      </c>
      <c r="F1962" s="2">
        <f t="shared" si="30"/>
        <v>0</v>
      </c>
    </row>
    <row r="1963" spans="1:6" x14ac:dyDescent="0.25">
      <c r="A1963" s="1">
        <v>43056</v>
      </c>
      <c r="B1963" s="2" t="s">
        <v>271</v>
      </c>
      <c r="C1963" s="2" t="s">
        <v>272</v>
      </c>
      <c r="D1963">
        <v>48</v>
      </c>
      <c r="E1963">
        <f>WEEKDAY(makulatura5[[#This Row],[Data_dostarczenia]],2)</f>
        <v>5</v>
      </c>
      <c r="F1963" s="2">
        <f t="shared" si="30"/>
        <v>0</v>
      </c>
    </row>
    <row r="1964" spans="1:6" x14ac:dyDescent="0.25">
      <c r="A1964" s="1">
        <v>43056</v>
      </c>
      <c r="B1964" s="2" t="s">
        <v>20</v>
      </c>
      <c r="C1964" s="2" t="s">
        <v>123</v>
      </c>
      <c r="D1964">
        <v>5</v>
      </c>
      <c r="E1964">
        <f>WEEKDAY(makulatura5[[#This Row],[Data_dostarczenia]],2)</f>
        <v>5</v>
      </c>
      <c r="F1964" s="2">
        <f t="shared" si="30"/>
        <v>0</v>
      </c>
    </row>
    <row r="1965" spans="1:6" x14ac:dyDescent="0.25">
      <c r="A1965" s="1">
        <v>43056</v>
      </c>
      <c r="B1965" s="2" t="s">
        <v>320</v>
      </c>
      <c r="C1965" s="2" t="s">
        <v>321</v>
      </c>
      <c r="D1965">
        <v>51</v>
      </c>
      <c r="E1965">
        <f>WEEKDAY(makulatura5[[#This Row],[Data_dostarczenia]],2)</f>
        <v>5</v>
      </c>
      <c r="F1965" s="2">
        <f t="shared" si="30"/>
        <v>0</v>
      </c>
    </row>
    <row r="1966" spans="1:6" x14ac:dyDescent="0.25">
      <c r="A1966" s="1">
        <v>43056</v>
      </c>
      <c r="B1966" s="2" t="s">
        <v>544</v>
      </c>
      <c r="C1966" s="2" t="s">
        <v>145</v>
      </c>
      <c r="D1966">
        <v>10</v>
      </c>
      <c r="E1966">
        <f>WEEKDAY(makulatura5[[#This Row],[Data_dostarczenia]],2)</f>
        <v>5</v>
      </c>
      <c r="F1966" s="2">
        <f t="shared" si="30"/>
        <v>0</v>
      </c>
    </row>
    <row r="1967" spans="1:6" x14ac:dyDescent="0.25">
      <c r="A1967" s="1">
        <v>43056</v>
      </c>
      <c r="B1967" s="2" t="s">
        <v>147</v>
      </c>
      <c r="C1967" s="2" t="s">
        <v>148</v>
      </c>
      <c r="D1967">
        <v>24</v>
      </c>
      <c r="E1967">
        <f>WEEKDAY(makulatura5[[#This Row],[Data_dostarczenia]],2)</f>
        <v>5</v>
      </c>
      <c r="F1967" s="2">
        <f t="shared" si="30"/>
        <v>0</v>
      </c>
    </row>
    <row r="1968" spans="1:6" x14ac:dyDescent="0.25">
      <c r="A1968" s="1">
        <v>43056</v>
      </c>
      <c r="B1968" s="2" t="s">
        <v>193</v>
      </c>
      <c r="C1968" s="2" t="s">
        <v>215</v>
      </c>
      <c r="D1968">
        <v>7</v>
      </c>
      <c r="E1968">
        <f>WEEKDAY(makulatura5[[#This Row],[Data_dostarczenia]],2)</f>
        <v>5</v>
      </c>
      <c r="F1968" s="2">
        <f t="shared" si="30"/>
        <v>0</v>
      </c>
    </row>
    <row r="1969" spans="1:6" x14ac:dyDescent="0.25">
      <c r="A1969" s="1">
        <v>43056</v>
      </c>
      <c r="B1969" s="2" t="s">
        <v>55</v>
      </c>
      <c r="C1969" s="2" t="s">
        <v>493</v>
      </c>
      <c r="D1969">
        <v>11</v>
      </c>
      <c r="E1969">
        <f>WEEKDAY(makulatura5[[#This Row],[Data_dostarczenia]],2)</f>
        <v>5</v>
      </c>
      <c r="F1969" s="2">
        <f t="shared" si="30"/>
        <v>0</v>
      </c>
    </row>
    <row r="1970" spans="1:6" x14ac:dyDescent="0.25">
      <c r="A1970" s="1">
        <v>43056</v>
      </c>
      <c r="B1970" s="2" t="s">
        <v>10</v>
      </c>
      <c r="C1970" s="2" t="s">
        <v>266</v>
      </c>
      <c r="D1970">
        <v>4</v>
      </c>
      <c r="E1970">
        <f>WEEKDAY(makulatura5[[#This Row],[Data_dostarczenia]],2)</f>
        <v>5</v>
      </c>
      <c r="F1970" s="2">
        <f t="shared" si="30"/>
        <v>1</v>
      </c>
    </row>
    <row r="1971" spans="1:6" x14ac:dyDescent="0.25">
      <c r="A1971" s="1">
        <v>43059</v>
      </c>
      <c r="B1971" s="2" t="s">
        <v>12</v>
      </c>
      <c r="C1971" s="2" t="s">
        <v>667</v>
      </c>
      <c r="D1971">
        <v>30</v>
      </c>
      <c r="E1971">
        <f>WEEKDAY(makulatura5[[#This Row],[Data_dostarczenia]],2)</f>
        <v>1</v>
      </c>
      <c r="F1971" s="2">
        <f t="shared" si="30"/>
        <v>0</v>
      </c>
    </row>
    <row r="1972" spans="1:6" x14ac:dyDescent="0.25">
      <c r="A1972" s="1">
        <v>43059</v>
      </c>
      <c r="B1972" s="2" t="s">
        <v>189</v>
      </c>
      <c r="C1972" s="2" t="s">
        <v>190</v>
      </c>
      <c r="D1972">
        <v>36</v>
      </c>
      <c r="E1972">
        <f>WEEKDAY(makulatura5[[#This Row],[Data_dostarczenia]],2)</f>
        <v>1</v>
      </c>
      <c r="F1972" s="2">
        <f t="shared" si="30"/>
        <v>0</v>
      </c>
    </row>
    <row r="1973" spans="1:6" x14ac:dyDescent="0.25">
      <c r="A1973" s="1">
        <v>43059</v>
      </c>
      <c r="B1973" s="2" t="s">
        <v>47</v>
      </c>
      <c r="C1973" s="2" t="s">
        <v>230</v>
      </c>
      <c r="D1973">
        <v>22</v>
      </c>
      <c r="E1973">
        <f>WEEKDAY(makulatura5[[#This Row],[Data_dostarczenia]],2)</f>
        <v>1</v>
      </c>
      <c r="F1973" s="2">
        <f t="shared" si="30"/>
        <v>0</v>
      </c>
    </row>
    <row r="1974" spans="1:6" x14ac:dyDescent="0.25">
      <c r="A1974" s="1">
        <v>43059</v>
      </c>
      <c r="B1974" s="2" t="s">
        <v>208</v>
      </c>
      <c r="C1974" s="2" t="s">
        <v>697</v>
      </c>
      <c r="D1974">
        <v>21</v>
      </c>
      <c r="E1974">
        <f>WEEKDAY(makulatura5[[#This Row],[Data_dostarczenia]],2)</f>
        <v>1</v>
      </c>
      <c r="F1974" s="2">
        <f t="shared" si="30"/>
        <v>0</v>
      </c>
    </row>
    <row r="1975" spans="1:6" x14ac:dyDescent="0.25">
      <c r="A1975" s="1">
        <v>43059</v>
      </c>
      <c r="B1975" s="2" t="s">
        <v>83</v>
      </c>
      <c r="C1975" s="2" t="s">
        <v>459</v>
      </c>
      <c r="D1975">
        <v>16</v>
      </c>
      <c r="E1975">
        <f>WEEKDAY(makulatura5[[#This Row],[Data_dostarczenia]],2)</f>
        <v>1</v>
      </c>
      <c r="F1975" s="2">
        <f t="shared" si="30"/>
        <v>0</v>
      </c>
    </row>
    <row r="1976" spans="1:6" x14ac:dyDescent="0.25">
      <c r="A1976" s="1">
        <v>43059</v>
      </c>
      <c r="B1976" s="2" t="s">
        <v>438</v>
      </c>
      <c r="C1976" s="2" t="s">
        <v>439</v>
      </c>
      <c r="D1976">
        <v>52</v>
      </c>
      <c r="E1976">
        <f>WEEKDAY(makulatura5[[#This Row],[Data_dostarczenia]],2)</f>
        <v>1</v>
      </c>
      <c r="F1976" s="2">
        <f t="shared" si="30"/>
        <v>0</v>
      </c>
    </row>
    <row r="1977" spans="1:6" x14ac:dyDescent="0.25">
      <c r="A1977" s="1">
        <v>43059</v>
      </c>
      <c r="B1977" s="2" t="s">
        <v>232</v>
      </c>
      <c r="C1977" s="2" t="s">
        <v>487</v>
      </c>
      <c r="D1977">
        <v>20</v>
      </c>
      <c r="E1977">
        <f>WEEKDAY(makulatura5[[#This Row],[Data_dostarczenia]],2)</f>
        <v>1</v>
      </c>
      <c r="F1977" s="2">
        <f t="shared" si="30"/>
        <v>0</v>
      </c>
    </row>
    <row r="1978" spans="1:6" x14ac:dyDescent="0.25">
      <c r="A1978" s="1">
        <v>43059</v>
      </c>
      <c r="B1978" s="2" t="s">
        <v>77</v>
      </c>
      <c r="C1978" s="2" t="s">
        <v>384</v>
      </c>
      <c r="D1978">
        <v>3</v>
      </c>
      <c r="E1978">
        <f>WEEKDAY(makulatura5[[#This Row],[Data_dostarczenia]],2)</f>
        <v>1</v>
      </c>
      <c r="F1978" s="2">
        <f t="shared" si="30"/>
        <v>0</v>
      </c>
    </row>
    <row r="1979" spans="1:6" x14ac:dyDescent="0.25">
      <c r="A1979" s="1">
        <v>43059</v>
      </c>
      <c r="B1979" s="2" t="s">
        <v>117</v>
      </c>
      <c r="C1979" s="2" t="s">
        <v>183</v>
      </c>
      <c r="D1979">
        <v>23</v>
      </c>
      <c r="E1979">
        <f>WEEKDAY(makulatura5[[#This Row],[Data_dostarczenia]],2)</f>
        <v>1</v>
      </c>
      <c r="F1979" s="2">
        <f t="shared" si="30"/>
        <v>0</v>
      </c>
    </row>
    <row r="1980" spans="1:6" x14ac:dyDescent="0.25">
      <c r="A1980" s="1">
        <v>43059</v>
      </c>
      <c r="B1980" s="2" t="s">
        <v>307</v>
      </c>
      <c r="C1980" s="2" t="s">
        <v>308</v>
      </c>
      <c r="D1980">
        <v>4</v>
      </c>
      <c r="E1980">
        <f>WEEKDAY(makulatura5[[#This Row],[Data_dostarczenia]],2)</f>
        <v>1</v>
      </c>
      <c r="F1980" s="2">
        <f t="shared" si="30"/>
        <v>0</v>
      </c>
    </row>
    <row r="1981" spans="1:6" x14ac:dyDescent="0.25">
      <c r="A1981" s="1">
        <v>43059</v>
      </c>
      <c r="B1981" s="2" t="s">
        <v>174</v>
      </c>
      <c r="C1981" s="2" t="s">
        <v>175</v>
      </c>
      <c r="D1981">
        <v>20</v>
      </c>
      <c r="E1981">
        <f>WEEKDAY(makulatura5[[#This Row],[Data_dostarczenia]],2)</f>
        <v>1</v>
      </c>
      <c r="F1981" s="2">
        <f t="shared" si="30"/>
        <v>0</v>
      </c>
    </row>
    <row r="1982" spans="1:6" x14ac:dyDescent="0.25">
      <c r="A1982" s="1">
        <v>43059</v>
      </c>
      <c r="B1982" s="2" t="s">
        <v>23</v>
      </c>
      <c r="C1982" s="2" t="s">
        <v>695</v>
      </c>
      <c r="D1982">
        <v>51</v>
      </c>
      <c r="E1982">
        <f>WEEKDAY(makulatura5[[#This Row],[Data_dostarczenia]],2)</f>
        <v>1</v>
      </c>
      <c r="F1982" s="2">
        <f t="shared" si="30"/>
        <v>0</v>
      </c>
    </row>
    <row r="1983" spans="1:6" x14ac:dyDescent="0.25">
      <c r="A1983" s="1">
        <v>43059</v>
      </c>
      <c r="B1983" s="2" t="s">
        <v>574</v>
      </c>
      <c r="C1983" s="2" t="s">
        <v>421</v>
      </c>
      <c r="D1983">
        <v>29</v>
      </c>
      <c r="E1983">
        <f>WEEKDAY(makulatura5[[#This Row],[Data_dostarczenia]],2)</f>
        <v>1</v>
      </c>
      <c r="F1983" s="2">
        <f t="shared" si="30"/>
        <v>0</v>
      </c>
    </row>
    <row r="1984" spans="1:6" x14ac:dyDescent="0.25">
      <c r="A1984" s="1">
        <v>43059</v>
      </c>
      <c r="B1984" s="2" t="s">
        <v>39</v>
      </c>
      <c r="C1984" s="2" t="s">
        <v>111</v>
      </c>
      <c r="D1984">
        <v>54</v>
      </c>
      <c r="E1984">
        <f>WEEKDAY(makulatura5[[#This Row],[Data_dostarczenia]],2)</f>
        <v>1</v>
      </c>
      <c r="F1984" s="2">
        <f t="shared" si="30"/>
        <v>0</v>
      </c>
    </row>
    <row r="1985" spans="1:6" x14ac:dyDescent="0.25">
      <c r="A1985" s="1">
        <v>43059</v>
      </c>
      <c r="B1985" s="2" t="s">
        <v>171</v>
      </c>
      <c r="C1985" s="2" t="s">
        <v>562</v>
      </c>
      <c r="D1985">
        <v>19</v>
      </c>
      <c r="E1985">
        <f>WEEKDAY(makulatura5[[#This Row],[Data_dostarczenia]],2)</f>
        <v>1</v>
      </c>
      <c r="F1985" s="2">
        <f t="shared" si="30"/>
        <v>0</v>
      </c>
    </row>
    <row r="1986" spans="1:6" x14ac:dyDescent="0.25">
      <c r="A1986" s="1">
        <v>43059</v>
      </c>
      <c r="B1986" s="2" t="s">
        <v>352</v>
      </c>
      <c r="C1986" s="2" t="s">
        <v>227</v>
      </c>
      <c r="D1986">
        <v>25</v>
      </c>
      <c r="E1986">
        <f>WEEKDAY(makulatura5[[#This Row],[Data_dostarczenia]],2)</f>
        <v>1</v>
      </c>
      <c r="F1986" s="2">
        <f t="shared" ref="F1986:F2049" si="31">IF(A1987=A1986,0,1)</f>
        <v>0</v>
      </c>
    </row>
    <row r="1987" spans="1:6" x14ac:dyDescent="0.25">
      <c r="A1987" s="1">
        <v>43059</v>
      </c>
      <c r="B1987" s="2" t="s">
        <v>409</v>
      </c>
      <c r="C1987" s="2" t="s">
        <v>410</v>
      </c>
      <c r="D1987">
        <v>4</v>
      </c>
      <c r="E1987">
        <f>WEEKDAY(makulatura5[[#This Row],[Data_dostarczenia]],2)</f>
        <v>1</v>
      </c>
      <c r="F1987" s="2">
        <f t="shared" si="31"/>
        <v>0</v>
      </c>
    </row>
    <row r="1988" spans="1:6" x14ac:dyDescent="0.25">
      <c r="A1988" s="1">
        <v>43059</v>
      </c>
      <c r="B1988" s="2" t="s">
        <v>133</v>
      </c>
      <c r="C1988" s="2" t="s">
        <v>616</v>
      </c>
      <c r="D1988">
        <v>10</v>
      </c>
      <c r="E1988">
        <f>WEEKDAY(makulatura5[[#This Row],[Data_dostarczenia]],2)</f>
        <v>1</v>
      </c>
      <c r="F1988" s="2">
        <f t="shared" si="31"/>
        <v>1</v>
      </c>
    </row>
    <row r="1989" spans="1:6" x14ac:dyDescent="0.25">
      <c r="A1989" s="1">
        <v>43060</v>
      </c>
      <c r="B1989" s="2" t="s">
        <v>106</v>
      </c>
      <c r="C1989" s="2" t="s">
        <v>107</v>
      </c>
      <c r="D1989">
        <v>9</v>
      </c>
      <c r="E1989">
        <f>WEEKDAY(makulatura5[[#This Row],[Data_dostarczenia]],2)</f>
        <v>2</v>
      </c>
      <c r="F1989" s="2">
        <f t="shared" si="31"/>
        <v>0</v>
      </c>
    </row>
    <row r="1990" spans="1:6" x14ac:dyDescent="0.25">
      <c r="A1990" s="1">
        <v>43060</v>
      </c>
      <c r="B1990" s="2" t="s">
        <v>81</v>
      </c>
      <c r="C1990" s="2" t="s">
        <v>584</v>
      </c>
      <c r="D1990">
        <v>8</v>
      </c>
      <c r="E1990">
        <f>WEEKDAY(makulatura5[[#This Row],[Data_dostarczenia]],2)</f>
        <v>2</v>
      </c>
      <c r="F1990" s="2">
        <f t="shared" si="31"/>
        <v>0</v>
      </c>
    </row>
    <row r="1991" spans="1:6" x14ac:dyDescent="0.25">
      <c r="A1991" s="1">
        <v>43060</v>
      </c>
      <c r="B1991" s="2" t="s">
        <v>280</v>
      </c>
      <c r="C1991" s="2" t="s">
        <v>580</v>
      </c>
      <c r="D1991">
        <v>50</v>
      </c>
      <c r="E1991">
        <f>WEEKDAY(makulatura5[[#This Row],[Data_dostarczenia]],2)</f>
        <v>2</v>
      </c>
      <c r="F1991" s="2">
        <f t="shared" si="31"/>
        <v>0</v>
      </c>
    </row>
    <row r="1992" spans="1:6" x14ac:dyDescent="0.25">
      <c r="A1992" s="1">
        <v>43060</v>
      </c>
      <c r="B1992" s="2" t="s">
        <v>141</v>
      </c>
      <c r="C1992" s="2" t="s">
        <v>292</v>
      </c>
      <c r="D1992">
        <v>18</v>
      </c>
      <c r="E1992">
        <f>WEEKDAY(makulatura5[[#This Row],[Data_dostarczenia]],2)</f>
        <v>2</v>
      </c>
      <c r="F1992" s="2">
        <f t="shared" si="31"/>
        <v>0</v>
      </c>
    </row>
    <row r="1993" spans="1:6" x14ac:dyDescent="0.25">
      <c r="A1993" s="1">
        <v>43060</v>
      </c>
      <c r="B1993" s="2" t="s">
        <v>176</v>
      </c>
      <c r="C1993" s="2" t="s">
        <v>486</v>
      </c>
      <c r="D1993">
        <v>42</v>
      </c>
      <c r="E1993">
        <f>WEEKDAY(makulatura5[[#This Row],[Data_dostarczenia]],2)</f>
        <v>2</v>
      </c>
      <c r="F1993" s="2">
        <f t="shared" si="31"/>
        <v>0</v>
      </c>
    </row>
    <row r="1994" spans="1:6" x14ac:dyDescent="0.25">
      <c r="A1994" s="1">
        <v>43060</v>
      </c>
      <c r="B1994" s="2" t="s">
        <v>72</v>
      </c>
      <c r="C1994" s="2" t="s">
        <v>73</v>
      </c>
      <c r="D1994">
        <v>24</v>
      </c>
      <c r="E1994">
        <f>WEEKDAY(makulatura5[[#This Row],[Data_dostarczenia]],2)</f>
        <v>2</v>
      </c>
      <c r="F1994" s="2">
        <f t="shared" si="31"/>
        <v>0</v>
      </c>
    </row>
    <row r="1995" spans="1:6" x14ac:dyDescent="0.25">
      <c r="A1995" s="1">
        <v>43060</v>
      </c>
      <c r="B1995" s="2" t="s">
        <v>171</v>
      </c>
      <c r="C1995" s="2" t="s">
        <v>5</v>
      </c>
      <c r="D1995">
        <v>31</v>
      </c>
      <c r="E1995">
        <f>WEEKDAY(makulatura5[[#This Row],[Data_dostarczenia]],2)</f>
        <v>2</v>
      </c>
      <c r="F1995" s="2">
        <f t="shared" si="31"/>
        <v>0</v>
      </c>
    </row>
    <row r="1996" spans="1:6" x14ac:dyDescent="0.25">
      <c r="A1996" s="1">
        <v>43060</v>
      </c>
      <c r="B1996" s="2" t="s">
        <v>299</v>
      </c>
      <c r="C1996" s="2" t="s">
        <v>300</v>
      </c>
      <c r="D1996">
        <v>46</v>
      </c>
      <c r="E1996">
        <f>WEEKDAY(makulatura5[[#This Row],[Data_dostarczenia]],2)</f>
        <v>2</v>
      </c>
      <c r="F1996" s="2">
        <f t="shared" si="31"/>
        <v>0</v>
      </c>
    </row>
    <row r="1997" spans="1:6" x14ac:dyDescent="0.25">
      <c r="A1997" s="1">
        <v>43060</v>
      </c>
      <c r="B1997" s="2" t="s">
        <v>206</v>
      </c>
      <c r="C1997" s="2" t="s">
        <v>227</v>
      </c>
      <c r="D1997">
        <v>9</v>
      </c>
      <c r="E1997">
        <f>WEEKDAY(makulatura5[[#This Row],[Data_dostarczenia]],2)</f>
        <v>2</v>
      </c>
      <c r="F1997" s="2">
        <f t="shared" si="31"/>
        <v>0</v>
      </c>
    </row>
    <row r="1998" spans="1:6" x14ac:dyDescent="0.25">
      <c r="A1998" s="1">
        <v>43060</v>
      </c>
      <c r="B1998" s="2" t="s">
        <v>416</v>
      </c>
      <c r="C1998" s="2" t="s">
        <v>572</v>
      </c>
      <c r="D1998">
        <v>9</v>
      </c>
      <c r="E1998">
        <f>WEEKDAY(makulatura5[[#This Row],[Data_dostarczenia]],2)</f>
        <v>2</v>
      </c>
      <c r="F1998" s="2">
        <f t="shared" si="31"/>
        <v>0</v>
      </c>
    </row>
    <row r="1999" spans="1:6" x14ac:dyDescent="0.25">
      <c r="A1999" s="1">
        <v>43060</v>
      </c>
      <c r="B1999" s="2" t="s">
        <v>43</v>
      </c>
      <c r="C1999" s="2" t="s">
        <v>44</v>
      </c>
      <c r="D1999">
        <v>53</v>
      </c>
      <c r="E1999">
        <f>WEEKDAY(makulatura5[[#This Row],[Data_dostarczenia]],2)</f>
        <v>2</v>
      </c>
      <c r="F1999" s="2">
        <f t="shared" si="31"/>
        <v>0</v>
      </c>
    </row>
    <row r="2000" spans="1:6" x14ac:dyDescent="0.25">
      <c r="A2000" s="1">
        <v>43060</v>
      </c>
      <c r="B2000" s="2" t="s">
        <v>131</v>
      </c>
      <c r="C2000" s="2" t="s">
        <v>451</v>
      </c>
      <c r="D2000">
        <v>5</v>
      </c>
      <c r="E2000">
        <f>WEEKDAY(makulatura5[[#This Row],[Data_dostarczenia]],2)</f>
        <v>2</v>
      </c>
      <c r="F2000" s="2">
        <f t="shared" si="31"/>
        <v>0</v>
      </c>
    </row>
    <row r="2001" spans="1:6" x14ac:dyDescent="0.25">
      <c r="A2001" s="1">
        <v>43060</v>
      </c>
      <c r="B2001" s="2" t="s">
        <v>137</v>
      </c>
      <c r="C2001" s="2" t="s">
        <v>138</v>
      </c>
      <c r="D2001">
        <v>39</v>
      </c>
      <c r="E2001">
        <f>WEEKDAY(makulatura5[[#This Row],[Data_dostarczenia]],2)</f>
        <v>2</v>
      </c>
      <c r="F2001" s="2">
        <f t="shared" si="31"/>
        <v>0</v>
      </c>
    </row>
    <row r="2002" spans="1:6" x14ac:dyDescent="0.25">
      <c r="A2002" s="1">
        <v>43060</v>
      </c>
      <c r="B2002" s="2" t="s">
        <v>372</v>
      </c>
      <c r="C2002" s="2" t="s">
        <v>373</v>
      </c>
      <c r="D2002">
        <v>43</v>
      </c>
      <c r="E2002">
        <f>WEEKDAY(makulatura5[[#This Row],[Data_dostarczenia]],2)</f>
        <v>2</v>
      </c>
      <c r="F2002" s="2">
        <f t="shared" si="31"/>
        <v>0</v>
      </c>
    </row>
    <row r="2003" spans="1:6" x14ac:dyDescent="0.25">
      <c r="A2003" s="1">
        <v>43060</v>
      </c>
      <c r="B2003" s="2" t="s">
        <v>83</v>
      </c>
      <c r="C2003" s="2" t="s">
        <v>350</v>
      </c>
      <c r="D2003">
        <v>14</v>
      </c>
      <c r="E2003">
        <f>WEEKDAY(makulatura5[[#This Row],[Data_dostarczenia]],2)</f>
        <v>2</v>
      </c>
      <c r="F2003" s="2">
        <f t="shared" si="31"/>
        <v>0</v>
      </c>
    </row>
    <row r="2004" spans="1:6" x14ac:dyDescent="0.25">
      <c r="A2004" s="1">
        <v>43060</v>
      </c>
      <c r="B2004" s="2" t="s">
        <v>150</v>
      </c>
      <c r="C2004" s="2" t="s">
        <v>151</v>
      </c>
      <c r="D2004">
        <v>25</v>
      </c>
      <c r="E2004">
        <f>WEEKDAY(makulatura5[[#This Row],[Data_dostarczenia]],2)</f>
        <v>2</v>
      </c>
      <c r="F2004" s="2">
        <f t="shared" si="31"/>
        <v>0</v>
      </c>
    </row>
    <row r="2005" spans="1:6" x14ac:dyDescent="0.25">
      <c r="A2005" s="1">
        <v>43060</v>
      </c>
      <c r="B2005" s="2" t="s">
        <v>121</v>
      </c>
      <c r="C2005" s="2" t="s">
        <v>122</v>
      </c>
      <c r="D2005">
        <v>16</v>
      </c>
      <c r="E2005">
        <f>WEEKDAY(makulatura5[[#This Row],[Data_dostarczenia]],2)</f>
        <v>2</v>
      </c>
      <c r="F2005" s="2">
        <f t="shared" si="31"/>
        <v>0</v>
      </c>
    </row>
    <row r="2006" spans="1:6" x14ac:dyDescent="0.25">
      <c r="A2006" s="1">
        <v>43060</v>
      </c>
      <c r="B2006" s="2" t="s">
        <v>374</v>
      </c>
      <c r="C2006" s="2" t="s">
        <v>581</v>
      </c>
      <c r="D2006">
        <v>23</v>
      </c>
      <c r="E2006">
        <f>WEEKDAY(makulatura5[[#This Row],[Data_dostarczenia]],2)</f>
        <v>2</v>
      </c>
      <c r="F2006" s="2">
        <f t="shared" si="31"/>
        <v>1</v>
      </c>
    </row>
    <row r="2007" spans="1:6" x14ac:dyDescent="0.25">
      <c r="A2007" s="1">
        <v>43061</v>
      </c>
      <c r="B2007" s="2" t="s">
        <v>4</v>
      </c>
      <c r="C2007" s="2" t="s">
        <v>5</v>
      </c>
      <c r="D2007">
        <v>12</v>
      </c>
      <c r="E2007">
        <f>WEEKDAY(makulatura5[[#This Row],[Data_dostarczenia]],2)</f>
        <v>3</v>
      </c>
      <c r="F2007" s="2">
        <f t="shared" si="31"/>
        <v>0</v>
      </c>
    </row>
    <row r="2008" spans="1:6" x14ac:dyDescent="0.25">
      <c r="A2008" s="1">
        <v>43061</v>
      </c>
      <c r="B2008" s="2" t="s">
        <v>374</v>
      </c>
      <c r="C2008" s="2" t="s">
        <v>375</v>
      </c>
      <c r="D2008">
        <v>10</v>
      </c>
      <c r="E2008">
        <f>WEEKDAY(makulatura5[[#This Row],[Data_dostarczenia]],2)</f>
        <v>3</v>
      </c>
      <c r="F2008" s="2">
        <f t="shared" si="31"/>
        <v>0</v>
      </c>
    </row>
    <row r="2009" spans="1:6" x14ac:dyDescent="0.25">
      <c r="A2009" s="1">
        <v>43061</v>
      </c>
      <c r="B2009" s="2" t="s">
        <v>16</v>
      </c>
      <c r="C2009" s="2" t="s">
        <v>642</v>
      </c>
      <c r="D2009">
        <v>49</v>
      </c>
      <c r="E2009">
        <f>WEEKDAY(makulatura5[[#This Row],[Data_dostarczenia]],2)</f>
        <v>3</v>
      </c>
      <c r="F2009" s="2">
        <f t="shared" si="31"/>
        <v>0</v>
      </c>
    </row>
    <row r="2010" spans="1:6" x14ac:dyDescent="0.25">
      <c r="A2010" s="1">
        <v>43061</v>
      </c>
      <c r="B2010" s="2" t="s">
        <v>367</v>
      </c>
      <c r="C2010" s="2" t="s">
        <v>5</v>
      </c>
      <c r="D2010">
        <v>9</v>
      </c>
      <c r="E2010">
        <f>WEEKDAY(makulatura5[[#This Row],[Data_dostarczenia]],2)</f>
        <v>3</v>
      </c>
      <c r="F2010" s="2">
        <f t="shared" si="31"/>
        <v>0</v>
      </c>
    </row>
    <row r="2011" spans="1:6" x14ac:dyDescent="0.25">
      <c r="A2011" s="1">
        <v>43061</v>
      </c>
      <c r="B2011" s="2" t="s">
        <v>55</v>
      </c>
      <c r="C2011" s="2" t="s">
        <v>56</v>
      </c>
      <c r="D2011">
        <v>14</v>
      </c>
      <c r="E2011">
        <f>WEEKDAY(makulatura5[[#This Row],[Data_dostarczenia]],2)</f>
        <v>3</v>
      </c>
      <c r="F2011" s="2">
        <f t="shared" si="31"/>
        <v>0</v>
      </c>
    </row>
    <row r="2012" spans="1:6" x14ac:dyDescent="0.25">
      <c r="A2012" s="1">
        <v>43061</v>
      </c>
      <c r="B2012" s="2" t="s">
        <v>412</v>
      </c>
      <c r="C2012" s="2" t="s">
        <v>413</v>
      </c>
      <c r="D2012">
        <v>23</v>
      </c>
      <c r="E2012">
        <f>WEEKDAY(makulatura5[[#This Row],[Data_dostarczenia]],2)</f>
        <v>3</v>
      </c>
      <c r="F2012" s="2">
        <f t="shared" si="31"/>
        <v>0</v>
      </c>
    </row>
    <row r="2013" spans="1:6" x14ac:dyDescent="0.25">
      <c r="A2013" s="1">
        <v>43061</v>
      </c>
      <c r="B2013" s="2" t="s">
        <v>367</v>
      </c>
      <c r="C2013" s="2" t="s">
        <v>368</v>
      </c>
      <c r="D2013">
        <v>12</v>
      </c>
      <c r="E2013">
        <f>WEEKDAY(makulatura5[[#This Row],[Data_dostarczenia]],2)</f>
        <v>3</v>
      </c>
      <c r="F2013" s="2">
        <f t="shared" si="31"/>
        <v>0</v>
      </c>
    </row>
    <row r="2014" spans="1:6" x14ac:dyDescent="0.25">
      <c r="A2014" s="1">
        <v>43061</v>
      </c>
      <c r="B2014" s="2" t="s">
        <v>314</v>
      </c>
      <c r="C2014" s="2" t="s">
        <v>315</v>
      </c>
      <c r="D2014">
        <v>14</v>
      </c>
      <c r="E2014">
        <f>WEEKDAY(makulatura5[[#This Row],[Data_dostarczenia]],2)</f>
        <v>3</v>
      </c>
      <c r="F2014" s="2">
        <f t="shared" si="31"/>
        <v>0</v>
      </c>
    </row>
    <row r="2015" spans="1:6" x14ac:dyDescent="0.25">
      <c r="A2015" s="1">
        <v>43061</v>
      </c>
      <c r="B2015" s="2" t="s">
        <v>92</v>
      </c>
      <c r="C2015" s="2" t="s">
        <v>93</v>
      </c>
      <c r="D2015">
        <v>5</v>
      </c>
      <c r="E2015">
        <f>WEEKDAY(makulatura5[[#This Row],[Data_dostarczenia]],2)</f>
        <v>3</v>
      </c>
      <c r="F2015" s="2">
        <f t="shared" si="31"/>
        <v>0</v>
      </c>
    </row>
    <row r="2016" spans="1:6" x14ac:dyDescent="0.25">
      <c r="A2016" s="1">
        <v>43061</v>
      </c>
      <c r="B2016" s="2" t="s">
        <v>30</v>
      </c>
      <c r="C2016" s="2" t="s">
        <v>680</v>
      </c>
      <c r="D2016">
        <v>13</v>
      </c>
      <c r="E2016">
        <f>WEEKDAY(makulatura5[[#This Row],[Data_dostarczenia]],2)</f>
        <v>3</v>
      </c>
      <c r="F2016" s="2">
        <f t="shared" si="31"/>
        <v>0</v>
      </c>
    </row>
    <row r="2017" spans="1:6" x14ac:dyDescent="0.25">
      <c r="A2017" s="1">
        <v>43061</v>
      </c>
      <c r="B2017" s="2" t="s">
        <v>232</v>
      </c>
      <c r="C2017" s="2" t="s">
        <v>233</v>
      </c>
      <c r="D2017">
        <v>5</v>
      </c>
      <c r="E2017">
        <f>WEEKDAY(makulatura5[[#This Row],[Data_dostarczenia]],2)</f>
        <v>3</v>
      </c>
      <c r="F2017" s="2">
        <f t="shared" si="31"/>
        <v>0</v>
      </c>
    </row>
    <row r="2018" spans="1:6" x14ac:dyDescent="0.25">
      <c r="A2018" s="1">
        <v>43061</v>
      </c>
      <c r="B2018" s="2" t="s">
        <v>39</v>
      </c>
      <c r="C2018" s="2" t="s">
        <v>436</v>
      </c>
      <c r="D2018">
        <v>29</v>
      </c>
      <c r="E2018">
        <f>WEEKDAY(makulatura5[[#This Row],[Data_dostarczenia]],2)</f>
        <v>3</v>
      </c>
      <c r="F2018" s="2">
        <f t="shared" si="31"/>
        <v>0</v>
      </c>
    </row>
    <row r="2019" spans="1:6" x14ac:dyDescent="0.25">
      <c r="A2019" s="1">
        <v>43061</v>
      </c>
      <c r="B2019" s="2" t="s">
        <v>427</v>
      </c>
      <c r="C2019" s="2" t="s">
        <v>118</v>
      </c>
      <c r="D2019">
        <v>24</v>
      </c>
      <c r="E2019">
        <f>WEEKDAY(makulatura5[[#This Row],[Data_dostarczenia]],2)</f>
        <v>3</v>
      </c>
      <c r="F2019" s="2">
        <f t="shared" si="31"/>
        <v>0</v>
      </c>
    </row>
    <row r="2020" spans="1:6" x14ac:dyDescent="0.25">
      <c r="A2020" s="1">
        <v>43061</v>
      </c>
      <c r="B2020" s="2" t="s">
        <v>494</v>
      </c>
      <c r="C2020" s="2" t="s">
        <v>495</v>
      </c>
      <c r="D2020">
        <v>2</v>
      </c>
      <c r="E2020">
        <f>WEEKDAY(makulatura5[[#This Row],[Data_dostarczenia]],2)</f>
        <v>3</v>
      </c>
      <c r="F2020" s="2">
        <f t="shared" si="31"/>
        <v>0</v>
      </c>
    </row>
    <row r="2021" spans="1:6" x14ac:dyDescent="0.25">
      <c r="A2021" s="1">
        <v>43061</v>
      </c>
      <c r="B2021" s="2" t="s">
        <v>55</v>
      </c>
      <c r="C2021" s="2" t="s">
        <v>691</v>
      </c>
      <c r="D2021">
        <v>41</v>
      </c>
      <c r="E2021">
        <f>WEEKDAY(makulatura5[[#This Row],[Data_dostarczenia]],2)</f>
        <v>3</v>
      </c>
      <c r="F2021" s="2">
        <f t="shared" si="31"/>
        <v>0</v>
      </c>
    </row>
    <row r="2022" spans="1:6" x14ac:dyDescent="0.25">
      <c r="A2022" s="1">
        <v>43061</v>
      </c>
      <c r="B2022" s="2" t="s">
        <v>18</v>
      </c>
      <c r="C2022" s="2" t="s">
        <v>597</v>
      </c>
      <c r="D2022">
        <v>21</v>
      </c>
      <c r="E2022">
        <f>WEEKDAY(makulatura5[[#This Row],[Data_dostarczenia]],2)</f>
        <v>3</v>
      </c>
      <c r="F2022" s="2">
        <f t="shared" si="31"/>
        <v>0</v>
      </c>
    </row>
    <row r="2023" spans="1:6" x14ac:dyDescent="0.25">
      <c r="A2023" s="1">
        <v>43061</v>
      </c>
      <c r="B2023" s="2" t="s">
        <v>171</v>
      </c>
      <c r="C2023" s="2" t="s">
        <v>651</v>
      </c>
      <c r="D2023">
        <v>25</v>
      </c>
      <c r="E2023">
        <f>WEEKDAY(makulatura5[[#This Row],[Data_dostarczenia]],2)</f>
        <v>3</v>
      </c>
      <c r="F2023" s="2">
        <f t="shared" si="31"/>
        <v>0</v>
      </c>
    </row>
    <row r="2024" spans="1:6" x14ac:dyDescent="0.25">
      <c r="A2024" s="1">
        <v>43061</v>
      </c>
      <c r="B2024" s="2" t="s">
        <v>169</v>
      </c>
      <c r="C2024" s="2" t="s">
        <v>684</v>
      </c>
      <c r="D2024">
        <v>26</v>
      </c>
      <c r="E2024">
        <f>WEEKDAY(makulatura5[[#This Row],[Data_dostarczenia]],2)</f>
        <v>3</v>
      </c>
      <c r="F2024" s="2">
        <f t="shared" si="31"/>
        <v>0</v>
      </c>
    </row>
    <row r="2025" spans="1:6" x14ac:dyDescent="0.25">
      <c r="A2025" s="1">
        <v>43061</v>
      </c>
      <c r="B2025" s="2" t="s">
        <v>87</v>
      </c>
      <c r="C2025" s="2" t="s">
        <v>424</v>
      </c>
      <c r="D2025">
        <v>14</v>
      </c>
      <c r="E2025">
        <f>WEEKDAY(makulatura5[[#This Row],[Data_dostarczenia]],2)</f>
        <v>3</v>
      </c>
      <c r="F2025" s="2">
        <f t="shared" si="31"/>
        <v>1</v>
      </c>
    </row>
    <row r="2026" spans="1:6" x14ac:dyDescent="0.25">
      <c r="A2026" s="1">
        <v>43062</v>
      </c>
      <c r="B2026" s="2" t="s">
        <v>83</v>
      </c>
      <c r="C2026" s="2" t="s">
        <v>149</v>
      </c>
      <c r="D2026">
        <v>14</v>
      </c>
      <c r="E2026">
        <f>WEEKDAY(makulatura5[[#This Row],[Data_dostarczenia]],2)</f>
        <v>4</v>
      </c>
      <c r="F2026" s="2">
        <f t="shared" si="31"/>
        <v>0</v>
      </c>
    </row>
    <row r="2027" spans="1:6" x14ac:dyDescent="0.25">
      <c r="A2027" s="1">
        <v>43062</v>
      </c>
      <c r="B2027" s="2" t="s">
        <v>427</v>
      </c>
      <c r="C2027" s="2" t="s">
        <v>118</v>
      </c>
      <c r="D2027">
        <v>39</v>
      </c>
      <c r="E2027">
        <f>WEEKDAY(makulatura5[[#This Row],[Data_dostarczenia]],2)</f>
        <v>4</v>
      </c>
      <c r="F2027" s="2">
        <f t="shared" si="31"/>
        <v>0</v>
      </c>
    </row>
    <row r="2028" spans="1:6" x14ac:dyDescent="0.25">
      <c r="A2028" s="1">
        <v>43062</v>
      </c>
      <c r="B2028" s="2" t="s">
        <v>81</v>
      </c>
      <c r="C2028" s="2" t="s">
        <v>648</v>
      </c>
      <c r="D2028">
        <v>25</v>
      </c>
      <c r="E2028">
        <f>WEEKDAY(makulatura5[[#This Row],[Data_dostarczenia]],2)</f>
        <v>4</v>
      </c>
      <c r="F2028" s="2">
        <f t="shared" si="31"/>
        <v>0</v>
      </c>
    </row>
    <row r="2029" spans="1:6" x14ac:dyDescent="0.25">
      <c r="A2029" s="1">
        <v>43062</v>
      </c>
      <c r="B2029" s="2" t="s">
        <v>395</v>
      </c>
      <c r="C2029" s="2" t="s">
        <v>599</v>
      </c>
      <c r="D2029">
        <v>15</v>
      </c>
      <c r="E2029">
        <f>WEEKDAY(makulatura5[[#This Row],[Data_dostarczenia]],2)</f>
        <v>4</v>
      </c>
      <c r="F2029" s="2">
        <f t="shared" si="31"/>
        <v>0</v>
      </c>
    </row>
    <row r="2030" spans="1:6" x14ac:dyDescent="0.25">
      <c r="A2030" s="1">
        <v>43062</v>
      </c>
      <c r="B2030" s="2" t="s">
        <v>69</v>
      </c>
      <c r="C2030" s="2" t="s">
        <v>200</v>
      </c>
      <c r="D2030">
        <v>9</v>
      </c>
      <c r="E2030">
        <f>WEEKDAY(makulatura5[[#This Row],[Data_dostarczenia]],2)</f>
        <v>4</v>
      </c>
      <c r="F2030" s="2">
        <f t="shared" si="31"/>
        <v>0</v>
      </c>
    </row>
    <row r="2031" spans="1:6" x14ac:dyDescent="0.25">
      <c r="A2031" s="1">
        <v>43062</v>
      </c>
      <c r="B2031" s="2" t="s">
        <v>359</v>
      </c>
      <c r="C2031" s="2" t="s">
        <v>431</v>
      </c>
      <c r="D2031">
        <v>10</v>
      </c>
      <c r="E2031">
        <f>WEEKDAY(makulatura5[[#This Row],[Data_dostarczenia]],2)</f>
        <v>4</v>
      </c>
      <c r="F2031" s="2">
        <f t="shared" si="31"/>
        <v>0</v>
      </c>
    </row>
    <row r="2032" spans="1:6" x14ac:dyDescent="0.25">
      <c r="A2032" s="1">
        <v>43062</v>
      </c>
      <c r="B2032" s="2" t="s">
        <v>69</v>
      </c>
      <c r="C2032" s="2" t="s">
        <v>200</v>
      </c>
      <c r="D2032">
        <v>12</v>
      </c>
      <c r="E2032">
        <f>WEEKDAY(makulatura5[[#This Row],[Data_dostarczenia]],2)</f>
        <v>4</v>
      </c>
      <c r="F2032" s="2">
        <f t="shared" si="31"/>
        <v>0</v>
      </c>
    </row>
    <row r="2033" spans="1:6" x14ac:dyDescent="0.25">
      <c r="A2033" s="1">
        <v>43062</v>
      </c>
      <c r="B2033" s="2" t="s">
        <v>69</v>
      </c>
      <c r="C2033" s="2" t="s">
        <v>461</v>
      </c>
      <c r="D2033">
        <v>19</v>
      </c>
      <c r="E2033">
        <f>WEEKDAY(makulatura5[[#This Row],[Data_dostarczenia]],2)</f>
        <v>4</v>
      </c>
      <c r="F2033" s="2">
        <f t="shared" si="31"/>
        <v>0</v>
      </c>
    </row>
    <row r="2034" spans="1:6" x14ac:dyDescent="0.25">
      <c r="A2034" s="1">
        <v>43062</v>
      </c>
      <c r="B2034" s="2" t="s">
        <v>131</v>
      </c>
      <c r="C2034" s="2" t="s">
        <v>626</v>
      </c>
      <c r="D2034">
        <v>43</v>
      </c>
      <c r="E2034">
        <f>WEEKDAY(makulatura5[[#This Row],[Data_dostarczenia]],2)</f>
        <v>4</v>
      </c>
      <c r="F2034" s="2">
        <f t="shared" si="31"/>
        <v>1</v>
      </c>
    </row>
    <row r="2035" spans="1:6" x14ac:dyDescent="0.25">
      <c r="A2035" s="1">
        <v>43063</v>
      </c>
      <c r="B2035" s="2" t="s">
        <v>83</v>
      </c>
      <c r="C2035" s="2" t="s">
        <v>698</v>
      </c>
      <c r="D2035">
        <v>13</v>
      </c>
      <c r="E2035">
        <f>WEEKDAY(makulatura5[[#This Row],[Data_dostarczenia]],2)</f>
        <v>5</v>
      </c>
      <c r="F2035" s="2">
        <f t="shared" si="31"/>
        <v>0</v>
      </c>
    </row>
    <row r="2036" spans="1:6" x14ac:dyDescent="0.25">
      <c r="A2036" s="1">
        <v>43063</v>
      </c>
      <c r="B2036" s="2" t="s">
        <v>201</v>
      </c>
      <c r="C2036" s="2" t="s">
        <v>202</v>
      </c>
      <c r="D2036">
        <v>38</v>
      </c>
      <c r="E2036">
        <f>WEEKDAY(makulatura5[[#This Row],[Data_dostarczenia]],2)</f>
        <v>5</v>
      </c>
      <c r="F2036" s="2">
        <f t="shared" si="31"/>
        <v>0</v>
      </c>
    </row>
    <row r="2037" spans="1:6" x14ac:dyDescent="0.25">
      <c r="A2037" s="1">
        <v>43063</v>
      </c>
      <c r="B2037" s="2" t="s">
        <v>150</v>
      </c>
      <c r="C2037" s="2" t="s">
        <v>556</v>
      </c>
      <c r="D2037">
        <v>9</v>
      </c>
      <c r="E2037">
        <f>WEEKDAY(makulatura5[[#This Row],[Data_dostarczenia]],2)</f>
        <v>5</v>
      </c>
      <c r="F2037" s="2">
        <f t="shared" si="31"/>
        <v>0</v>
      </c>
    </row>
    <row r="2038" spans="1:6" x14ac:dyDescent="0.25">
      <c r="A2038" s="1">
        <v>43063</v>
      </c>
      <c r="B2038" s="2" t="s">
        <v>69</v>
      </c>
      <c r="C2038" s="2" t="s">
        <v>200</v>
      </c>
      <c r="D2038">
        <v>10</v>
      </c>
      <c r="E2038">
        <f>WEEKDAY(makulatura5[[#This Row],[Data_dostarczenia]],2)</f>
        <v>5</v>
      </c>
      <c r="F2038" s="2">
        <f t="shared" si="31"/>
        <v>0</v>
      </c>
    </row>
    <row r="2039" spans="1:6" x14ac:dyDescent="0.25">
      <c r="A2039" s="1">
        <v>43063</v>
      </c>
      <c r="B2039" s="2" t="s">
        <v>367</v>
      </c>
      <c r="C2039" s="2" t="s">
        <v>5</v>
      </c>
      <c r="D2039">
        <v>13</v>
      </c>
      <c r="E2039">
        <f>WEEKDAY(makulatura5[[#This Row],[Data_dostarczenia]],2)</f>
        <v>5</v>
      </c>
      <c r="F2039" s="2">
        <f t="shared" si="31"/>
        <v>0</v>
      </c>
    </row>
    <row r="2040" spans="1:6" x14ac:dyDescent="0.25">
      <c r="A2040" s="1">
        <v>43063</v>
      </c>
      <c r="B2040" s="2" t="s">
        <v>97</v>
      </c>
      <c r="C2040" s="2" t="s">
        <v>188</v>
      </c>
      <c r="D2040">
        <v>6</v>
      </c>
      <c r="E2040">
        <f>WEEKDAY(makulatura5[[#This Row],[Data_dostarczenia]],2)</f>
        <v>5</v>
      </c>
      <c r="F2040" s="2">
        <f t="shared" si="31"/>
        <v>0</v>
      </c>
    </row>
    <row r="2041" spans="1:6" x14ac:dyDescent="0.25">
      <c r="A2041" s="1">
        <v>43063</v>
      </c>
      <c r="B2041" s="2" t="s">
        <v>39</v>
      </c>
      <c r="C2041" s="2" t="s">
        <v>434</v>
      </c>
      <c r="D2041">
        <v>26</v>
      </c>
      <c r="E2041">
        <f>WEEKDAY(makulatura5[[#This Row],[Data_dostarczenia]],2)</f>
        <v>5</v>
      </c>
      <c r="F2041" s="2">
        <f t="shared" si="31"/>
        <v>0</v>
      </c>
    </row>
    <row r="2042" spans="1:6" x14ac:dyDescent="0.25">
      <c r="A2042" s="1">
        <v>43063</v>
      </c>
      <c r="B2042" s="2" t="s">
        <v>355</v>
      </c>
      <c r="C2042" s="2" t="s">
        <v>356</v>
      </c>
      <c r="D2042">
        <v>24</v>
      </c>
      <c r="E2042">
        <f>WEEKDAY(makulatura5[[#This Row],[Data_dostarczenia]],2)</f>
        <v>5</v>
      </c>
      <c r="F2042" s="2">
        <f t="shared" si="31"/>
        <v>0</v>
      </c>
    </row>
    <row r="2043" spans="1:6" x14ac:dyDescent="0.25">
      <c r="A2043" s="1">
        <v>43063</v>
      </c>
      <c r="B2043" s="2" t="s">
        <v>77</v>
      </c>
      <c r="C2043" s="2" t="s">
        <v>78</v>
      </c>
      <c r="D2043">
        <v>13</v>
      </c>
      <c r="E2043">
        <f>WEEKDAY(makulatura5[[#This Row],[Data_dostarczenia]],2)</f>
        <v>5</v>
      </c>
      <c r="F2043" s="2">
        <f t="shared" si="31"/>
        <v>0</v>
      </c>
    </row>
    <row r="2044" spans="1:6" x14ac:dyDescent="0.25">
      <c r="A2044" s="1">
        <v>43063</v>
      </c>
      <c r="B2044" s="2" t="s">
        <v>34</v>
      </c>
      <c r="C2044" s="2" t="s">
        <v>160</v>
      </c>
      <c r="D2044">
        <v>19</v>
      </c>
      <c r="E2044">
        <f>WEEKDAY(makulatura5[[#This Row],[Data_dostarczenia]],2)</f>
        <v>5</v>
      </c>
      <c r="F2044" s="2">
        <f t="shared" si="31"/>
        <v>0</v>
      </c>
    </row>
    <row r="2045" spans="1:6" x14ac:dyDescent="0.25">
      <c r="A2045" s="1">
        <v>43063</v>
      </c>
      <c r="B2045" s="2" t="s">
        <v>150</v>
      </c>
      <c r="C2045" s="2" t="s">
        <v>258</v>
      </c>
      <c r="D2045">
        <v>22</v>
      </c>
      <c r="E2045">
        <f>WEEKDAY(makulatura5[[#This Row],[Data_dostarczenia]],2)</f>
        <v>5</v>
      </c>
      <c r="F2045" s="2">
        <f t="shared" si="31"/>
        <v>0</v>
      </c>
    </row>
    <row r="2046" spans="1:6" x14ac:dyDescent="0.25">
      <c r="A2046" s="1">
        <v>43063</v>
      </c>
      <c r="B2046" s="2" t="s">
        <v>97</v>
      </c>
      <c r="C2046" s="2" t="s">
        <v>5</v>
      </c>
      <c r="D2046">
        <v>2</v>
      </c>
      <c r="E2046">
        <f>WEEKDAY(makulatura5[[#This Row],[Data_dostarczenia]],2)</f>
        <v>5</v>
      </c>
      <c r="F2046" s="2">
        <f t="shared" si="31"/>
        <v>0</v>
      </c>
    </row>
    <row r="2047" spans="1:6" x14ac:dyDescent="0.25">
      <c r="A2047" s="1">
        <v>43063</v>
      </c>
      <c r="B2047" s="2" t="s">
        <v>23</v>
      </c>
      <c r="C2047" s="2" t="s">
        <v>604</v>
      </c>
      <c r="D2047">
        <v>2</v>
      </c>
      <c r="E2047">
        <f>WEEKDAY(makulatura5[[#This Row],[Data_dostarczenia]],2)</f>
        <v>5</v>
      </c>
      <c r="F2047" s="2">
        <f t="shared" si="31"/>
        <v>0</v>
      </c>
    </row>
    <row r="2048" spans="1:6" x14ac:dyDescent="0.25">
      <c r="A2048" s="1">
        <v>43063</v>
      </c>
      <c r="B2048" s="2" t="s">
        <v>30</v>
      </c>
      <c r="C2048" s="2" t="s">
        <v>227</v>
      </c>
      <c r="D2048">
        <v>18</v>
      </c>
      <c r="E2048">
        <f>WEEKDAY(makulatura5[[#This Row],[Data_dostarczenia]],2)</f>
        <v>5</v>
      </c>
      <c r="F2048" s="2">
        <f t="shared" si="31"/>
        <v>0</v>
      </c>
    </row>
    <row r="2049" spans="1:6" x14ac:dyDescent="0.25">
      <c r="A2049" s="1">
        <v>43063</v>
      </c>
      <c r="B2049" s="2" t="s">
        <v>18</v>
      </c>
      <c r="C2049" s="2" t="s">
        <v>74</v>
      </c>
      <c r="D2049">
        <v>24</v>
      </c>
      <c r="E2049">
        <f>WEEKDAY(makulatura5[[#This Row],[Data_dostarczenia]],2)</f>
        <v>5</v>
      </c>
      <c r="F2049" s="2">
        <f t="shared" si="31"/>
        <v>0</v>
      </c>
    </row>
    <row r="2050" spans="1:6" x14ac:dyDescent="0.25">
      <c r="A2050" s="1">
        <v>43063</v>
      </c>
      <c r="B2050" s="2" t="s">
        <v>32</v>
      </c>
      <c r="C2050" s="2" t="s">
        <v>406</v>
      </c>
      <c r="D2050">
        <v>24</v>
      </c>
      <c r="E2050">
        <f>WEEKDAY(makulatura5[[#This Row],[Data_dostarczenia]],2)</f>
        <v>5</v>
      </c>
      <c r="F2050" s="2">
        <f t="shared" ref="F2050:F2113" si="32">IF(A2051=A2050,0,1)</f>
        <v>0</v>
      </c>
    </row>
    <row r="2051" spans="1:6" x14ac:dyDescent="0.25">
      <c r="A2051" s="1">
        <v>43063</v>
      </c>
      <c r="B2051" s="2" t="s">
        <v>193</v>
      </c>
      <c r="C2051" s="2" t="s">
        <v>228</v>
      </c>
      <c r="D2051">
        <v>17</v>
      </c>
      <c r="E2051">
        <f>WEEKDAY(makulatura5[[#This Row],[Data_dostarczenia]],2)</f>
        <v>5</v>
      </c>
      <c r="F2051" s="2">
        <f t="shared" si="32"/>
        <v>0</v>
      </c>
    </row>
    <row r="2052" spans="1:6" x14ac:dyDescent="0.25">
      <c r="A2052" s="1">
        <v>43063</v>
      </c>
      <c r="B2052" s="2" t="s">
        <v>95</v>
      </c>
      <c r="C2052" s="2" t="s">
        <v>426</v>
      </c>
      <c r="D2052">
        <v>18</v>
      </c>
      <c r="E2052">
        <f>WEEKDAY(makulatura5[[#This Row],[Data_dostarczenia]],2)</f>
        <v>5</v>
      </c>
      <c r="F2052" s="2">
        <f t="shared" si="32"/>
        <v>0</v>
      </c>
    </row>
    <row r="2053" spans="1:6" x14ac:dyDescent="0.25">
      <c r="A2053" s="1">
        <v>43063</v>
      </c>
      <c r="B2053" s="2" t="s">
        <v>83</v>
      </c>
      <c r="C2053" s="2" t="s">
        <v>470</v>
      </c>
      <c r="D2053">
        <v>26</v>
      </c>
      <c r="E2053">
        <f>WEEKDAY(makulatura5[[#This Row],[Data_dostarczenia]],2)</f>
        <v>5</v>
      </c>
      <c r="F2053" s="2">
        <f t="shared" si="32"/>
        <v>1</v>
      </c>
    </row>
    <row r="2054" spans="1:6" x14ac:dyDescent="0.25">
      <c r="A2054" s="1">
        <v>43066</v>
      </c>
      <c r="B2054" s="2" t="s">
        <v>55</v>
      </c>
      <c r="C2054" s="2" t="s">
        <v>56</v>
      </c>
      <c r="D2054">
        <v>2</v>
      </c>
      <c r="E2054">
        <f>WEEKDAY(makulatura5[[#This Row],[Data_dostarczenia]],2)</f>
        <v>1</v>
      </c>
      <c r="F2054" s="2">
        <f t="shared" si="32"/>
        <v>0</v>
      </c>
    </row>
    <row r="2055" spans="1:6" x14ac:dyDescent="0.25">
      <c r="A2055" s="1">
        <v>43066</v>
      </c>
      <c r="B2055" s="2" t="s">
        <v>314</v>
      </c>
      <c r="C2055" s="2" t="s">
        <v>366</v>
      </c>
      <c r="D2055">
        <v>51</v>
      </c>
      <c r="E2055">
        <f>WEEKDAY(makulatura5[[#This Row],[Data_dostarczenia]],2)</f>
        <v>1</v>
      </c>
      <c r="F2055" s="2">
        <f t="shared" si="32"/>
        <v>0</v>
      </c>
    </row>
    <row r="2056" spans="1:6" x14ac:dyDescent="0.25">
      <c r="A2056" s="1">
        <v>43066</v>
      </c>
      <c r="B2056" s="2" t="s">
        <v>310</v>
      </c>
      <c r="C2056" s="2" t="s">
        <v>699</v>
      </c>
      <c r="D2056">
        <v>20</v>
      </c>
      <c r="E2056">
        <f>WEEKDAY(makulatura5[[#This Row],[Data_dostarczenia]],2)</f>
        <v>1</v>
      </c>
      <c r="F2056" s="2">
        <f t="shared" si="32"/>
        <v>0</v>
      </c>
    </row>
    <row r="2057" spans="1:6" x14ac:dyDescent="0.25">
      <c r="A2057" s="1">
        <v>43066</v>
      </c>
      <c r="B2057" s="2" t="s">
        <v>81</v>
      </c>
      <c r="C2057" s="2" t="s">
        <v>648</v>
      </c>
      <c r="D2057">
        <v>5</v>
      </c>
      <c r="E2057">
        <f>WEEKDAY(makulatura5[[#This Row],[Data_dostarczenia]],2)</f>
        <v>1</v>
      </c>
      <c r="F2057" s="2">
        <f t="shared" si="32"/>
        <v>0</v>
      </c>
    </row>
    <row r="2058" spans="1:6" x14ac:dyDescent="0.25">
      <c r="A2058" s="1">
        <v>43066</v>
      </c>
      <c r="B2058" s="2" t="s">
        <v>346</v>
      </c>
      <c r="C2058" s="2" t="s">
        <v>347</v>
      </c>
      <c r="D2058">
        <v>43</v>
      </c>
      <c r="E2058">
        <f>WEEKDAY(makulatura5[[#This Row],[Data_dostarczenia]],2)</f>
        <v>1</v>
      </c>
      <c r="F2058" s="2">
        <f t="shared" si="32"/>
        <v>0</v>
      </c>
    </row>
    <row r="2059" spans="1:6" x14ac:dyDescent="0.25">
      <c r="A2059" s="1">
        <v>43066</v>
      </c>
      <c r="B2059" s="2" t="s">
        <v>39</v>
      </c>
      <c r="C2059" s="2" t="s">
        <v>436</v>
      </c>
      <c r="D2059">
        <v>25</v>
      </c>
      <c r="E2059">
        <f>WEEKDAY(makulatura5[[#This Row],[Data_dostarczenia]],2)</f>
        <v>1</v>
      </c>
      <c r="F2059" s="2">
        <f t="shared" si="32"/>
        <v>0</v>
      </c>
    </row>
    <row r="2060" spans="1:6" x14ac:dyDescent="0.25">
      <c r="A2060" s="1">
        <v>43066</v>
      </c>
      <c r="B2060" s="2" t="s">
        <v>141</v>
      </c>
      <c r="C2060" s="2" t="s">
        <v>142</v>
      </c>
      <c r="D2060">
        <v>26</v>
      </c>
      <c r="E2060">
        <f>WEEKDAY(makulatura5[[#This Row],[Data_dostarczenia]],2)</f>
        <v>1</v>
      </c>
      <c r="F2060" s="2">
        <f t="shared" si="32"/>
        <v>0</v>
      </c>
    </row>
    <row r="2061" spans="1:6" x14ac:dyDescent="0.25">
      <c r="A2061" s="1">
        <v>43066</v>
      </c>
      <c r="B2061" s="2" t="s">
        <v>45</v>
      </c>
      <c r="C2061" s="2" t="s">
        <v>388</v>
      </c>
      <c r="D2061">
        <v>25</v>
      </c>
      <c r="E2061">
        <f>WEEKDAY(makulatura5[[#This Row],[Data_dostarczenia]],2)</f>
        <v>1</v>
      </c>
      <c r="F2061" s="2">
        <f t="shared" si="32"/>
        <v>0</v>
      </c>
    </row>
    <row r="2062" spans="1:6" x14ac:dyDescent="0.25">
      <c r="A2062" s="1">
        <v>43066</v>
      </c>
      <c r="B2062" s="2" t="s">
        <v>133</v>
      </c>
      <c r="C2062" s="2" t="s">
        <v>328</v>
      </c>
      <c r="D2062">
        <v>40</v>
      </c>
      <c r="E2062">
        <f>WEEKDAY(makulatura5[[#This Row],[Data_dostarczenia]],2)</f>
        <v>1</v>
      </c>
      <c r="F2062" s="2">
        <f t="shared" si="32"/>
        <v>1</v>
      </c>
    </row>
    <row r="2063" spans="1:6" x14ac:dyDescent="0.25">
      <c r="A2063" s="1">
        <v>43067</v>
      </c>
      <c r="B2063" s="2" t="s">
        <v>34</v>
      </c>
      <c r="C2063" s="2" t="s">
        <v>35</v>
      </c>
      <c r="D2063">
        <v>26</v>
      </c>
      <c r="E2063">
        <f>WEEKDAY(makulatura5[[#This Row],[Data_dostarczenia]],2)</f>
        <v>2</v>
      </c>
      <c r="F2063" s="2">
        <f t="shared" si="32"/>
        <v>0</v>
      </c>
    </row>
    <row r="2064" spans="1:6" x14ac:dyDescent="0.25">
      <c r="A2064" s="1">
        <v>43067</v>
      </c>
      <c r="B2064" s="2" t="s">
        <v>144</v>
      </c>
      <c r="C2064" s="2" t="s">
        <v>525</v>
      </c>
      <c r="D2064">
        <v>49</v>
      </c>
      <c r="E2064">
        <f>WEEKDAY(makulatura5[[#This Row],[Data_dostarczenia]],2)</f>
        <v>2</v>
      </c>
      <c r="F2064" s="2">
        <f t="shared" si="32"/>
        <v>0</v>
      </c>
    </row>
    <row r="2065" spans="1:6" x14ac:dyDescent="0.25">
      <c r="A2065" s="1">
        <v>43067</v>
      </c>
      <c r="B2065" s="2" t="s">
        <v>427</v>
      </c>
      <c r="C2065" s="2" t="s">
        <v>558</v>
      </c>
      <c r="D2065">
        <v>6</v>
      </c>
      <c r="E2065">
        <f>WEEKDAY(makulatura5[[#This Row],[Data_dostarczenia]],2)</f>
        <v>2</v>
      </c>
      <c r="F2065" s="2">
        <f t="shared" si="32"/>
        <v>0</v>
      </c>
    </row>
    <row r="2066" spans="1:6" x14ac:dyDescent="0.25">
      <c r="A2066" s="1">
        <v>43067</v>
      </c>
      <c r="B2066" s="2" t="s">
        <v>47</v>
      </c>
      <c r="C2066" s="2" t="s">
        <v>465</v>
      </c>
      <c r="D2066">
        <v>6</v>
      </c>
      <c r="E2066">
        <f>WEEKDAY(makulatura5[[#This Row],[Data_dostarczenia]],2)</f>
        <v>2</v>
      </c>
      <c r="F2066" s="2">
        <f t="shared" si="32"/>
        <v>0</v>
      </c>
    </row>
    <row r="2067" spans="1:6" x14ac:dyDescent="0.25">
      <c r="A2067" s="1">
        <v>43067</v>
      </c>
      <c r="B2067" s="2" t="s">
        <v>47</v>
      </c>
      <c r="C2067" s="2" t="s">
        <v>465</v>
      </c>
      <c r="D2067">
        <v>11</v>
      </c>
      <c r="E2067">
        <f>WEEKDAY(makulatura5[[#This Row],[Data_dostarczenia]],2)</f>
        <v>2</v>
      </c>
      <c r="F2067" s="2">
        <f t="shared" si="32"/>
        <v>0</v>
      </c>
    </row>
    <row r="2068" spans="1:6" x14ac:dyDescent="0.25">
      <c r="A2068" s="1">
        <v>43067</v>
      </c>
      <c r="B2068" s="2" t="s">
        <v>30</v>
      </c>
      <c r="C2068" s="2" t="s">
        <v>680</v>
      </c>
      <c r="D2068">
        <v>34</v>
      </c>
      <c r="E2068">
        <f>WEEKDAY(makulatura5[[#This Row],[Data_dostarczenia]],2)</f>
        <v>2</v>
      </c>
      <c r="F2068" s="2">
        <f t="shared" si="32"/>
        <v>0</v>
      </c>
    </row>
    <row r="2069" spans="1:6" x14ac:dyDescent="0.25">
      <c r="A2069" s="1">
        <v>43067</v>
      </c>
      <c r="B2069" s="2" t="s">
        <v>81</v>
      </c>
      <c r="C2069" s="2" t="s">
        <v>82</v>
      </c>
      <c r="D2069">
        <v>8</v>
      </c>
      <c r="E2069">
        <f>WEEKDAY(makulatura5[[#This Row],[Data_dostarczenia]],2)</f>
        <v>2</v>
      </c>
      <c r="F2069" s="2">
        <f t="shared" si="32"/>
        <v>0</v>
      </c>
    </row>
    <row r="2070" spans="1:6" x14ac:dyDescent="0.25">
      <c r="A2070" s="1">
        <v>43067</v>
      </c>
      <c r="B2070" s="2" t="s">
        <v>152</v>
      </c>
      <c r="C2070" s="2" t="s">
        <v>696</v>
      </c>
      <c r="D2070">
        <v>17</v>
      </c>
      <c r="E2070">
        <f>WEEKDAY(makulatura5[[#This Row],[Data_dostarczenia]],2)</f>
        <v>2</v>
      </c>
      <c r="F2070" s="2">
        <f t="shared" si="32"/>
        <v>0</v>
      </c>
    </row>
    <row r="2071" spans="1:6" x14ac:dyDescent="0.25">
      <c r="A2071" s="1">
        <v>43067</v>
      </c>
      <c r="B2071" s="2" t="s">
        <v>41</v>
      </c>
      <c r="C2071" s="2" t="s">
        <v>42</v>
      </c>
      <c r="D2071">
        <v>29</v>
      </c>
      <c r="E2071">
        <f>WEEKDAY(makulatura5[[#This Row],[Data_dostarczenia]],2)</f>
        <v>2</v>
      </c>
      <c r="F2071" s="2">
        <f t="shared" si="32"/>
        <v>1</v>
      </c>
    </row>
    <row r="2072" spans="1:6" x14ac:dyDescent="0.25">
      <c r="A2072" s="1">
        <v>43068</v>
      </c>
      <c r="B2072" s="2" t="s">
        <v>77</v>
      </c>
      <c r="C2072" s="2" t="s">
        <v>85</v>
      </c>
      <c r="D2072">
        <v>12</v>
      </c>
      <c r="E2072">
        <f>WEEKDAY(makulatura5[[#This Row],[Data_dostarczenia]],2)</f>
        <v>3</v>
      </c>
      <c r="F2072" s="2">
        <f t="shared" si="32"/>
        <v>0</v>
      </c>
    </row>
    <row r="2073" spans="1:6" x14ac:dyDescent="0.25">
      <c r="A2073" s="1">
        <v>43068</v>
      </c>
      <c r="B2073" s="2" t="s">
        <v>150</v>
      </c>
      <c r="C2073" s="2" t="s">
        <v>297</v>
      </c>
      <c r="D2073">
        <v>19</v>
      </c>
      <c r="E2073">
        <f>WEEKDAY(makulatura5[[#This Row],[Data_dostarczenia]],2)</f>
        <v>3</v>
      </c>
      <c r="F2073" s="2">
        <f t="shared" si="32"/>
        <v>0</v>
      </c>
    </row>
    <row r="2074" spans="1:6" x14ac:dyDescent="0.25">
      <c r="A2074" s="1">
        <v>43068</v>
      </c>
      <c r="B2074" s="2" t="s">
        <v>150</v>
      </c>
      <c r="C2074" s="2" t="s">
        <v>297</v>
      </c>
      <c r="D2074">
        <v>21</v>
      </c>
      <c r="E2074">
        <f>WEEKDAY(makulatura5[[#This Row],[Data_dostarczenia]],2)</f>
        <v>3</v>
      </c>
      <c r="F2074" s="2">
        <f t="shared" si="32"/>
        <v>0</v>
      </c>
    </row>
    <row r="2075" spans="1:6" x14ac:dyDescent="0.25">
      <c r="A2075" s="1">
        <v>43068</v>
      </c>
      <c r="B2075" s="2" t="s">
        <v>87</v>
      </c>
      <c r="C2075" s="2" t="s">
        <v>397</v>
      </c>
      <c r="D2075">
        <v>33</v>
      </c>
      <c r="E2075">
        <f>WEEKDAY(makulatura5[[#This Row],[Data_dostarczenia]],2)</f>
        <v>3</v>
      </c>
      <c r="F2075" s="2">
        <f t="shared" si="32"/>
        <v>0</v>
      </c>
    </row>
    <row r="2076" spans="1:6" x14ac:dyDescent="0.25">
      <c r="A2076" s="1">
        <v>43068</v>
      </c>
      <c r="B2076" s="2" t="s">
        <v>36</v>
      </c>
      <c r="C2076" s="2" t="s">
        <v>37</v>
      </c>
      <c r="D2076">
        <v>51</v>
      </c>
      <c r="E2076">
        <f>WEEKDAY(makulatura5[[#This Row],[Data_dostarczenia]],2)</f>
        <v>3</v>
      </c>
      <c r="F2076" s="2">
        <f t="shared" si="32"/>
        <v>0</v>
      </c>
    </row>
    <row r="2077" spans="1:6" x14ac:dyDescent="0.25">
      <c r="A2077" s="1">
        <v>43068</v>
      </c>
      <c r="B2077" s="2" t="s">
        <v>83</v>
      </c>
      <c r="C2077" s="2" t="s">
        <v>591</v>
      </c>
      <c r="D2077">
        <v>10</v>
      </c>
      <c r="E2077">
        <f>WEEKDAY(makulatura5[[#This Row],[Data_dostarczenia]],2)</f>
        <v>3</v>
      </c>
      <c r="F2077" s="2">
        <f t="shared" si="32"/>
        <v>0</v>
      </c>
    </row>
    <row r="2078" spans="1:6" x14ac:dyDescent="0.25">
      <c r="A2078" s="1">
        <v>43068</v>
      </c>
      <c r="B2078" s="2" t="s">
        <v>193</v>
      </c>
      <c r="C2078" s="2" t="s">
        <v>194</v>
      </c>
      <c r="D2078">
        <v>35</v>
      </c>
      <c r="E2078">
        <f>WEEKDAY(makulatura5[[#This Row],[Data_dostarczenia]],2)</f>
        <v>3</v>
      </c>
      <c r="F2078" s="2">
        <f t="shared" si="32"/>
        <v>0</v>
      </c>
    </row>
    <row r="2079" spans="1:6" x14ac:dyDescent="0.25">
      <c r="A2079" s="1">
        <v>43068</v>
      </c>
      <c r="B2079" s="2" t="s">
        <v>51</v>
      </c>
      <c r="C2079" s="2" t="s">
        <v>358</v>
      </c>
      <c r="D2079">
        <v>22</v>
      </c>
      <c r="E2079">
        <f>WEEKDAY(makulatura5[[#This Row],[Data_dostarczenia]],2)</f>
        <v>3</v>
      </c>
      <c r="F2079" s="2">
        <f t="shared" si="32"/>
        <v>0</v>
      </c>
    </row>
    <row r="2080" spans="1:6" x14ac:dyDescent="0.25">
      <c r="A2080" s="1">
        <v>43068</v>
      </c>
      <c r="B2080" s="2" t="s">
        <v>155</v>
      </c>
      <c r="C2080" s="2" t="s">
        <v>186</v>
      </c>
      <c r="D2080">
        <v>17</v>
      </c>
      <c r="E2080">
        <f>WEEKDAY(makulatura5[[#This Row],[Data_dostarczenia]],2)</f>
        <v>3</v>
      </c>
      <c r="F2080" s="2">
        <f t="shared" si="32"/>
        <v>1</v>
      </c>
    </row>
    <row r="2081" spans="1:6" x14ac:dyDescent="0.25">
      <c r="A2081" s="1">
        <v>43069</v>
      </c>
      <c r="B2081" s="2" t="s">
        <v>574</v>
      </c>
      <c r="C2081" s="2" t="s">
        <v>421</v>
      </c>
      <c r="D2081">
        <v>28</v>
      </c>
      <c r="E2081">
        <f>WEEKDAY(makulatura5[[#This Row],[Data_dostarczenia]],2)</f>
        <v>4</v>
      </c>
      <c r="F2081" s="2">
        <f t="shared" si="32"/>
        <v>0</v>
      </c>
    </row>
    <row r="2082" spans="1:6" x14ac:dyDescent="0.25">
      <c r="A2082" s="1">
        <v>43069</v>
      </c>
      <c r="B2082" s="2" t="s">
        <v>114</v>
      </c>
      <c r="C2082" s="2" t="s">
        <v>173</v>
      </c>
      <c r="D2082">
        <v>33</v>
      </c>
      <c r="E2082">
        <f>WEEKDAY(makulatura5[[#This Row],[Data_dostarczenia]],2)</f>
        <v>4</v>
      </c>
      <c r="F2082" s="2">
        <f t="shared" si="32"/>
        <v>0</v>
      </c>
    </row>
    <row r="2083" spans="1:6" x14ac:dyDescent="0.25">
      <c r="A2083" s="1">
        <v>43069</v>
      </c>
      <c r="B2083" s="2" t="s">
        <v>155</v>
      </c>
      <c r="C2083" s="2" t="s">
        <v>384</v>
      </c>
      <c r="D2083">
        <v>45</v>
      </c>
      <c r="E2083">
        <f>WEEKDAY(makulatura5[[#This Row],[Data_dostarczenia]],2)</f>
        <v>4</v>
      </c>
      <c r="F2083" s="2">
        <f t="shared" si="32"/>
        <v>0</v>
      </c>
    </row>
    <row r="2084" spans="1:6" x14ac:dyDescent="0.25">
      <c r="A2084" s="1">
        <v>43069</v>
      </c>
      <c r="B2084" s="2" t="s">
        <v>95</v>
      </c>
      <c r="C2084" s="2" t="s">
        <v>426</v>
      </c>
      <c r="D2084">
        <v>20</v>
      </c>
      <c r="E2084">
        <f>WEEKDAY(makulatura5[[#This Row],[Data_dostarczenia]],2)</f>
        <v>4</v>
      </c>
      <c r="F2084" s="2">
        <f t="shared" si="32"/>
        <v>0</v>
      </c>
    </row>
    <row r="2085" spans="1:6" x14ac:dyDescent="0.25">
      <c r="A2085" s="1">
        <v>43069</v>
      </c>
      <c r="B2085" s="2" t="s">
        <v>147</v>
      </c>
      <c r="C2085" s="2" t="s">
        <v>148</v>
      </c>
      <c r="D2085">
        <v>39</v>
      </c>
      <c r="E2085">
        <f>WEEKDAY(makulatura5[[#This Row],[Data_dostarczenia]],2)</f>
        <v>4</v>
      </c>
      <c r="F2085" s="2">
        <f t="shared" si="32"/>
        <v>0</v>
      </c>
    </row>
    <row r="2086" spans="1:6" x14ac:dyDescent="0.25">
      <c r="A2086" s="1">
        <v>43069</v>
      </c>
      <c r="B2086" s="2" t="s">
        <v>27</v>
      </c>
      <c r="C2086" s="2" t="s">
        <v>28</v>
      </c>
      <c r="D2086">
        <v>8</v>
      </c>
      <c r="E2086">
        <f>WEEKDAY(makulatura5[[#This Row],[Data_dostarczenia]],2)</f>
        <v>4</v>
      </c>
      <c r="F2086" s="2">
        <f t="shared" si="32"/>
        <v>0</v>
      </c>
    </row>
    <row r="2087" spans="1:6" x14ac:dyDescent="0.25">
      <c r="A2087" s="1">
        <v>43069</v>
      </c>
      <c r="B2087" s="2" t="s">
        <v>57</v>
      </c>
      <c r="C2087" s="2" t="s">
        <v>58</v>
      </c>
      <c r="D2087">
        <v>10</v>
      </c>
      <c r="E2087">
        <f>WEEKDAY(makulatura5[[#This Row],[Data_dostarczenia]],2)</f>
        <v>4</v>
      </c>
      <c r="F2087" s="2">
        <f t="shared" si="32"/>
        <v>0</v>
      </c>
    </row>
    <row r="2088" spans="1:6" x14ac:dyDescent="0.25">
      <c r="A2088" s="1">
        <v>43069</v>
      </c>
      <c r="B2088" s="2" t="s">
        <v>69</v>
      </c>
      <c r="C2088" s="2" t="s">
        <v>286</v>
      </c>
      <c r="D2088">
        <v>5</v>
      </c>
      <c r="E2088">
        <f>WEEKDAY(makulatura5[[#This Row],[Data_dostarczenia]],2)</f>
        <v>4</v>
      </c>
      <c r="F2088" s="2">
        <f t="shared" si="32"/>
        <v>0</v>
      </c>
    </row>
    <row r="2089" spans="1:6" x14ac:dyDescent="0.25">
      <c r="A2089" s="1">
        <v>43069</v>
      </c>
      <c r="B2089" s="2" t="s">
        <v>219</v>
      </c>
      <c r="C2089" s="2" t="s">
        <v>254</v>
      </c>
      <c r="D2089">
        <v>32</v>
      </c>
      <c r="E2089">
        <f>WEEKDAY(makulatura5[[#This Row],[Data_dostarczenia]],2)</f>
        <v>4</v>
      </c>
      <c r="F2089" s="2">
        <f t="shared" si="32"/>
        <v>1</v>
      </c>
    </row>
    <row r="2090" spans="1:6" x14ac:dyDescent="0.25">
      <c r="A2090" s="1">
        <v>43070</v>
      </c>
      <c r="B2090" s="2" t="s">
        <v>232</v>
      </c>
      <c r="C2090" s="2" t="s">
        <v>233</v>
      </c>
      <c r="D2090">
        <v>23</v>
      </c>
      <c r="E2090">
        <f>WEEKDAY(makulatura5[[#This Row],[Data_dostarczenia]],2)</f>
        <v>5</v>
      </c>
      <c r="F2090" s="2">
        <f t="shared" si="32"/>
        <v>0</v>
      </c>
    </row>
    <row r="2091" spans="1:6" x14ac:dyDescent="0.25">
      <c r="A2091" s="1">
        <v>43070</v>
      </c>
      <c r="B2091" s="2" t="s">
        <v>193</v>
      </c>
      <c r="C2091" s="2" t="s">
        <v>483</v>
      </c>
      <c r="D2091">
        <v>11</v>
      </c>
      <c r="E2091">
        <f>WEEKDAY(makulatura5[[#This Row],[Data_dostarczenia]],2)</f>
        <v>5</v>
      </c>
      <c r="F2091" s="2">
        <f t="shared" si="32"/>
        <v>0</v>
      </c>
    </row>
    <row r="2092" spans="1:6" x14ac:dyDescent="0.25">
      <c r="A2092" s="1">
        <v>43070</v>
      </c>
      <c r="B2092" s="2" t="s">
        <v>59</v>
      </c>
      <c r="C2092" s="2" t="s">
        <v>60</v>
      </c>
      <c r="D2092">
        <v>17</v>
      </c>
      <c r="E2092">
        <f>WEEKDAY(makulatura5[[#This Row],[Data_dostarczenia]],2)</f>
        <v>5</v>
      </c>
      <c r="F2092" s="2">
        <f t="shared" si="32"/>
        <v>0</v>
      </c>
    </row>
    <row r="2093" spans="1:6" x14ac:dyDescent="0.25">
      <c r="A2093" s="1">
        <v>43070</v>
      </c>
      <c r="B2093" s="2" t="s">
        <v>49</v>
      </c>
      <c r="C2093" s="2" t="s">
        <v>50</v>
      </c>
      <c r="D2093">
        <v>22</v>
      </c>
      <c r="E2093">
        <f>WEEKDAY(makulatura5[[#This Row],[Data_dostarczenia]],2)</f>
        <v>5</v>
      </c>
      <c r="F2093" s="2">
        <f t="shared" si="32"/>
        <v>0</v>
      </c>
    </row>
    <row r="2094" spans="1:6" x14ac:dyDescent="0.25">
      <c r="A2094" s="1">
        <v>43070</v>
      </c>
      <c r="B2094" s="2" t="s">
        <v>49</v>
      </c>
      <c r="C2094" s="2" t="s">
        <v>50</v>
      </c>
      <c r="D2094">
        <v>26</v>
      </c>
      <c r="E2094">
        <f>WEEKDAY(makulatura5[[#This Row],[Data_dostarczenia]],2)</f>
        <v>5</v>
      </c>
      <c r="F2094" s="2">
        <f t="shared" si="32"/>
        <v>0</v>
      </c>
    </row>
    <row r="2095" spans="1:6" x14ac:dyDescent="0.25">
      <c r="A2095" s="1">
        <v>43070</v>
      </c>
      <c r="B2095" s="2" t="s">
        <v>55</v>
      </c>
      <c r="C2095" s="2" t="s">
        <v>265</v>
      </c>
      <c r="D2095">
        <v>48</v>
      </c>
      <c r="E2095">
        <f>WEEKDAY(makulatura5[[#This Row],[Data_dostarczenia]],2)</f>
        <v>5</v>
      </c>
      <c r="F2095" s="2">
        <f t="shared" si="32"/>
        <v>0</v>
      </c>
    </row>
    <row r="2096" spans="1:6" x14ac:dyDescent="0.25">
      <c r="A2096" s="1">
        <v>43070</v>
      </c>
      <c r="B2096" s="2" t="s">
        <v>12</v>
      </c>
      <c r="C2096" s="2" t="s">
        <v>13</v>
      </c>
      <c r="D2096">
        <v>5</v>
      </c>
      <c r="E2096">
        <f>WEEKDAY(makulatura5[[#This Row],[Data_dostarczenia]],2)</f>
        <v>5</v>
      </c>
      <c r="F2096" s="2">
        <f t="shared" si="32"/>
        <v>0</v>
      </c>
    </row>
    <row r="2097" spans="1:6" x14ac:dyDescent="0.25">
      <c r="A2097" s="1">
        <v>43070</v>
      </c>
      <c r="B2097" s="2" t="s">
        <v>49</v>
      </c>
      <c r="C2097" s="2" t="s">
        <v>50</v>
      </c>
      <c r="D2097">
        <v>31</v>
      </c>
      <c r="E2097">
        <f>WEEKDAY(makulatura5[[#This Row],[Data_dostarczenia]],2)</f>
        <v>5</v>
      </c>
      <c r="F2097" s="2">
        <f t="shared" si="32"/>
        <v>0</v>
      </c>
    </row>
    <row r="2098" spans="1:6" x14ac:dyDescent="0.25">
      <c r="A2098" s="1">
        <v>43070</v>
      </c>
      <c r="B2098" s="2" t="s">
        <v>141</v>
      </c>
      <c r="C2098" s="2" t="s">
        <v>550</v>
      </c>
      <c r="D2098">
        <v>5</v>
      </c>
      <c r="E2098">
        <f>WEEKDAY(makulatura5[[#This Row],[Data_dostarczenia]],2)</f>
        <v>5</v>
      </c>
      <c r="F2098" s="2">
        <f t="shared" si="32"/>
        <v>1</v>
      </c>
    </row>
    <row r="2099" spans="1:6" x14ac:dyDescent="0.25">
      <c r="A2099" s="1">
        <v>43073</v>
      </c>
      <c r="B2099" s="2" t="s">
        <v>34</v>
      </c>
      <c r="C2099" s="2" t="s">
        <v>338</v>
      </c>
      <c r="D2099">
        <v>18</v>
      </c>
      <c r="E2099">
        <f>WEEKDAY(makulatura5[[#This Row],[Data_dostarczenia]],2)</f>
        <v>1</v>
      </c>
      <c r="F2099" s="2">
        <f t="shared" si="32"/>
        <v>0</v>
      </c>
    </row>
    <row r="2100" spans="1:6" x14ac:dyDescent="0.25">
      <c r="A2100" s="1">
        <v>43073</v>
      </c>
      <c r="B2100" s="2" t="s">
        <v>36</v>
      </c>
      <c r="C2100" s="2" t="s">
        <v>166</v>
      </c>
      <c r="D2100">
        <v>13</v>
      </c>
      <c r="E2100">
        <f>WEEKDAY(makulatura5[[#This Row],[Data_dostarczenia]],2)</f>
        <v>1</v>
      </c>
      <c r="F2100" s="2">
        <f t="shared" si="32"/>
        <v>0</v>
      </c>
    </row>
    <row r="2101" spans="1:6" x14ac:dyDescent="0.25">
      <c r="A2101" s="1">
        <v>43073</v>
      </c>
      <c r="B2101" s="2" t="s">
        <v>327</v>
      </c>
      <c r="C2101" s="2" t="s">
        <v>102</v>
      </c>
      <c r="D2101">
        <v>55</v>
      </c>
      <c r="E2101">
        <f>WEEKDAY(makulatura5[[#This Row],[Data_dostarczenia]],2)</f>
        <v>1</v>
      </c>
      <c r="F2101" s="2">
        <f t="shared" si="32"/>
        <v>0</v>
      </c>
    </row>
    <row r="2102" spans="1:6" x14ac:dyDescent="0.25">
      <c r="A2102" s="1">
        <v>43073</v>
      </c>
      <c r="B2102" s="2" t="s">
        <v>30</v>
      </c>
      <c r="C2102" s="2" t="s">
        <v>463</v>
      </c>
      <c r="D2102">
        <v>12</v>
      </c>
      <c r="E2102">
        <f>WEEKDAY(makulatura5[[#This Row],[Data_dostarczenia]],2)</f>
        <v>1</v>
      </c>
      <c r="F2102" s="2">
        <f t="shared" si="32"/>
        <v>0</v>
      </c>
    </row>
    <row r="2103" spans="1:6" x14ac:dyDescent="0.25">
      <c r="A2103" s="1">
        <v>43073</v>
      </c>
      <c r="B2103" s="2" t="s">
        <v>10</v>
      </c>
      <c r="C2103" s="2" t="s">
        <v>700</v>
      </c>
      <c r="D2103">
        <v>15</v>
      </c>
      <c r="E2103">
        <f>WEEKDAY(makulatura5[[#This Row],[Data_dostarczenia]],2)</f>
        <v>1</v>
      </c>
      <c r="F2103" s="2">
        <f t="shared" si="32"/>
        <v>0</v>
      </c>
    </row>
    <row r="2104" spans="1:6" x14ac:dyDescent="0.25">
      <c r="A2104" s="1">
        <v>43073</v>
      </c>
      <c r="B2104" s="2" t="s">
        <v>49</v>
      </c>
      <c r="C2104" s="2" t="s">
        <v>50</v>
      </c>
      <c r="D2104">
        <v>10</v>
      </c>
      <c r="E2104">
        <f>WEEKDAY(makulatura5[[#This Row],[Data_dostarczenia]],2)</f>
        <v>1</v>
      </c>
      <c r="F2104" s="2">
        <f t="shared" si="32"/>
        <v>0</v>
      </c>
    </row>
    <row r="2105" spans="1:6" x14ac:dyDescent="0.25">
      <c r="A2105" s="1">
        <v>43073</v>
      </c>
      <c r="B2105" s="2" t="s">
        <v>603</v>
      </c>
      <c r="C2105" s="2" t="s">
        <v>439</v>
      </c>
      <c r="D2105">
        <v>6</v>
      </c>
      <c r="E2105">
        <f>WEEKDAY(makulatura5[[#This Row],[Data_dostarczenia]],2)</f>
        <v>1</v>
      </c>
      <c r="F2105" s="2">
        <f t="shared" si="32"/>
        <v>0</v>
      </c>
    </row>
    <row r="2106" spans="1:6" x14ac:dyDescent="0.25">
      <c r="A2106" s="1">
        <v>43073</v>
      </c>
      <c r="B2106" s="2" t="s">
        <v>307</v>
      </c>
      <c r="C2106" s="2" t="s">
        <v>308</v>
      </c>
      <c r="D2106">
        <v>9</v>
      </c>
      <c r="E2106">
        <f>WEEKDAY(makulatura5[[#This Row],[Data_dostarczenia]],2)</f>
        <v>1</v>
      </c>
      <c r="F2106" s="2">
        <f t="shared" si="32"/>
        <v>0</v>
      </c>
    </row>
    <row r="2107" spans="1:6" x14ac:dyDescent="0.25">
      <c r="A2107" s="1">
        <v>43073</v>
      </c>
      <c r="B2107" s="2" t="s">
        <v>14</v>
      </c>
      <c r="C2107" s="2" t="s">
        <v>430</v>
      </c>
      <c r="D2107">
        <v>48</v>
      </c>
      <c r="E2107">
        <f>WEEKDAY(makulatura5[[#This Row],[Data_dostarczenia]],2)</f>
        <v>1</v>
      </c>
      <c r="F2107" s="2">
        <f t="shared" si="32"/>
        <v>1</v>
      </c>
    </row>
    <row r="2108" spans="1:6" x14ac:dyDescent="0.25">
      <c r="A2108" s="1">
        <v>43074</v>
      </c>
      <c r="B2108" s="2" t="s">
        <v>416</v>
      </c>
      <c r="C2108" s="2" t="s">
        <v>417</v>
      </c>
      <c r="D2108">
        <v>21</v>
      </c>
      <c r="E2108">
        <f>WEEKDAY(makulatura5[[#This Row],[Data_dostarczenia]],2)</f>
        <v>2</v>
      </c>
      <c r="F2108" s="2">
        <f t="shared" si="32"/>
        <v>0</v>
      </c>
    </row>
    <row r="2109" spans="1:6" x14ac:dyDescent="0.25">
      <c r="A2109" s="1">
        <v>43074</v>
      </c>
      <c r="B2109" s="2" t="s">
        <v>139</v>
      </c>
      <c r="C2109" s="2" t="s">
        <v>654</v>
      </c>
      <c r="D2109">
        <v>2</v>
      </c>
      <c r="E2109">
        <f>WEEKDAY(makulatura5[[#This Row],[Data_dostarczenia]],2)</f>
        <v>2</v>
      </c>
      <c r="F2109" s="2">
        <f t="shared" si="32"/>
        <v>0</v>
      </c>
    </row>
    <row r="2110" spans="1:6" x14ac:dyDescent="0.25">
      <c r="A2110" s="1">
        <v>43074</v>
      </c>
      <c r="B2110" s="2" t="s">
        <v>55</v>
      </c>
      <c r="C2110" s="2" t="s">
        <v>184</v>
      </c>
      <c r="D2110">
        <v>45</v>
      </c>
      <c r="E2110">
        <f>WEEKDAY(makulatura5[[#This Row],[Data_dostarczenia]],2)</f>
        <v>2</v>
      </c>
      <c r="F2110" s="2">
        <f t="shared" si="32"/>
        <v>0</v>
      </c>
    </row>
    <row r="2111" spans="1:6" x14ac:dyDescent="0.25">
      <c r="A2111" s="1">
        <v>43074</v>
      </c>
      <c r="B2111" s="2" t="s">
        <v>63</v>
      </c>
      <c r="C2111" s="2" t="s">
        <v>441</v>
      </c>
      <c r="D2111">
        <v>34</v>
      </c>
      <c r="E2111">
        <f>WEEKDAY(makulatura5[[#This Row],[Data_dostarczenia]],2)</f>
        <v>2</v>
      </c>
      <c r="F2111" s="2">
        <f t="shared" si="32"/>
        <v>0</v>
      </c>
    </row>
    <row r="2112" spans="1:6" x14ac:dyDescent="0.25">
      <c r="A2112" s="1">
        <v>43074</v>
      </c>
      <c r="B2112" s="2" t="s">
        <v>36</v>
      </c>
      <c r="C2112" s="2" t="s">
        <v>180</v>
      </c>
      <c r="D2112">
        <v>22</v>
      </c>
      <c r="E2112">
        <f>WEEKDAY(makulatura5[[#This Row],[Data_dostarczenia]],2)</f>
        <v>2</v>
      </c>
      <c r="F2112" s="2">
        <f t="shared" si="32"/>
        <v>0</v>
      </c>
    </row>
    <row r="2113" spans="1:6" x14ac:dyDescent="0.25">
      <c r="A2113" s="1">
        <v>43074</v>
      </c>
      <c r="B2113" s="2" t="s">
        <v>8</v>
      </c>
      <c r="C2113" s="2" t="s">
        <v>491</v>
      </c>
      <c r="D2113">
        <v>6</v>
      </c>
      <c r="E2113">
        <f>WEEKDAY(makulatura5[[#This Row],[Data_dostarczenia]],2)</f>
        <v>2</v>
      </c>
      <c r="F2113" s="2">
        <f t="shared" si="32"/>
        <v>0</v>
      </c>
    </row>
    <row r="2114" spans="1:6" x14ac:dyDescent="0.25">
      <c r="A2114" s="1">
        <v>43074</v>
      </c>
      <c r="B2114" s="2" t="s">
        <v>143</v>
      </c>
      <c r="C2114" s="2" t="s">
        <v>510</v>
      </c>
      <c r="D2114">
        <v>19</v>
      </c>
      <c r="E2114">
        <f>WEEKDAY(makulatura5[[#This Row],[Data_dostarczenia]],2)</f>
        <v>2</v>
      </c>
      <c r="F2114" s="2">
        <f t="shared" ref="F2114:F2177" si="33">IF(A2115=A2114,0,1)</f>
        <v>0</v>
      </c>
    </row>
    <row r="2115" spans="1:6" x14ac:dyDescent="0.25">
      <c r="A2115" s="1">
        <v>43074</v>
      </c>
      <c r="B2115" s="2" t="s">
        <v>14</v>
      </c>
      <c r="C2115" s="2" t="s">
        <v>15</v>
      </c>
      <c r="D2115">
        <v>22</v>
      </c>
      <c r="E2115">
        <f>WEEKDAY(makulatura5[[#This Row],[Data_dostarczenia]],2)</f>
        <v>2</v>
      </c>
      <c r="F2115" s="2">
        <f t="shared" si="33"/>
        <v>0</v>
      </c>
    </row>
    <row r="2116" spans="1:6" x14ac:dyDescent="0.25">
      <c r="A2116" s="1">
        <v>43074</v>
      </c>
      <c r="B2116" s="2" t="s">
        <v>4</v>
      </c>
      <c r="C2116" s="2" t="s">
        <v>386</v>
      </c>
      <c r="D2116">
        <v>10</v>
      </c>
      <c r="E2116">
        <f>WEEKDAY(makulatura5[[#This Row],[Data_dostarczenia]],2)</f>
        <v>2</v>
      </c>
      <c r="F2116" s="2">
        <f t="shared" si="33"/>
        <v>1</v>
      </c>
    </row>
    <row r="2117" spans="1:6" x14ac:dyDescent="0.25">
      <c r="A2117" s="1">
        <v>43075</v>
      </c>
      <c r="B2117" s="2" t="s">
        <v>271</v>
      </c>
      <c r="C2117" s="2" t="s">
        <v>548</v>
      </c>
      <c r="D2117">
        <v>20</v>
      </c>
      <c r="E2117">
        <f>WEEKDAY(makulatura5[[#This Row],[Data_dostarczenia]],2)</f>
        <v>3</v>
      </c>
      <c r="F2117" s="2">
        <f t="shared" si="33"/>
        <v>0</v>
      </c>
    </row>
    <row r="2118" spans="1:6" x14ac:dyDescent="0.25">
      <c r="A2118" s="1">
        <v>43075</v>
      </c>
      <c r="B2118" s="2" t="s">
        <v>314</v>
      </c>
      <c r="C2118" s="2" t="s">
        <v>84</v>
      </c>
      <c r="D2118">
        <v>40</v>
      </c>
      <c r="E2118">
        <f>WEEKDAY(makulatura5[[#This Row],[Data_dostarczenia]],2)</f>
        <v>3</v>
      </c>
      <c r="F2118" s="2">
        <f t="shared" si="33"/>
        <v>0</v>
      </c>
    </row>
    <row r="2119" spans="1:6" x14ac:dyDescent="0.25">
      <c r="A2119" s="1">
        <v>43075</v>
      </c>
      <c r="B2119" s="2" t="s">
        <v>137</v>
      </c>
      <c r="C2119" s="2" t="s">
        <v>685</v>
      </c>
      <c r="D2119">
        <v>14</v>
      </c>
      <c r="E2119">
        <f>WEEKDAY(makulatura5[[#This Row],[Data_dostarczenia]],2)</f>
        <v>3</v>
      </c>
      <c r="F2119" s="2">
        <f t="shared" si="33"/>
        <v>0</v>
      </c>
    </row>
    <row r="2120" spans="1:6" x14ac:dyDescent="0.25">
      <c r="A2120" s="1">
        <v>43075</v>
      </c>
      <c r="B2120" s="2" t="s">
        <v>232</v>
      </c>
      <c r="C2120" s="2" t="s">
        <v>405</v>
      </c>
      <c r="D2120">
        <v>5</v>
      </c>
      <c r="E2120">
        <f>WEEKDAY(makulatura5[[#This Row],[Data_dostarczenia]],2)</f>
        <v>3</v>
      </c>
      <c r="F2120" s="2">
        <f t="shared" si="33"/>
        <v>0</v>
      </c>
    </row>
    <row r="2121" spans="1:6" x14ac:dyDescent="0.25">
      <c r="A2121" s="1">
        <v>43075</v>
      </c>
      <c r="B2121" s="2" t="s">
        <v>178</v>
      </c>
      <c r="C2121" s="2" t="s">
        <v>333</v>
      </c>
      <c r="D2121">
        <v>3</v>
      </c>
      <c r="E2121">
        <f>WEEKDAY(makulatura5[[#This Row],[Data_dostarczenia]],2)</f>
        <v>3</v>
      </c>
      <c r="F2121" s="2">
        <f t="shared" si="33"/>
        <v>0</v>
      </c>
    </row>
    <row r="2122" spans="1:6" x14ac:dyDescent="0.25">
      <c r="A2122" s="1">
        <v>43075</v>
      </c>
      <c r="B2122" s="2" t="s">
        <v>361</v>
      </c>
      <c r="C2122" s="2" t="s">
        <v>424</v>
      </c>
      <c r="D2122">
        <v>14</v>
      </c>
      <c r="E2122">
        <f>WEEKDAY(makulatura5[[#This Row],[Data_dostarczenia]],2)</f>
        <v>3</v>
      </c>
      <c r="F2122" s="2">
        <f t="shared" si="33"/>
        <v>0</v>
      </c>
    </row>
    <row r="2123" spans="1:6" x14ac:dyDescent="0.25">
      <c r="A2123" s="1">
        <v>43075</v>
      </c>
      <c r="B2123" s="2" t="s">
        <v>30</v>
      </c>
      <c r="C2123" s="2" t="s">
        <v>463</v>
      </c>
      <c r="D2123">
        <v>7</v>
      </c>
      <c r="E2123">
        <f>WEEKDAY(makulatura5[[#This Row],[Data_dostarczenia]],2)</f>
        <v>3</v>
      </c>
      <c r="F2123" s="2">
        <f t="shared" si="33"/>
        <v>0</v>
      </c>
    </row>
    <row r="2124" spans="1:6" x14ac:dyDescent="0.25">
      <c r="A2124" s="1">
        <v>43075</v>
      </c>
      <c r="B2124" s="2" t="s">
        <v>83</v>
      </c>
      <c r="C2124" s="2" t="s">
        <v>561</v>
      </c>
      <c r="D2124">
        <v>24</v>
      </c>
      <c r="E2124">
        <f>WEEKDAY(makulatura5[[#This Row],[Data_dostarczenia]],2)</f>
        <v>3</v>
      </c>
      <c r="F2124" s="2">
        <f t="shared" si="33"/>
        <v>0</v>
      </c>
    </row>
    <row r="2125" spans="1:6" x14ac:dyDescent="0.25">
      <c r="A2125" s="1">
        <v>43075</v>
      </c>
      <c r="B2125" s="2" t="s">
        <v>10</v>
      </c>
      <c r="C2125" s="2" t="s">
        <v>266</v>
      </c>
      <c r="D2125">
        <v>39</v>
      </c>
      <c r="E2125">
        <f>WEEKDAY(makulatura5[[#This Row],[Data_dostarczenia]],2)</f>
        <v>3</v>
      </c>
      <c r="F2125" s="2">
        <f t="shared" si="33"/>
        <v>0</v>
      </c>
    </row>
    <row r="2126" spans="1:6" x14ac:dyDescent="0.25">
      <c r="A2126" s="1">
        <v>43075</v>
      </c>
      <c r="B2126" s="2" t="s">
        <v>20</v>
      </c>
      <c r="C2126" s="2" t="s">
        <v>123</v>
      </c>
      <c r="D2126">
        <v>9</v>
      </c>
      <c r="E2126">
        <f>WEEKDAY(makulatura5[[#This Row],[Data_dostarczenia]],2)</f>
        <v>3</v>
      </c>
      <c r="F2126" s="2">
        <f t="shared" si="33"/>
        <v>1</v>
      </c>
    </row>
    <row r="2127" spans="1:6" x14ac:dyDescent="0.25">
      <c r="A2127" s="1">
        <v>43076</v>
      </c>
      <c r="B2127" s="2" t="s">
        <v>63</v>
      </c>
      <c r="C2127" s="2" t="s">
        <v>64</v>
      </c>
      <c r="D2127">
        <v>17</v>
      </c>
      <c r="E2127">
        <f>WEEKDAY(makulatura5[[#This Row],[Data_dostarczenia]],2)</f>
        <v>4</v>
      </c>
      <c r="F2127" s="2">
        <f t="shared" si="33"/>
        <v>0</v>
      </c>
    </row>
    <row r="2128" spans="1:6" x14ac:dyDescent="0.25">
      <c r="A2128" s="1">
        <v>43076</v>
      </c>
      <c r="B2128" s="2" t="s">
        <v>352</v>
      </c>
      <c r="C2128" s="2" t="s">
        <v>363</v>
      </c>
      <c r="D2128">
        <v>22</v>
      </c>
      <c r="E2128">
        <f>WEEKDAY(makulatura5[[#This Row],[Data_dostarczenia]],2)</f>
        <v>4</v>
      </c>
      <c r="F2128" s="2">
        <f t="shared" si="33"/>
        <v>0</v>
      </c>
    </row>
    <row r="2129" spans="1:6" x14ac:dyDescent="0.25">
      <c r="A2129" s="1">
        <v>43076</v>
      </c>
      <c r="B2129" s="2" t="s">
        <v>374</v>
      </c>
      <c r="C2129" s="2" t="s">
        <v>581</v>
      </c>
      <c r="D2129">
        <v>12</v>
      </c>
      <c r="E2129">
        <f>WEEKDAY(makulatura5[[#This Row],[Data_dostarczenia]],2)</f>
        <v>4</v>
      </c>
      <c r="F2129" s="2">
        <f t="shared" si="33"/>
        <v>0</v>
      </c>
    </row>
    <row r="2130" spans="1:6" x14ac:dyDescent="0.25">
      <c r="A2130" s="1">
        <v>43076</v>
      </c>
      <c r="B2130" s="2" t="s">
        <v>331</v>
      </c>
      <c r="C2130" s="2" t="s">
        <v>26</v>
      </c>
      <c r="D2130">
        <v>7</v>
      </c>
      <c r="E2130">
        <f>WEEKDAY(makulatura5[[#This Row],[Data_dostarczenia]],2)</f>
        <v>4</v>
      </c>
      <c r="F2130" s="2">
        <f t="shared" si="33"/>
        <v>0</v>
      </c>
    </row>
    <row r="2131" spans="1:6" x14ac:dyDescent="0.25">
      <c r="A2131" s="1">
        <v>43076</v>
      </c>
      <c r="B2131" s="2" t="s">
        <v>39</v>
      </c>
      <c r="C2131" s="2" t="s">
        <v>289</v>
      </c>
      <c r="D2131">
        <v>15</v>
      </c>
      <c r="E2131">
        <f>WEEKDAY(makulatura5[[#This Row],[Data_dostarczenia]],2)</f>
        <v>4</v>
      </c>
      <c r="F2131" s="2">
        <f t="shared" si="33"/>
        <v>0</v>
      </c>
    </row>
    <row r="2132" spans="1:6" x14ac:dyDescent="0.25">
      <c r="A2132" s="1">
        <v>43076</v>
      </c>
      <c r="B2132" s="2" t="s">
        <v>147</v>
      </c>
      <c r="C2132" s="2" t="s">
        <v>644</v>
      </c>
      <c r="D2132">
        <v>24</v>
      </c>
      <c r="E2132">
        <f>WEEKDAY(makulatura5[[#This Row],[Data_dostarczenia]],2)</f>
        <v>4</v>
      </c>
      <c r="F2132" s="2">
        <f t="shared" si="33"/>
        <v>0</v>
      </c>
    </row>
    <row r="2133" spans="1:6" x14ac:dyDescent="0.25">
      <c r="A2133" s="1">
        <v>43076</v>
      </c>
      <c r="B2133" s="2" t="s">
        <v>133</v>
      </c>
      <c r="C2133" s="2" t="s">
        <v>499</v>
      </c>
      <c r="D2133">
        <v>49</v>
      </c>
      <c r="E2133">
        <f>WEEKDAY(makulatura5[[#This Row],[Data_dostarczenia]],2)</f>
        <v>4</v>
      </c>
      <c r="F2133" s="2">
        <f t="shared" si="33"/>
        <v>0</v>
      </c>
    </row>
    <row r="2134" spans="1:6" x14ac:dyDescent="0.25">
      <c r="A2134" s="1">
        <v>43076</v>
      </c>
      <c r="B2134" s="2" t="s">
        <v>92</v>
      </c>
      <c r="C2134" s="2" t="s">
        <v>638</v>
      </c>
      <c r="D2134">
        <v>12</v>
      </c>
      <c r="E2134">
        <f>WEEKDAY(makulatura5[[#This Row],[Data_dostarczenia]],2)</f>
        <v>4</v>
      </c>
      <c r="F2134" s="2">
        <f t="shared" si="33"/>
        <v>0</v>
      </c>
    </row>
    <row r="2135" spans="1:6" x14ac:dyDescent="0.25">
      <c r="A2135" s="1">
        <v>43076</v>
      </c>
      <c r="B2135" s="2" t="s">
        <v>280</v>
      </c>
      <c r="C2135" s="2" t="s">
        <v>281</v>
      </c>
      <c r="D2135">
        <v>24</v>
      </c>
      <c r="E2135">
        <f>WEEKDAY(makulatura5[[#This Row],[Data_dostarczenia]],2)</f>
        <v>4</v>
      </c>
      <c r="F2135" s="2">
        <f t="shared" si="33"/>
        <v>0</v>
      </c>
    </row>
    <row r="2136" spans="1:6" x14ac:dyDescent="0.25">
      <c r="A2136" s="1">
        <v>43076</v>
      </c>
      <c r="B2136" s="2" t="s">
        <v>55</v>
      </c>
      <c r="C2136" s="2" t="s">
        <v>265</v>
      </c>
      <c r="D2136">
        <v>9</v>
      </c>
      <c r="E2136">
        <f>WEEKDAY(makulatura5[[#This Row],[Data_dostarczenia]],2)</f>
        <v>4</v>
      </c>
      <c r="F2136" s="2">
        <f t="shared" si="33"/>
        <v>1</v>
      </c>
    </row>
    <row r="2137" spans="1:6" x14ac:dyDescent="0.25">
      <c r="A2137" s="1">
        <v>43077</v>
      </c>
      <c r="B2137" s="2" t="s">
        <v>30</v>
      </c>
      <c r="C2137" s="2" t="s">
        <v>31</v>
      </c>
      <c r="D2137">
        <v>6</v>
      </c>
      <c r="E2137">
        <f>WEEKDAY(makulatura5[[#This Row],[Data_dostarczenia]],2)</f>
        <v>5</v>
      </c>
      <c r="F2137" s="2">
        <f t="shared" si="33"/>
        <v>0</v>
      </c>
    </row>
    <row r="2138" spans="1:6" x14ac:dyDescent="0.25">
      <c r="A2138" s="1">
        <v>43077</v>
      </c>
      <c r="B2138" s="2" t="s">
        <v>420</v>
      </c>
      <c r="C2138" s="2" t="s">
        <v>634</v>
      </c>
      <c r="D2138">
        <v>5</v>
      </c>
      <c r="E2138">
        <f>WEEKDAY(makulatura5[[#This Row],[Data_dostarczenia]],2)</f>
        <v>5</v>
      </c>
      <c r="F2138" s="2">
        <f t="shared" si="33"/>
        <v>0</v>
      </c>
    </row>
    <row r="2139" spans="1:6" x14ac:dyDescent="0.25">
      <c r="A2139" s="1">
        <v>43077</v>
      </c>
      <c r="B2139" s="2" t="s">
        <v>12</v>
      </c>
      <c r="C2139" s="2" t="s">
        <v>38</v>
      </c>
      <c r="D2139">
        <v>9</v>
      </c>
      <c r="E2139">
        <f>WEEKDAY(makulatura5[[#This Row],[Data_dostarczenia]],2)</f>
        <v>5</v>
      </c>
      <c r="F2139" s="2">
        <f t="shared" si="33"/>
        <v>0</v>
      </c>
    </row>
    <row r="2140" spans="1:6" x14ac:dyDescent="0.25">
      <c r="A2140" s="1">
        <v>43077</v>
      </c>
      <c r="B2140" s="2" t="s">
        <v>393</v>
      </c>
      <c r="C2140" s="2" t="s">
        <v>86</v>
      </c>
      <c r="D2140">
        <v>15</v>
      </c>
      <c r="E2140">
        <f>WEEKDAY(makulatura5[[#This Row],[Data_dostarczenia]],2)</f>
        <v>5</v>
      </c>
      <c r="F2140" s="2">
        <f t="shared" si="33"/>
        <v>0</v>
      </c>
    </row>
    <row r="2141" spans="1:6" x14ac:dyDescent="0.25">
      <c r="A2141" s="1">
        <v>43077</v>
      </c>
      <c r="B2141" s="2" t="s">
        <v>593</v>
      </c>
      <c r="C2141" s="2" t="s">
        <v>594</v>
      </c>
      <c r="D2141">
        <v>21</v>
      </c>
      <c r="E2141">
        <f>WEEKDAY(makulatura5[[#This Row],[Data_dostarczenia]],2)</f>
        <v>5</v>
      </c>
      <c r="F2141" s="2">
        <f t="shared" si="33"/>
        <v>0</v>
      </c>
    </row>
    <row r="2142" spans="1:6" x14ac:dyDescent="0.25">
      <c r="A2142" s="1">
        <v>43077</v>
      </c>
      <c r="B2142" s="2" t="s">
        <v>39</v>
      </c>
      <c r="C2142" s="2" t="s">
        <v>609</v>
      </c>
      <c r="D2142">
        <v>2</v>
      </c>
      <c r="E2142">
        <f>WEEKDAY(makulatura5[[#This Row],[Data_dostarczenia]],2)</f>
        <v>5</v>
      </c>
      <c r="F2142" s="2">
        <f t="shared" si="33"/>
        <v>0</v>
      </c>
    </row>
    <row r="2143" spans="1:6" x14ac:dyDescent="0.25">
      <c r="A2143" s="1">
        <v>43077</v>
      </c>
      <c r="B2143" s="2" t="s">
        <v>39</v>
      </c>
      <c r="C2143" s="2" t="s">
        <v>586</v>
      </c>
      <c r="D2143">
        <v>48</v>
      </c>
      <c r="E2143">
        <f>WEEKDAY(makulatura5[[#This Row],[Data_dostarczenia]],2)</f>
        <v>5</v>
      </c>
      <c r="F2143" s="2">
        <f t="shared" si="33"/>
        <v>0</v>
      </c>
    </row>
    <row r="2144" spans="1:6" x14ac:dyDescent="0.25">
      <c r="A2144" s="1">
        <v>43077</v>
      </c>
      <c r="B2144" s="2" t="s">
        <v>150</v>
      </c>
      <c r="C2144" s="2" t="s">
        <v>462</v>
      </c>
      <c r="D2144">
        <v>3</v>
      </c>
      <c r="E2144">
        <f>WEEKDAY(makulatura5[[#This Row],[Data_dostarczenia]],2)</f>
        <v>5</v>
      </c>
      <c r="F2144" s="2">
        <f t="shared" si="33"/>
        <v>0</v>
      </c>
    </row>
    <row r="2145" spans="1:6" x14ac:dyDescent="0.25">
      <c r="A2145" s="1">
        <v>43077</v>
      </c>
      <c r="B2145" s="2" t="s">
        <v>329</v>
      </c>
      <c r="C2145" s="2" t="s">
        <v>330</v>
      </c>
      <c r="D2145">
        <v>52</v>
      </c>
      <c r="E2145">
        <f>WEEKDAY(makulatura5[[#This Row],[Data_dostarczenia]],2)</f>
        <v>5</v>
      </c>
      <c r="F2145" s="2">
        <f t="shared" si="33"/>
        <v>0</v>
      </c>
    </row>
    <row r="2146" spans="1:6" x14ac:dyDescent="0.25">
      <c r="A2146" s="1">
        <v>43077</v>
      </c>
      <c r="B2146" s="2" t="s">
        <v>307</v>
      </c>
      <c r="C2146" s="2" t="s">
        <v>308</v>
      </c>
      <c r="D2146">
        <v>7</v>
      </c>
      <c r="E2146">
        <f>WEEKDAY(makulatura5[[#This Row],[Data_dostarczenia]],2)</f>
        <v>5</v>
      </c>
      <c r="F2146" s="2">
        <f t="shared" si="33"/>
        <v>1</v>
      </c>
    </row>
    <row r="2147" spans="1:6" x14ac:dyDescent="0.25">
      <c r="A2147" s="1">
        <v>43080</v>
      </c>
      <c r="B2147" s="2" t="s">
        <v>232</v>
      </c>
      <c r="C2147" s="2" t="s">
        <v>573</v>
      </c>
      <c r="D2147">
        <v>12</v>
      </c>
      <c r="E2147">
        <f>WEEKDAY(makulatura5[[#This Row],[Data_dostarczenia]],2)</f>
        <v>1</v>
      </c>
      <c r="F2147" s="2">
        <f t="shared" si="33"/>
        <v>0</v>
      </c>
    </row>
    <row r="2148" spans="1:6" x14ac:dyDescent="0.25">
      <c r="A2148" s="1">
        <v>43080</v>
      </c>
      <c r="B2148" s="2" t="s">
        <v>152</v>
      </c>
      <c r="C2148" s="2" t="s">
        <v>319</v>
      </c>
      <c r="D2148">
        <v>5</v>
      </c>
      <c r="E2148">
        <f>WEEKDAY(makulatura5[[#This Row],[Data_dostarczenia]],2)</f>
        <v>1</v>
      </c>
      <c r="F2148" s="2">
        <f t="shared" si="33"/>
        <v>0</v>
      </c>
    </row>
    <row r="2149" spans="1:6" x14ac:dyDescent="0.25">
      <c r="A2149" s="1">
        <v>43080</v>
      </c>
      <c r="B2149" s="2" t="s">
        <v>280</v>
      </c>
      <c r="C2149" s="2" t="s">
        <v>281</v>
      </c>
      <c r="D2149">
        <v>7</v>
      </c>
      <c r="E2149">
        <f>WEEKDAY(makulatura5[[#This Row],[Data_dostarczenia]],2)</f>
        <v>1</v>
      </c>
      <c r="F2149" s="2">
        <f t="shared" si="33"/>
        <v>0</v>
      </c>
    </row>
    <row r="2150" spans="1:6" x14ac:dyDescent="0.25">
      <c r="A2150" s="1">
        <v>43080</v>
      </c>
      <c r="B2150" s="2" t="s">
        <v>128</v>
      </c>
      <c r="C2150" s="2" t="s">
        <v>639</v>
      </c>
      <c r="D2150">
        <v>22</v>
      </c>
      <c r="E2150">
        <f>WEEKDAY(makulatura5[[#This Row],[Data_dostarczenia]],2)</f>
        <v>1</v>
      </c>
      <c r="F2150" s="2">
        <f t="shared" si="33"/>
        <v>0</v>
      </c>
    </row>
    <row r="2151" spans="1:6" x14ac:dyDescent="0.25">
      <c r="A2151" s="1">
        <v>43080</v>
      </c>
      <c r="B2151" s="2" t="s">
        <v>280</v>
      </c>
      <c r="C2151" s="2" t="s">
        <v>451</v>
      </c>
      <c r="D2151">
        <v>5</v>
      </c>
      <c r="E2151">
        <f>WEEKDAY(makulatura5[[#This Row],[Data_dostarczenia]],2)</f>
        <v>1</v>
      </c>
      <c r="F2151" s="2">
        <f t="shared" si="33"/>
        <v>0</v>
      </c>
    </row>
    <row r="2152" spans="1:6" x14ac:dyDescent="0.25">
      <c r="A2152" s="1">
        <v>43080</v>
      </c>
      <c r="B2152" s="2" t="s">
        <v>77</v>
      </c>
      <c r="C2152" s="2" t="s">
        <v>85</v>
      </c>
      <c r="D2152">
        <v>9</v>
      </c>
      <c r="E2152">
        <f>WEEKDAY(makulatura5[[#This Row],[Data_dostarczenia]],2)</f>
        <v>1</v>
      </c>
      <c r="F2152" s="2">
        <f t="shared" si="33"/>
        <v>0</v>
      </c>
    </row>
    <row r="2153" spans="1:6" x14ac:dyDescent="0.25">
      <c r="A2153" s="1">
        <v>43080</v>
      </c>
      <c r="B2153" s="2" t="s">
        <v>176</v>
      </c>
      <c r="C2153" s="2" t="s">
        <v>486</v>
      </c>
      <c r="D2153">
        <v>4</v>
      </c>
      <c r="E2153">
        <f>WEEKDAY(makulatura5[[#This Row],[Data_dostarczenia]],2)</f>
        <v>1</v>
      </c>
      <c r="F2153" s="2">
        <f t="shared" si="33"/>
        <v>0</v>
      </c>
    </row>
    <row r="2154" spans="1:6" x14ac:dyDescent="0.25">
      <c r="A2154" s="1">
        <v>43080</v>
      </c>
      <c r="B2154" s="2" t="s">
        <v>635</v>
      </c>
      <c r="C2154" s="2" t="s">
        <v>636</v>
      </c>
      <c r="D2154">
        <v>31</v>
      </c>
      <c r="E2154">
        <f>WEEKDAY(makulatura5[[#This Row],[Data_dostarczenia]],2)</f>
        <v>1</v>
      </c>
      <c r="F2154" s="2">
        <f t="shared" si="33"/>
        <v>0</v>
      </c>
    </row>
    <row r="2155" spans="1:6" x14ac:dyDescent="0.25">
      <c r="A2155" s="1">
        <v>43080</v>
      </c>
      <c r="B2155" s="2" t="s">
        <v>232</v>
      </c>
      <c r="C2155" s="2" t="s">
        <v>451</v>
      </c>
      <c r="D2155">
        <v>16</v>
      </c>
      <c r="E2155">
        <f>WEEKDAY(makulatura5[[#This Row],[Data_dostarczenia]],2)</f>
        <v>1</v>
      </c>
      <c r="F2155" s="2">
        <f t="shared" si="33"/>
        <v>0</v>
      </c>
    </row>
    <row r="2156" spans="1:6" x14ac:dyDescent="0.25">
      <c r="A2156" s="1">
        <v>43080</v>
      </c>
      <c r="B2156" s="2" t="s">
        <v>47</v>
      </c>
      <c r="C2156" s="2" t="s">
        <v>465</v>
      </c>
      <c r="D2156">
        <v>21</v>
      </c>
      <c r="E2156">
        <f>WEEKDAY(makulatura5[[#This Row],[Data_dostarczenia]],2)</f>
        <v>1</v>
      </c>
      <c r="F2156" s="2">
        <f t="shared" si="33"/>
        <v>1</v>
      </c>
    </row>
    <row r="2157" spans="1:6" x14ac:dyDescent="0.25">
      <c r="A2157" s="1">
        <v>43081</v>
      </c>
      <c r="B2157" s="2" t="s">
        <v>206</v>
      </c>
      <c r="C2157" s="2" t="s">
        <v>192</v>
      </c>
      <c r="D2157">
        <v>22</v>
      </c>
      <c r="E2157">
        <f>WEEKDAY(makulatura5[[#This Row],[Data_dostarczenia]],2)</f>
        <v>2</v>
      </c>
      <c r="F2157" s="2">
        <f t="shared" si="33"/>
        <v>0</v>
      </c>
    </row>
    <row r="2158" spans="1:6" x14ac:dyDescent="0.25">
      <c r="A2158" s="1">
        <v>43081</v>
      </c>
      <c r="B2158" s="2" t="s">
        <v>152</v>
      </c>
      <c r="C2158" s="2" t="s">
        <v>153</v>
      </c>
      <c r="D2158">
        <v>20</v>
      </c>
      <c r="E2158">
        <f>WEEKDAY(makulatura5[[#This Row],[Data_dostarczenia]],2)</f>
        <v>2</v>
      </c>
      <c r="F2158" s="2">
        <f t="shared" si="33"/>
        <v>0</v>
      </c>
    </row>
    <row r="2159" spans="1:6" x14ac:dyDescent="0.25">
      <c r="A2159" s="1">
        <v>43081</v>
      </c>
      <c r="B2159" s="2" t="s">
        <v>193</v>
      </c>
      <c r="C2159" s="2" t="s">
        <v>228</v>
      </c>
      <c r="D2159">
        <v>24</v>
      </c>
      <c r="E2159">
        <f>WEEKDAY(makulatura5[[#This Row],[Data_dostarczenia]],2)</f>
        <v>2</v>
      </c>
      <c r="F2159" s="2">
        <f t="shared" si="33"/>
        <v>0</v>
      </c>
    </row>
    <row r="2160" spans="1:6" x14ac:dyDescent="0.25">
      <c r="A2160" s="1">
        <v>43081</v>
      </c>
      <c r="B2160" s="2" t="s">
        <v>352</v>
      </c>
      <c r="C2160" s="2" t="s">
        <v>227</v>
      </c>
      <c r="D2160">
        <v>17</v>
      </c>
      <c r="E2160">
        <f>WEEKDAY(makulatura5[[#This Row],[Data_dostarczenia]],2)</f>
        <v>2</v>
      </c>
      <c r="F2160" s="2">
        <f t="shared" si="33"/>
        <v>0</v>
      </c>
    </row>
    <row r="2161" spans="1:6" x14ac:dyDescent="0.25">
      <c r="A2161" s="1">
        <v>43081</v>
      </c>
      <c r="B2161" s="2" t="s">
        <v>92</v>
      </c>
      <c r="C2161" s="2" t="s">
        <v>638</v>
      </c>
      <c r="D2161">
        <v>25</v>
      </c>
      <c r="E2161">
        <f>WEEKDAY(makulatura5[[#This Row],[Data_dostarczenia]],2)</f>
        <v>2</v>
      </c>
      <c r="F2161" s="2">
        <f t="shared" si="33"/>
        <v>0</v>
      </c>
    </row>
    <row r="2162" spans="1:6" x14ac:dyDescent="0.25">
      <c r="A2162" s="1">
        <v>43081</v>
      </c>
      <c r="B2162" s="2" t="s">
        <v>49</v>
      </c>
      <c r="C2162" s="2" t="s">
        <v>50</v>
      </c>
      <c r="D2162">
        <v>22</v>
      </c>
      <c r="E2162">
        <f>WEEKDAY(makulatura5[[#This Row],[Data_dostarczenia]],2)</f>
        <v>2</v>
      </c>
      <c r="F2162" s="2">
        <f t="shared" si="33"/>
        <v>0</v>
      </c>
    </row>
    <row r="2163" spans="1:6" x14ac:dyDescent="0.25">
      <c r="A2163" s="1">
        <v>43081</v>
      </c>
      <c r="B2163" s="2" t="s">
        <v>83</v>
      </c>
      <c r="C2163" s="2" t="s">
        <v>698</v>
      </c>
      <c r="D2163">
        <v>50</v>
      </c>
      <c r="E2163">
        <f>WEEKDAY(makulatura5[[#This Row],[Data_dostarczenia]],2)</f>
        <v>2</v>
      </c>
      <c r="F2163" s="2">
        <f t="shared" si="33"/>
        <v>0</v>
      </c>
    </row>
    <row r="2164" spans="1:6" x14ac:dyDescent="0.25">
      <c r="A2164" s="1">
        <v>43081</v>
      </c>
      <c r="B2164" s="2" t="s">
        <v>4</v>
      </c>
      <c r="C2164" s="2" t="s">
        <v>386</v>
      </c>
      <c r="D2164">
        <v>6</v>
      </c>
      <c r="E2164">
        <f>WEEKDAY(makulatura5[[#This Row],[Data_dostarczenia]],2)</f>
        <v>2</v>
      </c>
      <c r="F2164" s="2">
        <f t="shared" si="33"/>
        <v>0</v>
      </c>
    </row>
    <row r="2165" spans="1:6" x14ac:dyDescent="0.25">
      <c r="A2165" s="1">
        <v>43081</v>
      </c>
      <c r="B2165" s="2" t="s">
        <v>8</v>
      </c>
      <c r="C2165" s="2" t="s">
        <v>322</v>
      </c>
      <c r="D2165">
        <v>27</v>
      </c>
      <c r="E2165">
        <f>WEEKDAY(makulatura5[[#This Row],[Data_dostarczenia]],2)</f>
        <v>2</v>
      </c>
      <c r="F2165" s="2">
        <f t="shared" si="33"/>
        <v>0</v>
      </c>
    </row>
    <row r="2166" spans="1:6" x14ac:dyDescent="0.25">
      <c r="A2166" s="1">
        <v>43081</v>
      </c>
      <c r="B2166" s="2" t="s">
        <v>361</v>
      </c>
      <c r="C2166" s="2" t="s">
        <v>424</v>
      </c>
      <c r="D2166">
        <v>29</v>
      </c>
      <c r="E2166">
        <f>WEEKDAY(makulatura5[[#This Row],[Data_dostarczenia]],2)</f>
        <v>2</v>
      </c>
      <c r="F2166" s="2">
        <f t="shared" si="33"/>
        <v>1</v>
      </c>
    </row>
    <row r="2167" spans="1:6" x14ac:dyDescent="0.25">
      <c r="A2167" s="1">
        <v>43082</v>
      </c>
      <c r="B2167" s="2" t="s">
        <v>352</v>
      </c>
      <c r="C2167" s="2" t="s">
        <v>227</v>
      </c>
      <c r="D2167">
        <v>12</v>
      </c>
      <c r="E2167">
        <f>WEEKDAY(makulatura5[[#This Row],[Data_dostarczenia]],2)</f>
        <v>3</v>
      </c>
      <c r="F2167" s="2">
        <f t="shared" si="33"/>
        <v>0</v>
      </c>
    </row>
    <row r="2168" spans="1:6" x14ac:dyDescent="0.25">
      <c r="A2168" s="1">
        <v>43082</v>
      </c>
      <c r="B2168" s="2" t="s">
        <v>121</v>
      </c>
      <c r="C2168" s="2" t="s">
        <v>600</v>
      </c>
      <c r="D2168">
        <v>28</v>
      </c>
      <c r="E2168">
        <f>WEEKDAY(makulatura5[[#This Row],[Data_dostarczenia]],2)</f>
        <v>3</v>
      </c>
      <c r="F2168" s="2">
        <f t="shared" si="33"/>
        <v>0</v>
      </c>
    </row>
    <row r="2169" spans="1:6" x14ac:dyDescent="0.25">
      <c r="A2169" s="1">
        <v>43082</v>
      </c>
      <c r="B2169" s="2" t="s">
        <v>508</v>
      </c>
      <c r="C2169" s="2" t="s">
        <v>509</v>
      </c>
      <c r="D2169">
        <v>21</v>
      </c>
      <c r="E2169">
        <f>WEEKDAY(makulatura5[[#This Row],[Data_dostarczenia]],2)</f>
        <v>3</v>
      </c>
      <c r="F2169" s="2">
        <f t="shared" si="33"/>
        <v>0</v>
      </c>
    </row>
    <row r="2170" spans="1:6" x14ac:dyDescent="0.25">
      <c r="A2170" s="1">
        <v>43082</v>
      </c>
      <c r="B2170" s="2" t="s">
        <v>30</v>
      </c>
      <c r="C2170" s="2" t="s">
        <v>109</v>
      </c>
      <c r="D2170">
        <v>19</v>
      </c>
      <c r="E2170">
        <f>WEEKDAY(makulatura5[[#This Row],[Data_dostarczenia]],2)</f>
        <v>3</v>
      </c>
      <c r="F2170" s="2">
        <f t="shared" si="33"/>
        <v>0</v>
      </c>
    </row>
    <row r="2171" spans="1:6" x14ac:dyDescent="0.25">
      <c r="A2171" s="1">
        <v>43082</v>
      </c>
      <c r="B2171" s="2" t="s">
        <v>128</v>
      </c>
      <c r="C2171" s="2" t="s">
        <v>250</v>
      </c>
      <c r="D2171">
        <v>29</v>
      </c>
      <c r="E2171">
        <f>WEEKDAY(makulatura5[[#This Row],[Data_dostarczenia]],2)</f>
        <v>3</v>
      </c>
      <c r="F2171" s="2">
        <f t="shared" si="33"/>
        <v>0</v>
      </c>
    </row>
    <row r="2172" spans="1:6" x14ac:dyDescent="0.25">
      <c r="A2172" s="1">
        <v>43082</v>
      </c>
      <c r="B2172" s="2" t="s">
        <v>144</v>
      </c>
      <c r="C2172" s="2" t="s">
        <v>390</v>
      </c>
      <c r="D2172">
        <v>9</v>
      </c>
      <c r="E2172">
        <f>WEEKDAY(makulatura5[[#This Row],[Data_dostarczenia]],2)</f>
        <v>3</v>
      </c>
      <c r="F2172" s="2">
        <f t="shared" si="33"/>
        <v>0</v>
      </c>
    </row>
    <row r="2173" spans="1:6" x14ac:dyDescent="0.25">
      <c r="A2173" s="1">
        <v>43082</v>
      </c>
      <c r="B2173" s="2" t="s">
        <v>635</v>
      </c>
      <c r="C2173" s="2" t="s">
        <v>636</v>
      </c>
      <c r="D2173">
        <v>24</v>
      </c>
      <c r="E2173">
        <f>WEEKDAY(makulatura5[[#This Row],[Data_dostarczenia]],2)</f>
        <v>3</v>
      </c>
      <c r="F2173" s="2">
        <f t="shared" si="33"/>
        <v>0</v>
      </c>
    </row>
    <row r="2174" spans="1:6" x14ac:dyDescent="0.25">
      <c r="A2174" s="1">
        <v>43082</v>
      </c>
      <c r="B2174" s="2" t="s">
        <v>193</v>
      </c>
      <c r="C2174" s="2" t="s">
        <v>595</v>
      </c>
      <c r="D2174">
        <v>24</v>
      </c>
      <c r="E2174">
        <f>WEEKDAY(makulatura5[[#This Row],[Data_dostarczenia]],2)</f>
        <v>3</v>
      </c>
      <c r="F2174" s="2">
        <f t="shared" si="33"/>
        <v>0</v>
      </c>
    </row>
    <row r="2175" spans="1:6" x14ac:dyDescent="0.25">
      <c r="A2175" s="1">
        <v>43082</v>
      </c>
      <c r="B2175" s="2" t="s">
        <v>128</v>
      </c>
      <c r="C2175" s="2" t="s">
        <v>559</v>
      </c>
      <c r="D2175">
        <v>8</v>
      </c>
      <c r="E2175">
        <f>WEEKDAY(makulatura5[[#This Row],[Data_dostarczenia]],2)</f>
        <v>3</v>
      </c>
      <c r="F2175" s="2">
        <f t="shared" si="33"/>
        <v>0</v>
      </c>
    </row>
    <row r="2176" spans="1:6" x14ac:dyDescent="0.25">
      <c r="A2176" s="1">
        <v>43082</v>
      </c>
      <c r="B2176" s="2" t="s">
        <v>618</v>
      </c>
      <c r="C2176" s="2" t="s">
        <v>619</v>
      </c>
      <c r="D2176">
        <v>5</v>
      </c>
      <c r="E2176">
        <f>WEEKDAY(makulatura5[[#This Row],[Data_dostarczenia]],2)</f>
        <v>3</v>
      </c>
      <c r="F2176" s="2">
        <f t="shared" si="33"/>
        <v>1</v>
      </c>
    </row>
    <row r="2177" spans="1:6" x14ac:dyDescent="0.25">
      <c r="A2177" s="1">
        <v>43083</v>
      </c>
      <c r="B2177" s="2" t="s">
        <v>47</v>
      </c>
      <c r="C2177" s="2" t="s">
        <v>465</v>
      </c>
      <c r="D2177">
        <v>32</v>
      </c>
      <c r="E2177">
        <f>WEEKDAY(makulatura5[[#This Row],[Data_dostarczenia]],2)</f>
        <v>4</v>
      </c>
      <c r="F2177" s="2">
        <f t="shared" si="33"/>
        <v>0</v>
      </c>
    </row>
    <row r="2178" spans="1:6" x14ac:dyDescent="0.25">
      <c r="A2178" s="1">
        <v>43083</v>
      </c>
      <c r="B2178" s="2" t="s">
        <v>178</v>
      </c>
      <c r="C2178" s="2" t="s">
        <v>333</v>
      </c>
      <c r="D2178">
        <v>34</v>
      </c>
      <c r="E2178">
        <f>WEEKDAY(makulatura5[[#This Row],[Data_dostarczenia]],2)</f>
        <v>4</v>
      </c>
      <c r="F2178" s="2">
        <f t="shared" ref="F2178:F2241" si="34">IF(A2179=A2178,0,1)</f>
        <v>0</v>
      </c>
    </row>
    <row r="2179" spans="1:6" x14ac:dyDescent="0.25">
      <c r="A2179" s="1">
        <v>43083</v>
      </c>
      <c r="B2179" s="2" t="s">
        <v>69</v>
      </c>
      <c r="C2179" s="2" t="s">
        <v>535</v>
      </c>
      <c r="D2179">
        <v>9</v>
      </c>
      <c r="E2179">
        <f>WEEKDAY(makulatura5[[#This Row],[Data_dostarczenia]],2)</f>
        <v>4</v>
      </c>
      <c r="F2179" s="2">
        <f t="shared" si="34"/>
        <v>0</v>
      </c>
    </row>
    <row r="2180" spans="1:6" x14ac:dyDescent="0.25">
      <c r="A2180" s="1">
        <v>43083</v>
      </c>
      <c r="B2180" s="2" t="s">
        <v>57</v>
      </c>
      <c r="C2180" s="2" t="s">
        <v>531</v>
      </c>
      <c r="D2180">
        <v>49</v>
      </c>
      <c r="E2180">
        <f>WEEKDAY(makulatura5[[#This Row],[Data_dostarczenia]],2)</f>
        <v>4</v>
      </c>
      <c r="F2180" s="2">
        <f t="shared" si="34"/>
        <v>0</v>
      </c>
    </row>
    <row r="2181" spans="1:6" x14ac:dyDescent="0.25">
      <c r="A2181" s="1">
        <v>43083</v>
      </c>
      <c r="B2181" s="2" t="s">
        <v>280</v>
      </c>
      <c r="C2181" s="2" t="s">
        <v>281</v>
      </c>
      <c r="D2181">
        <v>18</v>
      </c>
      <c r="E2181">
        <f>WEEKDAY(makulatura5[[#This Row],[Data_dostarczenia]],2)</f>
        <v>4</v>
      </c>
      <c r="F2181" s="2">
        <f t="shared" si="34"/>
        <v>0</v>
      </c>
    </row>
    <row r="2182" spans="1:6" x14ac:dyDescent="0.25">
      <c r="A2182" s="1">
        <v>43083</v>
      </c>
      <c r="B2182" s="2" t="s">
        <v>57</v>
      </c>
      <c r="C2182" s="2" t="s">
        <v>531</v>
      </c>
      <c r="D2182">
        <v>56</v>
      </c>
      <c r="E2182">
        <f>WEEKDAY(makulatura5[[#This Row],[Data_dostarczenia]],2)</f>
        <v>4</v>
      </c>
      <c r="F2182" s="2">
        <f t="shared" si="34"/>
        <v>0</v>
      </c>
    </row>
    <row r="2183" spans="1:6" x14ac:dyDescent="0.25">
      <c r="A2183" s="1">
        <v>43083</v>
      </c>
      <c r="B2183" s="2" t="s">
        <v>248</v>
      </c>
      <c r="C2183" s="2" t="s">
        <v>249</v>
      </c>
      <c r="D2183">
        <v>46</v>
      </c>
      <c r="E2183">
        <f>WEEKDAY(makulatura5[[#This Row],[Data_dostarczenia]],2)</f>
        <v>4</v>
      </c>
      <c r="F2183" s="2">
        <f t="shared" si="34"/>
        <v>0</v>
      </c>
    </row>
    <row r="2184" spans="1:6" x14ac:dyDescent="0.25">
      <c r="A2184" s="1">
        <v>43083</v>
      </c>
      <c r="B2184" s="2" t="s">
        <v>640</v>
      </c>
      <c r="C2184" s="2" t="s">
        <v>655</v>
      </c>
      <c r="D2184">
        <v>11</v>
      </c>
      <c r="E2184">
        <f>WEEKDAY(makulatura5[[#This Row],[Data_dostarczenia]],2)</f>
        <v>4</v>
      </c>
      <c r="F2184" s="2">
        <f t="shared" si="34"/>
        <v>0</v>
      </c>
    </row>
    <row r="2185" spans="1:6" x14ac:dyDescent="0.25">
      <c r="A2185" s="1">
        <v>43083</v>
      </c>
      <c r="B2185" s="2" t="s">
        <v>282</v>
      </c>
      <c r="C2185" s="2" t="s">
        <v>283</v>
      </c>
      <c r="D2185">
        <v>24</v>
      </c>
      <c r="E2185">
        <f>WEEKDAY(makulatura5[[#This Row],[Data_dostarczenia]],2)</f>
        <v>4</v>
      </c>
      <c r="F2185" s="2">
        <f t="shared" si="34"/>
        <v>0</v>
      </c>
    </row>
    <row r="2186" spans="1:6" x14ac:dyDescent="0.25">
      <c r="A2186" s="1">
        <v>43083</v>
      </c>
      <c r="B2186" s="2" t="s">
        <v>83</v>
      </c>
      <c r="C2186" s="2" t="s">
        <v>646</v>
      </c>
      <c r="D2186">
        <v>28</v>
      </c>
      <c r="E2186">
        <f>WEEKDAY(makulatura5[[#This Row],[Data_dostarczenia]],2)</f>
        <v>4</v>
      </c>
      <c r="F2186" s="2">
        <f t="shared" si="34"/>
        <v>1</v>
      </c>
    </row>
    <row r="2187" spans="1:6" x14ac:dyDescent="0.25">
      <c r="A2187" s="1">
        <v>43084</v>
      </c>
      <c r="B2187" s="2" t="s">
        <v>252</v>
      </c>
      <c r="C2187" s="2" t="s">
        <v>253</v>
      </c>
      <c r="D2187">
        <v>29</v>
      </c>
      <c r="E2187">
        <f>WEEKDAY(makulatura5[[#This Row],[Data_dostarczenia]],2)</f>
        <v>5</v>
      </c>
      <c r="F2187" s="2">
        <f t="shared" si="34"/>
        <v>0</v>
      </c>
    </row>
    <row r="2188" spans="1:6" x14ac:dyDescent="0.25">
      <c r="A2188" s="1">
        <v>43084</v>
      </c>
      <c r="B2188" s="2" t="s">
        <v>523</v>
      </c>
      <c r="C2188" s="2" t="s">
        <v>524</v>
      </c>
      <c r="D2188">
        <v>4</v>
      </c>
      <c r="E2188">
        <f>WEEKDAY(makulatura5[[#This Row],[Data_dostarczenia]],2)</f>
        <v>5</v>
      </c>
      <c r="F2188" s="2">
        <f t="shared" si="34"/>
        <v>0</v>
      </c>
    </row>
    <row r="2189" spans="1:6" x14ac:dyDescent="0.25">
      <c r="A2189" s="1">
        <v>43084</v>
      </c>
      <c r="B2189" s="2" t="s">
        <v>67</v>
      </c>
      <c r="C2189" s="2" t="s">
        <v>301</v>
      </c>
      <c r="D2189">
        <v>3</v>
      </c>
      <c r="E2189">
        <f>WEEKDAY(makulatura5[[#This Row],[Data_dostarczenia]],2)</f>
        <v>5</v>
      </c>
      <c r="F2189" s="2">
        <f t="shared" si="34"/>
        <v>0</v>
      </c>
    </row>
    <row r="2190" spans="1:6" x14ac:dyDescent="0.25">
      <c r="A2190" s="1">
        <v>43084</v>
      </c>
      <c r="B2190" s="2" t="s">
        <v>635</v>
      </c>
      <c r="C2190" s="2" t="s">
        <v>636</v>
      </c>
      <c r="D2190">
        <v>30</v>
      </c>
      <c r="E2190">
        <f>WEEKDAY(makulatura5[[#This Row],[Data_dostarczenia]],2)</f>
        <v>5</v>
      </c>
      <c r="F2190" s="2">
        <f t="shared" si="34"/>
        <v>0</v>
      </c>
    </row>
    <row r="2191" spans="1:6" x14ac:dyDescent="0.25">
      <c r="A2191" s="1">
        <v>43084</v>
      </c>
      <c r="B2191" s="2" t="s">
        <v>195</v>
      </c>
      <c r="C2191" s="2" t="s">
        <v>401</v>
      </c>
      <c r="D2191">
        <v>4</v>
      </c>
      <c r="E2191">
        <f>WEEKDAY(makulatura5[[#This Row],[Data_dostarczenia]],2)</f>
        <v>5</v>
      </c>
      <c r="F2191" s="2">
        <f t="shared" si="34"/>
        <v>0</v>
      </c>
    </row>
    <row r="2192" spans="1:6" x14ac:dyDescent="0.25">
      <c r="A2192" s="1">
        <v>43084</v>
      </c>
      <c r="B2192" s="2" t="s">
        <v>81</v>
      </c>
      <c r="C2192" s="2" t="s">
        <v>584</v>
      </c>
      <c r="D2192">
        <v>21</v>
      </c>
      <c r="E2192">
        <f>WEEKDAY(makulatura5[[#This Row],[Data_dostarczenia]],2)</f>
        <v>5</v>
      </c>
      <c r="F2192" s="2">
        <f t="shared" si="34"/>
        <v>0</v>
      </c>
    </row>
    <row r="2193" spans="1:6" x14ac:dyDescent="0.25">
      <c r="A2193" s="1">
        <v>43084</v>
      </c>
      <c r="B2193" s="2" t="s">
        <v>106</v>
      </c>
      <c r="C2193" s="2" t="s">
        <v>240</v>
      </c>
      <c r="D2193">
        <v>15</v>
      </c>
      <c r="E2193">
        <f>WEEKDAY(makulatura5[[#This Row],[Data_dostarczenia]],2)</f>
        <v>5</v>
      </c>
      <c r="F2193" s="2">
        <f t="shared" si="34"/>
        <v>0</v>
      </c>
    </row>
    <row r="2194" spans="1:6" x14ac:dyDescent="0.25">
      <c r="A2194" s="1">
        <v>43084</v>
      </c>
      <c r="B2194" s="2" t="s">
        <v>55</v>
      </c>
      <c r="C2194" s="2" t="s">
        <v>56</v>
      </c>
      <c r="D2194">
        <v>13</v>
      </c>
      <c r="E2194">
        <f>WEEKDAY(makulatura5[[#This Row],[Data_dostarczenia]],2)</f>
        <v>5</v>
      </c>
      <c r="F2194" s="2">
        <f t="shared" si="34"/>
        <v>0</v>
      </c>
    </row>
    <row r="2195" spans="1:6" x14ac:dyDescent="0.25">
      <c r="A2195" s="1">
        <v>43084</v>
      </c>
      <c r="B2195" s="2" t="s">
        <v>25</v>
      </c>
      <c r="C2195" s="2" t="s">
        <v>146</v>
      </c>
      <c r="D2195">
        <v>13</v>
      </c>
      <c r="E2195">
        <f>WEEKDAY(makulatura5[[#This Row],[Data_dostarczenia]],2)</f>
        <v>5</v>
      </c>
      <c r="F2195" s="2">
        <f t="shared" si="34"/>
        <v>0</v>
      </c>
    </row>
    <row r="2196" spans="1:6" x14ac:dyDescent="0.25">
      <c r="A2196" s="1">
        <v>43084</v>
      </c>
      <c r="B2196" s="2" t="s">
        <v>521</v>
      </c>
      <c r="C2196" s="2" t="s">
        <v>440</v>
      </c>
      <c r="D2196">
        <v>43</v>
      </c>
      <c r="E2196">
        <f>WEEKDAY(makulatura5[[#This Row],[Data_dostarczenia]],2)</f>
        <v>5</v>
      </c>
      <c r="F2196" s="2">
        <f t="shared" si="34"/>
        <v>1</v>
      </c>
    </row>
    <row r="2197" spans="1:6" x14ac:dyDescent="0.25">
      <c r="A2197" s="1">
        <v>43087</v>
      </c>
      <c r="B2197" s="2" t="s">
        <v>47</v>
      </c>
      <c r="C2197" s="2" t="s">
        <v>192</v>
      </c>
      <c r="D2197">
        <v>31</v>
      </c>
      <c r="E2197">
        <f>WEEKDAY(makulatura5[[#This Row],[Data_dostarczenia]],2)</f>
        <v>1</v>
      </c>
      <c r="F2197" s="2">
        <f t="shared" si="34"/>
        <v>0</v>
      </c>
    </row>
    <row r="2198" spans="1:6" x14ac:dyDescent="0.25">
      <c r="A2198" s="1">
        <v>43087</v>
      </c>
      <c r="B2198" s="2" t="s">
        <v>343</v>
      </c>
      <c r="C2198" s="2" t="s">
        <v>675</v>
      </c>
      <c r="D2198">
        <v>34</v>
      </c>
      <c r="E2198">
        <f>WEEKDAY(makulatura5[[#This Row],[Data_dostarczenia]],2)</f>
        <v>1</v>
      </c>
      <c r="F2198" s="2">
        <f t="shared" si="34"/>
        <v>0</v>
      </c>
    </row>
    <row r="2199" spans="1:6" x14ac:dyDescent="0.25">
      <c r="A2199" s="1">
        <v>43087</v>
      </c>
      <c r="B2199" s="2" t="s">
        <v>143</v>
      </c>
      <c r="C2199" s="2" t="s">
        <v>585</v>
      </c>
      <c r="D2199">
        <v>12</v>
      </c>
      <c r="E2199">
        <f>WEEKDAY(makulatura5[[#This Row],[Data_dostarczenia]],2)</f>
        <v>1</v>
      </c>
      <c r="F2199" s="2">
        <f t="shared" si="34"/>
        <v>0</v>
      </c>
    </row>
    <row r="2200" spans="1:6" x14ac:dyDescent="0.25">
      <c r="A2200" s="1">
        <v>43087</v>
      </c>
      <c r="B2200" s="2" t="s">
        <v>161</v>
      </c>
      <c r="C2200" s="2" t="s">
        <v>305</v>
      </c>
      <c r="D2200">
        <v>10</v>
      </c>
      <c r="E2200">
        <f>WEEKDAY(makulatura5[[#This Row],[Data_dostarczenia]],2)</f>
        <v>1</v>
      </c>
      <c r="F2200" s="2">
        <f t="shared" si="34"/>
        <v>0</v>
      </c>
    </row>
    <row r="2201" spans="1:6" x14ac:dyDescent="0.25">
      <c r="A2201" s="1">
        <v>43087</v>
      </c>
      <c r="B2201" s="2" t="s">
        <v>72</v>
      </c>
      <c r="C2201" s="2" t="s">
        <v>73</v>
      </c>
      <c r="D2201">
        <v>5</v>
      </c>
      <c r="E2201">
        <f>WEEKDAY(makulatura5[[#This Row],[Data_dostarczenia]],2)</f>
        <v>1</v>
      </c>
      <c r="F2201" s="2">
        <f t="shared" si="34"/>
        <v>0</v>
      </c>
    </row>
    <row r="2202" spans="1:6" x14ac:dyDescent="0.25">
      <c r="A2202" s="1">
        <v>43087</v>
      </c>
      <c r="B2202" s="2" t="s">
        <v>57</v>
      </c>
      <c r="C2202" s="2" t="s">
        <v>58</v>
      </c>
      <c r="D2202">
        <v>4</v>
      </c>
      <c r="E2202">
        <f>WEEKDAY(makulatura5[[#This Row],[Data_dostarczenia]],2)</f>
        <v>1</v>
      </c>
      <c r="F2202" s="2">
        <f t="shared" si="34"/>
        <v>0</v>
      </c>
    </row>
    <row r="2203" spans="1:6" x14ac:dyDescent="0.25">
      <c r="A2203" s="1">
        <v>43087</v>
      </c>
      <c r="B2203" s="2" t="s">
        <v>41</v>
      </c>
      <c r="C2203" s="2" t="s">
        <v>690</v>
      </c>
      <c r="D2203">
        <v>44</v>
      </c>
      <c r="E2203">
        <f>WEEKDAY(makulatura5[[#This Row],[Data_dostarczenia]],2)</f>
        <v>1</v>
      </c>
      <c r="F2203" s="2">
        <f t="shared" si="34"/>
        <v>0</v>
      </c>
    </row>
    <row r="2204" spans="1:6" x14ac:dyDescent="0.25">
      <c r="A2204" s="1">
        <v>43087</v>
      </c>
      <c r="B2204" s="2" t="s">
        <v>393</v>
      </c>
      <c r="C2204" s="2" t="s">
        <v>227</v>
      </c>
      <c r="D2204">
        <v>32</v>
      </c>
      <c r="E2204">
        <f>WEEKDAY(makulatura5[[#This Row],[Data_dostarczenia]],2)</f>
        <v>1</v>
      </c>
      <c r="F2204" s="2">
        <f t="shared" si="34"/>
        <v>0</v>
      </c>
    </row>
    <row r="2205" spans="1:6" x14ac:dyDescent="0.25">
      <c r="A2205" s="1">
        <v>43087</v>
      </c>
      <c r="B2205" s="2" t="s">
        <v>92</v>
      </c>
      <c r="C2205" s="2" t="s">
        <v>93</v>
      </c>
      <c r="D2205">
        <v>11</v>
      </c>
      <c r="E2205">
        <f>WEEKDAY(makulatura5[[#This Row],[Data_dostarczenia]],2)</f>
        <v>1</v>
      </c>
      <c r="F2205" s="2">
        <f t="shared" si="34"/>
        <v>0</v>
      </c>
    </row>
    <row r="2206" spans="1:6" x14ac:dyDescent="0.25">
      <c r="A2206" s="1">
        <v>43087</v>
      </c>
      <c r="B2206" s="2" t="s">
        <v>152</v>
      </c>
      <c r="C2206" s="2" t="s">
        <v>534</v>
      </c>
      <c r="D2206">
        <v>33</v>
      </c>
      <c r="E2206">
        <f>WEEKDAY(makulatura5[[#This Row],[Data_dostarczenia]],2)</f>
        <v>1</v>
      </c>
      <c r="F2206" s="2">
        <f t="shared" si="34"/>
        <v>1</v>
      </c>
    </row>
    <row r="2207" spans="1:6" x14ac:dyDescent="0.25">
      <c r="A2207" s="1">
        <v>43088</v>
      </c>
      <c r="B2207" s="2" t="s">
        <v>39</v>
      </c>
      <c r="C2207" s="2" t="s">
        <v>371</v>
      </c>
      <c r="D2207">
        <v>56</v>
      </c>
      <c r="E2207">
        <f>WEEKDAY(makulatura5[[#This Row],[Data_dostarczenia]],2)</f>
        <v>2</v>
      </c>
      <c r="F2207" s="2">
        <f t="shared" si="34"/>
        <v>0</v>
      </c>
    </row>
    <row r="2208" spans="1:6" x14ac:dyDescent="0.25">
      <c r="A2208" s="1">
        <v>43088</v>
      </c>
      <c r="B2208" s="2" t="s">
        <v>117</v>
      </c>
      <c r="C2208" s="2" t="s">
        <v>118</v>
      </c>
      <c r="D2208">
        <v>3</v>
      </c>
      <c r="E2208">
        <f>WEEKDAY(makulatura5[[#This Row],[Data_dostarczenia]],2)</f>
        <v>2</v>
      </c>
      <c r="F2208" s="2">
        <f t="shared" si="34"/>
        <v>0</v>
      </c>
    </row>
    <row r="2209" spans="1:6" x14ac:dyDescent="0.25">
      <c r="A2209" s="1">
        <v>43088</v>
      </c>
      <c r="B2209" s="2" t="s">
        <v>117</v>
      </c>
      <c r="C2209" s="2" t="s">
        <v>183</v>
      </c>
      <c r="D2209">
        <v>24</v>
      </c>
      <c r="E2209">
        <f>WEEKDAY(makulatura5[[#This Row],[Data_dostarczenia]],2)</f>
        <v>2</v>
      </c>
      <c r="F2209" s="2">
        <f t="shared" si="34"/>
        <v>0</v>
      </c>
    </row>
    <row r="2210" spans="1:6" x14ac:dyDescent="0.25">
      <c r="A2210" s="1">
        <v>43088</v>
      </c>
      <c r="B2210" s="2" t="s">
        <v>635</v>
      </c>
      <c r="C2210" s="2" t="s">
        <v>636</v>
      </c>
      <c r="D2210">
        <v>14</v>
      </c>
      <c r="E2210">
        <f>WEEKDAY(makulatura5[[#This Row],[Data_dostarczenia]],2)</f>
        <v>2</v>
      </c>
      <c r="F2210" s="2">
        <f t="shared" si="34"/>
        <v>0</v>
      </c>
    </row>
    <row r="2211" spans="1:6" x14ac:dyDescent="0.25">
      <c r="A2211" s="1">
        <v>43088</v>
      </c>
      <c r="B2211" s="2" t="s">
        <v>393</v>
      </c>
      <c r="C2211" s="2" t="s">
        <v>686</v>
      </c>
      <c r="D2211">
        <v>42</v>
      </c>
      <c r="E2211">
        <f>WEEKDAY(makulatura5[[#This Row],[Data_dostarczenia]],2)</f>
        <v>2</v>
      </c>
      <c r="F2211" s="2">
        <f t="shared" si="34"/>
        <v>0</v>
      </c>
    </row>
    <row r="2212" spans="1:6" x14ac:dyDescent="0.25">
      <c r="A2212" s="1">
        <v>43088</v>
      </c>
      <c r="B2212" s="2" t="s">
        <v>63</v>
      </c>
      <c r="C2212" s="2" t="s">
        <v>105</v>
      </c>
      <c r="D2212">
        <v>21</v>
      </c>
      <c r="E2212">
        <f>WEEKDAY(makulatura5[[#This Row],[Data_dostarczenia]],2)</f>
        <v>2</v>
      </c>
      <c r="F2212" s="2">
        <f t="shared" si="34"/>
        <v>0</v>
      </c>
    </row>
    <row r="2213" spans="1:6" x14ac:dyDescent="0.25">
      <c r="A2213" s="1">
        <v>43088</v>
      </c>
      <c r="B2213" s="2" t="s">
        <v>232</v>
      </c>
      <c r="C2213" s="2" t="s">
        <v>526</v>
      </c>
      <c r="D2213">
        <v>4</v>
      </c>
      <c r="E2213">
        <f>WEEKDAY(makulatura5[[#This Row],[Data_dostarczenia]],2)</f>
        <v>2</v>
      </c>
      <c r="F2213" s="2">
        <f t="shared" si="34"/>
        <v>0</v>
      </c>
    </row>
    <row r="2214" spans="1:6" x14ac:dyDescent="0.25">
      <c r="A2214" s="1">
        <v>43088</v>
      </c>
      <c r="B2214" s="2" t="s">
        <v>79</v>
      </c>
      <c r="C2214" s="2" t="s">
        <v>80</v>
      </c>
      <c r="D2214">
        <v>41</v>
      </c>
      <c r="E2214">
        <f>WEEKDAY(makulatura5[[#This Row],[Data_dostarczenia]],2)</f>
        <v>2</v>
      </c>
      <c r="F2214" s="2">
        <f t="shared" si="34"/>
        <v>0</v>
      </c>
    </row>
    <row r="2215" spans="1:6" x14ac:dyDescent="0.25">
      <c r="A2215" s="1">
        <v>43088</v>
      </c>
      <c r="B2215" s="2" t="s">
        <v>25</v>
      </c>
      <c r="C2215" s="2" t="s">
        <v>146</v>
      </c>
      <c r="D2215">
        <v>51</v>
      </c>
      <c r="E2215">
        <f>WEEKDAY(makulatura5[[#This Row],[Data_dostarczenia]],2)</f>
        <v>2</v>
      </c>
      <c r="F2215" s="2">
        <f t="shared" si="34"/>
        <v>1</v>
      </c>
    </row>
    <row r="2216" spans="1:6" x14ac:dyDescent="0.25">
      <c r="A2216" s="1">
        <v>43089</v>
      </c>
      <c r="B2216" s="2" t="s">
        <v>34</v>
      </c>
      <c r="C2216" s="2" t="s">
        <v>679</v>
      </c>
      <c r="D2216">
        <v>29</v>
      </c>
      <c r="E2216">
        <f>WEEKDAY(makulatura5[[#This Row],[Data_dostarczenia]],2)</f>
        <v>3</v>
      </c>
      <c r="F2216" s="2">
        <f t="shared" si="34"/>
        <v>0</v>
      </c>
    </row>
    <row r="2217" spans="1:6" x14ac:dyDescent="0.25">
      <c r="A2217" s="1">
        <v>43089</v>
      </c>
      <c r="B2217" s="2" t="s">
        <v>30</v>
      </c>
      <c r="C2217" s="2" t="s">
        <v>680</v>
      </c>
      <c r="D2217">
        <v>29</v>
      </c>
      <c r="E2217">
        <f>WEEKDAY(makulatura5[[#This Row],[Data_dostarczenia]],2)</f>
        <v>3</v>
      </c>
      <c r="F2217" s="2">
        <f t="shared" si="34"/>
        <v>0</v>
      </c>
    </row>
    <row r="2218" spans="1:6" x14ac:dyDescent="0.25">
      <c r="A2218" s="1">
        <v>43089</v>
      </c>
      <c r="B2218" s="2" t="s">
        <v>453</v>
      </c>
      <c r="C2218" s="2" t="s">
        <v>454</v>
      </c>
      <c r="D2218">
        <v>22</v>
      </c>
      <c r="E2218">
        <f>WEEKDAY(makulatura5[[#This Row],[Data_dostarczenia]],2)</f>
        <v>3</v>
      </c>
      <c r="F2218" s="2">
        <f t="shared" si="34"/>
        <v>0</v>
      </c>
    </row>
    <row r="2219" spans="1:6" x14ac:dyDescent="0.25">
      <c r="A2219" s="1">
        <v>43089</v>
      </c>
      <c r="B2219" s="2" t="s">
        <v>10</v>
      </c>
      <c r="C2219" s="2" t="s">
        <v>266</v>
      </c>
      <c r="D2219">
        <v>4</v>
      </c>
      <c r="E2219">
        <f>WEEKDAY(makulatura5[[#This Row],[Data_dostarczenia]],2)</f>
        <v>3</v>
      </c>
      <c r="F2219" s="2">
        <f t="shared" si="34"/>
        <v>0</v>
      </c>
    </row>
    <row r="2220" spans="1:6" x14ac:dyDescent="0.25">
      <c r="A2220" s="1">
        <v>43089</v>
      </c>
      <c r="B2220" s="2" t="s">
        <v>208</v>
      </c>
      <c r="C2220" s="2" t="s">
        <v>697</v>
      </c>
      <c r="D2220">
        <v>34</v>
      </c>
      <c r="E2220">
        <f>WEEKDAY(makulatura5[[#This Row],[Data_dostarczenia]],2)</f>
        <v>3</v>
      </c>
      <c r="F2220" s="2">
        <f t="shared" si="34"/>
        <v>0</v>
      </c>
    </row>
    <row r="2221" spans="1:6" x14ac:dyDescent="0.25">
      <c r="A2221" s="1">
        <v>43089</v>
      </c>
      <c r="B2221" s="2" t="s">
        <v>63</v>
      </c>
      <c r="C2221" s="2" t="s">
        <v>105</v>
      </c>
      <c r="D2221">
        <v>6</v>
      </c>
      <c r="E2221">
        <f>WEEKDAY(makulatura5[[#This Row],[Data_dostarczenia]],2)</f>
        <v>3</v>
      </c>
      <c r="F2221" s="2">
        <f t="shared" si="34"/>
        <v>0</v>
      </c>
    </row>
    <row r="2222" spans="1:6" x14ac:dyDescent="0.25">
      <c r="A2222" s="1">
        <v>43089</v>
      </c>
      <c r="B2222" s="2" t="s">
        <v>395</v>
      </c>
      <c r="C2222" s="2" t="s">
        <v>587</v>
      </c>
      <c r="D2222">
        <v>11</v>
      </c>
      <c r="E2222">
        <f>WEEKDAY(makulatura5[[#This Row],[Data_dostarczenia]],2)</f>
        <v>3</v>
      </c>
      <c r="F2222" s="2">
        <f t="shared" si="34"/>
        <v>0</v>
      </c>
    </row>
    <row r="2223" spans="1:6" x14ac:dyDescent="0.25">
      <c r="A2223" s="1">
        <v>43089</v>
      </c>
      <c r="B2223" s="2" t="s">
        <v>275</v>
      </c>
      <c r="C2223" s="2" t="s">
        <v>276</v>
      </c>
      <c r="D2223">
        <v>9</v>
      </c>
      <c r="E2223">
        <f>WEEKDAY(makulatura5[[#This Row],[Data_dostarczenia]],2)</f>
        <v>3</v>
      </c>
      <c r="F2223" s="2">
        <f t="shared" si="34"/>
        <v>0</v>
      </c>
    </row>
    <row r="2224" spans="1:6" x14ac:dyDescent="0.25">
      <c r="A2224" s="1">
        <v>43089</v>
      </c>
      <c r="B2224" s="2" t="s">
        <v>128</v>
      </c>
      <c r="C2224" s="2" t="s">
        <v>309</v>
      </c>
      <c r="D2224">
        <v>21</v>
      </c>
      <c r="E2224">
        <f>WEEKDAY(makulatura5[[#This Row],[Data_dostarczenia]],2)</f>
        <v>3</v>
      </c>
      <c r="F2224" s="2">
        <f t="shared" si="34"/>
        <v>1</v>
      </c>
    </row>
    <row r="2225" spans="1:6" x14ac:dyDescent="0.25">
      <c r="A2225" s="1">
        <v>43090</v>
      </c>
      <c r="B2225" s="2" t="s">
        <v>574</v>
      </c>
      <c r="C2225" s="2" t="s">
        <v>607</v>
      </c>
      <c r="D2225">
        <v>26</v>
      </c>
      <c r="E2225">
        <f>WEEKDAY(makulatura5[[#This Row],[Data_dostarczenia]],2)</f>
        <v>4</v>
      </c>
      <c r="F2225" s="2">
        <f t="shared" si="34"/>
        <v>0</v>
      </c>
    </row>
    <row r="2226" spans="1:6" x14ac:dyDescent="0.25">
      <c r="A2226" s="1">
        <v>43090</v>
      </c>
      <c r="B2226" s="2" t="s">
        <v>271</v>
      </c>
      <c r="C2226" s="2" t="s">
        <v>272</v>
      </c>
      <c r="D2226">
        <v>4</v>
      </c>
      <c r="E2226">
        <f>WEEKDAY(makulatura5[[#This Row],[Data_dostarczenia]],2)</f>
        <v>4</v>
      </c>
      <c r="F2226" s="2">
        <f t="shared" si="34"/>
        <v>0</v>
      </c>
    </row>
    <row r="2227" spans="1:6" x14ac:dyDescent="0.25">
      <c r="A2227" s="1">
        <v>43090</v>
      </c>
      <c r="B2227" s="2" t="s">
        <v>30</v>
      </c>
      <c r="C2227" s="2" t="s">
        <v>432</v>
      </c>
      <c r="D2227">
        <v>18</v>
      </c>
      <c r="E2227">
        <f>WEEKDAY(makulatura5[[#This Row],[Data_dostarczenia]],2)</f>
        <v>4</v>
      </c>
      <c r="F2227" s="2">
        <f t="shared" si="34"/>
        <v>0</v>
      </c>
    </row>
    <row r="2228" spans="1:6" x14ac:dyDescent="0.25">
      <c r="A2228" s="1">
        <v>43090</v>
      </c>
      <c r="B2228" s="2" t="s">
        <v>150</v>
      </c>
      <c r="C2228" s="2" t="s">
        <v>462</v>
      </c>
      <c r="D2228">
        <v>27</v>
      </c>
      <c r="E2228">
        <f>WEEKDAY(makulatura5[[#This Row],[Data_dostarczenia]],2)</f>
        <v>4</v>
      </c>
      <c r="F2228" s="2">
        <f t="shared" si="34"/>
        <v>0</v>
      </c>
    </row>
    <row r="2229" spans="1:6" x14ac:dyDescent="0.25">
      <c r="A2229" s="1">
        <v>43090</v>
      </c>
      <c r="B2229" s="2" t="s">
        <v>521</v>
      </c>
      <c r="C2229" s="2" t="s">
        <v>440</v>
      </c>
      <c r="D2229">
        <v>15</v>
      </c>
      <c r="E2229">
        <f>WEEKDAY(makulatura5[[#This Row],[Data_dostarczenia]],2)</f>
        <v>4</v>
      </c>
      <c r="F2229" s="2">
        <f t="shared" si="34"/>
        <v>0</v>
      </c>
    </row>
    <row r="2230" spans="1:6" x14ac:dyDescent="0.25">
      <c r="A2230" s="1">
        <v>43090</v>
      </c>
      <c r="B2230" s="2" t="s">
        <v>128</v>
      </c>
      <c r="C2230" s="2" t="s">
        <v>559</v>
      </c>
      <c r="D2230">
        <v>50</v>
      </c>
      <c r="E2230">
        <f>WEEKDAY(makulatura5[[#This Row],[Data_dostarczenia]],2)</f>
        <v>4</v>
      </c>
      <c r="F2230" s="2">
        <f t="shared" si="34"/>
        <v>0</v>
      </c>
    </row>
    <row r="2231" spans="1:6" x14ac:dyDescent="0.25">
      <c r="A2231" s="1">
        <v>43090</v>
      </c>
      <c r="B2231" s="2" t="s">
        <v>150</v>
      </c>
      <c r="C2231" s="2" t="s">
        <v>200</v>
      </c>
      <c r="D2231">
        <v>13</v>
      </c>
      <c r="E2231">
        <f>WEEKDAY(makulatura5[[#This Row],[Data_dostarczenia]],2)</f>
        <v>4</v>
      </c>
      <c r="F2231" s="2">
        <f t="shared" si="34"/>
        <v>0</v>
      </c>
    </row>
    <row r="2232" spans="1:6" x14ac:dyDescent="0.25">
      <c r="A2232" s="1">
        <v>43090</v>
      </c>
      <c r="B2232" s="2" t="s">
        <v>310</v>
      </c>
      <c r="C2232" s="2" t="s">
        <v>505</v>
      </c>
      <c r="D2232">
        <v>27</v>
      </c>
      <c r="E2232">
        <f>WEEKDAY(makulatura5[[#This Row],[Data_dostarczenia]],2)</f>
        <v>4</v>
      </c>
      <c r="F2232" s="2">
        <f t="shared" si="34"/>
        <v>0</v>
      </c>
    </row>
    <row r="2233" spans="1:6" x14ac:dyDescent="0.25">
      <c r="A2233" s="1">
        <v>43090</v>
      </c>
      <c r="B2233" s="2" t="s">
        <v>137</v>
      </c>
      <c r="C2233" s="2" t="s">
        <v>138</v>
      </c>
      <c r="D2233">
        <v>7</v>
      </c>
      <c r="E2233">
        <f>WEEKDAY(makulatura5[[#This Row],[Data_dostarczenia]],2)</f>
        <v>4</v>
      </c>
      <c r="F2233" s="2">
        <f t="shared" si="34"/>
        <v>1</v>
      </c>
    </row>
    <row r="2234" spans="1:6" x14ac:dyDescent="0.25">
      <c r="A2234" s="1">
        <v>43091</v>
      </c>
      <c r="B2234" s="2" t="s">
        <v>10</v>
      </c>
      <c r="C2234" s="2" t="s">
        <v>629</v>
      </c>
      <c r="D2234">
        <v>26</v>
      </c>
      <c r="E2234">
        <f>WEEKDAY(makulatura5[[#This Row],[Data_dostarczenia]],2)</f>
        <v>5</v>
      </c>
      <c r="F2234" s="2">
        <f t="shared" si="34"/>
        <v>0</v>
      </c>
    </row>
    <row r="2235" spans="1:6" x14ac:dyDescent="0.25">
      <c r="A2235" s="1">
        <v>43091</v>
      </c>
      <c r="B2235" s="2" t="s">
        <v>55</v>
      </c>
      <c r="C2235" s="2" t="s">
        <v>125</v>
      </c>
      <c r="D2235">
        <v>16</v>
      </c>
      <c r="E2235">
        <f>WEEKDAY(makulatura5[[#This Row],[Data_dostarczenia]],2)</f>
        <v>5</v>
      </c>
      <c r="F2235" s="2">
        <f t="shared" si="34"/>
        <v>0</v>
      </c>
    </row>
    <row r="2236" spans="1:6" x14ac:dyDescent="0.25">
      <c r="A2236" s="1">
        <v>43091</v>
      </c>
      <c r="B2236" s="2" t="s">
        <v>101</v>
      </c>
      <c r="C2236" s="2" t="s">
        <v>42</v>
      </c>
      <c r="D2236">
        <v>45</v>
      </c>
      <c r="E2236">
        <f>WEEKDAY(makulatura5[[#This Row],[Data_dostarczenia]],2)</f>
        <v>5</v>
      </c>
      <c r="F2236" s="2">
        <f t="shared" si="34"/>
        <v>0</v>
      </c>
    </row>
    <row r="2237" spans="1:6" x14ac:dyDescent="0.25">
      <c r="A2237" s="1">
        <v>43091</v>
      </c>
      <c r="B2237" s="2" t="s">
        <v>346</v>
      </c>
      <c r="C2237" s="2" t="s">
        <v>669</v>
      </c>
      <c r="D2237">
        <v>34</v>
      </c>
      <c r="E2237">
        <f>WEEKDAY(makulatura5[[#This Row],[Data_dostarczenia]],2)</f>
        <v>5</v>
      </c>
      <c r="F2237" s="2">
        <f t="shared" si="34"/>
        <v>0</v>
      </c>
    </row>
    <row r="2238" spans="1:6" x14ac:dyDescent="0.25">
      <c r="A2238" s="1">
        <v>43091</v>
      </c>
      <c r="B2238" s="2" t="s">
        <v>36</v>
      </c>
      <c r="C2238" s="2" t="s">
        <v>474</v>
      </c>
      <c r="D2238">
        <v>10</v>
      </c>
      <c r="E2238">
        <f>WEEKDAY(makulatura5[[#This Row],[Data_dostarczenia]],2)</f>
        <v>5</v>
      </c>
      <c r="F2238" s="2">
        <f t="shared" si="34"/>
        <v>0</v>
      </c>
    </row>
    <row r="2239" spans="1:6" x14ac:dyDescent="0.25">
      <c r="A2239" s="1">
        <v>43091</v>
      </c>
      <c r="B2239" s="2" t="s">
        <v>541</v>
      </c>
      <c r="C2239" s="2" t="s">
        <v>542</v>
      </c>
      <c r="D2239">
        <v>55</v>
      </c>
      <c r="E2239">
        <f>WEEKDAY(makulatura5[[#This Row],[Data_dostarczenia]],2)</f>
        <v>5</v>
      </c>
      <c r="F2239" s="2">
        <f t="shared" si="34"/>
        <v>0</v>
      </c>
    </row>
    <row r="2240" spans="1:6" x14ac:dyDescent="0.25">
      <c r="A2240" s="1">
        <v>43091</v>
      </c>
      <c r="B2240" s="2" t="s">
        <v>18</v>
      </c>
      <c r="C2240" s="2" t="s">
        <v>19</v>
      </c>
      <c r="D2240">
        <v>17</v>
      </c>
      <c r="E2240">
        <f>WEEKDAY(makulatura5[[#This Row],[Data_dostarczenia]],2)</f>
        <v>5</v>
      </c>
      <c r="F2240" s="2">
        <f t="shared" si="34"/>
        <v>0</v>
      </c>
    </row>
    <row r="2241" spans="1:6" x14ac:dyDescent="0.25">
      <c r="A2241" s="1">
        <v>43091</v>
      </c>
      <c r="B2241" s="2" t="s">
        <v>114</v>
      </c>
      <c r="C2241" s="2" t="s">
        <v>173</v>
      </c>
      <c r="D2241">
        <v>13</v>
      </c>
      <c r="E2241">
        <f>WEEKDAY(makulatura5[[#This Row],[Data_dostarczenia]],2)</f>
        <v>5</v>
      </c>
      <c r="F2241" s="2">
        <f t="shared" si="34"/>
        <v>0</v>
      </c>
    </row>
    <row r="2242" spans="1:6" x14ac:dyDescent="0.25">
      <c r="A2242" s="1">
        <v>43091</v>
      </c>
      <c r="B2242" s="2" t="s">
        <v>128</v>
      </c>
      <c r="C2242" s="2" t="s">
        <v>677</v>
      </c>
      <c r="D2242">
        <v>55</v>
      </c>
      <c r="E2242">
        <f>WEEKDAY(makulatura5[[#This Row],[Data_dostarczenia]],2)</f>
        <v>5</v>
      </c>
      <c r="F2242" s="2">
        <f t="shared" ref="F2242:F2269" si="35">IF(A2243=A2242,0,1)</f>
        <v>1</v>
      </c>
    </row>
    <row r="2243" spans="1:6" x14ac:dyDescent="0.25">
      <c r="A2243" s="1">
        <v>43096</v>
      </c>
      <c r="B2243" s="2" t="s">
        <v>83</v>
      </c>
      <c r="C2243" s="2" t="s">
        <v>110</v>
      </c>
      <c r="D2243">
        <v>45</v>
      </c>
      <c r="E2243">
        <f>WEEKDAY(makulatura5[[#This Row],[Data_dostarczenia]],2)</f>
        <v>3</v>
      </c>
      <c r="F2243" s="2">
        <f t="shared" si="35"/>
        <v>0</v>
      </c>
    </row>
    <row r="2244" spans="1:6" x14ac:dyDescent="0.25">
      <c r="A2244" s="1">
        <v>43096</v>
      </c>
      <c r="B2244" s="2" t="s">
        <v>317</v>
      </c>
      <c r="C2244" s="2" t="s">
        <v>318</v>
      </c>
      <c r="D2244">
        <v>8</v>
      </c>
      <c r="E2244">
        <f>WEEKDAY(makulatura5[[#This Row],[Data_dostarczenia]],2)</f>
        <v>3</v>
      </c>
      <c r="F2244" s="2">
        <f t="shared" si="35"/>
        <v>0</v>
      </c>
    </row>
    <row r="2245" spans="1:6" x14ac:dyDescent="0.25">
      <c r="A2245" s="1">
        <v>43096</v>
      </c>
      <c r="B2245" s="2" t="s">
        <v>395</v>
      </c>
      <c r="C2245" s="2" t="s">
        <v>587</v>
      </c>
      <c r="D2245">
        <v>6</v>
      </c>
      <c r="E2245">
        <f>WEEKDAY(makulatura5[[#This Row],[Data_dostarczenia]],2)</f>
        <v>3</v>
      </c>
      <c r="F2245" s="2">
        <f t="shared" si="35"/>
        <v>0</v>
      </c>
    </row>
    <row r="2246" spans="1:6" x14ac:dyDescent="0.25">
      <c r="A2246" s="1">
        <v>43096</v>
      </c>
      <c r="B2246" s="2" t="s">
        <v>176</v>
      </c>
      <c r="C2246" s="2" t="s">
        <v>693</v>
      </c>
      <c r="D2246">
        <v>11</v>
      </c>
      <c r="E2246">
        <f>WEEKDAY(makulatura5[[#This Row],[Data_dostarczenia]],2)</f>
        <v>3</v>
      </c>
      <c r="F2246" s="2">
        <f t="shared" si="35"/>
        <v>0</v>
      </c>
    </row>
    <row r="2247" spans="1:6" x14ac:dyDescent="0.25">
      <c r="A2247" s="1">
        <v>43096</v>
      </c>
      <c r="B2247" s="2" t="s">
        <v>623</v>
      </c>
      <c r="C2247" s="2" t="s">
        <v>624</v>
      </c>
      <c r="D2247">
        <v>29</v>
      </c>
      <c r="E2247">
        <f>WEEKDAY(makulatura5[[#This Row],[Data_dostarczenia]],2)</f>
        <v>3</v>
      </c>
      <c r="F2247" s="2">
        <f t="shared" si="35"/>
        <v>0</v>
      </c>
    </row>
    <row r="2248" spans="1:6" x14ac:dyDescent="0.25">
      <c r="A2248" s="1">
        <v>43096</v>
      </c>
      <c r="B2248" s="2" t="s">
        <v>27</v>
      </c>
      <c r="C2248" s="2" t="s">
        <v>446</v>
      </c>
      <c r="D2248">
        <v>10</v>
      </c>
      <c r="E2248">
        <f>WEEKDAY(makulatura5[[#This Row],[Data_dostarczenia]],2)</f>
        <v>3</v>
      </c>
      <c r="F2248" s="2">
        <f t="shared" si="35"/>
        <v>0</v>
      </c>
    </row>
    <row r="2249" spans="1:6" x14ac:dyDescent="0.25">
      <c r="A2249" s="1">
        <v>43096</v>
      </c>
      <c r="B2249" s="2" t="s">
        <v>83</v>
      </c>
      <c r="C2249" s="2" t="s">
        <v>591</v>
      </c>
      <c r="D2249">
        <v>38</v>
      </c>
      <c r="E2249">
        <f>WEEKDAY(makulatura5[[#This Row],[Data_dostarczenia]],2)</f>
        <v>3</v>
      </c>
      <c r="F2249" s="2">
        <f t="shared" si="35"/>
        <v>0</v>
      </c>
    </row>
    <row r="2250" spans="1:6" x14ac:dyDescent="0.25">
      <c r="A2250" s="1">
        <v>43096</v>
      </c>
      <c r="B2250" s="2" t="s">
        <v>69</v>
      </c>
      <c r="C2250" s="2" t="s">
        <v>461</v>
      </c>
      <c r="D2250">
        <v>8</v>
      </c>
      <c r="E2250">
        <f>WEEKDAY(makulatura5[[#This Row],[Data_dostarczenia]],2)</f>
        <v>3</v>
      </c>
      <c r="F2250" s="2">
        <f t="shared" si="35"/>
        <v>0</v>
      </c>
    </row>
    <row r="2251" spans="1:6" x14ac:dyDescent="0.25">
      <c r="A2251" s="1">
        <v>43096</v>
      </c>
      <c r="B2251" s="2" t="s">
        <v>14</v>
      </c>
      <c r="C2251" s="2" t="s">
        <v>422</v>
      </c>
      <c r="D2251">
        <v>19</v>
      </c>
      <c r="E2251">
        <f>WEEKDAY(makulatura5[[#This Row],[Data_dostarczenia]],2)</f>
        <v>3</v>
      </c>
      <c r="F2251" s="2">
        <f t="shared" si="35"/>
        <v>1</v>
      </c>
    </row>
    <row r="2252" spans="1:6" x14ac:dyDescent="0.25">
      <c r="A2252" s="1">
        <v>43097</v>
      </c>
      <c r="B2252" s="2" t="s">
        <v>27</v>
      </c>
      <c r="C2252" s="2" t="s">
        <v>446</v>
      </c>
      <c r="D2252">
        <v>22</v>
      </c>
      <c r="E2252">
        <f>WEEKDAY(makulatura5[[#This Row],[Data_dostarczenia]],2)</f>
        <v>4</v>
      </c>
      <c r="F2252" s="2">
        <f t="shared" si="35"/>
        <v>0</v>
      </c>
    </row>
    <row r="2253" spans="1:6" x14ac:dyDescent="0.25">
      <c r="A2253" s="1">
        <v>43097</v>
      </c>
      <c r="B2253" s="2" t="s">
        <v>174</v>
      </c>
      <c r="C2253" s="2" t="s">
        <v>424</v>
      </c>
      <c r="D2253">
        <v>12</v>
      </c>
      <c r="E2253">
        <f>WEEKDAY(makulatura5[[#This Row],[Data_dostarczenia]],2)</f>
        <v>4</v>
      </c>
      <c r="F2253" s="2">
        <f t="shared" si="35"/>
        <v>0</v>
      </c>
    </row>
    <row r="2254" spans="1:6" x14ac:dyDescent="0.25">
      <c r="A2254" s="1">
        <v>43097</v>
      </c>
      <c r="B2254" s="2" t="s">
        <v>278</v>
      </c>
      <c r="C2254" s="2" t="s">
        <v>202</v>
      </c>
      <c r="D2254">
        <v>7</v>
      </c>
      <c r="E2254">
        <f>WEEKDAY(makulatura5[[#This Row],[Data_dostarczenia]],2)</f>
        <v>4</v>
      </c>
      <c r="F2254" s="2">
        <f t="shared" si="35"/>
        <v>0</v>
      </c>
    </row>
    <row r="2255" spans="1:6" x14ac:dyDescent="0.25">
      <c r="A2255" s="1">
        <v>43097</v>
      </c>
      <c r="B2255" s="2" t="s">
        <v>39</v>
      </c>
      <c r="C2255" s="2" t="s">
        <v>391</v>
      </c>
      <c r="D2255">
        <v>17</v>
      </c>
      <c r="E2255">
        <f>WEEKDAY(makulatura5[[#This Row],[Data_dostarczenia]],2)</f>
        <v>4</v>
      </c>
      <c r="F2255" s="2">
        <f t="shared" si="35"/>
        <v>0</v>
      </c>
    </row>
    <row r="2256" spans="1:6" x14ac:dyDescent="0.25">
      <c r="A2256" s="1">
        <v>43097</v>
      </c>
      <c r="B2256" s="2" t="s">
        <v>150</v>
      </c>
      <c r="C2256" s="2" t="s">
        <v>462</v>
      </c>
      <c r="D2256">
        <v>29</v>
      </c>
      <c r="E2256">
        <f>WEEKDAY(makulatura5[[#This Row],[Data_dostarczenia]],2)</f>
        <v>4</v>
      </c>
      <c r="F2256" s="2">
        <f t="shared" si="35"/>
        <v>0</v>
      </c>
    </row>
    <row r="2257" spans="1:6" x14ac:dyDescent="0.25">
      <c r="A2257" s="1">
        <v>43097</v>
      </c>
      <c r="B2257" s="2" t="s">
        <v>219</v>
      </c>
      <c r="C2257" s="2" t="s">
        <v>543</v>
      </c>
      <c r="D2257">
        <v>9</v>
      </c>
      <c r="E2257">
        <f>WEEKDAY(makulatura5[[#This Row],[Data_dostarczenia]],2)</f>
        <v>4</v>
      </c>
      <c r="F2257" s="2">
        <f t="shared" si="35"/>
        <v>0</v>
      </c>
    </row>
    <row r="2258" spans="1:6" x14ac:dyDescent="0.25">
      <c r="A2258" s="1">
        <v>43097</v>
      </c>
      <c r="B2258" s="2" t="s">
        <v>427</v>
      </c>
      <c r="C2258" s="2" t="s">
        <v>428</v>
      </c>
      <c r="D2258">
        <v>21</v>
      </c>
      <c r="E2258">
        <f>WEEKDAY(makulatura5[[#This Row],[Data_dostarczenia]],2)</f>
        <v>4</v>
      </c>
      <c r="F2258" s="2">
        <f t="shared" si="35"/>
        <v>0</v>
      </c>
    </row>
    <row r="2259" spans="1:6" x14ac:dyDescent="0.25">
      <c r="A2259" s="1">
        <v>43097</v>
      </c>
      <c r="B2259" s="2" t="s">
        <v>106</v>
      </c>
      <c r="C2259" s="2" t="s">
        <v>602</v>
      </c>
      <c r="D2259">
        <v>10</v>
      </c>
      <c r="E2259">
        <f>WEEKDAY(makulatura5[[#This Row],[Data_dostarczenia]],2)</f>
        <v>4</v>
      </c>
      <c r="F2259" s="2">
        <f t="shared" si="35"/>
        <v>0</v>
      </c>
    </row>
    <row r="2260" spans="1:6" x14ac:dyDescent="0.25">
      <c r="A2260" s="1">
        <v>43097</v>
      </c>
      <c r="B2260" s="2" t="s">
        <v>219</v>
      </c>
      <c r="C2260" s="2" t="s">
        <v>220</v>
      </c>
      <c r="D2260">
        <v>30</v>
      </c>
      <c r="E2260">
        <f>WEEKDAY(makulatura5[[#This Row],[Data_dostarczenia]],2)</f>
        <v>4</v>
      </c>
      <c r="F2260" s="2">
        <f t="shared" si="35"/>
        <v>1</v>
      </c>
    </row>
    <row r="2261" spans="1:6" x14ac:dyDescent="0.25">
      <c r="A2261" s="1">
        <v>43098</v>
      </c>
      <c r="B2261" s="2" t="s">
        <v>95</v>
      </c>
      <c r="C2261" s="2" t="s">
        <v>96</v>
      </c>
      <c r="D2261">
        <v>14</v>
      </c>
      <c r="E2261">
        <f>WEEKDAY(makulatura5[[#This Row],[Data_dostarczenia]],2)</f>
        <v>5</v>
      </c>
      <c r="F2261" s="2">
        <f t="shared" si="35"/>
        <v>0</v>
      </c>
    </row>
    <row r="2262" spans="1:6" x14ac:dyDescent="0.25">
      <c r="A2262" s="1">
        <v>43098</v>
      </c>
      <c r="B2262" s="2" t="s">
        <v>232</v>
      </c>
      <c r="C2262" s="2" t="s">
        <v>451</v>
      </c>
      <c r="D2262">
        <v>15</v>
      </c>
      <c r="E2262">
        <f>WEEKDAY(makulatura5[[#This Row],[Data_dostarczenia]],2)</f>
        <v>5</v>
      </c>
      <c r="F2262" s="2">
        <f t="shared" si="35"/>
        <v>0</v>
      </c>
    </row>
    <row r="2263" spans="1:6" x14ac:dyDescent="0.25">
      <c r="A2263" s="1">
        <v>43098</v>
      </c>
      <c r="B2263" s="2" t="s">
        <v>16</v>
      </c>
      <c r="C2263" s="2" t="s">
        <v>17</v>
      </c>
      <c r="D2263">
        <v>24</v>
      </c>
      <c r="E2263">
        <f>WEEKDAY(makulatura5[[#This Row],[Data_dostarczenia]],2)</f>
        <v>5</v>
      </c>
      <c r="F2263" s="2">
        <f t="shared" si="35"/>
        <v>0</v>
      </c>
    </row>
    <row r="2264" spans="1:6" x14ac:dyDescent="0.25">
      <c r="A2264" s="1">
        <v>43098</v>
      </c>
      <c r="B2264" s="2" t="s">
        <v>193</v>
      </c>
      <c r="C2264" s="2" t="s">
        <v>194</v>
      </c>
      <c r="D2264">
        <v>26</v>
      </c>
      <c r="E2264">
        <f>WEEKDAY(makulatura5[[#This Row],[Data_dostarczenia]],2)</f>
        <v>5</v>
      </c>
      <c r="F2264" s="2">
        <f t="shared" si="35"/>
        <v>0</v>
      </c>
    </row>
    <row r="2265" spans="1:6" x14ac:dyDescent="0.25">
      <c r="A2265" s="1">
        <v>43098</v>
      </c>
      <c r="B2265" s="2" t="s">
        <v>47</v>
      </c>
      <c r="C2265" s="2" t="s">
        <v>336</v>
      </c>
      <c r="D2265">
        <v>22</v>
      </c>
      <c r="E2265">
        <f>WEEKDAY(makulatura5[[#This Row],[Data_dostarczenia]],2)</f>
        <v>5</v>
      </c>
      <c r="F2265" s="2">
        <f t="shared" si="35"/>
        <v>0</v>
      </c>
    </row>
    <row r="2266" spans="1:6" x14ac:dyDescent="0.25">
      <c r="A2266" s="1">
        <v>43098</v>
      </c>
      <c r="B2266" s="2" t="s">
        <v>101</v>
      </c>
      <c r="C2266" s="2" t="s">
        <v>701</v>
      </c>
      <c r="D2266">
        <v>35</v>
      </c>
      <c r="E2266">
        <f>WEEKDAY(makulatura5[[#This Row],[Data_dostarczenia]],2)</f>
        <v>5</v>
      </c>
      <c r="F2266" s="2">
        <f t="shared" si="35"/>
        <v>0</v>
      </c>
    </row>
    <row r="2267" spans="1:6" x14ac:dyDescent="0.25">
      <c r="A2267" s="1">
        <v>43098</v>
      </c>
      <c r="B2267" s="2" t="s">
        <v>143</v>
      </c>
      <c r="C2267" s="2" t="s">
        <v>585</v>
      </c>
      <c r="D2267">
        <v>21</v>
      </c>
      <c r="E2267">
        <f>WEEKDAY(makulatura5[[#This Row],[Data_dostarczenia]],2)</f>
        <v>5</v>
      </c>
      <c r="F2267" s="2">
        <f t="shared" si="35"/>
        <v>0</v>
      </c>
    </row>
    <row r="2268" spans="1:6" x14ac:dyDescent="0.25">
      <c r="A2268" s="1">
        <v>43098</v>
      </c>
      <c r="B2268" s="2" t="s">
        <v>114</v>
      </c>
      <c r="C2268" s="2" t="s">
        <v>115</v>
      </c>
      <c r="D2268">
        <v>16</v>
      </c>
      <c r="E2268">
        <f>WEEKDAY(makulatura5[[#This Row],[Data_dostarczenia]],2)</f>
        <v>5</v>
      </c>
      <c r="F2268" s="2">
        <f t="shared" si="35"/>
        <v>0</v>
      </c>
    </row>
    <row r="2269" spans="1:6" x14ac:dyDescent="0.25">
      <c r="A2269" s="1">
        <v>43098</v>
      </c>
      <c r="B2269" s="2" t="s">
        <v>193</v>
      </c>
      <c r="C2269" s="2" t="s">
        <v>555</v>
      </c>
      <c r="D2269">
        <v>48</v>
      </c>
      <c r="E2269">
        <f>WEEKDAY(makulatura5[[#This Row],[Data_dostarczenia]],2)</f>
        <v>5</v>
      </c>
      <c r="F2269" s="2">
        <f t="shared" si="35"/>
        <v>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2C29-170C-4D90-9C88-598CBE3F5524}">
  <dimension ref="A1:O2269"/>
  <sheetViews>
    <sheetView tabSelected="1" workbookViewId="0">
      <selection activeCell="N1" sqref="N1:O2"/>
    </sheetView>
  </sheetViews>
  <sheetFormatPr defaultRowHeight="15" x14ac:dyDescent="0.25"/>
  <cols>
    <col min="1" max="1" width="19.7109375" bestFit="1" customWidth="1"/>
    <col min="2" max="2" width="12.140625" bestFit="1" customWidth="1"/>
    <col min="3" max="3" width="14.85546875" bestFit="1" customWidth="1"/>
    <col min="4" max="4" width="20.28515625" bestFit="1" customWidth="1"/>
    <col min="8" max="9" width="14.28515625" bestFit="1" customWidth="1"/>
    <col min="10" max="10" width="24.7109375" bestFit="1" customWidth="1"/>
    <col min="11" max="11" width="13.85546875" bestFit="1" customWidth="1"/>
    <col min="12" max="12" width="18.85546875" bestFit="1" customWidth="1"/>
    <col min="14" max="14" width="23.140625" bestFit="1" customWidth="1"/>
    <col min="15" max="15" width="2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1312</v>
      </c>
      <c r="F1" t="s">
        <v>1319</v>
      </c>
      <c r="H1" t="s">
        <v>1314</v>
      </c>
      <c r="I1" s="3" t="s">
        <v>1318</v>
      </c>
      <c r="J1" t="s">
        <v>704</v>
      </c>
      <c r="K1" t="s">
        <v>1313</v>
      </c>
      <c r="L1" t="s">
        <v>1315</v>
      </c>
      <c r="N1" s="5" t="s">
        <v>1316</v>
      </c>
      <c r="O1" s="5" t="s">
        <v>1317</v>
      </c>
    </row>
    <row r="2" spans="1:15" x14ac:dyDescent="0.25">
      <c r="A2" s="1">
        <v>42737</v>
      </c>
      <c r="B2" s="2" t="s">
        <v>4</v>
      </c>
      <c r="C2" s="2" t="s">
        <v>5</v>
      </c>
      <c r="D2">
        <v>2</v>
      </c>
      <c r="E2">
        <f>WEEKNUM(makulatura[[#This Row],[Data_dostarczenia]],13)</f>
        <v>1</v>
      </c>
      <c r="F2" s="2">
        <f>WEEKDAY(makulatura[[#This Row],[Data_dostarczenia]],2)</f>
        <v>1</v>
      </c>
      <c r="G2">
        <f>SUM(D2:D20)</f>
        <v>530</v>
      </c>
      <c r="H2">
        <v>1</v>
      </c>
      <c r="I2" s="4">
        <v>1</v>
      </c>
      <c r="J2" s="2">
        <v>530</v>
      </c>
      <c r="K2">
        <f>IF(GETPIVOTDATA("Liczba_kilogramow",$I$1,"TYDZIEŃ",H2)-1200&gt;0,GETPIVOTDATA("Liczba_kilogramow",$I$1,"TYDZIEŃ",H2)-1200,0)</f>
        <v>0</v>
      </c>
      <c r="L2">
        <f>IF(GETPIVOTDATA("Liczba_kilogramow",$I$1,"TYDZIEŃ",H2)&gt;=1200,1,0)</f>
        <v>0</v>
      </c>
      <c r="N2" s="5">
        <f>COUNTIF(L2:L54,"=1")</f>
        <v>18</v>
      </c>
      <c r="O2" s="9">
        <v>42766</v>
      </c>
    </row>
    <row r="3" spans="1:15" x14ac:dyDescent="0.25">
      <c r="A3" s="1">
        <v>42737</v>
      </c>
      <c r="B3" s="2" t="s">
        <v>6</v>
      </c>
      <c r="C3" s="2" t="s">
        <v>7</v>
      </c>
      <c r="D3">
        <v>51</v>
      </c>
      <c r="E3">
        <f>WEEKNUM(makulatura[[#This Row],[Data_dostarczenia]],13)</f>
        <v>1</v>
      </c>
      <c r="F3" s="2">
        <f>WEEKDAY(makulatura[[#This Row],[Data_dostarczenia]],2)</f>
        <v>1</v>
      </c>
      <c r="H3">
        <v>2</v>
      </c>
      <c r="I3" s="4">
        <v>2</v>
      </c>
      <c r="J3" s="2">
        <v>1083</v>
      </c>
      <c r="K3">
        <f>IF(GETPIVOTDATA("Liczba_kilogramow",$I$1,"TYDZIEŃ",H3)+K2-1200&gt;0,GETPIVOTDATA("Liczba_kilogramow",$I$1,"TYDZIEŃ",H3)+K2-1200,0)</f>
        <v>0</v>
      </c>
      <c r="L3">
        <f>IF(GETPIVOTDATA("Liczba_kilogramow",$I$1,"TYDZIEŃ",H3)+K2&gt;=1200,1,0)</f>
        <v>0</v>
      </c>
    </row>
    <row r="4" spans="1:15" x14ac:dyDescent="0.25">
      <c r="A4" s="1">
        <v>42737</v>
      </c>
      <c r="B4" s="2" t="s">
        <v>8</v>
      </c>
      <c r="C4" s="2" t="s">
        <v>9</v>
      </c>
      <c r="D4">
        <v>41</v>
      </c>
      <c r="E4">
        <f>WEEKNUM(makulatura[[#This Row],[Data_dostarczenia]],13)</f>
        <v>1</v>
      </c>
      <c r="F4" s="2">
        <f>WEEKDAY(makulatura[[#This Row],[Data_dostarczenia]],2)</f>
        <v>1</v>
      </c>
      <c r="H4">
        <v>3</v>
      </c>
      <c r="I4" s="4">
        <v>3</v>
      </c>
      <c r="J4" s="2">
        <v>1112</v>
      </c>
      <c r="K4">
        <f t="shared" ref="K4:K55" si="0">IF(GETPIVOTDATA("Liczba_kilogramow",$I$1,"TYDZIEŃ",H4)+K3-1200&gt;0,GETPIVOTDATA("Liczba_kilogramow",$I$1,"TYDZIEŃ",H4)+K3-1200,0)</f>
        <v>0</v>
      </c>
      <c r="L4">
        <f t="shared" ref="L4:L55" si="1">IF(GETPIVOTDATA("Liczba_kilogramow",$I$1,"TYDZIEŃ",H4)+K3&gt;=1200,1,0)</f>
        <v>0</v>
      </c>
    </row>
    <row r="5" spans="1:15" x14ac:dyDescent="0.25">
      <c r="A5" s="1">
        <v>42737</v>
      </c>
      <c r="B5" s="2" t="s">
        <v>10</v>
      </c>
      <c r="C5" s="2" t="s">
        <v>11</v>
      </c>
      <c r="D5">
        <v>7</v>
      </c>
      <c r="E5">
        <f>WEEKNUM(makulatura[[#This Row],[Data_dostarczenia]],13)</f>
        <v>1</v>
      </c>
      <c r="F5" s="2">
        <f>WEEKDAY(makulatura[[#This Row],[Data_dostarczenia]],2)</f>
        <v>1</v>
      </c>
      <c r="H5">
        <v>4</v>
      </c>
      <c r="I5" s="4">
        <v>4</v>
      </c>
      <c r="J5" s="2">
        <v>1189</v>
      </c>
      <c r="K5">
        <f t="shared" si="0"/>
        <v>0</v>
      </c>
      <c r="L5">
        <f t="shared" si="1"/>
        <v>0</v>
      </c>
    </row>
    <row r="6" spans="1:15" x14ac:dyDescent="0.25">
      <c r="A6" s="1">
        <v>42737</v>
      </c>
      <c r="B6" s="2" t="s">
        <v>12</v>
      </c>
      <c r="C6" s="2" t="s">
        <v>13</v>
      </c>
      <c r="D6">
        <v>46</v>
      </c>
      <c r="E6">
        <f>WEEKNUM(makulatura[[#This Row],[Data_dostarczenia]],13)</f>
        <v>1</v>
      </c>
      <c r="F6" s="2">
        <f>WEEKDAY(makulatura[[#This Row],[Data_dostarczenia]],2)</f>
        <v>1</v>
      </c>
      <c r="H6">
        <v>5</v>
      </c>
      <c r="I6" s="4">
        <v>5</v>
      </c>
      <c r="J6" s="2">
        <v>1429</v>
      </c>
      <c r="K6">
        <f t="shared" si="0"/>
        <v>229</v>
      </c>
      <c r="L6">
        <f t="shared" si="1"/>
        <v>1</v>
      </c>
    </row>
    <row r="7" spans="1:15" x14ac:dyDescent="0.25">
      <c r="A7" s="1">
        <v>42737</v>
      </c>
      <c r="B7" s="2" t="s">
        <v>14</v>
      </c>
      <c r="C7" s="2" t="s">
        <v>15</v>
      </c>
      <c r="D7">
        <v>12</v>
      </c>
      <c r="E7">
        <f>WEEKNUM(makulatura[[#This Row],[Data_dostarczenia]],13)</f>
        <v>1</v>
      </c>
      <c r="F7" s="2">
        <f>WEEKDAY(makulatura[[#This Row],[Data_dostarczenia]],2)</f>
        <v>1</v>
      </c>
      <c r="H7">
        <v>6</v>
      </c>
      <c r="I7" s="4">
        <v>6</v>
      </c>
      <c r="J7" s="2">
        <v>956</v>
      </c>
      <c r="K7">
        <f t="shared" si="0"/>
        <v>0</v>
      </c>
      <c r="L7">
        <f t="shared" si="1"/>
        <v>0</v>
      </c>
    </row>
    <row r="8" spans="1:15" x14ac:dyDescent="0.25">
      <c r="A8" s="1">
        <v>42737</v>
      </c>
      <c r="B8" s="2" t="s">
        <v>16</v>
      </c>
      <c r="C8" s="2" t="s">
        <v>17</v>
      </c>
      <c r="D8">
        <v>54</v>
      </c>
      <c r="E8">
        <f>WEEKNUM(makulatura[[#This Row],[Data_dostarczenia]],13)</f>
        <v>1</v>
      </c>
      <c r="F8" s="2">
        <f>WEEKDAY(makulatura[[#This Row],[Data_dostarczenia]],2)</f>
        <v>1</v>
      </c>
      <c r="H8">
        <v>7</v>
      </c>
      <c r="I8" s="4">
        <v>7</v>
      </c>
      <c r="J8" s="2">
        <v>1298</v>
      </c>
      <c r="K8">
        <f t="shared" si="0"/>
        <v>98</v>
      </c>
      <c r="L8">
        <f t="shared" si="1"/>
        <v>1</v>
      </c>
    </row>
    <row r="9" spans="1:15" x14ac:dyDescent="0.25">
      <c r="A9" s="1">
        <v>42737</v>
      </c>
      <c r="B9" s="2" t="s">
        <v>18</v>
      </c>
      <c r="C9" s="2" t="s">
        <v>19</v>
      </c>
      <c r="D9">
        <v>55</v>
      </c>
      <c r="E9">
        <f>WEEKNUM(makulatura[[#This Row],[Data_dostarczenia]],13)</f>
        <v>1</v>
      </c>
      <c r="F9" s="2">
        <f>WEEKDAY(makulatura[[#This Row],[Data_dostarczenia]],2)</f>
        <v>1</v>
      </c>
      <c r="H9">
        <v>8</v>
      </c>
      <c r="I9" s="4">
        <v>8</v>
      </c>
      <c r="J9" s="2">
        <v>1268</v>
      </c>
      <c r="K9">
        <f t="shared" si="0"/>
        <v>166</v>
      </c>
      <c r="L9">
        <f t="shared" si="1"/>
        <v>1</v>
      </c>
    </row>
    <row r="10" spans="1:15" x14ac:dyDescent="0.25">
      <c r="A10" s="1">
        <v>42737</v>
      </c>
      <c r="B10" s="2" t="s">
        <v>20</v>
      </c>
      <c r="C10" s="2" t="s">
        <v>21</v>
      </c>
      <c r="D10">
        <v>45</v>
      </c>
      <c r="E10">
        <f>WEEKNUM(makulatura[[#This Row],[Data_dostarczenia]],13)</f>
        <v>1</v>
      </c>
      <c r="F10" s="2">
        <f>WEEKDAY(makulatura[[#This Row],[Data_dostarczenia]],2)</f>
        <v>1</v>
      </c>
      <c r="H10">
        <v>9</v>
      </c>
      <c r="I10" s="4">
        <v>9</v>
      </c>
      <c r="J10" s="2">
        <v>1444</v>
      </c>
      <c r="K10">
        <f t="shared" si="0"/>
        <v>410</v>
      </c>
      <c r="L10">
        <f t="shared" si="1"/>
        <v>1</v>
      </c>
    </row>
    <row r="11" spans="1:15" x14ac:dyDescent="0.25">
      <c r="A11" s="1">
        <v>42737</v>
      </c>
      <c r="B11" s="2" t="s">
        <v>4</v>
      </c>
      <c r="C11" s="2" t="s">
        <v>22</v>
      </c>
      <c r="D11">
        <v>3</v>
      </c>
      <c r="E11">
        <f>WEEKNUM(makulatura[[#This Row],[Data_dostarczenia]],13)</f>
        <v>1</v>
      </c>
      <c r="F11" s="2">
        <f>WEEKDAY(makulatura[[#This Row],[Data_dostarczenia]],2)</f>
        <v>1</v>
      </c>
      <c r="H11">
        <v>10</v>
      </c>
      <c r="I11" s="4">
        <v>10</v>
      </c>
      <c r="J11" s="2">
        <v>1402</v>
      </c>
      <c r="K11">
        <f t="shared" si="0"/>
        <v>612</v>
      </c>
      <c r="L11">
        <f t="shared" si="1"/>
        <v>1</v>
      </c>
    </row>
    <row r="12" spans="1:15" x14ac:dyDescent="0.25">
      <c r="A12" s="1">
        <v>42738</v>
      </c>
      <c r="B12" s="2" t="s">
        <v>23</v>
      </c>
      <c r="C12" s="2" t="s">
        <v>24</v>
      </c>
      <c r="D12">
        <v>6</v>
      </c>
      <c r="E12">
        <f>WEEKNUM(makulatura[[#This Row],[Data_dostarczenia]],13)</f>
        <v>1</v>
      </c>
      <c r="F12" s="2">
        <f>WEEKDAY(makulatura[[#This Row],[Data_dostarczenia]],2)</f>
        <v>2</v>
      </c>
      <c r="H12">
        <v>11</v>
      </c>
      <c r="I12" s="4">
        <v>11</v>
      </c>
      <c r="J12" s="2">
        <v>712</v>
      </c>
      <c r="K12">
        <f t="shared" si="0"/>
        <v>124</v>
      </c>
      <c r="L12">
        <f t="shared" si="1"/>
        <v>1</v>
      </c>
    </row>
    <row r="13" spans="1:15" x14ac:dyDescent="0.25">
      <c r="A13" s="1">
        <v>42738</v>
      </c>
      <c r="B13" s="2" t="s">
        <v>25</v>
      </c>
      <c r="C13" s="2" t="s">
        <v>26</v>
      </c>
      <c r="D13">
        <v>23</v>
      </c>
      <c r="E13">
        <f>WEEKNUM(makulatura[[#This Row],[Data_dostarczenia]],13)</f>
        <v>1</v>
      </c>
      <c r="F13" s="2">
        <f>WEEKDAY(makulatura[[#This Row],[Data_dostarczenia]],2)</f>
        <v>2</v>
      </c>
      <c r="H13">
        <v>12</v>
      </c>
      <c r="I13" s="4">
        <v>12</v>
      </c>
      <c r="J13" s="2">
        <v>1150</v>
      </c>
      <c r="K13">
        <f t="shared" si="0"/>
        <v>74</v>
      </c>
      <c r="L13">
        <f t="shared" si="1"/>
        <v>1</v>
      </c>
    </row>
    <row r="14" spans="1:15" x14ac:dyDescent="0.25">
      <c r="A14" s="1">
        <v>42738</v>
      </c>
      <c r="B14" s="2" t="s">
        <v>27</v>
      </c>
      <c r="C14" s="2" t="s">
        <v>28</v>
      </c>
      <c r="D14">
        <v>53</v>
      </c>
      <c r="E14">
        <f>WEEKNUM(makulatura[[#This Row],[Data_dostarczenia]],13)</f>
        <v>1</v>
      </c>
      <c r="F14" s="2">
        <f>WEEKDAY(makulatura[[#This Row],[Data_dostarczenia]],2)</f>
        <v>2</v>
      </c>
      <c r="H14">
        <v>13</v>
      </c>
      <c r="I14" s="4">
        <v>13</v>
      </c>
      <c r="J14" s="2">
        <v>1027</v>
      </c>
      <c r="K14">
        <f t="shared" si="0"/>
        <v>0</v>
      </c>
      <c r="L14">
        <f t="shared" si="1"/>
        <v>0</v>
      </c>
    </row>
    <row r="15" spans="1:15" x14ac:dyDescent="0.25">
      <c r="A15" s="1">
        <v>42738</v>
      </c>
      <c r="B15" s="2" t="s">
        <v>18</v>
      </c>
      <c r="C15" s="2" t="s">
        <v>29</v>
      </c>
      <c r="D15">
        <v>15</v>
      </c>
      <c r="E15">
        <f>WEEKNUM(makulatura[[#This Row],[Data_dostarczenia]],13)</f>
        <v>1</v>
      </c>
      <c r="F15" s="2">
        <f>WEEKDAY(makulatura[[#This Row],[Data_dostarczenia]],2)</f>
        <v>2</v>
      </c>
      <c r="H15">
        <v>14</v>
      </c>
      <c r="I15" s="4">
        <v>14</v>
      </c>
      <c r="J15" s="2">
        <v>1014</v>
      </c>
      <c r="K15">
        <f t="shared" si="0"/>
        <v>0</v>
      </c>
      <c r="L15">
        <f t="shared" si="1"/>
        <v>0</v>
      </c>
    </row>
    <row r="16" spans="1:15" x14ac:dyDescent="0.25">
      <c r="A16" s="1">
        <v>42738</v>
      </c>
      <c r="B16" s="2" t="s">
        <v>30</v>
      </c>
      <c r="C16" s="2" t="s">
        <v>31</v>
      </c>
      <c r="D16">
        <v>44</v>
      </c>
      <c r="E16">
        <f>WEEKNUM(makulatura[[#This Row],[Data_dostarczenia]],13)</f>
        <v>1</v>
      </c>
      <c r="F16" s="2">
        <f>WEEKDAY(makulatura[[#This Row],[Data_dostarczenia]],2)</f>
        <v>2</v>
      </c>
      <c r="H16">
        <v>15</v>
      </c>
      <c r="I16" s="4">
        <v>15</v>
      </c>
      <c r="J16" s="2">
        <v>853</v>
      </c>
      <c r="K16">
        <f t="shared" si="0"/>
        <v>0</v>
      </c>
      <c r="L16">
        <f t="shared" si="1"/>
        <v>0</v>
      </c>
    </row>
    <row r="17" spans="1:12" x14ac:dyDescent="0.25">
      <c r="A17" s="1">
        <v>42738</v>
      </c>
      <c r="B17" s="2" t="s">
        <v>32</v>
      </c>
      <c r="C17" s="2" t="s">
        <v>33</v>
      </c>
      <c r="D17">
        <v>14</v>
      </c>
      <c r="E17">
        <f>WEEKNUM(makulatura[[#This Row],[Data_dostarczenia]],13)</f>
        <v>1</v>
      </c>
      <c r="F17" s="2">
        <f>WEEKDAY(makulatura[[#This Row],[Data_dostarczenia]],2)</f>
        <v>2</v>
      </c>
      <c r="H17">
        <v>16</v>
      </c>
      <c r="I17" s="4">
        <v>16</v>
      </c>
      <c r="J17" s="2">
        <v>945</v>
      </c>
      <c r="K17">
        <f t="shared" si="0"/>
        <v>0</v>
      </c>
      <c r="L17">
        <f t="shared" si="1"/>
        <v>0</v>
      </c>
    </row>
    <row r="18" spans="1:12" x14ac:dyDescent="0.25">
      <c r="A18" s="1">
        <v>42738</v>
      </c>
      <c r="B18" s="2" t="s">
        <v>34</v>
      </c>
      <c r="C18" s="2" t="s">
        <v>35</v>
      </c>
      <c r="D18">
        <v>26</v>
      </c>
      <c r="E18">
        <f>WEEKNUM(makulatura[[#This Row],[Data_dostarczenia]],13)</f>
        <v>1</v>
      </c>
      <c r="F18" s="2">
        <f>WEEKDAY(makulatura[[#This Row],[Data_dostarczenia]],2)</f>
        <v>2</v>
      </c>
      <c r="H18">
        <v>17</v>
      </c>
      <c r="I18" s="4">
        <v>17</v>
      </c>
      <c r="J18" s="2">
        <v>793</v>
      </c>
      <c r="K18">
        <f t="shared" si="0"/>
        <v>0</v>
      </c>
      <c r="L18">
        <f t="shared" si="1"/>
        <v>0</v>
      </c>
    </row>
    <row r="19" spans="1:12" x14ac:dyDescent="0.25">
      <c r="A19" s="1">
        <v>42738</v>
      </c>
      <c r="B19" s="2" t="s">
        <v>36</v>
      </c>
      <c r="C19" s="2" t="s">
        <v>37</v>
      </c>
      <c r="D19">
        <v>19</v>
      </c>
      <c r="E19">
        <f>WEEKNUM(makulatura[[#This Row],[Data_dostarczenia]],13)</f>
        <v>1</v>
      </c>
      <c r="F19" s="2">
        <f>WEEKDAY(makulatura[[#This Row],[Data_dostarczenia]],2)</f>
        <v>2</v>
      </c>
      <c r="H19">
        <v>18</v>
      </c>
      <c r="I19" s="4">
        <v>18</v>
      </c>
      <c r="J19" s="2">
        <v>707</v>
      </c>
      <c r="K19">
        <f t="shared" si="0"/>
        <v>0</v>
      </c>
      <c r="L19">
        <f t="shared" si="1"/>
        <v>0</v>
      </c>
    </row>
    <row r="20" spans="1:12" x14ac:dyDescent="0.25">
      <c r="A20" s="1">
        <v>42738</v>
      </c>
      <c r="B20" s="2" t="s">
        <v>12</v>
      </c>
      <c r="C20" s="2" t="s">
        <v>38</v>
      </c>
      <c r="D20">
        <v>14</v>
      </c>
      <c r="E20">
        <f>WEEKNUM(makulatura[[#This Row],[Data_dostarczenia]],13)</f>
        <v>1</v>
      </c>
      <c r="F20" s="2">
        <f>WEEKDAY(makulatura[[#This Row],[Data_dostarczenia]],2)</f>
        <v>2</v>
      </c>
      <c r="H20">
        <v>19</v>
      </c>
      <c r="I20" s="4">
        <v>19</v>
      </c>
      <c r="J20" s="2">
        <v>680</v>
      </c>
      <c r="K20">
        <f t="shared" si="0"/>
        <v>0</v>
      </c>
      <c r="L20">
        <f t="shared" si="1"/>
        <v>0</v>
      </c>
    </row>
    <row r="21" spans="1:12" x14ac:dyDescent="0.25">
      <c r="A21" s="1">
        <v>42739</v>
      </c>
      <c r="B21" s="2" t="s">
        <v>39</v>
      </c>
      <c r="C21" s="2" t="s">
        <v>40</v>
      </c>
      <c r="D21">
        <v>56</v>
      </c>
      <c r="E21">
        <f>WEEKNUM(makulatura[[#This Row],[Data_dostarczenia]],13)</f>
        <v>2</v>
      </c>
      <c r="F21" s="2">
        <f>WEEKDAY(makulatura[[#This Row],[Data_dostarczenia]],2)</f>
        <v>3</v>
      </c>
      <c r="H21">
        <v>20</v>
      </c>
      <c r="I21" s="4">
        <v>20</v>
      </c>
      <c r="J21" s="2">
        <v>792</v>
      </c>
      <c r="K21">
        <f t="shared" si="0"/>
        <v>0</v>
      </c>
      <c r="L21">
        <f t="shared" si="1"/>
        <v>0</v>
      </c>
    </row>
    <row r="22" spans="1:12" x14ac:dyDescent="0.25">
      <c r="A22" s="1">
        <v>42739</v>
      </c>
      <c r="B22" s="2" t="s">
        <v>41</v>
      </c>
      <c r="C22" s="2" t="s">
        <v>42</v>
      </c>
      <c r="D22">
        <v>20</v>
      </c>
      <c r="E22">
        <f>WEEKNUM(makulatura[[#This Row],[Data_dostarczenia]],13)</f>
        <v>2</v>
      </c>
      <c r="F22" s="2">
        <f>WEEKDAY(makulatura[[#This Row],[Data_dostarczenia]],2)</f>
        <v>3</v>
      </c>
      <c r="H22">
        <v>21</v>
      </c>
      <c r="I22" s="4">
        <v>21</v>
      </c>
      <c r="J22" s="2">
        <v>559</v>
      </c>
      <c r="K22">
        <f t="shared" si="0"/>
        <v>0</v>
      </c>
      <c r="L22">
        <f t="shared" si="1"/>
        <v>0</v>
      </c>
    </row>
    <row r="23" spans="1:12" x14ac:dyDescent="0.25">
      <c r="A23" s="1">
        <v>42739</v>
      </c>
      <c r="B23" s="2" t="s">
        <v>43</v>
      </c>
      <c r="C23" s="2" t="s">
        <v>44</v>
      </c>
      <c r="D23">
        <v>28</v>
      </c>
      <c r="E23">
        <f>WEEKNUM(makulatura[[#This Row],[Data_dostarczenia]],13)</f>
        <v>2</v>
      </c>
      <c r="F23" s="2">
        <f>WEEKDAY(makulatura[[#This Row],[Data_dostarczenia]],2)</f>
        <v>3</v>
      </c>
      <c r="H23">
        <v>22</v>
      </c>
      <c r="I23" s="4">
        <v>22</v>
      </c>
      <c r="J23" s="2">
        <v>805</v>
      </c>
      <c r="K23">
        <f t="shared" si="0"/>
        <v>0</v>
      </c>
      <c r="L23">
        <f t="shared" si="1"/>
        <v>0</v>
      </c>
    </row>
    <row r="24" spans="1:12" x14ac:dyDescent="0.25">
      <c r="A24" s="1">
        <v>42739</v>
      </c>
      <c r="B24" s="2" t="s">
        <v>45</v>
      </c>
      <c r="C24" s="2" t="s">
        <v>46</v>
      </c>
      <c r="D24">
        <v>24</v>
      </c>
      <c r="E24">
        <f>WEEKNUM(makulatura[[#This Row],[Data_dostarczenia]],13)</f>
        <v>2</v>
      </c>
      <c r="F24" s="2">
        <f>WEEKDAY(makulatura[[#This Row],[Data_dostarczenia]],2)</f>
        <v>3</v>
      </c>
      <c r="H24">
        <v>23</v>
      </c>
      <c r="I24" s="4">
        <v>23</v>
      </c>
      <c r="J24" s="2">
        <v>646</v>
      </c>
      <c r="K24">
        <f t="shared" si="0"/>
        <v>0</v>
      </c>
      <c r="L24">
        <f t="shared" si="1"/>
        <v>0</v>
      </c>
    </row>
    <row r="25" spans="1:12" x14ac:dyDescent="0.25">
      <c r="A25" s="1">
        <v>42739</v>
      </c>
      <c r="B25" s="2" t="s">
        <v>47</v>
      </c>
      <c r="C25" s="2" t="s">
        <v>48</v>
      </c>
      <c r="D25">
        <v>21</v>
      </c>
      <c r="E25">
        <f>WEEKNUM(makulatura[[#This Row],[Data_dostarczenia]],13)</f>
        <v>2</v>
      </c>
      <c r="F25" s="2">
        <f>WEEKDAY(makulatura[[#This Row],[Data_dostarczenia]],2)</f>
        <v>3</v>
      </c>
      <c r="H25">
        <v>24</v>
      </c>
      <c r="I25" s="4">
        <v>24</v>
      </c>
      <c r="J25" s="2">
        <v>697</v>
      </c>
      <c r="K25">
        <f t="shared" si="0"/>
        <v>0</v>
      </c>
      <c r="L25">
        <f t="shared" si="1"/>
        <v>0</v>
      </c>
    </row>
    <row r="26" spans="1:12" x14ac:dyDescent="0.25">
      <c r="A26" s="1">
        <v>42739</v>
      </c>
      <c r="B26" s="2" t="s">
        <v>49</v>
      </c>
      <c r="C26" s="2" t="s">
        <v>50</v>
      </c>
      <c r="D26">
        <v>16</v>
      </c>
      <c r="E26">
        <f>WEEKNUM(makulatura[[#This Row],[Data_dostarczenia]],13)</f>
        <v>2</v>
      </c>
      <c r="F26" s="2">
        <f>WEEKDAY(makulatura[[#This Row],[Data_dostarczenia]],2)</f>
        <v>3</v>
      </c>
      <c r="H26">
        <v>25</v>
      </c>
      <c r="I26" s="4">
        <v>25</v>
      </c>
      <c r="J26" s="2">
        <v>620</v>
      </c>
      <c r="K26">
        <f t="shared" si="0"/>
        <v>0</v>
      </c>
      <c r="L26">
        <f t="shared" si="1"/>
        <v>0</v>
      </c>
    </row>
    <row r="27" spans="1:12" x14ac:dyDescent="0.25">
      <c r="A27" s="1">
        <v>42739</v>
      </c>
      <c r="B27" s="2" t="s">
        <v>51</v>
      </c>
      <c r="C27" s="2" t="s">
        <v>52</v>
      </c>
      <c r="D27">
        <v>8</v>
      </c>
      <c r="E27">
        <f>WEEKNUM(makulatura[[#This Row],[Data_dostarczenia]],13)</f>
        <v>2</v>
      </c>
      <c r="F27" s="2">
        <f>WEEKDAY(makulatura[[#This Row],[Data_dostarczenia]],2)</f>
        <v>3</v>
      </c>
      <c r="H27">
        <v>26</v>
      </c>
      <c r="I27" s="4">
        <v>26</v>
      </c>
      <c r="J27" s="2">
        <v>734</v>
      </c>
      <c r="K27">
        <f t="shared" si="0"/>
        <v>0</v>
      </c>
      <c r="L27">
        <f t="shared" si="1"/>
        <v>0</v>
      </c>
    </row>
    <row r="28" spans="1:12" x14ac:dyDescent="0.25">
      <c r="A28" s="1">
        <v>42739</v>
      </c>
      <c r="B28" s="2" t="s">
        <v>53</v>
      </c>
      <c r="C28" s="2" t="s">
        <v>54</v>
      </c>
      <c r="D28">
        <v>41</v>
      </c>
      <c r="E28">
        <f>WEEKNUM(makulatura[[#This Row],[Data_dostarczenia]],13)</f>
        <v>2</v>
      </c>
      <c r="F28" s="2">
        <f>WEEKDAY(makulatura[[#This Row],[Data_dostarczenia]],2)</f>
        <v>3</v>
      </c>
      <c r="H28">
        <v>27</v>
      </c>
      <c r="I28" s="4">
        <v>27</v>
      </c>
      <c r="J28" s="2">
        <v>641</v>
      </c>
      <c r="K28">
        <f t="shared" si="0"/>
        <v>0</v>
      </c>
      <c r="L28">
        <f t="shared" si="1"/>
        <v>0</v>
      </c>
    </row>
    <row r="29" spans="1:12" x14ac:dyDescent="0.25">
      <c r="A29" s="1">
        <v>42739</v>
      </c>
      <c r="B29" s="2" t="s">
        <v>55</v>
      </c>
      <c r="C29" s="2" t="s">
        <v>56</v>
      </c>
      <c r="D29">
        <v>9</v>
      </c>
      <c r="E29">
        <f>WEEKNUM(makulatura[[#This Row],[Data_dostarczenia]],13)</f>
        <v>2</v>
      </c>
      <c r="F29" s="2">
        <f>WEEKDAY(makulatura[[#This Row],[Data_dostarczenia]],2)</f>
        <v>3</v>
      </c>
      <c r="H29">
        <v>28</v>
      </c>
      <c r="I29" s="4">
        <v>28</v>
      </c>
      <c r="J29" s="2">
        <v>760</v>
      </c>
      <c r="K29">
        <f t="shared" si="0"/>
        <v>0</v>
      </c>
      <c r="L29">
        <f t="shared" si="1"/>
        <v>0</v>
      </c>
    </row>
    <row r="30" spans="1:12" x14ac:dyDescent="0.25">
      <c r="A30" s="1">
        <v>42740</v>
      </c>
      <c r="B30" s="2" t="s">
        <v>57</v>
      </c>
      <c r="C30" s="2" t="s">
        <v>58</v>
      </c>
      <c r="D30">
        <v>19</v>
      </c>
      <c r="E30">
        <f>WEEKNUM(makulatura[[#This Row],[Data_dostarczenia]],13)</f>
        <v>2</v>
      </c>
      <c r="F30" s="2">
        <f>WEEKDAY(makulatura[[#This Row],[Data_dostarczenia]],2)</f>
        <v>4</v>
      </c>
      <c r="H30">
        <v>29</v>
      </c>
      <c r="I30" s="4">
        <v>29</v>
      </c>
      <c r="J30" s="2">
        <v>793</v>
      </c>
      <c r="K30">
        <f t="shared" si="0"/>
        <v>0</v>
      </c>
      <c r="L30">
        <f t="shared" si="1"/>
        <v>0</v>
      </c>
    </row>
    <row r="31" spans="1:12" x14ac:dyDescent="0.25">
      <c r="A31" s="1">
        <v>42740</v>
      </c>
      <c r="B31" s="2" t="s">
        <v>59</v>
      </c>
      <c r="C31" s="2" t="s">
        <v>60</v>
      </c>
      <c r="D31">
        <v>33</v>
      </c>
      <c r="E31">
        <f>WEEKNUM(makulatura[[#This Row],[Data_dostarczenia]],13)</f>
        <v>2</v>
      </c>
      <c r="F31" s="2">
        <f>WEEKDAY(makulatura[[#This Row],[Data_dostarczenia]],2)</f>
        <v>4</v>
      </c>
      <c r="H31">
        <v>30</v>
      </c>
      <c r="I31" s="4">
        <v>30</v>
      </c>
      <c r="J31" s="2">
        <v>756</v>
      </c>
      <c r="K31">
        <f t="shared" si="0"/>
        <v>0</v>
      </c>
      <c r="L31">
        <f t="shared" si="1"/>
        <v>0</v>
      </c>
    </row>
    <row r="32" spans="1:12" x14ac:dyDescent="0.25">
      <c r="A32" s="1">
        <v>42740</v>
      </c>
      <c r="B32" s="2" t="s">
        <v>61</v>
      </c>
      <c r="C32" s="2" t="s">
        <v>62</v>
      </c>
      <c r="D32">
        <v>29</v>
      </c>
      <c r="E32">
        <f>WEEKNUM(makulatura[[#This Row],[Data_dostarczenia]],13)</f>
        <v>2</v>
      </c>
      <c r="F32" s="2">
        <f>WEEKDAY(makulatura[[#This Row],[Data_dostarczenia]],2)</f>
        <v>4</v>
      </c>
      <c r="H32">
        <v>31</v>
      </c>
      <c r="I32" s="4">
        <v>31</v>
      </c>
      <c r="J32" s="2">
        <v>823</v>
      </c>
      <c r="K32">
        <f t="shared" si="0"/>
        <v>0</v>
      </c>
      <c r="L32">
        <f t="shared" si="1"/>
        <v>0</v>
      </c>
    </row>
    <row r="33" spans="1:12" x14ac:dyDescent="0.25">
      <c r="A33" s="1">
        <v>42740</v>
      </c>
      <c r="B33" s="2" t="s">
        <v>63</v>
      </c>
      <c r="C33" s="2" t="s">
        <v>64</v>
      </c>
      <c r="D33">
        <v>27</v>
      </c>
      <c r="E33">
        <f>WEEKNUM(makulatura[[#This Row],[Data_dostarczenia]],13)</f>
        <v>2</v>
      </c>
      <c r="F33" s="2">
        <f>WEEKDAY(makulatura[[#This Row],[Data_dostarczenia]],2)</f>
        <v>4</v>
      </c>
      <c r="H33">
        <v>32</v>
      </c>
      <c r="I33" s="4">
        <v>32</v>
      </c>
      <c r="J33" s="2">
        <v>761</v>
      </c>
      <c r="K33">
        <f t="shared" si="0"/>
        <v>0</v>
      </c>
      <c r="L33">
        <f t="shared" si="1"/>
        <v>0</v>
      </c>
    </row>
    <row r="34" spans="1:12" x14ac:dyDescent="0.25">
      <c r="A34" s="1">
        <v>42740</v>
      </c>
      <c r="B34" s="2" t="s">
        <v>65</v>
      </c>
      <c r="C34" s="2" t="s">
        <v>66</v>
      </c>
      <c r="D34">
        <v>23</v>
      </c>
      <c r="E34">
        <f>WEEKNUM(makulatura[[#This Row],[Data_dostarczenia]],13)</f>
        <v>2</v>
      </c>
      <c r="F34" s="2">
        <f>WEEKDAY(makulatura[[#This Row],[Data_dostarczenia]],2)</f>
        <v>4</v>
      </c>
      <c r="H34">
        <v>33</v>
      </c>
      <c r="I34" s="4">
        <v>33</v>
      </c>
      <c r="J34" s="2">
        <v>775</v>
      </c>
      <c r="K34">
        <f t="shared" si="0"/>
        <v>0</v>
      </c>
      <c r="L34">
        <f t="shared" si="1"/>
        <v>0</v>
      </c>
    </row>
    <row r="35" spans="1:12" x14ac:dyDescent="0.25">
      <c r="A35" s="1">
        <v>42740</v>
      </c>
      <c r="B35" s="2" t="s">
        <v>67</v>
      </c>
      <c r="C35" s="2" t="s">
        <v>68</v>
      </c>
      <c r="D35">
        <v>50</v>
      </c>
      <c r="E35">
        <f>WEEKNUM(makulatura[[#This Row],[Data_dostarczenia]],13)</f>
        <v>2</v>
      </c>
      <c r="F35" s="2">
        <f>WEEKDAY(makulatura[[#This Row],[Data_dostarczenia]],2)</f>
        <v>4</v>
      </c>
      <c r="H35">
        <v>34</v>
      </c>
      <c r="I35" s="4">
        <v>34</v>
      </c>
      <c r="J35" s="2">
        <v>994</v>
      </c>
      <c r="K35">
        <f t="shared" si="0"/>
        <v>0</v>
      </c>
      <c r="L35">
        <f t="shared" si="1"/>
        <v>0</v>
      </c>
    </row>
    <row r="36" spans="1:12" x14ac:dyDescent="0.25">
      <c r="A36" s="1">
        <v>42740</v>
      </c>
      <c r="B36" s="2" t="s">
        <v>69</v>
      </c>
      <c r="C36" s="2" t="s">
        <v>70</v>
      </c>
      <c r="D36">
        <v>15</v>
      </c>
      <c r="E36">
        <f>WEEKNUM(makulatura[[#This Row],[Data_dostarczenia]],13)</f>
        <v>2</v>
      </c>
      <c r="F36" s="2">
        <f>WEEKDAY(makulatura[[#This Row],[Data_dostarczenia]],2)</f>
        <v>4</v>
      </c>
      <c r="H36">
        <v>35</v>
      </c>
      <c r="I36" s="4">
        <v>35</v>
      </c>
      <c r="J36" s="2">
        <v>1053</v>
      </c>
      <c r="K36">
        <f t="shared" si="0"/>
        <v>0</v>
      </c>
      <c r="L36">
        <f t="shared" si="1"/>
        <v>0</v>
      </c>
    </row>
    <row r="37" spans="1:12" x14ac:dyDescent="0.25">
      <c r="A37" s="1">
        <v>42740</v>
      </c>
      <c r="B37" s="2" t="s">
        <v>43</v>
      </c>
      <c r="C37" s="2" t="s">
        <v>71</v>
      </c>
      <c r="D37">
        <v>18</v>
      </c>
      <c r="E37">
        <f>WEEKNUM(makulatura[[#This Row],[Data_dostarczenia]],13)</f>
        <v>2</v>
      </c>
      <c r="F37" s="2">
        <f>WEEKDAY(makulatura[[#This Row],[Data_dostarczenia]],2)</f>
        <v>4</v>
      </c>
      <c r="H37">
        <v>36</v>
      </c>
      <c r="I37" s="4">
        <v>36</v>
      </c>
      <c r="J37" s="2">
        <v>1111</v>
      </c>
      <c r="K37">
        <f t="shared" si="0"/>
        <v>0</v>
      </c>
      <c r="L37">
        <f t="shared" si="1"/>
        <v>0</v>
      </c>
    </row>
    <row r="38" spans="1:12" x14ac:dyDescent="0.25">
      <c r="A38" s="1">
        <v>42740</v>
      </c>
      <c r="B38" s="2" t="s">
        <v>72</v>
      </c>
      <c r="C38" s="2" t="s">
        <v>73</v>
      </c>
      <c r="D38">
        <v>2</v>
      </c>
      <c r="E38">
        <f>WEEKNUM(makulatura[[#This Row],[Data_dostarczenia]],13)</f>
        <v>2</v>
      </c>
      <c r="F38" s="2">
        <f>WEEKDAY(makulatura[[#This Row],[Data_dostarczenia]],2)</f>
        <v>4</v>
      </c>
      <c r="H38">
        <v>37</v>
      </c>
      <c r="I38" s="4">
        <v>37</v>
      </c>
      <c r="J38" s="2">
        <v>1242</v>
      </c>
      <c r="K38">
        <f t="shared" si="0"/>
        <v>42</v>
      </c>
      <c r="L38">
        <f t="shared" si="1"/>
        <v>1</v>
      </c>
    </row>
    <row r="39" spans="1:12" x14ac:dyDescent="0.25">
      <c r="A39" s="1">
        <v>42741</v>
      </c>
      <c r="B39" s="2" t="s">
        <v>67</v>
      </c>
      <c r="C39" s="2" t="s">
        <v>68</v>
      </c>
      <c r="D39">
        <v>23</v>
      </c>
      <c r="E39">
        <f>WEEKNUM(makulatura[[#This Row],[Data_dostarczenia]],13)</f>
        <v>2</v>
      </c>
      <c r="F39" s="2">
        <f>WEEKDAY(makulatura[[#This Row],[Data_dostarczenia]],2)</f>
        <v>5</v>
      </c>
      <c r="H39">
        <v>38</v>
      </c>
      <c r="I39" s="4">
        <v>38</v>
      </c>
      <c r="J39" s="2">
        <v>1367</v>
      </c>
      <c r="K39">
        <f t="shared" si="0"/>
        <v>209</v>
      </c>
      <c r="L39">
        <f t="shared" si="1"/>
        <v>1</v>
      </c>
    </row>
    <row r="40" spans="1:12" x14ac:dyDescent="0.25">
      <c r="A40" s="1">
        <v>42741</v>
      </c>
      <c r="B40" s="2" t="s">
        <v>18</v>
      </c>
      <c r="C40" s="2" t="s">
        <v>74</v>
      </c>
      <c r="D40">
        <v>22</v>
      </c>
      <c r="E40">
        <f>WEEKNUM(makulatura[[#This Row],[Data_dostarczenia]],13)</f>
        <v>2</v>
      </c>
      <c r="F40" s="2">
        <f>WEEKDAY(makulatura[[#This Row],[Data_dostarczenia]],2)</f>
        <v>5</v>
      </c>
      <c r="H40">
        <v>39</v>
      </c>
      <c r="I40" s="4">
        <v>39</v>
      </c>
      <c r="J40" s="2">
        <v>906</v>
      </c>
      <c r="K40">
        <f t="shared" si="0"/>
        <v>0</v>
      </c>
      <c r="L40">
        <f t="shared" si="1"/>
        <v>0</v>
      </c>
    </row>
    <row r="41" spans="1:12" x14ac:dyDescent="0.25">
      <c r="A41" s="1">
        <v>42741</v>
      </c>
      <c r="B41" s="2" t="s">
        <v>75</v>
      </c>
      <c r="C41" s="2" t="s">
        <v>76</v>
      </c>
      <c r="D41">
        <v>17</v>
      </c>
      <c r="E41">
        <f>WEEKNUM(makulatura[[#This Row],[Data_dostarczenia]],13)</f>
        <v>2</v>
      </c>
      <c r="F41" s="2">
        <f>WEEKDAY(makulatura[[#This Row],[Data_dostarczenia]],2)</f>
        <v>5</v>
      </c>
      <c r="H41">
        <v>40</v>
      </c>
      <c r="I41" s="4">
        <v>40</v>
      </c>
      <c r="J41" s="2">
        <v>1010</v>
      </c>
      <c r="K41">
        <f t="shared" si="0"/>
        <v>0</v>
      </c>
      <c r="L41">
        <f t="shared" si="1"/>
        <v>0</v>
      </c>
    </row>
    <row r="42" spans="1:12" x14ac:dyDescent="0.25">
      <c r="A42" s="1">
        <v>42741</v>
      </c>
      <c r="B42" s="2" t="s">
        <v>12</v>
      </c>
      <c r="C42" s="2" t="s">
        <v>38</v>
      </c>
      <c r="D42">
        <v>19</v>
      </c>
      <c r="E42">
        <f>WEEKNUM(makulatura[[#This Row],[Data_dostarczenia]],13)</f>
        <v>2</v>
      </c>
      <c r="F42" s="2">
        <f>WEEKDAY(makulatura[[#This Row],[Data_dostarczenia]],2)</f>
        <v>5</v>
      </c>
      <c r="H42">
        <v>41</v>
      </c>
      <c r="I42" s="4">
        <v>41</v>
      </c>
      <c r="J42" s="2">
        <v>629</v>
      </c>
      <c r="K42">
        <f t="shared" si="0"/>
        <v>0</v>
      </c>
      <c r="L42">
        <f t="shared" si="1"/>
        <v>0</v>
      </c>
    </row>
    <row r="43" spans="1:12" x14ac:dyDescent="0.25">
      <c r="A43" s="1">
        <v>42741</v>
      </c>
      <c r="B43" s="2" t="s">
        <v>77</v>
      </c>
      <c r="C43" s="2" t="s">
        <v>78</v>
      </c>
      <c r="D43">
        <v>43</v>
      </c>
      <c r="E43">
        <f>WEEKNUM(makulatura[[#This Row],[Data_dostarczenia]],13)</f>
        <v>2</v>
      </c>
      <c r="F43" s="2">
        <f>WEEKDAY(makulatura[[#This Row],[Data_dostarczenia]],2)</f>
        <v>5</v>
      </c>
      <c r="H43">
        <v>42</v>
      </c>
      <c r="I43" s="4">
        <v>42</v>
      </c>
      <c r="J43" s="2">
        <v>748</v>
      </c>
      <c r="K43">
        <f t="shared" si="0"/>
        <v>0</v>
      </c>
      <c r="L43">
        <f t="shared" si="1"/>
        <v>0</v>
      </c>
    </row>
    <row r="44" spans="1:12" x14ac:dyDescent="0.25">
      <c r="A44" s="1">
        <v>42741</v>
      </c>
      <c r="B44" s="2" t="s">
        <v>79</v>
      </c>
      <c r="C44" s="2" t="s">
        <v>80</v>
      </c>
      <c r="D44">
        <v>22</v>
      </c>
      <c r="E44">
        <f>WEEKNUM(makulatura[[#This Row],[Data_dostarczenia]],13)</f>
        <v>2</v>
      </c>
      <c r="F44" s="2">
        <f>WEEKDAY(makulatura[[#This Row],[Data_dostarczenia]],2)</f>
        <v>5</v>
      </c>
      <c r="H44">
        <v>43</v>
      </c>
      <c r="I44" s="4">
        <v>43</v>
      </c>
      <c r="J44" s="2">
        <v>1771</v>
      </c>
      <c r="K44">
        <f t="shared" si="0"/>
        <v>571</v>
      </c>
      <c r="L44">
        <f t="shared" si="1"/>
        <v>1</v>
      </c>
    </row>
    <row r="45" spans="1:12" x14ac:dyDescent="0.25">
      <c r="A45" s="1">
        <v>42741</v>
      </c>
      <c r="B45" s="2" t="s">
        <v>81</v>
      </c>
      <c r="C45" s="2" t="s">
        <v>82</v>
      </c>
      <c r="D45">
        <v>29</v>
      </c>
      <c r="E45">
        <f>WEEKNUM(makulatura[[#This Row],[Data_dostarczenia]],13)</f>
        <v>2</v>
      </c>
      <c r="F45" s="2">
        <f>WEEKDAY(makulatura[[#This Row],[Data_dostarczenia]],2)</f>
        <v>5</v>
      </c>
      <c r="H45">
        <v>44</v>
      </c>
      <c r="I45" s="4">
        <v>44</v>
      </c>
      <c r="J45" s="2">
        <v>1045</v>
      </c>
      <c r="K45">
        <f t="shared" si="0"/>
        <v>416</v>
      </c>
      <c r="L45">
        <f t="shared" si="1"/>
        <v>1</v>
      </c>
    </row>
    <row r="46" spans="1:12" x14ac:dyDescent="0.25">
      <c r="A46" s="1">
        <v>42741</v>
      </c>
      <c r="B46" s="2" t="s">
        <v>83</v>
      </c>
      <c r="C46" s="2" t="s">
        <v>84</v>
      </c>
      <c r="D46">
        <v>26</v>
      </c>
      <c r="E46">
        <f>WEEKNUM(makulatura[[#This Row],[Data_dostarczenia]],13)</f>
        <v>2</v>
      </c>
      <c r="F46" s="2">
        <f>WEEKDAY(makulatura[[#This Row],[Data_dostarczenia]],2)</f>
        <v>5</v>
      </c>
      <c r="H46">
        <v>45</v>
      </c>
      <c r="I46" s="4">
        <v>45</v>
      </c>
      <c r="J46" s="2">
        <v>808</v>
      </c>
      <c r="K46">
        <f t="shared" si="0"/>
        <v>24</v>
      </c>
      <c r="L46">
        <f t="shared" si="1"/>
        <v>1</v>
      </c>
    </row>
    <row r="47" spans="1:12" x14ac:dyDescent="0.25">
      <c r="A47" s="1">
        <v>42741</v>
      </c>
      <c r="B47" s="2" t="s">
        <v>77</v>
      </c>
      <c r="C47" s="2" t="s">
        <v>85</v>
      </c>
      <c r="D47">
        <v>53</v>
      </c>
      <c r="E47">
        <f>WEEKNUM(makulatura[[#This Row],[Data_dostarczenia]],13)</f>
        <v>2</v>
      </c>
      <c r="F47" s="2">
        <f>WEEKDAY(makulatura[[#This Row],[Data_dostarczenia]],2)</f>
        <v>5</v>
      </c>
      <c r="H47">
        <v>46</v>
      </c>
      <c r="I47" s="4">
        <v>46</v>
      </c>
      <c r="J47" s="2">
        <v>1442</v>
      </c>
      <c r="K47">
        <f t="shared" si="0"/>
        <v>266</v>
      </c>
      <c r="L47">
        <f t="shared" si="1"/>
        <v>1</v>
      </c>
    </row>
    <row r="48" spans="1:12" x14ac:dyDescent="0.25">
      <c r="A48" s="1">
        <v>42744</v>
      </c>
      <c r="B48" s="2" t="s">
        <v>30</v>
      </c>
      <c r="C48" s="2" t="s">
        <v>86</v>
      </c>
      <c r="D48">
        <v>20</v>
      </c>
      <c r="E48">
        <f>WEEKNUM(makulatura[[#This Row],[Data_dostarczenia]],13)</f>
        <v>2</v>
      </c>
      <c r="F48" s="2">
        <f>WEEKDAY(makulatura[[#This Row],[Data_dostarczenia]],2)</f>
        <v>1</v>
      </c>
      <c r="H48">
        <v>47</v>
      </c>
      <c r="I48" s="4">
        <v>47</v>
      </c>
      <c r="J48" s="2">
        <v>1531</v>
      </c>
      <c r="K48">
        <f t="shared" si="0"/>
        <v>597</v>
      </c>
      <c r="L48">
        <f t="shared" si="1"/>
        <v>1</v>
      </c>
    </row>
    <row r="49" spans="1:12" x14ac:dyDescent="0.25">
      <c r="A49" s="1">
        <v>42744</v>
      </c>
      <c r="B49" s="2" t="s">
        <v>87</v>
      </c>
      <c r="C49" s="2" t="s">
        <v>88</v>
      </c>
      <c r="D49">
        <v>26</v>
      </c>
      <c r="E49">
        <f>WEEKNUM(makulatura[[#This Row],[Data_dostarczenia]],13)</f>
        <v>2</v>
      </c>
      <c r="F49" s="2">
        <f>WEEKDAY(makulatura[[#This Row],[Data_dostarczenia]],2)</f>
        <v>1</v>
      </c>
      <c r="H49">
        <v>48</v>
      </c>
      <c r="I49" s="4">
        <v>48</v>
      </c>
      <c r="J49" s="2">
        <v>1281</v>
      </c>
      <c r="K49">
        <f t="shared" si="0"/>
        <v>678</v>
      </c>
      <c r="L49">
        <f t="shared" si="1"/>
        <v>1</v>
      </c>
    </row>
    <row r="50" spans="1:12" x14ac:dyDescent="0.25">
      <c r="A50" s="1">
        <v>42744</v>
      </c>
      <c r="B50" s="2" t="s">
        <v>30</v>
      </c>
      <c r="C50" s="2" t="s">
        <v>89</v>
      </c>
      <c r="D50">
        <v>36</v>
      </c>
      <c r="E50">
        <f>WEEKNUM(makulatura[[#This Row],[Data_dostarczenia]],13)</f>
        <v>2</v>
      </c>
      <c r="F50" s="2">
        <f>WEEKDAY(makulatura[[#This Row],[Data_dostarczenia]],2)</f>
        <v>1</v>
      </c>
      <c r="H50">
        <v>49</v>
      </c>
      <c r="I50" s="4">
        <v>49</v>
      </c>
      <c r="J50" s="2">
        <v>995</v>
      </c>
      <c r="K50">
        <f t="shared" si="0"/>
        <v>473</v>
      </c>
      <c r="L50">
        <f t="shared" si="1"/>
        <v>1</v>
      </c>
    </row>
    <row r="51" spans="1:12" x14ac:dyDescent="0.25">
      <c r="A51" s="1">
        <v>42744</v>
      </c>
      <c r="B51" s="2" t="s">
        <v>34</v>
      </c>
      <c r="C51" s="2" t="s">
        <v>90</v>
      </c>
      <c r="D51">
        <v>11</v>
      </c>
      <c r="E51">
        <f>WEEKNUM(makulatura[[#This Row],[Data_dostarczenia]],13)</f>
        <v>2</v>
      </c>
      <c r="F51" s="2">
        <f>WEEKDAY(makulatura[[#This Row],[Data_dostarczenia]],2)</f>
        <v>1</v>
      </c>
      <c r="H51">
        <v>50</v>
      </c>
      <c r="I51" s="4">
        <v>50</v>
      </c>
      <c r="J51" s="2">
        <v>908</v>
      </c>
      <c r="K51">
        <f t="shared" si="0"/>
        <v>181</v>
      </c>
      <c r="L51">
        <f t="shared" si="1"/>
        <v>1</v>
      </c>
    </row>
    <row r="52" spans="1:12" x14ac:dyDescent="0.25">
      <c r="A52" s="1">
        <v>42744</v>
      </c>
      <c r="B52" s="2" t="s">
        <v>47</v>
      </c>
      <c r="C52" s="2" t="s">
        <v>91</v>
      </c>
      <c r="D52">
        <v>52</v>
      </c>
      <c r="E52">
        <f>WEEKNUM(makulatura[[#This Row],[Data_dostarczenia]],13)</f>
        <v>2</v>
      </c>
      <c r="F52" s="2">
        <f>WEEKDAY(makulatura[[#This Row],[Data_dostarczenia]],2)</f>
        <v>1</v>
      </c>
      <c r="H52">
        <v>51</v>
      </c>
      <c r="I52" s="4">
        <v>51</v>
      </c>
      <c r="J52" s="2">
        <v>1133</v>
      </c>
      <c r="K52">
        <f t="shared" si="0"/>
        <v>114</v>
      </c>
      <c r="L52">
        <f t="shared" si="1"/>
        <v>1</v>
      </c>
    </row>
    <row r="53" spans="1:12" x14ac:dyDescent="0.25">
      <c r="A53" s="1">
        <v>42744</v>
      </c>
      <c r="B53" s="2" t="s">
        <v>92</v>
      </c>
      <c r="C53" s="2" t="s">
        <v>93</v>
      </c>
      <c r="D53">
        <v>11</v>
      </c>
      <c r="E53">
        <f>WEEKNUM(makulatura[[#This Row],[Data_dostarczenia]],13)</f>
        <v>2</v>
      </c>
      <c r="F53" s="2">
        <f>WEEKDAY(makulatura[[#This Row],[Data_dostarczenia]],2)</f>
        <v>1</v>
      </c>
      <c r="H53">
        <v>52</v>
      </c>
      <c r="I53" s="4">
        <v>52</v>
      </c>
      <c r="J53" s="2">
        <v>623</v>
      </c>
      <c r="K53">
        <f t="shared" si="0"/>
        <v>0</v>
      </c>
      <c r="L53">
        <f t="shared" si="1"/>
        <v>0</v>
      </c>
    </row>
    <row r="54" spans="1:12" x14ac:dyDescent="0.25">
      <c r="A54" s="1">
        <v>42744</v>
      </c>
      <c r="B54" s="2" t="s">
        <v>27</v>
      </c>
      <c r="C54" s="2" t="s">
        <v>94</v>
      </c>
      <c r="D54">
        <v>11</v>
      </c>
      <c r="E54">
        <f>WEEKNUM(makulatura[[#This Row],[Data_dostarczenia]],13)</f>
        <v>2</v>
      </c>
      <c r="F54" s="2">
        <f>WEEKDAY(makulatura[[#This Row],[Data_dostarczenia]],2)</f>
        <v>1</v>
      </c>
      <c r="H54">
        <v>53</v>
      </c>
      <c r="I54" s="4">
        <v>53</v>
      </c>
      <c r="J54" s="2">
        <v>552</v>
      </c>
      <c r="K54">
        <f t="shared" si="0"/>
        <v>0</v>
      </c>
      <c r="L54">
        <f t="shared" si="1"/>
        <v>0</v>
      </c>
    </row>
    <row r="55" spans="1:12" x14ac:dyDescent="0.25">
      <c r="A55" s="1">
        <v>42744</v>
      </c>
      <c r="B55" s="2" t="s">
        <v>27</v>
      </c>
      <c r="C55" s="2" t="s">
        <v>94</v>
      </c>
      <c r="D55">
        <v>10</v>
      </c>
      <c r="E55">
        <f>WEEKNUM(makulatura[[#This Row],[Data_dostarczenia]],13)</f>
        <v>2</v>
      </c>
      <c r="F55" s="2">
        <f>WEEKDAY(makulatura[[#This Row],[Data_dostarczenia]],2)</f>
        <v>1</v>
      </c>
      <c r="I55" s="4" t="s">
        <v>703</v>
      </c>
      <c r="J55" s="2">
        <v>50903</v>
      </c>
    </row>
    <row r="56" spans="1:12" x14ac:dyDescent="0.25">
      <c r="A56" s="1">
        <v>42744</v>
      </c>
      <c r="B56" s="2" t="s">
        <v>95</v>
      </c>
      <c r="C56" s="2" t="s">
        <v>96</v>
      </c>
      <c r="D56">
        <v>8</v>
      </c>
      <c r="E56">
        <f>WEEKNUM(makulatura[[#This Row],[Data_dostarczenia]],13)</f>
        <v>2</v>
      </c>
      <c r="F56" s="2">
        <f>WEEKDAY(makulatura[[#This Row],[Data_dostarczenia]],2)</f>
        <v>1</v>
      </c>
    </row>
    <row r="57" spans="1:12" x14ac:dyDescent="0.25">
      <c r="A57" s="1">
        <v>42745</v>
      </c>
      <c r="B57" s="2" t="s">
        <v>43</v>
      </c>
      <c r="C57" s="2" t="s">
        <v>44</v>
      </c>
      <c r="D57">
        <v>13</v>
      </c>
      <c r="E57">
        <f>WEEKNUM(makulatura[[#This Row],[Data_dostarczenia]],13)</f>
        <v>2</v>
      </c>
      <c r="F57" s="2">
        <f>WEEKDAY(makulatura[[#This Row],[Data_dostarczenia]],2)</f>
        <v>2</v>
      </c>
    </row>
    <row r="58" spans="1:12" x14ac:dyDescent="0.25">
      <c r="A58" s="1">
        <v>42745</v>
      </c>
      <c r="B58" s="2" t="s">
        <v>97</v>
      </c>
      <c r="C58" s="2" t="s">
        <v>98</v>
      </c>
      <c r="D58">
        <v>16</v>
      </c>
      <c r="E58">
        <f>WEEKNUM(makulatura[[#This Row],[Data_dostarczenia]],13)</f>
        <v>2</v>
      </c>
      <c r="F58" s="2">
        <f>WEEKDAY(makulatura[[#This Row],[Data_dostarczenia]],2)</f>
        <v>2</v>
      </c>
    </row>
    <row r="59" spans="1:12" x14ac:dyDescent="0.25">
      <c r="A59" s="1">
        <v>42745</v>
      </c>
      <c r="B59" s="2" t="s">
        <v>99</v>
      </c>
      <c r="C59" s="2" t="s">
        <v>100</v>
      </c>
      <c r="D59">
        <v>46</v>
      </c>
      <c r="E59">
        <f>WEEKNUM(makulatura[[#This Row],[Data_dostarczenia]],13)</f>
        <v>2</v>
      </c>
      <c r="F59" s="2">
        <f>WEEKDAY(makulatura[[#This Row],[Data_dostarczenia]],2)</f>
        <v>2</v>
      </c>
    </row>
    <row r="60" spans="1:12" x14ac:dyDescent="0.25">
      <c r="A60" s="1">
        <v>42745</v>
      </c>
      <c r="B60" s="2" t="s">
        <v>101</v>
      </c>
      <c r="C60" s="2" t="s">
        <v>102</v>
      </c>
      <c r="D60">
        <v>41</v>
      </c>
      <c r="E60">
        <f>WEEKNUM(makulatura[[#This Row],[Data_dostarczenia]],13)</f>
        <v>2</v>
      </c>
      <c r="F60" s="2">
        <f>WEEKDAY(makulatura[[#This Row],[Data_dostarczenia]],2)</f>
        <v>2</v>
      </c>
    </row>
    <row r="61" spans="1:12" x14ac:dyDescent="0.25">
      <c r="A61" s="1">
        <v>42745</v>
      </c>
      <c r="B61" s="2" t="s">
        <v>39</v>
      </c>
      <c r="C61" s="2" t="s">
        <v>103</v>
      </c>
      <c r="D61">
        <v>26</v>
      </c>
      <c r="E61">
        <f>WEEKNUM(makulatura[[#This Row],[Data_dostarczenia]],13)</f>
        <v>2</v>
      </c>
      <c r="F61" s="2">
        <f>WEEKDAY(makulatura[[#This Row],[Data_dostarczenia]],2)</f>
        <v>2</v>
      </c>
    </row>
    <row r="62" spans="1:12" x14ac:dyDescent="0.25">
      <c r="A62" s="1">
        <v>42745</v>
      </c>
      <c r="B62" s="2" t="s">
        <v>81</v>
      </c>
      <c r="C62" s="2" t="s">
        <v>104</v>
      </c>
      <c r="D62">
        <v>22</v>
      </c>
      <c r="E62">
        <f>WEEKNUM(makulatura[[#This Row],[Data_dostarczenia]],13)</f>
        <v>2</v>
      </c>
      <c r="F62" s="2">
        <f>WEEKDAY(makulatura[[#This Row],[Data_dostarczenia]],2)</f>
        <v>2</v>
      </c>
    </row>
    <row r="63" spans="1:12" x14ac:dyDescent="0.25">
      <c r="A63" s="1">
        <v>42745</v>
      </c>
      <c r="B63" s="2" t="s">
        <v>63</v>
      </c>
      <c r="C63" s="2" t="s">
        <v>105</v>
      </c>
      <c r="D63">
        <v>6</v>
      </c>
      <c r="E63">
        <f>WEEKNUM(makulatura[[#This Row],[Data_dostarczenia]],13)</f>
        <v>2</v>
      </c>
      <c r="F63" s="2">
        <f>WEEKDAY(makulatura[[#This Row],[Data_dostarczenia]],2)</f>
        <v>2</v>
      </c>
    </row>
    <row r="64" spans="1:12" x14ac:dyDescent="0.25">
      <c r="A64" s="1">
        <v>42745</v>
      </c>
      <c r="B64" s="2" t="s">
        <v>106</v>
      </c>
      <c r="C64" s="2" t="s">
        <v>107</v>
      </c>
      <c r="D64">
        <v>24</v>
      </c>
      <c r="E64">
        <f>WEEKNUM(makulatura[[#This Row],[Data_dostarczenia]],13)</f>
        <v>2</v>
      </c>
      <c r="F64" s="2">
        <f>WEEKDAY(makulatura[[#This Row],[Data_dostarczenia]],2)</f>
        <v>2</v>
      </c>
    </row>
    <row r="65" spans="1:6" x14ac:dyDescent="0.25">
      <c r="A65" s="1">
        <v>42745</v>
      </c>
      <c r="B65" s="2" t="s">
        <v>43</v>
      </c>
      <c r="C65" s="2" t="s">
        <v>71</v>
      </c>
      <c r="D65">
        <v>11</v>
      </c>
      <c r="E65">
        <f>WEEKNUM(makulatura[[#This Row],[Data_dostarczenia]],13)</f>
        <v>2</v>
      </c>
      <c r="F65" s="2">
        <f>WEEKDAY(makulatura[[#This Row],[Data_dostarczenia]],2)</f>
        <v>2</v>
      </c>
    </row>
    <row r="66" spans="1:6" x14ac:dyDescent="0.25">
      <c r="A66" s="1">
        <v>42746</v>
      </c>
      <c r="B66" s="2" t="s">
        <v>49</v>
      </c>
      <c r="C66" s="2" t="s">
        <v>50</v>
      </c>
      <c r="D66">
        <v>16</v>
      </c>
      <c r="E66">
        <f>WEEKNUM(makulatura[[#This Row],[Data_dostarczenia]],13)</f>
        <v>3</v>
      </c>
      <c r="F66" s="2">
        <f>WEEKDAY(makulatura[[#This Row],[Data_dostarczenia]],2)</f>
        <v>3</v>
      </c>
    </row>
    <row r="67" spans="1:6" x14ac:dyDescent="0.25">
      <c r="A67" s="1">
        <v>42746</v>
      </c>
      <c r="B67" s="2" t="s">
        <v>69</v>
      </c>
      <c r="C67" s="2" t="s">
        <v>108</v>
      </c>
      <c r="D67">
        <v>8</v>
      </c>
      <c r="E67">
        <f>WEEKNUM(makulatura[[#This Row],[Data_dostarczenia]],13)</f>
        <v>3</v>
      </c>
      <c r="F67" s="2">
        <f>WEEKDAY(makulatura[[#This Row],[Data_dostarczenia]],2)</f>
        <v>3</v>
      </c>
    </row>
    <row r="68" spans="1:6" x14ac:dyDescent="0.25">
      <c r="A68" s="1">
        <v>42746</v>
      </c>
      <c r="B68" s="2" t="s">
        <v>30</v>
      </c>
      <c r="C68" s="2" t="s">
        <v>109</v>
      </c>
      <c r="D68">
        <v>27</v>
      </c>
      <c r="E68">
        <f>WEEKNUM(makulatura[[#This Row],[Data_dostarczenia]],13)</f>
        <v>3</v>
      </c>
      <c r="F68" s="2">
        <f>WEEKDAY(makulatura[[#This Row],[Data_dostarczenia]],2)</f>
        <v>3</v>
      </c>
    </row>
    <row r="69" spans="1:6" x14ac:dyDescent="0.25">
      <c r="A69" s="1">
        <v>42746</v>
      </c>
      <c r="B69" s="2" t="s">
        <v>83</v>
      </c>
      <c r="C69" s="2" t="s">
        <v>110</v>
      </c>
      <c r="D69">
        <v>9</v>
      </c>
      <c r="E69">
        <f>WEEKNUM(makulatura[[#This Row],[Data_dostarczenia]],13)</f>
        <v>3</v>
      </c>
      <c r="F69" s="2">
        <f>WEEKDAY(makulatura[[#This Row],[Data_dostarczenia]],2)</f>
        <v>3</v>
      </c>
    </row>
    <row r="70" spans="1:6" x14ac:dyDescent="0.25">
      <c r="A70" s="1">
        <v>42746</v>
      </c>
      <c r="B70" s="2" t="s">
        <v>39</v>
      </c>
      <c r="C70" s="2" t="s">
        <v>111</v>
      </c>
      <c r="D70">
        <v>32</v>
      </c>
      <c r="E70">
        <f>WEEKNUM(makulatura[[#This Row],[Data_dostarczenia]],13)</f>
        <v>3</v>
      </c>
      <c r="F70" s="2">
        <f>WEEKDAY(makulatura[[#This Row],[Data_dostarczenia]],2)</f>
        <v>3</v>
      </c>
    </row>
    <row r="71" spans="1:6" x14ac:dyDescent="0.25">
      <c r="A71" s="1">
        <v>42746</v>
      </c>
      <c r="B71" s="2" t="s">
        <v>112</v>
      </c>
      <c r="C71" s="2" t="s">
        <v>113</v>
      </c>
      <c r="D71">
        <v>55</v>
      </c>
      <c r="E71">
        <f>WEEKNUM(makulatura[[#This Row],[Data_dostarczenia]],13)</f>
        <v>3</v>
      </c>
      <c r="F71" s="2">
        <f>WEEKDAY(makulatura[[#This Row],[Data_dostarczenia]],2)</f>
        <v>3</v>
      </c>
    </row>
    <row r="72" spans="1:6" x14ac:dyDescent="0.25">
      <c r="A72" s="1">
        <v>42746</v>
      </c>
      <c r="B72" s="2" t="s">
        <v>77</v>
      </c>
      <c r="C72" s="2" t="s">
        <v>85</v>
      </c>
      <c r="D72">
        <v>18</v>
      </c>
      <c r="E72">
        <f>WEEKNUM(makulatura[[#This Row],[Data_dostarczenia]],13)</f>
        <v>3</v>
      </c>
      <c r="F72" s="2">
        <f>WEEKDAY(makulatura[[#This Row],[Data_dostarczenia]],2)</f>
        <v>3</v>
      </c>
    </row>
    <row r="73" spans="1:6" x14ac:dyDescent="0.25">
      <c r="A73" s="1">
        <v>42746</v>
      </c>
      <c r="B73" s="2" t="s">
        <v>114</v>
      </c>
      <c r="C73" s="2" t="s">
        <v>115</v>
      </c>
      <c r="D73">
        <v>46</v>
      </c>
      <c r="E73">
        <f>WEEKNUM(makulatura[[#This Row],[Data_dostarczenia]],13)</f>
        <v>3</v>
      </c>
      <c r="F73" s="2">
        <f>WEEKDAY(makulatura[[#This Row],[Data_dostarczenia]],2)</f>
        <v>3</v>
      </c>
    </row>
    <row r="74" spans="1:6" x14ac:dyDescent="0.25">
      <c r="A74" s="1">
        <v>42746</v>
      </c>
      <c r="B74" s="2" t="s">
        <v>65</v>
      </c>
      <c r="C74" s="2" t="s">
        <v>116</v>
      </c>
      <c r="D74">
        <v>17</v>
      </c>
      <c r="E74">
        <f>WEEKNUM(makulatura[[#This Row],[Data_dostarczenia]],13)</f>
        <v>3</v>
      </c>
      <c r="F74" s="2">
        <f>WEEKDAY(makulatura[[#This Row],[Data_dostarczenia]],2)</f>
        <v>3</v>
      </c>
    </row>
    <row r="75" spans="1:6" x14ac:dyDescent="0.25">
      <c r="A75" s="1">
        <v>42747</v>
      </c>
      <c r="B75" s="2" t="s">
        <v>117</v>
      </c>
      <c r="C75" s="2" t="s">
        <v>118</v>
      </c>
      <c r="D75">
        <v>43</v>
      </c>
      <c r="E75">
        <f>WEEKNUM(makulatura[[#This Row],[Data_dostarczenia]],13)</f>
        <v>3</v>
      </c>
      <c r="F75" s="2">
        <f>WEEKDAY(makulatura[[#This Row],[Data_dostarczenia]],2)</f>
        <v>4</v>
      </c>
    </row>
    <row r="76" spans="1:6" x14ac:dyDescent="0.25">
      <c r="A76" s="1">
        <v>42747</v>
      </c>
      <c r="B76" s="2" t="s">
        <v>119</v>
      </c>
      <c r="C76" s="2" t="s">
        <v>120</v>
      </c>
      <c r="D76">
        <v>17</v>
      </c>
      <c r="E76">
        <f>WEEKNUM(makulatura[[#This Row],[Data_dostarczenia]],13)</f>
        <v>3</v>
      </c>
      <c r="F76" s="2">
        <f>WEEKDAY(makulatura[[#This Row],[Data_dostarczenia]],2)</f>
        <v>4</v>
      </c>
    </row>
    <row r="77" spans="1:6" x14ac:dyDescent="0.25">
      <c r="A77" s="1">
        <v>42747</v>
      </c>
      <c r="B77" s="2" t="s">
        <v>121</v>
      </c>
      <c r="C77" s="2" t="s">
        <v>122</v>
      </c>
      <c r="D77">
        <v>21</v>
      </c>
      <c r="E77">
        <f>WEEKNUM(makulatura[[#This Row],[Data_dostarczenia]],13)</f>
        <v>3</v>
      </c>
      <c r="F77" s="2">
        <f>WEEKDAY(makulatura[[#This Row],[Data_dostarczenia]],2)</f>
        <v>4</v>
      </c>
    </row>
    <row r="78" spans="1:6" x14ac:dyDescent="0.25">
      <c r="A78" s="1">
        <v>42747</v>
      </c>
      <c r="B78" s="2" t="s">
        <v>20</v>
      </c>
      <c r="C78" s="2" t="s">
        <v>123</v>
      </c>
      <c r="D78">
        <v>27</v>
      </c>
      <c r="E78">
        <f>WEEKNUM(makulatura[[#This Row],[Data_dostarczenia]],13)</f>
        <v>3</v>
      </c>
      <c r="F78" s="2">
        <f>WEEKDAY(makulatura[[#This Row],[Data_dostarczenia]],2)</f>
        <v>4</v>
      </c>
    </row>
    <row r="79" spans="1:6" x14ac:dyDescent="0.25">
      <c r="A79" s="1">
        <v>42747</v>
      </c>
      <c r="B79" s="2" t="s">
        <v>87</v>
      </c>
      <c r="C79" s="2" t="s">
        <v>124</v>
      </c>
      <c r="D79">
        <v>22</v>
      </c>
      <c r="E79">
        <f>WEEKNUM(makulatura[[#This Row],[Data_dostarczenia]],13)</f>
        <v>3</v>
      </c>
      <c r="F79" s="2">
        <f>WEEKDAY(makulatura[[#This Row],[Data_dostarczenia]],2)</f>
        <v>4</v>
      </c>
    </row>
    <row r="80" spans="1:6" x14ac:dyDescent="0.25">
      <c r="A80" s="1">
        <v>42747</v>
      </c>
      <c r="B80" s="2" t="s">
        <v>55</v>
      </c>
      <c r="C80" s="2" t="s">
        <v>125</v>
      </c>
      <c r="D80">
        <v>46</v>
      </c>
      <c r="E80">
        <f>WEEKNUM(makulatura[[#This Row],[Data_dostarczenia]],13)</f>
        <v>3</v>
      </c>
      <c r="F80" s="2">
        <f>WEEKDAY(makulatura[[#This Row],[Data_dostarczenia]],2)</f>
        <v>4</v>
      </c>
    </row>
    <row r="81" spans="1:6" x14ac:dyDescent="0.25">
      <c r="A81" s="1">
        <v>42747</v>
      </c>
      <c r="B81" s="2" t="s">
        <v>79</v>
      </c>
      <c r="C81" s="2" t="s">
        <v>80</v>
      </c>
      <c r="D81">
        <v>15</v>
      </c>
      <c r="E81">
        <f>WEEKNUM(makulatura[[#This Row],[Data_dostarczenia]],13)</f>
        <v>3</v>
      </c>
      <c r="F81" s="2">
        <f>WEEKDAY(makulatura[[#This Row],[Data_dostarczenia]],2)</f>
        <v>4</v>
      </c>
    </row>
    <row r="82" spans="1:6" x14ac:dyDescent="0.25">
      <c r="A82" s="1">
        <v>42747</v>
      </c>
      <c r="B82" s="2" t="s">
        <v>126</v>
      </c>
      <c r="C82" s="2" t="s">
        <v>127</v>
      </c>
      <c r="D82">
        <v>30</v>
      </c>
      <c r="E82">
        <f>WEEKNUM(makulatura[[#This Row],[Data_dostarczenia]],13)</f>
        <v>3</v>
      </c>
      <c r="F82" s="2">
        <f>WEEKDAY(makulatura[[#This Row],[Data_dostarczenia]],2)</f>
        <v>4</v>
      </c>
    </row>
    <row r="83" spans="1:6" x14ac:dyDescent="0.25">
      <c r="A83" s="1">
        <v>42747</v>
      </c>
      <c r="B83" s="2" t="s">
        <v>128</v>
      </c>
      <c r="C83" s="2" t="s">
        <v>129</v>
      </c>
      <c r="D83">
        <v>31</v>
      </c>
      <c r="E83">
        <f>WEEKNUM(makulatura[[#This Row],[Data_dostarczenia]],13)</f>
        <v>3</v>
      </c>
      <c r="F83" s="2">
        <f>WEEKDAY(makulatura[[#This Row],[Data_dostarczenia]],2)</f>
        <v>4</v>
      </c>
    </row>
    <row r="84" spans="1:6" x14ac:dyDescent="0.25">
      <c r="A84" s="1">
        <v>42748</v>
      </c>
      <c r="B84" s="2" t="s">
        <v>119</v>
      </c>
      <c r="C84" s="2" t="s">
        <v>120</v>
      </c>
      <c r="D84">
        <v>5</v>
      </c>
      <c r="E84">
        <f>WEEKNUM(makulatura[[#This Row],[Data_dostarczenia]],13)</f>
        <v>3</v>
      </c>
      <c r="F84" s="2">
        <f>WEEKDAY(makulatura[[#This Row],[Data_dostarczenia]],2)</f>
        <v>5</v>
      </c>
    </row>
    <row r="85" spans="1:6" x14ac:dyDescent="0.25">
      <c r="A85" s="1">
        <v>42748</v>
      </c>
      <c r="B85" s="2" t="s">
        <v>97</v>
      </c>
      <c r="C85" s="2" t="s">
        <v>130</v>
      </c>
      <c r="D85">
        <v>26</v>
      </c>
      <c r="E85">
        <f>WEEKNUM(makulatura[[#This Row],[Data_dostarczenia]],13)</f>
        <v>3</v>
      </c>
      <c r="F85" s="2">
        <f>WEEKDAY(makulatura[[#This Row],[Data_dostarczenia]],2)</f>
        <v>5</v>
      </c>
    </row>
    <row r="86" spans="1:6" x14ac:dyDescent="0.25">
      <c r="A86" s="1">
        <v>42748</v>
      </c>
      <c r="B86" s="2" t="s">
        <v>131</v>
      </c>
      <c r="C86" s="2" t="s">
        <v>132</v>
      </c>
      <c r="D86">
        <v>10</v>
      </c>
      <c r="E86">
        <f>WEEKNUM(makulatura[[#This Row],[Data_dostarczenia]],13)</f>
        <v>3</v>
      </c>
      <c r="F86" s="2">
        <f>WEEKDAY(makulatura[[#This Row],[Data_dostarczenia]],2)</f>
        <v>5</v>
      </c>
    </row>
    <row r="87" spans="1:6" x14ac:dyDescent="0.25">
      <c r="A87" s="1">
        <v>42748</v>
      </c>
      <c r="B87" s="2" t="s">
        <v>133</v>
      </c>
      <c r="C87" s="2" t="s">
        <v>134</v>
      </c>
      <c r="D87">
        <v>29</v>
      </c>
      <c r="E87">
        <f>WEEKNUM(makulatura[[#This Row],[Data_dostarczenia]],13)</f>
        <v>3</v>
      </c>
      <c r="F87" s="2">
        <f>WEEKDAY(makulatura[[#This Row],[Data_dostarczenia]],2)</f>
        <v>5</v>
      </c>
    </row>
    <row r="88" spans="1:6" x14ac:dyDescent="0.25">
      <c r="A88" s="1">
        <v>42748</v>
      </c>
      <c r="B88" s="2" t="s">
        <v>57</v>
      </c>
      <c r="C88" s="2" t="s">
        <v>135</v>
      </c>
      <c r="D88">
        <v>40</v>
      </c>
      <c r="E88">
        <f>WEEKNUM(makulatura[[#This Row],[Data_dostarczenia]],13)</f>
        <v>3</v>
      </c>
      <c r="F88" s="2">
        <f>WEEKDAY(makulatura[[#This Row],[Data_dostarczenia]],2)</f>
        <v>5</v>
      </c>
    </row>
    <row r="89" spans="1:6" x14ac:dyDescent="0.25">
      <c r="A89" s="1">
        <v>42748</v>
      </c>
      <c r="B89" s="2" t="s">
        <v>83</v>
      </c>
      <c r="C89" s="2" t="s">
        <v>136</v>
      </c>
      <c r="D89">
        <v>21</v>
      </c>
      <c r="E89">
        <f>WEEKNUM(makulatura[[#This Row],[Data_dostarczenia]],13)</f>
        <v>3</v>
      </c>
      <c r="F89" s="2">
        <f>WEEKDAY(makulatura[[#This Row],[Data_dostarczenia]],2)</f>
        <v>5</v>
      </c>
    </row>
    <row r="90" spans="1:6" x14ac:dyDescent="0.25">
      <c r="A90" s="1">
        <v>42748</v>
      </c>
      <c r="B90" s="2" t="s">
        <v>137</v>
      </c>
      <c r="C90" s="2" t="s">
        <v>138</v>
      </c>
      <c r="D90">
        <v>14</v>
      </c>
      <c r="E90">
        <f>WEEKNUM(makulatura[[#This Row],[Data_dostarczenia]],13)</f>
        <v>3</v>
      </c>
      <c r="F90" s="2">
        <f>WEEKDAY(makulatura[[#This Row],[Data_dostarczenia]],2)</f>
        <v>5</v>
      </c>
    </row>
    <row r="91" spans="1:6" x14ac:dyDescent="0.25">
      <c r="A91" s="1">
        <v>42748</v>
      </c>
      <c r="B91" s="2" t="s">
        <v>139</v>
      </c>
      <c r="C91" s="2" t="s">
        <v>140</v>
      </c>
      <c r="D91">
        <v>26</v>
      </c>
      <c r="E91">
        <f>WEEKNUM(makulatura[[#This Row],[Data_dostarczenia]],13)</f>
        <v>3</v>
      </c>
      <c r="F91" s="2">
        <f>WEEKDAY(makulatura[[#This Row],[Data_dostarczenia]],2)</f>
        <v>5</v>
      </c>
    </row>
    <row r="92" spans="1:6" x14ac:dyDescent="0.25">
      <c r="A92" s="1">
        <v>42748</v>
      </c>
      <c r="B92" s="2" t="s">
        <v>141</v>
      </c>
      <c r="C92" s="2" t="s">
        <v>142</v>
      </c>
      <c r="D92">
        <v>8</v>
      </c>
      <c r="E92">
        <f>WEEKNUM(makulatura[[#This Row],[Data_dostarczenia]],13)</f>
        <v>3</v>
      </c>
      <c r="F92" s="2">
        <f>WEEKDAY(makulatura[[#This Row],[Data_dostarczenia]],2)</f>
        <v>5</v>
      </c>
    </row>
    <row r="93" spans="1:6" x14ac:dyDescent="0.25">
      <c r="A93" s="1">
        <v>42751</v>
      </c>
      <c r="B93" s="2" t="s">
        <v>143</v>
      </c>
      <c r="C93" s="2" t="s">
        <v>47</v>
      </c>
      <c r="D93">
        <v>56</v>
      </c>
      <c r="E93">
        <f>WEEKNUM(makulatura[[#This Row],[Data_dostarczenia]],13)</f>
        <v>3</v>
      </c>
      <c r="F93" s="2">
        <f>WEEKDAY(makulatura[[#This Row],[Data_dostarczenia]],2)</f>
        <v>1</v>
      </c>
    </row>
    <row r="94" spans="1:6" x14ac:dyDescent="0.25">
      <c r="A94" s="1">
        <v>42751</v>
      </c>
      <c r="B94" s="2" t="s">
        <v>101</v>
      </c>
      <c r="C94" s="2" t="s">
        <v>102</v>
      </c>
      <c r="D94">
        <v>3</v>
      </c>
      <c r="E94">
        <f>WEEKNUM(makulatura[[#This Row],[Data_dostarczenia]],13)</f>
        <v>3</v>
      </c>
      <c r="F94" s="2">
        <f>WEEKDAY(makulatura[[#This Row],[Data_dostarczenia]],2)</f>
        <v>1</v>
      </c>
    </row>
    <row r="95" spans="1:6" x14ac:dyDescent="0.25">
      <c r="A95" s="1">
        <v>42751</v>
      </c>
      <c r="B95" s="2" t="s">
        <v>144</v>
      </c>
      <c r="C95" s="2" t="s">
        <v>145</v>
      </c>
      <c r="D95">
        <v>47</v>
      </c>
      <c r="E95">
        <f>WEEKNUM(makulatura[[#This Row],[Data_dostarczenia]],13)</f>
        <v>3</v>
      </c>
      <c r="F95" s="2">
        <f>WEEKDAY(makulatura[[#This Row],[Data_dostarczenia]],2)</f>
        <v>1</v>
      </c>
    </row>
    <row r="96" spans="1:6" x14ac:dyDescent="0.25">
      <c r="A96" s="1">
        <v>42751</v>
      </c>
      <c r="B96" s="2" t="s">
        <v>25</v>
      </c>
      <c r="C96" s="2" t="s">
        <v>146</v>
      </c>
      <c r="D96">
        <v>19</v>
      </c>
      <c r="E96">
        <f>WEEKNUM(makulatura[[#This Row],[Data_dostarczenia]],13)</f>
        <v>3</v>
      </c>
      <c r="F96" s="2">
        <f>WEEKDAY(makulatura[[#This Row],[Data_dostarczenia]],2)</f>
        <v>1</v>
      </c>
    </row>
    <row r="97" spans="1:6" x14ac:dyDescent="0.25">
      <c r="A97" s="1">
        <v>42751</v>
      </c>
      <c r="B97" s="2" t="s">
        <v>147</v>
      </c>
      <c r="C97" s="2" t="s">
        <v>148</v>
      </c>
      <c r="D97">
        <v>14</v>
      </c>
      <c r="E97">
        <f>WEEKNUM(makulatura[[#This Row],[Data_dostarczenia]],13)</f>
        <v>3</v>
      </c>
      <c r="F97" s="2">
        <f>WEEKDAY(makulatura[[#This Row],[Data_dostarczenia]],2)</f>
        <v>1</v>
      </c>
    </row>
    <row r="98" spans="1:6" x14ac:dyDescent="0.25">
      <c r="A98" s="1">
        <v>42751</v>
      </c>
      <c r="B98" s="2" t="s">
        <v>83</v>
      </c>
      <c r="C98" s="2" t="s">
        <v>149</v>
      </c>
      <c r="D98">
        <v>47</v>
      </c>
      <c r="E98">
        <f>WEEKNUM(makulatura[[#This Row],[Data_dostarczenia]],13)</f>
        <v>3</v>
      </c>
      <c r="F98" s="2">
        <f>WEEKDAY(makulatura[[#This Row],[Data_dostarczenia]],2)</f>
        <v>1</v>
      </c>
    </row>
    <row r="99" spans="1:6" x14ac:dyDescent="0.25">
      <c r="A99" s="1">
        <v>42751</v>
      </c>
      <c r="B99" s="2" t="s">
        <v>150</v>
      </c>
      <c r="C99" s="2" t="s">
        <v>151</v>
      </c>
      <c r="D99">
        <v>13</v>
      </c>
      <c r="E99">
        <f>WEEKNUM(makulatura[[#This Row],[Data_dostarczenia]],13)</f>
        <v>3</v>
      </c>
      <c r="F99" s="2">
        <f>WEEKDAY(makulatura[[#This Row],[Data_dostarczenia]],2)</f>
        <v>1</v>
      </c>
    </row>
    <row r="100" spans="1:6" x14ac:dyDescent="0.25">
      <c r="A100" s="1">
        <v>42751</v>
      </c>
      <c r="B100" s="2" t="s">
        <v>152</v>
      </c>
      <c r="C100" s="2" t="s">
        <v>153</v>
      </c>
      <c r="D100">
        <v>27</v>
      </c>
      <c r="E100">
        <f>WEEKNUM(makulatura[[#This Row],[Data_dostarczenia]],13)</f>
        <v>3</v>
      </c>
      <c r="F100" s="2">
        <f>WEEKDAY(makulatura[[#This Row],[Data_dostarczenia]],2)</f>
        <v>1</v>
      </c>
    </row>
    <row r="101" spans="1:6" x14ac:dyDescent="0.25">
      <c r="A101" s="1">
        <v>42751</v>
      </c>
      <c r="B101" s="2" t="s">
        <v>87</v>
      </c>
      <c r="C101" s="2" t="s">
        <v>154</v>
      </c>
      <c r="D101">
        <v>23</v>
      </c>
      <c r="E101">
        <f>WEEKNUM(makulatura[[#This Row],[Data_dostarczenia]],13)</f>
        <v>3</v>
      </c>
      <c r="F101" s="2">
        <f>WEEKDAY(makulatura[[#This Row],[Data_dostarczenia]],2)</f>
        <v>1</v>
      </c>
    </row>
    <row r="102" spans="1:6" x14ac:dyDescent="0.25">
      <c r="A102" s="1">
        <v>42752</v>
      </c>
      <c r="B102" s="2" t="s">
        <v>155</v>
      </c>
      <c r="C102" s="2" t="s">
        <v>156</v>
      </c>
      <c r="D102">
        <v>39</v>
      </c>
      <c r="E102">
        <f>WEEKNUM(makulatura[[#This Row],[Data_dostarczenia]],13)</f>
        <v>3</v>
      </c>
      <c r="F102" s="2">
        <f>WEEKDAY(makulatura[[#This Row],[Data_dostarczenia]],2)</f>
        <v>2</v>
      </c>
    </row>
    <row r="103" spans="1:6" x14ac:dyDescent="0.25">
      <c r="A103" s="1">
        <v>42752</v>
      </c>
      <c r="B103" s="2" t="s">
        <v>157</v>
      </c>
      <c r="C103" s="2" t="s">
        <v>115</v>
      </c>
      <c r="D103">
        <v>19</v>
      </c>
      <c r="E103">
        <f>WEEKNUM(makulatura[[#This Row],[Data_dostarczenia]],13)</f>
        <v>3</v>
      </c>
      <c r="F103" s="2">
        <f>WEEKDAY(makulatura[[#This Row],[Data_dostarczenia]],2)</f>
        <v>2</v>
      </c>
    </row>
    <row r="104" spans="1:6" x14ac:dyDescent="0.25">
      <c r="A104" s="1">
        <v>42752</v>
      </c>
      <c r="B104" s="2" t="s">
        <v>39</v>
      </c>
      <c r="C104" s="2" t="s">
        <v>158</v>
      </c>
      <c r="D104">
        <v>17</v>
      </c>
      <c r="E104">
        <f>WEEKNUM(makulatura[[#This Row],[Data_dostarczenia]],13)</f>
        <v>3</v>
      </c>
      <c r="F104" s="2">
        <f>WEEKDAY(makulatura[[#This Row],[Data_dostarczenia]],2)</f>
        <v>2</v>
      </c>
    </row>
    <row r="105" spans="1:6" x14ac:dyDescent="0.25">
      <c r="A105" s="1">
        <v>42752</v>
      </c>
      <c r="B105" s="2" t="s">
        <v>65</v>
      </c>
      <c r="C105" s="2" t="s">
        <v>159</v>
      </c>
      <c r="D105">
        <v>30</v>
      </c>
      <c r="E105">
        <f>WEEKNUM(makulatura[[#This Row],[Data_dostarczenia]],13)</f>
        <v>3</v>
      </c>
      <c r="F105" s="2">
        <f>WEEKDAY(makulatura[[#This Row],[Data_dostarczenia]],2)</f>
        <v>2</v>
      </c>
    </row>
    <row r="106" spans="1:6" x14ac:dyDescent="0.25">
      <c r="A106" s="1">
        <v>42752</v>
      </c>
      <c r="B106" s="2" t="s">
        <v>34</v>
      </c>
      <c r="C106" s="2" t="s">
        <v>160</v>
      </c>
      <c r="D106">
        <v>22</v>
      </c>
      <c r="E106">
        <f>WEEKNUM(makulatura[[#This Row],[Data_dostarczenia]],13)</f>
        <v>3</v>
      </c>
      <c r="F106" s="2">
        <f>WEEKDAY(makulatura[[#This Row],[Data_dostarczenia]],2)</f>
        <v>2</v>
      </c>
    </row>
    <row r="107" spans="1:6" x14ac:dyDescent="0.25">
      <c r="A107" s="1">
        <v>42752</v>
      </c>
      <c r="B107" s="2" t="s">
        <v>161</v>
      </c>
      <c r="C107" s="2" t="s">
        <v>162</v>
      </c>
      <c r="D107">
        <v>8</v>
      </c>
      <c r="E107">
        <f>WEEKNUM(makulatura[[#This Row],[Data_dostarczenia]],13)</f>
        <v>3</v>
      </c>
      <c r="F107" s="2">
        <f>WEEKDAY(makulatura[[#This Row],[Data_dostarczenia]],2)</f>
        <v>2</v>
      </c>
    </row>
    <row r="108" spans="1:6" x14ac:dyDescent="0.25">
      <c r="A108" s="1">
        <v>42752</v>
      </c>
      <c r="B108" s="2" t="s">
        <v>23</v>
      </c>
      <c r="C108" s="2" t="s">
        <v>163</v>
      </c>
      <c r="D108">
        <v>20</v>
      </c>
      <c r="E108">
        <f>WEEKNUM(makulatura[[#This Row],[Data_dostarczenia]],13)</f>
        <v>3</v>
      </c>
      <c r="F108" s="2">
        <f>WEEKDAY(makulatura[[#This Row],[Data_dostarczenia]],2)</f>
        <v>2</v>
      </c>
    </row>
    <row r="109" spans="1:6" x14ac:dyDescent="0.25">
      <c r="A109" s="1">
        <v>42752</v>
      </c>
      <c r="B109" s="2" t="s">
        <v>39</v>
      </c>
      <c r="C109" s="2" t="s">
        <v>40</v>
      </c>
      <c r="D109">
        <v>20</v>
      </c>
      <c r="E109">
        <f>WEEKNUM(makulatura[[#This Row],[Data_dostarczenia]],13)</f>
        <v>3</v>
      </c>
      <c r="F109" s="2">
        <f>WEEKDAY(makulatura[[#This Row],[Data_dostarczenia]],2)</f>
        <v>2</v>
      </c>
    </row>
    <row r="110" spans="1:6" x14ac:dyDescent="0.25">
      <c r="A110" s="1">
        <v>42752</v>
      </c>
      <c r="B110" s="2" t="s">
        <v>39</v>
      </c>
      <c r="C110" s="2" t="s">
        <v>164</v>
      </c>
      <c r="D110">
        <v>29</v>
      </c>
      <c r="E110">
        <f>WEEKNUM(makulatura[[#This Row],[Data_dostarczenia]],13)</f>
        <v>3</v>
      </c>
      <c r="F110" s="2">
        <f>WEEKDAY(makulatura[[#This Row],[Data_dostarczenia]],2)</f>
        <v>2</v>
      </c>
    </row>
    <row r="111" spans="1:6" x14ac:dyDescent="0.25">
      <c r="A111" s="1">
        <v>42753</v>
      </c>
      <c r="B111" s="2" t="s">
        <v>81</v>
      </c>
      <c r="C111" s="2" t="s">
        <v>165</v>
      </c>
      <c r="D111">
        <v>42</v>
      </c>
      <c r="E111">
        <f>WEEKNUM(makulatura[[#This Row],[Data_dostarczenia]],13)</f>
        <v>4</v>
      </c>
      <c r="F111" s="2">
        <f>WEEKDAY(makulatura[[#This Row],[Data_dostarczenia]],2)</f>
        <v>3</v>
      </c>
    </row>
    <row r="112" spans="1:6" x14ac:dyDescent="0.25">
      <c r="A112" s="1">
        <v>42753</v>
      </c>
      <c r="B112" s="2" t="s">
        <v>36</v>
      </c>
      <c r="C112" s="2" t="s">
        <v>166</v>
      </c>
      <c r="D112">
        <v>4</v>
      </c>
      <c r="E112">
        <f>WEEKNUM(makulatura[[#This Row],[Data_dostarczenia]],13)</f>
        <v>4</v>
      </c>
      <c r="F112" s="2">
        <f>WEEKDAY(makulatura[[#This Row],[Data_dostarczenia]],2)</f>
        <v>3</v>
      </c>
    </row>
    <row r="113" spans="1:6" x14ac:dyDescent="0.25">
      <c r="A113" s="1">
        <v>42753</v>
      </c>
      <c r="B113" s="2" t="s">
        <v>167</v>
      </c>
      <c r="C113" s="2" t="s">
        <v>168</v>
      </c>
      <c r="D113">
        <v>3</v>
      </c>
      <c r="E113">
        <f>WEEKNUM(makulatura[[#This Row],[Data_dostarczenia]],13)</f>
        <v>4</v>
      </c>
      <c r="F113" s="2">
        <f>WEEKDAY(makulatura[[#This Row],[Data_dostarczenia]],2)</f>
        <v>3</v>
      </c>
    </row>
    <row r="114" spans="1:6" x14ac:dyDescent="0.25">
      <c r="A114" s="1">
        <v>42753</v>
      </c>
      <c r="B114" s="2" t="s">
        <v>169</v>
      </c>
      <c r="C114" s="2" t="s">
        <v>170</v>
      </c>
      <c r="D114">
        <v>39</v>
      </c>
      <c r="E114">
        <f>WEEKNUM(makulatura[[#This Row],[Data_dostarczenia]],13)</f>
        <v>4</v>
      </c>
      <c r="F114" s="2">
        <f>WEEKDAY(makulatura[[#This Row],[Data_dostarczenia]],2)</f>
        <v>3</v>
      </c>
    </row>
    <row r="115" spans="1:6" x14ac:dyDescent="0.25">
      <c r="A115" s="1">
        <v>42753</v>
      </c>
      <c r="B115" s="2" t="s">
        <v>171</v>
      </c>
      <c r="C115" s="2" t="s">
        <v>172</v>
      </c>
      <c r="D115">
        <v>51</v>
      </c>
      <c r="E115">
        <f>WEEKNUM(makulatura[[#This Row],[Data_dostarczenia]],13)</f>
        <v>4</v>
      </c>
      <c r="F115" s="2">
        <f>WEEKDAY(makulatura[[#This Row],[Data_dostarczenia]],2)</f>
        <v>3</v>
      </c>
    </row>
    <row r="116" spans="1:6" x14ac:dyDescent="0.25">
      <c r="A116" s="1">
        <v>42753</v>
      </c>
      <c r="B116" s="2" t="s">
        <v>114</v>
      </c>
      <c r="C116" s="2" t="s">
        <v>173</v>
      </c>
      <c r="D116">
        <v>8</v>
      </c>
      <c r="E116">
        <f>WEEKNUM(makulatura[[#This Row],[Data_dostarczenia]],13)</f>
        <v>4</v>
      </c>
      <c r="F116" s="2">
        <f>WEEKDAY(makulatura[[#This Row],[Data_dostarczenia]],2)</f>
        <v>3</v>
      </c>
    </row>
    <row r="117" spans="1:6" x14ac:dyDescent="0.25">
      <c r="A117" s="1">
        <v>42753</v>
      </c>
      <c r="B117" s="2" t="s">
        <v>174</v>
      </c>
      <c r="C117" s="2" t="s">
        <v>175</v>
      </c>
      <c r="D117">
        <v>22</v>
      </c>
      <c r="E117">
        <f>WEEKNUM(makulatura[[#This Row],[Data_dostarczenia]],13)</f>
        <v>4</v>
      </c>
      <c r="F117" s="2">
        <f>WEEKDAY(makulatura[[#This Row],[Data_dostarczenia]],2)</f>
        <v>3</v>
      </c>
    </row>
    <row r="118" spans="1:6" x14ac:dyDescent="0.25">
      <c r="A118" s="1">
        <v>42753</v>
      </c>
      <c r="B118" s="2" t="s">
        <v>176</v>
      </c>
      <c r="C118" s="2" t="s">
        <v>177</v>
      </c>
      <c r="D118">
        <v>15</v>
      </c>
      <c r="E118">
        <f>WEEKNUM(makulatura[[#This Row],[Data_dostarczenia]],13)</f>
        <v>4</v>
      </c>
      <c r="F118" s="2">
        <f>WEEKDAY(makulatura[[#This Row],[Data_dostarczenia]],2)</f>
        <v>3</v>
      </c>
    </row>
    <row r="119" spans="1:6" x14ac:dyDescent="0.25">
      <c r="A119" s="1">
        <v>42753</v>
      </c>
      <c r="B119" s="2" t="s">
        <v>178</v>
      </c>
      <c r="C119" s="2" t="s">
        <v>179</v>
      </c>
      <c r="D119">
        <v>10</v>
      </c>
      <c r="E119">
        <f>WEEKNUM(makulatura[[#This Row],[Data_dostarczenia]],13)</f>
        <v>4</v>
      </c>
      <c r="F119" s="2">
        <f>WEEKDAY(makulatura[[#This Row],[Data_dostarczenia]],2)</f>
        <v>3</v>
      </c>
    </row>
    <row r="120" spans="1:6" x14ac:dyDescent="0.25">
      <c r="A120" s="1">
        <v>42754</v>
      </c>
      <c r="B120" s="2" t="s">
        <v>36</v>
      </c>
      <c r="C120" s="2" t="s">
        <v>180</v>
      </c>
      <c r="D120">
        <v>21</v>
      </c>
      <c r="E120">
        <f>WEEKNUM(makulatura[[#This Row],[Data_dostarczenia]],13)</f>
        <v>4</v>
      </c>
      <c r="F120" s="2">
        <f>WEEKDAY(makulatura[[#This Row],[Data_dostarczenia]],2)</f>
        <v>4</v>
      </c>
    </row>
    <row r="121" spans="1:6" x14ac:dyDescent="0.25">
      <c r="A121" s="1">
        <v>42754</v>
      </c>
      <c r="B121" s="2" t="s">
        <v>97</v>
      </c>
      <c r="C121" s="2" t="s">
        <v>181</v>
      </c>
      <c r="D121">
        <v>34</v>
      </c>
      <c r="E121">
        <f>WEEKNUM(makulatura[[#This Row],[Data_dostarczenia]],13)</f>
        <v>4</v>
      </c>
      <c r="F121" s="2">
        <f>WEEKDAY(makulatura[[#This Row],[Data_dostarczenia]],2)</f>
        <v>4</v>
      </c>
    </row>
    <row r="122" spans="1:6" x14ac:dyDescent="0.25">
      <c r="A122" s="1">
        <v>42754</v>
      </c>
      <c r="B122" s="2" t="s">
        <v>34</v>
      </c>
      <c r="C122" s="2" t="s">
        <v>182</v>
      </c>
      <c r="D122">
        <v>43</v>
      </c>
      <c r="E122">
        <f>WEEKNUM(makulatura[[#This Row],[Data_dostarczenia]],13)</f>
        <v>4</v>
      </c>
      <c r="F122" s="2">
        <f>WEEKDAY(makulatura[[#This Row],[Data_dostarczenia]],2)</f>
        <v>4</v>
      </c>
    </row>
    <row r="123" spans="1:6" x14ac:dyDescent="0.25">
      <c r="A123" s="1">
        <v>42754</v>
      </c>
      <c r="B123" s="2" t="s">
        <v>114</v>
      </c>
      <c r="C123" s="2" t="s">
        <v>173</v>
      </c>
      <c r="D123">
        <v>24</v>
      </c>
      <c r="E123">
        <f>WEEKNUM(makulatura[[#This Row],[Data_dostarczenia]],13)</f>
        <v>4</v>
      </c>
      <c r="F123" s="2">
        <f>WEEKDAY(makulatura[[#This Row],[Data_dostarczenia]],2)</f>
        <v>4</v>
      </c>
    </row>
    <row r="124" spans="1:6" x14ac:dyDescent="0.25">
      <c r="A124" s="1">
        <v>42754</v>
      </c>
      <c r="B124" s="2" t="s">
        <v>117</v>
      </c>
      <c r="C124" s="2" t="s">
        <v>183</v>
      </c>
      <c r="D124">
        <v>29</v>
      </c>
      <c r="E124">
        <f>WEEKNUM(makulatura[[#This Row],[Data_dostarczenia]],13)</f>
        <v>4</v>
      </c>
      <c r="F124" s="2">
        <f>WEEKDAY(makulatura[[#This Row],[Data_dostarczenia]],2)</f>
        <v>4</v>
      </c>
    </row>
    <row r="125" spans="1:6" x14ac:dyDescent="0.25">
      <c r="A125" s="1">
        <v>42754</v>
      </c>
      <c r="B125" s="2" t="s">
        <v>55</v>
      </c>
      <c r="C125" s="2" t="s">
        <v>184</v>
      </c>
      <c r="D125">
        <v>5</v>
      </c>
      <c r="E125">
        <f>WEEKNUM(makulatura[[#This Row],[Data_dostarczenia]],13)</f>
        <v>4</v>
      </c>
      <c r="F125" s="2">
        <f>WEEKDAY(makulatura[[#This Row],[Data_dostarczenia]],2)</f>
        <v>4</v>
      </c>
    </row>
    <row r="126" spans="1:6" x14ac:dyDescent="0.25">
      <c r="A126" s="1">
        <v>42754</v>
      </c>
      <c r="B126" s="2" t="s">
        <v>41</v>
      </c>
      <c r="C126" s="2" t="s">
        <v>42</v>
      </c>
      <c r="D126">
        <v>54</v>
      </c>
      <c r="E126">
        <f>WEEKNUM(makulatura[[#This Row],[Data_dostarczenia]],13)</f>
        <v>4</v>
      </c>
      <c r="F126" s="2">
        <f>WEEKDAY(makulatura[[#This Row],[Data_dostarczenia]],2)</f>
        <v>4</v>
      </c>
    </row>
    <row r="127" spans="1:6" x14ac:dyDescent="0.25">
      <c r="A127" s="1">
        <v>42754</v>
      </c>
      <c r="B127" s="2" t="s">
        <v>30</v>
      </c>
      <c r="C127" s="2" t="s">
        <v>185</v>
      </c>
      <c r="D127">
        <v>29</v>
      </c>
      <c r="E127">
        <f>WEEKNUM(makulatura[[#This Row],[Data_dostarczenia]],13)</f>
        <v>4</v>
      </c>
      <c r="F127" s="2">
        <f>WEEKDAY(makulatura[[#This Row],[Data_dostarczenia]],2)</f>
        <v>4</v>
      </c>
    </row>
    <row r="128" spans="1:6" x14ac:dyDescent="0.25">
      <c r="A128" s="1">
        <v>42754</v>
      </c>
      <c r="B128" s="2" t="s">
        <v>155</v>
      </c>
      <c r="C128" s="2" t="s">
        <v>186</v>
      </c>
      <c r="D128">
        <v>4</v>
      </c>
      <c r="E128">
        <f>WEEKNUM(makulatura[[#This Row],[Data_dostarczenia]],13)</f>
        <v>4</v>
      </c>
      <c r="F128" s="2">
        <f>WEEKDAY(makulatura[[#This Row],[Data_dostarczenia]],2)</f>
        <v>4</v>
      </c>
    </row>
    <row r="129" spans="1:6" x14ac:dyDescent="0.25">
      <c r="A129" s="1">
        <v>42755</v>
      </c>
      <c r="B129" s="2" t="s">
        <v>101</v>
      </c>
      <c r="C129" s="2" t="s">
        <v>187</v>
      </c>
      <c r="D129">
        <v>12</v>
      </c>
      <c r="E129">
        <f>WEEKNUM(makulatura[[#This Row],[Data_dostarczenia]],13)</f>
        <v>4</v>
      </c>
      <c r="F129" s="2">
        <f>WEEKDAY(makulatura[[#This Row],[Data_dostarczenia]],2)</f>
        <v>5</v>
      </c>
    </row>
    <row r="130" spans="1:6" x14ac:dyDescent="0.25">
      <c r="A130" s="1">
        <v>42755</v>
      </c>
      <c r="B130" s="2" t="s">
        <v>97</v>
      </c>
      <c r="C130" s="2" t="s">
        <v>181</v>
      </c>
      <c r="D130">
        <v>14</v>
      </c>
      <c r="E130">
        <f>WEEKNUM(makulatura[[#This Row],[Data_dostarczenia]],13)</f>
        <v>4</v>
      </c>
      <c r="F130" s="2">
        <f>WEEKDAY(makulatura[[#This Row],[Data_dostarczenia]],2)</f>
        <v>5</v>
      </c>
    </row>
    <row r="131" spans="1:6" x14ac:dyDescent="0.25">
      <c r="A131" s="1">
        <v>42755</v>
      </c>
      <c r="B131" s="2" t="s">
        <v>97</v>
      </c>
      <c r="C131" s="2" t="s">
        <v>188</v>
      </c>
      <c r="D131">
        <v>46</v>
      </c>
      <c r="E131">
        <f>WEEKNUM(makulatura[[#This Row],[Data_dostarczenia]],13)</f>
        <v>4</v>
      </c>
      <c r="F131" s="2">
        <f>WEEKDAY(makulatura[[#This Row],[Data_dostarczenia]],2)</f>
        <v>5</v>
      </c>
    </row>
    <row r="132" spans="1:6" x14ac:dyDescent="0.25">
      <c r="A132" s="1">
        <v>42755</v>
      </c>
      <c r="B132" s="2" t="s">
        <v>189</v>
      </c>
      <c r="C132" s="2" t="s">
        <v>190</v>
      </c>
      <c r="D132">
        <v>13</v>
      </c>
      <c r="E132">
        <f>WEEKNUM(makulatura[[#This Row],[Data_dostarczenia]],13)</f>
        <v>4</v>
      </c>
      <c r="F132" s="2">
        <f>WEEKDAY(makulatura[[#This Row],[Data_dostarczenia]],2)</f>
        <v>5</v>
      </c>
    </row>
    <row r="133" spans="1:6" x14ac:dyDescent="0.25">
      <c r="A133" s="1">
        <v>42755</v>
      </c>
      <c r="B133" s="2" t="s">
        <v>53</v>
      </c>
      <c r="C133" s="2" t="s">
        <v>191</v>
      </c>
      <c r="D133">
        <v>15</v>
      </c>
      <c r="E133">
        <f>WEEKNUM(makulatura[[#This Row],[Data_dostarczenia]],13)</f>
        <v>4</v>
      </c>
      <c r="F133" s="2">
        <f>WEEKDAY(makulatura[[#This Row],[Data_dostarczenia]],2)</f>
        <v>5</v>
      </c>
    </row>
    <row r="134" spans="1:6" x14ac:dyDescent="0.25">
      <c r="A134" s="1">
        <v>42755</v>
      </c>
      <c r="B134" s="2" t="s">
        <v>47</v>
      </c>
      <c r="C134" s="2" t="s">
        <v>192</v>
      </c>
      <c r="D134">
        <v>38</v>
      </c>
      <c r="E134">
        <f>WEEKNUM(makulatura[[#This Row],[Data_dostarczenia]],13)</f>
        <v>4</v>
      </c>
      <c r="F134" s="2">
        <f>WEEKDAY(makulatura[[#This Row],[Data_dostarczenia]],2)</f>
        <v>5</v>
      </c>
    </row>
    <row r="135" spans="1:6" x14ac:dyDescent="0.25">
      <c r="A135" s="1">
        <v>42755</v>
      </c>
      <c r="B135" s="2" t="s">
        <v>193</v>
      </c>
      <c r="C135" s="2" t="s">
        <v>194</v>
      </c>
      <c r="D135">
        <v>27</v>
      </c>
      <c r="E135">
        <f>WEEKNUM(makulatura[[#This Row],[Data_dostarczenia]],13)</f>
        <v>4</v>
      </c>
      <c r="F135" s="2">
        <f>WEEKDAY(makulatura[[#This Row],[Data_dostarczenia]],2)</f>
        <v>5</v>
      </c>
    </row>
    <row r="136" spans="1:6" x14ac:dyDescent="0.25">
      <c r="A136" s="1">
        <v>42755</v>
      </c>
      <c r="B136" s="2" t="s">
        <v>87</v>
      </c>
      <c r="C136" s="2" t="s">
        <v>88</v>
      </c>
      <c r="D136">
        <v>49</v>
      </c>
      <c r="E136">
        <f>WEEKNUM(makulatura[[#This Row],[Data_dostarczenia]],13)</f>
        <v>4</v>
      </c>
      <c r="F136" s="2">
        <f>WEEKDAY(makulatura[[#This Row],[Data_dostarczenia]],2)</f>
        <v>5</v>
      </c>
    </row>
    <row r="137" spans="1:6" x14ac:dyDescent="0.25">
      <c r="A137" s="1">
        <v>42755</v>
      </c>
      <c r="B137" s="2" t="s">
        <v>51</v>
      </c>
      <c r="C137" s="2" t="s">
        <v>52</v>
      </c>
      <c r="D137">
        <v>17</v>
      </c>
      <c r="E137">
        <f>WEEKNUM(makulatura[[#This Row],[Data_dostarczenia]],13)</f>
        <v>4</v>
      </c>
      <c r="F137" s="2">
        <f>WEEKDAY(makulatura[[#This Row],[Data_dostarczenia]],2)</f>
        <v>5</v>
      </c>
    </row>
    <row r="138" spans="1:6" x14ac:dyDescent="0.25">
      <c r="A138" s="1">
        <v>42758</v>
      </c>
      <c r="B138" s="2" t="s">
        <v>195</v>
      </c>
      <c r="C138" s="2" t="s">
        <v>196</v>
      </c>
      <c r="D138">
        <v>10</v>
      </c>
      <c r="E138">
        <f>WEEKNUM(makulatura[[#This Row],[Data_dostarczenia]],13)</f>
        <v>4</v>
      </c>
      <c r="F138" s="2">
        <f>WEEKDAY(makulatura[[#This Row],[Data_dostarczenia]],2)</f>
        <v>1</v>
      </c>
    </row>
    <row r="139" spans="1:6" x14ac:dyDescent="0.25">
      <c r="A139" s="1">
        <v>42758</v>
      </c>
      <c r="B139" s="2" t="s">
        <v>101</v>
      </c>
      <c r="C139" s="2" t="s">
        <v>187</v>
      </c>
      <c r="D139">
        <v>12</v>
      </c>
      <c r="E139">
        <f>WEEKNUM(makulatura[[#This Row],[Data_dostarczenia]],13)</f>
        <v>4</v>
      </c>
      <c r="F139" s="2">
        <f>WEEKDAY(makulatura[[#This Row],[Data_dostarczenia]],2)</f>
        <v>1</v>
      </c>
    </row>
    <row r="140" spans="1:6" x14ac:dyDescent="0.25">
      <c r="A140" s="1">
        <v>42758</v>
      </c>
      <c r="B140" s="2" t="s">
        <v>4</v>
      </c>
      <c r="C140" s="2" t="s">
        <v>197</v>
      </c>
      <c r="D140">
        <v>42</v>
      </c>
      <c r="E140">
        <f>WEEKNUM(makulatura[[#This Row],[Data_dostarczenia]],13)</f>
        <v>4</v>
      </c>
      <c r="F140" s="2">
        <f>WEEKDAY(makulatura[[#This Row],[Data_dostarczenia]],2)</f>
        <v>1</v>
      </c>
    </row>
    <row r="141" spans="1:6" x14ac:dyDescent="0.25">
      <c r="A141" s="1">
        <v>42758</v>
      </c>
      <c r="B141" s="2" t="s">
        <v>198</v>
      </c>
      <c r="C141" s="2" t="s">
        <v>199</v>
      </c>
      <c r="D141">
        <v>25</v>
      </c>
      <c r="E141">
        <f>WEEKNUM(makulatura[[#This Row],[Data_dostarczenia]],13)</f>
        <v>4</v>
      </c>
      <c r="F141" s="2">
        <f>WEEKDAY(makulatura[[#This Row],[Data_dostarczenia]],2)</f>
        <v>1</v>
      </c>
    </row>
    <row r="142" spans="1:6" x14ac:dyDescent="0.25">
      <c r="A142" s="1">
        <v>42758</v>
      </c>
      <c r="B142" s="2" t="s">
        <v>117</v>
      </c>
      <c r="C142" s="2" t="s">
        <v>118</v>
      </c>
      <c r="D142">
        <v>47</v>
      </c>
      <c r="E142">
        <f>WEEKNUM(makulatura[[#This Row],[Data_dostarczenia]],13)</f>
        <v>4</v>
      </c>
      <c r="F142" s="2">
        <f>WEEKDAY(makulatura[[#This Row],[Data_dostarczenia]],2)</f>
        <v>1</v>
      </c>
    </row>
    <row r="143" spans="1:6" x14ac:dyDescent="0.25">
      <c r="A143" s="1">
        <v>42758</v>
      </c>
      <c r="B143" s="2" t="s">
        <v>150</v>
      </c>
      <c r="C143" s="2" t="s">
        <v>200</v>
      </c>
      <c r="D143">
        <v>14</v>
      </c>
      <c r="E143">
        <f>WEEKNUM(makulatura[[#This Row],[Data_dostarczenia]],13)</f>
        <v>4</v>
      </c>
      <c r="F143" s="2">
        <f>WEEKDAY(makulatura[[#This Row],[Data_dostarczenia]],2)</f>
        <v>1</v>
      </c>
    </row>
    <row r="144" spans="1:6" x14ac:dyDescent="0.25">
      <c r="A144" s="1">
        <v>42758</v>
      </c>
      <c r="B144" s="2" t="s">
        <v>201</v>
      </c>
      <c r="C144" s="2" t="s">
        <v>202</v>
      </c>
      <c r="D144">
        <v>6</v>
      </c>
      <c r="E144">
        <f>WEEKNUM(makulatura[[#This Row],[Data_dostarczenia]],13)</f>
        <v>4</v>
      </c>
      <c r="F144" s="2">
        <f>WEEKDAY(makulatura[[#This Row],[Data_dostarczenia]],2)</f>
        <v>1</v>
      </c>
    </row>
    <row r="145" spans="1:6" x14ac:dyDescent="0.25">
      <c r="A145" s="1">
        <v>42758</v>
      </c>
      <c r="B145" s="2" t="s">
        <v>203</v>
      </c>
      <c r="C145" s="2" t="s">
        <v>204</v>
      </c>
      <c r="D145">
        <v>55</v>
      </c>
      <c r="E145">
        <f>WEEKNUM(makulatura[[#This Row],[Data_dostarczenia]],13)</f>
        <v>4</v>
      </c>
      <c r="F145" s="2">
        <f>WEEKDAY(makulatura[[#This Row],[Data_dostarczenia]],2)</f>
        <v>1</v>
      </c>
    </row>
    <row r="146" spans="1:6" x14ac:dyDescent="0.25">
      <c r="A146" s="1">
        <v>42758</v>
      </c>
      <c r="B146" s="2" t="s">
        <v>65</v>
      </c>
      <c r="C146" s="2" t="s">
        <v>205</v>
      </c>
      <c r="D146">
        <v>22</v>
      </c>
      <c r="E146">
        <f>WEEKNUM(makulatura[[#This Row],[Data_dostarczenia]],13)</f>
        <v>4</v>
      </c>
      <c r="F146" s="2">
        <f>WEEKDAY(makulatura[[#This Row],[Data_dostarczenia]],2)</f>
        <v>1</v>
      </c>
    </row>
    <row r="147" spans="1:6" x14ac:dyDescent="0.25">
      <c r="A147" s="1">
        <v>42759</v>
      </c>
      <c r="B147" s="2" t="s">
        <v>206</v>
      </c>
      <c r="C147" s="2" t="s">
        <v>192</v>
      </c>
      <c r="D147">
        <v>45</v>
      </c>
      <c r="E147">
        <f>WEEKNUM(makulatura[[#This Row],[Data_dostarczenia]],13)</f>
        <v>4</v>
      </c>
      <c r="F147" s="2">
        <f>WEEKDAY(makulatura[[#This Row],[Data_dostarczenia]],2)</f>
        <v>2</v>
      </c>
    </row>
    <row r="148" spans="1:6" x14ac:dyDescent="0.25">
      <c r="A148" s="1">
        <v>42759</v>
      </c>
      <c r="B148" s="2" t="s">
        <v>4</v>
      </c>
      <c r="C148" s="2" t="s">
        <v>207</v>
      </c>
      <c r="D148">
        <v>20</v>
      </c>
      <c r="E148">
        <f>WEEKNUM(makulatura[[#This Row],[Data_dostarczenia]],13)</f>
        <v>4</v>
      </c>
      <c r="F148" s="2">
        <f>WEEKDAY(makulatura[[#This Row],[Data_dostarczenia]],2)</f>
        <v>2</v>
      </c>
    </row>
    <row r="149" spans="1:6" x14ac:dyDescent="0.25">
      <c r="A149" s="1">
        <v>42759</v>
      </c>
      <c r="B149" s="2" t="s">
        <v>208</v>
      </c>
      <c r="C149" s="2" t="s">
        <v>209</v>
      </c>
      <c r="D149">
        <v>52</v>
      </c>
      <c r="E149">
        <f>WEEKNUM(makulatura[[#This Row],[Data_dostarczenia]],13)</f>
        <v>4</v>
      </c>
      <c r="F149" s="2">
        <f>WEEKDAY(makulatura[[#This Row],[Data_dostarczenia]],2)</f>
        <v>2</v>
      </c>
    </row>
    <row r="150" spans="1:6" x14ac:dyDescent="0.25">
      <c r="A150" s="1">
        <v>42759</v>
      </c>
      <c r="B150" s="2" t="s">
        <v>65</v>
      </c>
      <c r="C150" s="2" t="s">
        <v>210</v>
      </c>
      <c r="D150">
        <v>47</v>
      </c>
      <c r="E150">
        <f>WEEKNUM(makulatura[[#This Row],[Data_dostarczenia]],13)</f>
        <v>4</v>
      </c>
      <c r="F150" s="2">
        <f>WEEKDAY(makulatura[[#This Row],[Data_dostarczenia]],2)</f>
        <v>2</v>
      </c>
    </row>
    <row r="151" spans="1:6" x14ac:dyDescent="0.25">
      <c r="A151" s="1">
        <v>42759</v>
      </c>
      <c r="B151" s="2" t="s">
        <v>150</v>
      </c>
      <c r="C151" s="2" t="s">
        <v>211</v>
      </c>
      <c r="D151">
        <v>13</v>
      </c>
      <c r="E151">
        <f>WEEKNUM(makulatura[[#This Row],[Data_dostarczenia]],13)</f>
        <v>4</v>
      </c>
      <c r="F151" s="2">
        <f>WEEKDAY(makulatura[[#This Row],[Data_dostarczenia]],2)</f>
        <v>2</v>
      </c>
    </row>
    <row r="152" spans="1:6" x14ac:dyDescent="0.25">
      <c r="A152" s="1">
        <v>42759</v>
      </c>
      <c r="B152" s="2" t="s">
        <v>101</v>
      </c>
      <c r="C152" s="2" t="s">
        <v>212</v>
      </c>
      <c r="D152">
        <v>23</v>
      </c>
      <c r="E152">
        <f>WEEKNUM(makulatura[[#This Row],[Data_dostarczenia]],13)</f>
        <v>4</v>
      </c>
      <c r="F152" s="2">
        <f>WEEKDAY(makulatura[[#This Row],[Data_dostarczenia]],2)</f>
        <v>2</v>
      </c>
    </row>
    <row r="153" spans="1:6" x14ac:dyDescent="0.25">
      <c r="A153" s="1">
        <v>42759</v>
      </c>
      <c r="B153" s="2" t="s">
        <v>27</v>
      </c>
      <c r="C153" s="2" t="s">
        <v>28</v>
      </c>
      <c r="D153">
        <v>11</v>
      </c>
      <c r="E153">
        <f>WEEKNUM(makulatura[[#This Row],[Data_dostarczenia]],13)</f>
        <v>4</v>
      </c>
      <c r="F153" s="2">
        <f>WEEKDAY(makulatura[[#This Row],[Data_dostarczenia]],2)</f>
        <v>2</v>
      </c>
    </row>
    <row r="154" spans="1:6" x14ac:dyDescent="0.25">
      <c r="A154" s="1">
        <v>42759</v>
      </c>
      <c r="B154" s="2" t="s">
        <v>141</v>
      </c>
      <c r="C154" s="2" t="s">
        <v>142</v>
      </c>
      <c r="D154">
        <v>35</v>
      </c>
      <c r="E154">
        <f>WEEKNUM(makulatura[[#This Row],[Data_dostarczenia]],13)</f>
        <v>4</v>
      </c>
      <c r="F154" s="2">
        <f>WEEKDAY(makulatura[[#This Row],[Data_dostarczenia]],2)</f>
        <v>2</v>
      </c>
    </row>
    <row r="155" spans="1:6" x14ac:dyDescent="0.25">
      <c r="A155" s="1">
        <v>42759</v>
      </c>
      <c r="B155" s="2" t="s">
        <v>75</v>
      </c>
      <c r="C155" s="2" t="s">
        <v>213</v>
      </c>
      <c r="D155">
        <v>42</v>
      </c>
      <c r="E155">
        <f>WEEKNUM(makulatura[[#This Row],[Data_dostarczenia]],13)</f>
        <v>4</v>
      </c>
      <c r="F155" s="2">
        <f>WEEKDAY(makulatura[[#This Row],[Data_dostarczenia]],2)</f>
        <v>2</v>
      </c>
    </row>
    <row r="156" spans="1:6" x14ac:dyDescent="0.25">
      <c r="A156" s="1">
        <v>42760</v>
      </c>
      <c r="B156" s="2" t="s">
        <v>161</v>
      </c>
      <c r="C156" s="2" t="s">
        <v>214</v>
      </c>
      <c r="D156">
        <v>15</v>
      </c>
      <c r="E156">
        <f>WEEKNUM(makulatura[[#This Row],[Data_dostarczenia]],13)</f>
        <v>5</v>
      </c>
      <c r="F156" s="2">
        <f>WEEKDAY(makulatura[[#This Row],[Data_dostarczenia]],2)</f>
        <v>3</v>
      </c>
    </row>
    <row r="157" spans="1:6" x14ac:dyDescent="0.25">
      <c r="A157" s="1">
        <v>42760</v>
      </c>
      <c r="B157" s="2" t="s">
        <v>193</v>
      </c>
      <c r="C157" s="2" t="s">
        <v>215</v>
      </c>
      <c r="D157">
        <v>9</v>
      </c>
      <c r="E157">
        <f>WEEKNUM(makulatura[[#This Row],[Data_dostarczenia]],13)</f>
        <v>5</v>
      </c>
      <c r="F157" s="2">
        <f>WEEKDAY(makulatura[[#This Row],[Data_dostarczenia]],2)</f>
        <v>3</v>
      </c>
    </row>
    <row r="158" spans="1:6" x14ac:dyDescent="0.25">
      <c r="A158" s="1">
        <v>42760</v>
      </c>
      <c r="B158" s="2" t="s">
        <v>119</v>
      </c>
      <c r="C158" s="2" t="s">
        <v>216</v>
      </c>
      <c r="D158">
        <v>33</v>
      </c>
      <c r="E158">
        <f>WEEKNUM(makulatura[[#This Row],[Data_dostarczenia]],13)</f>
        <v>5</v>
      </c>
      <c r="F158" s="2">
        <f>WEEKDAY(makulatura[[#This Row],[Data_dostarczenia]],2)</f>
        <v>3</v>
      </c>
    </row>
    <row r="159" spans="1:6" x14ac:dyDescent="0.25">
      <c r="A159" s="1">
        <v>42760</v>
      </c>
      <c r="B159" s="2" t="s">
        <v>27</v>
      </c>
      <c r="C159" s="2" t="s">
        <v>94</v>
      </c>
      <c r="D159">
        <v>17</v>
      </c>
      <c r="E159">
        <f>WEEKNUM(makulatura[[#This Row],[Data_dostarczenia]],13)</f>
        <v>5</v>
      </c>
      <c r="F159" s="2">
        <f>WEEKDAY(makulatura[[#This Row],[Data_dostarczenia]],2)</f>
        <v>3</v>
      </c>
    </row>
    <row r="160" spans="1:6" x14ac:dyDescent="0.25">
      <c r="A160" s="1">
        <v>42760</v>
      </c>
      <c r="B160" s="2" t="s">
        <v>95</v>
      </c>
      <c r="C160" s="2" t="s">
        <v>96</v>
      </c>
      <c r="D160">
        <v>11</v>
      </c>
      <c r="E160">
        <f>WEEKNUM(makulatura[[#This Row],[Data_dostarczenia]],13)</f>
        <v>5</v>
      </c>
      <c r="F160" s="2">
        <f>WEEKDAY(makulatura[[#This Row],[Data_dostarczenia]],2)</f>
        <v>3</v>
      </c>
    </row>
    <row r="161" spans="1:6" x14ac:dyDescent="0.25">
      <c r="A161" s="1">
        <v>42760</v>
      </c>
      <c r="B161" s="2" t="s">
        <v>217</v>
      </c>
      <c r="C161" s="2" t="s">
        <v>218</v>
      </c>
      <c r="D161">
        <v>19</v>
      </c>
      <c r="E161">
        <f>WEEKNUM(makulatura[[#This Row],[Data_dostarczenia]],13)</f>
        <v>5</v>
      </c>
      <c r="F161" s="2">
        <f>WEEKDAY(makulatura[[#This Row],[Data_dostarczenia]],2)</f>
        <v>3</v>
      </c>
    </row>
    <row r="162" spans="1:6" x14ac:dyDescent="0.25">
      <c r="A162" s="1">
        <v>42760</v>
      </c>
      <c r="B162" s="2" t="s">
        <v>32</v>
      </c>
      <c r="C162" s="2" t="s">
        <v>33</v>
      </c>
      <c r="D162">
        <v>14</v>
      </c>
      <c r="E162">
        <f>WEEKNUM(makulatura[[#This Row],[Data_dostarczenia]],13)</f>
        <v>5</v>
      </c>
      <c r="F162" s="2">
        <f>WEEKDAY(makulatura[[#This Row],[Data_dostarczenia]],2)</f>
        <v>3</v>
      </c>
    </row>
    <row r="163" spans="1:6" x14ac:dyDescent="0.25">
      <c r="A163" s="1">
        <v>42760</v>
      </c>
      <c r="B163" s="2" t="s">
        <v>23</v>
      </c>
      <c r="C163" s="2" t="s">
        <v>163</v>
      </c>
      <c r="D163">
        <v>6</v>
      </c>
      <c r="E163">
        <f>WEEKNUM(makulatura[[#This Row],[Data_dostarczenia]],13)</f>
        <v>5</v>
      </c>
      <c r="F163" s="2">
        <f>WEEKDAY(makulatura[[#This Row],[Data_dostarczenia]],2)</f>
        <v>3</v>
      </c>
    </row>
    <row r="164" spans="1:6" x14ac:dyDescent="0.25">
      <c r="A164" s="1">
        <v>42760</v>
      </c>
      <c r="B164" s="2" t="s">
        <v>61</v>
      </c>
      <c r="C164" s="2" t="s">
        <v>62</v>
      </c>
      <c r="D164">
        <v>47</v>
      </c>
      <c r="E164">
        <f>WEEKNUM(makulatura[[#This Row],[Data_dostarczenia]],13)</f>
        <v>5</v>
      </c>
      <c r="F164" s="2">
        <f>WEEKDAY(makulatura[[#This Row],[Data_dostarczenia]],2)</f>
        <v>3</v>
      </c>
    </row>
    <row r="165" spans="1:6" x14ac:dyDescent="0.25">
      <c r="A165" s="1">
        <v>42760</v>
      </c>
      <c r="B165" s="2" t="s">
        <v>219</v>
      </c>
      <c r="C165" s="2" t="s">
        <v>220</v>
      </c>
      <c r="D165">
        <v>4</v>
      </c>
      <c r="E165">
        <f>WEEKNUM(makulatura[[#This Row],[Data_dostarczenia]],13)</f>
        <v>5</v>
      </c>
      <c r="F165" s="2">
        <f>WEEKDAY(makulatura[[#This Row],[Data_dostarczenia]],2)</f>
        <v>3</v>
      </c>
    </row>
    <row r="166" spans="1:6" x14ac:dyDescent="0.25">
      <c r="A166" s="1">
        <v>42760</v>
      </c>
      <c r="B166" s="2" t="s">
        <v>221</v>
      </c>
      <c r="C166" s="2" t="s">
        <v>222</v>
      </c>
      <c r="D166">
        <v>45</v>
      </c>
      <c r="E166">
        <f>WEEKNUM(makulatura[[#This Row],[Data_dostarczenia]],13)</f>
        <v>5</v>
      </c>
      <c r="F166" s="2">
        <f>WEEKDAY(makulatura[[#This Row],[Data_dostarczenia]],2)</f>
        <v>3</v>
      </c>
    </row>
    <row r="167" spans="1:6" x14ac:dyDescent="0.25">
      <c r="A167" s="1">
        <v>42761</v>
      </c>
      <c r="B167" s="2" t="s">
        <v>14</v>
      </c>
      <c r="C167" s="2" t="s">
        <v>15</v>
      </c>
      <c r="D167">
        <v>39</v>
      </c>
      <c r="E167">
        <f>WEEKNUM(makulatura[[#This Row],[Data_dostarczenia]],13)</f>
        <v>5</v>
      </c>
      <c r="F167" s="2">
        <f>WEEKDAY(makulatura[[#This Row],[Data_dostarczenia]],2)</f>
        <v>4</v>
      </c>
    </row>
    <row r="168" spans="1:6" x14ac:dyDescent="0.25">
      <c r="A168" s="1">
        <v>42761</v>
      </c>
      <c r="B168" s="2" t="s">
        <v>101</v>
      </c>
      <c r="C168" s="2" t="s">
        <v>223</v>
      </c>
      <c r="D168">
        <v>34</v>
      </c>
      <c r="E168">
        <f>WEEKNUM(makulatura[[#This Row],[Data_dostarczenia]],13)</f>
        <v>5</v>
      </c>
      <c r="F168" s="2">
        <f>WEEKDAY(makulatura[[#This Row],[Data_dostarczenia]],2)</f>
        <v>4</v>
      </c>
    </row>
    <row r="169" spans="1:6" x14ac:dyDescent="0.25">
      <c r="A169" s="1">
        <v>42761</v>
      </c>
      <c r="B169" s="2" t="s">
        <v>195</v>
      </c>
      <c r="C169" s="2" t="s">
        <v>224</v>
      </c>
      <c r="D169">
        <v>9</v>
      </c>
      <c r="E169">
        <f>WEEKNUM(makulatura[[#This Row],[Data_dostarczenia]],13)</f>
        <v>5</v>
      </c>
      <c r="F169" s="2">
        <f>WEEKDAY(makulatura[[#This Row],[Data_dostarczenia]],2)</f>
        <v>4</v>
      </c>
    </row>
    <row r="170" spans="1:6" x14ac:dyDescent="0.25">
      <c r="A170" s="1">
        <v>42761</v>
      </c>
      <c r="B170" s="2" t="s">
        <v>225</v>
      </c>
      <c r="C170" s="2" t="s">
        <v>226</v>
      </c>
      <c r="D170">
        <v>23</v>
      </c>
      <c r="E170">
        <f>WEEKNUM(makulatura[[#This Row],[Data_dostarczenia]],13)</f>
        <v>5</v>
      </c>
      <c r="F170" s="2">
        <f>WEEKDAY(makulatura[[#This Row],[Data_dostarczenia]],2)</f>
        <v>4</v>
      </c>
    </row>
    <row r="171" spans="1:6" x14ac:dyDescent="0.25">
      <c r="A171" s="1">
        <v>42761</v>
      </c>
      <c r="B171" s="2" t="s">
        <v>34</v>
      </c>
      <c r="C171" s="2" t="s">
        <v>160</v>
      </c>
      <c r="D171">
        <v>3</v>
      </c>
      <c r="E171">
        <f>WEEKNUM(makulatura[[#This Row],[Data_dostarczenia]],13)</f>
        <v>5</v>
      </c>
      <c r="F171" s="2">
        <f>WEEKDAY(makulatura[[#This Row],[Data_dostarczenia]],2)</f>
        <v>4</v>
      </c>
    </row>
    <row r="172" spans="1:6" x14ac:dyDescent="0.25">
      <c r="A172" s="1">
        <v>42761</v>
      </c>
      <c r="B172" s="2" t="s">
        <v>193</v>
      </c>
      <c r="C172" s="2" t="s">
        <v>227</v>
      </c>
      <c r="D172">
        <v>13</v>
      </c>
      <c r="E172">
        <f>WEEKNUM(makulatura[[#This Row],[Data_dostarczenia]],13)</f>
        <v>5</v>
      </c>
      <c r="F172" s="2">
        <f>WEEKDAY(makulatura[[#This Row],[Data_dostarczenia]],2)</f>
        <v>4</v>
      </c>
    </row>
    <row r="173" spans="1:6" x14ac:dyDescent="0.25">
      <c r="A173" s="1">
        <v>42761</v>
      </c>
      <c r="B173" s="2" t="s">
        <v>193</v>
      </c>
      <c r="C173" s="2" t="s">
        <v>228</v>
      </c>
      <c r="D173">
        <v>16</v>
      </c>
      <c r="E173">
        <f>WEEKNUM(makulatura[[#This Row],[Data_dostarczenia]],13)</f>
        <v>5</v>
      </c>
      <c r="F173" s="2">
        <f>WEEKDAY(makulatura[[#This Row],[Data_dostarczenia]],2)</f>
        <v>4</v>
      </c>
    </row>
    <row r="174" spans="1:6" x14ac:dyDescent="0.25">
      <c r="A174" s="1">
        <v>42761</v>
      </c>
      <c r="B174" s="2" t="s">
        <v>36</v>
      </c>
      <c r="C174" s="2" t="s">
        <v>229</v>
      </c>
      <c r="D174">
        <v>19</v>
      </c>
      <c r="E174">
        <f>WEEKNUM(makulatura[[#This Row],[Data_dostarczenia]],13)</f>
        <v>5</v>
      </c>
      <c r="F174" s="2">
        <f>WEEKDAY(makulatura[[#This Row],[Data_dostarczenia]],2)</f>
        <v>4</v>
      </c>
    </row>
    <row r="175" spans="1:6" x14ac:dyDescent="0.25">
      <c r="A175" s="1">
        <v>42761</v>
      </c>
      <c r="B175" s="2" t="s">
        <v>47</v>
      </c>
      <c r="C175" s="2" t="s">
        <v>230</v>
      </c>
      <c r="D175">
        <v>49</v>
      </c>
      <c r="E175">
        <f>WEEKNUM(makulatura[[#This Row],[Data_dostarczenia]],13)</f>
        <v>5</v>
      </c>
      <c r="F175" s="2">
        <f>WEEKDAY(makulatura[[#This Row],[Data_dostarczenia]],2)</f>
        <v>4</v>
      </c>
    </row>
    <row r="176" spans="1:6" x14ac:dyDescent="0.25">
      <c r="A176" s="1">
        <v>42761</v>
      </c>
      <c r="B176" s="2" t="s">
        <v>63</v>
      </c>
      <c r="C176" s="2" t="s">
        <v>231</v>
      </c>
      <c r="D176">
        <v>45</v>
      </c>
      <c r="E176">
        <f>WEEKNUM(makulatura[[#This Row],[Data_dostarczenia]],13)</f>
        <v>5</v>
      </c>
      <c r="F176" s="2">
        <f>WEEKDAY(makulatura[[#This Row],[Data_dostarczenia]],2)</f>
        <v>4</v>
      </c>
    </row>
    <row r="177" spans="1:6" x14ac:dyDescent="0.25">
      <c r="A177" s="1">
        <v>42761</v>
      </c>
      <c r="B177" s="2" t="s">
        <v>232</v>
      </c>
      <c r="C177" s="2" t="s">
        <v>233</v>
      </c>
      <c r="D177">
        <v>14</v>
      </c>
      <c r="E177">
        <f>WEEKNUM(makulatura[[#This Row],[Data_dostarczenia]],13)</f>
        <v>5</v>
      </c>
      <c r="F177" s="2">
        <f>WEEKDAY(makulatura[[#This Row],[Data_dostarczenia]],2)</f>
        <v>4</v>
      </c>
    </row>
    <row r="178" spans="1:6" x14ac:dyDescent="0.25">
      <c r="A178" s="1">
        <v>42762</v>
      </c>
      <c r="B178" s="2" t="s">
        <v>83</v>
      </c>
      <c r="C178" s="2" t="s">
        <v>110</v>
      </c>
      <c r="D178">
        <v>23</v>
      </c>
      <c r="E178">
        <f>WEEKNUM(makulatura[[#This Row],[Data_dostarczenia]],13)</f>
        <v>5</v>
      </c>
      <c r="F178" s="2">
        <f>WEEKDAY(makulatura[[#This Row],[Data_dostarczenia]],2)</f>
        <v>5</v>
      </c>
    </row>
    <row r="179" spans="1:6" x14ac:dyDescent="0.25">
      <c r="A179" s="1">
        <v>42762</v>
      </c>
      <c r="B179" s="2" t="s">
        <v>234</v>
      </c>
      <c r="C179" s="2" t="s">
        <v>235</v>
      </c>
      <c r="D179">
        <v>42</v>
      </c>
      <c r="E179">
        <f>WEEKNUM(makulatura[[#This Row],[Data_dostarczenia]],13)</f>
        <v>5</v>
      </c>
      <c r="F179" s="2">
        <f>WEEKDAY(makulatura[[#This Row],[Data_dostarczenia]],2)</f>
        <v>5</v>
      </c>
    </row>
    <row r="180" spans="1:6" x14ac:dyDescent="0.25">
      <c r="A180" s="1">
        <v>42762</v>
      </c>
      <c r="B180" s="2" t="s">
        <v>236</v>
      </c>
      <c r="C180" s="2" t="s">
        <v>237</v>
      </c>
      <c r="D180">
        <v>30</v>
      </c>
      <c r="E180">
        <f>WEEKNUM(makulatura[[#This Row],[Data_dostarczenia]],13)</f>
        <v>5</v>
      </c>
      <c r="F180" s="2">
        <f>WEEKDAY(makulatura[[#This Row],[Data_dostarczenia]],2)</f>
        <v>5</v>
      </c>
    </row>
    <row r="181" spans="1:6" x14ac:dyDescent="0.25">
      <c r="A181" s="1">
        <v>42762</v>
      </c>
      <c r="B181" s="2" t="s">
        <v>41</v>
      </c>
      <c r="C181" s="2" t="s">
        <v>238</v>
      </c>
      <c r="D181">
        <v>42</v>
      </c>
      <c r="E181">
        <f>WEEKNUM(makulatura[[#This Row],[Data_dostarczenia]],13)</f>
        <v>5</v>
      </c>
      <c r="F181" s="2">
        <f>WEEKDAY(makulatura[[#This Row],[Data_dostarczenia]],2)</f>
        <v>5</v>
      </c>
    </row>
    <row r="182" spans="1:6" x14ac:dyDescent="0.25">
      <c r="A182" s="1">
        <v>42762</v>
      </c>
      <c r="B182" s="2" t="s">
        <v>12</v>
      </c>
      <c r="C182" s="2" t="s">
        <v>38</v>
      </c>
      <c r="D182">
        <v>29</v>
      </c>
      <c r="E182">
        <f>WEEKNUM(makulatura[[#This Row],[Data_dostarczenia]],13)</f>
        <v>5</v>
      </c>
      <c r="F182" s="2">
        <f>WEEKDAY(makulatura[[#This Row],[Data_dostarczenia]],2)</f>
        <v>5</v>
      </c>
    </row>
    <row r="183" spans="1:6" x14ac:dyDescent="0.25">
      <c r="A183" s="1">
        <v>42762</v>
      </c>
      <c r="B183" s="2" t="s">
        <v>72</v>
      </c>
      <c r="C183" s="2" t="s">
        <v>239</v>
      </c>
      <c r="D183">
        <v>6</v>
      </c>
      <c r="E183">
        <f>WEEKNUM(makulatura[[#This Row],[Data_dostarczenia]],13)</f>
        <v>5</v>
      </c>
      <c r="F183" s="2">
        <f>WEEKDAY(makulatura[[#This Row],[Data_dostarczenia]],2)</f>
        <v>5</v>
      </c>
    </row>
    <row r="184" spans="1:6" x14ac:dyDescent="0.25">
      <c r="A184" s="1">
        <v>42762</v>
      </c>
      <c r="B184" s="2" t="s">
        <v>106</v>
      </c>
      <c r="C184" s="2" t="s">
        <v>240</v>
      </c>
      <c r="D184">
        <v>17</v>
      </c>
      <c r="E184">
        <f>WEEKNUM(makulatura[[#This Row],[Data_dostarczenia]],13)</f>
        <v>5</v>
      </c>
      <c r="F184" s="2">
        <f>WEEKDAY(makulatura[[#This Row],[Data_dostarczenia]],2)</f>
        <v>5</v>
      </c>
    </row>
    <row r="185" spans="1:6" x14ac:dyDescent="0.25">
      <c r="A185" s="1">
        <v>42762</v>
      </c>
      <c r="B185" s="2" t="s">
        <v>30</v>
      </c>
      <c r="C185" s="2" t="s">
        <v>241</v>
      </c>
      <c r="D185">
        <v>41</v>
      </c>
      <c r="E185">
        <f>WEEKNUM(makulatura[[#This Row],[Data_dostarczenia]],13)</f>
        <v>5</v>
      </c>
      <c r="F185" s="2">
        <f>WEEKDAY(makulatura[[#This Row],[Data_dostarczenia]],2)</f>
        <v>5</v>
      </c>
    </row>
    <row r="186" spans="1:6" x14ac:dyDescent="0.25">
      <c r="A186" s="1">
        <v>42762</v>
      </c>
      <c r="B186" s="2" t="s">
        <v>178</v>
      </c>
      <c r="C186" s="2" t="s">
        <v>242</v>
      </c>
      <c r="D186">
        <v>23</v>
      </c>
      <c r="E186">
        <f>WEEKNUM(makulatura[[#This Row],[Data_dostarczenia]],13)</f>
        <v>5</v>
      </c>
      <c r="F186" s="2">
        <f>WEEKDAY(makulatura[[#This Row],[Data_dostarczenia]],2)</f>
        <v>5</v>
      </c>
    </row>
    <row r="187" spans="1:6" x14ac:dyDescent="0.25">
      <c r="A187" s="1">
        <v>42762</v>
      </c>
      <c r="B187" s="2" t="s">
        <v>53</v>
      </c>
      <c r="C187" s="2" t="s">
        <v>191</v>
      </c>
      <c r="D187">
        <v>4</v>
      </c>
      <c r="E187">
        <f>WEEKNUM(makulatura[[#This Row],[Data_dostarczenia]],13)</f>
        <v>5</v>
      </c>
      <c r="F187" s="2">
        <f>WEEKDAY(makulatura[[#This Row],[Data_dostarczenia]],2)</f>
        <v>5</v>
      </c>
    </row>
    <row r="188" spans="1:6" x14ac:dyDescent="0.25">
      <c r="A188" s="1">
        <v>42762</v>
      </c>
      <c r="B188" s="2" t="s">
        <v>243</v>
      </c>
      <c r="C188" s="2" t="s">
        <v>82</v>
      </c>
      <c r="D188">
        <v>52</v>
      </c>
      <c r="E188">
        <f>WEEKNUM(makulatura[[#This Row],[Data_dostarczenia]],13)</f>
        <v>5</v>
      </c>
      <c r="F188" s="2">
        <f>WEEKDAY(makulatura[[#This Row],[Data_dostarczenia]],2)</f>
        <v>5</v>
      </c>
    </row>
    <row r="189" spans="1:6" x14ac:dyDescent="0.25">
      <c r="A189" s="1">
        <v>42765</v>
      </c>
      <c r="B189" s="2" t="s">
        <v>59</v>
      </c>
      <c r="C189" s="2" t="s">
        <v>60</v>
      </c>
      <c r="D189">
        <v>7</v>
      </c>
      <c r="E189">
        <f>WEEKNUM(makulatura[[#This Row],[Data_dostarczenia]],13)</f>
        <v>5</v>
      </c>
      <c r="F189" s="2">
        <f>WEEKDAY(makulatura[[#This Row],[Data_dostarczenia]],2)</f>
        <v>1</v>
      </c>
    </row>
    <row r="190" spans="1:6" x14ac:dyDescent="0.25">
      <c r="A190" s="1">
        <v>42765</v>
      </c>
      <c r="B190" s="2" t="s">
        <v>18</v>
      </c>
      <c r="C190" s="2" t="s">
        <v>74</v>
      </c>
      <c r="D190">
        <v>33</v>
      </c>
      <c r="E190">
        <f>WEEKNUM(makulatura[[#This Row],[Data_dostarczenia]],13)</f>
        <v>5</v>
      </c>
      <c r="F190" s="2">
        <f>WEEKDAY(makulatura[[#This Row],[Data_dostarczenia]],2)</f>
        <v>1</v>
      </c>
    </row>
    <row r="191" spans="1:6" x14ac:dyDescent="0.25">
      <c r="A191" s="1">
        <v>42765</v>
      </c>
      <c r="B191" s="2" t="s">
        <v>244</v>
      </c>
      <c r="C191" s="2" t="s">
        <v>245</v>
      </c>
      <c r="D191">
        <v>55</v>
      </c>
      <c r="E191">
        <f>WEEKNUM(makulatura[[#This Row],[Data_dostarczenia]],13)</f>
        <v>5</v>
      </c>
      <c r="F191" s="2">
        <f>WEEKDAY(makulatura[[#This Row],[Data_dostarczenia]],2)</f>
        <v>1</v>
      </c>
    </row>
    <row r="192" spans="1:6" x14ac:dyDescent="0.25">
      <c r="A192" s="1">
        <v>42765</v>
      </c>
      <c r="B192" s="2" t="s">
        <v>246</v>
      </c>
      <c r="C192" s="2" t="s">
        <v>247</v>
      </c>
      <c r="D192">
        <v>13</v>
      </c>
      <c r="E192">
        <f>WEEKNUM(makulatura[[#This Row],[Data_dostarczenia]],13)</f>
        <v>5</v>
      </c>
      <c r="F192" s="2">
        <f>WEEKDAY(makulatura[[#This Row],[Data_dostarczenia]],2)</f>
        <v>1</v>
      </c>
    </row>
    <row r="193" spans="1:6" x14ac:dyDescent="0.25">
      <c r="A193" s="1">
        <v>42765</v>
      </c>
      <c r="B193" s="2" t="s">
        <v>248</v>
      </c>
      <c r="C193" s="2" t="s">
        <v>249</v>
      </c>
      <c r="D193">
        <v>2</v>
      </c>
      <c r="E193">
        <f>WEEKNUM(makulatura[[#This Row],[Data_dostarczenia]],13)</f>
        <v>5</v>
      </c>
      <c r="F193" s="2">
        <f>WEEKDAY(makulatura[[#This Row],[Data_dostarczenia]],2)</f>
        <v>1</v>
      </c>
    </row>
    <row r="194" spans="1:6" x14ac:dyDescent="0.25">
      <c r="A194" s="1">
        <v>42765</v>
      </c>
      <c r="B194" s="2" t="s">
        <v>81</v>
      </c>
      <c r="C194" s="2" t="s">
        <v>82</v>
      </c>
      <c r="D194">
        <v>19</v>
      </c>
      <c r="E194">
        <f>WEEKNUM(makulatura[[#This Row],[Data_dostarczenia]],13)</f>
        <v>5</v>
      </c>
      <c r="F194" s="2">
        <f>WEEKDAY(makulatura[[#This Row],[Data_dostarczenia]],2)</f>
        <v>1</v>
      </c>
    </row>
    <row r="195" spans="1:6" x14ac:dyDescent="0.25">
      <c r="A195" s="1">
        <v>42765</v>
      </c>
      <c r="B195" s="2" t="s">
        <v>128</v>
      </c>
      <c r="C195" s="2" t="s">
        <v>250</v>
      </c>
      <c r="D195">
        <v>28</v>
      </c>
      <c r="E195">
        <f>WEEKNUM(makulatura[[#This Row],[Data_dostarczenia]],13)</f>
        <v>5</v>
      </c>
      <c r="F195" s="2">
        <f>WEEKDAY(makulatura[[#This Row],[Data_dostarczenia]],2)</f>
        <v>1</v>
      </c>
    </row>
    <row r="196" spans="1:6" x14ac:dyDescent="0.25">
      <c r="A196" s="1">
        <v>42765</v>
      </c>
      <c r="B196" s="2" t="s">
        <v>87</v>
      </c>
      <c r="C196" s="2" t="s">
        <v>251</v>
      </c>
      <c r="D196">
        <v>43</v>
      </c>
      <c r="E196">
        <f>WEEKNUM(makulatura[[#This Row],[Data_dostarczenia]],13)</f>
        <v>5</v>
      </c>
      <c r="F196" s="2">
        <f>WEEKDAY(makulatura[[#This Row],[Data_dostarczenia]],2)</f>
        <v>1</v>
      </c>
    </row>
    <row r="197" spans="1:6" x14ac:dyDescent="0.25">
      <c r="A197" s="1">
        <v>42765</v>
      </c>
      <c r="B197" s="2" t="s">
        <v>252</v>
      </c>
      <c r="C197" s="2" t="s">
        <v>253</v>
      </c>
      <c r="D197">
        <v>20</v>
      </c>
      <c r="E197">
        <f>WEEKNUM(makulatura[[#This Row],[Data_dostarczenia]],13)</f>
        <v>5</v>
      </c>
      <c r="F197" s="2">
        <f>WEEKDAY(makulatura[[#This Row],[Data_dostarczenia]],2)</f>
        <v>1</v>
      </c>
    </row>
    <row r="198" spans="1:6" x14ac:dyDescent="0.25">
      <c r="A198" s="1">
        <v>42765</v>
      </c>
      <c r="B198" s="2" t="s">
        <v>219</v>
      </c>
      <c r="C198" s="2" t="s">
        <v>254</v>
      </c>
      <c r="D198">
        <v>22</v>
      </c>
      <c r="E198">
        <f>WEEKNUM(makulatura[[#This Row],[Data_dostarczenia]],13)</f>
        <v>5</v>
      </c>
      <c r="F198" s="2">
        <f>WEEKDAY(makulatura[[#This Row],[Data_dostarczenia]],2)</f>
        <v>1</v>
      </c>
    </row>
    <row r="199" spans="1:6" x14ac:dyDescent="0.25">
      <c r="A199" s="1">
        <v>42765</v>
      </c>
      <c r="B199" s="2" t="s">
        <v>87</v>
      </c>
      <c r="C199" s="2" t="s">
        <v>255</v>
      </c>
      <c r="D199">
        <v>9</v>
      </c>
      <c r="E199">
        <f>WEEKNUM(makulatura[[#This Row],[Data_dostarczenia]],13)</f>
        <v>5</v>
      </c>
      <c r="F199" s="2">
        <f>WEEKDAY(makulatura[[#This Row],[Data_dostarczenia]],2)</f>
        <v>1</v>
      </c>
    </row>
    <row r="200" spans="1:6" x14ac:dyDescent="0.25">
      <c r="A200" s="1">
        <v>42766</v>
      </c>
      <c r="B200" s="2" t="s">
        <v>12</v>
      </c>
      <c r="C200" s="2" t="s">
        <v>13</v>
      </c>
      <c r="D200">
        <v>26</v>
      </c>
      <c r="E200">
        <f>WEEKNUM(makulatura[[#This Row],[Data_dostarczenia]],13)</f>
        <v>5</v>
      </c>
      <c r="F200" s="2">
        <f>WEEKDAY(makulatura[[#This Row],[Data_dostarczenia]],2)</f>
        <v>2</v>
      </c>
    </row>
    <row r="201" spans="1:6" x14ac:dyDescent="0.25">
      <c r="A201" s="1">
        <v>42766</v>
      </c>
      <c r="B201" s="2" t="s">
        <v>47</v>
      </c>
      <c r="C201" s="2" t="s">
        <v>256</v>
      </c>
      <c r="D201">
        <v>38</v>
      </c>
      <c r="E201">
        <f>WEEKNUM(makulatura[[#This Row],[Data_dostarczenia]],13)</f>
        <v>5</v>
      </c>
      <c r="F201" s="2">
        <f>WEEKDAY(makulatura[[#This Row],[Data_dostarczenia]],2)</f>
        <v>2</v>
      </c>
    </row>
    <row r="202" spans="1:6" x14ac:dyDescent="0.25">
      <c r="A202" s="1">
        <v>42766</v>
      </c>
      <c r="B202" s="2" t="s">
        <v>55</v>
      </c>
      <c r="C202" s="2" t="s">
        <v>199</v>
      </c>
      <c r="D202">
        <v>40</v>
      </c>
      <c r="E202">
        <f>WEEKNUM(makulatura[[#This Row],[Data_dostarczenia]],13)</f>
        <v>5</v>
      </c>
      <c r="F202" s="2">
        <f>WEEKDAY(makulatura[[#This Row],[Data_dostarczenia]],2)</f>
        <v>2</v>
      </c>
    </row>
    <row r="203" spans="1:6" x14ac:dyDescent="0.25">
      <c r="A203" s="1">
        <v>42766</v>
      </c>
      <c r="B203" s="2" t="s">
        <v>152</v>
      </c>
      <c r="C203" s="2" t="s">
        <v>257</v>
      </c>
      <c r="D203">
        <v>56</v>
      </c>
      <c r="E203">
        <f>WEEKNUM(makulatura[[#This Row],[Data_dostarczenia]],13)</f>
        <v>5</v>
      </c>
      <c r="F203" s="2">
        <f>WEEKDAY(makulatura[[#This Row],[Data_dostarczenia]],2)</f>
        <v>2</v>
      </c>
    </row>
    <row r="204" spans="1:6" x14ac:dyDescent="0.25">
      <c r="A204" s="1">
        <v>42766</v>
      </c>
      <c r="B204" s="2" t="s">
        <v>150</v>
      </c>
      <c r="C204" s="2" t="s">
        <v>258</v>
      </c>
      <c r="D204">
        <v>18</v>
      </c>
      <c r="E204">
        <f>WEEKNUM(makulatura[[#This Row],[Data_dostarczenia]],13)</f>
        <v>5</v>
      </c>
      <c r="F204" s="2">
        <f>WEEKDAY(makulatura[[#This Row],[Data_dostarczenia]],2)</f>
        <v>2</v>
      </c>
    </row>
    <row r="205" spans="1:6" x14ac:dyDescent="0.25">
      <c r="A205" s="1">
        <v>42766</v>
      </c>
      <c r="B205" s="2" t="s">
        <v>101</v>
      </c>
      <c r="C205" s="2" t="s">
        <v>102</v>
      </c>
      <c r="D205">
        <v>14</v>
      </c>
      <c r="E205">
        <f>WEEKNUM(makulatura[[#This Row],[Data_dostarczenia]],13)</f>
        <v>5</v>
      </c>
      <c r="F205" s="2">
        <f>WEEKDAY(makulatura[[#This Row],[Data_dostarczenia]],2)</f>
        <v>2</v>
      </c>
    </row>
    <row r="206" spans="1:6" x14ac:dyDescent="0.25">
      <c r="A206" s="1">
        <v>42766</v>
      </c>
      <c r="B206" s="2" t="s">
        <v>87</v>
      </c>
      <c r="C206" s="2" t="s">
        <v>259</v>
      </c>
      <c r="D206">
        <v>16</v>
      </c>
      <c r="E206">
        <f>WEEKNUM(makulatura[[#This Row],[Data_dostarczenia]],13)</f>
        <v>5</v>
      </c>
      <c r="F206" s="2">
        <f>WEEKDAY(makulatura[[#This Row],[Data_dostarczenia]],2)</f>
        <v>2</v>
      </c>
    </row>
    <row r="207" spans="1:6" x14ac:dyDescent="0.25">
      <c r="A207" s="1">
        <v>42766</v>
      </c>
      <c r="B207" s="2" t="s">
        <v>141</v>
      </c>
      <c r="C207" s="2" t="s">
        <v>260</v>
      </c>
      <c r="D207">
        <v>41</v>
      </c>
      <c r="E207">
        <f>WEEKNUM(makulatura[[#This Row],[Data_dostarczenia]],13)</f>
        <v>5</v>
      </c>
      <c r="F207" s="2">
        <f>WEEKDAY(makulatura[[#This Row],[Data_dostarczenia]],2)</f>
        <v>2</v>
      </c>
    </row>
    <row r="208" spans="1:6" x14ac:dyDescent="0.25">
      <c r="A208" s="1">
        <v>42766</v>
      </c>
      <c r="B208" s="2" t="s">
        <v>261</v>
      </c>
      <c r="C208" s="2" t="s">
        <v>262</v>
      </c>
      <c r="D208">
        <v>52</v>
      </c>
      <c r="E208">
        <f>WEEKNUM(makulatura[[#This Row],[Data_dostarczenia]],13)</f>
        <v>5</v>
      </c>
      <c r="F208" s="2">
        <f>WEEKDAY(makulatura[[#This Row],[Data_dostarczenia]],2)</f>
        <v>2</v>
      </c>
    </row>
    <row r="209" spans="1:6" x14ac:dyDescent="0.25">
      <c r="A209" s="1">
        <v>42766</v>
      </c>
      <c r="B209" s="2" t="s">
        <v>101</v>
      </c>
      <c r="C209" s="2" t="s">
        <v>263</v>
      </c>
      <c r="D209">
        <v>50</v>
      </c>
      <c r="E209">
        <f>WEEKNUM(makulatura[[#This Row],[Data_dostarczenia]],13)</f>
        <v>5</v>
      </c>
      <c r="F209" s="2">
        <f>WEEKDAY(makulatura[[#This Row],[Data_dostarczenia]],2)</f>
        <v>2</v>
      </c>
    </row>
    <row r="210" spans="1:6" x14ac:dyDescent="0.25">
      <c r="A210" s="1">
        <v>42766</v>
      </c>
      <c r="B210" s="2" t="s">
        <v>75</v>
      </c>
      <c r="C210" s="2" t="s">
        <v>264</v>
      </c>
      <c r="D210">
        <v>34</v>
      </c>
      <c r="E210">
        <f>WEEKNUM(makulatura[[#This Row],[Data_dostarczenia]],13)</f>
        <v>5</v>
      </c>
      <c r="F210" s="2">
        <f>WEEKDAY(makulatura[[#This Row],[Data_dostarczenia]],2)</f>
        <v>2</v>
      </c>
    </row>
    <row r="211" spans="1:6" x14ac:dyDescent="0.25">
      <c r="A211" s="1">
        <v>42767</v>
      </c>
      <c r="B211" s="2" t="s">
        <v>55</v>
      </c>
      <c r="C211" s="2" t="s">
        <v>265</v>
      </c>
      <c r="D211">
        <v>17</v>
      </c>
      <c r="E211">
        <f>WEEKNUM(makulatura[[#This Row],[Data_dostarczenia]],13)</f>
        <v>6</v>
      </c>
      <c r="F211" s="2">
        <f>WEEKDAY(makulatura[[#This Row],[Data_dostarczenia]],2)</f>
        <v>3</v>
      </c>
    </row>
    <row r="212" spans="1:6" x14ac:dyDescent="0.25">
      <c r="A212" s="1">
        <v>42767</v>
      </c>
      <c r="B212" s="2" t="s">
        <v>10</v>
      </c>
      <c r="C212" s="2" t="s">
        <v>266</v>
      </c>
      <c r="D212">
        <v>3</v>
      </c>
      <c r="E212">
        <f>WEEKNUM(makulatura[[#This Row],[Data_dostarczenia]],13)</f>
        <v>6</v>
      </c>
      <c r="F212" s="2">
        <f>WEEKDAY(makulatura[[#This Row],[Data_dostarczenia]],2)</f>
        <v>3</v>
      </c>
    </row>
    <row r="213" spans="1:6" x14ac:dyDescent="0.25">
      <c r="A213" s="1">
        <v>42767</v>
      </c>
      <c r="B213" s="2" t="s">
        <v>267</v>
      </c>
      <c r="C213" s="2" t="s">
        <v>268</v>
      </c>
      <c r="D213">
        <v>3</v>
      </c>
      <c r="E213">
        <f>WEEKNUM(makulatura[[#This Row],[Data_dostarczenia]],13)</f>
        <v>6</v>
      </c>
      <c r="F213" s="2">
        <f>WEEKDAY(makulatura[[#This Row],[Data_dostarczenia]],2)</f>
        <v>3</v>
      </c>
    </row>
    <row r="214" spans="1:6" x14ac:dyDescent="0.25">
      <c r="A214" s="1">
        <v>42767</v>
      </c>
      <c r="B214" s="2" t="s">
        <v>161</v>
      </c>
      <c r="C214" s="2" t="s">
        <v>214</v>
      </c>
      <c r="D214">
        <v>26</v>
      </c>
      <c r="E214">
        <f>WEEKNUM(makulatura[[#This Row],[Data_dostarczenia]],13)</f>
        <v>6</v>
      </c>
      <c r="F214" s="2">
        <f>WEEKDAY(makulatura[[#This Row],[Data_dostarczenia]],2)</f>
        <v>3</v>
      </c>
    </row>
    <row r="215" spans="1:6" x14ac:dyDescent="0.25">
      <c r="A215" s="1">
        <v>42767</v>
      </c>
      <c r="B215" s="2" t="s">
        <v>61</v>
      </c>
      <c r="C215" s="2" t="s">
        <v>62</v>
      </c>
      <c r="D215">
        <v>3</v>
      </c>
      <c r="E215">
        <f>WEEKNUM(makulatura[[#This Row],[Data_dostarczenia]],13)</f>
        <v>6</v>
      </c>
      <c r="F215" s="2">
        <f>WEEKDAY(makulatura[[#This Row],[Data_dostarczenia]],2)</f>
        <v>3</v>
      </c>
    </row>
    <row r="216" spans="1:6" x14ac:dyDescent="0.25">
      <c r="A216" s="1">
        <v>42767</v>
      </c>
      <c r="B216" s="2" t="s">
        <v>269</v>
      </c>
      <c r="C216" s="2" t="s">
        <v>270</v>
      </c>
      <c r="D216">
        <v>20</v>
      </c>
      <c r="E216">
        <f>WEEKNUM(makulatura[[#This Row],[Data_dostarczenia]],13)</f>
        <v>6</v>
      </c>
      <c r="F216" s="2">
        <f>WEEKDAY(makulatura[[#This Row],[Data_dostarczenia]],2)</f>
        <v>3</v>
      </c>
    </row>
    <row r="217" spans="1:6" x14ac:dyDescent="0.25">
      <c r="A217" s="1">
        <v>42767</v>
      </c>
      <c r="B217" s="2" t="s">
        <v>271</v>
      </c>
      <c r="C217" s="2" t="s">
        <v>272</v>
      </c>
      <c r="D217">
        <v>23</v>
      </c>
      <c r="E217">
        <f>WEEKNUM(makulatura[[#This Row],[Data_dostarczenia]],13)</f>
        <v>6</v>
      </c>
      <c r="F217" s="2">
        <f>WEEKDAY(makulatura[[#This Row],[Data_dostarczenia]],2)</f>
        <v>3</v>
      </c>
    </row>
    <row r="218" spans="1:6" x14ac:dyDescent="0.25">
      <c r="A218" s="1">
        <v>42767</v>
      </c>
      <c r="B218" s="2" t="s">
        <v>273</v>
      </c>
      <c r="C218" s="2" t="s">
        <v>274</v>
      </c>
      <c r="D218">
        <v>24</v>
      </c>
      <c r="E218">
        <f>WEEKNUM(makulatura[[#This Row],[Data_dostarczenia]],13)</f>
        <v>6</v>
      </c>
      <c r="F218" s="2">
        <f>WEEKDAY(makulatura[[#This Row],[Data_dostarczenia]],2)</f>
        <v>3</v>
      </c>
    </row>
    <row r="219" spans="1:6" x14ac:dyDescent="0.25">
      <c r="A219" s="1">
        <v>42767</v>
      </c>
      <c r="B219" s="2" t="s">
        <v>275</v>
      </c>
      <c r="C219" s="2" t="s">
        <v>276</v>
      </c>
      <c r="D219">
        <v>17</v>
      </c>
      <c r="E219">
        <f>WEEKNUM(makulatura[[#This Row],[Data_dostarczenia]],13)</f>
        <v>6</v>
      </c>
      <c r="F219" s="2">
        <f>WEEKDAY(makulatura[[#This Row],[Data_dostarczenia]],2)</f>
        <v>3</v>
      </c>
    </row>
    <row r="220" spans="1:6" x14ac:dyDescent="0.25">
      <c r="A220" s="1">
        <v>42767</v>
      </c>
      <c r="B220" s="2" t="s">
        <v>106</v>
      </c>
      <c r="C220" s="2" t="s">
        <v>277</v>
      </c>
      <c r="D220">
        <v>6</v>
      </c>
      <c r="E220">
        <f>WEEKNUM(makulatura[[#This Row],[Data_dostarczenia]],13)</f>
        <v>6</v>
      </c>
      <c r="F220" s="2">
        <f>WEEKDAY(makulatura[[#This Row],[Data_dostarczenia]],2)</f>
        <v>3</v>
      </c>
    </row>
    <row r="221" spans="1:6" x14ac:dyDescent="0.25">
      <c r="A221" s="1">
        <v>42767</v>
      </c>
      <c r="B221" s="2" t="s">
        <v>278</v>
      </c>
      <c r="C221" s="2" t="s">
        <v>279</v>
      </c>
      <c r="D221">
        <v>47</v>
      </c>
      <c r="E221">
        <f>WEEKNUM(makulatura[[#This Row],[Data_dostarczenia]],13)</f>
        <v>6</v>
      </c>
      <c r="F221" s="2">
        <f>WEEKDAY(makulatura[[#This Row],[Data_dostarczenia]],2)</f>
        <v>3</v>
      </c>
    </row>
    <row r="222" spans="1:6" x14ac:dyDescent="0.25">
      <c r="A222" s="1">
        <v>42768</v>
      </c>
      <c r="B222" s="2" t="s">
        <v>280</v>
      </c>
      <c r="C222" s="2" t="s">
        <v>281</v>
      </c>
      <c r="D222">
        <v>25</v>
      </c>
      <c r="E222">
        <f>WEEKNUM(makulatura[[#This Row],[Data_dostarczenia]],13)</f>
        <v>6</v>
      </c>
      <c r="F222" s="2">
        <f>WEEKDAY(makulatura[[#This Row],[Data_dostarczenia]],2)</f>
        <v>4</v>
      </c>
    </row>
    <row r="223" spans="1:6" x14ac:dyDescent="0.25">
      <c r="A223" s="1">
        <v>42768</v>
      </c>
      <c r="B223" s="2" t="s">
        <v>282</v>
      </c>
      <c r="C223" s="2" t="s">
        <v>283</v>
      </c>
      <c r="D223">
        <v>20</v>
      </c>
      <c r="E223">
        <f>WEEKNUM(makulatura[[#This Row],[Data_dostarczenia]],13)</f>
        <v>6</v>
      </c>
      <c r="F223" s="2">
        <f>WEEKDAY(makulatura[[#This Row],[Data_dostarczenia]],2)</f>
        <v>4</v>
      </c>
    </row>
    <row r="224" spans="1:6" x14ac:dyDescent="0.25">
      <c r="A224" s="1">
        <v>42768</v>
      </c>
      <c r="B224" s="2" t="s">
        <v>284</v>
      </c>
      <c r="C224" s="2" t="s">
        <v>285</v>
      </c>
      <c r="D224">
        <v>6</v>
      </c>
      <c r="E224">
        <f>WEEKNUM(makulatura[[#This Row],[Data_dostarczenia]],13)</f>
        <v>6</v>
      </c>
      <c r="F224" s="2">
        <f>WEEKDAY(makulatura[[#This Row],[Data_dostarczenia]],2)</f>
        <v>4</v>
      </c>
    </row>
    <row r="225" spans="1:6" x14ac:dyDescent="0.25">
      <c r="A225" s="1">
        <v>42768</v>
      </c>
      <c r="B225" s="2" t="s">
        <v>69</v>
      </c>
      <c r="C225" s="2" t="s">
        <v>286</v>
      </c>
      <c r="D225">
        <v>16</v>
      </c>
      <c r="E225">
        <f>WEEKNUM(makulatura[[#This Row],[Data_dostarczenia]],13)</f>
        <v>6</v>
      </c>
      <c r="F225" s="2">
        <f>WEEKDAY(makulatura[[#This Row],[Data_dostarczenia]],2)</f>
        <v>4</v>
      </c>
    </row>
    <row r="226" spans="1:6" x14ac:dyDescent="0.25">
      <c r="A226" s="1">
        <v>42768</v>
      </c>
      <c r="B226" s="2" t="s">
        <v>267</v>
      </c>
      <c r="C226" s="2" t="s">
        <v>287</v>
      </c>
      <c r="D226">
        <v>16</v>
      </c>
      <c r="E226">
        <f>WEEKNUM(makulatura[[#This Row],[Data_dostarczenia]],13)</f>
        <v>6</v>
      </c>
      <c r="F226" s="2">
        <f>WEEKDAY(makulatura[[#This Row],[Data_dostarczenia]],2)</f>
        <v>4</v>
      </c>
    </row>
    <row r="227" spans="1:6" x14ac:dyDescent="0.25">
      <c r="A227" s="1">
        <v>42768</v>
      </c>
      <c r="B227" s="2" t="s">
        <v>252</v>
      </c>
      <c r="C227" s="2" t="s">
        <v>288</v>
      </c>
      <c r="D227">
        <v>8</v>
      </c>
      <c r="E227">
        <f>WEEKNUM(makulatura[[#This Row],[Data_dostarczenia]],13)</f>
        <v>6</v>
      </c>
      <c r="F227" s="2">
        <f>WEEKDAY(makulatura[[#This Row],[Data_dostarczenia]],2)</f>
        <v>4</v>
      </c>
    </row>
    <row r="228" spans="1:6" x14ac:dyDescent="0.25">
      <c r="A228" s="1">
        <v>42768</v>
      </c>
      <c r="B228" s="2" t="s">
        <v>178</v>
      </c>
      <c r="C228" s="2" t="s">
        <v>242</v>
      </c>
      <c r="D228">
        <v>17</v>
      </c>
      <c r="E228">
        <f>WEEKNUM(makulatura[[#This Row],[Data_dostarczenia]],13)</f>
        <v>6</v>
      </c>
      <c r="F228" s="2">
        <f>WEEKDAY(makulatura[[#This Row],[Data_dostarczenia]],2)</f>
        <v>4</v>
      </c>
    </row>
    <row r="229" spans="1:6" x14ac:dyDescent="0.25">
      <c r="A229" s="1">
        <v>42768</v>
      </c>
      <c r="B229" s="2" t="s">
        <v>39</v>
      </c>
      <c r="C229" s="2" t="s">
        <v>289</v>
      </c>
      <c r="D229">
        <v>8</v>
      </c>
      <c r="E229">
        <f>WEEKNUM(makulatura[[#This Row],[Data_dostarczenia]],13)</f>
        <v>6</v>
      </c>
      <c r="F229" s="2">
        <f>WEEKDAY(makulatura[[#This Row],[Data_dostarczenia]],2)</f>
        <v>4</v>
      </c>
    </row>
    <row r="230" spans="1:6" x14ac:dyDescent="0.25">
      <c r="A230" s="1">
        <v>42768</v>
      </c>
      <c r="B230" s="2" t="s">
        <v>30</v>
      </c>
      <c r="C230" s="2" t="s">
        <v>31</v>
      </c>
      <c r="D230">
        <v>29</v>
      </c>
      <c r="E230">
        <f>WEEKNUM(makulatura[[#This Row],[Data_dostarczenia]],13)</f>
        <v>6</v>
      </c>
      <c r="F230" s="2">
        <f>WEEKDAY(makulatura[[#This Row],[Data_dostarczenia]],2)</f>
        <v>4</v>
      </c>
    </row>
    <row r="231" spans="1:6" x14ac:dyDescent="0.25">
      <c r="A231" s="1">
        <v>42768</v>
      </c>
      <c r="B231" s="2" t="s">
        <v>206</v>
      </c>
      <c r="C231" s="2" t="s">
        <v>227</v>
      </c>
      <c r="D231">
        <v>43</v>
      </c>
      <c r="E231">
        <f>WEEKNUM(makulatura[[#This Row],[Data_dostarczenia]],13)</f>
        <v>6</v>
      </c>
      <c r="F231" s="2">
        <f>WEEKDAY(makulatura[[#This Row],[Data_dostarczenia]],2)</f>
        <v>4</v>
      </c>
    </row>
    <row r="232" spans="1:6" x14ac:dyDescent="0.25">
      <c r="A232" s="1">
        <v>42768</v>
      </c>
      <c r="B232" s="2" t="s">
        <v>290</v>
      </c>
      <c r="C232" s="2" t="s">
        <v>291</v>
      </c>
      <c r="D232">
        <v>17</v>
      </c>
      <c r="E232">
        <f>WEEKNUM(makulatura[[#This Row],[Data_dostarczenia]],13)</f>
        <v>6</v>
      </c>
      <c r="F232" s="2">
        <f>WEEKDAY(makulatura[[#This Row],[Data_dostarczenia]],2)</f>
        <v>4</v>
      </c>
    </row>
    <row r="233" spans="1:6" x14ac:dyDescent="0.25">
      <c r="A233" s="1">
        <v>42769</v>
      </c>
      <c r="B233" s="2" t="s">
        <v>67</v>
      </c>
      <c r="C233" s="2" t="s">
        <v>68</v>
      </c>
      <c r="D233">
        <v>29</v>
      </c>
      <c r="E233">
        <f>WEEKNUM(makulatura[[#This Row],[Data_dostarczenia]],13)</f>
        <v>6</v>
      </c>
      <c r="F233" s="2">
        <f>WEEKDAY(makulatura[[#This Row],[Data_dostarczenia]],2)</f>
        <v>5</v>
      </c>
    </row>
    <row r="234" spans="1:6" x14ac:dyDescent="0.25">
      <c r="A234" s="1">
        <v>42769</v>
      </c>
      <c r="B234" s="2" t="s">
        <v>117</v>
      </c>
      <c r="C234" s="2" t="s">
        <v>183</v>
      </c>
      <c r="D234">
        <v>7</v>
      </c>
      <c r="E234">
        <f>WEEKNUM(makulatura[[#This Row],[Data_dostarczenia]],13)</f>
        <v>6</v>
      </c>
      <c r="F234" s="2">
        <f>WEEKDAY(makulatura[[#This Row],[Data_dostarczenia]],2)</f>
        <v>5</v>
      </c>
    </row>
    <row r="235" spans="1:6" x14ac:dyDescent="0.25">
      <c r="A235" s="1">
        <v>42769</v>
      </c>
      <c r="B235" s="2" t="s">
        <v>141</v>
      </c>
      <c r="C235" s="2" t="s">
        <v>292</v>
      </c>
      <c r="D235">
        <v>16</v>
      </c>
      <c r="E235">
        <f>WEEKNUM(makulatura[[#This Row],[Data_dostarczenia]],13)</f>
        <v>6</v>
      </c>
      <c r="F235" s="2">
        <f>WEEKDAY(makulatura[[#This Row],[Data_dostarczenia]],2)</f>
        <v>5</v>
      </c>
    </row>
    <row r="236" spans="1:6" x14ac:dyDescent="0.25">
      <c r="A236" s="1">
        <v>42769</v>
      </c>
      <c r="B236" s="2" t="s">
        <v>150</v>
      </c>
      <c r="C236" s="2" t="s">
        <v>258</v>
      </c>
      <c r="D236">
        <v>3</v>
      </c>
      <c r="E236">
        <f>WEEKNUM(makulatura[[#This Row],[Data_dostarczenia]],13)</f>
        <v>6</v>
      </c>
      <c r="F236" s="2">
        <f>WEEKDAY(makulatura[[#This Row],[Data_dostarczenia]],2)</f>
        <v>5</v>
      </c>
    </row>
    <row r="237" spans="1:6" x14ac:dyDescent="0.25">
      <c r="A237" s="1">
        <v>42769</v>
      </c>
      <c r="B237" s="2" t="s">
        <v>12</v>
      </c>
      <c r="C237" s="2" t="s">
        <v>13</v>
      </c>
      <c r="D237">
        <v>26</v>
      </c>
      <c r="E237">
        <f>WEEKNUM(makulatura[[#This Row],[Data_dostarczenia]],13)</f>
        <v>6</v>
      </c>
      <c r="F237" s="2">
        <f>WEEKDAY(makulatura[[#This Row],[Data_dostarczenia]],2)</f>
        <v>5</v>
      </c>
    </row>
    <row r="238" spans="1:6" x14ac:dyDescent="0.25">
      <c r="A238" s="1">
        <v>42769</v>
      </c>
      <c r="B238" s="2" t="s">
        <v>101</v>
      </c>
      <c r="C238" s="2" t="s">
        <v>293</v>
      </c>
      <c r="D238">
        <v>5</v>
      </c>
      <c r="E238">
        <f>WEEKNUM(makulatura[[#This Row],[Data_dostarczenia]],13)</f>
        <v>6</v>
      </c>
      <c r="F238" s="2">
        <f>WEEKDAY(makulatura[[#This Row],[Data_dostarczenia]],2)</f>
        <v>5</v>
      </c>
    </row>
    <row r="239" spans="1:6" x14ac:dyDescent="0.25">
      <c r="A239" s="1">
        <v>42769</v>
      </c>
      <c r="B239" s="2" t="s">
        <v>39</v>
      </c>
      <c r="C239" s="2" t="s">
        <v>294</v>
      </c>
      <c r="D239">
        <v>16</v>
      </c>
      <c r="E239">
        <f>WEEKNUM(makulatura[[#This Row],[Data_dostarczenia]],13)</f>
        <v>6</v>
      </c>
      <c r="F239" s="2">
        <f>WEEKDAY(makulatura[[#This Row],[Data_dostarczenia]],2)</f>
        <v>5</v>
      </c>
    </row>
    <row r="240" spans="1:6" x14ac:dyDescent="0.25">
      <c r="A240" s="1">
        <v>42769</v>
      </c>
      <c r="B240" s="2" t="s">
        <v>36</v>
      </c>
      <c r="C240" s="2" t="s">
        <v>295</v>
      </c>
      <c r="D240">
        <v>19</v>
      </c>
      <c r="E240">
        <f>WEEKNUM(makulatura[[#This Row],[Data_dostarczenia]],13)</f>
        <v>6</v>
      </c>
      <c r="F240" s="2">
        <f>WEEKDAY(makulatura[[#This Row],[Data_dostarczenia]],2)</f>
        <v>5</v>
      </c>
    </row>
    <row r="241" spans="1:6" x14ac:dyDescent="0.25">
      <c r="A241" s="1">
        <v>42769</v>
      </c>
      <c r="B241" s="2" t="s">
        <v>217</v>
      </c>
      <c r="C241" s="2" t="s">
        <v>218</v>
      </c>
      <c r="D241">
        <v>13</v>
      </c>
      <c r="E241">
        <f>WEEKNUM(makulatura[[#This Row],[Data_dostarczenia]],13)</f>
        <v>6</v>
      </c>
      <c r="F241" s="2">
        <f>WEEKDAY(makulatura[[#This Row],[Data_dostarczenia]],2)</f>
        <v>5</v>
      </c>
    </row>
    <row r="242" spans="1:6" x14ac:dyDescent="0.25">
      <c r="A242" s="1">
        <v>42769</v>
      </c>
      <c r="B242" s="2" t="s">
        <v>206</v>
      </c>
      <c r="C242" s="2" t="s">
        <v>296</v>
      </c>
      <c r="D242">
        <v>8</v>
      </c>
      <c r="E242">
        <f>WEEKNUM(makulatura[[#This Row],[Data_dostarczenia]],13)</f>
        <v>6</v>
      </c>
      <c r="F242" s="2">
        <f>WEEKDAY(makulatura[[#This Row],[Data_dostarczenia]],2)</f>
        <v>5</v>
      </c>
    </row>
    <row r="243" spans="1:6" x14ac:dyDescent="0.25">
      <c r="A243" s="1">
        <v>42769</v>
      </c>
      <c r="B243" s="2" t="s">
        <v>150</v>
      </c>
      <c r="C243" s="2" t="s">
        <v>297</v>
      </c>
      <c r="D243">
        <v>13</v>
      </c>
      <c r="E243">
        <f>WEEKNUM(makulatura[[#This Row],[Data_dostarczenia]],13)</f>
        <v>6</v>
      </c>
      <c r="F243" s="2">
        <f>WEEKDAY(makulatura[[#This Row],[Data_dostarczenia]],2)</f>
        <v>5</v>
      </c>
    </row>
    <row r="244" spans="1:6" x14ac:dyDescent="0.25">
      <c r="A244" s="1">
        <v>42772</v>
      </c>
      <c r="B244" s="2" t="s">
        <v>150</v>
      </c>
      <c r="C244" s="2" t="s">
        <v>298</v>
      </c>
      <c r="D244">
        <v>25</v>
      </c>
      <c r="E244">
        <f>WEEKNUM(makulatura[[#This Row],[Data_dostarczenia]],13)</f>
        <v>6</v>
      </c>
      <c r="F244" s="2">
        <f>WEEKDAY(makulatura[[#This Row],[Data_dostarczenia]],2)</f>
        <v>1</v>
      </c>
    </row>
    <row r="245" spans="1:6" x14ac:dyDescent="0.25">
      <c r="A245" s="1">
        <v>42772</v>
      </c>
      <c r="B245" s="2" t="s">
        <v>299</v>
      </c>
      <c r="C245" s="2" t="s">
        <v>300</v>
      </c>
      <c r="D245">
        <v>25</v>
      </c>
      <c r="E245">
        <f>WEEKNUM(makulatura[[#This Row],[Data_dostarczenia]],13)</f>
        <v>6</v>
      </c>
      <c r="F245" s="2">
        <f>WEEKDAY(makulatura[[#This Row],[Data_dostarczenia]],2)</f>
        <v>1</v>
      </c>
    </row>
    <row r="246" spans="1:6" x14ac:dyDescent="0.25">
      <c r="A246" s="1">
        <v>42772</v>
      </c>
      <c r="B246" s="2" t="s">
        <v>67</v>
      </c>
      <c r="C246" s="2" t="s">
        <v>301</v>
      </c>
      <c r="D246">
        <v>56</v>
      </c>
      <c r="E246">
        <f>WEEKNUM(makulatura[[#This Row],[Data_dostarczenia]],13)</f>
        <v>6</v>
      </c>
      <c r="F246" s="2">
        <f>WEEKDAY(makulatura[[#This Row],[Data_dostarczenia]],2)</f>
        <v>1</v>
      </c>
    </row>
    <row r="247" spans="1:6" x14ac:dyDescent="0.25">
      <c r="A247" s="1">
        <v>42772</v>
      </c>
      <c r="B247" s="2" t="s">
        <v>198</v>
      </c>
      <c r="C247" s="2" t="s">
        <v>199</v>
      </c>
      <c r="D247">
        <v>3</v>
      </c>
      <c r="E247">
        <f>WEEKNUM(makulatura[[#This Row],[Data_dostarczenia]],13)</f>
        <v>6</v>
      </c>
      <c r="F247" s="2">
        <f>WEEKDAY(makulatura[[#This Row],[Data_dostarczenia]],2)</f>
        <v>1</v>
      </c>
    </row>
    <row r="248" spans="1:6" x14ac:dyDescent="0.25">
      <c r="A248" s="1">
        <v>42772</v>
      </c>
      <c r="B248" s="2" t="s">
        <v>41</v>
      </c>
      <c r="C248" s="2" t="s">
        <v>302</v>
      </c>
      <c r="D248">
        <v>18</v>
      </c>
      <c r="E248">
        <f>WEEKNUM(makulatura[[#This Row],[Data_dostarczenia]],13)</f>
        <v>6</v>
      </c>
      <c r="F248" s="2">
        <f>WEEKDAY(makulatura[[#This Row],[Data_dostarczenia]],2)</f>
        <v>1</v>
      </c>
    </row>
    <row r="249" spans="1:6" x14ac:dyDescent="0.25">
      <c r="A249" s="1">
        <v>42772</v>
      </c>
      <c r="B249" s="2" t="s">
        <v>67</v>
      </c>
      <c r="C249" s="2" t="s">
        <v>301</v>
      </c>
      <c r="D249">
        <v>14</v>
      </c>
      <c r="E249">
        <f>WEEKNUM(makulatura[[#This Row],[Data_dostarczenia]],13)</f>
        <v>6</v>
      </c>
      <c r="F249" s="2">
        <f>WEEKDAY(makulatura[[#This Row],[Data_dostarczenia]],2)</f>
        <v>1</v>
      </c>
    </row>
    <row r="250" spans="1:6" x14ac:dyDescent="0.25">
      <c r="A250" s="1">
        <v>42772</v>
      </c>
      <c r="B250" s="2" t="s">
        <v>303</v>
      </c>
      <c r="C250" s="2" t="s">
        <v>304</v>
      </c>
      <c r="D250">
        <v>5</v>
      </c>
      <c r="E250">
        <f>WEEKNUM(makulatura[[#This Row],[Data_dostarczenia]],13)</f>
        <v>6</v>
      </c>
      <c r="F250" s="2">
        <f>WEEKDAY(makulatura[[#This Row],[Data_dostarczenia]],2)</f>
        <v>1</v>
      </c>
    </row>
    <row r="251" spans="1:6" x14ac:dyDescent="0.25">
      <c r="A251" s="1">
        <v>42772</v>
      </c>
      <c r="B251" s="2" t="s">
        <v>161</v>
      </c>
      <c r="C251" s="2" t="s">
        <v>305</v>
      </c>
      <c r="D251">
        <v>3</v>
      </c>
      <c r="E251">
        <f>WEEKNUM(makulatura[[#This Row],[Data_dostarczenia]],13)</f>
        <v>6</v>
      </c>
      <c r="F251" s="2">
        <f>WEEKDAY(makulatura[[#This Row],[Data_dostarczenia]],2)</f>
        <v>1</v>
      </c>
    </row>
    <row r="252" spans="1:6" x14ac:dyDescent="0.25">
      <c r="A252" s="1">
        <v>42772</v>
      </c>
      <c r="B252" s="2" t="s">
        <v>36</v>
      </c>
      <c r="C252" s="2" t="s">
        <v>306</v>
      </c>
      <c r="D252">
        <v>27</v>
      </c>
      <c r="E252">
        <f>WEEKNUM(makulatura[[#This Row],[Data_dostarczenia]],13)</f>
        <v>6</v>
      </c>
      <c r="F252" s="2">
        <f>WEEKDAY(makulatura[[#This Row],[Data_dostarczenia]],2)</f>
        <v>1</v>
      </c>
    </row>
    <row r="253" spans="1:6" x14ac:dyDescent="0.25">
      <c r="A253" s="1">
        <v>42772</v>
      </c>
      <c r="B253" s="2" t="s">
        <v>307</v>
      </c>
      <c r="C253" s="2" t="s">
        <v>308</v>
      </c>
      <c r="D253">
        <v>28</v>
      </c>
      <c r="E253">
        <f>WEEKNUM(makulatura[[#This Row],[Data_dostarczenia]],13)</f>
        <v>6</v>
      </c>
      <c r="F253" s="2">
        <f>WEEKDAY(makulatura[[#This Row],[Data_dostarczenia]],2)</f>
        <v>1</v>
      </c>
    </row>
    <row r="254" spans="1:6" x14ac:dyDescent="0.25">
      <c r="A254" s="1">
        <v>42772</v>
      </c>
      <c r="B254" s="2" t="s">
        <v>128</v>
      </c>
      <c r="C254" s="2" t="s">
        <v>309</v>
      </c>
      <c r="D254">
        <v>2</v>
      </c>
      <c r="E254">
        <f>WEEKNUM(makulatura[[#This Row],[Data_dostarczenia]],13)</f>
        <v>6</v>
      </c>
      <c r="F254" s="2">
        <f>WEEKDAY(makulatura[[#This Row],[Data_dostarczenia]],2)</f>
        <v>1</v>
      </c>
    </row>
    <row r="255" spans="1:6" x14ac:dyDescent="0.25">
      <c r="A255" s="1">
        <v>42773</v>
      </c>
      <c r="B255" s="2" t="s">
        <v>269</v>
      </c>
      <c r="C255" s="2" t="s">
        <v>270</v>
      </c>
      <c r="D255">
        <v>29</v>
      </c>
      <c r="E255">
        <f>WEEKNUM(makulatura[[#This Row],[Data_dostarczenia]],13)</f>
        <v>6</v>
      </c>
      <c r="F255" s="2">
        <f>WEEKDAY(makulatura[[#This Row],[Data_dostarczenia]],2)</f>
        <v>2</v>
      </c>
    </row>
    <row r="256" spans="1:6" x14ac:dyDescent="0.25">
      <c r="A256" s="1">
        <v>42773</v>
      </c>
      <c r="B256" s="2" t="s">
        <v>310</v>
      </c>
      <c r="C256" s="2" t="s">
        <v>311</v>
      </c>
      <c r="D256">
        <v>54</v>
      </c>
      <c r="E256">
        <f>WEEKNUM(makulatura[[#This Row],[Data_dostarczenia]],13)</f>
        <v>6</v>
      </c>
      <c r="F256" s="2">
        <f>WEEKDAY(makulatura[[#This Row],[Data_dostarczenia]],2)</f>
        <v>2</v>
      </c>
    </row>
    <row r="257" spans="1:6" x14ac:dyDescent="0.25">
      <c r="A257" s="1">
        <v>42773</v>
      </c>
      <c r="B257" s="2" t="s">
        <v>312</v>
      </c>
      <c r="C257" s="2" t="s">
        <v>88</v>
      </c>
      <c r="D257">
        <v>4</v>
      </c>
      <c r="E257">
        <f>WEEKNUM(makulatura[[#This Row],[Data_dostarczenia]],13)</f>
        <v>6</v>
      </c>
      <c r="F257" s="2">
        <f>WEEKDAY(makulatura[[#This Row],[Data_dostarczenia]],2)</f>
        <v>2</v>
      </c>
    </row>
    <row r="258" spans="1:6" x14ac:dyDescent="0.25">
      <c r="A258" s="1">
        <v>42773</v>
      </c>
      <c r="B258" s="2" t="s">
        <v>150</v>
      </c>
      <c r="C258" s="2" t="s">
        <v>313</v>
      </c>
      <c r="D258">
        <v>29</v>
      </c>
      <c r="E258">
        <f>WEEKNUM(makulatura[[#This Row],[Data_dostarczenia]],13)</f>
        <v>6</v>
      </c>
      <c r="F258" s="2">
        <f>WEEKDAY(makulatura[[#This Row],[Data_dostarczenia]],2)</f>
        <v>2</v>
      </c>
    </row>
    <row r="259" spans="1:6" x14ac:dyDescent="0.25">
      <c r="A259" s="1">
        <v>42773</v>
      </c>
      <c r="B259" s="2" t="s">
        <v>314</v>
      </c>
      <c r="C259" s="2" t="s">
        <v>315</v>
      </c>
      <c r="D259">
        <v>22</v>
      </c>
      <c r="E259">
        <f>WEEKNUM(makulatura[[#This Row],[Data_dostarczenia]],13)</f>
        <v>6</v>
      </c>
      <c r="F259" s="2">
        <f>WEEKDAY(makulatura[[#This Row],[Data_dostarczenia]],2)</f>
        <v>2</v>
      </c>
    </row>
    <row r="260" spans="1:6" x14ac:dyDescent="0.25">
      <c r="A260" s="1">
        <v>42773</v>
      </c>
      <c r="B260" s="2" t="s">
        <v>150</v>
      </c>
      <c r="C260" s="2" t="s">
        <v>313</v>
      </c>
      <c r="D260">
        <v>6</v>
      </c>
      <c r="E260">
        <f>WEEKNUM(makulatura[[#This Row],[Data_dostarczenia]],13)</f>
        <v>6</v>
      </c>
      <c r="F260" s="2">
        <f>WEEKDAY(makulatura[[#This Row],[Data_dostarczenia]],2)</f>
        <v>2</v>
      </c>
    </row>
    <row r="261" spans="1:6" x14ac:dyDescent="0.25">
      <c r="A261" s="1">
        <v>42773</v>
      </c>
      <c r="B261" s="2" t="s">
        <v>169</v>
      </c>
      <c r="C261" s="2" t="s">
        <v>170</v>
      </c>
      <c r="D261">
        <v>7</v>
      </c>
      <c r="E261">
        <f>WEEKNUM(makulatura[[#This Row],[Data_dostarczenia]],13)</f>
        <v>6</v>
      </c>
      <c r="F261" s="2">
        <f>WEEKDAY(makulatura[[#This Row],[Data_dostarczenia]],2)</f>
        <v>2</v>
      </c>
    </row>
    <row r="262" spans="1:6" x14ac:dyDescent="0.25">
      <c r="A262" s="1">
        <v>42773</v>
      </c>
      <c r="B262" s="2" t="s">
        <v>133</v>
      </c>
      <c r="C262" s="2" t="s">
        <v>316</v>
      </c>
      <c r="D262">
        <v>21</v>
      </c>
      <c r="E262">
        <f>WEEKNUM(makulatura[[#This Row],[Data_dostarczenia]],13)</f>
        <v>6</v>
      </c>
      <c r="F262" s="2">
        <f>WEEKDAY(makulatura[[#This Row],[Data_dostarczenia]],2)</f>
        <v>2</v>
      </c>
    </row>
    <row r="263" spans="1:6" x14ac:dyDescent="0.25">
      <c r="A263" s="1">
        <v>42773</v>
      </c>
      <c r="B263" s="2" t="s">
        <v>39</v>
      </c>
      <c r="C263" s="2" t="s">
        <v>164</v>
      </c>
      <c r="D263">
        <v>19</v>
      </c>
      <c r="E263">
        <f>WEEKNUM(makulatura[[#This Row],[Data_dostarczenia]],13)</f>
        <v>6</v>
      </c>
      <c r="F263" s="2">
        <f>WEEKDAY(makulatura[[#This Row],[Data_dostarczenia]],2)</f>
        <v>2</v>
      </c>
    </row>
    <row r="264" spans="1:6" x14ac:dyDescent="0.25">
      <c r="A264" s="1">
        <v>42773</v>
      </c>
      <c r="B264" s="2" t="s">
        <v>317</v>
      </c>
      <c r="C264" s="2" t="s">
        <v>318</v>
      </c>
      <c r="D264">
        <v>8</v>
      </c>
      <c r="E264">
        <f>WEEKNUM(makulatura[[#This Row],[Data_dostarczenia]],13)</f>
        <v>6</v>
      </c>
      <c r="F264" s="2">
        <f>WEEKDAY(makulatura[[#This Row],[Data_dostarczenia]],2)</f>
        <v>2</v>
      </c>
    </row>
    <row r="265" spans="1:6" x14ac:dyDescent="0.25">
      <c r="A265" s="1">
        <v>42773</v>
      </c>
      <c r="B265" s="2" t="s">
        <v>39</v>
      </c>
      <c r="C265" s="2" t="s">
        <v>40</v>
      </c>
      <c r="D265">
        <v>2</v>
      </c>
      <c r="E265">
        <f>WEEKNUM(makulatura[[#This Row],[Data_dostarczenia]],13)</f>
        <v>6</v>
      </c>
      <c r="F265" s="2">
        <f>WEEKDAY(makulatura[[#This Row],[Data_dostarczenia]],2)</f>
        <v>2</v>
      </c>
    </row>
    <row r="266" spans="1:6" x14ac:dyDescent="0.25">
      <c r="A266" s="1">
        <v>42774</v>
      </c>
      <c r="B266" s="2" t="s">
        <v>267</v>
      </c>
      <c r="C266" s="2" t="s">
        <v>287</v>
      </c>
      <c r="D266">
        <v>45</v>
      </c>
      <c r="E266">
        <f>WEEKNUM(makulatura[[#This Row],[Data_dostarczenia]],13)</f>
        <v>7</v>
      </c>
      <c r="F266" s="2">
        <f>WEEKDAY(makulatura[[#This Row],[Data_dostarczenia]],2)</f>
        <v>3</v>
      </c>
    </row>
    <row r="267" spans="1:6" x14ac:dyDescent="0.25">
      <c r="A267" s="1">
        <v>42774</v>
      </c>
      <c r="B267" s="2" t="s">
        <v>152</v>
      </c>
      <c r="C267" s="2" t="s">
        <v>319</v>
      </c>
      <c r="D267">
        <v>3</v>
      </c>
      <c r="E267">
        <f>WEEKNUM(makulatura[[#This Row],[Data_dostarczenia]],13)</f>
        <v>7</v>
      </c>
      <c r="F267" s="2">
        <f>WEEKDAY(makulatura[[#This Row],[Data_dostarczenia]],2)</f>
        <v>3</v>
      </c>
    </row>
    <row r="268" spans="1:6" x14ac:dyDescent="0.25">
      <c r="A268" s="1">
        <v>42774</v>
      </c>
      <c r="B268" s="2" t="s">
        <v>320</v>
      </c>
      <c r="C268" s="2" t="s">
        <v>321</v>
      </c>
      <c r="D268">
        <v>36</v>
      </c>
      <c r="E268">
        <f>WEEKNUM(makulatura[[#This Row],[Data_dostarczenia]],13)</f>
        <v>7</v>
      </c>
      <c r="F268" s="2">
        <f>WEEKDAY(makulatura[[#This Row],[Data_dostarczenia]],2)</f>
        <v>3</v>
      </c>
    </row>
    <row r="269" spans="1:6" x14ac:dyDescent="0.25">
      <c r="A269" s="1">
        <v>42774</v>
      </c>
      <c r="B269" s="2" t="s">
        <v>152</v>
      </c>
      <c r="C269" s="2" t="s">
        <v>319</v>
      </c>
      <c r="D269">
        <v>9</v>
      </c>
      <c r="E269">
        <f>WEEKNUM(makulatura[[#This Row],[Data_dostarczenia]],13)</f>
        <v>7</v>
      </c>
      <c r="F269" s="2">
        <f>WEEKDAY(makulatura[[#This Row],[Data_dostarczenia]],2)</f>
        <v>3</v>
      </c>
    </row>
    <row r="270" spans="1:6" x14ac:dyDescent="0.25">
      <c r="A270" s="1">
        <v>42774</v>
      </c>
      <c r="B270" s="2" t="s">
        <v>8</v>
      </c>
      <c r="C270" s="2" t="s">
        <v>322</v>
      </c>
      <c r="D270">
        <v>24</v>
      </c>
      <c r="E270">
        <f>WEEKNUM(makulatura[[#This Row],[Data_dostarczenia]],13)</f>
        <v>7</v>
      </c>
      <c r="F270" s="2">
        <f>WEEKDAY(makulatura[[#This Row],[Data_dostarczenia]],2)</f>
        <v>3</v>
      </c>
    </row>
    <row r="271" spans="1:6" x14ac:dyDescent="0.25">
      <c r="A271" s="1">
        <v>42774</v>
      </c>
      <c r="B271" s="2" t="s">
        <v>51</v>
      </c>
      <c r="C271" s="2" t="s">
        <v>52</v>
      </c>
      <c r="D271">
        <v>5</v>
      </c>
      <c r="E271">
        <f>WEEKNUM(makulatura[[#This Row],[Data_dostarczenia]],13)</f>
        <v>7</v>
      </c>
      <c r="F271" s="2">
        <f>WEEKDAY(makulatura[[#This Row],[Data_dostarczenia]],2)</f>
        <v>3</v>
      </c>
    </row>
    <row r="272" spans="1:6" x14ac:dyDescent="0.25">
      <c r="A272" s="1">
        <v>42774</v>
      </c>
      <c r="B272" s="2" t="s">
        <v>323</v>
      </c>
      <c r="C272" s="2" t="s">
        <v>324</v>
      </c>
      <c r="D272">
        <v>22</v>
      </c>
      <c r="E272">
        <f>WEEKNUM(makulatura[[#This Row],[Data_dostarczenia]],13)</f>
        <v>7</v>
      </c>
      <c r="F272" s="2">
        <f>WEEKDAY(makulatura[[#This Row],[Data_dostarczenia]],2)</f>
        <v>3</v>
      </c>
    </row>
    <row r="273" spans="1:6" x14ac:dyDescent="0.25">
      <c r="A273" s="1">
        <v>42774</v>
      </c>
      <c r="B273" s="2" t="s">
        <v>307</v>
      </c>
      <c r="C273" s="2" t="s">
        <v>325</v>
      </c>
      <c r="D273">
        <v>9</v>
      </c>
      <c r="E273">
        <f>WEEKNUM(makulatura[[#This Row],[Data_dostarczenia]],13)</f>
        <v>7</v>
      </c>
      <c r="F273" s="2">
        <f>WEEKDAY(makulatura[[#This Row],[Data_dostarczenia]],2)</f>
        <v>3</v>
      </c>
    </row>
    <row r="274" spans="1:6" x14ac:dyDescent="0.25">
      <c r="A274" s="1">
        <v>42774</v>
      </c>
      <c r="B274" s="2" t="s">
        <v>55</v>
      </c>
      <c r="C274" s="2" t="s">
        <v>326</v>
      </c>
      <c r="D274">
        <v>6</v>
      </c>
      <c r="E274">
        <f>WEEKNUM(makulatura[[#This Row],[Data_dostarczenia]],13)</f>
        <v>7</v>
      </c>
      <c r="F274" s="2">
        <f>WEEKDAY(makulatura[[#This Row],[Data_dostarczenia]],2)</f>
        <v>3</v>
      </c>
    </row>
    <row r="275" spans="1:6" x14ac:dyDescent="0.25">
      <c r="A275" s="1">
        <v>42774</v>
      </c>
      <c r="B275" s="2" t="s">
        <v>327</v>
      </c>
      <c r="C275" s="2" t="s">
        <v>102</v>
      </c>
      <c r="D275">
        <v>9</v>
      </c>
      <c r="E275">
        <f>WEEKNUM(makulatura[[#This Row],[Data_dostarczenia]],13)</f>
        <v>7</v>
      </c>
      <c r="F275" s="2">
        <f>WEEKDAY(makulatura[[#This Row],[Data_dostarczenia]],2)</f>
        <v>3</v>
      </c>
    </row>
    <row r="276" spans="1:6" x14ac:dyDescent="0.25">
      <c r="A276" s="1">
        <v>42774</v>
      </c>
      <c r="B276" s="2" t="s">
        <v>133</v>
      </c>
      <c r="C276" s="2" t="s">
        <v>328</v>
      </c>
      <c r="D276">
        <v>19</v>
      </c>
      <c r="E276">
        <f>WEEKNUM(makulatura[[#This Row],[Data_dostarczenia]],13)</f>
        <v>7</v>
      </c>
      <c r="F276" s="2">
        <f>WEEKDAY(makulatura[[#This Row],[Data_dostarczenia]],2)</f>
        <v>3</v>
      </c>
    </row>
    <row r="277" spans="1:6" x14ac:dyDescent="0.25">
      <c r="A277" s="1">
        <v>42775</v>
      </c>
      <c r="B277" s="2" t="s">
        <v>329</v>
      </c>
      <c r="C277" s="2" t="s">
        <v>330</v>
      </c>
      <c r="D277">
        <v>14</v>
      </c>
      <c r="E277">
        <f>WEEKNUM(makulatura[[#This Row],[Data_dostarczenia]],13)</f>
        <v>7</v>
      </c>
      <c r="F277" s="2">
        <f>WEEKDAY(makulatura[[#This Row],[Data_dostarczenia]],2)</f>
        <v>4</v>
      </c>
    </row>
    <row r="278" spans="1:6" x14ac:dyDescent="0.25">
      <c r="A278" s="1">
        <v>42775</v>
      </c>
      <c r="B278" s="2" t="s">
        <v>331</v>
      </c>
      <c r="C278" s="2" t="s">
        <v>26</v>
      </c>
      <c r="D278">
        <v>44</v>
      </c>
      <c r="E278">
        <f>WEEKNUM(makulatura[[#This Row],[Data_dostarczenia]],13)</f>
        <v>7</v>
      </c>
      <c r="F278" s="2">
        <f>WEEKDAY(makulatura[[#This Row],[Data_dostarczenia]],2)</f>
        <v>4</v>
      </c>
    </row>
    <row r="279" spans="1:6" x14ac:dyDescent="0.25">
      <c r="A279" s="1">
        <v>42775</v>
      </c>
      <c r="B279" s="2" t="s">
        <v>206</v>
      </c>
      <c r="C279" s="2" t="s">
        <v>332</v>
      </c>
      <c r="D279">
        <v>38</v>
      </c>
      <c r="E279">
        <f>WEEKNUM(makulatura[[#This Row],[Data_dostarczenia]],13)</f>
        <v>7</v>
      </c>
      <c r="F279" s="2">
        <f>WEEKDAY(makulatura[[#This Row],[Data_dostarczenia]],2)</f>
        <v>4</v>
      </c>
    </row>
    <row r="280" spans="1:6" x14ac:dyDescent="0.25">
      <c r="A280" s="1">
        <v>42775</v>
      </c>
      <c r="B280" s="2" t="s">
        <v>178</v>
      </c>
      <c r="C280" s="2" t="s">
        <v>333</v>
      </c>
      <c r="D280">
        <v>18</v>
      </c>
      <c r="E280">
        <f>WEEKNUM(makulatura[[#This Row],[Data_dostarczenia]],13)</f>
        <v>7</v>
      </c>
      <c r="F280" s="2">
        <f>WEEKDAY(makulatura[[#This Row],[Data_dostarczenia]],2)</f>
        <v>4</v>
      </c>
    </row>
    <row r="281" spans="1:6" x14ac:dyDescent="0.25">
      <c r="A281" s="1">
        <v>42775</v>
      </c>
      <c r="B281" s="2" t="s">
        <v>47</v>
      </c>
      <c r="C281" s="2" t="s">
        <v>256</v>
      </c>
      <c r="D281">
        <v>51</v>
      </c>
      <c r="E281">
        <f>WEEKNUM(makulatura[[#This Row],[Data_dostarczenia]],13)</f>
        <v>7</v>
      </c>
      <c r="F281" s="2">
        <f>WEEKDAY(makulatura[[#This Row],[Data_dostarczenia]],2)</f>
        <v>4</v>
      </c>
    </row>
    <row r="282" spans="1:6" x14ac:dyDescent="0.25">
      <c r="A282" s="1">
        <v>42775</v>
      </c>
      <c r="B282" s="2" t="s">
        <v>47</v>
      </c>
      <c r="C282" s="2" t="s">
        <v>334</v>
      </c>
      <c r="D282">
        <v>10</v>
      </c>
      <c r="E282">
        <f>WEEKNUM(makulatura[[#This Row],[Data_dostarczenia]],13)</f>
        <v>7</v>
      </c>
      <c r="F282" s="2">
        <f>WEEKDAY(makulatura[[#This Row],[Data_dostarczenia]],2)</f>
        <v>4</v>
      </c>
    </row>
    <row r="283" spans="1:6" x14ac:dyDescent="0.25">
      <c r="A283" s="1">
        <v>42775</v>
      </c>
      <c r="B283" s="2" t="s">
        <v>178</v>
      </c>
      <c r="C283" s="2" t="s">
        <v>335</v>
      </c>
      <c r="D283">
        <v>47</v>
      </c>
      <c r="E283">
        <f>WEEKNUM(makulatura[[#This Row],[Data_dostarczenia]],13)</f>
        <v>7</v>
      </c>
      <c r="F283" s="2">
        <f>WEEKDAY(makulatura[[#This Row],[Data_dostarczenia]],2)</f>
        <v>4</v>
      </c>
    </row>
    <row r="284" spans="1:6" x14ac:dyDescent="0.25">
      <c r="A284" s="1">
        <v>42775</v>
      </c>
      <c r="B284" s="2" t="s">
        <v>47</v>
      </c>
      <c r="C284" s="2" t="s">
        <v>336</v>
      </c>
      <c r="D284">
        <v>54</v>
      </c>
      <c r="E284">
        <f>WEEKNUM(makulatura[[#This Row],[Data_dostarczenia]],13)</f>
        <v>7</v>
      </c>
      <c r="F284" s="2">
        <f>WEEKDAY(makulatura[[#This Row],[Data_dostarczenia]],2)</f>
        <v>4</v>
      </c>
    </row>
    <row r="285" spans="1:6" x14ac:dyDescent="0.25">
      <c r="A285" s="1">
        <v>42775</v>
      </c>
      <c r="B285" s="2" t="s">
        <v>87</v>
      </c>
      <c r="C285" s="2" t="s">
        <v>88</v>
      </c>
      <c r="D285">
        <v>32</v>
      </c>
      <c r="E285">
        <f>WEEKNUM(makulatura[[#This Row],[Data_dostarczenia]],13)</f>
        <v>7</v>
      </c>
      <c r="F285" s="2">
        <f>WEEKDAY(makulatura[[#This Row],[Data_dostarczenia]],2)</f>
        <v>4</v>
      </c>
    </row>
    <row r="286" spans="1:6" x14ac:dyDescent="0.25">
      <c r="A286" s="1">
        <v>42775</v>
      </c>
      <c r="B286" s="2" t="s">
        <v>248</v>
      </c>
      <c r="C286" s="2" t="s">
        <v>337</v>
      </c>
      <c r="D286">
        <v>16</v>
      </c>
      <c r="E286">
        <f>WEEKNUM(makulatura[[#This Row],[Data_dostarczenia]],13)</f>
        <v>7</v>
      </c>
      <c r="F286" s="2">
        <f>WEEKDAY(makulatura[[#This Row],[Data_dostarczenia]],2)</f>
        <v>4</v>
      </c>
    </row>
    <row r="287" spans="1:6" x14ac:dyDescent="0.25">
      <c r="A287" s="1">
        <v>42775</v>
      </c>
      <c r="B287" s="2" t="s">
        <v>34</v>
      </c>
      <c r="C287" s="2" t="s">
        <v>338</v>
      </c>
      <c r="D287">
        <v>18</v>
      </c>
      <c r="E287">
        <f>WEEKNUM(makulatura[[#This Row],[Data_dostarczenia]],13)</f>
        <v>7</v>
      </c>
      <c r="F287" s="2">
        <f>WEEKDAY(makulatura[[#This Row],[Data_dostarczenia]],2)</f>
        <v>4</v>
      </c>
    </row>
    <row r="288" spans="1:6" x14ac:dyDescent="0.25">
      <c r="A288" s="1">
        <v>42776</v>
      </c>
      <c r="B288" s="2" t="s">
        <v>339</v>
      </c>
      <c r="C288" s="2" t="s">
        <v>340</v>
      </c>
      <c r="D288">
        <v>38</v>
      </c>
      <c r="E288">
        <f>WEEKNUM(makulatura[[#This Row],[Data_dostarczenia]],13)</f>
        <v>7</v>
      </c>
      <c r="F288" s="2">
        <f>WEEKDAY(makulatura[[#This Row],[Data_dostarczenia]],2)</f>
        <v>5</v>
      </c>
    </row>
    <row r="289" spans="1:6" x14ac:dyDescent="0.25">
      <c r="A289" s="1">
        <v>42776</v>
      </c>
      <c r="B289" s="2" t="s">
        <v>341</v>
      </c>
      <c r="C289" s="2" t="s">
        <v>342</v>
      </c>
      <c r="D289">
        <v>7</v>
      </c>
      <c r="E289">
        <f>WEEKNUM(makulatura[[#This Row],[Data_dostarczenia]],13)</f>
        <v>7</v>
      </c>
      <c r="F289" s="2">
        <f>WEEKDAY(makulatura[[#This Row],[Data_dostarczenia]],2)</f>
        <v>5</v>
      </c>
    </row>
    <row r="290" spans="1:6" x14ac:dyDescent="0.25">
      <c r="A290" s="1">
        <v>42776</v>
      </c>
      <c r="B290" s="2" t="s">
        <v>343</v>
      </c>
      <c r="C290" s="2" t="s">
        <v>344</v>
      </c>
      <c r="D290">
        <v>16</v>
      </c>
      <c r="E290">
        <f>WEEKNUM(makulatura[[#This Row],[Data_dostarczenia]],13)</f>
        <v>7</v>
      </c>
      <c r="F290" s="2">
        <f>WEEKDAY(makulatura[[#This Row],[Data_dostarczenia]],2)</f>
        <v>5</v>
      </c>
    </row>
    <row r="291" spans="1:6" x14ac:dyDescent="0.25">
      <c r="A291" s="1">
        <v>42776</v>
      </c>
      <c r="B291" s="2" t="s">
        <v>161</v>
      </c>
      <c r="C291" s="2" t="s">
        <v>345</v>
      </c>
      <c r="D291">
        <v>42</v>
      </c>
      <c r="E291">
        <f>WEEKNUM(makulatura[[#This Row],[Data_dostarczenia]],13)</f>
        <v>7</v>
      </c>
      <c r="F291" s="2">
        <f>WEEKDAY(makulatura[[#This Row],[Data_dostarczenia]],2)</f>
        <v>5</v>
      </c>
    </row>
    <row r="292" spans="1:6" x14ac:dyDescent="0.25">
      <c r="A292" s="1">
        <v>42776</v>
      </c>
      <c r="B292" s="2" t="s">
        <v>346</v>
      </c>
      <c r="C292" s="2" t="s">
        <v>347</v>
      </c>
      <c r="D292">
        <v>27</v>
      </c>
      <c r="E292">
        <f>WEEKNUM(makulatura[[#This Row],[Data_dostarczenia]],13)</f>
        <v>7</v>
      </c>
      <c r="F292" s="2">
        <f>WEEKDAY(makulatura[[#This Row],[Data_dostarczenia]],2)</f>
        <v>5</v>
      </c>
    </row>
    <row r="293" spans="1:6" x14ac:dyDescent="0.25">
      <c r="A293" s="1">
        <v>42776</v>
      </c>
      <c r="B293" s="2" t="s">
        <v>30</v>
      </c>
      <c r="C293" s="2" t="s">
        <v>185</v>
      </c>
      <c r="D293">
        <v>19</v>
      </c>
      <c r="E293">
        <f>WEEKNUM(makulatura[[#This Row],[Data_dostarczenia]],13)</f>
        <v>7</v>
      </c>
      <c r="F293" s="2">
        <f>WEEKDAY(makulatura[[#This Row],[Data_dostarczenia]],2)</f>
        <v>5</v>
      </c>
    </row>
    <row r="294" spans="1:6" x14ac:dyDescent="0.25">
      <c r="A294" s="1">
        <v>42776</v>
      </c>
      <c r="B294" s="2" t="s">
        <v>267</v>
      </c>
      <c r="C294" s="2" t="s">
        <v>268</v>
      </c>
      <c r="D294">
        <v>37</v>
      </c>
      <c r="E294">
        <f>WEEKNUM(makulatura[[#This Row],[Data_dostarczenia]],13)</f>
        <v>7</v>
      </c>
      <c r="F294" s="2">
        <f>WEEKDAY(makulatura[[#This Row],[Data_dostarczenia]],2)</f>
        <v>5</v>
      </c>
    </row>
    <row r="295" spans="1:6" x14ac:dyDescent="0.25">
      <c r="A295" s="1">
        <v>42776</v>
      </c>
      <c r="B295" s="2" t="s">
        <v>221</v>
      </c>
      <c r="C295" s="2" t="s">
        <v>348</v>
      </c>
      <c r="D295">
        <v>49</v>
      </c>
      <c r="E295">
        <f>WEEKNUM(makulatura[[#This Row],[Data_dostarczenia]],13)</f>
        <v>7</v>
      </c>
      <c r="F295" s="2">
        <f>WEEKDAY(makulatura[[#This Row],[Data_dostarczenia]],2)</f>
        <v>5</v>
      </c>
    </row>
    <row r="296" spans="1:6" x14ac:dyDescent="0.25">
      <c r="A296" s="1">
        <v>42776</v>
      </c>
      <c r="B296" s="2" t="s">
        <v>119</v>
      </c>
      <c r="C296" s="2" t="s">
        <v>349</v>
      </c>
      <c r="D296">
        <v>38</v>
      </c>
      <c r="E296">
        <f>WEEKNUM(makulatura[[#This Row],[Data_dostarczenia]],13)</f>
        <v>7</v>
      </c>
      <c r="F296" s="2">
        <f>WEEKDAY(makulatura[[#This Row],[Data_dostarczenia]],2)</f>
        <v>5</v>
      </c>
    </row>
    <row r="297" spans="1:6" x14ac:dyDescent="0.25">
      <c r="A297" s="1">
        <v>42776</v>
      </c>
      <c r="B297" s="2" t="s">
        <v>79</v>
      </c>
      <c r="C297" s="2" t="s">
        <v>80</v>
      </c>
      <c r="D297">
        <v>8</v>
      </c>
      <c r="E297">
        <f>WEEKNUM(makulatura[[#This Row],[Data_dostarczenia]],13)</f>
        <v>7</v>
      </c>
      <c r="F297" s="2">
        <f>WEEKDAY(makulatura[[#This Row],[Data_dostarczenia]],2)</f>
        <v>5</v>
      </c>
    </row>
    <row r="298" spans="1:6" x14ac:dyDescent="0.25">
      <c r="A298" s="1">
        <v>42776</v>
      </c>
      <c r="B298" s="2" t="s">
        <v>106</v>
      </c>
      <c r="C298" s="2" t="s">
        <v>240</v>
      </c>
      <c r="D298">
        <v>9</v>
      </c>
      <c r="E298">
        <f>WEEKNUM(makulatura[[#This Row],[Data_dostarczenia]],13)</f>
        <v>7</v>
      </c>
      <c r="F298" s="2">
        <f>WEEKDAY(makulatura[[#This Row],[Data_dostarczenia]],2)</f>
        <v>5</v>
      </c>
    </row>
    <row r="299" spans="1:6" x14ac:dyDescent="0.25">
      <c r="A299" s="1">
        <v>42779</v>
      </c>
      <c r="B299" s="2" t="s">
        <v>278</v>
      </c>
      <c r="C299" s="2" t="s">
        <v>279</v>
      </c>
      <c r="D299">
        <v>48</v>
      </c>
      <c r="E299">
        <f>WEEKNUM(makulatura[[#This Row],[Data_dostarczenia]],13)</f>
        <v>7</v>
      </c>
      <c r="F299" s="2">
        <f>WEEKDAY(makulatura[[#This Row],[Data_dostarczenia]],2)</f>
        <v>1</v>
      </c>
    </row>
    <row r="300" spans="1:6" x14ac:dyDescent="0.25">
      <c r="A300" s="1">
        <v>42779</v>
      </c>
      <c r="B300" s="2" t="s">
        <v>280</v>
      </c>
      <c r="C300" s="2" t="s">
        <v>281</v>
      </c>
      <c r="D300">
        <v>19</v>
      </c>
      <c r="E300">
        <f>WEEKNUM(makulatura[[#This Row],[Data_dostarczenia]],13)</f>
        <v>7</v>
      </c>
      <c r="F300" s="2">
        <f>WEEKDAY(makulatura[[#This Row],[Data_dostarczenia]],2)</f>
        <v>1</v>
      </c>
    </row>
    <row r="301" spans="1:6" x14ac:dyDescent="0.25">
      <c r="A301" s="1">
        <v>42779</v>
      </c>
      <c r="B301" s="2" t="s">
        <v>97</v>
      </c>
      <c r="C301" s="2" t="s">
        <v>5</v>
      </c>
      <c r="D301">
        <v>5</v>
      </c>
      <c r="E301">
        <f>WEEKNUM(makulatura[[#This Row],[Data_dostarczenia]],13)</f>
        <v>7</v>
      </c>
      <c r="F301" s="2">
        <f>WEEKDAY(makulatura[[#This Row],[Data_dostarczenia]],2)</f>
        <v>1</v>
      </c>
    </row>
    <row r="302" spans="1:6" x14ac:dyDescent="0.25">
      <c r="A302" s="1">
        <v>42779</v>
      </c>
      <c r="B302" s="2" t="s">
        <v>83</v>
      </c>
      <c r="C302" s="2" t="s">
        <v>350</v>
      </c>
      <c r="D302">
        <v>25</v>
      </c>
      <c r="E302">
        <f>WEEKNUM(makulatura[[#This Row],[Data_dostarczenia]],13)</f>
        <v>7</v>
      </c>
      <c r="F302" s="2">
        <f>WEEKDAY(makulatura[[#This Row],[Data_dostarczenia]],2)</f>
        <v>1</v>
      </c>
    </row>
    <row r="303" spans="1:6" x14ac:dyDescent="0.25">
      <c r="A303" s="1">
        <v>42779</v>
      </c>
      <c r="B303" s="2" t="s">
        <v>248</v>
      </c>
      <c r="C303" s="2" t="s">
        <v>249</v>
      </c>
      <c r="D303">
        <v>21</v>
      </c>
      <c r="E303">
        <f>WEEKNUM(makulatura[[#This Row],[Data_dostarczenia]],13)</f>
        <v>7</v>
      </c>
      <c r="F303" s="2">
        <f>WEEKDAY(makulatura[[#This Row],[Data_dostarczenia]],2)</f>
        <v>1</v>
      </c>
    </row>
    <row r="304" spans="1:6" x14ac:dyDescent="0.25">
      <c r="A304" s="1">
        <v>42779</v>
      </c>
      <c r="B304" s="2" t="s">
        <v>351</v>
      </c>
      <c r="C304" s="2" t="s">
        <v>227</v>
      </c>
      <c r="D304">
        <v>6</v>
      </c>
      <c r="E304">
        <f>WEEKNUM(makulatura[[#This Row],[Data_dostarczenia]],13)</f>
        <v>7</v>
      </c>
      <c r="F304" s="2">
        <f>WEEKDAY(makulatura[[#This Row],[Data_dostarczenia]],2)</f>
        <v>1</v>
      </c>
    </row>
    <row r="305" spans="1:6" x14ac:dyDescent="0.25">
      <c r="A305" s="1">
        <v>42779</v>
      </c>
      <c r="B305" s="2" t="s">
        <v>133</v>
      </c>
      <c r="C305" s="2" t="s">
        <v>288</v>
      </c>
      <c r="D305">
        <v>4</v>
      </c>
      <c r="E305">
        <f>WEEKNUM(makulatura[[#This Row],[Data_dostarczenia]],13)</f>
        <v>7</v>
      </c>
      <c r="F305" s="2">
        <f>WEEKDAY(makulatura[[#This Row],[Data_dostarczenia]],2)</f>
        <v>1</v>
      </c>
    </row>
    <row r="306" spans="1:6" x14ac:dyDescent="0.25">
      <c r="A306" s="1">
        <v>42779</v>
      </c>
      <c r="B306" s="2" t="s">
        <v>352</v>
      </c>
      <c r="C306" s="2" t="s">
        <v>227</v>
      </c>
      <c r="D306">
        <v>9</v>
      </c>
      <c r="E306">
        <f>WEEKNUM(makulatura[[#This Row],[Data_dostarczenia]],13)</f>
        <v>7</v>
      </c>
      <c r="F306" s="2">
        <f>WEEKDAY(makulatura[[#This Row],[Data_dostarczenia]],2)</f>
        <v>1</v>
      </c>
    </row>
    <row r="307" spans="1:6" x14ac:dyDescent="0.25">
      <c r="A307" s="1">
        <v>42779</v>
      </c>
      <c r="B307" s="2" t="s">
        <v>81</v>
      </c>
      <c r="C307" s="2" t="s">
        <v>82</v>
      </c>
      <c r="D307">
        <v>10</v>
      </c>
      <c r="E307">
        <f>WEEKNUM(makulatura[[#This Row],[Data_dostarczenia]],13)</f>
        <v>7</v>
      </c>
      <c r="F307" s="2">
        <f>WEEKDAY(makulatura[[#This Row],[Data_dostarczenia]],2)</f>
        <v>1</v>
      </c>
    </row>
    <row r="308" spans="1:6" x14ac:dyDescent="0.25">
      <c r="A308" s="1">
        <v>42779</v>
      </c>
      <c r="B308" s="2" t="s">
        <v>133</v>
      </c>
      <c r="C308" s="2" t="s">
        <v>316</v>
      </c>
      <c r="D308">
        <v>26</v>
      </c>
      <c r="E308">
        <f>WEEKNUM(makulatura[[#This Row],[Data_dostarczenia]],13)</f>
        <v>7</v>
      </c>
      <c r="F308" s="2">
        <f>WEEKDAY(makulatura[[#This Row],[Data_dostarczenia]],2)</f>
        <v>1</v>
      </c>
    </row>
    <row r="309" spans="1:6" x14ac:dyDescent="0.25">
      <c r="A309" s="1">
        <v>42779</v>
      </c>
      <c r="B309" s="2" t="s">
        <v>30</v>
      </c>
      <c r="C309" s="2" t="s">
        <v>185</v>
      </c>
      <c r="D309">
        <v>26</v>
      </c>
      <c r="E309">
        <f>WEEKNUM(makulatura[[#This Row],[Data_dostarczenia]],13)</f>
        <v>7</v>
      </c>
      <c r="F309" s="2">
        <f>WEEKDAY(makulatura[[#This Row],[Data_dostarczenia]],2)</f>
        <v>1</v>
      </c>
    </row>
    <row r="310" spans="1:6" x14ac:dyDescent="0.25">
      <c r="A310" s="1">
        <v>42780</v>
      </c>
      <c r="B310" s="2" t="s">
        <v>69</v>
      </c>
      <c r="C310" s="2" t="s">
        <v>353</v>
      </c>
      <c r="D310">
        <v>42</v>
      </c>
      <c r="E310">
        <f>WEEKNUM(makulatura[[#This Row],[Data_dostarczenia]],13)</f>
        <v>7</v>
      </c>
      <c r="F310" s="2">
        <f>WEEKDAY(makulatura[[#This Row],[Data_dostarczenia]],2)</f>
        <v>2</v>
      </c>
    </row>
    <row r="311" spans="1:6" x14ac:dyDescent="0.25">
      <c r="A311" s="1">
        <v>42780</v>
      </c>
      <c r="B311" s="2" t="s">
        <v>331</v>
      </c>
      <c r="C311" s="2" t="s">
        <v>26</v>
      </c>
      <c r="D311">
        <v>8</v>
      </c>
      <c r="E311">
        <f>WEEKNUM(makulatura[[#This Row],[Data_dostarczenia]],13)</f>
        <v>7</v>
      </c>
      <c r="F311" s="2">
        <f>WEEKDAY(makulatura[[#This Row],[Data_dostarczenia]],2)</f>
        <v>2</v>
      </c>
    </row>
    <row r="312" spans="1:6" x14ac:dyDescent="0.25">
      <c r="A312" s="1">
        <v>42780</v>
      </c>
      <c r="B312" s="2" t="s">
        <v>18</v>
      </c>
      <c r="C312" s="2" t="s">
        <v>354</v>
      </c>
      <c r="D312">
        <v>8</v>
      </c>
      <c r="E312">
        <f>WEEKNUM(makulatura[[#This Row],[Data_dostarczenia]],13)</f>
        <v>7</v>
      </c>
      <c r="F312" s="2">
        <f>WEEKDAY(makulatura[[#This Row],[Data_dostarczenia]],2)</f>
        <v>2</v>
      </c>
    </row>
    <row r="313" spans="1:6" x14ac:dyDescent="0.25">
      <c r="A313" s="1">
        <v>42780</v>
      </c>
      <c r="B313" s="2" t="s">
        <v>355</v>
      </c>
      <c r="C313" s="2" t="s">
        <v>356</v>
      </c>
      <c r="D313">
        <v>45</v>
      </c>
      <c r="E313">
        <f>WEEKNUM(makulatura[[#This Row],[Data_dostarczenia]],13)</f>
        <v>7</v>
      </c>
      <c r="F313" s="2">
        <f>WEEKDAY(makulatura[[#This Row],[Data_dostarczenia]],2)</f>
        <v>2</v>
      </c>
    </row>
    <row r="314" spans="1:6" x14ac:dyDescent="0.25">
      <c r="A314" s="1">
        <v>42780</v>
      </c>
      <c r="B314" s="2" t="s">
        <v>201</v>
      </c>
      <c r="C314" s="2" t="s">
        <v>357</v>
      </c>
      <c r="D314">
        <v>41</v>
      </c>
      <c r="E314">
        <f>WEEKNUM(makulatura[[#This Row],[Data_dostarczenia]],13)</f>
        <v>7</v>
      </c>
      <c r="F314" s="2">
        <f>WEEKDAY(makulatura[[#This Row],[Data_dostarczenia]],2)</f>
        <v>2</v>
      </c>
    </row>
    <row r="315" spans="1:6" x14ac:dyDescent="0.25">
      <c r="A315" s="1">
        <v>42780</v>
      </c>
      <c r="B315" s="2" t="s">
        <v>51</v>
      </c>
      <c r="C315" s="2" t="s">
        <v>358</v>
      </c>
      <c r="D315">
        <v>5</v>
      </c>
      <c r="E315">
        <f>WEEKNUM(makulatura[[#This Row],[Data_dostarczenia]],13)</f>
        <v>7</v>
      </c>
      <c r="F315" s="2">
        <f>WEEKDAY(makulatura[[#This Row],[Data_dostarczenia]],2)</f>
        <v>2</v>
      </c>
    </row>
    <row r="316" spans="1:6" x14ac:dyDescent="0.25">
      <c r="A316" s="1">
        <v>42780</v>
      </c>
      <c r="B316" s="2" t="s">
        <v>359</v>
      </c>
      <c r="C316" s="2" t="s">
        <v>360</v>
      </c>
      <c r="D316">
        <v>54</v>
      </c>
      <c r="E316">
        <f>WEEKNUM(makulatura[[#This Row],[Data_dostarczenia]],13)</f>
        <v>7</v>
      </c>
      <c r="F316" s="2">
        <f>WEEKDAY(makulatura[[#This Row],[Data_dostarczenia]],2)</f>
        <v>2</v>
      </c>
    </row>
    <row r="317" spans="1:6" x14ac:dyDescent="0.25">
      <c r="A317" s="1">
        <v>42780</v>
      </c>
      <c r="B317" s="2" t="s">
        <v>101</v>
      </c>
      <c r="C317" s="2" t="s">
        <v>263</v>
      </c>
      <c r="D317">
        <v>6</v>
      </c>
      <c r="E317">
        <f>WEEKNUM(makulatura[[#This Row],[Data_dostarczenia]],13)</f>
        <v>7</v>
      </c>
      <c r="F317" s="2">
        <f>WEEKDAY(makulatura[[#This Row],[Data_dostarczenia]],2)</f>
        <v>2</v>
      </c>
    </row>
    <row r="318" spans="1:6" x14ac:dyDescent="0.25">
      <c r="A318" s="1">
        <v>42780</v>
      </c>
      <c r="B318" s="2" t="s">
        <v>361</v>
      </c>
      <c r="C318" s="2" t="s">
        <v>362</v>
      </c>
      <c r="D318">
        <v>3</v>
      </c>
      <c r="E318">
        <f>WEEKNUM(makulatura[[#This Row],[Data_dostarczenia]],13)</f>
        <v>7</v>
      </c>
      <c r="F318" s="2">
        <f>WEEKDAY(makulatura[[#This Row],[Data_dostarczenia]],2)</f>
        <v>2</v>
      </c>
    </row>
    <row r="319" spans="1:6" x14ac:dyDescent="0.25">
      <c r="A319" s="1">
        <v>42780</v>
      </c>
      <c r="B319" s="2" t="s">
        <v>97</v>
      </c>
      <c r="C319" s="2" t="s">
        <v>130</v>
      </c>
      <c r="D319">
        <v>49</v>
      </c>
      <c r="E319">
        <f>WEEKNUM(makulatura[[#This Row],[Data_dostarczenia]],13)</f>
        <v>7</v>
      </c>
      <c r="F319" s="2">
        <f>WEEKDAY(makulatura[[#This Row],[Data_dostarczenia]],2)</f>
        <v>2</v>
      </c>
    </row>
    <row r="320" spans="1:6" x14ac:dyDescent="0.25">
      <c r="A320" s="1">
        <v>42780</v>
      </c>
      <c r="B320" s="2" t="s">
        <v>39</v>
      </c>
      <c r="C320" s="2" t="s">
        <v>164</v>
      </c>
      <c r="D320">
        <v>19</v>
      </c>
      <c r="E320">
        <f>WEEKNUM(makulatura[[#This Row],[Data_dostarczenia]],13)</f>
        <v>7</v>
      </c>
      <c r="F320" s="2">
        <f>WEEKDAY(makulatura[[#This Row],[Data_dostarczenia]],2)</f>
        <v>2</v>
      </c>
    </row>
    <row r="321" spans="1:6" x14ac:dyDescent="0.25">
      <c r="A321" s="1">
        <v>42781</v>
      </c>
      <c r="B321" s="2" t="s">
        <v>47</v>
      </c>
      <c r="C321" s="2" t="s">
        <v>230</v>
      </c>
      <c r="D321">
        <v>29</v>
      </c>
      <c r="E321">
        <f>WEEKNUM(makulatura[[#This Row],[Data_dostarczenia]],13)</f>
        <v>8</v>
      </c>
      <c r="F321" s="2">
        <f>WEEKDAY(makulatura[[#This Row],[Data_dostarczenia]],2)</f>
        <v>3</v>
      </c>
    </row>
    <row r="322" spans="1:6" x14ac:dyDescent="0.25">
      <c r="A322" s="1">
        <v>42781</v>
      </c>
      <c r="B322" s="2" t="s">
        <v>352</v>
      </c>
      <c r="C322" s="2" t="s">
        <v>363</v>
      </c>
      <c r="D322">
        <v>14</v>
      </c>
      <c r="E322">
        <f>WEEKNUM(makulatura[[#This Row],[Data_dostarczenia]],13)</f>
        <v>8</v>
      </c>
      <c r="F322" s="2">
        <f>WEEKDAY(makulatura[[#This Row],[Data_dostarczenia]],2)</f>
        <v>3</v>
      </c>
    </row>
    <row r="323" spans="1:6" x14ac:dyDescent="0.25">
      <c r="A323" s="1">
        <v>42781</v>
      </c>
      <c r="B323" s="2" t="s">
        <v>141</v>
      </c>
      <c r="C323" s="2" t="s">
        <v>364</v>
      </c>
      <c r="D323">
        <v>12</v>
      </c>
      <c r="E323">
        <f>WEEKNUM(makulatura[[#This Row],[Data_dostarczenia]],13)</f>
        <v>8</v>
      </c>
      <c r="F323" s="2">
        <f>WEEKDAY(makulatura[[#This Row],[Data_dostarczenia]],2)</f>
        <v>3</v>
      </c>
    </row>
    <row r="324" spans="1:6" x14ac:dyDescent="0.25">
      <c r="A324" s="1">
        <v>42781</v>
      </c>
      <c r="B324" s="2" t="s">
        <v>365</v>
      </c>
      <c r="C324" s="2" t="s">
        <v>366</v>
      </c>
      <c r="D324">
        <v>4</v>
      </c>
      <c r="E324">
        <f>WEEKNUM(makulatura[[#This Row],[Data_dostarczenia]],13)</f>
        <v>8</v>
      </c>
      <c r="F324" s="2">
        <f>WEEKDAY(makulatura[[#This Row],[Data_dostarczenia]],2)</f>
        <v>3</v>
      </c>
    </row>
    <row r="325" spans="1:6" x14ac:dyDescent="0.25">
      <c r="A325" s="1">
        <v>42781</v>
      </c>
      <c r="B325" s="2" t="s">
        <v>178</v>
      </c>
      <c r="C325" s="2" t="s">
        <v>242</v>
      </c>
      <c r="D325">
        <v>14</v>
      </c>
      <c r="E325">
        <f>WEEKNUM(makulatura[[#This Row],[Data_dostarczenia]],13)</f>
        <v>8</v>
      </c>
      <c r="F325" s="2">
        <f>WEEKDAY(makulatura[[#This Row],[Data_dostarczenia]],2)</f>
        <v>3</v>
      </c>
    </row>
    <row r="326" spans="1:6" x14ac:dyDescent="0.25">
      <c r="A326" s="1">
        <v>42781</v>
      </c>
      <c r="B326" s="2" t="s">
        <v>367</v>
      </c>
      <c r="C326" s="2" t="s">
        <v>368</v>
      </c>
      <c r="D326">
        <v>12</v>
      </c>
      <c r="E326">
        <f>WEEKNUM(makulatura[[#This Row],[Data_dostarczenia]],13)</f>
        <v>8</v>
      </c>
      <c r="F326" s="2">
        <f>WEEKDAY(makulatura[[#This Row],[Data_dostarczenia]],2)</f>
        <v>3</v>
      </c>
    </row>
    <row r="327" spans="1:6" x14ac:dyDescent="0.25">
      <c r="A327" s="1">
        <v>42781</v>
      </c>
      <c r="B327" s="2" t="s">
        <v>193</v>
      </c>
      <c r="C327" s="2" t="s">
        <v>369</v>
      </c>
      <c r="D327">
        <v>52</v>
      </c>
      <c r="E327">
        <f>WEEKNUM(makulatura[[#This Row],[Data_dostarczenia]],13)</f>
        <v>8</v>
      </c>
      <c r="F327" s="2">
        <f>WEEKDAY(makulatura[[#This Row],[Data_dostarczenia]],2)</f>
        <v>3</v>
      </c>
    </row>
    <row r="328" spans="1:6" x14ac:dyDescent="0.25">
      <c r="A328" s="1">
        <v>42781</v>
      </c>
      <c r="B328" s="2" t="s">
        <v>203</v>
      </c>
      <c r="C328" s="2" t="s">
        <v>370</v>
      </c>
      <c r="D328">
        <v>9</v>
      </c>
      <c r="E328">
        <f>WEEKNUM(makulatura[[#This Row],[Data_dostarczenia]],13)</f>
        <v>8</v>
      </c>
      <c r="F328" s="2">
        <f>WEEKDAY(makulatura[[#This Row],[Data_dostarczenia]],2)</f>
        <v>3</v>
      </c>
    </row>
    <row r="329" spans="1:6" x14ac:dyDescent="0.25">
      <c r="A329" s="1">
        <v>42781</v>
      </c>
      <c r="B329" s="2" t="s">
        <v>39</v>
      </c>
      <c r="C329" s="2" t="s">
        <v>371</v>
      </c>
      <c r="D329">
        <v>13</v>
      </c>
      <c r="E329">
        <f>WEEKNUM(makulatura[[#This Row],[Data_dostarczenia]],13)</f>
        <v>8</v>
      </c>
      <c r="F329" s="2">
        <f>WEEKDAY(makulatura[[#This Row],[Data_dostarczenia]],2)</f>
        <v>3</v>
      </c>
    </row>
    <row r="330" spans="1:6" x14ac:dyDescent="0.25">
      <c r="A330" s="1">
        <v>42781</v>
      </c>
      <c r="B330" s="2" t="s">
        <v>372</v>
      </c>
      <c r="C330" s="2" t="s">
        <v>373</v>
      </c>
      <c r="D330">
        <v>29</v>
      </c>
      <c r="E330">
        <f>WEEKNUM(makulatura[[#This Row],[Data_dostarczenia]],13)</f>
        <v>8</v>
      </c>
      <c r="F330" s="2">
        <f>WEEKDAY(makulatura[[#This Row],[Data_dostarczenia]],2)</f>
        <v>3</v>
      </c>
    </row>
    <row r="331" spans="1:6" x14ac:dyDescent="0.25">
      <c r="A331" s="1">
        <v>42781</v>
      </c>
      <c r="B331" s="2" t="s">
        <v>374</v>
      </c>
      <c r="C331" s="2" t="s">
        <v>375</v>
      </c>
      <c r="D331">
        <v>18</v>
      </c>
      <c r="E331">
        <f>WEEKNUM(makulatura[[#This Row],[Data_dostarczenia]],13)</f>
        <v>8</v>
      </c>
      <c r="F331" s="2">
        <f>WEEKDAY(makulatura[[#This Row],[Data_dostarczenia]],2)</f>
        <v>3</v>
      </c>
    </row>
    <row r="332" spans="1:6" x14ac:dyDescent="0.25">
      <c r="A332" s="1">
        <v>42782</v>
      </c>
      <c r="B332" s="2" t="s">
        <v>193</v>
      </c>
      <c r="C332" s="2" t="s">
        <v>215</v>
      </c>
      <c r="D332">
        <v>17</v>
      </c>
      <c r="E332">
        <f>WEEKNUM(makulatura[[#This Row],[Data_dostarczenia]],13)</f>
        <v>8</v>
      </c>
      <c r="F332" s="2">
        <f>WEEKDAY(makulatura[[#This Row],[Data_dostarczenia]],2)</f>
        <v>4</v>
      </c>
    </row>
    <row r="333" spans="1:6" x14ac:dyDescent="0.25">
      <c r="A333" s="1">
        <v>42782</v>
      </c>
      <c r="B333" s="2" t="s">
        <v>178</v>
      </c>
      <c r="C333" s="2" t="s">
        <v>376</v>
      </c>
      <c r="D333">
        <v>9</v>
      </c>
      <c r="E333">
        <f>WEEKNUM(makulatura[[#This Row],[Data_dostarczenia]],13)</f>
        <v>8</v>
      </c>
      <c r="F333" s="2">
        <f>WEEKDAY(makulatura[[#This Row],[Data_dostarczenia]],2)</f>
        <v>4</v>
      </c>
    </row>
    <row r="334" spans="1:6" x14ac:dyDescent="0.25">
      <c r="A334" s="1">
        <v>42782</v>
      </c>
      <c r="B334" s="2" t="s">
        <v>83</v>
      </c>
      <c r="C334" s="2" t="s">
        <v>136</v>
      </c>
      <c r="D334">
        <v>20</v>
      </c>
      <c r="E334">
        <f>WEEKNUM(makulatura[[#This Row],[Data_dostarczenia]],13)</f>
        <v>8</v>
      </c>
      <c r="F334" s="2">
        <f>WEEKDAY(makulatura[[#This Row],[Data_dostarczenia]],2)</f>
        <v>4</v>
      </c>
    </row>
    <row r="335" spans="1:6" x14ac:dyDescent="0.25">
      <c r="A335" s="1">
        <v>42782</v>
      </c>
      <c r="B335" s="2" t="s">
        <v>30</v>
      </c>
      <c r="C335" s="2" t="s">
        <v>377</v>
      </c>
      <c r="D335">
        <v>50</v>
      </c>
      <c r="E335">
        <f>WEEKNUM(makulatura[[#This Row],[Data_dostarczenia]],13)</f>
        <v>8</v>
      </c>
      <c r="F335" s="2">
        <f>WEEKDAY(makulatura[[#This Row],[Data_dostarczenia]],2)</f>
        <v>4</v>
      </c>
    </row>
    <row r="336" spans="1:6" x14ac:dyDescent="0.25">
      <c r="A336" s="1">
        <v>42782</v>
      </c>
      <c r="B336" s="2" t="s">
        <v>232</v>
      </c>
      <c r="C336" s="2" t="s">
        <v>378</v>
      </c>
      <c r="D336">
        <v>9</v>
      </c>
      <c r="E336">
        <f>WEEKNUM(makulatura[[#This Row],[Data_dostarczenia]],13)</f>
        <v>8</v>
      </c>
      <c r="F336" s="2">
        <f>WEEKDAY(makulatura[[#This Row],[Data_dostarczenia]],2)</f>
        <v>4</v>
      </c>
    </row>
    <row r="337" spans="1:6" x14ac:dyDescent="0.25">
      <c r="A337" s="1">
        <v>42782</v>
      </c>
      <c r="B337" s="2" t="s">
        <v>83</v>
      </c>
      <c r="C337" s="2" t="s">
        <v>350</v>
      </c>
      <c r="D337">
        <v>4</v>
      </c>
      <c r="E337">
        <f>WEEKNUM(makulatura[[#This Row],[Data_dostarczenia]],13)</f>
        <v>8</v>
      </c>
      <c r="F337" s="2">
        <f>WEEKDAY(makulatura[[#This Row],[Data_dostarczenia]],2)</f>
        <v>4</v>
      </c>
    </row>
    <row r="338" spans="1:6" x14ac:dyDescent="0.25">
      <c r="A338" s="1">
        <v>42782</v>
      </c>
      <c r="B338" s="2" t="s">
        <v>39</v>
      </c>
      <c r="C338" s="2" t="s">
        <v>158</v>
      </c>
      <c r="D338">
        <v>41</v>
      </c>
      <c r="E338">
        <f>WEEKNUM(makulatura[[#This Row],[Data_dostarczenia]],13)</f>
        <v>8</v>
      </c>
      <c r="F338" s="2">
        <f>WEEKDAY(makulatura[[#This Row],[Data_dostarczenia]],2)</f>
        <v>4</v>
      </c>
    </row>
    <row r="339" spans="1:6" x14ac:dyDescent="0.25">
      <c r="A339" s="1">
        <v>42782</v>
      </c>
      <c r="B339" s="2" t="s">
        <v>8</v>
      </c>
      <c r="C339" s="2" t="s">
        <v>322</v>
      </c>
      <c r="D339">
        <v>11</v>
      </c>
      <c r="E339">
        <f>WEEKNUM(makulatura[[#This Row],[Data_dostarczenia]],13)</f>
        <v>8</v>
      </c>
      <c r="F339" s="2">
        <f>WEEKDAY(makulatura[[#This Row],[Data_dostarczenia]],2)</f>
        <v>4</v>
      </c>
    </row>
    <row r="340" spans="1:6" x14ac:dyDescent="0.25">
      <c r="A340" s="1">
        <v>42782</v>
      </c>
      <c r="B340" s="2" t="s">
        <v>152</v>
      </c>
      <c r="C340" s="2" t="s">
        <v>153</v>
      </c>
      <c r="D340">
        <v>22</v>
      </c>
      <c r="E340">
        <f>WEEKNUM(makulatura[[#This Row],[Data_dostarczenia]],13)</f>
        <v>8</v>
      </c>
      <c r="F340" s="2">
        <f>WEEKDAY(makulatura[[#This Row],[Data_dostarczenia]],2)</f>
        <v>4</v>
      </c>
    </row>
    <row r="341" spans="1:6" x14ac:dyDescent="0.25">
      <c r="A341" s="1">
        <v>42782</v>
      </c>
      <c r="B341" s="2" t="s">
        <v>43</v>
      </c>
      <c r="C341" s="2" t="s">
        <v>71</v>
      </c>
      <c r="D341">
        <v>23</v>
      </c>
      <c r="E341">
        <f>WEEKNUM(makulatura[[#This Row],[Data_dostarczenia]],13)</f>
        <v>8</v>
      </c>
      <c r="F341" s="2">
        <f>WEEKDAY(makulatura[[#This Row],[Data_dostarczenia]],2)</f>
        <v>4</v>
      </c>
    </row>
    <row r="342" spans="1:6" x14ac:dyDescent="0.25">
      <c r="A342" s="1">
        <v>42782</v>
      </c>
      <c r="B342" s="2" t="s">
        <v>137</v>
      </c>
      <c r="C342" s="2" t="s">
        <v>379</v>
      </c>
      <c r="D342">
        <v>33</v>
      </c>
      <c r="E342">
        <f>WEEKNUM(makulatura[[#This Row],[Data_dostarczenia]],13)</f>
        <v>8</v>
      </c>
      <c r="F342" s="2">
        <f>WEEKDAY(makulatura[[#This Row],[Data_dostarczenia]],2)</f>
        <v>4</v>
      </c>
    </row>
    <row r="343" spans="1:6" x14ac:dyDescent="0.25">
      <c r="A343" s="1">
        <v>42783</v>
      </c>
      <c r="B343" s="2" t="s">
        <v>97</v>
      </c>
      <c r="C343" s="2" t="s">
        <v>380</v>
      </c>
      <c r="D343">
        <v>14</v>
      </c>
      <c r="E343">
        <f>WEEKNUM(makulatura[[#This Row],[Data_dostarczenia]],13)</f>
        <v>8</v>
      </c>
      <c r="F343" s="2">
        <f>WEEKDAY(makulatura[[#This Row],[Data_dostarczenia]],2)</f>
        <v>5</v>
      </c>
    </row>
    <row r="344" spans="1:6" x14ac:dyDescent="0.25">
      <c r="A344" s="1">
        <v>42783</v>
      </c>
      <c r="B344" s="2" t="s">
        <v>20</v>
      </c>
      <c r="C344" s="2" t="s">
        <v>381</v>
      </c>
      <c r="D344">
        <v>28</v>
      </c>
      <c r="E344">
        <f>WEEKNUM(makulatura[[#This Row],[Data_dostarczenia]],13)</f>
        <v>8</v>
      </c>
      <c r="F344" s="2">
        <f>WEEKDAY(makulatura[[#This Row],[Data_dostarczenia]],2)</f>
        <v>5</v>
      </c>
    </row>
    <row r="345" spans="1:6" x14ac:dyDescent="0.25">
      <c r="A345" s="1">
        <v>42783</v>
      </c>
      <c r="B345" s="2" t="s">
        <v>4</v>
      </c>
      <c r="C345" s="2" t="s">
        <v>382</v>
      </c>
      <c r="D345">
        <v>12</v>
      </c>
      <c r="E345">
        <f>WEEKNUM(makulatura[[#This Row],[Data_dostarczenia]],13)</f>
        <v>8</v>
      </c>
      <c r="F345" s="2">
        <f>WEEKDAY(makulatura[[#This Row],[Data_dostarczenia]],2)</f>
        <v>5</v>
      </c>
    </row>
    <row r="346" spans="1:6" x14ac:dyDescent="0.25">
      <c r="A346" s="1">
        <v>42783</v>
      </c>
      <c r="B346" s="2" t="s">
        <v>155</v>
      </c>
      <c r="C346" s="2" t="s">
        <v>186</v>
      </c>
      <c r="D346">
        <v>55</v>
      </c>
      <c r="E346">
        <f>WEEKNUM(makulatura[[#This Row],[Data_dostarczenia]],13)</f>
        <v>8</v>
      </c>
      <c r="F346" s="2">
        <f>WEEKDAY(makulatura[[#This Row],[Data_dostarczenia]],2)</f>
        <v>5</v>
      </c>
    </row>
    <row r="347" spans="1:6" x14ac:dyDescent="0.25">
      <c r="A347" s="1">
        <v>42783</v>
      </c>
      <c r="B347" s="2" t="s">
        <v>106</v>
      </c>
      <c r="C347" s="2" t="s">
        <v>107</v>
      </c>
      <c r="D347">
        <v>27</v>
      </c>
      <c r="E347">
        <f>WEEKNUM(makulatura[[#This Row],[Data_dostarczenia]],13)</f>
        <v>8</v>
      </c>
      <c r="F347" s="2">
        <f>WEEKDAY(makulatura[[#This Row],[Data_dostarczenia]],2)</f>
        <v>5</v>
      </c>
    </row>
    <row r="348" spans="1:6" x14ac:dyDescent="0.25">
      <c r="A348" s="1">
        <v>42783</v>
      </c>
      <c r="B348" s="2" t="s">
        <v>367</v>
      </c>
      <c r="C348" s="2" t="s">
        <v>5</v>
      </c>
      <c r="D348">
        <v>12</v>
      </c>
      <c r="E348">
        <f>WEEKNUM(makulatura[[#This Row],[Data_dostarczenia]],13)</f>
        <v>8</v>
      </c>
      <c r="F348" s="2">
        <f>WEEKDAY(makulatura[[#This Row],[Data_dostarczenia]],2)</f>
        <v>5</v>
      </c>
    </row>
    <row r="349" spans="1:6" x14ac:dyDescent="0.25">
      <c r="A349" s="1">
        <v>42783</v>
      </c>
      <c r="B349" s="2" t="s">
        <v>128</v>
      </c>
      <c r="C349" s="2" t="s">
        <v>12</v>
      </c>
      <c r="D349">
        <v>50</v>
      </c>
      <c r="E349">
        <f>WEEKNUM(makulatura[[#This Row],[Data_dostarczenia]],13)</f>
        <v>8</v>
      </c>
      <c r="F349" s="2">
        <f>WEEKDAY(makulatura[[#This Row],[Data_dostarczenia]],2)</f>
        <v>5</v>
      </c>
    </row>
    <row r="350" spans="1:6" x14ac:dyDescent="0.25">
      <c r="A350" s="1">
        <v>42783</v>
      </c>
      <c r="B350" s="2" t="s">
        <v>341</v>
      </c>
      <c r="C350" s="2" t="s">
        <v>342</v>
      </c>
      <c r="D350">
        <v>23</v>
      </c>
      <c r="E350">
        <f>WEEKNUM(makulatura[[#This Row],[Data_dostarczenia]],13)</f>
        <v>8</v>
      </c>
      <c r="F350" s="2">
        <f>WEEKDAY(makulatura[[#This Row],[Data_dostarczenia]],2)</f>
        <v>5</v>
      </c>
    </row>
    <row r="351" spans="1:6" x14ac:dyDescent="0.25">
      <c r="A351" s="1">
        <v>42783</v>
      </c>
      <c r="B351" s="2" t="s">
        <v>87</v>
      </c>
      <c r="C351" s="2" t="s">
        <v>383</v>
      </c>
      <c r="D351">
        <v>24</v>
      </c>
      <c r="E351">
        <f>WEEKNUM(makulatura[[#This Row],[Data_dostarczenia]],13)</f>
        <v>8</v>
      </c>
      <c r="F351" s="2">
        <f>WEEKDAY(makulatura[[#This Row],[Data_dostarczenia]],2)</f>
        <v>5</v>
      </c>
    </row>
    <row r="352" spans="1:6" x14ac:dyDescent="0.25">
      <c r="A352" s="1">
        <v>42783</v>
      </c>
      <c r="B352" s="2" t="s">
        <v>77</v>
      </c>
      <c r="C352" s="2" t="s">
        <v>384</v>
      </c>
      <c r="D352">
        <v>29</v>
      </c>
      <c r="E352">
        <f>WEEKNUM(makulatura[[#This Row],[Data_dostarczenia]],13)</f>
        <v>8</v>
      </c>
      <c r="F352" s="2">
        <f>WEEKDAY(makulatura[[#This Row],[Data_dostarczenia]],2)</f>
        <v>5</v>
      </c>
    </row>
    <row r="353" spans="1:6" x14ac:dyDescent="0.25">
      <c r="A353" s="1">
        <v>42783</v>
      </c>
      <c r="B353" s="2" t="s">
        <v>119</v>
      </c>
      <c r="C353" s="2" t="s">
        <v>349</v>
      </c>
      <c r="D353">
        <v>25</v>
      </c>
      <c r="E353">
        <f>WEEKNUM(makulatura[[#This Row],[Data_dostarczenia]],13)</f>
        <v>8</v>
      </c>
      <c r="F353" s="2">
        <f>WEEKDAY(makulatura[[#This Row],[Data_dostarczenia]],2)</f>
        <v>5</v>
      </c>
    </row>
    <row r="354" spans="1:6" x14ac:dyDescent="0.25">
      <c r="A354" s="1">
        <v>42786</v>
      </c>
      <c r="B354" s="2" t="s">
        <v>206</v>
      </c>
      <c r="C354" s="2" t="s">
        <v>385</v>
      </c>
      <c r="D354">
        <v>17</v>
      </c>
      <c r="E354">
        <f>WEEKNUM(makulatura[[#This Row],[Data_dostarczenia]],13)</f>
        <v>8</v>
      </c>
      <c r="F354" s="2">
        <f>WEEKDAY(makulatura[[#This Row],[Data_dostarczenia]],2)</f>
        <v>1</v>
      </c>
    </row>
    <row r="355" spans="1:6" x14ac:dyDescent="0.25">
      <c r="A355" s="1">
        <v>42786</v>
      </c>
      <c r="B355" s="2" t="s">
        <v>4</v>
      </c>
      <c r="C355" s="2" t="s">
        <v>386</v>
      </c>
      <c r="D355">
        <v>5</v>
      </c>
      <c r="E355">
        <f>WEEKNUM(makulatura[[#This Row],[Data_dostarczenia]],13)</f>
        <v>8</v>
      </c>
      <c r="F355" s="2">
        <f>WEEKDAY(makulatura[[#This Row],[Data_dostarczenia]],2)</f>
        <v>1</v>
      </c>
    </row>
    <row r="356" spans="1:6" x14ac:dyDescent="0.25">
      <c r="A356" s="1">
        <v>42786</v>
      </c>
      <c r="B356" s="2" t="s">
        <v>97</v>
      </c>
      <c r="C356" s="2" t="s">
        <v>188</v>
      </c>
      <c r="D356">
        <v>12</v>
      </c>
      <c r="E356">
        <f>WEEKNUM(makulatura[[#This Row],[Data_dostarczenia]],13)</f>
        <v>8</v>
      </c>
      <c r="F356" s="2">
        <f>WEEKDAY(makulatura[[#This Row],[Data_dostarczenia]],2)</f>
        <v>1</v>
      </c>
    </row>
    <row r="357" spans="1:6" x14ac:dyDescent="0.25">
      <c r="A357" s="1">
        <v>42786</v>
      </c>
      <c r="B357" s="2" t="s">
        <v>198</v>
      </c>
      <c r="C357" s="2" t="s">
        <v>199</v>
      </c>
      <c r="D357">
        <v>31</v>
      </c>
      <c r="E357">
        <f>WEEKNUM(makulatura[[#This Row],[Data_dostarczenia]],13)</f>
        <v>8</v>
      </c>
      <c r="F357" s="2">
        <f>WEEKDAY(makulatura[[#This Row],[Data_dostarczenia]],2)</f>
        <v>1</v>
      </c>
    </row>
    <row r="358" spans="1:6" x14ac:dyDescent="0.25">
      <c r="A358" s="1">
        <v>42786</v>
      </c>
      <c r="B358" s="2" t="s">
        <v>30</v>
      </c>
      <c r="C358" s="2" t="s">
        <v>387</v>
      </c>
      <c r="D358">
        <v>7</v>
      </c>
      <c r="E358">
        <f>WEEKNUM(makulatura[[#This Row],[Data_dostarczenia]],13)</f>
        <v>8</v>
      </c>
      <c r="F358" s="2">
        <f>WEEKDAY(makulatura[[#This Row],[Data_dostarczenia]],2)</f>
        <v>1</v>
      </c>
    </row>
    <row r="359" spans="1:6" x14ac:dyDescent="0.25">
      <c r="A359" s="1">
        <v>42786</v>
      </c>
      <c r="B359" s="2" t="s">
        <v>150</v>
      </c>
      <c r="C359" s="2" t="s">
        <v>140</v>
      </c>
      <c r="D359">
        <v>26</v>
      </c>
      <c r="E359">
        <f>WEEKNUM(makulatura[[#This Row],[Data_dostarczenia]],13)</f>
        <v>8</v>
      </c>
      <c r="F359" s="2">
        <f>WEEKDAY(makulatura[[#This Row],[Data_dostarczenia]],2)</f>
        <v>1</v>
      </c>
    </row>
    <row r="360" spans="1:6" x14ac:dyDescent="0.25">
      <c r="A360" s="1">
        <v>42786</v>
      </c>
      <c r="B360" s="2" t="s">
        <v>83</v>
      </c>
      <c r="C360" s="2" t="s">
        <v>91</v>
      </c>
      <c r="D360">
        <v>28</v>
      </c>
      <c r="E360">
        <f>WEEKNUM(makulatura[[#This Row],[Data_dostarczenia]],13)</f>
        <v>8</v>
      </c>
      <c r="F360" s="2">
        <f>WEEKDAY(makulatura[[#This Row],[Data_dostarczenia]],2)</f>
        <v>1</v>
      </c>
    </row>
    <row r="361" spans="1:6" x14ac:dyDescent="0.25">
      <c r="A361" s="1">
        <v>42786</v>
      </c>
      <c r="B361" s="2" t="s">
        <v>45</v>
      </c>
      <c r="C361" s="2" t="s">
        <v>46</v>
      </c>
      <c r="D361">
        <v>19</v>
      </c>
      <c r="E361">
        <f>WEEKNUM(makulatura[[#This Row],[Data_dostarczenia]],13)</f>
        <v>8</v>
      </c>
      <c r="F361" s="2">
        <f>WEEKDAY(makulatura[[#This Row],[Data_dostarczenia]],2)</f>
        <v>1</v>
      </c>
    </row>
    <row r="362" spans="1:6" x14ac:dyDescent="0.25">
      <c r="A362" s="1">
        <v>42786</v>
      </c>
      <c r="B362" s="2" t="s">
        <v>8</v>
      </c>
      <c r="C362" s="2" t="s">
        <v>322</v>
      </c>
      <c r="D362">
        <v>3</v>
      </c>
      <c r="E362">
        <f>WEEKNUM(makulatura[[#This Row],[Data_dostarczenia]],13)</f>
        <v>8</v>
      </c>
      <c r="F362" s="2">
        <f>WEEKDAY(makulatura[[#This Row],[Data_dostarczenia]],2)</f>
        <v>1</v>
      </c>
    </row>
    <row r="363" spans="1:6" x14ac:dyDescent="0.25">
      <c r="A363" s="1">
        <v>42786</v>
      </c>
      <c r="B363" s="2" t="s">
        <v>69</v>
      </c>
      <c r="C363" s="2" t="s">
        <v>108</v>
      </c>
      <c r="D363">
        <v>12</v>
      </c>
      <c r="E363">
        <f>WEEKNUM(makulatura[[#This Row],[Data_dostarczenia]],13)</f>
        <v>8</v>
      </c>
      <c r="F363" s="2">
        <f>WEEKDAY(makulatura[[#This Row],[Data_dostarczenia]],2)</f>
        <v>1</v>
      </c>
    </row>
    <row r="364" spans="1:6" x14ac:dyDescent="0.25">
      <c r="A364" s="1">
        <v>42786</v>
      </c>
      <c r="B364" s="2" t="s">
        <v>45</v>
      </c>
      <c r="C364" s="2" t="s">
        <v>388</v>
      </c>
      <c r="D364">
        <v>11</v>
      </c>
      <c r="E364">
        <f>WEEKNUM(makulatura[[#This Row],[Data_dostarczenia]],13)</f>
        <v>8</v>
      </c>
      <c r="F364" s="2">
        <f>WEEKDAY(makulatura[[#This Row],[Data_dostarczenia]],2)</f>
        <v>1</v>
      </c>
    </row>
    <row r="365" spans="1:6" x14ac:dyDescent="0.25">
      <c r="A365" s="1">
        <v>42787</v>
      </c>
      <c r="B365" s="2" t="s">
        <v>280</v>
      </c>
      <c r="C365" s="2" t="s">
        <v>281</v>
      </c>
      <c r="D365">
        <v>29</v>
      </c>
      <c r="E365">
        <f>WEEKNUM(makulatura[[#This Row],[Data_dostarczenia]],13)</f>
        <v>8</v>
      </c>
      <c r="F365" s="2">
        <f>WEEKDAY(makulatura[[#This Row],[Data_dostarczenia]],2)</f>
        <v>2</v>
      </c>
    </row>
    <row r="366" spans="1:6" x14ac:dyDescent="0.25">
      <c r="A366" s="1">
        <v>42787</v>
      </c>
      <c r="B366" s="2" t="s">
        <v>53</v>
      </c>
      <c r="C366" s="2" t="s">
        <v>389</v>
      </c>
      <c r="D366">
        <v>4</v>
      </c>
      <c r="E366">
        <f>WEEKNUM(makulatura[[#This Row],[Data_dostarczenia]],13)</f>
        <v>8</v>
      </c>
      <c r="F366" s="2">
        <f>WEEKDAY(makulatura[[#This Row],[Data_dostarczenia]],2)</f>
        <v>2</v>
      </c>
    </row>
    <row r="367" spans="1:6" x14ac:dyDescent="0.25">
      <c r="A367" s="1">
        <v>42787</v>
      </c>
      <c r="B367" s="2" t="s">
        <v>144</v>
      </c>
      <c r="C367" s="2" t="s">
        <v>390</v>
      </c>
      <c r="D367">
        <v>2</v>
      </c>
      <c r="E367">
        <f>WEEKNUM(makulatura[[#This Row],[Data_dostarczenia]],13)</f>
        <v>8</v>
      </c>
      <c r="F367" s="2">
        <f>WEEKDAY(makulatura[[#This Row],[Data_dostarczenia]],2)</f>
        <v>2</v>
      </c>
    </row>
    <row r="368" spans="1:6" x14ac:dyDescent="0.25">
      <c r="A368" s="1">
        <v>42787</v>
      </c>
      <c r="B368" s="2" t="s">
        <v>39</v>
      </c>
      <c r="C368" s="2" t="s">
        <v>391</v>
      </c>
      <c r="D368">
        <v>45</v>
      </c>
      <c r="E368">
        <f>WEEKNUM(makulatura[[#This Row],[Data_dostarczenia]],13)</f>
        <v>8</v>
      </c>
      <c r="F368" s="2">
        <f>WEEKDAY(makulatura[[#This Row],[Data_dostarczenia]],2)</f>
        <v>2</v>
      </c>
    </row>
    <row r="369" spans="1:6" x14ac:dyDescent="0.25">
      <c r="A369" s="1">
        <v>42787</v>
      </c>
      <c r="B369" s="2" t="s">
        <v>18</v>
      </c>
      <c r="C369" s="2" t="s">
        <v>392</v>
      </c>
      <c r="D369">
        <v>46</v>
      </c>
      <c r="E369">
        <f>WEEKNUM(makulatura[[#This Row],[Data_dostarczenia]],13)</f>
        <v>8</v>
      </c>
      <c r="F369" s="2">
        <f>WEEKDAY(makulatura[[#This Row],[Data_dostarczenia]],2)</f>
        <v>2</v>
      </c>
    </row>
    <row r="370" spans="1:6" x14ac:dyDescent="0.25">
      <c r="A370" s="1">
        <v>42787</v>
      </c>
      <c r="B370" s="2" t="s">
        <v>393</v>
      </c>
      <c r="C370" s="2" t="s">
        <v>394</v>
      </c>
      <c r="D370">
        <v>21</v>
      </c>
      <c r="E370">
        <f>WEEKNUM(makulatura[[#This Row],[Data_dostarczenia]],13)</f>
        <v>8</v>
      </c>
      <c r="F370" s="2">
        <f>WEEKDAY(makulatura[[#This Row],[Data_dostarczenia]],2)</f>
        <v>2</v>
      </c>
    </row>
    <row r="371" spans="1:6" x14ac:dyDescent="0.25">
      <c r="A371" s="1">
        <v>42787</v>
      </c>
      <c r="B371" s="2" t="s">
        <v>395</v>
      </c>
      <c r="C371" s="2" t="s">
        <v>396</v>
      </c>
      <c r="D371">
        <v>24</v>
      </c>
      <c r="E371">
        <f>WEEKNUM(makulatura[[#This Row],[Data_dostarczenia]],13)</f>
        <v>8</v>
      </c>
      <c r="F371" s="2">
        <f>WEEKDAY(makulatura[[#This Row],[Data_dostarczenia]],2)</f>
        <v>2</v>
      </c>
    </row>
    <row r="372" spans="1:6" x14ac:dyDescent="0.25">
      <c r="A372" s="1">
        <v>42787</v>
      </c>
      <c r="B372" s="2" t="s">
        <v>87</v>
      </c>
      <c r="C372" s="2" t="s">
        <v>397</v>
      </c>
      <c r="D372">
        <v>53</v>
      </c>
      <c r="E372">
        <f>WEEKNUM(makulatura[[#This Row],[Data_dostarczenia]],13)</f>
        <v>8</v>
      </c>
      <c r="F372" s="2">
        <f>WEEKDAY(makulatura[[#This Row],[Data_dostarczenia]],2)</f>
        <v>2</v>
      </c>
    </row>
    <row r="373" spans="1:6" x14ac:dyDescent="0.25">
      <c r="A373" s="1">
        <v>42787</v>
      </c>
      <c r="B373" s="2" t="s">
        <v>393</v>
      </c>
      <c r="C373" s="2" t="s">
        <v>398</v>
      </c>
      <c r="D373">
        <v>45</v>
      </c>
      <c r="E373">
        <f>WEEKNUM(makulatura[[#This Row],[Data_dostarczenia]],13)</f>
        <v>8</v>
      </c>
      <c r="F373" s="2">
        <f>WEEKDAY(makulatura[[#This Row],[Data_dostarczenia]],2)</f>
        <v>2</v>
      </c>
    </row>
    <row r="374" spans="1:6" x14ac:dyDescent="0.25">
      <c r="A374" s="1">
        <v>42787</v>
      </c>
      <c r="B374" s="2" t="s">
        <v>57</v>
      </c>
      <c r="C374" s="2" t="s">
        <v>399</v>
      </c>
      <c r="D374">
        <v>56</v>
      </c>
      <c r="E374">
        <f>WEEKNUM(makulatura[[#This Row],[Data_dostarczenia]],13)</f>
        <v>8</v>
      </c>
      <c r="F374" s="2">
        <f>WEEKDAY(makulatura[[#This Row],[Data_dostarczenia]],2)</f>
        <v>2</v>
      </c>
    </row>
    <row r="375" spans="1:6" x14ac:dyDescent="0.25">
      <c r="A375" s="1">
        <v>42787</v>
      </c>
      <c r="B375" s="2" t="s">
        <v>97</v>
      </c>
      <c r="C375" s="2" t="s">
        <v>181</v>
      </c>
      <c r="D375">
        <v>28</v>
      </c>
      <c r="E375">
        <f>WEEKNUM(makulatura[[#This Row],[Data_dostarczenia]],13)</f>
        <v>8</v>
      </c>
      <c r="F375" s="2">
        <f>WEEKDAY(makulatura[[#This Row],[Data_dostarczenia]],2)</f>
        <v>2</v>
      </c>
    </row>
    <row r="376" spans="1:6" x14ac:dyDescent="0.25">
      <c r="A376" s="1">
        <v>42788</v>
      </c>
      <c r="B376" s="2" t="s">
        <v>144</v>
      </c>
      <c r="C376" s="2" t="s">
        <v>390</v>
      </c>
      <c r="D376">
        <v>45</v>
      </c>
      <c r="E376">
        <f>WEEKNUM(makulatura[[#This Row],[Data_dostarczenia]],13)</f>
        <v>9</v>
      </c>
      <c r="F376" s="2">
        <f>WEEKDAY(makulatura[[#This Row],[Data_dostarczenia]],2)</f>
        <v>3</v>
      </c>
    </row>
    <row r="377" spans="1:6" x14ac:dyDescent="0.25">
      <c r="A377" s="1">
        <v>42788</v>
      </c>
      <c r="B377" s="2" t="s">
        <v>39</v>
      </c>
      <c r="C377" s="2" t="s">
        <v>400</v>
      </c>
      <c r="D377">
        <v>43</v>
      </c>
      <c r="E377">
        <f>WEEKNUM(makulatura[[#This Row],[Data_dostarczenia]],13)</f>
        <v>9</v>
      </c>
      <c r="F377" s="2">
        <f>WEEKDAY(makulatura[[#This Row],[Data_dostarczenia]],2)</f>
        <v>3</v>
      </c>
    </row>
    <row r="378" spans="1:6" x14ac:dyDescent="0.25">
      <c r="A378" s="1">
        <v>42788</v>
      </c>
      <c r="B378" s="2" t="s">
        <v>87</v>
      </c>
      <c r="C378" s="2" t="s">
        <v>124</v>
      </c>
      <c r="D378">
        <v>6</v>
      </c>
      <c r="E378">
        <f>WEEKNUM(makulatura[[#This Row],[Data_dostarczenia]],13)</f>
        <v>9</v>
      </c>
      <c r="F378" s="2">
        <f>WEEKDAY(makulatura[[#This Row],[Data_dostarczenia]],2)</f>
        <v>3</v>
      </c>
    </row>
    <row r="379" spans="1:6" x14ac:dyDescent="0.25">
      <c r="A379" s="1">
        <v>42788</v>
      </c>
      <c r="B379" s="2" t="s">
        <v>195</v>
      </c>
      <c r="C379" s="2" t="s">
        <v>401</v>
      </c>
      <c r="D379">
        <v>5</v>
      </c>
      <c r="E379">
        <f>WEEKNUM(makulatura[[#This Row],[Data_dostarczenia]],13)</f>
        <v>9</v>
      </c>
      <c r="F379" s="2">
        <f>WEEKDAY(makulatura[[#This Row],[Data_dostarczenia]],2)</f>
        <v>3</v>
      </c>
    </row>
    <row r="380" spans="1:6" x14ac:dyDescent="0.25">
      <c r="A380" s="1">
        <v>42788</v>
      </c>
      <c r="B380" s="2" t="s">
        <v>402</v>
      </c>
      <c r="C380" s="2" t="s">
        <v>403</v>
      </c>
      <c r="D380">
        <v>47</v>
      </c>
      <c r="E380">
        <f>WEEKNUM(makulatura[[#This Row],[Data_dostarczenia]],13)</f>
        <v>9</v>
      </c>
      <c r="F380" s="2">
        <f>WEEKDAY(makulatura[[#This Row],[Data_dostarczenia]],2)</f>
        <v>3</v>
      </c>
    </row>
    <row r="381" spans="1:6" x14ac:dyDescent="0.25">
      <c r="A381" s="1">
        <v>42788</v>
      </c>
      <c r="B381" s="2" t="s">
        <v>36</v>
      </c>
      <c r="C381" s="2" t="s">
        <v>404</v>
      </c>
      <c r="D381">
        <v>6</v>
      </c>
      <c r="E381">
        <f>WEEKNUM(makulatura[[#This Row],[Data_dostarczenia]],13)</f>
        <v>9</v>
      </c>
      <c r="F381" s="2">
        <f>WEEKDAY(makulatura[[#This Row],[Data_dostarczenia]],2)</f>
        <v>3</v>
      </c>
    </row>
    <row r="382" spans="1:6" x14ac:dyDescent="0.25">
      <c r="A382" s="1">
        <v>42788</v>
      </c>
      <c r="B382" s="2" t="s">
        <v>117</v>
      </c>
      <c r="C382" s="2" t="s">
        <v>183</v>
      </c>
      <c r="D382">
        <v>55</v>
      </c>
      <c r="E382">
        <f>WEEKNUM(makulatura[[#This Row],[Data_dostarczenia]],13)</f>
        <v>9</v>
      </c>
      <c r="F382" s="2">
        <f>WEEKDAY(makulatura[[#This Row],[Data_dostarczenia]],2)</f>
        <v>3</v>
      </c>
    </row>
    <row r="383" spans="1:6" x14ac:dyDescent="0.25">
      <c r="A383" s="1">
        <v>42788</v>
      </c>
      <c r="B383" s="2" t="s">
        <v>23</v>
      </c>
      <c r="C383" s="2" t="s">
        <v>24</v>
      </c>
      <c r="D383">
        <v>37</v>
      </c>
      <c r="E383">
        <f>WEEKNUM(makulatura[[#This Row],[Data_dostarczenia]],13)</f>
        <v>9</v>
      </c>
      <c r="F383" s="2">
        <f>WEEKDAY(makulatura[[#This Row],[Data_dostarczenia]],2)</f>
        <v>3</v>
      </c>
    </row>
    <row r="384" spans="1:6" x14ac:dyDescent="0.25">
      <c r="A384" s="1">
        <v>42788</v>
      </c>
      <c r="B384" s="2" t="s">
        <v>128</v>
      </c>
      <c r="C384" s="2" t="s">
        <v>309</v>
      </c>
      <c r="D384">
        <v>10</v>
      </c>
      <c r="E384">
        <f>WEEKNUM(makulatura[[#This Row],[Data_dostarczenia]],13)</f>
        <v>9</v>
      </c>
      <c r="F384" s="2">
        <f>WEEKDAY(makulatura[[#This Row],[Data_dostarczenia]],2)</f>
        <v>3</v>
      </c>
    </row>
    <row r="385" spans="1:6" x14ac:dyDescent="0.25">
      <c r="A385" s="1">
        <v>42788</v>
      </c>
      <c r="B385" s="2" t="s">
        <v>27</v>
      </c>
      <c r="C385" s="2" t="s">
        <v>94</v>
      </c>
      <c r="D385">
        <v>39</v>
      </c>
      <c r="E385">
        <f>WEEKNUM(makulatura[[#This Row],[Data_dostarczenia]],13)</f>
        <v>9</v>
      </c>
      <c r="F385" s="2">
        <f>WEEKDAY(makulatura[[#This Row],[Data_dostarczenia]],2)</f>
        <v>3</v>
      </c>
    </row>
    <row r="386" spans="1:6" x14ac:dyDescent="0.25">
      <c r="A386" s="1">
        <v>42788</v>
      </c>
      <c r="B386" s="2" t="s">
        <v>232</v>
      </c>
      <c r="C386" s="2" t="s">
        <v>405</v>
      </c>
      <c r="D386">
        <v>23</v>
      </c>
      <c r="E386">
        <f>WEEKNUM(makulatura[[#This Row],[Data_dostarczenia]],13)</f>
        <v>9</v>
      </c>
      <c r="F386" s="2">
        <f>WEEKDAY(makulatura[[#This Row],[Data_dostarczenia]],2)</f>
        <v>3</v>
      </c>
    </row>
    <row r="387" spans="1:6" x14ac:dyDescent="0.25">
      <c r="A387" s="1">
        <v>42789</v>
      </c>
      <c r="B387" s="2" t="s">
        <v>41</v>
      </c>
      <c r="C387" s="2" t="s">
        <v>238</v>
      </c>
      <c r="D387">
        <v>19</v>
      </c>
      <c r="E387">
        <f>WEEKNUM(makulatura[[#This Row],[Data_dostarczenia]],13)</f>
        <v>9</v>
      </c>
      <c r="F387" s="2">
        <f>WEEKDAY(makulatura[[#This Row],[Data_dostarczenia]],2)</f>
        <v>4</v>
      </c>
    </row>
    <row r="388" spans="1:6" x14ac:dyDescent="0.25">
      <c r="A388" s="1">
        <v>42789</v>
      </c>
      <c r="B388" s="2" t="s">
        <v>87</v>
      </c>
      <c r="C388" s="2" t="s">
        <v>383</v>
      </c>
      <c r="D388">
        <v>28</v>
      </c>
      <c r="E388">
        <f>WEEKNUM(makulatura[[#This Row],[Data_dostarczenia]],13)</f>
        <v>9</v>
      </c>
      <c r="F388" s="2">
        <f>WEEKDAY(makulatura[[#This Row],[Data_dostarczenia]],2)</f>
        <v>4</v>
      </c>
    </row>
    <row r="389" spans="1:6" x14ac:dyDescent="0.25">
      <c r="A389" s="1">
        <v>42789</v>
      </c>
      <c r="B389" s="2" t="s">
        <v>128</v>
      </c>
      <c r="C389" s="2" t="s">
        <v>129</v>
      </c>
      <c r="D389">
        <v>2</v>
      </c>
      <c r="E389">
        <f>WEEKNUM(makulatura[[#This Row],[Data_dostarczenia]],13)</f>
        <v>9</v>
      </c>
      <c r="F389" s="2">
        <f>WEEKDAY(makulatura[[#This Row],[Data_dostarczenia]],2)</f>
        <v>4</v>
      </c>
    </row>
    <row r="390" spans="1:6" x14ac:dyDescent="0.25">
      <c r="A390" s="1">
        <v>42789</v>
      </c>
      <c r="B390" s="2" t="s">
        <v>47</v>
      </c>
      <c r="C390" s="2" t="s">
        <v>48</v>
      </c>
      <c r="D390">
        <v>6</v>
      </c>
      <c r="E390">
        <f>WEEKNUM(makulatura[[#This Row],[Data_dostarczenia]],13)</f>
        <v>9</v>
      </c>
      <c r="F390" s="2">
        <f>WEEKDAY(makulatura[[#This Row],[Data_dostarczenia]],2)</f>
        <v>4</v>
      </c>
    </row>
    <row r="391" spans="1:6" x14ac:dyDescent="0.25">
      <c r="A391" s="1">
        <v>42789</v>
      </c>
      <c r="B391" s="2" t="s">
        <v>32</v>
      </c>
      <c r="C391" s="2" t="s">
        <v>406</v>
      </c>
      <c r="D391">
        <v>26</v>
      </c>
      <c r="E391">
        <f>WEEKNUM(makulatura[[#This Row],[Data_dostarczenia]],13)</f>
        <v>9</v>
      </c>
      <c r="F391" s="2">
        <f>WEEKDAY(makulatura[[#This Row],[Data_dostarczenia]],2)</f>
        <v>4</v>
      </c>
    </row>
    <row r="392" spans="1:6" x14ac:dyDescent="0.25">
      <c r="A392" s="1">
        <v>42789</v>
      </c>
      <c r="B392" s="2" t="s">
        <v>407</v>
      </c>
      <c r="C392" s="2" t="s">
        <v>408</v>
      </c>
      <c r="D392">
        <v>55</v>
      </c>
      <c r="E392">
        <f>WEEKNUM(makulatura[[#This Row],[Data_dostarczenia]],13)</f>
        <v>9</v>
      </c>
      <c r="F392" s="2">
        <f>WEEKDAY(makulatura[[#This Row],[Data_dostarczenia]],2)</f>
        <v>4</v>
      </c>
    </row>
    <row r="393" spans="1:6" x14ac:dyDescent="0.25">
      <c r="A393" s="1">
        <v>42789</v>
      </c>
      <c r="B393" s="2" t="s">
        <v>409</v>
      </c>
      <c r="C393" s="2" t="s">
        <v>410</v>
      </c>
      <c r="D393">
        <v>52</v>
      </c>
      <c r="E393">
        <f>WEEKNUM(makulatura[[#This Row],[Data_dostarczenia]],13)</f>
        <v>9</v>
      </c>
      <c r="F393" s="2">
        <f>WEEKDAY(makulatura[[#This Row],[Data_dostarczenia]],2)</f>
        <v>4</v>
      </c>
    </row>
    <row r="394" spans="1:6" x14ac:dyDescent="0.25">
      <c r="A394" s="1">
        <v>42789</v>
      </c>
      <c r="B394" s="2" t="s">
        <v>367</v>
      </c>
      <c r="C394" s="2" t="s">
        <v>411</v>
      </c>
      <c r="D394">
        <v>55</v>
      </c>
      <c r="E394">
        <f>WEEKNUM(makulatura[[#This Row],[Data_dostarczenia]],13)</f>
        <v>9</v>
      </c>
      <c r="F394" s="2">
        <f>WEEKDAY(makulatura[[#This Row],[Data_dostarczenia]],2)</f>
        <v>4</v>
      </c>
    </row>
    <row r="395" spans="1:6" x14ac:dyDescent="0.25">
      <c r="A395" s="1">
        <v>42789</v>
      </c>
      <c r="B395" s="2" t="s">
        <v>412</v>
      </c>
      <c r="C395" s="2" t="s">
        <v>413</v>
      </c>
      <c r="D395">
        <v>15</v>
      </c>
      <c r="E395">
        <f>WEEKNUM(makulatura[[#This Row],[Data_dostarczenia]],13)</f>
        <v>9</v>
      </c>
      <c r="F395" s="2">
        <f>WEEKDAY(makulatura[[#This Row],[Data_dostarczenia]],2)</f>
        <v>4</v>
      </c>
    </row>
    <row r="396" spans="1:6" x14ac:dyDescent="0.25">
      <c r="A396" s="1">
        <v>42789</v>
      </c>
      <c r="B396" s="2" t="s">
        <v>155</v>
      </c>
      <c r="C396" s="2" t="s">
        <v>414</v>
      </c>
      <c r="D396">
        <v>44</v>
      </c>
      <c r="E396">
        <f>WEEKNUM(makulatura[[#This Row],[Data_dostarczenia]],13)</f>
        <v>9</v>
      </c>
      <c r="F396" s="2">
        <f>WEEKDAY(makulatura[[#This Row],[Data_dostarczenia]],2)</f>
        <v>4</v>
      </c>
    </row>
    <row r="397" spans="1:6" x14ac:dyDescent="0.25">
      <c r="A397" s="1">
        <v>42789</v>
      </c>
      <c r="B397" s="2" t="s">
        <v>41</v>
      </c>
      <c r="C397" s="2" t="s">
        <v>42</v>
      </c>
      <c r="D397">
        <v>28</v>
      </c>
      <c r="E397">
        <f>WEEKNUM(makulatura[[#This Row],[Data_dostarczenia]],13)</f>
        <v>9</v>
      </c>
      <c r="F397" s="2">
        <f>WEEKDAY(makulatura[[#This Row],[Data_dostarczenia]],2)</f>
        <v>4</v>
      </c>
    </row>
    <row r="398" spans="1:6" x14ac:dyDescent="0.25">
      <c r="A398" s="1">
        <v>42790</v>
      </c>
      <c r="B398" s="2" t="s">
        <v>174</v>
      </c>
      <c r="C398" s="2" t="s">
        <v>415</v>
      </c>
      <c r="D398">
        <v>19</v>
      </c>
      <c r="E398">
        <f>WEEKNUM(makulatura[[#This Row],[Data_dostarczenia]],13)</f>
        <v>9</v>
      </c>
      <c r="F398" s="2">
        <f>WEEKDAY(makulatura[[#This Row],[Data_dostarczenia]],2)</f>
        <v>5</v>
      </c>
    </row>
    <row r="399" spans="1:6" x14ac:dyDescent="0.25">
      <c r="A399" s="1">
        <v>42790</v>
      </c>
      <c r="B399" s="2" t="s">
        <v>193</v>
      </c>
      <c r="C399" s="2" t="s">
        <v>215</v>
      </c>
      <c r="D399">
        <v>20</v>
      </c>
      <c r="E399">
        <f>WEEKNUM(makulatura[[#This Row],[Data_dostarczenia]],13)</f>
        <v>9</v>
      </c>
      <c r="F399" s="2">
        <f>WEEKDAY(makulatura[[#This Row],[Data_dostarczenia]],2)</f>
        <v>5</v>
      </c>
    </row>
    <row r="400" spans="1:6" x14ac:dyDescent="0.25">
      <c r="A400" s="1">
        <v>42790</v>
      </c>
      <c r="B400" s="2" t="s">
        <v>416</v>
      </c>
      <c r="C400" s="2" t="s">
        <v>417</v>
      </c>
      <c r="D400">
        <v>24</v>
      </c>
      <c r="E400">
        <f>WEEKNUM(makulatura[[#This Row],[Data_dostarczenia]],13)</f>
        <v>9</v>
      </c>
      <c r="F400" s="2">
        <f>WEEKDAY(makulatura[[#This Row],[Data_dostarczenia]],2)</f>
        <v>5</v>
      </c>
    </row>
    <row r="401" spans="1:6" x14ac:dyDescent="0.25">
      <c r="A401" s="1">
        <v>42790</v>
      </c>
      <c r="B401" s="2" t="s">
        <v>34</v>
      </c>
      <c r="C401" s="2" t="s">
        <v>182</v>
      </c>
      <c r="D401">
        <v>8</v>
      </c>
      <c r="E401">
        <f>WEEKNUM(makulatura[[#This Row],[Data_dostarczenia]],13)</f>
        <v>9</v>
      </c>
      <c r="F401" s="2">
        <f>WEEKDAY(makulatura[[#This Row],[Data_dostarczenia]],2)</f>
        <v>5</v>
      </c>
    </row>
    <row r="402" spans="1:6" x14ac:dyDescent="0.25">
      <c r="A402" s="1">
        <v>42790</v>
      </c>
      <c r="B402" s="2" t="s">
        <v>57</v>
      </c>
      <c r="C402" s="2" t="s">
        <v>418</v>
      </c>
      <c r="D402">
        <v>8</v>
      </c>
      <c r="E402">
        <f>WEEKNUM(makulatura[[#This Row],[Data_dostarczenia]],13)</f>
        <v>9</v>
      </c>
      <c r="F402" s="2">
        <f>WEEKDAY(makulatura[[#This Row],[Data_dostarczenia]],2)</f>
        <v>5</v>
      </c>
    </row>
    <row r="403" spans="1:6" x14ac:dyDescent="0.25">
      <c r="A403" s="1">
        <v>42790</v>
      </c>
      <c r="B403" s="2" t="s">
        <v>275</v>
      </c>
      <c r="C403" s="2" t="s">
        <v>276</v>
      </c>
      <c r="D403">
        <v>18</v>
      </c>
      <c r="E403">
        <f>WEEKNUM(makulatura[[#This Row],[Data_dostarczenia]],13)</f>
        <v>9</v>
      </c>
      <c r="F403" s="2">
        <f>WEEKDAY(makulatura[[#This Row],[Data_dostarczenia]],2)</f>
        <v>5</v>
      </c>
    </row>
    <row r="404" spans="1:6" x14ac:dyDescent="0.25">
      <c r="A404" s="1">
        <v>42790</v>
      </c>
      <c r="B404" s="2" t="s">
        <v>67</v>
      </c>
      <c r="C404" s="2" t="s">
        <v>68</v>
      </c>
      <c r="D404">
        <v>26</v>
      </c>
      <c r="E404">
        <f>WEEKNUM(makulatura[[#This Row],[Data_dostarczenia]],13)</f>
        <v>9</v>
      </c>
      <c r="F404" s="2">
        <f>WEEKDAY(makulatura[[#This Row],[Data_dostarczenia]],2)</f>
        <v>5</v>
      </c>
    </row>
    <row r="405" spans="1:6" x14ac:dyDescent="0.25">
      <c r="A405" s="1">
        <v>42790</v>
      </c>
      <c r="B405" s="2" t="s">
        <v>77</v>
      </c>
      <c r="C405" s="2" t="s">
        <v>384</v>
      </c>
      <c r="D405">
        <v>5</v>
      </c>
      <c r="E405">
        <f>WEEKNUM(makulatura[[#This Row],[Data_dostarczenia]],13)</f>
        <v>9</v>
      </c>
      <c r="F405" s="2">
        <f>WEEKDAY(makulatura[[#This Row],[Data_dostarczenia]],2)</f>
        <v>5</v>
      </c>
    </row>
    <row r="406" spans="1:6" x14ac:dyDescent="0.25">
      <c r="A406" s="1">
        <v>42790</v>
      </c>
      <c r="B406" s="2" t="s">
        <v>219</v>
      </c>
      <c r="C406" s="2" t="s">
        <v>220</v>
      </c>
      <c r="D406">
        <v>39</v>
      </c>
      <c r="E406">
        <f>WEEKNUM(makulatura[[#This Row],[Data_dostarczenia]],13)</f>
        <v>9</v>
      </c>
      <c r="F406" s="2">
        <f>WEEKDAY(makulatura[[#This Row],[Data_dostarczenia]],2)</f>
        <v>5</v>
      </c>
    </row>
    <row r="407" spans="1:6" x14ac:dyDescent="0.25">
      <c r="A407" s="1">
        <v>42790</v>
      </c>
      <c r="B407" s="2" t="s">
        <v>57</v>
      </c>
      <c r="C407" s="2" t="s">
        <v>418</v>
      </c>
      <c r="D407">
        <v>13</v>
      </c>
      <c r="E407">
        <f>WEEKNUM(makulatura[[#This Row],[Data_dostarczenia]],13)</f>
        <v>9</v>
      </c>
      <c r="F407" s="2">
        <f>WEEKDAY(makulatura[[#This Row],[Data_dostarczenia]],2)</f>
        <v>5</v>
      </c>
    </row>
    <row r="408" spans="1:6" x14ac:dyDescent="0.25">
      <c r="A408" s="1">
        <v>42790</v>
      </c>
      <c r="B408" s="2" t="s">
        <v>317</v>
      </c>
      <c r="C408" s="2" t="s">
        <v>318</v>
      </c>
      <c r="D408">
        <v>52</v>
      </c>
      <c r="E408">
        <f>WEEKNUM(makulatura[[#This Row],[Data_dostarczenia]],13)</f>
        <v>9</v>
      </c>
      <c r="F408" s="2">
        <f>WEEKDAY(makulatura[[#This Row],[Data_dostarczenia]],2)</f>
        <v>5</v>
      </c>
    </row>
    <row r="409" spans="1:6" x14ac:dyDescent="0.25">
      <c r="A409" s="1">
        <v>42793</v>
      </c>
      <c r="B409" s="2" t="s">
        <v>393</v>
      </c>
      <c r="C409" s="2" t="s">
        <v>419</v>
      </c>
      <c r="D409">
        <v>21</v>
      </c>
      <c r="E409">
        <f>WEEKNUM(makulatura[[#This Row],[Data_dostarczenia]],13)</f>
        <v>9</v>
      </c>
      <c r="F409" s="2">
        <f>WEEKDAY(makulatura[[#This Row],[Data_dostarczenia]],2)</f>
        <v>1</v>
      </c>
    </row>
    <row r="410" spans="1:6" x14ac:dyDescent="0.25">
      <c r="A410" s="1">
        <v>42793</v>
      </c>
      <c r="B410" s="2" t="s">
        <v>97</v>
      </c>
      <c r="C410" s="2" t="s">
        <v>136</v>
      </c>
      <c r="D410">
        <v>50</v>
      </c>
      <c r="E410">
        <f>WEEKNUM(makulatura[[#This Row],[Data_dostarczenia]],13)</f>
        <v>9</v>
      </c>
      <c r="F410" s="2">
        <f>WEEKDAY(makulatura[[#This Row],[Data_dostarczenia]],2)</f>
        <v>1</v>
      </c>
    </row>
    <row r="411" spans="1:6" x14ac:dyDescent="0.25">
      <c r="A411" s="1">
        <v>42793</v>
      </c>
      <c r="B411" s="2" t="s">
        <v>63</v>
      </c>
      <c r="C411" s="2" t="s">
        <v>231</v>
      </c>
      <c r="D411">
        <v>17</v>
      </c>
      <c r="E411">
        <f>WEEKNUM(makulatura[[#This Row],[Data_dostarczenia]],13)</f>
        <v>9</v>
      </c>
      <c r="F411" s="2">
        <f>WEEKDAY(makulatura[[#This Row],[Data_dostarczenia]],2)</f>
        <v>1</v>
      </c>
    </row>
    <row r="412" spans="1:6" x14ac:dyDescent="0.25">
      <c r="A412" s="1">
        <v>42793</v>
      </c>
      <c r="B412" s="2" t="s">
        <v>420</v>
      </c>
      <c r="C412" s="2" t="s">
        <v>421</v>
      </c>
      <c r="D412">
        <v>45</v>
      </c>
      <c r="E412">
        <f>WEEKNUM(makulatura[[#This Row],[Data_dostarczenia]],13)</f>
        <v>9</v>
      </c>
      <c r="F412" s="2">
        <f>WEEKDAY(makulatura[[#This Row],[Data_dostarczenia]],2)</f>
        <v>1</v>
      </c>
    </row>
    <row r="413" spans="1:6" x14ac:dyDescent="0.25">
      <c r="A413" s="1">
        <v>42793</v>
      </c>
      <c r="B413" s="2" t="s">
        <v>150</v>
      </c>
      <c r="C413" s="2" t="s">
        <v>211</v>
      </c>
      <c r="D413">
        <v>10</v>
      </c>
      <c r="E413">
        <f>WEEKNUM(makulatura[[#This Row],[Data_dostarczenia]],13)</f>
        <v>9</v>
      </c>
      <c r="F413" s="2">
        <f>WEEKDAY(makulatura[[#This Row],[Data_dostarczenia]],2)</f>
        <v>1</v>
      </c>
    </row>
    <row r="414" spans="1:6" x14ac:dyDescent="0.25">
      <c r="A414" s="1">
        <v>42793</v>
      </c>
      <c r="B414" s="2" t="s">
        <v>14</v>
      </c>
      <c r="C414" s="2" t="s">
        <v>422</v>
      </c>
      <c r="D414">
        <v>24</v>
      </c>
      <c r="E414">
        <f>WEEKNUM(makulatura[[#This Row],[Data_dostarczenia]],13)</f>
        <v>9</v>
      </c>
      <c r="F414" s="2">
        <f>WEEKDAY(makulatura[[#This Row],[Data_dostarczenia]],2)</f>
        <v>1</v>
      </c>
    </row>
    <row r="415" spans="1:6" x14ac:dyDescent="0.25">
      <c r="A415" s="1">
        <v>42793</v>
      </c>
      <c r="B415" s="2" t="s">
        <v>34</v>
      </c>
      <c r="C415" s="2" t="s">
        <v>338</v>
      </c>
      <c r="D415">
        <v>7</v>
      </c>
      <c r="E415">
        <f>WEEKNUM(makulatura[[#This Row],[Data_dostarczenia]],13)</f>
        <v>9</v>
      </c>
      <c r="F415" s="2">
        <f>WEEKDAY(makulatura[[#This Row],[Data_dostarczenia]],2)</f>
        <v>1</v>
      </c>
    </row>
    <row r="416" spans="1:6" x14ac:dyDescent="0.25">
      <c r="A416" s="1">
        <v>42793</v>
      </c>
      <c r="B416" s="2" t="s">
        <v>10</v>
      </c>
      <c r="C416" s="2" t="s">
        <v>423</v>
      </c>
      <c r="D416">
        <v>30</v>
      </c>
      <c r="E416">
        <f>WEEKNUM(makulatura[[#This Row],[Data_dostarczenia]],13)</f>
        <v>9</v>
      </c>
      <c r="F416" s="2">
        <f>WEEKDAY(makulatura[[#This Row],[Data_dostarczenia]],2)</f>
        <v>1</v>
      </c>
    </row>
    <row r="417" spans="1:6" x14ac:dyDescent="0.25">
      <c r="A417" s="1">
        <v>42793</v>
      </c>
      <c r="B417" s="2" t="s">
        <v>87</v>
      </c>
      <c r="C417" s="2" t="s">
        <v>424</v>
      </c>
      <c r="D417">
        <v>41</v>
      </c>
      <c r="E417">
        <f>WEEKNUM(makulatura[[#This Row],[Data_dostarczenia]],13)</f>
        <v>9</v>
      </c>
      <c r="F417" s="2">
        <f>WEEKDAY(makulatura[[#This Row],[Data_dostarczenia]],2)</f>
        <v>1</v>
      </c>
    </row>
    <row r="418" spans="1:6" x14ac:dyDescent="0.25">
      <c r="A418" s="1">
        <v>42793</v>
      </c>
      <c r="B418" s="2" t="s">
        <v>45</v>
      </c>
      <c r="C418" s="2" t="s">
        <v>388</v>
      </c>
      <c r="D418">
        <v>22</v>
      </c>
      <c r="E418">
        <f>WEEKNUM(makulatura[[#This Row],[Data_dostarczenia]],13)</f>
        <v>9</v>
      </c>
      <c r="F418" s="2">
        <f>WEEKDAY(makulatura[[#This Row],[Data_dostarczenia]],2)</f>
        <v>1</v>
      </c>
    </row>
    <row r="419" spans="1:6" x14ac:dyDescent="0.25">
      <c r="A419" s="1">
        <v>42793</v>
      </c>
      <c r="B419" s="2" t="s">
        <v>352</v>
      </c>
      <c r="C419" s="2" t="s">
        <v>425</v>
      </c>
      <c r="D419">
        <v>18</v>
      </c>
      <c r="E419">
        <f>WEEKNUM(makulatura[[#This Row],[Data_dostarczenia]],13)</f>
        <v>9</v>
      </c>
      <c r="F419" s="2">
        <f>WEEKDAY(makulatura[[#This Row],[Data_dostarczenia]],2)</f>
        <v>1</v>
      </c>
    </row>
    <row r="420" spans="1:6" x14ac:dyDescent="0.25">
      <c r="A420" s="1">
        <v>42794</v>
      </c>
      <c r="B420" s="2" t="s">
        <v>83</v>
      </c>
      <c r="C420" s="2" t="s">
        <v>84</v>
      </c>
      <c r="D420">
        <v>9</v>
      </c>
      <c r="E420">
        <f>WEEKNUM(makulatura[[#This Row],[Data_dostarczenia]],13)</f>
        <v>9</v>
      </c>
      <c r="F420" s="2">
        <f>WEEKDAY(makulatura[[#This Row],[Data_dostarczenia]],2)</f>
        <v>2</v>
      </c>
    </row>
    <row r="421" spans="1:6" x14ac:dyDescent="0.25">
      <c r="A421" s="1">
        <v>42794</v>
      </c>
      <c r="B421" s="2" t="s">
        <v>53</v>
      </c>
      <c r="C421" s="2" t="s">
        <v>54</v>
      </c>
      <c r="D421">
        <v>19</v>
      </c>
      <c r="E421">
        <f>WEEKNUM(makulatura[[#This Row],[Data_dostarczenia]],13)</f>
        <v>9</v>
      </c>
      <c r="F421" s="2">
        <f>WEEKDAY(makulatura[[#This Row],[Data_dostarczenia]],2)</f>
        <v>2</v>
      </c>
    </row>
    <row r="422" spans="1:6" x14ac:dyDescent="0.25">
      <c r="A422" s="1">
        <v>42794</v>
      </c>
      <c r="B422" s="2" t="s">
        <v>30</v>
      </c>
      <c r="C422" s="2" t="s">
        <v>31</v>
      </c>
      <c r="D422">
        <v>16</v>
      </c>
      <c r="E422">
        <f>WEEKNUM(makulatura[[#This Row],[Data_dostarczenia]],13)</f>
        <v>9</v>
      </c>
      <c r="F422" s="2">
        <f>WEEKDAY(makulatura[[#This Row],[Data_dostarczenia]],2)</f>
        <v>2</v>
      </c>
    </row>
    <row r="423" spans="1:6" x14ac:dyDescent="0.25">
      <c r="A423" s="1">
        <v>42794</v>
      </c>
      <c r="B423" s="2" t="s">
        <v>95</v>
      </c>
      <c r="C423" s="2" t="s">
        <v>426</v>
      </c>
      <c r="D423">
        <v>27</v>
      </c>
      <c r="E423">
        <f>WEEKNUM(makulatura[[#This Row],[Data_dostarczenia]],13)</f>
        <v>9</v>
      </c>
      <c r="F423" s="2">
        <f>WEEKDAY(makulatura[[#This Row],[Data_dostarczenia]],2)</f>
        <v>2</v>
      </c>
    </row>
    <row r="424" spans="1:6" x14ac:dyDescent="0.25">
      <c r="A424" s="1">
        <v>42794</v>
      </c>
      <c r="B424" s="2" t="s">
        <v>427</v>
      </c>
      <c r="C424" s="2" t="s">
        <v>428</v>
      </c>
      <c r="D424">
        <v>13</v>
      </c>
      <c r="E424">
        <f>WEEKNUM(makulatura[[#This Row],[Data_dostarczenia]],13)</f>
        <v>9</v>
      </c>
      <c r="F424" s="2">
        <f>WEEKDAY(makulatura[[#This Row],[Data_dostarczenia]],2)</f>
        <v>2</v>
      </c>
    </row>
    <row r="425" spans="1:6" x14ac:dyDescent="0.25">
      <c r="A425" s="1">
        <v>42794</v>
      </c>
      <c r="B425" s="2" t="s">
        <v>252</v>
      </c>
      <c r="C425" s="2" t="s">
        <v>253</v>
      </c>
      <c r="D425">
        <v>44</v>
      </c>
      <c r="E425">
        <f>WEEKNUM(makulatura[[#This Row],[Data_dostarczenia]],13)</f>
        <v>9</v>
      </c>
      <c r="F425" s="2">
        <f>WEEKDAY(makulatura[[#This Row],[Data_dostarczenia]],2)</f>
        <v>2</v>
      </c>
    </row>
    <row r="426" spans="1:6" x14ac:dyDescent="0.25">
      <c r="A426" s="1">
        <v>42794</v>
      </c>
      <c r="B426" s="2" t="s">
        <v>147</v>
      </c>
      <c r="C426" s="2" t="s">
        <v>148</v>
      </c>
      <c r="D426">
        <v>16</v>
      </c>
      <c r="E426">
        <f>WEEKNUM(makulatura[[#This Row],[Data_dostarczenia]],13)</f>
        <v>9</v>
      </c>
      <c r="F426" s="2">
        <f>WEEKDAY(makulatura[[#This Row],[Data_dostarczenia]],2)</f>
        <v>2</v>
      </c>
    </row>
    <row r="427" spans="1:6" x14ac:dyDescent="0.25">
      <c r="A427" s="1">
        <v>42794</v>
      </c>
      <c r="B427" s="2" t="s">
        <v>244</v>
      </c>
      <c r="C427" s="2" t="s">
        <v>245</v>
      </c>
      <c r="D427">
        <v>13</v>
      </c>
      <c r="E427">
        <f>WEEKNUM(makulatura[[#This Row],[Data_dostarczenia]],13)</f>
        <v>9</v>
      </c>
      <c r="F427" s="2">
        <f>WEEKDAY(makulatura[[#This Row],[Data_dostarczenia]],2)</f>
        <v>2</v>
      </c>
    </row>
    <row r="428" spans="1:6" x14ac:dyDescent="0.25">
      <c r="A428" s="1">
        <v>42794</v>
      </c>
      <c r="B428" s="2" t="s">
        <v>57</v>
      </c>
      <c r="C428" s="2" t="s">
        <v>429</v>
      </c>
      <c r="D428">
        <v>42</v>
      </c>
      <c r="E428">
        <f>WEEKNUM(makulatura[[#This Row],[Data_dostarczenia]],13)</f>
        <v>9</v>
      </c>
      <c r="F428" s="2">
        <f>WEEKDAY(makulatura[[#This Row],[Data_dostarczenia]],2)</f>
        <v>2</v>
      </c>
    </row>
    <row r="429" spans="1:6" x14ac:dyDescent="0.25">
      <c r="A429" s="1">
        <v>42794</v>
      </c>
      <c r="B429" s="2" t="s">
        <v>217</v>
      </c>
      <c r="C429" s="2" t="s">
        <v>218</v>
      </c>
      <c r="D429">
        <v>28</v>
      </c>
      <c r="E429">
        <f>WEEKNUM(makulatura[[#This Row],[Data_dostarczenia]],13)</f>
        <v>9</v>
      </c>
      <c r="F429" s="2">
        <f>WEEKDAY(makulatura[[#This Row],[Data_dostarczenia]],2)</f>
        <v>2</v>
      </c>
    </row>
    <row r="430" spans="1:6" x14ac:dyDescent="0.25">
      <c r="A430" s="1">
        <v>42794</v>
      </c>
      <c r="B430" s="2" t="s">
        <v>14</v>
      </c>
      <c r="C430" s="2" t="s">
        <v>430</v>
      </c>
      <c r="D430">
        <v>54</v>
      </c>
      <c r="E430">
        <f>WEEKNUM(makulatura[[#This Row],[Data_dostarczenia]],13)</f>
        <v>9</v>
      </c>
      <c r="F430" s="2">
        <f>WEEKDAY(makulatura[[#This Row],[Data_dostarczenia]],2)</f>
        <v>2</v>
      </c>
    </row>
    <row r="431" spans="1:6" x14ac:dyDescent="0.25">
      <c r="A431" s="1">
        <v>42795</v>
      </c>
      <c r="B431" s="2" t="s">
        <v>359</v>
      </c>
      <c r="C431" s="2" t="s">
        <v>431</v>
      </c>
      <c r="D431">
        <v>40</v>
      </c>
      <c r="E431">
        <f>WEEKNUM(makulatura[[#This Row],[Data_dostarczenia]],13)</f>
        <v>10</v>
      </c>
      <c r="F431" s="2">
        <f>WEEKDAY(makulatura[[#This Row],[Data_dostarczenia]],2)</f>
        <v>3</v>
      </c>
    </row>
    <row r="432" spans="1:6" x14ac:dyDescent="0.25">
      <c r="A432" s="1">
        <v>42795</v>
      </c>
      <c r="B432" s="2" t="s">
        <v>30</v>
      </c>
      <c r="C432" s="2" t="s">
        <v>432</v>
      </c>
      <c r="D432">
        <v>19</v>
      </c>
      <c r="E432">
        <f>WEEKNUM(makulatura[[#This Row],[Data_dostarczenia]],13)</f>
        <v>10</v>
      </c>
      <c r="F432" s="2">
        <f>WEEKDAY(makulatura[[#This Row],[Data_dostarczenia]],2)</f>
        <v>3</v>
      </c>
    </row>
    <row r="433" spans="1:6" x14ac:dyDescent="0.25">
      <c r="A433" s="1">
        <v>42795</v>
      </c>
      <c r="B433" s="2" t="s">
        <v>147</v>
      </c>
      <c r="C433" s="2" t="s">
        <v>148</v>
      </c>
      <c r="D433">
        <v>18</v>
      </c>
      <c r="E433">
        <f>WEEKNUM(makulatura[[#This Row],[Data_dostarczenia]],13)</f>
        <v>10</v>
      </c>
      <c r="F433" s="2">
        <f>WEEKDAY(makulatura[[#This Row],[Data_dostarczenia]],2)</f>
        <v>3</v>
      </c>
    </row>
    <row r="434" spans="1:6" x14ac:dyDescent="0.25">
      <c r="A434" s="1">
        <v>42795</v>
      </c>
      <c r="B434" s="2" t="s">
        <v>393</v>
      </c>
      <c r="C434" s="2" t="s">
        <v>394</v>
      </c>
      <c r="D434">
        <v>24</v>
      </c>
      <c r="E434">
        <f>WEEKNUM(makulatura[[#This Row],[Data_dostarczenia]],13)</f>
        <v>10</v>
      </c>
      <c r="F434" s="2">
        <f>WEEKDAY(makulatura[[#This Row],[Data_dostarczenia]],2)</f>
        <v>3</v>
      </c>
    </row>
    <row r="435" spans="1:6" x14ac:dyDescent="0.25">
      <c r="A435" s="1">
        <v>42795</v>
      </c>
      <c r="B435" s="2" t="s">
        <v>81</v>
      </c>
      <c r="C435" s="2" t="s">
        <v>145</v>
      </c>
      <c r="D435">
        <v>25</v>
      </c>
      <c r="E435">
        <f>WEEKNUM(makulatura[[#This Row],[Data_dostarczenia]],13)</f>
        <v>10</v>
      </c>
      <c r="F435" s="2">
        <f>WEEKDAY(makulatura[[#This Row],[Data_dostarczenia]],2)</f>
        <v>3</v>
      </c>
    </row>
    <row r="436" spans="1:6" x14ac:dyDescent="0.25">
      <c r="A436" s="1">
        <v>42795</v>
      </c>
      <c r="B436" s="2" t="s">
        <v>201</v>
      </c>
      <c r="C436" s="2" t="s">
        <v>433</v>
      </c>
      <c r="D436">
        <v>7</v>
      </c>
      <c r="E436">
        <f>WEEKNUM(makulatura[[#This Row],[Data_dostarczenia]],13)</f>
        <v>10</v>
      </c>
      <c r="F436" s="2">
        <f>WEEKDAY(makulatura[[#This Row],[Data_dostarczenia]],2)</f>
        <v>3</v>
      </c>
    </row>
    <row r="437" spans="1:6" x14ac:dyDescent="0.25">
      <c r="A437" s="1">
        <v>42795</v>
      </c>
      <c r="B437" s="2" t="s">
        <v>34</v>
      </c>
      <c r="C437" s="2" t="s">
        <v>160</v>
      </c>
      <c r="D437">
        <v>52</v>
      </c>
      <c r="E437">
        <f>WEEKNUM(makulatura[[#This Row],[Data_dostarczenia]],13)</f>
        <v>10</v>
      </c>
      <c r="F437" s="2">
        <f>WEEKDAY(makulatura[[#This Row],[Data_dostarczenia]],2)</f>
        <v>3</v>
      </c>
    </row>
    <row r="438" spans="1:6" x14ac:dyDescent="0.25">
      <c r="A438" s="1">
        <v>42795</v>
      </c>
      <c r="B438" s="2" t="s">
        <v>30</v>
      </c>
      <c r="C438" s="2" t="s">
        <v>241</v>
      </c>
      <c r="D438">
        <v>23</v>
      </c>
      <c r="E438">
        <f>WEEKNUM(makulatura[[#This Row],[Data_dostarczenia]],13)</f>
        <v>10</v>
      </c>
      <c r="F438" s="2">
        <f>WEEKDAY(makulatura[[#This Row],[Data_dostarczenia]],2)</f>
        <v>3</v>
      </c>
    </row>
    <row r="439" spans="1:6" x14ac:dyDescent="0.25">
      <c r="A439" s="1">
        <v>42795</v>
      </c>
      <c r="B439" s="2" t="s">
        <v>217</v>
      </c>
      <c r="C439" s="2" t="s">
        <v>218</v>
      </c>
      <c r="D439">
        <v>45</v>
      </c>
      <c r="E439">
        <f>WEEKNUM(makulatura[[#This Row],[Data_dostarczenia]],13)</f>
        <v>10</v>
      </c>
      <c r="F439" s="2">
        <f>WEEKDAY(makulatura[[#This Row],[Data_dostarczenia]],2)</f>
        <v>3</v>
      </c>
    </row>
    <row r="440" spans="1:6" x14ac:dyDescent="0.25">
      <c r="A440" s="1">
        <v>42795</v>
      </c>
      <c r="B440" s="2" t="s">
        <v>14</v>
      </c>
      <c r="C440" s="2" t="s">
        <v>422</v>
      </c>
      <c r="D440">
        <v>12</v>
      </c>
      <c r="E440">
        <f>WEEKNUM(makulatura[[#This Row],[Data_dostarczenia]],13)</f>
        <v>10</v>
      </c>
      <c r="F440" s="2">
        <f>WEEKDAY(makulatura[[#This Row],[Data_dostarczenia]],2)</f>
        <v>3</v>
      </c>
    </row>
    <row r="441" spans="1:6" x14ac:dyDescent="0.25">
      <c r="A441" s="1">
        <v>42795</v>
      </c>
      <c r="B441" s="2" t="s">
        <v>39</v>
      </c>
      <c r="C441" s="2" t="s">
        <v>434</v>
      </c>
      <c r="D441">
        <v>25</v>
      </c>
      <c r="E441">
        <f>WEEKNUM(makulatura[[#This Row],[Data_dostarczenia]],13)</f>
        <v>10</v>
      </c>
      <c r="F441" s="2">
        <f>WEEKDAY(makulatura[[#This Row],[Data_dostarczenia]],2)</f>
        <v>3</v>
      </c>
    </row>
    <row r="442" spans="1:6" x14ac:dyDescent="0.25">
      <c r="A442" s="1">
        <v>42796</v>
      </c>
      <c r="B442" s="2" t="s">
        <v>141</v>
      </c>
      <c r="C442" s="2" t="s">
        <v>435</v>
      </c>
      <c r="D442">
        <v>4</v>
      </c>
      <c r="E442">
        <f>WEEKNUM(makulatura[[#This Row],[Data_dostarczenia]],13)</f>
        <v>10</v>
      </c>
      <c r="F442" s="2">
        <f>WEEKDAY(makulatura[[#This Row],[Data_dostarczenia]],2)</f>
        <v>4</v>
      </c>
    </row>
    <row r="443" spans="1:6" x14ac:dyDescent="0.25">
      <c r="A443" s="1">
        <v>42796</v>
      </c>
      <c r="B443" s="2" t="s">
        <v>39</v>
      </c>
      <c r="C443" s="2" t="s">
        <v>436</v>
      </c>
      <c r="D443">
        <v>10</v>
      </c>
      <c r="E443">
        <f>WEEKNUM(makulatura[[#This Row],[Data_dostarczenia]],13)</f>
        <v>10</v>
      </c>
      <c r="F443" s="2">
        <f>WEEKDAY(makulatura[[#This Row],[Data_dostarczenia]],2)</f>
        <v>4</v>
      </c>
    </row>
    <row r="444" spans="1:6" x14ac:dyDescent="0.25">
      <c r="A444" s="1">
        <v>42796</v>
      </c>
      <c r="B444" s="2" t="s">
        <v>77</v>
      </c>
      <c r="C444" s="2" t="s">
        <v>384</v>
      </c>
      <c r="D444">
        <v>23</v>
      </c>
      <c r="E444">
        <f>WEEKNUM(makulatura[[#This Row],[Data_dostarczenia]],13)</f>
        <v>10</v>
      </c>
      <c r="F444" s="2">
        <f>WEEKDAY(makulatura[[#This Row],[Data_dostarczenia]],2)</f>
        <v>4</v>
      </c>
    </row>
    <row r="445" spans="1:6" x14ac:dyDescent="0.25">
      <c r="A445" s="1">
        <v>42796</v>
      </c>
      <c r="B445" s="2" t="s">
        <v>437</v>
      </c>
      <c r="C445" s="2" t="s">
        <v>199</v>
      </c>
      <c r="D445">
        <v>56</v>
      </c>
      <c r="E445">
        <f>WEEKNUM(makulatura[[#This Row],[Data_dostarczenia]],13)</f>
        <v>10</v>
      </c>
      <c r="F445" s="2">
        <f>WEEKDAY(makulatura[[#This Row],[Data_dostarczenia]],2)</f>
        <v>4</v>
      </c>
    </row>
    <row r="446" spans="1:6" x14ac:dyDescent="0.25">
      <c r="A446" s="1">
        <v>42796</v>
      </c>
      <c r="B446" s="2" t="s">
        <v>18</v>
      </c>
      <c r="C446" s="2" t="s">
        <v>74</v>
      </c>
      <c r="D446">
        <v>38</v>
      </c>
      <c r="E446">
        <f>WEEKNUM(makulatura[[#This Row],[Data_dostarczenia]],13)</f>
        <v>10</v>
      </c>
      <c r="F446" s="2">
        <f>WEEKDAY(makulatura[[#This Row],[Data_dostarczenia]],2)</f>
        <v>4</v>
      </c>
    </row>
    <row r="447" spans="1:6" x14ac:dyDescent="0.25">
      <c r="A447" s="1">
        <v>42796</v>
      </c>
      <c r="B447" s="2" t="s">
        <v>438</v>
      </c>
      <c r="C447" s="2" t="s">
        <v>439</v>
      </c>
      <c r="D447">
        <v>27</v>
      </c>
      <c r="E447">
        <f>WEEKNUM(makulatura[[#This Row],[Data_dostarczenia]],13)</f>
        <v>10</v>
      </c>
      <c r="F447" s="2">
        <f>WEEKDAY(makulatura[[#This Row],[Data_dostarczenia]],2)</f>
        <v>4</v>
      </c>
    </row>
    <row r="448" spans="1:6" x14ac:dyDescent="0.25">
      <c r="A448" s="1">
        <v>42796</v>
      </c>
      <c r="B448" s="2" t="s">
        <v>206</v>
      </c>
      <c r="C448" s="2" t="s">
        <v>332</v>
      </c>
      <c r="D448">
        <v>28</v>
      </c>
      <c r="E448">
        <f>WEEKNUM(makulatura[[#This Row],[Data_dostarczenia]],13)</f>
        <v>10</v>
      </c>
      <c r="F448" s="2">
        <f>WEEKDAY(makulatura[[#This Row],[Data_dostarczenia]],2)</f>
        <v>4</v>
      </c>
    </row>
    <row r="449" spans="1:6" x14ac:dyDescent="0.25">
      <c r="A449" s="1">
        <v>42796</v>
      </c>
      <c r="B449" s="2" t="s">
        <v>36</v>
      </c>
      <c r="C449" s="2" t="s">
        <v>306</v>
      </c>
      <c r="D449">
        <v>8</v>
      </c>
      <c r="E449">
        <f>WEEKNUM(makulatura[[#This Row],[Data_dostarczenia]],13)</f>
        <v>10</v>
      </c>
      <c r="F449" s="2">
        <f>WEEKDAY(makulatura[[#This Row],[Data_dostarczenia]],2)</f>
        <v>4</v>
      </c>
    </row>
    <row r="450" spans="1:6" x14ac:dyDescent="0.25">
      <c r="A450" s="1">
        <v>42796</v>
      </c>
      <c r="B450" s="2" t="s">
        <v>101</v>
      </c>
      <c r="C450" s="2" t="s">
        <v>42</v>
      </c>
      <c r="D450">
        <v>39</v>
      </c>
      <c r="E450">
        <f>WEEKNUM(makulatura[[#This Row],[Data_dostarczenia]],13)</f>
        <v>10</v>
      </c>
      <c r="F450" s="2">
        <f>WEEKDAY(makulatura[[#This Row],[Data_dostarczenia]],2)</f>
        <v>4</v>
      </c>
    </row>
    <row r="451" spans="1:6" x14ac:dyDescent="0.25">
      <c r="A451" s="1">
        <v>42796</v>
      </c>
      <c r="B451" s="2" t="s">
        <v>16</v>
      </c>
      <c r="C451" s="2" t="s">
        <v>440</v>
      </c>
      <c r="D451">
        <v>4</v>
      </c>
      <c r="E451">
        <f>WEEKNUM(makulatura[[#This Row],[Data_dostarczenia]],13)</f>
        <v>10</v>
      </c>
      <c r="F451" s="2">
        <f>WEEKDAY(makulatura[[#This Row],[Data_dostarczenia]],2)</f>
        <v>4</v>
      </c>
    </row>
    <row r="452" spans="1:6" x14ac:dyDescent="0.25">
      <c r="A452" s="1">
        <v>42796</v>
      </c>
      <c r="B452" s="2" t="s">
        <v>112</v>
      </c>
      <c r="C452" s="2" t="s">
        <v>113</v>
      </c>
      <c r="D452">
        <v>56</v>
      </c>
      <c r="E452">
        <f>WEEKNUM(makulatura[[#This Row],[Data_dostarczenia]],13)</f>
        <v>10</v>
      </c>
      <c r="F452" s="2">
        <f>WEEKDAY(makulatura[[#This Row],[Data_dostarczenia]],2)</f>
        <v>4</v>
      </c>
    </row>
    <row r="453" spans="1:6" x14ac:dyDescent="0.25">
      <c r="A453" s="1">
        <v>42797</v>
      </c>
      <c r="B453" s="2" t="s">
        <v>101</v>
      </c>
      <c r="C453" s="2" t="s">
        <v>188</v>
      </c>
      <c r="D453">
        <v>33</v>
      </c>
      <c r="E453">
        <f>WEEKNUM(makulatura[[#This Row],[Data_dostarczenia]],13)</f>
        <v>10</v>
      </c>
      <c r="F453" s="2">
        <f>WEEKDAY(makulatura[[#This Row],[Data_dostarczenia]],2)</f>
        <v>5</v>
      </c>
    </row>
    <row r="454" spans="1:6" x14ac:dyDescent="0.25">
      <c r="A454" s="1">
        <v>42797</v>
      </c>
      <c r="B454" s="2" t="s">
        <v>63</v>
      </c>
      <c r="C454" s="2" t="s">
        <v>441</v>
      </c>
      <c r="D454">
        <v>53</v>
      </c>
      <c r="E454">
        <f>WEEKNUM(makulatura[[#This Row],[Data_dostarczenia]],13)</f>
        <v>10</v>
      </c>
      <c r="F454" s="2">
        <f>WEEKDAY(makulatura[[#This Row],[Data_dostarczenia]],2)</f>
        <v>5</v>
      </c>
    </row>
    <row r="455" spans="1:6" x14ac:dyDescent="0.25">
      <c r="A455" s="1">
        <v>42797</v>
      </c>
      <c r="B455" s="2" t="s">
        <v>442</v>
      </c>
      <c r="C455" s="2" t="s">
        <v>443</v>
      </c>
      <c r="D455">
        <v>26</v>
      </c>
      <c r="E455">
        <f>WEEKNUM(makulatura[[#This Row],[Data_dostarczenia]],13)</f>
        <v>10</v>
      </c>
      <c r="F455" s="2">
        <f>WEEKDAY(makulatura[[#This Row],[Data_dostarczenia]],2)</f>
        <v>5</v>
      </c>
    </row>
    <row r="456" spans="1:6" x14ac:dyDescent="0.25">
      <c r="A456" s="1">
        <v>42797</v>
      </c>
      <c r="B456" s="2" t="s">
        <v>55</v>
      </c>
      <c r="C456" s="2" t="s">
        <v>444</v>
      </c>
      <c r="D456">
        <v>27</v>
      </c>
      <c r="E456">
        <f>WEEKNUM(makulatura[[#This Row],[Data_dostarczenia]],13)</f>
        <v>10</v>
      </c>
      <c r="F456" s="2">
        <f>WEEKDAY(makulatura[[#This Row],[Data_dostarczenia]],2)</f>
        <v>5</v>
      </c>
    </row>
    <row r="457" spans="1:6" x14ac:dyDescent="0.25">
      <c r="A457" s="1">
        <v>42797</v>
      </c>
      <c r="B457" s="2" t="s">
        <v>34</v>
      </c>
      <c r="C457" s="2" t="s">
        <v>445</v>
      </c>
      <c r="D457">
        <v>49</v>
      </c>
      <c r="E457">
        <f>WEEKNUM(makulatura[[#This Row],[Data_dostarczenia]],13)</f>
        <v>10</v>
      </c>
      <c r="F457" s="2">
        <f>WEEKDAY(makulatura[[#This Row],[Data_dostarczenia]],2)</f>
        <v>5</v>
      </c>
    </row>
    <row r="458" spans="1:6" x14ac:dyDescent="0.25">
      <c r="A458" s="1">
        <v>42797</v>
      </c>
      <c r="B458" s="2" t="s">
        <v>32</v>
      </c>
      <c r="C458" s="2" t="s">
        <v>446</v>
      </c>
      <c r="D458">
        <v>20</v>
      </c>
      <c r="E458">
        <f>WEEKNUM(makulatura[[#This Row],[Data_dostarczenia]],13)</f>
        <v>10</v>
      </c>
      <c r="F458" s="2">
        <f>WEEKDAY(makulatura[[#This Row],[Data_dostarczenia]],2)</f>
        <v>5</v>
      </c>
    </row>
    <row r="459" spans="1:6" x14ac:dyDescent="0.25">
      <c r="A459" s="1">
        <v>42797</v>
      </c>
      <c r="B459" s="2" t="s">
        <v>352</v>
      </c>
      <c r="C459" s="2" t="s">
        <v>425</v>
      </c>
      <c r="D459">
        <v>7</v>
      </c>
      <c r="E459">
        <f>WEEKNUM(makulatura[[#This Row],[Data_dostarczenia]],13)</f>
        <v>10</v>
      </c>
      <c r="F459" s="2">
        <f>WEEKDAY(makulatura[[#This Row],[Data_dostarczenia]],2)</f>
        <v>5</v>
      </c>
    </row>
    <row r="460" spans="1:6" x14ac:dyDescent="0.25">
      <c r="A460" s="1">
        <v>42797</v>
      </c>
      <c r="B460" s="2" t="s">
        <v>141</v>
      </c>
      <c r="C460" s="2" t="s">
        <v>447</v>
      </c>
      <c r="D460">
        <v>3</v>
      </c>
      <c r="E460">
        <f>WEEKNUM(makulatura[[#This Row],[Data_dostarczenia]],13)</f>
        <v>10</v>
      </c>
      <c r="F460" s="2">
        <f>WEEKDAY(makulatura[[#This Row],[Data_dostarczenia]],2)</f>
        <v>5</v>
      </c>
    </row>
    <row r="461" spans="1:6" x14ac:dyDescent="0.25">
      <c r="A461" s="1">
        <v>42797</v>
      </c>
      <c r="B461" s="2" t="s">
        <v>141</v>
      </c>
      <c r="C461" s="2" t="s">
        <v>448</v>
      </c>
      <c r="D461">
        <v>47</v>
      </c>
      <c r="E461">
        <f>WEEKNUM(makulatura[[#This Row],[Data_dostarczenia]],13)</f>
        <v>10</v>
      </c>
      <c r="F461" s="2">
        <f>WEEKDAY(makulatura[[#This Row],[Data_dostarczenia]],2)</f>
        <v>5</v>
      </c>
    </row>
    <row r="462" spans="1:6" x14ac:dyDescent="0.25">
      <c r="A462" s="1">
        <v>42797</v>
      </c>
      <c r="B462" s="2" t="s">
        <v>150</v>
      </c>
      <c r="C462" s="2" t="s">
        <v>140</v>
      </c>
      <c r="D462">
        <v>48</v>
      </c>
      <c r="E462">
        <f>WEEKNUM(makulatura[[#This Row],[Data_dostarczenia]],13)</f>
        <v>10</v>
      </c>
      <c r="F462" s="2">
        <f>WEEKDAY(makulatura[[#This Row],[Data_dostarczenia]],2)</f>
        <v>5</v>
      </c>
    </row>
    <row r="463" spans="1:6" x14ac:dyDescent="0.25">
      <c r="A463" s="1">
        <v>42797</v>
      </c>
      <c r="B463" s="2" t="s">
        <v>449</v>
      </c>
      <c r="C463" s="2" t="s">
        <v>382</v>
      </c>
      <c r="D463">
        <v>24</v>
      </c>
      <c r="E463">
        <f>WEEKNUM(makulatura[[#This Row],[Data_dostarczenia]],13)</f>
        <v>10</v>
      </c>
      <c r="F463" s="2">
        <f>WEEKDAY(makulatura[[#This Row],[Data_dostarczenia]],2)</f>
        <v>5</v>
      </c>
    </row>
    <row r="464" spans="1:6" x14ac:dyDescent="0.25">
      <c r="A464" s="1">
        <v>42800</v>
      </c>
      <c r="B464" s="2" t="s">
        <v>47</v>
      </c>
      <c r="C464" s="2" t="s">
        <v>91</v>
      </c>
      <c r="D464">
        <v>33</v>
      </c>
      <c r="E464">
        <f>WEEKNUM(makulatura[[#This Row],[Data_dostarczenia]],13)</f>
        <v>10</v>
      </c>
      <c r="F464" s="2">
        <f>WEEKDAY(makulatura[[#This Row],[Data_dostarczenia]],2)</f>
        <v>1</v>
      </c>
    </row>
    <row r="465" spans="1:6" x14ac:dyDescent="0.25">
      <c r="A465" s="1">
        <v>42800</v>
      </c>
      <c r="B465" s="2" t="s">
        <v>55</v>
      </c>
      <c r="C465" s="2" t="s">
        <v>444</v>
      </c>
      <c r="D465">
        <v>20</v>
      </c>
      <c r="E465">
        <f>WEEKNUM(makulatura[[#This Row],[Data_dostarczenia]],13)</f>
        <v>10</v>
      </c>
      <c r="F465" s="2">
        <f>WEEKDAY(makulatura[[#This Row],[Data_dostarczenia]],2)</f>
        <v>1</v>
      </c>
    </row>
    <row r="466" spans="1:6" x14ac:dyDescent="0.25">
      <c r="A466" s="1">
        <v>42800</v>
      </c>
      <c r="B466" s="2" t="s">
        <v>32</v>
      </c>
      <c r="C466" s="2" t="s">
        <v>33</v>
      </c>
      <c r="D466">
        <v>35</v>
      </c>
      <c r="E466">
        <f>WEEKNUM(makulatura[[#This Row],[Data_dostarczenia]],13)</f>
        <v>10</v>
      </c>
      <c r="F466" s="2">
        <f>WEEKDAY(makulatura[[#This Row],[Data_dostarczenia]],2)</f>
        <v>1</v>
      </c>
    </row>
    <row r="467" spans="1:6" x14ac:dyDescent="0.25">
      <c r="A467" s="1">
        <v>42800</v>
      </c>
      <c r="B467" s="2" t="s">
        <v>314</v>
      </c>
      <c r="C467" s="2" t="s">
        <v>450</v>
      </c>
      <c r="D467">
        <v>10</v>
      </c>
      <c r="E467">
        <f>WEEKNUM(makulatura[[#This Row],[Data_dostarczenia]],13)</f>
        <v>10</v>
      </c>
      <c r="F467" s="2">
        <f>WEEKDAY(makulatura[[#This Row],[Data_dostarczenia]],2)</f>
        <v>1</v>
      </c>
    </row>
    <row r="468" spans="1:6" x14ac:dyDescent="0.25">
      <c r="A468" s="1">
        <v>42800</v>
      </c>
      <c r="B468" s="2" t="s">
        <v>20</v>
      </c>
      <c r="C468" s="2" t="s">
        <v>123</v>
      </c>
      <c r="D468">
        <v>43</v>
      </c>
      <c r="E468">
        <f>WEEKNUM(makulatura[[#This Row],[Data_dostarczenia]],13)</f>
        <v>10</v>
      </c>
      <c r="F468" s="2">
        <f>WEEKDAY(makulatura[[#This Row],[Data_dostarczenia]],2)</f>
        <v>1</v>
      </c>
    </row>
    <row r="469" spans="1:6" x14ac:dyDescent="0.25">
      <c r="A469" s="1">
        <v>42800</v>
      </c>
      <c r="B469" s="2" t="s">
        <v>280</v>
      </c>
      <c r="C469" s="2" t="s">
        <v>451</v>
      </c>
      <c r="D469">
        <v>15</v>
      </c>
      <c r="E469">
        <f>WEEKNUM(makulatura[[#This Row],[Data_dostarczenia]],13)</f>
        <v>10</v>
      </c>
      <c r="F469" s="2">
        <f>WEEKDAY(makulatura[[#This Row],[Data_dostarczenia]],2)</f>
        <v>1</v>
      </c>
    </row>
    <row r="470" spans="1:6" x14ac:dyDescent="0.25">
      <c r="A470" s="1">
        <v>42800</v>
      </c>
      <c r="B470" s="2" t="s">
        <v>352</v>
      </c>
      <c r="C470" s="2" t="s">
        <v>363</v>
      </c>
      <c r="D470">
        <v>8</v>
      </c>
      <c r="E470">
        <f>WEEKNUM(makulatura[[#This Row],[Data_dostarczenia]],13)</f>
        <v>10</v>
      </c>
      <c r="F470" s="2">
        <f>WEEKDAY(makulatura[[#This Row],[Data_dostarczenia]],2)</f>
        <v>1</v>
      </c>
    </row>
    <row r="471" spans="1:6" x14ac:dyDescent="0.25">
      <c r="A471" s="1">
        <v>42800</v>
      </c>
      <c r="B471" s="2" t="s">
        <v>81</v>
      </c>
      <c r="C471" s="2" t="s">
        <v>104</v>
      </c>
      <c r="D471">
        <v>20</v>
      </c>
      <c r="E471">
        <f>WEEKNUM(makulatura[[#This Row],[Data_dostarczenia]],13)</f>
        <v>10</v>
      </c>
      <c r="F471" s="2">
        <f>WEEKDAY(makulatura[[#This Row],[Data_dostarczenia]],2)</f>
        <v>1</v>
      </c>
    </row>
    <row r="472" spans="1:6" x14ac:dyDescent="0.25">
      <c r="A472" s="1">
        <v>42800</v>
      </c>
      <c r="B472" s="2" t="s">
        <v>65</v>
      </c>
      <c r="C472" s="2" t="s">
        <v>116</v>
      </c>
      <c r="D472">
        <v>35</v>
      </c>
      <c r="E472">
        <f>WEEKNUM(makulatura[[#This Row],[Data_dostarczenia]],13)</f>
        <v>10</v>
      </c>
      <c r="F472" s="2">
        <f>WEEKDAY(makulatura[[#This Row],[Data_dostarczenia]],2)</f>
        <v>1</v>
      </c>
    </row>
    <row r="473" spans="1:6" x14ac:dyDescent="0.25">
      <c r="A473" s="1">
        <v>42800</v>
      </c>
      <c r="B473" s="2" t="s">
        <v>267</v>
      </c>
      <c r="C473" s="2" t="s">
        <v>287</v>
      </c>
      <c r="D473">
        <v>26</v>
      </c>
      <c r="E473">
        <f>WEEKNUM(makulatura[[#This Row],[Data_dostarczenia]],13)</f>
        <v>10</v>
      </c>
      <c r="F473" s="2">
        <f>WEEKDAY(makulatura[[#This Row],[Data_dostarczenia]],2)</f>
        <v>1</v>
      </c>
    </row>
    <row r="474" spans="1:6" x14ac:dyDescent="0.25">
      <c r="A474" s="1">
        <v>42800</v>
      </c>
      <c r="B474" s="2" t="s">
        <v>72</v>
      </c>
      <c r="C474" s="2" t="s">
        <v>239</v>
      </c>
      <c r="D474">
        <v>39</v>
      </c>
      <c r="E474">
        <f>WEEKNUM(makulatura[[#This Row],[Data_dostarczenia]],13)</f>
        <v>10</v>
      </c>
      <c r="F474" s="2">
        <f>WEEKDAY(makulatura[[#This Row],[Data_dostarczenia]],2)</f>
        <v>1</v>
      </c>
    </row>
    <row r="475" spans="1:6" x14ac:dyDescent="0.25">
      <c r="A475" s="1">
        <v>42801</v>
      </c>
      <c r="B475" s="2" t="s">
        <v>97</v>
      </c>
      <c r="C475" s="2" t="s">
        <v>98</v>
      </c>
      <c r="D475">
        <v>52</v>
      </c>
      <c r="E475">
        <f>WEEKNUM(makulatura[[#This Row],[Data_dostarczenia]],13)</f>
        <v>10</v>
      </c>
      <c r="F475" s="2">
        <f>WEEKDAY(makulatura[[#This Row],[Data_dostarczenia]],2)</f>
        <v>2</v>
      </c>
    </row>
    <row r="476" spans="1:6" x14ac:dyDescent="0.25">
      <c r="A476" s="1">
        <v>42801</v>
      </c>
      <c r="B476" s="2" t="s">
        <v>193</v>
      </c>
      <c r="C476" s="2" t="s">
        <v>215</v>
      </c>
      <c r="D476">
        <v>13</v>
      </c>
      <c r="E476">
        <f>WEEKNUM(makulatura[[#This Row],[Data_dostarczenia]],13)</f>
        <v>10</v>
      </c>
      <c r="F476" s="2">
        <f>WEEKDAY(makulatura[[#This Row],[Data_dostarczenia]],2)</f>
        <v>2</v>
      </c>
    </row>
    <row r="477" spans="1:6" x14ac:dyDescent="0.25">
      <c r="A477" s="1">
        <v>42801</v>
      </c>
      <c r="B477" s="2" t="s">
        <v>83</v>
      </c>
      <c r="C477" s="2" t="s">
        <v>136</v>
      </c>
      <c r="D477">
        <v>16</v>
      </c>
      <c r="E477">
        <f>WEEKNUM(makulatura[[#This Row],[Data_dostarczenia]],13)</f>
        <v>10</v>
      </c>
      <c r="F477" s="2">
        <f>WEEKDAY(makulatura[[#This Row],[Data_dostarczenia]],2)</f>
        <v>2</v>
      </c>
    </row>
    <row r="478" spans="1:6" x14ac:dyDescent="0.25">
      <c r="A478" s="1">
        <v>42801</v>
      </c>
      <c r="B478" s="2" t="s">
        <v>141</v>
      </c>
      <c r="C478" s="2" t="s">
        <v>202</v>
      </c>
      <c r="D478">
        <v>17</v>
      </c>
      <c r="E478">
        <f>WEEKNUM(makulatura[[#This Row],[Data_dostarczenia]],13)</f>
        <v>10</v>
      </c>
      <c r="F478" s="2">
        <f>WEEKDAY(makulatura[[#This Row],[Data_dostarczenia]],2)</f>
        <v>2</v>
      </c>
    </row>
    <row r="479" spans="1:6" x14ac:dyDescent="0.25">
      <c r="A479" s="1">
        <v>42801</v>
      </c>
      <c r="B479" s="2" t="s">
        <v>243</v>
      </c>
      <c r="C479" s="2" t="s">
        <v>82</v>
      </c>
      <c r="D479">
        <v>7</v>
      </c>
      <c r="E479">
        <f>WEEKNUM(makulatura[[#This Row],[Data_dostarczenia]],13)</f>
        <v>10</v>
      </c>
      <c r="F479" s="2">
        <f>WEEKDAY(makulatura[[#This Row],[Data_dostarczenia]],2)</f>
        <v>2</v>
      </c>
    </row>
    <row r="480" spans="1:6" x14ac:dyDescent="0.25">
      <c r="A480" s="1">
        <v>42801</v>
      </c>
      <c r="B480" s="2" t="s">
        <v>32</v>
      </c>
      <c r="C480" s="2" t="s">
        <v>446</v>
      </c>
      <c r="D480">
        <v>48</v>
      </c>
      <c r="E480">
        <f>WEEKNUM(makulatura[[#This Row],[Data_dostarczenia]],13)</f>
        <v>10</v>
      </c>
      <c r="F480" s="2">
        <f>WEEKDAY(makulatura[[#This Row],[Data_dostarczenia]],2)</f>
        <v>2</v>
      </c>
    </row>
    <row r="481" spans="1:6" x14ac:dyDescent="0.25">
      <c r="A481" s="1">
        <v>42801</v>
      </c>
      <c r="B481" s="2" t="s">
        <v>97</v>
      </c>
      <c r="C481" s="2" t="s">
        <v>452</v>
      </c>
      <c r="D481">
        <v>20</v>
      </c>
      <c r="E481">
        <f>WEEKNUM(makulatura[[#This Row],[Data_dostarczenia]],13)</f>
        <v>10</v>
      </c>
      <c r="F481" s="2">
        <f>WEEKDAY(makulatura[[#This Row],[Data_dostarczenia]],2)</f>
        <v>2</v>
      </c>
    </row>
    <row r="482" spans="1:6" x14ac:dyDescent="0.25">
      <c r="A482" s="1">
        <v>42801</v>
      </c>
      <c r="B482" s="2" t="s">
        <v>97</v>
      </c>
      <c r="C482" s="2" t="s">
        <v>309</v>
      </c>
      <c r="D482">
        <v>3</v>
      </c>
      <c r="E482">
        <f>WEEKNUM(makulatura[[#This Row],[Data_dostarczenia]],13)</f>
        <v>10</v>
      </c>
      <c r="F482" s="2">
        <f>WEEKDAY(makulatura[[#This Row],[Data_dostarczenia]],2)</f>
        <v>2</v>
      </c>
    </row>
    <row r="483" spans="1:6" x14ac:dyDescent="0.25">
      <c r="A483" s="1">
        <v>42801</v>
      </c>
      <c r="B483" s="2" t="s">
        <v>87</v>
      </c>
      <c r="C483" s="2" t="s">
        <v>259</v>
      </c>
      <c r="D483">
        <v>22</v>
      </c>
      <c r="E483">
        <f>WEEKNUM(makulatura[[#This Row],[Data_dostarczenia]],13)</f>
        <v>10</v>
      </c>
      <c r="F483" s="2">
        <f>WEEKDAY(makulatura[[#This Row],[Data_dostarczenia]],2)</f>
        <v>2</v>
      </c>
    </row>
    <row r="484" spans="1:6" x14ac:dyDescent="0.25">
      <c r="A484" s="1">
        <v>42802</v>
      </c>
      <c r="B484" s="2" t="s">
        <v>87</v>
      </c>
      <c r="C484" s="2" t="s">
        <v>397</v>
      </c>
      <c r="D484">
        <v>14</v>
      </c>
      <c r="E484">
        <f>WEEKNUM(makulatura[[#This Row],[Data_dostarczenia]],13)</f>
        <v>11</v>
      </c>
      <c r="F484" s="2">
        <f>WEEKDAY(makulatura[[#This Row],[Data_dostarczenia]],2)</f>
        <v>3</v>
      </c>
    </row>
    <row r="485" spans="1:6" x14ac:dyDescent="0.25">
      <c r="A485" s="1">
        <v>42802</v>
      </c>
      <c r="B485" s="2" t="s">
        <v>155</v>
      </c>
      <c r="C485" s="2" t="s">
        <v>186</v>
      </c>
      <c r="D485">
        <v>17</v>
      </c>
      <c r="E485">
        <f>WEEKNUM(makulatura[[#This Row],[Data_dostarczenia]],13)</f>
        <v>11</v>
      </c>
      <c r="F485" s="2">
        <f>WEEKDAY(makulatura[[#This Row],[Data_dostarczenia]],2)</f>
        <v>3</v>
      </c>
    </row>
    <row r="486" spans="1:6" x14ac:dyDescent="0.25">
      <c r="A486" s="1">
        <v>42802</v>
      </c>
      <c r="B486" s="2" t="s">
        <v>30</v>
      </c>
      <c r="C486" s="2" t="s">
        <v>89</v>
      </c>
      <c r="D486">
        <v>3</v>
      </c>
      <c r="E486">
        <f>WEEKNUM(makulatura[[#This Row],[Data_dostarczenia]],13)</f>
        <v>11</v>
      </c>
      <c r="F486" s="2">
        <f>WEEKDAY(makulatura[[#This Row],[Data_dostarczenia]],2)</f>
        <v>3</v>
      </c>
    </row>
    <row r="487" spans="1:6" x14ac:dyDescent="0.25">
      <c r="A487" s="1">
        <v>42802</v>
      </c>
      <c r="B487" s="2" t="s">
        <v>453</v>
      </c>
      <c r="C487" s="2" t="s">
        <v>454</v>
      </c>
      <c r="D487">
        <v>10</v>
      </c>
      <c r="E487">
        <f>WEEKNUM(makulatura[[#This Row],[Data_dostarczenia]],13)</f>
        <v>11</v>
      </c>
      <c r="F487" s="2">
        <f>WEEKDAY(makulatura[[#This Row],[Data_dostarczenia]],2)</f>
        <v>3</v>
      </c>
    </row>
    <row r="488" spans="1:6" x14ac:dyDescent="0.25">
      <c r="A488" s="1">
        <v>42802</v>
      </c>
      <c r="B488" s="2" t="s">
        <v>178</v>
      </c>
      <c r="C488" s="2" t="s">
        <v>242</v>
      </c>
      <c r="D488">
        <v>14</v>
      </c>
      <c r="E488">
        <f>WEEKNUM(makulatura[[#This Row],[Data_dostarczenia]],13)</f>
        <v>11</v>
      </c>
      <c r="F488" s="2">
        <f>WEEKDAY(makulatura[[#This Row],[Data_dostarczenia]],2)</f>
        <v>3</v>
      </c>
    </row>
    <row r="489" spans="1:6" x14ac:dyDescent="0.25">
      <c r="A489" s="1">
        <v>42802</v>
      </c>
      <c r="B489" s="2" t="s">
        <v>393</v>
      </c>
      <c r="C489" s="2" t="s">
        <v>398</v>
      </c>
      <c r="D489">
        <v>3</v>
      </c>
      <c r="E489">
        <f>WEEKNUM(makulatura[[#This Row],[Data_dostarczenia]],13)</f>
        <v>11</v>
      </c>
      <c r="F489" s="2">
        <f>WEEKDAY(makulatura[[#This Row],[Data_dostarczenia]],2)</f>
        <v>3</v>
      </c>
    </row>
    <row r="490" spans="1:6" x14ac:dyDescent="0.25">
      <c r="A490" s="1">
        <v>42802</v>
      </c>
      <c r="B490" s="2" t="s">
        <v>141</v>
      </c>
      <c r="C490" s="2" t="s">
        <v>364</v>
      </c>
      <c r="D490">
        <v>22</v>
      </c>
      <c r="E490">
        <f>WEEKNUM(makulatura[[#This Row],[Data_dostarczenia]],13)</f>
        <v>11</v>
      </c>
      <c r="F490" s="2">
        <f>WEEKDAY(makulatura[[#This Row],[Data_dostarczenia]],2)</f>
        <v>3</v>
      </c>
    </row>
    <row r="491" spans="1:6" x14ac:dyDescent="0.25">
      <c r="A491" s="1">
        <v>42802</v>
      </c>
      <c r="B491" s="2" t="s">
        <v>83</v>
      </c>
      <c r="C491" s="2" t="s">
        <v>455</v>
      </c>
      <c r="D491">
        <v>11</v>
      </c>
      <c r="E491">
        <f>WEEKNUM(makulatura[[#This Row],[Data_dostarczenia]],13)</f>
        <v>11</v>
      </c>
      <c r="F491" s="2">
        <f>WEEKDAY(makulatura[[#This Row],[Data_dostarczenia]],2)</f>
        <v>3</v>
      </c>
    </row>
    <row r="492" spans="1:6" x14ac:dyDescent="0.25">
      <c r="A492" s="1">
        <v>42802</v>
      </c>
      <c r="B492" s="2" t="s">
        <v>32</v>
      </c>
      <c r="C492" s="2" t="s">
        <v>406</v>
      </c>
      <c r="D492">
        <v>7</v>
      </c>
      <c r="E492">
        <f>WEEKNUM(makulatura[[#This Row],[Data_dostarczenia]],13)</f>
        <v>11</v>
      </c>
      <c r="F492" s="2">
        <f>WEEKDAY(makulatura[[#This Row],[Data_dostarczenia]],2)</f>
        <v>3</v>
      </c>
    </row>
    <row r="493" spans="1:6" x14ac:dyDescent="0.25">
      <c r="A493" s="1">
        <v>42803</v>
      </c>
      <c r="B493" s="2" t="s">
        <v>87</v>
      </c>
      <c r="C493" s="2" t="s">
        <v>88</v>
      </c>
      <c r="D493">
        <v>13</v>
      </c>
      <c r="E493">
        <f>WEEKNUM(makulatura[[#This Row],[Data_dostarczenia]],13)</f>
        <v>11</v>
      </c>
      <c r="F493" s="2">
        <f>WEEKDAY(makulatura[[#This Row],[Data_dostarczenia]],2)</f>
        <v>4</v>
      </c>
    </row>
    <row r="494" spans="1:6" x14ac:dyDescent="0.25">
      <c r="A494" s="1">
        <v>42803</v>
      </c>
      <c r="B494" s="2" t="s">
        <v>55</v>
      </c>
      <c r="C494" s="2" t="s">
        <v>456</v>
      </c>
      <c r="D494">
        <v>47</v>
      </c>
      <c r="E494">
        <f>WEEKNUM(makulatura[[#This Row],[Data_dostarczenia]],13)</f>
        <v>11</v>
      </c>
      <c r="F494" s="2">
        <f>WEEKDAY(makulatura[[#This Row],[Data_dostarczenia]],2)</f>
        <v>4</v>
      </c>
    </row>
    <row r="495" spans="1:6" x14ac:dyDescent="0.25">
      <c r="A495" s="1">
        <v>42803</v>
      </c>
      <c r="B495" s="2" t="s">
        <v>155</v>
      </c>
      <c r="C495" s="2" t="s">
        <v>156</v>
      </c>
      <c r="D495">
        <v>22</v>
      </c>
      <c r="E495">
        <f>WEEKNUM(makulatura[[#This Row],[Data_dostarczenia]],13)</f>
        <v>11</v>
      </c>
      <c r="F495" s="2">
        <f>WEEKDAY(makulatura[[#This Row],[Data_dostarczenia]],2)</f>
        <v>4</v>
      </c>
    </row>
    <row r="496" spans="1:6" x14ac:dyDescent="0.25">
      <c r="A496" s="1">
        <v>42803</v>
      </c>
      <c r="B496" s="2" t="s">
        <v>97</v>
      </c>
      <c r="C496" s="2" t="s">
        <v>457</v>
      </c>
      <c r="D496">
        <v>10</v>
      </c>
      <c r="E496">
        <f>WEEKNUM(makulatura[[#This Row],[Data_dostarczenia]],13)</f>
        <v>11</v>
      </c>
      <c r="F496" s="2">
        <f>WEEKDAY(makulatura[[#This Row],[Data_dostarczenia]],2)</f>
        <v>4</v>
      </c>
    </row>
    <row r="497" spans="1:6" x14ac:dyDescent="0.25">
      <c r="A497" s="1">
        <v>42803</v>
      </c>
      <c r="B497" s="2" t="s">
        <v>310</v>
      </c>
      <c r="C497" s="2" t="s">
        <v>458</v>
      </c>
      <c r="D497">
        <v>38</v>
      </c>
      <c r="E497">
        <f>WEEKNUM(makulatura[[#This Row],[Data_dostarczenia]],13)</f>
        <v>11</v>
      </c>
      <c r="F497" s="2">
        <f>WEEKDAY(makulatura[[#This Row],[Data_dostarczenia]],2)</f>
        <v>4</v>
      </c>
    </row>
    <row r="498" spans="1:6" x14ac:dyDescent="0.25">
      <c r="A498" s="1">
        <v>42803</v>
      </c>
      <c r="B498" s="2" t="s">
        <v>55</v>
      </c>
      <c r="C498" s="2" t="s">
        <v>459</v>
      </c>
      <c r="D498">
        <v>48</v>
      </c>
      <c r="E498">
        <f>WEEKNUM(makulatura[[#This Row],[Data_dostarczenia]],13)</f>
        <v>11</v>
      </c>
      <c r="F498" s="2">
        <f>WEEKDAY(makulatura[[#This Row],[Data_dostarczenia]],2)</f>
        <v>4</v>
      </c>
    </row>
    <row r="499" spans="1:6" x14ac:dyDescent="0.25">
      <c r="A499" s="1">
        <v>42803</v>
      </c>
      <c r="B499" s="2" t="s">
        <v>67</v>
      </c>
      <c r="C499" s="2" t="s">
        <v>460</v>
      </c>
      <c r="D499">
        <v>9</v>
      </c>
      <c r="E499">
        <f>WEEKNUM(makulatura[[#This Row],[Data_dostarczenia]],13)</f>
        <v>11</v>
      </c>
      <c r="F499" s="2">
        <f>WEEKDAY(makulatura[[#This Row],[Data_dostarczenia]],2)</f>
        <v>4</v>
      </c>
    </row>
    <row r="500" spans="1:6" x14ac:dyDescent="0.25">
      <c r="A500" s="1">
        <v>42803</v>
      </c>
      <c r="B500" s="2" t="s">
        <v>101</v>
      </c>
      <c r="C500" s="2" t="s">
        <v>212</v>
      </c>
      <c r="D500">
        <v>6</v>
      </c>
      <c r="E500">
        <f>WEEKNUM(makulatura[[#This Row],[Data_dostarczenia]],13)</f>
        <v>11</v>
      </c>
      <c r="F500" s="2">
        <f>WEEKDAY(makulatura[[#This Row],[Data_dostarczenia]],2)</f>
        <v>4</v>
      </c>
    </row>
    <row r="501" spans="1:6" x14ac:dyDescent="0.25">
      <c r="A501" s="1">
        <v>42803</v>
      </c>
      <c r="B501" s="2" t="s">
        <v>195</v>
      </c>
      <c r="C501" s="2" t="s">
        <v>196</v>
      </c>
      <c r="D501">
        <v>13</v>
      </c>
      <c r="E501">
        <f>WEEKNUM(makulatura[[#This Row],[Data_dostarczenia]],13)</f>
        <v>11</v>
      </c>
      <c r="F501" s="2">
        <f>WEEKDAY(makulatura[[#This Row],[Data_dostarczenia]],2)</f>
        <v>4</v>
      </c>
    </row>
    <row r="502" spans="1:6" x14ac:dyDescent="0.25">
      <c r="A502" s="1">
        <v>42804</v>
      </c>
      <c r="B502" s="2" t="s">
        <v>97</v>
      </c>
      <c r="C502" s="2" t="s">
        <v>181</v>
      </c>
      <c r="D502">
        <v>30</v>
      </c>
      <c r="E502">
        <f>WEEKNUM(makulatura[[#This Row],[Data_dostarczenia]],13)</f>
        <v>11</v>
      </c>
      <c r="F502" s="2">
        <f>WEEKDAY(makulatura[[#This Row],[Data_dostarczenia]],2)</f>
        <v>5</v>
      </c>
    </row>
    <row r="503" spans="1:6" x14ac:dyDescent="0.25">
      <c r="A503" s="1">
        <v>42804</v>
      </c>
      <c r="B503" s="2" t="s">
        <v>69</v>
      </c>
      <c r="C503" s="2" t="s">
        <v>461</v>
      </c>
      <c r="D503">
        <v>3</v>
      </c>
      <c r="E503">
        <f>WEEKNUM(makulatura[[#This Row],[Data_dostarczenia]],13)</f>
        <v>11</v>
      </c>
      <c r="F503" s="2">
        <f>WEEKDAY(makulatura[[#This Row],[Data_dostarczenia]],2)</f>
        <v>5</v>
      </c>
    </row>
    <row r="504" spans="1:6" x14ac:dyDescent="0.25">
      <c r="A504" s="1">
        <v>42804</v>
      </c>
      <c r="B504" s="2" t="s">
        <v>12</v>
      </c>
      <c r="C504" s="2" t="s">
        <v>38</v>
      </c>
      <c r="D504">
        <v>8</v>
      </c>
      <c r="E504">
        <f>WEEKNUM(makulatura[[#This Row],[Data_dostarczenia]],13)</f>
        <v>11</v>
      </c>
      <c r="F504" s="2">
        <f>WEEKDAY(makulatura[[#This Row],[Data_dostarczenia]],2)</f>
        <v>5</v>
      </c>
    </row>
    <row r="505" spans="1:6" x14ac:dyDescent="0.25">
      <c r="A505" s="1">
        <v>42804</v>
      </c>
      <c r="B505" s="2" t="s">
        <v>178</v>
      </c>
      <c r="C505" s="2" t="s">
        <v>242</v>
      </c>
      <c r="D505">
        <v>12</v>
      </c>
      <c r="E505">
        <f>WEEKNUM(makulatura[[#This Row],[Data_dostarczenia]],13)</f>
        <v>11</v>
      </c>
      <c r="F505" s="2">
        <f>WEEKDAY(makulatura[[#This Row],[Data_dostarczenia]],2)</f>
        <v>5</v>
      </c>
    </row>
    <row r="506" spans="1:6" x14ac:dyDescent="0.25">
      <c r="A506" s="1">
        <v>42804</v>
      </c>
      <c r="B506" s="2" t="s">
        <v>16</v>
      </c>
      <c r="C506" s="2" t="s">
        <v>440</v>
      </c>
      <c r="D506">
        <v>14</v>
      </c>
      <c r="E506">
        <f>WEEKNUM(makulatura[[#This Row],[Data_dostarczenia]],13)</f>
        <v>11</v>
      </c>
      <c r="F506" s="2">
        <f>WEEKDAY(makulatura[[#This Row],[Data_dostarczenia]],2)</f>
        <v>5</v>
      </c>
    </row>
    <row r="507" spans="1:6" x14ac:dyDescent="0.25">
      <c r="A507" s="1">
        <v>42804</v>
      </c>
      <c r="B507" s="2" t="s">
        <v>453</v>
      </c>
      <c r="C507" s="2" t="s">
        <v>454</v>
      </c>
      <c r="D507">
        <v>4</v>
      </c>
      <c r="E507">
        <f>WEEKNUM(makulatura[[#This Row],[Data_dostarczenia]],13)</f>
        <v>11</v>
      </c>
      <c r="F507" s="2">
        <f>WEEKDAY(makulatura[[#This Row],[Data_dostarczenia]],2)</f>
        <v>5</v>
      </c>
    </row>
    <row r="508" spans="1:6" x14ac:dyDescent="0.25">
      <c r="A508" s="1">
        <v>42804</v>
      </c>
      <c r="B508" s="2" t="s">
        <v>99</v>
      </c>
      <c r="C508" s="2" t="s">
        <v>100</v>
      </c>
      <c r="D508">
        <v>5</v>
      </c>
      <c r="E508">
        <f>WEEKNUM(makulatura[[#This Row],[Data_dostarczenia]],13)</f>
        <v>11</v>
      </c>
      <c r="F508" s="2">
        <f>WEEKDAY(makulatura[[#This Row],[Data_dostarczenia]],2)</f>
        <v>5</v>
      </c>
    </row>
    <row r="509" spans="1:6" x14ac:dyDescent="0.25">
      <c r="A509" s="1">
        <v>42804</v>
      </c>
      <c r="B509" s="2" t="s">
        <v>150</v>
      </c>
      <c r="C509" s="2" t="s">
        <v>462</v>
      </c>
      <c r="D509">
        <v>13</v>
      </c>
      <c r="E509">
        <f>WEEKNUM(makulatura[[#This Row],[Data_dostarczenia]],13)</f>
        <v>11</v>
      </c>
      <c r="F509" s="2">
        <f>WEEKDAY(makulatura[[#This Row],[Data_dostarczenia]],2)</f>
        <v>5</v>
      </c>
    </row>
    <row r="510" spans="1:6" x14ac:dyDescent="0.25">
      <c r="A510" s="1">
        <v>42804</v>
      </c>
      <c r="B510" s="2" t="s">
        <v>30</v>
      </c>
      <c r="C510" s="2" t="s">
        <v>463</v>
      </c>
      <c r="D510">
        <v>9</v>
      </c>
      <c r="E510">
        <f>WEEKNUM(makulatura[[#This Row],[Data_dostarczenia]],13)</f>
        <v>11</v>
      </c>
      <c r="F510" s="2">
        <f>WEEKDAY(makulatura[[#This Row],[Data_dostarczenia]],2)</f>
        <v>5</v>
      </c>
    </row>
    <row r="511" spans="1:6" x14ac:dyDescent="0.25">
      <c r="A511" s="1">
        <v>42807</v>
      </c>
      <c r="B511" s="2" t="s">
        <v>97</v>
      </c>
      <c r="C511" s="2" t="s">
        <v>464</v>
      </c>
      <c r="D511">
        <v>14</v>
      </c>
      <c r="E511">
        <f>WEEKNUM(makulatura[[#This Row],[Data_dostarczenia]],13)</f>
        <v>11</v>
      </c>
      <c r="F511" s="2">
        <f>WEEKDAY(makulatura[[#This Row],[Data_dostarczenia]],2)</f>
        <v>1</v>
      </c>
    </row>
    <row r="512" spans="1:6" x14ac:dyDescent="0.25">
      <c r="A512" s="1">
        <v>42807</v>
      </c>
      <c r="B512" s="2" t="s">
        <v>47</v>
      </c>
      <c r="C512" s="2" t="s">
        <v>465</v>
      </c>
      <c r="D512">
        <v>19</v>
      </c>
      <c r="E512">
        <f>WEEKNUM(makulatura[[#This Row],[Data_dostarczenia]],13)</f>
        <v>11</v>
      </c>
      <c r="F512" s="2">
        <f>WEEKDAY(makulatura[[#This Row],[Data_dostarczenia]],2)</f>
        <v>1</v>
      </c>
    </row>
    <row r="513" spans="1:6" x14ac:dyDescent="0.25">
      <c r="A513" s="1">
        <v>42807</v>
      </c>
      <c r="B513" s="2" t="s">
        <v>282</v>
      </c>
      <c r="C513" s="2" t="s">
        <v>283</v>
      </c>
      <c r="D513">
        <v>21</v>
      </c>
      <c r="E513">
        <f>WEEKNUM(makulatura[[#This Row],[Data_dostarczenia]],13)</f>
        <v>11</v>
      </c>
      <c r="F513" s="2">
        <f>WEEKDAY(makulatura[[#This Row],[Data_dostarczenia]],2)</f>
        <v>1</v>
      </c>
    </row>
    <row r="514" spans="1:6" x14ac:dyDescent="0.25">
      <c r="A514" s="1">
        <v>42807</v>
      </c>
      <c r="B514" s="2" t="s">
        <v>141</v>
      </c>
      <c r="C514" s="2" t="s">
        <v>292</v>
      </c>
      <c r="D514">
        <v>5</v>
      </c>
      <c r="E514">
        <f>WEEKNUM(makulatura[[#This Row],[Data_dostarczenia]],13)</f>
        <v>11</v>
      </c>
      <c r="F514" s="2">
        <f>WEEKDAY(makulatura[[#This Row],[Data_dostarczenia]],2)</f>
        <v>1</v>
      </c>
    </row>
    <row r="515" spans="1:6" x14ac:dyDescent="0.25">
      <c r="A515" s="1">
        <v>42807</v>
      </c>
      <c r="B515" s="2" t="s">
        <v>314</v>
      </c>
      <c r="C515" s="2" t="s">
        <v>466</v>
      </c>
      <c r="D515">
        <v>18</v>
      </c>
      <c r="E515">
        <f>WEEKNUM(makulatura[[#This Row],[Data_dostarczenia]],13)</f>
        <v>11</v>
      </c>
      <c r="F515" s="2">
        <f>WEEKDAY(makulatura[[#This Row],[Data_dostarczenia]],2)</f>
        <v>1</v>
      </c>
    </row>
    <row r="516" spans="1:6" x14ac:dyDescent="0.25">
      <c r="A516" s="1">
        <v>42807</v>
      </c>
      <c r="B516" s="2" t="s">
        <v>55</v>
      </c>
      <c r="C516" s="2" t="s">
        <v>56</v>
      </c>
      <c r="D516">
        <v>4</v>
      </c>
      <c r="E516">
        <f>WEEKNUM(makulatura[[#This Row],[Data_dostarczenia]],13)</f>
        <v>11</v>
      </c>
      <c r="F516" s="2">
        <f>WEEKDAY(makulatura[[#This Row],[Data_dostarczenia]],2)</f>
        <v>1</v>
      </c>
    </row>
    <row r="517" spans="1:6" x14ac:dyDescent="0.25">
      <c r="A517" s="1">
        <v>42807</v>
      </c>
      <c r="B517" s="2" t="s">
        <v>395</v>
      </c>
      <c r="C517" s="2" t="s">
        <v>467</v>
      </c>
      <c r="D517">
        <v>34</v>
      </c>
      <c r="E517">
        <f>WEEKNUM(makulatura[[#This Row],[Data_dostarczenia]],13)</f>
        <v>11</v>
      </c>
      <c r="F517" s="2">
        <f>WEEKDAY(makulatura[[#This Row],[Data_dostarczenia]],2)</f>
        <v>1</v>
      </c>
    </row>
    <row r="518" spans="1:6" x14ac:dyDescent="0.25">
      <c r="A518" s="1">
        <v>42807</v>
      </c>
      <c r="B518" s="2" t="s">
        <v>36</v>
      </c>
      <c r="C518" s="2" t="s">
        <v>37</v>
      </c>
      <c r="D518">
        <v>7</v>
      </c>
      <c r="E518">
        <f>WEEKNUM(makulatura[[#This Row],[Data_dostarczenia]],13)</f>
        <v>11</v>
      </c>
      <c r="F518" s="2">
        <f>WEEKDAY(makulatura[[#This Row],[Data_dostarczenia]],2)</f>
        <v>1</v>
      </c>
    </row>
    <row r="519" spans="1:6" x14ac:dyDescent="0.25">
      <c r="A519" s="1">
        <v>42807</v>
      </c>
      <c r="B519" s="2" t="s">
        <v>171</v>
      </c>
      <c r="C519" s="2" t="s">
        <v>468</v>
      </c>
      <c r="D519">
        <v>41</v>
      </c>
      <c r="E519">
        <f>WEEKNUM(makulatura[[#This Row],[Data_dostarczenia]],13)</f>
        <v>11</v>
      </c>
      <c r="F519" s="2">
        <f>WEEKDAY(makulatura[[#This Row],[Data_dostarczenia]],2)</f>
        <v>1</v>
      </c>
    </row>
    <row r="520" spans="1:6" x14ac:dyDescent="0.25">
      <c r="A520" s="1">
        <v>42808</v>
      </c>
      <c r="B520" s="2" t="s">
        <v>41</v>
      </c>
      <c r="C520" s="2" t="s">
        <v>42</v>
      </c>
      <c r="D520">
        <v>10</v>
      </c>
      <c r="E520">
        <f>WEEKNUM(makulatura[[#This Row],[Data_dostarczenia]],13)</f>
        <v>11</v>
      </c>
      <c r="F520" s="2">
        <f>WEEKDAY(makulatura[[#This Row],[Data_dostarczenia]],2)</f>
        <v>2</v>
      </c>
    </row>
    <row r="521" spans="1:6" x14ac:dyDescent="0.25">
      <c r="A521" s="1">
        <v>42808</v>
      </c>
      <c r="B521" s="2" t="s">
        <v>87</v>
      </c>
      <c r="C521" s="2" t="s">
        <v>124</v>
      </c>
      <c r="D521">
        <v>42</v>
      </c>
      <c r="E521">
        <f>WEEKNUM(makulatura[[#This Row],[Data_dostarczenia]],13)</f>
        <v>11</v>
      </c>
      <c r="F521" s="2">
        <f>WEEKDAY(makulatura[[#This Row],[Data_dostarczenia]],2)</f>
        <v>2</v>
      </c>
    </row>
    <row r="522" spans="1:6" x14ac:dyDescent="0.25">
      <c r="A522" s="1">
        <v>42808</v>
      </c>
      <c r="B522" s="2" t="s">
        <v>178</v>
      </c>
      <c r="C522" s="2" t="s">
        <v>335</v>
      </c>
      <c r="D522">
        <v>10</v>
      </c>
      <c r="E522">
        <f>WEEKNUM(makulatura[[#This Row],[Data_dostarczenia]],13)</f>
        <v>11</v>
      </c>
      <c r="F522" s="2">
        <f>WEEKDAY(makulatura[[#This Row],[Data_dostarczenia]],2)</f>
        <v>2</v>
      </c>
    </row>
    <row r="523" spans="1:6" x14ac:dyDescent="0.25">
      <c r="A523" s="1">
        <v>42808</v>
      </c>
      <c r="B523" s="2" t="s">
        <v>51</v>
      </c>
      <c r="C523" s="2" t="s">
        <v>469</v>
      </c>
      <c r="D523">
        <v>4</v>
      </c>
      <c r="E523">
        <f>WEEKNUM(makulatura[[#This Row],[Data_dostarczenia]],13)</f>
        <v>11</v>
      </c>
      <c r="F523" s="2">
        <f>WEEKDAY(makulatura[[#This Row],[Data_dostarczenia]],2)</f>
        <v>2</v>
      </c>
    </row>
    <row r="524" spans="1:6" x14ac:dyDescent="0.25">
      <c r="A524" s="1">
        <v>42808</v>
      </c>
      <c r="B524" s="2" t="s">
        <v>442</v>
      </c>
      <c r="C524" s="2" t="s">
        <v>443</v>
      </c>
      <c r="D524">
        <v>17</v>
      </c>
      <c r="E524">
        <f>WEEKNUM(makulatura[[#This Row],[Data_dostarczenia]],13)</f>
        <v>11</v>
      </c>
      <c r="F524" s="2">
        <f>WEEKDAY(makulatura[[#This Row],[Data_dostarczenia]],2)</f>
        <v>2</v>
      </c>
    </row>
    <row r="525" spans="1:6" x14ac:dyDescent="0.25">
      <c r="A525" s="1">
        <v>42808</v>
      </c>
      <c r="B525" s="2" t="s">
        <v>121</v>
      </c>
      <c r="C525" s="2" t="s">
        <v>122</v>
      </c>
      <c r="D525">
        <v>29</v>
      </c>
      <c r="E525">
        <f>WEEKNUM(makulatura[[#This Row],[Data_dostarczenia]],13)</f>
        <v>11</v>
      </c>
      <c r="F525" s="2">
        <f>WEEKDAY(makulatura[[#This Row],[Data_dostarczenia]],2)</f>
        <v>2</v>
      </c>
    </row>
    <row r="526" spans="1:6" x14ac:dyDescent="0.25">
      <c r="A526" s="1">
        <v>42808</v>
      </c>
      <c r="B526" s="2" t="s">
        <v>83</v>
      </c>
      <c r="C526" s="2" t="s">
        <v>470</v>
      </c>
      <c r="D526">
        <v>6</v>
      </c>
      <c r="E526">
        <f>WEEKNUM(makulatura[[#This Row],[Data_dostarczenia]],13)</f>
        <v>11</v>
      </c>
      <c r="F526" s="2">
        <f>WEEKDAY(makulatura[[#This Row],[Data_dostarczenia]],2)</f>
        <v>2</v>
      </c>
    </row>
    <row r="527" spans="1:6" x14ac:dyDescent="0.25">
      <c r="A527" s="1">
        <v>42808</v>
      </c>
      <c r="B527" s="2" t="s">
        <v>8</v>
      </c>
      <c r="C527" s="2" t="s">
        <v>9</v>
      </c>
      <c r="D527">
        <v>12</v>
      </c>
      <c r="E527">
        <f>WEEKNUM(makulatura[[#This Row],[Data_dostarczenia]],13)</f>
        <v>11</v>
      </c>
      <c r="F527" s="2">
        <f>WEEKDAY(makulatura[[#This Row],[Data_dostarczenia]],2)</f>
        <v>2</v>
      </c>
    </row>
    <row r="528" spans="1:6" x14ac:dyDescent="0.25">
      <c r="A528" s="1">
        <v>42808</v>
      </c>
      <c r="B528" s="2" t="s">
        <v>193</v>
      </c>
      <c r="C528" s="2" t="s">
        <v>406</v>
      </c>
      <c r="D528">
        <v>14</v>
      </c>
      <c r="E528">
        <f>WEEKNUM(makulatura[[#This Row],[Data_dostarczenia]],13)</f>
        <v>11</v>
      </c>
      <c r="F528" s="2">
        <f>WEEKDAY(makulatura[[#This Row],[Data_dostarczenia]],2)</f>
        <v>2</v>
      </c>
    </row>
    <row r="529" spans="1:6" x14ac:dyDescent="0.25">
      <c r="A529" s="1">
        <v>42809</v>
      </c>
      <c r="B529" s="2" t="s">
        <v>47</v>
      </c>
      <c r="C529" s="2" t="s">
        <v>471</v>
      </c>
      <c r="D529">
        <v>28</v>
      </c>
      <c r="E529">
        <f>WEEKNUM(makulatura[[#This Row],[Data_dostarczenia]],13)</f>
        <v>12</v>
      </c>
      <c r="F529" s="2">
        <f>WEEKDAY(makulatura[[#This Row],[Data_dostarczenia]],2)</f>
        <v>3</v>
      </c>
    </row>
    <row r="530" spans="1:6" x14ac:dyDescent="0.25">
      <c r="A530" s="1">
        <v>42809</v>
      </c>
      <c r="B530" s="2" t="s">
        <v>131</v>
      </c>
      <c r="C530" s="2" t="s">
        <v>472</v>
      </c>
      <c r="D530">
        <v>19</v>
      </c>
      <c r="E530">
        <f>WEEKNUM(makulatura[[#This Row],[Data_dostarczenia]],13)</f>
        <v>12</v>
      </c>
      <c r="F530" s="2">
        <f>WEEKDAY(makulatura[[#This Row],[Data_dostarczenia]],2)</f>
        <v>3</v>
      </c>
    </row>
    <row r="531" spans="1:6" x14ac:dyDescent="0.25">
      <c r="A531" s="1">
        <v>42809</v>
      </c>
      <c r="B531" s="2" t="s">
        <v>87</v>
      </c>
      <c r="C531" s="2" t="s">
        <v>135</v>
      </c>
      <c r="D531">
        <v>30</v>
      </c>
      <c r="E531">
        <f>WEEKNUM(makulatura[[#This Row],[Data_dostarczenia]],13)</f>
        <v>12</v>
      </c>
      <c r="F531" s="2">
        <f>WEEKDAY(makulatura[[#This Row],[Data_dostarczenia]],2)</f>
        <v>3</v>
      </c>
    </row>
    <row r="532" spans="1:6" x14ac:dyDescent="0.25">
      <c r="A532" s="1">
        <v>42809</v>
      </c>
      <c r="B532" s="2" t="s">
        <v>137</v>
      </c>
      <c r="C532" s="2" t="s">
        <v>473</v>
      </c>
      <c r="D532">
        <v>54</v>
      </c>
      <c r="E532">
        <f>WEEKNUM(makulatura[[#This Row],[Data_dostarczenia]],13)</f>
        <v>12</v>
      </c>
      <c r="F532" s="2">
        <f>WEEKDAY(makulatura[[#This Row],[Data_dostarczenia]],2)</f>
        <v>3</v>
      </c>
    </row>
    <row r="533" spans="1:6" x14ac:dyDescent="0.25">
      <c r="A533" s="1">
        <v>42809</v>
      </c>
      <c r="B533" s="2" t="s">
        <v>131</v>
      </c>
      <c r="C533" s="2" t="s">
        <v>132</v>
      </c>
      <c r="D533">
        <v>21</v>
      </c>
      <c r="E533">
        <f>WEEKNUM(makulatura[[#This Row],[Data_dostarczenia]],13)</f>
        <v>12</v>
      </c>
      <c r="F533" s="2">
        <f>WEEKDAY(makulatura[[#This Row],[Data_dostarczenia]],2)</f>
        <v>3</v>
      </c>
    </row>
    <row r="534" spans="1:6" x14ac:dyDescent="0.25">
      <c r="A534" s="1">
        <v>42809</v>
      </c>
      <c r="B534" s="2" t="s">
        <v>4</v>
      </c>
      <c r="C534" s="2" t="s">
        <v>386</v>
      </c>
      <c r="D534">
        <v>10</v>
      </c>
      <c r="E534">
        <f>WEEKNUM(makulatura[[#This Row],[Data_dostarczenia]],13)</f>
        <v>12</v>
      </c>
      <c r="F534" s="2">
        <f>WEEKDAY(makulatura[[#This Row],[Data_dostarczenia]],2)</f>
        <v>3</v>
      </c>
    </row>
    <row r="535" spans="1:6" x14ac:dyDescent="0.25">
      <c r="A535" s="1">
        <v>42809</v>
      </c>
      <c r="B535" s="2" t="s">
        <v>97</v>
      </c>
      <c r="C535" s="2" t="s">
        <v>464</v>
      </c>
      <c r="D535">
        <v>25</v>
      </c>
      <c r="E535">
        <f>WEEKNUM(makulatura[[#This Row],[Data_dostarczenia]],13)</f>
        <v>12</v>
      </c>
      <c r="F535" s="2">
        <f>WEEKDAY(makulatura[[#This Row],[Data_dostarczenia]],2)</f>
        <v>3</v>
      </c>
    </row>
    <row r="536" spans="1:6" x14ac:dyDescent="0.25">
      <c r="A536" s="1">
        <v>42809</v>
      </c>
      <c r="B536" s="2" t="s">
        <v>36</v>
      </c>
      <c r="C536" s="2" t="s">
        <v>295</v>
      </c>
      <c r="D536">
        <v>5</v>
      </c>
      <c r="E536">
        <f>WEEKNUM(makulatura[[#This Row],[Data_dostarczenia]],13)</f>
        <v>12</v>
      </c>
      <c r="F536" s="2">
        <f>WEEKDAY(makulatura[[#This Row],[Data_dostarczenia]],2)</f>
        <v>3</v>
      </c>
    </row>
    <row r="537" spans="1:6" x14ac:dyDescent="0.25">
      <c r="A537" s="1">
        <v>42809</v>
      </c>
      <c r="B537" s="2" t="s">
        <v>30</v>
      </c>
      <c r="C537" s="2" t="s">
        <v>109</v>
      </c>
      <c r="D537">
        <v>12</v>
      </c>
      <c r="E537">
        <f>WEEKNUM(makulatura[[#This Row],[Data_dostarczenia]],13)</f>
        <v>12</v>
      </c>
      <c r="F537" s="2">
        <f>WEEKDAY(makulatura[[#This Row],[Data_dostarczenia]],2)</f>
        <v>3</v>
      </c>
    </row>
    <row r="538" spans="1:6" x14ac:dyDescent="0.25">
      <c r="A538" s="1">
        <v>42810</v>
      </c>
      <c r="B538" s="2" t="s">
        <v>150</v>
      </c>
      <c r="C538" s="2" t="s">
        <v>313</v>
      </c>
      <c r="D538">
        <v>24</v>
      </c>
      <c r="E538">
        <f>WEEKNUM(makulatura[[#This Row],[Data_dostarczenia]],13)</f>
        <v>12</v>
      </c>
      <c r="F538" s="2">
        <f>WEEKDAY(makulatura[[#This Row],[Data_dostarczenia]],2)</f>
        <v>4</v>
      </c>
    </row>
    <row r="539" spans="1:6" x14ac:dyDescent="0.25">
      <c r="A539" s="1">
        <v>42810</v>
      </c>
      <c r="B539" s="2" t="s">
        <v>106</v>
      </c>
      <c r="C539" s="2" t="s">
        <v>240</v>
      </c>
      <c r="D539">
        <v>11</v>
      </c>
      <c r="E539">
        <f>WEEKNUM(makulatura[[#This Row],[Data_dostarczenia]],13)</f>
        <v>12</v>
      </c>
      <c r="F539" s="2">
        <f>WEEKDAY(makulatura[[#This Row],[Data_dostarczenia]],2)</f>
        <v>4</v>
      </c>
    </row>
    <row r="540" spans="1:6" x14ac:dyDescent="0.25">
      <c r="A540" s="1">
        <v>42810</v>
      </c>
      <c r="B540" s="2" t="s">
        <v>36</v>
      </c>
      <c r="C540" s="2" t="s">
        <v>474</v>
      </c>
      <c r="D540">
        <v>37</v>
      </c>
      <c r="E540">
        <f>WEEKNUM(makulatura[[#This Row],[Data_dostarczenia]],13)</f>
        <v>12</v>
      </c>
      <c r="F540" s="2">
        <f>WEEKDAY(makulatura[[#This Row],[Data_dostarczenia]],2)</f>
        <v>4</v>
      </c>
    </row>
    <row r="541" spans="1:6" x14ac:dyDescent="0.25">
      <c r="A541" s="1">
        <v>42810</v>
      </c>
      <c r="B541" s="2" t="s">
        <v>178</v>
      </c>
      <c r="C541" s="2" t="s">
        <v>333</v>
      </c>
      <c r="D541">
        <v>26</v>
      </c>
      <c r="E541">
        <f>WEEKNUM(makulatura[[#This Row],[Data_dostarczenia]],13)</f>
        <v>12</v>
      </c>
      <c r="F541" s="2">
        <f>WEEKDAY(makulatura[[#This Row],[Data_dostarczenia]],2)</f>
        <v>4</v>
      </c>
    </row>
    <row r="542" spans="1:6" x14ac:dyDescent="0.25">
      <c r="A542" s="1">
        <v>42810</v>
      </c>
      <c r="B542" s="2" t="s">
        <v>208</v>
      </c>
      <c r="C542" s="2" t="s">
        <v>475</v>
      </c>
      <c r="D542">
        <v>3</v>
      </c>
      <c r="E542">
        <f>WEEKNUM(makulatura[[#This Row],[Data_dostarczenia]],13)</f>
        <v>12</v>
      </c>
      <c r="F542" s="2">
        <f>WEEKDAY(makulatura[[#This Row],[Data_dostarczenia]],2)</f>
        <v>4</v>
      </c>
    </row>
    <row r="543" spans="1:6" x14ac:dyDescent="0.25">
      <c r="A543" s="1">
        <v>42810</v>
      </c>
      <c r="B543" s="2" t="s">
        <v>476</v>
      </c>
      <c r="C543" s="2" t="s">
        <v>477</v>
      </c>
      <c r="D543">
        <v>52</v>
      </c>
      <c r="E543">
        <f>WEEKNUM(makulatura[[#This Row],[Data_dostarczenia]],13)</f>
        <v>12</v>
      </c>
      <c r="F543" s="2">
        <f>WEEKDAY(makulatura[[#This Row],[Data_dostarczenia]],2)</f>
        <v>4</v>
      </c>
    </row>
    <row r="544" spans="1:6" x14ac:dyDescent="0.25">
      <c r="A544" s="1">
        <v>42810</v>
      </c>
      <c r="B544" s="2" t="s">
        <v>10</v>
      </c>
      <c r="C544" s="2" t="s">
        <v>266</v>
      </c>
      <c r="D544">
        <v>24</v>
      </c>
      <c r="E544">
        <f>WEEKNUM(makulatura[[#This Row],[Data_dostarczenia]],13)</f>
        <v>12</v>
      </c>
      <c r="F544" s="2">
        <f>WEEKDAY(makulatura[[#This Row],[Data_dostarczenia]],2)</f>
        <v>4</v>
      </c>
    </row>
    <row r="545" spans="1:6" x14ac:dyDescent="0.25">
      <c r="A545" s="1">
        <v>42810</v>
      </c>
      <c r="B545" s="2" t="s">
        <v>12</v>
      </c>
      <c r="C545" s="2" t="s">
        <v>386</v>
      </c>
      <c r="D545">
        <v>43</v>
      </c>
      <c r="E545">
        <f>WEEKNUM(makulatura[[#This Row],[Data_dostarczenia]],13)</f>
        <v>12</v>
      </c>
      <c r="F545" s="2">
        <f>WEEKDAY(makulatura[[#This Row],[Data_dostarczenia]],2)</f>
        <v>4</v>
      </c>
    </row>
    <row r="546" spans="1:6" x14ac:dyDescent="0.25">
      <c r="A546" s="1">
        <v>42810</v>
      </c>
      <c r="B546" s="2" t="s">
        <v>128</v>
      </c>
      <c r="C546" s="2" t="s">
        <v>478</v>
      </c>
      <c r="D546">
        <v>54</v>
      </c>
      <c r="E546">
        <f>WEEKNUM(makulatura[[#This Row],[Data_dostarczenia]],13)</f>
        <v>12</v>
      </c>
      <c r="F546" s="2">
        <f>WEEKDAY(makulatura[[#This Row],[Data_dostarczenia]],2)</f>
        <v>4</v>
      </c>
    </row>
    <row r="547" spans="1:6" x14ac:dyDescent="0.25">
      <c r="A547" s="1">
        <v>42810</v>
      </c>
      <c r="B547" s="2" t="s">
        <v>119</v>
      </c>
      <c r="C547" s="2" t="s">
        <v>120</v>
      </c>
      <c r="D547">
        <v>42</v>
      </c>
      <c r="E547">
        <f>WEEKNUM(makulatura[[#This Row],[Data_dostarczenia]],13)</f>
        <v>12</v>
      </c>
      <c r="F547" s="2">
        <f>WEEKDAY(makulatura[[#This Row],[Data_dostarczenia]],2)</f>
        <v>4</v>
      </c>
    </row>
    <row r="548" spans="1:6" x14ac:dyDescent="0.25">
      <c r="A548" s="1">
        <v>42811</v>
      </c>
      <c r="B548" s="2" t="s">
        <v>479</v>
      </c>
      <c r="C548" s="2" t="s">
        <v>480</v>
      </c>
      <c r="D548">
        <v>10</v>
      </c>
      <c r="E548">
        <f>WEEKNUM(makulatura[[#This Row],[Data_dostarczenia]],13)</f>
        <v>12</v>
      </c>
      <c r="F548" s="2">
        <f>WEEKDAY(makulatura[[#This Row],[Data_dostarczenia]],2)</f>
        <v>5</v>
      </c>
    </row>
    <row r="549" spans="1:6" x14ac:dyDescent="0.25">
      <c r="A549" s="1">
        <v>42811</v>
      </c>
      <c r="B549" s="2" t="s">
        <v>232</v>
      </c>
      <c r="C549" s="2" t="s">
        <v>405</v>
      </c>
      <c r="D549">
        <v>40</v>
      </c>
      <c r="E549">
        <f>WEEKNUM(makulatura[[#This Row],[Data_dostarczenia]],13)</f>
        <v>12</v>
      </c>
      <c r="F549" s="2">
        <f>WEEKDAY(makulatura[[#This Row],[Data_dostarczenia]],2)</f>
        <v>5</v>
      </c>
    </row>
    <row r="550" spans="1:6" x14ac:dyDescent="0.25">
      <c r="A550" s="1">
        <v>42811</v>
      </c>
      <c r="B550" s="2" t="s">
        <v>34</v>
      </c>
      <c r="C550" s="2" t="s">
        <v>481</v>
      </c>
      <c r="D550">
        <v>16</v>
      </c>
      <c r="E550">
        <f>WEEKNUM(makulatura[[#This Row],[Data_dostarczenia]],13)</f>
        <v>12</v>
      </c>
      <c r="F550" s="2">
        <f>WEEKDAY(makulatura[[#This Row],[Data_dostarczenia]],2)</f>
        <v>5</v>
      </c>
    </row>
    <row r="551" spans="1:6" x14ac:dyDescent="0.25">
      <c r="A551" s="1">
        <v>42811</v>
      </c>
      <c r="B551" s="2" t="s">
        <v>299</v>
      </c>
      <c r="C551" s="2" t="s">
        <v>482</v>
      </c>
      <c r="D551">
        <v>27</v>
      </c>
      <c r="E551">
        <f>WEEKNUM(makulatura[[#This Row],[Data_dostarczenia]],13)</f>
        <v>12</v>
      </c>
      <c r="F551" s="2">
        <f>WEEKDAY(makulatura[[#This Row],[Data_dostarczenia]],2)</f>
        <v>5</v>
      </c>
    </row>
    <row r="552" spans="1:6" x14ac:dyDescent="0.25">
      <c r="A552" s="1">
        <v>42811</v>
      </c>
      <c r="B552" s="2" t="s">
        <v>8</v>
      </c>
      <c r="C552" s="2" t="s">
        <v>9</v>
      </c>
      <c r="D552">
        <v>14</v>
      </c>
      <c r="E552">
        <f>WEEKNUM(makulatura[[#This Row],[Data_dostarczenia]],13)</f>
        <v>12</v>
      </c>
      <c r="F552" s="2">
        <f>WEEKDAY(makulatura[[#This Row],[Data_dostarczenia]],2)</f>
        <v>5</v>
      </c>
    </row>
    <row r="553" spans="1:6" x14ac:dyDescent="0.25">
      <c r="A553" s="1">
        <v>42811</v>
      </c>
      <c r="B553" s="2" t="s">
        <v>131</v>
      </c>
      <c r="C553" s="2" t="s">
        <v>132</v>
      </c>
      <c r="D553">
        <v>5</v>
      </c>
      <c r="E553">
        <f>WEEKNUM(makulatura[[#This Row],[Data_dostarczenia]],13)</f>
        <v>12</v>
      </c>
      <c r="F553" s="2">
        <f>WEEKDAY(makulatura[[#This Row],[Data_dostarczenia]],2)</f>
        <v>5</v>
      </c>
    </row>
    <row r="554" spans="1:6" x14ac:dyDescent="0.25">
      <c r="A554" s="1">
        <v>42811</v>
      </c>
      <c r="B554" s="2" t="s">
        <v>101</v>
      </c>
      <c r="C554" s="2" t="s">
        <v>263</v>
      </c>
      <c r="D554">
        <v>23</v>
      </c>
      <c r="E554">
        <f>WEEKNUM(makulatura[[#This Row],[Data_dostarczenia]],13)</f>
        <v>12</v>
      </c>
      <c r="F554" s="2">
        <f>WEEKDAY(makulatura[[#This Row],[Data_dostarczenia]],2)</f>
        <v>5</v>
      </c>
    </row>
    <row r="555" spans="1:6" x14ac:dyDescent="0.25">
      <c r="A555" s="1">
        <v>42811</v>
      </c>
      <c r="B555" s="2" t="s">
        <v>67</v>
      </c>
      <c r="C555" s="2" t="s">
        <v>460</v>
      </c>
      <c r="D555">
        <v>17</v>
      </c>
      <c r="E555">
        <f>WEEKNUM(makulatura[[#This Row],[Data_dostarczenia]],13)</f>
        <v>12</v>
      </c>
      <c r="F555" s="2">
        <f>WEEKDAY(makulatura[[#This Row],[Data_dostarczenia]],2)</f>
        <v>5</v>
      </c>
    </row>
    <row r="556" spans="1:6" x14ac:dyDescent="0.25">
      <c r="A556" s="1">
        <v>42811</v>
      </c>
      <c r="B556" s="2" t="s">
        <v>193</v>
      </c>
      <c r="C556" s="2" t="s">
        <v>483</v>
      </c>
      <c r="D556">
        <v>54</v>
      </c>
      <c r="E556">
        <f>WEEKNUM(makulatura[[#This Row],[Data_dostarczenia]],13)</f>
        <v>12</v>
      </c>
      <c r="F556" s="2">
        <f>WEEKDAY(makulatura[[#This Row],[Data_dostarczenia]],2)</f>
        <v>5</v>
      </c>
    </row>
    <row r="557" spans="1:6" x14ac:dyDescent="0.25">
      <c r="A557" s="1">
        <v>42811</v>
      </c>
      <c r="B557" s="2" t="s">
        <v>484</v>
      </c>
      <c r="C557" s="2" t="s">
        <v>485</v>
      </c>
      <c r="D557">
        <v>24</v>
      </c>
      <c r="E557">
        <f>WEEKNUM(makulatura[[#This Row],[Data_dostarczenia]],13)</f>
        <v>12</v>
      </c>
      <c r="F557" s="2">
        <f>WEEKDAY(makulatura[[#This Row],[Data_dostarczenia]],2)</f>
        <v>5</v>
      </c>
    </row>
    <row r="558" spans="1:6" x14ac:dyDescent="0.25">
      <c r="A558" s="1">
        <v>42814</v>
      </c>
      <c r="B558" s="2" t="s">
        <v>176</v>
      </c>
      <c r="C558" s="2" t="s">
        <v>486</v>
      </c>
      <c r="D558">
        <v>19</v>
      </c>
      <c r="E558">
        <f>WEEKNUM(makulatura[[#This Row],[Data_dostarczenia]],13)</f>
        <v>12</v>
      </c>
      <c r="F558" s="2">
        <f>WEEKDAY(makulatura[[#This Row],[Data_dostarczenia]],2)</f>
        <v>1</v>
      </c>
    </row>
    <row r="559" spans="1:6" x14ac:dyDescent="0.25">
      <c r="A559" s="1">
        <v>42814</v>
      </c>
      <c r="B559" s="2" t="s">
        <v>232</v>
      </c>
      <c r="C559" s="2" t="s">
        <v>487</v>
      </c>
      <c r="D559">
        <v>17</v>
      </c>
      <c r="E559">
        <f>WEEKNUM(makulatura[[#This Row],[Data_dostarczenia]],13)</f>
        <v>12</v>
      </c>
      <c r="F559" s="2">
        <f>WEEKDAY(makulatura[[#This Row],[Data_dostarczenia]],2)</f>
        <v>1</v>
      </c>
    </row>
    <row r="560" spans="1:6" x14ac:dyDescent="0.25">
      <c r="A560" s="1">
        <v>42814</v>
      </c>
      <c r="B560" s="2" t="s">
        <v>81</v>
      </c>
      <c r="C560" s="2" t="s">
        <v>488</v>
      </c>
      <c r="D560">
        <v>20</v>
      </c>
      <c r="E560">
        <f>WEEKNUM(makulatura[[#This Row],[Data_dostarczenia]],13)</f>
        <v>12</v>
      </c>
      <c r="F560" s="2">
        <f>WEEKDAY(makulatura[[#This Row],[Data_dostarczenia]],2)</f>
        <v>1</v>
      </c>
    </row>
    <row r="561" spans="1:6" x14ac:dyDescent="0.25">
      <c r="A561" s="1">
        <v>42814</v>
      </c>
      <c r="B561" s="2" t="s">
        <v>193</v>
      </c>
      <c r="C561" s="2" t="s">
        <v>194</v>
      </c>
      <c r="D561">
        <v>42</v>
      </c>
      <c r="E561">
        <f>WEEKNUM(makulatura[[#This Row],[Data_dostarczenia]],13)</f>
        <v>12</v>
      </c>
      <c r="F561" s="2">
        <f>WEEKDAY(makulatura[[#This Row],[Data_dostarczenia]],2)</f>
        <v>1</v>
      </c>
    </row>
    <row r="562" spans="1:6" x14ac:dyDescent="0.25">
      <c r="A562" s="1">
        <v>42814</v>
      </c>
      <c r="B562" s="2" t="s">
        <v>36</v>
      </c>
      <c r="C562" s="2" t="s">
        <v>37</v>
      </c>
      <c r="D562">
        <v>14</v>
      </c>
      <c r="E562">
        <f>WEEKNUM(makulatura[[#This Row],[Data_dostarczenia]],13)</f>
        <v>12</v>
      </c>
      <c r="F562" s="2">
        <f>WEEKDAY(makulatura[[#This Row],[Data_dostarczenia]],2)</f>
        <v>1</v>
      </c>
    </row>
    <row r="563" spans="1:6" x14ac:dyDescent="0.25">
      <c r="A563" s="1">
        <v>42814</v>
      </c>
      <c r="B563" s="2" t="s">
        <v>4</v>
      </c>
      <c r="C563" s="2" t="s">
        <v>489</v>
      </c>
      <c r="D563">
        <v>10</v>
      </c>
      <c r="E563">
        <f>WEEKNUM(makulatura[[#This Row],[Data_dostarczenia]],13)</f>
        <v>12</v>
      </c>
      <c r="F563" s="2">
        <f>WEEKDAY(makulatura[[#This Row],[Data_dostarczenia]],2)</f>
        <v>1</v>
      </c>
    </row>
    <row r="564" spans="1:6" x14ac:dyDescent="0.25">
      <c r="A564" s="1">
        <v>42814</v>
      </c>
      <c r="B564" s="2" t="s">
        <v>36</v>
      </c>
      <c r="C564" s="2" t="s">
        <v>490</v>
      </c>
      <c r="D564">
        <v>24</v>
      </c>
      <c r="E564">
        <f>WEEKNUM(makulatura[[#This Row],[Data_dostarczenia]],13)</f>
        <v>12</v>
      </c>
      <c r="F564" s="2">
        <f>WEEKDAY(makulatura[[#This Row],[Data_dostarczenia]],2)</f>
        <v>1</v>
      </c>
    </row>
    <row r="565" spans="1:6" x14ac:dyDescent="0.25">
      <c r="A565" s="1">
        <v>42814</v>
      </c>
      <c r="B565" s="2" t="s">
        <v>97</v>
      </c>
      <c r="C565" s="2" t="s">
        <v>309</v>
      </c>
      <c r="D565">
        <v>10</v>
      </c>
      <c r="E565">
        <f>WEEKNUM(makulatura[[#This Row],[Data_dostarczenia]],13)</f>
        <v>12</v>
      </c>
      <c r="F565" s="2">
        <f>WEEKDAY(makulatura[[#This Row],[Data_dostarczenia]],2)</f>
        <v>1</v>
      </c>
    </row>
    <row r="566" spans="1:6" x14ac:dyDescent="0.25">
      <c r="A566" s="1">
        <v>42814</v>
      </c>
      <c r="B566" s="2" t="s">
        <v>314</v>
      </c>
      <c r="C566" s="2" t="s">
        <v>315</v>
      </c>
      <c r="D566">
        <v>17</v>
      </c>
      <c r="E566">
        <f>WEEKNUM(makulatura[[#This Row],[Data_dostarczenia]],13)</f>
        <v>12</v>
      </c>
      <c r="F566" s="2">
        <f>WEEKDAY(makulatura[[#This Row],[Data_dostarczenia]],2)</f>
        <v>1</v>
      </c>
    </row>
    <row r="567" spans="1:6" x14ac:dyDescent="0.25">
      <c r="A567" s="1">
        <v>42814</v>
      </c>
      <c r="B567" s="2" t="s">
        <v>8</v>
      </c>
      <c r="C567" s="2" t="s">
        <v>491</v>
      </c>
      <c r="D567">
        <v>4</v>
      </c>
      <c r="E567">
        <f>WEEKNUM(makulatura[[#This Row],[Data_dostarczenia]],13)</f>
        <v>12</v>
      </c>
      <c r="F567" s="2">
        <f>WEEKDAY(makulatura[[#This Row],[Data_dostarczenia]],2)</f>
        <v>1</v>
      </c>
    </row>
    <row r="568" spans="1:6" x14ac:dyDescent="0.25">
      <c r="A568" s="1">
        <v>42815</v>
      </c>
      <c r="B568" s="2" t="s">
        <v>55</v>
      </c>
      <c r="C568" s="2" t="s">
        <v>492</v>
      </c>
      <c r="D568">
        <v>30</v>
      </c>
      <c r="E568">
        <f>WEEKNUM(makulatura[[#This Row],[Data_dostarczenia]],13)</f>
        <v>12</v>
      </c>
      <c r="F568" s="2">
        <f>WEEKDAY(makulatura[[#This Row],[Data_dostarczenia]],2)</f>
        <v>2</v>
      </c>
    </row>
    <row r="569" spans="1:6" x14ac:dyDescent="0.25">
      <c r="A569" s="1">
        <v>42815</v>
      </c>
      <c r="B569" s="2" t="s">
        <v>374</v>
      </c>
      <c r="C569" s="2" t="s">
        <v>375</v>
      </c>
      <c r="D569">
        <v>13</v>
      </c>
      <c r="E569">
        <f>WEEKNUM(makulatura[[#This Row],[Data_dostarczenia]],13)</f>
        <v>12</v>
      </c>
      <c r="F569" s="2">
        <f>WEEKDAY(makulatura[[#This Row],[Data_dostarczenia]],2)</f>
        <v>2</v>
      </c>
    </row>
    <row r="570" spans="1:6" x14ac:dyDescent="0.25">
      <c r="A570" s="1">
        <v>42815</v>
      </c>
      <c r="B570" s="2" t="s">
        <v>206</v>
      </c>
      <c r="C570" s="2" t="s">
        <v>332</v>
      </c>
      <c r="D570">
        <v>8</v>
      </c>
      <c r="E570">
        <f>WEEKNUM(makulatura[[#This Row],[Data_dostarczenia]],13)</f>
        <v>12</v>
      </c>
      <c r="F570" s="2">
        <f>WEEKDAY(makulatura[[#This Row],[Data_dostarczenia]],2)</f>
        <v>2</v>
      </c>
    </row>
    <row r="571" spans="1:6" x14ac:dyDescent="0.25">
      <c r="A571" s="1">
        <v>42815</v>
      </c>
      <c r="B571" s="2" t="s">
        <v>55</v>
      </c>
      <c r="C571" s="2" t="s">
        <v>493</v>
      </c>
      <c r="D571">
        <v>21</v>
      </c>
      <c r="E571">
        <f>WEEKNUM(makulatura[[#This Row],[Data_dostarczenia]],13)</f>
        <v>12</v>
      </c>
      <c r="F571" s="2">
        <f>WEEKDAY(makulatura[[#This Row],[Data_dostarczenia]],2)</f>
        <v>2</v>
      </c>
    </row>
    <row r="572" spans="1:6" x14ac:dyDescent="0.25">
      <c r="A572" s="1">
        <v>42815</v>
      </c>
      <c r="B572" s="2" t="s">
        <v>494</v>
      </c>
      <c r="C572" s="2" t="s">
        <v>495</v>
      </c>
      <c r="D572">
        <v>7</v>
      </c>
      <c r="E572">
        <f>WEEKNUM(makulatura[[#This Row],[Data_dostarczenia]],13)</f>
        <v>12</v>
      </c>
      <c r="F572" s="2">
        <f>WEEKDAY(makulatura[[#This Row],[Data_dostarczenia]],2)</f>
        <v>2</v>
      </c>
    </row>
    <row r="573" spans="1:6" x14ac:dyDescent="0.25">
      <c r="A573" s="1">
        <v>42815</v>
      </c>
      <c r="B573" s="2" t="s">
        <v>97</v>
      </c>
      <c r="C573" s="2" t="s">
        <v>188</v>
      </c>
      <c r="D573">
        <v>13</v>
      </c>
      <c r="E573">
        <f>WEEKNUM(makulatura[[#This Row],[Data_dostarczenia]],13)</f>
        <v>12</v>
      </c>
      <c r="F573" s="2">
        <f>WEEKDAY(makulatura[[#This Row],[Data_dostarczenia]],2)</f>
        <v>2</v>
      </c>
    </row>
    <row r="574" spans="1:6" x14ac:dyDescent="0.25">
      <c r="A574" s="1">
        <v>42815</v>
      </c>
      <c r="B574" s="2" t="s">
        <v>81</v>
      </c>
      <c r="C574" s="2" t="s">
        <v>496</v>
      </c>
      <c r="D574">
        <v>19</v>
      </c>
      <c r="E574">
        <f>WEEKNUM(makulatura[[#This Row],[Data_dostarczenia]],13)</f>
        <v>12</v>
      </c>
      <c r="F574" s="2">
        <f>WEEKDAY(makulatura[[#This Row],[Data_dostarczenia]],2)</f>
        <v>2</v>
      </c>
    </row>
    <row r="575" spans="1:6" x14ac:dyDescent="0.25">
      <c r="A575" s="1">
        <v>42815</v>
      </c>
      <c r="B575" s="2" t="s">
        <v>128</v>
      </c>
      <c r="C575" s="2" t="s">
        <v>309</v>
      </c>
      <c r="D575">
        <v>47</v>
      </c>
      <c r="E575">
        <f>WEEKNUM(makulatura[[#This Row],[Data_dostarczenia]],13)</f>
        <v>12</v>
      </c>
      <c r="F575" s="2">
        <f>WEEKDAY(makulatura[[#This Row],[Data_dostarczenia]],2)</f>
        <v>2</v>
      </c>
    </row>
    <row r="576" spans="1:6" x14ac:dyDescent="0.25">
      <c r="A576" s="1">
        <v>42815</v>
      </c>
      <c r="B576" s="2" t="s">
        <v>355</v>
      </c>
      <c r="C576" s="2" t="s">
        <v>356</v>
      </c>
      <c r="D576">
        <v>15</v>
      </c>
      <c r="E576">
        <f>WEEKNUM(makulatura[[#This Row],[Data_dostarczenia]],13)</f>
        <v>12</v>
      </c>
      <c r="F576" s="2">
        <f>WEEKDAY(makulatura[[#This Row],[Data_dostarczenia]],2)</f>
        <v>2</v>
      </c>
    </row>
    <row r="577" spans="1:6" x14ac:dyDescent="0.25">
      <c r="A577" s="1">
        <v>42815</v>
      </c>
      <c r="B577" s="2" t="s">
        <v>355</v>
      </c>
      <c r="C577" s="2" t="s">
        <v>497</v>
      </c>
      <c r="D577">
        <v>50</v>
      </c>
      <c r="E577">
        <f>WEEKNUM(makulatura[[#This Row],[Data_dostarczenia]],13)</f>
        <v>12</v>
      </c>
      <c r="F577" s="2">
        <f>WEEKDAY(makulatura[[#This Row],[Data_dostarczenia]],2)</f>
        <v>2</v>
      </c>
    </row>
    <row r="578" spans="1:6" x14ac:dyDescent="0.25">
      <c r="A578" s="1">
        <v>42816</v>
      </c>
      <c r="B578" s="2" t="s">
        <v>498</v>
      </c>
      <c r="C578" s="2" t="s">
        <v>110</v>
      </c>
      <c r="D578">
        <v>10</v>
      </c>
      <c r="E578">
        <f>WEEKNUM(makulatura[[#This Row],[Data_dostarczenia]],13)</f>
        <v>13</v>
      </c>
      <c r="F578" s="2">
        <f>WEEKDAY(makulatura[[#This Row],[Data_dostarczenia]],2)</f>
        <v>3</v>
      </c>
    </row>
    <row r="579" spans="1:6" x14ac:dyDescent="0.25">
      <c r="A579" s="1">
        <v>42816</v>
      </c>
      <c r="B579" s="2" t="s">
        <v>267</v>
      </c>
      <c r="C579" s="2" t="s">
        <v>268</v>
      </c>
      <c r="D579">
        <v>21</v>
      </c>
      <c r="E579">
        <f>WEEKNUM(makulatura[[#This Row],[Data_dostarczenia]],13)</f>
        <v>13</v>
      </c>
      <c r="F579" s="2">
        <f>WEEKDAY(makulatura[[#This Row],[Data_dostarczenia]],2)</f>
        <v>3</v>
      </c>
    </row>
    <row r="580" spans="1:6" x14ac:dyDescent="0.25">
      <c r="A580" s="1">
        <v>42816</v>
      </c>
      <c r="B580" s="2" t="s">
        <v>133</v>
      </c>
      <c r="C580" s="2" t="s">
        <v>499</v>
      </c>
      <c r="D580">
        <v>7</v>
      </c>
      <c r="E580">
        <f>WEEKNUM(makulatura[[#This Row],[Data_dostarczenia]],13)</f>
        <v>13</v>
      </c>
      <c r="F580" s="2">
        <f>WEEKDAY(makulatura[[#This Row],[Data_dostarczenia]],2)</f>
        <v>3</v>
      </c>
    </row>
    <row r="581" spans="1:6" x14ac:dyDescent="0.25">
      <c r="A581" s="1">
        <v>42816</v>
      </c>
      <c r="B581" s="2" t="s">
        <v>47</v>
      </c>
      <c r="C581" s="2" t="s">
        <v>334</v>
      </c>
      <c r="D581">
        <v>13</v>
      </c>
      <c r="E581">
        <f>WEEKNUM(makulatura[[#This Row],[Data_dostarczenia]],13)</f>
        <v>13</v>
      </c>
      <c r="F581" s="2">
        <f>WEEKDAY(makulatura[[#This Row],[Data_dostarczenia]],2)</f>
        <v>3</v>
      </c>
    </row>
    <row r="582" spans="1:6" x14ac:dyDescent="0.25">
      <c r="A582" s="1">
        <v>42816</v>
      </c>
      <c r="B582" s="2" t="s">
        <v>18</v>
      </c>
      <c r="C582" s="2" t="s">
        <v>19</v>
      </c>
      <c r="D582">
        <v>27</v>
      </c>
      <c r="E582">
        <f>WEEKNUM(makulatura[[#This Row],[Data_dostarczenia]],13)</f>
        <v>13</v>
      </c>
      <c r="F582" s="2">
        <f>WEEKDAY(makulatura[[#This Row],[Data_dostarczenia]],2)</f>
        <v>3</v>
      </c>
    </row>
    <row r="583" spans="1:6" x14ac:dyDescent="0.25">
      <c r="A583" s="1">
        <v>42816</v>
      </c>
      <c r="B583" s="2" t="s">
        <v>75</v>
      </c>
      <c r="C583" s="2" t="s">
        <v>500</v>
      </c>
      <c r="D583">
        <v>23</v>
      </c>
      <c r="E583">
        <f>WEEKNUM(makulatura[[#This Row],[Data_dostarczenia]],13)</f>
        <v>13</v>
      </c>
      <c r="F583" s="2">
        <f>WEEKDAY(makulatura[[#This Row],[Data_dostarczenia]],2)</f>
        <v>3</v>
      </c>
    </row>
    <row r="584" spans="1:6" x14ac:dyDescent="0.25">
      <c r="A584" s="1">
        <v>42816</v>
      </c>
      <c r="B584" s="2" t="s">
        <v>18</v>
      </c>
      <c r="C584" s="2" t="s">
        <v>19</v>
      </c>
      <c r="D584">
        <v>18</v>
      </c>
      <c r="E584">
        <f>WEEKNUM(makulatura[[#This Row],[Data_dostarczenia]],13)</f>
        <v>13</v>
      </c>
      <c r="F584" s="2">
        <f>WEEKDAY(makulatura[[#This Row],[Data_dostarczenia]],2)</f>
        <v>3</v>
      </c>
    </row>
    <row r="585" spans="1:6" x14ac:dyDescent="0.25">
      <c r="A585" s="1">
        <v>42816</v>
      </c>
      <c r="B585" s="2" t="s">
        <v>178</v>
      </c>
      <c r="C585" s="2" t="s">
        <v>376</v>
      </c>
      <c r="D585">
        <v>16</v>
      </c>
      <c r="E585">
        <f>WEEKNUM(makulatura[[#This Row],[Data_dostarczenia]],13)</f>
        <v>13</v>
      </c>
      <c r="F585" s="2">
        <f>WEEKDAY(makulatura[[#This Row],[Data_dostarczenia]],2)</f>
        <v>3</v>
      </c>
    </row>
    <row r="586" spans="1:6" x14ac:dyDescent="0.25">
      <c r="A586" s="1">
        <v>42816</v>
      </c>
      <c r="B586" s="2" t="s">
        <v>83</v>
      </c>
      <c r="C586" s="2" t="s">
        <v>350</v>
      </c>
      <c r="D586">
        <v>21</v>
      </c>
      <c r="E586">
        <f>WEEKNUM(makulatura[[#This Row],[Data_dostarczenia]],13)</f>
        <v>13</v>
      </c>
      <c r="F586" s="2">
        <f>WEEKDAY(makulatura[[#This Row],[Data_dostarczenia]],2)</f>
        <v>3</v>
      </c>
    </row>
    <row r="587" spans="1:6" x14ac:dyDescent="0.25">
      <c r="A587" s="1">
        <v>42816</v>
      </c>
      <c r="B587" s="2" t="s">
        <v>393</v>
      </c>
      <c r="C587" s="2" t="s">
        <v>419</v>
      </c>
      <c r="D587">
        <v>17</v>
      </c>
      <c r="E587">
        <f>WEEKNUM(makulatura[[#This Row],[Data_dostarczenia]],13)</f>
        <v>13</v>
      </c>
      <c r="F587" s="2">
        <f>WEEKDAY(makulatura[[#This Row],[Data_dostarczenia]],2)</f>
        <v>3</v>
      </c>
    </row>
    <row r="588" spans="1:6" x14ac:dyDescent="0.25">
      <c r="A588" s="1">
        <v>42817</v>
      </c>
      <c r="B588" s="2" t="s">
        <v>30</v>
      </c>
      <c r="C588" s="2" t="s">
        <v>89</v>
      </c>
      <c r="D588">
        <v>21</v>
      </c>
      <c r="E588">
        <f>WEEKNUM(makulatura[[#This Row],[Data_dostarczenia]],13)</f>
        <v>13</v>
      </c>
      <c r="F588" s="2">
        <f>WEEKDAY(makulatura[[#This Row],[Data_dostarczenia]],2)</f>
        <v>4</v>
      </c>
    </row>
    <row r="589" spans="1:6" x14ac:dyDescent="0.25">
      <c r="A589" s="1">
        <v>42817</v>
      </c>
      <c r="B589" s="2" t="s">
        <v>343</v>
      </c>
      <c r="C589" s="2" t="s">
        <v>501</v>
      </c>
      <c r="D589">
        <v>19</v>
      </c>
      <c r="E589">
        <f>WEEKNUM(makulatura[[#This Row],[Data_dostarczenia]],13)</f>
        <v>13</v>
      </c>
      <c r="F589" s="2">
        <f>WEEKDAY(makulatura[[#This Row],[Data_dostarczenia]],2)</f>
        <v>4</v>
      </c>
    </row>
    <row r="590" spans="1:6" x14ac:dyDescent="0.25">
      <c r="A590" s="1">
        <v>42817</v>
      </c>
      <c r="B590" s="2" t="s">
        <v>393</v>
      </c>
      <c r="C590" s="2" t="s">
        <v>398</v>
      </c>
      <c r="D590">
        <v>24</v>
      </c>
      <c r="E590">
        <f>WEEKNUM(makulatura[[#This Row],[Data_dostarczenia]],13)</f>
        <v>13</v>
      </c>
      <c r="F590" s="2">
        <f>WEEKDAY(makulatura[[#This Row],[Data_dostarczenia]],2)</f>
        <v>4</v>
      </c>
    </row>
    <row r="591" spans="1:6" x14ac:dyDescent="0.25">
      <c r="A591" s="1">
        <v>42817</v>
      </c>
      <c r="B591" s="2" t="s">
        <v>442</v>
      </c>
      <c r="C591" s="2" t="s">
        <v>502</v>
      </c>
      <c r="D591">
        <v>16</v>
      </c>
      <c r="E591">
        <f>WEEKNUM(makulatura[[#This Row],[Data_dostarczenia]],13)</f>
        <v>13</v>
      </c>
      <c r="F591" s="2">
        <f>WEEKDAY(makulatura[[#This Row],[Data_dostarczenia]],2)</f>
        <v>4</v>
      </c>
    </row>
    <row r="592" spans="1:6" x14ac:dyDescent="0.25">
      <c r="A592" s="1">
        <v>42817</v>
      </c>
      <c r="B592" s="2" t="s">
        <v>503</v>
      </c>
      <c r="C592" s="2" t="s">
        <v>183</v>
      </c>
      <c r="D592">
        <v>8</v>
      </c>
      <c r="E592">
        <f>WEEKNUM(makulatura[[#This Row],[Data_dostarczenia]],13)</f>
        <v>13</v>
      </c>
      <c r="F592" s="2">
        <f>WEEKDAY(makulatura[[#This Row],[Data_dostarczenia]],2)</f>
        <v>4</v>
      </c>
    </row>
    <row r="593" spans="1:6" x14ac:dyDescent="0.25">
      <c r="A593" s="1">
        <v>42817</v>
      </c>
      <c r="B593" s="2" t="s">
        <v>232</v>
      </c>
      <c r="C593" s="2" t="s">
        <v>233</v>
      </c>
      <c r="D593">
        <v>27</v>
      </c>
      <c r="E593">
        <f>WEEKNUM(makulatura[[#This Row],[Data_dostarczenia]],13)</f>
        <v>13</v>
      </c>
      <c r="F593" s="2">
        <f>WEEKDAY(makulatura[[#This Row],[Data_dostarczenia]],2)</f>
        <v>4</v>
      </c>
    </row>
    <row r="594" spans="1:6" x14ac:dyDescent="0.25">
      <c r="A594" s="1">
        <v>42817</v>
      </c>
      <c r="B594" s="2" t="s">
        <v>393</v>
      </c>
      <c r="C594" s="2" t="s">
        <v>394</v>
      </c>
      <c r="D594">
        <v>25</v>
      </c>
      <c r="E594">
        <f>WEEKNUM(makulatura[[#This Row],[Data_dostarczenia]],13)</f>
        <v>13</v>
      </c>
      <c r="F594" s="2">
        <f>WEEKDAY(makulatura[[#This Row],[Data_dostarczenia]],2)</f>
        <v>4</v>
      </c>
    </row>
    <row r="595" spans="1:6" x14ac:dyDescent="0.25">
      <c r="A595" s="1">
        <v>42817</v>
      </c>
      <c r="B595" s="2" t="s">
        <v>36</v>
      </c>
      <c r="C595" s="2" t="s">
        <v>295</v>
      </c>
      <c r="D595">
        <v>10</v>
      </c>
      <c r="E595">
        <f>WEEKNUM(makulatura[[#This Row],[Data_dostarczenia]],13)</f>
        <v>13</v>
      </c>
      <c r="F595" s="2">
        <f>WEEKDAY(makulatura[[#This Row],[Data_dostarczenia]],2)</f>
        <v>4</v>
      </c>
    </row>
    <row r="596" spans="1:6" x14ac:dyDescent="0.25">
      <c r="A596" s="1">
        <v>42817</v>
      </c>
      <c r="B596" s="2" t="s">
        <v>10</v>
      </c>
      <c r="C596" s="2" t="s">
        <v>504</v>
      </c>
      <c r="D596">
        <v>11</v>
      </c>
      <c r="E596">
        <f>WEEKNUM(makulatura[[#This Row],[Data_dostarczenia]],13)</f>
        <v>13</v>
      </c>
      <c r="F596" s="2">
        <f>WEEKDAY(makulatura[[#This Row],[Data_dostarczenia]],2)</f>
        <v>4</v>
      </c>
    </row>
    <row r="597" spans="1:6" x14ac:dyDescent="0.25">
      <c r="A597" s="1">
        <v>42817</v>
      </c>
      <c r="B597" s="2" t="s">
        <v>310</v>
      </c>
      <c r="C597" s="2" t="s">
        <v>505</v>
      </c>
      <c r="D597">
        <v>3</v>
      </c>
      <c r="E597">
        <f>WEEKNUM(makulatura[[#This Row],[Data_dostarczenia]],13)</f>
        <v>13</v>
      </c>
      <c r="F597" s="2">
        <f>WEEKDAY(makulatura[[#This Row],[Data_dostarczenia]],2)</f>
        <v>4</v>
      </c>
    </row>
    <row r="598" spans="1:6" x14ac:dyDescent="0.25">
      <c r="A598" s="1">
        <v>42818</v>
      </c>
      <c r="B598" s="2" t="s">
        <v>4</v>
      </c>
      <c r="C598" s="2" t="s">
        <v>489</v>
      </c>
      <c r="D598">
        <v>15</v>
      </c>
      <c r="E598">
        <f>WEEKNUM(makulatura[[#This Row],[Data_dostarczenia]],13)</f>
        <v>13</v>
      </c>
      <c r="F598" s="2">
        <f>WEEKDAY(makulatura[[#This Row],[Data_dostarczenia]],2)</f>
        <v>5</v>
      </c>
    </row>
    <row r="599" spans="1:6" x14ac:dyDescent="0.25">
      <c r="A599" s="1">
        <v>42818</v>
      </c>
      <c r="B599" s="2" t="s">
        <v>87</v>
      </c>
      <c r="C599" s="2" t="s">
        <v>124</v>
      </c>
      <c r="D599">
        <v>14</v>
      </c>
      <c r="E599">
        <f>WEEKNUM(makulatura[[#This Row],[Data_dostarczenia]],13)</f>
        <v>13</v>
      </c>
      <c r="F599" s="2">
        <f>WEEKDAY(makulatura[[#This Row],[Data_dostarczenia]],2)</f>
        <v>5</v>
      </c>
    </row>
    <row r="600" spans="1:6" x14ac:dyDescent="0.25">
      <c r="A600" s="1">
        <v>42818</v>
      </c>
      <c r="B600" s="2" t="s">
        <v>55</v>
      </c>
      <c r="C600" s="2" t="s">
        <v>506</v>
      </c>
      <c r="D600">
        <v>37</v>
      </c>
      <c r="E600">
        <f>WEEKNUM(makulatura[[#This Row],[Data_dostarczenia]],13)</f>
        <v>13</v>
      </c>
      <c r="F600" s="2">
        <f>WEEKDAY(makulatura[[#This Row],[Data_dostarczenia]],2)</f>
        <v>5</v>
      </c>
    </row>
    <row r="601" spans="1:6" x14ac:dyDescent="0.25">
      <c r="A601" s="1">
        <v>42818</v>
      </c>
      <c r="B601" s="2" t="s">
        <v>43</v>
      </c>
      <c r="C601" s="2" t="s">
        <v>507</v>
      </c>
      <c r="D601">
        <v>22</v>
      </c>
      <c r="E601">
        <f>WEEKNUM(makulatura[[#This Row],[Data_dostarczenia]],13)</f>
        <v>13</v>
      </c>
      <c r="F601" s="2">
        <f>WEEKDAY(makulatura[[#This Row],[Data_dostarczenia]],2)</f>
        <v>5</v>
      </c>
    </row>
    <row r="602" spans="1:6" x14ac:dyDescent="0.25">
      <c r="A602" s="1">
        <v>42818</v>
      </c>
      <c r="B602" s="2" t="s">
        <v>67</v>
      </c>
      <c r="C602" s="2" t="s">
        <v>301</v>
      </c>
      <c r="D602">
        <v>5</v>
      </c>
      <c r="E602">
        <f>WEEKNUM(makulatura[[#This Row],[Data_dostarczenia]],13)</f>
        <v>13</v>
      </c>
      <c r="F602" s="2">
        <f>WEEKDAY(makulatura[[#This Row],[Data_dostarczenia]],2)</f>
        <v>5</v>
      </c>
    </row>
    <row r="603" spans="1:6" x14ac:dyDescent="0.25">
      <c r="A603" s="1">
        <v>42818</v>
      </c>
      <c r="B603" s="2" t="s">
        <v>30</v>
      </c>
      <c r="C603" s="2" t="s">
        <v>227</v>
      </c>
      <c r="D603">
        <v>29</v>
      </c>
      <c r="E603">
        <f>WEEKNUM(makulatura[[#This Row],[Data_dostarczenia]],13)</f>
        <v>13</v>
      </c>
      <c r="F603" s="2">
        <f>WEEKDAY(makulatura[[#This Row],[Data_dostarczenia]],2)</f>
        <v>5</v>
      </c>
    </row>
    <row r="604" spans="1:6" x14ac:dyDescent="0.25">
      <c r="A604" s="1">
        <v>42818</v>
      </c>
      <c r="B604" s="2" t="s">
        <v>32</v>
      </c>
      <c r="C604" s="2" t="s">
        <v>33</v>
      </c>
      <c r="D604">
        <v>25</v>
      </c>
      <c r="E604">
        <f>WEEKNUM(makulatura[[#This Row],[Data_dostarczenia]],13)</f>
        <v>13</v>
      </c>
      <c r="F604" s="2">
        <f>WEEKDAY(makulatura[[#This Row],[Data_dostarczenia]],2)</f>
        <v>5</v>
      </c>
    </row>
    <row r="605" spans="1:6" x14ac:dyDescent="0.25">
      <c r="A605" s="1">
        <v>42818</v>
      </c>
      <c r="B605" s="2" t="s">
        <v>101</v>
      </c>
      <c r="C605" s="2" t="s">
        <v>223</v>
      </c>
      <c r="D605">
        <v>52</v>
      </c>
      <c r="E605">
        <f>WEEKNUM(makulatura[[#This Row],[Data_dostarczenia]],13)</f>
        <v>13</v>
      </c>
      <c r="F605" s="2">
        <f>WEEKDAY(makulatura[[#This Row],[Data_dostarczenia]],2)</f>
        <v>5</v>
      </c>
    </row>
    <row r="606" spans="1:6" x14ac:dyDescent="0.25">
      <c r="A606" s="1">
        <v>42818</v>
      </c>
      <c r="B606" s="2" t="s">
        <v>508</v>
      </c>
      <c r="C606" s="2" t="s">
        <v>509</v>
      </c>
      <c r="D606">
        <v>2</v>
      </c>
      <c r="E606">
        <f>WEEKNUM(makulatura[[#This Row],[Data_dostarczenia]],13)</f>
        <v>13</v>
      </c>
      <c r="F606" s="2">
        <f>WEEKDAY(makulatura[[#This Row],[Data_dostarczenia]],2)</f>
        <v>5</v>
      </c>
    </row>
    <row r="607" spans="1:6" x14ac:dyDescent="0.25">
      <c r="A607" s="1">
        <v>42818</v>
      </c>
      <c r="B607" s="2" t="s">
        <v>75</v>
      </c>
      <c r="C607" s="2" t="s">
        <v>76</v>
      </c>
      <c r="D607">
        <v>27</v>
      </c>
      <c r="E607">
        <f>WEEKNUM(makulatura[[#This Row],[Data_dostarczenia]],13)</f>
        <v>13</v>
      </c>
      <c r="F607" s="2">
        <f>WEEKDAY(makulatura[[#This Row],[Data_dostarczenia]],2)</f>
        <v>5</v>
      </c>
    </row>
    <row r="608" spans="1:6" x14ac:dyDescent="0.25">
      <c r="A608" s="1">
        <v>42821</v>
      </c>
      <c r="B608" s="2" t="s">
        <v>121</v>
      </c>
      <c r="C608" s="2" t="s">
        <v>122</v>
      </c>
      <c r="D608">
        <v>43</v>
      </c>
      <c r="E608">
        <f>WEEKNUM(makulatura[[#This Row],[Data_dostarczenia]],13)</f>
        <v>13</v>
      </c>
      <c r="F608" s="2">
        <f>WEEKDAY(makulatura[[#This Row],[Data_dostarczenia]],2)</f>
        <v>1</v>
      </c>
    </row>
    <row r="609" spans="1:6" x14ac:dyDescent="0.25">
      <c r="A609" s="1">
        <v>42821</v>
      </c>
      <c r="B609" s="2" t="s">
        <v>169</v>
      </c>
      <c r="C609" s="2" t="s">
        <v>170</v>
      </c>
      <c r="D609">
        <v>23</v>
      </c>
      <c r="E609">
        <f>WEEKNUM(makulatura[[#This Row],[Data_dostarczenia]],13)</f>
        <v>13</v>
      </c>
      <c r="F609" s="2">
        <f>WEEKDAY(makulatura[[#This Row],[Data_dostarczenia]],2)</f>
        <v>1</v>
      </c>
    </row>
    <row r="610" spans="1:6" x14ac:dyDescent="0.25">
      <c r="A610" s="1">
        <v>42821</v>
      </c>
      <c r="B610" s="2" t="s">
        <v>361</v>
      </c>
      <c r="C610" s="2" t="s">
        <v>362</v>
      </c>
      <c r="D610">
        <v>19</v>
      </c>
      <c r="E610">
        <f>WEEKNUM(makulatura[[#This Row],[Data_dostarczenia]],13)</f>
        <v>13</v>
      </c>
      <c r="F610" s="2">
        <f>WEEKDAY(makulatura[[#This Row],[Data_dostarczenia]],2)</f>
        <v>1</v>
      </c>
    </row>
    <row r="611" spans="1:6" x14ac:dyDescent="0.25">
      <c r="A611" s="1">
        <v>42821</v>
      </c>
      <c r="B611" s="2" t="s">
        <v>16</v>
      </c>
      <c r="C611" s="2" t="s">
        <v>440</v>
      </c>
      <c r="D611">
        <v>36</v>
      </c>
      <c r="E611">
        <f>WEEKNUM(makulatura[[#This Row],[Data_dostarczenia]],13)</f>
        <v>13</v>
      </c>
      <c r="F611" s="2">
        <f>WEEKDAY(makulatura[[#This Row],[Data_dostarczenia]],2)</f>
        <v>1</v>
      </c>
    </row>
    <row r="612" spans="1:6" x14ac:dyDescent="0.25">
      <c r="A612" s="1">
        <v>42821</v>
      </c>
      <c r="B612" s="2" t="s">
        <v>57</v>
      </c>
      <c r="C612" s="2" t="s">
        <v>418</v>
      </c>
      <c r="D612">
        <v>26</v>
      </c>
      <c r="E612">
        <f>WEEKNUM(makulatura[[#This Row],[Data_dostarczenia]],13)</f>
        <v>13</v>
      </c>
      <c r="F612" s="2">
        <f>WEEKDAY(makulatura[[#This Row],[Data_dostarczenia]],2)</f>
        <v>1</v>
      </c>
    </row>
    <row r="613" spans="1:6" x14ac:dyDescent="0.25">
      <c r="A613" s="1">
        <v>42821</v>
      </c>
      <c r="B613" s="2" t="s">
        <v>143</v>
      </c>
      <c r="C613" s="2" t="s">
        <v>510</v>
      </c>
      <c r="D613">
        <v>24</v>
      </c>
      <c r="E613">
        <f>WEEKNUM(makulatura[[#This Row],[Data_dostarczenia]],13)</f>
        <v>13</v>
      </c>
      <c r="F613" s="2">
        <f>WEEKDAY(makulatura[[#This Row],[Data_dostarczenia]],2)</f>
        <v>1</v>
      </c>
    </row>
    <row r="614" spans="1:6" x14ac:dyDescent="0.25">
      <c r="A614" s="1">
        <v>42821</v>
      </c>
      <c r="B614" s="2" t="s">
        <v>119</v>
      </c>
      <c r="C614" s="2" t="s">
        <v>380</v>
      </c>
      <c r="D614">
        <v>5</v>
      </c>
      <c r="E614">
        <f>WEEKNUM(makulatura[[#This Row],[Data_dostarczenia]],13)</f>
        <v>13</v>
      </c>
      <c r="F614" s="2">
        <f>WEEKDAY(makulatura[[#This Row],[Data_dostarczenia]],2)</f>
        <v>1</v>
      </c>
    </row>
    <row r="615" spans="1:6" x14ac:dyDescent="0.25">
      <c r="A615" s="1">
        <v>42821</v>
      </c>
      <c r="B615" s="2" t="s">
        <v>39</v>
      </c>
      <c r="C615" s="2" t="s">
        <v>391</v>
      </c>
      <c r="D615">
        <v>53</v>
      </c>
      <c r="E615">
        <f>WEEKNUM(makulatura[[#This Row],[Data_dostarczenia]],13)</f>
        <v>13</v>
      </c>
      <c r="F615" s="2">
        <f>WEEKDAY(makulatura[[#This Row],[Data_dostarczenia]],2)</f>
        <v>1</v>
      </c>
    </row>
    <row r="616" spans="1:6" x14ac:dyDescent="0.25">
      <c r="A616" s="1">
        <v>42821</v>
      </c>
      <c r="B616" s="2" t="s">
        <v>10</v>
      </c>
      <c r="C616" s="2" t="s">
        <v>504</v>
      </c>
      <c r="D616">
        <v>18</v>
      </c>
      <c r="E616">
        <f>WEEKNUM(makulatura[[#This Row],[Data_dostarczenia]],13)</f>
        <v>13</v>
      </c>
      <c r="F616" s="2">
        <f>WEEKDAY(makulatura[[#This Row],[Data_dostarczenia]],2)</f>
        <v>1</v>
      </c>
    </row>
    <row r="617" spans="1:6" x14ac:dyDescent="0.25">
      <c r="A617" s="1">
        <v>42821</v>
      </c>
      <c r="B617" s="2" t="s">
        <v>36</v>
      </c>
      <c r="C617" s="2" t="s">
        <v>490</v>
      </c>
      <c r="D617">
        <v>15</v>
      </c>
      <c r="E617">
        <f>WEEKNUM(makulatura[[#This Row],[Data_dostarczenia]],13)</f>
        <v>13</v>
      </c>
      <c r="F617" s="2">
        <f>WEEKDAY(makulatura[[#This Row],[Data_dostarczenia]],2)</f>
        <v>1</v>
      </c>
    </row>
    <row r="618" spans="1:6" x14ac:dyDescent="0.25">
      <c r="A618" s="1">
        <v>42822</v>
      </c>
      <c r="B618" s="2" t="s">
        <v>152</v>
      </c>
      <c r="C618" s="2" t="s">
        <v>511</v>
      </c>
      <c r="D618">
        <v>20</v>
      </c>
      <c r="E618">
        <f>WEEKNUM(makulatura[[#This Row],[Data_dostarczenia]],13)</f>
        <v>13</v>
      </c>
      <c r="F618" s="2">
        <f>WEEKDAY(makulatura[[#This Row],[Data_dostarczenia]],2)</f>
        <v>2</v>
      </c>
    </row>
    <row r="619" spans="1:6" x14ac:dyDescent="0.25">
      <c r="A619" s="1">
        <v>42822</v>
      </c>
      <c r="B619" s="2" t="s">
        <v>141</v>
      </c>
      <c r="C619" s="2" t="s">
        <v>512</v>
      </c>
      <c r="D619">
        <v>34</v>
      </c>
      <c r="E619">
        <f>WEEKNUM(makulatura[[#This Row],[Data_dostarczenia]],13)</f>
        <v>13</v>
      </c>
      <c r="F619" s="2">
        <f>WEEKDAY(makulatura[[#This Row],[Data_dostarczenia]],2)</f>
        <v>2</v>
      </c>
    </row>
    <row r="620" spans="1:6" x14ac:dyDescent="0.25">
      <c r="A620" s="1">
        <v>42822</v>
      </c>
      <c r="B620" s="2" t="s">
        <v>63</v>
      </c>
      <c r="C620" s="2" t="s">
        <v>64</v>
      </c>
      <c r="D620">
        <v>35</v>
      </c>
      <c r="E620">
        <f>WEEKNUM(makulatura[[#This Row],[Data_dostarczenia]],13)</f>
        <v>13</v>
      </c>
      <c r="F620" s="2">
        <f>WEEKDAY(makulatura[[#This Row],[Data_dostarczenia]],2)</f>
        <v>2</v>
      </c>
    </row>
    <row r="621" spans="1:6" x14ac:dyDescent="0.25">
      <c r="A621" s="1">
        <v>42822</v>
      </c>
      <c r="B621" s="2" t="s">
        <v>83</v>
      </c>
      <c r="C621" s="2" t="s">
        <v>513</v>
      </c>
      <c r="D621">
        <v>29</v>
      </c>
      <c r="E621">
        <f>WEEKNUM(makulatura[[#This Row],[Data_dostarczenia]],13)</f>
        <v>13</v>
      </c>
      <c r="F621" s="2">
        <f>WEEKDAY(makulatura[[#This Row],[Data_dostarczenia]],2)</f>
        <v>2</v>
      </c>
    </row>
    <row r="622" spans="1:6" x14ac:dyDescent="0.25">
      <c r="A622" s="1">
        <v>42822</v>
      </c>
      <c r="B622" s="2" t="s">
        <v>442</v>
      </c>
      <c r="C622" s="2" t="s">
        <v>502</v>
      </c>
      <c r="D622">
        <v>7</v>
      </c>
      <c r="E622">
        <f>WEEKNUM(makulatura[[#This Row],[Data_dostarczenia]],13)</f>
        <v>13</v>
      </c>
      <c r="F622" s="2">
        <f>WEEKDAY(makulatura[[#This Row],[Data_dostarczenia]],2)</f>
        <v>2</v>
      </c>
    </row>
    <row r="623" spans="1:6" x14ac:dyDescent="0.25">
      <c r="A623" s="1">
        <v>42822</v>
      </c>
      <c r="B623" s="2" t="s">
        <v>41</v>
      </c>
      <c r="C623" s="2" t="s">
        <v>238</v>
      </c>
      <c r="D623">
        <v>10</v>
      </c>
      <c r="E623">
        <f>WEEKNUM(makulatura[[#This Row],[Data_dostarczenia]],13)</f>
        <v>13</v>
      </c>
      <c r="F623" s="2">
        <f>WEEKDAY(makulatura[[#This Row],[Data_dostarczenia]],2)</f>
        <v>2</v>
      </c>
    </row>
    <row r="624" spans="1:6" x14ac:dyDescent="0.25">
      <c r="A624" s="1">
        <v>42822</v>
      </c>
      <c r="B624" s="2" t="s">
        <v>514</v>
      </c>
      <c r="C624" s="2" t="s">
        <v>515</v>
      </c>
      <c r="D624">
        <v>14</v>
      </c>
      <c r="E624">
        <f>WEEKNUM(makulatura[[#This Row],[Data_dostarczenia]],13)</f>
        <v>13</v>
      </c>
      <c r="F624" s="2">
        <f>WEEKDAY(makulatura[[#This Row],[Data_dostarczenia]],2)</f>
        <v>2</v>
      </c>
    </row>
    <row r="625" spans="1:6" x14ac:dyDescent="0.25">
      <c r="A625" s="1">
        <v>42822</v>
      </c>
      <c r="B625" s="2" t="s">
        <v>234</v>
      </c>
      <c r="C625" s="2" t="s">
        <v>516</v>
      </c>
      <c r="D625">
        <v>23</v>
      </c>
      <c r="E625">
        <f>WEEKNUM(makulatura[[#This Row],[Data_dostarczenia]],13)</f>
        <v>13</v>
      </c>
      <c r="F625" s="2">
        <f>WEEKDAY(makulatura[[#This Row],[Data_dostarczenia]],2)</f>
        <v>2</v>
      </c>
    </row>
    <row r="626" spans="1:6" x14ac:dyDescent="0.25">
      <c r="A626" s="1">
        <v>42822</v>
      </c>
      <c r="B626" s="2" t="s">
        <v>232</v>
      </c>
      <c r="C626" s="2" t="s">
        <v>487</v>
      </c>
      <c r="D626">
        <v>26</v>
      </c>
      <c r="E626">
        <f>WEEKNUM(makulatura[[#This Row],[Data_dostarczenia]],13)</f>
        <v>13</v>
      </c>
      <c r="F626" s="2">
        <f>WEEKDAY(makulatura[[#This Row],[Data_dostarczenia]],2)</f>
        <v>2</v>
      </c>
    </row>
    <row r="627" spans="1:6" x14ac:dyDescent="0.25">
      <c r="A627" s="1">
        <v>42822</v>
      </c>
      <c r="B627" s="2" t="s">
        <v>280</v>
      </c>
      <c r="C627" s="2" t="s">
        <v>281</v>
      </c>
      <c r="D627">
        <v>2</v>
      </c>
      <c r="E627">
        <f>WEEKNUM(makulatura[[#This Row],[Data_dostarczenia]],13)</f>
        <v>13</v>
      </c>
      <c r="F627" s="2">
        <f>WEEKDAY(makulatura[[#This Row],[Data_dostarczenia]],2)</f>
        <v>2</v>
      </c>
    </row>
    <row r="628" spans="1:6" x14ac:dyDescent="0.25">
      <c r="A628" s="1">
        <v>42823</v>
      </c>
      <c r="B628" s="2" t="s">
        <v>119</v>
      </c>
      <c r="C628" s="2" t="s">
        <v>319</v>
      </c>
      <c r="D628">
        <v>36</v>
      </c>
      <c r="E628">
        <f>WEEKNUM(makulatura[[#This Row],[Data_dostarczenia]],13)</f>
        <v>14</v>
      </c>
      <c r="F628" s="2">
        <f>WEEKDAY(makulatura[[#This Row],[Data_dostarczenia]],2)</f>
        <v>3</v>
      </c>
    </row>
    <row r="629" spans="1:6" x14ac:dyDescent="0.25">
      <c r="A629" s="1">
        <v>42823</v>
      </c>
      <c r="B629" s="2" t="s">
        <v>119</v>
      </c>
      <c r="C629" s="2" t="s">
        <v>517</v>
      </c>
      <c r="D629">
        <v>18</v>
      </c>
      <c r="E629">
        <f>WEEKNUM(makulatura[[#This Row],[Data_dostarczenia]],13)</f>
        <v>14</v>
      </c>
      <c r="F629" s="2">
        <f>WEEKDAY(makulatura[[#This Row],[Data_dostarczenia]],2)</f>
        <v>3</v>
      </c>
    </row>
    <row r="630" spans="1:6" x14ac:dyDescent="0.25">
      <c r="A630" s="1">
        <v>42823</v>
      </c>
      <c r="B630" s="2" t="s">
        <v>83</v>
      </c>
      <c r="C630" s="2" t="s">
        <v>518</v>
      </c>
      <c r="D630">
        <v>23</v>
      </c>
      <c r="E630">
        <f>WEEKNUM(makulatura[[#This Row],[Data_dostarczenia]],13)</f>
        <v>14</v>
      </c>
      <c r="F630" s="2">
        <f>WEEKDAY(makulatura[[#This Row],[Data_dostarczenia]],2)</f>
        <v>3</v>
      </c>
    </row>
    <row r="631" spans="1:6" x14ac:dyDescent="0.25">
      <c r="A631" s="1">
        <v>42823</v>
      </c>
      <c r="B631" s="2" t="s">
        <v>143</v>
      </c>
      <c r="C631" s="2" t="s">
        <v>510</v>
      </c>
      <c r="D631">
        <v>20</v>
      </c>
      <c r="E631">
        <f>WEEKNUM(makulatura[[#This Row],[Data_dostarczenia]],13)</f>
        <v>14</v>
      </c>
      <c r="F631" s="2">
        <f>WEEKDAY(makulatura[[#This Row],[Data_dostarczenia]],2)</f>
        <v>3</v>
      </c>
    </row>
    <row r="632" spans="1:6" x14ac:dyDescent="0.25">
      <c r="A632" s="1">
        <v>42823</v>
      </c>
      <c r="B632" s="2" t="s">
        <v>193</v>
      </c>
      <c r="C632" s="2" t="s">
        <v>369</v>
      </c>
      <c r="D632">
        <v>16</v>
      </c>
      <c r="E632">
        <f>WEEKNUM(makulatura[[#This Row],[Data_dostarczenia]],13)</f>
        <v>14</v>
      </c>
      <c r="F632" s="2">
        <f>WEEKDAY(makulatura[[#This Row],[Data_dostarczenia]],2)</f>
        <v>3</v>
      </c>
    </row>
    <row r="633" spans="1:6" x14ac:dyDescent="0.25">
      <c r="A633" s="1">
        <v>42823</v>
      </c>
      <c r="B633" s="2" t="s">
        <v>519</v>
      </c>
      <c r="C633" s="2" t="s">
        <v>520</v>
      </c>
      <c r="D633">
        <v>7</v>
      </c>
      <c r="E633">
        <f>WEEKNUM(makulatura[[#This Row],[Data_dostarczenia]],13)</f>
        <v>14</v>
      </c>
      <c r="F633" s="2">
        <f>WEEKDAY(makulatura[[#This Row],[Data_dostarczenia]],2)</f>
        <v>3</v>
      </c>
    </row>
    <row r="634" spans="1:6" x14ac:dyDescent="0.25">
      <c r="A634" s="1">
        <v>42823</v>
      </c>
      <c r="B634" s="2" t="s">
        <v>521</v>
      </c>
      <c r="C634" s="2" t="s">
        <v>410</v>
      </c>
      <c r="D634">
        <v>47</v>
      </c>
      <c r="E634">
        <f>WEEKNUM(makulatura[[#This Row],[Data_dostarczenia]],13)</f>
        <v>14</v>
      </c>
      <c r="F634" s="2">
        <f>WEEKDAY(makulatura[[#This Row],[Data_dostarczenia]],2)</f>
        <v>3</v>
      </c>
    </row>
    <row r="635" spans="1:6" x14ac:dyDescent="0.25">
      <c r="A635" s="1">
        <v>42823</v>
      </c>
      <c r="B635" s="2" t="s">
        <v>314</v>
      </c>
      <c r="C635" s="2" t="s">
        <v>366</v>
      </c>
      <c r="D635">
        <v>9</v>
      </c>
      <c r="E635">
        <f>WEEKNUM(makulatura[[#This Row],[Data_dostarczenia]],13)</f>
        <v>14</v>
      </c>
      <c r="F635" s="2">
        <f>WEEKDAY(makulatura[[#This Row],[Data_dostarczenia]],2)</f>
        <v>3</v>
      </c>
    </row>
    <row r="636" spans="1:6" x14ac:dyDescent="0.25">
      <c r="A636" s="1">
        <v>42823</v>
      </c>
      <c r="B636" s="2" t="s">
        <v>51</v>
      </c>
      <c r="C636" s="2" t="s">
        <v>522</v>
      </c>
      <c r="D636">
        <v>11</v>
      </c>
      <c r="E636">
        <f>WEEKNUM(makulatura[[#This Row],[Data_dostarczenia]],13)</f>
        <v>14</v>
      </c>
      <c r="F636" s="2">
        <f>WEEKDAY(makulatura[[#This Row],[Data_dostarczenia]],2)</f>
        <v>3</v>
      </c>
    </row>
    <row r="637" spans="1:6" x14ac:dyDescent="0.25">
      <c r="A637" s="1">
        <v>42823</v>
      </c>
      <c r="B637" s="2" t="s">
        <v>523</v>
      </c>
      <c r="C637" s="2" t="s">
        <v>524</v>
      </c>
      <c r="D637">
        <v>12</v>
      </c>
      <c r="E637">
        <f>WEEKNUM(makulatura[[#This Row],[Data_dostarczenia]],13)</f>
        <v>14</v>
      </c>
      <c r="F637" s="2">
        <f>WEEKDAY(makulatura[[#This Row],[Data_dostarczenia]],2)</f>
        <v>3</v>
      </c>
    </row>
    <row r="638" spans="1:6" x14ac:dyDescent="0.25">
      <c r="A638" s="1">
        <v>42824</v>
      </c>
      <c r="B638" s="2" t="s">
        <v>144</v>
      </c>
      <c r="C638" s="2" t="s">
        <v>525</v>
      </c>
      <c r="D638">
        <v>2</v>
      </c>
      <c r="E638">
        <f>WEEKNUM(makulatura[[#This Row],[Data_dostarczenia]],13)</f>
        <v>14</v>
      </c>
      <c r="F638" s="2">
        <f>WEEKDAY(makulatura[[#This Row],[Data_dostarczenia]],2)</f>
        <v>4</v>
      </c>
    </row>
    <row r="639" spans="1:6" x14ac:dyDescent="0.25">
      <c r="A639" s="1">
        <v>42824</v>
      </c>
      <c r="B639" s="2" t="s">
        <v>280</v>
      </c>
      <c r="C639" s="2" t="s">
        <v>281</v>
      </c>
      <c r="D639">
        <v>23</v>
      </c>
      <c r="E639">
        <f>WEEKNUM(makulatura[[#This Row],[Data_dostarczenia]],13)</f>
        <v>14</v>
      </c>
      <c r="F639" s="2">
        <f>WEEKDAY(makulatura[[#This Row],[Data_dostarczenia]],2)</f>
        <v>4</v>
      </c>
    </row>
    <row r="640" spans="1:6" x14ac:dyDescent="0.25">
      <c r="A640" s="1">
        <v>42824</v>
      </c>
      <c r="B640" s="2" t="s">
        <v>23</v>
      </c>
      <c r="C640" s="2" t="s">
        <v>24</v>
      </c>
      <c r="D640">
        <v>52</v>
      </c>
      <c r="E640">
        <f>WEEKNUM(makulatura[[#This Row],[Data_dostarczenia]],13)</f>
        <v>14</v>
      </c>
      <c r="F640" s="2">
        <f>WEEKDAY(makulatura[[#This Row],[Data_dostarczenia]],2)</f>
        <v>4</v>
      </c>
    </row>
    <row r="641" spans="1:6" x14ac:dyDescent="0.25">
      <c r="A641" s="1">
        <v>42824</v>
      </c>
      <c r="B641" s="2" t="s">
        <v>81</v>
      </c>
      <c r="C641" s="2" t="s">
        <v>145</v>
      </c>
      <c r="D641">
        <v>10</v>
      </c>
      <c r="E641">
        <f>WEEKNUM(makulatura[[#This Row],[Data_dostarczenia]],13)</f>
        <v>14</v>
      </c>
      <c r="F641" s="2">
        <f>WEEKDAY(makulatura[[#This Row],[Data_dostarczenia]],2)</f>
        <v>4</v>
      </c>
    </row>
    <row r="642" spans="1:6" x14ac:dyDescent="0.25">
      <c r="A642" s="1">
        <v>42824</v>
      </c>
      <c r="B642" s="2" t="s">
        <v>43</v>
      </c>
      <c r="C642" s="2" t="s">
        <v>124</v>
      </c>
      <c r="D642">
        <v>47</v>
      </c>
      <c r="E642">
        <f>WEEKNUM(makulatura[[#This Row],[Data_dostarczenia]],13)</f>
        <v>14</v>
      </c>
      <c r="F642" s="2">
        <f>WEEKDAY(makulatura[[#This Row],[Data_dostarczenia]],2)</f>
        <v>4</v>
      </c>
    </row>
    <row r="643" spans="1:6" x14ac:dyDescent="0.25">
      <c r="A643" s="1">
        <v>42824</v>
      </c>
      <c r="B643" s="2" t="s">
        <v>503</v>
      </c>
      <c r="C643" s="2" t="s">
        <v>183</v>
      </c>
      <c r="D643">
        <v>20</v>
      </c>
      <c r="E643">
        <f>WEEKNUM(makulatura[[#This Row],[Data_dostarczenia]],13)</f>
        <v>14</v>
      </c>
      <c r="F643" s="2">
        <f>WEEKDAY(makulatura[[#This Row],[Data_dostarczenia]],2)</f>
        <v>4</v>
      </c>
    </row>
    <row r="644" spans="1:6" x14ac:dyDescent="0.25">
      <c r="A644" s="1">
        <v>42824</v>
      </c>
      <c r="B644" s="2" t="s">
        <v>30</v>
      </c>
      <c r="C644" s="2" t="s">
        <v>241</v>
      </c>
      <c r="D644">
        <v>3</v>
      </c>
      <c r="E644">
        <f>WEEKNUM(makulatura[[#This Row],[Data_dostarczenia]],13)</f>
        <v>14</v>
      </c>
      <c r="F644" s="2">
        <f>WEEKDAY(makulatura[[#This Row],[Data_dostarczenia]],2)</f>
        <v>4</v>
      </c>
    </row>
    <row r="645" spans="1:6" x14ac:dyDescent="0.25">
      <c r="A645" s="1">
        <v>42824</v>
      </c>
      <c r="B645" s="2" t="s">
        <v>232</v>
      </c>
      <c r="C645" s="2" t="s">
        <v>526</v>
      </c>
      <c r="D645">
        <v>9</v>
      </c>
      <c r="E645">
        <f>WEEKNUM(makulatura[[#This Row],[Data_dostarczenia]],13)</f>
        <v>14</v>
      </c>
      <c r="F645" s="2">
        <f>WEEKDAY(makulatura[[#This Row],[Data_dostarczenia]],2)</f>
        <v>4</v>
      </c>
    </row>
    <row r="646" spans="1:6" x14ac:dyDescent="0.25">
      <c r="A646" s="1">
        <v>42824</v>
      </c>
      <c r="B646" s="2" t="s">
        <v>147</v>
      </c>
      <c r="C646" s="2" t="s">
        <v>527</v>
      </c>
      <c r="D646">
        <v>22</v>
      </c>
      <c r="E646">
        <f>WEEKNUM(makulatura[[#This Row],[Data_dostarczenia]],13)</f>
        <v>14</v>
      </c>
      <c r="F646" s="2">
        <f>WEEKDAY(makulatura[[#This Row],[Data_dostarczenia]],2)</f>
        <v>4</v>
      </c>
    </row>
    <row r="647" spans="1:6" x14ac:dyDescent="0.25">
      <c r="A647" s="1">
        <v>42824</v>
      </c>
      <c r="B647" s="2" t="s">
        <v>55</v>
      </c>
      <c r="C647" s="2" t="s">
        <v>326</v>
      </c>
      <c r="D647">
        <v>9</v>
      </c>
      <c r="E647">
        <f>WEEKNUM(makulatura[[#This Row],[Data_dostarczenia]],13)</f>
        <v>14</v>
      </c>
      <c r="F647" s="2">
        <f>WEEKDAY(makulatura[[#This Row],[Data_dostarczenia]],2)</f>
        <v>4</v>
      </c>
    </row>
    <row r="648" spans="1:6" x14ac:dyDescent="0.25">
      <c r="A648" s="1">
        <v>42825</v>
      </c>
      <c r="B648" s="2" t="s">
        <v>47</v>
      </c>
      <c r="C648" s="2" t="s">
        <v>334</v>
      </c>
      <c r="D648">
        <v>30</v>
      </c>
      <c r="E648">
        <f>WEEKNUM(makulatura[[#This Row],[Data_dostarczenia]],13)</f>
        <v>14</v>
      </c>
      <c r="F648" s="2">
        <f>WEEKDAY(makulatura[[#This Row],[Data_dostarczenia]],2)</f>
        <v>5</v>
      </c>
    </row>
    <row r="649" spans="1:6" x14ac:dyDescent="0.25">
      <c r="A649" s="1">
        <v>42825</v>
      </c>
      <c r="B649" s="2" t="s">
        <v>528</v>
      </c>
      <c r="C649" s="2" t="s">
        <v>428</v>
      </c>
      <c r="D649">
        <v>18</v>
      </c>
      <c r="E649">
        <f>WEEKNUM(makulatura[[#This Row],[Data_dostarczenia]],13)</f>
        <v>14</v>
      </c>
      <c r="F649" s="2">
        <f>WEEKDAY(makulatura[[#This Row],[Data_dostarczenia]],2)</f>
        <v>5</v>
      </c>
    </row>
    <row r="650" spans="1:6" x14ac:dyDescent="0.25">
      <c r="A650" s="1">
        <v>42825</v>
      </c>
      <c r="B650" s="2" t="s">
        <v>30</v>
      </c>
      <c r="C650" s="2" t="s">
        <v>86</v>
      </c>
      <c r="D650">
        <v>55</v>
      </c>
      <c r="E650">
        <f>WEEKNUM(makulatura[[#This Row],[Data_dostarczenia]],13)</f>
        <v>14</v>
      </c>
      <c r="F650" s="2">
        <f>WEEKDAY(makulatura[[#This Row],[Data_dostarczenia]],2)</f>
        <v>5</v>
      </c>
    </row>
    <row r="651" spans="1:6" x14ac:dyDescent="0.25">
      <c r="A651" s="1">
        <v>42825</v>
      </c>
      <c r="B651" s="2" t="s">
        <v>20</v>
      </c>
      <c r="C651" s="2" t="s">
        <v>381</v>
      </c>
      <c r="D651">
        <v>17</v>
      </c>
      <c r="E651">
        <f>WEEKNUM(makulatura[[#This Row],[Data_dostarczenia]],13)</f>
        <v>14</v>
      </c>
      <c r="F651" s="2">
        <f>WEEKDAY(makulatura[[#This Row],[Data_dostarczenia]],2)</f>
        <v>5</v>
      </c>
    </row>
    <row r="652" spans="1:6" x14ac:dyDescent="0.25">
      <c r="A652" s="1">
        <v>42825</v>
      </c>
      <c r="B652" s="2" t="s">
        <v>97</v>
      </c>
      <c r="C652" s="2" t="s">
        <v>529</v>
      </c>
      <c r="D652">
        <v>30</v>
      </c>
      <c r="E652">
        <f>WEEKNUM(makulatura[[#This Row],[Data_dostarczenia]],13)</f>
        <v>14</v>
      </c>
      <c r="F652" s="2">
        <f>WEEKDAY(makulatura[[#This Row],[Data_dostarczenia]],2)</f>
        <v>5</v>
      </c>
    </row>
    <row r="653" spans="1:6" x14ac:dyDescent="0.25">
      <c r="A653" s="1">
        <v>42825</v>
      </c>
      <c r="B653" s="2" t="s">
        <v>508</v>
      </c>
      <c r="C653" s="2" t="s">
        <v>509</v>
      </c>
      <c r="D653">
        <v>4</v>
      </c>
      <c r="E653">
        <f>WEEKNUM(makulatura[[#This Row],[Data_dostarczenia]],13)</f>
        <v>14</v>
      </c>
      <c r="F653" s="2">
        <f>WEEKDAY(makulatura[[#This Row],[Data_dostarczenia]],2)</f>
        <v>5</v>
      </c>
    </row>
    <row r="654" spans="1:6" x14ac:dyDescent="0.25">
      <c r="A654" s="1">
        <v>42825</v>
      </c>
      <c r="B654" s="2" t="s">
        <v>361</v>
      </c>
      <c r="C654" s="2" t="s">
        <v>362</v>
      </c>
      <c r="D654">
        <v>21</v>
      </c>
      <c r="E654">
        <f>WEEKNUM(makulatura[[#This Row],[Data_dostarczenia]],13)</f>
        <v>14</v>
      </c>
      <c r="F654" s="2">
        <f>WEEKDAY(makulatura[[#This Row],[Data_dostarczenia]],2)</f>
        <v>5</v>
      </c>
    </row>
    <row r="655" spans="1:6" x14ac:dyDescent="0.25">
      <c r="A655" s="1">
        <v>42825</v>
      </c>
      <c r="B655" s="2" t="s">
        <v>6</v>
      </c>
      <c r="C655" s="2" t="s">
        <v>7</v>
      </c>
      <c r="D655">
        <v>7</v>
      </c>
      <c r="E655">
        <f>WEEKNUM(makulatura[[#This Row],[Data_dostarczenia]],13)</f>
        <v>14</v>
      </c>
      <c r="F655" s="2">
        <f>WEEKDAY(makulatura[[#This Row],[Data_dostarczenia]],2)</f>
        <v>5</v>
      </c>
    </row>
    <row r="656" spans="1:6" x14ac:dyDescent="0.25">
      <c r="A656" s="1">
        <v>42825</v>
      </c>
      <c r="B656" s="2" t="s">
        <v>39</v>
      </c>
      <c r="C656" s="2" t="s">
        <v>40</v>
      </c>
      <c r="D656">
        <v>20</v>
      </c>
      <c r="E656">
        <f>WEEKNUM(makulatura[[#This Row],[Data_dostarczenia]],13)</f>
        <v>14</v>
      </c>
      <c r="F656" s="2">
        <f>WEEKDAY(makulatura[[#This Row],[Data_dostarczenia]],2)</f>
        <v>5</v>
      </c>
    </row>
    <row r="657" spans="1:6" x14ac:dyDescent="0.25">
      <c r="A657" s="1">
        <v>42825</v>
      </c>
      <c r="B657" s="2" t="s">
        <v>341</v>
      </c>
      <c r="C657" s="2" t="s">
        <v>342</v>
      </c>
      <c r="D657">
        <v>6</v>
      </c>
      <c r="E657">
        <f>WEEKNUM(makulatura[[#This Row],[Data_dostarczenia]],13)</f>
        <v>14</v>
      </c>
      <c r="F657" s="2">
        <f>WEEKDAY(makulatura[[#This Row],[Data_dostarczenia]],2)</f>
        <v>5</v>
      </c>
    </row>
    <row r="658" spans="1:6" x14ac:dyDescent="0.25">
      <c r="A658" s="1">
        <v>42828</v>
      </c>
      <c r="B658" s="2" t="s">
        <v>278</v>
      </c>
      <c r="C658" s="2" t="s">
        <v>530</v>
      </c>
      <c r="D658">
        <v>12</v>
      </c>
      <c r="E658">
        <f>WEEKNUM(makulatura[[#This Row],[Data_dostarczenia]],13)</f>
        <v>14</v>
      </c>
      <c r="F658" s="2">
        <f>WEEKDAY(makulatura[[#This Row],[Data_dostarczenia]],2)</f>
        <v>1</v>
      </c>
    </row>
    <row r="659" spans="1:6" x14ac:dyDescent="0.25">
      <c r="A659" s="1">
        <v>42828</v>
      </c>
      <c r="B659" s="2" t="s">
        <v>41</v>
      </c>
      <c r="C659" s="2" t="s">
        <v>238</v>
      </c>
      <c r="D659">
        <v>29</v>
      </c>
      <c r="E659">
        <f>WEEKNUM(makulatura[[#This Row],[Data_dostarczenia]],13)</f>
        <v>14</v>
      </c>
      <c r="F659" s="2">
        <f>WEEKDAY(makulatura[[#This Row],[Data_dostarczenia]],2)</f>
        <v>1</v>
      </c>
    </row>
    <row r="660" spans="1:6" x14ac:dyDescent="0.25">
      <c r="A660" s="1">
        <v>42828</v>
      </c>
      <c r="B660" s="2" t="s">
        <v>278</v>
      </c>
      <c r="C660" s="2" t="s">
        <v>202</v>
      </c>
      <c r="D660">
        <v>2</v>
      </c>
      <c r="E660">
        <f>WEEKNUM(makulatura[[#This Row],[Data_dostarczenia]],13)</f>
        <v>14</v>
      </c>
      <c r="F660" s="2">
        <f>WEEKDAY(makulatura[[#This Row],[Data_dostarczenia]],2)</f>
        <v>1</v>
      </c>
    </row>
    <row r="661" spans="1:6" x14ac:dyDescent="0.25">
      <c r="A661" s="1">
        <v>42828</v>
      </c>
      <c r="B661" s="2" t="s">
        <v>69</v>
      </c>
      <c r="C661" s="2" t="s">
        <v>353</v>
      </c>
      <c r="D661">
        <v>27</v>
      </c>
      <c r="E661">
        <f>WEEKNUM(makulatura[[#This Row],[Data_dostarczenia]],13)</f>
        <v>14</v>
      </c>
      <c r="F661" s="2">
        <f>WEEKDAY(makulatura[[#This Row],[Data_dostarczenia]],2)</f>
        <v>1</v>
      </c>
    </row>
    <row r="662" spans="1:6" x14ac:dyDescent="0.25">
      <c r="A662" s="1">
        <v>42828</v>
      </c>
      <c r="B662" s="2" t="s">
        <v>57</v>
      </c>
      <c r="C662" s="2" t="s">
        <v>531</v>
      </c>
      <c r="D662">
        <v>9</v>
      </c>
      <c r="E662">
        <f>WEEKNUM(makulatura[[#This Row],[Data_dostarczenia]],13)</f>
        <v>14</v>
      </c>
      <c r="F662" s="2">
        <f>WEEKDAY(makulatura[[#This Row],[Data_dostarczenia]],2)</f>
        <v>1</v>
      </c>
    </row>
    <row r="663" spans="1:6" x14ac:dyDescent="0.25">
      <c r="A663" s="1">
        <v>42828</v>
      </c>
      <c r="B663" s="2" t="s">
        <v>141</v>
      </c>
      <c r="C663" s="2" t="s">
        <v>202</v>
      </c>
      <c r="D663">
        <v>25</v>
      </c>
      <c r="E663">
        <f>WEEKNUM(makulatura[[#This Row],[Data_dostarczenia]],13)</f>
        <v>14</v>
      </c>
      <c r="F663" s="2">
        <f>WEEKDAY(makulatura[[#This Row],[Data_dostarczenia]],2)</f>
        <v>1</v>
      </c>
    </row>
    <row r="664" spans="1:6" x14ac:dyDescent="0.25">
      <c r="A664" s="1">
        <v>42828</v>
      </c>
      <c r="B664" s="2" t="s">
        <v>12</v>
      </c>
      <c r="C664" s="2" t="s">
        <v>532</v>
      </c>
      <c r="D664">
        <v>45</v>
      </c>
      <c r="E664">
        <f>WEEKNUM(makulatura[[#This Row],[Data_dostarczenia]],13)</f>
        <v>14</v>
      </c>
      <c r="F664" s="2">
        <f>WEEKDAY(makulatura[[#This Row],[Data_dostarczenia]],2)</f>
        <v>1</v>
      </c>
    </row>
    <row r="665" spans="1:6" x14ac:dyDescent="0.25">
      <c r="A665" s="1">
        <v>42828</v>
      </c>
      <c r="B665" s="2" t="s">
        <v>36</v>
      </c>
      <c r="C665" s="2" t="s">
        <v>533</v>
      </c>
      <c r="D665">
        <v>12</v>
      </c>
      <c r="E665">
        <f>WEEKNUM(makulatura[[#This Row],[Data_dostarczenia]],13)</f>
        <v>14</v>
      </c>
      <c r="F665" s="2">
        <f>WEEKDAY(makulatura[[#This Row],[Data_dostarczenia]],2)</f>
        <v>1</v>
      </c>
    </row>
    <row r="666" spans="1:6" x14ac:dyDescent="0.25">
      <c r="A666" s="1">
        <v>42828</v>
      </c>
      <c r="B666" s="2" t="s">
        <v>225</v>
      </c>
      <c r="C666" s="2" t="s">
        <v>226</v>
      </c>
      <c r="D666">
        <v>44</v>
      </c>
      <c r="E666">
        <f>WEEKNUM(makulatura[[#This Row],[Data_dostarczenia]],13)</f>
        <v>14</v>
      </c>
      <c r="F666" s="2">
        <f>WEEKDAY(makulatura[[#This Row],[Data_dostarczenia]],2)</f>
        <v>1</v>
      </c>
    </row>
    <row r="667" spans="1:6" x14ac:dyDescent="0.25">
      <c r="A667" s="1">
        <v>42828</v>
      </c>
      <c r="B667" s="2" t="s">
        <v>53</v>
      </c>
      <c r="C667" s="2" t="s">
        <v>227</v>
      </c>
      <c r="D667">
        <v>18</v>
      </c>
      <c r="E667">
        <f>WEEKNUM(makulatura[[#This Row],[Data_dostarczenia]],13)</f>
        <v>14</v>
      </c>
      <c r="F667" s="2">
        <f>WEEKDAY(makulatura[[#This Row],[Data_dostarczenia]],2)</f>
        <v>1</v>
      </c>
    </row>
    <row r="668" spans="1:6" x14ac:dyDescent="0.25">
      <c r="A668" s="1">
        <v>42829</v>
      </c>
      <c r="B668" s="2" t="s">
        <v>152</v>
      </c>
      <c r="C668" s="2" t="s">
        <v>534</v>
      </c>
      <c r="D668">
        <v>16</v>
      </c>
      <c r="E668">
        <f>WEEKNUM(makulatura[[#This Row],[Data_dostarczenia]],13)</f>
        <v>14</v>
      </c>
      <c r="F668" s="2">
        <f>WEEKDAY(makulatura[[#This Row],[Data_dostarczenia]],2)</f>
        <v>2</v>
      </c>
    </row>
    <row r="669" spans="1:6" x14ac:dyDescent="0.25">
      <c r="A669" s="1">
        <v>42829</v>
      </c>
      <c r="B669" s="2" t="s">
        <v>217</v>
      </c>
      <c r="C669" s="2" t="s">
        <v>218</v>
      </c>
      <c r="D669">
        <v>18</v>
      </c>
      <c r="E669">
        <f>WEEKNUM(makulatura[[#This Row],[Data_dostarczenia]],13)</f>
        <v>14</v>
      </c>
      <c r="F669" s="2">
        <f>WEEKDAY(makulatura[[#This Row],[Data_dostarczenia]],2)</f>
        <v>2</v>
      </c>
    </row>
    <row r="670" spans="1:6" x14ac:dyDescent="0.25">
      <c r="A670" s="1">
        <v>42829</v>
      </c>
      <c r="B670" s="2" t="s">
        <v>437</v>
      </c>
      <c r="C670" s="2" t="s">
        <v>199</v>
      </c>
      <c r="D670">
        <v>6</v>
      </c>
      <c r="E670">
        <f>WEEKNUM(makulatura[[#This Row],[Data_dostarczenia]],13)</f>
        <v>14</v>
      </c>
      <c r="F670" s="2">
        <f>WEEKDAY(makulatura[[#This Row],[Data_dostarczenia]],2)</f>
        <v>2</v>
      </c>
    </row>
    <row r="671" spans="1:6" x14ac:dyDescent="0.25">
      <c r="A671" s="1">
        <v>42829</v>
      </c>
      <c r="B671" s="2" t="s">
        <v>246</v>
      </c>
      <c r="C671" s="2" t="s">
        <v>247</v>
      </c>
      <c r="D671">
        <v>17</v>
      </c>
      <c r="E671">
        <f>WEEKNUM(makulatura[[#This Row],[Data_dostarczenia]],13)</f>
        <v>14</v>
      </c>
      <c r="F671" s="2">
        <f>WEEKDAY(makulatura[[#This Row],[Data_dostarczenia]],2)</f>
        <v>2</v>
      </c>
    </row>
    <row r="672" spans="1:6" x14ac:dyDescent="0.25">
      <c r="A672" s="1">
        <v>42829</v>
      </c>
      <c r="B672" s="2" t="s">
        <v>55</v>
      </c>
      <c r="C672" s="2" t="s">
        <v>265</v>
      </c>
      <c r="D672">
        <v>18</v>
      </c>
      <c r="E672">
        <f>WEEKNUM(makulatura[[#This Row],[Data_dostarczenia]],13)</f>
        <v>14</v>
      </c>
      <c r="F672" s="2">
        <f>WEEKDAY(makulatura[[#This Row],[Data_dostarczenia]],2)</f>
        <v>2</v>
      </c>
    </row>
    <row r="673" spans="1:6" x14ac:dyDescent="0.25">
      <c r="A673" s="1">
        <v>42829</v>
      </c>
      <c r="B673" s="2" t="s">
        <v>234</v>
      </c>
      <c r="C673" s="2" t="s">
        <v>516</v>
      </c>
      <c r="D673">
        <v>4</v>
      </c>
      <c r="E673">
        <f>WEEKNUM(makulatura[[#This Row],[Data_dostarczenia]],13)</f>
        <v>14</v>
      </c>
      <c r="F673" s="2">
        <f>WEEKDAY(makulatura[[#This Row],[Data_dostarczenia]],2)</f>
        <v>2</v>
      </c>
    </row>
    <row r="674" spans="1:6" x14ac:dyDescent="0.25">
      <c r="A674" s="1">
        <v>42829</v>
      </c>
      <c r="B674" s="2" t="s">
        <v>8</v>
      </c>
      <c r="C674" s="2" t="s">
        <v>9</v>
      </c>
      <c r="D674">
        <v>13</v>
      </c>
      <c r="E674">
        <f>WEEKNUM(makulatura[[#This Row],[Data_dostarczenia]],13)</f>
        <v>14</v>
      </c>
      <c r="F674" s="2">
        <f>WEEKDAY(makulatura[[#This Row],[Data_dostarczenia]],2)</f>
        <v>2</v>
      </c>
    </row>
    <row r="675" spans="1:6" x14ac:dyDescent="0.25">
      <c r="A675" s="1">
        <v>42829</v>
      </c>
      <c r="B675" s="2" t="s">
        <v>41</v>
      </c>
      <c r="C675" s="2" t="s">
        <v>302</v>
      </c>
      <c r="D675">
        <v>52</v>
      </c>
      <c r="E675">
        <f>WEEKNUM(makulatura[[#This Row],[Data_dostarczenia]],13)</f>
        <v>14</v>
      </c>
      <c r="F675" s="2">
        <f>WEEKDAY(makulatura[[#This Row],[Data_dostarczenia]],2)</f>
        <v>2</v>
      </c>
    </row>
    <row r="676" spans="1:6" x14ac:dyDescent="0.25">
      <c r="A676" s="1">
        <v>42829</v>
      </c>
      <c r="B676" s="2" t="s">
        <v>83</v>
      </c>
      <c r="C676" s="2" t="s">
        <v>470</v>
      </c>
      <c r="D676">
        <v>10</v>
      </c>
      <c r="E676">
        <f>WEEKNUM(makulatura[[#This Row],[Data_dostarczenia]],13)</f>
        <v>14</v>
      </c>
      <c r="F676" s="2">
        <f>WEEKDAY(makulatura[[#This Row],[Data_dostarczenia]],2)</f>
        <v>2</v>
      </c>
    </row>
    <row r="677" spans="1:6" x14ac:dyDescent="0.25">
      <c r="A677" s="1">
        <v>42829</v>
      </c>
      <c r="B677" s="2" t="s">
        <v>47</v>
      </c>
      <c r="C677" s="2" t="s">
        <v>48</v>
      </c>
      <c r="D677">
        <v>33</v>
      </c>
      <c r="E677">
        <f>WEEKNUM(makulatura[[#This Row],[Data_dostarczenia]],13)</f>
        <v>14</v>
      </c>
      <c r="F677" s="2">
        <f>WEEKDAY(makulatura[[#This Row],[Data_dostarczenia]],2)</f>
        <v>2</v>
      </c>
    </row>
    <row r="678" spans="1:6" x14ac:dyDescent="0.25">
      <c r="A678" s="1">
        <v>42830</v>
      </c>
      <c r="B678" s="2" t="s">
        <v>95</v>
      </c>
      <c r="C678" s="2" t="s">
        <v>96</v>
      </c>
      <c r="D678">
        <v>6</v>
      </c>
      <c r="E678">
        <f>WEEKNUM(makulatura[[#This Row],[Data_dostarczenia]],13)</f>
        <v>15</v>
      </c>
      <c r="F678" s="2">
        <f>WEEKDAY(makulatura[[#This Row],[Data_dostarczenia]],2)</f>
        <v>3</v>
      </c>
    </row>
    <row r="679" spans="1:6" x14ac:dyDescent="0.25">
      <c r="A679" s="1">
        <v>42830</v>
      </c>
      <c r="B679" s="2" t="s">
        <v>87</v>
      </c>
      <c r="C679" s="2" t="s">
        <v>255</v>
      </c>
      <c r="D679">
        <v>21</v>
      </c>
      <c r="E679">
        <f>WEEKNUM(makulatura[[#This Row],[Data_dostarczenia]],13)</f>
        <v>15</v>
      </c>
      <c r="F679" s="2">
        <f>WEEKDAY(makulatura[[#This Row],[Data_dostarczenia]],2)</f>
        <v>3</v>
      </c>
    </row>
    <row r="680" spans="1:6" x14ac:dyDescent="0.25">
      <c r="A680" s="1">
        <v>42830</v>
      </c>
      <c r="B680" s="2" t="s">
        <v>45</v>
      </c>
      <c r="C680" s="2" t="s">
        <v>46</v>
      </c>
      <c r="D680">
        <v>2</v>
      </c>
      <c r="E680">
        <f>WEEKNUM(makulatura[[#This Row],[Data_dostarczenia]],13)</f>
        <v>15</v>
      </c>
      <c r="F680" s="2">
        <f>WEEKDAY(makulatura[[#This Row],[Data_dostarczenia]],2)</f>
        <v>3</v>
      </c>
    </row>
    <row r="681" spans="1:6" x14ac:dyDescent="0.25">
      <c r="A681" s="1">
        <v>42830</v>
      </c>
      <c r="B681" s="2" t="s">
        <v>51</v>
      </c>
      <c r="C681" s="2" t="s">
        <v>469</v>
      </c>
      <c r="D681">
        <v>16</v>
      </c>
      <c r="E681">
        <f>WEEKNUM(makulatura[[#This Row],[Data_dostarczenia]],13)</f>
        <v>15</v>
      </c>
      <c r="F681" s="2">
        <f>WEEKDAY(makulatura[[#This Row],[Data_dostarczenia]],2)</f>
        <v>3</v>
      </c>
    </row>
    <row r="682" spans="1:6" x14ac:dyDescent="0.25">
      <c r="A682" s="1">
        <v>42830</v>
      </c>
      <c r="B682" s="2" t="s">
        <v>314</v>
      </c>
      <c r="C682" s="2" t="s">
        <v>466</v>
      </c>
      <c r="D682">
        <v>23</v>
      </c>
      <c r="E682">
        <f>WEEKNUM(makulatura[[#This Row],[Data_dostarczenia]],13)</f>
        <v>15</v>
      </c>
      <c r="F682" s="2">
        <f>WEEKDAY(makulatura[[#This Row],[Data_dostarczenia]],2)</f>
        <v>3</v>
      </c>
    </row>
    <row r="683" spans="1:6" x14ac:dyDescent="0.25">
      <c r="A683" s="1">
        <v>42830</v>
      </c>
      <c r="B683" s="2" t="s">
        <v>314</v>
      </c>
      <c r="C683" s="2" t="s">
        <v>535</v>
      </c>
      <c r="D683">
        <v>50</v>
      </c>
      <c r="E683">
        <f>WEEKNUM(makulatura[[#This Row],[Data_dostarczenia]],13)</f>
        <v>15</v>
      </c>
      <c r="F683" s="2">
        <f>WEEKDAY(makulatura[[#This Row],[Data_dostarczenia]],2)</f>
        <v>3</v>
      </c>
    </row>
    <row r="684" spans="1:6" x14ac:dyDescent="0.25">
      <c r="A684" s="1">
        <v>42830</v>
      </c>
      <c r="B684" s="2" t="s">
        <v>43</v>
      </c>
      <c r="C684" s="2" t="s">
        <v>71</v>
      </c>
      <c r="D684">
        <v>26</v>
      </c>
      <c r="E684">
        <f>WEEKNUM(makulatura[[#This Row],[Data_dostarczenia]],13)</f>
        <v>15</v>
      </c>
      <c r="F684" s="2">
        <f>WEEKDAY(makulatura[[#This Row],[Data_dostarczenia]],2)</f>
        <v>3</v>
      </c>
    </row>
    <row r="685" spans="1:6" x14ac:dyDescent="0.25">
      <c r="A685" s="1">
        <v>42830</v>
      </c>
      <c r="B685" s="2" t="s">
        <v>536</v>
      </c>
      <c r="C685" s="2" t="s">
        <v>537</v>
      </c>
      <c r="D685">
        <v>42</v>
      </c>
      <c r="E685">
        <f>WEEKNUM(makulatura[[#This Row],[Data_dostarczenia]],13)</f>
        <v>15</v>
      </c>
      <c r="F685" s="2">
        <f>WEEKDAY(makulatura[[#This Row],[Data_dostarczenia]],2)</f>
        <v>3</v>
      </c>
    </row>
    <row r="686" spans="1:6" x14ac:dyDescent="0.25">
      <c r="A686" s="1">
        <v>42830</v>
      </c>
      <c r="B686" s="2" t="s">
        <v>538</v>
      </c>
      <c r="C686" s="2" t="s">
        <v>539</v>
      </c>
      <c r="D686">
        <v>39</v>
      </c>
      <c r="E686">
        <f>WEEKNUM(makulatura[[#This Row],[Data_dostarczenia]],13)</f>
        <v>15</v>
      </c>
      <c r="F686" s="2">
        <f>WEEKDAY(makulatura[[#This Row],[Data_dostarczenia]],2)</f>
        <v>3</v>
      </c>
    </row>
    <row r="687" spans="1:6" x14ac:dyDescent="0.25">
      <c r="A687" s="1">
        <v>42831</v>
      </c>
      <c r="B687" s="2" t="s">
        <v>30</v>
      </c>
      <c r="C687" s="2" t="s">
        <v>432</v>
      </c>
      <c r="D687">
        <v>17</v>
      </c>
      <c r="E687">
        <f>WEEKNUM(makulatura[[#This Row],[Data_dostarczenia]],13)</f>
        <v>15</v>
      </c>
      <c r="F687" s="2">
        <f>WEEKDAY(makulatura[[#This Row],[Data_dostarczenia]],2)</f>
        <v>4</v>
      </c>
    </row>
    <row r="688" spans="1:6" x14ac:dyDescent="0.25">
      <c r="A688" s="1">
        <v>42831</v>
      </c>
      <c r="B688" s="2" t="s">
        <v>4</v>
      </c>
      <c r="C688" s="2" t="s">
        <v>386</v>
      </c>
      <c r="D688">
        <v>10</v>
      </c>
      <c r="E688">
        <f>WEEKNUM(makulatura[[#This Row],[Data_dostarczenia]],13)</f>
        <v>15</v>
      </c>
      <c r="F688" s="2">
        <f>WEEKDAY(makulatura[[#This Row],[Data_dostarczenia]],2)</f>
        <v>4</v>
      </c>
    </row>
    <row r="689" spans="1:6" x14ac:dyDescent="0.25">
      <c r="A689" s="1">
        <v>42831</v>
      </c>
      <c r="B689" s="2" t="s">
        <v>508</v>
      </c>
      <c r="C689" s="2" t="s">
        <v>509</v>
      </c>
      <c r="D689">
        <v>13</v>
      </c>
      <c r="E689">
        <f>WEEKNUM(makulatura[[#This Row],[Data_dostarczenia]],13)</f>
        <v>15</v>
      </c>
      <c r="F689" s="2">
        <f>WEEKDAY(makulatura[[#This Row],[Data_dostarczenia]],2)</f>
        <v>4</v>
      </c>
    </row>
    <row r="690" spans="1:6" x14ac:dyDescent="0.25">
      <c r="A690" s="1">
        <v>42831</v>
      </c>
      <c r="B690" s="2" t="s">
        <v>523</v>
      </c>
      <c r="C690" s="2" t="s">
        <v>524</v>
      </c>
      <c r="D690">
        <v>7</v>
      </c>
      <c r="E690">
        <f>WEEKNUM(makulatura[[#This Row],[Data_dostarczenia]],13)</f>
        <v>15</v>
      </c>
      <c r="F690" s="2">
        <f>WEEKDAY(makulatura[[#This Row],[Data_dostarczenia]],2)</f>
        <v>4</v>
      </c>
    </row>
    <row r="691" spans="1:6" x14ac:dyDescent="0.25">
      <c r="A691" s="1">
        <v>42831</v>
      </c>
      <c r="B691" s="2" t="s">
        <v>128</v>
      </c>
      <c r="C691" s="2" t="s">
        <v>129</v>
      </c>
      <c r="D691">
        <v>32</v>
      </c>
      <c r="E691">
        <f>WEEKNUM(makulatura[[#This Row],[Data_dostarczenia]],13)</f>
        <v>15</v>
      </c>
      <c r="F691" s="2">
        <f>WEEKDAY(makulatura[[#This Row],[Data_dostarczenia]],2)</f>
        <v>4</v>
      </c>
    </row>
    <row r="692" spans="1:6" x14ac:dyDescent="0.25">
      <c r="A692" s="1">
        <v>42831</v>
      </c>
      <c r="B692" s="2" t="s">
        <v>53</v>
      </c>
      <c r="C692" s="2" t="s">
        <v>389</v>
      </c>
      <c r="D692">
        <v>16</v>
      </c>
      <c r="E692">
        <f>WEEKNUM(makulatura[[#This Row],[Data_dostarczenia]],13)</f>
        <v>15</v>
      </c>
      <c r="F692" s="2">
        <f>WEEKDAY(makulatura[[#This Row],[Data_dostarczenia]],2)</f>
        <v>4</v>
      </c>
    </row>
    <row r="693" spans="1:6" x14ac:dyDescent="0.25">
      <c r="A693" s="1">
        <v>42831</v>
      </c>
      <c r="B693" s="2" t="s">
        <v>63</v>
      </c>
      <c r="C693" s="2" t="s">
        <v>411</v>
      </c>
      <c r="D693">
        <v>38</v>
      </c>
      <c r="E693">
        <f>WEEKNUM(makulatura[[#This Row],[Data_dostarczenia]],13)</f>
        <v>15</v>
      </c>
      <c r="F693" s="2">
        <f>WEEKDAY(makulatura[[#This Row],[Data_dostarczenia]],2)</f>
        <v>4</v>
      </c>
    </row>
    <row r="694" spans="1:6" x14ac:dyDescent="0.25">
      <c r="A694" s="1">
        <v>42831</v>
      </c>
      <c r="B694" s="2" t="s">
        <v>161</v>
      </c>
      <c r="C694" s="2" t="s">
        <v>214</v>
      </c>
      <c r="D694">
        <v>10</v>
      </c>
      <c r="E694">
        <f>WEEKNUM(makulatura[[#This Row],[Data_dostarczenia]],13)</f>
        <v>15</v>
      </c>
      <c r="F694" s="2">
        <f>WEEKDAY(makulatura[[#This Row],[Data_dostarczenia]],2)</f>
        <v>4</v>
      </c>
    </row>
    <row r="695" spans="1:6" x14ac:dyDescent="0.25">
      <c r="A695" s="1">
        <v>42832</v>
      </c>
      <c r="B695" s="2" t="s">
        <v>442</v>
      </c>
      <c r="C695" s="2" t="s">
        <v>540</v>
      </c>
      <c r="D695">
        <v>19</v>
      </c>
      <c r="E695">
        <f>WEEKNUM(makulatura[[#This Row],[Data_dostarczenia]],13)</f>
        <v>15</v>
      </c>
      <c r="F695" s="2">
        <f>WEEKDAY(makulatura[[#This Row],[Data_dostarczenia]],2)</f>
        <v>5</v>
      </c>
    </row>
    <row r="696" spans="1:6" x14ac:dyDescent="0.25">
      <c r="A696" s="1">
        <v>42832</v>
      </c>
      <c r="B696" s="2" t="s">
        <v>171</v>
      </c>
      <c r="C696" s="2" t="s">
        <v>468</v>
      </c>
      <c r="D696">
        <v>17</v>
      </c>
      <c r="E696">
        <f>WEEKNUM(makulatura[[#This Row],[Data_dostarczenia]],13)</f>
        <v>15</v>
      </c>
      <c r="F696" s="2">
        <f>WEEKDAY(makulatura[[#This Row],[Data_dostarczenia]],2)</f>
        <v>5</v>
      </c>
    </row>
    <row r="697" spans="1:6" x14ac:dyDescent="0.25">
      <c r="A697" s="1">
        <v>42832</v>
      </c>
      <c r="B697" s="2" t="s">
        <v>79</v>
      </c>
      <c r="C697" s="2" t="s">
        <v>80</v>
      </c>
      <c r="D697">
        <v>2</v>
      </c>
      <c r="E697">
        <f>WEEKNUM(makulatura[[#This Row],[Data_dostarczenia]],13)</f>
        <v>15</v>
      </c>
      <c r="F697" s="2">
        <f>WEEKDAY(makulatura[[#This Row],[Data_dostarczenia]],2)</f>
        <v>5</v>
      </c>
    </row>
    <row r="698" spans="1:6" x14ac:dyDescent="0.25">
      <c r="A698" s="1">
        <v>42832</v>
      </c>
      <c r="B698" s="2" t="s">
        <v>541</v>
      </c>
      <c r="C698" s="2" t="s">
        <v>542</v>
      </c>
      <c r="D698">
        <v>15</v>
      </c>
      <c r="E698">
        <f>WEEKNUM(makulatura[[#This Row],[Data_dostarczenia]],13)</f>
        <v>15</v>
      </c>
      <c r="F698" s="2">
        <f>WEEKDAY(makulatura[[#This Row],[Data_dostarczenia]],2)</f>
        <v>5</v>
      </c>
    </row>
    <row r="699" spans="1:6" x14ac:dyDescent="0.25">
      <c r="A699" s="1">
        <v>42832</v>
      </c>
      <c r="B699" s="2" t="s">
        <v>244</v>
      </c>
      <c r="C699" s="2" t="s">
        <v>245</v>
      </c>
      <c r="D699">
        <v>12</v>
      </c>
      <c r="E699">
        <f>WEEKNUM(makulatura[[#This Row],[Data_dostarczenia]],13)</f>
        <v>15</v>
      </c>
      <c r="F699" s="2">
        <f>WEEKDAY(makulatura[[#This Row],[Data_dostarczenia]],2)</f>
        <v>5</v>
      </c>
    </row>
    <row r="700" spans="1:6" x14ac:dyDescent="0.25">
      <c r="A700" s="1">
        <v>42832</v>
      </c>
      <c r="B700" s="2" t="s">
        <v>206</v>
      </c>
      <c r="C700" s="2" t="s">
        <v>332</v>
      </c>
      <c r="D700">
        <v>25</v>
      </c>
      <c r="E700">
        <f>WEEKNUM(makulatura[[#This Row],[Data_dostarczenia]],13)</f>
        <v>15</v>
      </c>
      <c r="F700" s="2">
        <f>WEEKDAY(makulatura[[#This Row],[Data_dostarczenia]],2)</f>
        <v>5</v>
      </c>
    </row>
    <row r="701" spans="1:6" x14ac:dyDescent="0.25">
      <c r="A701" s="1">
        <v>42832</v>
      </c>
      <c r="B701" s="2" t="s">
        <v>150</v>
      </c>
      <c r="C701" s="2" t="s">
        <v>258</v>
      </c>
      <c r="D701">
        <v>6</v>
      </c>
      <c r="E701">
        <f>WEEKNUM(makulatura[[#This Row],[Data_dostarczenia]],13)</f>
        <v>15</v>
      </c>
      <c r="F701" s="2">
        <f>WEEKDAY(makulatura[[#This Row],[Data_dostarczenia]],2)</f>
        <v>5</v>
      </c>
    </row>
    <row r="702" spans="1:6" x14ac:dyDescent="0.25">
      <c r="A702" s="1">
        <v>42832</v>
      </c>
      <c r="B702" s="2" t="s">
        <v>161</v>
      </c>
      <c r="C702" s="2" t="s">
        <v>162</v>
      </c>
      <c r="D702">
        <v>19</v>
      </c>
      <c r="E702">
        <f>WEEKNUM(makulatura[[#This Row],[Data_dostarczenia]],13)</f>
        <v>15</v>
      </c>
      <c r="F702" s="2">
        <f>WEEKDAY(makulatura[[#This Row],[Data_dostarczenia]],2)</f>
        <v>5</v>
      </c>
    </row>
    <row r="703" spans="1:6" x14ac:dyDescent="0.25">
      <c r="A703" s="1">
        <v>42835</v>
      </c>
      <c r="B703" s="2" t="s">
        <v>352</v>
      </c>
      <c r="C703" s="2" t="s">
        <v>363</v>
      </c>
      <c r="D703">
        <v>15</v>
      </c>
      <c r="E703">
        <f>WEEKNUM(makulatura[[#This Row],[Data_dostarczenia]],13)</f>
        <v>15</v>
      </c>
      <c r="F703" s="2">
        <f>WEEKDAY(makulatura[[#This Row],[Data_dostarczenia]],2)</f>
        <v>1</v>
      </c>
    </row>
    <row r="704" spans="1:6" x14ac:dyDescent="0.25">
      <c r="A704" s="1">
        <v>42835</v>
      </c>
      <c r="B704" s="2" t="s">
        <v>219</v>
      </c>
      <c r="C704" s="2" t="s">
        <v>543</v>
      </c>
      <c r="D704">
        <v>9</v>
      </c>
      <c r="E704">
        <f>WEEKNUM(makulatura[[#This Row],[Data_dostarczenia]],13)</f>
        <v>15</v>
      </c>
      <c r="F704" s="2">
        <f>WEEKDAY(makulatura[[#This Row],[Data_dostarczenia]],2)</f>
        <v>1</v>
      </c>
    </row>
    <row r="705" spans="1:6" x14ac:dyDescent="0.25">
      <c r="A705" s="1">
        <v>42835</v>
      </c>
      <c r="B705" s="2" t="s">
        <v>544</v>
      </c>
      <c r="C705" s="2" t="s">
        <v>145</v>
      </c>
      <c r="D705">
        <v>35</v>
      </c>
      <c r="E705">
        <f>WEEKNUM(makulatura[[#This Row],[Data_dostarczenia]],13)</f>
        <v>15</v>
      </c>
      <c r="F705" s="2">
        <f>WEEKDAY(makulatura[[#This Row],[Data_dostarczenia]],2)</f>
        <v>1</v>
      </c>
    </row>
    <row r="706" spans="1:6" x14ac:dyDescent="0.25">
      <c r="A706" s="1">
        <v>42835</v>
      </c>
      <c r="B706" s="2" t="s">
        <v>8</v>
      </c>
      <c r="C706" s="2" t="s">
        <v>545</v>
      </c>
      <c r="D706">
        <v>44</v>
      </c>
      <c r="E706">
        <f>WEEKNUM(makulatura[[#This Row],[Data_dostarczenia]],13)</f>
        <v>15</v>
      </c>
      <c r="F706" s="2">
        <f>WEEKDAY(makulatura[[#This Row],[Data_dostarczenia]],2)</f>
        <v>1</v>
      </c>
    </row>
    <row r="707" spans="1:6" x14ac:dyDescent="0.25">
      <c r="A707" s="1">
        <v>42835</v>
      </c>
      <c r="B707" s="2" t="s">
        <v>83</v>
      </c>
      <c r="C707" s="2" t="s">
        <v>84</v>
      </c>
      <c r="D707">
        <v>36</v>
      </c>
      <c r="E707">
        <f>WEEKNUM(makulatura[[#This Row],[Data_dostarczenia]],13)</f>
        <v>15</v>
      </c>
      <c r="F707" s="2">
        <f>WEEKDAY(makulatura[[#This Row],[Data_dostarczenia]],2)</f>
        <v>1</v>
      </c>
    </row>
    <row r="708" spans="1:6" x14ac:dyDescent="0.25">
      <c r="A708" s="1">
        <v>42835</v>
      </c>
      <c r="B708" s="2" t="s">
        <v>45</v>
      </c>
      <c r="C708" s="2" t="s">
        <v>546</v>
      </c>
      <c r="D708">
        <v>53</v>
      </c>
      <c r="E708">
        <f>WEEKNUM(makulatura[[#This Row],[Data_dostarczenia]],13)</f>
        <v>15</v>
      </c>
      <c r="F708" s="2">
        <f>WEEKDAY(makulatura[[#This Row],[Data_dostarczenia]],2)</f>
        <v>1</v>
      </c>
    </row>
    <row r="709" spans="1:6" x14ac:dyDescent="0.25">
      <c r="A709" s="1">
        <v>42835</v>
      </c>
      <c r="B709" s="2" t="s">
        <v>83</v>
      </c>
      <c r="C709" s="2" t="s">
        <v>547</v>
      </c>
      <c r="D709">
        <v>12</v>
      </c>
      <c r="E709">
        <f>WEEKNUM(makulatura[[#This Row],[Data_dostarczenia]],13)</f>
        <v>15</v>
      </c>
      <c r="F709" s="2">
        <f>WEEKDAY(makulatura[[#This Row],[Data_dostarczenia]],2)</f>
        <v>1</v>
      </c>
    </row>
    <row r="710" spans="1:6" x14ac:dyDescent="0.25">
      <c r="A710" s="1">
        <v>42835</v>
      </c>
      <c r="B710" s="2" t="s">
        <v>141</v>
      </c>
      <c r="C710" s="2" t="s">
        <v>202</v>
      </c>
      <c r="D710">
        <v>29</v>
      </c>
      <c r="E710">
        <f>WEEKNUM(makulatura[[#This Row],[Data_dostarczenia]],13)</f>
        <v>15</v>
      </c>
      <c r="F710" s="2">
        <f>WEEKDAY(makulatura[[#This Row],[Data_dostarczenia]],2)</f>
        <v>1</v>
      </c>
    </row>
    <row r="711" spans="1:6" x14ac:dyDescent="0.25">
      <c r="A711" s="1">
        <v>42836</v>
      </c>
      <c r="B711" s="2" t="s">
        <v>36</v>
      </c>
      <c r="C711" s="2" t="s">
        <v>404</v>
      </c>
      <c r="D711">
        <v>9</v>
      </c>
      <c r="E711">
        <f>WEEKNUM(makulatura[[#This Row],[Data_dostarczenia]],13)</f>
        <v>15</v>
      </c>
      <c r="F711" s="2">
        <f>WEEKDAY(makulatura[[#This Row],[Data_dostarczenia]],2)</f>
        <v>2</v>
      </c>
    </row>
    <row r="712" spans="1:6" x14ac:dyDescent="0.25">
      <c r="A712" s="1">
        <v>42836</v>
      </c>
      <c r="B712" s="2" t="s">
        <v>8</v>
      </c>
      <c r="C712" s="2" t="s">
        <v>322</v>
      </c>
      <c r="D712">
        <v>29</v>
      </c>
      <c r="E712">
        <f>WEEKNUM(makulatura[[#This Row],[Data_dostarczenia]],13)</f>
        <v>15</v>
      </c>
      <c r="F712" s="2">
        <f>WEEKDAY(makulatura[[#This Row],[Data_dostarczenia]],2)</f>
        <v>2</v>
      </c>
    </row>
    <row r="713" spans="1:6" x14ac:dyDescent="0.25">
      <c r="A713" s="1">
        <v>42836</v>
      </c>
      <c r="B713" s="2" t="s">
        <v>75</v>
      </c>
      <c r="C713" s="2" t="s">
        <v>46</v>
      </c>
      <c r="D713">
        <v>6</v>
      </c>
      <c r="E713">
        <f>WEEKNUM(makulatura[[#This Row],[Data_dostarczenia]],13)</f>
        <v>15</v>
      </c>
      <c r="F713" s="2">
        <f>WEEKDAY(makulatura[[#This Row],[Data_dostarczenia]],2)</f>
        <v>2</v>
      </c>
    </row>
    <row r="714" spans="1:6" x14ac:dyDescent="0.25">
      <c r="A714" s="1">
        <v>42836</v>
      </c>
      <c r="B714" s="2" t="s">
        <v>189</v>
      </c>
      <c r="C714" s="2" t="s">
        <v>190</v>
      </c>
      <c r="D714">
        <v>12</v>
      </c>
      <c r="E714">
        <f>WEEKNUM(makulatura[[#This Row],[Data_dostarczenia]],13)</f>
        <v>15</v>
      </c>
      <c r="F714" s="2">
        <f>WEEKDAY(makulatura[[#This Row],[Data_dostarczenia]],2)</f>
        <v>2</v>
      </c>
    </row>
    <row r="715" spans="1:6" x14ac:dyDescent="0.25">
      <c r="A715" s="1">
        <v>42836</v>
      </c>
      <c r="B715" s="2" t="s">
        <v>83</v>
      </c>
      <c r="C715" s="2" t="s">
        <v>91</v>
      </c>
      <c r="D715">
        <v>23</v>
      </c>
      <c r="E715">
        <f>WEEKNUM(makulatura[[#This Row],[Data_dostarczenia]],13)</f>
        <v>15</v>
      </c>
      <c r="F715" s="2">
        <f>WEEKDAY(makulatura[[#This Row],[Data_dostarczenia]],2)</f>
        <v>2</v>
      </c>
    </row>
    <row r="716" spans="1:6" x14ac:dyDescent="0.25">
      <c r="A716" s="1">
        <v>42836</v>
      </c>
      <c r="B716" s="2" t="s">
        <v>498</v>
      </c>
      <c r="C716" s="2" t="s">
        <v>110</v>
      </c>
      <c r="D716">
        <v>21</v>
      </c>
      <c r="E716">
        <f>WEEKNUM(makulatura[[#This Row],[Data_dostarczenia]],13)</f>
        <v>15</v>
      </c>
      <c r="F716" s="2">
        <f>WEEKDAY(makulatura[[#This Row],[Data_dostarczenia]],2)</f>
        <v>2</v>
      </c>
    </row>
    <row r="717" spans="1:6" x14ac:dyDescent="0.25">
      <c r="A717" s="1">
        <v>42836</v>
      </c>
      <c r="B717" s="2" t="s">
        <v>271</v>
      </c>
      <c r="C717" s="2" t="s">
        <v>548</v>
      </c>
      <c r="D717">
        <v>16</v>
      </c>
      <c r="E717">
        <f>WEEKNUM(makulatura[[#This Row],[Data_dostarczenia]],13)</f>
        <v>15</v>
      </c>
      <c r="F717" s="2">
        <f>WEEKDAY(makulatura[[#This Row],[Data_dostarczenia]],2)</f>
        <v>2</v>
      </c>
    </row>
    <row r="718" spans="1:6" x14ac:dyDescent="0.25">
      <c r="A718" s="1">
        <v>42836</v>
      </c>
      <c r="B718" s="2" t="s">
        <v>365</v>
      </c>
      <c r="C718" s="2" t="s">
        <v>366</v>
      </c>
      <c r="D718">
        <v>21</v>
      </c>
      <c r="E718">
        <f>WEEKNUM(makulatura[[#This Row],[Data_dostarczenia]],13)</f>
        <v>15</v>
      </c>
      <c r="F718" s="2">
        <f>WEEKDAY(makulatura[[#This Row],[Data_dostarczenia]],2)</f>
        <v>2</v>
      </c>
    </row>
    <row r="719" spans="1:6" x14ac:dyDescent="0.25">
      <c r="A719" s="1">
        <v>42837</v>
      </c>
      <c r="B719" s="2" t="s">
        <v>246</v>
      </c>
      <c r="C719" s="2" t="s">
        <v>247</v>
      </c>
      <c r="D719">
        <v>25</v>
      </c>
      <c r="E719">
        <f>WEEKNUM(makulatura[[#This Row],[Data_dostarczenia]],13)</f>
        <v>16</v>
      </c>
      <c r="F719" s="2">
        <f>WEEKDAY(makulatura[[#This Row],[Data_dostarczenia]],2)</f>
        <v>3</v>
      </c>
    </row>
    <row r="720" spans="1:6" x14ac:dyDescent="0.25">
      <c r="A720" s="1">
        <v>42837</v>
      </c>
      <c r="B720" s="2" t="s">
        <v>484</v>
      </c>
      <c r="C720" s="2" t="s">
        <v>485</v>
      </c>
      <c r="D720">
        <v>4</v>
      </c>
      <c r="E720">
        <f>WEEKNUM(makulatura[[#This Row],[Data_dostarczenia]],13)</f>
        <v>16</v>
      </c>
      <c r="F720" s="2">
        <f>WEEKDAY(makulatura[[#This Row],[Data_dostarczenia]],2)</f>
        <v>3</v>
      </c>
    </row>
    <row r="721" spans="1:6" x14ac:dyDescent="0.25">
      <c r="A721" s="1">
        <v>42837</v>
      </c>
      <c r="B721" s="2" t="s">
        <v>53</v>
      </c>
      <c r="C721" s="2" t="s">
        <v>191</v>
      </c>
      <c r="D721">
        <v>19</v>
      </c>
      <c r="E721">
        <f>WEEKNUM(makulatura[[#This Row],[Data_dostarczenia]],13)</f>
        <v>16</v>
      </c>
      <c r="F721" s="2">
        <f>WEEKDAY(makulatura[[#This Row],[Data_dostarczenia]],2)</f>
        <v>3</v>
      </c>
    </row>
    <row r="722" spans="1:6" x14ac:dyDescent="0.25">
      <c r="A722" s="1">
        <v>42837</v>
      </c>
      <c r="B722" s="2" t="s">
        <v>92</v>
      </c>
      <c r="C722" s="2" t="s">
        <v>93</v>
      </c>
      <c r="D722">
        <v>17</v>
      </c>
      <c r="E722">
        <f>WEEKNUM(makulatura[[#This Row],[Data_dostarczenia]],13)</f>
        <v>16</v>
      </c>
      <c r="F722" s="2">
        <f>WEEKDAY(makulatura[[#This Row],[Data_dostarczenia]],2)</f>
        <v>3</v>
      </c>
    </row>
    <row r="723" spans="1:6" x14ac:dyDescent="0.25">
      <c r="A723" s="1">
        <v>42837</v>
      </c>
      <c r="B723" s="2" t="s">
        <v>12</v>
      </c>
      <c r="C723" s="2" t="s">
        <v>549</v>
      </c>
      <c r="D723">
        <v>9</v>
      </c>
      <c r="E723">
        <f>WEEKNUM(makulatura[[#This Row],[Data_dostarczenia]],13)</f>
        <v>16</v>
      </c>
      <c r="F723" s="2">
        <f>WEEKDAY(makulatura[[#This Row],[Data_dostarczenia]],2)</f>
        <v>3</v>
      </c>
    </row>
    <row r="724" spans="1:6" x14ac:dyDescent="0.25">
      <c r="A724" s="1">
        <v>42837</v>
      </c>
      <c r="B724" s="2" t="s">
        <v>329</v>
      </c>
      <c r="C724" s="2" t="s">
        <v>330</v>
      </c>
      <c r="D724">
        <v>8</v>
      </c>
      <c r="E724">
        <f>WEEKNUM(makulatura[[#This Row],[Data_dostarczenia]],13)</f>
        <v>16</v>
      </c>
      <c r="F724" s="2">
        <f>WEEKDAY(makulatura[[#This Row],[Data_dostarczenia]],2)</f>
        <v>3</v>
      </c>
    </row>
    <row r="725" spans="1:6" x14ac:dyDescent="0.25">
      <c r="A725" s="1">
        <v>42837</v>
      </c>
      <c r="B725" s="2" t="s">
        <v>232</v>
      </c>
      <c r="C725" s="2" t="s">
        <v>378</v>
      </c>
      <c r="D725">
        <v>11</v>
      </c>
      <c r="E725">
        <f>WEEKNUM(makulatura[[#This Row],[Data_dostarczenia]],13)</f>
        <v>16</v>
      </c>
      <c r="F725" s="2">
        <f>WEEKDAY(makulatura[[#This Row],[Data_dostarczenia]],2)</f>
        <v>3</v>
      </c>
    </row>
    <row r="726" spans="1:6" x14ac:dyDescent="0.25">
      <c r="A726" s="1">
        <v>42837</v>
      </c>
      <c r="B726" s="2" t="s">
        <v>244</v>
      </c>
      <c r="C726" s="2" t="s">
        <v>245</v>
      </c>
      <c r="D726">
        <v>26</v>
      </c>
      <c r="E726">
        <f>WEEKNUM(makulatura[[#This Row],[Data_dostarczenia]],13)</f>
        <v>16</v>
      </c>
      <c r="F726" s="2">
        <f>WEEKDAY(makulatura[[#This Row],[Data_dostarczenia]],2)</f>
        <v>3</v>
      </c>
    </row>
    <row r="727" spans="1:6" x14ac:dyDescent="0.25">
      <c r="A727" s="1">
        <v>42837</v>
      </c>
      <c r="B727" s="2" t="s">
        <v>141</v>
      </c>
      <c r="C727" s="2" t="s">
        <v>550</v>
      </c>
      <c r="D727">
        <v>23</v>
      </c>
      <c r="E727">
        <f>WEEKNUM(makulatura[[#This Row],[Data_dostarczenia]],13)</f>
        <v>16</v>
      </c>
      <c r="F727" s="2">
        <f>WEEKDAY(makulatura[[#This Row],[Data_dostarczenia]],2)</f>
        <v>3</v>
      </c>
    </row>
    <row r="728" spans="1:6" x14ac:dyDescent="0.25">
      <c r="A728" s="1">
        <v>42838</v>
      </c>
      <c r="B728" s="2" t="s">
        <v>203</v>
      </c>
      <c r="C728" s="2" t="s">
        <v>370</v>
      </c>
      <c r="D728">
        <v>55</v>
      </c>
      <c r="E728">
        <f>WEEKNUM(makulatura[[#This Row],[Data_dostarczenia]],13)</f>
        <v>16</v>
      </c>
      <c r="F728" s="2">
        <f>WEEKDAY(makulatura[[#This Row],[Data_dostarczenia]],2)</f>
        <v>4</v>
      </c>
    </row>
    <row r="729" spans="1:6" x14ac:dyDescent="0.25">
      <c r="A729" s="1">
        <v>42838</v>
      </c>
      <c r="B729" s="2" t="s">
        <v>171</v>
      </c>
      <c r="C729" s="2" t="s">
        <v>172</v>
      </c>
      <c r="D729">
        <v>38</v>
      </c>
      <c r="E729">
        <f>WEEKNUM(makulatura[[#This Row],[Data_dostarczenia]],13)</f>
        <v>16</v>
      </c>
      <c r="F729" s="2">
        <f>WEEKDAY(makulatura[[#This Row],[Data_dostarczenia]],2)</f>
        <v>4</v>
      </c>
    </row>
    <row r="730" spans="1:6" x14ac:dyDescent="0.25">
      <c r="A730" s="1">
        <v>42838</v>
      </c>
      <c r="B730" s="2" t="s">
        <v>97</v>
      </c>
      <c r="C730" s="2" t="s">
        <v>309</v>
      </c>
      <c r="D730">
        <v>9</v>
      </c>
      <c r="E730">
        <f>WEEKNUM(makulatura[[#This Row],[Data_dostarczenia]],13)</f>
        <v>16</v>
      </c>
      <c r="F730" s="2">
        <f>WEEKDAY(makulatura[[#This Row],[Data_dostarczenia]],2)</f>
        <v>4</v>
      </c>
    </row>
    <row r="731" spans="1:6" x14ac:dyDescent="0.25">
      <c r="A731" s="1">
        <v>42838</v>
      </c>
      <c r="B731" s="2" t="s">
        <v>221</v>
      </c>
      <c r="C731" s="2" t="s">
        <v>551</v>
      </c>
      <c r="D731">
        <v>34</v>
      </c>
      <c r="E731">
        <f>WEEKNUM(makulatura[[#This Row],[Data_dostarczenia]],13)</f>
        <v>16</v>
      </c>
      <c r="F731" s="2">
        <f>WEEKDAY(makulatura[[#This Row],[Data_dostarczenia]],2)</f>
        <v>4</v>
      </c>
    </row>
    <row r="732" spans="1:6" x14ac:dyDescent="0.25">
      <c r="A732" s="1">
        <v>42838</v>
      </c>
      <c r="B732" s="2" t="s">
        <v>232</v>
      </c>
      <c r="C732" s="2" t="s">
        <v>487</v>
      </c>
      <c r="D732">
        <v>14</v>
      </c>
      <c r="E732">
        <f>WEEKNUM(makulatura[[#This Row],[Data_dostarczenia]],13)</f>
        <v>16</v>
      </c>
      <c r="F732" s="2">
        <f>WEEKDAY(makulatura[[#This Row],[Data_dostarczenia]],2)</f>
        <v>4</v>
      </c>
    </row>
    <row r="733" spans="1:6" x14ac:dyDescent="0.25">
      <c r="A733" s="1">
        <v>42838</v>
      </c>
      <c r="B733" s="2" t="s">
        <v>69</v>
      </c>
      <c r="C733" s="2" t="s">
        <v>70</v>
      </c>
      <c r="D733">
        <v>5</v>
      </c>
      <c r="E733">
        <f>WEEKNUM(makulatura[[#This Row],[Data_dostarczenia]],13)</f>
        <v>16</v>
      </c>
      <c r="F733" s="2">
        <f>WEEKDAY(makulatura[[#This Row],[Data_dostarczenia]],2)</f>
        <v>4</v>
      </c>
    </row>
    <row r="734" spans="1:6" x14ac:dyDescent="0.25">
      <c r="A734" s="1">
        <v>42838</v>
      </c>
      <c r="B734" s="2" t="s">
        <v>41</v>
      </c>
      <c r="C734" s="2" t="s">
        <v>302</v>
      </c>
      <c r="D734">
        <v>2</v>
      </c>
      <c r="E734">
        <f>WEEKNUM(makulatura[[#This Row],[Data_dostarczenia]],13)</f>
        <v>16</v>
      </c>
      <c r="F734" s="2">
        <f>WEEKDAY(makulatura[[#This Row],[Data_dostarczenia]],2)</f>
        <v>4</v>
      </c>
    </row>
    <row r="735" spans="1:6" x14ac:dyDescent="0.25">
      <c r="A735" s="1">
        <v>42838</v>
      </c>
      <c r="B735" s="2" t="s">
        <v>144</v>
      </c>
      <c r="C735" s="2" t="s">
        <v>145</v>
      </c>
      <c r="D735">
        <v>20</v>
      </c>
      <c r="E735">
        <f>WEEKNUM(makulatura[[#This Row],[Data_dostarczenia]],13)</f>
        <v>16</v>
      </c>
      <c r="F735" s="2">
        <f>WEEKDAY(makulatura[[#This Row],[Data_dostarczenia]],2)</f>
        <v>4</v>
      </c>
    </row>
    <row r="736" spans="1:6" x14ac:dyDescent="0.25">
      <c r="A736" s="1">
        <v>42838</v>
      </c>
      <c r="B736" s="2" t="s">
        <v>18</v>
      </c>
      <c r="C736" s="2" t="s">
        <v>19</v>
      </c>
      <c r="D736">
        <v>6</v>
      </c>
      <c r="E736">
        <f>WEEKNUM(makulatura[[#This Row],[Data_dostarczenia]],13)</f>
        <v>16</v>
      </c>
      <c r="F736" s="2">
        <f>WEEKDAY(makulatura[[#This Row],[Data_dostarczenia]],2)</f>
        <v>4</v>
      </c>
    </row>
    <row r="737" spans="1:6" x14ac:dyDescent="0.25">
      <c r="A737" s="1">
        <v>42838</v>
      </c>
      <c r="B737" s="2" t="s">
        <v>83</v>
      </c>
      <c r="C737" s="2" t="s">
        <v>136</v>
      </c>
      <c r="D737">
        <v>22</v>
      </c>
      <c r="E737">
        <f>WEEKNUM(makulatura[[#This Row],[Data_dostarczenia]],13)</f>
        <v>16</v>
      </c>
      <c r="F737" s="2">
        <f>WEEKDAY(makulatura[[#This Row],[Data_dostarczenia]],2)</f>
        <v>4</v>
      </c>
    </row>
    <row r="738" spans="1:6" x14ac:dyDescent="0.25">
      <c r="A738" s="1">
        <v>42838</v>
      </c>
      <c r="B738" s="2" t="s">
        <v>169</v>
      </c>
      <c r="C738" s="2" t="s">
        <v>170</v>
      </c>
      <c r="D738">
        <v>26</v>
      </c>
      <c r="E738">
        <f>WEEKNUM(makulatura[[#This Row],[Data_dostarczenia]],13)</f>
        <v>16</v>
      </c>
      <c r="F738" s="2">
        <f>WEEKDAY(makulatura[[#This Row],[Data_dostarczenia]],2)</f>
        <v>4</v>
      </c>
    </row>
    <row r="739" spans="1:6" x14ac:dyDescent="0.25">
      <c r="A739" s="1">
        <v>42838</v>
      </c>
      <c r="B739" s="2" t="s">
        <v>69</v>
      </c>
      <c r="C739" s="2" t="s">
        <v>286</v>
      </c>
      <c r="D739">
        <v>27</v>
      </c>
      <c r="E739">
        <f>WEEKNUM(makulatura[[#This Row],[Data_dostarczenia]],13)</f>
        <v>16</v>
      </c>
      <c r="F739" s="2">
        <f>WEEKDAY(makulatura[[#This Row],[Data_dostarczenia]],2)</f>
        <v>4</v>
      </c>
    </row>
    <row r="740" spans="1:6" x14ac:dyDescent="0.25">
      <c r="A740" s="1">
        <v>42838</v>
      </c>
      <c r="B740" s="2" t="s">
        <v>141</v>
      </c>
      <c r="C740" s="2" t="s">
        <v>202</v>
      </c>
      <c r="D740">
        <v>26</v>
      </c>
      <c r="E740">
        <f>WEEKNUM(makulatura[[#This Row],[Data_dostarczenia]],13)</f>
        <v>16</v>
      </c>
      <c r="F740" s="2">
        <f>WEEKDAY(makulatura[[#This Row],[Data_dostarczenia]],2)</f>
        <v>4</v>
      </c>
    </row>
    <row r="741" spans="1:6" x14ac:dyDescent="0.25">
      <c r="A741" s="1">
        <v>42838</v>
      </c>
      <c r="B741" s="2" t="s">
        <v>43</v>
      </c>
      <c r="C741" s="2" t="s">
        <v>507</v>
      </c>
      <c r="D741">
        <v>29</v>
      </c>
      <c r="E741">
        <f>WEEKNUM(makulatura[[#This Row],[Data_dostarczenia]],13)</f>
        <v>16</v>
      </c>
      <c r="F741" s="2">
        <f>WEEKDAY(makulatura[[#This Row],[Data_dostarczenia]],2)</f>
        <v>4</v>
      </c>
    </row>
    <row r="742" spans="1:6" x14ac:dyDescent="0.25">
      <c r="A742" s="1">
        <v>42838</v>
      </c>
      <c r="B742" s="2" t="s">
        <v>106</v>
      </c>
      <c r="C742" s="2" t="s">
        <v>277</v>
      </c>
      <c r="D742">
        <v>10</v>
      </c>
      <c r="E742">
        <f>WEEKNUM(makulatura[[#This Row],[Data_dostarczenia]],13)</f>
        <v>16</v>
      </c>
      <c r="F742" s="2">
        <f>WEEKDAY(makulatura[[#This Row],[Data_dostarczenia]],2)</f>
        <v>4</v>
      </c>
    </row>
    <row r="743" spans="1:6" x14ac:dyDescent="0.25">
      <c r="A743" s="1">
        <v>42839</v>
      </c>
      <c r="B743" s="2" t="s">
        <v>167</v>
      </c>
      <c r="C743" s="2" t="s">
        <v>552</v>
      </c>
      <c r="D743">
        <v>37</v>
      </c>
      <c r="E743">
        <f>WEEKNUM(makulatura[[#This Row],[Data_dostarczenia]],13)</f>
        <v>16</v>
      </c>
      <c r="F743" s="2">
        <f>WEEKDAY(makulatura[[#This Row],[Data_dostarczenia]],2)</f>
        <v>5</v>
      </c>
    </row>
    <row r="744" spans="1:6" x14ac:dyDescent="0.25">
      <c r="A744" s="1">
        <v>42839</v>
      </c>
      <c r="B744" s="2" t="s">
        <v>232</v>
      </c>
      <c r="C744" s="2" t="s">
        <v>405</v>
      </c>
      <c r="D744">
        <v>7</v>
      </c>
      <c r="E744">
        <f>WEEKNUM(makulatura[[#This Row],[Data_dostarczenia]],13)</f>
        <v>16</v>
      </c>
      <c r="F744" s="2">
        <f>WEEKDAY(makulatura[[#This Row],[Data_dostarczenia]],2)</f>
        <v>5</v>
      </c>
    </row>
    <row r="745" spans="1:6" x14ac:dyDescent="0.25">
      <c r="A745" s="1">
        <v>42839</v>
      </c>
      <c r="B745" s="2" t="s">
        <v>101</v>
      </c>
      <c r="C745" s="2" t="s">
        <v>293</v>
      </c>
      <c r="D745">
        <v>44</v>
      </c>
      <c r="E745">
        <f>WEEKNUM(makulatura[[#This Row],[Data_dostarczenia]],13)</f>
        <v>16</v>
      </c>
      <c r="F745" s="2">
        <f>WEEKDAY(makulatura[[#This Row],[Data_dostarczenia]],2)</f>
        <v>5</v>
      </c>
    </row>
    <row r="746" spans="1:6" x14ac:dyDescent="0.25">
      <c r="A746" s="1">
        <v>42839</v>
      </c>
      <c r="B746" s="2" t="s">
        <v>367</v>
      </c>
      <c r="C746" s="2" t="s">
        <v>368</v>
      </c>
      <c r="D746">
        <v>11</v>
      </c>
      <c r="E746">
        <f>WEEKNUM(makulatura[[#This Row],[Data_dostarczenia]],13)</f>
        <v>16</v>
      </c>
      <c r="F746" s="2">
        <f>WEEKDAY(makulatura[[#This Row],[Data_dostarczenia]],2)</f>
        <v>5</v>
      </c>
    </row>
    <row r="747" spans="1:6" x14ac:dyDescent="0.25">
      <c r="A747" s="1">
        <v>42839</v>
      </c>
      <c r="B747" s="2" t="s">
        <v>553</v>
      </c>
      <c r="C747" s="2" t="s">
        <v>554</v>
      </c>
      <c r="D747">
        <v>25</v>
      </c>
      <c r="E747">
        <f>WEEKNUM(makulatura[[#This Row],[Data_dostarczenia]],13)</f>
        <v>16</v>
      </c>
      <c r="F747" s="2">
        <f>WEEKDAY(makulatura[[#This Row],[Data_dostarczenia]],2)</f>
        <v>5</v>
      </c>
    </row>
    <row r="748" spans="1:6" x14ac:dyDescent="0.25">
      <c r="A748" s="1">
        <v>42839</v>
      </c>
      <c r="B748" s="2" t="s">
        <v>412</v>
      </c>
      <c r="C748" s="2" t="s">
        <v>413</v>
      </c>
      <c r="D748">
        <v>18</v>
      </c>
      <c r="E748">
        <f>WEEKNUM(makulatura[[#This Row],[Data_dostarczenia]],13)</f>
        <v>16</v>
      </c>
      <c r="F748" s="2">
        <f>WEEKDAY(makulatura[[#This Row],[Data_dostarczenia]],2)</f>
        <v>5</v>
      </c>
    </row>
    <row r="749" spans="1:6" x14ac:dyDescent="0.25">
      <c r="A749" s="1">
        <v>42842</v>
      </c>
      <c r="B749" s="2" t="s">
        <v>528</v>
      </c>
      <c r="C749" s="2" t="s">
        <v>428</v>
      </c>
      <c r="D749">
        <v>44</v>
      </c>
      <c r="E749">
        <f>WEEKNUM(makulatura[[#This Row],[Data_dostarczenia]],13)</f>
        <v>16</v>
      </c>
      <c r="F749" s="2">
        <f>WEEKDAY(makulatura[[#This Row],[Data_dostarczenia]],2)</f>
        <v>1</v>
      </c>
    </row>
    <row r="750" spans="1:6" x14ac:dyDescent="0.25">
      <c r="A750" s="1">
        <v>42842</v>
      </c>
      <c r="B750" s="2" t="s">
        <v>119</v>
      </c>
      <c r="C750" s="2" t="s">
        <v>319</v>
      </c>
      <c r="D750">
        <v>26</v>
      </c>
      <c r="E750">
        <f>WEEKNUM(makulatura[[#This Row],[Data_dostarczenia]],13)</f>
        <v>16</v>
      </c>
      <c r="F750" s="2">
        <f>WEEKDAY(makulatura[[#This Row],[Data_dostarczenia]],2)</f>
        <v>1</v>
      </c>
    </row>
    <row r="751" spans="1:6" x14ac:dyDescent="0.25">
      <c r="A751" s="1">
        <v>42842</v>
      </c>
      <c r="B751" s="2" t="s">
        <v>193</v>
      </c>
      <c r="C751" s="2" t="s">
        <v>555</v>
      </c>
      <c r="D751">
        <v>7</v>
      </c>
      <c r="E751">
        <f>WEEKNUM(makulatura[[#This Row],[Data_dostarczenia]],13)</f>
        <v>16</v>
      </c>
      <c r="F751" s="2">
        <f>WEEKDAY(makulatura[[#This Row],[Data_dostarczenia]],2)</f>
        <v>1</v>
      </c>
    </row>
    <row r="752" spans="1:6" x14ac:dyDescent="0.25">
      <c r="A752" s="1">
        <v>42842</v>
      </c>
      <c r="B752" s="2" t="s">
        <v>43</v>
      </c>
      <c r="C752" s="2" t="s">
        <v>71</v>
      </c>
      <c r="D752">
        <v>41</v>
      </c>
      <c r="E752">
        <f>WEEKNUM(makulatura[[#This Row],[Data_dostarczenia]],13)</f>
        <v>16</v>
      </c>
      <c r="F752" s="2">
        <f>WEEKDAY(makulatura[[#This Row],[Data_dostarczenia]],2)</f>
        <v>1</v>
      </c>
    </row>
    <row r="753" spans="1:6" x14ac:dyDescent="0.25">
      <c r="A753" s="1">
        <v>42842</v>
      </c>
      <c r="B753" s="2" t="s">
        <v>232</v>
      </c>
      <c r="C753" s="2" t="s">
        <v>526</v>
      </c>
      <c r="D753">
        <v>46</v>
      </c>
      <c r="E753">
        <f>WEEKNUM(makulatura[[#This Row],[Data_dostarczenia]],13)</f>
        <v>16</v>
      </c>
      <c r="F753" s="2">
        <f>WEEKDAY(makulatura[[#This Row],[Data_dostarczenia]],2)</f>
        <v>1</v>
      </c>
    </row>
    <row r="754" spans="1:6" x14ac:dyDescent="0.25">
      <c r="A754" s="1">
        <v>42842</v>
      </c>
      <c r="B754" s="2" t="s">
        <v>18</v>
      </c>
      <c r="C754" s="2" t="s">
        <v>392</v>
      </c>
      <c r="D754">
        <v>52</v>
      </c>
      <c r="E754">
        <f>WEEKNUM(makulatura[[#This Row],[Data_dostarczenia]],13)</f>
        <v>16</v>
      </c>
      <c r="F754" s="2">
        <f>WEEKDAY(makulatura[[#This Row],[Data_dostarczenia]],2)</f>
        <v>1</v>
      </c>
    </row>
    <row r="755" spans="1:6" x14ac:dyDescent="0.25">
      <c r="A755" s="1">
        <v>42843</v>
      </c>
      <c r="B755" s="2" t="s">
        <v>12</v>
      </c>
      <c r="C755" s="2" t="s">
        <v>386</v>
      </c>
      <c r="D755">
        <v>6</v>
      </c>
      <c r="E755">
        <f>WEEKNUM(makulatura[[#This Row],[Data_dostarczenia]],13)</f>
        <v>16</v>
      </c>
      <c r="F755" s="2">
        <f>WEEKDAY(makulatura[[#This Row],[Data_dostarczenia]],2)</f>
        <v>2</v>
      </c>
    </row>
    <row r="756" spans="1:6" x14ac:dyDescent="0.25">
      <c r="A756" s="1">
        <v>42843</v>
      </c>
      <c r="B756" s="2" t="s">
        <v>51</v>
      </c>
      <c r="C756" s="2" t="s">
        <v>358</v>
      </c>
      <c r="D756">
        <v>23</v>
      </c>
      <c r="E756">
        <f>WEEKNUM(makulatura[[#This Row],[Data_dostarczenia]],13)</f>
        <v>16</v>
      </c>
      <c r="F756" s="2">
        <f>WEEKDAY(makulatura[[#This Row],[Data_dostarczenia]],2)</f>
        <v>2</v>
      </c>
    </row>
    <row r="757" spans="1:6" x14ac:dyDescent="0.25">
      <c r="A757" s="1">
        <v>42843</v>
      </c>
      <c r="B757" s="2" t="s">
        <v>275</v>
      </c>
      <c r="C757" s="2" t="s">
        <v>276</v>
      </c>
      <c r="D757">
        <v>22</v>
      </c>
      <c r="E757">
        <f>WEEKNUM(makulatura[[#This Row],[Data_dostarczenia]],13)</f>
        <v>16</v>
      </c>
      <c r="F757" s="2">
        <f>WEEKDAY(makulatura[[#This Row],[Data_dostarczenia]],2)</f>
        <v>2</v>
      </c>
    </row>
    <row r="758" spans="1:6" x14ac:dyDescent="0.25">
      <c r="A758" s="1">
        <v>42843</v>
      </c>
      <c r="B758" s="2" t="s">
        <v>131</v>
      </c>
      <c r="C758" s="2" t="s">
        <v>451</v>
      </c>
      <c r="D758">
        <v>21</v>
      </c>
      <c r="E758">
        <f>WEEKNUM(makulatura[[#This Row],[Data_dostarczenia]],13)</f>
        <v>16</v>
      </c>
      <c r="F758" s="2">
        <f>WEEKDAY(makulatura[[#This Row],[Data_dostarczenia]],2)</f>
        <v>2</v>
      </c>
    </row>
    <row r="759" spans="1:6" x14ac:dyDescent="0.25">
      <c r="A759" s="1">
        <v>42843</v>
      </c>
      <c r="B759" s="2" t="s">
        <v>30</v>
      </c>
      <c r="C759" s="2" t="s">
        <v>387</v>
      </c>
      <c r="D759">
        <v>29</v>
      </c>
      <c r="E759">
        <f>WEEKNUM(makulatura[[#This Row],[Data_dostarczenia]],13)</f>
        <v>16</v>
      </c>
      <c r="F759" s="2">
        <f>WEEKDAY(makulatura[[#This Row],[Data_dostarczenia]],2)</f>
        <v>2</v>
      </c>
    </row>
    <row r="760" spans="1:6" x14ac:dyDescent="0.25">
      <c r="A760" s="1">
        <v>42843</v>
      </c>
      <c r="B760" s="2" t="s">
        <v>150</v>
      </c>
      <c r="C760" s="2" t="s">
        <v>556</v>
      </c>
      <c r="D760">
        <v>21</v>
      </c>
      <c r="E760">
        <f>WEEKNUM(makulatura[[#This Row],[Data_dostarczenia]],13)</f>
        <v>16</v>
      </c>
      <c r="F760" s="2">
        <f>WEEKDAY(makulatura[[#This Row],[Data_dostarczenia]],2)</f>
        <v>2</v>
      </c>
    </row>
    <row r="761" spans="1:6" x14ac:dyDescent="0.25">
      <c r="A761" s="1">
        <v>42844</v>
      </c>
      <c r="B761" s="2" t="s">
        <v>484</v>
      </c>
      <c r="C761" s="2" t="s">
        <v>485</v>
      </c>
      <c r="D761">
        <v>3</v>
      </c>
      <c r="E761">
        <f>WEEKNUM(makulatura[[#This Row],[Data_dostarczenia]],13)</f>
        <v>17</v>
      </c>
      <c r="F761" s="2">
        <f>WEEKDAY(makulatura[[#This Row],[Data_dostarczenia]],2)</f>
        <v>3</v>
      </c>
    </row>
    <row r="762" spans="1:6" x14ac:dyDescent="0.25">
      <c r="A762" s="1">
        <v>42844</v>
      </c>
      <c r="B762" s="2" t="s">
        <v>34</v>
      </c>
      <c r="C762" s="2" t="s">
        <v>557</v>
      </c>
      <c r="D762">
        <v>29</v>
      </c>
      <c r="E762">
        <f>WEEKNUM(makulatura[[#This Row],[Data_dostarczenia]],13)</f>
        <v>17</v>
      </c>
      <c r="F762" s="2">
        <f>WEEKDAY(makulatura[[#This Row],[Data_dostarczenia]],2)</f>
        <v>3</v>
      </c>
    </row>
    <row r="763" spans="1:6" x14ac:dyDescent="0.25">
      <c r="A763" s="1">
        <v>42844</v>
      </c>
      <c r="B763" s="2" t="s">
        <v>427</v>
      </c>
      <c r="C763" s="2" t="s">
        <v>558</v>
      </c>
      <c r="D763">
        <v>56</v>
      </c>
      <c r="E763">
        <f>WEEKNUM(makulatura[[#This Row],[Data_dostarczenia]],13)</f>
        <v>17</v>
      </c>
      <c r="F763" s="2">
        <f>WEEKDAY(makulatura[[#This Row],[Data_dostarczenia]],2)</f>
        <v>3</v>
      </c>
    </row>
    <row r="764" spans="1:6" x14ac:dyDescent="0.25">
      <c r="A764" s="1">
        <v>42844</v>
      </c>
      <c r="B764" s="2" t="s">
        <v>201</v>
      </c>
      <c r="C764" s="2" t="s">
        <v>202</v>
      </c>
      <c r="D764">
        <v>15</v>
      </c>
      <c r="E764">
        <f>WEEKNUM(makulatura[[#This Row],[Data_dostarczenia]],13)</f>
        <v>17</v>
      </c>
      <c r="F764" s="2">
        <f>WEEKDAY(makulatura[[#This Row],[Data_dostarczenia]],2)</f>
        <v>3</v>
      </c>
    </row>
    <row r="765" spans="1:6" x14ac:dyDescent="0.25">
      <c r="A765" s="1">
        <v>42844</v>
      </c>
      <c r="B765" s="2" t="s">
        <v>193</v>
      </c>
      <c r="C765" s="2" t="s">
        <v>194</v>
      </c>
      <c r="D765">
        <v>12</v>
      </c>
      <c r="E765">
        <f>WEEKNUM(makulatura[[#This Row],[Data_dostarczenia]],13)</f>
        <v>17</v>
      </c>
      <c r="F765" s="2">
        <f>WEEKDAY(makulatura[[#This Row],[Data_dostarczenia]],2)</f>
        <v>3</v>
      </c>
    </row>
    <row r="766" spans="1:6" x14ac:dyDescent="0.25">
      <c r="A766" s="1">
        <v>42844</v>
      </c>
      <c r="B766" s="2" t="s">
        <v>55</v>
      </c>
      <c r="C766" s="2" t="s">
        <v>56</v>
      </c>
      <c r="D766">
        <v>19</v>
      </c>
      <c r="E766">
        <f>WEEKNUM(makulatura[[#This Row],[Data_dostarczenia]],13)</f>
        <v>17</v>
      </c>
      <c r="F766" s="2">
        <f>WEEKDAY(makulatura[[#This Row],[Data_dostarczenia]],2)</f>
        <v>3</v>
      </c>
    </row>
    <row r="767" spans="1:6" x14ac:dyDescent="0.25">
      <c r="A767" s="1">
        <v>42845</v>
      </c>
      <c r="B767" s="2" t="s">
        <v>416</v>
      </c>
      <c r="C767" s="2" t="s">
        <v>417</v>
      </c>
      <c r="D767">
        <v>14</v>
      </c>
      <c r="E767">
        <f>WEEKNUM(makulatura[[#This Row],[Data_dostarczenia]],13)</f>
        <v>17</v>
      </c>
      <c r="F767" s="2">
        <f>WEEKDAY(makulatura[[#This Row],[Data_dostarczenia]],2)</f>
        <v>4</v>
      </c>
    </row>
    <row r="768" spans="1:6" x14ac:dyDescent="0.25">
      <c r="A768" s="1">
        <v>42845</v>
      </c>
      <c r="B768" s="2" t="s">
        <v>234</v>
      </c>
      <c r="C768" s="2" t="s">
        <v>516</v>
      </c>
      <c r="D768">
        <v>42</v>
      </c>
      <c r="E768">
        <f>WEEKNUM(makulatura[[#This Row],[Data_dostarczenia]],13)</f>
        <v>17</v>
      </c>
      <c r="F768" s="2">
        <f>WEEKDAY(makulatura[[#This Row],[Data_dostarczenia]],2)</f>
        <v>4</v>
      </c>
    </row>
    <row r="769" spans="1:6" x14ac:dyDescent="0.25">
      <c r="A769" s="1">
        <v>42845</v>
      </c>
      <c r="B769" s="2" t="s">
        <v>128</v>
      </c>
      <c r="C769" s="2" t="s">
        <v>559</v>
      </c>
      <c r="D769">
        <v>10</v>
      </c>
      <c r="E769">
        <f>WEEKNUM(makulatura[[#This Row],[Data_dostarczenia]],13)</f>
        <v>17</v>
      </c>
      <c r="F769" s="2">
        <f>WEEKDAY(makulatura[[#This Row],[Data_dostarczenia]],2)</f>
        <v>4</v>
      </c>
    </row>
    <row r="770" spans="1:6" x14ac:dyDescent="0.25">
      <c r="A770" s="1">
        <v>42845</v>
      </c>
      <c r="B770" s="2" t="s">
        <v>55</v>
      </c>
      <c r="C770" s="2" t="s">
        <v>184</v>
      </c>
      <c r="D770">
        <v>20</v>
      </c>
      <c r="E770">
        <f>WEEKNUM(makulatura[[#This Row],[Data_dostarczenia]],13)</f>
        <v>17</v>
      </c>
      <c r="F770" s="2">
        <f>WEEKDAY(makulatura[[#This Row],[Data_dostarczenia]],2)</f>
        <v>4</v>
      </c>
    </row>
    <row r="771" spans="1:6" x14ac:dyDescent="0.25">
      <c r="A771" s="1">
        <v>42845</v>
      </c>
      <c r="B771" s="2" t="s">
        <v>361</v>
      </c>
      <c r="C771" s="2" t="s">
        <v>362</v>
      </c>
      <c r="D771">
        <v>51</v>
      </c>
      <c r="E771">
        <f>WEEKNUM(makulatura[[#This Row],[Data_dostarczenia]],13)</f>
        <v>17</v>
      </c>
      <c r="F771" s="2">
        <f>WEEKDAY(makulatura[[#This Row],[Data_dostarczenia]],2)</f>
        <v>4</v>
      </c>
    </row>
    <row r="772" spans="1:6" x14ac:dyDescent="0.25">
      <c r="A772" s="1">
        <v>42845</v>
      </c>
      <c r="B772" s="2" t="s">
        <v>36</v>
      </c>
      <c r="C772" s="2" t="s">
        <v>560</v>
      </c>
      <c r="D772">
        <v>35</v>
      </c>
      <c r="E772">
        <f>WEEKNUM(makulatura[[#This Row],[Data_dostarczenia]],13)</f>
        <v>17</v>
      </c>
      <c r="F772" s="2">
        <f>WEEKDAY(makulatura[[#This Row],[Data_dostarczenia]],2)</f>
        <v>4</v>
      </c>
    </row>
    <row r="773" spans="1:6" x14ac:dyDescent="0.25">
      <c r="A773" s="1">
        <v>42846</v>
      </c>
      <c r="B773" s="2" t="s">
        <v>83</v>
      </c>
      <c r="C773" s="2" t="s">
        <v>561</v>
      </c>
      <c r="D773">
        <v>45</v>
      </c>
      <c r="E773">
        <f>WEEKNUM(makulatura[[#This Row],[Data_dostarczenia]],13)</f>
        <v>17</v>
      </c>
      <c r="F773" s="2">
        <f>WEEKDAY(makulatura[[#This Row],[Data_dostarczenia]],2)</f>
        <v>5</v>
      </c>
    </row>
    <row r="774" spans="1:6" x14ac:dyDescent="0.25">
      <c r="A774" s="1">
        <v>42846</v>
      </c>
      <c r="B774" s="2" t="s">
        <v>87</v>
      </c>
      <c r="C774" s="2" t="s">
        <v>255</v>
      </c>
      <c r="D774">
        <v>29</v>
      </c>
      <c r="E774">
        <f>WEEKNUM(makulatura[[#This Row],[Data_dostarczenia]],13)</f>
        <v>17</v>
      </c>
      <c r="F774" s="2">
        <f>WEEKDAY(makulatura[[#This Row],[Data_dostarczenia]],2)</f>
        <v>5</v>
      </c>
    </row>
    <row r="775" spans="1:6" x14ac:dyDescent="0.25">
      <c r="A775" s="1">
        <v>42846</v>
      </c>
      <c r="B775" s="2" t="s">
        <v>43</v>
      </c>
      <c r="C775" s="2" t="s">
        <v>507</v>
      </c>
      <c r="D775">
        <v>5</v>
      </c>
      <c r="E775">
        <f>WEEKNUM(makulatura[[#This Row],[Data_dostarczenia]],13)</f>
        <v>17</v>
      </c>
      <c r="F775" s="2">
        <f>WEEKDAY(makulatura[[#This Row],[Data_dostarczenia]],2)</f>
        <v>5</v>
      </c>
    </row>
    <row r="776" spans="1:6" x14ac:dyDescent="0.25">
      <c r="A776" s="1">
        <v>42846</v>
      </c>
      <c r="B776" s="2" t="s">
        <v>4</v>
      </c>
      <c r="C776" s="2" t="s">
        <v>197</v>
      </c>
      <c r="D776">
        <v>16</v>
      </c>
      <c r="E776">
        <f>WEEKNUM(makulatura[[#This Row],[Data_dostarczenia]],13)</f>
        <v>17</v>
      </c>
      <c r="F776" s="2">
        <f>WEEKDAY(makulatura[[#This Row],[Data_dostarczenia]],2)</f>
        <v>5</v>
      </c>
    </row>
    <row r="777" spans="1:6" x14ac:dyDescent="0.25">
      <c r="A777" s="1">
        <v>42846</v>
      </c>
      <c r="B777" s="2" t="s">
        <v>352</v>
      </c>
      <c r="C777" s="2" t="s">
        <v>363</v>
      </c>
      <c r="D777">
        <v>25</v>
      </c>
      <c r="E777">
        <f>WEEKNUM(makulatura[[#This Row],[Data_dostarczenia]],13)</f>
        <v>17</v>
      </c>
      <c r="F777" s="2">
        <f>WEEKDAY(makulatura[[#This Row],[Data_dostarczenia]],2)</f>
        <v>5</v>
      </c>
    </row>
    <row r="778" spans="1:6" x14ac:dyDescent="0.25">
      <c r="A778" s="1">
        <v>42846</v>
      </c>
      <c r="B778" s="2" t="s">
        <v>171</v>
      </c>
      <c r="C778" s="2" t="s">
        <v>562</v>
      </c>
      <c r="D778">
        <v>38</v>
      </c>
      <c r="E778">
        <f>WEEKNUM(makulatura[[#This Row],[Data_dostarczenia]],13)</f>
        <v>17</v>
      </c>
      <c r="F778" s="2">
        <f>WEEKDAY(makulatura[[#This Row],[Data_dostarczenia]],2)</f>
        <v>5</v>
      </c>
    </row>
    <row r="779" spans="1:6" x14ac:dyDescent="0.25">
      <c r="A779" s="1">
        <v>42849</v>
      </c>
      <c r="B779" s="2" t="s">
        <v>178</v>
      </c>
      <c r="C779" s="2" t="s">
        <v>179</v>
      </c>
      <c r="D779">
        <v>33</v>
      </c>
      <c r="E779">
        <f>WEEKNUM(makulatura[[#This Row],[Data_dostarczenia]],13)</f>
        <v>17</v>
      </c>
      <c r="F779" s="2">
        <f>WEEKDAY(makulatura[[#This Row],[Data_dostarczenia]],2)</f>
        <v>1</v>
      </c>
    </row>
    <row r="780" spans="1:6" x14ac:dyDescent="0.25">
      <c r="A780" s="1">
        <v>42849</v>
      </c>
      <c r="B780" s="2" t="s">
        <v>206</v>
      </c>
      <c r="C780" s="2" t="s">
        <v>563</v>
      </c>
      <c r="D780">
        <v>48</v>
      </c>
      <c r="E780">
        <f>WEEKNUM(makulatura[[#This Row],[Data_dostarczenia]],13)</f>
        <v>17</v>
      </c>
      <c r="F780" s="2">
        <f>WEEKDAY(makulatura[[#This Row],[Data_dostarczenia]],2)</f>
        <v>1</v>
      </c>
    </row>
    <row r="781" spans="1:6" x14ac:dyDescent="0.25">
      <c r="A781" s="1">
        <v>42849</v>
      </c>
      <c r="B781" s="2" t="s">
        <v>201</v>
      </c>
      <c r="C781" s="2" t="s">
        <v>433</v>
      </c>
      <c r="D781">
        <v>14</v>
      </c>
      <c r="E781">
        <f>WEEKNUM(makulatura[[#This Row],[Data_dostarczenia]],13)</f>
        <v>17</v>
      </c>
      <c r="F781" s="2">
        <f>WEEKDAY(makulatura[[#This Row],[Data_dostarczenia]],2)</f>
        <v>1</v>
      </c>
    </row>
    <row r="782" spans="1:6" x14ac:dyDescent="0.25">
      <c r="A782" s="1">
        <v>42849</v>
      </c>
      <c r="B782" s="2" t="s">
        <v>275</v>
      </c>
      <c r="C782" s="2" t="s">
        <v>276</v>
      </c>
      <c r="D782">
        <v>13</v>
      </c>
      <c r="E782">
        <f>WEEKNUM(makulatura[[#This Row],[Data_dostarczenia]],13)</f>
        <v>17</v>
      </c>
      <c r="F782" s="2">
        <f>WEEKDAY(makulatura[[#This Row],[Data_dostarczenia]],2)</f>
        <v>1</v>
      </c>
    </row>
    <row r="783" spans="1:6" x14ac:dyDescent="0.25">
      <c r="A783" s="1">
        <v>42849</v>
      </c>
      <c r="B783" s="2" t="s">
        <v>34</v>
      </c>
      <c r="C783" s="2" t="s">
        <v>564</v>
      </c>
      <c r="D783">
        <v>24</v>
      </c>
      <c r="E783">
        <f>WEEKNUM(makulatura[[#This Row],[Data_dostarczenia]],13)</f>
        <v>17</v>
      </c>
      <c r="F783" s="2">
        <f>WEEKDAY(makulatura[[#This Row],[Data_dostarczenia]],2)</f>
        <v>1</v>
      </c>
    </row>
    <row r="784" spans="1:6" x14ac:dyDescent="0.25">
      <c r="A784" s="1">
        <v>42849</v>
      </c>
      <c r="B784" s="2" t="s">
        <v>101</v>
      </c>
      <c r="C784" s="2" t="s">
        <v>102</v>
      </c>
      <c r="D784">
        <v>23</v>
      </c>
      <c r="E784">
        <f>WEEKNUM(makulatura[[#This Row],[Data_dostarczenia]],13)</f>
        <v>17</v>
      </c>
      <c r="F784" s="2">
        <f>WEEKDAY(makulatura[[#This Row],[Data_dostarczenia]],2)</f>
        <v>1</v>
      </c>
    </row>
    <row r="785" spans="1:6" x14ac:dyDescent="0.25">
      <c r="A785" s="1">
        <v>42850</v>
      </c>
      <c r="B785" s="2" t="s">
        <v>150</v>
      </c>
      <c r="C785" s="2" t="s">
        <v>297</v>
      </c>
      <c r="D785">
        <v>23</v>
      </c>
      <c r="E785">
        <f>WEEKNUM(makulatura[[#This Row],[Data_dostarczenia]],13)</f>
        <v>17</v>
      </c>
      <c r="F785" s="2">
        <f>WEEKDAY(makulatura[[#This Row],[Data_dostarczenia]],2)</f>
        <v>2</v>
      </c>
    </row>
    <row r="786" spans="1:6" x14ac:dyDescent="0.25">
      <c r="A786" s="1">
        <v>42850</v>
      </c>
      <c r="B786" s="2" t="s">
        <v>339</v>
      </c>
      <c r="C786" s="2" t="s">
        <v>565</v>
      </c>
      <c r="D786">
        <v>32</v>
      </c>
      <c r="E786">
        <f>WEEKNUM(makulatura[[#This Row],[Data_dostarczenia]],13)</f>
        <v>17</v>
      </c>
      <c r="F786" s="2">
        <f>WEEKDAY(makulatura[[#This Row],[Data_dostarczenia]],2)</f>
        <v>2</v>
      </c>
    </row>
    <row r="787" spans="1:6" x14ac:dyDescent="0.25">
      <c r="A787" s="1">
        <v>42850</v>
      </c>
      <c r="B787" s="2" t="s">
        <v>566</v>
      </c>
      <c r="C787" s="2" t="s">
        <v>567</v>
      </c>
      <c r="D787">
        <v>34</v>
      </c>
      <c r="E787">
        <f>WEEKNUM(makulatura[[#This Row],[Data_dostarczenia]],13)</f>
        <v>17</v>
      </c>
      <c r="F787" s="2">
        <f>WEEKDAY(makulatura[[#This Row],[Data_dostarczenia]],2)</f>
        <v>2</v>
      </c>
    </row>
    <row r="788" spans="1:6" x14ac:dyDescent="0.25">
      <c r="A788" s="1">
        <v>42850</v>
      </c>
      <c r="B788" s="2" t="s">
        <v>30</v>
      </c>
      <c r="C788" s="2" t="s">
        <v>387</v>
      </c>
      <c r="D788">
        <v>48</v>
      </c>
      <c r="E788">
        <f>WEEKNUM(makulatura[[#This Row],[Data_dostarczenia]],13)</f>
        <v>17</v>
      </c>
      <c r="F788" s="2">
        <f>WEEKDAY(makulatura[[#This Row],[Data_dostarczenia]],2)</f>
        <v>2</v>
      </c>
    </row>
    <row r="789" spans="1:6" x14ac:dyDescent="0.25">
      <c r="A789" s="1">
        <v>42850</v>
      </c>
      <c r="B789" s="2" t="s">
        <v>30</v>
      </c>
      <c r="C789" s="2" t="s">
        <v>568</v>
      </c>
      <c r="D789">
        <v>26</v>
      </c>
      <c r="E789">
        <f>WEEKNUM(makulatura[[#This Row],[Data_dostarczenia]],13)</f>
        <v>17</v>
      </c>
      <c r="F789" s="2">
        <f>WEEKDAY(makulatura[[#This Row],[Data_dostarczenia]],2)</f>
        <v>2</v>
      </c>
    </row>
    <row r="790" spans="1:6" x14ac:dyDescent="0.25">
      <c r="A790" s="1">
        <v>42850</v>
      </c>
      <c r="B790" s="2" t="s">
        <v>314</v>
      </c>
      <c r="C790" s="2" t="s">
        <v>315</v>
      </c>
      <c r="D790">
        <v>11</v>
      </c>
      <c r="E790">
        <f>WEEKNUM(makulatura[[#This Row],[Data_dostarczenia]],13)</f>
        <v>17</v>
      </c>
      <c r="F790" s="2">
        <f>WEEKDAY(makulatura[[#This Row],[Data_dostarczenia]],2)</f>
        <v>2</v>
      </c>
    </row>
    <row r="791" spans="1:6" x14ac:dyDescent="0.25">
      <c r="A791" s="1">
        <v>42851</v>
      </c>
      <c r="B791" s="2" t="s">
        <v>75</v>
      </c>
      <c r="C791" s="2" t="s">
        <v>264</v>
      </c>
      <c r="D791">
        <v>23</v>
      </c>
      <c r="E791">
        <f>WEEKNUM(makulatura[[#This Row],[Data_dostarczenia]],13)</f>
        <v>18</v>
      </c>
      <c r="F791" s="2">
        <f>WEEKDAY(makulatura[[#This Row],[Data_dostarczenia]],2)</f>
        <v>3</v>
      </c>
    </row>
    <row r="792" spans="1:6" x14ac:dyDescent="0.25">
      <c r="A792" s="1">
        <v>42851</v>
      </c>
      <c r="B792" s="2" t="s">
        <v>152</v>
      </c>
      <c r="C792" s="2" t="s">
        <v>153</v>
      </c>
      <c r="D792">
        <v>50</v>
      </c>
      <c r="E792">
        <f>WEEKNUM(makulatura[[#This Row],[Data_dostarczenia]],13)</f>
        <v>18</v>
      </c>
      <c r="F792" s="2">
        <f>WEEKDAY(makulatura[[#This Row],[Data_dostarczenia]],2)</f>
        <v>3</v>
      </c>
    </row>
    <row r="793" spans="1:6" x14ac:dyDescent="0.25">
      <c r="A793" s="1">
        <v>42851</v>
      </c>
      <c r="B793" s="2" t="s">
        <v>34</v>
      </c>
      <c r="C793" s="2" t="s">
        <v>564</v>
      </c>
      <c r="D793">
        <v>14</v>
      </c>
      <c r="E793">
        <f>WEEKNUM(makulatura[[#This Row],[Data_dostarczenia]],13)</f>
        <v>18</v>
      </c>
      <c r="F793" s="2">
        <f>WEEKDAY(makulatura[[#This Row],[Data_dostarczenia]],2)</f>
        <v>3</v>
      </c>
    </row>
    <row r="794" spans="1:6" x14ac:dyDescent="0.25">
      <c r="A794" s="1">
        <v>42851</v>
      </c>
      <c r="B794" s="2" t="s">
        <v>374</v>
      </c>
      <c r="C794" s="2" t="s">
        <v>375</v>
      </c>
      <c r="D794">
        <v>12</v>
      </c>
      <c r="E794">
        <f>WEEKNUM(makulatura[[#This Row],[Data_dostarczenia]],13)</f>
        <v>18</v>
      </c>
      <c r="F794" s="2">
        <f>WEEKDAY(makulatura[[#This Row],[Data_dostarczenia]],2)</f>
        <v>3</v>
      </c>
    </row>
    <row r="795" spans="1:6" x14ac:dyDescent="0.25">
      <c r="A795" s="1">
        <v>42851</v>
      </c>
      <c r="B795" s="2" t="s">
        <v>55</v>
      </c>
      <c r="C795" s="2" t="s">
        <v>456</v>
      </c>
      <c r="D795">
        <v>39</v>
      </c>
      <c r="E795">
        <f>WEEKNUM(makulatura[[#This Row],[Data_dostarczenia]],13)</f>
        <v>18</v>
      </c>
      <c r="F795" s="2">
        <f>WEEKDAY(makulatura[[#This Row],[Data_dostarczenia]],2)</f>
        <v>3</v>
      </c>
    </row>
    <row r="796" spans="1:6" x14ac:dyDescent="0.25">
      <c r="A796" s="1">
        <v>42851</v>
      </c>
      <c r="B796" s="2" t="s">
        <v>43</v>
      </c>
      <c r="C796" s="2" t="s">
        <v>569</v>
      </c>
      <c r="D796">
        <v>20</v>
      </c>
      <c r="E796">
        <f>WEEKNUM(makulatura[[#This Row],[Data_dostarczenia]],13)</f>
        <v>18</v>
      </c>
      <c r="F796" s="2">
        <f>WEEKDAY(makulatura[[#This Row],[Data_dostarczenia]],2)</f>
        <v>3</v>
      </c>
    </row>
    <row r="797" spans="1:6" x14ac:dyDescent="0.25">
      <c r="A797" s="1">
        <v>42852</v>
      </c>
      <c r="B797" s="2" t="s">
        <v>174</v>
      </c>
      <c r="C797" s="2" t="s">
        <v>570</v>
      </c>
      <c r="D797">
        <v>51</v>
      </c>
      <c r="E797">
        <f>WEEKNUM(makulatura[[#This Row],[Data_dostarczenia]],13)</f>
        <v>18</v>
      </c>
      <c r="F797" s="2">
        <f>WEEKDAY(makulatura[[#This Row],[Data_dostarczenia]],2)</f>
        <v>4</v>
      </c>
    </row>
    <row r="798" spans="1:6" x14ac:dyDescent="0.25">
      <c r="A798" s="1">
        <v>42852</v>
      </c>
      <c r="B798" s="2" t="s">
        <v>55</v>
      </c>
      <c r="C798" s="2" t="s">
        <v>571</v>
      </c>
      <c r="D798">
        <v>47</v>
      </c>
      <c r="E798">
        <f>WEEKNUM(makulatura[[#This Row],[Data_dostarczenia]],13)</f>
        <v>18</v>
      </c>
      <c r="F798" s="2">
        <f>WEEKDAY(makulatura[[#This Row],[Data_dostarczenia]],2)</f>
        <v>4</v>
      </c>
    </row>
    <row r="799" spans="1:6" x14ac:dyDescent="0.25">
      <c r="A799" s="1">
        <v>42852</v>
      </c>
      <c r="B799" s="2" t="s">
        <v>95</v>
      </c>
      <c r="C799" s="2" t="s">
        <v>426</v>
      </c>
      <c r="D799">
        <v>29</v>
      </c>
      <c r="E799">
        <f>WEEKNUM(makulatura[[#This Row],[Data_dostarczenia]],13)</f>
        <v>18</v>
      </c>
      <c r="F799" s="2">
        <f>WEEKDAY(makulatura[[#This Row],[Data_dostarczenia]],2)</f>
        <v>4</v>
      </c>
    </row>
    <row r="800" spans="1:6" x14ac:dyDescent="0.25">
      <c r="A800" s="1">
        <v>42852</v>
      </c>
      <c r="B800" s="2" t="s">
        <v>521</v>
      </c>
      <c r="C800" s="2" t="s">
        <v>410</v>
      </c>
      <c r="D800">
        <v>34</v>
      </c>
      <c r="E800">
        <f>WEEKNUM(makulatura[[#This Row],[Data_dostarczenia]],13)</f>
        <v>18</v>
      </c>
      <c r="F800" s="2">
        <f>WEEKDAY(makulatura[[#This Row],[Data_dostarczenia]],2)</f>
        <v>4</v>
      </c>
    </row>
    <row r="801" spans="1:6" x14ac:dyDescent="0.25">
      <c r="A801" s="1">
        <v>42852</v>
      </c>
      <c r="B801" s="2" t="s">
        <v>416</v>
      </c>
      <c r="C801" s="2" t="s">
        <v>572</v>
      </c>
      <c r="D801">
        <v>12</v>
      </c>
      <c r="E801">
        <f>WEEKNUM(makulatura[[#This Row],[Data_dostarczenia]],13)</f>
        <v>18</v>
      </c>
      <c r="F801" s="2">
        <f>WEEKDAY(makulatura[[#This Row],[Data_dostarczenia]],2)</f>
        <v>4</v>
      </c>
    </row>
    <row r="802" spans="1:6" x14ac:dyDescent="0.25">
      <c r="A802" s="1">
        <v>42852</v>
      </c>
      <c r="B802" s="2" t="s">
        <v>117</v>
      </c>
      <c r="C802" s="2" t="s">
        <v>183</v>
      </c>
      <c r="D802">
        <v>6</v>
      </c>
      <c r="E802">
        <f>WEEKNUM(makulatura[[#This Row],[Data_dostarczenia]],13)</f>
        <v>18</v>
      </c>
      <c r="F802" s="2">
        <f>WEEKDAY(makulatura[[#This Row],[Data_dostarczenia]],2)</f>
        <v>4</v>
      </c>
    </row>
    <row r="803" spans="1:6" x14ac:dyDescent="0.25">
      <c r="A803" s="1">
        <v>42853</v>
      </c>
      <c r="B803" s="2" t="s">
        <v>232</v>
      </c>
      <c r="C803" s="2" t="s">
        <v>573</v>
      </c>
      <c r="D803">
        <v>5</v>
      </c>
      <c r="E803">
        <f>WEEKNUM(makulatura[[#This Row],[Data_dostarczenia]],13)</f>
        <v>18</v>
      </c>
      <c r="F803" s="2">
        <f>WEEKDAY(makulatura[[#This Row],[Data_dostarczenia]],2)</f>
        <v>5</v>
      </c>
    </row>
    <row r="804" spans="1:6" x14ac:dyDescent="0.25">
      <c r="A804" s="1">
        <v>42853</v>
      </c>
      <c r="B804" s="2" t="s">
        <v>171</v>
      </c>
      <c r="C804" s="2" t="s">
        <v>562</v>
      </c>
      <c r="D804">
        <v>13</v>
      </c>
      <c r="E804">
        <f>WEEKNUM(makulatura[[#This Row],[Data_dostarczenia]],13)</f>
        <v>18</v>
      </c>
      <c r="F804" s="2">
        <f>WEEKDAY(makulatura[[#This Row],[Data_dostarczenia]],2)</f>
        <v>5</v>
      </c>
    </row>
    <row r="805" spans="1:6" x14ac:dyDescent="0.25">
      <c r="A805" s="1">
        <v>42853</v>
      </c>
      <c r="B805" s="2" t="s">
        <v>361</v>
      </c>
      <c r="C805" s="2" t="s">
        <v>424</v>
      </c>
      <c r="D805">
        <v>18</v>
      </c>
      <c r="E805">
        <f>WEEKNUM(makulatura[[#This Row],[Data_dostarczenia]],13)</f>
        <v>18</v>
      </c>
      <c r="F805" s="2">
        <f>WEEKDAY(makulatura[[#This Row],[Data_dostarczenia]],2)</f>
        <v>5</v>
      </c>
    </row>
    <row r="806" spans="1:6" x14ac:dyDescent="0.25">
      <c r="A806" s="1">
        <v>42853</v>
      </c>
      <c r="B806" s="2" t="s">
        <v>574</v>
      </c>
      <c r="C806" s="2" t="s">
        <v>421</v>
      </c>
      <c r="D806">
        <v>7</v>
      </c>
      <c r="E806">
        <f>WEEKNUM(makulatura[[#This Row],[Data_dostarczenia]],13)</f>
        <v>18</v>
      </c>
      <c r="F806" s="2">
        <f>WEEKDAY(makulatura[[#This Row],[Data_dostarczenia]],2)</f>
        <v>5</v>
      </c>
    </row>
    <row r="807" spans="1:6" x14ac:dyDescent="0.25">
      <c r="A807" s="1">
        <v>42853</v>
      </c>
      <c r="B807" s="2" t="s">
        <v>77</v>
      </c>
      <c r="C807" s="2" t="s">
        <v>575</v>
      </c>
      <c r="D807">
        <v>28</v>
      </c>
      <c r="E807">
        <f>WEEKNUM(makulatura[[#This Row],[Data_dostarczenia]],13)</f>
        <v>18</v>
      </c>
      <c r="F807" s="2">
        <f>WEEKDAY(makulatura[[#This Row],[Data_dostarczenia]],2)</f>
        <v>5</v>
      </c>
    </row>
    <row r="808" spans="1:6" x14ac:dyDescent="0.25">
      <c r="A808" s="1">
        <v>42853</v>
      </c>
      <c r="B808" s="2" t="s">
        <v>55</v>
      </c>
      <c r="C808" s="2" t="s">
        <v>184</v>
      </c>
      <c r="D808">
        <v>37</v>
      </c>
      <c r="E808">
        <f>WEEKNUM(makulatura[[#This Row],[Data_dostarczenia]],13)</f>
        <v>18</v>
      </c>
      <c r="F808" s="2">
        <f>WEEKDAY(makulatura[[#This Row],[Data_dostarczenia]],2)</f>
        <v>5</v>
      </c>
    </row>
    <row r="809" spans="1:6" x14ac:dyDescent="0.25">
      <c r="A809" s="1">
        <v>42856</v>
      </c>
      <c r="B809" s="2" t="s">
        <v>352</v>
      </c>
      <c r="C809" s="2" t="s">
        <v>227</v>
      </c>
      <c r="D809">
        <v>23</v>
      </c>
      <c r="E809">
        <f>WEEKNUM(makulatura[[#This Row],[Data_dostarczenia]],13)</f>
        <v>18</v>
      </c>
      <c r="F809" s="2">
        <f>WEEKDAY(makulatura[[#This Row],[Data_dostarczenia]],2)</f>
        <v>1</v>
      </c>
    </row>
    <row r="810" spans="1:6" x14ac:dyDescent="0.25">
      <c r="A810" s="1">
        <v>42856</v>
      </c>
      <c r="B810" s="2" t="s">
        <v>97</v>
      </c>
      <c r="C810" s="2" t="s">
        <v>188</v>
      </c>
      <c r="D810">
        <v>26</v>
      </c>
      <c r="E810">
        <f>WEEKNUM(makulatura[[#This Row],[Data_dostarczenia]],13)</f>
        <v>18</v>
      </c>
      <c r="F810" s="2">
        <f>WEEKDAY(makulatura[[#This Row],[Data_dostarczenia]],2)</f>
        <v>1</v>
      </c>
    </row>
    <row r="811" spans="1:6" x14ac:dyDescent="0.25">
      <c r="A811" s="1">
        <v>42856</v>
      </c>
      <c r="B811" s="2" t="s">
        <v>34</v>
      </c>
      <c r="C811" s="2" t="s">
        <v>338</v>
      </c>
      <c r="D811">
        <v>11</v>
      </c>
      <c r="E811">
        <f>WEEKNUM(makulatura[[#This Row],[Data_dostarczenia]],13)</f>
        <v>18</v>
      </c>
      <c r="F811" s="2">
        <f>WEEKDAY(makulatura[[#This Row],[Data_dostarczenia]],2)</f>
        <v>1</v>
      </c>
    </row>
    <row r="812" spans="1:6" x14ac:dyDescent="0.25">
      <c r="A812" s="1">
        <v>42856</v>
      </c>
      <c r="B812" s="2" t="s">
        <v>438</v>
      </c>
      <c r="C812" s="2" t="s">
        <v>439</v>
      </c>
      <c r="D812">
        <v>25</v>
      </c>
      <c r="E812">
        <f>WEEKNUM(makulatura[[#This Row],[Data_dostarczenia]],13)</f>
        <v>18</v>
      </c>
      <c r="F812" s="2">
        <f>WEEKDAY(makulatura[[#This Row],[Data_dostarczenia]],2)</f>
        <v>1</v>
      </c>
    </row>
    <row r="813" spans="1:6" x14ac:dyDescent="0.25">
      <c r="A813" s="1">
        <v>42856</v>
      </c>
      <c r="B813" s="2" t="s">
        <v>36</v>
      </c>
      <c r="C813" s="2" t="s">
        <v>180</v>
      </c>
      <c r="D813">
        <v>3</v>
      </c>
      <c r="E813">
        <f>WEEKNUM(makulatura[[#This Row],[Data_dostarczenia]],13)</f>
        <v>18</v>
      </c>
      <c r="F813" s="2">
        <f>WEEKDAY(makulatura[[#This Row],[Data_dostarczenia]],2)</f>
        <v>1</v>
      </c>
    </row>
    <row r="814" spans="1:6" x14ac:dyDescent="0.25">
      <c r="A814" s="1">
        <v>42856</v>
      </c>
      <c r="B814" s="2" t="s">
        <v>87</v>
      </c>
      <c r="C814" s="2" t="s">
        <v>383</v>
      </c>
      <c r="D814">
        <v>30</v>
      </c>
      <c r="E814">
        <f>WEEKNUM(makulatura[[#This Row],[Data_dostarczenia]],13)</f>
        <v>18</v>
      </c>
      <c r="F814" s="2">
        <f>WEEKDAY(makulatura[[#This Row],[Data_dostarczenia]],2)</f>
        <v>1</v>
      </c>
    </row>
    <row r="815" spans="1:6" x14ac:dyDescent="0.25">
      <c r="A815" s="1">
        <v>42857</v>
      </c>
      <c r="B815" s="2" t="s">
        <v>574</v>
      </c>
      <c r="C815" s="2" t="s">
        <v>421</v>
      </c>
      <c r="D815">
        <v>12</v>
      </c>
      <c r="E815">
        <f>WEEKNUM(makulatura[[#This Row],[Data_dostarczenia]],13)</f>
        <v>18</v>
      </c>
      <c r="F815" s="2">
        <f>WEEKDAY(makulatura[[#This Row],[Data_dostarczenia]],2)</f>
        <v>2</v>
      </c>
    </row>
    <row r="816" spans="1:6" x14ac:dyDescent="0.25">
      <c r="A816" s="1">
        <v>42857</v>
      </c>
      <c r="B816" s="2" t="s">
        <v>101</v>
      </c>
      <c r="C816" s="2" t="s">
        <v>212</v>
      </c>
      <c r="D816">
        <v>27</v>
      </c>
      <c r="E816">
        <f>WEEKNUM(makulatura[[#This Row],[Data_dostarczenia]],13)</f>
        <v>18</v>
      </c>
      <c r="F816" s="2">
        <f>WEEKDAY(makulatura[[#This Row],[Data_dostarczenia]],2)</f>
        <v>2</v>
      </c>
    </row>
    <row r="817" spans="1:6" x14ac:dyDescent="0.25">
      <c r="A817" s="1">
        <v>42857</v>
      </c>
      <c r="B817" s="2" t="s">
        <v>217</v>
      </c>
      <c r="C817" s="2" t="s">
        <v>218</v>
      </c>
      <c r="D817">
        <v>16</v>
      </c>
      <c r="E817">
        <f>WEEKNUM(makulatura[[#This Row],[Data_dostarczenia]],13)</f>
        <v>18</v>
      </c>
      <c r="F817" s="2">
        <f>WEEKDAY(makulatura[[#This Row],[Data_dostarczenia]],2)</f>
        <v>2</v>
      </c>
    </row>
    <row r="818" spans="1:6" x14ac:dyDescent="0.25">
      <c r="A818" s="1">
        <v>42857</v>
      </c>
      <c r="B818" s="2" t="s">
        <v>49</v>
      </c>
      <c r="C818" s="2" t="s">
        <v>50</v>
      </c>
      <c r="D818">
        <v>38</v>
      </c>
      <c r="E818">
        <f>WEEKNUM(makulatura[[#This Row],[Data_dostarczenia]],13)</f>
        <v>18</v>
      </c>
      <c r="F818" s="2">
        <f>WEEKDAY(makulatura[[#This Row],[Data_dostarczenia]],2)</f>
        <v>2</v>
      </c>
    </row>
    <row r="819" spans="1:6" x14ac:dyDescent="0.25">
      <c r="A819" s="1">
        <v>42857</v>
      </c>
      <c r="B819" s="2" t="s">
        <v>193</v>
      </c>
      <c r="C819" s="2" t="s">
        <v>160</v>
      </c>
      <c r="D819">
        <v>35</v>
      </c>
      <c r="E819">
        <f>WEEKNUM(makulatura[[#This Row],[Data_dostarczenia]],13)</f>
        <v>18</v>
      </c>
      <c r="F819" s="2">
        <f>WEEKDAY(makulatura[[#This Row],[Data_dostarczenia]],2)</f>
        <v>2</v>
      </c>
    </row>
    <row r="820" spans="1:6" x14ac:dyDescent="0.25">
      <c r="A820" s="1">
        <v>42857</v>
      </c>
      <c r="B820" s="2" t="s">
        <v>97</v>
      </c>
      <c r="C820" s="2" t="s">
        <v>309</v>
      </c>
      <c r="D820">
        <v>16</v>
      </c>
      <c r="E820">
        <f>WEEKNUM(makulatura[[#This Row],[Data_dostarczenia]],13)</f>
        <v>18</v>
      </c>
      <c r="F820" s="2">
        <f>WEEKDAY(makulatura[[#This Row],[Data_dostarczenia]],2)</f>
        <v>2</v>
      </c>
    </row>
    <row r="821" spans="1:6" x14ac:dyDescent="0.25">
      <c r="A821" s="1">
        <v>42858</v>
      </c>
      <c r="B821" s="2" t="s">
        <v>10</v>
      </c>
      <c r="C821" s="2" t="s">
        <v>266</v>
      </c>
      <c r="D821">
        <v>6</v>
      </c>
      <c r="E821">
        <f>WEEKNUM(makulatura[[#This Row],[Data_dostarczenia]],13)</f>
        <v>19</v>
      </c>
      <c r="F821" s="2">
        <f>WEEKDAY(makulatura[[#This Row],[Data_dostarczenia]],2)</f>
        <v>3</v>
      </c>
    </row>
    <row r="822" spans="1:6" x14ac:dyDescent="0.25">
      <c r="A822" s="1">
        <v>42858</v>
      </c>
      <c r="B822" s="2" t="s">
        <v>217</v>
      </c>
      <c r="C822" s="2" t="s">
        <v>218</v>
      </c>
      <c r="D822">
        <v>23</v>
      </c>
      <c r="E822">
        <f>WEEKNUM(makulatura[[#This Row],[Data_dostarczenia]],13)</f>
        <v>19</v>
      </c>
      <c r="F822" s="2">
        <f>WEEKDAY(makulatura[[#This Row],[Data_dostarczenia]],2)</f>
        <v>3</v>
      </c>
    </row>
    <row r="823" spans="1:6" x14ac:dyDescent="0.25">
      <c r="A823" s="1">
        <v>42858</v>
      </c>
      <c r="B823" s="2" t="s">
        <v>280</v>
      </c>
      <c r="C823" s="2" t="s">
        <v>466</v>
      </c>
      <c r="D823">
        <v>22</v>
      </c>
      <c r="E823">
        <f>WEEKNUM(makulatura[[#This Row],[Data_dostarczenia]],13)</f>
        <v>19</v>
      </c>
      <c r="F823" s="2">
        <f>WEEKDAY(makulatura[[#This Row],[Data_dostarczenia]],2)</f>
        <v>3</v>
      </c>
    </row>
    <row r="824" spans="1:6" x14ac:dyDescent="0.25">
      <c r="A824" s="1">
        <v>42858</v>
      </c>
      <c r="B824" s="2" t="s">
        <v>77</v>
      </c>
      <c r="C824" s="2" t="s">
        <v>85</v>
      </c>
      <c r="D824">
        <v>5</v>
      </c>
      <c r="E824">
        <f>WEEKNUM(makulatura[[#This Row],[Data_dostarczenia]],13)</f>
        <v>19</v>
      </c>
      <c r="F824" s="2">
        <f>WEEKDAY(makulatura[[#This Row],[Data_dostarczenia]],2)</f>
        <v>3</v>
      </c>
    </row>
    <row r="825" spans="1:6" x14ac:dyDescent="0.25">
      <c r="A825" s="1">
        <v>42858</v>
      </c>
      <c r="B825" s="2" t="s">
        <v>206</v>
      </c>
      <c r="C825" s="2" t="s">
        <v>332</v>
      </c>
      <c r="D825">
        <v>2</v>
      </c>
      <c r="E825">
        <f>WEEKNUM(makulatura[[#This Row],[Data_dostarczenia]],13)</f>
        <v>19</v>
      </c>
      <c r="F825" s="2">
        <f>WEEKDAY(makulatura[[#This Row],[Data_dostarczenia]],2)</f>
        <v>3</v>
      </c>
    </row>
    <row r="826" spans="1:6" x14ac:dyDescent="0.25">
      <c r="A826" s="1">
        <v>42858</v>
      </c>
      <c r="B826" s="2" t="s">
        <v>92</v>
      </c>
      <c r="C826" s="2" t="s">
        <v>93</v>
      </c>
      <c r="D826">
        <v>29</v>
      </c>
      <c r="E826">
        <f>WEEKNUM(makulatura[[#This Row],[Data_dostarczenia]],13)</f>
        <v>19</v>
      </c>
      <c r="F826" s="2">
        <f>WEEKDAY(makulatura[[#This Row],[Data_dostarczenia]],2)</f>
        <v>3</v>
      </c>
    </row>
    <row r="827" spans="1:6" x14ac:dyDescent="0.25">
      <c r="A827" s="1">
        <v>42859</v>
      </c>
      <c r="B827" s="2" t="s">
        <v>97</v>
      </c>
      <c r="C827" s="2" t="s">
        <v>181</v>
      </c>
      <c r="D827">
        <v>19</v>
      </c>
      <c r="E827">
        <f>WEEKNUM(makulatura[[#This Row],[Data_dostarczenia]],13)</f>
        <v>19</v>
      </c>
      <c r="F827" s="2">
        <f>WEEKDAY(makulatura[[#This Row],[Data_dostarczenia]],2)</f>
        <v>4</v>
      </c>
    </row>
    <row r="828" spans="1:6" x14ac:dyDescent="0.25">
      <c r="A828" s="1">
        <v>42859</v>
      </c>
      <c r="B828" s="2" t="s">
        <v>133</v>
      </c>
      <c r="C828" s="2" t="s">
        <v>499</v>
      </c>
      <c r="D828">
        <v>23</v>
      </c>
      <c r="E828">
        <f>WEEKNUM(makulatura[[#This Row],[Data_dostarczenia]],13)</f>
        <v>19</v>
      </c>
      <c r="F828" s="2">
        <f>WEEKDAY(makulatura[[#This Row],[Data_dostarczenia]],2)</f>
        <v>4</v>
      </c>
    </row>
    <row r="829" spans="1:6" x14ac:dyDescent="0.25">
      <c r="A829" s="1">
        <v>42859</v>
      </c>
      <c r="B829" s="2" t="s">
        <v>442</v>
      </c>
      <c r="C829" s="2" t="s">
        <v>540</v>
      </c>
      <c r="D829">
        <v>27</v>
      </c>
      <c r="E829">
        <f>WEEKNUM(makulatura[[#This Row],[Data_dostarczenia]],13)</f>
        <v>19</v>
      </c>
      <c r="F829" s="2">
        <f>WEEKDAY(makulatura[[#This Row],[Data_dostarczenia]],2)</f>
        <v>4</v>
      </c>
    </row>
    <row r="830" spans="1:6" x14ac:dyDescent="0.25">
      <c r="A830" s="1">
        <v>42859</v>
      </c>
      <c r="B830" s="2" t="s">
        <v>299</v>
      </c>
      <c r="C830" s="2" t="s">
        <v>482</v>
      </c>
      <c r="D830">
        <v>53</v>
      </c>
      <c r="E830">
        <f>WEEKNUM(makulatura[[#This Row],[Data_dostarczenia]],13)</f>
        <v>19</v>
      </c>
      <c r="F830" s="2">
        <f>WEEKDAY(makulatura[[#This Row],[Data_dostarczenia]],2)</f>
        <v>4</v>
      </c>
    </row>
    <row r="831" spans="1:6" x14ac:dyDescent="0.25">
      <c r="A831" s="1">
        <v>42859</v>
      </c>
      <c r="B831" s="2" t="s">
        <v>87</v>
      </c>
      <c r="C831" s="2" t="s">
        <v>124</v>
      </c>
      <c r="D831">
        <v>35</v>
      </c>
      <c r="E831">
        <f>WEEKNUM(makulatura[[#This Row],[Data_dostarczenia]],13)</f>
        <v>19</v>
      </c>
      <c r="F831" s="2">
        <f>WEEKDAY(makulatura[[#This Row],[Data_dostarczenia]],2)</f>
        <v>4</v>
      </c>
    </row>
    <row r="832" spans="1:6" x14ac:dyDescent="0.25">
      <c r="A832" s="1">
        <v>42859</v>
      </c>
      <c r="B832" s="2" t="s">
        <v>30</v>
      </c>
      <c r="C832" s="2" t="s">
        <v>241</v>
      </c>
      <c r="D832">
        <v>3</v>
      </c>
      <c r="E832">
        <f>WEEKNUM(makulatura[[#This Row],[Data_dostarczenia]],13)</f>
        <v>19</v>
      </c>
      <c r="F832" s="2">
        <f>WEEKDAY(makulatura[[#This Row],[Data_dostarczenia]],2)</f>
        <v>4</v>
      </c>
    </row>
    <row r="833" spans="1:6" x14ac:dyDescent="0.25">
      <c r="A833" s="1">
        <v>42860</v>
      </c>
      <c r="B833" s="2" t="s">
        <v>141</v>
      </c>
      <c r="C833" s="2" t="s">
        <v>364</v>
      </c>
      <c r="D833">
        <v>15</v>
      </c>
      <c r="E833">
        <f>WEEKNUM(makulatura[[#This Row],[Data_dostarczenia]],13)</f>
        <v>19</v>
      </c>
      <c r="F833" s="2">
        <f>WEEKDAY(makulatura[[#This Row],[Data_dostarczenia]],2)</f>
        <v>5</v>
      </c>
    </row>
    <row r="834" spans="1:6" x14ac:dyDescent="0.25">
      <c r="A834" s="1">
        <v>42860</v>
      </c>
      <c r="B834" s="2" t="s">
        <v>55</v>
      </c>
      <c r="C834" s="2" t="s">
        <v>326</v>
      </c>
      <c r="D834">
        <v>3</v>
      </c>
      <c r="E834">
        <f>WEEKNUM(makulatura[[#This Row],[Data_dostarczenia]],13)</f>
        <v>19</v>
      </c>
      <c r="F834" s="2">
        <f>WEEKDAY(makulatura[[#This Row],[Data_dostarczenia]],2)</f>
        <v>5</v>
      </c>
    </row>
    <row r="835" spans="1:6" x14ac:dyDescent="0.25">
      <c r="A835" s="1">
        <v>42860</v>
      </c>
      <c r="B835" s="2" t="s">
        <v>367</v>
      </c>
      <c r="C835" s="2" t="s">
        <v>368</v>
      </c>
      <c r="D835">
        <v>2</v>
      </c>
      <c r="E835">
        <f>WEEKNUM(makulatura[[#This Row],[Data_dostarczenia]],13)</f>
        <v>19</v>
      </c>
      <c r="F835" s="2">
        <f>WEEKDAY(makulatura[[#This Row],[Data_dostarczenia]],2)</f>
        <v>5</v>
      </c>
    </row>
    <row r="836" spans="1:6" x14ac:dyDescent="0.25">
      <c r="A836" s="1">
        <v>42860</v>
      </c>
      <c r="B836" s="2" t="s">
        <v>141</v>
      </c>
      <c r="C836" s="2" t="s">
        <v>550</v>
      </c>
      <c r="D836">
        <v>28</v>
      </c>
      <c r="E836">
        <f>WEEKNUM(makulatura[[#This Row],[Data_dostarczenia]],13)</f>
        <v>19</v>
      </c>
      <c r="F836" s="2">
        <f>WEEKDAY(makulatura[[#This Row],[Data_dostarczenia]],2)</f>
        <v>5</v>
      </c>
    </row>
    <row r="837" spans="1:6" x14ac:dyDescent="0.25">
      <c r="A837" s="1">
        <v>42860</v>
      </c>
      <c r="B837" s="2" t="s">
        <v>395</v>
      </c>
      <c r="C837" s="2" t="s">
        <v>461</v>
      </c>
      <c r="D837">
        <v>23</v>
      </c>
      <c r="E837">
        <f>WEEKNUM(makulatura[[#This Row],[Data_dostarczenia]],13)</f>
        <v>19</v>
      </c>
      <c r="F837" s="2">
        <f>WEEKDAY(makulatura[[#This Row],[Data_dostarczenia]],2)</f>
        <v>5</v>
      </c>
    </row>
    <row r="838" spans="1:6" x14ac:dyDescent="0.25">
      <c r="A838" s="1">
        <v>42860</v>
      </c>
      <c r="B838" s="2" t="s">
        <v>39</v>
      </c>
      <c r="C838" s="2" t="s">
        <v>164</v>
      </c>
      <c r="D838">
        <v>20</v>
      </c>
      <c r="E838">
        <f>WEEKNUM(makulatura[[#This Row],[Data_dostarczenia]],13)</f>
        <v>19</v>
      </c>
      <c r="F838" s="2">
        <f>WEEKDAY(makulatura[[#This Row],[Data_dostarczenia]],2)</f>
        <v>5</v>
      </c>
    </row>
    <row r="839" spans="1:6" x14ac:dyDescent="0.25">
      <c r="A839" s="1">
        <v>42863</v>
      </c>
      <c r="B839" s="2" t="s">
        <v>193</v>
      </c>
      <c r="C839" s="2" t="s">
        <v>160</v>
      </c>
      <c r="D839">
        <v>35</v>
      </c>
      <c r="E839">
        <f>WEEKNUM(makulatura[[#This Row],[Data_dostarczenia]],13)</f>
        <v>19</v>
      </c>
      <c r="F839" s="2">
        <f>WEEKDAY(makulatura[[#This Row],[Data_dostarczenia]],2)</f>
        <v>1</v>
      </c>
    </row>
    <row r="840" spans="1:6" x14ac:dyDescent="0.25">
      <c r="A840" s="1">
        <v>42863</v>
      </c>
      <c r="B840" s="2" t="s">
        <v>206</v>
      </c>
      <c r="C840" s="2" t="s">
        <v>563</v>
      </c>
      <c r="D840">
        <v>45</v>
      </c>
      <c r="E840">
        <f>WEEKNUM(makulatura[[#This Row],[Data_dostarczenia]],13)</f>
        <v>19</v>
      </c>
      <c r="F840" s="2">
        <f>WEEKDAY(makulatura[[#This Row],[Data_dostarczenia]],2)</f>
        <v>1</v>
      </c>
    </row>
    <row r="841" spans="1:6" x14ac:dyDescent="0.25">
      <c r="A841" s="1">
        <v>42863</v>
      </c>
      <c r="B841" s="2" t="s">
        <v>519</v>
      </c>
      <c r="C841" s="2" t="s">
        <v>520</v>
      </c>
      <c r="D841">
        <v>39</v>
      </c>
      <c r="E841">
        <f>WEEKNUM(makulatura[[#This Row],[Data_dostarczenia]],13)</f>
        <v>19</v>
      </c>
      <c r="F841" s="2">
        <f>WEEKDAY(makulatura[[#This Row],[Data_dostarczenia]],2)</f>
        <v>1</v>
      </c>
    </row>
    <row r="842" spans="1:6" x14ac:dyDescent="0.25">
      <c r="A842" s="1">
        <v>42863</v>
      </c>
      <c r="B842" s="2" t="s">
        <v>34</v>
      </c>
      <c r="C842" s="2" t="s">
        <v>564</v>
      </c>
      <c r="D842">
        <v>13</v>
      </c>
      <c r="E842">
        <f>WEEKNUM(makulatura[[#This Row],[Data_dostarczenia]],13)</f>
        <v>19</v>
      </c>
      <c r="F842" s="2">
        <f>WEEKDAY(makulatura[[#This Row],[Data_dostarczenia]],2)</f>
        <v>1</v>
      </c>
    </row>
    <row r="843" spans="1:6" x14ac:dyDescent="0.25">
      <c r="A843" s="1">
        <v>42863</v>
      </c>
      <c r="B843" s="2" t="s">
        <v>87</v>
      </c>
      <c r="C843" s="2" t="s">
        <v>154</v>
      </c>
      <c r="D843">
        <v>2</v>
      </c>
      <c r="E843">
        <f>WEEKNUM(makulatura[[#This Row],[Data_dostarczenia]],13)</f>
        <v>19</v>
      </c>
      <c r="F843" s="2">
        <f>WEEKDAY(makulatura[[#This Row],[Data_dostarczenia]],2)</f>
        <v>1</v>
      </c>
    </row>
    <row r="844" spans="1:6" x14ac:dyDescent="0.25">
      <c r="A844" s="1">
        <v>42863</v>
      </c>
      <c r="B844" s="2" t="s">
        <v>195</v>
      </c>
      <c r="C844" s="2" t="s">
        <v>196</v>
      </c>
      <c r="D844">
        <v>38</v>
      </c>
      <c r="E844">
        <f>WEEKNUM(makulatura[[#This Row],[Data_dostarczenia]],13)</f>
        <v>19</v>
      </c>
      <c r="F844" s="2">
        <f>WEEKDAY(makulatura[[#This Row],[Data_dostarczenia]],2)</f>
        <v>1</v>
      </c>
    </row>
    <row r="845" spans="1:6" x14ac:dyDescent="0.25">
      <c r="A845" s="1">
        <v>42864</v>
      </c>
      <c r="B845" s="2" t="s">
        <v>161</v>
      </c>
      <c r="C845" s="2" t="s">
        <v>345</v>
      </c>
      <c r="D845">
        <v>48</v>
      </c>
      <c r="E845">
        <f>WEEKNUM(makulatura[[#This Row],[Data_dostarczenia]],13)</f>
        <v>19</v>
      </c>
      <c r="F845" s="2">
        <f>WEEKDAY(makulatura[[#This Row],[Data_dostarczenia]],2)</f>
        <v>2</v>
      </c>
    </row>
    <row r="846" spans="1:6" x14ac:dyDescent="0.25">
      <c r="A846" s="1">
        <v>42864</v>
      </c>
      <c r="B846" s="2" t="s">
        <v>51</v>
      </c>
      <c r="C846" s="2" t="s">
        <v>469</v>
      </c>
      <c r="D846">
        <v>41</v>
      </c>
      <c r="E846">
        <f>WEEKNUM(makulatura[[#This Row],[Data_dostarczenia]],13)</f>
        <v>19</v>
      </c>
      <c r="F846" s="2">
        <f>WEEKDAY(makulatura[[#This Row],[Data_dostarczenia]],2)</f>
        <v>2</v>
      </c>
    </row>
    <row r="847" spans="1:6" x14ac:dyDescent="0.25">
      <c r="A847" s="1">
        <v>42864</v>
      </c>
      <c r="B847" s="2" t="s">
        <v>101</v>
      </c>
      <c r="C847" s="2" t="s">
        <v>102</v>
      </c>
      <c r="D847">
        <v>6</v>
      </c>
      <c r="E847">
        <f>WEEKNUM(makulatura[[#This Row],[Data_dostarczenia]],13)</f>
        <v>19</v>
      </c>
      <c r="F847" s="2">
        <f>WEEKDAY(makulatura[[#This Row],[Data_dostarczenia]],2)</f>
        <v>2</v>
      </c>
    </row>
    <row r="848" spans="1:6" x14ac:dyDescent="0.25">
      <c r="A848" s="1">
        <v>42864</v>
      </c>
      <c r="B848" s="2" t="s">
        <v>367</v>
      </c>
      <c r="C848" s="2" t="s">
        <v>411</v>
      </c>
      <c r="D848">
        <v>14</v>
      </c>
      <c r="E848">
        <f>WEEKNUM(makulatura[[#This Row],[Data_dostarczenia]],13)</f>
        <v>19</v>
      </c>
      <c r="F848" s="2">
        <f>WEEKDAY(makulatura[[#This Row],[Data_dostarczenia]],2)</f>
        <v>2</v>
      </c>
    </row>
    <row r="849" spans="1:6" x14ac:dyDescent="0.25">
      <c r="A849" s="1">
        <v>42864</v>
      </c>
      <c r="B849" s="2" t="s">
        <v>576</v>
      </c>
      <c r="C849" s="2" t="s">
        <v>577</v>
      </c>
      <c r="D849">
        <v>35</v>
      </c>
      <c r="E849">
        <f>WEEKNUM(makulatura[[#This Row],[Data_dostarczenia]],13)</f>
        <v>19</v>
      </c>
      <c r="F849" s="2">
        <f>WEEKDAY(makulatura[[#This Row],[Data_dostarczenia]],2)</f>
        <v>2</v>
      </c>
    </row>
    <row r="850" spans="1:6" x14ac:dyDescent="0.25">
      <c r="A850" s="1">
        <v>42864</v>
      </c>
      <c r="B850" s="2" t="s">
        <v>147</v>
      </c>
      <c r="C850" s="2" t="s">
        <v>578</v>
      </c>
      <c r="D850">
        <v>26</v>
      </c>
      <c r="E850">
        <f>WEEKNUM(makulatura[[#This Row],[Data_dostarczenia]],13)</f>
        <v>19</v>
      </c>
      <c r="F850" s="2">
        <f>WEEKDAY(makulatura[[#This Row],[Data_dostarczenia]],2)</f>
        <v>2</v>
      </c>
    </row>
    <row r="851" spans="1:6" x14ac:dyDescent="0.25">
      <c r="A851" s="1">
        <v>42865</v>
      </c>
      <c r="B851" s="2" t="s">
        <v>83</v>
      </c>
      <c r="C851" s="2" t="s">
        <v>84</v>
      </c>
      <c r="D851">
        <v>49</v>
      </c>
      <c r="E851">
        <f>WEEKNUM(makulatura[[#This Row],[Data_dostarczenia]],13)</f>
        <v>20</v>
      </c>
      <c r="F851" s="2">
        <f>WEEKDAY(makulatura[[#This Row],[Data_dostarczenia]],2)</f>
        <v>3</v>
      </c>
    </row>
    <row r="852" spans="1:6" x14ac:dyDescent="0.25">
      <c r="A852" s="1">
        <v>42865</v>
      </c>
      <c r="B852" s="2" t="s">
        <v>280</v>
      </c>
      <c r="C852" s="2" t="s">
        <v>281</v>
      </c>
      <c r="D852">
        <v>22</v>
      </c>
      <c r="E852">
        <f>WEEKNUM(makulatura[[#This Row],[Data_dostarczenia]],13)</f>
        <v>20</v>
      </c>
      <c r="F852" s="2">
        <f>WEEKDAY(makulatura[[#This Row],[Data_dostarczenia]],2)</f>
        <v>3</v>
      </c>
    </row>
    <row r="853" spans="1:6" x14ac:dyDescent="0.25">
      <c r="A853" s="1">
        <v>42865</v>
      </c>
      <c r="B853" s="2" t="s">
        <v>97</v>
      </c>
      <c r="C853" s="2" t="s">
        <v>579</v>
      </c>
      <c r="D853">
        <v>56</v>
      </c>
      <c r="E853">
        <f>WEEKNUM(makulatura[[#This Row],[Data_dostarczenia]],13)</f>
        <v>20</v>
      </c>
      <c r="F853" s="2">
        <f>WEEKDAY(makulatura[[#This Row],[Data_dostarczenia]],2)</f>
        <v>3</v>
      </c>
    </row>
    <row r="854" spans="1:6" x14ac:dyDescent="0.25">
      <c r="A854" s="1">
        <v>42865</v>
      </c>
      <c r="B854" s="2" t="s">
        <v>367</v>
      </c>
      <c r="C854" s="2" t="s">
        <v>368</v>
      </c>
      <c r="D854">
        <v>6</v>
      </c>
      <c r="E854">
        <f>WEEKNUM(makulatura[[#This Row],[Data_dostarczenia]],13)</f>
        <v>20</v>
      </c>
      <c r="F854" s="2">
        <f>WEEKDAY(makulatura[[#This Row],[Data_dostarczenia]],2)</f>
        <v>3</v>
      </c>
    </row>
    <row r="855" spans="1:6" x14ac:dyDescent="0.25">
      <c r="A855" s="1">
        <v>42865</v>
      </c>
      <c r="B855" s="2" t="s">
        <v>232</v>
      </c>
      <c r="C855" s="2" t="s">
        <v>378</v>
      </c>
      <c r="D855">
        <v>13</v>
      </c>
      <c r="E855">
        <f>WEEKNUM(makulatura[[#This Row],[Data_dostarczenia]],13)</f>
        <v>20</v>
      </c>
      <c r="F855" s="2">
        <f>WEEKDAY(makulatura[[#This Row],[Data_dostarczenia]],2)</f>
        <v>3</v>
      </c>
    </row>
    <row r="856" spans="1:6" x14ac:dyDescent="0.25">
      <c r="A856" s="1">
        <v>42865</v>
      </c>
      <c r="B856" s="2" t="s">
        <v>574</v>
      </c>
      <c r="C856" s="2" t="s">
        <v>421</v>
      </c>
      <c r="D856">
        <v>3</v>
      </c>
      <c r="E856">
        <f>WEEKNUM(makulatura[[#This Row],[Data_dostarczenia]],13)</f>
        <v>20</v>
      </c>
      <c r="F856" s="2">
        <f>WEEKDAY(makulatura[[#This Row],[Data_dostarczenia]],2)</f>
        <v>3</v>
      </c>
    </row>
    <row r="857" spans="1:6" x14ac:dyDescent="0.25">
      <c r="A857" s="1">
        <v>42866</v>
      </c>
      <c r="B857" s="2" t="s">
        <v>47</v>
      </c>
      <c r="C857" s="2" t="s">
        <v>336</v>
      </c>
      <c r="D857">
        <v>7</v>
      </c>
      <c r="E857">
        <f>WEEKNUM(makulatura[[#This Row],[Data_dostarczenia]],13)</f>
        <v>20</v>
      </c>
      <c r="F857" s="2">
        <f>WEEKDAY(makulatura[[#This Row],[Data_dostarczenia]],2)</f>
        <v>4</v>
      </c>
    </row>
    <row r="858" spans="1:6" x14ac:dyDescent="0.25">
      <c r="A858" s="1">
        <v>42866</v>
      </c>
      <c r="B858" s="2" t="s">
        <v>83</v>
      </c>
      <c r="C858" s="2" t="s">
        <v>136</v>
      </c>
      <c r="D858">
        <v>29</v>
      </c>
      <c r="E858">
        <f>WEEKNUM(makulatura[[#This Row],[Data_dostarczenia]],13)</f>
        <v>20</v>
      </c>
      <c r="F858" s="2">
        <f>WEEKDAY(makulatura[[#This Row],[Data_dostarczenia]],2)</f>
        <v>4</v>
      </c>
    </row>
    <row r="859" spans="1:6" x14ac:dyDescent="0.25">
      <c r="A859" s="1">
        <v>42866</v>
      </c>
      <c r="B859" s="2" t="s">
        <v>45</v>
      </c>
      <c r="C859" s="2" t="s">
        <v>388</v>
      </c>
      <c r="D859">
        <v>53</v>
      </c>
      <c r="E859">
        <f>WEEKNUM(makulatura[[#This Row],[Data_dostarczenia]],13)</f>
        <v>20</v>
      </c>
      <c r="F859" s="2">
        <f>WEEKDAY(makulatura[[#This Row],[Data_dostarczenia]],2)</f>
        <v>4</v>
      </c>
    </row>
    <row r="860" spans="1:6" x14ac:dyDescent="0.25">
      <c r="A860" s="1">
        <v>42866</v>
      </c>
      <c r="B860" s="2" t="s">
        <v>16</v>
      </c>
      <c r="C860" s="2" t="s">
        <v>440</v>
      </c>
      <c r="D860">
        <v>52</v>
      </c>
      <c r="E860">
        <f>WEEKNUM(makulatura[[#This Row],[Data_dostarczenia]],13)</f>
        <v>20</v>
      </c>
      <c r="F860" s="2">
        <f>WEEKDAY(makulatura[[#This Row],[Data_dostarczenia]],2)</f>
        <v>4</v>
      </c>
    </row>
    <row r="861" spans="1:6" x14ac:dyDescent="0.25">
      <c r="A861" s="1">
        <v>42866</v>
      </c>
      <c r="B861" s="2" t="s">
        <v>280</v>
      </c>
      <c r="C861" s="2" t="s">
        <v>580</v>
      </c>
      <c r="D861">
        <v>26</v>
      </c>
      <c r="E861">
        <f>WEEKNUM(makulatura[[#This Row],[Data_dostarczenia]],13)</f>
        <v>20</v>
      </c>
      <c r="F861" s="2">
        <f>WEEKDAY(makulatura[[#This Row],[Data_dostarczenia]],2)</f>
        <v>4</v>
      </c>
    </row>
    <row r="862" spans="1:6" x14ac:dyDescent="0.25">
      <c r="A862" s="1">
        <v>42866</v>
      </c>
      <c r="B862" s="2" t="s">
        <v>101</v>
      </c>
      <c r="C862" s="2" t="s">
        <v>293</v>
      </c>
      <c r="D862">
        <v>28</v>
      </c>
      <c r="E862">
        <f>WEEKNUM(makulatura[[#This Row],[Data_dostarczenia]],13)</f>
        <v>20</v>
      </c>
      <c r="F862" s="2">
        <f>WEEKDAY(makulatura[[#This Row],[Data_dostarczenia]],2)</f>
        <v>4</v>
      </c>
    </row>
    <row r="863" spans="1:6" x14ac:dyDescent="0.25">
      <c r="A863" s="1">
        <v>42867</v>
      </c>
      <c r="B863" s="2" t="s">
        <v>69</v>
      </c>
      <c r="C863" s="2" t="s">
        <v>200</v>
      </c>
      <c r="D863">
        <v>12</v>
      </c>
      <c r="E863">
        <f>WEEKNUM(makulatura[[#This Row],[Data_dostarczenia]],13)</f>
        <v>20</v>
      </c>
      <c r="F863" s="2">
        <f>WEEKDAY(makulatura[[#This Row],[Data_dostarczenia]],2)</f>
        <v>5</v>
      </c>
    </row>
    <row r="864" spans="1:6" x14ac:dyDescent="0.25">
      <c r="A864" s="1">
        <v>42867</v>
      </c>
      <c r="B864" s="2" t="s">
        <v>161</v>
      </c>
      <c r="C864" s="2" t="s">
        <v>214</v>
      </c>
      <c r="D864">
        <v>10</v>
      </c>
      <c r="E864">
        <f>WEEKNUM(makulatura[[#This Row],[Data_dostarczenia]],13)</f>
        <v>20</v>
      </c>
      <c r="F864" s="2">
        <f>WEEKDAY(makulatura[[#This Row],[Data_dostarczenia]],2)</f>
        <v>5</v>
      </c>
    </row>
    <row r="865" spans="1:6" x14ac:dyDescent="0.25">
      <c r="A865" s="1">
        <v>42867</v>
      </c>
      <c r="B865" s="2" t="s">
        <v>72</v>
      </c>
      <c r="C865" s="2" t="s">
        <v>73</v>
      </c>
      <c r="D865">
        <v>10</v>
      </c>
      <c r="E865">
        <f>WEEKNUM(makulatura[[#This Row],[Data_dostarczenia]],13)</f>
        <v>20</v>
      </c>
      <c r="F865" s="2">
        <f>WEEKDAY(makulatura[[#This Row],[Data_dostarczenia]],2)</f>
        <v>5</v>
      </c>
    </row>
    <row r="866" spans="1:6" x14ac:dyDescent="0.25">
      <c r="A866" s="1">
        <v>42867</v>
      </c>
      <c r="B866" s="2" t="s">
        <v>119</v>
      </c>
      <c r="C866" s="2" t="s">
        <v>380</v>
      </c>
      <c r="D866">
        <v>54</v>
      </c>
      <c r="E866">
        <f>WEEKNUM(makulatura[[#This Row],[Data_dostarczenia]],13)</f>
        <v>20</v>
      </c>
      <c r="F866" s="2">
        <f>WEEKDAY(makulatura[[#This Row],[Data_dostarczenia]],2)</f>
        <v>5</v>
      </c>
    </row>
    <row r="867" spans="1:6" x14ac:dyDescent="0.25">
      <c r="A867" s="1">
        <v>42867</v>
      </c>
      <c r="B867" s="2" t="s">
        <v>374</v>
      </c>
      <c r="C867" s="2" t="s">
        <v>581</v>
      </c>
      <c r="D867">
        <v>19</v>
      </c>
      <c r="E867">
        <f>WEEKNUM(makulatura[[#This Row],[Data_dostarczenia]],13)</f>
        <v>20</v>
      </c>
      <c r="F867" s="2">
        <f>WEEKDAY(makulatura[[#This Row],[Data_dostarczenia]],2)</f>
        <v>5</v>
      </c>
    </row>
    <row r="868" spans="1:6" x14ac:dyDescent="0.25">
      <c r="A868" s="1">
        <v>42867</v>
      </c>
      <c r="B868" s="2" t="s">
        <v>152</v>
      </c>
      <c r="C868" s="2" t="s">
        <v>257</v>
      </c>
      <c r="D868">
        <v>53</v>
      </c>
      <c r="E868">
        <f>WEEKNUM(makulatura[[#This Row],[Data_dostarczenia]],13)</f>
        <v>20</v>
      </c>
      <c r="F868" s="2">
        <f>WEEKDAY(makulatura[[#This Row],[Data_dostarczenia]],2)</f>
        <v>5</v>
      </c>
    </row>
    <row r="869" spans="1:6" x14ac:dyDescent="0.25">
      <c r="A869" s="1">
        <v>42870</v>
      </c>
      <c r="B869" s="2" t="s">
        <v>47</v>
      </c>
      <c r="C869" s="2" t="s">
        <v>334</v>
      </c>
      <c r="D869">
        <v>18</v>
      </c>
      <c r="E869">
        <f>WEEKNUM(makulatura[[#This Row],[Data_dostarczenia]],13)</f>
        <v>20</v>
      </c>
      <c r="F869" s="2">
        <f>WEEKDAY(makulatura[[#This Row],[Data_dostarczenia]],2)</f>
        <v>1</v>
      </c>
    </row>
    <row r="870" spans="1:6" x14ac:dyDescent="0.25">
      <c r="A870" s="1">
        <v>42870</v>
      </c>
      <c r="B870" s="2" t="s">
        <v>393</v>
      </c>
      <c r="C870" s="2" t="s">
        <v>582</v>
      </c>
      <c r="D870">
        <v>27</v>
      </c>
      <c r="E870">
        <f>WEEKNUM(makulatura[[#This Row],[Data_dostarczenia]],13)</f>
        <v>20</v>
      </c>
      <c r="F870" s="2">
        <f>WEEKDAY(makulatura[[#This Row],[Data_dostarczenia]],2)</f>
        <v>1</v>
      </c>
    </row>
    <row r="871" spans="1:6" x14ac:dyDescent="0.25">
      <c r="A871" s="1">
        <v>42870</v>
      </c>
      <c r="B871" s="2" t="s">
        <v>479</v>
      </c>
      <c r="C871" s="2" t="s">
        <v>480</v>
      </c>
      <c r="D871">
        <v>26</v>
      </c>
      <c r="E871">
        <f>WEEKNUM(makulatura[[#This Row],[Data_dostarczenia]],13)</f>
        <v>20</v>
      </c>
      <c r="F871" s="2">
        <f>WEEKDAY(makulatura[[#This Row],[Data_dostarczenia]],2)</f>
        <v>1</v>
      </c>
    </row>
    <row r="872" spans="1:6" x14ac:dyDescent="0.25">
      <c r="A872" s="1">
        <v>42870</v>
      </c>
      <c r="B872" s="2" t="s">
        <v>339</v>
      </c>
      <c r="C872" s="2" t="s">
        <v>583</v>
      </c>
      <c r="D872">
        <v>52</v>
      </c>
      <c r="E872">
        <f>WEEKNUM(makulatura[[#This Row],[Data_dostarczenia]],13)</f>
        <v>20</v>
      </c>
      <c r="F872" s="2">
        <f>WEEKDAY(makulatura[[#This Row],[Data_dostarczenia]],2)</f>
        <v>1</v>
      </c>
    </row>
    <row r="873" spans="1:6" x14ac:dyDescent="0.25">
      <c r="A873" s="1">
        <v>42870</v>
      </c>
      <c r="B873" s="2" t="s">
        <v>81</v>
      </c>
      <c r="C873" s="2" t="s">
        <v>104</v>
      </c>
      <c r="D873">
        <v>10</v>
      </c>
      <c r="E873">
        <f>WEEKNUM(makulatura[[#This Row],[Data_dostarczenia]],13)</f>
        <v>20</v>
      </c>
      <c r="F873" s="2">
        <f>WEEKDAY(makulatura[[#This Row],[Data_dostarczenia]],2)</f>
        <v>1</v>
      </c>
    </row>
    <row r="874" spans="1:6" x14ac:dyDescent="0.25">
      <c r="A874" s="1">
        <v>42870</v>
      </c>
      <c r="B874" s="2" t="s">
        <v>34</v>
      </c>
      <c r="C874" s="2" t="s">
        <v>557</v>
      </c>
      <c r="D874">
        <v>5</v>
      </c>
      <c r="E874">
        <f>WEEKNUM(makulatura[[#This Row],[Data_dostarczenia]],13)</f>
        <v>20</v>
      </c>
      <c r="F874" s="2">
        <f>WEEKDAY(makulatura[[#This Row],[Data_dostarczenia]],2)</f>
        <v>1</v>
      </c>
    </row>
    <row r="875" spans="1:6" x14ac:dyDescent="0.25">
      <c r="A875" s="1">
        <v>42871</v>
      </c>
      <c r="B875" s="2" t="s">
        <v>81</v>
      </c>
      <c r="C875" s="2" t="s">
        <v>584</v>
      </c>
      <c r="D875">
        <v>38</v>
      </c>
      <c r="E875">
        <f>WEEKNUM(makulatura[[#This Row],[Data_dostarczenia]],13)</f>
        <v>20</v>
      </c>
      <c r="F875" s="2">
        <f>WEEKDAY(makulatura[[#This Row],[Data_dostarczenia]],2)</f>
        <v>2</v>
      </c>
    </row>
    <row r="876" spans="1:6" x14ac:dyDescent="0.25">
      <c r="A876" s="1">
        <v>42871</v>
      </c>
      <c r="B876" s="2" t="s">
        <v>55</v>
      </c>
      <c r="C876" s="2" t="s">
        <v>466</v>
      </c>
      <c r="D876">
        <v>20</v>
      </c>
      <c r="E876">
        <f>WEEKNUM(makulatura[[#This Row],[Data_dostarczenia]],13)</f>
        <v>20</v>
      </c>
      <c r="F876" s="2">
        <f>WEEKDAY(makulatura[[#This Row],[Data_dostarczenia]],2)</f>
        <v>2</v>
      </c>
    </row>
    <row r="877" spans="1:6" x14ac:dyDescent="0.25">
      <c r="A877" s="1">
        <v>42871</v>
      </c>
      <c r="B877" s="2" t="s">
        <v>77</v>
      </c>
      <c r="C877" s="2" t="s">
        <v>78</v>
      </c>
      <c r="D877">
        <v>2</v>
      </c>
      <c r="E877">
        <f>WEEKNUM(makulatura[[#This Row],[Data_dostarczenia]],13)</f>
        <v>20</v>
      </c>
      <c r="F877" s="2">
        <f>WEEKDAY(makulatura[[#This Row],[Data_dostarczenia]],2)</f>
        <v>2</v>
      </c>
    </row>
    <row r="878" spans="1:6" x14ac:dyDescent="0.25">
      <c r="A878" s="1">
        <v>42871</v>
      </c>
      <c r="B878" s="2" t="s">
        <v>83</v>
      </c>
      <c r="C878" s="2" t="s">
        <v>91</v>
      </c>
      <c r="D878">
        <v>25</v>
      </c>
      <c r="E878">
        <f>WEEKNUM(makulatura[[#This Row],[Data_dostarczenia]],13)</f>
        <v>20</v>
      </c>
      <c r="F878" s="2">
        <f>WEEKDAY(makulatura[[#This Row],[Data_dostarczenia]],2)</f>
        <v>2</v>
      </c>
    </row>
    <row r="879" spans="1:6" x14ac:dyDescent="0.25">
      <c r="A879" s="1">
        <v>42871</v>
      </c>
      <c r="B879" s="2" t="s">
        <v>101</v>
      </c>
      <c r="C879" s="2" t="s">
        <v>188</v>
      </c>
      <c r="D879">
        <v>13</v>
      </c>
      <c r="E879">
        <f>WEEKNUM(makulatura[[#This Row],[Data_dostarczenia]],13)</f>
        <v>20</v>
      </c>
      <c r="F879" s="2">
        <f>WEEKDAY(makulatura[[#This Row],[Data_dostarczenia]],2)</f>
        <v>2</v>
      </c>
    </row>
    <row r="880" spans="1:6" x14ac:dyDescent="0.25">
      <c r="A880" s="1">
        <v>42871</v>
      </c>
      <c r="B880" s="2" t="s">
        <v>402</v>
      </c>
      <c r="C880" s="2" t="s">
        <v>403</v>
      </c>
      <c r="D880">
        <v>54</v>
      </c>
      <c r="E880">
        <f>WEEKNUM(makulatura[[#This Row],[Data_dostarczenia]],13)</f>
        <v>20</v>
      </c>
      <c r="F880" s="2">
        <f>WEEKDAY(makulatura[[#This Row],[Data_dostarczenia]],2)</f>
        <v>2</v>
      </c>
    </row>
    <row r="881" spans="1:6" x14ac:dyDescent="0.25">
      <c r="A881" s="1">
        <v>42872</v>
      </c>
      <c r="B881" s="2" t="s">
        <v>372</v>
      </c>
      <c r="C881" s="2" t="s">
        <v>373</v>
      </c>
      <c r="D881">
        <v>27</v>
      </c>
      <c r="E881">
        <f>WEEKNUM(makulatura[[#This Row],[Data_dostarczenia]],13)</f>
        <v>21</v>
      </c>
      <c r="F881" s="2">
        <f>WEEKDAY(makulatura[[#This Row],[Data_dostarczenia]],2)</f>
        <v>3</v>
      </c>
    </row>
    <row r="882" spans="1:6" x14ac:dyDescent="0.25">
      <c r="A882" s="1">
        <v>42872</v>
      </c>
      <c r="B882" s="2" t="s">
        <v>18</v>
      </c>
      <c r="C882" s="2" t="s">
        <v>29</v>
      </c>
      <c r="D882">
        <v>15</v>
      </c>
      <c r="E882">
        <f>WEEKNUM(makulatura[[#This Row],[Data_dostarczenia]],13)</f>
        <v>21</v>
      </c>
      <c r="F882" s="2">
        <f>WEEKDAY(makulatura[[#This Row],[Data_dostarczenia]],2)</f>
        <v>3</v>
      </c>
    </row>
    <row r="883" spans="1:6" x14ac:dyDescent="0.25">
      <c r="A883" s="1">
        <v>42872</v>
      </c>
      <c r="B883" s="2" t="s">
        <v>4</v>
      </c>
      <c r="C883" s="2" t="s">
        <v>489</v>
      </c>
      <c r="D883">
        <v>19</v>
      </c>
      <c r="E883">
        <f>WEEKNUM(makulatura[[#This Row],[Data_dostarczenia]],13)</f>
        <v>21</v>
      </c>
      <c r="F883" s="2">
        <f>WEEKDAY(makulatura[[#This Row],[Data_dostarczenia]],2)</f>
        <v>3</v>
      </c>
    </row>
    <row r="884" spans="1:6" x14ac:dyDescent="0.25">
      <c r="A884" s="1">
        <v>42872</v>
      </c>
      <c r="B884" s="2" t="s">
        <v>69</v>
      </c>
      <c r="C884" s="2" t="s">
        <v>286</v>
      </c>
      <c r="D884">
        <v>22</v>
      </c>
      <c r="E884">
        <f>WEEKNUM(makulatura[[#This Row],[Data_dostarczenia]],13)</f>
        <v>21</v>
      </c>
      <c r="F884" s="2">
        <f>WEEKDAY(makulatura[[#This Row],[Data_dostarczenia]],2)</f>
        <v>3</v>
      </c>
    </row>
    <row r="885" spans="1:6" x14ac:dyDescent="0.25">
      <c r="A885" s="1">
        <v>42872</v>
      </c>
      <c r="B885" s="2" t="s">
        <v>143</v>
      </c>
      <c r="C885" s="2" t="s">
        <v>585</v>
      </c>
      <c r="D885">
        <v>12</v>
      </c>
      <c r="E885">
        <f>WEEKNUM(makulatura[[#This Row],[Data_dostarczenia]],13)</f>
        <v>21</v>
      </c>
      <c r="F885" s="2">
        <f>WEEKDAY(makulatura[[#This Row],[Data_dostarczenia]],2)</f>
        <v>3</v>
      </c>
    </row>
    <row r="886" spans="1:6" x14ac:dyDescent="0.25">
      <c r="A886" s="1">
        <v>42872</v>
      </c>
      <c r="B886" s="2" t="s">
        <v>479</v>
      </c>
      <c r="C886" s="2" t="s">
        <v>480</v>
      </c>
      <c r="D886">
        <v>6</v>
      </c>
      <c r="E886">
        <f>WEEKNUM(makulatura[[#This Row],[Data_dostarczenia]],13)</f>
        <v>21</v>
      </c>
      <c r="F886" s="2">
        <f>WEEKDAY(makulatura[[#This Row],[Data_dostarczenia]],2)</f>
        <v>3</v>
      </c>
    </row>
    <row r="887" spans="1:6" x14ac:dyDescent="0.25">
      <c r="A887" s="1">
        <v>42873</v>
      </c>
      <c r="B887" s="2" t="s">
        <v>343</v>
      </c>
      <c r="C887" s="2" t="s">
        <v>344</v>
      </c>
      <c r="D887">
        <v>27</v>
      </c>
      <c r="E887">
        <f>WEEKNUM(makulatura[[#This Row],[Data_dostarczenia]],13)</f>
        <v>21</v>
      </c>
      <c r="F887" s="2">
        <f>WEEKDAY(makulatura[[#This Row],[Data_dostarczenia]],2)</f>
        <v>4</v>
      </c>
    </row>
    <row r="888" spans="1:6" x14ac:dyDescent="0.25">
      <c r="A888" s="1">
        <v>42873</v>
      </c>
      <c r="B888" s="2" t="s">
        <v>137</v>
      </c>
      <c r="C888" s="2" t="s">
        <v>379</v>
      </c>
      <c r="D888">
        <v>6</v>
      </c>
      <c r="E888">
        <f>WEEKNUM(makulatura[[#This Row],[Data_dostarczenia]],13)</f>
        <v>21</v>
      </c>
      <c r="F888" s="2">
        <f>WEEKDAY(makulatura[[#This Row],[Data_dostarczenia]],2)</f>
        <v>4</v>
      </c>
    </row>
    <row r="889" spans="1:6" x14ac:dyDescent="0.25">
      <c r="A889" s="1">
        <v>42873</v>
      </c>
      <c r="B889" s="2" t="s">
        <v>484</v>
      </c>
      <c r="C889" s="2" t="s">
        <v>485</v>
      </c>
      <c r="D889">
        <v>6</v>
      </c>
      <c r="E889">
        <f>WEEKNUM(makulatura[[#This Row],[Data_dostarczenia]],13)</f>
        <v>21</v>
      </c>
      <c r="F889" s="2">
        <f>WEEKDAY(makulatura[[#This Row],[Data_dostarczenia]],2)</f>
        <v>4</v>
      </c>
    </row>
    <row r="890" spans="1:6" x14ac:dyDescent="0.25">
      <c r="A890" s="1">
        <v>42873</v>
      </c>
      <c r="B890" s="2" t="s">
        <v>39</v>
      </c>
      <c r="C890" s="2" t="s">
        <v>586</v>
      </c>
      <c r="D890">
        <v>4</v>
      </c>
      <c r="E890">
        <f>WEEKNUM(makulatura[[#This Row],[Data_dostarczenia]],13)</f>
        <v>21</v>
      </c>
      <c r="F890" s="2">
        <f>WEEKDAY(makulatura[[#This Row],[Data_dostarczenia]],2)</f>
        <v>4</v>
      </c>
    </row>
    <row r="891" spans="1:6" x14ac:dyDescent="0.25">
      <c r="A891" s="1">
        <v>42873</v>
      </c>
      <c r="B891" s="2" t="s">
        <v>201</v>
      </c>
      <c r="C891" s="2" t="s">
        <v>433</v>
      </c>
      <c r="D891">
        <v>28</v>
      </c>
      <c r="E891">
        <f>WEEKNUM(makulatura[[#This Row],[Data_dostarczenia]],13)</f>
        <v>21</v>
      </c>
      <c r="F891" s="2">
        <f>WEEKDAY(makulatura[[#This Row],[Data_dostarczenia]],2)</f>
        <v>4</v>
      </c>
    </row>
    <row r="892" spans="1:6" x14ac:dyDescent="0.25">
      <c r="A892" s="1">
        <v>42873</v>
      </c>
      <c r="B892" s="2" t="s">
        <v>143</v>
      </c>
      <c r="C892" s="2" t="s">
        <v>585</v>
      </c>
      <c r="D892">
        <v>48</v>
      </c>
      <c r="E892">
        <f>WEEKNUM(makulatura[[#This Row],[Data_dostarczenia]],13)</f>
        <v>21</v>
      </c>
      <c r="F892" s="2">
        <f>WEEKDAY(makulatura[[#This Row],[Data_dostarczenia]],2)</f>
        <v>4</v>
      </c>
    </row>
    <row r="893" spans="1:6" x14ac:dyDescent="0.25">
      <c r="A893" s="1">
        <v>42874</v>
      </c>
      <c r="B893" s="2" t="s">
        <v>69</v>
      </c>
      <c r="C893" s="2" t="s">
        <v>461</v>
      </c>
      <c r="D893">
        <v>40</v>
      </c>
      <c r="E893">
        <f>WEEKNUM(makulatura[[#This Row],[Data_dostarczenia]],13)</f>
        <v>21</v>
      </c>
      <c r="F893" s="2">
        <f>WEEKDAY(makulatura[[#This Row],[Data_dostarczenia]],2)</f>
        <v>5</v>
      </c>
    </row>
    <row r="894" spans="1:6" x14ac:dyDescent="0.25">
      <c r="A894" s="1">
        <v>42874</v>
      </c>
      <c r="B894" s="2" t="s">
        <v>101</v>
      </c>
      <c r="C894" s="2" t="s">
        <v>187</v>
      </c>
      <c r="D894">
        <v>17</v>
      </c>
      <c r="E894">
        <f>WEEKNUM(makulatura[[#This Row],[Data_dostarczenia]],13)</f>
        <v>21</v>
      </c>
      <c r="F894" s="2">
        <f>WEEKDAY(makulatura[[#This Row],[Data_dostarczenia]],2)</f>
        <v>5</v>
      </c>
    </row>
    <row r="895" spans="1:6" x14ac:dyDescent="0.25">
      <c r="A895" s="1">
        <v>42874</v>
      </c>
      <c r="B895" s="2" t="s">
        <v>203</v>
      </c>
      <c r="C895" s="2" t="s">
        <v>370</v>
      </c>
      <c r="D895">
        <v>22</v>
      </c>
      <c r="E895">
        <f>WEEKNUM(makulatura[[#This Row],[Data_dostarczenia]],13)</f>
        <v>21</v>
      </c>
      <c r="F895" s="2">
        <f>WEEKDAY(makulatura[[#This Row],[Data_dostarczenia]],2)</f>
        <v>5</v>
      </c>
    </row>
    <row r="896" spans="1:6" x14ac:dyDescent="0.25">
      <c r="A896" s="1">
        <v>42874</v>
      </c>
      <c r="B896" s="2" t="s">
        <v>174</v>
      </c>
      <c r="C896" s="2" t="s">
        <v>175</v>
      </c>
      <c r="D896">
        <v>2</v>
      </c>
      <c r="E896">
        <f>WEEKNUM(makulatura[[#This Row],[Data_dostarczenia]],13)</f>
        <v>21</v>
      </c>
      <c r="F896" s="2">
        <f>WEEKDAY(makulatura[[#This Row],[Data_dostarczenia]],2)</f>
        <v>5</v>
      </c>
    </row>
    <row r="897" spans="1:6" x14ac:dyDescent="0.25">
      <c r="A897" s="1">
        <v>42874</v>
      </c>
      <c r="B897" s="2" t="s">
        <v>30</v>
      </c>
      <c r="C897" s="2" t="s">
        <v>31</v>
      </c>
      <c r="D897">
        <v>5</v>
      </c>
      <c r="E897">
        <f>WEEKNUM(makulatura[[#This Row],[Data_dostarczenia]],13)</f>
        <v>21</v>
      </c>
      <c r="F897" s="2">
        <f>WEEKDAY(makulatura[[#This Row],[Data_dostarczenia]],2)</f>
        <v>5</v>
      </c>
    </row>
    <row r="898" spans="1:6" x14ac:dyDescent="0.25">
      <c r="A898" s="1">
        <v>42874</v>
      </c>
      <c r="B898" s="2" t="s">
        <v>280</v>
      </c>
      <c r="C898" s="2" t="s">
        <v>451</v>
      </c>
      <c r="D898">
        <v>25</v>
      </c>
      <c r="E898">
        <f>WEEKNUM(makulatura[[#This Row],[Data_dostarczenia]],13)</f>
        <v>21</v>
      </c>
      <c r="F898" s="2">
        <f>WEEKDAY(makulatura[[#This Row],[Data_dostarczenia]],2)</f>
        <v>5</v>
      </c>
    </row>
    <row r="899" spans="1:6" x14ac:dyDescent="0.25">
      <c r="A899" s="1">
        <v>42877</v>
      </c>
      <c r="B899" s="2" t="s">
        <v>167</v>
      </c>
      <c r="C899" s="2" t="s">
        <v>552</v>
      </c>
      <c r="D899">
        <v>21</v>
      </c>
      <c r="E899">
        <f>WEEKNUM(makulatura[[#This Row],[Data_dostarczenia]],13)</f>
        <v>21</v>
      </c>
      <c r="F899" s="2">
        <f>WEEKDAY(makulatura[[#This Row],[Data_dostarczenia]],2)</f>
        <v>1</v>
      </c>
    </row>
    <row r="900" spans="1:6" x14ac:dyDescent="0.25">
      <c r="A900" s="1">
        <v>42877</v>
      </c>
      <c r="B900" s="2" t="s">
        <v>30</v>
      </c>
      <c r="C900" s="2" t="s">
        <v>432</v>
      </c>
      <c r="D900">
        <v>31</v>
      </c>
      <c r="E900">
        <f>WEEKNUM(makulatura[[#This Row],[Data_dostarczenia]],13)</f>
        <v>21</v>
      </c>
      <c r="F900" s="2">
        <f>WEEKDAY(makulatura[[#This Row],[Data_dostarczenia]],2)</f>
        <v>1</v>
      </c>
    </row>
    <row r="901" spans="1:6" x14ac:dyDescent="0.25">
      <c r="A901" s="1">
        <v>42877</v>
      </c>
      <c r="B901" s="2" t="s">
        <v>75</v>
      </c>
      <c r="C901" s="2" t="s">
        <v>213</v>
      </c>
      <c r="D901">
        <v>21</v>
      </c>
      <c r="E901">
        <f>WEEKNUM(makulatura[[#This Row],[Data_dostarczenia]],13)</f>
        <v>21</v>
      </c>
      <c r="F901" s="2">
        <f>WEEKDAY(makulatura[[#This Row],[Data_dostarczenia]],2)</f>
        <v>1</v>
      </c>
    </row>
    <row r="902" spans="1:6" x14ac:dyDescent="0.25">
      <c r="A902" s="1">
        <v>42877</v>
      </c>
      <c r="B902" s="2" t="s">
        <v>232</v>
      </c>
      <c r="C902" s="2" t="s">
        <v>573</v>
      </c>
      <c r="D902">
        <v>19</v>
      </c>
      <c r="E902">
        <f>WEEKNUM(makulatura[[#This Row],[Data_dostarczenia]],13)</f>
        <v>21</v>
      </c>
      <c r="F902" s="2">
        <f>WEEKDAY(makulatura[[#This Row],[Data_dostarczenia]],2)</f>
        <v>1</v>
      </c>
    </row>
    <row r="903" spans="1:6" x14ac:dyDescent="0.25">
      <c r="A903" s="1">
        <v>42877</v>
      </c>
      <c r="B903" s="2" t="s">
        <v>57</v>
      </c>
      <c r="C903" s="2" t="s">
        <v>58</v>
      </c>
      <c r="D903">
        <v>6</v>
      </c>
      <c r="E903">
        <f>WEEKNUM(makulatura[[#This Row],[Data_dostarczenia]],13)</f>
        <v>21</v>
      </c>
      <c r="F903" s="2">
        <f>WEEKDAY(makulatura[[#This Row],[Data_dostarczenia]],2)</f>
        <v>1</v>
      </c>
    </row>
    <row r="904" spans="1:6" x14ac:dyDescent="0.25">
      <c r="A904" s="1">
        <v>42877</v>
      </c>
      <c r="B904" s="2" t="s">
        <v>150</v>
      </c>
      <c r="C904" s="2" t="s">
        <v>140</v>
      </c>
      <c r="D904">
        <v>24</v>
      </c>
      <c r="E904">
        <f>WEEKNUM(makulatura[[#This Row],[Data_dostarczenia]],13)</f>
        <v>21</v>
      </c>
      <c r="F904" s="2">
        <f>WEEKDAY(makulatura[[#This Row],[Data_dostarczenia]],2)</f>
        <v>1</v>
      </c>
    </row>
    <row r="905" spans="1:6" x14ac:dyDescent="0.25">
      <c r="A905" s="1">
        <v>42878</v>
      </c>
      <c r="B905" s="2" t="s">
        <v>343</v>
      </c>
      <c r="C905" s="2" t="s">
        <v>344</v>
      </c>
      <c r="D905">
        <v>54</v>
      </c>
      <c r="E905">
        <f>WEEKNUM(makulatura[[#This Row],[Data_dostarczenia]],13)</f>
        <v>21</v>
      </c>
      <c r="F905" s="2">
        <f>WEEKDAY(makulatura[[#This Row],[Data_dostarczenia]],2)</f>
        <v>2</v>
      </c>
    </row>
    <row r="906" spans="1:6" x14ac:dyDescent="0.25">
      <c r="A906" s="1">
        <v>42878</v>
      </c>
      <c r="B906" s="2" t="s">
        <v>53</v>
      </c>
      <c r="C906" s="2" t="s">
        <v>54</v>
      </c>
      <c r="D906">
        <v>18</v>
      </c>
      <c r="E906">
        <f>WEEKNUM(makulatura[[#This Row],[Data_dostarczenia]],13)</f>
        <v>21</v>
      </c>
      <c r="F906" s="2">
        <f>WEEKDAY(makulatura[[#This Row],[Data_dostarczenia]],2)</f>
        <v>2</v>
      </c>
    </row>
    <row r="907" spans="1:6" x14ac:dyDescent="0.25">
      <c r="A907" s="1">
        <v>42878</v>
      </c>
      <c r="B907" s="2" t="s">
        <v>343</v>
      </c>
      <c r="C907" s="2" t="s">
        <v>501</v>
      </c>
      <c r="D907">
        <v>8</v>
      </c>
      <c r="E907">
        <f>WEEKNUM(makulatura[[#This Row],[Data_dostarczenia]],13)</f>
        <v>21</v>
      </c>
      <c r="F907" s="2">
        <f>WEEKDAY(makulatura[[#This Row],[Data_dostarczenia]],2)</f>
        <v>2</v>
      </c>
    </row>
    <row r="908" spans="1:6" x14ac:dyDescent="0.25">
      <c r="A908" s="1">
        <v>42878</v>
      </c>
      <c r="B908" s="2" t="s">
        <v>243</v>
      </c>
      <c r="C908" s="2" t="s">
        <v>82</v>
      </c>
      <c r="D908">
        <v>4</v>
      </c>
      <c r="E908">
        <f>WEEKNUM(makulatura[[#This Row],[Data_dostarczenia]],13)</f>
        <v>21</v>
      </c>
      <c r="F908" s="2">
        <f>WEEKDAY(makulatura[[#This Row],[Data_dostarczenia]],2)</f>
        <v>2</v>
      </c>
    </row>
    <row r="909" spans="1:6" x14ac:dyDescent="0.25">
      <c r="A909" s="1">
        <v>42878</v>
      </c>
      <c r="B909" s="2" t="s">
        <v>53</v>
      </c>
      <c r="C909" s="2" t="s">
        <v>227</v>
      </c>
      <c r="D909">
        <v>16</v>
      </c>
      <c r="E909">
        <f>WEEKNUM(makulatura[[#This Row],[Data_dostarczenia]],13)</f>
        <v>21</v>
      </c>
      <c r="F909" s="2">
        <f>WEEKDAY(makulatura[[#This Row],[Data_dostarczenia]],2)</f>
        <v>2</v>
      </c>
    </row>
    <row r="910" spans="1:6" x14ac:dyDescent="0.25">
      <c r="A910" s="1">
        <v>42878</v>
      </c>
      <c r="B910" s="2" t="s">
        <v>34</v>
      </c>
      <c r="C910" s="2" t="s">
        <v>557</v>
      </c>
      <c r="D910">
        <v>6</v>
      </c>
      <c r="E910">
        <f>WEEKNUM(makulatura[[#This Row],[Data_dostarczenia]],13)</f>
        <v>21</v>
      </c>
      <c r="F910" s="2">
        <f>WEEKDAY(makulatura[[#This Row],[Data_dostarczenia]],2)</f>
        <v>2</v>
      </c>
    </row>
    <row r="911" spans="1:6" x14ac:dyDescent="0.25">
      <c r="A911" s="1">
        <v>42879</v>
      </c>
      <c r="B911" s="2" t="s">
        <v>43</v>
      </c>
      <c r="C911" s="2" t="s">
        <v>124</v>
      </c>
      <c r="D911">
        <v>54</v>
      </c>
      <c r="E911">
        <f>WEEKNUM(makulatura[[#This Row],[Data_dostarczenia]],13)</f>
        <v>22</v>
      </c>
      <c r="F911" s="2">
        <f>WEEKDAY(makulatura[[#This Row],[Data_dostarczenia]],2)</f>
        <v>3</v>
      </c>
    </row>
    <row r="912" spans="1:6" x14ac:dyDescent="0.25">
      <c r="A912" s="1">
        <v>42879</v>
      </c>
      <c r="B912" s="2" t="s">
        <v>83</v>
      </c>
      <c r="C912" s="2" t="s">
        <v>459</v>
      </c>
      <c r="D912">
        <v>35</v>
      </c>
      <c r="E912">
        <f>WEEKNUM(makulatura[[#This Row],[Data_dostarczenia]],13)</f>
        <v>22</v>
      </c>
      <c r="F912" s="2">
        <f>WEEKDAY(makulatura[[#This Row],[Data_dostarczenia]],2)</f>
        <v>3</v>
      </c>
    </row>
    <row r="913" spans="1:6" x14ac:dyDescent="0.25">
      <c r="A913" s="1">
        <v>42879</v>
      </c>
      <c r="B913" s="2" t="s">
        <v>234</v>
      </c>
      <c r="C913" s="2" t="s">
        <v>235</v>
      </c>
      <c r="D913">
        <v>23</v>
      </c>
      <c r="E913">
        <f>WEEKNUM(makulatura[[#This Row],[Data_dostarczenia]],13)</f>
        <v>22</v>
      </c>
      <c r="F913" s="2">
        <f>WEEKDAY(makulatura[[#This Row],[Data_dostarczenia]],2)</f>
        <v>3</v>
      </c>
    </row>
    <row r="914" spans="1:6" x14ac:dyDescent="0.25">
      <c r="A914" s="1">
        <v>42879</v>
      </c>
      <c r="B914" s="2" t="s">
        <v>72</v>
      </c>
      <c r="C914" s="2" t="s">
        <v>227</v>
      </c>
      <c r="D914">
        <v>52</v>
      </c>
      <c r="E914">
        <f>WEEKNUM(makulatura[[#This Row],[Data_dostarczenia]],13)</f>
        <v>22</v>
      </c>
      <c r="F914" s="2">
        <f>WEEKDAY(makulatura[[#This Row],[Data_dostarczenia]],2)</f>
        <v>3</v>
      </c>
    </row>
    <row r="915" spans="1:6" x14ac:dyDescent="0.25">
      <c r="A915" s="1">
        <v>42879</v>
      </c>
      <c r="B915" s="2" t="s">
        <v>367</v>
      </c>
      <c r="C915" s="2" t="s">
        <v>411</v>
      </c>
      <c r="D915">
        <v>26</v>
      </c>
      <c r="E915">
        <f>WEEKNUM(makulatura[[#This Row],[Data_dostarczenia]],13)</f>
        <v>22</v>
      </c>
      <c r="F915" s="2">
        <f>WEEKDAY(makulatura[[#This Row],[Data_dostarczenia]],2)</f>
        <v>3</v>
      </c>
    </row>
    <row r="916" spans="1:6" x14ac:dyDescent="0.25">
      <c r="A916" s="1">
        <v>42879</v>
      </c>
      <c r="B916" s="2" t="s">
        <v>343</v>
      </c>
      <c r="C916" s="2" t="s">
        <v>501</v>
      </c>
      <c r="D916">
        <v>26</v>
      </c>
      <c r="E916">
        <f>WEEKNUM(makulatura[[#This Row],[Data_dostarczenia]],13)</f>
        <v>22</v>
      </c>
      <c r="F916" s="2">
        <f>WEEKDAY(makulatura[[#This Row],[Data_dostarczenia]],2)</f>
        <v>3</v>
      </c>
    </row>
    <row r="917" spans="1:6" x14ac:dyDescent="0.25">
      <c r="A917" s="1">
        <v>42880</v>
      </c>
      <c r="B917" s="2" t="s">
        <v>97</v>
      </c>
      <c r="C917" s="2" t="s">
        <v>457</v>
      </c>
      <c r="D917">
        <v>2</v>
      </c>
      <c r="E917">
        <f>WEEKNUM(makulatura[[#This Row],[Data_dostarczenia]],13)</f>
        <v>22</v>
      </c>
      <c r="F917" s="2">
        <f>WEEKDAY(makulatura[[#This Row],[Data_dostarczenia]],2)</f>
        <v>4</v>
      </c>
    </row>
    <row r="918" spans="1:6" x14ac:dyDescent="0.25">
      <c r="A918" s="1">
        <v>42880</v>
      </c>
      <c r="B918" s="2" t="s">
        <v>51</v>
      </c>
      <c r="C918" s="2" t="s">
        <v>469</v>
      </c>
      <c r="D918">
        <v>31</v>
      </c>
      <c r="E918">
        <f>WEEKNUM(makulatura[[#This Row],[Data_dostarczenia]],13)</f>
        <v>22</v>
      </c>
      <c r="F918" s="2">
        <f>WEEKDAY(makulatura[[#This Row],[Data_dostarczenia]],2)</f>
        <v>4</v>
      </c>
    </row>
    <row r="919" spans="1:6" x14ac:dyDescent="0.25">
      <c r="A919" s="1">
        <v>42880</v>
      </c>
      <c r="B919" s="2" t="s">
        <v>20</v>
      </c>
      <c r="C919" s="2" t="s">
        <v>21</v>
      </c>
      <c r="D919">
        <v>38</v>
      </c>
      <c r="E919">
        <f>WEEKNUM(makulatura[[#This Row],[Data_dostarczenia]],13)</f>
        <v>22</v>
      </c>
      <c r="F919" s="2">
        <f>WEEKDAY(makulatura[[#This Row],[Data_dostarczenia]],2)</f>
        <v>4</v>
      </c>
    </row>
    <row r="920" spans="1:6" x14ac:dyDescent="0.25">
      <c r="A920" s="1">
        <v>42880</v>
      </c>
      <c r="B920" s="2" t="s">
        <v>4</v>
      </c>
      <c r="C920" s="2" t="s">
        <v>386</v>
      </c>
      <c r="D920">
        <v>8</v>
      </c>
      <c r="E920">
        <f>WEEKNUM(makulatura[[#This Row],[Data_dostarczenia]],13)</f>
        <v>22</v>
      </c>
      <c r="F920" s="2">
        <f>WEEKDAY(makulatura[[#This Row],[Data_dostarczenia]],2)</f>
        <v>4</v>
      </c>
    </row>
    <row r="921" spans="1:6" x14ac:dyDescent="0.25">
      <c r="A921" s="1">
        <v>42880</v>
      </c>
      <c r="B921" s="2" t="s">
        <v>36</v>
      </c>
      <c r="C921" s="2" t="s">
        <v>295</v>
      </c>
      <c r="D921">
        <v>53</v>
      </c>
      <c r="E921">
        <f>WEEKNUM(makulatura[[#This Row],[Data_dostarczenia]],13)</f>
        <v>22</v>
      </c>
      <c r="F921" s="2">
        <f>WEEKDAY(makulatura[[#This Row],[Data_dostarczenia]],2)</f>
        <v>4</v>
      </c>
    </row>
    <row r="922" spans="1:6" x14ac:dyDescent="0.25">
      <c r="A922" s="1">
        <v>42880</v>
      </c>
      <c r="B922" s="2" t="s">
        <v>484</v>
      </c>
      <c r="C922" s="2" t="s">
        <v>485</v>
      </c>
      <c r="D922">
        <v>6</v>
      </c>
      <c r="E922">
        <f>WEEKNUM(makulatura[[#This Row],[Data_dostarczenia]],13)</f>
        <v>22</v>
      </c>
      <c r="F922" s="2">
        <f>WEEKDAY(makulatura[[#This Row],[Data_dostarczenia]],2)</f>
        <v>4</v>
      </c>
    </row>
    <row r="923" spans="1:6" x14ac:dyDescent="0.25">
      <c r="A923" s="1">
        <v>42881</v>
      </c>
      <c r="B923" s="2" t="s">
        <v>72</v>
      </c>
      <c r="C923" s="2" t="s">
        <v>73</v>
      </c>
      <c r="D923">
        <v>55</v>
      </c>
      <c r="E923">
        <f>WEEKNUM(makulatura[[#This Row],[Data_dostarczenia]],13)</f>
        <v>22</v>
      </c>
      <c r="F923" s="2">
        <f>WEEKDAY(makulatura[[#This Row],[Data_dostarczenia]],2)</f>
        <v>5</v>
      </c>
    </row>
    <row r="924" spans="1:6" x14ac:dyDescent="0.25">
      <c r="A924" s="1">
        <v>42881</v>
      </c>
      <c r="B924" s="2" t="s">
        <v>395</v>
      </c>
      <c r="C924" s="2" t="s">
        <v>587</v>
      </c>
      <c r="D924">
        <v>15</v>
      </c>
      <c r="E924">
        <f>WEEKNUM(makulatura[[#This Row],[Data_dostarczenia]],13)</f>
        <v>22</v>
      </c>
      <c r="F924" s="2">
        <f>WEEKDAY(makulatura[[#This Row],[Data_dostarczenia]],2)</f>
        <v>5</v>
      </c>
    </row>
    <row r="925" spans="1:6" x14ac:dyDescent="0.25">
      <c r="A925" s="1">
        <v>42881</v>
      </c>
      <c r="B925" s="2" t="s">
        <v>155</v>
      </c>
      <c r="C925" s="2" t="s">
        <v>414</v>
      </c>
      <c r="D925">
        <v>25</v>
      </c>
      <c r="E925">
        <f>WEEKNUM(makulatura[[#This Row],[Data_dostarczenia]],13)</f>
        <v>22</v>
      </c>
      <c r="F925" s="2">
        <f>WEEKDAY(makulatura[[#This Row],[Data_dostarczenia]],2)</f>
        <v>5</v>
      </c>
    </row>
    <row r="926" spans="1:6" x14ac:dyDescent="0.25">
      <c r="A926" s="1">
        <v>42881</v>
      </c>
      <c r="B926" s="2" t="s">
        <v>69</v>
      </c>
      <c r="C926" s="2" t="s">
        <v>588</v>
      </c>
      <c r="D926">
        <v>39</v>
      </c>
      <c r="E926">
        <f>WEEKNUM(makulatura[[#This Row],[Data_dostarczenia]],13)</f>
        <v>22</v>
      </c>
      <c r="F926" s="2">
        <f>WEEKDAY(makulatura[[#This Row],[Data_dostarczenia]],2)</f>
        <v>5</v>
      </c>
    </row>
    <row r="927" spans="1:6" x14ac:dyDescent="0.25">
      <c r="A927" s="1">
        <v>42881</v>
      </c>
      <c r="B927" s="2" t="s">
        <v>201</v>
      </c>
      <c r="C927" s="2" t="s">
        <v>357</v>
      </c>
      <c r="D927">
        <v>25</v>
      </c>
      <c r="E927">
        <f>WEEKNUM(makulatura[[#This Row],[Data_dostarczenia]],13)</f>
        <v>22</v>
      </c>
      <c r="F927" s="2">
        <f>WEEKDAY(makulatura[[#This Row],[Data_dostarczenia]],2)</f>
        <v>5</v>
      </c>
    </row>
    <row r="928" spans="1:6" x14ac:dyDescent="0.25">
      <c r="A928" s="1">
        <v>42881</v>
      </c>
      <c r="B928" s="2" t="s">
        <v>55</v>
      </c>
      <c r="C928" s="2" t="s">
        <v>265</v>
      </c>
      <c r="D928">
        <v>22</v>
      </c>
      <c r="E928">
        <f>WEEKNUM(makulatura[[#This Row],[Data_dostarczenia]],13)</f>
        <v>22</v>
      </c>
      <c r="F928" s="2">
        <f>WEEKDAY(makulatura[[#This Row],[Data_dostarczenia]],2)</f>
        <v>5</v>
      </c>
    </row>
    <row r="929" spans="1:6" x14ac:dyDescent="0.25">
      <c r="A929" s="1">
        <v>42884</v>
      </c>
      <c r="B929" s="2" t="s">
        <v>589</v>
      </c>
      <c r="C929" s="2" t="s">
        <v>590</v>
      </c>
      <c r="D929">
        <v>22</v>
      </c>
      <c r="E929">
        <f>WEEKNUM(makulatura[[#This Row],[Data_dostarczenia]],13)</f>
        <v>22</v>
      </c>
      <c r="F929" s="2">
        <f>WEEKDAY(makulatura[[#This Row],[Data_dostarczenia]],2)</f>
        <v>1</v>
      </c>
    </row>
    <row r="930" spans="1:6" x14ac:dyDescent="0.25">
      <c r="A930" s="1">
        <v>42884</v>
      </c>
      <c r="B930" s="2" t="s">
        <v>150</v>
      </c>
      <c r="C930" s="2" t="s">
        <v>200</v>
      </c>
      <c r="D930">
        <v>2</v>
      </c>
      <c r="E930">
        <f>WEEKNUM(makulatura[[#This Row],[Data_dostarczenia]],13)</f>
        <v>22</v>
      </c>
      <c r="F930" s="2">
        <f>WEEKDAY(makulatura[[#This Row],[Data_dostarczenia]],2)</f>
        <v>1</v>
      </c>
    </row>
    <row r="931" spans="1:6" x14ac:dyDescent="0.25">
      <c r="A931" s="1">
        <v>42884</v>
      </c>
      <c r="B931" s="2" t="s">
        <v>101</v>
      </c>
      <c r="C931" s="2" t="s">
        <v>293</v>
      </c>
      <c r="D931">
        <v>8</v>
      </c>
      <c r="E931">
        <f>WEEKNUM(makulatura[[#This Row],[Data_dostarczenia]],13)</f>
        <v>22</v>
      </c>
      <c r="F931" s="2">
        <f>WEEKDAY(makulatura[[#This Row],[Data_dostarczenia]],2)</f>
        <v>1</v>
      </c>
    </row>
    <row r="932" spans="1:6" x14ac:dyDescent="0.25">
      <c r="A932" s="1">
        <v>42884</v>
      </c>
      <c r="B932" s="2" t="s">
        <v>83</v>
      </c>
      <c r="C932" s="2" t="s">
        <v>591</v>
      </c>
      <c r="D932">
        <v>50</v>
      </c>
      <c r="E932">
        <f>WEEKNUM(makulatura[[#This Row],[Data_dostarczenia]],13)</f>
        <v>22</v>
      </c>
      <c r="F932" s="2">
        <f>WEEKDAY(makulatura[[#This Row],[Data_dostarczenia]],2)</f>
        <v>1</v>
      </c>
    </row>
    <row r="933" spans="1:6" x14ac:dyDescent="0.25">
      <c r="A933" s="1">
        <v>42884</v>
      </c>
      <c r="B933" s="2" t="s">
        <v>95</v>
      </c>
      <c r="C933" s="2" t="s">
        <v>96</v>
      </c>
      <c r="D933">
        <v>17</v>
      </c>
      <c r="E933">
        <f>WEEKNUM(makulatura[[#This Row],[Data_dostarczenia]],13)</f>
        <v>22</v>
      </c>
      <c r="F933" s="2">
        <f>WEEKDAY(makulatura[[#This Row],[Data_dostarczenia]],2)</f>
        <v>1</v>
      </c>
    </row>
    <row r="934" spans="1:6" x14ac:dyDescent="0.25">
      <c r="A934" s="1">
        <v>42884</v>
      </c>
      <c r="B934" s="2" t="s">
        <v>65</v>
      </c>
      <c r="C934" s="2" t="s">
        <v>66</v>
      </c>
      <c r="D934">
        <v>9</v>
      </c>
      <c r="E934">
        <f>WEEKNUM(makulatura[[#This Row],[Data_dostarczenia]],13)</f>
        <v>22</v>
      </c>
      <c r="F934" s="2">
        <f>WEEKDAY(makulatura[[#This Row],[Data_dostarczenia]],2)</f>
        <v>1</v>
      </c>
    </row>
    <row r="935" spans="1:6" x14ac:dyDescent="0.25">
      <c r="A935" s="1">
        <v>42885</v>
      </c>
      <c r="B935" s="2" t="s">
        <v>307</v>
      </c>
      <c r="C935" s="2" t="s">
        <v>325</v>
      </c>
      <c r="D935">
        <v>52</v>
      </c>
      <c r="E935">
        <f>WEEKNUM(makulatura[[#This Row],[Data_dostarczenia]],13)</f>
        <v>22</v>
      </c>
      <c r="F935" s="2">
        <f>WEEKDAY(makulatura[[#This Row],[Data_dostarczenia]],2)</f>
        <v>2</v>
      </c>
    </row>
    <row r="936" spans="1:6" x14ac:dyDescent="0.25">
      <c r="A936" s="1">
        <v>42885</v>
      </c>
      <c r="B936" s="2" t="s">
        <v>232</v>
      </c>
      <c r="C936" s="2" t="s">
        <v>451</v>
      </c>
      <c r="D936">
        <v>18</v>
      </c>
      <c r="E936">
        <f>WEEKNUM(makulatura[[#This Row],[Data_dostarczenia]],13)</f>
        <v>22</v>
      </c>
      <c r="F936" s="2">
        <f>WEEKDAY(makulatura[[#This Row],[Data_dostarczenia]],2)</f>
        <v>2</v>
      </c>
    </row>
    <row r="937" spans="1:6" x14ac:dyDescent="0.25">
      <c r="A937" s="1">
        <v>42885</v>
      </c>
      <c r="B937" s="2" t="s">
        <v>23</v>
      </c>
      <c r="C937" s="2" t="s">
        <v>592</v>
      </c>
      <c r="D937">
        <v>17</v>
      </c>
      <c r="E937">
        <f>WEEKNUM(makulatura[[#This Row],[Data_dostarczenia]],13)</f>
        <v>22</v>
      </c>
      <c r="F937" s="2">
        <f>WEEKDAY(makulatura[[#This Row],[Data_dostarczenia]],2)</f>
        <v>2</v>
      </c>
    </row>
    <row r="938" spans="1:6" x14ac:dyDescent="0.25">
      <c r="A938" s="1">
        <v>42885</v>
      </c>
      <c r="B938" s="2" t="s">
        <v>299</v>
      </c>
      <c r="C938" s="2" t="s">
        <v>300</v>
      </c>
      <c r="D938">
        <v>52</v>
      </c>
      <c r="E938">
        <f>WEEKNUM(makulatura[[#This Row],[Data_dostarczenia]],13)</f>
        <v>22</v>
      </c>
      <c r="F938" s="2">
        <f>WEEKDAY(makulatura[[#This Row],[Data_dostarczenia]],2)</f>
        <v>2</v>
      </c>
    </row>
    <row r="939" spans="1:6" x14ac:dyDescent="0.25">
      <c r="A939" s="1">
        <v>42885</v>
      </c>
      <c r="B939" s="2" t="s">
        <v>65</v>
      </c>
      <c r="C939" s="2" t="s">
        <v>116</v>
      </c>
      <c r="D939">
        <v>13</v>
      </c>
      <c r="E939">
        <f>WEEKNUM(makulatura[[#This Row],[Data_dostarczenia]],13)</f>
        <v>22</v>
      </c>
      <c r="F939" s="2">
        <f>WEEKDAY(makulatura[[#This Row],[Data_dostarczenia]],2)</f>
        <v>2</v>
      </c>
    </row>
    <row r="940" spans="1:6" x14ac:dyDescent="0.25">
      <c r="A940" s="1">
        <v>42885</v>
      </c>
      <c r="B940" s="2" t="s">
        <v>25</v>
      </c>
      <c r="C940" s="2" t="s">
        <v>26</v>
      </c>
      <c r="D940">
        <v>10</v>
      </c>
      <c r="E940">
        <f>WEEKNUM(makulatura[[#This Row],[Data_dostarczenia]],13)</f>
        <v>22</v>
      </c>
      <c r="F940" s="2">
        <f>WEEKDAY(makulatura[[#This Row],[Data_dostarczenia]],2)</f>
        <v>2</v>
      </c>
    </row>
    <row r="941" spans="1:6" x14ac:dyDescent="0.25">
      <c r="A941" s="1">
        <v>42886</v>
      </c>
      <c r="B941" s="2" t="s">
        <v>593</v>
      </c>
      <c r="C941" s="2" t="s">
        <v>594</v>
      </c>
      <c r="D941">
        <v>18</v>
      </c>
      <c r="E941">
        <f>WEEKNUM(makulatura[[#This Row],[Data_dostarczenia]],13)</f>
        <v>23</v>
      </c>
      <c r="F941" s="2">
        <f>WEEKDAY(makulatura[[#This Row],[Data_dostarczenia]],2)</f>
        <v>3</v>
      </c>
    </row>
    <row r="942" spans="1:6" x14ac:dyDescent="0.25">
      <c r="A942" s="1">
        <v>42886</v>
      </c>
      <c r="B942" s="2" t="s">
        <v>67</v>
      </c>
      <c r="C942" s="2" t="s">
        <v>301</v>
      </c>
      <c r="D942">
        <v>16</v>
      </c>
      <c r="E942">
        <f>WEEKNUM(makulatura[[#This Row],[Data_dostarczenia]],13)</f>
        <v>23</v>
      </c>
      <c r="F942" s="2">
        <f>WEEKDAY(makulatura[[#This Row],[Data_dostarczenia]],2)</f>
        <v>3</v>
      </c>
    </row>
    <row r="943" spans="1:6" x14ac:dyDescent="0.25">
      <c r="A943" s="1">
        <v>42886</v>
      </c>
      <c r="B943" s="2" t="s">
        <v>193</v>
      </c>
      <c r="C943" s="2" t="s">
        <v>595</v>
      </c>
      <c r="D943">
        <v>8</v>
      </c>
      <c r="E943">
        <f>WEEKNUM(makulatura[[#This Row],[Data_dostarczenia]],13)</f>
        <v>23</v>
      </c>
      <c r="F943" s="2">
        <f>WEEKDAY(makulatura[[#This Row],[Data_dostarczenia]],2)</f>
        <v>3</v>
      </c>
    </row>
    <row r="944" spans="1:6" x14ac:dyDescent="0.25">
      <c r="A944" s="1">
        <v>42886</v>
      </c>
      <c r="B944" s="2" t="s">
        <v>30</v>
      </c>
      <c r="C944" s="2" t="s">
        <v>241</v>
      </c>
      <c r="D944">
        <v>26</v>
      </c>
      <c r="E944">
        <f>WEEKNUM(makulatura[[#This Row],[Data_dostarczenia]],13)</f>
        <v>23</v>
      </c>
      <c r="F944" s="2">
        <f>WEEKDAY(makulatura[[#This Row],[Data_dostarczenia]],2)</f>
        <v>3</v>
      </c>
    </row>
    <row r="945" spans="1:6" x14ac:dyDescent="0.25">
      <c r="A945" s="1">
        <v>42886</v>
      </c>
      <c r="B945" s="2" t="s">
        <v>12</v>
      </c>
      <c r="C945" s="2" t="s">
        <v>532</v>
      </c>
      <c r="D945">
        <v>53</v>
      </c>
      <c r="E945">
        <f>WEEKNUM(makulatura[[#This Row],[Data_dostarczenia]],13)</f>
        <v>23</v>
      </c>
      <c r="F945" s="2">
        <f>WEEKDAY(makulatura[[#This Row],[Data_dostarczenia]],2)</f>
        <v>3</v>
      </c>
    </row>
    <row r="946" spans="1:6" x14ac:dyDescent="0.25">
      <c r="A946" s="1">
        <v>42886</v>
      </c>
      <c r="B946" s="2" t="s">
        <v>77</v>
      </c>
      <c r="C946" s="2" t="s">
        <v>575</v>
      </c>
      <c r="D946">
        <v>3</v>
      </c>
      <c r="E946">
        <f>WEEKNUM(makulatura[[#This Row],[Data_dostarczenia]],13)</f>
        <v>23</v>
      </c>
      <c r="F946" s="2">
        <f>WEEKDAY(makulatura[[#This Row],[Data_dostarczenia]],2)</f>
        <v>3</v>
      </c>
    </row>
    <row r="947" spans="1:6" x14ac:dyDescent="0.25">
      <c r="A947" s="1">
        <v>42887</v>
      </c>
      <c r="B947" s="2" t="s">
        <v>65</v>
      </c>
      <c r="C947" s="2" t="s">
        <v>83</v>
      </c>
      <c r="D947">
        <v>36</v>
      </c>
      <c r="E947">
        <f>WEEKNUM(makulatura[[#This Row],[Data_dostarczenia]],13)</f>
        <v>23</v>
      </c>
      <c r="F947" s="2">
        <f>WEEKDAY(makulatura[[#This Row],[Data_dostarczenia]],2)</f>
        <v>4</v>
      </c>
    </row>
    <row r="948" spans="1:6" x14ac:dyDescent="0.25">
      <c r="A948" s="1">
        <v>42887</v>
      </c>
      <c r="B948" s="2" t="s">
        <v>203</v>
      </c>
      <c r="C948" s="2" t="s">
        <v>370</v>
      </c>
      <c r="D948">
        <v>17</v>
      </c>
      <c r="E948">
        <f>WEEKNUM(makulatura[[#This Row],[Data_dostarczenia]],13)</f>
        <v>23</v>
      </c>
      <c r="F948" s="2">
        <f>WEEKDAY(makulatura[[#This Row],[Data_dostarczenia]],2)</f>
        <v>4</v>
      </c>
    </row>
    <row r="949" spans="1:6" x14ac:dyDescent="0.25">
      <c r="A949" s="1">
        <v>42887</v>
      </c>
      <c r="B949" s="2" t="s">
        <v>63</v>
      </c>
      <c r="C949" s="2" t="s">
        <v>105</v>
      </c>
      <c r="D949">
        <v>14</v>
      </c>
      <c r="E949">
        <f>WEEKNUM(makulatura[[#This Row],[Data_dostarczenia]],13)</f>
        <v>23</v>
      </c>
      <c r="F949" s="2">
        <f>WEEKDAY(makulatura[[#This Row],[Data_dostarczenia]],2)</f>
        <v>4</v>
      </c>
    </row>
    <row r="950" spans="1:6" x14ac:dyDescent="0.25">
      <c r="A950" s="1">
        <v>42887</v>
      </c>
      <c r="B950" s="2" t="s">
        <v>34</v>
      </c>
      <c r="C950" s="2" t="s">
        <v>557</v>
      </c>
      <c r="D950">
        <v>54</v>
      </c>
      <c r="E950">
        <f>WEEKNUM(makulatura[[#This Row],[Data_dostarczenia]],13)</f>
        <v>23</v>
      </c>
      <c r="F950" s="2">
        <f>WEEKDAY(makulatura[[#This Row],[Data_dostarczenia]],2)</f>
        <v>4</v>
      </c>
    </row>
    <row r="951" spans="1:6" x14ac:dyDescent="0.25">
      <c r="A951" s="1">
        <v>42887</v>
      </c>
      <c r="B951" s="2" t="s">
        <v>12</v>
      </c>
      <c r="C951" s="2" t="s">
        <v>386</v>
      </c>
      <c r="D951">
        <v>22</v>
      </c>
      <c r="E951">
        <f>WEEKNUM(makulatura[[#This Row],[Data_dostarczenia]],13)</f>
        <v>23</v>
      </c>
      <c r="F951" s="2">
        <f>WEEKDAY(makulatura[[#This Row],[Data_dostarczenia]],2)</f>
        <v>4</v>
      </c>
    </row>
    <row r="952" spans="1:6" x14ac:dyDescent="0.25">
      <c r="A952" s="1">
        <v>42887</v>
      </c>
      <c r="B952" s="2" t="s">
        <v>339</v>
      </c>
      <c r="C952" s="2" t="s">
        <v>565</v>
      </c>
      <c r="D952">
        <v>33</v>
      </c>
      <c r="E952">
        <f>WEEKNUM(makulatura[[#This Row],[Data_dostarczenia]],13)</f>
        <v>23</v>
      </c>
      <c r="F952" s="2">
        <f>WEEKDAY(makulatura[[#This Row],[Data_dostarczenia]],2)</f>
        <v>4</v>
      </c>
    </row>
    <row r="953" spans="1:6" x14ac:dyDescent="0.25">
      <c r="A953" s="1">
        <v>42888</v>
      </c>
      <c r="B953" s="2" t="s">
        <v>101</v>
      </c>
      <c r="C953" s="2" t="s">
        <v>187</v>
      </c>
      <c r="D953">
        <v>22</v>
      </c>
      <c r="E953">
        <f>WEEKNUM(makulatura[[#This Row],[Data_dostarczenia]],13)</f>
        <v>23</v>
      </c>
      <c r="F953" s="2">
        <f>WEEKDAY(makulatura[[#This Row],[Data_dostarczenia]],2)</f>
        <v>5</v>
      </c>
    </row>
    <row r="954" spans="1:6" x14ac:dyDescent="0.25">
      <c r="A954" s="1">
        <v>42888</v>
      </c>
      <c r="B954" s="2" t="s">
        <v>367</v>
      </c>
      <c r="C954" s="2" t="s">
        <v>368</v>
      </c>
      <c r="D954">
        <v>2</v>
      </c>
      <c r="E954">
        <f>WEEKNUM(makulatura[[#This Row],[Data_dostarczenia]],13)</f>
        <v>23</v>
      </c>
      <c r="F954" s="2">
        <f>WEEKDAY(makulatura[[#This Row],[Data_dostarczenia]],2)</f>
        <v>5</v>
      </c>
    </row>
    <row r="955" spans="1:6" x14ac:dyDescent="0.25">
      <c r="A955" s="1">
        <v>42888</v>
      </c>
      <c r="B955" s="2" t="s">
        <v>246</v>
      </c>
      <c r="C955" s="2" t="s">
        <v>247</v>
      </c>
      <c r="D955">
        <v>8</v>
      </c>
      <c r="E955">
        <f>WEEKNUM(makulatura[[#This Row],[Data_dostarczenia]],13)</f>
        <v>23</v>
      </c>
      <c r="F955" s="2">
        <f>WEEKDAY(makulatura[[#This Row],[Data_dostarczenia]],2)</f>
        <v>5</v>
      </c>
    </row>
    <row r="956" spans="1:6" x14ac:dyDescent="0.25">
      <c r="A956" s="1">
        <v>42888</v>
      </c>
      <c r="B956" s="2" t="s">
        <v>83</v>
      </c>
      <c r="C956" s="2" t="s">
        <v>596</v>
      </c>
      <c r="D956">
        <v>5</v>
      </c>
      <c r="E956">
        <f>WEEKNUM(makulatura[[#This Row],[Data_dostarczenia]],13)</f>
        <v>23</v>
      </c>
      <c r="F956" s="2">
        <f>WEEKDAY(makulatura[[#This Row],[Data_dostarczenia]],2)</f>
        <v>5</v>
      </c>
    </row>
    <row r="957" spans="1:6" x14ac:dyDescent="0.25">
      <c r="A957" s="1">
        <v>42888</v>
      </c>
      <c r="B957" s="2" t="s">
        <v>63</v>
      </c>
      <c r="C957" s="2" t="s">
        <v>441</v>
      </c>
      <c r="D957">
        <v>25</v>
      </c>
      <c r="E957">
        <f>WEEKNUM(makulatura[[#This Row],[Data_dostarczenia]],13)</f>
        <v>23</v>
      </c>
      <c r="F957" s="2">
        <f>WEEKDAY(makulatura[[#This Row],[Data_dostarczenia]],2)</f>
        <v>5</v>
      </c>
    </row>
    <row r="958" spans="1:6" x14ac:dyDescent="0.25">
      <c r="A958" s="1">
        <v>42888</v>
      </c>
      <c r="B958" s="2" t="s">
        <v>143</v>
      </c>
      <c r="C958" s="2" t="s">
        <v>585</v>
      </c>
      <c r="D958">
        <v>18</v>
      </c>
      <c r="E958">
        <f>WEEKNUM(makulatura[[#This Row],[Data_dostarczenia]],13)</f>
        <v>23</v>
      </c>
      <c r="F958" s="2">
        <f>WEEKDAY(makulatura[[#This Row],[Data_dostarczenia]],2)</f>
        <v>5</v>
      </c>
    </row>
    <row r="959" spans="1:6" x14ac:dyDescent="0.25">
      <c r="A959" s="1">
        <v>42891</v>
      </c>
      <c r="B959" s="2" t="s">
        <v>131</v>
      </c>
      <c r="C959" s="2" t="s">
        <v>451</v>
      </c>
      <c r="D959">
        <v>8</v>
      </c>
      <c r="E959">
        <f>WEEKNUM(makulatura[[#This Row],[Data_dostarczenia]],13)</f>
        <v>23</v>
      </c>
      <c r="F959" s="2">
        <f>WEEKDAY(makulatura[[#This Row],[Data_dostarczenia]],2)</f>
        <v>1</v>
      </c>
    </row>
    <row r="960" spans="1:6" x14ac:dyDescent="0.25">
      <c r="A960" s="1">
        <v>42891</v>
      </c>
      <c r="B960" s="2" t="s">
        <v>106</v>
      </c>
      <c r="C960" s="2" t="s">
        <v>107</v>
      </c>
      <c r="D960">
        <v>20</v>
      </c>
      <c r="E960">
        <f>WEEKNUM(makulatura[[#This Row],[Data_dostarczenia]],13)</f>
        <v>23</v>
      </c>
      <c r="F960" s="2">
        <f>WEEKDAY(makulatura[[#This Row],[Data_dostarczenia]],2)</f>
        <v>1</v>
      </c>
    </row>
    <row r="961" spans="1:6" x14ac:dyDescent="0.25">
      <c r="A961" s="1">
        <v>42891</v>
      </c>
      <c r="B961" s="2" t="s">
        <v>57</v>
      </c>
      <c r="C961" s="2" t="s">
        <v>399</v>
      </c>
      <c r="D961">
        <v>23</v>
      </c>
      <c r="E961">
        <f>WEEKNUM(makulatura[[#This Row],[Data_dostarczenia]],13)</f>
        <v>23</v>
      </c>
      <c r="F961" s="2">
        <f>WEEKDAY(makulatura[[#This Row],[Data_dostarczenia]],2)</f>
        <v>1</v>
      </c>
    </row>
    <row r="962" spans="1:6" x14ac:dyDescent="0.25">
      <c r="A962" s="1">
        <v>42891</v>
      </c>
      <c r="B962" s="2" t="s">
        <v>25</v>
      </c>
      <c r="C962" s="2" t="s">
        <v>26</v>
      </c>
      <c r="D962">
        <v>52</v>
      </c>
      <c r="E962">
        <f>WEEKNUM(makulatura[[#This Row],[Data_dostarczenia]],13)</f>
        <v>23</v>
      </c>
      <c r="F962" s="2">
        <f>WEEKDAY(makulatura[[#This Row],[Data_dostarczenia]],2)</f>
        <v>1</v>
      </c>
    </row>
    <row r="963" spans="1:6" x14ac:dyDescent="0.25">
      <c r="A963" s="1">
        <v>42891</v>
      </c>
      <c r="B963" s="2" t="s">
        <v>65</v>
      </c>
      <c r="C963" s="2" t="s">
        <v>210</v>
      </c>
      <c r="D963">
        <v>14</v>
      </c>
      <c r="E963">
        <f>WEEKNUM(makulatura[[#This Row],[Data_dostarczenia]],13)</f>
        <v>23</v>
      </c>
      <c r="F963" s="2">
        <f>WEEKDAY(makulatura[[#This Row],[Data_dostarczenia]],2)</f>
        <v>1</v>
      </c>
    </row>
    <row r="964" spans="1:6" x14ac:dyDescent="0.25">
      <c r="A964" s="1">
        <v>42891</v>
      </c>
      <c r="B964" s="2" t="s">
        <v>8</v>
      </c>
      <c r="C964" s="2" t="s">
        <v>545</v>
      </c>
      <c r="D964">
        <v>27</v>
      </c>
      <c r="E964">
        <f>WEEKNUM(makulatura[[#This Row],[Data_dostarczenia]],13)</f>
        <v>23</v>
      </c>
      <c r="F964" s="2">
        <f>WEEKDAY(makulatura[[#This Row],[Data_dostarczenia]],2)</f>
        <v>1</v>
      </c>
    </row>
    <row r="965" spans="1:6" x14ac:dyDescent="0.25">
      <c r="A965" s="1">
        <v>42892</v>
      </c>
      <c r="B965" s="2" t="s">
        <v>47</v>
      </c>
      <c r="C965" s="2" t="s">
        <v>48</v>
      </c>
      <c r="D965">
        <v>21</v>
      </c>
      <c r="E965">
        <f>WEEKNUM(makulatura[[#This Row],[Data_dostarczenia]],13)</f>
        <v>23</v>
      </c>
      <c r="F965" s="2">
        <f>WEEKDAY(makulatura[[#This Row],[Data_dostarczenia]],2)</f>
        <v>2</v>
      </c>
    </row>
    <row r="966" spans="1:6" x14ac:dyDescent="0.25">
      <c r="A966" s="1">
        <v>42892</v>
      </c>
      <c r="B966" s="2" t="s">
        <v>23</v>
      </c>
      <c r="C966" s="2" t="s">
        <v>24</v>
      </c>
      <c r="D966">
        <v>28</v>
      </c>
      <c r="E966">
        <f>WEEKNUM(makulatura[[#This Row],[Data_dostarczenia]],13)</f>
        <v>23</v>
      </c>
      <c r="F966" s="2">
        <f>WEEKDAY(makulatura[[#This Row],[Data_dostarczenia]],2)</f>
        <v>2</v>
      </c>
    </row>
    <row r="967" spans="1:6" x14ac:dyDescent="0.25">
      <c r="A967" s="1">
        <v>42892</v>
      </c>
      <c r="B967" s="2" t="s">
        <v>18</v>
      </c>
      <c r="C967" s="2" t="s">
        <v>597</v>
      </c>
      <c r="D967">
        <v>50</v>
      </c>
      <c r="E967">
        <f>WEEKNUM(makulatura[[#This Row],[Data_dostarczenia]],13)</f>
        <v>23</v>
      </c>
      <c r="F967" s="2">
        <f>WEEKDAY(makulatura[[#This Row],[Data_dostarczenia]],2)</f>
        <v>2</v>
      </c>
    </row>
    <row r="968" spans="1:6" x14ac:dyDescent="0.25">
      <c r="A968" s="1">
        <v>42892</v>
      </c>
      <c r="B968" s="2" t="s">
        <v>77</v>
      </c>
      <c r="C968" s="2" t="s">
        <v>78</v>
      </c>
      <c r="D968">
        <v>5</v>
      </c>
      <c r="E968">
        <f>WEEKNUM(makulatura[[#This Row],[Data_dostarczenia]],13)</f>
        <v>23</v>
      </c>
      <c r="F968" s="2">
        <f>WEEKDAY(makulatura[[#This Row],[Data_dostarczenia]],2)</f>
        <v>2</v>
      </c>
    </row>
    <row r="969" spans="1:6" x14ac:dyDescent="0.25">
      <c r="A969" s="1">
        <v>42892</v>
      </c>
      <c r="B969" s="2" t="s">
        <v>201</v>
      </c>
      <c r="C969" s="2" t="s">
        <v>598</v>
      </c>
      <c r="D969">
        <v>7</v>
      </c>
      <c r="E969">
        <f>WEEKNUM(makulatura[[#This Row],[Data_dostarczenia]],13)</f>
        <v>23</v>
      </c>
      <c r="F969" s="2">
        <f>WEEKDAY(makulatura[[#This Row],[Data_dostarczenia]],2)</f>
        <v>2</v>
      </c>
    </row>
    <row r="970" spans="1:6" x14ac:dyDescent="0.25">
      <c r="A970" s="1">
        <v>42892</v>
      </c>
      <c r="B970" s="2" t="s">
        <v>395</v>
      </c>
      <c r="C970" s="2" t="s">
        <v>599</v>
      </c>
      <c r="D970">
        <v>11</v>
      </c>
      <c r="E970">
        <f>WEEKNUM(makulatura[[#This Row],[Data_dostarczenia]],13)</f>
        <v>23</v>
      </c>
      <c r="F970" s="2">
        <f>WEEKDAY(makulatura[[#This Row],[Data_dostarczenia]],2)</f>
        <v>2</v>
      </c>
    </row>
    <row r="971" spans="1:6" x14ac:dyDescent="0.25">
      <c r="A971" s="1">
        <v>42893</v>
      </c>
      <c r="B971" s="2" t="s">
        <v>101</v>
      </c>
      <c r="C971" s="2" t="s">
        <v>187</v>
      </c>
      <c r="D971">
        <v>17</v>
      </c>
      <c r="E971">
        <f>WEEKNUM(makulatura[[#This Row],[Data_dostarczenia]],13)</f>
        <v>24</v>
      </c>
      <c r="F971" s="2">
        <f>WEEKDAY(makulatura[[#This Row],[Data_dostarczenia]],2)</f>
        <v>3</v>
      </c>
    </row>
    <row r="972" spans="1:6" x14ac:dyDescent="0.25">
      <c r="A972" s="1">
        <v>42893</v>
      </c>
      <c r="B972" s="2" t="s">
        <v>119</v>
      </c>
      <c r="C972" s="2" t="s">
        <v>120</v>
      </c>
      <c r="D972">
        <v>12</v>
      </c>
      <c r="E972">
        <f>WEEKNUM(makulatura[[#This Row],[Data_dostarczenia]],13)</f>
        <v>24</v>
      </c>
      <c r="F972" s="2">
        <f>WEEKDAY(makulatura[[#This Row],[Data_dostarczenia]],2)</f>
        <v>3</v>
      </c>
    </row>
    <row r="973" spans="1:6" x14ac:dyDescent="0.25">
      <c r="A973" s="1">
        <v>42893</v>
      </c>
      <c r="B973" s="2" t="s">
        <v>171</v>
      </c>
      <c r="C973" s="2" t="s">
        <v>5</v>
      </c>
      <c r="D973">
        <v>49</v>
      </c>
      <c r="E973">
        <f>WEEKNUM(makulatura[[#This Row],[Data_dostarczenia]],13)</f>
        <v>24</v>
      </c>
      <c r="F973" s="2">
        <f>WEEKDAY(makulatura[[#This Row],[Data_dostarczenia]],2)</f>
        <v>3</v>
      </c>
    </row>
    <row r="974" spans="1:6" x14ac:dyDescent="0.25">
      <c r="A974" s="1">
        <v>42893</v>
      </c>
      <c r="B974" s="2" t="s">
        <v>41</v>
      </c>
      <c r="C974" s="2" t="s">
        <v>42</v>
      </c>
      <c r="D974">
        <v>6</v>
      </c>
      <c r="E974">
        <f>WEEKNUM(makulatura[[#This Row],[Data_dostarczenia]],13)</f>
        <v>24</v>
      </c>
      <c r="F974" s="2">
        <f>WEEKDAY(makulatura[[#This Row],[Data_dostarczenia]],2)</f>
        <v>3</v>
      </c>
    </row>
    <row r="975" spans="1:6" x14ac:dyDescent="0.25">
      <c r="A975" s="1">
        <v>42893</v>
      </c>
      <c r="B975" s="2" t="s">
        <v>8</v>
      </c>
      <c r="C975" s="2" t="s">
        <v>9</v>
      </c>
      <c r="D975">
        <v>13</v>
      </c>
      <c r="E975">
        <f>WEEKNUM(makulatura[[#This Row],[Data_dostarczenia]],13)</f>
        <v>24</v>
      </c>
      <c r="F975" s="2">
        <f>WEEKDAY(makulatura[[#This Row],[Data_dostarczenia]],2)</f>
        <v>3</v>
      </c>
    </row>
    <row r="976" spans="1:6" x14ac:dyDescent="0.25">
      <c r="A976" s="1">
        <v>42893</v>
      </c>
      <c r="B976" s="2" t="s">
        <v>121</v>
      </c>
      <c r="C976" s="2" t="s">
        <v>600</v>
      </c>
      <c r="D976">
        <v>40</v>
      </c>
      <c r="E976">
        <f>WEEKNUM(makulatura[[#This Row],[Data_dostarczenia]],13)</f>
        <v>24</v>
      </c>
      <c r="F976" s="2">
        <f>WEEKDAY(makulatura[[#This Row],[Data_dostarczenia]],2)</f>
        <v>3</v>
      </c>
    </row>
    <row r="977" spans="1:6" x14ac:dyDescent="0.25">
      <c r="A977" s="1">
        <v>42894</v>
      </c>
      <c r="B977" s="2" t="s">
        <v>150</v>
      </c>
      <c r="C977" s="2" t="s">
        <v>601</v>
      </c>
      <c r="D977">
        <v>26</v>
      </c>
      <c r="E977">
        <f>WEEKNUM(makulatura[[#This Row],[Data_dostarczenia]],13)</f>
        <v>24</v>
      </c>
      <c r="F977" s="2">
        <f>WEEKDAY(makulatura[[#This Row],[Data_dostarczenia]],2)</f>
        <v>4</v>
      </c>
    </row>
    <row r="978" spans="1:6" x14ac:dyDescent="0.25">
      <c r="A978" s="1">
        <v>42894</v>
      </c>
      <c r="B978" s="2" t="s">
        <v>106</v>
      </c>
      <c r="C978" s="2" t="s">
        <v>602</v>
      </c>
      <c r="D978">
        <v>16</v>
      </c>
      <c r="E978">
        <f>WEEKNUM(makulatura[[#This Row],[Data_dostarczenia]],13)</f>
        <v>24</v>
      </c>
      <c r="F978" s="2">
        <f>WEEKDAY(makulatura[[#This Row],[Data_dostarczenia]],2)</f>
        <v>4</v>
      </c>
    </row>
    <row r="979" spans="1:6" x14ac:dyDescent="0.25">
      <c r="A979" s="1">
        <v>42894</v>
      </c>
      <c r="B979" s="2" t="s">
        <v>416</v>
      </c>
      <c r="C979" s="2" t="s">
        <v>572</v>
      </c>
      <c r="D979">
        <v>36</v>
      </c>
      <c r="E979">
        <f>WEEKNUM(makulatura[[#This Row],[Data_dostarczenia]],13)</f>
        <v>24</v>
      </c>
      <c r="F979" s="2">
        <f>WEEKDAY(makulatura[[#This Row],[Data_dostarczenia]],2)</f>
        <v>4</v>
      </c>
    </row>
    <row r="980" spans="1:6" x14ac:dyDescent="0.25">
      <c r="A980" s="1">
        <v>42894</v>
      </c>
      <c r="B980" s="2" t="s">
        <v>206</v>
      </c>
      <c r="C980" s="2" t="s">
        <v>192</v>
      </c>
      <c r="D980">
        <v>8</v>
      </c>
      <c r="E980">
        <f>WEEKNUM(makulatura[[#This Row],[Data_dostarczenia]],13)</f>
        <v>24</v>
      </c>
      <c r="F980" s="2">
        <f>WEEKDAY(makulatura[[#This Row],[Data_dostarczenia]],2)</f>
        <v>4</v>
      </c>
    </row>
    <row r="981" spans="1:6" x14ac:dyDescent="0.25">
      <c r="A981" s="1">
        <v>42894</v>
      </c>
      <c r="B981" s="2" t="s">
        <v>36</v>
      </c>
      <c r="C981" s="2" t="s">
        <v>306</v>
      </c>
      <c r="D981">
        <v>7</v>
      </c>
      <c r="E981">
        <f>WEEKNUM(makulatura[[#This Row],[Data_dostarczenia]],13)</f>
        <v>24</v>
      </c>
      <c r="F981" s="2">
        <f>WEEKDAY(makulatura[[#This Row],[Data_dostarczenia]],2)</f>
        <v>4</v>
      </c>
    </row>
    <row r="982" spans="1:6" x14ac:dyDescent="0.25">
      <c r="A982" s="1">
        <v>42894</v>
      </c>
      <c r="B982" s="2" t="s">
        <v>232</v>
      </c>
      <c r="C982" s="2" t="s">
        <v>573</v>
      </c>
      <c r="D982">
        <v>25</v>
      </c>
      <c r="E982">
        <f>WEEKNUM(makulatura[[#This Row],[Data_dostarczenia]],13)</f>
        <v>24</v>
      </c>
      <c r="F982" s="2">
        <f>WEEKDAY(makulatura[[#This Row],[Data_dostarczenia]],2)</f>
        <v>4</v>
      </c>
    </row>
    <row r="983" spans="1:6" x14ac:dyDescent="0.25">
      <c r="A983" s="1">
        <v>42895</v>
      </c>
      <c r="B983" s="2" t="s">
        <v>603</v>
      </c>
      <c r="C983" s="2" t="s">
        <v>439</v>
      </c>
      <c r="D983">
        <v>43</v>
      </c>
      <c r="E983">
        <f>WEEKNUM(makulatura[[#This Row],[Data_dostarczenia]],13)</f>
        <v>24</v>
      </c>
      <c r="F983" s="2">
        <f>WEEKDAY(makulatura[[#This Row],[Data_dostarczenia]],2)</f>
        <v>5</v>
      </c>
    </row>
    <row r="984" spans="1:6" x14ac:dyDescent="0.25">
      <c r="A984" s="1">
        <v>42895</v>
      </c>
      <c r="B984" s="2" t="s">
        <v>39</v>
      </c>
      <c r="C984" s="2" t="s">
        <v>164</v>
      </c>
      <c r="D984">
        <v>23</v>
      </c>
      <c r="E984">
        <f>WEEKNUM(makulatura[[#This Row],[Data_dostarczenia]],13)</f>
        <v>24</v>
      </c>
      <c r="F984" s="2">
        <f>WEEKDAY(makulatura[[#This Row],[Data_dostarczenia]],2)</f>
        <v>5</v>
      </c>
    </row>
    <row r="985" spans="1:6" x14ac:dyDescent="0.25">
      <c r="A985" s="1">
        <v>42895</v>
      </c>
      <c r="B985" s="2" t="s">
        <v>243</v>
      </c>
      <c r="C985" s="2" t="s">
        <v>82</v>
      </c>
      <c r="D985">
        <v>5</v>
      </c>
      <c r="E985">
        <f>WEEKNUM(makulatura[[#This Row],[Data_dostarczenia]],13)</f>
        <v>24</v>
      </c>
      <c r="F985" s="2">
        <f>WEEKDAY(makulatura[[#This Row],[Data_dostarczenia]],2)</f>
        <v>5</v>
      </c>
    </row>
    <row r="986" spans="1:6" x14ac:dyDescent="0.25">
      <c r="A986" s="1">
        <v>42895</v>
      </c>
      <c r="B986" s="2" t="s">
        <v>232</v>
      </c>
      <c r="C986" s="2" t="s">
        <v>378</v>
      </c>
      <c r="D986">
        <v>2</v>
      </c>
      <c r="E986">
        <f>WEEKNUM(makulatura[[#This Row],[Data_dostarczenia]],13)</f>
        <v>24</v>
      </c>
      <c r="F986" s="2">
        <f>WEEKDAY(makulatura[[#This Row],[Data_dostarczenia]],2)</f>
        <v>5</v>
      </c>
    </row>
    <row r="987" spans="1:6" x14ac:dyDescent="0.25">
      <c r="A987" s="1">
        <v>42895</v>
      </c>
      <c r="B987" s="2" t="s">
        <v>178</v>
      </c>
      <c r="C987" s="2" t="s">
        <v>335</v>
      </c>
      <c r="D987">
        <v>5</v>
      </c>
      <c r="E987">
        <f>WEEKNUM(makulatura[[#This Row],[Data_dostarczenia]],13)</f>
        <v>24</v>
      </c>
      <c r="F987" s="2">
        <f>WEEKDAY(makulatura[[#This Row],[Data_dostarczenia]],2)</f>
        <v>5</v>
      </c>
    </row>
    <row r="988" spans="1:6" x14ac:dyDescent="0.25">
      <c r="A988" s="1">
        <v>42895</v>
      </c>
      <c r="B988" s="2" t="s">
        <v>23</v>
      </c>
      <c r="C988" s="2" t="s">
        <v>604</v>
      </c>
      <c r="D988">
        <v>50</v>
      </c>
      <c r="E988">
        <f>WEEKNUM(makulatura[[#This Row],[Data_dostarczenia]],13)</f>
        <v>24</v>
      </c>
      <c r="F988" s="2">
        <f>WEEKDAY(makulatura[[#This Row],[Data_dostarczenia]],2)</f>
        <v>5</v>
      </c>
    </row>
    <row r="989" spans="1:6" x14ac:dyDescent="0.25">
      <c r="A989" s="1">
        <v>42898</v>
      </c>
      <c r="B989" s="2" t="s">
        <v>25</v>
      </c>
      <c r="C989" s="2" t="s">
        <v>146</v>
      </c>
      <c r="D989">
        <v>11</v>
      </c>
      <c r="E989">
        <f>WEEKNUM(makulatura[[#This Row],[Data_dostarczenia]],13)</f>
        <v>24</v>
      </c>
      <c r="F989" s="2">
        <f>WEEKDAY(makulatura[[#This Row],[Data_dostarczenia]],2)</f>
        <v>1</v>
      </c>
    </row>
    <row r="990" spans="1:6" x14ac:dyDescent="0.25">
      <c r="A990" s="1">
        <v>42898</v>
      </c>
      <c r="B990" s="2" t="s">
        <v>30</v>
      </c>
      <c r="C990" s="2" t="s">
        <v>109</v>
      </c>
      <c r="D990">
        <v>18</v>
      </c>
      <c r="E990">
        <f>WEEKNUM(makulatura[[#This Row],[Data_dostarczenia]],13)</f>
        <v>24</v>
      </c>
      <c r="F990" s="2">
        <f>WEEKDAY(makulatura[[#This Row],[Data_dostarczenia]],2)</f>
        <v>1</v>
      </c>
    </row>
    <row r="991" spans="1:6" x14ac:dyDescent="0.25">
      <c r="A991" s="1">
        <v>42898</v>
      </c>
      <c r="B991" s="2" t="s">
        <v>97</v>
      </c>
      <c r="C991" s="2" t="s">
        <v>181</v>
      </c>
      <c r="D991">
        <v>24</v>
      </c>
      <c r="E991">
        <f>WEEKNUM(makulatura[[#This Row],[Data_dostarczenia]],13)</f>
        <v>24</v>
      </c>
      <c r="F991" s="2">
        <f>WEEKDAY(makulatura[[#This Row],[Data_dostarczenia]],2)</f>
        <v>1</v>
      </c>
    </row>
    <row r="992" spans="1:6" x14ac:dyDescent="0.25">
      <c r="A992" s="1">
        <v>42898</v>
      </c>
      <c r="B992" s="2" t="s">
        <v>4</v>
      </c>
      <c r="C992" s="2" t="s">
        <v>382</v>
      </c>
      <c r="D992">
        <v>20</v>
      </c>
      <c r="E992">
        <f>WEEKNUM(makulatura[[#This Row],[Data_dostarczenia]],13)</f>
        <v>24</v>
      </c>
      <c r="F992" s="2">
        <f>WEEKDAY(makulatura[[#This Row],[Data_dostarczenia]],2)</f>
        <v>1</v>
      </c>
    </row>
    <row r="993" spans="1:6" x14ac:dyDescent="0.25">
      <c r="A993" s="1">
        <v>42898</v>
      </c>
      <c r="B993" s="2" t="s">
        <v>267</v>
      </c>
      <c r="C993" s="2" t="s">
        <v>287</v>
      </c>
      <c r="D993">
        <v>55</v>
      </c>
      <c r="E993">
        <f>WEEKNUM(makulatura[[#This Row],[Data_dostarczenia]],13)</f>
        <v>24</v>
      </c>
      <c r="F993" s="2">
        <f>WEEKDAY(makulatura[[#This Row],[Data_dostarczenia]],2)</f>
        <v>1</v>
      </c>
    </row>
    <row r="994" spans="1:6" x14ac:dyDescent="0.25">
      <c r="A994" s="1">
        <v>42898</v>
      </c>
      <c r="B994" s="2" t="s">
        <v>269</v>
      </c>
      <c r="C994" s="2" t="s">
        <v>605</v>
      </c>
      <c r="D994">
        <v>52</v>
      </c>
      <c r="E994">
        <f>WEEKNUM(makulatura[[#This Row],[Data_dostarczenia]],13)</f>
        <v>24</v>
      </c>
      <c r="F994" s="2">
        <f>WEEKDAY(makulatura[[#This Row],[Data_dostarczenia]],2)</f>
        <v>1</v>
      </c>
    </row>
    <row r="995" spans="1:6" x14ac:dyDescent="0.25">
      <c r="A995" s="1">
        <v>42899</v>
      </c>
      <c r="B995" s="2" t="s">
        <v>121</v>
      </c>
      <c r="C995" s="2" t="s">
        <v>606</v>
      </c>
      <c r="D995">
        <v>41</v>
      </c>
      <c r="E995">
        <f>WEEKNUM(makulatura[[#This Row],[Data_dostarczenia]],13)</f>
        <v>24</v>
      </c>
      <c r="F995" s="2">
        <f>WEEKDAY(makulatura[[#This Row],[Data_dostarczenia]],2)</f>
        <v>2</v>
      </c>
    </row>
    <row r="996" spans="1:6" x14ac:dyDescent="0.25">
      <c r="A996" s="1">
        <v>42899</v>
      </c>
      <c r="B996" s="2" t="s">
        <v>87</v>
      </c>
      <c r="C996" s="2" t="s">
        <v>255</v>
      </c>
      <c r="D996">
        <v>27</v>
      </c>
      <c r="E996">
        <f>WEEKNUM(makulatura[[#This Row],[Data_dostarczenia]],13)</f>
        <v>24</v>
      </c>
      <c r="F996" s="2">
        <f>WEEKDAY(makulatura[[#This Row],[Data_dostarczenia]],2)</f>
        <v>2</v>
      </c>
    </row>
    <row r="997" spans="1:6" x14ac:dyDescent="0.25">
      <c r="A997" s="1">
        <v>42899</v>
      </c>
      <c r="B997" s="2" t="s">
        <v>36</v>
      </c>
      <c r="C997" s="2" t="s">
        <v>404</v>
      </c>
      <c r="D997">
        <v>12</v>
      </c>
      <c r="E997">
        <f>WEEKNUM(makulatura[[#This Row],[Data_dostarczenia]],13)</f>
        <v>24</v>
      </c>
      <c r="F997" s="2">
        <f>WEEKDAY(makulatura[[#This Row],[Data_dostarczenia]],2)</f>
        <v>2</v>
      </c>
    </row>
    <row r="998" spans="1:6" x14ac:dyDescent="0.25">
      <c r="A998" s="1">
        <v>42899</v>
      </c>
      <c r="B998" s="2" t="s">
        <v>97</v>
      </c>
      <c r="C998" s="2" t="s">
        <v>464</v>
      </c>
      <c r="D998">
        <v>23</v>
      </c>
      <c r="E998">
        <f>WEEKNUM(makulatura[[#This Row],[Data_dostarczenia]],13)</f>
        <v>24</v>
      </c>
      <c r="F998" s="2">
        <f>WEEKDAY(makulatura[[#This Row],[Data_dostarczenia]],2)</f>
        <v>2</v>
      </c>
    </row>
    <row r="999" spans="1:6" x14ac:dyDescent="0.25">
      <c r="A999" s="1">
        <v>42899</v>
      </c>
      <c r="B999" s="2" t="s">
        <v>327</v>
      </c>
      <c r="C999" s="2" t="s">
        <v>102</v>
      </c>
      <c r="D999">
        <v>4</v>
      </c>
      <c r="E999">
        <f>WEEKNUM(makulatura[[#This Row],[Data_dostarczenia]],13)</f>
        <v>24</v>
      </c>
      <c r="F999" s="2">
        <f>WEEKDAY(makulatura[[#This Row],[Data_dostarczenia]],2)</f>
        <v>2</v>
      </c>
    </row>
    <row r="1000" spans="1:6" x14ac:dyDescent="0.25">
      <c r="A1000" s="1">
        <v>42899</v>
      </c>
      <c r="B1000" s="2" t="s">
        <v>77</v>
      </c>
      <c r="C1000" s="2" t="s">
        <v>384</v>
      </c>
      <c r="D1000">
        <v>27</v>
      </c>
      <c r="E1000">
        <f>WEEKNUM(makulatura[[#This Row],[Data_dostarczenia]],13)</f>
        <v>24</v>
      </c>
      <c r="F1000" s="2">
        <f>WEEKDAY(makulatura[[#This Row],[Data_dostarczenia]],2)</f>
        <v>2</v>
      </c>
    </row>
    <row r="1001" spans="1:6" x14ac:dyDescent="0.25">
      <c r="A1001" s="1">
        <v>42900</v>
      </c>
      <c r="B1001" s="2" t="s">
        <v>72</v>
      </c>
      <c r="C1001" s="2" t="s">
        <v>73</v>
      </c>
      <c r="D1001">
        <v>36</v>
      </c>
      <c r="E1001">
        <f>WEEKNUM(makulatura[[#This Row],[Data_dostarczenia]],13)</f>
        <v>25</v>
      </c>
      <c r="F1001" s="2">
        <f>WEEKDAY(makulatura[[#This Row],[Data_dostarczenia]],2)</f>
        <v>3</v>
      </c>
    </row>
    <row r="1002" spans="1:6" x14ac:dyDescent="0.25">
      <c r="A1002" s="1">
        <v>42900</v>
      </c>
      <c r="B1002" s="2" t="s">
        <v>51</v>
      </c>
      <c r="C1002" s="2" t="s">
        <v>522</v>
      </c>
      <c r="D1002">
        <v>20</v>
      </c>
      <c r="E1002">
        <f>WEEKNUM(makulatura[[#This Row],[Data_dostarczenia]],13)</f>
        <v>25</v>
      </c>
      <c r="F1002" s="2">
        <f>WEEKDAY(makulatura[[#This Row],[Data_dostarczenia]],2)</f>
        <v>3</v>
      </c>
    </row>
    <row r="1003" spans="1:6" x14ac:dyDescent="0.25">
      <c r="A1003" s="1">
        <v>42900</v>
      </c>
      <c r="B1003" s="2" t="s">
        <v>442</v>
      </c>
      <c r="C1003" s="2" t="s">
        <v>502</v>
      </c>
      <c r="D1003">
        <v>26</v>
      </c>
      <c r="E1003">
        <f>WEEKNUM(makulatura[[#This Row],[Data_dostarczenia]],13)</f>
        <v>25</v>
      </c>
      <c r="F1003" s="2">
        <f>WEEKDAY(makulatura[[#This Row],[Data_dostarczenia]],2)</f>
        <v>3</v>
      </c>
    </row>
    <row r="1004" spans="1:6" x14ac:dyDescent="0.25">
      <c r="A1004" s="1">
        <v>42900</v>
      </c>
      <c r="B1004" s="2" t="s">
        <v>442</v>
      </c>
      <c r="C1004" s="2" t="s">
        <v>540</v>
      </c>
      <c r="D1004">
        <v>8</v>
      </c>
      <c r="E1004">
        <f>WEEKNUM(makulatura[[#This Row],[Data_dostarczenia]],13)</f>
        <v>25</v>
      </c>
      <c r="F1004" s="2">
        <f>WEEKDAY(makulatura[[#This Row],[Data_dostarczenia]],2)</f>
        <v>3</v>
      </c>
    </row>
    <row r="1005" spans="1:6" x14ac:dyDescent="0.25">
      <c r="A1005" s="1">
        <v>42900</v>
      </c>
      <c r="B1005" s="2" t="s">
        <v>141</v>
      </c>
      <c r="C1005" s="2" t="s">
        <v>448</v>
      </c>
      <c r="D1005">
        <v>6</v>
      </c>
      <c r="E1005">
        <f>WEEKNUM(makulatura[[#This Row],[Data_dostarczenia]],13)</f>
        <v>25</v>
      </c>
      <c r="F1005" s="2">
        <f>WEEKDAY(makulatura[[#This Row],[Data_dostarczenia]],2)</f>
        <v>3</v>
      </c>
    </row>
    <row r="1006" spans="1:6" x14ac:dyDescent="0.25">
      <c r="A1006" s="1">
        <v>42900</v>
      </c>
      <c r="B1006" s="2" t="s">
        <v>232</v>
      </c>
      <c r="C1006" s="2" t="s">
        <v>573</v>
      </c>
      <c r="D1006">
        <v>5</v>
      </c>
      <c r="E1006">
        <f>WEEKNUM(makulatura[[#This Row],[Data_dostarczenia]],13)</f>
        <v>25</v>
      </c>
      <c r="F1006" s="2">
        <f>WEEKDAY(makulatura[[#This Row],[Data_dostarczenia]],2)</f>
        <v>3</v>
      </c>
    </row>
    <row r="1007" spans="1:6" x14ac:dyDescent="0.25">
      <c r="A1007" s="1">
        <v>42901</v>
      </c>
      <c r="B1007" s="2" t="s">
        <v>39</v>
      </c>
      <c r="C1007" s="2" t="s">
        <v>391</v>
      </c>
      <c r="D1007">
        <v>8</v>
      </c>
      <c r="E1007">
        <f>WEEKNUM(makulatura[[#This Row],[Data_dostarczenia]],13)</f>
        <v>25</v>
      </c>
      <c r="F1007" s="2">
        <f>WEEKDAY(makulatura[[#This Row],[Data_dostarczenia]],2)</f>
        <v>4</v>
      </c>
    </row>
    <row r="1008" spans="1:6" x14ac:dyDescent="0.25">
      <c r="A1008" s="1">
        <v>42901</v>
      </c>
      <c r="B1008" s="2" t="s">
        <v>150</v>
      </c>
      <c r="C1008" s="2" t="s">
        <v>140</v>
      </c>
      <c r="D1008">
        <v>4</v>
      </c>
      <c r="E1008">
        <f>WEEKNUM(makulatura[[#This Row],[Data_dostarczenia]],13)</f>
        <v>25</v>
      </c>
      <c r="F1008" s="2">
        <f>WEEKDAY(makulatura[[#This Row],[Data_dostarczenia]],2)</f>
        <v>4</v>
      </c>
    </row>
    <row r="1009" spans="1:6" x14ac:dyDescent="0.25">
      <c r="A1009" s="1">
        <v>42901</v>
      </c>
      <c r="B1009" s="2" t="s">
        <v>195</v>
      </c>
      <c r="C1009" s="2" t="s">
        <v>401</v>
      </c>
      <c r="D1009">
        <v>31</v>
      </c>
      <c r="E1009">
        <f>WEEKNUM(makulatura[[#This Row],[Data_dostarczenia]],13)</f>
        <v>25</v>
      </c>
      <c r="F1009" s="2">
        <f>WEEKDAY(makulatura[[#This Row],[Data_dostarczenia]],2)</f>
        <v>4</v>
      </c>
    </row>
    <row r="1010" spans="1:6" x14ac:dyDescent="0.25">
      <c r="A1010" s="1">
        <v>42901</v>
      </c>
      <c r="B1010" s="2" t="s">
        <v>57</v>
      </c>
      <c r="C1010" s="2" t="s">
        <v>418</v>
      </c>
      <c r="D1010">
        <v>36</v>
      </c>
      <c r="E1010">
        <f>WEEKNUM(makulatura[[#This Row],[Data_dostarczenia]],13)</f>
        <v>25</v>
      </c>
      <c r="F1010" s="2">
        <f>WEEKDAY(makulatura[[#This Row],[Data_dostarczenia]],2)</f>
        <v>4</v>
      </c>
    </row>
    <row r="1011" spans="1:6" x14ac:dyDescent="0.25">
      <c r="A1011" s="1">
        <v>42901</v>
      </c>
      <c r="B1011" s="2" t="s">
        <v>271</v>
      </c>
      <c r="C1011" s="2" t="s">
        <v>548</v>
      </c>
      <c r="D1011">
        <v>3</v>
      </c>
      <c r="E1011">
        <f>WEEKNUM(makulatura[[#This Row],[Data_dostarczenia]],13)</f>
        <v>25</v>
      </c>
      <c r="F1011" s="2">
        <f>WEEKDAY(makulatura[[#This Row],[Data_dostarczenia]],2)</f>
        <v>4</v>
      </c>
    </row>
    <row r="1012" spans="1:6" x14ac:dyDescent="0.25">
      <c r="A1012" s="1">
        <v>42901</v>
      </c>
      <c r="B1012" s="2" t="s">
        <v>83</v>
      </c>
      <c r="C1012" s="2" t="s">
        <v>518</v>
      </c>
      <c r="D1012">
        <v>31</v>
      </c>
      <c r="E1012">
        <f>WEEKNUM(makulatura[[#This Row],[Data_dostarczenia]],13)</f>
        <v>25</v>
      </c>
      <c r="F1012" s="2">
        <f>WEEKDAY(makulatura[[#This Row],[Data_dostarczenia]],2)</f>
        <v>4</v>
      </c>
    </row>
    <row r="1013" spans="1:6" x14ac:dyDescent="0.25">
      <c r="A1013" s="1">
        <v>42902</v>
      </c>
      <c r="B1013" s="2" t="s">
        <v>55</v>
      </c>
      <c r="C1013" s="2" t="s">
        <v>184</v>
      </c>
      <c r="D1013">
        <v>3</v>
      </c>
      <c r="E1013">
        <f>WEEKNUM(makulatura[[#This Row],[Data_dostarczenia]],13)</f>
        <v>25</v>
      </c>
      <c r="F1013" s="2">
        <f>WEEKDAY(makulatura[[#This Row],[Data_dostarczenia]],2)</f>
        <v>5</v>
      </c>
    </row>
    <row r="1014" spans="1:6" x14ac:dyDescent="0.25">
      <c r="A1014" s="1">
        <v>42902</v>
      </c>
      <c r="B1014" s="2" t="s">
        <v>574</v>
      </c>
      <c r="C1014" s="2" t="s">
        <v>607</v>
      </c>
      <c r="D1014">
        <v>2</v>
      </c>
      <c r="E1014">
        <f>WEEKNUM(makulatura[[#This Row],[Data_dostarczenia]],13)</f>
        <v>25</v>
      </c>
      <c r="F1014" s="2">
        <f>WEEKDAY(makulatura[[#This Row],[Data_dostarczenia]],2)</f>
        <v>5</v>
      </c>
    </row>
    <row r="1015" spans="1:6" x14ac:dyDescent="0.25">
      <c r="A1015" s="1">
        <v>42902</v>
      </c>
      <c r="B1015" s="2" t="s">
        <v>143</v>
      </c>
      <c r="C1015" s="2" t="s">
        <v>510</v>
      </c>
      <c r="D1015">
        <v>53</v>
      </c>
      <c r="E1015">
        <f>WEEKNUM(makulatura[[#This Row],[Data_dostarczenia]],13)</f>
        <v>25</v>
      </c>
      <c r="F1015" s="2">
        <f>WEEKDAY(makulatura[[#This Row],[Data_dostarczenia]],2)</f>
        <v>5</v>
      </c>
    </row>
    <row r="1016" spans="1:6" x14ac:dyDescent="0.25">
      <c r="A1016" s="1">
        <v>42902</v>
      </c>
      <c r="B1016" s="2" t="s">
        <v>327</v>
      </c>
      <c r="C1016" s="2" t="s">
        <v>608</v>
      </c>
      <c r="D1016">
        <v>7</v>
      </c>
      <c r="E1016">
        <f>WEEKNUM(makulatura[[#This Row],[Data_dostarczenia]],13)</f>
        <v>25</v>
      </c>
      <c r="F1016" s="2">
        <f>WEEKDAY(makulatura[[#This Row],[Data_dostarczenia]],2)</f>
        <v>5</v>
      </c>
    </row>
    <row r="1017" spans="1:6" x14ac:dyDescent="0.25">
      <c r="A1017" s="1">
        <v>42902</v>
      </c>
      <c r="B1017" s="2" t="s">
        <v>139</v>
      </c>
      <c r="C1017" s="2" t="s">
        <v>140</v>
      </c>
      <c r="D1017">
        <v>27</v>
      </c>
      <c r="E1017">
        <f>WEEKNUM(makulatura[[#This Row],[Data_dostarczenia]],13)</f>
        <v>25</v>
      </c>
      <c r="F1017" s="2">
        <f>WEEKDAY(makulatura[[#This Row],[Data_dostarczenia]],2)</f>
        <v>5</v>
      </c>
    </row>
    <row r="1018" spans="1:6" x14ac:dyDescent="0.25">
      <c r="A1018" s="1">
        <v>42902</v>
      </c>
      <c r="B1018" s="2" t="s">
        <v>4</v>
      </c>
      <c r="C1018" s="2" t="s">
        <v>489</v>
      </c>
      <c r="D1018">
        <v>29</v>
      </c>
      <c r="E1018">
        <f>WEEKNUM(makulatura[[#This Row],[Data_dostarczenia]],13)</f>
        <v>25</v>
      </c>
      <c r="F1018" s="2">
        <f>WEEKDAY(makulatura[[#This Row],[Data_dostarczenia]],2)</f>
        <v>5</v>
      </c>
    </row>
    <row r="1019" spans="1:6" x14ac:dyDescent="0.25">
      <c r="A1019" s="1">
        <v>42905</v>
      </c>
      <c r="B1019" s="2" t="s">
        <v>25</v>
      </c>
      <c r="C1019" s="2" t="s">
        <v>26</v>
      </c>
      <c r="D1019">
        <v>19</v>
      </c>
      <c r="E1019">
        <f>WEEKNUM(makulatura[[#This Row],[Data_dostarczenia]],13)</f>
        <v>25</v>
      </c>
      <c r="F1019" s="2">
        <f>WEEKDAY(makulatura[[#This Row],[Data_dostarczenia]],2)</f>
        <v>1</v>
      </c>
    </row>
    <row r="1020" spans="1:6" x14ac:dyDescent="0.25">
      <c r="A1020" s="1">
        <v>42905</v>
      </c>
      <c r="B1020" s="2" t="s">
        <v>152</v>
      </c>
      <c r="C1020" s="2" t="s">
        <v>17</v>
      </c>
      <c r="D1020">
        <v>15</v>
      </c>
      <c r="E1020">
        <f>WEEKNUM(makulatura[[#This Row],[Data_dostarczenia]],13)</f>
        <v>25</v>
      </c>
      <c r="F1020" s="2">
        <f>WEEKDAY(makulatura[[#This Row],[Data_dostarczenia]],2)</f>
        <v>1</v>
      </c>
    </row>
    <row r="1021" spans="1:6" x14ac:dyDescent="0.25">
      <c r="A1021" s="1">
        <v>42905</v>
      </c>
      <c r="B1021" s="2" t="s">
        <v>128</v>
      </c>
      <c r="C1021" s="2" t="s">
        <v>478</v>
      </c>
      <c r="D1021">
        <v>24</v>
      </c>
      <c r="E1021">
        <f>WEEKNUM(makulatura[[#This Row],[Data_dostarczenia]],13)</f>
        <v>25</v>
      </c>
      <c r="F1021" s="2">
        <f>WEEKDAY(makulatura[[#This Row],[Data_dostarczenia]],2)</f>
        <v>1</v>
      </c>
    </row>
    <row r="1022" spans="1:6" x14ac:dyDescent="0.25">
      <c r="A1022" s="1">
        <v>42905</v>
      </c>
      <c r="B1022" s="2" t="s">
        <v>87</v>
      </c>
      <c r="C1022" s="2" t="s">
        <v>255</v>
      </c>
      <c r="D1022">
        <v>50</v>
      </c>
      <c r="E1022">
        <f>WEEKNUM(makulatura[[#This Row],[Data_dostarczenia]],13)</f>
        <v>25</v>
      </c>
      <c r="F1022" s="2">
        <f>WEEKDAY(makulatura[[#This Row],[Data_dostarczenia]],2)</f>
        <v>1</v>
      </c>
    </row>
    <row r="1023" spans="1:6" x14ac:dyDescent="0.25">
      <c r="A1023" s="1">
        <v>42905</v>
      </c>
      <c r="B1023" s="2" t="s">
        <v>36</v>
      </c>
      <c r="C1023" s="2" t="s">
        <v>166</v>
      </c>
      <c r="D1023">
        <v>18</v>
      </c>
      <c r="E1023">
        <f>WEEKNUM(makulatura[[#This Row],[Data_dostarczenia]],13)</f>
        <v>25</v>
      </c>
      <c r="F1023" s="2">
        <f>WEEKDAY(makulatura[[#This Row],[Data_dostarczenia]],2)</f>
        <v>1</v>
      </c>
    </row>
    <row r="1024" spans="1:6" x14ac:dyDescent="0.25">
      <c r="A1024" s="1">
        <v>42905</v>
      </c>
      <c r="B1024" s="2" t="s">
        <v>39</v>
      </c>
      <c r="C1024" s="2" t="s">
        <v>609</v>
      </c>
      <c r="D1024">
        <v>36</v>
      </c>
      <c r="E1024">
        <f>WEEKNUM(makulatura[[#This Row],[Data_dostarczenia]],13)</f>
        <v>25</v>
      </c>
      <c r="F1024" s="2">
        <f>WEEKDAY(makulatura[[#This Row],[Data_dostarczenia]],2)</f>
        <v>1</v>
      </c>
    </row>
    <row r="1025" spans="1:6" x14ac:dyDescent="0.25">
      <c r="A1025" s="1">
        <v>42906</v>
      </c>
      <c r="B1025" s="2" t="s">
        <v>352</v>
      </c>
      <c r="C1025" s="2" t="s">
        <v>425</v>
      </c>
      <c r="D1025">
        <v>13</v>
      </c>
      <c r="E1025">
        <f>WEEKNUM(makulatura[[#This Row],[Data_dostarczenia]],13)</f>
        <v>25</v>
      </c>
      <c r="F1025" s="2">
        <f>WEEKDAY(makulatura[[#This Row],[Data_dostarczenia]],2)</f>
        <v>2</v>
      </c>
    </row>
    <row r="1026" spans="1:6" x14ac:dyDescent="0.25">
      <c r="A1026" s="1">
        <v>42906</v>
      </c>
      <c r="B1026" s="2" t="s">
        <v>101</v>
      </c>
      <c r="C1026" s="2" t="s">
        <v>610</v>
      </c>
      <c r="D1026">
        <v>29</v>
      </c>
      <c r="E1026">
        <f>WEEKNUM(makulatura[[#This Row],[Data_dostarczenia]],13)</f>
        <v>25</v>
      </c>
      <c r="F1026" s="2">
        <f>WEEKDAY(makulatura[[#This Row],[Data_dostarczenia]],2)</f>
        <v>2</v>
      </c>
    </row>
    <row r="1027" spans="1:6" x14ac:dyDescent="0.25">
      <c r="A1027" s="1">
        <v>42906</v>
      </c>
      <c r="B1027" s="2" t="s">
        <v>412</v>
      </c>
      <c r="C1027" s="2" t="s">
        <v>413</v>
      </c>
      <c r="D1027">
        <v>47</v>
      </c>
      <c r="E1027">
        <f>WEEKNUM(makulatura[[#This Row],[Data_dostarczenia]],13)</f>
        <v>25</v>
      </c>
      <c r="F1027" s="2">
        <f>WEEKDAY(makulatura[[#This Row],[Data_dostarczenia]],2)</f>
        <v>2</v>
      </c>
    </row>
    <row r="1028" spans="1:6" x14ac:dyDescent="0.25">
      <c r="A1028" s="1">
        <v>42906</v>
      </c>
      <c r="B1028" s="2" t="s">
        <v>67</v>
      </c>
      <c r="C1028" s="2" t="s">
        <v>460</v>
      </c>
      <c r="D1028">
        <v>17</v>
      </c>
      <c r="E1028">
        <f>WEEKNUM(makulatura[[#This Row],[Data_dostarczenia]],13)</f>
        <v>25</v>
      </c>
      <c r="F1028" s="2">
        <f>WEEKDAY(makulatura[[#This Row],[Data_dostarczenia]],2)</f>
        <v>2</v>
      </c>
    </row>
    <row r="1029" spans="1:6" x14ac:dyDescent="0.25">
      <c r="A1029" s="1">
        <v>42906</v>
      </c>
      <c r="B1029" s="2" t="s">
        <v>155</v>
      </c>
      <c r="C1029" s="2" t="s">
        <v>186</v>
      </c>
      <c r="D1029">
        <v>9</v>
      </c>
      <c r="E1029">
        <f>WEEKNUM(makulatura[[#This Row],[Data_dostarczenia]],13)</f>
        <v>25</v>
      </c>
      <c r="F1029" s="2">
        <f>WEEKDAY(makulatura[[#This Row],[Data_dostarczenia]],2)</f>
        <v>2</v>
      </c>
    </row>
    <row r="1030" spans="1:6" x14ac:dyDescent="0.25">
      <c r="A1030" s="1">
        <v>42906</v>
      </c>
      <c r="B1030" s="2" t="s">
        <v>139</v>
      </c>
      <c r="C1030" s="2" t="s">
        <v>140</v>
      </c>
      <c r="D1030">
        <v>8</v>
      </c>
      <c r="E1030">
        <f>WEEKNUM(makulatura[[#This Row],[Data_dostarczenia]],13)</f>
        <v>25</v>
      </c>
      <c r="F1030" s="2">
        <f>WEEKDAY(makulatura[[#This Row],[Data_dostarczenia]],2)</f>
        <v>2</v>
      </c>
    </row>
    <row r="1031" spans="1:6" x14ac:dyDescent="0.25">
      <c r="A1031" s="1">
        <v>42907</v>
      </c>
      <c r="B1031" s="2" t="s">
        <v>395</v>
      </c>
      <c r="C1031" s="2" t="s">
        <v>599</v>
      </c>
      <c r="D1031">
        <v>4</v>
      </c>
      <c r="E1031">
        <f>WEEKNUM(makulatura[[#This Row],[Data_dostarczenia]],13)</f>
        <v>26</v>
      </c>
      <c r="F1031" s="2">
        <f>WEEKDAY(makulatura[[#This Row],[Data_dostarczenia]],2)</f>
        <v>3</v>
      </c>
    </row>
    <row r="1032" spans="1:6" x14ac:dyDescent="0.25">
      <c r="A1032" s="1">
        <v>42907</v>
      </c>
      <c r="B1032" s="2" t="s">
        <v>314</v>
      </c>
      <c r="C1032" s="2" t="s">
        <v>466</v>
      </c>
      <c r="D1032">
        <v>53</v>
      </c>
      <c r="E1032">
        <f>WEEKNUM(makulatura[[#This Row],[Data_dostarczenia]],13)</f>
        <v>26</v>
      </c>
      <c r="F1032" s="2">
        <f>WEEKDAY(makulatura[[#This Row],[Data_dostarczenia]],2)</f>
        <v>3</v>
      </c>
    </row>
    <row r="1033" spans="1:6" x14ac:dyDescent="0.25">
      <c r="A1033" s="1">
        <v>42907</v>
      </c>
      <c r="B1033" s="2" t="s">
        <v>329</v>
      </c>
      <c r="C1033" s="2" t="s">
        <v>330</v>
      </c>
      <c r="D1033">
        <v>29</v>
      </c>
      <c r="E1033">
        <f>WEEKNUM(makulatura[[#This Row],[Data_dostarczenia]],13)</f>
        <v>26</v>
      </c>
      <c r="F1033" s="2">
        <f>WEEKDAY(makulatura[[#This Row],[Data_dostarczenia]],2)</f>
        <v>3</v>
      </c>
    </row>
    <row r="1034" spans="1:6" x14ac:dyDescent="0.25">
      <c r="A1034" s="1">
        <v>42907</v>
      </c>
      <c r="B1034" s="2" t="s">
        <v>69</v>
      </c>
      <c r="C1034" s="2" t="s">
        <v>70</v>
      </c>
      <c r="D1034">
        <v>52</v>
      </c>
      <c r="E1034">
        <f>WEEKNUM(makulatura[[#This Row],[Data_dostarczenia]],13)</f>
        <v>26</v>
      </c>
      <c r="F1034" s="2">
        <f>WEEKDAY(makulatura[[#This Row],[Data_dostarczenia]],2)</f>
        <v>3</v>
      </c>
    </row>
    <row r="1035" spans="1:6" x14ac:dyDescent="0.25">
      <c r="A1035" s="1">
        <v>42907</v>
      </c>
      <c r="B1035" s="2" t="s">
        <v>395</v>
      </c>
      <c r="C1035" s="2" t="s">
        <v>599</v>
      </c>
      <c r="D1035">
        <v>8</v>
      </c>
      <c r="E1035">
        <f>WEEKNUM(makulatura[[#This Row],[Data_dostarczenia]],13)</f>
        <v>26</v>
      </c>
      <c r="F1035" s="2">
        <f>WEEKDAY(makulatura[[#This Row],[Data_dostarczenia]],2)</f>
        <v>3</v>
      </c>
    </row>
    <row r="1036" spans="1:6" x14ac:dyDescent="0.25">
      <c r="A1036" s="1">
        <v>42907</v>
      </c>
      <c r="B1036" s="2" t="s">
        <v>87</v>
      </c>
      <c r="C1036" s="2" t="s">
        <v>154</v>
      </c>
      <c r="D1036">
        <v>32</v>
      </c>
      <c r="E1036">
        <f>WEEKNUM(makulatura[[#This Row],[Data_dostarczenia]],13)</f>
        <v>26</v>
      </c>
      <c r="F1036" s="2">
        <f>WEEKDAY(makulatura[[#This Row],[Data_dostarczenia]],2)</f>
        <v>3</v>
      </c>
    </row>
    <row r="1037" spans="1:6" x14ac:dyDescent="0.25">
      <c r="A1037" s="1">
        <v>42908</v>
      </c>
      <c r="B1037" s="2" t="s">
        <v>208</v>
      </c>
      <c r="C1037" s="2" t="s">
        <v>611</v>
      </c>
      <c r="D1037">
        <v>11</v>
      </c>
      <c r="E1037">
        <f>WEEKNUM(makulatura[[#This Row],[Data_dostarczenia]],13)</f>
        <v>26</v>
      </c>
      <c r="F1037" s="2">
        <f>WEEKDAY(makulatura[[#This Row],[Data_dostarczenia]],2)</f>
        <v>4</v>
      </c>
    </row>
    <row r="1038" spans="1:6" x14ac:dyDescent="0.25">
      <c r="A1038" s="1">
        <v>42908</v>
      </c>
      <c r="B1038" s="2" t="s">
        <v>395</v>
      </c>
      <c r="C1038" s="2" t="s">
        <v>467</v>
      </c>
      <c r="D1038">
        <v>35</v>
      </c>
      <c r="E1038">
        <f>WEEKNUM(makulatura[[#This Row],[Data_dostarczenia]],13)</f>
        <v>26</v>
      </c>
      <c r="F1038" s="2">
        <f>WEEKDAY(makulatura[[#This Row],[Data_dostarczenia]],2)</f>
        <v>4</v>
      </c>
    </row>
    <row r="1039" spans="1:6" x14ac:dyDescent="0.25">
      <c r="A1039" s="1">
        <v>42908</v>
      </c>
      <c r="B1039" s="2" t="s">
        <v>141</v>
      </c>
      <c r="C1039" s="2" t="s">
        <v>612</v>
      </c>
      <c r="D1039">
        <v>4</v>
      </c>
      <c r="E1039">
        <f>WEEKNUM(makulatura[[#This Row],[Data_dostarczenia]],13)</f>
        <v>26</v>
      </c>
      <c r="F1039" s="2">
        <f>WEEKDAY(makulatura[[#This Row],[Data_dostarczenia]],2)</f>
        <v>4</v>
      </c>
    </row>
    <row r="1040" spans="1:6" x14ac:dyDescent="0.25">
      <c r="A1040" s="1">
        <v>42908</v>
      </c>
      <c r="B1040" s="2" t="s">
        <v>141</v>
      </c>
      <c r="C1040" s="2" t="s">
        <v>435</v>
      </c>
      <c r="D1040">
        <v>18</v>
      </c>
      <c r="E1040">
        <f>WEEKNUM(makulatura[[#This Row],[Data_dostarczenia]],13)</f>
        <v>26</v>
      </c>
      <c r="F1040" s="2">
        <f>WEEKDAY(makulatura[[#This Row],[Data_dostarczenia]],2)</f>
        <v>4</v>
      </c>
    </row>
    <row r="1041" spans="1:6" x14ac:dyDescent="0.25">
      <c r="A1041" s="1">
        <v>42908</v>
      </c>
      <c r="B1041" s="2" t="s">
        <v>83</v>
      </c>
      <c r="C1041" s="2" t="s">
        <v>591</v>
      </c>
      <c r="D1041">
        <v>5</v>
      </c>
      <c r="E1041">
        <f>WEEKNUM(makulatura[[#This Row],[Data_dostarczenia]],13)</f>
        <v>26</v>
      </c>
      <c r="F1041" s="2">
        <f>WEEKDAY(makulatura[[#This Row],[Data_dostarczenia]],2)</f>
        <v>4</v>
      </c>
    </row>
    <row r="1042" spans="1:6" x14ac:dyDescent="0.25">
      <c r="A1042" s="1">
        <v>42908</v>
      </c>
      <c r="B1042" s="2" t="s">
        <v>30</v>
      </c>
      <c r="C1042" s="2" t="s">
        <v>432</v>
      </c>
      <c r="D1042">
        <v>32</v>
      </c>
      <c r="E1042">
        <f>WEEKNUM(makulatura[[#This Row],[Data_dostarczenia]],13)</f>
        <v>26</v>
      </c>
      <c r="F1042" s="2">
        <f>WEEKDAY(makulatura[[#This Row],[Data_dostarczenia]],2)</f>
        <v>4</v>
      </c>
    </row>
    <row r="1043" spans="1:6" x14ac:dyDescent="0.25">
      <c r="A1043" s="1">
        <v>42909</v>
      </c>
      <c r="B1043" s="2" t="s">
        <v>161</v>
      </c>
      <c r="C1043" s="2" t="s">
        <v>345</v>
      </c>
      <c r="D1043">
        <v>18</v>
      </c>
      <c r="E1043">
        <f>WEEKNUM(makulatura[[#This Row],[Data_dostarczenia]],13)</f>
        <v>26</v>
      </c>
      <c r="F1043" s="2">
        <f>WEEKDAY(makulatura[[#This Row],[Data_dostarczenia]],2)</f>
        <v>5</v>
      </c>
    </row>
    <row r="1044" spans="1:6" x14ac:dyDescent="0.25">
      <c r="A1044" s="1">
        <v>42909</v>
      </c>
      <c r="B1044" s="2" t="s">
        <v>32</v>
      </c>
      <c r="C1044" s="2" t="s">
        <v>406</v>
      </c>
      <c r="D1044">
        <v>19</v>
      </c>
      <c r="E1044">
        <f>WEEKNUM(makulatura[[#This Row],[Data_dostarczenia]],13)</f>
        <v>26</v>
      </c>
      <c r="F1044" s="2">
        <f>WEEKDAY(makulatura[[#This Row],[Data_dostarczenia]],2)</f>
        <v>5</v>
      </c>
    </row>
    <row r="1045" spans="1:6" x14ac:dyDescent="0.25">
      <c r="A1045" s="1">
        <v>42909</v>
      </c>
      <c r="B1045" s="2" t="s">
        <v>161</v>
      </c>
      <c r="C1045" s="2" t="s">
        <v>162</v>
      </c>
      <c r="D1045">
        <v>8</v>
      </c>
      <c r="E1045">
        <f>WEEKNUM(makulatura[[#This Row],[Data_dostarczenia]],13)</f>
        <v>26</v>
      </c>
      <c r="F1045" s="2">
        <f>WEEKDAY(makulatura[[#This Row],[Data_dostarczenia]],2)</f>
        <v>5</v>
      </c>
    </row>
    <row r="1046" spans="1:6" x14ac:dyDescent="0.25">
      <c r="A1046" s="1">
        <v>42909</v>
      </c>
      <c r="B1046" s="2" t="s">
        <v>449</v>
      </c>
      <c r="C1046" s="2" t="s">
        <v>613</v>
      </c>
      <c r="D1046">
        <v>16</v>
      </c>
      <c r="E1046">
        <f>WEEKNUM(makulatura[[#This Row],[Data_dostarczenia]],13)</f>
        <v>26</v>
      </c>
      <c r="F1046" s="2">
        <f>WEEKDAY(makulatura[[#This Row],[Data_dostarczenia]],2)</f>
        <v>5</v>
      </c>
    </row>
    <row r="1047" spans="1:6" x14ac:dyDescent="0.25">
      <c r="A1047" s="1">
        <v>42909</v>
      </c>
      <c r="B1047" s="2" t="s">
        <v>41</v>
      </c>
      <c r="C1047" s="2" t="s">
        <v>614</v>
      </c>
      <c r="D1047">
        <v>39</v>
      </c>
      <c r="E1047">
        <f>WEEKNUM(makulatura[[#This Row],[Data_dostarczenia]],13)</f>
        <v>26</v>
      </c>
      <c r="F1047" s="2">
        <f>WEEKDAY(makulatura[[#This Row],[Data_dostarczenia]],2)</f>
        <v>5</v>
      </c>
    </row>
    <row r="1048" spans="1:6" x14ac:dyDescent="0.25">
      <c r="A1048" s="1">
        <v>42909</v>
      </c>
      <c r="B1048" s="2" t="s">
        <v>101</v>
      </c>
      <c r="C1048" s="2" t="s">
        <v>610</v>
      </c>
      <c r="D1048">
        <v>45</v>
      </c>
      <c r="E1048">
        <f>WEEKNUM(makulatura[[#This Row],[Data_dostarczenia]],13)</f>
        <v>26</v>
      </c>
      <c r="F1048" s="2">
        <f>WEEKDAY(makulatura[[#This Row],[Data_dostarczenia]],2)</f>
        <v>5</v>
      </c>
    </row>
    <row r="1049" spans="1:6" x14ac:dyDescent="0.25">
      <c r="A1049" s="1">
        <v>42912</v>
      </c>
      <c r="B1049" s="2" t="s">
        <v>141</v>
      </c>
      <c r="C1049" s="2" t="s">
        <v>435</v>
      </c>
      <c r="D1049">
        <v>46</v>
      </c>
      <c r="E1049">
        <f>WEEKNUM(makulatura[[#This Row],[Data_dostarczenia]],13)</f>
        <v>26</v>
      </c>
      <c r="F1049" s="2">
        <f>WEEKDAY(makulatura[[#This Row],[Data_dostarczenia]],2)</f>
        <v>1</v>
      </c>
    </row>
    <row r="1050" spans="1:6" x14ac:dyDescent="0.25">
      <c r="A1050" s="1">
        <v>42912</v>
      </c>
      <c r="B1050" s="2" t="s">
        <v>83</v>
      </c>
      <c r="C1050" s="2" t="s">
        <v>91</v>
      </c>
      <c r="D1050">
        <v>26</v>
      </c>
      <c r="E1050">
        <f>WEEKNUM(makulatura[[#This Row],[Data_dostarczenia]],13)</f>
        <v>26</v>
      </c>
      <c r="F1050" s="2">
        <f>WEEKDAY(makulatura[[#This Row],[Data_dostarczenia]],2)</f>
        <v>1</v>
      </c>
    </row>
    <row r="1051" spans="1:6" x14ac:dyDescent="0.25">
      <c r="A1051" s="1">
        <v>42912</v>
      </c>
      <c r="B1051" s="2" t="s">
        <v>351</v>
      </c>
      <c r="C1051" s="2" t="s">
        <v>227</v>
      </c>
      <c r="D1051">
        <v>53</v>
      </c>
      <c r="E1051">
        <f>WEEKNUM(makulatura[[#This Row],[Data_dostarczenia]],13)</f>
        <v>26</v>
      </c>
      <c r="F1051" s="2">
        <f>WEEKDAY(makulatura[[#This Row],[Data_dostarczenia]],2)</f>
        <v>1</v>
      </c>
    </row>
    <row r="1052" spans="1:6" x14ac:dyDescent="0.25">
      <c r="A1052" s="1">
        <v>42912</v>
      </c>
      <c r="B1052" s="2" t="s">
        <v>503</v>
      </c>
      <c r="C1052" s="2" t="s">
        <v>183</v>
      </c>
      <c r="D1052">
        <v>26</v>
      </c>
      <c r="E1052">
        <f>WEEKNUM(makulatura[[#This Row],[Data_dostarczenia]],13)</f>
        <v>26</v>
      </c>
      <c r="F1052" s="2">
        <f>WEEKDAY(makulatura[[#This Row],[Data_dostarczenia]],2)</f>
        <v>1</v>
      </c>
    </row>
    <row r="1053" spans="1:6" x14ac:dyDescent="0.25">
      <c r="A1053" s="1">
        <v>42912</v>
      </c>
      <c r="B1053" s="2" t="s">
        <v>4</v>
      </c>
      <c r="C1053" s="2" t="s">
        <v>5</v>
      </c>
      <c r="D1053">
        <v>16</v>
      </c>
      <c r="E1053">
        <f>WEEKNUM(makulatura[[#This Row],[Data_dostarczenia]],13)</f>
        <v>26</v>
      </c>
      <c r="F1053" s="2">
        <f>WEEKDAY(makulatura[[#This Row],[Data_dostarczenia]],2)</f>
        <v>1</v>
      </c>
    </row>
    <row r="1054" spans="1:6" x14ac:dyDescent="0.25">
      <c r="A1054" s="1">
        <v>42912</v>
      </c>
      <c r="B1054" s="2" t="s">
        <v>83</v>
      </c>
      <c r="C1054" s="2" t="s">
        <v>615</v>
      </c>
      <c r="D1054">
        <v>10</v>
      </c>
      <c r="E1054">
        <f>WEEKNUM(makulatura[[#This Row],[Data_dostarczenia]],13)</f>
        <v>26</v>
      </c>
      <c r="F1054" s="2">
        <f>WEEKDAY(makulatura[[#This Row],[Data_dostarczenia]],2)</f>
        <v>1</v>
      </c>
    </row>
    <row r="1055" spans="1:6" x14ac:dyDescent="0.25">
      <c r="A1055" s="1">
        <v>42913</v>
      </c>
      <c r="B1055" s="2" t="s">
        <v>161</v>
      </c>
      <c r="C1055" s="2" t="s">
        <v>214</v>
      </c>
      <c r="D1055">
        <v>23</v>
      </c>
      <c r="E1055">
        <f>WEEKNUM(makulatura[[#This Row],[Data_dostarczenia]],13)</f>
        <v>26</v>
      </c>
      <c r="F1055" s="2">
        <f>WEEKDAY(makulatura[[#This Row],[Data_dostarczenia]],2)</f>
        <v>2</v>
      </c>
    </row>
    <row r="1056" spans="1:6" x14ac:dyDescent="0.25">
      <c r="A1056" s="1">
        <v>42913</v>
      </c>
      <c r="B1056" s="2" t="s">
        <v>32</v>
      </c>
      <c r="C1056" s="2" t="s">
        <v>33</v>
      </c>
      <c r="D1056">
        <v>22</v>
      </c>
      <c r="E1056">
        <f>WEEKNUM(makulatura[[#This Row],[Data_dostarczenia]],13)</f>
        <v>26</v>
      </c>
      <c r="F1056" s="2">
        <f>WEEKDAY(makulatura[[#This Row],[Data_dostarczenia]],2)</f>
        <v>2</v>
      </c>
    </row>
    <row r="1057" spans="1:6" x14ac:dyDescent="0.25">
      <c r="A1057" s="1">
        <v>42913</v>
      </c>
      <c r="B1057" s="2" t="s">
        <v>41</v>
      </c>
      <c r="C1057" s="2" t="s">
        <v>302</v>
      </c>
      <c r="D1057">
        <v>29</v>
      </c>
      <c r="E1057">
        <f>WEEKNUM(makulatura[[#This Row],[Data_dostarczenia]],13)</f>
        <v>26</v>
      </c>
      <c r="F1057" s="2">
        <f>WEEKDAY(makulatura[[#This Row],[Data_dostarczenia]],2)</f>
        <v>2</v>
      </c>
    </row>
    <row r="1058" spans="1:6" x14ac:dyDescent="0.25">
      <c r="A1058" s="1">
        <v>42913</v>
      </c>
      <c r="B1058" s="2" t="s">
        <v>150</v>
      </c>
      <c r="C1058" s="2" t="s">
        <v>151</v>
      </c>
      <c r="D1058">
        <v>26</v>
      </c>
      <c r="E1058">
        <f>WEEKNUM(makulatura[[#This Row],[Data_dostarczenia]],13)</f>
        <v>26</v>
      </c>
      <c r="F1058" s="2">
        <f>WEEKDAY(makulatura[[#This Row],[Data_dostarczenia]],2)</f>
        <v>2</v>
      </c>
    </row>
    <row r="1059" spans="1:6" x14ac:dyDescent="0.25">
      <c r="A1059" s="1">
        <v>42913</v>
      </c>
      <c r="B1059" s="2" t="s">
        <v>51</v>
      </c>
      <c r="C1059" s="2" t="s">
        <v>358</v>
      </c>
      <c r="D1059">
        <v>9</v>
      </c>
      <c r="E1059">
        <f>WEEKNUM(makulatura[[#This Row],[Data_dostarczenia]],13)</f>
        <v>26</v>
      </c>
      <c r="F1059" s="2">
        <f>WEEKDAY(makulatura[[#This Row],[Data_dostarczenia]],2)</f>
        <v>2</v>
      </c>
    </row>
    <row r="1060" spans="1:6" x14ac:dyDescent="0.25">
      <c r="A1060" s="1">
        <v>42913</v>
      </c>
      <c r="B1060" s="2" t="s">
        <v>81</v>
      </c>
      <c r="C1060" s="2" t="s">
        <v>104</v>
      </c>
      <c r="D1060">
        <v>20</v>
      </c>
      <c r="E1060">
        <f>WEEKNUM(makulatura[[#This Row],[Data_dostarczenia]],13)</f>
        <v>26</v>
      </c>
      <c r="F1060" s="2">
        <f>WEEKDAY(makulatura[[#This Row],[Data_dostarczenia]],2)</f>
        <v>2</v>
      </c>
    </row>
    <row r="1061" spans="1:6" x14ac:dyDescent="0.25">
      <c r="A1061" s="1">
        <v>42914</v>
      </c>
      <c r="B1061" s="2" t="s">
        <v>128</v>
      </c>
      <c r="C1061" s="2" t="s">
        <v>250</v>
      </c>
      <c r="D1061">
        <v>7</v>
      </c>
      <c r="E1061">
        <f>WEEKNUM(makulatura[[#This Row],[Data_dostarczenia]],13)</f>
        <v>27</v>
      </c>
      <c r="F1061" s="2">
        <f>WEEKDAY(makulatura[[#This Row],[Data_dostarczenia]],2)</f>
        <v>3</v>
      </c>
    </row>
    <row r="1062" spans="1:6" x14ac:dyDescent="0.25">
      <c r="A1062" s="1">
        <v>42914</v>
      </c>
      <c r="B1062" s="2" t="s">
        <v>176</v>
      </c>
      <c r="C1062" s="2" t="s">
        <v>486</v>
      </c>
      <c r="D1062">
        <v>27</v>
      </c>
      <c r="E1062">
        <f>WEEKNUM(makulatura[[#This Row],[Data_dostarczenia]],13)</f>
        <v>27</v>
      </c>
      <c r="F1062" s="2">
        <f>WEEKDAY(makulatura[[#This Row],[Data_dostarczenia]],2)</f>
        <v>3</v>
      </c>
    </row>
    <row r="1063" spans="1:6" x14ac:dyDescent="0.25">
      <c r="A1063" s="1">
        <v>42914</v>
      </c>
      <c r="B1063" s="2" t="s">
        <v>119</v>
      </c>
      <c r="C1063" s="2" t="s">
        <v>120</v>
      </c>
      <c r="D1063">
        <v>35</v>
      </c>
      <c r="E1063">
        <f>WEEKNUM(makulatura[[#This Row],[Data_dostarczenia]],13)</f>
        <v>27</v>
      </c>
      <c r="F1063" s="2">
        <f>WEEKDAY(makulatura[[#This Row],[Data_dostarczenia]],2)</f>
        <v>3</v>
      </c>
    </row>
    <row r="1064" spans="1:6" x14ac:dyDescent="0.25">
      <c r="A1064" s="1">
        <v>42914</v>
      </c>
      <c r="B1064" s="2" t="s">
        <v>395</v>
      </c>
      <c r="C1064" s="2" t="s">
        <v>599</v>
      </c>
      <c r="D1064">
        <v>15</v>
      </c>
      <c r="E1064">
        <f>WEEKNUM(makulatura[[#This Row],[Data_dostarczenia]],13)</f>
        <v>27</v>
      </c>
      <c r="F1064" s="2">
        <f>WEEKDAY(makulatura[[#This Row],[Data_dostarczenia]],2)</f>
        <v>3</v>
      </c>
    </row>
    <row r="1065" spans="1:6" x14ac:dyDescent="0.25">
      <c r="A1065" s="1">
        <v>42914</v>
      </c>
      <c r="B1065" s="2" t="s">
        <v>83</v>
      </c>
      <c r="C1065" s="2" t="s">
        <v>596</v>
      </c>
      <c r="D1065">
        <v>29</v>
      </c>
      <c r="E1065">
        <f>WEEKNUM(makulatura[[#This Row],[Data_dostarczenia]],13)</f>
        <v>27</v>
      </c>
      <c r="F1065" s="2">
        <f>WEEKDAY(makulatura[[#This Row],[Data_dostarczenia]],2)</f>
        <v>3</v>
      </c>
    </row>
    <row r="1066" spans="1:6" x14ac:dyDescent="0.25">
      <c r="A1066" s="1">
        <v>42914</v>
      </c>
      <c r="B1066" s="2" t="s">
        <v>133</v>
      </c>
      <c r="C1066" s="2" t="s">
        <v>616</v>
      </c>
      <c r="D1066">
        <v>42</v>
      </c>
      <c r="E1066">
        <f>WEEKNUM(makulatura[[#This Row],[Data_dostarczenia]],13)</f>
        <v>27</v>
      </c>
      <c r="F1066" s="2">
        <f>WEEKDAY(makulatura[[#This Row],[Data_dostarczenia]],2)</f>
        <v>3</v>
      </c>
    </row>
    <row r="1067" spans="1:6" x14ac:dyDescent="0.25">
      <c r="A1067" s="1">
        <v>42915</v>
      </c>
      <c r="B1067" s="2" t="s">
        <v>280</v>
      </c>
      <c r="C1067" s="2" t="s">
        <v>451</v>
      </c>
      <c r="D1067">
        <v>9</v>
      </c>
      <c r="E1067">
        <f>WEEKNUM(makulatura[[#This Row],[Data_dostarczenia]],13)</f>
        <v>27</v>
      </c>
      <c r="F1067" s="2">
        <f>WEEKDAY(makulatura[[#This Row],[Data_dostarczenia]],2)</f>
        <v>4</v>
      </c>
    </row>
    <row r="1068" spans="1:6" x14ac:dyDescent="0.25">
      <c r="A1068" s="1">
        <v>42915</v>
      </c>
      <c r="B1068" s="2" t="s">
        <v>137</v>
      </c>
      <c r="C1068" s="2" t="s">
        <v>617</v>
      </c>
      <c r="D1068">
        <v>50</v>
      </c>
      <c r="E1068">
        <f>WEEKNUM(makulatura[[#This Row],[Data_dostarczenia]],13)</f>
        <v>27</v>
      </c>
      <c r="F1068" s="2">
        <f>WEEKDAY(makulatura[[#This Row],[Data_dostarczenia]],2)</f>
        <v>4</v>
      </c>
    </row>
    <row r="1069" spans="1:6" x14ac:dyDescent="0.25">
      <c r="A1069" s="1">
        <v>42915</v>
      </c>
      <c r="B1069" s="2" t="s">
        <v>95</v>
      </c>
      <c r="C1069" s="2" t="s">
        <v>426</v>
      </c>
      <c r="D1069">
        <v>6</v>
      </c>
      <c r="E1069">
        <f>WEEKNUM(makulatura[[#This Row],[Data_dostarczenia]],13)</f>
        <v>27</v>
      </c>
      <c r="F1069" s="2">
        <f>WEEKDAY(makulatura[[#This Row],[Data_dostarczenia]],2)</f>
        <v>4</v>
      </c>
    </row>
    <row r="1070" spans="1:6" x14ac:dyDescent="0.25">
      <c r="A1070" s="1">
        <v>42915</v>
      </c>
      <c r="B1070" s="2" t="s">
        <v>87</v>
      </c>
      <c r="C1070" s="2" t="s">
        <v>383</v>
      </c>
      <c r="D1070">
        <v>18</v>
      </c>
      <c r="E1070">
        <f>WEEKNUM(makulatura[[#This Row],[Data_dostarczenia]],13)</f>
        <v>27</v>
      </c>
      <c r="F1070" s="2">
        <f>WEEKDAY(makulatura[[#This Row],[Data_dostarczenia]],2)</f>
        <v>4</v>
      </c>
    </row>
    <row r="1071" spans="1:6" x14ac:dyDescent="0.25">
      <c r="A1071" s="1">
        <v>42915</v>
      </c>
      <c r="B1071" s="2" t="s">
        <v>83</v>
      </c>
      <c r="C1071" s="2" t="s">
        <v>615</v>
      </c>
      <c r="D1071">
        <v>28</v>
      </c>
      <c r="E1071">
        <f>WEEKNUM(makulatura[[#This Row],[Data_dostarczenia]],13)</f>
        <v>27</v>
      </c>
      <c r="F1071" s="2">
        <f>WEEKDAY(makulatura[[#This Row],[Data_dostarczenia]],2)</f>
        <v>4</v>
      </c>
    </row>
    <row r="1072" spans="1:6" x14ac:dyDescent="0.25">
      <c r="A1072" s="1">
        <v>42915</v>
      </c>
      <c r="B1072" s="2" t="s">
        <v>83</v>
      </c>
      <c r="C1072" s="2" t="s">
        <v>455</v>
      </c>
      <c r="D1072">
        <v>7</v>
      </c>
      <c r="E1072">
        <f>WEEKNUM(makulatura[[#This Row],[Data_dostarczenia]],13)</f>
        <v>27</v>
      </c>
      <c r="F1072" s="2">
        <f>WEEKDAY(makulatura[[#This Row],[Data_dostarczenia]],2)</f>
        <v>4</v>
      </c>
    </row>
    <row r="1073" spans="1:6" x14ac:dyDescent="0.25">
      <c r="A1073" s="1">
        <v>42916</v>
      </c>
      <c r="B1073" s="2" t="s">
        <v>618</v>
      </c>
      <c r="C1073" s="2" t="s">
        <v>619</v>
      </c>
      <c r="D1073">
        <v>28</v>
      </c>
      <c r="E1073">
        <f>WEEKNUM(makulatura[[#This Row],[Data_dostarczenia]],13)</f>
        <v>27</v>
      </c>
      <c r="F1073" s="2">
        <f>WEEKDAY(makulatura[[#This Row],[Data_dostarczenia]],2)</f>
        <v>5</v>
      </c>
    </row>
    <row r="1074" spans="1:6" x14ac:dyDescent="0.25">
      <c r="A1074" s="1">
        <v>42916</v>
      </c>
      <c r="B1074" s="2" t="s">
        <v>95</v>
      </c>
      <c r="C1074" s="2" t="s">
        <v>96</v>
      </c>
      <c r="D1074">
        <v>27</v>
      </c>
      <c r="E1074">
        <f>WEEKNUM(makulatura[[#This Row],[Data_dostarczenia]],13)</f>
        <v>27</v>
      </c>
      <c r="F1074" s="2">
        <f>WEEKDAY(makulatura[[#This Row],[Data_dostarczenia]],2)</f>
        <v>5</v>
      </c>
    </row>
    <row r="1075" spans="1:6" x14ac:dyDescent="0.25">
      <c r="A1075" s="1">
        <v>42916</v>
      </c>
      <c r="B1075" s="2" t="s">
        <v>36</v>
      </c>
      <c r="C1075" s="2" t="s">
        <v>166</v>
      </c>
      <c r="D1075">
        <v>19</v>
      </c>
      <c r="E1075">
        <f>WEEKNUM(makulatura[[#This Row],[Data_dostarczenia]],13)</f>
        <v>27</v>
      </c>
      <c r="F1075" s="2">
        <f>WEEKDAY(makulatura[[#This Row],[Data_dostarczenia]],2)</f>
        <v>5</v>
      </c>
    </row>
    <row r="1076" spans="1:6" x14ac:dyDescent="0.25">
      <c r="A1076" s="1">
        <v>42916</v>
      </c>
      <c r="B1076" s="2" t="s">
        <v>77</v>
      </c>
      <c r="C1076" s="2" t="s">
        <v>384</v>
      </c>
      <c r="D1076">
        <v>19</v>
      </c>
      <c r="E1076">
        <f>WEEKNUM(makulatura[[#This Row],[Data_dostarczenia]],13)</f>
        <v>27</v>
      </c>
      <c r="F1076" s="2">
        <f>WEEKDAY(makulatura[[#This Row],[Data_dostarczenia]],2)</f>
        <v>5</v>
      </c>
    </row>
    <row r="1077" spans="1:6" x14ac:dyDescent="0.25">
      <c r="A1077" s="1">
        <v>42916</v>
      </c>
      <c r="B1077" s="2" t="s">
        <v>34</v>
      </c>
      <c r="C1077" s="2" t="s">
        <v>35</v>
      </c>
      <c r="D1077">
        <v>18</v>
      </c>
      <c r="E1077">
        <f>WEEKNUM(makulatura[[#This Row],[Data_dostarczenia]],13)</f>
        <v>27</v>
      </c>
      <c r="F1077" s="2">
        <f>WEEKDAY(makulatura[[#This Row],[Data_dostarczenia]],2)</f>
        <v>5</v>
      </c>
    </row>
    <row r="1078" spans="1:6" x14ac:dyDescent="0.25">
      <c r="A1078" s="1">
        <v>42916</v>
      </c>
      <c r="B1078" s="2" t="s">
        <v>141</v>
      </c>
      <c r="C1078" s="2" t="s">
        <v>364</v>
      </c>
      <c r="D1078">
        <v>27</v>
      </c>
      <c r="E1078">
        <f>WEEKNUM(makulatura[[#This Row],[Data_dostarczenia]],13)</f>
        <v>27</v>
      </c>
      <c r="F1078" s="2">
        <f>WEEKDAY(makulatura[[#This Row],[Data_dostarczenia]],2)</f>
        <v>5</v>
      </c>
    </row>
    <row r="1079" spans="1:6" x14ac:dyDescent="0.25">
      <c r="A1079" s="1">
        <v>42919</v>
      </c>
      <c r="B1079" s="2" t="s">
        <v>339</v>
      </c>
      <c r="C1079" s="2" t="s">
        <v>565</v>
      </c>
      <c r="D1079">
        <v>21</v>
      </c>
      <c r="E1079">
        <f>WEEKNUM(makulatura[[#This Row],[Data_dostarczenia]],13)</f>
        <v>27</v>
      </c>
      <c r="F1079" s="2">
        <f>WEEKDAY(makulatura[[#This Row],[Data_dostarczenia]],2)</f>
        <v>1</v>
      </c>
    </row>
    <row r="1080" spans="1:6" x14ac:dyDescent="0.25">
      <c r="A1080" s="1">
        <v>42919</v>
      </c>
      <c r="B1080" s="2" t="s">
        <v>106</v>
      </c>
      <c r="C1080" s="2" t="s">
        <v>277</v>
      </c>
      <c r="D1080">
        <v>14</v>
      </c>
      <c r="E1080">
        <f>WEEKNUM(makulatura[[#This Row],[Data_dostarczenia]],13)</f>
        <v>27</v>
      </c>
      <c r="F1080" s="2">
        <f>WEEKDAY(makulatura[[#This Row],[Data_dostarczenia]],2)</f>
        <v>1</v>
      </c>
    </row>
    <row r="1081" spans="1:6" x14ac:dyDescent="0.25">
      <c r="A1081" s="1">
        <v>42919</v>
      </c>
      <c r="B1081" s="2" t="s">
        <v>147</v>
      </c>
      <c r="C1081" s="2" t="s">
        <v>527</v>
      </c>
      <c r="D1081">
        <v>34</v>
      </c>
      <c r="E1081">
        <f>WEEKNUM(makulatura[[#This Row],[Data_dostarczenia]],13)</f>
        <v>27</v>
      </c>
      <c r="F1081" s="2">
        <f>WEEKDAY(makulatura[[#This Row],[Data_dostarczenia]],2)</f>
        <v>1</v>
      </c>
    </row>
    <row r="1082" spans="1:6" x14ac:dyDescent="0.25">
      <c r="A1082" s="1">
        <v>42919</v>
      </c>
      <c r="B1082" s="2" t="s">
        <v>97</v>
      </c>
      <c r="C1082" s="2" t="s">
        <v>464</v>
      </c>
      <c r="D1082">
        <v>29</v>
      </c>
      <c r="E1082">
        <f>WEEKNUM(makulatura[[#This Row],[Data_dostarczenia]],13)</f>
        <v>27</v>
      </c>
      <c r="F1082" s="2">
        <f>WEEKDAY(makulatura[[#This Row],[Data_dostarczenia]],2)</f>
        <v>1</v>
      </c>
    </row>
    <row r="1083" spans="1:6" x14ac:dyDescent="0.25">
      <c r="A1083" s="1">
        <v>42919</v>
      </c>
      <c r="B1083" s="2" t="s">
        <v>126</v>
      </c>
      <c r="C1083" s="2" t="s">
        <v>127</v>
      </c>
      <c r="D1083">
        <v>37</v>
      </c>
      <c r="E1083">
        <f>WEEKNUM(makulatura[[#This Row],[Data_dostarczenia]],13)</f>
        <v>27</v>
      </c>
      <c r="F1083" s="2">
        <f>WEEKDAY(makulatura[[#This Row],[Data_dostarczenia]],2)</f>
        <v>1</v>
      </c>
    </row>
    <row r="1084" spans="1:6" x14ac:dyDescent="0.25">
      <c r="A1084" s="1">
        <v>42919</v>
      </c>
      <c r="B1084" s="2" t="s">
        <v>39</v>
      </c>
      <c r="C1084" s="2" t="s">
        <v>391</v>
      </c>
      <c r="D1084">
        <v>28</v>
      </c>
      <c r="E1084">
        <f>WEEKNUM(makulatura[[#This Row],[Data_dostarczenia]],13)</f>
        <v>27</v>
      </c>
      <c r="F1084" s="2">
        <f>WEEKDAY(makulatura[[#This Row],[Data_dostarczenia]],2)</f>
        <v>1</v>
      </c>
    </row>
    <row r="1085" spans="1:6" x14ac:dyDescent="0.25">
      <c r="A1085" s="1">
        <v>42920</v>
      </c>
      <c r="B1085" s="2" t="s">
        <v>234</v>
      </c>
      <c r="C1085" s="2" t="s">
        <v>516</v>
      </c>
      <c r="D1085">
        <v>8</v>
      </c>
      <c r="E1085">
        <f>WEEKNUM(makulatura[[#This Row],[Data_dostarczenia]],13)</f>
        <v>27</v>
      </c>
      <c r="F1085" s="2">
        <f>WEEKDAY(makulatura[[#This Row],[Data_dostarczenia]],2)</f>
        <v>2</v>
      </c>
    </row>
    <row r="1086" spans="1:6" x14ac:dyDescent="0.25">
      <c r="A1086" s="1">
        <v>42920</v>
      </c>
      <c r="B1086" s="2" t="s">
        <v>14</v>
      </c>
      <c r="C1086" s="2" t="s">
        <v>430</v>
      </c>
      <c r="D1086">
        <v>16</v>
      </c>
      <c r="E1086">
        <f>WEEKNUM(makulatura[[#This Row],[Data_dostarczenia]],13)</f>
        <v>27</v>
      </c>
      <c r="F1086" s="2">
        <f>WEEKDAY(makulatura[[#This Row],[Data_dostarczenia]],2)</f>
        <v>2</v>
      </c>
    </row>
    <row r="1087" spans="1:6" x14ac:dyDescent="0.25">
      <c r="A1087" s="1">
        <v>42920</v>
      </c>
      <c r="B1087" s="2" t="s">
        <v>139</v>
      </c>
      <c r="C1087" s="2" t="s">
        <v>140</v>
      </c>
      <c r="D1087">
        <v>7</v>
      </c>
      <c r="E1087">
        <f>WEEKNUM(makulatura[[#This Row],[Data_dostarczenia]],13)</f>
        <v>27</v>
      </c>
      <c r="F1087" s="2">
        <f>WEEKDAY(makulatura[[#This Row],[Data_dostarczenia]],2)</f>
        <v>2</v>
      </c>
    </row>
    <row r="1088" spans="1:6" x14ac:dyDescent="0.25">
      <c r="A1088" s="1">
        <v>42920</v>
      </c>
      <c r="B1088" s="2" t="s">
        <v>171</v>
      </c>
      <c r="C1088" s="2" t="s">
        <v>562</v>
      </c>
      <c r="D1088">
        <v>29</v>
      </c>
      <c r="E1088">
        <f>WEEKNUM(makulatura[[#This Row],[Data_dostarczenia]],13)</f>
        <v>27</v>
      </c>
      <c r="F1088" s="2">
        <f>WEEKDAY(makulatura[[#This Row],[Data_dostarczenia]],2)</f>
        <v>2</v>
      </c>
    </row>
    <row r="1089" spans="1:6" x14ac:dyDescent="0.25">
      <c r="A1089" s="1">
        <v>42920</v>
      </c>
      <c r="B1089" s="2" t="s">
        <v>47</v>
      </c>
      <c r="C1089" s="2" t="s">
        <v>334</v>
      </c>
      <c r="D1089">
        <v>4</v>
      </c>
      <c r="E1089">
        <f>WEEKNUM(makulatura[[#This Row],[Data_dostarczenia]],13)</f>
        <v>27</v>
      </c>
      <c r="F1089" s="2">
        <f>WEEKDAY(makulatura[[#This Row],[Data_dostarczenia]],2)</f>
        <v>2</v>
      </c>
    </row>
    <row r="1090" spans="1:6" x14ac:dyDescent="0.25">
      <c r="A1090" s="1">
        <v>42920</v>
      </c>
      <c r="B1090" s="2" t="s">
        <v>81</v>
      </c>
      <c r="C1090" s="2" t="s">
        <v>488</v>
      </c>
      <c r="D1090">
        <v>3</v>
      </c>
      <c r="E1090">
        <f>WEEKNUM(makulatura[[#This Row],[Data_dostarczenia]],13)</f>
        <v>27</v>
      </c>
      <c r="F1090" s="2">
        <f>WEEKDAY(makulatura[[#This Row],[Data_dostarczenia]],2)</f>
        <v>2</v>
      </c>
    </row>
    <row r="1091" spans="1:6" x14ac:dyDescent="0.25">
      <c r="A1091" s="1">
        <v>42921</v>
      </c>
      <c r="B1091" s="2" t="s">
        <v>420</v>
      </c>
      <c r="C1091" s="2" t="s">
        <v>421</v>
      </c>
      <c r="D1091">
        <v>35</v>
      </c>
      <c r="E1091">
        <f>WEEKNUM(makulatura[[#This Row],[Data_dostarczenia]],13)</f>
        <v>28</v>
      </c>
      <c r="F1091" s="2">
        <f>WEEKDAY(makulatura[[#This Row],[Data_dostarczenia]],2)</f>
        <v>3</v>
      </c>
    </row>
    <row r="1092" spans="1:6" x14ac:dyDescent="0.25">
      <c r="A1092" s="1">
        <v>42921</v>
      </c>
      <c r="B1092" s="2" t="s">
        <v>152</v>
      </c>
      <c r="C1092" s="2" t="s">
        <v>534</v>
      </c>
      <c r="D1092">
        <v>24</v>
      </c>
      <c r="E1092">
        <f>WEEKNUM(makulatura[[#This Row],[Data_dostarczenia]],13)</f>
        <v>28</v>
      </c>
      <c r="F1092" s="2">
        <f>WEEKDAY(makulatura[[#This Row],[Data_dostarczenia]],2)</f>
        <v>3</v>
      </c>
    </row>
    <row r="1093" spans="1:6" x14ac:dyDescent="0.25">
      <c r="A1093" s="1">
        <v>42921</v>
      </c>
      <c r="B1093" s="2" t="s">
        <v>36</v>
      </c>
      <c r="C1093" s="2" t="s">
        <v>180</v>
      </c>
      <c r="D1093">
        <v>39</v>
      </c>
      <c r="E1093">
        <f>WEEKNUM(makulatura[[#This Row],[Data_dostarczenia]],13)</f>
        <v>28</v>
      </c>
      <c r="F1093" s="2">
        <f>WEEKDAY(makulatura[[#This Row],[Data_dostarczenia]],2)</f>
        <v>3</v>
      </c>
    </row>
    <row r="1094" spans="1:6" x14ac:dyDescent="0.25">
      <c r="A1094" s="1">
        <v>42921</v>
      </c>
      <c r="B1094" s="2" t="s">
        <v>269</v>
      </c>
      <c r="C1094" s="2" t="s">
        <v>270</v>
      </c>
      <c r="D1094">
        <v>56</v>
      </c>
      <c r="E1094">
        <f>WEEKNUM(makulatura[[#This Row],[Data_dostarczenia]],13)</f>
        <v>28</v>
      </c>
      <c r="F1094" s="2">
        <f>WEEKDAY(makulatura[[#This Row],[Data_dostarczenia]],2)</f>
        <v>3</v>
      </c>
    </row>
    <row r="1095" spans="1:6" x14ac:dyDescent="0.25">
      <c r="A1095" s="1">
        <v>42921</v>
      </c>
      <c r="B1095" s="2" t="s">
        <v>476</v>
      </c>
      <c r="C1095" s="2" t="s">
        <v>620</v>
      </c>
      <c r="D1095">
        <v>54</v>
      </c>
      <c r="E1095">
        <f>WEEKNUM(makulatura[[#This Row],[Data_dostarczenia]],13)</f>
        <v>28</v>
      </c>
      <c r="F1095" s="2">
        <f>WEEKDAY(makulatura[[#This Row],[Data_dostarczenia]],2)</f>
        <v>3</v>
      </c>
    </row>
    <row r="1096" spans="1:6" x14ac:dyDescent="0.25">
      <c r="A1096" s="1">
        <v>42921</v>
      </c>
      <c r="B1096" s="2" t="s">
        <v>43</v>
      </c>
      <c r="C1096" s="2" t="s">
        <v>44</v>
      </c>
      <c r="D1096">
        <v>12</v>
      </c>
      <c r="E1096">
        <f>WEEKNUM(makulatura[[#This Row],[Data_dostarczenia]],13)</f>
        <v>28</v>
      </c>
      <c r="F1096" s="2">
        <f>WEEKDAY(makulatura[[#This Row],[Data_dostarczenia]],2)</f>
        <v>3</v>
      </c>
    </row>
    <row r="1097" spans="1:6" x14ac:dyDescent="0.25">
      <c r="A1097" s="1">
        <v>42922</v>
      </c>
      <c r="B1097" s="2" t="s">
        <v>341</v>
      </c>
      <c r="C1097" s="2" t="s">
        <v>342</v>
      </c>
      <c r="D1097">
        <v>7</v>
      </c>
      <c r="E1097">
        <f>WEEKNUM(makulatura[[#This Row],[Data_dostarczenia]],13)</f>
        <v>28</v>
      </c>
      <c r="F1097" s="2">
        <f>WEEKDAY(makulatura[[#This Row],[Data_dostarczenia]],2)</f>
        <v>4</v>
      </c>
    </row>
    <row r="1098" spans="1:6" x14ac:dyDescent="0.25">
      <c r="A1098" s="1">
        <v>42922</v>
      </c>
      <c r="B1098" s="2" t="s">
        <v>178</v>
      </c>
      <c r="C1098" s="2" t="s">
        <v>335</v>
      </c>
      <c r="D1098">
        <v>11</v>
      </c>
      <c r="E1098">
        <f>WEEKNUM(makulatura[[#This Row],[Data_dostarczenia]],13)</f>
        <v>28</v>
      </c>
      <c r="F1098" s="2">
        <f>WEEKDAY(makulatura[[#This Row],[Data_dostarczenia]],2)</f>
        <v>4</v>
      </c>
    </row>
    <row r="1099" spans="1:6" x14ac:dyDescent="0.25">
      <c r="A1099" s="1">
        <v>42922</v>
      </c>
      <c r="B1099" s="2" t="s">
        <v>30</v>
      </c>
      <c r="C1099" s="2" t="s">
        <v>432</v>
      </c>
      <c r="D1099">
        <v>7</v>
      </c>
      <c r="E1099">
        <f>WEEKNUM(makulatura[[#This Row],[Data_dostarczenia]],13)</f>
        <v>28</v>
      </c>
      <c r="F1099" s="2">
        <f>WEEKDAY(makulatura[[#This Row],[Data_dostarczenia]],2)</f>
        <v>4</v>
      </c>
    </row>
    <row r="1100" spans="1:6" x14ac:dyDescent="0.25">
      <c r="A1100" s="1">
        <v>42922</v>
      </c>
      <c r="B1100" s="2" t="s">
        <v>193</v>
      </c>
      <c r="C1100" s="2" t="s">
        <v>194</v>
      </c>
      <c r="D1100">
        <v>28</v>
      </c>
      <c r="E1100">
        <f>WEEKNUM(makulatura[[#This Row],[Data_dostarczenia]],13)</f>
        <v>28</v>
      </c>
      <c r="F1100" s="2">
        <f>WEEKDAY(makulatura[[#This Row],[Data_dostarczenia]],2)</f>
        <v>4</v>
      </c>
    </row>
    <row r="1101" spans="1:6" x14ac:dyDescent="0.25">
      <c r="A1101" s="1">
        <v>42922</v>
      </c>
      <c r="B1101" s="2" t="s">
        <v>14</v>
      </c>
      <c r="C1101" s="2" t="s">
        <v>430</v>
      </c>
      <c r="D1101">
        <v>20</v>
      </c>
      <c r="E1101">
        <f>WEEKNUM(makulatura[[#This Row],[Data_dostarczenia]],13)</f>
        <v>28</v>
      </c>
      <c r="F1101" s="2">
        <f>WEEKDAY(makulatura[[#This Row],[Data_dostarczenia]],2)</f>
        <v>4</v>
      </c>
    </row>
    <row r="1102" spans="1:6" x14ac:dyDescent="0.25">
      <c r="A1102" s="1">
        <v>42922</v>
      </c>
      <c r="B1102" s="2" t="s">
        <v>143</v>
      </c>
      <c r="C1102" s="2" t="s">
        <v>510</v>
      </c>
      <c r="D1102">
        <v>11</v>
      </c>
      <c r="E1102">
        <f>WEEKNUM(makulatura[[#This Row],[Data_dostarczenia]],13)</f>
        <v>28</v>
      </c>
      <c r="F1102" s="2">
        <f>WEEKDAY(makulatura[[#This Row],[Data_dostarczenia]],2)</f>
        <v>4</v>
      </c>
    </row>
    <row r="1103" spans="1:6" x14ac:dyDescent="0.25">
      <c r="A1103" s="1">
        <v>42923</v>
      </c>
      <c r="B1103" s="2" t="s">
        <v>51</v>
      </c>
      <c r="C1103" s="2" t="s">
        <v>621</v>
      </c>
      <c r="D1103">
        <v>55</v>
      </c>
      <c r="E1103">
        <f>WEEKNUM(makulatura[[#This Row],[Data_dostarczenia]],13)</f>
        <v>28</v>
      </c>
      <c r="F1103" s="2">
        <f>WEEKDAY(makulatura[[#This Row],[Data_dostarczenia]],2)</f>
        <v>5</v>
      </c>
    </row>
    <row r="1104" spans="1:6" x14ac:dyDescent="0.25">
      <c r="A1104" s="1">
        <v>42923</v>
      </c>
      <c r="B1104" s="2" t="s">
        <v>97</v>
      </c>
      <c r="C1104" s="2" t="s">
        <v>464</v>
      </c>
      <c r="D1104">
        <v>41</v>
      </c>
      <c r="E1104">
        <f>WEEKNUM(makulatura[[#This Row],[Data_dostarczenia]],13)</f>
        <v>28</v>
      </c>
      <c r="F1104" s="2">
        <f>WEEKDAY(makulatura[[#This Row],[Data_dostarczenia]],2)</f>
        <v>5</v>
      </c>
    </row>
    <row r="1105" spans="1:6" x14ac:dyDescent="0.25">
      <c r="A1105" s="1">
        <v>42923</v>
      </c>
      <c r="B1105" s="2" t="s">
        <v>476</v>
      </c>
      <c r="C1105" s="2" t="s">
        <v>622</v>
      </c>
      <c r="D1105">
        <v>21</v>
      </c>
      <c r="E1105">
        <f>WEEKNUM(makulatura[[#This Row],[Data_dostarczenia]],13)</f>
        <v>28</v>
      </c>
      <c r="F1105" s="2">
        <f>WEEKDAY(makulatura[[#This Row],[Data_dostarczenia]],2)</f>
        <v>5</v>
      </c>
    </row>
    <row r="1106" spans="1:6" x14ac:dyDescent="0.25">
      <c r="A1106" s="1">
        <v>42923</v>
      </c>
      <c r="B1106" s="2" t="s">
        <v>339</v>
      </c>
      <c r="C1106" s="2" t="s">
        <v>583</v>
      </c>
      <c r="D1106">
        <v>33</v>
      </c>
      <c r="E1106">
        <f>WEEKNUM(makulatura[[#This Row],[Data_dostarczenia]],13)</f>
        <v>28</v>
      </c>
      <c r="F1106" s="2">
        <f>WEEKDAY(makulatura[[#This Row],[Data_dostarczenia]],2)</f>
        <v>5</v>
      </c>
    </row>
    <row r="1107" spans="1:6" x14ac:dyDescent="0.25">
      <c r="A1107" s="1">
        <v>42923</v>
      </c>
      <c r="B1107" s="2" t="s">
        <v>18</v>
      </c>
      <c r="C1107" s="2" t="s">
        <v>597</v>
      </c>
      <c r="D1107">
        <v>7</v>
      </c>
      <c r="E1107">
        <f>WEEKNUM(makulatura[[#This Row],[Data_dostarczenia]],13)</f>
        <v>28</v>
      </c>
      <c r="F1107" s="2">
        <f>WEEKDAY(makulatura[[#This Row],[Data_dostarczenia]],2)</f>
        <v>5</v>
      </c>
    </row>
    <row r="1108" spans="1:6" x14ac:dyDescent="0.25">
      <c r="A1108" s="1">
        <v>42923</v>
      </c>
      <c r="B1108" s="2" t="s">
        <v>45</v>
      </c>
      <c r="C1108" s="2" t="s">
        <v>388</v>
      </c>
      <c r="D1108">
        <v>15</v>
      </c>
      <c r="E1108">
        <f>WEEKNUM(makulatura[[#This Row],[Data_dostarczenia]],13)</f>
        <v>28</v>
      </c>
      <c r="F1108" s="2">
        <f>WEEKDAY(makulatura[[#This Row],[Data_dostarczenia]],2)</f>
        <v>5</v>
      </c>
    </row>
    <row r="1109" spans="1:6" x14ac:dyDescent="0.25">
      <c r="A1109" s="1">
        <v>42926</v>
      </c>
      <c r="B1109" s="2" t="s">
        <v>141</v>
      </c>
      <c r="C1109" s="2" t="s">
        <v>260</v>
      </c>
      <c r="D1109">
        <v>39</v>
      </c>
      <c r="E1109">
        <f>WEEKNUM(makulatura[[#This Row],[Data_dostarczenia]],13)</f>
        <v>28</v>
      </c>
      <c r="F1109" s="2">
        <f>WEEKDAY(makulatura[[#This Row],[Data_dostarczenia]],2)</f>
        <v>1</v>
      </c>
    </row>
    <row r="1110" spans="1:6" x14ac:dyDescent="0.25">
      <c r="A1110" s="1">
        <v>42926</v>
      </c>
      <c r="B1110" s="2" t="s">
        <v>479</v>
      </c>
      <c r="C1110" s="2" t="s">
        <v>480</v>
      </c>
      <c r="D1110">
        <v>20</v>
      </c>
      <c r="E1110">
        <f>WEEKNUM(makulatura[[#This Row],[Data_dostarczenia]],13)</f>
        <v>28</v>
      </c>
      <c r="F1110" s="2">
        <f>WEEKDAY(makulatura[[#This Row],[Data_dostarczenia]],2)</f>
        <v>1</v>
      </c>
    </row>
    <row r="1111" spans="1:6" x14ac:dyDescent="0.25">
      <c r="A1111" s="1">
        <v>42926</v>
      </c>
      <c r="B1111" s="2" t="s">
        <v>83</v>
      </c>
      <c r="C1111" s="2" t="s">
        <v>455</v>
      </c>
      <c r="D1111">
        <v>11</v>
      </c>
      <c r="E1111">
        <f>WEEKNUM(makulatura[[#This Row],[Data_dostarczenia]],13)</f>
        <v>28</v>
      </c>
      <c r="F1111" s="2">
        <f>WEEKDAY(makulatura[[#This Row],[Data_dostarczenia]],2)</f>
        <v>1</v>
      </c>
    </row>
    <row r="1112" spans="1:6" x14ac:dyDescent="0.25">
      <c r="A1112" s="1">
        <v>42926</v>
      </c>
      <c r="B1112" s="2" t="s">
        <v>623</v>
      </c>
      <c r="C1112" s="2" t="s">
        <v>624</v>
      </c>
      <c r="D1112">
        <v>55</v>
      </c>
      <c r="E1112">
        <f>WEEKNUM(makulatura[[#This Row],[Data_dostarczenia]],13)</f>
        <v>28</v>
      </c>
      <c r="F1112" s="2">
        <f>WEEKDAY(makulatura[[#This Row],[Data_dostarczenia]],2)</f>
        <v>1</v>
      </c>
    </row>
    <row r="1113" spans="1:6" x14ac:dyDescent="0.25">
      <c r="A1113" s="1">
        <v>42926</v>
      </c>
      <c r="B1113" s="2" t="s">
        <v>69</v>
      </c>
      <c r="C1113" s="2" t="s">
        <v>588</v>
      </c>
      <c r="D1113">
        <v>36</v>
      </c>
      <c r="E1113">
        <f>WEEKNUM(makulatura[[#This Row],[Data_dostarczenia]],13)</f>
        <v>28</v>
      </c>
      <c r="F1113" s="2">
        <f>WEEKDAY(makulatura[[#This Row],[Data_dostarczenia]],2)</f>
        <v>1</v>
      </c>
    </row>
    <row r="1114" spans="1:6" x14ac:dyDescent="0.25">
      <c r="A1114" s="1">
        <v>42926</v>
      </c>
      <c r="B1114" s="2" t="s">
        <v>20</v>
      </c>
      <c r="C1114" s="2" t="s">
        <v>381</v>
      </c>
      <c r="D1114">
        <v>19</v>
      </c>
      <c r="E1114">
        <f>WEEKNUM(makulatura[[#This Row],[Data_dostarczenia]],13)</f>
        <v>28</v>
      </c>
      <c r="F1114" s="2">
        <f>WEEKDAY(makulatura[[#This Row],[Data_dostarczenia]],2)</f>
        <v>1</v>
      </c>
    </row>
    <row r="1115" spans="1:6" x14ac:dyDescent="0.25">
      <c r="A1115" s="1">
        <v>42927</v>
      </c>
      <c r="B1115" s="2" t="s">
        <v>416</v>
      </c>
      <c r="C1115" s="2" t="s">
        <v>417</v>
      </c>
      <c r="D1115">
        <v>15</v>
      </c>
      <c r="E1115">
        <f>WEEKNUM(makulatura[[#This Row],[Data_dostarczenia]],13)</f>
        <v>28</v>
      </c>
      <c r="F1115" s="2">
        <f>WEEKDAY(makulatura[[#This Row],[Data_dostarczenia]],2)</f>
        <v>2</v>
      </c>
    </row>
    <row r="1116" spans="1:6" x14ac:dyDescent="0.25">
      <c r="A1116" s="1">
        <v>42927</v>
      </c>
      <c r="B1116" s="2" t="s">
        <v>131</v>
      </c>
      <c r="C1116" s="2" t="s">
        <v>132</v>
      </c>
      <c r="D1116">
        <v>11</v>
      </c>
      <c r="E1116">
        <f>WEEKNUM(makulatura[[#This Row],[Data_dostarczenia]],13)</f>
        <v>28</v>
      </c>
      <c r="F1116" s="2">
        <f>WEEKDAY(makulatura[[#This Row],[Data_dostarczenia]],2)</f>
        <v>2</v>
      </c>
    </row>
    <row r="1117" spans="1:6" x14ac:dyDescent="0.25">
      <c r="A1117" s="1">
        <v>42927</v>
      </c>
      <c r="B1117" s="2" t="s">
        <v>34</v>
      </c>
      <c r="C1117" s="2" t="s">
        <v>35</v>
      </c>
      <c r="D1117">
        <v>30</v>
      </c>
      <c r="E1117">
        <f>WEEKNUM(makulatura[[#This Row],[Data_dostarczenia]],13)</f>
        <v>28</v>
      </c>
      <c r="F1117" s="2">
        <f>WEEKDAY(makulatura[[#This Row],[Data_dostarczenia]],2)</f>
        <v>2</v>
      </c>
    </row>
    <row r="1118" spans="1:6" x14ac:dyDescent="0.25">
      <c r="A1118" s="1">
        <v>42927</v>
      </c>
      <c r="B1118" s="2" t="s">
        <v>278</v>
      </c>
      <c r="C1118" s="2" t="s">
        <v>202</v>
      </c>
      <c r="D1118">
        <v>6</v>
      </c>
      <c r="E1118">
        <f>WEEKNUM(makulatura[[#This Row],[Data_dostarczenia]],13)</f>
        <v>28</v>
      </c>
      <c r="F1118" s="2">
        <f>WEEKDAY(makulatura[[#This Row],[Data_dostarczenia]],2)</f>
        <v>2</v>
      </c>
    </row>
    <row r="1119" spans="1:6" x14ac:dyDescent="0.25">
      <c r="A1119" s="1">
        <v>42927</v>
      </c>
      <c r="B1119" s="2" t="s">
        <v>83</v>
      </c>
      <c r="C1119" s="2" t="s">
        <v>455</v>
      </c>
      <c r="D1119">
        <v>16</v>
      </c>
      <c r="E1119">
        <f>WEEKNUM(makulatura[[#This Row],[Data_dostarczenia]],13)</f>
        <v>28</v>
      </c>
      <c r="F1119" s="2">
        <f>WEEKDAY(makulatura[[#This Row],[Data_dostarczenia]],2)</f>
        <v>2</v>
      </c>
    </row>
    <row r="1120" spans="1:6" x14ac:dyDescent="0.25">
      <c r="A1120" s="1">
        <v>42927</v>
      </c>
      <c r="B1120" s="2" t="s">
        <v>51</v>
      </c>
      <c r="C1120" s="2" t="s">
        <v>522</v>
      </c>
      <c r="D1120">
        <v>26</v>
      </c>
      <c r="E1120">
        <f>WEEKNUM(makulatura[[#This Row],[Data_dostarczenia]],13)</f>
        <v>28</v>
      </c>
      <c r="F1120" s="2">
        <f>WEEKDAY(makulatura[[#This Row],[Data_dostarczenia]],2)</f>
        <v>2</v>
      </c>
    </row>
    <row r="1121" spans="1:6" x14ac:dyDescent="0.25">
      <c r="A1121" s="1">
        <v>42928</v>
      </c>
      <c r="B1121" s="2" t="s">
        <v>55</v>
      </c>
      <c r="C1121" s="2" t="s">
        <v>493</v>
      </c>
      <c r="D1121">
        <v>48</v>
      </c>
      <c r="E1121">
        <f>WEEKNUM(makulatura[[#This Row],[Data_dostarczenia]],13)</f>
        <v>29</v>
      </c>
      <c r="F1121" s="2">
        <f>WEEKDAY(makulatura[[#This Row],[Data_dostarczenia]],2)</f>
        <v>3</v>
      </c>
    </row>
    <row r="1122" spans="1:6" x14ac:dyDescent="0.25">
      <c r="A1122" s="1">
        <v>42928</v>
      </c>
      <c r="B1122" s="2" t="s">
        <v>101</v>
      </c>
      <c r="C1122" s="2" t="s">
        <v>263</v>
      </c>
      <c r="D1122">
        <v>24</v>
      </c>
      <c r="E1122">
        <f>WEEKNUM(makulatura[[#This Row],[Data_dostarczenia]],13)</f>
        <v>29</v>
      </c>
      <c r="F1122" s="2">
        <f>WEEKDAY(makulatura[[#This Row],[Data_dostarczenia]],2)</f>
        <v>3</v>
      </c>
    </row>
    <row r="1123" spans="1:6" x14ac:dyDescent="0.25">
      <c r="A1123" s="1">
        <v>42928</v>
      </c>
      <c r="B1123" s="2" t="s">
        <v>55</v>
      </c>
      <c r="C1123" s="2" t="s">
        <v>625</v>
      </c>
      <c r="D1123">
        <v>9</v>
      </c>
      <c r="E1123">
        <f>WEEKNUM(makulatura[[#This Row],[Data_dostarczenia]],13)</f>
        <v>29</v>
      </c>
      <c r="F1123" s="2">
        <f>WEEKDAY(makulatura[[#This Row],[Data_dostarczenia]],2)</f>
        <v>3</v>
      </c>
    </row>
    <row r="1124" spans="1:6" x14ac:dyDescent="0.25">
      <c r="A1124" s="1">
        <v>42928</v>
      </c>
      <c r="B1124" s="2" t="s">
        <v>65</v>
      </c>
      <c r="C1124" s="2" t="s">
        <v>159</v>
      </c>
      <c r="D1124">
        <v>55</v>
      </c>
      <c r="E1124">
        <f>WEEKNUM(makulatura[[#This Row],[Data_dostarczenia]],13)</f>
        <v>29</v>
      </c>
      <c r="F1124" s="2">
        <f>WEEKDAY(makulatura[[#This Row],[Data_dostarczenia]],2)</f>
        <v>3</v>
      </c>
    </row>
    <row r="1125" spans="1:6" x14ac:dyDescent="0.25">
      <c r="A1125" s="1">
        <v>42928</v>
      </c>
      <c r="B1125" s="2" t="s">
        <v>331</v>
      </c>
      <c r="C1125" s="2" t="s">
        <v>26</v>
      </c>
      <c r="D1125">
        <v>51</v>
      </c>
      <c r="E1125">
        <f>WEEKNUM(makulatura[[#This Row],[Data_dostarczenia]],13)</f>
        <v>29</v>
      </c>
      <c r="F1125" s="2">
        <f>WEEKDAY(makulatura[[#This Row],[Data_dostarczenia]],2)</f>
        <v>3</v>
      </c>
    </row>
    <row r="1126" spans="1:6" x14ac:dyDescent="0.25">
      <c r="A1126" s="1">
        <v>42928</v>
      </c>
      <c r="B1126" s="2" t="s">
        <v>41</v>
      </c>
      <c r="C1126" s="2" t="s">
        <v>42</v>
      </c>
      <c r="D1126">
        <v>10</v>
      </c>
      <c r="E1126">
        <f>WEEKNUM(makulatura[[#This Row],[Data_dostarczenia]],13)</f>
        <v>29</v>
      </c>
      <c r="F1126" s="2">
        <f>WEEKDAY(makulatura[[#This Row],[Data_dostarczenia]],2)</f>
        <v>3</v>
      </c>
    </row>
    <row r="1127" spans="1:6" x14ac:dyDescent="0.25">
      <c r="A1127" s="1">
        <v>42929</v>
      </c>
      <c r="B1127" s="2" t="s">
        <v>155</v>
      </c>
      <c r="C1127" s="2" t="s">
        <v>156</v>
      </c>
      <c r="D1127">
        <v>15</v>
      </c>
      <c r="E1127">
        <f>WEEKNUM(makulatura[[#This Row],[Data_dostarczenia]],13)</f>
        <v>29</v>
      </c>
      <c r="F1127" s="2">
        <f>WEEKDAY(makulatura[[#This Row],[Data_dostarczenia]],2)</f>
        <v>4</v>
      </c>
    </row>
    <row r="1128" spans="1:6" x14ac:dyDescent="0.25">
      <c r="A1128" s="1">
        <v>42929</v>
      </c>
      <c r="B1128" s="2" t="s">
        <v>131</v>
      </c>
      <c r="C1128" s="2" t="s">
        <v>626</v>
      </c>
      <c r="D1128">
        <v>26</v>
      </c>
      <c r="E1128">
        <f>WEEKNUM(makulatura[[#This Row],[Data_dostarczenia]],13)</f>
        <v>29</v>
      </c>
      <c r="F1128" s="2">
        <f>WEEKDAY(makulatura[[#This Row],[Data_dostarczenia]],2)</f>
        <v>4</v>
      </c>
    </row>
    <row r="1129" spans="1:6" x14ac:dyDescent="0.25">
      <c r="A1129" s="1">
        <v>42929</v>
      </c>
      <c r="B1129" s="2" t="s">
        <v>541</v>
      </c>
      <c r="C1129" s="2" t="s">
        <v>542</v>
      </c>
      <c r="D1129">
        <v>21</v>
      </c>
      <c r="E1129">
        <f>WEEKNUM(makulatura[[#This Row],[Data_dostarczenia]],13)</f>
        <v>29</v>
      </c>
      <c r="F1129" s="2">
        <f>WEEKDAY(makulatura[[#This Row],[Data_dostarczenia]],2)</f>
        <v>4</v>
      </c>
    </row>
    <row r="1130" spans="1:6" x14ac:dyDescent="0.25">
      <c r="A1130" s="1">
        <v>42929</v>
      </c>
      <c r="B1130" s="2" t="s">
        <v>290</v>
      </c>
      <c r="C1130" s="2" t="s">
        <v>291</v>
      </c>
      <c r="D1130">
        <v>4</v>
      </c>
      <c r="E1130">
        <f>WEEKNUM(makulatura[[#This Row],[Data_dostarczenia]],13)</f>
        <v>29</v>
      </c>
      <c r="F1130" s="2">
        <f>WEEKDAY(makulatura[[#This Row],[Data_dostarczenia]],2)</f>
        <v>4</v>
      </c>
    </row>
    <row r="1131" spans="1:6" x14ac:dyDescent="0.25">
      <c r="A1131" s="1">
        <v>42929</v>
      </c>
      <c r="B1131" s="2" t="s">
        <v>63</v>
      </c>
      <c r="C1131" s="2" t="s">
        <v>411</v>
      </c>
      <c r="D1131">
        <v>43</v>
      </c>
      <c r="E1131">
        <f>WEEKNUM(makulatura[[#This Row],[Data_dostarczenia]],13)</f>
        <v>29</v>
      </c>
      <c r="F1131" s="2">
        <f>WEEKDAY(makulatura[[#This Row],[Data_dostarczenia]],2)</f>
        <v>4</v>
      </c>
    </row>
    <row r="1132" spans="1:6" x14ac:dyDescent="0.25">
      <c r="A1132" s="1">
        <v>42929</v>
      </c>
      <c r="B1132" s="2" t="s">
        <v>141</v>
      </c>
      <c r="C1132" s="2" t="s">
        <v>202</v>
      </c>
      <c r="D1132">
        <v>7</v>
      </c>
      <c r="E1132">
        <f>WEEKNUM(makulatura[[#This Row],[Data_dostarczenia]],13)</f>
        <v>29</v>
      </c>
      <c r="F1132" s="2">
        <f>WEEKDAY(makulatura[[#This Row],[Data_dostarczenia]],2)</f>
        <v>4</v>
      </c>
    </row>
    <row r="1133" spans="1:6" x14ac:dyDescent="0.25">
      <c r="A1133" s="1">
        <v>42929</v>
      </c>
      <c r="B1133" s="2" t="s">
        <v>101</v>
      </c>
      <c r="C1133" s="2" t="s">
        <v>263</v>
      </c>
      <c r="D1133">
        <v>44</v>
      </c>
      <c r="E1133">
        <f>WEEKNUM(makulatura[[#This Row],[Data_dostarczenia]],13)</f>
        <v>29</v>
      </c>
      <c r="F1133" s="2">
        <f>WEEKDAY(makulatura[[#This Row],[Data_dostarczenia]],2)</f>
        <v>4</v>
      </c>
    </row>
    <row r="1134" spans="1:6" x14ac:dyDescent="0.25">
      <c r="A1134" s="1">
        <v>42930</v>
      </c>
      <c r="B1134" s="2" t="s">
        <v>97</v>
      </c>
      <c r="C1134" s="2" t="s">
        <v>529</v>
      </c>
      <c r="D1134">
        <v>19</v>
      </c>
      <c r="E1134">
        <f>WEEKNUM(makulatura[[#This Row],[Data_dostarczenia]],13)</f>
        <v>29</v>
      </c>
      <c r="F1134" s="2">
        <f>WEEKDAY(makulatura[[#This Row],[Data_dostarczenia]],2)</f>
        <v>5</v>
      </c>
    </row>
    <row r="1135" spans="1:6" x14ac:dyDescent="0.25">
      <c r="A1135" s="1">
        <v>42930</v>
      </c>
      <c r="B1135" s="2" t="s">
        <v>232</v>
      </c>
      <c r="C1135" s="2" t="s">
        <v>627</v>
      </c>
      <c r="D1135">
        <v>29</v>
      </c>
      <c r="E1135">
        <f>WEEKNUM(makulatura[[#This Row],[Data_dostarczenia]],13)</f>
        <v>29</v>
      </c>
      <c r="F1135" s="2">
        <f>WEEKDAY(makulatura[[#This Row],[Data_dostarczenia]],2)</f>
        <v>5</v>
      </c>
    </row>
    <row r="1136" spans="1:6" x14ac:dyDescent="0.25">
      <c r="A1136" s="1">
        <v>42930</v>
      </c>
      <c r="B1136" s="2" t="s">
        <v>161</v>
      </c>
      <c r="C1136" s="2" t="s">
        <v>305</v>
      </c>
      <c r="D1136">
        <v>33</v>
      </c>
      <c r="E1136">
        <f>WEEKNUM(makulatura[[#This Row],[Data_dostarczenia]],13)</f>
        <v>29</v>
      </c>
      <c r="F1136" s="2">
        <f>WEEKDAY(makulatura[[#This Row],[Data_dostarczenia]],2)</f>
        <v>5</v>
      </c>
    </row>
    <row r="1137" spans="1:6" x14ac:dyDescent="0.25">
      <c r="A1137" s="1">
        <v>42930</v>
      </c>
      <c r="B1137" s="2" t="s">
        <v>65</v>
      </c>
      <c r="C1137" s="2" t="s">
        <v>116</v>
      </c>
      <c r="D1137">
        <v>2</v>
      </c>
      <c r="E1137">
        <f>WEEKNUM(makulatura[[#This Row],[Data_dostarczenia]],13)</f>
        <v>29</v>
      </c>
      <c r="F1137" s="2">
        <f>WEEKDAY(makulatura[[#This Row],[Data_dostarczenia]],2)</f>
        <v>5</v>
      </c>
    </row>
    <row r="1138" spans="1:6" x14ac:dyDescent="0.25">
      <c r="A1138" s="1">
        <v>42930</v>
      </c>
      <c r="B1138" s="2" t="s">
        <v>141</v>
      </c>
      <c r="C1138" s="2" t="s">
        <v>292</v>
      </c>
      <c r="D1138">
        <v>15</v>
      </c>
      <c r="E1138">
        <f>WEEKNUM(makulatura[[#This Row],[Data_dostarczenia]],13)</f>
        <v>29</v>
      </c>
      <c r="F1138" s="2">
        <f>WEEKDAY(makulatura[[#This Row],[Data_dostarczenia]],2)</f>
        <v>5</v>
      </c>
    </row>
    <row r="1139" spans="1:6" x14ac:dyDescent="0.25">
      <c r="A1139" s="1">
        <v>42930</v>
      </c>
      <c r="B1139" s="2" t="s">
        <v>27</v>
      </c>
      <c r="C1139" s="2" t="s">
        <v>28</v>
      </c>
      <c r="D1139">
        <v>30</v>
      </c>
      <c r="E1139">
        <f>WEEKNUM(makulatura[[#This Row],[Data_dostarczenia]],13)</f>
        <v>29</v>
      </c>
      <c r="F1139" s="2">
        <f>WEEKDAY(makulatura[[#This Row],[Data_dostarczenia]],2)</f>
        <v>5</v>
      </c>
    </row>
    <row r="1140" spans="1:6" x14ac:dyDescent="0.25">
      <c r="A1140" s="1">
        <v>42930</v>
      </c>
      <c r="B1140" s="2" t="s">
        <v>39</v>
      </c>
      <c r="C1140" s="2" t="s">
        <v>400</v>
      </c>
      <c r="D1140">
        <v>5</v>
      </c>
      <c r="E1140">
        <f>WEEKNUM(makulatura[[#This Row],[Data_dostarczenia]],13)</f>
        <v>29</v>
      </c>
      <c r="F1140" s="2">
        <f>WEEKDAY(makulatura[[#This Row],[Data_dostarczenia]],2)</f>
        <v>5</v>
      </c>
    </row>
    <row r="1141" spans="1:6" x14ac:dyDescent="0.25">
      <c r="A1141" s="1">
        <v>42933</v>
      </c>
      <c r="B1141" s="2" t="s">
        <v>97</v>
      </c>
      <c r="C1141" s="2" t="s">
        <v>464</v>
      </c>
      <c r="D1141">
        <v>14</v>
      </c>
      <c r="E1141">
        <f>WEEKNUM(makulatura[[#This Row],[Data_dostarczenia]],13)</f>
        <v>29</v>
      </c>
      <c r="F1141" s="2">
        <f>WEEKDAY(makulatura[[#This Row],[Data_dostarczenia]],2)</f>
        <v>1</v>
      </c>
    </row>
    <row r="1142" spans="1:6" x14ac:dyDescent="0.25">
      <c r="A1142" s="1">
        <v>42933</v>
      </c>
      <c r="B1142" s="2" t="s">
        <v>30</v>
      </c>
      <c r="C1142" s="2" t="s">
        <v>628</v>
      </c>
      <c r="D1142">
        <v>8</v>
      </c>
      <c r="E1142">
        <f>WEEKNUM(makulatura[[#This Row],[Data_dostarczenia]],13)</f>
        <v>29</v>
      </c>
      <c r="F1142" s="2">
        <f>WEEKDAY(makulatura[[#This Row],[Data_dostarczenia]],2)</f>
        <v>1</v>
      </c>
    </row>
    <row r="1143" spans="1:6" x14ac:dyDescent="0.25">
      <c r="A1143" s="1">
        <v>42933</v>
      </c>
      <c r="B1143" s="2" t="s">
        <v>81</v>
      </c>
      <c r="C1143" s="2" t="s">
        <v>104</v>
      </c>
      <c r="D1143">
        <v>44</v>
      </c>
      <c r="E1143">
        <f>WEEKNUM(makulatura[[#This Row],[Data_dostarczenia]],13)</f>
        <v>29</v>
      </c>
      <c r="F1143" s="2">
        <f>WEEKDAY(makulatura[[#This Row],[Data_dostarczenia]],2)</f>
        <v>1</v>
      </c>
    </row>
    <row r="1144" spans="1:6" x14ac:dyDescent="0.25">
      <c r="A1144" s="1">
        <v>42933</v>
      </c>
      <c r="B1144" s="2" t="s">
        <v>476</v>
      </c>
      <c r="C1144" s="2" t="s">
        <v>477</v>
      </c>
      <c r="D1144">
        <v>50</v>
      </c>
      <c r="E1144">
        <f>WEEKNUM(makulatura[[#This Row],[Data_dostarczenia]],13)</f>
        <v>29</v>
      </c>
      <c r="F1144" s="2">
        <f>WEEKDAY(makulatura[[#This Row],[Data_dostarczenia]],2)</f>
        <v>1</v>
      </c>
    </row>
    <row r="1145" spans="1:6" x14ac:dyDescent="0.25">
      <c r="A1145" s="1">
        <v>42933</v>
      </c>
      <c r="B1145" s="2" t="s">
        <v>83</v>
      </c>
      <c r="C1145" s="2" t="s">
        <v>91</v>
      </c>
      <c r="D1145">
        <v>15</v>
      </c>
      <c r="E1145">
        <f>WEEKNUM(makulatura[[#This Row],[Data_dostarczenia]],13)</f>
        <v>29</v>
      </c>
      <c r="F1145" s="2">
        <f>WEEKDAY(makulatura[[#This Row],[Data_dostarczenia]],2)</f>
        <v>1</v>
      </c>
    </row>
    <row r="1146" spans="1:6" x14ac:dyDescent="0.25">
      <c r="A1146" s="1">
        <v>42933</v>
      </c>
      <c r="B1146" s="2" t="s">
        <v>393</v>
      </c>
      <c r="C1146" s="2" t="s">
        <v>582</v>
      </c>
      <c r="D1146">
        <v>46</v>
      </c>
      <c r="E1146">
        <f>WEEKNUM(makulatura[[#This Row],[Data_dostarczenia]],13)</f>
        <v>29</v>
      </c>
      <c r="F1146" s="2">
        <f>WEEKDAY(makulatura[[#This Row],[Data_dostarczenia]],2)</f>
        <v>1</v>
      </c>
    </row>
    <row r="1147" spans="1:6" x14ac:dyDescent="0.25">
      <c r="A1147" s="1">
        <v>42933</v>
      </c>
      <c r="B1147" s="2" t="s">
        <v>34</v>
      </c>
      <c r="C1147" s="2" t="s">
        <v>338</v>
      </c>
      <c r="D1147">
        <v>5</v>
      </c>
      <c r="E1147">
        <f>WEEKNUM(makulatura[[#This Row],[Data_dostarczenia]],13)</f>
        <v>29</v>
      </c>
      <c r="F1147" s="2">
        <f>WEEKDAY(makulatura[[#This Row],[Data_dostarczenia]],2)</f>
        <v>1</v>
      </c>
    </row>
    <row r="1148" spans="1:6" x14ac:dyDescent="0.25">
      <c r="A1148" s="1">
        <v>42934</v>
      </c>
      <c r="B1148" s="2" t="s">
        <v>407</v>
      </c>
      <c r="C1148" s="2" t="s">
        <v>408</v>
      </c>
      <c r="D1148">
        <v>27</v>
      </c>
      <c r="E1148">
        <f>WEEKNUM(makulatura[[#This Row],[Data_dostarczenia]],13)</f>
        <v>29</v>
      </c>
      <c r="F1148" s="2">
        <f>WEEKDAY(makulatura[[#This Row],[Data_dostarczenia]],2)</f>
        <v>2</v>
      </c>
    </row>
    <row r="1149" spans="1:6" x14ac:dyDescent="0.25">
      <c r="A1149" s="1">
        <v>42934</v>
      </c>
      <c r="B1149" s="2" t="s">
        <v>10</v>
      </c>
      <c r="C1149" s="2" t="s">
        <v>266</v>
      </c>
      <c r="D1149">
        <v>25</v>
      </c>
      <c r="E1149">
        <f>WEEKNUM(makulatura[[#This Row],[Data_dostarczenia]],13)</f>
        <v>29</v>
      </c>
      <c r="F1149" s="2">
        <f>WEEKDAY(makulatura[[#This Row],[Data_dostarczenia]],2)</f>
        <v>2</v>
      </c>
    </row>
    <row r="1150" spans="1:6" x14ac:dyDescent="0.25">
      <c r="A1150" s="1">
        <v>42934</v>
      </c>
      <c r="B1150" s="2" t="s">
        <v>101</v>
      </c>
      <c r="C1150" s="2" t="s">
        <v>610</v>
      </c>
      <c r="D1150">
        <v>22</v>
      </c>
      <c r="E1150">
        <f>WEEKNUM(makulatura[[#This Row],[Data_dostarczenia]],13)</f>
        <v>29</v>
      </c>
      <c r="F1150" s="2">
        <f>WEEKDAY(makulatura[[#This Row],[Data_dostarczenia]],2)</f>
        <v>2</v>
      </c>
    </row>
    <row r="1151" spans="1:6" x14ac:dyDescent="0.25">
      <c r="A1151" s="1">
        <v>42934</v>
      </c>
      <c r="B1151" s="2" t="s">
        <v>343</v>
      </c>
      <c r="C1151" s="2" t="s">
        <v>344</v>
      </c>
      <c r="D1151">
        <v>3</v>
      </c>
      <c r="E1151">
        <f>WEEKNUM(makulatura[[#This Row],[Data_dostarczenia]],13)</f>
        <v>29</v>
      </c>
      <c r="F1151" s="2">
        <f>WEEKDAY(makulatura[[#This Row],[Data_dostarczenia]],2)</f>
        <v>2</v>
      </c>
    </row>
    <row r="1152" spans="1:6" x14ac:dyDescent="0.25">
      <c r="A1152" s="1">
        <v>42934</v>
      </c>
      <c r="B1152" s="2" t="s">
        <v>346</v>
      </c>
      <c r="C1152" s="2" t="s">
        <v>347</v>
      </c>
      <c r="D1152">
        <v>28</v>
      </c>
      <c r="E1152">
        <f>WEEKNUM(makulatura[[#This Row],[Data_dostarczenia]],13)</f>
        <v>29</v>
      </c>
      <c r="F1152" s="2">
        <f>WEEKDAY(makulatura[[#This Row],[Data_dostarczenia]],2)</f>
        <v>2</v>
      </c>
    </row>
    <row r="1153" spans="1:6" x14ac:dyDescent="0.25">
      <c r="A1153" s="1">
        <v>42934</v>
      </c>
      <c r="B1153" s="2" t="s">
        <v>30</v>
      </c>
      <c r="C1153" s="2" t="s">
        <v>241</v>
      </c>
      <c r="D1153">
        <v>8</v>
      </c>
      <c r="E1153">
        <f>WEEKNUM(makulatura[[#This Row],[Data_dostarczenia]],13)</f>
        <v>29</v>
      </c>
      <c r="F1153" s="2">
        <f>WEEKDAY(makulatura[[#This Row],[Data_dostarczenia]],2)</f>
        <v>2</v>
      </c>
    </row>
    <row r="1154" spans="1:6" x14ac:dyDescent="0.25">
      <c r="A1154" s="1">
        <v>42934</v>
      </c>
      <c r="B1154" s="2" t="s">
        <v>395</v>
      </c>
      <c r="C1154" s="2" t="s">
        <v>467</v>
      </c>
      <c r="D1154">
        <v>8</v>
      </c>
      <c r="E1154">
        <f>WEEKNUM(makulatura[[#This Row],[Data_dostarczenia]],13)</f>
        <v>29</v>
      </c>
      <c r="F1154" s="2">
        <f>WEEKDAY(makulatura[[#This Row],[Data_dostarczenia]],2)</f>
        <v>2</v>
      </c>
    </row>
    <row r="1155" spans="1:6" x14ac:dyDescent="0.25">
      <c r="A1155" s="1">
        <v>42935</v>
      </c>
      <c r="B1155" s="2" t="s">
        <v>106</v>
      </c>
      <c r="C1155" s="2" t="s">
        <v>107</v>
      </c>
      <c r="D1155">
        <v>18</v>
      </c>
      <c r="E1155">
        <f>WEEKNUM(makulatura[[#This Row],[Data_dostarczenia]],13)</f>
        <v>30</v>
      </c>
      <c r="F1155" s="2">
        <f>WEEKDAY(makulatura[[#This Row],[Data_dostarczenia]],2)</f>
        <v>3</v>
      </c>
    </row>
    <row r="1156" spans="1:6" x14ac:dyDescent="0.25">
      <c r="A1156" s="1">
        <v>42935</v>
      </c>
      <c r="B1156" s="2" t="s">
        <v>201</v>
      </c>
      <c r="C1156" s="2" t="s">
        <v>598</v>
      </c>
      <c r="D1156">
        <v>27</v>
      </c>
      <c r="E1156">
        <f>WEEKNUM(makulatura[[#This Row],[Data_dostarczenia]],13)</f>
        <v>30</v>
      </c>
      <c r="F1156" s="2">
        <f>WEEKDAY(makulatura[[#This Row],[Data_dostarczenia]],2)</f>
        <v>3</v>
      </c>
    </row>
    <row r="1157" spans="1:6" x14ac:dyDescent="0.25">
      <c r="A1157" s="1">
        <v>42935</v>
      </c>
      <c r="B1157" s="2" t="s">
        <v>278</v>
      </c>
      <c r="C1157" s="2" t="s">
        <v>530</v>
      </c>
      <c r="D1157">
        <v>23</v>
      </c>
      <c r="E1157">
        <f>WEEKNUM(makulatura[[#This Row],[Data_dostarczenia]],13)</f>
        <v>30</v>
      </c>
      <c r="F1157" s="2">
        <f>WEEKDAY(makulatura[[#This Row],[Data_dostarczenia]],2)</f>
        <v>3</v>
      </c>
    </row>
    <row r="1158" spans="1:6" x14ac:dyDescent="0.25">
      <c r="A1158" s="1">
        <v>42935</v>
      </c>
      <c r="B1158" s="2" t="s">
        <v>12</v>
      </c>
      <c r="C1158" s="2" t="s">
        <v>13</v>
      </c>
      <c r="D1158">
        <v>46</v>
      </c>
      <c r="E1158">
        <f>WEEKNUM(makulatura[[#This Row],[Data_dostarczenia]],13)</f>
        <v>30</v>
      </c>
      <c r="F1158" s="2">
        <f>WEEKDAY(makulatura[[#This Row],[Data_dostarczenia]],2)</f>
        <v>3</v>
      </c>
    </row>
    <row r="1159" spans="1:6" x14ac:dyDescent="0.25">
      <c r="A1159" s="1">
        <v>42935</v>
      </c>
      <c r="B1159" s="2" t="s">
        <v>150</v>
      </c>
      <c r="C1159" s="2" t="s">
        <v>200</v>
      </c>
      <c r="D1159">
        <v>16</v>
      </c>
      <c r="E1159">
        <f>WEEKNUM(makulatura[[#This Row],[Data_dostarczenia]],13)</f>
        <v>30</v>
      </c>
      <c r="F1159" s="2">
        <f>WEEKDAY(makulatura[[#This Row],[Data_dostarczenia]],2)</f>
        <v>3</v>
      </c>
    </row>
    <row r="1160" spans="1:6" x14ac:dyDescent="0.25">
      <c r="A1160" s="1">
        <v>42935</v>
      </c>
      <c r="B1160" s="2" t="s">
        <v>39</v>
      </c>
      <c r="C1160" s="2" t="s">
        <v>289</v>
      </c>
      <c r="D1160">
        <v>27</v>
      </c>
      <c r="E1160">
        <f>WEEKNUM(makulatura[[#This Row],[Data_dostarczenia]],13)</f>
        <v>30</v>
      </c>
      <c r="F1160" s="2">
        <f>WEEKDAY(makulatura[[#This Row],[Data_dostarczenia]],2)</f>
        <v>3</v>
      </c>
    </row>
    <row r="1161" spans="1:6" x14ac:dyDescent="0.25">
      <c r="A1161" s="1">
        <v>42935</v>
      </c>
      <c r="B1161" s="2" t="s">
        <v>83</v>
      </c>
      <c r="C1161" s="2" t="s">
        <v>547</v>
      </c>
      <c r="D1161">
        <v>12</v>
      </c>
      <c r="E1161">
        <f>WEEKNUM(makulatura[[#This Row],[Data_dostarczenia]],13)</f>
        <v>30</v>
      </c>
      <c r="F1161" s="2">
        <f>WEEKDAY(makulatura[[#This Row],[Data_dostarczenia]],2)</f>
        <v>3</v>
      </c>
    </row>
    <row r="1162" spans="1:6" x14ac:dyDescent="0.25">
      <c r="A1162" s="1">
        <v>42936</v>
      </c>
      <c r="B1162" s="2" t="s">
        <v>150</v>
      </c>
      <c r="C1162" s="2" t="s">
        <v>556</v>
      </c>
      <c r="D1162">
        <v>21</v>
      </c>
      <c r="E1162">
        <f>WEEKNUM(makulatura[[#This Row],[Data_dostarczenia]],13)</f>
        <v>30</v>
      </c>
      <c r="F1162" s="2">
        <f>WEEKDAY(makulatura[[#This Row],[Data_dostarczenia]],2)</f>
        <v>4</v>
      </c>
    </row>
    <row r="1163" spans="1:6" x14ac:dyDescent="0.25">
      <c r="A1163" s="1">
        <v>42936</v>
      </c>
      <c r="B1163" s="2" t="s">
        <v>407</v>
      </c>
      <c r="C1163" s="2" t="s">
        <v>408</v>
      </c>
      <c r="D1163">
        <v>45</v>
      </c>
      <c r="E1163">
        <f>WEEKNUM(makulatura[[#This Row],[Data_dostarczenia]],13)</f>
        <v>30</v>
      </c>
      <c r="F1163" s="2">
        <f>WEEKDAY(makulatura[[#This Row],[Data_dostarczenia]],2)</f>
        <v>4</v>
      </c>
    </row>
    <row r="1164" spans="1:6" x14ac:dyDescent="0.25">
      <c r="A1164" s="1">
        <v>42936</v>
      </c>
      <c r="B1164" s="2" t="s">
        <v>150</v>
      </c>
      <c r="C1164" s="2" t="s">
        <v>200</v>
      </c>
      <c r="D1164">
        <v>22</v>
      </c>
      <c r="E1164">
        <f>WEEKNUM(makulatura[[#This Row],[Data_dostarczenia]],13)</f>
        <v>30</v>
      </c>
      <c r="F1164" s="2">
        <f>WEEKDAY(makulatura[[#This Row],[Data_dostarczenia]],2)</f>
        <v>4</v>
      </c>
    </row>
    <row r="1165" spans="1:6" x14ac:dyDescent="0.25">
      <c r="A1165" s="1">
        <v>42936</v>
      </c>
      <c r="B1165" s="2" t="s">
        <v>32</v>
      </c>
      <c r="C1165" s="2" t="s">
        <v>406</v>
      </c>
      <c r="D1165">
        <v>40</v>
      </c>
      <c r="E1165">
        <f>WEEKNUM(makulatura[[#This Row],[Data_dostarczenia]],13)</f>
        <v>30</v>
      </c>
      <c r="F1165" s="2">
        <f>WEEKDAY(makulatura[[#This Row],[Data_dostarczenia]],2)</f>
        <v>4</v>
      </c>
    </row>
    <row r="1166" spans="1:6" x14ac:dyDescent="0.25">
      <c r="A1166" s="1">
        <v>42936</v>
      </c>
      <c r="B1166" s="2" t="s">
        <v>278</v>
      </c>
      <c r="C1166" s="2" t="s">
        <v>530</v>
      </c>
      <c r="D1166">
        <v>10</v>
      </c>
      <c r="E1166">
        <f>WEEKNUM(makulatura[[#This Row],[Data_dostarczenia]],13)</f>
        <v>30</v>
      </c>
      <c r="F1166" s="2">
        <f>WEEKDAY(makulatura[[#This Row],[Data_dostarczenia]],2)</f>
        <v>4</v>
      </c>
    </row>
    <row r="1167" spans="1:6" x14ac:dyDescent="0.25">
      <c r="A1167" s="1">
        <v>42936</v>
      </c>
      <c r="B1167" s="2" t="s">
        <v>65</v>
      </c>
      <c r="C1167" s="2" t="s">
        <v>116</v>
      </c>
      <c r="D1167">
        <v>33</v>
      </c>
      <c r="E1167">
        <f>WEEKNUM(makulatura[[#This Row],[Data_dostarczenia]],13)</f>
        <v>30</v>
      </c>
      <c r="F1167" s="2">
        <f>WEEKDAY(makulatura[[#This Row],[Data_dostarczenia]],2)</f>
        <v>4</v>
      </c>
    </row>
    <row r="1168" spans="1:6" x14ac:dyDescent="0.25">
      <c r="A1168" s="1">
        <v>42936</v>
      </c>
      <c r="B1168" s="2" t="s">
        <v>57</v>
      </c>
      <c r="C1168" s="2" t="s">
        <v>58</v>
      </c>
      <c r="D1168">
        <v>15</v>
      </c>
      <c r="E1168">
        <f>WEEKNUM(makulatura[[#This Row],[Data_dostarczenia]],13)</f>
        <v>30</v>
      </c>
      <c r="F1168" s="2">
        <f>WEEKDAY(makulatura[[#This Row],[Data_dostarczenia]],2)</f>
        <v>4</v>
      </c>
    </row>
    <row r="1169" spans="1:6" x14ac:dyDescent="0.25">
      <c r="A1169" s="1">
        <v>42937</v>
      </c>
      <c r="B1169" s="2" t="s">
        <v>282</v>
      </c>
      <c r="C1169" s="2" t="s">
        <v>283</v>
      </c>
      <c r="D1169">
        <v>12</v>
      </c>
      <c r="E1169">
        <f>WEEKNUM(makulatura[[#This Row],[Data_dostarczenia]],13)</f>
        <v>30</v>
      </c>
      <c r="F1169" s="2">
        <f>WEEKDAY(makulatura[[#This Row],[Data_dostarczenia]],2)</f>
        <v>5</v>
      </c>
    </row>
    <row r="1170" spans="1:6" x14ac:dyDescent="0.25">
      <c r="A1170" s="1">
        <v>42937</v>
      </c>
      <c r="B1170" s="2" t="s">
        <v>69</v>
      </c>
      <c r="C1170" s="2" t="s">
        <v>70</v>
      </c>
      <c r="D1170">
        <v>32</v>
      </c>
      <c r="E1170">
        <f>WEEKNUM(makulatura[[#This Row],[Data_dostarczenia]],13)</f>
        <v>30</v>
      </c>
      <c r="F1170" s="2">
        <f>WEEKDAY(makulatura[[#This Row],[Data_dostarczenia]],2)</f>
        <v>5</v>
      </c>
    </row>
    <row r="1171" spans="1:6" x14ac:dyDescent="0.25">
      <c r="A1171" s="1">
        <v>42937</v>
      </c>
      <c r="B1171" s="2" t="s">
        <v>232</v>
      </c>
      <c r="C1171" s="2" t="s">
        <v>405</v>
      </c>
      <c r="D1171">
        <v>10</v>
      </c>
      <c r="E1171">
        <f>WEEKNUM(makulatura[[#This Row],[Data_dostarczenia]],13)</f>
        <v>30</v>
      </c>
      <c r="F1171" s="2">
        <f>WEEKDAY(makulatura[[#This Row],[Data_dostarczenia]],2)</f>
        <v>5</v>
      </c>
    </row>
    <row r="1172" spans="1:6" x14ac:dyDescent="0.25">
      <c r="A1172" s="1">
        <v>42937</v>
      </c>
      <c r="B1172" s="2" t="s">
        <v>69</v>
      </c>
      <c r="C1172" s="2" t="s">
        <v>70</v>
      </c>
      <c r="D1172">
        <v>5</v>
      </c>
      <c r="E1172">
        <f>WEEKNUM(makulatura[[#This Row],[Data_dostarczenia]],13)</f>
        <v>30</v>
      </c>
      <c r="F1172" s="2">
        <f>WEEKDAY(makulatura[[#This Row],[Data_dostarczenia]],2)</f>
        <v>5</v>
      </c>
    </row>
    <row r="1173" spans="1:6" x14ac:dyDescent="0.25">
      <c r="A1173" s="1">
        <v>42937</v>
      </c>
      <c r="B1173" s="2" t="s">
        <v>442</v>
      </c>
      <c r="C1173" s="2" t="s">
        <v>540</v>
      </c>
      <c r="D1173">
        <v>28</v>
      </c>
      <c r="E1173">
        <f>WEEKNUM(makulatura[[#This Row],[Data_dostarczenia]],13)</f>
        <v>30</v>
      </c>
      <c r="F1173" s="2">
        <f>WEEKDAY(makulatura[[#This Row],[Data_dostarczenia]],2)</f>
        <v>5</v>
      </c>
    </row>
    <row r="1174" spans="1:6" x14ac:dyDescent="0.25">
      <c r="A1174" s="1">
        <v>42937</v>
      </c>
      <c r="B1174" s="2" t="s">
        <v>144</v>
      </c>
      <c r="C1174" s="2" t="s">
        <v>390</v>
      </c>
      <c r="D1174">
        <v>11</v>
      </c>
      <c r="E1174">
        <f>WEEKNUM(makulatura[[#This Row],[Data_dostarczenia]],13)</f>
        <v>30</v>
      </c>
      <c r="F1174" s="2">
        <f>WEEKDAY(makulatura[[#This Row],[Data_dostarczenia]],2)</f>
        <v>5</v>
      </c>
    </row>
    <row r="1175" spans="1:6" x14ac:dyDescent="0.25">
      <c r="A1175" s="1">
        <v>42937</v>
      </c>
      <c r="B1175" s="2" t="s">
        <v>589</v>
      </c>
      <c r="C1175" s="2" t="s">
        <v>590</v>
      </c>
      <c r="D1175">
        <v>11</v>
      </c>
      <c r="E1175">
        <f>WEEKNUM(makulatura[[#This Row],[Data_dostarczenia]],13)</f>
        <v>30</v>
      </c>
      <c r="F1175" s="2">
        <f>WEEKDAY(makulatura[[#This Row],[Data_dostarczenia]],2)</f>
        <v>5</v>
      </c>
    </row>
    <row r="1176" spans="1:6" x14ac:dyDescent="0.25">
      <c r="A1176" s="1">
        <v>42940</v>
      </c>
      <c r="B1176" s="2" t="s">
        <v>39</v>
      </c>
      <c r="C1176" s="2" t="s">
        <v>391</v>
      </c>
      <c r="D1176">
        <v>28</v>
      </c>
      <c r="E1176">
        <f>WEEKNUM(makulatura[[#This Row],[Data_dostarczenia]],13)</f>
        <v>30</v>
      </c>
      <c r="F1176" s="2">
        <f>WEEKDAY(makulatura[[#This Row],[Data_dostarczenia]],2)</f>
        <v>1</v>
      </c>
    </row>
    <row r="1177" spans="1:6" x14ac:dyDescent="0.25">
      <c r="A1177" s="1">
        <v>42940</v>
      </c>
      <c r="B1177" s="2" t="s">
        <v>346</v>
      </c>
      <c r="C1177" s="2" t="s">
        <v>347</v>
      </c>
      <c r="D1177">
        <v>13</v>
      </c>
      <c r="E1177">
        <f>WEEKNUM(makulatura[[#This Row],[Data_dostarczenia]],13)</f>
        <v>30</v>
      </c>
      <c r="F1177" s="2">
        <f>WEEKDAY(makulatura[[#This Row],[Data_dostarczenia]],2)</f>
        <v>1</v>
      </c>
    </row>
    <row r="1178" spans="1:6" x14ac:dyDescent="0.25">
      <c r="A1178" s="1">
        <v>42940</v>
      </c>
      <c r="B1178" s="2" t="s">
        <v>10</v>
      </c>
      <c r="C1178" s="2" t="s">
        <v>629</v>
      </c>
      <c r="D1178">
        <v>22</v>
      </c>
      <c r="E1178">
        <f>WEEKNUM(makulatura[[#This Row],[Data_dostarczenia]],13)</f>
        <v>30</v>
      </c>
      <c r="F1178" s="2">
        <f>WEEKDAY(makulatura[[#This Row],[Data_dostarczenia]],2)</f>
        <v>1</v>
      </c>
    </row>
    <row r="1179" spans="1:6" x14ac:dyDescent="0.25">
      <c r="A1179" s="1">
        <v>42940</v>
      </c>
      <c r="B1179" s="2" t="s">
        <v>47</v>
      </c>
      <c r="C1179" s="2" t="s">
        <v>630</v>
      </c>
      <c r="D1179">
        <v>19</v>
      </c>
      <c r="E1179">
        <f>WEEKNUM(makulatura[[#This Row],[Data_dostarczenia]],13)</f>
        <v>30</v>
      </c>
      <c r="F1179" s="2">
        <f>WEEKDAY(makulatura[[#This Row],[Data_dostarczenia]],2)</f>
        <v>1</v>
      </c>
    </row>
    <row r="1180" spans="1:6" x14ac:dyDescent="0.25">
      <c r="A1180" s="1">
        <v>42940</v>
      </c>
      <c r="B1180" s="2" t="s">
        <v>157</v>
      </c>
      <c r="C1180" s="2" t="s">
        <v>115</v>
      </c>
      <c r="D1180">
        <v>46</v>
      </c>
      <c r="E1180">
        <f>WEEKNUM(makulatura[[#This Row],[Data_dostarczenia]],13)</f>
        <v>30</v>
      </c>
      <c r="F1180" s="2">
        <f>WEEKDAY(makulatura[[#This Row],[Data_dostarczenia]],2)</f>
        <v>1</v>
      </c>
    </row>
    <row r="1181" spans="1:6" x14ac:dyDescent="0.25">
      <c r="A1181" s="1">
        <v>42940</v>
      </c>
      <c r="B1181" s="2" t="s">
        <v>203</v>
      </c>
      <c r="C1181" s="2" t="s">
        <v>204</v>
      </c>
      <c r="D1181">
        <v>17</v>
      </c>
      <c r="E1181">
        <f>WEEKNUM(makulatura[[#This Row],[Data_dostarczenia]],13)</f>
        <v>30</v>
      </c>
      <c r="F1181" s="2">
        <f>WEEKDAY(makulatura[[#This Row],[Data_dostarczenia]],2)</f>
        <v>1</v>
      </c>
    </row>
    <row r="1182" spans="1:6" x14ac:dyDescent="0.25">
      <c r="A1182" s="1">
        <v>42940</v>
      </c>
      <c r="B1182" s="2" t="s">
        <v>101</v>
      </c>
      <c r="C1182" s="2" t="s">
        <v>212</v>
      </c>
      <c r="D1182">
        <v>27</v>
      </c>
      <c r="E1182">
        <f>WEEKNUM(makulatura[[#This Row],[Data_dostarczenia]],13)</f>
        <v>30</v>
      </c>
      <c r="F1182" s="2">
        <f>WEEKDAY(makulatura[[#This Row],[Data_dostarczenia]],2)</f>
        <v>1</v>
      </c>
    </row>
    <row r="1183" spans="1:6" x14ac:dyDescent="0.25">
      <c r="A1183" s="1">
        <v>42941</v>
      </c>
      <c r="B1183" s="2" t="s">
        <v>133</v>
      </c>
      <c r="C1183" s="2" t="s">
        <v>499</v>
      </c>
      <c r="D1183">
        <v>3</v>
      </c>
      <c r="E1183">
        <f>WEEKNUM(makulatura[[#This Row],[Data_dostarczenia]],13)</f>
        <v>30</v>
      </c>
      <c r="F1183" s="2">
        <f>WEEKDAY(makulatura[[#This Row],[Data_dostarczenia]],2)</f>
        <v>2</v>
      </c>
    </row>
    <row r="1184" spans="1:6" x14ac:dyDescent="0.25">
      <c r="A1184" s="1">
        <v>42941</v>
      </c>
      <c r="B1184" s="2" t="s">
        <v>393</v>
      </c>
      <c r="C1184" s="2" t="s">
        <v>394</v>
      </c>
      <c r="D1184">
        <v>11</v>
      </c>
      <c r="E1184">
        <f>WEEKNUM(makulatura[[#This Row],[Data_dostarczenia]],13)</f>
        <v>30</v>
      </c>
      <c r="F1184" s="2">
        <f>WEEKDAY(makulatura[[#This Row],[Data_dostarczenia]],2)</f>
        <v>2</v>
      </c>
    </row>
    <row r="1185" spans="1:6" x14ac:dyDescent="0.25">
      <c r="A1185" s="1">
        <v>42941</v>
      </c>
      <c r="B1185" s="2" t="s">
        <v>176</v>
      </c>
      <c r="C1185" s="2" t="s">
        <v>177</v>
      </c>
      <c r="D1185">
        <v>17</v>
      </c>
      <c r="E1185">
        <f>WEEKNUM(makulatura[[#This Row],[Data_dostarczenia]],13)</f>
        <v>30</v>
      </c>
      <c r="F1185" s="2">
        <f>WEEKDAY(makulatura[[#This Row],[Data_dostarczenia]],2)</f>
        <v>2</v>
      </c>
    </row>
    <row r="1186" spans="1:6" x14ac:dyDescent="0.25">
      <c r="A1186" s="1">
        <v>42941</v>
      </c>
      <c r="B1186" s="2" t="s">
        <v>217</v>
      </c>
      <c r="C1186" s="2" t="s">
        <v>218</v>
      </c>
      <c r="D1186">
        <v>16</v>
      </c>
      <c r="E1186">
        <f>WEEKNUM(makulatura[[#This Row],[Data_dostarczenia]],13)</f>
        <v>30</v>
      </c>
      <c r="F1186" s="2">
        <f>WEEKDAY(makulatura[[#This Row],[Data_dostarczenia]],2)</f>
        <v>2</v>
      </c>
    </row>
    <row r="1187" spans="1:6" x14ac:dyDescent="0.25">
      <c r="A1187" s="1">
        <v>42941</v>
      </c>
      <c r="B1187" s="2" t="s">
        <v>39</v>
      </c>
      <c r="C1187" s="2" t="s">
        <v>40</v>
      </c>
      <c r="D1187">
        <v>25</v>
      </c>
      <c r="E1187">
        <f>WEEKNUM(makulatura[[#This Row],[Data_dostarczenia]],13)</f>
        <v>30</v>
      </c>
      <c r="F1187" s="2">
        <f>WEEKDAY(makulatura[[#This Row],[Data_dostarczenia]],2)</f>
        <v>2</v>
      </c>
    </row>
    <row r="1188" spans="1:6" x14ac:dyDescent="0.25">
      <c r="A1188" s="1">
        <v>42941</v>
      </c>
      <c r="B1188" s="2" t="s">
        <v>271</v>
      </c>
      <c r="C1188" s="2" t="s">
        <v>272</v>
      </c>
      <c r="D1188">
        <v>43</v>
      </c>
      <c r="E1188">
        <f>WEEKNUM(makulatura[[#This Row],[Data_dostarczenia]],13)</f>
        <v>30</v>
      </c>
      <c r="F1188" s="2">
        <f>WEEKDAY(makulatura[[#This Row],[Data_dostarczenia]],2)</f>
        <v>2</v>
      </c>
    </row>
    <row r="1189" spans="1:6" x14ac:dyDescent="0.25">
      <c r="A1189" s="1">
        <v>42941</v>
      </c>
      <c r="B1189" s="2" t="s">
        <v>208</v>
      </c>
      <c r="C1189" s="2" t="s">
        <v>209</v>
      </c>
      <c r="D1189">
        <v>5</v>
      </c>
      <c r="E1189">
        <f>WEEKNUM(makulatura[[#This Row],[Data_dostarczenia]],13)</f>
        <v>30</v>
      </c>
      <c r="F1189" s="2">
        <f>WEEKDAY(makulatura[[#This Row],[Data_dostarczenia]],2)</f>
        <v>2</v>
      </c>
    </row>
    <row r="1190" spans="1:6" x14ac:dyDescent="0.25">
      <c r="A1190" s="1">
        <v>42942</v>
      </c>
      <c r="B1190" s="2" t="s">
        <v>343</v>
      </c>
      <c r="C1190" s="2" t="s">
        <v>344</v>
      </c>
      <c r="D1190">
        <v>21</v>
      </c>
      <c r="E1190">
        <f>WEEKNUM(makulatura[[#This Row],[Data_dostarczenia]],13)</f>
        <v>31</v>
      </c>
      <c r="F1190" s="2">
        <f>WEEKDAY(makulatura[[#This Row],[Data_dostarczenia]],2)</f>
        <v>3</v>
      </c>
    </row>
    <row r="1191" spans="1:6" x14ac:dyDescent="0.25">
      <c r="A1191" s="1">
        <v>42942</v>
      </c>
      <c r="B1191" s="2" t="s">
        <v>252</v>
      </c>
      <c r="C1191" s="2" t="s">
        <v>253</v>
      </c>
      <c r="D1191">
        <v>48</v>
      </c>
      <c r="E1191">
        <f>WEEKNUM(makulatura[[#This Row],[Data_dostarczenia]],13)</f>
        <v>31</v>
      </c>
      <c r="F1191" s="2">
        <f>WEEKDAY(makulatura[[#This Row],[Data_dostarczenia]],2)</f>
        <v>3</v>
      </c>
    </row>
    <row r="1192" spans="1:6" x14ac:dyDescent="0.25">
      <c r="A1192" s="1">
        <v>42942</v>
      </c>
      <c r="B1192" s="2" t="s">
        <v>97</v>
      </c>
      <c r="C1192" s="2" t="s">
        <v>529</v>
      </c>
      <c r="D1192">
        <v>29</v>
      </c>
      <c r="E1192">
        <f>WEEKNUM(makulatura[[#This Row],[Data_dostarczenia]],13)</f>
        <v>31</v>
      </c>
      <c r="F1192" s="2">
        <f>WEEKDAY(makulatura[[#This Row],[Data_dostarczenia]],2)</f>
        <v>3</v>
      </c>
    </row>
    <row r="1193" spans="1:6" x14ac:dyDescent="0.25">
      <c r="A1193" s="1">
        <v>42942</v>
      </c>
      <c r="B1193" s="2" t="s">
        <v>273</v>
      </c>
      <c r="C1193" s="2" t="s">
        <v>274</v>
      </c>
      <c r="D1193">
        <v>23</v>
      </c>
      <c r="E1193">
        <f>WEEKNUM(makulatura[[#This Row],[Data_dostarczenia]],13)</f>
        <v>31</v>
      </c>
      <c r="F1193" s="2">
        <f>WEEKDAY(makulatura[[#This Row],[Data_dostarczenia]],2)</f>
        <v>3</v>
      </c>
    </row>
    <row r="1194" spans="1:6" x14ac:dyDescent="0.25">
      <c r="A1194" s="1">
        <v>42942</v>
      </c>
      <c r="B1194" s="2" t="s">
        <v>133</v>
      </c>
      <c r="C1194" s="2" t="s">
        <v>616</v>
      </c>
      <c r="D1194">
        <v>52</v>
      </c>
      <c r="E1194">
        <f>WEEKNUM(makulatura[[#This Row],[Data_dostarczenia]],13)</f>
        <v>31</v>
      </c>
      <c r="F1194" s="2">
        <f>WEEKDAY(makulatura[[#This Row],[Data_dostarczenia]],2)</f>
        <v>3</v>
      </c>
    </row>
    <row r="1195" spans="1:6" x14ac:dyDescent="0.25">
      <c r="A1195" s="1">
        <v>42942</v>
      </c>
      <c r="B1195" s="2" t="s">
        <v>87</v>
      </c>
      <c r="C1195" s="2" t="s">
        <v>124</v>
      </c>
      <c r="D1195">
        <v>6</v>
      </c>
      <c r="E1195">
        <f>WEEKNUM(makulatura[[#This Row],[Data_dostarczenia]],13)</f>
        <v>31</v>
      </c>
      <c r="F1195" s="2">
        <f>WEEKDAY(makulatura[[#This Row],[Data_dostarczenia]],2)</f>
        <v>3</v>
      </c>
    </row>
    <row r="1196" spans="1:6" x14ac:dyDescent="0.25">
      <c r="A1196" s="1">
        <v>42942</v>
      </c>
      <c r="B1196" s="2" t="s">
        <v>393</v>
      </c>
      <c r="C1196" s="2" t="s">
        <v>419</v>
      </c>
      <c r="D1196">
        <v>29</v>
      </c>
      <c r="E1196">
        <f>WEEKNUM(makulatura[[#This Row],[Data_dostarczenia]],13)</f>
        <v>31</v>
      </c>
      <c r="F1196" s="2">
        <f>WEEKDAY(makulatura[[#This Row],[Data_dostarczenia]],2)</f>
        <v>3</v>
      </c>
    </row>
    <row r="1197" spans="1:6" x14ac:dyDescent="0.25">
      <c r="A1197" s="1">
        <v>42943</v>
      </c>
      <c r="B1197" s="2" t="s">
        <v>494</v>
      </c>
      <c r="C1197" s="2" t="s">
        <v>495</v>
      </c>
      <c r="D1197">
        <v>26</v>
      </c>
      <c r="E1197">
        <f>WEEKNUM(makulatura[[#This Row],[Data_dostarczenia]],13)</f>
        <v>31</v>
      </c>
      <c r="F1197" s="2">
        <f>WEEKDAY(makulatura[[#This Row],[Data_dostarczenia]],2)</f>
        <v>4</v>
      </c>
    </row>
    <row r="1198" spans="1:6" x14ac:dyDescent="0.25">
      <c r="A1198" s="1">
        <v>42943</v>
      </c>
      <c r="B1198" s="2" t="s">
        <v>232</v>
      </c>
      <c r="C1198" s="2" t="s">
        <v>573</v>
      </c>
      <c r="D1198">
        <v>13</v>
      </c>
      <c r="E1198">
        <f>WEEKNUM(makulatura[[#This Row],[Data_dostarczenia]],13)</f>
        <v>31</v>
      </c>
      <c r="F1198" s="2">
        <f>WEEKDAY(makulatura[[#This Row],[Data_dostarczenia]],2)</f>
        <v>4</v>
      </c>
    </row>
    <row r="1199" spans="1:6" x14ac:dyDescent="0.25">
      <c r="A1199" s="1">
        <v>42943</v>
      </c>
      <c r="B1199" s="2" t="s">
        <v>87</v>
      </c>
      <c r="C1199" s="2" t="s">
        <v>397</v>
      </c>
      <c r="D1199">
        <v>28</v>
      </c>
      <c r="E1199">
        <f>WEEKNUM(makulatura[[#This Row],[Data_dostarczenia]],13)</f>
        <v>31</v>
      </c>
      <c r="F1199" s="2">
        <f>WEEKDAY(makulatura[[#This Row],[Data_dostarczenia]],2)</f>
        <v>4</v>
      </c>
    </row>
    <row r="1200" spans="1:6" x14ac:dyDescent="0.25">
      <c r="A1200" s="1">
        <v>42943</v>
      </c>
      <c r="B1200" s="2" t="s">
        <v>416</v>
      </c>
      <c r="C1200" s="2" t="s">
        <v>572</v>
      </c>
      <c r="D1200">
        <v>3</v>
      </c>
      <c r="E1200">
        <f>WEEKNUM(makulatura[[#This Row],[Data_dostarczenia]],13)</f>
        <v>31</v>
      </c>
      <c r="F1200" s="2">
        <f>WEEKDAY(makulatura[[#This Row],[Data_dostarczenia]],2)</f>
        <v>4</v>
      </c>
    </row>
    <row r="1201" spans="1:6" x14ac:dyDescent="0.25">
      <c r="A1201" s="1">
        <v>42943</v>
      </c>
      <c r="B1201" s="2" t="s">
        <v>442</v>
      </c>
      <c r="C1201" s="2" t="s">
        <v>443</v>
      </c>
      <c r="D1201">
        <v>42</v>
      </c>
      <c r="E1201">
        <f>WEEKNUM(makulatura[[#This Row],[Data_dostarczenia]],13)</f>
        <v>31</v>
      </c>
      <c r="F1201" s="2">
        <f>WEEKDAY(makulatura[[#This Row],[Data_dostarczenia]],2)</f>
        <v>4</v>
      </c>
    </row>
    <row r="1202" spans="1:6" x14ac:dyDescent="0.25">
      <c r="A1202" s="1">
        <v>42943</v>
      </c>
      <c r="B1202" s="2" t="s">
        <v>121</v>
      </c>
      <c r="C1202" s="2" t="s">
        <v>122</v>
      </c>
      <c r="D1202">
        <v>15</v>
      </c>
      <c r="E1202">
        <f>WEEKNUM(makulatura[[#This Row],[Data_dostarczenia]],13)</f>
        <v>31</v>
      </c>
      <c r="F1202" s="2">
        <f>WEEKDAY(makulatura[[#This Row],[Data_dostarczenia]],2)</f>
        <v>4</v>
      </c>
    </row>
    <row r="1203" spans="1:6" x14ac:dyDescent="0.25">
      <c r="A1203" s="1">
        <v>42943</v>
      </c>
      <c r="B1203" s="2" t="s">
        <v>234</v>
      </c>
      <c r="C1203" s="2" t="s">
        <v>227</v>
      </c>
      <c r="D1203">
        <v>3</v>
      </c>
      <c r="E1203">
        <f>WEEKNUM(makulatura[[#This Row],[Data_dostarczenia]],13)</f>
        <v>31</v>
      </c>
      <c r="F1203" s="2">
        <f>WEEKDAY(makulatura[[#This Row],[Data_dostarczenia]],2)</f>
        <v>4</v>
      </c>
    </row>
    <row r="1204" spans="1:6" x14ac:dyDescent="0.25">
      <c r="A1204" s="1">
        <v>42944</v>
      </c>
      <c r="B1204" s="2" t="s">
        <v>10</v>
      </c>
      <c r="C1204" s="2" t="s">
        <v>11</v>
      </c>
      <c r="D1204">
        <v>17</v>
      </c>
      <c r="E1204">
        <f>WEEKNUM(makulatura[[#This Row],[Data_dostarczenia]],13)</f>
        <v>31</v>
      </c>
      <c r="F1204" s="2">
        <f>WEEKDAY(makulatura[[#This Row],[Data_dostarczenia]],2)</f>
        <v>5</v>
      </c>
    </row>
    <row r="1205" spans="1:6" x14ac:dyDescent="0.25">
      <c r="A1205" s="1">
        <v>42944</v>
      </c>
      <c r="B1205" s="2" t="s">
        <v>20</v>
      </c>
      <c r="C1205" s="2" t="s">
        <v>381</v>
      </c>
      <c r="D1205">
        <v>18</v>
      </c>
      <c r="E1205">
        <f>WEEKNUM(makulatura[[#This Row],[Data_dostarczenia]],13)</f>
        <v>31</v>
      </c>
      <c r="F1205" s="2">
        <f>WEEKDAY(makulatura[[#This Row],[Data_dostarczenia]],2)</f>
        <v>5</v>
      </c>
    </row>
    <row r="1206" spans="1:6" x14ac:dyDescent="0.25">
      <c r="A1206" s="1">
        <v>42944</v>
      </c>
      <c r="B1206" s="2" t="s">
        <v>32</v>
      </c>
      <c r="C1206" s="2" t="s">
        <v>33</v>
      </c>
      <c r="D1206">
        <v>23</v>
      </c>
      <c r="E1206">
        <f>WEEKNUM(makulatura[[#This Row],[Data_dostarczenia]],13)</f>
        <v>31</v>
      </c>
      <c r="F1206" s="2">
        <f>WEEKDAY(makulatura[[#This Row],[Data_dostarczenia]],2)</f>
        <v>5</v>
      </c>
    </row>
    <row r="1207" spans="1:6" x14ac:dyDescent="0.25">
      <c r="A1207" s="1">
        <v>42944</v>
      </c>
      <c r="B1207" s="2" t="s">
        <v>374</v>
      </c>
      <c r="C1207" s="2" t="s">
        <v>581</v>
      </c>
      <c r="D1207">
        <v>34</v>
      </c>
      <c r="E1207">
        <f>WEEKNUM(makulatura[[#This Row],[Data_dostarczenia]],13)</f>
        <v>31</v>
      </c>
      <c r="F1207" s="2">
        <f>WEEKDAY(makulatura[[#This Row],[Data_dostarczenia]],2)</f>
        <v>5</v>
      </c>
    </row>
    <row r="1208" spans="1:6" x14ac:dyDescent="0.25">
      <c r="A1208" s="1">
        <v>42944</v>
      </c>
      <c r="B1208" s="2" t="s">
        <v>133</v>
      </c>
      <c r="C1208" s="2" t="s">
        <v>616</v>
      </c>
      <c r="D1208">
        <v>16</v>
      </c>
      <c r="E1208">
        <f>WEEKNUM(makulatura[[#This Row],[Data_dostarczenia]],13)</f>
        <v>31</v>
      </c>
      <c r="F1208" s="2">
        <f>WEEKDAY(makulatura[[#This Row],[Data_dostarczenia]],2)</f>
        <v>5</v>
      </c>
    </row>
    <row r="1209" spans="1:6" x14ac:dyDescent="0.25">
      <c r="A1209" s="1">
        <v>42944</v>
      </c>
      <c r="B1209" s="2" t="s">
        <v>290</v>
      </c>
      <c r="C1209" s="2" t="s">
        <v>291</v>
      </c>
      <c r="D1209">
        <v>29</v>
      </c>
      <c r="E1209">
        <f>WEEKNUM(makulatura[[#This Row],[Data_dostarczenia]],13)</f>
        <v>31</v>
      </c>
      <c r="F1209" s="2">
        <f>WEEKDAY(makulatura[[#This Row],[Data_dostarczenia]],2)</f>
        <v>5</v>
      </c>
    </row>
    <row r="1210" spans="1:6" x14ac:dyDescent="0.25">
      <c r="A1210" s="1">
        <v>42944</v>
      </c>
      <c r="B1210" s="2" t="s">
        <v>67</v>
      </c>
      <c r="C1210" s="2" t="s">
        <v>301</v>
      </c>
      <c r="D1210">
        <v>14</v>
      </c>
      <c r="E1210">
        <f>WEEKNUM(makulatura[[#This Row],[Data_dostarczenia]],13)</f>
        <v>31</v>
      </c>
      <c r="F1210" s="2">
        <f>WEEKDAY(makulatura[[#This Row],[Data_dostarczenia]],2)</f>
        <v>5</v>
      </c>
    </row>
    <row r="1211" spans="1:6" x14ac:dyDescent="0.25">
      <c r="A1211" s="1">
        <v>42947</v>
      </c>
      <c r="B1211" s="2" t="s">
        <v>178</v>
      </c>
      <c r="C1211" s="2" t="s">
        <v>242</v>
      </c>
      <c r="D1211">
        <v>2</v>
      </c>
      <c r="E1211">
        <f>WEEKNUM(makulatura[[#This Row],[Data_dostarczenia]],13)</f>
        <v>31</v>
      </c>
      <c r="F1211" s="2">
        <f>WEEKDAY(makulatura[[#This Row],[Data_dostarczenia]],2)</f>
        <v>1</v>
      </c>
    </row>
    <row r="1212" spans="1:6" x14ac:dyDescent="0.25">
      <c r="A1212" s="1">
        <v>42947</v>
      </c>
      <c r="B1212" s="2" t="s">
        <v>34</v>
      </c>
      <c r="C1212" s="2" t="s">
        <v>564</v>
      </c>
      <c r="D1212">
        <v>55</v>
      </c>
      <c r="E1212">
        <f>WEEKNUM(makulatura[[#This Row],[Data_dostarczenia]],13)</f>
        <v>31</v>
      </c>
      <c r="F1212" s="2">
        <f>WEEKDAY(makulatura[[#This Row],[Data_dostarczenia]],2)</f>
        <v>1</v>
      </c>
    </row>
    <row r="1213" spans="1:6" x14ac:dyDescent="0.25">
      <c r="A1213" s="1">
        <v>42947</v>
      </c>
      <c r="B1213" s="2" t="s">
        <v>201</v>
      </c>
      <c r="C1213" s="2" t="s">
        <v>357</v>
      </c>
      <c r="D1213">
        <v>20</v>
      </c>
      <c r="E1213">
        <f>WEEKNUM(makulatura[[#This Row],[Data_dostarczenia]],13)</f>
        <v>31</v>
      </c>
      <c r="F1213" s="2">
        <f>WEEKDAY(makulatura[[#This Row],[Data_dostarczenia]],2)</f>
        <v>1</v>
      </c>
    </row>
    <row r="1214" spans="1:6" x14ac:dyDescent="0.25">
      <c r="A1214" s="1">
        <v>42947</v>
      </c>
      <c r="B1214" s="2" t="s">
        <v>10</v>
      </c>
      <c r="C1214" s="2" t="s">
        <v>423</v>
      </c>
      <c r="D1214">
        <v>40</v>
      </c>
      <c r="E1214">
        <f>WEEKNUM(makulatura[[#This Row],[Data_dostarczenia]],13)</f>
        <v>31</v>
      </c>
      <c r="F1214" s="2">
        <f>WEEKDAY(makulatura[[#This Row],[Data_dostarczenia]],2)</f>
        <v>1</v>
      </c>
    </row>
    <row r="1215" spans="1:6" x14ac:dyDescent="0.25">
      <c r="A1215" s="1">
        <v>42947</v>
      </c>
      <c r="B1215" s="2" t="s">
        <v>36</v>
      </c>
      <c r="C1215" s="2" t="s">
        <v>306</v>
      </c>
      <c r="D1215">
        <v>13</v>
      </c>
      <c r="E1215">
        <f>WEEKNUM(makulatura[[#This Row],[Data_dostarczenia]],13)</f>
        <v>31</v>
      </c>
      <c r="F1215" s="2">
        <f>WEEKDAY(makulatura[[#This Row],[Data_dostarczenia]],2)</f>
        <v>1</v>
      </c>
    </row>
    <row r="1216" spans="1:6" x14ac:dyDescent="0.25">
      <c r="A1216" s="1">
        <v>42947</v>
      </c>
      <c r="B1216" s="2" t="s">
        <v>83</v>
      </c>
      <c r="C1216" s="2" t="s">
        <v>513</v>
      </c>
      <c r="D1216">
        <v>53</v>
      </c>
      <c r="E1216">
        <f>WEEKNUM(makulatura[[#This Row],[Data_dostarczenia]],13)</f>
        <v>31</v>
      </c>
      <c r="F1216" s="2">
        <f>WEEKDAY(makulatura[[#This Row],[Data_dostarczenia]],2)</f>
        <v>1</v>
      </c>
    </row>
    <row r="1217" spans="1:6" x14ac:dyDescent="0.25">
      <c r="A1217" s="1">
        <v>42947</v>
      </c>
      <c r="B1217" s="2" t="s">
        <v>65</v>
      </c>
      <c r="C1217" s="2" t="s">
        <v>631</v>
      </c>
      <c r="D1217">
        <v>51</v>
      </c>
      <c r="E1217">
        <f>WEEKNUM(makulatura[[#This Row],[Data_dostarczenia]],13)</f>
        <v>31</v>
      </c>
      <c r="F1217" s="2">
        <f>WEEKDAY(makulatura[[#This Row],[Data_dostarczenia]],2)</f>
        <v>1</v>
      </c>
    </row>
    <row r="1218" spans="1:6" x14ac:dyDescent="0.25">
      <c r="A1218" s="1">
        <v>42948</v>
      </c>
      <c r="B1218" s="2" t="s">
        <v>47</v>
      </c>
      <c r="C1218" s="2" t="s">
        <v>336</v>
      </c>
      <c r="D1218">
        <v>17</v>
      </c>
      <c r="E1218">
        <f>WEEKNUM(makulatura[[#This Row],[Data_dostarczenia]],13)</f>
        <v>31</v>
      </c>
      <c r="F1218" s="2">
        <f>WEEKDAY(makulatura[[#This Row],[Data_dostarczenia]],2)</f>
        <v>2</v>
      </c>
    </row>
    <row r="1219" spans="1:6" x14ac:dyDescent="0.25">
      <c r="A1219" s="1">
        <v>42948</v>
      </c>
      <c r="B1219" s="2" t="s">
        <v>39</v>
      </c>
      <c r="C1219" s="2" t="s">
        <v>436</v>
      </c>
      <c r="D1219">
        <v>10</v>
      </c>
      <c r="E1219">
        <f>WEEKNUM(makulatura[[#This Row],[Data_dostarczenia]],13)</f>
        <v>31</v>
      </c>
      <c r="F1219" s="2">
        <f>WEEKDAY(makulatura[[#This Row],[Data_dostarczenia]],2)</f>
        <v>2</v>
      </c>
    </row>
    <row r="1220" spans="1:6" x14ac:dyDescent="0.25">
      <c r="A1220" s="1">
        <v>42948</v>
      </c>
      <c r="B1220" s="2" t="s">
        <v>195</v>
      </c>
      <c r="C1220" s="2" t="s">
        <v>401</v>
      </c>
      <c r="D1220">
        <v>24</v>
      </c>
      <c r="E1220">
        <f>WEEKNUM(makulatura[[#This Row],[Data_dostarczenia]],13)</f>
        <v>31</v>
      </c>
      <c r="F1220" s="2">
        <f>WEEKDAY(makulatura[[#This Row],[Data_dostarczenia]],2)</f>
        <v>2</v>
      </c>
    </row>
    <row r="1221" spans="1:6" x14ac:dyDescent="0.25">
      <c r="A1221" s="1">
        <v>42948</v>
      </c>
      <c r="B1221" s="2" t="s">
        <v>155</v>
      </c>
      <c r="C1221" s="2" t="s">
        <v>156</v>
      </c>
      <c r="D1221">
        <v>11</v>
      </c>
      <c r="E1221">
        <f>WEEKNUM(makulatura[[#This Row],[Data_dostarczenia]],13)</f>
        <v>31</v>
      </c>
      <c r="F1221" s="2">
        <f>WEEKDAY(makulatura[[#This Row],[Data_dostarczenia]],2)</f>
        <v>2</v>
      </c>
    </row>
    <row r="1222" spans="1:6" x14ac:dyDescent="0.25">
      <c r="A1222" s="1">
        <v>42948</v>
      </c>
      <c r="B1222" s="2" t="s">
        <v>36</v>
      </c>
      <c r="C1222" s="2" t="s">
        <v>490</v>
      </c>
      <c r="D1222">
        <v>18</v>
      </c>
      <c r="E1222">
        <f>WEEKNUM(makulatura[[#This Row],[Data_dostarczenia]],13)</f>
        <v>31</v>
      </c>
      <c r="F1222" s="2">
        <f>WEEKDAY(makulatura[[#This Row],[Data_dostarczenia]],2)</f>
        <v>2</v>
      </c>
    </row>
    <row r="1223" spans="1:6" x14ac:dyDescent="0.25">
      <c r="A1223" s="1">
        <v>42948</v>
      </c>
      <c r="B1223" s="2" t="s">
        <v>267</v>
      </c>
      <c r="C1223" s="2" t="s">
        <v>287</v>
      </c>
      <c r="D1223">
        <v>12</v>
      </c>
      <c r="E1223">
        <f>WEEKNUM(makulatura[[#This Row],[Data_dostarczenia]],13)</f>
        <v>31</v>
      </c>
      <c r="F1223" s="2">
        <f>WEEKDAY(makulatura[[#This Row],[Data_dostarczenia]],2)</f>
        <v>2</v>
      </c>
    </row>
    <row r="1224" spans="1:6" x14ac:dyDescent="0.25">
      <c r="A1224" s="1">
        <v>42948</v>
      </c>
      <c r="B1224" s="2" t="s">
        <v>395</v>
      </c>
      <c r="C1224" s="2" t="s">
        <v>599</v>
      </c>
      <c r="D1224">
        <v>8</v>
      </c>
      <c r="E1224">
        <f>WEEKNUM(makulatura[[#This Row],[Data_dostarczenia]],13)</f>
        <v>31</v>
      </c>
      <c r="F1224" s="2">
        <f>WEEKDAY(makulatura[[#This Row],[Data_dostarczenia]],2)</f>
        <v>2</v>
      </c>
    </row>
    <row r="1225" spans="1:6" x14ac:dyDescent="0.25">
      <c r="A1225" s="1">
        <v>42949</v>
      </c>
      <c r="B1225" s="2" t="s">
        <v>155</v>
      </c>
      <c r="C1225" s="2" t="s">
        <v>384</v>
      </c>
      <c r="D1225">
        <v>36</v>
      </c>
      <c r="E1225">
        <f>WEEKNUM(makulatura[[#This Row],[Data_dostarczenia]],13)</f>
        <v>32</v>
      </c>
      <c r="F1225" s="2">
        <f>WEEKDAY(makulatura[[#This Row],[Data_dostarczenia]],2)</f>
        <v>3</v>
      </c>
    </row>
    <row r="1226" spans="1:6" x14ac:dyDescent="0.25">
      <c r="A1226" s="1">
        <v>42949</v>
      </c>
      <c r="B1226" s="2" t="s">
        <v>57</v>
      </c>
      <c r="C1226" s="2" t="s">
        <v>135</v>
      </c>
      <c r="D1226">
        <v>24</v>
      </c>
      <c r="E1226">
        <f>WEEKNUM(makulatura[[#This Row],[Data_dostarczenia]],13)</f>
        <v>32</v>
      </c>
      <c r="F1226" s="2">
        <f>WEEKDAY(makulatura[[#This Row],[Data_dostarczenia]],2)</f>
        <v>3</v>
      </c>
    </row>
    <row r="1227" spans="1:6" x14ac:dyDescent="0.25">
      <c r="A1227" s="1">
        <v>42949</v>
      </c>
      <c r="B1227" s="2" t="s">
        <v>290</v>
      </c>
      <c r="C1227" s="2" t="s">
        <v>291</v>
      </c>
      <c r="D1227">
        <v>13</v>
      </c>
      <c r="E1227">
        <f>WEEKNUM(makulatura[[#This Row],[Data_dostarczenia]],13)</f>
        <v>32</v>
      </c>
      <c r="F1227" s="2">
        <f>WEEKDAY(makulatura[[#This Row],[Data_dostarczenia]],2)</f>
        <v>3</v>
      </c>
    </row>
    <row r="1228" spans="1:6" x14ac:dyDescent="0.25">
      <c r="A1228" s="1">
        <v>42949</v>
      </c>
      <c r="B1228" s="2" t="s">
        <v>128</v>
      </c>
      <c r="C1228" s="2" t="s">
        <v>559</v>
      </c>
      <c r="D1228">
        <v>51</v>
      </c>
      <c r="E1228">
        <f>WEEKNUM(makulatura[[#This Row],[Data_dostarczenia]],13)</f>
        <v>32</v>
      </c>
      <c r="F1228" s="2">
        <f>WEEKDAY(makulatura[[#This Row],[Data_dostarczenia]],2)</f>
        <v>3</v>
      </c>
    </row>
    <row r="1229" spans="1:6" x14ac:dyDescent="0.25">
      <c r="A1229" s="1">
        <v>42949</v>
      </c>
      <c r="B1229" s="2" t="s">
        <v>169</v>
      </c>
      <c r="C1229" s="2" t="s">
        <v>170</v>
      </c>
      <c r="D1229">
        <v>31</v>
      </c>
      <c r="E1229">
        <f>WEEKNUM(makulatura[[#This Row],[Data_dostarczenia]],13)</f>
        <v>32</v>
      </c>
      <c r="F1229" s="2">
        <f>WEEKDAY(makulatura[[#This Row],[Data_dostarczenia]],2)</f>
        <v>3</v>
      </c>
    </row>
    <row r="1230" spans="1:6" x14ac:dyDescent="0.25">
      <c r="A1230" s="1">
        <v>42949</v>
      </c>
      <c r="B1230" s="2" t="s">
        <v>69</v>
      </c>
      <c r="C1230" s="2" t="s">
        <v>108</v>
      </c>
      <c r="D1230">
        <v>17</v>
      </c>
      <c r="E1230">
        <f>WEEKNUM(makulatura[[#This Row],[Data_dostarczenia]],13)</f>
        <v>32</v>
      </c>
      <c r="F1230" s="2">
        <f>WEEKDAY(makulatura[[#This Row],[Data_dostarczenia]],2)</f>
        <v>3</v>
      </c>
    </row>
    <row r="1231" spans="1:6" x14ac:dyDescent="0.25">
      <c r="A1231" s="1">
        <v>42949</v>
      </c>
      <c r="B1231" s="2" t="s">
        <v>395</v>
      </c>
      <c r="C1231" s="2" t="s">
        <v>587</v>
      </c>
      <c r="D1231">
        <v>6</v>
      </c>
      <c r="E1231">
        <f>WEEKNUM(makulatura[[#This Row],[Data_dostarczenia]],13)</f>
        <v>32</v>
      </c>
      <c r="F1231" s="2">
        <f>WEEKDAY(makulatura[[#This Row],[Data_dostarczenia]],2)</f>
        <v>3</v>
      </c>
    </row>
    <row r="1232" spans="1:6" x14ac:dyDescent="0.25">
      <c r="A1232" s="1">
        <v>42950</v>
      </c>
      <c r="B1232" s="2" t="s">
        <v>248</v>
      </c>
      <c r="C1232" s="2" t="s">
        <v>249</v>
      </c>
      <c r="D1232">
        <v>47</v>
      </c>
      <c r="E1232">
        <f>WEEKNUM(makulatura[[#This Row],[Data_dostarczenia]],13)</f>
        <v>32</v>
      </c>
      <c r="F1232" s="2">
        <f>WEEKDAY(makulatura[[#This Row],[Data_dostarczenia]],2)</f>
        <v>4</v>
      </c>
    </row>
    <row r="1233" spans="1:6" x14ac:dyDescent="0.25">
      <c r="A1233" s="1">
        <v>42950</v>
      </c>
      <c r="B1233" s="2" t="s">
        <v>632</v>
      </c>
      <c r="C1233" s="2" t="s">
        <v>633</v>
      </c>
      <c r="D1233">
        <v>52</v>
      </c>
      <c r="E1233">
        <f>WEEKNUM(makulatura[[#This Row],[Data_dostarczenia]],13)</f>
        <v>32</v>
      </c>
      <c r="F1233" s="2">
        <f>WEEKDAY(makulatura[[#This Row],[Data_dostarczenia]],2)</f>
        <v>4</v>
      </c>
    </row>
    <row r="1234" spans="1:6" x14ac:dyDescent="0.25">
      <c r="A1234" s="1">
        <v>42950</v>
      </c>
      <c r="B1234" s="2" t="s">
        <v>395</v>
      </c>
      <c r="C1234" s="2" t="s">
        <v>467</v>
      </c>
      <c r="D1234">
        <v>10</v>
      </c>
      <c r="E1234">
        <f>WEEKNUM(makulatura[[#This Row],[Data_dostarczenia]],13)</f>
        <v>32</v>
      </c>
      <c r="F1234" s="2">
        <f>WEEKDAY(makulatura[[#This Row],[Data_dostarczenia]],2)</f>
        <v>4</v>
      </c>
    </row>
    <row r="1235" spans="1:6" x14ac:dyDescent="0.25">
      <c r="A1235" s="1">
        <v>42950</v>
      </c>
      <c r="B1235" s="2" t="s">
        <v>4</v>
      </c>
      <c r="C1235" s="2" t="s">
        <v>489</v>
      </c>
      <c r="D1235">
        <v>3</v>
      </c>
      <c r="E1235">
        <f>WEEKNUM(makulatura[[#This Row],[Data_dostarczenia]],13)</f>
        <v>32</v>
      </c>
      <c r="F1235" s="2">
        <f>WEEKDAY(makulatura[[#This Row],[Data_dostarczenia]],2)</f>
        <v>4</v>
      </c>
    </row>
    <row r="1236" spans="1:6" x14ac:dyDescent="0.25">
      <c r="A1236" s="1">
        <v>42950</v>
      </c>
      <c r="B1236" s="2" t="s">
        <v>420</v>
      </c>
      <c r="C1236" s="2" t="s">
        <v>634</v>
      </c>
      <c r="D1236">
        <v>10</v>
      </c>
      <c r="E1236">
        <f>WEEKNUM(makulatura[[#This Row],[Data_dostarczenia]],13)</f>
        <v>32</v>
      </c>
      <c r="F1236" s="2">
        <f>WEEKDAY(makulatura[[#This Row],[Data_dostarczenia]],2)</f>
        <v>4</v>
      </c>
    </row>
    <row r="1237" spans="1:6" x14ac:dyDescent="0.25">
      <c r="A1237" s="1">
        <v>42950</v>
      </c>
      <c r="B1237" s="2" t="s">
        <v>635</v>
      </c>
      <c r="C1237" s="2" t="s">
        <v>636</v>
      </c>
      <c r="D1237">
        <v>15</v>
      </c>
      <c r="E1237">
        <f>WEEKNUM(makulatura[[#This Row],[Data_dostarczenia]],13)</f>
        <v>32</v>
      </c>
      <c r="F1237" s="2">
        <f>WEEKDAY(makulatura[[#This Row],[Data_dostarczenia]],2)</f>
        <v>4</v>
      </c>
    </row>
    <row r="1238" spans="1:6" x14ac:dyDescent="0.25">
      <c r="A1238" s="1">
        <v>42950</v>
      </c>
      <c r="B1238" s="2" t="s">
        <v>178</v>
      </c>
      <c r="C1238" s="2" t="s">
        <v>335</v>
      </c>
      <c r="D1238">
        <v>26</v>
      </c>
      <c r="E1238">
        <f>WEEKNUM(makulatura[[#This Row],[Data_dostarczenia]],13)</f>
        <v>32</v>
      </c>
      <c r="F1238" s="2">
        <f>WEEKDAY(makulatura[[#This Row],[Data_dostarczenia]],2)</f>
        <v>4</v>
      </c>
    </row>
    <row r="1239" spans="1:6" x14ac:dyDescent="0.25">
      <c r="A1239" s="1">
        <v>42951</v>
      </c>
      <c r="B1239" s="2" t="s">
        <v>83</v>
      </c>
      <c r="C1239" s="2" t="s">
        <v>637</v>
      </c>
      <c r="D1239">
        <v>41</v>
      </c>
      <c r="E1239">
        <f>WEEKNUM(makulatura[[#This Row],[Data_dostarczenia]],13)</f>
        <v>32</v>
      </c>
      <c r="F1239" s="2">
        <f>WEEKDAY(makulatura[[#This Row],[Data_dostarczenia]],2)</f>
        <v>5</v>
      </c>
    </row>
    <row r="1240" spans="1:6" x14ac:dyDescent="0.25">
      <c r="A1240" s="1">
        <v>42951</v>
      </c>
      <c r="B1240" s="2" t="s">
        <v>45</v>
      </c>
      <c r="C1240" s="2" t="s">
        <v>388</v>
      </c>
      <c r="D1240">
        <v>20</v>
      </c>
      <c r="E1240">
        <f>WEEKNUM(makulatura[[#This Row],[Data_dostarczenia]],13)</f>
        <v>32</v>
      </c>
      <c r="F1240" s="2">
        <f>WEEKDAY(makulatura[[#This Row],[Data_dostarczenia]],2)</f>
        <v>5</v>
      </c>
    </row>
    <row r="1241" spans="1:6" x14ac:dyDescent="0.25">
      <c r="A1241" s="1">
        <v>42951</v>
      </c>
      <c r="B1241" s="2" t="s">
        <v>101</v>
      </c>
      <c r="C1241" s="2" t="s">
        <v>188</v>
      </c>
      <c r="D1241">
        <v>9</v>
      </c>
      <c r="E1241">
        <f>WEEKNUM(makulatura[[#This Row],[Data_dostarczenia]],13)</f>
        <v>32</v>
      </c>
      <c r="F1241" s="2">
        <f>WEEKDAY(makulatura[[#This Row],[Data_dostarczenia]],2)</f>
        <v>5</v>
      </c>
    </row>
    <row r="1242" spans="1:6" x14ac:dyDescent="0.25">
      <c r="A1242" s="1">
        <v>42951</v>
      </c>
      <c r="B1242" s="2" t="s">
        <v>92</v>
      </c>
      <c r="C1242" s="2" t="s">
        <v>638</v>
      </c>
      <c r="D1242">
        <v>14</v>
      </c>
      <c r="E1242">
        <f>WEEKNUM(makulatura[[#This Row],[Data_dostarczenia]],13)</f>
        <v>32</v>
      </c>
      <c r="F1242" s="2">
        <f>WEEKDAY(makulatura[[#This Row],[Data_dostarczenia]],2)</f>
        <v>5</v>
      </c>
    </row>
    <row r="1243" spans="1:6" x14ac:dyDescent="0.25">
      <c r="A1243" s="1">
        <v>42951</v>
      </c>
      <c r="B1243" s="2" t="s">
        <v>147</v>
      </c>
      <c r="C1243" s="2" t="s">
        <v>578</v>
      </c>
      <c r="D1243">
        <v>14</v>
      </c>
      <c r="E1243">
        <f>WEEKNUM(makulatura[[#This Row],[Data_dostarczenia]],13)</f>
        <v>32</v>
      </c>
      <c r="F1243" s="2">
        <f>WEEKDAY(makulatura[[#This Row],[Data_dostarczenia]],2)</f>
        <v>5</v>
      </c>
    </row>
    <row r="1244" spans="1:6" x14ac:dyDescent="0.25">
      <c r="A1244" s="1">
        <v>42951</v>
      </c>
      <c r="B1244" s="2" t="s">
        <v>65</v>
      </c>
      <c r="C1244" s="2" t="s">
        <v>83</v>
      </c>
      <c r="D1244">
        <v>16</v>
      </c>
      <c r="E1244">
        <f>WEEKNUM(makulatura[[#This Row],[Data_dostarczenia]],13)</f>
        <v>32</v>
      </c>
      <c r="F1244" s="2">
        <f>WEEKDAY(makulatura[[#This Row],[Data_dostarczenia]],2)</f>
        <v>5</v>
      </c>
    </row>
    <row r="1245" spans="1:6" x14ac:dyDescent="0.25">
      <c r="A1245" s="1">
        <v>42951</v>
      </c>
      <c r="B1245" s="2" t="s">
        <v>367</v>
      </c>
      <c r="C1245" s="2" t="s">
        <v>5</v>
      </c>
      <c r="D1245">
        <v>54</v>
      </c>
      <c r="E1245">
        <f>WEEKNUM(makulatura[[#This Row],[Data_dostarczenia]],13)</f>
        <v>32</v>
      </c>
      <c r="F1245" s="2">
        <f>WEEKDAY(makulatura[[#This Row],[Data_dostarczenia]],2)</f>
        <v>5</v>
      </c>
    </row>
    <row r="1246" spans="1:6" x14ac:dyDescent="0.25">
      <c r="A1246" s="1">
        <v>42954</v>
      </c>
      <c r="B1246" s="2" t="s">
        <v>23</v>
      </c>
      <c r="C1246" s="2" t="s">
        <v>592</v>
      </c>
      <c r="D1246">
        <v>11</v>
      </c>
      <c r="E1246">
        <f>WEEKNUM(makulatura[[#This Row],[Data_dostarczenia]],13)</f>
        <v>32</v>
      </c>
      <c r="F1246" s="2">
        <f>WEEKDAY(makulatura[[#This Row],[Data_dostarczenia]],2)</f>
        <v>1</v>
      </c>
    </row>
    <row r="1247" spans="1:6" x14ac:dyDescent="0.25">
      <c r="A1247" s="1">
        <v>42954</v>
      </c>
      <c r="B1247" s="2" t="s">
        <v>339</v>
      </c>
      <c r="C1247" s="2" t="s">
        <v>340</v>
      </c>
      <c r="D1247">
        <v>6</v>
      </c>
      <c r="E1247">
        <f>WEEKNUM(makulatura[[#This Row],[Data_dostarczenia]],13)</f>
        <v>32</v>
      </c>
      <c r="F1247" s="2">
        <f>WEEKDAY(makulatura[[#This Row],[Data_dostarczenia]],2)</f>
        <v>1</v>
      </c>
    </row>
    <row r="1248" spans="1:6" x14ac:dyDescent="0.25">
      <c r="A1248" s="1">
        <v>42954</v>
      </c>
      <c r="B1248" s="2" t="s">
        <v>83</v>
      </c>
      <c r="C1248" s="2" t="s">
        <v>596</v>
      </c>
      <c r="D1248">
        <v>19</v>
      </c>
      <c r="E1248">
        <f>WEEKNUM(makulatura[[#This Row],[Data_dostarczenia]],13)</f>
        <v>32</v>
      </c>
      <c r="F1248" s="2">
        <f>WEEKDAY(makulatura[[#This Row],[Data_dostarczenia]],2)</f>
        <v>1</v>
      </c>
    </row>
    <row r="1249" spans="1:6" x14ac:dyDescent="0.25">
      <c r="A1249" s="1">
        <v>42954</v>
      </c>
      <c r="B1249" s="2" t="s">
        <v>314</v>
      </c>
      <c r="C1249" s="2" t="s">
        <v>466</v>
      </c>
      <c r="D1249">
        <v>13</v>
      </c>
      <c r="E1249">
        <f>WEEKNUM(makulatura[[#This Row],[Data_dostarczenia]],13)</f>
        <v>32</v>
      </c>
      <c r="F1249" s="2">
        <f>WEEKDAY(makulatura[[#This Row],[Data_dostarczenia]],2)</f>
        <v>1</v>
      </c>
    </row>
    <row r="1250" spans="1:6" x14ac:dyDescent="0.25">
      <c r="A1250" s="1">
        <v>42954</v>
      </c>
      <c r="B1250" s="2" t="s">
        <v>43</v>
      </c>
      <c r="C1250" s="2" t="s">
        <v>507</v>
      </c>
      <c r="D1250">
        <v>35</v>
      </c>
      <c r="E1250">
        <f>WEEKNUM(makulatura[[#This Row],[Data_dostarczenia]],13)</f>
        <v>32</v>
      </c>
      <c r="F1250" s="2">
        <f>WEEKDAY(makulatura[[#This Row],[Data_dostarczenia]],2)</f>
        <v>1</v>
      </c>
    </row>
    <row r="1251" spans="1:6" x14ac:dyDescent="0.25">
      <c r="A1251" s="1">
        <v>42954</v>
      </c>
      <c r="B1251" s="2" t="s">
        <v>83</v>
      </c>
      <c r="C1251" s="2" t="s">
        <v>513</v>
      </c>
      <c r="D1251">
        <v>14</v>
      </c>
      <c r="E1251">
        <f>WEEKNUM(makulatura[[#This Row],[Data_dostarczenia]],13)</f>
        <v>32</v>
      </c>
      <c r="F1251" s="2">
        <f>WEEKDAY(makulatura[[#This Row],[Data_dostarczenia]],2)</f>
        <v>1</v>
      </c>
    </row>
    <row r="1252" spans="1:6" x14ac:dyDescent="0.25">
      <c r="A1252" s="1">
        <v>42954</v>
      </c>
      <c r="B1252" s="2" t="s">
        <v>106</v>
      </c>
      <c r="C1252" s="2" t="s">
        <v>277</v>
      </c>
      <c r="D1252">
        <v>7</v>
      </c>
      <c r="E1252">
        <f>WEEKNUM(makulatura[[#This Row],[Data_dostarczenia]],13)</f>
        <v>32</v>
      </c>
      <c r="F1252" s="2">
        <f>WEEKDAY(makulatura[[#This Row],[Data_dostarczenia]],2)</f>
        <v>1</v>
      </c>
    </row>
    <row r="1253" spans="1:6" x14ac:dyDescent="0.25">
      <c r="A1253" s="1">
        <v>42955</v>
      </c>
      <c r="B1253" s="2" t="s">
        <v>141</v>
      </c>
      <c r="C1253" s="2" t="s">
        <v>447</v>
      </c>
      <c r="D1253">
        <v>54</v>
      </c>
      <c r="E1253">
        <f>WEEKNUM(makulatura[[#This Row],[Data_dostarczenia]],13)</f>
        <v>32</v>
      </c>
      <c r="F1253" s="2">
        <f>WEEKDAY(makulatura[[#This Row],[Data_dostarczenia]],2)</f>
        <v>2</v>
      </c>
    </row>
    <row r="1254" spans="1:6" x14ac:dyDescent="0.25">
      <c r="A1254" s="1">
        <v>42955</v>
      </c>
      <c r="B1254" s="2" t="s">
        <v>4</v>
      </c>
      <c r="C1254" s="2" t="s">
        <v>5</v>
      </c>
      <c r="D1254">
        <v>11</v>
      </c>
      <c r="E1254">
        <f>WEEKNUM(makulatura[[#This Row],[Data_dostarczenia]],13)</f>
        <v>32</v>
      </c>
      <c r="F1254" s="2">
        <f>WEEKDAY(makulatura[[#This Row],[Data_dostarczenia]],2)</f>
        <v>2</v>
      </c>
    </row>
    <row r="1255" spans="1:6" x14ac:dyDescent="0.25">
      <c r="A1255" s="1">
        <v>42955</v>
      </c>
      <c r="B1255" s="2" t="s">
        <v>83</v>
      </c>
      <c r="C1255" s="2" t="s">
        <v>591</v>
      </c>
      <c r="D1255">
        <v>8</v>
      </c>
      <c r="E1255">
        <f>WEEKNUM(makulatura[[#This Row],[Data_dostarczenia]],13)</f>
        <v>32</v>
      </c>
      <c r="F1255" s="2">
        <f>WEEKDAY(makulatura[[#This Row],[Data_dostarczenia]],2)</f>
        <v>2</v>
      </c>
    </row>
    <row r="1256" spans="1:6" x14ac:dyDescent="0.25">
      <c r="A1256" s="1">
        <v>42955</v>
      </c>
      <c r="B1256" s="2" t="s">
        <v>412</v>
      </c>
      <c r="C1256" s="2" t="s">
        <v>413</v>
      </c>
      <c r="D1256">
        <v>3</v>
      </c>
      <c r="E1256">
        <f>WEEKNUM(makulatura[[#This Row],[Data_dostarczenia]],13)</f>
        <v>32</v>
      </c>
      <c r="F1256" s="2">
        <f>WEEKDAY(makulatura[[#This Row],[Data_dostarczenia]],2)</f>
        <v>2</v>
      </c>
    </row>
    <row r="1257" spans="1:6" x14ac:dyDescent="0.25">
      <c r="A1257" s="1">
        <v>42955</v>
      </c>
      <c r="B1257" s="2" t="s">
        <v>314</v>
      </c>
      <c r="C1257" s="2" t="s">
        <v>535</v>
      </c>
      <c r="D1257">
        <v>2</v>
      </c>
      <c r="E1257">
        <f>WEEKNUM(makulatura[[#This Row],[Data_dostarczenia]],13)</f>
        <v>32</v>
      </c>
      <c r="F1257" s="2">
        <f>WEEKDAY(makulatura[[#This Row],[Data_dostarczenia]],2)</f>
        <v>2</v>
      </c>
    </row>
    <row r="1258" spans="1:6" x14ac:dyDescent="0.25">
      <c r="A1258" s="1">
        <v>42955</v>
      </c>
      <c r="B1258" s="2" t="s">
        <v>81</v>
      </c>
      <c r="C1258" s="2" t="s">
        <v>165</v>
      </c>
      <c r="D1258">
        <v>25</v>
      </c>
      <c r="E1258">
        <f>WEEKNUM(makulatura[[#This Row],[Data_dostarczenia]],13)</f>
        <v>32</v>
      </c>
      <c r="F1258" s="2">
        <f>WEEKDAY(makulatura[[#This Row],[Data_dostarczenia]],2)</f>
        <v>2</v>
      </c>
    </row>
    <row r="1259" spans="1:6" x14ac:dyDescent="0.25">
      <c r="A1259" s="1">
        <v>42955</v>
      </c>
      <c r="B1259" s="2" t="s">
        <v>412</v>
      </c>
      <c r="C1259" s="2" t="s">
        <v>413</v>
      </c>
      <c r="D1259">
        <v>44</v>
      </c>
      <c r="E1259">
        <f>WEEKNUM(makulatura[[#This Row],[Data_dostarczenia]],13)</f>
        <v>32</v>
      </c>
      <c r="F1259" s="2">
        <f>WEEKDAY(makulatura[[#This Row],[Data_dostarczenia]],2)</f>
        <v>2</v>
      </c>
    </row>
    <row r="1260" spans="1:6" x14ac:dyDescent="0.25">
      <c r="A1260" s="1">
        <v>42956</v>
      </c>
      <c r="B1260" s="2" t="s">
        <v>553</v>
      </c>
      <c r="C1260" s="2" t="s">
        <v>554</v>
      </c>
      <c r="D1260">
        <v>13</v>
      </c>
      <c r="E1260">
        <f>WEEKNUM(makulatura[[#This Row],[Data_dostarczenia]],13)</f>
        <v>33</v>
      </c>
      <c r="F1260" s="2">
        <f>WEEKDAY(makulatura[[#This Row],[Data_dostarczenia]],2)</f>
        <v>3</v>
      </c>
    </row>
    <row r="1261" spans="1:6" x14ac:dyDescent="0.25">
      <c r="A1261" s="1">
        <v>42956</v>
      </c>
      <c r="B1261" s="2" t="s">
        <v>81</v>
      </c>
      <c r="C1261" s="2" t="s">
        <v>584</v>
      </c>
      <c r="D1261">
        <v>44</v>
      </c>
      <c r="E1261">
        <f>WEEKNUM(makulatura[[#This Row],[Data_dostarczenia]],13)</f>
        <v>33</v>
      </c>
      <c r="F1261" s="2">
        <f>WEEKDAY(makulatura[[#This Row],[Data_dostarczenia]],2)</f>
        <v>3</v>
      </c>
    </row>
    <row r="1262" spans="1:6" x14ac:dyDescent="0.25">
      <c r="A1262" s="1">
        <v>42956</v>
      </c>
      <c r="B1262" s="2" t="s">
        <v>232</v>
      </c>
      <c r="C1262" s="2" t="s">
        <v>451</v>
      </c>
      <c r="D1262">
        <v>21</v>
      </c>
      <c r="E1262">
        <f>WEEKNUM(makulatura[[#This Row],[Data_dostarczenia]],13)</f>
        <v>33</v>
      </c>
      <c r="F1262" s="2">
        <f>WEEKDAY(makulatura[[#This Row],[Data_dostarczenia]],2)</f>
        <v>3</v>
      </c>
    </row>
    <row r="1263" spans="1:6" x14ac:dyDescent="0.25">
      <c r="A1263" s="1">
        <v>42956</v>
      </c>
      <c r="B1263" s="2" t="s">
        <v>87</v>
      </c>
      <c r="C1263" s="2" t="s">
        <v>255</v>
      </c>
      <c r="D1263">
        <v>4</v>
      </c>
      <c r="E1263">
        <f>WEEKNUM(makulatura[[#This Row],[Data_dostarczenia]],13)</f>
        <v>33</v>
      </c>
      <c r="F1263" s="2">
        <f>WEEKDAY(makulatura[[#This Row],[Data_dostarczenia]],2)</f>
        <v>3</v>
      </c>
    </row>
    <row r="1264" spans="1:6" x14ac:dyDescent="0.25">
      <c r="A1264" s="1">
        <v>42956</v>
      </c>
      <c r="B1264" s="2" t="s">
        <v>128</v>
      </c>
      <c r="C1264" s="2" t="s">
        <v>639</v>
      </c>
      <c r="D1264">
        <v>6</v>
      </c>
      <c r="E1264">
        <f>WEEKNUM(makulatura[[#This Row],[Data_dostarczenia]],13)</f>
        <v>33</v>
      </c>
      <c r="F1264" s="2">
        <f>WEEKDAY(makulatura[[#This Row],[Data_dostarczenia]],2)</f>
        <v>3</v>
      </c>
    </row>
    <row r="1265" spans="1:6" x14ac:dyDescent="0.25">
      <c r="A1265" s="1">
        <v>42956</v>
      </c>
      <c r="B1265" s="2" t="s">
        <v>81</v>
      </c>
      <c r="C1265" s="2" t="s">
        <v>82</v>
      </c>
      <c r="D1265">
        <v>17</v>
      </c>
      <c r="E1265">
        <f>WEEKNUM(makulatura[[#This Row],[Data_dostarczenia]],13)</f>
        <v>33</v>
      </c>
      <c r="F1265" s="2">
        <f>WEEKDAY(makulatura[[#This Row],[Data_dostarczenia]],2)</f>
        <v>3</v>
      </c>
    </row>
    <row r="1266" spans="1:6" x14ac:dyDescent="0.25">
      <c r="A1266" s="1">
        <v>42956</v>
      </c>
      <c r="B1266" s="2" t="s">
        <v>14</v>
      </c>
      <c r="C1266" s="2" t="s">
        <v>430</v>
      </c>
      <c r="D1266">
        <v>12</v>
      </c>
      <c r="E1266">
        <f>WEEKNUM(makulatura[[#This Row],[Data_dostarczenia]],13)</f>
        <v>33</v>
      </c>
      <c r="F1266" s="2">
        <f>WEEKDAY(makulatura[[#This Row],[Data_dostarczenia]],2)</f>
        <v>3</v>
      </c>
    </row>
    <row r="1267" spans="1:6" x14ac:dyDescent="0.25">
      <c r="A1267" s="1">
        <v>42957</v>
      </c>
      <c r="B1267" s="2" t="s">
        <v>141</v>
      </c>
      <c r="C1267" s="2" t="s">
        <v>435</v>
      </c>
      <c r="D1267">
        <v>21</v>
      </c>
      <c r="E1267">
        <f>WEEKNUM(makulatura[[#This Row],[Data_dostarczenia]],13)</f>
        <v>33</v>
      </c>
      <c r="F1267" s="2">
        <f>WEEKDAY(makulatura[[#This Row],[Data_dostarczenia]],2)</f>
        <v>4</v>
      </c>
    </row>
    <row r="1268" spans="1:6" x14ac:dyDescent="0.25">
      <c r="A1268" s="1">
        <v>42957</v>
      </c>
      <c r="B1268" s="2" t="s">
        <v>640</v>
      </c>
      <c r="C1268" s="2" t="s">
        <v>199</v>
      </c>
      <c r="D1268">
        <v>12</v>
      </c>
      <c r="E1268">
        <f>WEEKNUM(makulatura[[#This Row],[Data_dostarczenia]],13)</f>
        <v>33</v>
      </c>
      <c r="F1268" s="2">
        <f>WEEKDAY(makulatura[[#This Row],[Data_dostarczenia]],2)</f>
        <v>4</v>
      </c>
    </row>
    <row r="1269" spans="1:6" x14ac:dyDescent="0.25">
      <c r="A1269" s="1">
        <v>42957</v>
      </c>
      <c r="B1269" s="2" t="s">
        <v>63</v>
      </c>
      <c r="C1269" s="2" t="s">
        <v>231</v>
      </c>
      <c r="D1269">
        <v>54</v>
      </c>
      <c r="E1269">
        <f>WEEKNUM(makulatura[[#This Row],[Data_dostarczenia]],13)</f>
        <v>33</v>
      </c>
      <c r="F1269" s="2">
        <f>WEEKDAY(makulatura[[#This Row],[Data_dostarczenia]],2)</f>
        <v>4</v>
      </c>
    </row>
    <row r="1270" spans="1:6" x14ac:dyDescent="0.25">
      <c r="A1270" s="1">
        <v>42957</v>
      </c>
      <c r="B1270" s="2" t="s">
        <v>150</v>
      </c>
      <c r="C1270" s="2" t="s">
        <v>641</v>
      </c>
      <c r="D1270">
        <v>11</v>
      </c>
      <c r="E1270">
        <f>WEEKNUM(makulatura[[#This Row],[Data_dostarczenia]],13)</f>
        <v>33</v>
      </c>
      <c r="F1270" s="2">
        <f>WEEKDAY(makulatura[[#This Row],[Data_dostarczenia]],2)</f>
        <v>4</v>
      </c>
    </row>
    <row r="1271" spans="1:6" x14ac:dyDescent="0.25">
      <c r="A1271" s="1">
        <v>42957</v>
      </c>
      <c r="B1271" s="2" t="s">
        <v>39</v>
      </c>
      <c r="C1271" s="2" t="s">
        <v>609</v>
      </c>
      <c r="D1271">
        <v>47</v>
      </c>
      <c r="E1271">
        <f>WEEKNUM(makulatura[[#This Row],[Data_dostarczenia]],13)</f>
        <v>33</v>
      </c>
      <c r="F1271" s="2">
        <f>WEEKDAY(makulatura[[#This Row],[Data_dostarczenia]],2)</f>
        <v>4</v>
      </c>
    </row>
    <row r="1272" spans="1:6" x14ac:dyDescent="0.25">
      <c r="A1272" s="1">
        <v>42957</v>
      </c>
      <c r="B1272" s="2" t="s">
        <v>77</v>
      </c>
      <c r="C1272" s="2" t="s">
        <v>384</v>
      </c>
      <c r="D1272">
        <v>55</v>
      </c>
      <c r="E1272">
        <f>WEEKNUM(makulatura[[#This Row],[Data_dostarczenia]],13)</f>
        <v>33</v>
      </c>
      <c r="F1272" s="2">
        <f>WEEKDAY(makulatura[[#This Row],[Data_dostarczenia]],2)</f>
        <v>4</v>
      </c>
    </row>
    <row r="1273" spans="1:6" x14ac:dyDescent="0.25">
      <c r="A1273" s="1">
        <v>42957</v>
      </c>
      <c r="B1273" s="2" t="s">
        <v>14</v>
      </c>
      <c r="C1273" s="2" t="s">
        <v>422</v>
      </c>
      <c r="D1273">
        <v>24</v>
      </c>
      <c r="E1273">
        <f>WEEKNUM(makulatura[[#This Row],[Data_dostarczenia]],13)</f>
        <v>33</v>
      </c>
      <c r="F1273" s="2">
        <f>WEEKDAY(makulatura[[#This Row],[Data_dostarczenia]],2)</f>
        <v>4</v>
      </c>
    </row>
    <row r="1274" spans="1:6" x14ac:dyDescent="0.25">
      <c r="A1274" s="1">
        <v>42958</v>
      </c>
      <c r="B1274" s="2" t="s">
        <v>16</v>
      </c>
      <c r="C1274" s="2" t="s">
        <v>642</v>
      </c>
      <c r="D1274">
        <v>3</v>
      </c>
      <c r="E1274">
        <f>WEEKNUM(makulatura[[#This Row],[Data_dostarczenia]],13)</f>
        <v>33</v>
      </c>
      <c r="F1274" s="2">
        <f>WEEKDAY(makulatura[[#This Row],[Data_dostarczenia]],2)</f>
        <v>5</v>
      </c>
    </row>
    <row r="1275" spans="1:6" x14ac:dyDescent="0.25">
      <c r="A1275" s="1">
        <v>42958</v>
      </c>
      <c r="B1275" s="2" t="s">
        <v>39</v>
      </c>
      <c r="C1275" s="2" t="s">
        <v>289</v>
      </c>
      <c r="D1275">
        <v>15</v>
      </c>
      <c r="E1275">
        <f>WEEKNUM(makulatura[[#This Row],[Data_dostarczenia]],13)</f>
        <v>33</v>
      </c>
      <c r="F1275" s="2">
        <f>WEEKDAY(makulatura[[#This Row],[Data_dostarczenia]],2)</f>
        <v>5</v>
      </c>
    </row>
    <row r="1276" spans="1:6" x14ac:dyDescent="0.25">
      <c r="A1276" s="1">
        <v>42958</v>
      </c>
      <c r="B1276" s="2" t="s">
        <v>201</v>
      </c>
      <c r="C1276" s="2" t="s">
        <v>643</v>
      </c>
      <c r="D1276">
        <v>15</v>
      </c>
      <c r="E1276">
        <f>WEEKNUM(makulatura[[#This Row],[Data_dostarczenia]],13)</f>
        <v>33</v>
      </c>
      <c r="F1276" s="2">
        <f>WEEKDAY(makulatura[[#This Row],[Data_dostarczenia]],2)</f>
        <v>5</v>
      </c>
    </row>
    <row r="1277" spans="1:6" x14ac:dyDescent="0.25">
      <c r="A1277" s="1">
        <v>42958</v>
      </c>
      <c r="B1277" s="2" t="s">
        <v>34</v>
      </c>
      <c r="C1277" s="2" t="s">
        <v>35</v>
      </c>
      <c r="D1277">
        <v>27</v>
      </c>
      <c r="E1277">
        <f>WEEKNUM(makulatura[[#This Row],[Data_dostarczenia]],13)</f>
        <v>33</v>
      </c>
      <c r="F1277" s="2">
        <f>WEEKDAY(makulatura[[#This Row],[Data_dostarczenia]],2)</f>
        <v>5</v>
      </c>
    </row>
    <row r="1278" spans="1:6" x14ac:dyDescent="0.25">
      <c r="A1278" s="1">
        <v>42958</v>
      </c>
      <c r="B1278" s="2" t="s">
        <v>55</v>
      </c>
      <c r="C1278" s="2" t="s">
        <v>493</v>
      </c>
      <c r="D1278">
        <v>31</v>
      </c>
      <c r="E1278">
        <f>WEEKNUM(makulatura[[#This Row],[Data_dostarczenia]],13)</f>
        <v>33</v>
      </c>
      <c r="F1278" s="2">
        <f>WEEKDAY(makulatura[[#This Row],[Data_dostarczenia]],2)</f>
        <v>5</v>
      </c>
    </row>
    <row r="1279" spans="1:6" x14ac:dyDescent="0.25">
      <c r="A1279" s="1">
        <v>42958</v>
      </c>
      <c r="B1279" s="2" t="s">
        <v>150</v>
      </c>
      <c r="C1279" s="2" t="s">
        <v>140</v>
      </c>
      <c r="D1279">
        <v>7</v>
      </c>
      <c r="E1279">
        <f>WEEKNUM(makulatura[[#This Row],[Data_dostarczenia]],13)</f>
        <v>33</v>
      </c>
      <c r="F1279" s="2">
        <f>WEEKDAY(makulatura[[#This Row],[Data_dostarczenia]],2)</f>
        <v>5</v>
      </c>
    </row>
    <row r="1280" spans="1:6" x14ac:dyDescent="0.25">
      <c r="A1280" s="1">
        <v>42958</v>
      </c>
      <c r="B1280" s="2" t="s">
        <v>427</v>
      </c>
      <c r="C1280" s="2" t="s">
        <v>118</v>
      </c>
      <c r="D1280">
        <v>20</v>
      </c>
      <c r="E1280">
        <f>WEEKNUM(makulatura[[#This Row],[Data_dostarczenia]],13)</f>
        <v>33</v>
      </c>
      <c r="F1280" s="2">
        <f>WEEKDAY(makulatura[[#This Row],[Data_dostarczenia]],2)</f>
        <v>5</v>
      </c>
    </row>
    <row r="1281" spans="1:6" x14ac:dyDescent="0.25">
      <c r="A1281" s="1">
        <v>42958</v>
      </c>
      <c r="B1281" s="2" t="s">
        <v>36</v>
      </c>
      <c r="C1281" s="2" t="s">
        <v>533</v>
      </c>
      <c r="D1281">
        <v>30</v>
      </c>
      <c r="E1281">
        <f>WEEKNUM(makulatura[[#This Row],[Data_dostarczenia]],13)</f>
        <v>33</v>
      </c>
      <c r="F1281" s="2">
        <f>WEEKDAY(makulatura[[#This Row],[Data_dostarczenia]],2)</f>
        <v>5</v>
      </c>
    </row>
    <row r="1282" spans="1:6" x14ac:dyDescent="0.25">
      <c r="A1282" s="1">
        <v>42961</v>
      </c>
      <c r="B1282" s="2" t="s">
        <v>25</v>
      </c>
      <c r="C1282" s="2" t="s">
        <v>146</v>
      </c>
      <c r="D1282">
        <v>22</v>
      </c>
      <c r="E1282">
        <f>WEEKNUM(makulatura[[#This Row],[Data_dostarczenia]],13)</f>
        <v>33</v>
      </c>
      <c r="F1282" s="2">
        <f>WEEKDAY(makulatura[[#This Row],[Data_dostarczenia]],2)</f>
        <v>1</v>
      </c>
    </row>
    <row r="1283" spans="1:6" x14ac:dyDescent="0.25">
      <c r="A1283" s="1">
        <v>42961</v>
      </c>
      <c r="B1283" s="2" t="s">
        <v>32</v>
      </c>
      <c r="C1283" s="2" t="s">
        <v>276</v>
      </c>
      <c r="D1283">
        <v>44</v>
      </c>
      <c r="E1283">
        <f>WEEKNUM(makulatura[[#This Row],[Data_dostarczenia]],13)</f>
        <v>33</v>
      </c>
      <c r="F1283" s="2">
        <f>WEEKDAY(makulatura[[#This Row],[Data_dostarczenia]],2)</f>
        <v>1</v>
      </c>
    </row>
    <row r="1284" spans="1:6" x14ac:dyDescent="0.25">
      <c r="A1284" s="1">
        <v>42961</v>
      </c>
      <c r="B1284" s="2" t="s">
        <v>51</v>
      </c>
      <c r="C1284" s="2" t="s">
        <v>358</v>
      </c>
      <c r="D1284">
        <v>5</v>
      </c>
      <c r="E1284">
        <f>WEEKNUM(makulatura[[#This Row],[Data_dostarczenia]],13)</f>
        <v>33</v>
      </c>
      <c r="F1284" s="2">
        <f>WEEKDAY(makulatura[[#This Row],[Data_dostarczenia]],2)</f>
        <v>1</v>
      </c>
    </row>
    <row r="1285" spans="1:6" x14ac:dyDescent="0.25">
      <c r="A1285" s="1">
        <v>42961</v>
      </c>
      <c r="B1285" s="2" t="s">
        <v>45</v>
      </c>
      <c r="C1285" s="2" t="s">
        <v>388</v>
      </c>
      <c r="D1285">
        <v>3</v>
      </c>
      <c r="E1285">
        <f>WEEKNUM(makulatura[[#This Row],[Data_dostarczenia]],13)</f>
        <v>33</v>
      </c>
      <c r="F1285" s="2">
        <f>WEEKDAY(makulatura[[#This Row],[Data_dostarczenia]],2)</f>
        <v>1</v>
      </c>
    </row>
    <row r="1286" spans="1:6" x14ac:dyDescent="0.25">
      <c r="A1286" s="1">
        <v>42961</v>
      </c>
      <c r="B1286" s="2" t="s">
        <v>128</v>
      </c>
      <c r="C1286" s="2" t="s">
        <v>12</v>
      </c>
      <c r="D1286">
        <v>6</v>
      </c>
      <c r="E1286">
        <f>WEEKNUM(makulatura[[#This Row],[Data_dostarczenia]],13)</f>
        <v>33</v>
      </c>
      <c r="F1286" s="2">
        <f>WEEKDAY(makulatura[[#This Row],[Data_dostarczenia]],2)</f>
        <v>1</v>
      </c>
    </row>
    <row r="1287" spans="1:6" x14ac:dyDescent="0.25">
      <c r="A1287" s="1">
        <v>42961</v>
      </c>
      <c r="B1287" s="2" t="s">
        <v>30</v>
      </c>
      <c r="C1287" s="2" t="s">
        <v>185</v>
      </c>
      <c r="D1287">
        <v>12</v>
      </c>
      <c r="E1287">
        <f>WEEKNUM(makulatura[[#This Row],[Data_dostarczenia]],13)</f>
        <v>33</v>
      </c>
      <c r="F1287" s="2">
        <f>WEEKDAY(makulatura[[#This Row],[Data_dostarczenia]],2)</f>
        <v>1</v>
      </c>
    </row>
    <row r="1288" spans="1:6" x14ac:dyDescent="0.25">
      <c r="A1288" s="1">
        <v>42961</v>
      </c>
      <c r="B1288" s="2" t="s">
        <v>155</v>
      </c>
      <c r="C1288" s="2" t="s">
        <v>156</v>
      </c>
      <c r="D1288">
        <v>5</v>
      </c>
      <c r="E1288">
        <f>WEEKNUM(makulatura[[#This Row],[Data_dostarczenia]],13)</f>
        <v>33</v>
      </c>
      <c r="F1288" s="2">
        <f>WEEKDAY(makulatura[[#This Row],[Data_dostarczenia]],2)</f>
        <v>1</v>
      </c>
    </row>
    <row r="1289" spans="1:6" x14ac:dyDescent="0.25">
      <c r="A1289" s="1">
        <v>42961</v>
      </c>
      <c r="B1289" s="2" t="s">
        <v>147</v>
      </c>
      <c r="C1289" s="2" t="s">
        <v>644</v>
      </c>
      <c r="D1289">
        <v>6</v>
      </c>
      <c r="E1289">
        <f>WEEKNUM(makulatura[[#This Row],[Data_dostarczenia]],13)</f>
        <v>33</v>
      </c>
      <c r="F1289" s="2">
        <f>WEEKDAY(makulatura[[#This Row],[Data_dostarczenia]],2)</f>
        <v>1</v>
      </c>
    </row>
    <row r="1290" spans="1:6" x14ac:dyDescent="0.25">
      <c r="A1290" s="1">
        <v>42962</v>
      </c>
      <c r="B1290" s="2" t="s">
        <v>30</v>
      </c>
      <c r="C1290" s="2" t="s">
        <v>89</v>
      </c>
      <c r="D1290">
        <v>29</v>
      </c>
      <c r="E1290">
        <f>WEEKNUM(makulatura[[#This Row],[Data_dostarczenia]],13)</f>
        <v>33</v>
      </c>
      <c r="F1290" s="2">
        <f>WEEKDAY(makulatura[[#This Row],[Data_dostarczenia]],2)</f>
        <v>2</v>
      </c>
    </row>
    <row r="1291" spans="1:6" x14ac:dyDescent="0.25">
      <c r="A1291" s="1">
        <v>42962</v>
      </c>
      <c r="B1291" s="2" t="s">
        <v>55</v>
      </c>
      <c r="C1291" s="2" t="s">
        <v>326</v>
      </c>
      <c r="D1291">
        <v>46</v>
      </c>
      <c r="E1291">
        <f>WEEKNUM(makulatura[[#This Row],[Data_dostarczenia]],13)</f>
        <v>33</v>
      </c>
      <c r="F1291" s="2">
        <f>WEEKDAY(makulatura[[#This Row],[Data_dostarczenia]],2)</f>
        <v>2</v>
      </c>
    </row>
    <row r="1292" spans="1:6" x14ac:dyDescent="0.25">
      <c r="A1292" s="1">
        <v>42962</v>
      </c>
      <c r="B1292" s="2" t="s">
        <v>171</v>
      </c>
      <c r="C1292" s="2" t="s">
        <v>645</v>
      </c>
      <c r="D1292">
        <v>20</v>
      </c>
      <c r="E1292">
        <f>WEEKNUM(makulatura[[#This Row],[Data_dostarczenia]],13)</f>
        <v>33</v>
      </c>
      <c r="F1292" s="2">
        <f>WEEKDAY(makulatura[[#This Row],[Data_dostarczenia]],2)</f>
        <v>2</v>
      </c>
    </row>
    <row r="1293" spans="1:6" x14ac:dyDescent="0.25">
      <c r="A1293" s="1">
        <v>42962</v>
      </c>
      <c r="B1293" s="2" t="s">
        <v>47</v>
      </c>
      <c r="C1293" s="2" t="s">
        <v>471</v>
      </c>
      <c r="D1293">
        <v>28</v>
      </c>
      <c r="E1293">
        <f>WEEKNUM(makulatura[[#This Row],[Data_dostarczenia]],13)</f>
        <v>33</v>
      </c>
      <c r="F1293" s="2">
        <f>WEEKDAY(makulatura[[#This Row],[Data_dostarczenia]],2)</f>
        <v>2</v>
      </c>
    </row>
    <row r="1294" spans="1:6" x14ac:dyDescent="0.25">
      <c r="A1294" s="1">
        <v>42962</v>
      </c>
      <c r="B1294" s="2" t="s">
        <v>574</v>
      </c>
      <c r="C1294" s="2" t="s">
        <v>421</v>
      </c>
      <c r="D1294">
        <v>5</v>
      </c>
      <c r="E1294">
        <f>WEEKNUM(makulatura[[#This Row],[Data_dostarczenia]],13)</f>
        <v>33</v>
      </c>
      <c r="F1294" s="2">
        <f>WEEKDAY(makulatura[[#This Row],[Data_dostarczenia]],2)</f>
        <v>2</v>
      </c>
    </row>
    <row r="1295" spans="1:6" x14ac:dyDescent="0.25">
      <c r="A1295" s="1">
        <v>42962</v>
      </c>
      <c r="B1295" s="2" t="s">
        <v>87</v>
      </c>
      <c r="C1295" s="2" t="s">
        <v>383</v>
      </c>
      <c r="D1295">
        <v>12</v>
      </c>
      <c r="E1295">
        <f>WEEKNUM(makulatura[[#This Row],[Data_dostarczenia]],13)</f>
        <v>33</v>
      </c>
      <c r="F1295" s="2">
        <f>WEEKDAY(makulatura[[#This Row],[Data_dostarczenia]],2)</f>
        <v>2</v>
      </c>
    </row>
    <row r="1296" spans="1:6" x14ac:dyDescent="0.25">
      <c r="A1296" s="1">
        <v>42962</v>
      </c>
      <c r="B1296" s="2" t="s">
        <v>57</v>
      </c>
      <c r="C1296" s="2" t="s">
        <v>399</v>
      </c>
      <c r="D1296">
        <v>29</v>
      </c>
      <c r="E1296">
        <f>WEEKNUM(makulatura[[#This Row],[Data_dostarczenia]],13)</f>
        <v>33</v>
      </c>
      <c r="F1296" s="2">
        <f>WEEKDAY(makulatura[[#This Row],[Data_dostarczenia]],2)</f>
        <v>2</v>
      </c>
    </row>
    <row r="1297" spans="1:6" x14ac:dyDescent="0.25">
      <c r="A1297" s="1">
        <v>42962</v>
      </c>
      <c r="B1297" s="2" t="s">
        <v>41</v>
      </c>
      <c r="C1297" s="2" t="s">
        <v>302</v>
      </c>
      <c r="D1297">
        <v>14</v>
      </c>
      <c r="E1297">
        <f>WEEKNUM(makulatura[[#This Row],[Data_dostarczenia]],13)</f>
        <v>33</v>
      </c>
      <c r="F1297" s="2">
        <f>WEEKDAY(makulatura[[#This Row],[Data_dostarczenia]],2)</f>
        <v>2</v>
      </c>
    </row>
    <row r="1298" spans="1:6" x14ac:dyDescent="0.25">
      <c r="A1298" s="1">
        <v>42963</v>
      </c>
      <c r="B1298" s="2" t="s">
        <v>476</v>
      </c>
      <c r="C1298" s="2" t="s">
        <v>622</v>
      </c>
      <c r="D1298">
        <v>29</v>
      </c>
      <c r="E1298">
        <f>WEEKNUM(makulatura[[#This Row],[Data_dostarczenia]],13)</f>
        <v>34</v>
      </c>
      <c r="F1298" s="2">
        <f>WEEKDAY(makulatura[[#This Row],[Data_dostarczenia]],2)</f>
        <v>3</v>
      </c>
    </row>
    <row r="1299" spans="1:6" x14ac:dyDescent="0.25">
      <c r="A1299" s="1">
        <v>42963</v>
      </c>
      <c r="B1299" s="2" t="s">
        <v>208</v>
      </c>
      <c r="C1299" s="2" t="s">
        <v>209</v>
      </c>
      <c r="D1299">
        <v>15</v>
      </c>
      <c r="E1299">
        <f>WEEKNUM(makulatura[[#This Row],[Data_dostarczenia]],13)</f>
        <v>34</v>
      </c>
      <c r="F1299" s="2">
        <f>WEEKDAY(makulatura[[#This Row],[Data_dostarczenia]],2)</f>
        <v>3</v>
      </c>
    </row>
    <row r="1300" spans="1:6" x14ac:dyDescent="0.25">
      <c r="A1300" s="1">
        <v>42963</v>
      </c>
      <c r="B1300" s="2" t="s">
        <v>36</v>
      </c>
      <c r="C1300" s="2" t="s">
        <v>560</v>
      </c>
      <c r="D1300">
        <v>35</v>
      </c>
      <c r="E1300">
        <f>WEEKNUM(makulatura[[#This Row],[Data_dostarczenia]],13)</f>
        <v>34</v>
      </c>
      <c r="F1300" s="2">
        <f>WEEKDAY(makulatura[[#This Row],[Data_dostarczenia]],2)</f>
        <v>3</v>
      </c>
    </row>
    <row r="1301" spans="1:6" x14ac:dyDescent="0.25">
      <c r="A1301" s="1">
        <v>42963</v>
      </c>
      <c r="B1301" s="2" t="s">
        <v>169</v>
      </c>
      <c r="C1301" s="2" t="s">
        <v>170</v>
      </c>
      <c r="D1301">
        <v>28</v>
      </c>
      <c r="E1301">
        <f>WEEKNUM(makulatura[[#This Row],[Data_dostarczenia]],13)</f>
        <v>34</v>
      </c>
      <c r="F1301" s="2">
        <f>WEEKDAY(makulatura[[#This Row],[Data_dostarczenia]],2)</f>
        <v>3</v>
      </c>
    </row>
    <row r="1302" spans="1:6" x14ac:dyDescent="0.25">
      <c r="A1302" s="1">
        <v>42963</v>
      </c>
      <c r="B1302" s="2" t="s">
        <v>248</v>
      </c>
      <c r="C1302" s="2" t="s">
        <v>249</v>
      </c>
      <c r="D1302">
        <v>3</v>
      </c>
      <c r="E1302">
        <f>WEEKNUM(makulatura[[#This Row],[Data_dostarczenia]],13)</f>
        <v>34</v>
      </c>
      <c r="F1302" s="2">
        <f>WEEKDAY(makulatura[[#This Row],[Data_dostarczenia]],2)</f>
        <v>3</v>
      </c>
    </row>
    <row r="1303" spans="1:6" x14ac:dyDescent="0.25">
      <c r="A1303" s="1">
        <v>42963</v>
      </c>
      <c r="B1303" s="2" t="s">
        <v>106</v>
      </c>
      <c r="C1303" s="2" t="s">
        <v>240</v>
      </c>
      <c r="D1303">
        <v>49</v>
      </c>
      <c r="E1303">
        <f>WEEKNUM(makulatura[[#This Row],[Data_dostarczenia]],13)</f>
        <v>34</v>
      </c>
      <c r="F1303" s="2">
        <f>WEEKDAY(makulatura[[#This Row],[Data_dostarczenia]],2)</f>
        <v>3</v>
      </c>
    </row>
    <row r="1304" spans="1:6" x14ac:dyDescent="0.25">
      <c r="A1304" s="1">
        <v>42963</v>
      </c>
      <c r="B1304" s="2" t="s">
        <v>407</v>
      </c>
      <c r="C1304" s="2" t="s">
        <v>408</v>
      </c>
      <c r="D1304">
        <v>21</v>
      </c>
      <c r="E1304">
        <f>WEEKNUM(makulatura[[#This Row],[Data_dostarczenia]],13)</f>
        <v>34</v>
      </c>
      <c r="F1304" s="2">
        <f>WEEKDAY(makulatura[[#This Row],[Data_dostarczenia]],2)</f>
        <v>3</v>
      </c>
    </row>
    <row r="1305" spans="1:6" x14ac:dyDescent="0.25">
      <c r="A1305" s="1">
        <v>42963</v>
      </c>
      <c r="B1305" s="2" t="s">
        <v>83</v>
      </c>
      <c r="C1305" s="2" t="s">
        <v>646</v>
      </c>
      <c r="D1305">
        <v>43</v>
      </c>
      <c r="E1305">
        <f>WEEKNUM(makulatura[[#This Row],[Data_dostarczenia]],13)</f>
        <v>34</v>
      </c>
      <c r="F1305" s="2">
        <f>WEEKDAY(makulatura[[#This Row],[Data_dostarczenia]],2)</f>
        <v>3</v>
      </c>
    </row>
    <row r="1306" spans="1:6" x14ac:dyDescent="0.25">
      <c r="A1306" s="1">
        <v>42964</v>
      </c>
      <c r="B1306" s="2" t="s">
        <v>128</v>
      </c>
      <c r="C1306" s="2" t="s">
        <v>12</v>
      </c>
      <c r="D1306">
        <v>6</v>
      </c>
      <c r="E1306">
        <f>WEEKNUM(makulatura[[#This Row],[Data_dostarczenia]],13)</f>
        <v>34</v>
      </c>
      <c r="F1306" s="2">
        <f>WEEKDAY(makulatura[[#This Row],[Data_dostarczenia]],2)</f>
        <v>4</v>
      </c>
    </row>
    <row r="1307" spans="1:6" x14ac:dyDescent="0.25">
      <c r="A1307" s="1">
        <v>42964</v>
      </c>
      <c r="B1307" s="2" t="s">
        <v>36</v>
      </c>
      <c r="C1307" s="2" t="s">
        <v>180</v>
      </c>
      <c r="D1307">
        <v>10</v>
      </c>
      <c r="E1307">
        <f>WEEKNUM(makulatura[[#This Row],[Data_dostarczenia]],13)</f>
        <v>34</v>
      </c>
      <c r="F1307" s="2">
        <f>WEEKDAY(makulatura[[#This Row],[Data_dostarczenia]],2)</f>
        <v>4</v>
      </c>
    </row>
    <row r="1308" spans="1:6" x14ac:dyDescent="0.25">
      <c r="A1308" s="1">
        <v>42964</v>
      </c>
      <c r="B1308" s="2" t="s">
        <v>97</v>
      </c>
      <c r="C1308" s="2" t="s">
        <v>188</v>
      </c>
      <c r="D1308">
        <v>7</v>
      </c>
      <c r="E1308">
        <f>WEEKNUM(makulatura[[#This Row],[Data_dostarczenia]],13)</f>
        <v>34</v>
      </c>
      <c r="F1308" s="2">
        <f>WEEKDAY(makulatura[[#This Row],[Data_dostarczenia]],2)</f>
        <v>4</v>
      </c>
    </row>
    <row r="1309" spans="1:6" x14ac:dyDescent="0.25">
      <c r="A1309" s="1">
        <v>42964</v>
      </c>
      <c r="B1309" s="2" t="s">
        <v>23</v>
      </c>
      <c r="C1309" s="2" t="s">
        <v>163</v>
      </c>
      <c r="D1309">
        <v>7</v>
      </c>
      <c r="E1309">
        <f>WEEKNUM(makulatura[[#This Row],[Data_dostarczenia]],13)</f>
        <v>34</v>
      </c>
      <c r="F1309" s="2">
        <f>WEEKDAY(makulatura[[#This Row],[Data_dostarczenia]],2)</f>
        <v>4</v>
      </c>
    </row>
    <row r="1310" spans="1:6" x14ac:dyDescent="0.25">
      <c r="A1310" s="1">
        <v>42964</v>
      </c>
      <c r="B1310" s="2" t="s">
        <v>152</v>
      </c>
      <c r="C1310" s="2" t="s">
        <v>319</v>
      </c>
      <c r="D1310">
        <v>22</v>
      </c>
      <c r="E1310">
        <f>WEEKNUM(makulatura[[#This Row],[Data_dostarczenia]],13)</f>
        <v>34</v>
      </c>
      <c r="F1310" s="2">
        <f>WEEKDAY(makulatura[[#This Row],[Data_dostarczenia]],2)</f>
        <v>4</v>
      </c>
    </row>
    <row r="1311" spans="1:6" x14ac:dyDescent="0.25">
      <c r="A1311" s="1">
        <v>42964</v>
      </c>
      <c r="B1311" s="2" t="s">
        <v>171</v>
      </c>
      <c r="C1311" s="2" t="s">
        <v>562</v>
      </c>
      <c r="D1311">
        <v>36</v>
      </c>
      <c r="E1311">
        <f>WEEKNUM(makulatura[[#This Row],[Data_dostarczenia]],13)</f>
        <v>34</v>
      </c>
      <c r="F1311" s="2">
        <f>WEEKDAY(makulatura[[#This Row],[Data_dostarczenia]],2)</f>
        <v>4</v>
      </c>
    </row>
    <row r="1312" spans="1:6" x14ac:dyDescent="0.25">
      <c r="A1312" s="1">
        <v>42964</v>
      </c>
      <c r="B1312" s="2" t="s">
        <v>206</v>
      </c>
      <c r="C1312" s="2" t="s">
        <v>192</v>
      </c>
      <c r="D1312">
        <v>13</v>
      </c>
      <c r="E1312">
        <f>WEEKNUM(makulatura[[#This Row],[Data_dostarczenia]],13)</f>
        <v>34</v>
      </c>
      <c r="F1312" s="2">
        <f>WEEKDAY(makulatura[[#This Row],[Data_dostarczenia]],2)</f>
        <v>4</v>
      </c>
    </row>
    <row r="1313" spans="1:6" x14ac:dyDescent="0.25">
      <c r="A1313" s="1">
        <v>42964</v>
      </c>
      <c r="B1313" s="2" t="s">
        <v>155</v>
      </c>
      <c r="C1313" s="2" t="s">
        <v>156</v>
      </c>
      <c r="D1313">
        <v>14</v>
      </c>
      <c r="E1313">
        <f>WEEKNUM(makulatura[[#This Row],[Data_dostarczenia]],13)</f>
        <v>34</v>
      </c>
      <c r="F1313" s="2">
        <f>WEEKDAY(makulatura[[#This Row],[Data_dostarczenia]],2)</f>
        <v>4</v>
      </c>
    </row>
    <row r="1314" spans="1:6" x14ac:dyDescent="0.25">
      <c r="A1314" s="1">
        <v>42965</v>
      </c>
      <c r="B1314" s="2" t="s">
        <v>150</v>
      </c>
      <c r="C1314" s="2" t="s">
        <v>462</v>
      </c>
      <c r="D1314">
        <v>6</v>
      </c>
      <c r="E1314">
        <f>WEEKNUM(makulatura[[#This Row],[Data_dostarczenia]],13)</f>
        <v>34</v>
      </c>
      <c r="F1314" s="2">
        <f>WEEKDAY(makulatura[[#This Row],[Data_dostarczenia]],2)</f>
        <v>5</v>
      </c>
    </row>
    <row r="1315" spans="1:6" x14ac:dyDescent="0.25">
      <c r="A1315" s="1">
        <v>42965</v>
      </c>
      <c r="B1315" s="2" t="s">
        <v>193</v>
      </c>
      <c r="C1315" s="2" t="s">
        <v>228</v>
      </c>
      <c r="D1315">
        <v>11</v>
      </c>
      <c r="E1315">
        <f>WEEKNUM(makulatura[[#This Row],[Data_dostarczenia]],13)</f>
        <v>34</v>
      </c>
      <c r="F1315" s="2">
        <f>WEEKDAY(makulatura[[#This Row],[Data_dostarczenia]],2)</f>
        <v>5</v>
      </c>
    </row>
    <row r="1316" spans="1:6" x14ac:dyDescent="0.25">
      <c r="A1316" s="1">
        <v>42965</v>
      </c>
      <c r="B1316" s="2" t="s">
        <v>147</v>
      </c>
      <c r="C1316" s="2" t="s">
        <v>644</v>
      </c>
      <c r="D1316">
        <v>22</v>
      </c>
      <c r="E1316">
        <f>WEEKNUM(makulatura[[#This Row],[Data_dostarczenia]],13)</f>
        <v>34</v>
      </c>
      <c r="F1316" s="2">
        <f>WEEKDAY(makulatura[[#This Row],[Data_dostarczenia]],2)</f>
        <v>5</v>
      </c>
    </row>
    <row r="1317" spans="1:6" x14ac:dyDescent="0.25">
      <c r="A1317" s="1">
        <v>42965</v>
      </c>
      <c r="B1317" s="2" t="s">
        <v>47</v>
      </c>
      <c r="C1317" s="2" t="s">
        <v>48</v>
      </c>
      <c r="D1317">
        <v>56</v>
      </c>
      <c r="E1317">
        <f>WEEKNUM(makulatura[[#This Row],[Data_dostarczenia]],13)</f>
        <v>34</v>
      </c>
      <c r="F1317" s="2">
        <f>WEEKDAY(makulatura[[#This Row],[Data_dostarczenia]],2)</f>
        <v>5</v>
      </c>
    </row>
    <row r="1318" spans="1:6" x14ac:dyDescent="0.25">
      <c r="A1318" s="1">
        <v>42965</v>
      </c>
      <c r="B1318" s="2" t="s">
        <v>55</v>
      </c>
      <c r="C1318" s="2" t="s">
        <v>459</v>
      </c>
      <c r="D1318">
        <v>55</v>
      </c>
      <c r="E1318">
        <f>WEEKNUM(makulatura[[#This Row],[Data_dostarczenia]],13)</f>
        <v>34</v>
      </c>
      <c r="F1318" s="2">
        <f>WEEKDAY(makulatura[[#This Row],[Data_dostarczenia]],2)</f>
        <v>5</v>
      </c>
    </row>
    <row r="1319" spans="1:6" x14ac:dyDescent="0.25">
      <c r="A1319" s="1">
        <v>42965</v>
      </c>
      <c r="B1319" s="2" t="s">
        <v>176</v>
      </c>
      <c r="C1319" s="2" t="s">
        <v>177</v>
      </c>
      <c r="D1319">
        <v>45</v>
      </c>
      <c r="E1319">
        <f>WEEKNUM(makulatura[[#This Row],[Data_dostarczenia]],13)</f>
        <v>34</v>
      </c>
      <c r="F1319" s="2">
        <f>WEEKDAY(makulatura[[#This Row],[Data_dostarczenia]],2)</f>
        <v>5</v>
      </c>
    </row>
    <row r="1320" spans="1:6" x14ac:dyDescent="0.25">
      <c r="A1320" s="1">
        <v>42965</v>
      </c>
      <c r="B1320" s="2" t="s">
        <v>63</v>
      </c>
      <c r="C1320" s="2" t="s">
        <v>231</v>
      </c>
      <c r="D1320">
        <v>12</v>
      </c>
      <c r="E1320">
        <f>WEEKNUM(makulatura[[#This Row],[Data_dostarczenia]],13)</f>
        <v>34</v>
      </c>
      <c r="F1320" s="2">
        <f>WEEKDAY(makulatura[[#This Row],[Data_dostarczenia]],2)</f>
        <v>5</v>
      </c>
    </row>
    <row r="1321" spans="1:6" x14ac:dyDescent="0.25">
      <c r="A1321" s="1">
        <v>42965</v>
      </c>
      <c r="B1321" s="2" t="s">
        <v>81</v>
      </c>
      <c r="C1321" s="2" t="s">
        <v>82</v>
      </c>
      <c r="D1321">
        <v>20</v>
      </c>
      <c r="E1321">
        <f>WEEKNUM(makulatura[[#This Row],[Data_dostarczenia]],13)</f>
        <v>34</v>
      </c>
      <c r="F1321" s="2">
        <f>WEEKDAY(makulatura[[#This Row],[Data_dostarczenia]],2)</f>
        <v>5</v>
      </c>
    </row>
    <row r="1322" spans="1:6" x14ac:dyDescent="0.25">
      <c r="A1322" s="1">
        <v>42968</v>
      </c>
      <c r="B1322" s="2" t="s">
        <v>514</v>
      </c>
      <c r="C1322" s="2" t="s">
        <v>515</v>
      </c>
      <c r="D1322">
        <v>8</v>
      </c>
      <c r="E1322">
        <f>WEEKNUM(makulatura[[#This Row],[Data_dostarczenia]],13)</f>
        <v>34</v>
      </c>
      <c r="F1322" s="2">
        <f>WEEKDAY(makulatura[[#This Row],[Data_dostarczenia]],2)</f>
        <v>1</v>
      </c>
    </row>
    <row r="1323" spans="1:6" x14ac:dyDescent="0.25">
      <c r="A1323" s="1">
        <v>42968</v>
      </c>
      <c r="B1323" s="2" t="s">
        <v>36</v>
      </c>
      <c r="C1323" s="2" t="s">
        <v>229</v>
      </c>
      <c r="D1323">
        <v>33</v>
      </c>
      <c r="E1323">
        <f>WEEKNUM(makulatura[[#This Row],[Data_dostarczenia]],13)</f>
        <v>34</v>
      </c>
      <c r="F1323" s="2">
        <f>WEEKDAY(makulatura[[#This Row],[Data_dostarczenia]],2)</f>
        <v>1</v>
      </c>
    </row>
    <row r="1324" spans="1:6" x14ac:dyDescent="0.25">
      <c r="A1324" s="1">
        <v>42968</v>
      </c>
      <c r="B1324" s="2" t="s">
        <v>41</v>
      </c>
      <c r="C1324" s="2" t="s">
        <v>302</v>
      </c>
      <c r="D1324">
        <v>9</v>
      </c>
      <c r="E1324">
        <f>WEEKNUM(makulatura[[#This Row],[Data_dostarczenia]],13)</f>
        <v>34</v>
      </c>
      <c r="F1324" s="2">
        <f>WEEKDAY(makulatura[[#This Row],[Data_dostarczenia]],2)</f>
        <v>1</v>
      </c>
    </row>
    <row r="1325" spans="1:6" x14ac:dyDescent="0.25">
      <c r="A1325" s="1">
        <v>42968</v>
      </c>
      <c r="B1325" s="2" t="s">
        <v>523</v>
      </c>
      <c r="C1325" s="2" t="s">
        <v>524</v>
      </c>
      <c r="D1325">
        <v>52</v>
      </c>
      <c r="E1325">
        <f>WEEKNUM(makulatura[[#This Row],[Data_dostarczenia]],13)</f>
        <v>34</v>
      </c>
      <c r="F1325" s="2">
        <f>WEEKDAY(makulatura[[#This Row],[Data_dostarczenia]],2)</f>
        <v>1</v>
      </c>
    </row>
    <row r="1326" spans="1:6" x14ac:dyDescent="0.25">
      <c r="A1326" s="1">
        <v>42968</v>
      </c>
      <c r="B1326" s="2" t="s">
        <v>232</v>
      </c>
      <c r="C1326" s="2" t="s">
        <v>627</v>
      </c>
      <c r="D1326">
        <v>48</v>
      </c>
      <c r="E1326">
        <f>WEEKNUM(makulatura[[#This Row],[Data_dostarczenia]],13)</f>
        <v>34</v>
      </c>
      <c r="F1326" s="2">
        <f>WEEKDAY(makulatura[[#This Row],[Data_dostarczenia]],2)</f>
        <v>1</v>
      </c>
    </row>
    <row r="1327" spans="1:6" x14ac:dyDescent="0.25">
      <c r="A1327" s="1">
        <v>42968</v>
      </c>
      <c r="B1327" s="2" t="s">
        <v>632</v>
      </c>
      <c r="C1327" s="2" t="s">
        <v>647</v>
      </c>
      <c r="D1327">
        <v>40</v>
      </c>
      <c r="E1327">
        <f>WEEKNUM(makulatura[[#This Row],[Data_dostarczenia]],13)</f>
        <v>34</v>
      </c>
      <c r="F1327" s="2">
        <f>WEEKDAY(makulatura[[#This Row],[Data_dostarczenia]],2)</f>
        <v>1</v>
      </c>
    </row>
    <row r="1328" spans="1:6" x14ac:dyDescent="0.25">
      <c r="A1328" s="1">
        <v>42968</v>
      </c>
      <c r="B1328" s="2" t="s">
        <v>81</v>
      </c>
      <c r="C1328" s="2" t="s">
        <v>648</v>
      </c>
      <c r="D1328">
        <v>52</v>
      </c>
      <c r="E1328">
        <f>WEEKNUM(makulatura[[#This Row],[Data_dostarczenia]],13)</f>
        <v>34</v>
      </c>
      <c r="F1328" s="2">
        <f>WEEKDAY(makulatura[[#This Row],[Data_dostarczenia]],2)</f>
        <v>1</v>
      </c>
    </row>
    <row r="1329" spans="1:6" x14ac:dyDescent="0.25">
      <c r="A1329" s="1">
        <v>42968</v>
      </c>
      <c r="B1329" s="2" t="s">
        <v>92</v>
      </c>
      <c r="C1329" s="2" t="s">
        <v>638</v>
      </c>
      <c r="D1329">
        <v>34</v>
      </c>
      <c r="E1329">
        <f>WEEKNUM(makulatura[[#This Row],[Data_dostarczenia]],13)</f>
        <v>34</v>
      </c>
      <c r="F1329" s="2">
        <f>WEEKDAY(makulatura[[#This Row],[Data_dostarczenia]],2)</f>
        <v>1</v>
      </c>
    </row>
    <row r="1330" spans="1:6" x14ac:dyDescent="0.25">
      <c r="A1330" s="1">
        <v>42969</v>
      </c>
      <c r="B1330" s="2" t="s">
        <v>416</v>
      </c>
      <c r="C1330" s="2" t="s">
        <v>572</v>
      </c>
      <c r="D1330">
        <v>2</v>
      </c>
      <c r="E1330">
        <f>WEEKNUM(makulatura[[#This Row],[Data_dostarczenia]],13)</f>
        <v>34</v>
      </c>
      <c r="F1330" s="2">
        <f>WEEKDAY(makulatura[[#This Row],[Data_dostarczenia]],2)</f>
        <v>2</v>
      </c>
    </row>
    <row r="1331" spans="1:6" x14ac:dyDescent="0.25">
      <c r="A1331" s="1">
        <v>42969</v>
      </c>
      <c r="B1331" s="2" t="s">
        <v>34</v>
      </c>
      <c r="C1331" s="2" t="s">
        <v>35</v>
      </c>
      <c r="D1331">
        <v>9</v>
      </c>
      <c r="E1331">
        <f>WEEKNUM(makulatura[[#This Row],[Data_dostarczenia]],13)</f>
        <v>34</v>
      </c>
      <c r="F1331" s="2">
        <f>WEEKDAY(makulatura[[#This Row],[Data_dostarczenia]],2)</f>
        <v>2</v>
      </c>
    </row>
    <row r="1332" spans="1:6" x14ac:dyDescent="0.25">
      <c r="A1332" s="1">
        <v>42969</v>
      </c>
      <c r="B1332" s="2" t="s">
        <v>97</v>
      </c>
      <c r="C1332" s="2" t="s">
        <v>380</v>
      </c>
      <c r="D1332">
        <v>24</v>
      </c>
      <c r="E1332">
        <f>WEEKNUM(makulatura[[#This Row],[Data_dostarczenia]],13)</f>
        <v>34</v>
      </c>
      <c r="F1332" s="2">
        <f>WEEKDAY(makulatura[[#This Row],[Data_dostarczenia]],2)</f>
        <v>2</v>
      </c>
    </row>
    <row r="1333" spans="1:6" x14ac:dyDescent="0.25">
      <c r="A1333" s="1">
        <v>42969</v>
      </c>
      <c r="B1333" s="2" t="s">
        <v>327</v>
      </c>
      <c r="C1333" s="2" t="s">
        <v>102</v>
      </c>
      <c r="D1333">
        <v>28</v>
      </c>
      <c r="E1333">
        <f>WEEKNUM(makulatura[[#This Row],[Data_dostarczenia]],13)</f>
        <v>34</v>
      </c>
      <c r="F1333" s="2">
        <f>WEEKDAY(makulatura[[#This Row],[Data_dostarczenia]],2)</f>
        <v>2</v>
      </c>
    </row>
    <row r="1334" spans="1:6" x14ac:dyDescent="0.25">
      <c r="A1334" s="1">
        <v>42969</v>
      </c>
      <c r="B1334" s="2" t="s">
        <v>243</v>
      </c>
      <c r="C1334" s="2" t="s">
        <v>82</v>
      </c>
      <c r="D1334">
        <v>16</v>
      </c>
      <c r="E1334">
        <f>WEEKNUM(makulatura[[#This Row],[Data_dostarczenia]],13)</f>
        <v>34</v>
      </c>
      <c r="F1334" s="2">
        <f>WEEKDAY(makulatura[[#This Row],[Data_dostarczenia]],2)</f>
        <v>2</v>
      </c>
    </row>
    <row r="1335" spans="1:6" x14ac:dyDescent="0.25">
      <c r="A1335" s="1">
        <v>42969</v>
      </c>
      <c r="B1335" s="2" t="s">
        <v>195</v>
      </c>
      <c r="C1335" s="2" t="s">
        <v>401</v>
      </c>
      <c r="D1335">
        <v>19</v>
      </c>
      <c r="E1335">
        <f>WEEKNUM(makulatura[[#This Row],[Data_dostarczenia]],13)</f>
        <v>34</v>
      </c>
      <c r="F1335" s="2">
        <f>WEEKDAY(makulatura[[#This Row],[Data_dostarczenia]],2)</f>
        <v>2</v>
      </c>
    </row>
    <row r="1336" spans="1:6" x14ac:dyDescent="0.25">
      <c r="A1336" s="1">
        <v>42969</v>
      </c>
      <c r="B1336" s="2" t="s">
        <v>30</v>
      </c>
      <c r="C1336" s="2" t="s">
        <v>185</v>
      </c>
      <c r="D1336">
        <v>26</v>
      </c>
      <c r="E1336">
        <f>WEEKNUM(makulatura[[#This Row],[Data_dostarczenia]],13)</f>
        <v>34</v>
      </c>
      <c r="F1336" s="2">
        <f>WEEKDAY(makulatura[[#This Row],[Data_dostarczenia]],2)</f>
        <v>2</v>
      </c>
    </row>
    <row r="1337" spans="1:6" x14ac:dyDescent="0.25">
      <c r="A1337" s="1">
        <v>42969</v>
      </c>
      <c r="B1337" s="2" t="s">
        <v>30</v>
      </c>
      <c r="C1337" s="2" t="s">
        <v>387</v>
      </c>
      <c r="D1337">
        <v>29</v>
      </c>
      <c r="E1337">
        <f>WEEKNUM(makulatura[[#This Row],[Data_dostarczenia]],13)</f>
        <v>34</v>
      </c>
      <c r="F1337" s="2">
        <f>WEEKDAY(makulatura[[#This Row],[Data_dostarczenia]],2)</f>
        <v>2</v>
      </c>
    </row>
    <row r="1338" spans="1:6" x14ac:dyDescent="0.25">
      <c r="A1338" s="1">
        <v>42970</v>
      </c>
      <c r="B1338" s="2" t="s">
        <v>141</v>
      </c>
      <c r="C1338" s="2" t="s">
        <v>649</v>
      </c>
      <c r="D1338">
        <v>51</v>
      </c>
      <c r="E1338">
        <f>WEEKNUM(makulatura[[#This Row],[Data_dostarczenia]],13)</f>
        <v>35</v>
      </c>
      <c r="F1338" s="2">
        <f>WEEKDAY(makulatura[[#This Row],[Data_dostarczenia]],2)</f>
        <v>3</v>
      </c>
    </row>
    <row r="1339" spans="1:6" x14ac:dyDescent="0.25">
      <c r="A1339" s="1">
        <v>42970</v>
      </c>
      <c r="B1339" s="2" t="s">
        <v>53</v>
      </c>
      <c r="C1339" s="2" t="s">
        <v>54</v>
      </c>
      <c r="D1339">
        <v>25</v>
      </c>
      <c r="E1339">
        <f>WEEKNUM(makulatura[[#This Row],[Data_dostarczenia]],13)</f>
        <v>35</v>
      </c>
      <c r="F1339" s="2">
        <f>WEEKDAY(makulatura[[#This Row],[Data_dostarczenia]],2)</f>
        <v>3</v>
      </c>
    </row>
    <row r="1340" spans="1:6" x14ac:dyDescent="0.25">
      <c r="A1340" s="1">
        <v>42970</v>
      </c>
      <c r="B1340" s="2" t="s">
        <v>23</v>
      </c>
      <c r="C1340" s="2" t="s">
        <v>604</v>
      </c>
      <c r="D1340">
        <v>33</v>
      </c>
      <c r="E1340">
        <f>WEEKNUM(makulatura[[#This Row],[Data_dostarczenia]],13)</f>
        <v>35</v>
      </c>
      <c r="F1340" s="2">
        <f>WEEKDAY(makulatura[[#This Row],[Data_dostarczenia]],2)</f>
        <v>3</v>
      </c>
    </row>
    <row r="1341" spans="1:6" x14ac:dyDescent="0.25">
      <c r="A1341" s="1">
        <v>42970</v>
      </c>
      <c r="B1341" s="2" t="s">
        <v>267</v>
      </c>
      <c r="C1341" s="2" t="s">
        <v>268</v>
      </c>
      <c r="D1341">
        <v>18</v>
      </c>
      <c r="E1341">
        <f>WEEKNUM(makulatura[[#This Row],[Data_dostarczenia]],13)</f>
        <v>35</v>
      </c>
      <c r="F1341" s="2">
        <f>WEEKDAY(makulatura[[#This Row],[Data_dostarczenia]],2)</f>
        <v>3</v>
      </c>
    </row>
    <row r="1342" spans="1:6" x14ac:dyDescent="0.25">
      <c r="A1342" s="1">
        <v>42970</v>
      </c>
      <c r="B1342" s="2" t="s">
        <v>92</v>
      </c>
      <c r="C1342" s="2" t="s">
        <v>638</v>
      </c>
      <c r="D1342">
        <v>19</v>
      </c>
      <c r="E1342">
        <f>WEEKNUM(makulatura[[#This Row],[Data_dostarczenia]],13)</f>
        <v>35</v>
      </c>
      <c r="F1342" s="2">
        <f>WEEKDAY(makulatura[[#This Row],[Data_dostarczenia]],2)</f>
        <v>3</v>
      </c>
    </row>
    <row r="1343" spans="1:6" x14ac:dyDescent="0.25">
      <c r="A1343" s="1">
        <v>42970</v>
      </c>
      <c r="B1343" s="2" t="s">
        <v>30</v>
      </c>
      <c r="C1343" s="2" t="s">
        <v>89</v>
      </c>
      <c r="D1343">
        <v>42</v>
      </c>
      <c r="E1343">
        <f>WEEKNUM(makulatura[[#This Row],[Data_dostarczenia]],13)</f>
        <v>35</v>
      </c>
      <c r="F1343" s="2">
        <f>WEEKDAY(makulatura[[#This Row],[Data_dostarczenia]],2)</f>
        <v>3</v>
      </c>
    </row>
    <row r="1344" spans="1:6" x14ac:dyDescent="0.25">
      <c r="A1344" s="1">
        <v>42970</v>
      </c>
      <c r="B1344" s="2" t="s">
        <v>30</v>
      </c>
      <c r="C1344" s="2" t="s">
        <v>387</v>
      </c>
      <c r="D1344">
        <v>15</v>
      </c>
      <c r="E1344">
        <f>WEEKNUM(makulatura[[#This Row],[Data_dostarczenia]],13)</f>
        <v>35</v>
      </c>
      <c r="F1344" s="2">
        <f>WEEKDAY(makulatura[[#This Row],[Data_dostarczenia]],2)</f>
        <v>3</v>
      </c>
    </row>
    <row r="1345" spans="1:6" x14ac:dyDescent="0.25">
      <c r="A1345" s="1">
        <v>42970</v>
      </c>
      <c r="B1345" s="2" t="s">
        <v>361</v>
      </c>
      <c r="C1345" s="2" t="s">
        <v>424</v>
      </c>
      <c r="D1345">
        <v>15</v>
      </c>
      <c r="E1345">
        <f>WEEKNUM(makulatura[[#This Row],[Data_dostarczenia]],13)</f>
        <v>35</v>
      </c>
      <c r="F1345" s="2">
        <f>WEEKDAY(makulatura[[#This Row],[Data_dostarczenia]],2)</f>
        <v>3</v>
      </c>
    </row>
    <row r="1346" spans="1:6" x14ac:dyDescent="0.25">
      <c r="A1346" s="1">
        <v>42971</v>
      </c>
      <c r="B1346" s="2" t="s">
        <v>174</v>
      </c>
      <c r="C1346" s="2" t="s">
        <v>175</v>
      </c>
      <c r="D1346">
        <v>3</v>
      </c>
      <c r="E1346">
        <f>WEEKNUM(makulatura[[#This Row],[Data_dostarczenia]],13)</f>
        <v>35</v>
      </c>
      <c r="F1346" s="2">
        <f>WEEKDAY(makulatura[[#This Row],[Data_dostarczenia]],2)</f>
        <v>4</v>
      </c>
    </row>
    <row r="1347" spans="1:6" x14ac:dyDescent="0.25">
      <c r="A1347" s="1">
        <v>42971</v>
      </c>
      <c r="B1347" s="2" t="s">
        <v>284</v>
      </c>
      <c r="C1347" s="2" t="s">
        <v>285</v>
      </c>
      <c r="D1347">
        <v>13</v>
      </c>
      <c r="E1347">
        <f>WEEKNUM(makulatura[[#This Row],[Data_dostarczenia]],13)</f>
        <v>35</v>
      </c>
      <c r="F1347" s="2">
        <f>WEEKDAY(makulatura[[#This Row],[Data_dostarczenia]],2)</f>
        <v>4</v>
      </c>
    </row>
    <row r="1348" spans="1:6" x14ac:dyDescent="0.25">
      <c r="A1348" s="1">
        <v>42971</v>
      </c>
      <c r="B1348" s="2" t="s">
        <v>393</v>
      </c>
      <c r="C1348" s="2" t="s">
        <v>398</v>
      </c>
      <c r="D1348">
        <v>27</v>
      </c>
      <c r="E1348">
        <f>WEEKNUM(makulatura[[#This Row],[Data_dostarczenia]],13)</f>
        <v>35</v>
      </c>
      <c r="F1348" s="2">
        <f>WEEKDAY(makulatura[[#This Row],[Data_dostarczenia]],2)</f>
        <v>4</v>
      </c>
    </row>
    <row r="1349" spans="1:6" x14ac:dyDescent="0.25">
      <c r="A1349" s="1">
        <v>42971</v>
      </c>
      <c r="B1349" s="2" t="s">
        <v>155</v>
      </c>
      <c r="C1349" s="2" t="s">
        <v>650</v>
      </c>
      <c r="D1349">
        <v>18</v>
      </c>
      <c r="E1349">
        <f>WEEKNUM(makulatura[[#This Row],[Data_dostarczenia]],13)</f>
        <v>35</v>
      </c>
      <c r="F1349" s="2">
        <f>WEEKDAY(makulatura[[#This Row],[Data_dostarczenia]],2)</f>
        <v>4</v>
      </c>
    </row>
    <row r="1350" spans="1:6" x14ac:dyDescent="0.25">
      <c r="A1350" s="1">
        <v>42971</v>
      </c>
      <c r="B1350" s="2" t="s">
        <v>171</v>
      </c>
      <c r="C1350" s="2" t="s">
        <v>651</v>
      </c>
      <c r="D1350">
        <v>42</v>
      </c>
      <c r="E1350">
        <f>WEEKNUM(makulatura[[#This Row],[Data_dostarczenia]],13)</f>
        <v>35</v>
      </c>
      <c r="F1350" s="2">
        <f>WEEKDAY(makulatura[[#This Row],[Data_dostarczenia]],2)</f>
        <v>4</v>
      </c>
    </row>
    <row r="1351" spans="1:6" x14ac:dyDescent="0.25">
      <c r="A1351" s="1">
        <v>42971</v>
      </c>
      <c r="B1351" s="2" t="s">
        <v>280</v>
      </c>
      <c r="C1351" s="2" t="s">
        <v>281</v>
      </c>
      <c r="D1351">
        <v>9</v>
      </c>
      <c r="E1351">
        <f>WEEKNUM(makulatura[[#This Row],[Data_dostarczenia]],13)</f>
        <v>35</v>
      </c>
      <c r="F1351" s="2">
        <f>WEEKDAY(makulatura[[#This Row],[Data_dostarczenia]],2)</f>
        <v>4</v>
      </c>
    </row>
    <row r="1352" spans="1:6" x14ac:dyDescent="0.25">
      <c r="A1352" s="1">
        <v>42971</v>
      </c>
      <c r="B1352" s="2" t="s">
        <v>83</v>
      </c>
      <c r="C1352" s="2" t="s">
        <v>513</v>
      </c>
      <c r="D1352">
        <v>22</v>
      </c>
      <c r="E1352">
        <f>WEEKNUM(makulatura[[#This Row],[Data_dostarczenia]],13)</f>
        <v>35</v>
      </c>
      <c r="F1352" s="2">
        <f>WEEKDAY(makulatura[[#This Row],[Data_dostarczenia]],2)</f>
        <v>4</v>
      </c>
    </row>
    <row r="1353" spans="1:6" x14ac:dyDescent="0.25">
      <c r="A1353" s="1">
        <v>42971</v>
      </c>
      <c r="B1353" s="2" t="s">
        <v>34</v>
      </c>
      <c r="C1353" s="2" t="s">
        <v>481</v>
      </c>
      <c r="D1353">
        <v>47</v>
      </c>
      <c r="E1353">
        <f>WEEKNUM(makulatura[[#This Row],[Data_dostarczenia]],13)</f>
        <v>35</v>
      </c>
      <c r="F1353" s="2">
        <f>WEEKDAY(makulatura[[#This Row],[Data_dostarczenia]],2)</f>
        <v>4</v>
      </c>
    </row>
    <row r="1354" spans="1:6" x14ac:dyDescent="0.25">
      <c r="A1354" s="1">
        <v>42972</v>
      </c>
      <c r="B1354" s="2" t="s">
        <v>632</v>
      </c>
      <c r="C1354" s="2" t="s">
        <v>647</v>
      </c>
      <c r="D1354">
        <v>55</v>
      </c>
      <c r="E1354">
        <f>WEEKNUM(makulatura[[#This Row],[Data_dostarczenia]],13)</f>
        <v>35</v>
      </c>
      <c r="F1354" s="2">
        <f>WEEKDAY(makulatura[[#This Row],[Data_dostarczenia]],2)</f>
        <v>5</v>
      </c>
    </row>
    <row r="1355" spans="1:6" x14ac:dyDescent="0.25">
      <c r="A1355" s="1">
        <v>42972</v>
      </c>
      <c r="B1355" s="2" t="s">
        <v>41</v>
      </c>
      <c r="C1355" s="2" t="s">
        <v>238</v>
      </c>
      <c r="D1355">
        <v>9</v>
      </c>
      <c r="E1355">
        <f>WEEKNUM(makulatura[[#This Row],[Data_dostarczenia]],13)</f>
        <v>35</v>
      </c>
      <c r="F1355" s="2">
        <f>WEEKDAY(makulatura[[#This Row],[Data_dostarczenia]],2)</f>
        <v>5</v>
      </c>
    </row>
    <row r="1356" spans="1:6" x14ac:dyDescent="0.25">
      <c r="A1356" s="1">
        <v>42972</v>
      </c>
      <c r="B1356" s="2" t="s">
        <v>12</v>
      </c>
      <c r="C1356" s="2" t="s">
        <v>13</v>
      </c>
      <c r="D1356">
        <v>27</v>
      </c>
      <c r="E1356">
        <f>WEEKNUM(makulatura[[#This Row],[Data_dostarczenia]],13)</f>
        <v>35</v>
      </c>
      <c r="F1356" s="2">
        <f>WEEKDAY(makulatura[[#This Row],[Data_dostarczenia]],2)</f>
        <v>5</v>
      </c>
    </row>
    <row r="1357" spans="1:6" x14ac:dyDescent="0.25">
      <c r="A1357" s="1">
        <v>42972</v>
      </c>
      <c r="B1357" s="2" t="s">
        <v>131</v>
      </c>
      <c r="C1357" s="2" t="s">
        <v>451</v>
      </c>
      <c r="D1357">
        <v>11</v>
      </c>
      <c r="E1357">
        <f>WEEKNUM(makulatura[[#This Row],[Data_dostarczenia]],13)</f>
        <v>35</v>
      </c>
      <c r="F1357" s="2">
        <f>WEEKDAY(makulatura[[#This Row],[Data_dostarczenia]],2)</f>
        <v>5</v>
      </c>
    </row>
    <row r="1358" spans="1:6" x14ac:dyDescent="0.25">
      <c r="A1358" s="1">
        <v>42972</v>
      </c>
      <c r="B1358" s="2" t="s">
        <v>39</v>
      </c>
      <c r="C1358" s="2" t="s">
        <v>289</v>
      </c>
      <c r="D1358">
        <v>42</v>
      </c>
      <c r="E1358">
        <f>WEEKNUM(makulatura[[#This Row],[Data_dostarczenia]],13)</f>
        <v>35</v>
      </c>
      <c r="F1358" s="2">
        <f>WEEKDAY(makulatura[[#This Row],[Data_dostarczenia]],2)</f>
        <v>5</v>
      </c>
    </row>
    <row r="1359" spans="1:6" x14ac:dyDescent="0.25">
      <c r="A1359" s="1">
        <v>42972</v>
      </c>
      <c r="B1359" s="2" t="s">
        <v>133</v>
      </c>
      <c r="C1359" s="2" t="s">
        <v>652</v>
      </c>
      <c r="D1359">
        <v>8</v>
      </c>
      <c r="E1359">
        <f>WEEKNUM(makulatura[[#This Row],[Data_dostarczenia]],13)</f>
        <v>35</v>
      </c>
      <c r="F1359" s="2">
        <f>WEEKDAY(makulatura[[#This Row],[Data_dostarczenia]],2)</f>
        <v>5</v>
      </c>
    </row>
    <row r="1360" spans="1:6" x14ac:dyDescent="0.25">
      <c r="A1360" s="1">
        <v>42972</v>
      </c>
      <c r="B1360" s="2" t="s">
        <v>244</v>
      </c>
      <c r="C1360" s="2" t="s">
        <v>245</v>
      </c>
      <c r="D1360">
        <v>39</v>
      </c>
      <c r="E1360">
        <f>WEEKNUM(makulatura[[#This Row],[Data_dostarczenia]],13)</f>
        <v>35</v>
      </c>
      <c r="F1360" s="2">
        <f>WEEKDAY(makulatura[[#This Row],[Data_dostarczenia]],2)</f>
        <v>5</v>
      </c>
    </row>
    <row r="1361" spans="1:6" x14ac:dyDescent="0.25">
      <c r="A1361" s="1">
        <v>42972</v>
      </c>
      <c r="B1361" s="2" t="s">
        <v>193</v>
      </c>
      <c r="C1361" s="2" t="s">
        <v>406</v>
      </c>
      <c r="D1361">
        <v>26</v>
      </c>
      <c r="E1361">
        <f>WEEKNUM(makulatura[[#This Row],[Data_dostarczenia]],13)</f>
        <v>35</v>
      </c>
      <c r="F1361" s="2">
        <f>WEEKDAY(makulatura[[#This Row],[Data_dostarczenia]],2)</f>
        <v>5</v>
      </c>
    </row>
    <row r="1362" spans="1:6" x14ac:dyDescent="0.25">
      <c r="A1362" s="1">
        <v>42975</v>
      </c>
      <c r="B1362" s="2" t="s">
        <v>32</v>
      </c>
      <c r="C1362" s="2" t="s">
        <v>33</v>
      </c>
      <c r="D1362">
        <v>28</v>
      </c>
      <c r="E1362">
        <f>WEEKNUM(makulatura[[#This Row],[Data_dostarczenia]],13)</f>
        <v>35</v>
      </c>
      <c r="F1362" s="2">
        <f>WEEKDAY(makulatura[[#This Row],[Data_dostarczenia]],2)</f>
        <v>1</v>
      </c>
    </row>
    <row r="1363" spans="1:6" x14ac:dyDescent="0.25">
      <c r="A1363" s="1">
        <v>42975</v>
      </c>
      <c r="B1363" s="2" t="s">
        <v>114</v>
      </c>
      <c r="C1363" s="2" t="s">
        <v>653</v>
      </c>
      <c r="D1363">
        <v>40</v>
      </c>
      <c r="E1363">
        <f>WEEKNUM(makulatura[[#This Row],[Data_dostarczenia]],13)</f>
        <v>35</v>
      </c>
      <c r="F1363" s="2">
        <f>WEEKDAY(makulatura[[#This Row],[Data_dostarczenia]],2)</f>
        <v>1</v>
      </c>
    </row>
    <row r="1364" spans="1:6" x14ac:dyDescent="0.25">
      <c r="A1364" s="1">
        <v>42975</v>
      </c>
      <c r="B1364" s="2" t="s">
        <v>203</v>
      </c>
      <c r="C1364" s="2" t="s">
        <v>370</v>
      </c>
      <c r="D1364">
        <v>17</v>
      </c>
      <c r="E1364">
        <f>WEEKNUM(makulatura[[#This Row],[Data_dostarczenia]],13)</f>
        <v>35</v>
      </c>
      <c r="F1364" s="2">
        <f>WEEKDAY(makulatura[[#This Row],[Data_dostarczenia]],2)</f>
        <v>1</v>
      </c>
    </row>
    <row r="1365" spans="1:6" x14ac:dyDescent="0.25">
      <c r="A1365" s="1">
        <v>42975</v>
      </c>
      <c r="B1365" s="2" t="s">
        <v>299</v>
      </c>
      <c r="C1365" s="2" t="s">
        <v>482</v>
      </c>
      <c r="D1365">
        <v>2</v>
      </c>
      <c r="E1365">
        <f>WEEKNUM(makulatura[[#This Row],[Data_dostarczenia]],13)</f>
        <v>35</v>
      </c>
      <c r="F1365" s="2">
        <f>WEEKDAY(makulatura[[#This Row],[Data_dostarczenia]],2)</f>
        <v>1</v>
      </c>
    </row>
    <row r="1366" spans="1:6" x14ac:dyDescent="0.25">
      <c r="A1366" s="1">
        <v>42975</v>
      </c>
      <c r="B1366" s="2" t="s">
        <v>106</v>
      </c>
      <c r="C1366" s="2" t="s">
        <v>277</v>
      </c>
      <c r="D1366">
        <v>22</v>
      </c>
      <c r="E1366">
        <f>WEEKNUM(makulatura[[#This Row],[Data_dostarczenia]],13)</f>
        <v>35</v>
      </c>
      <c r="F1366" s="2">
        <f>WEEKDAY(makulatura[[#This Row],[Data_dostarczenia]],2)</f>
        <v>1</v>
      </c>
    </row>
    <row r="1367" spans="1:6" x14ac:dyDescent="0.25">
      <c r="A1367" s="1">
        <v>42975</v>
      </c>
      <c r="B1367" s="2" t="s">
        <v>39</v>
      </c>
      <c r="C1367" s="2" t="s">
        <v>289</v>
      </c>
      <c r="D1367">
        <v>18</v>
      </c>
      <c r="E1367">
        <f>WEEKNUM(makulatura[[#This Row],[Data_dostarczenia]],13)</f>
        <v>35</v>
      </c>
      <c r="F1367" s="2">
        <f>WEEKDAY(makulatura[[#This Row],[Data_dostarczenia]],2)</f>
        <v>1</v>
      </c>
    </row>
    <row r="1368" spans="1:6" x14ac:dyDescent="0.25">
      <c r="A1368" s="1">
        <v>42975</v>
      </c>
      <c r="B1368" s="2" t="s">
        <v>83</v>
      </c>
      <c r="C1368" s="2" t="s">
        <v>561</v>
      </c>
      <c r="D1368">
        <v>35</v>
      </c>
      <c r="E1368">
        <f>WEEKNUM(makulatura[[#This Row],[Data_dostarczenia]],13)</f>
        <v>35</v>
      </c>
      <c r="F1368" s="2">
        <f>WEEKDAY(makulatura[[#This Row],[Data_dostarczenia]],2)</f>
        <v>1</v>
      </c>
    </row>
    <row r="1369" spans="1:6" x14ac:dyDescent="0.25">
      <c r="A1369" s="1">
        <v>42975</v>
      </c>
      <c r="B1369" s="2" t="s">
        <v>178</v>
      </c>
      <c r="C1369" s="2" t="s">
        <v>335</v>
      </c>
      <c r="D1369">
        <v>7</v>
      </c>
      <c r="E1369">
        <f>WEEKNUM(makulatura[[#This Row],[Data_dostarczenia]],13)</f>
        <v>35</v>
      </c>
      <c r="F1369" s="2">
        <f>WEEKDAY(makulatura[[#This Row],[Data_dostarczenia]],2)</f>
        <v>1</v>
      </c>
    </row>
    <row r="1370" spans="1:6" x14ac:dyDescent="0.25">
      <c r="A1370" s="1">
        <v>42975</v>
      </c>
      <c r="B1370" s="2" t="s">
        <v>280</v>
      </c>
      <c r="C1370" s="2" t="s">
        <v>447</v>
      </c>
      <c r="D1370">
        <v>12</v>
      </c>
      <c r="E1370">
        <f>WEEKNUM(makulatura[[#This Row],[Data_dostarczenia]],13)</f>
        <v>35</v>
      </c>
      <c r="F1370" s="2">
        <f>WEEKDAY(makulatura[[#This Row],[Data_dostarczenia]],2)</f>
        <v>1</v>
      </c>
    </row>
    <row r="1371" spans="1:6" x14ac:dyDescent="0.25">
      <c r="A1371" s="1">
        <v>42975</v>
      </c>
      <c r="B1371" s="2" t="s">
        <v>139</v>
      </c>
      <c r="C1371" s="2" t="s">
        <v>654</v>
      </c>
      <c r="D1371">
        <v>32</v>
      </c>
      <c r="E1371">
        <f>WEEKNUM(makulatura[[#This Row],[Data_dostarczenia]],13)</f>
        <v>35</v>
      </c>
      <c r="F1371" s="2">
        <f>WEEKDAY(makulatura[[#This Row],[Data_dostarczenia]],2)</f>
        <v>1</v>
      </c>
    </row>
    <row r="1372" spans="1:6" x14ac:dyDescent="0.25">
      <c r="A1372" s="1">
        <v>42976</v>
      </c>
      <c r="B1372" s="2" t="s">
        <v>45</v>
      </c>
      <c r="C1372" s="2" t="s">
        <v>388</v>
      </c>
      <c r="D1372">
        <v>22</v>
      </c>
      <c r="E1372">
        <f>WEEKNUM(makulatura[[#This Row],[Data_dostarczenia]],13)</f>
        <v>35</v>
      </c>
      <c r="F1372" s="2">
        <f>WEEKDAY(makulatura[[#This Row],[Data_dostarczenia]],2)</f>
        <v>2</v>
      </c>
    </row>
    <row r="1373" spans="1:6" x14ac:dyDescent="0.25">
      <c r="A1373" s="1">
        <v>42976</v>
      </c>
      <c r="B1373" s="2" t="s">
        <v>97</v>
      </c>
      <c r="C1373" s="2" t="s">
        <v>579</v>
      </c>
      <c r="D1373">
        <v>25</v>
      </c>
      <c r="E1373">
        <f>WEEKNUM(makulatura[[#This Row],[Data_dostarczenia]],13)</f>
        <v>35</v>
      </c>
      <c r="F1373" s="2">
        <f>WEEKDAY(makulatura[[#This Row],[Data_dostarczenia]],2)</f>
        <v>2</v>
      </c>
    </row>
    <row r="1374" spans="1:6" x14ac:dyDescent="0.25">
      <c r="A1374" s="1">
        <v>42976</v>
      </c>
      <c r="B1374" s="2" t="s">
        <v>640</v>
      </c>
      <c r="C1374" s="2" t="s">
        <v>655</v>
      </c>
      <c r="D1374">
        <v>25</v>
      </c>
      <c r="E1374">
        <f>WEEKNUM(makulatura[[#This Row],[Data_dostarczenia]],13)</f>
        <v>35</v>
      </c>
      <c r="F1374" s="2">
        <f>WEEKDAY(makulatura[[#This Row],[Data_dostarczenia]],2)</f>
        <v>2</v>
      </c>
    </row>
    <row r="1375" spans="1:6" x14ac:dyDescent="0.25">
      <c r="A1375" s="1">
        <v>42976</v>
      </c>
      <c r="B1375" s="2" t="s">
        <v>409</v>
      </c>
      <c r="C1375" s="2" t="s">
        <v>656</v>
      </c>
      <c r="D1375">
        <v>6</v>
      </c>
      <c r="E1375">
        <f>WEEKNUM(makulatura[[#This Row],[Data_dostarczenia]],13)</f>
        <v>35</v>
      </c>
      <c r="F1375" s="2">
        <f>WEEKDAY(makulatura[[#This Row],[Data_dostarczenia]],2)</f>
        <v>2</v>
      </c>
    </row>
    <row r="1376" spans="1:6" x14ac:dyDescent="0.25">
      <c r="A1376" s="1">
        <v>42976</v>
      </c>
      <c r="B1376" s="2" t="s">
        <v>310</v>
      </c>
      <c r="C1376" s="2" t="s">
        <v>641</v>
      </c>
      <c r="D1376">
        <v>50</v>
      </c>
      <c r="E1376">
        <f>WEEKNUM(makulatura[[#This Row],[Data_dostarczenia]],13)</f>
        <v>35</v>
      </c>
      <c r="F1376" s="2">
        <f>WEEKDAY(makulatura[[#This Row],[Data_dostarczenia]],2)</f>
        <v>2</v>
      </c>
    </row>
    <row r="1377" spans="1:6" x14ac:dyDescent="0.25">
      <c r="A1377" s="1">
        <v>42976</v>
      </c>
      <c r="B1377" s="2" t="s">
        <v>77</v>
      </c>
      <c r="C1377" s="2" t="s">
        <v>78</v>
      </c>
      <c r="D1377">
        <v>16</v>
      </c>
      <c r="E1377">
        <f>WEEKNUM(makulatura[[#This Row],[Data_dostarczenia]],13)</f>
        <v>35</v>
      </c>
      <c r="F1377" s="2">
        <f>WEEKDAY(makulatura[[#This Row],[Data_dostarczenia]],2)</f>
        <v>2</v>
      </c>
    </row>
    <row r="1378" spans="1:6" x14ac:dyDescent="0.25">
      <c r="A1378" s="1">
        <v>42976</v>
      </c>
      <c r="B1378" s="2" t="s">
        <v>201</v>
      </c>
      <c r="C1378" s="2" t="s">
        <v>357</v>
      </c>
      <c r="D1378">
        <v>23</v>
      </c>
      <c r="E1378">
        <f>WEEKNUM(makulatura[[#This Row],[Data_dostarczenia]],13)</f>
        <v>35</v>
      </c>
      <c r="F1378" s="2">
        <f>WEEKDAY(makulatura[[#This Row],[Data_dostarczenia]],2)</f>
        <v>2</v>
      </c>
    </row>
    <row r="1379" spans="1:6" x14ac:dyDescent="0.25">
      <c r="A1379" s="1">
        <v>42976</v>
      </c>
      <c r="B1379" s="2" t="s">
        <v>83</v>
      </c>
      <c r="C1379" s="2" t="s">
        <v>615</v>
      </c>
      <c r="D1379">
        <v>7</v>
      </c>
      <c r="E1379">
        <f>WEEKNUM(makulatura[[#This Row],[Data_dostarczenia]],13)</f>
        <v>35</v>
      </c>
      <c r="F1379" s="2">
        <f>WEEKDAY(makulatura[[#This Row],[Data_dostarczenia]],2)</f>
        <v>2</v>
      </c>
    </row>
    <row r="1380" spans="1:6" x14ac:dyDescent="0.25">
      <c r="A1380" s="1">
        <v>42976</v>
      </c>
      <c r="B1380" s="2" t="s">
        <v>416</v>
      </c>
      <c r="C1380" s="2" t="s">
        <v>417</v>
      </c>
      <c r="D1380">
        <v>6</v>
      </c>
      <c r="E1380">
        <f>WEEKNUM(makulatura[[#This Row],[Data_dostarczenia]],13)</f>
        <v>35</v>
      </c>
      <c r="F1380" s="2">
        <f>WEEKDAY(makulatura[[#This Row],[Data_dostarczenia]],2)</f>
        <v>2</v>
      </c>
    </row>
    <row r="1381" spans="1:6" x14ac:dyDescent="0.25">
      <c r="A1381" s="1">
        <v>42976</v>
      </c>
      <c r="B1381" s="2" t="s">
        <v>206</v>
      </c>
      <c r="C1381" s="2" t="s">
        <v>192</v>
      </c>
      <c r="D1381">
        <v>44</v>
      </c>
      <c r="E1381">
        <f>WEEKNUM(makulatura[[#This Row],[Data_dostarczenia]],13)</f>
        <v>35</v>
      </c>
      <c r="F1381" s="2">
        <f>WEEKDAY(makulatura[[#This Row],[Data_dostarczenia]],2)</f>
        <v>2</v>
      </c>
    </row>
    <row r="1382" spans="1:6" x14ac:dyDescent="0.25">
      <c r="A1382" s="1">
        <v>42977</v>
      </c>
      <c r="B1382" s="2" t="s">
        <v>51</v>
      </c>
      <c r="C1382" s="2" t="s">
        <v>621</v>
      </c>
      <c r="D1382">
        <v>33</v>
      </c>
      <c r="E1382">
        <f>WEEKNUM(makulatura[[#This Row],[Data_dostarczenia]],13)</f>
        <v>36</v>
      </c>
      <c r="F1382" s="2">
        <f>WEEKDAY(makulatura[[#This Row],[Data_dostarczenia]],2)</f>
        <v>3</v>
      </c>
    </row>
    <row r="1383" spans="1:6" x14ac:dyDescent="0.25">
      <c r="A1383" s="1">
        <v>42977</v>
      </c>
      <c r="B1383" s="2" t="s">
        <v>43</v>
      </c>
      <c r="C1383" s="2" t="s">
        <v>507</v>
      </c>
      <c r="D1383">
        <v>26</v>
      </c>
      <c r="E1383">
        <f>WEEKNUM(makulatura[[#This Row],[Data_dostarczenia]],13)</f>
        <v>36</v>
      </c>
      <c r="F1383" s="2">
        <f>WEEKDAY(makulatura[[#This Row],[Data_dostarczenia]],2)</f>
        <v>3</v>
      </c>
    </row>
    <row r="1384" spans="1:6" x14ac:dyDescent="0.25">
      <c r="A1384" s="1">
        <v>42977</v>
      </c>
      <c r="B1384" s="2" t="s">
        <v>39</v>
      </c>
      <c r="C1384" s="2" t="s">
        <v>609</v>
      </c>
      <c r="D1384">
        <v>18</v>
      </c>
      <c r="E1384">
        <f>WEEKNUM(makulatura[[#This Row],[Data_dostarczenia]],13)</f>
        <v>36</v>
      </c>
      <c r="F1384" s="2">
        <f>WEEKDAY(makulatura[[#This Row],[Data_dostarczenia]],2)</f>
        <v>3</v>
      </c>
    </row>
    <row r="1385" spans="1:6" x14ac:dyDescent="0.25">
      <c r="A1385" s="1">
        <v>42977</v>
      </c>
      <c r="B1385" s="2" t="s">
        <v>16</v>
      </c>
      <c r="C1385" s="2" t="s">
        <v>440</v>
      </c>
      <c r="D1385">
        <v>5</v>
      </c>
      <c r="E1385">
        <f>WEEKNUM(makulatura[[#This Row],[Data_dostarczenia]],13)</f>
        <v>36</v>
      </c>
      <c r="F1385" s="2">
        <f>WEEKDAY(makulatura[[#This Row],[Data_dostarczenia]],2)</f>
        <v>3</v>
      </c>
    </row>
    <row r="1386" spans="1:6" x14ac:dyDescent="0.25">
      <c r="A1386" s="1">
        <v>42977</v>
      </c>
      <c r="B1386" s="2" t="s">
        <v>150</v>
      </c>
      <c r="C1386" s="2" t="s">
        <v>556</v>
      </c>
      <c r="D1386">
        <v>4</v>
      </c>
      <c r="E1386">
        <f>WEEKNUM(makulatura[[#This Row],[Data_dostarczenia]],13)</f>
        <v>36</v>
      </c>
      <c r="F1386" s="2">
        <f>WEEKDAY(makulatura[[#This Row],[Data_dostarczenia]],2)</f>
        <v>3</v>
      </c>
    </row>
    <row r="1387" spans="1:6" x14ac:dyDescent="0.25">
      <c r="A1387" s="1">
        <v>42977</v>
      </c>
      <c r="B1387" s="2" t="s">
        <v>34</v>
      </c>
      <c r="C1387" s="2" t="s">
        <v>182</v>
      </c>
      <c r="D1387">
        <v>4</v>
      </c>
      <c r="E1387">
        <f>WEEKNUM(makulatura[[#This Row],[Data_dostarczenia]],13)</f>
        <v>36</v>
      </c>
      <c r="F1387" s="2">
        <f>WEEKDAY(makulatura[[#This Row],[Data_dostarczenia]],2)</f>
        <v>3</v>
      </c>
    </row>
    <row r="1388" spans="1:6" x14ac:dyDescent="0.25">
      <c r="A1388" s="1">
        <v>42977</v>
      </c>
      <c r="B1388" s="2" t="s">
        <v>39</v>
      </c>
      <c r="C1388" s="2" t="s">
        <v>436</v>
      </c>
      <c r="D1388">
        <v>43</v>
      </c>
      <c r="E1388">
        <f>WEEKNUM(makulatura[[#This Row],[Data_dostarczenia]],13)</f>
        <v>36</v>
      </c>
      <c r="F1388" s="2">
        <f>WEEKDAY(makulatura[[#This Row],[Data_dostarczenia]],2)</f>
        <v>3</v>
      </c>
    </row>
    <row r="1389" spans="1:6" x14ac:dyDescent="0.25">
      <c r="A1389" s="1">
        <v>42977</v>
      </c>
      <c r="B1389" s="2" t="s">
        <v>75</v>
      </c>
      <c r="C1389" s="2" t="s">
        <v>500</v>
      </c>
      <c r="D1389">
        <v>48</v>
      </c>
      <c r="E1389">
        <f>WEEKNUM(makulatura[[#This Row],[Data_dostarczenia]],13)</f>
        <v>36</v>
      </c>
      <c r="F1389" s="2">
        <f>WEEKDAY(makulatura[[#This Row],[Data_dostarczenia]],2)</f>
        <v>3</v>
      </c>
    </row>
    <row r="1390" spans="1:6" x14ac:dyDescent="0.25">
      <c r="A1390" s="1">
        <v>42977</v>
      </c>
      <c r="B1390" s="2" t="s">
        <v>273</v>
      </c>
      <c r="C1390" s="2" t="s">
        <v>274</v>
      </c>
      <c r="D1390">
        <v>12</v>
      </c>
      <c r="E1390">
        <f>WEEKNUM(makulatura[[#This Row],[Data_dostarczenia]],13)</f>
        <v>36</v>
      </c>
      <c r="F1390" s="2">
        <f>WEEKDAY(makulatura[[#This Row],[Data_dostarczenia]],2)</f>
        <v>3</v>
      </c>
    </row>
    <row r="1391" spans="1:6" x14ac:dyDescent="0.25">
      <c r="A1391" s="1">
        <v>42977</v>
      </c>
      <c r="B1391" s="2" t="s">
        <v>503</v>
      </c>
      <c r="C1391" s="2" t="s">
        <v>183</v>
      </c>
      <c r="D1391">
        <v>21</v>
      </c>
      <c r="E1391">
        <f>WEEKNUM(makulatura[[#This Row],[Data_dostarczenia]],13)</f>
        <v>36</v>
      </c>
      <c r="F1391" s="2">
        <f>WEEKDAY(makulatura[[#This Row],[Data_dostarczenia]],2)</f>
        <v>3</v>
      </c>
    </row>
    <row r="1392" spans="1:6" x14ac:dyDescent="0.25">
      <c r="A1392" s="1">
        <v>42978</v>
      </c>
      <c r="B1392" s="2" t="s">
        <v>39</v>
      </c>
      <c r="C1392" s="2" t="s">
        <v>657</v>
      </c>
      <c r="D1392">
        <v>21</v>
      </c>
      <c r="E1392">
        <f>WEEKNUM(makulatura[[#This Row],[Data_dostarczenia]],13)</f>
        <v>36</v>
      </c>
      <c r="F1392" s="2">
        <f>WEEKDAY(makulatura[[#This Row],[Data_dostarczenia]],2)</f>
        <v>4</v>
      </c>
    </row>
    <row r="1393" spans="1:6" x14ac:dyDescent="0.25">
      <c r="A1393" s="1">
        <v>42978</v>
      </c>
      <c r="B1393" s="2" t="s">
        <v>36</v>
      </c>
      <c r="C1393" s="2" t="s">
        <v>306</v>
      </c>
      <c r="D1393">
        <v>2</v>
      </c>
      <c r="E1393">
        <f>WEEKNUM(makulatura[[#This Row],[Data_dostarczenia]],13)</f>
        <v>36</v>
      </c>
      <c r="F1393" s="2">
        <f>WEEKDAY(makulatura[[#This Row],[Data_dostarczenia]],2)</f>
        <v>4</v>
      </c>
    </row>
    <row r="1394" spans="1:6" x14ac:dyDescent="0.25">
      <c r="A1394" s="1">
        <v>42978</v>
      </c>
      <c r="B1394" s="2" t="s">
        <v>83</v>
      </c>
      <c r="C1394" s="2" t="s">
        <v>658</v>
      </c>
      <c r="D1394">
        <v>14</v>
      </c>
      <c r="E1394">
        <f>WEEKNUM(makulatura[[#This Row],[Data_dostarczenia]],13)</f>
        <v>36</v>
      </c>
      <c r="F1394" s="2">
        <f>WEEKDAY(makulatura[[#This Row],[Data_dostarczenia]],2)</f>
        <v>4</v>
      </c>
    </row>
    <row r="1395" spans="1:6" x14ac:dyDescent="0.25">
      <c r="A1395" s="1">
        <v>42978</v>
      </c>
      <c r="B1395" s="2" t="s">
        <v>67</v>
      </c>
      <c r="C1395" s="2" t="s">
        <v>301</v>
      </c>
      <c r="D1395">
        <v>26</v>
      </c>
      <c r="E1395">
        <f>WEEKNUM(makulatura[[#This Row],[Data_dostarczenia]],13)</f>
        <v>36</v>
      </c>
      <c r="F1395" s="2">
        <f>WEEKDAY(makulatura[[#This Row],[Data_dostarczenia]],2)</f>
        <v>4</v>
      </c>
    </row>
    <row r="1396" spans="1:6" x14ac:dyDescent="0.25">
      <c r="A1396" s="1">
        <v>42978</v>
      </c>
      <c r="B1396" s="2" t="s">
        <v>97</v>
      </c>
      <c r="C1396" s="2" t="s">
        <v>309</v>
      </c>
      <c r="D1396">
        <v>44</v>
      </c>
      <c r="E1396">
        <f>WEEKNUM(makulatura[[#This Row],[Data_dostarczenia]],13)</f>
        <v>36</v>
      </c>
      <c r="F1396" s="2">
        <f>WEEKDAY(makulatura[[#This Row],[Data_dostarczenia]],2)</f>
        <v>4</v>
      </c>
    </row>
    <row r="1397" spans="1:6" x14ac:dyDescent="0.25">
      <c r="A1397" s="1">
        <v>42978</v>
      </c>
      <c r="B1397" s="2" t="s">
        <v>133</v>
      </c>
      <c r="C1397" s="2" t="s">
        <v>499</v>
      </c>
      <c r="D1397">
        <v>31</v>
      </c>
      <c r="E1397">
        <f>WEEKNUM(makulatura[[#This Row],[Data_dostarczenia]],13)</f>
        <v>36</v>
      </c>
      <c r="F1397" s="2">
        <f>WEEKDAY(makulatura[[#This Row],[Data_dostarczenia]],2)</f>
        <v>4</v>
      </c>
    </row>
    <row r="1398" spans="1:6" x14ac:dyDescent="0.25">
      <c r="A1398" s="1">
        <v>42978</v>
      </c>
      <c r="B1398" s="2" t="s">
        <v>63</v>
      </c>
      <c r="C1398" s="2" t="s">
        <v>231</v>
      </c>
      <c r="D1398">
        <v>29</v>
      </c>
      <c r="E1398">
        <f>WEEKNUM(makulatura[[#This Row],[Data_dostarczenia]],13)</f>
        <v>36</v>
      </c>
      <c r="F1398" s="2">
        <f>WEEKDAY(makulatura[[#This Row],[Data_dostarczenia]],2)</f>
        <v>4</v>
      </c>
    </row>
    <row r="1399" spans="1:6" x14ac:dyDescent="0.25">
      <c r="A1399" s="1">
        <v>42978</v>
      </c>
      <c r="B1399" s="2" t="s">
        <v>39</v>
      </c>
      <c r="C1399" s="2" t="s">
        <v>436</v>
      </c>
      <c r="D1399">
        <v>13</v>
      </c>
      <c r="E1399">
        <f>WEEKNUM(makulatura[[#This Row],[Data_dostarczenia]],13)</f>
        <v>36</v>
      </c>
      <c r="F1399" s="2">
        <f>WEEKDAY(makulatura[[#This Row],[Data_dostarczenia]],2)</f>
        <v>4</v>
      </c>
    </row>
    <row r="1400" spans="1:6" x14ac:dyDescent="0.25">
      <c r="A1400" s="1">
        <v>42978</v>
      </c>
      <c r="B1400" s="2" t="s">
        <v>593</v>
      </c>
      <c r="C1400" s="2" t="s">
        <v>659</v>
      </c>
      <c r="D1400">
        <v>28</v>
      </c>
      <c r="E1400">
        <f>WEEKNUM(makulatura[[#This Row],[Data_dostarczenia]],13)</f>
        <v>36</v>
      </c>
      <c r="F1400" s="2">
        <f>WEEKDAY(makulatura[[#This Row],[Data_dostarczenia]],2)</f>
        <v>4</v>
      </c>
    </row>
    <row r="1401" spans="1:6" x14ac:dyDescent="0.25">
      <c r="A1401" s="1">
        <v>42978</v>
      </c>
      <c r="B1401" s="2" t="s">
        <v>23</v>
      </c>
      <c r="C1401" s="2" t="s">
        <v>163</v>
      </c>
      <c r="D1401">
        <v>23</v>
      </c>
      <c r="E1401">
        <f>WEEKNUM(makulatura[[#This Row],[Data_dostarczenia]],13)</f>
        <v>36</v>
      </c>
      <c r="F1401" s="2">
        <f>WEEKDAY(makulatura[[#This Row],[Data_dostarczenia]],2)</f>
        <v>4</v>
      </c>
    </row>
    <row r="1402" spans="1:6" x14ac:dyDescent="0.25">
      <c r="A1402" s="1">
        <v>42979</v>
      </c>
      <c r="B1402" s="2" t="s">
        <v>57</v>
      </c>
      <c r="C1402" s="2" t="s">
        <v>58</v>
      </c>
      <c r="D1402">
        <v>5</v>
      </c>
      <c r="E1402">
        <f>WEEKNUM(makulatura[[#This Row],[Data_dostarczenia]],13)</f>
        <v>36</v>
      </c>
      <c r="F1402" s="2">
        <f>WEEKDAY(makulatura[[#This Row],[Data_dostarczenia]],2)</f>
        <v>5</v>
      </c>
    </row>
    <row r="1403" spans="1:6" x14ac:dyDescent="0.25">
      <c r="A1403" s="1">
        <v>42979</v>
      </c>
      <c r="B1403" s="2" t="s">
        <v>14</v>
      </c>
      <c r="C1403" s="2" t="s">
        <v>660</v>
      </c>
      <c r="D1403">
        <v>16</v>
      </c>
      <c r="E1403">
        <f>WEEKNUM(makulatura[[#This Row],[Data_dostarczenia]],13)</f>
        <v>36</v>
      </c>
      <c r="F1403" s="2">
        <f>WEEKDAY(makulatura[[#This Row],[Data_dostarczenia]],2)</f>
        <v>5</v>
      </c>
    </row>
    <row r="1404" spans="1:6" x14ac:dyDescent="0.25">
      <c r="A1404" s="1">
        <v>42979</v>
      </c>
      <c r="B1404" s="2" t="s">
        <v>327</v>
      </c>
      <c r="C1404" s="2" t="s">
        <v>102</v>
      </c>
      <c r="D1404">
        <v>21</v>
      </c>
      <c r="E1404">
        <f>WEEKNUM(makulatura[[#This Row],[Data_dostarczenia]],13)</f>
        <v>36</v>
      </c>
      <c r="F1404" s="2">
        <f>WEEKDAY(makulatura[[#This Row],[Data_dostarczenia]],2)</f>
        <v>5</v>
      </c>
    </row>
    <row r="1405" spans="1:6" x14ac:dyDescent="0.25">
      <c r="A1405" s="1">
        <v>42979</v>
      </c>
      <c r="B1405" s="2" t="s">
        <v>593</v>
      </c>
      <c r="C1405" s="2" t="s">
        <v>659</v>
      </c>
      <c r="D1405">
        <v>46</v>
      </c>
      <c r="E1405">
        <f>WEEKNUM(makulatura[[#This Row],[Data_dostarczenia]],13)</f>
        <v>36</v>
      </c>
      <c r="F1405" s="2">
        <f>WEEKDAY(makulatura[[#This Row],[Data_dostarczenia]],2)</f>
        <v>5</v>
      </c>
    </row>
    <row r="1406" spans="1:6" x14ac:dyDescent="0.25">
      <c r="A1406" s="1">
        <v>42979</v>
      </c>
      <c r="B1406" s="2" t="s">
        <v>576</v>
      </c>
      <c r="C1406" s="2" t="s">
        <v>577</v>
      </c>
      <c r="D1406">
        <v>39</v>
      </c>
      <c r="E1406">
        <f>WEEKNUM(makulatura[[#This Row],[Data_dostarczenia]],13)</f>
        <v>36</v>
      </c>
      <c r="F1406" s="2">
        <f>WEEKDAY(makulatura[[#This Row],[Data_dostarczenia]],2)</f>
        <v>5</v>
      </c>
    </row>
    <row r="1407" spans="1:6" x14ac:dyDescent="0.25">
      <c r="A1407" s="1">
        <v>42979</v>
      </c>
      <c r="B1407" s="2" t="s">
        <v>178</v>
      </c>
      <c r="C1407" s="2" t="s">
        <v>333</v>
      </c>
      <c r="D1407">
        <v>18</v>
      </c>
      <c r="E1407">
        <f>WEEKNUM(makulatura[[#This Row],[Data_dostarczenia]],13)</f>
        <v>36</v>
      </c>
      <c r="F1407" s="2">
        <f>WEEKDAY(makulatura[[#This Row],[Data_dostarczenia]],2)</f>
        <v>5</v>
      </c>
    </row>
    <row r="1408" spans="1:6" x14ac:dyDescent="0.25">
      <c r="A1408" s="1">
        <v>42979</v>
      </c>
      <c r="B1408" s="2" t="s">
        <v>519</v>
      </c>
      <c r="C1408" s="2" t="s">
        <v>661</v>
      </c>
      <c r="D1408">
        <v>47</v>
      </c>
      <c r="E1408">
        <f>WEEKNUM(makulatura[[#This Row],[Data_dostarczenia]],13)</f>
        <v>36</v>
      </c>
      <c r="F1408" s="2">
        <f>WEEKDAY(makulatura[[#This Row],[Data_dostarczenia]],2)</f>
        <v>5</v>
      </c>
    </row>
    <row r="1409" spans="1:6" x14ac:dyDescent="0.25">
      <c r="A1409" s="1">
        <v>42979</v>
      </c>
      <c r="B1409" s="2" t="s">
        <v>128</v>
      </c>
      <c r="C1409" s="2" t="s">
        <v>129</v>
      </c>
      <c r="D1409">
        <v>23</v>
      </c>
      <c r="E1409">
        <f>WEEKNUM(makulatura[[#This Row],[Data_dostarczenia]],13)</f>
        <v>36</v>
      </c>
      <c r="F1409" s="2">
        <f>WEEKDAY(makulatura[[#This Row],[Data_dostarczenia]],2)</f>
        <v>5</v>
      </c>
    </row>
    <row r="1410" spans="1:6" x14ac:dyDescent="0.25">
      <c r="A1410" s="1">
        <v>42979</v>
      </c>
      <c r="B1410" s="2" t="s">
        <v>14</v>
      </c>
      <c r="C1410" s="2" t="s">
        <v>422</v>
      </c>
      <c r="D1410">
        <v>27</v>
      </c>
      <c r="E1410">
        <f>WEEKNUM(makulatura[[#This Row],[Data_dostarczenia]],13)</f>
        <v>36</v>
      </c>
      <c r="F1410" s="2">
        <f>WEEKDAY(makulatura[[#This Row],[Data_dostarczenia]],2)</f>
        <v>5</v>
      </c>
    </row>
    <row r="1411" spans="1:6" x14ac:dyDescent="0.25">
      <c r="A1411" s="1">
        <v>42979</v>
      </c>
      <c r="B1411" s="2" t="s">
        <v>20</v>
      </c>
      <c r="C1411" s="2" t="s">
        <v>123</v>
      </c>
      <c r="D1411">
        <v>25</v>
      </c>
      <c r="E1411">
        <f>WEEKNUM(makulatura[[#This Row],[Data_dostarczenia]],13)</f>
        <v>36</v>
      </c>
      <c r="F1411" s="2">
        <f>WEEKDAY(makulatura[[#This Row],[Data_dostarczenia]],2)</f>
        <v>5</v>
      </c>
    </row>
    <row r="1412" spans="1:6" x14ac:dyDescent="0.25">
      <c r="A1412" s="1">
        <v>42982</v>
      </c>
      <c r="B1412" s="2" t="s">
        <v>269</v>
      </c>
      <c r="C1412" s="2" t="s">
        <v>605</v>
      </c>
      <c r="D1412">
        <v>23</v>
      </c>
      <c r="E1412">
        <f>WEEKNUM(makulatura[[#This Row],[Data_dostarczenia]],13)</f>
        <v>36</v>
      </c>
      <c r="F1412" s="2">
        <f>WEEKDAY(makulatura[[#This Row],[Data_dostarczenia]],2)</f>
        <v>1</v>
      </c>
    </row>
    <row r="1413" spans="1:6" x14ac:dyDescent="0.25">
      <c r="A1413" s="1">
        <v>42982</v>
      </c>
      <c r="B1413" s="2" t="s">
        <v>514</v>
      </c>
      <c r="C1413" s="2" t="s">
        <v>515</v>
      </c>
      <c r="D1413">
        <v>25</v>
      </c>
      <c r="E1413">
        <f>WEEKNUM(makulatura[[#This Row],[Data_dostarczenia]],13)</f>
        <v>36</v>
      </c>
      <c r="F1413" s="2">
        <f>WEEKDAY(makulatura[[#This Row],[Data_dostarczenia]],2)</f>
        <v>1</v>
      </c>
    </row>
    <row r="1414" spans="1:6" x14ac:dyDescent="0.25">
      <c r="A1414" s="1">
        <v>42982</v>
      </c>
      <c r="B1414" s="2" t="s">
        <v>39</v>
      </c>
      <c r="C1414" s="2" t="s">
        <v>657</v>
      </c>
      <c r="D1414">
        <v>16</v>
      </c>
      <c r="E1414">
        <f>WEEKNUM(makulatura[[#This Row],[Data_dostarczenia]],13)</f>
        <v>36</v>
      </c>
      <c r="F1414" s="2">
        <f>WEEKDAY(makulatura[[#This Row],[Data_dostarczenia]],2)</f>
        <v>1</v>
      </c>
    </row>
    <row r="1415" spans="1:6" x14ac:dyDescent="0.25">
      <c r="A1415" s="1">
        <v>42982</v>
      </c>
      <c r="B1415" s="2" t="s">
        <v>69</v>
      </c>
      <c r="C1415" s="2" t="s">
        <v>461</v>
      </c>
      <c r="D1415">
        <v>29</v>
      </c>
      <c r="E1415">
        <f>WEEKNUM(makulatura[[#This Row],[Data_dostarczenia]],13)</f>
        <v>36</v>
      </c>
      <c r="F1415" s="2">
        <f>WEEKDAY(makulatura[[#This Row],[Data_dostarczenia]],2)</f>
        <v>1</v>
      </c>
    </row>
    <row r="1416" spans="1:6" x14ac:dyDescent="0.25">
      <c r="A1416" s="1">
        <v>42982</v>
      </c>
      <c r="B1416" s="2" t="s">
        <v>329</v>
      </c>
      <c r="C1416" s="2" t="s">
        <v>330</v>
      </c>
      <c r="D1416">
        <v>23</v>
      </c>
      <c r="E1416">
        <f>WEEKNUM(makulatura[[#This Row],[Data_dostarczenia]],13)</f>
        <v>36</v>
      </c>
      <c r="F1416" s="2">
        <f>WEEKDAY(makulatura[[#This Row],[Data_dostarczenia]],2)</f>
        <v>1</v>
      </c>
    </row>
    <row r="1417" spans="1:6" x14ac:dyDescent="0.25">
      <c r="A1417" s="1">
        <v>42982</v>
      </c>
      <c r="B1417" s="2" t="s">
        <v>47</v>
      </c>
      <c r="C1417" s="2" t="s">
        <v>48</v>
      </c>
      <c r="D1417">
        <v>25</v>
      </c>
      <c r="E1417">
        <f>WEEKNUM(makulatura[[#This Row],[Data_dostarczenia]],13)</f>
        <v>36</v>
      </c>
      <c r="F1417" s="2">
        <f>WEEKDAY(makulatura[[#This Row],[Data_dostarczenia]],2)</f>
        <v>1</v>
      </c>
    </row>
    <row r="1418" spans="1:6" x14ac:dyDescent="0.25">
      <c r="A1418" s="1">
        <v>42982</v>
      </c>
      <c r="B1418" s="2" t="s">
        <v>278</v>
      </c>
      <c r="C1418" s="2" t="s">
        <v>202</v>
      </c>
      <c r="D1418">
        <v>14</v>
      </c>
      <c r="E1418">
        <f>WEEKNUM(makulatura[[#This Row],[Data_dostarczenia]],13)</f>
        <v>36</v>
      </c>
      <c r="F1418" s="2">
        <f>WEEKDAY(makulatura[[#This Row],[Data_dostarczenia]],2)</f>
        <v>1</v>
      </c>
    </row>
    <row r="1419" spans="1:6" x14ac:dyDescent="0.25">
      <c r="A1419" s="1">
        <v>42982</v>
      </c>
      <c r="B1419" s="2" t="s">
        <v>114</v>
      </c>
      <c r="C1419" s="2" t="s">
        <v>173</v>
      </c>
      <c r="D1419">
        <v>20</v>
      </c>
      <c r="E1419">
        <f>WEEKNUM(makulatura[[#This Row],[Data_dostarczenia]],13)</f>
        <v>36</v>
      </c>
      <c r="F1419" s="2">
        <f>WEEKDAY(makulatura[[#This Row],[Data_dostarczenia]],2)</f>
        <v>1</v>
      </c>
    </row>
    <row r="1420" spans="1:6" x14ac:dyDescent="0.25">
      <c r="A1420" s="1">
        <v>42982</v>
      </c>
      <c r="B1420" s="2" t="s">
        <v>343</v>
      </c>
      <c r="C1420" s="2" t="s">
        <v>344</v>
      </c>
      <c r="D1420">
        <v>12</v>
      </c>
      <c r="E1420">
        <f>WEEKNUM(makulatura[[#This Row],[Data_dostarczenia]],13)</f>
        <v>36</v>
      </c>
      <c r="F1420" s="2">
        <f>WEEKDAY(makulatura[[#This Row],[Data_dostarczenia]],2)</f>
        <v>1</v>
      </c>
    </row>
    <row r="1421" spans="1:6" x14ac:dyDescent="0.25">
      <c r="A1421" s="1">
        <v>42982</v>
      </c>
      <c r="B1421" s="2" t="s">
        <v>97</v>
      </c>
      <c r="C1421" s="2" t="s">
        <v>529</v>
      </c>
      <c r="D1421">
        <v>2</v>
      </c>
      <c r="E1421">
        <f>WEEKNUM(makulatura[[#This Row],[Data_dostarczenia]],13)</f>
        <v>36</v>
      </c>
      <c r="F1421" s="2">
        <f>WEEKDAY(makulatura[[#This Row],[Data_dostarczenia]],2)</f>
        <v>1</v>
      </c>
    </row>
    <row r="1422" spans="1:6" x14ac:dyDescent="0.25">
      <c r="A1422" s="1">
        <v>42983</v>
      </c>
      <c r="B1422" s="2" t="s">
        <v>34</v>
      </c>
      <c r="C1422" s="2" t="s">
        <v>662</v>
      </c>
      <c r="D1422">
        <v>53</v>
      </c>
      <c r="E1422">
        <f>WEEKNUM(makulatura[[#This Row],[Data_dostarczenia]],13)</f>
        <v>36</v>
      </c>
      <c r="F1422" s="2">
        <f>WEEKDAY(makulatura[[#This Row],[Data_dostarczenia]],2)</f>
        <v>2</v>
      </c>
    </row>
    <row r="1423" spans="1:6" x14ac:dyDescent="0.25">
      <c r="A1423" s="1">
        <v>42983</v>
      </c>
      <c r="B1423" s="2" t="s">
        <v>280</v>
      </c>
      <c r="C1423" s="2" t="s">
        <v>466</v>
      </c>
      <c r="D1423">
        <v>20</v>
      </c>
      <c r="E1423">
        <f>WEEKNUM(makulatura[[#This Row],[Data_dostarczenia]],13)</f>
        <v>36</v>
      </c>
      <c r="F1423" s="2">
        <f>WEEKDAY(makulatura[[#This Row],[Data_dostarczenia]],2)</f>
        <v>2</v>
      </c>
    </row>
    <row r="1424" spans="1:6" x14ac:dyDescent="0.25">
      <c r="A1424" s="1">
        <v>42983</v>
      </c>
      <c r="B1424" s="2" t="s">
        <v>479</v>
      </c>
      <c r="C1424" s="2" t="s">
        <v>480</v>
      </c>
      <c r="D1424">
        <v>4</v>
      </c>
      <c r="E1424">
        <f>WEEKNUM(makulatura[[#This Row],[Data_dostarczenia]],13)</f>
        <v>36</v>
      </c>
      <c r="F1424" s="2">
        <f>WEEKDAY(makulatura[[#This Row],[Data_dostarczenia]],2)</f>
        <v>2</v>
      </c>
    </row>
    <row r="1425" spans="1:6" x14ac:dyDescent="0.25">
      <c r="A1425" s="1">
        <v>42983</v>
      </c>
      <c r="B1425" s="2" t="s">
        <v>141</v>
      </c>
      <c r="C1425" s="2" t="s">
        <v>292</v>
      </c>
      <c r="D1425">
        <v>5</v>
      </c>
      <c r="E1425">
        <f>WEEKNUM(makulatura[[#This Row],[Data_dostarczenia]],13)</f>
        <v>36</v>
      </c>
      <c r="F1425" s="2">
        <f>WEEKDAY(makulatura[[#This Row],[Data_dostarczenia]],2)</f>
        <v>2</v>
      </c>
    </row>
    <row r="1426" spans="1:6" x14ac:dyDescent="0.25">
      <c r="A1426" s="1">
        <v>42983</v>
      </c>
      <c r="B1426" s="2" t="s">
        <v>34</v>
      </c>
      <c r="C1426" s="2" t="s">
        <v>182</v>
      </c>
      <c r="D1426">
        <v>36</v>
      </c>
      <c r="E1426">
        <f>WEEKNUM(makulatura[[#This Row],[Data_dostarczenia]],13)</f>
        <v>36</v>
      </c>
      <c r="F1426" s="2">
        <f>WEEKDAY(makulatura[[#This Row],[Data_dostarczenia]],2)</f>
        <v>2</v>
      </c>
    </row>
    <row r="1427" spans="1:6" x14ac:dyDescent="0.25">
      <c r="A1427" s="1">
        <v>42983</v>
      </c>
      <c r="B1427" s="2" t="s">
        <v>442</v>
      </c>
      <c r="C1427" s="2" t="s">
        <v>540</v>
      </c>
      <c r="D1427">
        <v>23</v>
      </c>
      <c r="E1427">
        <f>WEEKNUM(makulatura[[#This Row],[Data_dostarczenia]],13)</f>
        <v>36</v>
      </c>
      <c r="F1427" s="2">
        <f>WEEKDAY(makulatura[[#This Row],[Data_dostarczenia]],2)</f>
        <v>2</v>
      </c>
    </row>
    <row r="1428" spans="1:6" x14ac:dyDescent="0.25">
      <c r="A1428" s="1">
        <v>42983</v>
      </c>
      <c r="B1428" s="2" t="s">
        <v>137</v>
      </c>
      <c r="C1428" s="2" t="s">
        <v>138</v>
      </c>
      <c r="D1428">
        <v>6</v>
      </c>
      <c r="E1428">
        <f>WEEKNUM(makulatura[[#This Row],[Data_dostarczenia]],13)</f>
        <v>36</v>
      </c>
      <c r="F1428" s="2">
        <f>WEEKDAY(makulatura[[#This Row],[Data_dostarczenia]],2)</f>
        <v>2</v>
      </c>
    </row>
    <row r="1429" spans="1:6" x14ac:dyDescent="0.25">
      <c r="A1429" s="1">
        <v>42983</v>
      </c>
      <c r="B1429" s="2" t="s">
        <v>133</v>
      </c>
      <c r="C1429" s="2" t="s">
        <v>652</v>
      </c>
      <c r="D1429">
        <v>43</v>
      </c>
      <c r="E1429">
        <f>WEEKNUM(makulatura[[#This Row],[Data_dostarczenia]],13)</f>
        <v>36</v>
      </c>
      <c r="F1429" s="2">
        <f>WEEKDAY(makulatura[[#This Row],[Data_dostarczenia]],2)</f>
        <v>2</v>
      </c>
    </row>
    <row r="1430" spans="1:6" x14ac:dyDescent="0.25">
      <c r="A1430" s="1">
        <v>42983</v>
      </c>
      <c r="B1430" s="2" t="s">
        <v>72</v>
      </c>
      <c r="C1430" s="2" t="s">
        <v>239</v>
      </c>
      <c r="D1430">
        <v>11</v>
      </c>
      <c r="E1430">
        <f>WEEKNUM(makulatura[[#This Row],[Data_dostarczenia]],13)</f>
        <v>36</v>
      </c>
      <c r="F1430" s="2">
        <f>WEEKDAY(makulatura[[#This Row],[Data_dostarczenia]],2)</f>
        <v>2</v>
      </c>
    </row>
    <row r="1431" spans="1:6" x14ac:dyDescent="0.25">
      <c r="A1431" s="1">
        <v>42983</v>
      </c>
      <c r="B1431" s="2" t="s">
        <v>63</v>
      </c>
      <c r="C1431" s="2" t="s">
        <v>64</v>
      </c>
      <c r="D1431">
        <v>9</v>
      </c>
      <c r="E1431">
        <f>WEEKNUM(makulatura[[#This Row],[Data_dostarczenia]],13)</f>
        <v>36</v>
      </c>
      <c r="F1431" s="2">
        <f>WEEKDAY(makulatura[[#This Row],[Data_dostarczenia]],2)</f>
        <v>2</v>
      </c>
    </row>
    <row r="1432" spans="1:6" x14ac:dyDescent="0.25">
      <c r="A1432" s="1">
        <v>42984</v>
      </c>
      <c r="B1432" s="2" t="s">
        <v>150</v>
      </c>
      <c r="C1432" s="2" t="s">
        <v>151</v>
      </c>
      <c r="D1432">
        <v>15</v>
      </c>
      <c r="E1432">
        <f>WEEKNUM(makulatura[[#This Row],[Data_dostarczenia]],13)</f>
        <v>37</v>
      </c>
      <c r="F1432" s="2">
        <f>WEEKDAY(makulatura[[#This Row],[Data_dostarczenia]],2)</f>
        <v>3</v>
      </c>
    </row>
    <row r="1433" spans="1:6" x14ac:dyDescent="0.25">
      <c r="A1433" s="1">
        <v>42984</v>
      </c>
      <c r="B1433" s="2" t="s">
        <v>252</v>
      </c>
      <c r="C1433" s="2" t="s">
        <v>253</v>
      </c>
      <c r="D1433">
        <v>2</v>
      </c>
      <c r="E1433">
        <f>WEEKNUM(makulatura[[#This Row],[Data_dostarczenia]],13)</f>
        <v>37</v>
      </c>
      <c r="F1433" s="2">
        <f>WEEKDAY(makulatura[[#This Row],[Data_dostarczenia]],2)</f>
        <v>3</v>
      </c>
    </row>
    <row r="1434" spans="1:6" x14ac:dyDescent="0.25">
      <c r="A1434" s="1">
        <v>42984</v>
      </c>
      <c r="B1434" s="2" t="s">
        <v>171</v>
      </c>
      <c r="C1434" s="2" t="s">
        <v>562</v>
      </c>
      <c r="D1434">
        <v>10</v>
      </c>
      <c r="E1434">
        <f>WEEKNUM(makulatura[[#This Row],[Data_dostarczenia]],13)</f>
        <v>37</v>
      </c>
      <c r="F1434" s="2">
        <f>WEEKDAY(makulatura[[#This Row],[Data_dostarczenia]],2)</f>
        <v>3</v>
      </c>
    </row>
    <row r="1435" spans="1:6" x14ac:dyDescent="0.25">
      <c r="A1435" s="1">
        <v>42984</v>
      </c>
      <c r="B1435" s="2" t="s">
        <v>355</v>
      </c>
      <c r="C1435" s="2" t="s">
        <v>497</v>
      </c>
      <c r="D1435">
        <v>55</v>
      </c>
      <c r="E1435">
        <f>WEEKNUM(makulatura[[#This Row],[Data_dostarczenia]],13)</f>
        <v>37</v>
      </c>
      <c r="F1435" s="2">
        <f>WEEKDAY(makulatura[[#This Row],[Data_dostarczenia]],2)</f>
        <v>3</v>
      </c>
    </row>
    <row r="1436" spans="1:6" x14ac:dyDescent="0.25">
      <c r="A1436" s="1">
        <v>42984</v>
      </c>
      <c r="B1436" s="2" t="s">
        <v>663</v>
      </c>
      <c r="C1436" s="2" t="s">
        <v>134</v>
      </c>
      <c r="D1436">
        <v>45</v>
      </c>
      <c r="E1436">
        <f>WEEKNUM(makulatura[[#This Row],[Data_dostarczenia]],13)</f>
        <v>37</v>
      </c>
      <c r="F1436" s="2">
        <f>WEEKDAY(makulatura[[#This Row],[Data_dostarczenia]],2)</f>
        <v>3</v>
      </c>
    </row>
    <row r="1437" spans="1:6" x14ac:dyDescent="0.25">
      <c r="A1437" s="1">
        <v>42984</v>
      </c>
      <c r="B1437" s="2" t="s">
        <v>193</v>
      </c>
      <c r="C1437" s="2" t="s">
        <v>227</v>
      </c>
      <c r="D1437">
        <v>5</v>
      </c>
      <c r="E1437">
        <f>WEEKNUM(makulatura[[#This Row],[Data_dostarczenia]],13)</f>
        <v>37</v>
      </c>
      <c r="F1437" s="2">
        <f>WEEKDAY(makulatura[[#This Row],[Data_dostarczenia]],2)</f>
        <v>3</v>
      </c>
    </row>
    <row r="1438" spans="1:6" x14ac:dyDescent="0.25">
      <c r="A1438" s="1">
        <v>42984</v>
      </c>
      <c r="B1438" s="2" t="s">
        <v>141</v>
      </c>
      <c r="C1438" s="2" t="s">
        <v>364</v>
      </c>
      <c r="D1438">
        <v>22</v>
      </c>
      <c r="E1438">
        <f>WEEKNUM(makulatura[[#This Row],[Data_dostarczenia]],13)</f>
        <v>37</v>
      </c>
      <c r="F1438" s="2">
        <f>WEEKDAY(makulatura[[#This Row],[Data_dostarczenia]],2)</f>
        <v>3</v>
      </c>
    </row>
    <row r="1439" spans="1:6" x14ac:dyDescent="0.25">
      <c r="A1439" s="1">
        <v>42984</v>
      </c>
      <c r="B1439" s="2" t="s">
        <v>150</v>
      </c>
      <c r="C1439" s="2" t="s">
        <v>200</v>
      </c>
      <c r="D1439">
        <v>20</v>
      </c>
      <c r="E1439">
        <f>WEEKNUM(makulatura[[#This Row],[Data_dostarczenia]],13)</f>
        <v>37</v>
      </c>
      <c r="F1439" s="2">
        <f>WEEKDAY(makulatura[[#This Row],[Data_dostarczenia]],2)</f>
        <v>3</v>
      </c>
    </row>
    <row r="1440" spans="1:6" x14ac:dyDescent="0.25">
      <c r="A1440" s="1">
        <v>42984</v>
      </c>
      <c r="B1440" s="2" t="s">
        <v>484</v>
      </c>
      <c r="C1440" s="2" t="s">
        <v>485</v>
      </c>
      <c r="D1440">
        <v>27</v>
      </c>
      <c r="E1440">
        <f>WEEKNUM(makulatura[[#This Row],[Data_dostarczenia]],13)</f>
        <v>37</v>
      </c>
      <c r="F1440" s="2">
        <f>WEEKDAY(makulatura[[#This Row],[Data_dostarczenia]],2)</f>
        <v>3</v>
      </c>
    </row>
    <row r="1441" spans="1:6" x14ac:dyDescent="0.25">
      <c r="A1441" s="1">
        <v>42984</v>
      </c>
      <c r="B1441" s="2" t="s">
        <v>137</v>
      </c>
      <c r="C1441" s="2" t="s">
        <v>138</v>
      </c>
      <c r="D1441">
        <v>6</v>
      </c>
      <c r="E1441">
        <f>WEEKNUM(makulatura[[#This Row],[Data_dostarczenia]],13)</f>
        <v>37</v>
      </c>
      <c r="F1441" s="2">
        <f>WEEKDAY(makulatura[[#This Row],[Data_dostarczenia]],2)</f>
        <v>3</v>
      </c>
    </row>
    <row r="1442" spans="1:6" x14ac:dyDescent="0.25">
      <c r="A1442" s="1">
        <v>42985</v>
      </c>
      <c r="B1442" s="2" t="s">
        <v>150</v>
      </c>
      <c r="C1442" s="2" t="s">
        <v>200</v>
      </c>
      <c r="D1442">
        <v>29</v>
      </c>
      <c r="E1442">
        <f>WEEKNUM(makulatura[[#This Row],[Data_dostarczenia]],13)</f>
        <v>37</v>
      </c>
      <c r="F1442" s="2">
        <f>WEEKDAY(makulatura[[#This Row],[Data_dostarczenia]],2)</f>
        <v>4</v>
      </c>
    </row>
    <row r="1443" spans="1:6" x14ac:dyDescent="0.25">
      <c r="A1443" s="1">
        <v>42985</v>
      </c>
      <c r="B1443" s="2" t="s">
        <v>97</v>
      </c>
      <c r="C1443" s="2" t="s">
        <v>452</v>
      </c>
      <c r="D1443">
        <v>15</v>
      </c>
      <c r="E1443">
        <f>WEEKNUM(makulatura[[#This Row],[Data_dostarczenia]],13)</f>
        <v>37</v>
      </c>
      <c r="F1443" s="2">
        <f>WEEKDAY(makulatura[[#This Row],[Data_dostarczenia]],2)</f>
        <v>4</v>
      </c>
    </row>
    <row r="1444" spans="1:6" x14ac:dyDescent="0.25">
      <c r="A1444" s="1">
        <v>42985</v>
      </c>
      <c r="B1444" s="2" t="s">
        <v>367</v>
      </c>
      <c r="C1444" s="2" t="s">
        <v>5</v>
      </c>
      <c r="D1444">
        <v>5</v>
      </c>
      <c r="E1444">
        <f>WEEKNUM(makulatura[[#This Row],[Data_dostarczenia]],13)</f>
        <v>37</v>
      </c>
      <c r="F1444" s="2">
        <f>WEEKDAY(makulatura[[#This Row],[Data_dostarczenia]],2)</f>
        <v>4</v>
      </c>
    </row>
    <row r="1445" spans="1:6" x14ac:dyDescent="0.25">
      <c r="A1445" s="1">
        <v>42985</v>
      </c>
      <c r="B1445" s="2" t="s">
        <v>476</v>
      </c>
      <c r="C1445" s="2" t="s">
        <v>620</v>
      </c>
      <c r="D1445">
        <v>34</v>
      </c>
      <c r="E1445">
        <f>WEEKNUM(makulatura[[#This Row],[Data_dostarczenia]],13)</f>
        <v>37</v>
      </c>
      <c r="F1445" s="2">
        <f>WEEKDAY(makulatura[[#This Row],[Data_dostarczenia]],2)</f>
        <v>4</v>
      </c>
    </row>
    <row r="1446" spans="1:6" x14ac:dyDescent="0.25">
      <c r="A1446" s="1">
        <v>42985</v>
      </c>
      <c r="B1446" s="2" t="s">
        <v>55</v>
      </c>
      <c r="C1446" s="2" t="s">
        <v>223</v>
      </c>
      <c r="D1446">
        <v>30</v>
      </c>
      <c r="E1446">
        <f>WEEKNUM(makulatura[[#This Row],[Data_dostarczenia]],13)</f>
        <v>37</v>
      </c>
      <c r="F1446" s="2">
        <f>WEEKDAY(makulatura[[#This Row],[Data_dostarczenia]],2)</f>
        <v>4</v>
      </c>
    </row>
    <row r="1447" spans="1:6" x14ac:dyDescent="0.25">
      <c r="A1447" s="1">
        <v>42985</v>
      </c>
      <c r="B1447" s="2" t="s">
        <v>367</v>
      </c>
      <c r="C1447" s="2" t="s">
        <v>368</v>
      </c>
      <c r="D1447">
        <v>3</v>
      </c>
      <c r="E1447">
        <f>WEEKNUM(makulatura[[#This Row],[Data_dostarczenia]],13)</f>
        <v>37</v>
      </c>
      <c r="F1447" s="2">
        <f>WEEKDAY(makulatura[[#This Row],[Data_dostarczenia]],2)</f>
        <v>4</v>
      </c>
    </row>
    <row r="1448" spans="1:6" x14ac:dyDescent="0.25">
      <c r="A1448" s="1">
        <v>42985</v>
      </c>
      <c r="B1448" s="2" t="s">
        <v>30</v>
      </c>
      <c r="C1448" s="2" t="s">
        <v>628</v>
      </c>
      <c r="D1448">
        <v>34</v>
      </c>
      <c r="E1448">
        <f>WEEKNUM(makulatura[[#This Row],[Data_dostarczenia]],13)</f>
        <v>37</v>
      </c>
      <c r="F1448" s="2">
        <f>WEEKDAY(makulatura[[#This Row],[Data_dostarczenia]],2)</f>
        <v>4</v>
      </c>
    </row>
    <row r="1449" spans="1:6" x14ac:dyDescent="0.25">
      <c r="A1449" s="1">
        <v>42985</v>
      </c>
      <c r="B1449" s="2" t="s">
        <v>128</v>
      </c>
      <c r="C1449" s="2" t="s">
        <v>309</v>
      </c>
      <c r="D1449">
        <v>7</v>
      </c>
      <c r="E1449">
        <f>WEEKNUM(makulatura[[#This Row],[Data_dostarczenia]],13)</f>
        <v>37</v>
      </c>
      <c r="F1449" s="2">
        <f>WEEKDAY(makulatura[[#This Row],[Data_dostarczenia]],2)</f>
        <v>4</v>
      </c>
    </row>
    <row r="1450" spans="1:6" x14ac:dyDescent="0.25">
      <c r="A1450" s="1">
        <v>42985</v>
      </c>
      <c r="B1450" s="2" t="s">
        <v>203</v>
      </c>
      <c r="C1450" s="2" t="s">
        <v>370</v>
      </c>
      <c r="D1450">
        <v>17</v>
      </c>
      <c r="E1450">
        <f>WEEKNUM(makulatura[[#This Row],[Data_dostarczenia]],13)</f>
        <v>37</v>
      </c>
      <c r="F1450" s="2">
        <f>WEEKDAY(makulatura[[#This Row],[Data_dostarczenia]],2)</f>
        <v>4</v>
      </c>
    </row>
    <row r="1451" spans="1:6" x14ac:dyDescent="0.25">
      <c r="A1451" s="1">
        <v>42985</v>
      </c>
      <c r="B1451" s="2" t="s">
        <v>39</v>
      </c>
      <c r="C1451" s="2" t="s">
        <v>657</v>
      </c>
      <c r="D1451">
        <v>26</v>
      </c>
      <c r="E1451">
        <f>WEEKNUM(makulatura[[#This Row],[Data_dostarczenia]],13)</f>
        <v>37</v>
      </c>
      <c r="F1451" s="2">
        <f>WEEKDAY(makulatura[[#This Row],[Data_dostarczenia]],2)</f>
        <v>4</v>
      </c>
    </row>
    <row r="1452" spans="1:6" x14ac:dyDescent="0.25">
      <c r="A1452" s="1">
        <v>42986</v>
      </c>
      <c r="B1452" s="2" t="s">
        <v>30</v>
      </c>
      <c r="C1452" s="2" t="s">
        <v>185</v>
      </c>
      <c r="D1452">
        <v>20</v>
      </c>
      <c r="E1452">
        <f>WEEKNUM(makulatura[[#This Row],[Data_dostarczenia]],13)</f>
        <v>37</v>
      </c>
      <c r="F1452" s="2">
        <f>WEEKDAY(makulatura[[#This Row],[Data_dostarczenia]],2)</f>
        <v>5</v>
      </c>
    </row>
    <row r="1453" spans="1:6" x14ac:dyDescent="0.25">
      <c r="A1453" s="1">
        <v>42986</v>
      </c>
      <c r="B1453" s="2" t="s">
        <v>83</v>
      </c>
      <c r="C1453" s="2" t="s">
        <v>596</v>
      </c>
      <c r="D1453">
        <v>24</v>
      </c>
      <c r="E1453">
        <f>WEEKNUM(makulatura[[#This Row],[Data_dostarczenia]],13)</f>
        <v>37</v>
      </c>
      <c r="F1453" s="2">
        <f>WEEKDAY(makulatura[[#This Row],[Data_dostarczenia]],2)</f>
        <v>5</v>
      </c>
    </row>
    <row r="1454" spans="1:6" x14ac:dyDescent="0.25">
      <c r="A1454" s="1">
        <v>42986</v>
      </c>
      <c r="B1454" s="2" t="s">
        <v>101</v>
      </c>
      <c r="C1454" s="2" t="s">
        <v>293</v>
      </c>
      <c r="D1454">
        <v>21</v>
      </c>
      <c r="E1454">
        <f>WEEKNUM(makulatura[[#This Row],[Data_dostarczenia]],13)</f>
        <v>37</v>
      </c>
      <c r="F1454" s="2">
        <f>WEEKDAY(makulatura[[#This Row],[Data_dostarczenia]],2)</f>
        <v>5</v>
      </c>
    </row>
    <row r="1455" spans="1:6" x14ac:dyDescent="0.25">
      <c r="A1455" s="1">
        <v>42986</v>
      </c>
      <c r="B1455" s="2" t="s">
        <v>449</v>
      </c>
      <c r="C1455" s="2" t="s">
        <v>664</v>
      </c>
      <c r="D1455">
        <v>3</v>
      </c>
      <c r="E1455">
        <f>WEEKNUM(makulatura[[#This Row],[Data_dostarczenia]],13)</f>
        <v>37</v>
      </c>
      <c r="F1455" s="2">
        <f>WEEKDAY(makulatura[[#This Row],[Data_dostarczenia]],2)</f>
        <v>5</v>
      </c>
    </row>
    <row r="1456" spans="1:6" x14ac:dyDescent="0.25">
      <c r="A1456" s="1">
        <v>42986</v>
      </c>
      <c r="B1456" s="2" t="s">
        <v>273</v>
      </c>
      <c r="C1456" s="2" t="s">
        <v>274</v>
      </c>
      <c r="D1456">
        <v>9</v>
      </c>
      <c r="E1456">
        <f>WEEKNUM(makulatura[[#This Row],[Data_dostarczenia]],13)</f>
        <v>37</v>
      </c>
      <c r="F1456" s="2">
        <f>WEEKDAY(makulatura[[#This Row],[Data_dostarczenia]],2)</f>
        <v>5</v>
      </c>
    </row>
    <row r="1457" spans="1:6" x14ac:dyDescent="0.25">
      <c r="A1457" s="1">
        <v>42986</v>
      </c>
      <c r="B1457" s="2" t="s">
        <v>150</v>
      </c>
      <c r="C1457" s="2" t="s">
        <v>298</v>
      </c>
      <c r="D1457">
        <v>46</v>
      </c>
      <c r="E1457">
        <f>WEEKNUM(makulatura[[#This Row],[Data_dostarczenia]],13)</f>
        <v>37</v>
      </c>
      <c r="F1457" s="2">
        <f>WEEKDAY(makulatura[[#This Row],[Data_dostarczenia]],2)</f>
        <v>5</v>
      </c>
    </row>
    <row r="1458" spans="1:6" x14ac:dyDescent="0.25">
      <c r="A1458" s="1">
        <v>42986</v>
      </c>
      <c r="B1458" s="2" t="s">
        <v>208</v>
      </c>
      <c r="C1458" s="2" t="s">
        <v>209</v>
      </c>
      <c r="D1458">
        <v>16</v>
      </c>
      <c r="E1458">
        <f>WEEKNUM(makulatura[[#This Row],[Data_dostarczenia]],13)</f>
        <v>37</v>
      </c>
      <c r="F1458" s="2">
        <f>WEEKDAY(makulatura[[#This Row],[Data_dostarczenia]],2)</f>
        <v>5</v>
      </c>
    </row>
    <row r="1459" spans="1:6" x14ac:dyDescent="0.25">
      <c r="A1459" s="1">
        <v>42986</v>
      </c>
      <c r="B1459" s="2" t="s">
        <v>18</v>
      </c>
      <c r="C1459" s="2" t="s">
        <v>392</v>
      </c>
      <c r="D1459">
        <v>24</v>
      </c>
      <c r="E1459">
        <f>WEEKNUM(makulatura[[#This Row],[Data_dostarczenia]],13)</f>
        <v>37</v>
      </c>
      <c r="F1459" s="2">
        <f>WEEKDAY(makulatura[[#This Row],[Data_dostarczenia]],2)</f>
        <v>5</v>
      </c>
    </row>
    <row r="1460" spans="1:6" x14ac:dyDescent="0.25">
      <c r="A1460" s="1">
        <v>42986</v>
      </c>
      <c r="B1460" s="2" t="s">
        <v>178</v>
      </c>
      <c r="C1460" s="2" t="s">
        <v>242</v>
      </c>
      <c r="D1460">
        <v>23</v>
      </c>
      <c r="E1460">
        <f>WEEKNUM(makulatura[[#This Row],[Data_dostarczenia]],13)</f>
        <v>37</v>
      </c>
      <c r="F1460" s="2">
        <f>WEEKDAY(makulatura[[#This Row],[Data_dostarczenia]],2)</f>
        <v>5</v>
      </c>
    </row>
    <row r="1461" spans="1:6" x14ac:dyDescent="0.25">
      <c r="A1461" s="1">
        <v>42986</v>
      </c>
      <c r="B1461" s="2" t="s">
        <v>208</v>
      </c>
      <c r="C1461" s="2" t="s">
        <v>209</v>
      </c>
      <c r="D1461">
        <v>18</v>
      </c>
      <c r="E1461">
        <f>WEEKNUM(makulatura[[#This Row],[Data_dostarczenia]],13)</f>
        <v>37</v>
      </c>
      <c r="F1461" s="2">
        <f>WEEKDAY(makulatura[[#This Row],[Data_dostarczenia]],2)</f>
        <v>5</v>
      </c>
    </row>
    <row r="1462" spans="1:6" x14ac:dyDescent="0.25">
      <c r="A1462" s="1">
        <v>42989</v>
      </c>
      <c r="B1462" s="2" t="s">
        <v>178</v>
      </c>
      <c r="C1462" s="2" t="s">
        <v>333</v>
      </c>
      <c r="D1462">
        <v>29</v>
      </c>
      <c r="E1462">
        <f>WEEKNUM(makulatura[[#This Row],[Data_dostarczenia]],13)</f>
        <v>37</v>
      </c>
      <c r="F1462" s="2">
        <f>WEEKDAY(makulatura[[#This Row],[Data_dostarczenia]],2)</f>
        <v>1</v>
      </c>
    </row>
    <row r="1463" spans="1:6" x14ac:dyDescent="0.25">
      <c r="A1463" s="1">
        <v>42989</v>
      </c>
      <c r="B1463" s="2" t="s">
        <v>81</v>
      </c>
      <c r="C1463" s="2" t="s">
        <v>165</v>
      </c>
      <c r="D1463">
        <v>24</v>
      </c>
      <c r="E1463">
        <f>WEEKNUM(makulatura[[#This Row],[Data_dostarczenia]],13)</f>
        <v>37</v>
      </c>
      <c r="F1463" s="2">
        <f>WEEKDAY(makulatura[[#This Row],[Data_dostarczenia]],2)</f>
        <v>1</v>
      </c>
    </row>
    <row r="1464" spans="1:6" x14ac:dyDescent="0.25">
      <c r="A1464" s="1">
        <v>42989</v>
      </c>
      <c r="B1464" s="2" t="s">
        <v>150</v>
      </c>
      <c r="C1464" s="2" t="s">
        <v>462</v>
      </c>
      <c r="D1464">
        <v>36</v>
      </c>
      <c r="E1464">
        <f>WEEKNUM(makulatura[[#This Row],[Data_dostarczenia]],13)</f>
        <v>37</v>
      </c>
      <c r="F1464" s="2">
        <f>WEEKDAY(makulatura[[#This Row],[Data_dostarczenia]],2)</f>
        <v>1</v>
      </c>
    </row>
    <row r="1465" spans="1:6" x14ac:dyDescent="0.25">
      <c r="A1465" s="1">
        <v>42989</v>
      </c>
      <c r="B1465" s="2" t="s">
        <v>553</v>
      </c>
      <c r="C1465" s="2" t="s">
        <v>554</v>
      </c>
      <c r="D1465">
        <v>6</v>
      </c>
      <c r="E1465">
        <f>WEEKNUM(makulatura[[#This Row],[Data_dostarczenia]],13)</f>
        <v>37</v>
      </c>
      <c r="F1465" s="2">
        <f>WEEKDAY(makulatura[[#This Row],[Data_dostarczenia]],2)</f>
        <v>1</v>
      </c>
    </row>
    <row r="1466" spans="1:6" x14ac:dyDescent="0.25">
      <c r="A1466" s="1">
        <v>42989</v>
      </c>
      <c r="B1466" s="2" t="s">
        <v>361</v>
      </c>
      <c r="C1466" s="2" t="s">
        <v>362</v>
      </c>
      <c r="D1466">
        <v>29</v>
      </c>
      <c r="E1466">
        <f>WEEKNUM(makulatura[[#This Row],[Data_dostarczenia]],13)</f>
        <v>37</v>
      </c>
      <c r="F1466" s="2">
        <f>WEEKDAY(makulatura[[#This Row],[Data_dostarczenia]],2)</f>
        <v>1</v>
      </c>
    </row>
    <row r="1467" spans="1:6" x14ac:dyDescent="0.25">
      <c r="A1467" s="1">
        <v>42989</v>
      </c>
      <c r="B1467" s="2" t="s">
        <v>150</v>
      </c>
      <c r="C1467" s="2" t="s">
        <v>313</v>
      </c>
      <c r="D1467">
        <v>15</v>
      </c>
      <c r="E1467">
        <f>WEEKNUM(makulatura[[#This Row],[Data_dostarczenia]],13)</f>
        <v>37</v>
      </c>
      <c r="F1467" s="2">
        <f>WEEKDAY(makulatura[[#This Row],[Data_dostarczenia]],2)</f>
        <v>1</v>
      </c>
    </row>
    <row r="1468" spans="1:6" x14ac:dyDescent="0.25">
      <c r="A1468" s="1">
        <v>42989</v>
      </c>
      <c r="B1468" s="2" t="s">
        <v>63</v>
      </c>
      <c r="C1468" s="2" t="s">
        <v>231</v>
      </c>
      <c r="D1468">
        <v>8</v>
      </c>
      <c r="E1468">
        <f>WEEKNUM(makulatura[[#This Row],[Data_dostarczenia]],13)</f>
        <v>37</v>
      </c>
      <c r="F1468" s="2">
        <f>WEEKDAY(makulatura[[#This Row],[Data_dostarczenia]],2)</f>
        <v>1</v>
      </c>
    </row>
    <row r="1469" spans="1:6" x14ac:dyDescent="0.25">
      <c r="A1469" s="1">
        <v>42989</v>
      </c>
      <c r="B1469" s="2" t="s">
        <v>150</v>
      </c>
      <c r="C1469" s="2" t="s">
        <v>211</v>
      </c>
      <c r="D1469">
        <v>47</v>
      </c>
      <c r="E1469">
        <f>WEEKNUM(makulatura[[#This Row],[Data_dostarczenia]],13)</f>
        <v>37</v>
      </c>
      <c r="F1469" s="2">
        <f>WEEKDAY(makulatura[[#This Row],[Data_dostarczenia]],2)</f>
        <v>1</v>
      </c>
    </row>
    <row r="1470" spans="1:6" x14ac:dyDescent="0.25">
      <c r="A1470" s="1">
        <v>42989</v>
      </c>
      <c r="B1470" s="2" t="s">
        <v>280</v>
      </c>
      <c r="C1470" s="2" t="s">
        <v>281</v>
      </c>
      <c r="D1470">
        <v>23</v>
      </c>
      <c r="E1470">
        <f>WEEKNUM(makulatura[[#This Row],[Data_dostarczenia]],13)</f>
        <v>37</v>
      </c>
      <c r="F1470" s="2">
        <f>WEEKDAY(makulatura[[#This Row],[Data_dostarczenia]],2)</f>
        <v>1</v>
      </c>
    </row>
    <row r="1471" spans="1:6" x14ac:dyDescent="0.25">
      <c r="A1471" s="1">
        <v>42989</v>
      </c>
      <c r="B1471" s="2" t="s">
        <v>51</v>
      </c>
      <c r="C1471" s="2" t="s">
        <v>52</v>
      </c>
      <c r="D1471">
        <v>5</v>
      </c>
      <c r="E1471">
        <f>WEEKNUM(makulatura[[#This Row],[Data_dostarczenia]],13)</f>
        <v>37</v>
      </c>
      <c r="F1471" s="2">
        <f>WEEKDAY(makulatura[[#This Row],[Data_dostarczenia]],2)</f>
        <v>1</v>
      </c>
    </row>
    <row r="1472" spans="1:6" x14ac:dyDescent="0.25">
      <c r="A1472" s="1">
        <v>42989</v>
      </c>
      <c r="B1472" s="2" t="s">
        <v>36</v>
      </c>
      <c r="C1472" s="2" t="s">
        <v>306</v>
      </c>
      <c r="D1472">
        <v>31</v>
      </c>
      <c r="E1472">
        <f>WEEKNUM(makulatura[[#This Row],[Data_dostarczenia]],13)</f>
        <v>37</v>
      </c>
      <c r="F1472" s="2">
        <f>WEEKDAY(makulatura[[#This Row],[Data_dostarczenia]],2)</f>
        <v>1</v>
      </c>
    </row>
    <row r="1473" spans="1:6" x14ac:dyDescent="0.25">
      <c r="A1473" s="1">
        <v>42989</v>
      </c>
      <c r="B1473" s="2" t="s">
        <v>101</v>
      </c>
      <c r="C1473" s="2" t="s">
        <v>188</v>
      </c>
      <c r="D1473">
        <v>28</v>
      </c>
      <c r="E1473">
        <f>WEEKNUM(makulatura[[#This Row],[Data_dostarczenia]],13)</f>
        <v>37</v>
      </c>
      <c r="F1473" s="2">
        <f>WEEKDAY(makulatura[[#This Row],[Data_dostarczenia]],2)</f>
        <v>1</v>
      </c>
    </row>
    <row r="1474" spans="1:6" x14ac:dyDescent="0.25">
      <c r="A1474" s="1">
        <v>42989</v>
      </c>
      <c r="B1474" s="2" t="s">
        <v>189</v>
      </c>
      <c r="C1474" s="2" t="s">
        <v>190</v>
      </c>
      <c r="D1474">
        <v>11</v>
      </c>
      <c r="E1474">
        <f>WEEKNUM(makulatura[[#This Row],[Data_dostarczenia]],13)</f>
        <v>37</v>
      </c>
      <c r="F1474" s="2">
        <f>WEEKDAY(makulatura[[#This Row],[Data_dostarczenia]],2)</f>
        <v>1</v>
      </c>
    </row>
    <row r="1475" spans="1:6" x14ac:dyDescent="0.25">
      <c r="A1475" s="1">
        <v>42989</v>
      </c>
      <c r="B1475" s="2" t="s">
        <v>81</v>
      </c>
      <c r="C1475" s="2" t="s">
        <v>104</v>
      </c>
      <c r="D1475">
        <v>26</v>
      </c>
      <c r="E1475">
        <f>WEEKNUM(makulatura[[#This Row],[Data_dostarczenia]],13)</f>
        <v>37</v>
      </c>
      <c r="F1475" s="2">
        <f>WEEKDAY(makulatura[[#This Row],[Data_dostarczenia]],2)</f>
        <v>1</v>
      </c>
    </row>
    <row r="1476" spans="1:6" x14ac:dyDescent="0.25">
      <c r="A1476" s="1">
        <v>42990</v>
      </c>
      <c r="B1476" s="2" t="s">
        <v>514</v>
      </c>
      <c r="C1476" s="2" t="s">
        <v>515</v>
      </c>
      <c r="D1476">
        <v>46</v>
      </c>
      <c r="E1476">
        <f>WEEKNUM(makulatura[[#This Row],[Data_dostarczenia]],13)</f>
        <v>37</v>
      </c>
      <c r="F1476" s="2">
        <f>WEEKDAY(makulatura[[#This Row],[Data_dostarczenia]],2)</f>
        <v>2</v>
      </c>
    </row>
    <row r="1477" spans="1:6" x14ac:dyDescent="0.25">
      <c r="A1477" s="1">
        <v>42990</v>
      </c>
      <c r="B1477" s="2" t="s">
        <v>278</v>
      </c>
      <c r="C1477" s="2" t="s">
        <v>530</v>
      </c>
      <c r="D1477">
        <v>36</v>
      </c>
      <c r="E1477">
        <f>WEEKNUM(makulatura[[#This Row],[Data_dostarczenia]],13)</f>
        <v>37</v>
      </c>
      <c r="F1477" s="2">
        <f>WEEKDAY(makulatura[[#This Row],[Data_dostarczenia]],2)</f>
        <v>2</v>
      </c>
    </row>
    <row r="1478" spans="1:6" x14ac:dyDescent="0.25">
      <c r="A1478" s="1">
        <v>42990</v>
      </c>
      <c r="B1478" s="2" t="s">
        <v>352</v>
      </c>
      <c r="C1478" s="2" t="s">
        <v>227</v>
      </c>
      <c r="D1478">
        <v>21</v>
      </c>
      <c r="E1478">
        <f>WEEKNUM(makulatura[[#This Row],[Data_dostarczenia]],13)</f>
        <v>37</v>
      </c>
      <c r="F1478" s="2">
        <f>WEEKDAY(makulatura[[#This Row],[Data_dostarczenia]],2)</f>
        <v>2</v>
      </c>
    </row>
    <row r="1479" spans="1:6" x14ac:dyDescent="0.25">
      <c r="A1479" s="1">
        <v>42990</v>
      </c>
      <c r="B1479" s="2" t="s">
        <v>36</v>
      </c>
      <c r="C1479" s="2" t="s">
        <v>37</v>
      </c>
      <c r="D1479">
        <v>15</v>
      </c>
      <c r="E1479">
        <f>WEEKNUM(makulatura[[#This Row],[Data_dostarczenia]],13)</f>
        <v>37</v>
      </c>
      <c r="F1479" s="2">
        <f>WEEKDAY(makulatura[[#This Row],[Data_dostarczenia]],2)</f>
        <v>2</v>
      </c>
    </row>
    <row r="1480" spans="1:6" x14ac:dyDescent="0.25">
      <c r="A1480" s="1">
        <v>42990</v>
      </c>
      <c r="B1480" s="2" t="s">
        <v>449</v>
      </c>
      <c r="C1480" s="2" t="s">
        <v>613</v>
      </c>
      <c r="D1480">
        <v>16</v>
      </c>
      <c r="E1480">
        <f>WEEKNUM(makulatura[[#This Row],[Data_dostarczenia]],13)</f>
        <v>37</v>
      </c>
      <c r="F1480" s="2">
        <f>WEEKDAY(makulatura[[#This Row],[Data_dostarczenia]],2)</f>
        <v>2</v>
      </c>
    </row>
    <row r="1481" spans="1:6" x14ac:dyDescent="0.25">
      <c r="A1481" s="1">
        <v>42990</v>
      </c>
      <c r="B1481" s="2" t="s">
        <v>81</v>
      </c>
      <c r="C1481" s="2" t="s">
        <v>145</v>
      </c>
      <c r="D1481">
        <v>26</v>
      </c>
      <c r="E1481">
        <f>WEEKNUM(makulatura[[#This Row],[Data_dostarczenia]],13)</f>
        <v>37</v>
      </c>
      <c r="F1481" s="2">
        <f>WEEKDAY(makulatura[[#This Row],[Data_dostarczenia]],2)</f>
        <v>2</v>
      </c>
    </row>
    <row r="1482" spans="1:6" x14ac:dyDescent="0.25">
      <c r="A1482" s="1">
        <v>42990</v>
      </c>
      <c r="B1482" s="2" t="s">
        <v>243</v>
      </c>
      <c r="C1482" s="2" t="s">
        <v>82</v>
      </c>
      <c r="D1482">
        <v>14</v>
      </c>
      <c r="E1482">
        <f>WEEKNUM(makulatura[[#This Row],[Data_dostarczenia]],13)</f>
        <v>37</v>
      </c>
      <c r="F1482" s="2">
        <f>WEEKDAY(makulatura[[#This Row],[Data_dostarczenia]],2)</f>
        <v>2</v>
      </c>
    </row>
    <row r="1483" spans="1:6" x14ac:dyDescent="0.25">
      <c r="A1483" s="1">
        <v>42990</v>
      </c>
      <c r="B1483" s="2" t="s">
        <v>290</v>
      </c>
      <c r="C1483" s="2" t="s">
        <v>291</v>
      </c>
      <c r="D1483">
        <v>20</v>
      </c>
      <c r="E1483">
        <f>WEEKNUM(makulatura[[#This Row],[Data_dostarczenia]],13)</f>
        <v>37</v>
      </c>
      <c r="F1483" s="2">
        <f>WEEKDAY(makulatura[[#This Row],[Data_dostarczenia]],2)</f>
        <v>2</v>
      </c>
    </row>
    <row r="1484" spans="1:6" x14ac:dyDescent="0.25">
      <c r="A1484" s="1">
        <v>42990</v>
      </c>
      <c r="B1484" s="2" t="s">
        <v>67</v>
      </c>
      <c r="C1484" s="2" t="s">
        <v>460</v>
      </c>
      <c r="D1484">
        <v>20</v>
      </c>
      <c r="E1484">
        <f>WEEKNUM(makulatura[[#This Row],[Data_dostarczenia]],13)</f>
        <v>37</v>
      </c>
      <c r="F1484" s="2">
        <f>WEEKDAY(makulatura[[#This Row],[Data_dostarczenia]],2)</f>
        <v>2</v>
      </c>
    </row>
    <row r="1485" spans="1:6" x14ac:dyDescent="0.25">
      <c r="A1485" s="1">
        <v>42990</v>
      </c>
      <c r="B1485" s="2" t="s">
        <v>34</v>
      </c>
      <c r="C1485" s="2" t="s">
        <v>160</v>
      </c>
      <c r="D1485">
        <v>22</v>
      </c>
      <c r="E1485">
        <f>WEEKNUM(makulatura[[#This Row],[Data_dostarczenia]],13)</f>
        <v>37</v>
      </c>
      <c r="F1485" s="2">
        <f>WEEKDAY(makulatura[[#This Row],[Data_dostarczenia]],2)</f>
        <v>2</v>
      </c>
    </row>
    <row r="1486" spans="1:6" x14ac:dyDescent="0.25">
      <c r="A1486" s="1">
        <v>42990</v>
      </c>
      <c r="B1486" s="2" t="s">
        <v>133</v>
      </c>
      <c r="C1486" s="2" t="s">
        <v>316</v>
      </c>
      <c r="D1486">
        <v>16</v>
      </c>
      <c r="E1486">
        <f>WEEKNUM(makulatura[[#This Row],[Data_dostarczenia]],13)</f>
        <v>37</v>
      </c>
      <c r="F1486" s="2">
        <f>WEEKDAY(makulatura[[#This Row],[Data_dostarczenia]],2)</f>
        <v>2</v>
      </c>
    </row>
    <row r="1487" spans="1:6" x14ac:dyDescent="0.25">
      <c r="A1487" s="1">
        <v>42990</v>
      </c>
      <c r="B1487" s="2" t="s">
        <v>51</v>
      </c>
      <c r="C1487" s="2" t="s">
        <v>522</v>
      </c>
      <c r="D1487">
        <v>17</v>
      </c>
      <c r="E1487">
        <f>WEEKNUM(makulatura[[#This Row],[Data_dostarczenia]],13)</f>
        <v>37</v>
      </c>
      <c r="F1487" s="2">
        <f>WEEKDAY(makulatura[[#This Row],[Data_dostarczenia]],2)</f>
        <v>2</v>
      </c>
    </row>
    <row r="1488" spans="1:6" x14ac:dyDescent="0.25">
      <c r="A1488" s="1">
        <v>42990</v>
      </c>
      <c r="B1488" s="2" t="s">
        <v>174</v>
      </c>
      <c r="C1488" s="2" t="s">
        <v>424</v>
      </c>
      <c r="D1488">
        <v>41</v>
      </c>
      <c r="E1488">
        <f>WEEKNUM(makulatura[[#This Row],[Data_dostarczenia]],13)</f>
        <v>37</v>
      </c>
      <c r="F1488" s="2">
        <f>WEEKDAY(makulatura[[#This Row],[Data_dostarczenia]],2)</f>
        <v>2</v>
      </c>
    </row>
    <row r="1489" spans="1:6" x14ac:dyDescent="0.25">
      <c r="A1489" s="1">
        <v>42990</v>
      </c>
      <c r="B1489" s="2" t="s">
        <v>438</v>
      </c>
      <c r="C1489" s="2" t="s">
        <v>439</v>
      </c>
      <c r="D1489">
        <v>3</v>
      </c>
      <c r="E1489">
        <f>WEEKNUM(makulatura[[#This Row],[Data_dostarczenia]],13)</f>
        <v>37</v>
      </c>
      <c r="F1489" s="2">
        <f>WEEKDAY(makulatura[[#This Row],[Data_dostarczenia]],2)</f>
        <v>2</v>
      </c>
    </row>
    <row r="1490" spans="1:6" x14ac:dyDescent="0.25">
      <c r="A1490" s="1">
        <v>42991</v>
      </c>
      <c r="B1490" s="2" t="s">
        <v>131</v>
      </c>
      <c r="C1490" s="2" t="s">
        <v>472</v>
      </c>
      <c r="D1490">
        <v>20</v>
      </c>
      <c r="E1490">
        <f>WEEKNUM(makulatura[[#This Row],[Data_dostarczenia]],13)</f>
        <v>38</v>
      </c>
      <c r="F1490" s="2">
        <f>WEEKDAY(makulatura[[#This Row],[Data_dostarczenia]],2)</f>
        <v>3</v>
      </c>
    </row>
    <row r="1491" spans="1:6" x14ac:dyDescent="0.25">
      <c r="A1491" s="1">
        <v>42991</v>
      </c>
      <c r="B1491" s="2" t="s">
        <v>12</v>
      </c>
      <c r="C1491" s="2" t="s">
        <v>386</v>
      </c>
      <c r="D1491">
        <v>7</v>
      </c>
      <c r="E1491">
        <f>WEEKNUM(makulatura[[#This Row],[Data_dostarczenia]],13)</f>
        <v>38</v>
      </c>
      <c r="F1491" s="2">
        <f>WEEKDAY(makulatura[[#This Row],[Data_dostarczenia]],2)</f>
        <v>3</v>
      </c>
    </row>
    <row r="1492" spans="1:6" x14ac:dyDescent="0.25">
      <c r="A1492" s="1">
        <v>42991</v>
      </c>
      <c r="B1492" s="2" t="s">
        <v>55</v>
      </c>
      <c r="C1492" s="2" t="s">
        <v>466</v>
      </c>
      <c r="D1492">
        <v>41</v>
      </c>
      <c r="E1492">
        <f>WEEKNUM(makulatura[[#This Row],[Data_dostarczenia]],13)</f>
        <v>38</v>
      </c>
      <c r="F1492" s="2">
        <f>WEEKDAY(makulatura[[#This Row],[Data_dostarczenia]],2)</f>
        <v>3</v>
      </c>
    </row>
    <row r="1493" spans="1:6" x14ac:dyDescent="0.25">
      <c r="A1493" s="1">
        <v>42991</v>
      </c>
      <c r="B1493" s="2" t="s">
        <v>10</v>
      </c>
      <c r="C1493" s="2" t="s">
        <v>266</v>
      </c>
      <c r="D1493">
        <v>4</v>
      </c>
      <c r="E1493">
        <f>WEEKNUM(makulatura[[#This Row],[Data_dostarczenia]],13)</f>
        <v>38</v>
      </c>
      <c r="F1493" s="2">
        <f>WEEKDAY(makulatura[[#This Row],[Data_dostarczenia]],2)</f>
        <v>3</v>
      </c>
    </row>
    <row r="1494" spans="1:6" x14ac:dyDescent="0.25">
      <c r="A1494" s="1">
        <v>42991</v>
      </c>
      <c r="B1494" s="2" t="s">
        <v>269</v>
      </c>
      <c r="C1494" s="2" t="s">
        <v>270</v>
      </c>
      <c r="D1494">
        <v>31</v>
      </c>
      <c r="E1494">
        <f>WEEKNUM(makulatura[[#This Row],[Data_dostarczenia]],13)</f>
        <v>38</v>
      </c>
      <c r="F1494" s="2">
        <f>WEEKDAY(makulatura[[#This Row],[Data_dostarczenia]],2)</f>
        <v>3</v>
      </c>
    </row>
    <row r="1495" spans="1:6" x14ac:dyDescent="0.25">
      <c r="A1495" s="1">
        <v>42991</v>
      </c>
      <c r="B1495" s="2" t="s">
        <v>346</v>
      </c>
      <c r="C1495" s="2" t="s">
        <v>665</v>
      </c>
      <c r="D1495">
        <v>6</v>
      </c>
      <c r="E1495">
        <f>WEEKNUM(makulatura[[#This Row],[Data_dostarczenia]],13)</f>
        <v>38</v>
      </c>
      <c r="F1495" s="2">
        <f>WEEKDAY(makulatura[[#This Row],[Data_dostarczenia]],2)</f>
        <v>3</v>
      </c>
    </row>
    <row r="1496" spans="1:6" x14ac:dyDescent="0.25">
      <c r="A1496" s="1">
        <v>42991</v>
      </c>
      <c r="B1496" s="2" t="s">
        <v>101</v>
      </c>
      <c r="C1496" s="2" t="s">
        <v>102</v>
      </c>
      <c r="D1496">
        <v>12</v>
      </c>
      <c r="E1496">
        <f>WEEKNUM(makulatura[[#This Row],[Data_dostarczenia]],13)</f>
        <v>38</v>
      </c>
      <c r="F1496" s="2">
        <f>WEEKDAY(makulatura[[#This Row],[Data_dostarczenia]],2)</f>
        <v>3</v>
      </c>
    </row>
    <row r="1497" spans="1:6" x14ac:dyDescent="0.25">
      <c r="A1497" s="1">
        <v>42991</v>
      </c>
      <c r="B1497" s="2" t="s">
        <v>55</v>
      </c>
      <c r="C1497" s="2" t="s">
        <v>666</v>
      </c>
      <c r="D1497">
        <v>5</v>
      </c>
      <c r="E1497">
        <f>WEEKNUM(makulatura[[#This Row],[Data_dostarczenia]],13)</f>
        <v>38</v>
      </c>
      <c r="F1497" s="2">
        <f>WEEKDAY(makulatura[[#This Row],[Data_dostarczenia]],2)</f>
        <v>3</v>
      </c>
    </row>
    <row r="1498" spans="1:6" x14ac:dyDescent="0.25">
      <c r="A1498" s="1">
        <v>42991</v>
      </c>
      <c r="B1498" s="2" t="s">
        <v>221</v>
      </c>
      <c r="C1498" s="2" t="s">
        <v>551</v>
      </c>
      <c r="D1498">
        <v>5</v>
      </c>
      <c r="E1498">
        <f>WEEKNUM(makulatura[[#This Row],[Data_dostarczenia]],13)</f>
        <v>38</v>
      </c>
      <c r="F1498" s="2">
        <f>WEEKDAY(makulatura[[#This Row],[Data_dostarczenia]],2)</f>
        <v>3</v>
      </c>
    </row>
    <row r="1499" spans="1:6" x14ac:dyDescent="0.25">
      <c r="A1499" s="1">
        <v>42991</v>
      </c>
      <c r="B1499" s="2" t="s">
        <v>12</v>
      </c>
      <c r="C1499" s="2" t="s">
        <v>667</v>
      </c>
      <c r="D1499">
        <v>19</v>
      </c>
      <c r="E1499">
        <f>WEEKNUM(makulatura[[#This Row],[Data_dostarczenia]],13)</f>
        <v>38</v>
      </c>
      <c r="F1499" s="2">
        <f>WEEKDAY(makulatura[[#This Row],[Data_dostarczenia]],2)</f>
        <v>3</v>
      </c>
    </row>
    <row r="1500" spans="1:6" x14ac:dyDescent="0.25">
      <c r="A1500" s="1">
        <v>42991</v>
      </c>
      <c r="B1500" s="2" t="s">
        <v>53</v>
      </c>
      <c r="C1500" s="2" t="s">
        <v>191</v>
      </c>
      <c r="D1500">
        <v>8</v>
      </c>
      <c r="E1500">
        <f>WEEKNUM(makulatura[[#This Row],[Data_dostarczenia]],13)</f>
        <v>38</v>
      </c>
      <c r="F1500" s="2">
        <f>WEEKDAY(makulatura[[#This Row],[Data_dostarczenia]],2)</f>
        <v>3</v>
      </c>
    </row>
    <row r="1501" spans="1:6" x14ac:dyDescent="0.25">
      <c r="A1501" s="1">
        <v>42991</v>
      </c>
      <c r="B1501" s="2" t="s">
        <v>365</v>
      </c>
      <c r="C1501" s="2" t="s">
        <v>366</v>
      </c>
      <c r="D1501">
        <v>8</v>
      </c>
      <c r="E1501">
        <f>WEEKNUM(makulatura[[#This Row],[Data_dostarczenia]],13)</f>
        <v>38</v>
      </c>
      <c r="F1501" s="2">
        <f>WEEKDAY(makulatura[[#This Row],[Data_dostarczenia]],2)</f>
        <v>3</v>
      </c>
    </row>
    <row r="1502" spans="1:6" x14ac:dyDescent="0.25">
      <c r="A1502" s="1">
        <v>42991</v>
      </c>
      <c r="B1502" s="2" t="s">
        <v>4</v>
      </c>
      <c r="C1502" s="2" t="s">
        <v>382</v>
      </c>
      <c r="D1502">
        <v>56</v>
      </c>
      <c r="E1502">
        <f>WEEKNUM(makulatura[[#This Row],[Data_dostarczenia]],13)</f>
        <v>38</v>
      </c>
      <c r="F1502" s="2">
        <f>WEEKDAY(makulatura[[#This Row],[Data_dostarczenia]],2)</f>
        <v>3</v>
      </c>
    </row>
    <row r="1503" spans="1:6" x14ac:dyDescent="0.25">
      <c r="A1503" s="1">
        <v>42991</v>
      </c>
      <c r="B1503" s="2" t="s">
        <v>39</v>
      </c>
      <c r="C1503" s="2" t="s">
        <v>164</v>
      </c>
      <c r="D1503">
        <v>8</v>
      </c>
      <c r="E1503">
        <f>WEEKNUM(makulatura[[#This Row],[Data_dostarczenia]],13)</f>
        <v>38</v>
      </c>
      <c r="F1503" s="2">
        <f>WEEKDAY(makulatura[[#This Row],[Data_dostarczenia]],2)</f>
        <v>3</v>
      </c>
    </row>
    <row r="1504" spans="1:6" x14ac:dyDescent="0.25">
      <c r="A1504" s="1">
        <v>42992</v>
      </c>
      <c r="B1504" s="2" t="s">
        <v>83</v>
      </c>
      <c r="C1504" s="2" t="s">
        <v>658</v>
      </c>
      <c r="D1504">
        <v>25</v>
      </c>
      <c r="E1504">
        <f>WEEKNUM(makulatura[[#This Row],[Data_dostarczenia]],13)</f>
        <v>38</v>
      </c>
      <c r="F1504" s="2">
        <f>WEEKDAY(makulatura[[#This Row],[Data_dostarczenia]],2)</f>
        <v>4</v>
      </c>
    </row>
    <row r="1505" spans="1:6" x14ac:dyDescent="0.25">
      <c r="A1505" s="1">
        <v>42992</v>
      </c>
      <c r="B1505" s="2" t="s">
        <v>51</v>
      </c>
      <c r="C1505" s="2" t="s">
        <v>52</v>
      </c>
      <c r="D1505">
        <v>23</v>
      </c>
      <c r="E1505">
        <f>WEEKNUM(makulatura[[#This Row],[Data_dostarczenia]],13)</f>
        <v>38</v>
      </c>
      <c r="F1505" s="2">
        <f>WEEKDAY(makulatura[[#This Row],[Data_dostarczenia]],2)</f>
        <v>4</v>
      </c>
    </row>
    <row r="1506" spans="1:6" x14ac:dyDescent="0.25">
      <c r="A1506" s="1">
        <v>42992</v>
      </c>
      <c r="B1506" s="2" t="s">
        <v>12</v>
      </c>
      <c r="C1506" s="2" t="s">
        <v>668</v>
      </c>
      <c r="D1506">
        <v>33</v>
      </c>
      <c r="E1506">
        <f>WEEKNUM(makulatura[[#This Row],[Data_dostarczenia]],13)</f>
        <v>38</v>
      </c>
      <c r="F1506" s="2">
        <f>WEEKDAY(makulatura[[#This Row],[Data_dostarczenia]],2)</f>
        <v>4</v>
      </c>
    </row>
    <row r="1507" spans="1:6" x14ac:dyDescent="0.25">
      <c r="A1507" s="1">
        <v>42992</v>
      </c>
      <c r="B1507" s="2" t="s">
        <v>128</v>
      </c>
      <c r="C1507" s="2" t="s">
        <v>12</v>
      </c>
      <c r="D1507">
        <v>15</v>
      </c>
      <c r="E1507">
        <f>WEEKNUM(makulatura[[#This Row],[Data_dostarczenia]],13)</f>
        <v>38</v>
      </c>
      <c r="F1507" s="2">
        <f>WEEKDAY(makulatura[[#This Row],[Data_dostarczenia]],2)</f>
        <v>4</v>
      </c>
    </row>
    <row r="1508" spans="1:6" x14ac:dyDescent="0.25">
      <c r="A1508" s="1">
        <v>42992</v>
      </c>
      <c r="B1508" s="2" t="s">
        <v>141</v>
      </c>
      <c r="C1508" s="2" t="s">
        <v>292</v>
      </c>
      <c r="D1508">
        <v>16</v>
      </c>
      <c r="E1508">
        <f>WEEKNUM(makulatura[[#This Row],[Data_dostarczenia]],13)</f>
        <v>38</v>
      </c>
      <c r="F1508" s="2">
        <f>WEEKDAY(makulatura[[#This Row],[Data_dostarczenia]],2)</f>
        <v>4</v>
      </c>
    </row>
    <row r="1509" spans="1:6" x14ac:dyDescent="0.25">
      <c r="A1509" s="1">
        <v>42992</v>
      </c>
      <c r="B1509" s="2" t="s">
        <v>119</v>
      </c>
      <c r="C1509" s="2" t="s">
        <v>164</v>
      </c>
      <c r="D1509">
        <v>29</v>
      </c>
      <c r="E1509">
        <f>WEEKNUM(makulatura[[#This Row],[Data_dostarczenia]],13)</f>
        <v>38</v>
      </c>
      <c r="F1509" s="2">
        <f>WEEKDAY(makulatura[[#This Row],[Data_dostarczenia]],2)</f>
        <v>4</v>
      </c>
    </row>
    <row r="1510" spans="1:6" x14ac:dyDescent="0.25">
      <c r="A1510" s="1">
        <v>42992</v>
      </c>
      <c r="B1510" s="2" t="s">
        <v>252</v>
      </c>
      <c r="C1510" s="2" t="s">
        <v>253</v>
      </c>
      <c r="D1510">
        <v>2</v>
      </c>
      <c r="E1510">
        <f>WEEKNUM(makulatura[[#This Row],[Data_dostarczenia]],13)</f>
        <v>38</v>
      </c>
      <c r="F1510" s="2">
        <f>WEEKDAY(makulatura[[#This Row],[Data_dostarczenia]],2)</f>
        <v>4</v>
      </c>
    </row>
    <row r="1511" spans="1:6" x14ac:dyDescent="0.25">
      <c r="A1511" s="1">
        <v>42992</v>
      </c>
      <c r="B1511" s="2" t="s">
        <v>208</v>
      </c>
      <c r="C1511" s="2" t="s">
        <v>475</v>
      </c>
      <c r="D1511">
        <v>15</v>
      </c>
      <c r="E1511">
        <f>WEEKNUM(makulatura[[#This Row],[Data_dostarczenia]],13)</f>
        <v>38</v>
      </c>
      <c r="F1511" s="2">
        <f>WEEKDAY(makulatura[[#This Row],[Data_dostarczenia]],2)</f>
        <v>4</v>
      </c>
    </row>
    <row r="1512" spans="1:6" x14ac:dyDescent="0.25">
      <c r="A1512" s="1">
        <v>42992</v>
      </c>
      <c r="B1512" s="2" t="s">
        <v>206</v>
      </c>
      <c r="C1512" s="2" t="s">
        <v>227</v>
      </c>
      <c r="D1512">
        <v>17</v>
      </c>
      <c r="E1512">
        <f>WEEKNUM(makulatura[[#This Row],[Data_dostarczenia]],13)</f>
        <v>38</v>
      </c>
      <c r="F1512" s="2">
        <f>WEEKDAY(makulatura[[#This Row],[Data_dostarczenia]],2)</f>
        <v>4</v>
      </c>
    </row>
    <row r="1513" spans="1:6" x14ac:dyDescent="0.25">
      <c r="A1513" s="1">
        <v>42992</v>
      </c>
      <c r="B1513" s="2" t="s">
        <v>36</v>
      </c>
      <c r="C1513" s="2" t="s">
        <v>166</v>
      </c>
      <c r="D1513">
        <v>54</v>
      </c>
      <c r="E1513">
        <f>WEEKNUM(makulatura[[#This Row],[Data_dostarczenia]],13)</f>
        <v>38</v>
      </c>
      <c r="F1513" s="2">
        <f>WEEKDAY(makulatura[[#This Row],[Data_dostarczenia]],2)</f>
        <v>4</v>
      </c>
    </row>
    <row r="1514" spans="1:6" x14ac:dyDescent="0.25">
      <c r="A1514" s="1">
        <v>42992</v>
      </c>
      <c r="B1514" s="2" t="s">
        <v>189</v>
      </c>
      <c r="C1514" s="2" t="s">
        <v>190</v>
      </c>
      <c r="D1514">
        <v>38</v>
      </c>
      <c r="E1514">
        <f>WEEKNUM(makulatura[[#This Row],[Data_dostarczenia]],13)</f>
        <v>38</v>
      </c>
      <c r="F1514" s="2">
        <f>WEEKDAY(makulatura[[#This Row],[Data_dostarczenia]],2)</f>
        <v>4</v>
      </c>
    </row>
    <row r="1515" spans="1:6" x14ac:dyDescent="0.25">
      <c r="A1515" s="1">
        <v>42992</v>
      </c>
      <c r="B1515" s="2" t="s">
        <v>150</v>
      </c>
      <c r="C1515" s="2" t="s">
        <v>200</v>
      </c>
      <c r="D1515">
        <v>9</v>
      </c>
      <c r="E1515">
        <f>WEEKNUM(makulatura[[#This Row],[Data_dostarczenia]],13)</f>
        <v>38</v>
      </c>
      <c r="F1515" s="2">
        <f>WEEKDAY(makulatura[[#This Row],[Data_dostarczenia]],2)</f>
        <v>4</v>
      </c>
    </row>
    <row r="1516" spans="1:6" x14ac:dyDescent="0.25">
      <c r="A1516" s="1">
        <v>42992</v>
      </c>
      <c r="B1516" s="2" t="s">
        <v>63</v>
      </c>
      <c r="C1516" s="2" t="s">
        <v>64</v>
      </c>
      <c r="D1516">
        <v>3</v>
      </c>
      <c r="E1516">
        <f>WEEKNUM(makulatura[[#This Row],[Data_dostarczenia]],13)</f>
        <v>38</v>
      </c>
      <c r="F1516" s="2">
        <f>WEEKDAY(makulatura[[#This Row],[Data_dostarczenia]],2)</f>
        <v>4</v>
      </c>
    </row>
    <row r="1517" spans="1:6" x14ac:dyDescent="0.25">
      <c r="A1517" s="1">
        <v>42992</v>
      </c>
      <c r="B1517" s="2" t="s">
        <v>69</v>
      </c>
      <c r="C1517" s="2" t="s">
        <v>108</v>
      </c>
      <c r="D1517">
        <v>17</v>
      </c>
      <c r="E1517">
        <f>WEEKNUM(makulatura[[#This Row],[Data_dostarczenia]],13)</f>
        <v>38</v>
      </c>
      <c r="F1517" s="2">
        <f>WEEKDAY(makulatura[[#This Row],[Data_dostarczenia]],2)</f>
        <v>4</v>
      </c>
    </row>
    <row r="1518" spans="1:6" x14ac:dyDescent="0.25">
      <c r="A1518" s="1">
        <v>42993</v>
      </c>
      <c r="B1518" s="2" t="s">
        <v>248</v>
      </c>
      <c r="C1518" s="2" t="s">
        <v>337</v>
      </c>
      <c r="D1518">
        <v>12</v>
      </c>
      <c r="E1518">
        <f>WEEKNUM(makulatura[[#This Row],[Data_dostarczenia]],13)</f>
        <v>38</v>
      </c>
      <c r="F1518" s="2">
        <f>WEEKDAY(makulatura[[#This Row],[Data_dostarczenia]],2)</f>
        <v>5</v>
      </c>
    </row>
    <row r="1519" spans="1:6" x14ac:dyDescent="0.25">
      <c r="A1519" s="1">
        <v>42993</v>
      </c>
      <c r="B1519" s="2" t="s">
        <v>57</v>
      </c>
      <c r="C1519" s="2" t="s">
        <v>399</v>
      </c>
      <c r="D1519">
        <v>28</v>
      </c>
      <c r="E1519">
        <f>WEEKNUM(makulatura[[#This Row],[Data_dostarczenia]],13)</f>
        <v>38</v>
      </c>
      <c r="F1519" s="2">
        <f>WEEKDAY(makulatura[[#This Row],[Data_dostarczenia]],2)</f>
        <v>5</v>
      </c>
    </row>
    <row r="1520" spans="1:6" x14ac:dyDescent="0.25">
      <c r="A1520" s="1">
        <v>42993</v>
      </c>
      <c r="B1520" s="2" t="s">
        <v>128</v>
      </c>
      <c r="C1520" s="2" t="s">
        <v>309</v>
      </c>
      <c r="D1520">
        <v>4</v>
      </c>
      <c r="E1520">
        <f>WEEKNUM(makulatura[[#This Row],[Data_dostarczenia]],13)</f>
        <v>38</v>
      </c>
      <c r="F1520" s="2">
        <f>WEEKDAY(makulatura[[#This Row],[Data_dostarczenia]],2)</f>
        <v>5</v>
      </c>
    </row>
    <row r="1521" spans="1:6" x14ac:dyDescent="0.25">
      <c r="A1521" s="1">
        <v>42993</v>
      </c>
      <c r="B1521" s="2" t="s">
        <v>346</v>
      </c>
      <c r="C1521" s="2" t="s">
        <v>669</v>
      </c>
      <c r="D1521">
        <v>5</v>
      </c>
      <c r="E1521">
        <f>WEEKNUM(makulatura[[#This Row],[Data_dostarczenia]],13)</f>
        <v>38</v>
      </c>
      <c r="F1521" s="2">
        <f>WEEKDAY(makulatura[[#This Row],[Data_dostarczenia]],2)</f>
        <v>5</v>
      </c>
    </row>
    <row r="1522" spans="1:6" x14ac:dyDescent="0.25">
      <c r="A1522" s="1">
        <v>42993</v>
      </c>
      <c r="B1522" s="2" t="s">
        <v>67</v>
      </c>
      <c r="C1522" s="2" t="s">
        <v>670</v>
      </c>
      <c r="D1522">
        <v>30</v>
      </c>
      <c r="E1522">
        <f>WEEKNUM(makulatura[[#This Row],[Data_dostarczenia]],13)</f>
        <v>38</v>
      </c>
      <c r="F1522" s="2">
        <f>WEEKDAY(makulatura[[#This Row],[Data_dostarczenia]],2)</f>
        <v>5</v>
      </c>
    </row>
    <row r="1523" spans="1:6" x14ac:dyDescent="0.25">
      <c r="A1523" s="1">
        <v>42993</v>
      </c>
      <c r="B1523" s="2" t="s">
        <v>55</v>
      </c>
      <c r="C1523" s="2" t="s">
        <v>326</v>
      </c>
      <c r="D1523">
        <v>40</v>
      </c>
      <c r="E1523">
        <f>WEEKNUM(makulatura[[#This Row],[Data_dostarczenia]],13)</f>
        <v>38</v>
      </c>
      <c r="F1523" s="2">
        <f>WEEKDAY(makulatura[[#This Row],[Data_dostarczenia]],2)</f>
        <v>5</v>
      </c>
    </row>
    <row r="1524" spans="1:6" x14ac:dyDescent="0.25">
      <c r="A1524" s="1">
        <v>42993</v>
      </c>
      <c r="B1524" s="2" t="s">
        <v>193</v>
      </c>
      <c r="C1524" s="2" t="s">
        <v>228</v>
      </c>
      <c r="D1524">
        <v>10</v>
      </c>
      <c r="E1524">
        <f>WEEKNUM(makulatura[[#This Row],[Data_dostarczenia]],13)</f>
        <v>38</v>
      </c>
      <c r="F1524" s="2">
        <f>WEEKDAY(makulatura[[#This Row],[Data_dostarczenia]],2)</f>
        <v>5</v>
      </c>
    </row>
    <row r="1525" spans="1:6" x14ac:dyDescent="0.25">
      <c r="A1525" s="1">
        <v>42993</v>
      </c>
      <c r="B1525" s="2" t="s">
        <v>346</v>
      </c>
      <c r="C1525" s="2" t="s">
        <v>347</v>
      </c>
      <c r="D1525">
        <v>20</v>
      </c>
      <c r="E1525">
        <f>WEEKNUM(makulatura[[#This Row],[Data_dostarczenia]],13)</f>
        <v>38</v>
      </c>
      <c r="F1525" s="2">
        <f>WEEKDAY(makulatura[[#This Row],[Data_dostarczenia]],2)</f>
        <v>5</v>
      </c>
    </row>
    <row r="1526" spans="1:6" x14ac:dyDescent="0.25">
      <c r="A1526" s="1">
        <v>42993</v>
      </c>
      <c r="B1526" s="2" t="s">
        <v>150</v>
      </c>
      <c r="C1526" s="2" t="s">
        <v>313</v>
      </c>
      <c r="D1526">
        <v>12</v>
      </c>
      <c r="E1526">
        <f>WEEKNUM(makulatura[[#This Row],[Data_dostarczenia]],13)</f>
        <v>38</v>
      </c>
      <c r="F1526" s="2">
        <f>WEEKDAY(makulatura[[#This Row],[Data_dostarczenia]],2)</f>
        <v>5</v>
      </c>
    </row>
    <row r="1527" spans="1:6" x14ac:dyDescent="0.25">
      <c r="A1527" s="1">
        <v>42993</v>
      </c>
      <c r="B1527" s="2" t="s">
        <v>201</v>
      </c>
      <c r="C1527" s="2" t="s">
        <v>357</v>
      </c>
      <c r="D1527">
        <v>9</v>
      </c>
      <c r="E1527">
        <f>WEEKNUM(makulatura[[#This Row],[Data_dostarczenia]],13)</f>
        <v>38</v>
      </c>
      <c r="F1527" s="2">
        <f>WEEKDAY(makulatura[[#This Row],[Data_dostarczenia]],2)</f>
        <v>5</v>
      </c>
    </row>
    <row r="1528" spans="1:6" x14ac:dyDescent="0.25">
      <c r="A1528" s="1">
        <v>42993</v>
      </c>
      <c r="B1528" s="2" t="s">
        <v>232</v>
      </c>
      <c r="C1528" s="2" t="s">
        <v>487</v>
      </c>
      <c r="D1528">
        <v>46</v>
      </c>
      <c r="E1528">
        <f>WEEKNUM(makulatura[[#This Row],[Data_dostarczenia]],13)</f>
        <v>38</v>
      </c>
      <c r="F1528" s="2">
        <f>WEEKDAY(makulatura[[#This Row],[Data_dostarczenia]],2)</f>
        <v>5</v>
      </c>
    </row>
    <row r="1529" spans="1:6" x14ac:dyDescent="0.25">
      <c r="A1529" s="1">
        <v>42993</v>
      </c>
      <c r="B1529" s="2" t="s">
        <v>234</v>
      </c>
      <c r="C1529" s="2" t="s">
        <v>516</v>
      </c>
      <c r="D1529">
        <v>30</v>
      </c>
      <c r="E1529">
        <f>WEEKNUM(makulatura[[#This Row],[Data_dostarczenia]],13)</f>
        <v>38</v>
      </c>
      <c r="F1529" s="2">
        <f>WEEKDAY(makulatura[[#This Row],[Data_dostarczenia]],2)</f>
        <v>5</v>
      </c>
    </row>
    <row r="1530" spans="1:6" x14ac:dyDescent="0.25">
      <c r="A1530" s="1">
        <v>42993</v>
      </c>
      <c r="B1530" s="2" t="s">
        <v>53</v>
      </c>
      <c r="C1530" s="2" t="s">
        <v>227</v>
      </c>
      <c r="D1530">
        <v>25</v>
      </c>
      <c r="E1530">
        <f>WEEKNUM(makulatura[[#This Row],[Data_dostarczenia]],13)</f>
        <v>38</v>
      </c>
      <c r="F1530" s="2">
        <f>WEEKDAY(makulatura[[#This Row],[Data_dostarczenia]],2)</f>
        <v>5</v>
      </c>
    </row>
    <row r="1531" spans="1:6" x14ac:dyDescent="0.25">
      <c r="A1531" s="1">
        <v>42993</v>
      </c>
      <c r="B1531" s="2" t="s">
        <v>55</v>
      </c>
      <c r="C1531" s="2" t="s">
        <v>265</v>
      </c>
      <c r="D1531">
        <v>25</v>
      </c>
      <c r="E1531">
        <f>WEEKNUM(makulatura[[#This Row],[Data_dostarczenia]],13)</f>
        <v>38</v>
      </c>
      <c r="F1531" s="2">
        <f>WEEKDAY(makulatura[[#This Row],[Data_dostarczenia]],2)</f>
        <v>5</v>
      </c>
    </row>
    <row r="1532" spans="1:6" x14ac:dyDescent="0.25">
      <c r="A1532" s="1">
        <v>42996</v>
      </c>
      <c r="B1532" s="2" t="s">
        <v>155</v>
      </c>
      <c r="C1532" s="2" t="s">
        <v>186</v>
      </c>
      <c r="D1532">
        <v>15</v>
      </c>
      <c r="E1532">
        <f>WEEKNUM(makulatura[[#This Row],[Data_dostarczenia]],13)</f>
        <v>38</v>
      </c>
      <c r="F1532" s="2">
        <f>WEEKDAY(makulatura[[#This Row],[Data_dostarczenia]],2)</f>
        <v>1</v>
      </c>
    </row>
    <row r="1533" spans="1:6" x14ac:dyDescent="0.25">
      <c r="A1533" s="1">
        <v>42996</v>
      </c>
      <c r="B1533" s="2" t="s">
        <v>152</v>
      </c>
      <c r="C1533" s="2" t="s">
        <v>534</v>
      </c>
      <c r="D1533">
        <v>8</v>
      </c>
      <c r="E1533">
        <f>WEEKNUM(makulatura[[#This Row],[Data_dostarczenia]],13)</f>
        <v>38</v>
      </c>
      <c r="F1533" s="2">
        <f>WEEKDAY(makulatura[[#This Row],[Data_dostarczenia]],2)</f>
        <v>1</v>
      </c>
    </row>
    <row r="1534" spans="1:6" x14ac:dyDescent="0.25">
      <c r="A1534" s="1">
        <v>42996</v>
      </c>
      <c r="B1534" s="2" t="s">
        <v>232</v>
      </c>
      <c r="C1534" s="2" t="s">
        <v>451</v>
      </c>
      <c r="D1534">
        <v>8</v>
      </c>
      <c r="E1534">
        <f>WEEKNUM(makulatura[[#This Row],[Data_dostarczenia]],13)</f>
        <v>38</v>
      </c>
      <c r="F1534" s="2">
        <f>WEEKDAY(makulatura[[#This Row],[Data_dostarczenia]],2)</f>
        <v>1</v>
      </c>
    </row>
    <row r="1535" spans="1:6" x14ac:dyDescent="0.25">
      <c r="A1535" s="1">
        <v>42996</v>
      </c>
      <c r="B1535" s="2" t="s">
        <v>83</v>
      </c>
      <c r="C1535" s="2" t="s">
        <v>455</v>
      </c>
      <c r="D1535">
        <v>20</v>
      </c>
      <c r="E1535">
        <f>WEEKNUM(makulatura[[#This Row],[Data_dostarczenia]],13)</f>
        <v>38</v>
      </c>
      <c r="F1535" s="2">
        <f>WEEKDAY(makulatura[[#This Row],[Data_dostarczenia]],2)</f>
        <v>1</v>
      </c>
    </row>
    <row r="1536" spans="1:6" x14ac:dyDescent="0.25">
      <c r="A1536" s="1">
        <v>42996</v>
      </c>
      <c r="B1536" s="2" t="s">
        <v>20</v>
      </c>
      <c r="C1536" s="2" t="s">
        <v>123</v>
      </c>
      <c r="D1536">
        <v>53</v>
      </c>
      <c r="E1536">
        <f>WEEKNUM(makulatura[[#This Row],[Data_dostarczenia]],13)</f>
        <v>38</v>
      </c>
      <c r="F1536" s="2">
        <f>WEEKDAY(makulatura[[#This Row],[Data_dostarczenia]],2)</f>
        <v>1</v>
      </c>
    </row>
    <row r="1537" spans="1:6" x14ac:dyDescent="0.25">
      <c r="A1537" s="1">
        <v>42996</v>
      </c>
      <c r="B1537" s="2" t="s">
        <v>280</v>
      </c>
      <c r="C1537" s="2" t="s">
        <v>466</v>
      </c>
      <c r="D1537">
        <v>50</v>
      </c>
      <c r="E1537">
        <f>WEEKNUM(makulatura[[#This Row],[Data_dostarczenia]],13)</f>
        <v>38</v>
      </c>
      <c r="F1537" s="2">
        <f>WEEKDAY(makulatura[[#This Row],[Data_dostarczenia]],2)</f>
        <v>1</v>
      </c>
    </row>
    <row r="1538" spans="1:6" x14ac:dyDescent="0.25">
      <c r="A1538" s="1">
        <v>42996</v>
      </c>
      <c r="B1538" s="2" t="s">
        <v>63</v>
      </c>
      <c r="C1538" s="2" t="s">
        <v>671</v>
      </c>
      <c r="D1538">
        <v>52</v>
      </c>
      <c r="E1538">
        <f>WEEKNUM(makulatura[[#This Row],[Data_dostarczenia]],13)</f>
        <v>38</v>
      </c>
      <c r="F1538" s="2">
        <f>WEEKDAY(makulatura[[#This Row],[Data_dostarczenia]],2)</f>
        <v>1</v>
      </c>
    </row>
    <row r="1539" spans="1:6" x14ac:dyDescent="0.25">
      <c r="A1539" s="1">
        <v>42996</v>
      </c>
      <c r="B1539" s="2" t="s">
        <v>141</v>
      </c>
      <c r="C1539" s="2" t="s">
        <v>649</v>
      </c>
      <c r="D1539">
        <v>12</v>
      </c>
      <c r="E1539">
        <f>WEEKNUM(makulatura[[#This Row],[Data_dostarczenia]],13)</f>
        <v>38</v>
      </c>
      <c r="F1539" s="2">
        <f>WEEKDAY(makulatura[[#This Row],[Data_dostarczenia]],2)</f>
        <v>1</v>
      </c>
    </row>
    <row r="1540" spans="1:6" x14ac:dyDescent="0.25">
      <c r="A1540" s="1">
        <v>42996</v>
      </c>
      <c r="B1540" s="2" t="s">
        <v>81</v>
      </c>
      <c r="C1540" s="2" t="s">
        <v>496</v>
      </c>
      <c r="D1540">
        <v>14</v>
      </c>
      <c r="E1540">
        <f>WEEKNUM(makulatura[[#This Row],[Data_dostarczenia]],13)</f>
        <v>38</v>
      </c>
      <c r="F1540" s="2">
        <f>WEEKDAY(makulatura[[#This Row],[Data_dostarczenia]],2)</f>
        <v>1</v>
      </c>
    </row>
    <row r="1541" spans="1:6" x14ac:dyDescent="0.25">
      <c r="A1541" s="1">
        <v>42996</v>
      </c>
      <c r="B1541" s="2" t="s">
        <v>87</v>
      </c>
      <c r="C1541" s="2" t="s">
        <v>255</v>
      </c>
      <c r="D1541">
        <v>12</v>
      </c>
      <c r="E1541">
        <f>WEEKNUM(makulatura[[#This Row],[Data_dostarczenia]],13)</f>
        <v>38</v>
      </c>
      <c r="F1541" s="2">
        <f>WEEKDAY(makulatura[[#This Row],[Data_dostarczenia]],2)</f>
        <v>1</v>
      </c>
    </row>
    <row r="1542" spans="1:6" x14ac:dyDescent="0.25">
      <c r="A1542" s="1">
        <v>42996</v>
      </c>
      <c r="B1542" s="2" t="s">
        <v>27</v>
      </c>
      <c r="C1542" s="2" t="s">
        <v>28</v>
      </c>
      <c r="D1542">
        <v>27</v>
      </c>
      <c r="E1542">
        <f>WEEKNUM(makulatura[[#This Row],[Data_dostarczenia]],13)</f>
        <v>38</v>
      </c>
      <c r="F1542" s="2">
        <f>WEEKDAY(makulatura[[#This Row],[Data_dostarczenia]],2)</f>
        <v>1</v>
      </c>
    </row>
    <row r="1543" spans="1:6" x14ac:dyDescent="0.25">
      <c r="A1543" s="1">
        <v>42996</v>
      </c>
      <c r="B1543" s="2" t="s">
        <v>234</v>
      </c>
      <c r="C1543" s="2" t="s">
        <v>516</v>
      </c>
      <c r="D1543">
        <v>25</v>
      </c>
      <c r="E1543">
        <f>WEEKNUM(makulatura[[#This Row],[Data_dostarczenia]],13)</f>
        <v>38</v>
      </c>
      <c r="F1543" s="2">
        <f>WEEKDAY(makulatura[[#This Row],[Data_dostarczenia]],2)</f>
        <v>1</v>
      </c>
    </row>
    <row r="1544" spans="1:6" x14ac:dyDescent="0.25">
      <c r="A1544" s="1">
        <v>42997</v>
      </c>
      <c r="B1544" s="2" t="s">
        <v>494</v>
      </c>
      <c r="C1544" s="2" t="s">
        <v>495</v>
      </c>
      <c r="D1544">
        <v>29</v>
      </c>
      <c r="E1544">
        <f>WEEKNUM(makulatura[[#This Row],[Data_dostarczenia]],13)</f>
        <v>38</v>
      </c>
      <c r="F1544" s="2">
        <f>WEEKDAY(makulatura[[#This Row],[Data_dostarczenia]],2)</f>
        <v>2</v>
      </c>
    </row>
    <row r="1545" spans="1:6" x14ac:dyDescent="0.25">
      <c r="A1545" s="1">
        <v>42997</v>
      </c>
      <c r="B1545" s="2" t="s">
        <v>341</v>
      </c>
      <c r="C1545" s="2" t="s">
        <v>342</v>
      </c>
      <c r="D1545">
        <v>54</v>
      </c>
      <c r="E1545">
        <f>WEEKNUM(makulatura[[#This Row],[Data_dostarczenia]],13)</f>
        <v>38</v>
      </c>
      <c r="F1545" s="2">
        <f>WEEKDAY(makulatura[[#This Row],[Data_dostarczenia]],2)</f>
        <v>2</v>
      </c>
    </row>
    <row r="1546" spans="1:6" x14ac:dyDescent="0.25">
      <c r="A1546" s="1">
        <v>42997</v>
      </c>
      <c r="B1546" s="2" t="s">
        <v>97</v>
      </c>
      <c r="C1546" s="2" t="s">
        <v>452</v>
      </c>
      <c r="D1546">
        <v>10</v>
      </c>
      <c r="E1546">
        <f>WEEKNUM(makulatura[[#This Row],[Data_dostarczenia]],13)</f>
        <v>38</v>
      </c>
      <c r="F1546" s="2">
        <f>WEEKDAY(makulatura[[#This Row],[Data_dostarczenia]],2)</f>
        <v>2</v>
      </c>
    </row>
    <row r="1547" spans="1:6" x14ac:dyDescent="0.25">
      <c r="A1547" s="1">
        <v>42997</v>
      </c>
      <c r="B1547" s="2" t="s">
        <v>30</v>
      </c>
      <c r="C1547" s="2" t="s">
        <v>463</v>
      </c>
      <c r="D1547">
        <v>28</v>
      </c>
      <c r="E1547">
        <f>WEEKNUM(makulatura[[#This Row],[Data_dostarczenia]],13)</f>
        <v>38</v>
      </c>
      <c r="F1547" s="2">
        <f>WEEKDAY(makulatura[[#This Row],[Data_dostarczenia]],2)</f>
        <v>2</v>
      </c>
    </row>
    <row r="1548" spans="1:6" x14ac:dyDescent="0.25">
      <c r="A1548" s="1">
        <v>42997</v>
      </c>
      <c r="B1548" s="2" t="s">
        <v>271</v>
      </c>
      <c r="C1548" s="2" t="s">
        <v>272</v>
      </c>
      <c r="D1548">
        <v>7</v>
      </c>
      <c r="E1548">
        <f>WEEKNUM(makulatura[[#This Row],[Data_dostarczenia]],13)</f>
        <v>38</v>
      </c>
      <c r="F1548" s="2">
        <f>WEEKDAY(makulatura[[#This Row],[Data_dostarczenia]],2)</f>
        <v>2</v>
      </c>
    </row>
    <row r="1549" spans="1:6" x14ac:dyDescent="0.25">
      <c r="A1549" s="1">
        <v>42997</v>
      </c>
      <c r="B1549" s="2" t="s">
        <v>83</v>
      </c>
      <c r="C1549" s="2" t="s">
        <v>646</v>
      </c>
      <c r="D1549">
        <v>18</v>
      </c>
      <c r="E1549">
        <f>WEEKNUM(makulatura[[#This Row],[Data_dostarczenia]],13)</f>
        <v>38</v>
      </c>
      <c r="F1549" s="2">
        <f>WEEKDAY(makulatura[[#This Row],[Data_dostarczenia]],2)</f>
        <v>2</v>
      </c>
    </row>
    <row r="1550" spans="1:6" x14ac:dyDescent="0.25">
      <c r="A1550" s="1">
        <v>42997</v>
      </c>
      <c r="B1550" s="2" t="s">
        <v>141</v>
      </c>
      <c r="C1550" s="2" t="s">
        <v>612</v>
      </c>
      <c r="D1550">
        <v>10</v>
      </c>
      <c r="E1550">
        <f>WEEKNUM(makulatura[[#This Row],[Data_dostarczenia]],13)</f>
        <v>38</v>
      </c>
      <c r="F1550" s="2">
        <f>WEEKDAY(makulatura[[#This Row],[Data_dostarczenia]],2)</f>
        <v>2</v>
      </c>
    </row>
    <row r="1551" spans="1:6" x14ac:dyDescent="0.25">
      <c r="A1551" s="1">
        <v>42997</v>
      </c>
      <c r="B1551" s="2" t="s">
        <v>27</v>
      </c>
      <c r="C1551" s="2" t="s">
        <v>94</v>
      </c>
      <c r="D1551">
        <v>24</v>
      </c>
      <c r="E1551">
        <f>WEEKNUM(makulatura[[#This Row],[Data_dostarczenia]],13)</f>
        <v>38</v>
      </c>
      <c r="F1551" s="2">
        <f>WEEKDAY(makulatura[[#This Row],[Data_dostarczenia]],2)</f>
        <v>2</v>
      </c>
    </row>
    <row r="1552" spans="1:6" x14ac:dyDescent="0.25">
      <c r="A1552" s="1">
        <v>42997</v>
      </c>
      <c r="B1552" s="2" t="s">
        <v>18</v>
      </c>
      <c r="C1552" s="2" t="s">
        <v>392</v>
      </c>
      <c r="D1552">
        <v>19</v>
      </c>
      <c r="E1552">
        <f>WEEKNUM(makulatura[[#This Row],[Data_dostarczenia]],13)</f>
        <v>38</v>
      </c>
      <c r="F1552" s="2">
        <f>WEEKDAY(makulatura[[#This Row],[Data_dostarczenia]],2)</f>
        <v>2</v>
      </c>
    </row>
    <row r="1553" spans="1:6" x14ac:dyDescent="0.25">
      <c r="A1553" s="1">
        <v>42997</v>
      </c>
      <c r="B1553" s="2" t="s">
        <v>219</v>
      </c>
      <c r="C1553" s="2" t="s">
        <v>543</v>
      </c>
      <c r="D1553">
        <v>28</v>
      </c>
      <c r="E1553">
        <f>WEEKNUM(makulatura[[#This Row],[Data_dostarczenia]],13)</f>
        <v>38</v>
      </c>
      <c r="F1553" s="2">
        <f>WEEKDAY(makulatura[[#This Row],[Data_dostarczenia]],2)</f>
        <v>2</v>
      </c>
    </row>
    <row r="1554" spans="1:6" x14ac:dyDescent="0.25">
      <c r="A1554" s="1">
        <v>42997</v>
      </c>
      <c r="B1554" s="2" t="s">
        <v>150</v>
      </c>
      <c r="C1554" s="2" t="s">
        <v>298</v>
      </c>
      <c r="D1554">
        <v>5</v>
      </c>
      <c r="E1554">
        <f>WEEKNUM(makulatura[[#This Row],[Data_dostarczenia]],13)</f>
        <v>38</v>
      </c>
      <c r="F1554" s="2">
        <f>WEEKDAY(makulatura[[#This Row],[Data_dostarczenia]],2)</f>
        <v>2</v>
      </c>
    </row>
    <row r="1555" spans="1:6" x14ac:dyDescent="0.25">
      <c r="A1555" s="1">
        <v>42997</v>
      </c>
      <c r="B1555" s="2" t="s">
        <v>314</v>
      </c>
      <c r="C1555" s="2" t="s">
        <v>315</v>
      </c>
      <c r="D1555">
        <v>17</v>
      </c>
      <c r="E1555">
        <f>WEEKNUM(makulatura[[#This Row],[Data_dostarczenia]],13)</f>
        <v>38</v>
      </c>
      <c r="F1555" s="2">
        <f>WEEKDAY(makulatura[[#This Row],[Data_dostarczenia]],2)</f>
        <v>2</v>
      </c>
    </row>
    <row r="1556" spans="1:6" x14ac:dyDescent="0.25">
      <c r="A1556" s="1">
        <v>42998</v>
      </c>
      <c r="B1556" s="2" t="s">
        <v>67</v>
      </c>
      <c r="C1556" s="2" t="s">
        <v>460</v>
      </c>
      <c r="D1556">
        <v>53</v>
      </c>
      <c r="E1556">
        <f>WEEKNUM(makulatura[[#This Row],[Data_dostarczenia]],13)</f>
        <v>39</v>
      </c>
      <c r="F1556" s="2">
        <f>WEEKDAY(makulatura[[#This Row],[Data_dostarczenia]],2)</f>
        <v>3</v>
      </c>
    </row>
    <row r="1557" spans="1:6" x14ac:dyDescent="0.25">
      <c r="A1557" s="1">
        <v>42998</v>
      </c>
      <c r="B1557" s="2" t="s">
        <v>217</v>
      </c>
      <c r="C1557" s="2" t="s">
        <v>218</v>
      </c>
      <c r="D1557">
        <v>5</v>
      </c>
      <c r="E1557">
        <f>WEEKNUM(makulatura[[#This Row],[Data_dostarczenia]],13)</f>
        <v>39</v>
      </c>
      <c r="F1557" s="2">
        <f>WEEKDAY(makulatura[[#This Row],[Data_dostarczenia]],2)</f>
        <v>3</v>
      </c>
    </row>
    <row r="1558" spans="1:6" x14ac:dyDescent="0.25">
      <c r="A1558" s="1">
        <v>42998</v>
      </c>
      <c r="B1558" s="2" t="s">
        <v>672</v>
      </c>
      <c r="C1558" s="2" t="s">
        <v>673</v>
      </c>
      <c r="D1558">
        <v>35</v>
      </c>
      <c r="E1558">
        <f>WEEKNUM(makulatura[[#This Row],[Data_dostarczenia]],13)</f>
        <v>39</v>
      </c>
      <c r="F1558" s="2">
        <f>WEEKDAY(makulatura[[#This Row],[Data_dostarczenia]],2)</f>
        <v>3</v>
      </c>
    </row>
    <row r="1559" spans="1:6" x14ac:dyDescent="0.25">
      <c r="A1559" s="1">
        <v>42998</v>
      </c>
      <c r="B1559" s="2" t="s">
        <v>12</v>
      </c>
      <c r="C1559" s="2" t="s">
        <v>38</v>
      </c>
      <c r="D1559">
        <v>17</v>
      </c>
      <c r="E1559">
        <f>WEEKNUM(makulatura[[#This Row],[Data_dostarczenia]],13)</f>
        <v>39</v>
      </c>
      <c r="F1559" s="2">
        <f>WEEKDAY(makulatura[[#This Row],[Data_dostarczenia]],2)</f>
        <v>3</v>
      </c>
    </row>
    <row r="1560" spans="1:6" x14ac:dyDescent="0.25">
      <c r="A1560" s="1">
        <v>42998</v>
      </c>
      <c r="B1560" s="2" t="s">
        <v>67</v>
      </c>
      <c r="C1560" s="2" t="s">
        <v>68</v>
      </c>
      <c r="D1560">
        <v>12</v>
      </c>
      <c r="E1560">
        <f>WEEKNUM(makulatura[[#This Row],[Data_dostarczenia]],13)</f>
        <v>39</v>
      </c>
      <c r="F1560" s="2">
        <f>WEEKDAY(makulatura[[#This Row],[Data_dostarczenia]],2)</f>
        <v>3</v>
      </c>
    </row>
    <row r="1561" spans="1:6" x14ac:dyDescent="0.25">
      <c r="A1561" s="1">
        <v>42998</v>
      </c>
      <c r="B1561" s="2" t="s">
        <v>81</v>
      </c>
      <c r="C1561" s="2" t="s">
        <v>104</v>
      </c>
      <c r="D1561">
        <v>28</v>
      </c>
      <c r="E1561">
        <f>WEEKNUM(makulatura[[#This Row],[Data_dostarczenia]],13)</f>
        <v>39</v>
      </c>
      <c r="F1561" s="2">
        <f>WEEKDAY(makulatura[[#This Row],[Data_dostarczenia]],2)</f>
        <v>3</v>
      </c>
    </row>
    <row r="1562" spans="1:6" x14ac:dyDescent="0.25">
      <c r="A1562" s="1">
        <v>42998</v>
      </c>
      <c r="B1562" s="2" t="s">
        <v>55</v>
      </c>
      <c r="C1562" s="2" t="s">
        <v>492</v>
      </c>
      <c r="D1562">
        <v>47</v>
      </c>
      <c r="E1562">
        <f>WEEKNUM(makulatura[[#This Row],[Data_dostarczenia]],13)</f>
        <v>39</v>
      </c>
      <c r="F1562" s="2">
        <f>WEEKDAY(makulatura[[#This Row],[Data_dostarczenia]],2)</f>
        <v>3</v>
      </c>
    </row>
    <row r="1563" spans="1:6" x14ac:dyDescent="0.25">
      <c r="A1563" s="1">
        <v>42998</v>
      </c>
      <c r="B1563" s="2" t="s">
        <v>69</v>
      </c>
      <c r="C1563" s="2" t="s">
        <v>461</v>
      </c>
      <c r="D1563">
        <v>5</v>
      </c>
      <c r="E1563">
        <f>WEEKNUM(makulatura[[#This Row],[Data_dostarczenia]],13)</f>
        <v>39</v>
      </c>
      <c r="F1563" s="2">
        <f>WEEKDAY(makulatura[[#This Row],[Data_dostarczenia]],2)</f>
        <v>3</v>
      </c>
    </row>
    <row r="1564" spans="1:6" x14ac:dyDescent="0.25">
      <c r="A1564" s="1">
        <v>42999</v>
      </c>
      <c r="B1564" s="2" t="s">
        <v>83</v>
      </c>
      <c r="C1564" s="2" t="s">
        <v>596</v>
      </c>
      <c r="D1564">
        <v>7</v>
      </c>
      <c r="E1564">
        <f>WEEKNUM(makulatura[[#This Row],[Data_dostarczenia]],13)</f>
        <v>39</v>
      </c>
      <c r="F1564" s="2">
        <f>WEEKDAY(makulatura[[#This Row],[Data_dostarczenia]],2)</f>
        <v>4</v>
      </c>
    </row>
    <row r="1565" spans="1:6" x14ac:dyDescent="0.25">
      <c r="A1565" s="1">
        <v>42999</v>
      </c>
      <c r="B1565" s="2" t="s">
        <v>65</v>
      </c>
      <c r="C1565" s="2" t="s">
        <v>674</v>
      </c>
      <c r="D1565">
        <v>52</v>
      </c>
      <c r="E1565">
        <f>WEEKNUM(makulatura[[#This Row],[Data_dostarczenia]],13)</f>
        <v>39</v>
      </c>
      <c r="F1565" s="2">
        <f>WEEKDAY(makulatura[[#This Row],[Data_dostarczenia]],2)</f>
        <v>4</v>
      </c>
    </row>
    <row r="1566" spans="1:6" x14ac:dyDescent="0.25">
      <c r="A1566" s="1">
        <v>42999</v>
      </c>
      <c r="B1566" s="2" t="s">
        <v>12</v>
      </c>
      <c r="C1566" s="2" t="s">
        <v>549</v>
      </c>
      <c r="D1566">
        <v>50</v>
      </c>
      <c r="E1566">
        <f>WEEKNUM(makulatura[[#This Row],[Data_dostarczenia]],13)</f>
        <v>39</v>
      </c>
      <c r="F1566" s="2">
        <f>WEEKDAY(makulatura[[#This Row],[Data_dostarczenia]],2)</f>
        <v>4</v>
      </c>
    </row>
    <row r="1567" spans="1:6" x14ac:dyDescent="0.25">
      <c r="A1567" s="1">
        <v>42999</v>
      </c>
      <c r="B1567" s="2" t="s">
        <v>34</v>
      </c>
      <c r="C1567" s="2" t="s">
        <v>182</v>
      </c>
      <c r="D1567">
        <v>10</v>
      </c>
      <c r="E1567">
        <f>WEEKNUM(makulatura[[#This Row],[Data_dostarczenia]],13)</f>
        <v>39</v>
      </c>
      <c r="F1567" s="2">
        <f>WEEKDAY(makulatura[[#This Row],[Data_dostarczenia]],2)</f>
        <v>4</v>
      </c>
    </row>
    <row r="1568" spans="1:6" x14ac:dyDescent="0.25">
      <c r="A1568" s="1">
        <v>42999</v>
      </c>
      <c r="B1568" s="2" t="s">
        <v>438</v>
      </c>
      <c r="C1568" s="2" t="s">
        <v>439</v>
      </c>
      <c r="D1568">
        <v>5</v>
      </c>
      <c r="E1568">
        <f>WEEKNUM(makulatura[[#This Row],[Data_dostarczenia]],13)</f>
        <v>39</v>
      </c>
      <c r="F1568" s="2">
        <f>WEEKDAY(makulatura[[#This Row],[Data_dostarczenia]],2)</f>
        <v>4</v>
      </c>
    </row>
    <row r="1569" spans="1:6" x14ac:dyDescent="0.25">
      <c r="A1569" s="1">
        <v>42999</v>
      </c>
      <c r="B1569" s="2" t="s">
        <v>81</v>
      </c>
      <c r="C1569" s="2" t="s">
        <v>584</v>
      </c>
      <c r="D1569">
        <v>17</v>
      </c>
      <c r="E1569">
        <f>WEEKNUM(makulatura[[#This Row],[Data_dostarczenia]],13)</f>
        <v>39</v>
      </c>
      <c r="F1569" s="2">
        <f>WEEKDAY(makulatura[[#This Row],[Data_dostarczenia]],2)</f>
        <v>4</v>
      </c>
    </row>
    <row r="1570" spans="1:6" x14ac:dyDescent="0.25">
      <c r="A1570" s="1">
        <v>42999</v>
      </c>
      <c r="B1570" s="2" t="s">
        <v>12</v>
      </c>
      <c r="C1570" s="2" t="s">
        <v>386</v>
      </c>
      <c r="D1570">
        <v>24</v>
      </c>
      <c r="E1570">
        <f>WEEKNUM(makulatura[[#This Row],[Data_dostarczenia]],13)</f>
        <v>39</v>
      </c>
      <c r="F1570" s="2">
        <f>WEEKDAY(makulatura[[#This Row],[Data_dostarczenia]],2)</f>
        <v>4</v>
      </c>
    </row>
    <row r="1571" spans="1:6" x14ac:dyDescent="0.25">
      <c r="A1571" s="1">
        <v>42999</v>
      </c>
      <c r="B1571" s="2" t="s">
        <v>409</v>
      </c>
      <c r="C1571" s="2" t="s">
        <v>656</v>
      </c>
      <c r="D1571">
        <v>50</v>
      </c>
      <c r="E1571">
        <f>WEEKNUM(makulatura[[#This Row],[Data_dostarczenia]],13)</f>
        <v>39</v>
      </c>
      <c r="F1571" s="2">
        <f>WEEKDAY(makulatura[[#This Row],[Data_dostarczenia]],2)</f>
        <v>4</v>
      </c>
    </row>
    <row r="1572" spans="1:6" x14ac:dyDescent="0.25">
      <c r="A1572" s="1">
        <v>43000</v>
      </c>
      <c r="B1572" s="2" t="s">
        <v>101</v>
      </c>
      <c r="C1572" s="2" t="s">
        <v>188</v>
      </c>
      <c r="D1572">
        <v>9</v>
      </c>
      <c r="E1572">
        <f>WEEKNUM(makulatura[[#This Row],[Data_dostarczenia]],13)</f>
        <v>39</v>
      </c>
      <c r="F1572" s="2">
        <f>WEEKDAY(makulatura[[#This Row],[Data_dostarczenia]],2)</f>
        <v>5</v>
      </c>
    </row>
    <row r="1573" spans="1:6" x14ac:dyDescent="0.25">
      <c r="A1573" s="1">
        <v>43000</v>
      </c>
      <c r="B1573" s="2" t="s">
        <v>83</v>
      </c>
      <c r="C1573" s="2" t="s">
        <v>561</v>
      </c>
      <c r="D1573">
        <v>6</v>
      </c>
      <c r="E1573">
        <f>WEEKNUM(makulatura[[#This Row],[Data_dostarczenia]],13)</f>
        <v>39</v>
      </c>
      <c r="F1573" s="2">
        <f>WEEKDAY(makulatura[[#This Row],[Data_dostarczenia]],2)</f>
        <v>5</v>
      </c>
    </row>
    <row r="1574" spans="1:6" x14ac:dyDescent="0.25">
      <c r="A1574" s="1">
        <v>43000</v>
      </c>
      <c r="B1574" s="2" t="s">
        <v>232</v>
      </c>
      <c r="C1574" s="2" t="s">
        <v>405</v>
      </c>
      <c r="D1574">
        <v>24</v>
      </c>
      <c r="E1574">
        <f>WEEKNUM(makulatura[[#This Row],[Data_dostarczenia]],13)</f>
        <v>39</v>
      </c>
      <c r="F1574" s="2">
        <f>WEEKDAY(makulatura[[#This Row],[Data_dostarczenia]],2)</f>
        <v>5</v>
      </c>
    </row>
    <row r="1575" spans="1:6" x14ac:dyDescent="0.25">
      <c r="A1575" s="1">
        <v>43000</v>
      </c>
      <c r="B1575" s="2" t="s">
        <v>95</v>
      </c>
      <c r="C1575" s="2" t="s">
        <v>426</v>
      </c>
      <c r="D1575">
        <v>15</v>
      </c>
      <c r="E1575">
        <f>WEEKNUM(makulatura[[#This Row],[Data_dostarczenia]],13)</f>
        <v>39</v>
      </c>
      <c r="F1575" s="2">
        <f>WEEKDAY(makulatura[[#This Row],[Data_dostarczenia]],2)</f>
        <v>5</v>
      </c>
    </row>
    <row r="1576" spans="1:6" x14ac:dyDescent="0.25">
      <c r="A1576" s="1">
        <v>43000</v>
      </c>
      <c r="B1576" s="2" t="s">
        <v>150</v>
      </c>
      <c r="C1576" s="2" t="s">
        <v>258</v>
      </c>
      <c r="D1576">
        <v>16</v>
      </c>
      <c r="E1576">
        <f>WEEKNUM(makulatura[[#This Row],[Data_dostarczenia]],13)</f>
        <v>39</v>
      </c>
      <c r="F1576" s="2">
        <f>WEEKDAY(makulatura[[#This Row],[Data_dostarczenia]],2)</f>
        <v>5</v>
      </c>
    </row>
    <row r="1577" spans="1:6" x14ac:dyDescent="0.25">
      <c r="A1577" s="1">
        <v>43000</v>
      </c>
      <c r="B1577" s="2" t="s">
        <v>55</v>
      </c>
      <c r="C1577" s="2" t="s">
        <v>493</v>
      </c>
      <c r="D1577">
        <v>10</v>
      </c>
      <c r="E1577">
        <f>WEEKNUM(makulatura[[#This Row],[Data_dostarczenia]],13)</f>
        <v>39</v>
      </c>
      <c r="F1577" s="2">
        <f>WEEKDAY(makulatura[[#This Row],[Data_dostarczenia]],2)</f>
        <v>5</v>
      </c>
    </row>
    <row r="1578" spans="1:6" x14ac:dyDescent="0.25">
      <c r="A1578" s="1">
        <v>43000</v>
      </c>
      <c r="B1578" s="2" t="s">
        <v>307</v>
      </c>
      <c r="C1578" s="2" t="s">
        <v>325</v>
      </c>
      <c r="D1578">
        <v>32</v>
      </c>
      <c r="E1578">
        <f>WEEKNUM(makulatura[[#This Row],[Data_dostarczenia]],13)</f>
        <v>39</v>
      </c>
      <c r="F1578" s="2">
        <f>WEEKDAY(makulatura[[#This Row],[Data_dostarczenia]],2)</f>
        <v>5</v>
      </c>
    </row>
    <row r="1579" spans="1:6" x14ac:dyDescent="0.25">
      <c r="A1579" s="1">
        <v>43000</v>
      </c>
      <c r="B1579" s="2" t="s">
        <v>51</v>
      </c>
      <c r="C1579" s="2" t="s">
        <v>469</v>
      </c>
      <c r="D1579">
        <v>24</v>
      </c>
      <c r="E1579">
        <f>WEEKNUM(makulatura[[#This Row],[Data_dostarczenia]],13)</f>
        <v>39</v>
      </c>
      <c r="F1579" s="2">
        <f>WEEKDAY(makulatura[[#This Row],[Data_dostarczenia]],2)</f>
        <v>5</v>
      </c>
    </row>
    <row r="1580" spans="1:6" x14ac:dyDescent="0.25">
      <c r="A1580" s="1">
        <v>43003</v>
      </c>
      <c r="B1580" s="2" t="s">
        <v>178</v>
      </c>
      <c r="C1580" s="2" t="s">
        <v>242</v>
      </c>
      <c r="D1580">
        <v>34</v>
      </c>
      <c r="E1580">
        <f>WEEKNUM(makulatura[[#This Row],[Data_dostarczenia]],13)</f>
        <v>39</v>
      </c>
      <c r="F1580" s="2">
        <f>WEEKDAY(makulatura[[#This Row],[Data_dostarczenia]],2)</f>
        <v>1</v>
      </c>
    </row>
    <row r="1581" spans="1:6" x14ac:dyDescent="0.25">
      <c r="A1581" s="1">
        <v>43003</v>
      </c>
      <c r="B1581" s="2" t="s">
        <v>47</v>
      </c>
      <c r="C1581" s="2" t="s">
        <v>256</v>
      </c>
      <c r="D1581">
        <v>28</v>
      </c>
      <c r="E1581">
        <f>WEEKNUM(makulatura[[#This Row],[Data_dostarczenia]],13)</f>
        <v>39</v>
      </c>
      <c r="F1581" s="2">
        <f>WEEKDAY(makulatura[[#This Row],[Data_dostarczenia]],2)</f>
        <v>1</v>
      </c>
    </row>
    <row r="1582" spans="1:6" x14ac:dyDescent="0.25">
      <c r="A1582" s="1">
        <v>43003</v>
      </c>
      <c r="B1582" s="2" t="s">
        <v>55</v>
      </c>
      <c r="C1582" s="2" t="s">
        <v>506</v>
      </c>
      <c r="D1582">
        <v>18</v>
      </c>
      <c r="E1582">
        <f>WEEKNUM(makulatura[[#This Row],[Data_dostarczenia]],13)</f>
        <v>39</v>
      </c>
      <c r="F1582" s="2">
        <f>WEEKDAY(makulatura[[#This Row],[Data_dostarczenia]],2)</f>
        <v>1</v>
      </c>
    </row>
    <row r="1583" spans="1:6" x14ac:dyDescent="0.25">
      <c r="A1583" s="1">
        <v>43003</v>
      </c>
      <c r="B1583" s="2" t="s">
        <v>343</v>
      </c>
      <c r="C1583" s="2" t="s">
        <v>675</v>
      </c>
      <c r="D1583">
        <v>19</v>
      </c>
      <c r="E1583">
        <f>WEEKNUM(makulatura[[#This Row],[Data_dostarczenia]],13)</f>
        <v>39</v>
      </c>
      <c r="F1583" s="2">
        <f>WEEKDAY(makulatura[[#This Row],[Data_dostarczenia]],2)</f>
        <v>1</v>
      </c>
    </row>
    <row r="1584" spans="1:6" x14ac:dyDescent="0.25">
      <c r="A1584" s="1">
        <v>43003</v>
      </c>
      <c r="B1584" s="2" t="s">
        <v>314</v>
      </c>
      <c r="C1584" s="2" t="s">
        <v>466</v>
      </c>
      <c r="D1584">
        <v>7</v>
      </c>
      <c r="E1584">
        <f>WEEKNUM(makulatura[[#This Row],[Data_dostarczenia]],13)</f>
        <v>39</v>
      </c>
      <c r="F1584" s="2">
        <f>WEEKDAY(makulatura[[#This Row],[Data_dostarczenia]],2)</f>
        <v>1</v>
      </c>
    </row>
    <row r="1585" spans="1:6" x14ac:dyDescent="0.25">
      <c r="A1585" s="1">
        <v>43003</v>
      </c>
      <c r="B1585" s="2" t="s">
        <v>219</v>
      </c>
      <c r="C1585" s="2" t="s">
        <v>543</v>
      </c>
      <c r="D1585">
        <v>29</v>
      </c>
      <c r="E1585">
        <f>WEEKNUM(makulatura[[#This Row],[Data_dostarczenia]],13)</f>
        <v>39</v>
      </c>
      <c r="F1585" s="2">
        <f>WEEKDAY(makulatura[[#This Row],[Data_dostarczenia]],2)</f>
        <v>1</v>
      </c>
    </row>
    <row r="1586" spans="1:6" x14ac:dyDescent="0.25">
      <c r="A1586" s="1">
        <v>43003</v>
      </c>
      <c r="B1586" s="2" t="s">
        <v>150</v>
      </c>
      <c r="C1586" s="2" t="s">
        <v>676</v>
      </c>
      <c r="D1586">
        <v>56</v>
      </c>
      <c r="E1586">
        <f>WEEKNUM(makulatura[[#This Row],[Data_dostarczenia]],13)</f>
        <v>39</v>
      </c>
      <c r="F1586" s="2">
        <f>WEEKDAY(makulatura[[#This Row],[Data_dostarczenia]],2)</f>
        <v>1</v>
      </c>
    </row>
    <row r="1587" spans="1:6" x14ac:dyDescent="0.25">
      <c r="A1587" s="1">
        <v>43003</v>
      </c>
      <c r="B1587" s="2" t="s">
        <v>234</v>
      </c>
      <c r="C1587" s="2" t="s">
        <v>227</v>
      </c>
      <c r="D1587">
        <v>11</v>
      </c>
      <c r="E1587">
        <f>WEEKNUM(makulatura[[#This Row],[Data_dostarczenia]],13)</f>
        <v>39</v>
      </c>
      <c r="F1587" s="2">
        <f>WEEKDAY(makulatura[[#This Row],[Data_dostarczenia]],2)</f>
        <v>1</v>
      </c>
    </row>
    <row r="1588" spans="1:6" x14ac:dyDescent="0.25">
      <c r="A1588" s="1">
        <v>43004</v>
      </c>
      <c r="B1588" s="2" t="s">
        <v>310</v>
      </c>
      <c r="C1588" s="2" t="s">
        <v>641</v>
      </c>
      <c r="D1588">
        <v>33</v>
      </c>
      <c r="E1588">
        <f>WEEKNUM(makulatura[[#This Row],[Data_dostarczenia]],13)</f>
        <v>39</v>
      </c>
      <c r="F1588" s="2">
        <f>WEEKDAY(makulatura[[#This Row],[Data_dostarczenia]],2)</f>
        <v>2</v>
      </c>
    </row>
    <row r="1589" spans="1:6" x14ac:dyDescent="0.25">
      <c r="A1589" s="1">
        <v>43004</v>
      </c>
      <c r="B1589" s="2" t="s">
        <v>57</v>
      </c>
      <c r="C1589" s="2" t="s">
        <v>399</v>
      </c>
      <c r="D1589">
        <v>5</v>
      </c>
      <c r="E1589">
        <f>WEEKNUM(makulatura[[#This Row],[Data_dostarczenia]],13)</f>
        <v>39</v>
      </c>
      <c r="F1589" s="2">
        <f>WEEKDAY(makulatura[[#This Row],[Data_dostarczenia]],2)</f>
        <v>2</v>
      </c>
    </row>
    <row r="1590" spans="1:6" x14ac:dyDescent="0.25">
      <c r="A1590" s="1">
        <v>43004</v>
      </c>
      <c r="B1590" s="2" t="s">
        <v>195</v>
      </c>
      <c r="C1590" s="2" t="s">
        <v>196</v>
      </c>
      <c r="D1590">
        <v>25</v>
      </c>
      <c r="E1590">
        <f>WEEKNUM(makulatura[[#This Row],[Data_dostarczenia]],13)</f>
        <v>39</v>
      </c>
      <c r="F1590" s="2">
        <f>WEEKDAY(makulatura[[#This Row],[Data_dostarczenia]],2)</f>
        <v>2</v>
      </c>
    </row>
    <row r="1591" spans="1:6" x14ac:dyDescent="0.25">
      <c r="A1591" s="1">
        <v>43004</v>
      </c>
      <c r="B1591" s="2" t="s">
        <v>352</v>
      </c>
      <c r="C1591" s="2" t="s">
        <v>425</v>
      </c>
      <c r="D1591">
        <v>10</v>
      </c>
      <c r="E1591">
        <f>WEEKNUM(makulatura[[#This Row],[Data_dostarczenia]],13)</f>
        <v>39</v>
      </c>
      <c r="F1591" s="2">
        <f>WEEKDAY(makulatura[[#This Row],[Data_dostarczenia]],2)</f>
        <v>2</v>
      </c>
    </row>
    <row r="1592" spans="1:6" x14ac:dyDescent="0.25">
      <c r="A1592" s="1">
        <v>43004</v>
      </c>
      <c r="B1592" s="2" t="s">
        <v>131</v>
      </c>
      <c r="C1592" s="2" t="s">
        <v>451</v>
      </c>
      <c r="D1592">
        <v>18</v>
      </c>
      <c r="E1592">
        <f>WEEKNUM(makulatura[[#This Row],[Data_dostarczenia]],13)</f>
        <v>39</v>
      </c>
      <c r="F1592" s="2">
        <f>WEEKDAY(makulatura[[#This Row],[Data_dostarczenia]],2)</f>
        <v>2</v>
      </c>
    </row>
    <row r="1593" spans="1:6" x14ac:dyDescent="0.25">
      <c r="A1593" s="1">
        <v>43004</v>
      </c>
      <c r="B1593" s="2" t="s">
        <v>34</v>
      </c>
      <c r="C1593" s="2" t="s">
        <v>557</v>
      </c>
      <c r="D1593">
        <v>26</v>
      </c>
      <c r="E1593">
        <f>WEEKNUM(makulatura[[#This Row],[Data_dostarczenia]],13)</f>
        <v>39</v>
      </c>
      <c r="F1593" s="2">
        <f>WEEKDAY(makulatura[[#This Row],[Data_dostarczenia]],2)</f>
        <v>2</v>
      </c>
    </row>
    <row r="1594" spans="1:6" x14ac:dyDescent="0.25">
      <c r="A1594" s="1">
        <v>43004</v>
      </c>
      <c r="B1594" s="2" t="s">
        <v>278</v>
      </c>
      <c r="C1594" s="2" t="s">
        <v>530</v>
      </c>
      <c r="D1594">
        <v>12</v>
      </c>
      <c r="E1594">
        <f>WEEKNUM(makulatura[[#This Row],[Data_dostarczenia]],13)</f>
        <v>39</v>
      </c>
      <c r="F1594" s="2">
        <f>WEEKDAY(makulatura[[#This Row],[Data_dostarczenia]],2)</f>
        <v>2</v>
      </c>
    </row>
    <row r="1595" spans="1:6" x14ac:dyDescent="0.25">
      <c r="A1595" s="1">
        <v>43004</v>
      </c>
      <c r="B1595" s="2" t="s">
        <v>72</v>
      </c>
      <c r="C1595" s="2" t="s">
        <v>227</v>
      </c>
      <c r="D1595">
        <v>22</v>
      </c>
      <c r="E1595">
        <f>WEEKNUM(makulatura[[#This Row],[Data_dostarczenia]],13)</f>
        <v>39</v>
      </c>
      <c r="F1595" s="2">
        <f>WEEKDAY(makulatura[[#This Row],[Data_dostarczenia]],2)</f>
        <v>2</v>
      </c>
    </row>
    <row r="1596" spans="1:6" x14ac:dyDescent="0.25">
      <c r="A1596" s="1">
        <v>43005</v>
      </c>
      <c r="B1596" s="2" t="s">
        <v>206</v>
      </c>
      <c r="C1596" s="2" t="s">
        <v>385</v>
      </c>
      <c r="D1596">
        <v>19</v>
      </c>
      <c r="E1596">
        <f>WEEKNUM(makulatura[[#This Row],[Data_dostarczenia]],13)</f>
        <v>40</v>
      </c>
      <c r="F1596" s="2">
        <f>WEEKDAY(makulatura[[#This Row],[Data_dostarczenia]],2)</f>
        <v>3</v>
      </c>
    </row>
    <row r="1597" spans="1:6" x14ac:dyDescent="0.25">
      <c r="A1597" s="1">
        <v>43005</v>
      </c>
      <c r="B1597" s="2" t="s">
        <v>30</v>
      </c>
      <c r="C1597" s="2" t="s">
        <v>463</v>
      </c>
      <c r="D1597">
        <v>5</v>
      </c>
      <c r="E1597">
        <f>WEEKNUM(makulatura[[#This Row],[Data_dostarczenia]],13)</f>
        <v>40</v>
      </c>
      <c r="F1597" s="2">
        <f>WEEKDAY(makulatura[[#This Row],[Data_dostarczenia]],2)</f>
        <v>3</v>
      </c>
    </row>
    <row r="1598" spans="1:6" x14ac:dyDescent="0.25">
      <c r="A1598" s="1">
        <v>43005</v>
      </c>
      <c r="B1598" s="2" t="s">
        <v>150</v>
      </c>
      <c r="C1598" s="2" t="s">
        <v>462</v>
      </c>
      <c r="D1598">
        <v>7</v>
      </c>
      <c r="E1598">
        <f>WEEKNUM(makulatura[[#This Row],[Data_dostarczenia]],13)</f>
        <v>40</v>
      </c>
      <c r="F1598" s="2">
        <f>WEEKDAY(makulatura[[#This Row],[Data_dostarczenia]],2)</f>
        <v>3</v>
      </c>
    </row>
    <row r="1599" spans="1:6" x14ac:dyDescent="0.25">
      <c r="A1599" s="1">
        <v>43005</v>
      </c>
      <c r="B1599" s="2" t="s">
        <v>4</v>
      </c>
      <c r="C1599" s="2" t="s">
        <v>382</v>
      </c>
      <c r="D1599">
        <v>28</v>
      </c>
      <c r="E1599">
        <f>WEEKNUM(makulatura[[#This Row],[Data_dostarczenia]],13)</f>
        <v>40</v>
      </c>
      <c r="F1599" s="2">
        <f>WEEKDAY(makulatura[[#This Row],[Data_dostarczenia]],2)</f>
        <v>3</v>
      </c>
    </row>
    <row r="1600" spans="1:6" x14ac:dyDescent="0.25">
      <c r="A1600" s="1">
        <v>43005</v>
      </c>
      <c r="B1600" s="2" t="s">
        <v>128</v>
      </c>
      <c r="C1600" s="2" t="s">
        <v>677</v>
      </c>
      <c r="D1600">
        <v>53</v>
      </c>
      <c r="E1600">
        <f>WEEKNUM(makulatura[[#This Row],[Data_dostarczenia]],13)</f>
        <v>40</v>
      </c>
      <c r="F1600" s="2">
        <f>WEEKDAY(makulatura[[#This Row],[Data_dostarczenia]],2)</f>
        <v>3</v>
      </c>
    </row>
    <row r="1601" spans="1:6" x14ac:dyDescent="0.25">
      <c r="A1601" s="1">
        <v>43005</v>
      </c>
      <c r="B1601" s="2" t="s">
        <v>147</v>
      </c>
      <c r="C1601" s="2" t="s">
        <v>578</v>
      </c>
      <c r="D1601">
        <v>28</v>
      </c>
      <c r="E1601">
        <f>WEEKNUM(makulatura[[#This Row],[Data_dostarczenia]],13)</f>
        <v>40</v>
      </c>
      <c r="F1601" s="2">
        <f>WEEKDAY(makulatura[[#This Row],[Data_dostarczenia]],2)</f>
        <v>3</v>
      </c>
    </row>
    <row r="1602" spans="1:6" x14ac:dyDescent="0.25">
      <c r="A1602" s="1">
        <v>43005</v>
      </c>
      <c r="B1602" s="2" t="s">
        <v>494</v>
      </c>
      <c r="C1602" s="2" t="s">
        <v>495</v>
      </c>
      <c r="D1602">
        <v>17</v>
      </c>
      <c r="E1602">
        <f>WEEKNUM(makulatura[[#This Row],[Data_dostarczenia]],13)</f>
        <v>40</v>
      </c>
      <c r="F1602" s="2">
        <f>WEEKDAY(makulatura[[#This Row],[Data_dostarczenia]],2)</f>
        <v>3</v>
      </c>
    </row>
    <row r="1603" spans="1:6" x14ac:dyDescent="0.25">
      <c r="A1603" s="1">
        <v>43005</v>
      </c>
      <c r="B1603" s="2" t="s">
        <v>141</v>
      </c>
      <c r="C1603" s="2" t="s">
        <v>435</v>
      </c>
      <c r="D1603">
        <v>20</v>
      </c>
      <c r="E1603">
        <f>WEEKNUM(makulatura[[#This Row],[Data_dostarczenia]],13)</f>
        <v>40</v>
      </c>
      <c r="F1603" s="2">
        <f>WEEKDAY(makulatura[[#This Row],[Data_dostarczenia]],2)</f>
        <v>3</v>
      </c>
    </row>
    <row r="1604" spans="1:6" x14ac:dyDescent="0.25">
      <c r="A1604" s="1">
        <v>43006</v>
      </c>
      <c r="B1604" s="2" t="s">
        <v>57</v>
      </c>
      <c r="C1604" s="2" t="s">
        <v>418</v>
      </c>
      <c r="D1604">
        <v>50</v>
      </c>
      <c r="E1604">
        <f>WEEKNUM(makulatura[[#This Row],[Data_dostarczenia]],13)</f>
        <v>40</v>
      </c>
      <c r="F1604" s="2">
        <f>WEEKDAY(makulatura[[#This Row],[Data_dostarczenia]],2)</f>
        <v>4</v>
      </c>
    </row>
    <row r="1605" spans="1:6" x14ac:dyDescent="0.25">
      <c r="A1605" s="1">
        <v>43006</v>
      </c>
      <c r="B1605" s="2" t="s">
        <v>137</v>
      </c>
      <c r="C1605" s="2" t="s">
        <v>138</v>
      </c>
      <c r="D1605">
        <v>15</v>
      </c>
      <c r="E1605">
        <f>WEEKNUM(makulatura[[#This Row],[Data_dostarczenia]],13)</f>
        <v>40</v>
      </c>
      <c r="F1605" s="2">
        <f>WEEKDAY(makulatura[[#This Row],[Data_dostarczenia]],2)</f>
        <v>4</v>
      </c>
    </row>
    <row r="1606" spans="1:6" x14ac:dyDescent="0.25">
      <c r="A1606" s="1">
        <v>43006</v>
      </c>
      <c r="B1606" s="2" t="s">
        <v>81</v>
      </c>
      <c r="C1606" s="2" t="s">
        <v>145</v>
      </c>
      <c r="D1606">
        <v>27</v>
      </c>
      <c r="E1606">
        <f>WEEKNUM(makulatura[[#This Row],[Data_dostarczenia]],13)</f>
        <v>40</v>
      </c>
      <c r="F1606" s="2">
        <f>WEEKDAY(makulatura[[#This Row],[Data_dostarczenia]],2)</f>
        <v>4</v>
      </c>
    </row>
    <row r="1607" spans="1:6" x14ac:dyDescent="0.25">
      <c r="A1607" s="1">
        <v>43006</v>
      </c>
      <c r="B1607" s="2" t="s">
        <v>97</v>
      </c>
      <c r="C1607" s="2" t="s">
        <v>188</v>
      </c>
      <c r="D1607">
        <v>2</v>
      </c>
      <c r="E1607">
        <f>WEEKNUM(makulatura[[#This Row],[Data_dostarczenia]],13)</f>
        <v>40</v>
      </c>
      <c r="F1607" s="2">
        <f>WEEKDAY(makulatura[[#This Row],[Data_dostarczenia]],2)</f>
        <v>4</v>
      </c>
    </row>
    <row r="1608" spans="1:6" x14ac:dyDescent="0.25">
      <c r="A1608" s="1">
        <v>43006</v>
      </c>
      <c r="B1608" s="2" t="s">
        <v>119</v>
      </c>
      <c r="C1608" s="2" t="s">
        <v>120</v>
      </c>
      <c r="D1608">
        <v>17</v>
      </c>
      <c r="E1608">
        <f>WEEKNUM(makulatura[[#This Row],[Data_dostarczenia]],13)</f>
        <v>40</v>
      </c>
      <c r="F1608" s="2">
        <f>WEEKDAY(makulatura[[#This Row],[Data_dostarczenia]],2)</f>
        <v>4</v>
      </c>
    </row>
    <row r="1609" spans="1:6" x14ac:dyDescent="0.25">
      <c r="A1609" s="1">
        <v>43006</v>
      </c>
      <c r="B1609" s="2" t="s">
        <v>453</v>
      </c>
      <c r="C1609" s="2" t="s">
        <v>454</v>
      </c>
      <c r="D1609">
        <v>53</v>
      </c>
      <c r="E1609">
        <f>WEEKNUM(makulatura[[#This Row],[Data_dostarczenia]],13)</f>
        <v>40</v>
      </c>
      <c r="F1609" s="2">
        <f>WEEKDAY(makulatura[[#This Row],[Data_dostarczenia]],2)</f>
        <v>4</v>
      </c>
    </row>
    <row r="1610" spans="1:6" x14ac:dyDescent="0.25">
      <c r="A1610" s="1">
        <v>43006</v>
      </c>
      <c r="B1610" s="2" t="s">
        <v>83</v>
      </c>
      <c r="C1610" s="2" t="s">
        <v>646</v>
      </c>
      <c r="D1610">
        <v>30</v>
      </c>
      <c r="E1610">
        <f>WEEKNUM(makulatura[[#This Row],[Data_dostarczenia]],13)</f>
        <v>40</v>
      </c>
      <c r="F1610" s="2">
        <f>WEEKDAY(makulatura[[#This Row],[Data_dostarczenia]],2)</f>
        <v>4</v>
      </c>
    </row>
    <row r="1611" spans="1:6" x14ac:dyDescent="0.25">
      <c r="A1611" s="1">
        <v>43006</v>
      </c>
      <c r="B1611" s="2" t="s">
        <v>193</v>
      </c>
      <c r="C1611" s="2" t="s">
        <v>483</v>
      </c>
      <c r="D1611">
        <v>7</v>
      </c>
      <c r="E1611">
        <f>WEEKNUM(makulatura[[#This Row],[Data_dostarczenia]],13)</f>
        <v>40</v>
      </c>
      <c r="F1611" s="2">
        <f>WEEKDAY(makulatura[[#This Row],[Data_dostarczenia]],2)</f>
        <v>4</v>
      </c>
    </row>
    <row r="1612" spans="1:6" x14ac:dyDescent="0.25">
      <c r="A1612" s="1">
        <v>43007</v>
      </c>
      <c r="B1612" s="2" t="s">
        <v>83</v>
      </c>
      <c r="C1612" s="2" t="s">
        <v>350</v>
      </c>
      <c r="D1612">
        <v>15</v>
      </c>
      <c r="E1612">
        <f>WEEKNUM(makulatura[[#This Row],[Data_dostarczenia]],13)</f>
        <v>40</v>
      </c>
      <c r="F1612" s="2">
        <f>WEEKDAY(makulatura[[#This Row],[Data_dostarczenia]],2)</f>
        <v>5</v>
      </c>
    </row>
    <row r="1613" spans="1:6" x14ac:dyDescent="0.25">
      <c r="A1613" s="1">
        <v>43007</v>
      </c>
      <c r="B1613" s="2" t="s">
        <v>152</v>
      </c>
      <c r="C1613" s="2" t="s">
        <v>511</v>
      </c>
      <c r="D1613">
        <v>55</v>
      </c>
      <c r="E1613">
        <f>WEEKNUM(makulatura[[#This Row],[Data_dostarczenia]],13)</f>
        <v>40</v>
      </c>
      <c r="F1613" s="2">
        <f>WEEKDAY(makulatura[[#This Row],[Data_dostarczenia]],2)</f>
        <v>5</v>
      </c>
    </row>
    <row r="1614" spans="1:6" x14ac:dyDescent="0.25">
      <c r="A1614" s="1">
        <v>43007</v>
      </c>
      <c r="B1614" s="2" t="s">
        <v>494</v>
      </c>
      <c r="C1614" s="2" t="s">
        <v>495</v>
      </c>
      <c r="D1614">
        <v>39</v>
      </c>
      <c r="E1614">
        <f>WEEKNUM(makulatura[[#This Row],[Data_dostarczenia]],13)</f>
        <v>40</v>
      </c>
      <c r="F1614" s="2">
        <f>WEEKDAY(makulatura[[#This Row],[Data_dostarczenia]],2)</f>
        <v>5</v>
      </c>
    </row>
    <row r="1615" spans="1:6" x14ac:dyDescent="0.25">
      <c r="A1615" s="1">
        <v>43007</v>
      </c>
      <c r="B1615" s="2" t="s">
        <v>150</v>
      </c>
      <c r="C1615" s="2" t="s">
        <v>297</v>
      </c>
      <c r="D1615">
        <v>18</v>
      </c>
      <c r="E1615">
        <f>WEEKNUM(makulatura[[#This Row],[Data_dostarczenia]],13)</f>
        <v>40</v>
      </c>
      <c r="F1615" s="2">
        <f>WEEKDAY(makulatura[[#This Row],[Data_dostarczenia]],2)</f>
        <v>5</v>
      </c>
    </row>
    <row r="1616" spans="1:6" x14ac:dyDescent="0.25">
      <c r="A1616" s="1">
        <v>43007</v>
      </c>
      <c r="B1616" s="2" t="s">
        <v>23</v>
      </c>
      <c r="C1616" s="2" t="s">
        <v>592</v>
      </c>
      <c r="D1616">
        <v>9</v>
      </c>
      <c r="E1616">
        <f>WEEKNUM(makulatura[[#This Row],[Data_dostarczenia]],13)</f>
        <v>40</v>
      </c>
      <c r="F1616" s="2">
        <f>WEEKDAY(makulatura[[#This Row],[Data_dostarczenia]],2)</f>
        <v>5</v>
      </c>
    </row>
    <row r="1617" spans="1:6" x14ac:dyDescent="0.25">
      <c r="A1617" s="1">
        <v>43007</v>
      </c>
      <c r="B1617" s="2" t="s">
        <v>395</v>
      </c>
      <c r="C1617" s="2" t="s">
        <v>678</v>
      </c>
      <c r="D1617">
        <v>55</v>
      </c>
      <c r="E1617">
        <f>WEEKNUM(makulatura[[#This Row],[Data_dostarczenia]],13)</f>
        <v>40</v>
      </c>
      <c r="F1617" s="2">
        <f>WEEKDAY(makulatura[[#This Row],[Data_dostarczenia]],2)</f>
        <v>5</v>
      </c>
    </row>
    <row r="1618" spans="1:6" x14ac:dyDescent="0.25">
      <c r="A1618" s="1">
        <v>43007</v>
      </c>
      <c r="B1618" s="2" t="s">
        <v>278</v>
      </c>
      <c r="C1618" s="2" t="s">
        <v>530</v>
      </c>
      <c r="D1618">
        <v>24</v>
      </c>
      <c r="E1618">
        <f>WEEKNUM(makulatura[[#This Row],[Data_dostarczenia]],13)</f>
        <v>40</v>
      </c>
      <c r="F1618" s="2">
        <f>WEEKDAY(makulatura[[#This Row],[Data_dostarczenia]],2)</f>
        <v>5</v>
      </c>
    </row>
    <row r="1619" spans="1:6" x14ac:dyDescent="0.25">
      <c r="A1619" s="1">
        <v>43007</v>
      </c>
      <c r="B1619" s="2" t="s">
        <v>278</v>
      </c>
      <c r="C1619" s="2" t="s">
        <v>202</v>
      </c>
      <c r="D1619">
        <v>52</v>
      </c>
      <c r="E1619">
        <f>WEEKNUM(makulatura[[#This Row],[Data_dostarczenia]],13)</f>
        <v>40</v>
      </c>
      <c r="F1619" s="2">
        <f>WEEKDAY(makulatura[[#This Row],[Data_dostarczenia]],2)</f>
        <v>5</v>
      </c>
    </row>
    <row r="1620" spans="1:6" x14ac:dyDescent="0.25">
      <c r="A1620" s="1">
        <v>43010</v>
      </c>
      <c r="B1620" s="2" t="s">
        <v>395</v>
      </c>
      <c r="C1620" s="2" t="s">
        <v>461</v>
      </c>
      <c r="D1620">
        <v>42</v>
      </c>
      <c r="E1620">
        <f>WEEKNUM(makulatura[[#This Row],[Data_dostarczenia]],13)</f>
        <v>40</v>
      </c>
      <c r="F1620" s="2">
        <f>WEEKDAY(makulatura[[#This Row],[Data_dostarczenia]],2)</f>
        <v>1</v>
      </c>
    </row>
    <row r="1621" spans="1:6" x14ac:dyDescent="0.25">
      <c r="A1621" s="1">
        <v>43010</v>
      </c>
      <c r="B1621" s="2" t="s">
        <v>314</v>
      </c>
      <c r="C1621" s="2" t="s">
        <v>450</v>
      </c>
      <c r="D1621">
        <v>16</v>
      </c>
      <c r="E1621">
        <f>WEEKNUM(makulatura[[#This Row],[Data_dostarczenia]],13)</f>
        <v>40</v>
      </c>
      <c r="F1621" s="2">
        <f>WEEKDAY(makulatura[[#This Row],[Data_dostarczenia]],2)</f>
        <v>1</v>
      </c>
    </row>
    <row r="1622" spans="1:6" x14ac:dyDescent="0.25">
      <c r="A1622" s="1">
        <v>43010</v>
      </c>
      <c r="B1622" s="2" t="s">
        <v>34</v>
      </c>
      <c r="C1622" s="2" t="s">
        <v>679</v>
      </c>
      <c r="D1622">
        <v>43</v>
      </c>
      <c r="E1622">
        <f>WEEKNUM(makulatura[[#This Row],[Data_dostarczenia]],13)</f>
        <v>40</v>
      </c>
      <c r="F1622" s="2">
        <f>WEEKDAY(makulatura[[#This Row],[Data_dostarczenia]],2)</f>
        <v>1</v>
      </c>
    </row>
    <row r="1623" spans="1:6" x14ac:dyDescent="0.25">
      <c r="A1623" s="1">
        <v>43010</v>
      </c>
      <c r="B1623" s="2" t="s">
        <v>23</v>
      </c>
      <c r="C1623" s="2" t="s">
        <v>163</v>
      </c>
      <c r="D1623">
        <v>55</v>
      </c>
      <c r="E1623">
        <f>WEEKNUM(makulatura[[#This Row],[Data_dostarczenia]],13)</f>
        <v>40</v>
      </c>
      <c r="F1623" s="2">
        <f>WEEKDAY(makulatura[[#This Row],[Data_dostarczenia]],2)</f>
        <v>1</v>
      </c>
    </row>
    <row r="1624" spans="1:6" x14ac:dyDescent="0.25">
      <c r="A1624" s="1">
        <v>43010</v>
      </c>
      <c r="B1624" s="2" t="s">
        <v>206</v>
      </c>
      <c r="C1624" s="2" t="s">
        <v>296</v>
      </c>
      <c r="D1624">
        <v>45</v>
      </c>
      <c r="E1624">
        <f>WEEKNUM(makulatura[[#This Row],[Data_dostarczenia]],13)</f>
        <v>40</v>
      </c>
      <c r="F1624" s="2">
        <f>WEEKDAY(makulatura[[#This Row],[Data_dostarczenia]],2)</f>
        <v>1</v>
      </c>
    </row>
    <row r="1625" spans="1:6" x14ac:dyDescent="0.25">
      <c r="A1625" s="1">
        <v>43010</v>
      </c>
      <c r="B1625" s="2" t="s">
        <v>307</v>
      </c>
      <c r="C1625" s="2" t="s">
        <v>308</v>
      </c>
      <c r="D1625">
        <v>25</v>
      </c>
      <c r="E1625">
        <f>WEEKNUM(makulatura[[#This Row],[Data_dostarczenia]],13)</f>
        <v>40</v>
      </c>
      <c r="F1625" s="2">
        <f>WEEKDAY(makulatura[[#This Row],[Data_dostarczenia]],2)</f>
        <v>1</v>
      </c>
    </row>
    <row r="1626" spans="1:6" x14ac:dyDescent="0.25">
      <c r="A1626" s="1">
        <v>43011</v>
      </c>
      <c r="B1626" s="2" t="s">
        <v>133</v>
      </c>
      <c r="C1626" s="2" t="s">
        <v>499</v>
      </c>
      <c r="D1626">
        <v>28</v>
      </c>
      <c r="E1626">
        <f>WEEKNUM(makulatura[[#This Row],[Data_dostarczenia]],13)</f>
        <v>40</v>
      </c>
      <c r="F1626" s="2">
        <f>WEEKDAY(makulatura[[#This Row],[Data_dostarczenia]],2)</f>
        <v>2</v>
      </c>
    </row>
    <row r="1627" spans="1:6" x14ac:dyDescent="0.25">
      <c r="A1627" s="1">
        <v>43011</v>
      </c>
      <c r="B1627" s="2" t="s">
        <v>372</v>
      </c>
      <c r="C1627" s="2" t="s">
        <v>373</v>
      </c>
      <c r="D1627">
        <v>14</v>
      </c>
      <c r="E1627">
        <f>WEEKNUM(makulatura[[#This Row],[Data_dostarczenia]],13)</f>
        <v>40</v>
      </c>
      <c r="F1627" s="2">
        <f>WEEKDAY(makulatura[[#This Row],[Data_dostarczenia]],2)</f>
        <v>2</v>
      </c>
    </row>
    <row r="1628" spans="1:6" x14ac:dyDescent="0.25">
      <c r="A1628" s="1">
        <v>43011</v>
      </c>
      <c r="B1628" s="2" t="s">
        <v>252</v>
      </c>
      <c r="C1628" s="2" t="s">
        <v>288</v>
      </c>
      <c r="D1628">
        <v>26</v>
      </c>
      <c r="E1628">
        <f>WEEKNUM(makulatura[[#This Row],[Data_dostarczenia]],13)</f>
        <v>40</v>
      </c>
      <c r="F1628" s="2">
        <f>WEEKDAY(makulatura[[#This Row],[Data_dostarczenia]],2)</f>
        <v>2</v>
      </c>
    </row>
    <row r="1629" spans="1:6" x14ac:dyDescent="0.25">
      <c r="A1629" s="1">
        <v>43011</v>
      </c>
      <c r="B1629" s="2" t="s">
        <v>41</v>
      </c>
      <c r="C1629" s="2" t="s">
        <v>238</v>
      </c>
      <c r="D1629">
        <v>21</v>
      </c>
      <c r="E1629">
        <f>WEEKNUM(makulatura[[#This Row],[Data_dostarczenia]],13)</f>
        <v>40</v>
      </c>
      <c r="F1629" s="2">
        <f>WEEKDAY(makulatura[[#This Row],[Data_dostarczenia]],2)</f>
        <v>2</v>
      </c>
    </row>
    <row r="1630" spans="1:6" x14ac:dyDescent="0.25">
      <c r="A1630" s="1">
        <v>43011</v>
      </c>
      <c r="B1630" s="2" t="s">
        <v>36</v>
      </c>
      <c r="C1630" s="2" t="s">
        <v>404</v>
      </c>
      <c r="D1630">
        <v>14</v>
      </c>
      <c r="E1630">
        <f>WEEKNUM(makulatura[[#This Row],[Data_dostarczenia]],13)</f>
        <v>40</v>
      </c>
      <c r="F1630" s="2">
        <f>WEEKDAY(makulatura[[#This Row],[Data_dostarczenia]],2)</f>
        <v>2</v>
      </c>
    </row>
    <row r="1631" spans="1:6" x14ac:dyDescent="0.25">
      <c r="A1631" s="1">
        <v>43011</v>
      </c>
      <c r="B1631" s="2" t="s">
        <v>59</v>
      </c>
      <c r="C1631" s="2" t="s">
        <v>60</v>
      </c>
      <c r="D1631">
        <v>36</v>
      </c>
      <c r="E1631">
        <f>WEEKNUM(makulatura[[#This Row],[Data_dostarczenia]],13)</f>
        <v>40</v>
      </c>
      <c r="F1631" s="2">
        <f>WEEKDAY(makulatura[[#This Row],[Data_dostarczenia]],2)</f>
        <v>2</v>
      </c>
    </row>
    <row r="1632" spans="1:6" x14ac:dyDescent="0.25">
      <c r="A1632" s="1">
        <v>43012</v>
      </c>
      <c r="B1632" s="2" t="s">
        <v>43</v>
      </c>
      <c r="C1632" s="2" t="s">
        <v>124</v>
      </c>
      <c r="D1632">
        <v>3</v>
      </c>
      <c r="E1632">
        <f>WEEKNUM(makulatura[[#This Row],[Data_dostarczenia]],13)</f>
        <v>41</v>
      </c>
      <c r="F1632" s="2">
        <f>WEEKDAY(makulatura[[#This Row],[Data_dostarczenia]],2)</f>
        <v>3</v>
      </c>
    </row>
    <row r="1633" spans="1:6" x14ac:dyDescent="0.25">
      <c r="A1633" s="1">
        <v>43012</v>
      </c>
      <c r="B1633" s="2" t="s">
        <v>453</v>
      </c>
      <c r="C1633" s="2" t="s">
        <v>454</v>
      </c>
      <c r="D1633">
        <v>11</v>
      </c>
      <c r="E1633">
        <f>WEEKNUM(makulatura[[#This Row],[Data_dostarczenia]],13)</f>
        <v>41</v>
      </c>
      <c r="F1633" s="2">
        <f>WEEKDAY(makulatura[[#This Row],[Data_dostarczenia]],2)</f>
        <v>3</v>
      </c>
    </row>
    <row r="1634" spans="1:6" x14ac:dyDescent="0.25">
      <c r="A1634" s="1">
        <v>43012</v>
      </c>
      <c r="B1634" s="2" t="s">
        <v>147</v>
      </c>
      <c r="C1634" s="2" t="s">
        <v>148</v>
      </c>
      <c r="D1634">
        <v>49</v>
      </c>
      <c r="E1634">
        <f>WEEKNUM(makulatura[[#This Row],[Data_dostarczenia]],13)</f>
        <v>41</v>
      </c>
      <c r="F1634" s="2">
        <f>WEEKDAY(makulatura[[#This Row],[Data_dostarczenia]],2)</f>
        <v>3</v>
      </c>
    </row>
    <row r="1635" spans="1:6" x14ac:dyDescent="0.25">
      <c r="A1635" s="1">
        <v>43012</v>
      </c>
      <c r="B1635" s="2" t="s">
        <v>339</v>
      </c>
      <c r="C1635" s="2" t="s">
        <v>565</v>
      </c>
      <c r="D1635">
        <v>16</v>
      </c>
      <c r="E1635">
        <f>WEEKNUM(makulatura[[#This Row],[Data_dostarczenia]],13)</f>
        <v>41</v>
      </c>
      <c r="F1635" s="2">
        <f>WEEKDAY(makulatura[[#This Row],[Data_dostarczenia]],2)</f>
        <v>3</v>
      </c>
    </row>
    <row r="1636" spans="1:6" x14ac:dyDescent="0.25">
      <c r="A1636" s="1">
        <v>43012</v>
      </c>
      <c r="B1636" s="2" t="s">
        <v>43</v>
      </c>
      <c r="C1636" s="2" t="s">
        <v>569</v>
      </c>
      <c r="D1636">
        <v>26</v>
      </c>
      <c r="E1636">
        <f>WEEKNUM(makulatura[[#This Row],[Data_dostarczenia]],13)</f>
        <v>41</v>
      </c>
      <c r="F1636" s="2">
        <f>WEEKDAY(makulatura[[#This Row],[Data_dostarczenia]],2)</f>
        <v>3</v>
      </c>
    </row>
    <row r="1637" spans="1:6" x14ac:dyDescent="0.25">
      <c r="A1637" s="1">
        <v>43012</v>
      </c>
      <c r="B1637" s="2" t="s">
        <v>36</v>
      </c>
      <c r="C1637" s="2" t="s">
        <v>229</v>
      </c>
      <c r="D1637">
        <v>50</v>
      </c>
      <c r="E1637">
        <f>WEEKNUM(makulatura[[#This Row],[Data_dostarczenia]],13)</f>
        <v>41</v>
      </c>
      <c r="F1637" s="2">
        <f>WEEKDAY(makulatura[[#This Row],[Data_dostarczenia]],2)</f>
        <v>3</v>
      </c>
    </row>
    <row r="1638" spans="1:6" x14ac:dyDescent="0.25">
      <c r="A1638" s="1">
        <v>43013</v>
      </c>
      <c r="B1638" s="2" t="s">
        <v>155</v>
      </c>
      <c r="C1638" s="2" t="s">
        <v>414</v>
      </c>
      <c r="D1638">
        <v>19</v>
      </c>
      <c r="E1638">
        <f>WEEKNUM(makulatura[[#This Row],[Data_dostarczenia]],13)</f>
        <v>41</v>
      </c>
      <c r="F1638" s="2">
        <f>WEEKDAY(makulatura[[#This Row],[Data_dostarczenia]],2)</f>
        <v>4</v>
      </c>
    </row>
    <row r="1639" spans="1:6" x14ac:dyDescent="0.25">
      <c r="A1639" s="1">
        <v>43013</v>
      </c>
      <c r="B1639" s="2" t="s">
        <v>161</v>
      </c>
      <c r="C1639" s="2" t="s">
        <v>214</v>
      </c>
      <c r="D1639">
        <v>27</v>
      </c>
      <c r="E1639">
        <f>WEEKNUM(makulatura[[#This Row],[Data_dostarczenia]],13)</f>
        <v>41</v>
      </c>
      <c r="F1639" s="2">
        <f>WEEKDAY(makulatura[[#This Row],[Data_dostarczenia]],2)</f>
        <v>4</v>
      </c>
    </row>
    <row r="1640" spans="1:6" x14ac:dyDescent="0.25">
      <c r="A1640" s="1">
        <v>43013</v>
      </c>
      <c r="B1640" s="2" t="s">
        <v>150</v>
      </c>
      <c r="C1640" s="2" t="s">
        <v>151</v>
      </c>
      <c r="D1640">
        <v>2</v>
      </c>
      <c r="E1640">
        <f>WEEKNUM(makulatura[[#This Row],[Data_dostarczenia]],13)</f>
        <v>41</v>
      </c>
      <c r="F1640" s="2">
        <f>WEEKDAY(makulatura[[#This Row],[Data_dostarczenia]],2)</f>
        <v>4</v>
      </c>
    </row>
    <row r="1641" spans="1:6" x14ac:dyDescent="0.25">
      <c r="A1641" s="1">
        <v>43013</v>
      </c>
      <c r="B1641" s="2" t="s">
        <v>514</v>
      </c>
      <c r="C1641" s="2" t="s">
        <v>515</v>
      </c>
      <c r="D1641">
        <v>15</v>
      </c>
      <c r="E1641">
        <f>WEEKNUM(makulatura[[#This Row],[Data_dostarczenia]],13)</f>
        <v>41</v>
      </c>
      <c r="F1641" s="2">
        <f>WEEKDAY(makulatura[[#This Row],[Data_dostarczenia]],2)</f>
        <v>4</v>
      </c>
    </row>
    <row r="1642" spans="1:6" x14ac:dyDescent="0.25">
      <c r="A1642" s="1">
        <v>43013</v>
      </c>
      <c r="B1642" s="2" t="s">
        <v>83</v>
      </c>
      <c r="C1642" s="2" t="s">
        <v>91</v>
      </c>
      <c r="D1642">
        <v>3</v>
      </c>
      <c r="E1642">
        <f>WEEKNUM(makulatura[[#This Row],[Data_dostarczenia]],13)</f>
        <v>41</v>
      </c>
      <c r="F1642" s="2">
        <f>WEEKDAY(makulatura[[#This Row],[Data_dostarczenia]],2)</f>
        <v>4</v>
      </c>
    </row>
    <row r="1643" spans="1:6" x14ac:dyDescent="0.25">
      <c r="A1643" s="1">
        <v>43013</v>
      </c>
      <c r="B1643" s="2" t="s">
        <v>161</v>
      </c>
      <c r="C1643" s="2" t="s">
        <v>305</v>
      </c>
      <c r="D1643">
        <v>56</v>
      </c>
      <c r="E1643">
        <f>WEEKNUM(makulatura[[#This Row],[Data_dostarczenia]],13)</f>
        <v>41</v>
      </c>
      <c r="F1643" s="2">
        <f>WEEKDAY(makulatura[[#This Row],[Data_dostarczenia]],2)</f>
        <v>4</v>
      </c>
    </row>
    <row r="1644" spans="1:6" x14ac:dyDescent="0.25">
      <c r="A1644" s="1">
        <v>43014</v>
      </c>
      <c r="B1644" s="2" t="s">
        <v>32</v>
      </c>
      <c r="C1644" s="2" t="s">
        <v>276</v>
      </c>
      <c r="D1644">
        <v>36</v>
      </c>
      <c r="E1644">
        <f>WEEKNUM(makulatura[[#This Row],[Data_dostarczenia]],13)</f>
        <v>41</v>
      </c>
      <c r="F1644" s="2">
        <f>WEEKDAY(makulatura[[#This Row],[Data_dostarczenia]],2)</f>
        <v>5</v>
      </c>
    </row>
    <row r="1645" spans="1:6" x14ac:dyDescent="0.25">
      <c r="A1645" s="1">
        <v>43014</v>
      </c>
      <c r="B1645" s="2" t="s">
        <v>361</v>
      </c>
      <c r="C1645" s="2" t="s">
        <v>424</v>
      </c>
      <c r="D1645">
        <v>32</v>
      </c>
      <c r="E1645">
        <f>WEEKNUM(makulatura[[#This Row],[Data_dostarczenia]],13)</f>
        <v>41</v>
      </c>
      <c r="F1645" s="2">
        <f>WEEKDAY(makulatura[[#This Row],[Data_dostarczenia]],2)</f>
        <v>5</v>
      </c>
    </row>
    <row r="1646" spans="1:6" x14ac:dyDescent="0.25">
      <c r="A1646" s="1">
        <v>43014</v>
      </c>
      <c r="B1646" s="2" t="s">
        <v>280</v>
      </c>
      <c r="C1646" s="2" t="s">
        <v>466</v>
      </c>
      <c r="D1646">
        <v>50</v>
      </c>
      <c r="E1646">
        <f>WEEKNUM(makulatura[[#This Row],[Data_dostarczenia]],13)</f>
        <v>41</v>
      </c>
      <c r="F1646" s="2">
        <f>WEEKDAY(makulatura[[#This Row],[Data_dostarczenia]],2)</f>
        <v>5</v>
      </c>
    </row>
    <row r="1647" spans="1:6" x14ac:dyDescent="0.25">
      <c r="A1647" s="1">
        <v>43014</v>
      </c>
      <c r="B1647" s="2" t="s">
        <v>331</v>
      </c>
      <c r="C1647" s="2" t="s">
        <v>26</v>
      </c>
      <c r="D1647">
        <v>26</v>
      </c>
      <c r="E1647">
        <f>WEEKNUM(makulatura[[#This Row],[Data_dostarczenia]],13)</f>
        <v>41</v>
      </c>
      <c r="F1647" s="2">
        <f>WEEKDAY(makulatura[[#This Row],[Data_dostarczenia]],2)</f>
        <v>5</v>
      </c>
    </row>
    <row r="1648" spans="1:6" x14ac:dyDescent="0.25">
      <c r="A1648" s="1">
        <v>43014</v>
      </c>
      <c r="B1648" s="2" t="s">
        <v>30</v>
      </c>
      <c r="C1648" s="2" t="s">
        <v>680</v>
      </c>
      <c r="D1648">
        <v>13</v>
      </c>
      <c r="E1648">
        <f>WEEKNUM(makulatura[[#This Row],[Data_dostarczenia]],13)</f>
        <v>41</v>
      </c>
      <c r="F1648" s="2">
        <f>WEEKDAY(makulatura[[#This Row],[Data_dostarczenia]],2)</f>
        <v>5</v>
      </c>
    </row>
    <row r="1649" spans="1:6" x14ac:dyDescent="0.25">
      <c r="A1649" s="1">
        <v>43014</v>
      </c>
      <c r="B1649" s="2" t="s">
        <v>41</v>
      </c>
      <c r="C1649" s="2" t="s">
        <v>614</v>
      </c>
      <c r="D1649">
        <v>2</v>
      </c>
      <c r="E1649">
        <f>WEEKNUM(makulatura[[#This Row],[Data_dostarczenia]],13)</f>
        <v>41</v>
      </c>
      <c r="F1649" s="2">
        <f>WEEKDAY(makulatura[[#This Row],[Data_dostarczenia]],2)</f>
        <v>5</v>
      </c>
    </row>
    <row r="1650" spans="1:6" x14ac:dyDescent="0.25">
      <c r="A1650" s="1">
        <v>43017</v>
      </c>
      <c r="B1650" s="2" t="s">
        <v>106</v>
      </c>
      <c r="C1650" s="2" t="s">
        <v>107</v>
      </c>
      <c r="D1650">
        <v>11</v>
      </c>
      <c r="E1650">
        <f>WEEKNUM(makulatura[[#This Row],[Data_dostarczenia]],13)</f>
        <v>41</v>
      </c>
      <c r="F1650" s="2">
        <f>WEEKDAY(makulatura[[#This Row],[Data_dostarczenia]],2)</f>
        <v>1</v>
      </c>
    </row>
    <row r="1651" spans="1:6" x14ac:dyDescent="0.25">
      <c r="A1651" s="1">
        <v>43017</v>
      </c>
      <c r="B1651" s="2" t="s">
        <v>83</v>
      </c>
      <c r="C1651" s="2" t="s">
        <v>615</v>
      </c>
      <c r="D1651">
        <v>19</v>
      </c>
      <c r="E1651">
        <f>WEEKNUM(makulatura[[#This Row],[Data_dostarczenia]],13)</f>
        <v>41</v>
      </c>
      <c r="F1651" s="2">
        <f>WEEKDAY(makulatura[[#This Row],[Data_dostarczenia]],2)</f>
        <v>1</v>
      </c>
    </row>
    <row r="1652" spans="1:6" x14ac:dyDescent="0.25">
      <c r="A1652" s="1">
        <v>43017</v>
      </c>
      <c r="B1652" s="2" t="s">
        <v>359</v>
      </c>
      <c r="C1652" s="2" t="s">
        <v>360</v>
      </c>
      <c r="D1652">
        <v>23</v>
      </c>
      <c r="E1652">
        <f>WEEKNUM(makulatura[[#This Row],[Data_dostarczenia]],13)</f>
        <v>41</v>
      </c>
      <c r="F1652" s="2">
        <f>WEEKDAY(makulatura[[#This Row],[Data_dostarczenia]],2)</f>
        <v>1</v>
      </c>
    </row>
    <row r="1653" spans="1:6" x14ac:dyDescent="0.25">
      <c r="A1653" s="1">
        <v>43017</v>
      </c>
      <c r="B1653" s="2" t="s">
        <v>69</v>
      </c>
      <c r="C1653" s="2" t="s">
        <v>200</v>
      </c>
      <c r="D1653">
        <v>22</v>
      </c>
      <c r="E1653">
        <f>WEEKNUM(makulatura[[#This Row],[Data_dostarczenia]],13)</f>
        <v>41</v>
      </c>
      <c r="F1653" s="2">
        <f>WEEKDAY(makulatura[[#This Row],[Data_dostarczenia]],2)</f>
        <v>1</v>
      </c>
    </row>
    <row r="1654" spans="1:6" x14ac:dyDescent="0.25">
      <c r="A1654" s="1">
        <v>43017</v>
      </c>
      <c r="B1654" s="2" t="s">
        <v>95</v>
      </c>
      <c r="C1654" s="2" t="s">
        <v>426</v>
      </c>
      <c r="D1654">
        <v>19</v>
      </c>
      <c r="E1654">
        <f>WEEKNUM(makulatura[[#This Row],[Data_dostarczenia]],13)</f>
        <v>41</v>
      </c>
      <c r="F1654" s="2">
        <f>WEEKDAY(makulatura[[#This Row],[Data_dostarczenia]],2)</f>
        <v>1</v>
      </c>
    </row>
    <row r="1655" spans="1:6" x14ac:dyDescent="0.25">
      <c r="A1655" s="1">
        <v>43017</v>
      </c>
      <c r="B1655" s="2" t="s">
        <v>83</v>
      </c>
      <c r="C1655" s="2" t="s">
        <v>637</v>
      </c>
      <c r="D1655">
        <v>5</v>
      </c>
      <c r="E1655">
        <f>WEEKNUM(makulatura[[#This Row],[Data_dostarczenia]],13)</f>
        <v>41</v>
      </c>
      <c r="F1655" s="2">
        <f>WEEKDAY(makulatura[[#This Row],[Data_dostarczenia]],2)</f>
        <v>1</v>
      </c>
    </row>
    <row r="1656" spans="1:6" x14ac:dyDescent="0.25">
      <c r="A1656" s="1">
        <v>43018</v>
      </c>
      <c r="B1656" s="2" t="s">
        <v>206</v>
      </c>
      <c r="C1656" s="2" t="s">
        <v>332</v>
      </c>
      <c r="D1656">
        <v>10</v>
      </c>
      <c r="E1656">
        <f>WEEKNUM(makulatura[[#This Row],[Data_dostarczenia]],13)</f>
        <v>41</v>
      </c>
      <c r="F1656" s="2">
        <f>WEEKDAY(makulatura[[#This Row],[Data_dostarczenia]],2)</f>
        <v>2</v>
      </c>
    </row>
    <row r="1657" spans="1:6" x14ac:dyDescent="0.25">
      <c r="A1657" s="1">
        <v>43018</v>
      </c>
      <c r="B1657" s="2" t="s">
        <v>150</v>
      </c>
      <c r="C1657" s="2" t="s">
        <v>298</v>
      </c>
      <c r="D1657">
        <v>13</v>
      </c>
      <c r="E1657">
        <f>WEEKNUM(makulatura[[#This Row],[Data_dostarczenia]],13)</f>
        <v>41</v>
      </c>
      <c r="F1657" s="2">
        <f>WEEKDAY(makulatura[[#This Row],[Data_dostarczenia]],2)</f>
        <v>2</v>
      </c>
    </row>
    <row r="1658" spans="1:6" x14ac:dyDescent="0.25">
      <c r="A1658" s="1">
        <v>43018</v>
      </c>
      <c r="B1658" s="2" t="s">
        <v>339</v>
      </c>
      <c r="C1658" s="2" t="s">
        <v>565</v>
      </c>
      <c r="D1658">
        <v>12</v>
      </c>
      <c r="E1658">
        <f>WEEKNUM(makulatura[[#This Row],[Data_dostarczenia]],13)</f>
        <v>41</v>
      </c>
      <c r="F1658" s="2">
        <f>WEEKDAY(makulatura[[#This Row],[Data_dostarczenia]],2)</f>
        <v>2</v>
      </c>
    </row>
    <row r="1659" spans="1:6" x14ac:dyDescent="0.25">
      <c r="A1659" s="1">
        <v>43018</v>
      </c>
      <c r="B1659" s="2" t="s">
        <v>81</v>
      </c>
      <c r="C1659" s="2" t="s">
        <v>584</v>
      </c>
      <c r="D1659">
        <v>25</v>
      </c>
      <c r="E1659">
        <f>WEEKNUM(makulatura[[#This Row],[Data_dostarczenia]],13)</f>
        <v>41</v>
      </c>
      <c r="F1659" s="2">
        <f>WEEKDAY(makulatura[[#This Row],[Data_dostarczenia]],2)</f>
        <v>2</v>
      </c>
    </row>
    <row r="1660" spans="1:6" x14ac:dyDescent="0.25">
      <c r="A1660" s="1">
        <v>43018</v>
      </c>
      <c r="B1660" s="2" t="s">
        <v>55</v>
      </c>
      <c r="C1660" s="2" t="s">
        <v>223</v>
      </c>
      <c r="D1660">
        <v>25</v>
      </c>
      <c r="E1660">
        <f>WEEKNUM(makulatura[[#This Row],[Data_dostarczenia]],13)</f>
        <v>41</v>
      </c>
      <c r="F1660" s="2">
        <f>WEEKDAY(makulatura[[#This Row],[Data_dostarczenia]],2)</f>
        <v>2</v>
      </c>
    </row>
    <row r="1661" spans="1:6" x14ac:dyDescent="0.25">
      <c r="A1661" s="1">
        <v>43018</v>
      </c>
      <c r="B1661" s="2" t="s">
        <v>282</v>
      </c>
      <c r="C1661" s="2" t="s">
        <v>283</v>
      </c>
      <c r="D1661">
        <v>9</v>
      </c>
      <c r="E1661">
        <f>WEEKNUM(makulatura[[#This Row],[Data_dostarczenia]],13)</f>
        <v>41</v>
      </c>
      <c r="F1661" s="2">
        <f>WEEKDAY(makulatura[[#This Row],[Data_dostarczenia]],2)</f>
        <v>2</v>
      </c>
    </row>
    <row r="1662" spans="1:6" x14ac:dyDescent="0.25">
      <c r="A1662" s="1">
        <v>43019</v>
      </c>
      <c r="B1662" s="2" t="s">
        <v>81</v>
      </c>
      <c r="C1662" s="2" t="s">
        <v>104</v>
      </c>
      <c r="D1662">
        <v>17</v>
      </c>
      <c r="E1662">
        <f>WEEKNUM(makulatura[[#This Row],[Data_dostarczenia]],13)</f>
        <v>42</v>
      </c>
      <c r="F1662" s="2">
        <f>WEEKDAY(makulatura[[#This Row],[Data_dostarczenia]],2)</f>
        <v>3</v>
      </c>
    </row>
    <row r="1663" spans="1:6" x14ac:dyDescent="0.25">
      <c r="A1663" s="1">
        <v>43019</v>
      </c>
      <c r="B1663" s="2" t="s">
        <v>681</v>
      </c>
      <c r="C1663" s="2" t="s">
        <v>682</v>
      </c>
      <c r="D1663">
        <v>26</v>
      </c>
      <c r="E1663">
        <f>WEEKNUM(makulatura[[#This Row],[Data_dostarczenia]],13)</f>
        <v>42</v>
      </c>
      <c r="F1663" s="2">
        <f>WEEKDAY(makulatura[[#This Row],[Data_dostarczenia]],2)</f>
        <v>3</v>
      </c>
    </row>
    <row r="1664" spans="1:6" x14ac:dyDescent="0.25">
      <c r="A1664" s="1">
        <v>43019</v>
      </c>
      <c r="B1664" s="2" t="s">
        <v>97</v>
      </c>
      <c r="C1664" s="2" t="s">
        <v>136</v>
      </c>
      <c r="D1664">
        <v>44</v>
      </c>
      <c r="E1664">
        <f>WEEKNUM(makulatura[[#This Row],[Data_dostarczenia]],13)</f>
        <v>42</v>
      </c>
      <c r="F1664" s="2">
        <f>WEEKDAY(makulatura[[#This Row],[Data_dostarczenia]],2)</f>
        <v>3</v>
      </c>
    </row>
    <row r="1665" spans="1:6" x14ac:dyDescent="0.25">
      <c r="A1665" s="1">
        <v>43019</v>
      </c>
      <c r="B1665" s="2" t="s">
        <v>69</v>
      </c>
      <c r="C1665" s="2" t="s">
        <v>108</v>
      </c>
      <c r="D1665">
        <v>31</v>
      </c>
      <c r="E1665">
        <f>WEEKNUM(makulatura[[#This Row],[Data_dostarczenia]],13)</f>
        <v>42</v>
      </c>
      <c r="F1665" s="2">
        <f>WEEKDAY(makulatura[[#This Row],[Data_dostarczenia]],2)</f>
        <v>3</v>
      </c>
    </row>
    <row r="1666" spans="1:6" x14ac:dyDescent="0.25">
      <c r="A1666" s="1">
        <v>43019</v>
      </c>
      <c r="B1666" s="2" t="s">
        <v>553</v>
      </c>
      <c r="C1666" s="2" t="s">
        <v>554</v>
      </c>
      <c r="D1666">
        <v>6</v>
      </c>
      <c r="E1666">
        <f>WEEKNUM(makulatura[[#This Row],[Data_dostarczenia]],13)</f>
        <v>42</v>
      </c>
      <c r="F1666" s="2">
        <f>WEEKDAY(makulatura[[#This Row],[Data_dostarczenia]],2)</f>
        <v>3</v>
      </c>
    </row>
    <row r="1667" spans="1:6" x14ac:dyDescent="0.25">
      <c r="A1667" s="1">
        <v>43019</v>
      </c>
      <c r="B1667" s="2" t="s">
        <v>27</v>
      </c>
      <c r="C1667" s="2" t="s">
        <v>683</v>
      </c>
      <c r="D1667">
        <v>14</v>
      </c>
      <c r="E1667">
        <f>WEEKNUM(makulatura[[#This Row],[Data_dostarczenia]],13)</f>
        <v>42</v>
      </c>
      <c r="F1667" s="2">
        <f>WEEKDAY(makulatura[[#This Row],[Data_dostarczenia]],2)</f>
        <v>3</v>
      </c>
    </row>
    <row r="1668" spans="1:6" x14ac:dyDescent="0.25">
      <c r="A1668" s="1">
        <v>43020</v>
      </c>
      <c r="B1668" s="2" t="s">
        <v>523</v>
      </c>
      <c r="C1668" s="2" t="s">
        <v>524</v>
      </c>
      <c r="D1668">
        <v>5</v>
      </c>
      <c r="E1668">
        <f>WEEKNUM(makulatura[[#This Row],[Data_dostarczenia]],13)</f>
        <v>42</v>
      </c>
      <c r="F1668" s="2">
        <f>WEEKDAY(makulatura[[#This Row],[Data_dostarczenia]],2)</f>
        <v>4</v>
      </c>
    </row>
    <row r="1669" spans="1:6" x14ac:dyDescent="0.25">
      <c r="A1669" s="1">
        <v>43020</v>
      </c>
      <c r="B1669" s="2" t="s">
        <v>314</v>
      </c>
      <c r="C1669" s="2" t="s">
        <v>466</v>
      </c>
      <c r="D1669">
        <v>21</v>
      </c>
      <c r="E1669">
        <f>WEEKNUM(makulatura[[#This Row],[Data_dostarczenia]],13)</f>
        <v>42</v>
      </c>
      <c r="F1669" s="2">
        <f>WEEKDAY(makulatura[[#This Row],[Data_dostarczenia]],2)</f>
        <v>4</v>
      </c>
    </row>
    <row r="1670" spans="1:6" x14ac:dyDescent="0.25">
      <c r="A1670" s="1">
        <v>43020</v>
      </c>
      <c r="B1670" s="2" t="s">
        <v>18</v>
      </c>
      <c r="C1670" s="2" t="s">
        <v>597</v>
      </c>
      <c r="D1670">
        <v>4</v>
      </c>
      <c r="E1670">
        <f>WEEKNUM(makulatura[[#This Row],[Data_dostarczenia]],13)</f>
        <v>42</v>
      </c>
      <c r="F1670" s="2">
        <f>WEEKDAY(makulatura[[#This Row],[Data_dostarczenia]],2)</f>
        <v>4</v>
      </c>
    </row>
    <row r="1671" spans="1:6" x14ac:dyDescent="0.25">
      <c r="A1671" s="1">
        <v>43020</v>
      </c>
      <c r="B1671" s="2" t="s">
        <v>51</v>
      </c>
      <c r="C1671" s="2" t="s">
        <v>358</v>
      </c>
      <c r="D1671">
        <v>51</v>
      </c>
      <c r="E1671">
        <f>WEEKNUM(makulatura[[#This Row],[Data_dostarczenia]],13)</f>
        <v>42</v>
      </c>
      <c r="F1671" s="2">
        <f>WEEKDAY(makulatura[[#This Row],[Data_dostarczenia]],2)</f>
        <v>4</v>
      </c>
    </row>
    <row r="1672" spans="1:6" x14ac:dyDescent="0.25">
      <c r="A1672" s="1">
        <v>43020</v>
      </c>
      <c r="B1672" s="2" t="s">
        <v>267</v>
      </c>
      <c r="C1672" s="2" t="s">
        <v>268</v>
      </c>
      <c r="D1672">
        <v>27</v>
      </c>
      <c r="E1672">
        <f>WEEKNUM(makulatura[[#This Row],[Data_dostarczenia]],13)</f>
        <v>42</v>
      </c>
      <c r="F1672" s="2">
        <f>WEEKDAY(makulatura[[#This Row],[Data_dostarczenia]],2)</f>
        <v>4</v>
      </c>
    </row>
    <row r="1673" spans="1:6" x14ac:dyDescent="0.25">
      <c r="A1673" s="1">
        <v>43020</v>
      </c>
      <c r="B1673" s="2" t="s">
        <v>589</v>
      </c>
      <c r="C1673" s="2" t="s">
        <v>590</v>
      </c>
      <c r="D1673">
        <v>15</v>
      </c>
      <c r="E1673">
        <f>WEEKNUM(makulatura[[#This Row],[Data_dostarczenia]],13)</f>
        <v>42</v>
      </c>
      <c r="F1673" s="2">
        <f>WEEKDAY(makulatura[[#This Row],[Data_dostarczenia]],2)</f>
        <v>4</v>
      </c>
    </row>
    <row r="1674" spans="1:6" x14ac:dyDescent="0.25">
      <c r="A1674" s="1">
        <v>43021</v>
      </c>
      <c r="B1674" s="2" t="s">
        <v>4</v>
      </c>
      <c r="C1674" s="2" t="s">
        <v>489</v>
      </c>
      <c r="D1674">
        <v>15</v>
      </c>
      <c r="E1674">
        <f>WEEKNUM(makulatura[[#This Row],[Data_dostarczenia]],13)</f>
        <v>42</v>
      </c>
      <c r="F1674" s="2">
        <f>WEEKDAY(makulatura[[#This Row],[Data_dostarczenia]],2)</f>
        <v>5</v>
      </c>
    </row>
    <row r="1675" spans="1:6" x14ac:dyDescent="0.25">
      <c r="A1675" s="1">
        <v>43021</v>
      </c>
      <c r="B1675" s="2" t="s">
        <v>114</v>
      </c>
      <c r="C1675" s="2" t="s">
        <v>173</v>
      </c>
      <c r="D1675">
        <v>13</v>
      </c>
      <c r="E1675">
        <f>WEEKNUM(makulatura[[#This Row],[Data_dostarczenia]],13)</f>
        <v>42</v>
      </c>
      <c r="F1675" s="2">
        <f>WEEKDAY(makulatura[[#This Row],[Data_dostarczenia]],2)</f>
        <v>5</v>
      </c>
    </row>
    <row r="1676" spans="1:6" x14ac:dyDescent="0.25">
      <c r="A1676" s="1">
        <v>43021</v>
      </c>
      <c r="B1676" s="2" t="s">
        <v>141</v>
      </c>
      <c r="C1676" s="2" t="s">
        <v>202</v>
      </c>
      <c r="D1676">
        <v>22</v>
      </c>
      <c r="E1676">
        <f>WEEKNUM(makulatura[[#This Row],[Data_dostarczenia]],13)</f>
        <v>42</v>
      </c>
      <c r="F1676" s="2">
        <f>WEEKDAY(makulatura[[#This Row],[Data_dostarczenia]],2)</f>
        <v>5</v>
      </c>
    </row>
    <row r="1677" spans="1:6" x14ac:dyDescent="0.25">
      <c r="A1677" s="1">
        <v>43021</v>
      </c>
      <c r="B1677" s="2" t="s">
        <v>150</v>
      </c>
      <c r="C1677" s="2" t="s">
        <v>151</v>
      </c>
      <c r="D1677">
        <v>16</v>
      </c>
      <c r="E1677">
        <f>WEEKNUM(makulatura[[#This Row],[Data_dostarczenia]],13)</f>
        <v>42</v>
      </c>
      <c r="F1677" s="2">
        <f>WEEKDAY(makulatura[[#This Row],[Data_dostarczenia]],2)</f>
        <v>5</v>
      </c>
    </row>
    <row r="1678" spans="1:6" x14ac:dyDescent="0.25">
      <c r="A1678" s="1">
        <v>43021</v>
      </c>
      <c r="B1678" s="2" t="s">
        <v>55</v>
      </c>
      <c r="C1678" s="2" t="s">
        <v>326</v>
      </c>
      <c r="D1678">
        <v>9</v>
      </c>
      <c r="E1678">
        <f>WEEKNUM(makulatura[[#This Row],[Data_dostarczenia]],13)</f>
        <v>42</v>
      </c>
      <c r="F1678" s="2">
        <f>WEEKDAY(makulatura[[#This Row],[Data_dostarczenia]],2)</f>
        <v>5</v>
      </c>
    </row>
    <row r="1679" spans="1:6" x14ac:dyDescent="0.25">
      <c r="A1679" s="1">
        <v>43021</v>
      </c>
      <c r="B1679" s="2" t="s">
        <v>147</v>
      </c>
      <c r="C1679" s="2" t="s">
        <v>578</v>
      </c>
      <c r="D1679">
        <v>8</v>
      </c>
      <c r="E1679">
        <f>WEEKNUM(makulatura[[#This Row],[Data_dostarczenia]],13)</f>
        <v>42</v>
      </c>
      <c r="F1679" s="2">
        <f>WEEKDAY(makulatura[[#This Row],[Data_dostarczenia]],2)</f>
        <v>5</v>
      </c>
    </row>
    <row r="1680" spans="1:6" x14ac:dyDescent="0.25">
      <c r="A1680" s="1">
        <v>43024</v>
      </c>
      <c r="B1680" s="2" t="s">
        <v>101</v>
      </c>
      <c r="C1680" s="2" t="s">
        <v>263</v>
      </c>
      <c r="D1680">
        <v>5</v>
      </c>
      <c r="E1680">
        <f>WEEKNUM(makulatura[[#This Row],[Data_dostarczenia]],13)</f>
        <v>42</v>
      </c>
      <c r="F1680" s="2">
        <f>WEEKDAY(makulatura[[#This Row],[Data_dostarczenia]],2)</f>
        <v>1</v>
      </c>
    </row>
    <row r="1681" spans="1:6" x14ac:dyDescent="0.25">
      <c r="A1681" s="1">
        <v>43024</v>
      </c>
      <c r="B1681" s="2" t="s">
        <v>4</v>
      </c>
      <c r="C1681" s="2" t="s">
        <v>22</v>
      </c>
      <c r="D1681">
        <v>10</v>
      </c>
      <c r="E1681">
        <f>WEEKNUM(makulatura[[#This Row],[Data_dostarczenia]],13)</f>
        <v>42</v>
      </c>
      <c r="F1681" s="2">
        <f>WEEKDAY(makulatura[[#This Row],[Data_dostarczenia]],2)</f>
        <v>1</v>
      </c>
    </row>
    <row r="1682" spans="1:6" x14ac:dyDescent="0.25">
      <c r="A1682" s="1">
        <v>43024</v>
      </c>
      <c r="B1682" s="2" t="s">
        <v>27</v>
      </c>
      <c r="C1682" s="2" t="s">
        <v>94</v>
      </c>
      <c r="D1682">
        <v>29</v>
      </c>
      <c r="E1682">
        <f>WEEKNUM(makulatura[[#This Row],[Data_dostarczenia]],13)</f>
        <v>42</v>
      </c>
      <c r="F1682" s="2">
        <f>WEEKDAY(makulatura[[#This Row],[Data_dostarczenia]],2)</f>
        <v>1</v>
      </c>
    </row>
    <row r="1683" spans="1:6" x14ac:dyDescent="0.25">
      <c r="A1683" s="1">
        <v>43024</v>
      </c>
      <c r="B1683" s="2" t="s">
        <v>55</v>
      </c>
      <c r="C1683" s="2" t="s">
        <v>571</v>
      </c>
      <c r="D1683">
        <v>20</v>
      </c>
      <c r="E1683">
        <f>WEEKNUM(makulatura[[#This Row],[Data_dostarczenia]],13)</f>
        <v>42</v>
      </c>
      <c r="F1683" s="2">
        <f>WEEKDAY(makulatura[[#This Row],[Data_dostarczenia]],2)</f>
        <v>1</v>
      </c>
    </row>
    <row r="1684" spans="1:6" x14ac:dyDescent="0.25">
      <c r="A1684" s="1">
        <v>43024</v>
      </c>
      <c r="B1684" s="2" t="s">
        <v>36</v>
      </c>
      <c r="C1684" s="2" t="s">
        <v>166</v>
      </c>
      <c r="D1684">
        <v>11</v>
      </c>
      <c r="E1684">
        <f>WEEKNUM(makulatura[[#This Row],[Data_dostarczenia]],13)</f>
        <v>42</v>
      </c>
      <c r="F1684" s="2">
        <f>WEEKDAY(makulatura[[#This Row],[Data_dostarczenia]],2)</f>
        <v>1</v>
      </c>
    </row>
    <row r="1685" spans="1:6" x14ac:dyDescent="0.25">
      <c r="A1685" s="1">
        <v>43024</v>
      </c>
      <c r="B1685" s="2" t="s">
        <v>314</v>
      </c>
      <c r="C1685" s="2" t="s">
        <v>535</v>
      </c>
      <c r="D1685">
        <v>45</v>
      </c>
      <c r="E1685">
        <f>WEEKNUM(makulatura[[#This Row],[Data_dostarczenia]],13)</f>
        <v>42</v>
      </c>
      <c r="F1685" s="2">
        <f>WEEKDAY(makulatura[[#This Row],[Data_dostarczenia]],2)</f>
        <v>1</v>
      </c>
    </row>
    <row r="1686" spans="1:6" x14ac:dyDescent="0.25">
      <c r="A1686" s="1">
        <v>43024</v>
      </c>
      <c r="B1686" s="2" t="s">
        <v>372</v>
      </c>
      <c r="C1686" s="2" t="s">
        <v>373</v>
      </c>
      <c r="D1686">
        <v>9</v>
      </c>
      <c r="E1686">
        <f>WEEKNUM(makulatura[[#This Row],[Data_dostarczenia]],13)</f>
        <v>42</v>
      </c>
      <c r="F1686" s="2">
        <f>WEEKDAY(makulatura[[#This Row],[Data_dostarczenia]],2)</f>
        <v>1</v>
      </c>
    </row>
    <row r="1687" spans="1:6" x14ac:dyDescent="0.25">
      <c r="A1687" s="1">
        <v>43024</v>
      </c>
      <c r="B1687" s="2" t="s">
        <v>169</v>
      </c>
      <c r="C1687" s="2" t="s">
        <v>684</v>
      </c>
      <c r="D1687">
        <v>15</v>
      </c>
      <c r="E1687">
        <f>WEEKNUM(makulatura[[#This Row],[Data_dostarczenia]],13)</f>
        <v>42</v>
      </c>
      <c r="F1687" s="2">
        <f>WEEKDAY(makulatura[[#This Row],[Data_dostarczenia]],2)</f>
        <v>1</v>
      </c>
    </row>
    <row r="1688" spans="1:6" x14ac:dyDescent="0.25">
      <c r="A1688" s="1">
        <v>43024</v>
      </c>
      <c r="B1688" s="2" t="s">
        <v>137</v>
      </c>
      <c r="C1688" s="2" t="s">
        <v>685</v>
      </c>
      <c r="D1688">
        <v>6</v>
      </c>
      <c r="E1688">
        <f>WEEKNUM(makulatura[[#This Row],[Data_dostarczenia]],13)</f>
        <v>42</v>
      </c>
      <c r="F1688" s="2">
        <f>WEEKDAY(makulatura[[#This Row],[Data_dostarczenia]],2)</f>
        <v>1</v>
      </c>
    </row>
    <row r="1689" spans="1:6" x14ac:dyDescent="0.25">
      <c r="A1689" s="1">
        <v>43024</v>
      </c>
      <c r="B1689" s="2" t="s">
        <v>141</v>
      </c>
      <c r="C1689" s="2" t="s">
        <v>447</v>
      </c>
      <c r="D1689">
        <v>13</v>
      </c>
      <c r="E1689">
        <f>WEEKNUM(makulatura[[#This Row],[Data_dostarczenia]],13)</f>
        <v>42</v>
      </c>
      <c r="F1689" s="2">
        <f>WEEKDAY(makulatura[[#This Row],[Data_dostarczenia]],2)</f>
        <v>1</v>
      </c>
    </row>
    <row r="1690" spans="1:6" x14ac:dyDescent="0.25">
      <c r="A1690" s="1">
        <v>43024</v>
      </c>
      <c r="B1690" s="2" t="s">
        <v>232</v>
      </c>
      <c r="C1690" s="2" t="s">
        <v>487</v>
      </c>
      <c r="D1690">
        <v>7</v>
      </c>
      <c r="E1690">
        <f>WEEKNUM(makulatura[[#This Row],[Data_dostarczenia]],13)</f>
        <v>42</v>
      </c>
      <c r="F1690" s="2">
        <f>WEEKDAY(makulatura[[#This Row],[Data_dostarczenia]],2)</f>
        <v>1</v>
      </c>
    </row>
    <row r="1691" spans="1:6" x14ac:dyDescent="0.25">
      <c r="A1691" s="1">
        <v>43024</v>
      </c>
      <c r="B1691" s="2" t="s">
        <v>81</v>
      </c>
      <c r="C1691" s="2" t="s">
        <v>496</v>
      </c>
      <c r="D1691">
        <v>34</v>
      </c>
      <c r="E1691">
        <f>WEEKNUM(makulatura[[#This Row],[Data_dostarczenia]],13)</f>
        <v>42</v>
      </c>
      <c r="F1691" s="2">
        <f>WEEKDAY(makulatura[[#This Row],[Data_dostarczenia]],2)</f>
        <v>1</v>
      </c>
    </row>
    <row r="1692" spans="1:6" x14ac:dyDescent="0.25">
      <c r="A1692" s="1">
        <v>43024</v>
      </c>
      <c r="B1692" s="2" t="s">
        <v>176</v>
      </c>
      <c r="C1692" s="2" t="s">
        <v>486</v>
      </c>
      <c r="D1692">
        <v>4</v>
      </c>
      <c r="E1692">
        <f>WEEKNUM(makulatura[[#This Row],[Data_dostarczenia]],13)</f>
        <v>42</v>
      </c>
      <c r="F1692" s="2">
        <f>WEEKDAY(makulatura[[#This Row],[Data_dostarczenia]],2)</f>
        <v>1</v>
      </c>
    </row>
    <row r="1693" spans="1:6" x14ac:dyDescent="0.25">
      <c r="A1693" s="1">
        <v>43024</v>
      </c>
      <c r="B1693" s="2" t="s">
        <v>69</v>
      </c>
      <c r="C1693" s="2" t="s">
        <v>108</v>
      </c>
      <c r="D1693">
        <v>17</v>
      </c>
      <c r="E1693">
        <f>WEEKNUM(makulatura[[#This Row],[Data_dostarczenia]],13)</f>
        <v>42</v>
      </c>
      <c r="F1693" s="2">
        <f>WEEKDAY(makulatura[[#This Row],[Data_dostarczenia]],2)</f>
        <v>1</v>
      </c>
    </row>
    <row r="1694" spans="1:6" x14ac:dyDescent="0.25">
      <c r="A1694" s="1">
        <v>43025</v>
      </c>
      <c r="B1694" s="2" t="s">
        <v>374</v>
      </c>
      <c r="C1694" s="2" t="s">
        <v>375</v>
      </c>
      <c r="D1694">
        <v>5</v>
      </c>
      <c r="E1694">
        <f>WEEKNUM(makulatura[[#This Row],[Data_dostarczenia]],13)</f>
        <v>42</v>
      </c>
      <c r="F1694" s="2">
        <f>WEEKDAY(makulatura[[#This Row],[Data_dostarczenia]],2)</f>
        <v>2</v>
      </c>
    </row>
    <row r="1695" spans="1:6" x14ac:dyDescent="0.25">
      <c r="A1695" s="1">
        <v>43025</v>
      </c>
      <c r="B1695" s="2" t="s">
        <v>30</v>
      </c>
      <c r="C1695" s="2" t="s">
        <v>680</v>
      </c>
      <c r="D1695">
        <v>9</v>
      </c>
      <c r="E1695">
        <f>WEEKNUM(makulatura[[#This Row],[Data_dostarczenia]],13)</f>
        <v>42</v>
      </c>
      <c r="F1695" s="2">
        <f>WEEKDAY(makulatura[[#This Row],[Data_dostarczenia]],2)</f>
        <v>2</v>
      </c>
    </row>
    <row r="1696" spans="1:6" x14ac:dyDescent="0.25">
      <c r="A1696" s="1">
        <v>43025</v>
      </c>
      <c r="B1696" s="2" t="s">
        <v>23</v>
      </c>
      <c r="C1696" s="2" t="s">
        <v>24</v>
      </c>
      <c r="D1696">
        <v>12</v>
      </c>
      <c r="E1696">
        <f>WEEKNUM(makulatura[[#This Row],[Data_dostarczenia]],13)</f>
        <v>42</v>
      </c>
      <c r="F1696" s="2">
        <f>WEEKDAY(makulatura[[#This Row],[Data_dostarczenia]],2)</f>
        <v>2</v>
      </c>
    </row>
    <row r="1697" spans="1:6" x14ac:dyDescent="0.25">
      <c r="A1697" s="1">
        <v>43025</v>
      </c>
      <c r="B1697" s="2" t="s">
        <v>55</v>
      </c>
      <c r="C1697" s="2" t="s">
        <v>625</v>
      </c>
      <c r="D1697">
        <v>22</v>
      </c>
      <c r="E1697">
        <f>WEEKNUM(makulatura[[#This Row],[Data_dostarczenia]],13)</f>
        <v>42</v>
      </c>
      <c r="F1697" s="2">
        <f>WEEKDAY(makulatura[[#This Row],[Data_dostarczenia]],2)</f>
        <v>2</v>
      </c>
    </row>
    <row r="1698" spans="1:6" x14ac:dyDescent="0.25">
      <c r="A1698" s="1">
        <v>43025</v>
      </c>
      <c r="B1698" s="2" t="s">
        <v>393</v>
      </c>
      <c r="C1698" s="2" t="s">
        <v>394</v>
      </c>
      <c r="D1698">
        <v>4</v>
      </c>
      <c r="E1698">
        <f>WEEKNUM(makulatura[[#This Row],[Data_dostarczenia]],13)</f>
        <v>42</v>
      </c>
      <c r="F1698" s="2">
        <f>WEEKDAY(makulatura[[#This Row],[Data_dostarczenia]],2)</f>
        <v>2</v>
      </c>
    </row>
    <row r="1699" spans="1:6" x14ac:dyDescent="0.25">
      <c r="A1699" s="1">
        <v>43025</v>
      </c>
      <c r="B1699" s="2" t="s">
        <v>352</v>
      </c>
      <c r="C1699" s="2" t="s">
        <v>425</v>
      </c>
      <c r="D1699">
        <v>12</v>
      </c>
      <c r="E1699">
        <f>WEEKNUM(makulatura[[#This Row],[Data_dostarczenia]],13)</f>
        <v>42</v>
      </c>
      <c r="F1699" s="2">
        <f>WEEKDAY(makulatura[[#This Row],[Data_dostarczenia]],2)</f>
        <v>2</v>
      </c>
    </row>
    <row r="1700" spans="1:6" x14ac:dyDescent="0.25">
      <c r="A1700" s="1">
        <v>43025</v>
      </c>
      <c r="B1700" s="2" t="s">
        <v>55</v>
      </c>
      <c r="C1700" s="2" t="s">
        <v>493</v>
      </c>
      <c r="D1700">
        <v>5</v>
      </c>
      <c r="E1700">
        <f>WEEKNUM(makulatura[[#This Row],[Data_dostarczenia]],13)</f>
        <v>42</v>
      </c>
      <c r="F1700" s="2">
        <f>WEEKDAY(makulatura[[#This Row],[Data_dostarczenia]],2)</f>
        <v>2</v>
      </c>
    </row>
    <row r="1701" spans="1:6" x14ac:dyDescent="0.25">
      <c r="A1701" s="1">
        <v>43025</v>
      </c>
      <c r="B1701" s="2" t="s">
        <v>663</v>
      </c>
      <c r="C1701" s="2" t="s">
        <v>134</v>
      </c>
      <c r="D1701">
        <v>9</v>
      </c>
      <c r="E1701">
        <f>WEEKNUM(makulatura[[#This Row],[Data_dostarczenia]],13)</f>
        <v>42</v>
      </c>
      <c r="F1701" s="2">
        <f>WEEKDAY(makulatura[[#This Row],[Data_dostarczenia]],2)</f>
        <v>2</v>
      </c>
    </row>
    <row r="1702" spans="1:6" x14ac:dyDescent="0.25">
      <c r="A1702" s="1">
        <v>43025</v>
      </c>
      <c r="B1702" s="2" t="s">
        <v>30</v>
      </c>
      <c r="C1702" s="2" t="s">
        <v>89</v>
      </c>
      <c r="D1702">
        <v>8</v>
      </c>
      <c r="E1702">
        <f>WEEKNUM(makulatura[[#This Row],[Data_dostarczenia]],13)</f>
        <v>42</v>
      </c>
      <c r="F1702" s="2">
        <f>WEEKDAY(makulatura[[#This Row],[Data_dostarczenia]],2)</f>
        <v>2</v>
      </c>
    </row>
    <row r="1703" spans="1:6" x14ac:dyDescent="0.25">
      <c r="A1703" s="1">
        <v>43025</v>
      </c>
      <c r="B1703" s="2" t="s">
        <v>25</v>
      </c>
      <c r="C1703" s="2" t="s">
        <v>26</v>
      </c>
      <c r="D1703">
        <v>25</v>
      </c>
      <c r="E1703">
        <f>WEEKNUM(makulatura[[#This Row],[Data_dostarczenia]],13)</f>
        <v>42</v>
      </c>
      <c r="F1703" s="2">
        <f>WEEKDAY(makulatura[[#This Row],[Data_dostarczenia]],2)</f>
        <v>2</v>
      </c>
    </row>
    <row r="1704" spans="1:6" x14ac:dyDescent="0.25">
      <c r="A1704" s="1">
        <v>43025</v>
      </c>
      <c r="B1704" s="2" t="s">
        <v>69</v>
      </c>
      <c r="C1704" s="2" t="s">
        <v>286</v>
      </c>
      <c r="D1704">
        <v>2</v>
      </c>
      <c r="E1704">
        <f>WEEKNUM(makulatura[[#This Row],[Data_dostarczenia]],13)</f>
        <v>42</v>
      </c>
      <c r="F1704" s="2">
        <f>WEEKDAY(makulatura[[#This Row],[Data_dostarczenia]],2)</f>
        <v>2</v>
      </c>
    </row>
    <row r="1705" spans="1:6" x14ac:dyDescent="0.25">
      <c r="A1705" s="1">
        <v>43025</v>
      </c>
      <c r="B1705" s="2" t="s">
        <v>83</v>
      </c>
      <c r="C1705" s="2" t="s">
        <v>561</v>
      </c>
      <c r="D1705">
        <v>22</v>
      </c>
      <c r="E1705">
        <f>WEEKNUM(makulatura[[#This Row],[Data_dostarczenia]],13)</f>
        <v>42</v>
      </c>
      <c r="F1705" s="2">
        <f>WEEKDAY(makulatura[[#This Row],[Data_dostarczenia]],2)</f>
        <v>2</v>
      </c>
    </row>
    <row r="1706" spans="1:6" x14ac:dyDescent="0.25">
      <c r="A1706" s="1">
        <v>43025</v>
      </c>
      <c r="B1706" s="2" t="s">
        <v>69</v>
      </c>
      <c r="C1706" s="2" t="s">
        <v>200</v>
      </c>
      <c r="D1706">
        <v>23</v>
      </c>
      <c r="E1706">
        <f>WEEKNUM(makulatura[[#This Row],[Data_dostarczenia]],13)</f>
        <v>42</v>
      </c>
      <c r="F1706" s="2">
        <f>WEEKDAY(makulatura[[#This Row],[Data_dostarczenia]],2)</f>
        <v>2</v>
      </c>
    </row>
    <row r="1707" spans="1:6" x14ac:dyDescent="0.25">
      <c r="A1707" s="1">
        <v>43025</v>
      </c>
      <c r="B1707" s="2" t="s">
        <v>171</v>
      </c>
      <c r="C1707" s="2" t="s">
        <v>645</v>
      </c>
      <c r="D1707">
        <v>14</v>
      </c>
      <c r="E1707">
        <f>WEEKNUM(makulatura[[#This Row],[Data_dostarczenia]],13)</f>
        <v>42</v>
      </c>
      <c r="F1707" s="2">
        <f>WEEKDAY(makulatura[[#This Row],[Data_dostarczenia]],2)</f>
        <v>2</v>
      </c>
    </row>
    <row r="1708" spans="1:6" x14ac:dyDescent="0.25">
      <c r="A1708" s="1">
        <v>43025</v>
      </c>
      <c r="B1708" s="2" t="s">
        <v>39</v>
      </c>
      <c r="C1708" s="2" t="s">
        <v>609</v>
      </c>
      <c r="D1708">
        <v>7</v>
      </c>
      <c r="E1708">
        <f>WEEKNUM(makulatura[[#This Row],[Data_dostarczenia]],13)</f>
        <v>42</v>
      </c>
      <c r="F1708" s="2">
        <f>WEEKDAY(makulatura[[#This Row],[Data_dostarczenia]],2)</f>
        <v>2</v>
      </c>
    </row>
    <row r="1709" spans="1:6" x14ac:dyDescent="0.25">
      <c r="A1709" s="1">
        <v>43026</v>
      </c>
      <c r="B1709" s="2" t="s">
        <v>141</v>
      </c>
      <c r="C1709" s="2" t="s">
        <v>550</v>
      </c>
      <c r="D1709">
        <v>37</v>
      </c>
      <c r="E1709">
        <f>WEEKNUM(makulatura[[#This Row],[Data_dostarczenia]],13)</f>
        <v>43</v>
      </c>
      <c r="F1709" s="2">
        <f>WEEKDAY(makulatura[[#This Row],[Data_dostarczenia]],2)</f>
        <v>3</v>
      </c>
    </row>
    <row r="1710" spans="1:6" x14ac:dyDescent="0.25">
      <c r="A1710" s="1">
        <v>43026</v>
      </c>
      <c r="B1710" s="2" t="s">
        <v>34</v>
      </c>
      <c r="C1710" s="2" t="s">
        <v>679</v>
      </c>
      <c r="D1710">
        <v>18</v>
      </c>
      <c r="E1710">
        <f>WEEKNUM(makulatura[[#This Row],[Data_dostarczenia]],13)</f>
        <v>43</v>
      </c>
      <c r="F1710" s="2">
        <f>WEEKDAY(makulatura[[#This Row],[Data_dostarczenia]],2)</f>
        <v>3</v>
      </c>
    </row>
    <row r="1711" spans="1:6" x14ac:dyDescent="0.25">
      <c r="A1711" s="1">
        <v>43026</v>
      </c>
      <c r="B1711" s="2" t="s">
        <v>395</v>
      </c>
      <c r="C1711" s="2" t="s">
        <v>467</v>
      </c>
      <c r="D1711">
        <v>7</v>
      </c>
      <c r="E1711">
        <f>WEEKNUM(makulatura[[#This Row],[Data_dostarczenia]],13)</f>
        <v>43</v>
      </c>
      <c r="F1711" s="2">
        <f>WEEKDAY(makulatura[[#This Row],[Data_dostarczenia]],2)</f>
        <v>3</v>
      </c>
    </row>
    <row r="1712" spans="1:6" x14ac:dyDescent="0.25">
      <c r="A1712" s="1">
        <v>43026</v>
      </c>
      <c r="B1712" s="2" t="s">
        <v>503</v>
      </c>
      <c r="C1712" s="2" t="s">
        <v>183</v>
      </c>
      <c r="D1712">
        <v>24</v>
      </c>
      <c r="E1712">
        <f>WEEKNUM(makulatura[[#This Row],[Data_dostarczenia]],13)</f>
        <v>43</v>
      </c>
      <c r="F1712" s="2">
        <f>WEEKDAY(makulatura[[#This Row],[Data_dostarczenia]],2)</f>
        <v>3</v>
      </c>
    </row>
    <row r="1713" spans="1:6" x14ac:dyDescent="0.25">
      <c r="A1713" s="1">
        <v>43026</v>
      </c>
      <c r="B1713" s="2" t="s">
        <v>43</v>
      </c>
      <c r="C1713" s="2" t="s">
        <v>71</v>
      </c>
      <c r="D1713">
        <v>2</v>
      </c>
      <c r="E1713">
        <f>WEEKNUM(makulatura[[#This Row],[Data_dostarczenia]],13)</f>
        <v>43</v>
      </c>
      <c r="F1713" s="2">
        <f>WEEKDAY(makulatura[[#This Row],[Data_dostarczenia]],2)</f>
        <v>3</v>
      </c>
    </row>
    <row r="1714" spans="1:6" x14ac:dyDescent="0.25">
      <c r="A1714" s="1">
        <v>43026</v>
      </c>
      <c r="B1714" s="2" t="s">
        <v>141</v>
      </c>
      <c r="C1714" s="2" t="s">
        <v>435</v>
      </c>
      <c r="D1714">
        <v>16</v>
      </c>
      <c r="E1714">
        <f>WEEKNUM(makulatura[[#This Row],[Data_dostarczenia]],13)</f>
        <v>43</v>
      </c>
      <c r="F1714" s="2">
        <f>WEEKDAY(makulatura[[#This Row],[Data_dostarczenia]],2)</f>
        <v>3</v>
      </c>
    </row>
    <row r="1715" spans="1:6" x14ac:dyDescent="0.25">
      <c r="A1715" s="1">
        <v>43026</v>
      </c>
      <c r="B1715" s="2" t="s">
        <v>372</v>
      </c>
      <c r="C1715" s="2" t="s">
        <v>373</v>
      </c>
      <c r="D1715">
        <v>11</v>
      </c>
      <c r="E1715">
        <f>WEEKNUM(makulatura[[#This Row],[Data_dostarczenia]],13)</f>
        <v>43</v>
      </c>
      <c r="F1715" s="2">
        <f>WEEKDAY(makulatura[[#This Row],[Data_dostarczenia]],2)</f>
        <v>3</v>
      </c>
    </row>
    <row r="1716" spans="1:6" x14ac:dyDescent="0.25">
      <c r="A1716" s="1">
        <v>43026</v>
      </c>
      <c r="B1716" s="2" t="s">
        <v>351</v>
      </c>
      <c r="C1716" s="2" t="s">
        <v>227</v>
      </c>
      <c r="D1716">
        <v>27</v>
      </c>
      <c r="E1716">
        <f>WEEKNUM(makulatura[[#This Row],[Data_dostarczenia]],13)</f>
        <v>43</v>
      </c>
      <c r="F1716" s="2">
        <f>WEEKDAY(makulatura[[#This Row],[Data_dostarczenia]],2)</f>
        <v>3</v>
      </c>
    </row>
    <row r="1717" spans="1:6" x14ac:dyDescent="0.25">
      <c r="A1717" s="1">
        <v>43026</v>
      </c>
      <c r="B1717" s="2" t="s">
        <v>41</v>
      </c>
      <c r="C1717" s="2" t="s">
        <v>614</v>
      </c>
      <c r="D1717">
        <v>27</v>
      </c>
      <c r="E1717">
        <f>WEEKNUM(makulatura[[#This Row],[Data_dostarczenia]],13)</f>
        <v>43</v>
      </c>
      <c r="F1717" s="2">
        <f>WEEKDAY(makulatura[[#This Row],[Data_dostarczenia]],2)</f>
        <v>3</v>
      </c>
    </row>
    <row r="1718" spans="1:6" x14ac:dyDescent="0.25">
      <c r="A1718" s="1">
        <v>43026</v>
      </c>
      <c r="B1718" s="2" t="s">
        <v>150</v>
      </c>
      <c r="C1718" s="2" t="s">
        <v>676</v>
      </c>
      <c r="D1718">
        <v>42</v>
      </c>
      <c r="E1718">
        <f>WEEKNUM(makulatura[[#This Row],[Data_dostarczenia]],13)</f>
        <v>43</v>
      </c>
      <c r="F1718" s="2">
        <f>WEEKDAY(makulatura[[#This Row],[Data_dostarczenia]],2)</f>
        <v>3</v>
      </c>
    </row>
    <row r="1719" spans="1:6" x14ac:dyDescent="0.25">
      <c r="A1719" s="1">
        <v>43026</v>
      </c>
      <c r="B1719" s="2" t="s">
        <v>374</v>
      </c>
      <c r="C1719" s="2" t="s">
        <v>375</v>
      </c>
      <c r="D1719">
        <v>10</v>
      </c>
      <c r="E1719">
        <f>WEEKNUM(makulatura[[#This Row],[Data_dostarczenia]],13)</f>
        <v>43</v>
      </c>
      <c r="F1719" s="2">
        <f>WEEKDAY(makulatura[[#This Row],[Data_dostarczenia]],2)</f>
        <v>3</v>
      </c>
    </row>
    <row r="1720" spans="1:6" x14ac:dyDescent="0.25">
      <c r="A1720" s="1">
        <v>43026</v>
      </c>
      <c r="B1720" s="2" t="s">
        <v>232</v>
      </c>
      <c r="C1720" s="2" t="s">
        <v>526</v>
      </c>
      <c r="D1720">
        <v>28</v>
      </c>
      <c r="E1720">
        <f>WEEKNUM(makulatura[[#This Row],[Data_dostarczenia]],13)</f>
        <v>43</v>
      </c>
      <c r="F1720" s="2">
        <f>WEEKDAY(makulatura[[#This Row],[Data_dostarczenia]],2)</f>
        <v>3</v>
      </c>
    </row>
    <row r="1721" spans="1:6" x14ac:dyDescent="0.25">
      <c r="A1721" s="1">
        <v>43026</v>
      </c>
      <c r="B1721" s="2" t="s">
        <v>310</v>
      </c>
      <c r="C1721" s="2" t="s">
        <v>505</v>
      </c>
      <c r="D1721">
        <v>13</v>
      </c>
      <c r="E1721">
        <f>WEEKNUM(makulatura[[#This Row],[Data_dostarczenia]],13)</f>
        <v>43</v>
      </c>
      <c r="F1721" s="2">
        <f>WEEKDAY(makulatura[[#This Row],[Data_dostarczenia]],2)</f>
        <v>3</v>
      </c>
    </row>
    <row r="1722" spans="1:6" x14ac:dyDescent="0.25">
      <c r="A1722" s="1">
        <v>43026</v>
      </c>
      <c r="B1722" s="2" t="s">
        <v>117</v>
      </c>
      <c r="C1722" s="2" t="s">
        <v>118</v>
      </c>
      <c r="D1722">
        <v>29</v>
      </c>
      <c r="E1722">
        <f>WEEKNUM(makulatura[[#This Row],[Data_dostarczenia]],13)</f>
        <v>43</v>
      </c>
      <c r="F1722" s="2">
        <f>WEEKDAY(makulatura[[#This Row],[Data_dostarczenia]],2)</f>
        <v>3</v>
      </c>
    </row>
    <row r="1723" spans="1:6" x14ac:dyDescent="0.25">
      <c r="A1723" s="1">
        <v>43026</v>
      </c>
      <c r="B1723" s="2" t="s">
        <v>208</v>
      </c>
      <c r="C1723" s="2" t="s">
        <v>611</v>
      </c>
      <c r="D1723">
        <v>46</v>
      </c>
      <c r="E1723">
        <f>WEEKNUM(makulatura[[#This Row],[Data_dostarczenia]],13)</f>
        <v>43</v>
      </c>
      <c r="F1723" s="2">
        <f>WEEKDAY(makulatura[[#This Row],[Data_dostarczenia]],2)</f>
        <v>3</v>
      </c>
    </row>
    <row r="1724" spans="1:6" x14ac:dyDescent="0.25">
      <c r="A1724" s="1">
        <v>43027</v>
      </c>
      <c r="B1724" s="2" t="s">
        <v>20</v>
      </c>
      <c r="C1724" s="2" t="s">
        <v>381</v>
      </c>
      <c r="D1724">
        <v>5</v>
      </c>
      <c r="E1724">
        <f>WEEKNUM(makulatura[[#This Row],[Data_dostarczenia]],13)</f>
        <v>43</v>
      </c>
      <c r="F1724" s="2">
        <f>WEEKDAY(makulatura[[#This Row],[Data_dostarczenia]],2)</f>
        <v>4</v>
      </c>
    </row>
    <row r="1725" spans="1:6" x14ac:dyDescent="0.25">
      <c r="A1725" s="1">
        <v>43027</v>
      </c>
      <c r="B1725" s="2" t="s">
        <v>374</v>
      </c>
      <c r="C1725" s="2" t="s">
        <v>581</v>
      </c>
      <c r="D1725">
        <v>35</v>
      </c>
      <c r="E1725">
        <f>WEEKNUM(makulatura[[#This Row],[Data_dostarczenia]],13)</f>
        <v>43</v>
      </c>
      <c r="F1725" s="2">
        <f>WEEKDAY(makulatura[[#This Row],[Data_dostarczenia]],2)</f>
        <v>4</v>
      </c>
    </row>
    <row r="1726" spans="1:6" x14ac:dyDescent="0.25">
      <c r="A1726" s="1">
        <v>43027</v>
      </c>
      <c r="B1726" s="2" t="s">
        <v>55</v>
      </c>
      <c r="C1726" s="2" t="s">
        <v>184</v>
      </c>
      <c r="D1726">
        <v>5</v>
      </c>
      <c r="E1726">
        <f>WEEKNUM(makulatura[[#This Row],[Data_dostarczenia]],13)</f>
        <v>43</v>
      </c>
      <c r="F1726" s="2">
        <f>WEEKDAY(makulatura[[#This Row],[Data_dostarczenia]],2)</f>
        <v>4</v>
      </c>
    </row>
    <row r="1727" spans="1:6" x14ac:dyDescent="0.25">
      <c r="A1727" s="1">
        <v>43027</v>
      </c>
      <c r="B1727" s="2" t="s">
        <v>393</v>
      </c>
      <c r="C1727" s="2" t="s">
        <v>686</v>
      </c>
      <c r="D1727">
        <v>35</v>
      </c>
      <c r="E1727">
        <f>WEEKNUM(makulatura[[#This Row],[Data_dostarczenia]],13)</f>
        <v>43</v>
      </c>
      <c r="F1727" s="2">
        <f>WEEKDAY(makulatura[[#This Row],[Data_dostarczenia]],2)</f>
        <v>4</v>
      </c>
    </row>
    <row r="1728" spans="1:6" x14ac:dyDescent="0.25">
      <c r="A1728" s="1">
        <v>43027</v>
      </c>
      <c r="B1728" s="2" t="s">
        <v>101</v>
      </c>
      <c r="C1728" s="2" t="s">
        <v>212</v>
      </c>
      <c r="D1728">
        <v>8</v>
      </c>
      <c r="E1728">
        <f>WEEKNUM(makulatura[[#This Row],[Data_dostarczenia]],13)</f>
        <v>43</v>
      </c>
      <c r="F1728" s="2">
        <f>WEEKDAY(makulatura[[#This Row],[Data_dostarczenia]],2)</f>
        <v>4</v>
      </c>
    </row>
    <row r="1729" spans="1:6" x14ac:dyDescent="0.25">
      <c r="A1729" s="1">
        <v>43027</v>
      </c>
      <c r="B1729" s="2" t="s">
        <v>343</v>
      </c>
      <c r="C1729" s="2" t="s">
        <v>501</v>
      </c>
      <c r="D1729">
        <v>44</v>
      </c>
      <c r="E1729">
        <f>WEEKNUM(makulatura[[#This Row],[Data_dostarczenia]],13)</f>
        <v>43</v>
      </c>
      <c r="F1729" s="2">
        <f>WEEKDAY(makulatura[[#This Row],[Data_dostarczenia]],2)</f>
        <v>4</v>
      </c>
    </row>
    <row r="1730" spans="1:6" x14ac:dyDescent="0.25">
      <c r="A1730" s="1">
        <v>43027</v>
      </c>
      <c r="B1730" s="2" t="s">
        <v>343</v>
      </c>
      <c r="C1730" s="2" t="s">
        <v>501</v>
      </c>
      <c r="D1730">
        <v>34</v>
      </c>
      <c r="E1730">
        <f>WEEKNUM(makulatura[[#This Row],[Data_dostarczenia]],13)</f>
        <v>43</v>
      </c>
      <c r="F1730" s="2">
        <f>WEEKDAY(makulatura[[#This Row],[Data_dostarczenia]],2)</f>
        <v>4</v>
      </c>
    </row>
    <row r="1731" spans="1:6" x14ac:dyDescent="0.25">
      <c r="A1731" s="1">
        <v>43027</v>
      </c>
      <c r="B1731" s="2" t="s">
        <v>310</v>
      </c>
      <c r="C1731" s="2" t="s">
        <v>311</v>
      </c>
      <c r="D1731">
        <v>6</v>
      </c>
      <c r="E1731">
        <f>WEEKNUM(makulatura[[#This Row],[Data_dostarczenia]],13)</f>
        <v>43</v>
      </c>
      <c r="F1731" s="2">
        <f>WEEKDAY(makulatura[[#This Row],[Data_dostarczenia]],2)</f>
        <v>4</v>
      </c>
    </row>
    <row r="1732" spans="1:6" x14ac:dyDescent="0.25">
      <c r="A1732" s="1">
        <v>43027</v>
      </c>
      <c r="B1732" s="2" t="s">
        <v>147</v>
      </c>
      <c r="C1732" s="2" t="s">
        <v>644</v>
      </c>
      <c r="D1732">
        <v>16</v>
      </c>
      <c r="E1732">
        <f>WEEKNUM(makulatura[[#This Row],[Data_dostarczenia]],13)</f>
        <v>43</v>
      </c>
      <c r="F1732" s="2">
        <f>WEEKDAY(makulatura[[#This Row],[Data_dostarczenia]],2)</f>
        <v>4</v>
      </c>
    </row>
    <row r="1733" spans="1:6" x14ac:dyDescent="0.25">
      <c r="A1733" s="1">
        <v>43027</v>
      </c>
      <c r="B1733" s="2" t="s">
        <v>65</v>
      </c>
      <c r="C1733" s="2" t="s">
        <v>205</v>
      </c>
      <c r="D1733">
        <v>32</v>
      </c>
      <c r="E1733">
        <f>WEEKNUM(makulatura[[#This Row],[Data_dostarczenia]],13)</f>
        <v>43</v>
      </c>
      <c r="F1733" s="2">
        <f>WEEKDAY(makulatura[[#This Row],[Data_dostarczenia]],2)</f>
        <v>4</v>
      </c>
    </row>
    <row r="1734" spans="1:6" x14ac:dyDescent="0.25">
      <c r="A1734" s="1">
        <v>43027</v>
      </c>
      <c r="B1734" s="2" t="s">
        <v>34</v>
      </c>
      <c r="C1734" s="2" t="s">
        <v>445</v>
      </c>
      <c r="D1734">
        <v>35</v>
      </c>
      <c r="E1734">
        <f>WEEKNUM(makulatura[[#This Row],[Data_dostarczenia]],13)</f>
        <v>43</v>
      </c>
      <c r="F1734" s="2">
        <f>WEEKDAY(makulatura[[#This Row],[Data_dostarczenia]],2)</f>
        <v>4</v>
      </c>
    </row>
    <row r="1735" spans="1:6" x14ac:dyDescent="0.25">
      <c r="A1735" s="1">
        <v>43027</v>
      </c>
      <c r="B1735" s="2" t="s">
        <v>67</v>
      </c>
      <c r="C1735" s="2" t="s">
        <v>301</v>
      </c>
      <c r="D1735">
        <v>9</v>
      </c>
      <c r="E1735">
        <f>WEEKNUM(makulatura[[#This Row],[Data_dostarczenia]],13)</f>
        <v>43</v>
      </c>
      <c r="F1735" s="2">
        <f>WEEKDAY(makulatura[[#This Row],[Data_dostarczenia]],2)</f>
        <v>4</v>
      </c>
    </row>
    <row r="1736" spans="1:6" x14ac:dyDescent="0.25">
      <c r="A1736" s="1">
        <v>43027</v>
      </c>
      <c r="B1736" s="2" t="s">
        <v>310</v>
      </c>
      <c r="C1736" s="2" t="s">
        <v>458</v>
      </c>
      <c r="D1736">
        <v>29</v>
      </c>
      <c r="E1736">
        <f>WEEKNUM(makulatura[[#This Row],[Data_dostarczenia]],13)</f>
        <v>43</v>
      </c>
      <c r="F1736" s="2">
        <f>WEEKDAY(makulatura[[#This Row],[Data_dostarczenia]],2)</f>
        <v>4</v>
      </c>
    </row>
    <row r="1737" spans="1:6" x14ac:dyDescent="0.25">
      <c r="A1737" s="1">
        <v>43027</v>
      </c>
      <c r="B1737" s="2" t="s">
        <v>174</v>
      </c>
      <c r="C1737" s="2" t="s">
        <v>570</v>
      </c>
      <c r="D1737">
        <v>51</v>
      </c>
      <c r="E1737">
        <f>WEEKNUM(makulatura[[#This Row],[Data_dostarczenia]],13)</f>
        <v>43</v>
      </c>
      <c r="F1737" s="2">
        <f>WEEKDAY(makulatura[[#This Row],[Data_dostarczenia]],2)</f>
        <v>4</v>
      </c>
    </row>
    <row r="1738" spans="1:6" x14ac:dyDescent="0.25">
      <c r="A1738" s="1">
        <v>43028</v>
      </c>
      <c r="B1738" s="2" t="s">
        <v>143</v>
      </c>
      <c r="C1738" s="2" t="s">
        <v>510</v>
      </c>
      <c r="D1738">
        <v>14</v>
      </c>
      <c r="E1738">
        <f>WEEKNUM(makulatura[[#This Row],[Data_dostarczenia]],13)</f>
        <v>43</v>
      </c>
      <c r="F1738" s="2">
        <f>WEEKDAY(makulatura[[#This Row],[Data_dostarczenia]],2)</f>
        <v>5</v>
      </c>
    </row>
    <row r="1739" spans="1:6" x14ac:dyDescent="0.25">
      <c r="A1739" s="1">
        <v>43028</v>
      </c>
      <c r="B1739" s="2" t="s">
        <v>150</v>
      </c>
      <c r="C1739" s="2" t="s">
        <v>200</v>
      </c>
      <c r="D1739">
        <v>6</v>
      </c>
      <c r="E1739">
        <f>WEEKNUM(makulatura[[#This Row],[Data_dostarczenia]],13)</f>
        <v>43</v>
      </c>
      <c r="F1739" s="2">
        <f>WEEKDAY(makulatura[[#This Row],[Data_dostarczenia]],2)</f>
        <v>5</v>
      </c>
    </row>
    <row r="1740" spans="1:6" x14ac:dyDescent="0.25">
      <c r="A1740" s="1">
        <v>43028</v>
      </c>
      <c r="B1740" s="2" t="s">
        <v>442</v>
      </c>
      <c r="C1740" s="2" t="s">
        <v>540</v>
      </c>
      <c r="D1740">
        <v>7</v>
      </c>
      <c r="E1740">
        <f>WEEKNUM(makulatura[[#This Row],[Data_dostarczenia]],13)</f>
        <v>43</v>
      </c>
      <c r="F1740" s="2">
        <f>WEEKDAY(makulatura[[#This Row],[Data_dostarczenia]],2)</f>
        <v>5</v>
      </c>
    </row>
    <row r="1741" spans="1:6" x14ac:dyDescent="0.25">
      <c r="A1741" s="1">
        <v>43028</v>
      </c>
      <c r="B1741" s="2" t="s">
        <v>150</v>
      </c>
      <c r="C1741" s="2" t="s">
        <v>556</v>
      </c>
      <c r="D1741">
        <v>23</v>
      </c>
      <c r="E1741">
        <f>WEEKNUM(makulatura[[#This Row],[Data_dostarczenia]],13)</f>
        <v>43</v>
      </c>
      <c r="F1741" s="2">
        <f>WEEKDAY(makulatura[[#This Row],[Data_dostarczenia]],2)</f>
        <v>5</v>
      </c>
    </row>
    <row r="1742" spans="1:6" x14ac:dyDescent="0.25">
      <c r="A1742" s="1">
        <v>43028</v>
      </c>
      <c r="B1742" s="2" t="s">
        <v>97</v>
      </c>
      <c r="C1742" s="2" t="s">
        <v>188</v>
      </c>
      <c r="D1742">
        <v>19</v>
      </c>
      <c r="E1742">
        <f>WEEKNUM(makulatura[[#This Row],[Data_dostarczenia]],13)</f>
        <v>43</v>
      </c>
      <c r="F1742" s="2">
        <f>WEEKDAY(makulatura[[#This Row],[Data_dostarczenia]],2)</f>
        <v>5</v>
      </c>
    </row>
    <row r="1743" spans="1:6" x14ac:dyDescent="0.25">
      <c r="A1743" s="1">
        <v>43028</v>
      </c>
      <c r="B1743" s="2" t="s">
        <v>20</v>
      </c>
      <c r="C1743" s="2" t="s">
        <v>381</v>
      </c>
      <c r="D1743">
        <v>9</v>
      </c>
      <c r="E1743">
        <f>WEEKNUM(makulatura[[#This Row],[Data_dostarczenia]],13)</f>
        <v>43</v>
      </c>
      <c r="F1743" s="2">
        <f>WEEKDAY(makulatura[[#This Row],[Data_dostarczenia]],2)</f>
        <v>5</v>
      </c>
    </row>
    <row r="1744" spans="1:6" x14ac:dyDescent="0.25">
      <c r="A1744" s="1">
        <v>43028</v>
      </c>
      <c r="B1744" s="2" t="s">
        <v>635</v>
      </c>
      <c r="C1744" s="2" t="s">
        <v>636</v>
      </c>
      <c r="D1744">
        <v>24</v>
      </c>
      <c r="E1744">
        <f>WEEKNUM(makulatura[[#This Row],[Data_dostarczenia]],13)</f>
        <v>43</v>
      </c>
      <c r="F1744" s="2">
        <f>WEEKDAY(makulatura[[#This Row],[Data_dostarczenia]],2)</f>
        <v>5</v>
      </c>
    </row>
    <row r="1745" spans="1:6" x14ac:dyDescent="0.25">
      <c r="A1745" s="1">
        <v>43028</v>
      </c>
      <c r="B1745" s="2" t="s">
        <v>361</v>
      </c>
      <c r="C1745" s="2" t="s">
        <v>362</v>
      </c>
      <c r="D1745">
        <v>22</v>
      </c>
      <c r="E1745">
        <f>WEEKNUM(makulatura[[#This Row],[Data_dostarczenia]],13)</f>
        <v>43</v>
      </c>
      <c r="F1745" s="2">
        <f>WEEKDAY(makulatura[[#This Row],[Data_dostarczenia]],2)</f>
        <v>5</v>
      </c>
    </row>
    <row r="1746" spans="1:6" x14ac:dyDescent="0.25">
      <c r="A1746" s="1">
        <v>43028</v>
      </c>
      <c r="B1746" s="2" t="s">
        <v>101</v>
      </c>
      <c r="C1746" s="2" t="s">
        <v>188</v>
      </c>
      <c r="D1746">
        <v>22</v>
      </c>
      <c r="E1746">
        <f>WEEKNUM(makulatura[[#This Row],[Data_dostarczenia]],13)</f>
        <v>43</v>
      </c>
      <c r="F1746" s="2">
        <f>WEEKDAY(makulatura[[#This Row],[Data_dostarczenia]],2)</f>
        <v>5</v>
      </c>
    </row>
    <row r="1747" spans="1:6" x14ac:dyDescent="0.25">
      <c r="A1747" s="1">
        <v>43028</v>
      </c>
      <c r="B1747" s="2" t="s">
        <v>395</v>
      </c>
      <c r="C1747" s="2" t="s">
        <v>687</v>
      </c>
      <c r="D1747">
        <v>31</v>
      </c>
      <c r="E1747">
        <f>WEEKNUM(makulatura[[#This Row],[Data_dostarczenia]],13)</f>
        <v>43</v>
      </c>
      <c r="F1747" s="2">
        <f>WEEKDAY(makulatura[[#This Row],[Data_dostarczenia]],2)</f>
        <v>5</v>
      </c>
    </row>
    <row r="1748" spans="1:6" x14ac:dyDescent="0.25">
      <c r="A1748" s="1">
        <v>43028</v>
      </c>
      <c r="B1748" s="2" t="s">
        <v>128</v>
      </c>
      <c r="C1748" s="2" t="s">
        <v>12</v>
      </c>
      <c r="D1748">
        <v>4</v>
      </c>
      <c r="E1748">
        <f>WEEKNUM(makulatura[[#This Row],[Data_dostarczenia]],13)</f>
        <v>43</v>
      </c>
      <c r="F1748" s="2">
        <f>WEEKDAY(makulatura[[#This Row],[Data_dostarczenia]],2)</f>
        <v>5</v>
      </c>
    </row>
    <row r="1749" spans="1:6" x14ac:dyDescent="0.25">
      <c r="A1749" s="1">
        <v>43028</v>
      </c>
      <c r="B1749" s="2" t="s">
        <v>53</v>
      </c>
      <c r="C1749" s="2" t="s">
        <v>227</v>
      </c>
      <c r="D1749">
        <v>2</v>
      </c>
      <c r="E1749">
        <f>WEEKNUM(makulatura[[#This Row],[Data_dostarczenia]],13)</f>
        <v>43</v>
      </c>
      <c r="F1749" s="2">
        <f>WEEKDAY(makulatura[[#This Row],[Data_dostarczenia]],2)</f>
        <v>5</v>
      </c>
    </row>
    <row r="1750" spans="1:6" x14ac:dyDescent="0.25">
      <c r="A1750" s="1">
        <v>43028</v>
      </c>
      <c r="B1750" s="2" t="s">
        <v>193</v>
      </c>
      <c r="C1750" s="2" t="s">
        <v>555</v>
      </c>
      <c r="D1750">
        <v>25</v>
      </c>
      <c r="E1750">
        <f>WEEKNUM(makulatura[[#This Row],[Data_dostarczenia]],13)</f>
        <v>43</v>
      </c>
      <c r="F1750" s="2">
        <f>WEEKDAY(makulatura[[#This Row],[Data_dostarczenia]],2)</f>
        <v>5</v>
      </c>
    </row>
    <row r="1751" spans="1:6" x14ac:dyDescent="0.25">
      <c r="A1751" s="1">
        <v>43028</v>
      </c>
      <c r="B1751" s="2" t="s">
        <v>312</v>
      </c>
      <c r="C1751" s="2" t="s">
        <v>88</v>
      </c>
      <c r="D1751">
        <v>17</v>
      </c>
      <c r="E1751">
        <f>WEEKNUM(makulatura[[#This Row],[Data_dostarczenia]],13)</f>
        <v>43</v>
      </c>
      <c r="F1751" s="2">
        <f>WEEKDAY(makulatura[[#This Row],[Data_dostarczenia]],2)</f>
        <v>5</v>
      </c>
    </row>
    <row r="1752" spans="1:6" x14ac:dyDescent="0.25">
      <c r="A1752" s="1">
        <v>43028</v>
      </c>
      <c r="B1752" s="2" t="s">
        <v>152</v>
      </c>
      <c r="C1752" s="2" t="s">
        <v>17</v>
      </c>
      <c r="D1752">
        <v>6</v>
      </c>
      <c r="E1752">
        <f>WEEKNUM(makulatura[[#This Row],[Data_dostarczenia]],13)</f>
        <v>43</v>
      </c>
      <c r="F1752" s="2">
        <f>WEEKDAY(makulatura[[#This Row],[Data_dostarczenia]],2)</f>
        <v>5</v>
      </c>
    </row>
    <row r="1753" spans="1:6" x14ac:dyDescent="0.25">
      <c r="A1753" s="1">
        <v>43028</v>
      </c>
      <c r="B1753" s="2" t="s">
        <v>144</v>
      </c>
      <c r="C1753" s="2" t="s">
        <v>390</v>
      </c>
      <c r="D1753">
        <v>21</v>
      </c>
      <c r="E1753">
        <f>WEEKNUM(makulatura[[#This Row],[Data_dostarczenia]],13)</f>
        <v>43</v>
      </c>
      <c r="F1753" s="2">
        <f>WEEKDAY(makulatura[[#This Row],[Data_dostarczenia]],2)</f>
        <v>5</v>
      </c>
    </row>
    <row r="1754" spans="1:6" x14ac:dyDescent="0.25">
      <c r="A1754" s="1">
        <v>43028</v>
      </c>
      <c r="B1754" s="2" t="s">
        <v>150</v>
      </c>
      <c r="C1754" s="2" t="s">
        <v>211</v>
      </c>
      <c r="D1754">
        <v>26</v>
      </c>
      <c r="E1754">
        <f>WEEKNUM(makulatura[[#This Row],[Data_dostarczenia]],13)</f>
        <v>43</v>
      </c>
      <c r="F1754" s="2">
        <f>WEEKDAY(makulatura[[#This Row],[Data_dostarczenia]],2)</f>
        <v>5</v>
      </c>
    </row>
    <row r="1755" spans="1:6" x14ac:dyDescent="0.25">
      <c r="A1755" s="1">
        <v>43031</v>
      </c>
      <c r="B1755" s="2" t="s">
        <v>427</v>
      </c>
      <c r="C1755" s="2" t="s">
        <v>118</v>
      </c>
      <c r="D1755">
        <v>41</v>
      </c>
      <c r="E1755">
        <f>WEEKNUM(makulatura[[#This Row],[Data_dostarczenia]],13)</f>
        <v>43</v>
      </c>
      <c r="F1755" s="2">
        <f>WEEKDAY(makulatura[[#This Row],[Data_dostarczenia]],2)</f>
        <v>1</v>
      </c>
    </row>
    <row r="1756" spans="1:6" x14ac:dyDescent="0.25">
      <c r="A1756" s="1">
        <v>43031</v>
      </c>
      <c r="B1756" s="2" t="s">
        <v>34</v>
      </c>
      <c r="C1756" s="2" t="s">
        <v>564</v>
      </c>
      <c r="D1756">
        <v>28</v>
      </c>
      <c r="E1756">
        <f>WEEKNUM(makulatura[[#This Row],[Data_dostarczenia]],13)</f>
        <v>43</v>
      </c>
      <c r="F1756" s="2">
        <f>WEEKDAY(makulatura[[#This Row],[Data_dostarczenia]],2)</f>
        <v>1</v>
      </c>
    </row>
    <row r="1757" spans="1:6" x14ac:dyDescent="0.25">
      <c r="A1757" s="1">
        <v>43031</v>
      </c>
      <c r="B1757" s="2" t="s">
        <v>137</v>
      </c>
      <c r="C1757" s="2" t="s">
        <v>617</v>
      </c>
      <c r="D1757">
        <v>11</v>
      </c>
      <c r="E1757">
        <f>WEEKNUM(makulatura[[#This Row],[Data_dostarczenia]],13)</f>
        <v>43</v>
      </c>
      <c r="F1757" s="2">
        <f>WEEKDAY(makulatura[[#This Row],[Data_dostarczenia]],2)</f>
        <v>1</v>
      </c>
    </row>
    <row r="1758" spans="1:6" x14ac:dyDescent="0.25">
      <c r="A1758" s="1">
        <v>43031</v>
      </c>
      <c r="B1758" s="2" t="s">
        <v>41</v>
      </c>
      <c r="C1758" s="2" t="s">
        <v>42</v>
      </c>
      <c r="D1758">
        <v>27</v>
      </c>
      <c r="E1758">
        <f>WEEKNUM(makulatura[[#This Row],[Data_dostarczenia]],13)</f>
        <v>43</v>
      </c>
      <c r="F1758" s="2">
        <f>WEEKDAY(makulatura[[#This Row],[Data_dostarczenia]],2)</f>
        <v>1</v>
      </c>
    </row>
    <row r="1759" spans="1:6" x14ac:dyDescent="0.25">
      <c r="A1759" s="1">
        <v>43031</v>
      </c>
      <c r="B1759" s="2" t="s">
        <v>150</v>
      </c>
      <c r="C1759" s="2" t="s">
        <v>200</v>
      </c>
      <c r="D1759">
        <v>14</v>
      </c>
      <c r="E1759">
        <f>WEEKNUM(makulatura[[#This Row],[Data_dostarczenia]],13)</f>
        <v>43</v>
      </c>
      <c r="F1759" s="2">
        <f>WEEKDAY(makulatura[[#This Row],[Data_dostarczenia]],2)</f>
        <v>1</v>
      </c>
    </row>
    <row r="1760" spans="1:6" x14ac:dyDescent="0.25">
      <c r="A1760" s="1">
        <v>43031</v>
      </c>
      <c r="B1760" s="2" t="s">
        <v>449</v>
      </c>
      <c r="C1760" s="2" t="s">
        <v>382</v>
      </c>
      <c r="D1760">
        <v>37</v>
      </c>
      <c r="E1760">
        <f>WEEKNUM(makulatura[[#This Row],[Data_dostarczenia]],13)</f>
        <v>43</v>
      </c>
      <c r="F1760" s="2">
        <f>WEEKDAY(makulatura[[#This Row],[Data_dostarczenia]],2)</f>
        <v>1</v>
      </c>
    </row>
    <row r="1761" spans="1:6" x14ac:dyDescent="0.25">
      <c r="A1761" s="1">
        <v>43031</v>
      </c>
      <c r="B1761" s="2" t="s">
        <v>221</v>
      </c>
      <c r="C1761" s="2" t="s">
        <v>348</v>
      </c>
      <c r="D1761">
        <v>49</v>
      </c>
      <c r="E1761">
        <f>WEEKNUM(makulatura[[#This Row],[Data_dostarczenia]],13)</f>
        <v>43</v>
      </c>
      <c r="F1761" s="2">
        <f>WEEKDAY(makulatura[[#This Row],[Data_dostarczenia]],2)</f>
        <v>1</v>
      </c>
    </row>
    <row r="1762" spans="1:6" x14ac:dyDescent="0.25">
      <c r="A1762" s="1">
        <v>43031</v>
      </c>
      <c r="B1762" s="2" t="s">
        <v>126</v>
      </c>
      <c r="C1762" s="2" t="s">
        <v>127</v>
      </c>
      <c r="D1762">
        <v>12</v>
      </c>
      <c r="E1762">
        <f>WEEKNUM(makulatura[[#This Row],[Data_dostarczenia]],13)</f>
        <v>43</v>
      </c>
      <c r="F1762" s="2">
        <f>WEEKDAY(makulatura[[#This Row],[Data_dostarczenia]],2)</f>
        <v>1</v>
      </c>
    </row>
    <row r="1763" spans="1:6" x14ac:dyDescent="0.25">
      <c r="A1763" s="1">
        <v>43031</v>
      </c>
      <c r="B1763" s="2" t="s">
        <v>688</v>
      </c>
      <c r="C1763" s="2" t="s">
        <v>689</v>
      </c>
      <c r="D1763">
        <v>16</v>
      </c>
      <c r="E1763">
        <f>WEEKNUM(makulatura[[#This Row],[Data_dostarczenia]],13)</f>
        <v>43</v>
      </c>
      <c r="F1763" s="2">
        <f>WEEKDAY(makulatura[[#This Row],[Data_dostarczenia]],2)</f>
        <v>1</v>
      </c>
    </row>
    <row r="1764" spans="1:6" x14ac:dyDescent="0.25">
      <c r="A1764" s="1">
        <v>43031</v>
      </c>
      <c r="B1764" s="2" t="s">
        <v>34</v>
      </c>
      <c r="C1764" s="2" t="s">
        <v>557</v>
      </c>
      <c r="D1764">
        <v>20</v>
      </c>
      <c r="E1764">
        <f>WEEKNUM(makulatura[[#This Row],[Data_dostarczenia]],13)</f>
        <v>43</v>
      </c>
      <c r="F1764" s="2">
        <f>WEEKDAY(makulatura[[#This Row],[Data_dostarczenia]],2)</f>
        <v>1</v>
      </c>
    </row>
    <row r="1765" spans="1:6" x14ac:dyDescent="0.25">
      <c r="A1765" s="1">
        <v>43031</v>
      </c>
      <c r="B1765" s="2" t="s">
        <v>101</v>
      </c>
      <c r="C1765" s="2" t="s">
        <v>610</v>
      </c>
      <c r="D1765">
        <v>19</v>
      </c>
      <c r="E1765">
        <f>WEEKNUM(makulatura[[#This Row],[Data_dostarczenia]],13)</f>
        <v>43</v>
      </c>
      <c r="F1765" s="2">
        <f>WEEKDAY(makulatura[[#This Row],[Data_dostarczenia]],2)</f>
        <v>1</v>
      </c>
    </row>
    <row r="1766" spans="1:6" x14ac:dyDescent="0.25">
      <c r="A1766" s="1">
        <v>43031</v>
      </c>
      <c r="B1766" s="2" t="s">
        <v>341</v>
      </c>
      <c r="C1766" s="2" t="s">
        <v>342</v>
      </c>
      <c r="D1766">
        <v>17</v>
      </c>
      <c r="E1766">
        <f>WEEKNUM(makulatura[[#This Row],[Data_dostarczenia]],13)</f>
        <v>43</v>
      </c>
      <c r="F1766" s="2">
        <f>WEEKDAY(makulatura[[#This Row],[Data_dostarczenia]],2)</f>
        <v>1</v>
      </c>
    </row>
    <row r="1767" spans="1:6" x14ac:dyDescent="0.25">
      <c r="A1767" s="1">
        <v>43031</v>
      </c>
      <c r="B1767" s="2" t="s">
        <v>427</v>
      </c>
      <c r="C1767" s="2" t="s">
        <v>118</v>
      </c>
      <c r="D1767">
        <v>24</v>
      </c>
      <c r="E1767">
        <f>WEEKNUM(makulatura[[#This Row],[Data_dostarczenia]],13)</f>
        <v>43</v>
      </c>
      <c r="F1767" s="2">
        <f>WEEKDAY(makulatura[[#This Row],[Data_dostarczenia]],2)</f>
        <v>1</v>
      </c>
    </row>
    <row r="1768" spans="1:6" x14ac:dyDescent="0.25">
      <c r="A1768" s="1">
        <v>43031</v>
      </c>
      <c r="B1768" s="2" t="s">
        <v>67</v>
      </c>
      <c r="C1768" s="2" t="s">
        <v>68</v>
      </c>
      <c r="D1768">
        <v>28</v>
      </c>
      <c r="E1768">
        <f>WEEKNUM(makulatura[[#This Row],[Data_dostarczenia]],13)</f>
        <v>43</v>
      </c>
      <c r="F1768" s="2">
        <f>WEEKDAY(makulatura[[#This Row],[Data_dostarczenia]],2)</f>
        <v>1</v>
      </c>
    </row>
    <row r="1769" spans="1:6" x14ac:dyDescent="0.25">
      <c r="A1769" s="1">
        <v>43031</v>
      </c>
      <c r="B1769" s="2" t="s">
        <v>69</v>
      </c>
      <c r="C1769" s="2" t="s">
        <v>286</v>
      </c>
      <c r="D1769">
        <v>14</v>
      </c>
      <c r="E1769">
        <f>WEEKNUM(makulatura[[#This Row],[Data_dostarczenia]],13)</f>
        <v>43</v>
      </c>
      <c r="F1769" s="2">
        <f>WEEKDAY(makulatura[[#This Row],[Data_dostarczenia]],2)</f>
        <v>1</v>
      </c>
    </row>
    <row r="1770" spans="1:6" x14ac:dyDescent="0.25">
      <c r="A1770" s="1">
        <v>43031</v>
      </c>
      <c r="B1770" s="2" t="s">
        <v>178</v>
      </c>
      <c r="C1770" s="2" t="s">
        <v>335</v>
      </c>
      <c r="D1770">
        <v>47</v>
      </c>
      <c r="E1770">
        <f>WEEKNUM(makulatura[[#This Row],[Data_dostarczenia]],13)</f>
        <v>43</v>
      </c>
      <c r="F1770" s="2">
        <f>WEEKDAY(makulatura[[#This Row],[Data_dostarczenia]],2)</f>
        <v>1</v>
      </c>
    </row>
    <row r="1771" spans="1:6" x14ac:dyDescent="0.25">
      <c r="A1771" s="1">
        <v>43031</v>
      </c>
      <c r="B1771" s="2" t="s">
        <v>150</v>
      </c>
      <c r="C1771" s="2" t="s">
        <v>140</v>
      </c>
      <c r="D1771">
        <v>6</v>
      </c>
      <c r="E1771">
        <f>WEEKNUM(makulatura[[#This Row],[Data_dostarczenia]],13)</f>
        <v>43</v>
      </c>
      <c r="F1771" s="2">
        <f>WEEKDAY(makulatura[[#This Row],[Data_dostarczenia]],2)</f>
        <v>1</v>
      </c>
    </row>
    <row r="1772" spans="1:6" x14ac:dyDescent="0.25">
      <c r="A1772" s="1">
        <v>43032</v>
      </c>
      <c r="B1772" s="2" t="s">
        <v>536</v>
      </c>
      <c r="C1772" s="2" t="s">
        <v>537</v>
      </c>
      <c r="D1772">
        <v>20</v>
      </c>
      <c r="E1772">
        <f>WEEKNUM(makulatura[[#This Row],[Data_dostarczenia]],13)</f>
        <v>43</v>
      </c>
      <c r="F1772" s="2">
        <f>WEEKDAY(makulatura[[#This Row],[Data_dostarczenia]],2)</f>
        <v>2</v>
      </c>
    </row>
    <row r="1773" spans="1:6" x14ac:dyDescent="0.25">
      <c r="A1773" s="1">
        <v>43032</v>
      </c>
      <c r="B1773" s="2" t="s">
        <v>280</v>
      </c>
      <c r="C1773" s="2" t="s">
        <v>447</v>
      </c>
      <c r="D1773">
        <v>9</v>
      </c>
      <c r="E1773">
        <f>WEEKNUM(makulatura[[#This Row],[Data_dostarczenia]],13)</f>
        <v>43</v>
      </c>
      <c r="F1773" s="2">
        <f>WEEKDAY(makulatura[[#This Row],[Data_dostarczenia]],2)</f>
        <v>2</v>
      </c>
    </row>
    <row r="1774" spans="1:6" x14ac:dyDescent="0.25">
      <c r="A1774" s="1">
        <v>43032</v>
      </c>
      <c r="B1774" s="2" t="s">
        <v>87</v>
      </c>
      <c r="C1774" s="2" t="s">
        <v>251</v>
      </c>
      <c r="D1774">
        <v>43</v>
      </c>
      <c r="E1774">
        <f>WEEKNUM(makulatura[[#This Row],[Data_dostarczenia]],13)</f>
        <v>43</v>
      </c>
      <c r="F1774" s="2">
        <f>WEEKDAY(makulatura[[#This Row],[Data_dostarczenia]],2)</f>
        <v>2</v>
      </c>
    </row>
    <row r="1775" spans="1:6" x14ac:dyDescent="0.25">
      <c r="A1775" s="1">
        <v>43032</v>
      </c>
      <c r="B1775" s="2" t="s">
        <v>63</v>
      </c>
      <c r="C1775" s="2" t="s">
        <v>671</v>
      </c>
      <c r="D1775">
        <v>50</v>
      </c>
      <c r="E1775">
        <f>WEEKNUM(makulatura[[#This Row],[Data_dostarczenia]],13)</f>
        <v>43</v>
      </c>
      <c r="F1775" s="2">
        <f>WEEKDAY(makulatura[[#This Row],[Data_dostarczenia]],2)</f>
        <v>2</v>
      </c>
    </row>
    <row r="1776" spans="1:6" x14ac:dyDescent="0.25">
      <c r="A1776" s="1">
        <v>43032</v>
      </c>
      <c r="B1776" s="2" t="s">
        <v>83</v>
      </c>
      <c r="C1776" s="2" t="s">
        <v>513</v>
      </c>
      <c r="D1776">
        <v>13</v>
      </c>
      <c r="E1776">
        <f>WEEKNUM(makulatura[[#This Row],[Data_dostarczenia]],13)</f>
        <v>43</v>
      </c>
      <c r="F1776" s="2">
        <f>WEEKDAY(makulatura[[#This Row],[Data_dostarczenia]],2)</f>
        <v>2</v>
      </c>
    </row>
    <row r="1777" spans="1:6" x14ac:dyDescent="0.25">
      <c r="A1777" s="1">
        <v>43032</v>
      </c>
      <c r="B1777" s="2" t="s">
        <v>27</v>
      </c>
      <c r="C1777" s="2" t="s">
        <v>683</v>
      </c>
      <c r="D1777">
        <v>30</v>
      </c>
      <c r="E1777">
        <f>WEEKNUM(makulatura[[#This Row],[Data_dostarczenia]],13)</f>
        <v>43</v>
      </c>
      <c r="F1777" s="2">
        <f>WEEKDAY(makulatura[[#This Row],[Data_dostarczenia]],2)</f>
        <v>2</v>
      </c>
    </row>
    <row r="1778" spans="1:6" x14ac:dyDescent="0.25">
      <c r="A1778" s="1">
        <v>43032</v>
      </c>
      <c r="B1778" s="2" t="s">
        <v>290</v>
      </c>
      <c r="C1778" s="2" t="s">
        <v>291</v>
      </c>
      <c r="D1778">
        <v>7</v>
      </c>
      <c r="E1778">
        <f>WEEKNUM(makulatura[[#This Row],[Data_dostarczenia]],13)</f>
        <v>43</v>
      </c>
      <c r="F1778" s="2">
        <f>WEEKDAY(makulatura[[#This Row],[Data_dostarczenia]],2)</f>
        <v>2</v>
      </c>
    </row>
    <row r="1779" spans="1:6" x14ac:dyDescent="0.25">
      <c r="A1779" s="1">
        <v>43032</v>
      </c>
      <c r="B1779" s="2" t="s">
        <v>150</v>
      </c>
      <c r="C1779" s="2" t="s">
        <v>601</v>
      </c>
      <c r="D1779">
        <v>52</v>
      </c>
      <c r="E1779">
        <f>WEEKNUM(makulatura[[#This Row],[Data_dostarczenia]],13)</f>
        <v>43</v>
      </c>
      <c r="F1779" s="2">
        <f>WEEKDAY(makulatura[[#This Row],[Data_dostarczenia]],2)</f>
        <v>2</v>
      </c>
    </row>
    <row r="1780" spans="1:6" x14ac:dyDescent="0.25">
      <c r="A1780" s="1">
        <v>43032</v>
      </c>
      <c r="B1780" s="2" t="s">
        <v>83</v>
      </c>
      <c r="C1780" s="2" t="s">
        <v>455</v>
      </c>
      <c r="D1780">
        <v>7</v>
      </c>
      <c r="E1780">
        <f>WEEKNUM(makulatura[[#This Row],[Data_dostarczenia]],13)</f>
        <v>43</v>
      </c>
      <c r="F1780" s="2">
        <f>WEEKDAY(makulatura[[#This Row],[Data_dostarczenia]],2)</f>
        <v>2</v>
      </c>
    </row>
    <row r="1781" spans="1:6" x14ac:dyDescent="0.25">
      <c r="A1781" s="1">
        <v>43032</v>
      </c>
      <c r="B1781" s="2" t="s">
        <v>174</v>
      </c>
      <c r="C1781" s="2" t="s">
        <v>415</v>
      </c>
      <c r="D1781">
        <v>6</v>
      </c>
      <c r="E1781">
        <f>WEEKNUM(makulatura[[#This Row],[Data_dostarczenia]],13)</f>
        <v>43</v>
      </c>
      <c r="F1781" s="2">
        <f>WEEKDAY(makulatura[[#This Row],[Data_dostarczenia]],2)</f>
        <v>2</v>
      </c>
    </row>
    <row r="1782" spans="1:6" x14ac:dyDescent="0.25">
      <c r="A1782" s="1">
        <v>43032</v>
      </c>
      <c r="B1782" s="2" t="s">
        <v>30</v>
      </c>
      <c r="C1782" s="2" t="s">
        <v>680</v>
      </c>
      <c r="D1782">
        <v>4</v>
      </c>
      <c r="E1782">
        <f>WEEKNUM(makulatura[[#This Row],[Data_dostarczenia]],13)</f>
        <v>43</v>
      </c>
      <c r="F1782" s="2">
        <f>WEEKDAY(makulatura[[#This Row],[Data_dostarczenia]],2)</f>
        <v>2</v>
      </c>
    </row>
    <row r="1783" spans="1:6" x14ac:dyDescent="0.25">
      <c r="A1783" s="1">
        <v>43032</v>
      </c>
      <c r="B1783" s="2" t="s">
        <v>67</v>
      </c>
      <c r="C1783" s="2" t="s">
        <v>670</v>
      </c>
      <c r="D1783">
        <v>56</v>
      </c>
      <c r="E1783">
        <f>WEEKNUM(makulatura[[#This Row],[Data_dostarczenia]],13)</f>
        <v>43</v>
      </c>
      <c r="F1783" s="2">
        <f>WEEKDAY(makulatura[[#This Row],[Data_dostarczenia]],2)</f>
        <v>2</v>
      </c>
    </row>
    <row r="1784" spans="1:6" x14ac:dyDescent="0.25">
      <c r="A1784" s="1">
        <v>43032</v>
      </c>
      <c r="B1784" s="2" t="s">
        <v>106</v>
      </c>
      <c r="C1784" s="2" t="s">
        <v>277</v>
      </c>
      <c r="D1784">
        <v>54</v>
      </c>
      <c r="E1784">
        <f>WEEKNUM(makulatura[[#This Row],[Data_dostarczenia]],13)</f>
        <v>43</v>
      </c>
      <c r="F1784" s="2">
        <f>WEEKDAY(makulatura[[#This Row],[Data_dostarczenia]],2)</f>
        <v>2</v>
      </c>
    </row>
    <row r="1785" spans="1:6" x14ac:dyDescent="0.25">
      <c r="A1785" s="1">
        <v>43032</v>
      </c>
      <c r="B1785" s="2" t="s">
        <v>395</v>
      </c>
      <c r="C1785" s="2" t="s">
        <v>587</v>
      </c>
      <c r="D1785">
        <v>10</v>
      </c>
      <c r="E1785">
        <f>WEEKNUM(makulatura[[#This Row],[Data_dostarczenia]],13)</f>
        <v>43</v>
      </c>
      <c r="F1785" s="2">
        <f>WEEKDAY(makulatura[[#This Row],[Data_dostarczenia]],2)</f>
        <v>2</v>
      </c>
    </row>
    <row r="1786" spans="1:6" x14ac:dyDescent="0.25">
      <c r="A1786" s="1">
        <v>43032</v>
      </c>
      <c r="B1786" s="2" t="s">
        <v>87</v>
      </c>
      <c r="C1786" s="2" t="s">
        <v>88</v>
      </c>
      <c r="D1786">
        <v>4</v>
      </c>
      <c r="E1786">
        <f>WEEKNUM(makulatura[[#This Row],[Data_dostarczenia]],13)</f>
        <v>43</v>
      </c>
      <c r="F1786" s="2">
        <f>WEEKDAY(makulatura[[#This Row],[Data_dostarczenia]],2)</f>
        <v>2</v>
      </c>
    </row>
    <row r="1787" spans="1:6" x14ac:dyDescent="0.25">
      <c r="A1787" s="1">
        <v>43032</v>
      </c>
      <c r="B1787" s="2" t="s">
        <v>117</v>
      </c>
      <c r="C1787" s="2" t="s">
        <v>118</v>
      </c>
      <c r="D1787">
        <v>27</v>
      </c>
      <c r="E1787">
        <f>WEEKNUM(makulatura[[#This Row],[Data_dostarczenia]],13)</f>
        <v>43</v>
      </c>
      <c r="F1787" s="2">
        <f>WEEKDAY(makulatura[[#This Row],[Data_dostarczenia]],2)</f>
        <v>2</v>
      </c>
    </row>
    <row r="1788" spans="1:6" x14ac:dyDescent="0.25">
      <c r="A1788" s="1">
        <v>43032</v>
      </c>
      <c r="B1788" s="2" t="s">
        <v>150</v>
      </c>
      <c r="C1788" s="2" t="s">
        <v>298</v>
      </c>
      <c r="D1788">
        <v>10</v>
      </c>
      <c r="E1788">
        <f>WEEKNUM(makulatura[[#This Row],[Data_dostarczenia]],13)</f>
        <v>43</v>
      </c>
      <c r="F1788" s="2">
        <f>WEEKDAY(makulatura[[#This Row],[Data_dostarczenia]],2)</f>
        <v>2</v>
      </c>
    </row>
    <row r="1789" spans="1:6" x14ac:dyDescent="0.25">
      <c r="A1789" s="1">
        <v>43033</v>
      </c>
      <c r="B1789" s="2" t="s">
        <v>114</v>
      </c>
      <c r="C1789" s="2" t="s">
        <v>653</v>
      </c>
      <c r="D1789">
        <v>11</v>
      </c>
      <c r="E1789">
        <f>WEEKNUM(makulatura[[#This Row],[Data_dostarczenia]],13)</f>
        <v>44</v>
      </c>
      <c r="F1789" s="2">
        <f>WEEKDAY(makulatura[[#This Row],[Data_dostarczenia]],2)</f>
        <v>3</v>
      </c>
    </row>
    <row r="1790" spans="1:6" x14ac:dyDescent="0.25">
      <c r="A1790" s="1">
        <v>43033</v>
      </c>
      <c r="B1790" s="2" t="s">
        <v>18</v>
      </c>
      <c r="C1790" s="2" t="s">
        <v>354</v>
      </c>
      <c r="D1790">
        <v>46</v>
      </c>
      <c r="E1790">
        <f>WEEKNUM(makulatura[[#This Row],[Data_dostarczenia]],13)</f>
        <v>44</v>
      </c>
      <c r="F1790" s="2">
        <f>WEEKDAY(makulatura[[#This Row],[Data_dostarczenia]],2)</f>
        <v>3</v>
      </c>
    </row>
    <row r="1791" spans="1:6" x14ac:dyDescent="0.25">
      <c r="A1791" s="1">
        <v>43033</v>
      </c>
      <c r="B1791" s="2" t="s">
        <v>18</v>
      </c>
      <c r="C1791" s="2" t="s">
        <v>597</v>
      </c>
      <c r="D1791">
        <v>28</v>
      </c>
      <c r="E1791">
        <f>WEEKNUM(makulatura[[#This Row],[Data_dostarczenia]],13)</f>
        <v>44</v>
      </c>
      <c r="F1791" s="2">
        <f>WEEKDAY(makulatura[[#This Row],[Data_dostarczenia]],2)</f>
        <v>3</v>
      </c>
    </row>
    <row r="1792" spans="1:6" x14ac:dyDescent="0.25">
      <c r="A1792" s="1">
        <v>43033</v>
      </c>
      <c r="B1792" s="2" t="s">
        <v>53</v>
      </c>
      <c r="C1792" s="2" t="s">
        <v>191</v>
      </c>
      <c r="D1792">
        <v>21</v>
      </c>
      <c r="E1792">
        <f>WEEKNUM(makulatura[[#This Row],[Data_dostarczenia]],13)</f>
        <v>44</v>
      </c>
      <c r="F1792" s="2">
        <f>WEEKDAY(makulatura[[#This Row],[Data_dostarczenia]],2)</f>
        <v>3</v>
      </c>
    </row>
    <row r="1793" spans="1:6" x14ac:dyDescent="0.25">
      <c r="A1793" s="1">
        <v>43033</v>
      </c>
      <c r="B1793" s="2" t="s">
        <v>18</v>
      </c>
      <c r="C1793" s="2" t="s">
        <v>392</v>
      </c>
      <c r="D1793">
        <v>2</v>
      </c>
      <c r="E1793">
        <f>WEEKNUM(makulatura[[#This Row],[Data_dostarczenia]],13)</f>
        <v>44</v>
      </c>
      <c r="F1793" s="2">
        <f>WEEKDAY(makulatura[[#This Row],[Data_dostarczenia]],2)</f>
        <v>3</v>
      </c>
    </row>
    <row r="1794" spans="1:6" x14ac:dyDescent="0.25">
      <c r="A1794" s="1">
        <v>43033</v>
      </c>
      <c r="B1794" s="2" t="s">
        <v>603</v>
      </c>
      <c r="C1794" s="2" t="s">
        <v>439</v>
      </c>
      <c r="D1794">
        <v>15</v>
      </c>
      <c r="E1794">
        <f>WEEKNUM(makulatura[[#This Row],[Data_dostarczenia]],13)</f>
        <v>44</v>
      </c>
      <c r="F1794" s="2">
        <f>WEEKDAY(makulatura[[#This Row],[Data_dostarczenia]],2)</f>
        <v>3</v>
      </c>
    </row>
    <row r="1795" spans="1:6" x14ac:dyDescent="0.25">
      <c r="A1795" s="1">
        <v>43033</v>
      </c>
      <c r="B1795" s="2" t="s">
        <v>152</v>
      </c>
      <c r="C1795" s="2" t="s">
        <v>153</v>
      </c>
      <c r="D1795">
        <v>34</v>
      </c>
      <c r="E1795">
        <f>WEEKNUM(makulatura[[#This Row],[Data_dostarczenia]],13)</f>
        <v>44</v>
      </c>
      <c r="F1795" s="2">
        <f>WEEKDAY(makulatura[[#This Row],[Data_dostarczenia]],2)</f>
        <v>3</v>
      </c>
    </row>
    <row r="1796" spans="1:6" x14ac:dyDescent="0.25">
      <c r="A1796" s="1">
        <v>43033</v>
      </c>
      <c r="B1796" s="2" t="s">
        <v>55</v>
      </c>
      <c r="C1796" s="2" t="s">
        <v>625</v>
      </c>
      <c r="D1796">
        <v>52</v>
      </c>
      <c r="E1796">
        <f>WEEKNUM(makulatura[[#This Row],[Data_dostarczenia]],13)</f>
        <v>44</v>
      </c>
      <c r="F1796" s="2">
        <f>WEEKDAY(makulatura[[#This Row],[Data_dostarczenia]],2)</f>
        <v>3</v>
      </c>
    </row>
    <row r="1797" spans="1:6" x14ac:dyDescent="0.25">
      <c r="A1797" s="1">
        <v>43033</v>
      </c>
      <c r="B1797" s="2" t="s">
        <v>193</v>
      </c>
      <c r="C1797" s="2" t="s">
        <v>228</v>
      </c>
      <c r="D1797">
        <v>49</v>
      </c>
      <c r="E1797">
        <f>WEEKNUM(makulatura[[#This Row],[Data_dostarczenia]],13)</f>
        <v>44</v>
      </c>
      <c r="F1797" s="2">
        <f>WEEKDAY(makulatura[[#This Row],[Data_dostarczenia]],2)</f>
        <v>3</v>
      </c>
    </row>
    <row r="1798" spans="1:6" x14ac:dyDescent="0.25">
      <c r="A1798" s="1">
        <v>43033</v>
      </c>
      <c r="B1798" s="2" t="s">
        <v>393</v>
      </c>
      <c r="C1798" s="2" t="s">
        <v>398</v>
      </c>
      <c r="D1798">
        <v>4</v>
      </c>
      <c r="E1798">
        <f>WEEKNUM(makulatura[[#This Row],[Data_dostarczenia]],13)</f>
        <v>44</v>
      </c>
      <c r="F1798" s="2">
        <f>WEEKDAY(makulatura[[#This Row],[Data_dostarczenia]],2)</f>
        <v>3</v>
      </c>
    </row>
    <row r="1799" spans="1:6" x14ac:dyDescent="0.25">
      <c r="A1799" s="1">
        <v>43033</v>
      </c>
      <c r="B1799" s="2" t="s">
        <v>131</v>
      </c>
      <c r="C1799" s="2" t="s">
        <v>451</v>
      </c>
      <c r="D1799">
        <v>17</v>
      </c>
      <c r="E1799">
        <f>WEEKNUM(makulatura[[#This Row],[Data_dostarczenia]],13)</f>
        <v>44</v>
      </c>
      <c r="F1799" s="2">
        <f>WEEKDAY(makulatura[[#This Row],[Data_dostarczenia]],2)</f>
        <v>3</v>
      </c>
    </row>
    <row r="1800" spans="1:6" x14ac:dyDescent="0.25">
      <c r="A1800" s="1">
        <v>43033</v>
      </c>
      <c r="B1800" s="2" t="s">
        <v>574</v>
      </c>
      <c r="C1800" s="2" t="s">
        <v>607</v>
      </c>
      <c r="D1800">
        <v>8</v>
      </c>
      <c r="E1800">
        <f>WEEKNUM(makulatura[[#This Row],[Data_dostarczenia]],13)</f>
        <v>44</v>
      </c>
      <c r="F1800" s="2">
        <f>WEEKDAY(makulatura[[#This Row],[Data_dostarczenia]],2)</f>
        <v>3</v>
      </c>
    </row>
    <row r="1801" spans="1:6" x14ac:dyDescent="0.25">
      <c r="A1801" s="1">
        <v>43033</v>
      </c>
      <c r="B1801" s="2" t="s">
        <v>8</v>
      </c>
      <c r="C1801" s="2" t="s">
        <v>322</v>
      </c>
      <c r="D1801">
        <v>39</v>
      </c>
      <c r="E1801">
        <f>WEEKNUM(makulatura[[#This Row],[Data_dostarczenia]],13)</f>
        <v>44</v>
      </c>
      <c r="F1801" s="2">
        <f>WEEKDAY(makulatura[[#This Row],[Data_dostarczenia]],2)</f>
        <v>3</v>
      </c>
    </row>
    <row r="1802" spans="1:6" x14ac:dyDescent="0.25">
      <c r="A1802" s="1">
        <v>43033</v>
      </c>
      <c r="B1802" s="2" t="s">
        <v>201</v>
      </c>
      <c r="C1802" s="2" t="s">
        <v>433</v>
      </c>
      <c r="D1802">
        <v>32</v>
      </c>
      <c r="E1802">
        <f>WEEKNUM(makulatura[[#This Row],[Data_dostarczenia]],13)</f>
        <v>44</v>
      </c>
      <c r="F1802" s="2">
        <f>WEEKDAY(makulatura[[#This Row],[Data_dostarczenia]],2)</f>
        <v>3</v>
      </c>
    </row>
    <row r="1803" spans="1:6" x14ac:dyDescent="0.25">
      <c r="A1803" s="1">
        <v>43033</v>
      </c>
      <c r="B1803" s="2" t="s">
        <v>57</v>
      </c>
      <c r="C1803" s="2" t="s">
        <v>429</v>
      </c>
      <c r="D1803">
        <v>12</v>
      </c>
      <c r="E1803">
        <f>WEEKNUM(makulatura[[#This Row],[Data_dostarczenia]],13)</f>
        <v>44</v>
      </c>
      <c r="F1803" s="2">
        <f>WEEKDAY(makulatura[[#This Row],[Data_dostarczenia]],2)</f>
        <v>3</v>
      </c>
    </row>
    <row r="1804" spans="1:6" x14ac:dyDescent="0.25">
      <c r="A1804" s="1">
        <v>43033</v>
      </c>
      <c r="B1804" s="2" t="s">
        <v>41</v>
      </c>
      <c r="C1804" s="2" t="s">
        <v>690</v>
      </c>
      <c r="D1804">
        <v>10</v>
      </c>
      <c r="E1804">
        <f>WEEKNUM(makulatura[[#This Row],[Data_dostarczenia]],13)</f>
        <v>44</v>
      </c>
      <c r="F1804" s="2">
        <f>WEEKDAY(makulatura[[#This Row],[Data_dostarczenia]],2)</f>
        <v>3</v>
      </c>
    </row>
    <row r="1805" spans="1:6" x14ac:dyDescent="0.25">
      <c r="A1805" s="1">
        <v>43034</v>
      </c>
      <c r="B1805" s="2" t="s">
        <v>178</v>
      </c>
      <c r="C1805" s="2" t="s">
        <v>179</v>
      </c>
      <c r="D1805">
        <v>9</v>
      </c>
      <c r="E1805">
        <f>WEEKNUM(makulatura[[#This Row],[Data_dostarczenia]],13)</f>
        <v>44</v>
      </c>
      <c r="F1805" s="2">
        <f>WEEKDAY(makulatura[[#This Row],[Data_dostarczenia]],2)</f>
        <v>4</v>
      </c>
    </row>
    <row r="1806" spans="1:6" x14ac:dyDescent="0.25">
      <c r="A1806" s="1">
        <v>43034</v>
      </c>
      <c r="B1806" s="2" t="s">
        <v>87</v>
      </c>
      <c r="C1806" s="2" t="s">
        <v>397</v>
      </c>
      <c r="D1806">
        <v>26</v>
      </c>
      <c r="E1806">
        <f>WEEKNUM(makulatura[[#This Row],[Data_dostarczenia]],13)</f>
        <v>44</v>
      </c>
      <c r="F1806" s="2">
        <f>WEEKDAY(makulatura[[#This Row],[Data_dostarczenia]],2)</f>
        <v>4</v>
      </c>
    </row>
    <row r="1807" spans="1:6" x14ac:dyDescent="0.25">
      <c r="A1807" s="1">
        <v>43034</v>
      </c>
      <c r="B1807" s="2" t="s">
        <v>55</v>
      </c>
      <c r="C1807" s="2" t="s">
        <v>691</v>
      </c>
      <c r="D1807">
        <v>25</v>
      </c>
      <c r="E1807">
        <f>WEEKNUM(makulatura[[#This Row],[Data_dostarczenia]],13)</f>
        <v>44</v>
      </c>
      <c r="F1807" s="2">
        <f>WEEKDAY(makulatura[[#This Row],[Data_dostarczenia]],2)</f>
        <v>4</v>
      </c>
    </row>
    <row r="1808" spans="1:6" x14ac:dyDescent="0.25">
      <c r="A1808" s="1">
        <v>43034</v>
      </c>
      <c r="B1808" s="2" t="s">
        <v>141</v>
      </c>
      <c r="C1808" s="2" t="s">
        <v>142</v>
      </c>
      <c r="D1808">
        <v>2</v>
      </c>
      <c r="E1808">
        <f>WEEKNUM(makulatura[[#This Row],[Data_dostarczenia]],13)</f>
        <v>44</v>
      </c>
      <c r="F1808" s="2">
        <f>WEEKDAY(makulatura[[#This Row],[Data_dostarczenia]],2)</f>
        <v>4</v>
      </c>
    </row>
    <row r="1809" spans="1:6" x14ac:dyDescent="0.25">
      <c r="A1809" s="1">
        <v>43034</v>
      </c>
      <c r="B1809" s="2" t="s">
        <v>101</v>
      </c>
      <c r="C1809" s="2" t="s">
        <v>293</v>
      </c>
      <c r="D1809">
        <v>23</v>
      </c>
      <c r="E1809">
        <f>WEEKNUM(makulatura[[#This Row],[Data_dostarczenia]],13)</f>
        <v>44</v>
      </c>
      <c r="F1809" s="2">
        <f>WEEKDAY(makulatura[[#This Row],[Data_dostarczenia]],2)</f>
        <v>4</v>
      </c>
    </row>
    <row r="1810" spans="1:6" x14ac:dyDescent="0.25">
      <c r="A1810" s="1">
        <v>43034</v>
      </c>
      <c r="B1810" s="2" t="s">
        <v>16</v>
      </c>
      <c r="C1810" s="2" t="s">
        <v>440</v>
      </c>
      <c r="D1810">
        <v>27</v>
      </c>
      <c r="E1810">
        <f>WEEKNUM(makulatura[[#This Row],[Data_dostarczenia]],13)</f>
        <v>44</v>
      </c>
      <c r="F1810" s="2">
        <f>WEEKDAY(makulatura[[#This Row],[Data_dostarczenia]],2)</f>
        <v>4</v>
      </c>
    </row>
    <row r="1811" spans="1:6" x14ac:dyDescent="0.25">
      <c r="A1811" s="1">
        <v>43035</v>
      </c>
      <c r="B1811" s="2" t="s">
        <v>236</v>
      </c>
      <c r="C1811" s="2" t="s">
        <v>237</v>
      </c>
      <c r="D1811">
        <v>12</v>
      </c>
      <c r="E1811">
        <f>WEEKNUM(makulatura[[#This Row],[Data_dostarczenia]],13)</f>
        <v>44</v>
      </c>
      <c r="F1811" s="2">
        <f>WEEKDAY(makulatura[[#This Row],[Data_dostarczenia]],2)</f>
        <v>5</v>
      </c>
    </row>
    <row r="1812" spans="1:6" x14ac:dyDescent="0.25">
      <c r="A1812" s="1">
        <v>43035</v>
      </c>
      <c r="B1812" s="2" t="s">
        <v>81</v>
      </c>
      <c r="C1812" s="2" t="s">
        <v>145</v>
      </c>
      <c r="D1812">
        <v>22</v>
      </c>
      <c r="E1812">
        <f>WEEKNUM(makulatura[[#This Row],[Data_dostarczenia]],13)</f>
        <v>44</v>
      </c>
      <c r="F1812" s="2">
        <f>WEEKDAY(makulatura[[#This Row],[Data_dostarczenia]],2)</f>
        <v>5</v>
      </c>
    </row>
    <row r="1813" spans="1:6" x14ac:dyDescent="0.25">
      <c r="A1813" s="1">
        <v>43035</v>
      </c>
      <c r="B1813" s="2" t="s">
        <v>53</v>
      </c>
      <c r="C1813" s="2" t="s">
        <v>191</v>
      </c>
      <c r="D1813">
        <v>22</v>
      </c>
      <c r="E1813">
        <f>WEEKNUM(makulatura[[#This Row],[Data_dostarczenia]],13)</f>
        <v>44</v>
      </c>
      <c r="F1813" s="2">
        <f>WEEKDAY(makulatura[[#This Row],[Data_dostarczenia]],2)</f>
        <v>5</v>
      </c>
    </row>
    <row r="1814" spans="1:6" x14ac:dyDescent="0.25">
      <c r="A1814" s="1">
        <v>43035</v>
      </c>
      <c r="B1814" s="2" t="s">
        <v>30</v>
      </c>
      <c r="C1814" s="2" t="s">
        <v>377</v>
      </c>
      <c r="D1814">
        <v>13</v>
      </c>
      <c r="E1814">
        <f>WEEKNUM(makulatura[[#This Row],[Data_dostarczenia]],13)</f>
        <v>44</v>
      </c>
      <c r="F1814" s="2">
        <f>WEEKDAY(makulatura[[#This Row],[Data_dostarczenia]],2)</f>
        <v>5</v>
      </c>
    </row>
    <row r="1815" spans="1:6" x14ac:dyDescent="0.25">
      <c r="A1815" s="1">
        <v>43035</v>
      </c>
      <c r="B1815" s="2" t="s">
        <v>416</v>
      </c>
      <c r="C1815" s="2" t="s">
        <v>417</v>
      </c>
      <c r="D1815">
        <v>8</v>
      </c>
      <c r="E1815">
        <f>WEEKNUM(makulatura[[#This Row],[Data_dostarczenia]],13)</f>
        <v>44</v>
      </c>
      <c r="F1815" s="2">
        <f>WEEKDAY(makulatura[[#This Row],[Data_dostarczenia]],2)</f>
        <v>5</v>
      </c>
    </row>
    <row r="1816" spans="1:6" x14ac:dyDescent="0.25">
      <c r="A1816" s="1">
        <v>43035</v>
      </c>
      <c r="B1816" s="2" t="s">
        <v>87</v>
      </c>
      <c r="C1816" s="2" t="s">
        <v>692</v>
      </c>
      <c r="D1816">
        <v>29</v>
      </c>
      <c r="E1816">
        <f>WEEKNUM(makulatura[[#This Row],[Data_dostarczenia]],13)</f>
        <v>44</v>
      </c>
      <c r="F1816" s="2">
        <f>WEEKDAY(makulatura[[#This Row],[Data_dostarczenia]],2)</f>
        <v>5</v>
      </c>
    </row>
    <row r="1817" spans="1:6" x14ac:dyDescent="0.25">
      <c r="A1817" s="1">
        <v>43038</v>
      </c>
      <c r="B1817" s="2" t="s">
        <v>393</v>
      </c>
      <c r="C1817" s="2" t="s">
        <v>86</v>
      </c>
      <c r="D1817">
        <v>22</v>
      </c>
      <c r="E1817">
        <f>WEEKNUM(makulatura[[#This Row],[Data_dostarczenia]],13)</f>
        <v>44</v>
      </c>
      <c r="F1817" s="2">
        <f>WEEKDAY(makulatura[[#This Row],[Data_dostarczenia]],2)</f>
        <v>1</v>
      </c>
    </row>
    <row r="1818" spans="1:6" x14ac:dyDescent="0.25">
      <c r="A1818" s="1">
        <v>43038</v>
      </c>
      <c r="B1818" s="2" t="s">
        <v>51</v>
      </c>
      <c r="C1818" s="2" t="s">
        <v>522</v>
      </c>
      <c r="D1818">
        <v>16</v>
      </c>
      <c r="E1818">
        <f>WEEKNUM(makulatura[[#This Row],[Data_dostarczenia]],13)</f>
        <v>44</v>
      </c>
      <c r="F1818" s="2">
        <f>WEEKDAY(makulatura[[#This Row],[Data_dostarczenia]],2)</f>
        <v>1</v>
      </c>
    </row>
    <row r="1819" spans="1:6" x14ac:dyDescent="0.25">
      <c r="A1819" s="1">
        <v>43038</v>
      </c>
      <c r="B1819" s="2" t="s">
        <v>119</v>
      </c>
      <c r="C1819" s="2" t="s">
        <v>216</v>
      </c>
      <c r="D1819">
        <v>56</v>
      </c>
      <c r="E1819">
        <f>WEEKNUM(makulatura[[#This Row],[Data_dostarczenia]],13)</f>
        <v>44</v>
      </c>
      <c r="F1819" s="2">
        <f>WEEKDAY(makulatura[[#This Row],[Data_dostarczenia]],2)</f>
        <v>1</v>
      </c>
    </row>
    <row r="1820" spans="1:6" x14ac:dyDescent="0.25">
      <c r="A1820" s="1">
        <v>43038</v>
      </c>
      <c r="B1820" s="2" t="s">
        <v>143</v>
      </c>
      <c r="C1820" s="2" t="s">
        <v>47</v>
      </c>
      <c r="D1820">
        <v>3</v>
      </c>
      <c r="E1820">
        <f>WEEKNUM(makulatura[[#This Row],[Data_dostarczenia]],13)</f>
        <v>44</v>
      </c>
      <c r="F1820" s="2">
        <f>WEEKDAY(makulatura[[#This Row],[Data_dostarczenia]],2)</f>
        <v>1</v>
      </c>
    </row>
    <row r="1821" spans="1:6" x14ac:dyDescent="0.25">
      <c r="A1821" s="1">
        <v>43038</v>
      </c>
      <c r="B1821" s="2" t="s">
        <v>176</v>
      </c>
      <c r="C1821" s="2" t="s">
        <v>693</v>
      </c>
      <c r="D1821">
        <v>46</v>
      </c>
      <c r="E1821">
        <f>WEEKNUM(makulatura[[#This Row],[Data_dostarczenia]],13)</f>
        <v>44</v>
      </c>
      <c r="F1821" s="2">
        <f>WEEKDAY(makulatura[[#This Row],[Data_dostarczenia]],2)</f>
        <v>1</v>
      </c>
    </row>
    <row r="1822" spans="1:6" x14ac:dyDescent="0.25">
      <c r="A1822" s="1">
        <v>43038</v>
      </c>
      <c r="B1822" s="2" t="s">
        <v>352</v>
      </c>
      <c r="C1822" s="2" t="s">
        <v>363</v>
      </c>
      <c r="D1822">
        <v>28</v>
      </c>
      <c r="E1822">
        <f>WEEKNUM(makulatura[[#This Row],[Data_dostarczenia]],13)</f>
        <v>44</v>
      </c>
      <c r="F1822" s="2">
        <f>WEEKDAY(makulatura[[#This Row],[Data_dostarczenia]],2)</f>
        <v>1</v>
      </c>
    </row>
    <row r="1823" spans="1:6" x14ac:dyDescent="0.25">
      <c r="A1823" s="1">
        <v>43039</v>
      </c>
      <c r="B1823" s="2" t="s">
        <v>18</v>
      </c>
      <c r="C1823" s="2" t="s">
        <v>597</v>
      </c>
      <c r="D1823">
        <v>42</v>
      </c>
      <c r="E1823">
        <f>WEEKNUM(makulatura[[#This Row],[Data_dostarczenia]],13)</f>
        <v>44</v>
      </c>
      <c r="F1823" s="2">
        <f>WEEKDAY(makulatura[[#This Row],[Data_dostarczenia]],2)</f>
        <v>2</v>
      </c>
    </row>
    <row r="1824" spans="1:6" x14ac:dyDescent="0.25">
      <c r="A1824" s="1">
        <v>43039</v>
      </c>
      <c r="B1824" s="2" t="s">
        <v>87</v>
      </c>
      <c r="C1824" s="2" t="s">
        <v>397</v>
      </c>
      <c r="D1824">
        <v>7</v>
      </c>
      <c r="E1824">
        <f>WEEKNUM(makulatura[[#This Row],[Data_dostarczenia]],13)</f>
        <v>44</v>
      </c>
      <c r="F1824" s="2">
        <f>WEEKDAY(makulatura[[#This Row],[Data_dostarczenia]],2)</f>
        <v>2</v>
      </c>
    </row>
    <row r="1825" spans="1:6" x14ac:dyDescent="0.25">
      <c r="A1825" s="1">
        <v>43039</v>
      </c>
      <c r="B1825" s="2" t="s">
        <v>133</v>
      </c>
      <c r="C1825" s="2" t="s">
        <v>134</v>
      </c>
      <c r="D1825">
        <v>18</v>
      </c>
      <c r="E1825">
        <f>WEEKNUM(makulatura[[#This Row],[Data_dostarczenia]],13)</f>
        <v>44</v>
      </c>
      <c r="F1825" s="2">
        <f>WEEKDAY(makulatura[[#This Row],[Data_dostarczenia]],2)</f>
        <v>2</v>
      </c>
    </row>
    <row r="1826" spans="1:6" x14ac:dyDescent="0.25">
      <c r="A1826" s="1">
        <v>43039</v>
      </c>
      <c r="B1826" s="2" t="s">
        <v>150</v>
      </c>
      <c r="C1826" s="2" t="s">
        <v>313</v>
      </c>
      <c r="D1826">
        <v>16</v>
      </c>
      <c r="E1826">
        <f>WEEKNUM(makulatura[[#This Row],[Data_dostarczenia]],13)</f>
        <v>44</v>
      </c>
      <c r="F1826" s="2">
        <f>WEEKDAY(makulatura[[#This Row],[Data_dostarczenia]],2)</f>
        <v>2</v>
      </c>
    </row>
    <row r="1827" spans="1:6" x14ac:dyDescent="0.25">
      <c r="A1827" s="1">
        <v>43039</v>
      </c>
      <c r="B1827" s="2" t="s">
        <v>201</v>
      </c>
      <c r="C1827" s="2" t="s">
        <v>357</v>
      </c>
      <c r="D1827">
        <v>12</v>
      </c>
      <c r="E1827">
        <f>WEEKNUM(makulatura[[#This Row],[Data_dostarczenia]],13)</f>
        <v>44</v>
      </c>
      <c r="F1827" s="2">
        <f>WEEKDAY(makulatura[[#This Row],[Data_dostarczenia]],2)</f>
        <v>2</v>
      </c>
    </row>
    <row r="1828" spans="1:6" x14ac:dyDescent="0.25">
      <c r="A1828" s="1">
        <v>43039</v>
      </c>
      <c r="B1828" s="2" t="s">
        <v>147</v>
      </c>
      <c r="C1828" s="2" t="s">
        <v>644</v>
      </c>
      <c r="D1828">
        <v>4</v>
      </c>
      <c r="E1828">
        <f>WEEKNUM(makulatura[[#This Row],[Data_dostarczenia]],13)</f>
        <v>44</v>
      </c>
      <c r="F1828" s="2">
        <f>WEEKDAY(makulatura[[#This Row],[Data_dostarczenia]],2)</f>
        <v>2</v>
      </c>
    </row>
    <row r="1829" spans="1:6" x14ac:dyDescent="0.25">
      <c r="A1829" s="1">
        <v>43039</v>
      </c>
      <c r="B1829" s="2" t="s">
        <v>681</v>
      </c>
      <c r="C1829" s="2" t="s">
        <v>682</v>
      </c>
      <c r="D1829">
        <v>36</v>
      </c>
      <c r="E1829">
        <f>WEEKNUM(makulatura[[#This Row],[Data_dostarczenia]],13)</f>
        <v>44</v>
      </c>
      <c r="F1829" s="2">
        <f>WEEKDAY(makulatura[[#This Row],[Data_dostarczenia]],2)</f>
        <v>2</v>
      </c>
    </row>
    <row r="1830" spans="1:6" x14ac:dyDescent="0.25">
      <c r="A1830" s="1">
        <v>43039</v>
      </c>
      <c r="B1830" s="2" t="s">
        <v>201</v>
      </c>
      <c r="C1830" s="2" t="s">
        <v>433</v>
      </c>
      <c r="D1830">
        <v>22</v>
      </c>
      <c r="E1830">
        <f>WEEKNUM(makulatura[[#This Row],[Data_dostarczenia]],13)</f>
        <v>44</v>
      </c>
      <c r="F1830" s="2">
        <f>WEEKDAY(makulatura[[#This Row],[Data_dostarczenia]],2)</f>
        <v>2</v>
      </c>
    </row>
    <row r="1831" spans="1:6" x14ac:dyDescent="0.25">
      <c r="A1831" s="1">
        <v>43039</v>
      </c>
      <c r="B1831" s="2" t="s">
        <v>278</v>
      </c>
      <c r="C1831" s="2" t="s">
        <v>530</v>
      </c>
      <c r="D1831">
        <v>22</v>
      </c>
      <c r="E1831">
        <f>WEEKNUM(makulatura[[#This Row],[Data_dostarczenia]],13)</f>
        <v>44</v>
      </c>
      <c r="F1831" s="2">
        <f>WEEKDAY(makulatura[[#This Row],[Data_dostarczenia]],2)</f>
        <v>2</v>
      </c>
    </row>
    <row r="1832" spans="1:6" x14ac:dyDescent="0.25">
      <c r="A1832" s="1">
        <v>43039</v>
      </c>
      <c r="B1832" s="2" t="s">
        <v>144</v>
      </c>
      <c r="C1832" s="2" t="s">
        <v>390</v>
      </c>
      <c r="D1832">
        <v>10</v>
      </c>
      <c r="E1832">
        <f>WEEKNUM(makulatura[[#This Row],[Data_dostarczenia]],13)</f>
        <v>44</v>
      </c>
      <c r="F1832" s="2">
        <f>WEEKDAY(makulatura[[#This Row],[Data_dostarczenia]],2)</f>
        <v>2</v>
      </c>
    </row>
    <row r="1833" spans="1:6" x14ac:dyDescent="0.25">
      <c r="A1833" s="1">
        <v>43039</v>
      </c>
      <c r="B1833" s="2" t="s">
        <v>25</v>
      </c>
      <c r="C1833" s="2" t="s">
        <v>26</v>
      </c>
      <c r="D1833">
        <v>3</v>
      </c>
      <c r="E1833">
        <f>WEEKNUM(makulatura[[#This Row],[Data_dostarczenia]],13)</f>
        <v>44</v>
      </c>
      <c r="F1833" s="2">
        <f>WEEKDAY(makulatura[[#This Row],[Data_dostarczenia]],2)</f>
        <v>2</v>
      </c>
    </row>
    <row r="1834" spans="1:6" x14ac:dyDescent="0.25">
      <c r="A1834" s="1">
        <v>43039</v>
      </c>
      <c r="B1834" s="2" t="s">
        <v>36</v>
      </c>
      <c r="C1834" s="2" t="s">
        <v>404</v>
      </c>
      <c r="D1834">
        <v>8</v>
      </c>
      <c r="E1834">
        <f>WEEKNUM(makulatura[[#This Row],[Data_dostarczenia]],13)</f>
        <v>44</v>
      </c>
      <c r="F1834" s="2">
        <f>WEEKDAY(makulatura[[#This Row],[Data_dostarczenia]],2)</f>
        <v>2</v>
      </c>
    </row>
    <row r="1835" spans="1:6" x14ac:dyDescent="0.25">
      <c r="A1835" s="1">
        <v>43039</v>
      </c>
      <c r="B1835" s="2" t="s">
        <v>514</v>
      </c>
      <c r="C1835" s="2" t="s">
        <v>515</v>
      </c>
      <c r="D1835">
        <v>7</v>
      </c>
      <c r="E1835">
        <f>WEEKNUM(makulatura[[#This Row],[Data_dostarczenia]],13)</f>
        <v>44</v>
      </c>
      <c r="F1835" s="2">
        <f>WEEKDAY(makulatura[[#This Row],[Data_dostarczenia]],2)</f>
        <v>2</v>
      </c>
    </row>
    <row r="1836" spans="1:6" x14ac:dyDescent="0.25">
      <c r="A1836" s="1">
        <v>43039</v>
      </c>
      <c r="B1836" s="2" t="s">
        <v>87</v>
      </c>
      <c r="C1836" s="2" t="s">
        <v>88</v>
      </c>
      <c r="D1836">
        <v>29</v>
      </c>
      <c r="E1836">
        <f>WEEKNUM(makulatura[[#This Row],[Data_dostarczenia]],13)</f>
        <v>44</v>
      </c>
      <c r="F1836" s="2">
        <f>WEEKDAY(makulatura[[#This Row],[Data_dostarczenia]],2)</f>
        <v>2</v>
      </c>
    </row>
    <row r="1837" spans="1:6" x14ac:dyDescent="0.25">
      <c r="A1837" s="1">
        <v>43039</v>
      </c>
      <c r="B1837" s="2" t="s">
        <v>47</v>
      </c>
      <c r="C1837" s="2" t="s">
        <v>336</v>
      </c>
      <c r="D1837">
        <v>7</v>
      </c>
      <c r="E1837">
        <f>WEEKNUM(makulatura[[#This Row],[Data_dostarczenia]],13)</f>
        <v>44</v>
      </c>
      <c r="F1837" s="2">
        <f>WEEKDAY(makulatura[[#This Row],[Data_dostarczenia]],2)</f>
        <v>2</v>
      </c>
    </row>
    <row r="1838" spans="1:6" x14ac:dyDescent="0.25">
      <c r="A1838" s="1">
        <v>43039</v>
      </c>
      <c r="B1838" s="2" t="s">
        <v>23</v>
      </c>
      <c r="C1838" s="2" t="s">
        <v>163</v>
      </c>
      <c r="D1838">
        <v>20</v>
      </c>
      <c r="E1838">
        <f>WEEKNUM(makulatura[[#This Row],[Data_dostarczenia]],13)</f>
        <v>44</v>
      </c>
      <c r="F1838" s="2">
        <f>WEEKDAY(makulatura[[#This Row],[Data_dostarczenia]],2)</f>
        <v>2</v>
      </c>
    </row>
    <row r="1839" spans="1:6" x14ac:dyDescent="0.25">
      <c r="A1839" s="1">
        <v>43039</v>
      </c>
      <c r="B1839" s="2" t="s">
        <v>81</v>
      </c>
      <c r="C1839" s="2" t="s">
        <v>145</v>
      </c>
      <c r="D1839">
        <v>13</v>
      </c>
      <c r="E1839">
        <f>WEEKNUM(makulatura[[#This Row],[Data_dostarczenia]],13)</f>
        <v>44</v>
      </c>
      <c r="F1839" s="2">
        <f>WEEKDAY(makulatura[[#This Row],[Data_dostarczenia]],2)</f>
        <v>2</v>
      </c>
    </row>
    <row r="1840" spans="1:6" x14ac:dyDescent="0.25">
      <c r="A1840" s="1">
        <v>43040</v>
      </c>
      <c r="B1840" s="2" t="s">
        <v>69</v>
      </c>
      <c r="C1840" s="2" t="s">
        <v>70</v>
      </c>
      <c r="D1840">
        <v>12</v>
      </c>
      <c r="E1840">
        <f>WEEKNUM(makulatura[[#This Row],[Data_dostarczenia]],13)</f>
        <v>45</v>
      </c>
      <c r="F1840" s="2">
        <f>WEEKDAY(makulatura[[#This Row],[Data_dostarczenia]],2)</f>
        <v>3</v>
      </c>
    </row>
    <row r="1841" spans="1:6" x14ac:dyDescent="0.25">
      <c r="A1841" s="1">
        <v>43040</v>
      </c>
      <c r="B1841" s="2" t="s">
        <v>81</v>
      </c>
      <c r="C1841" s="2" t="s">
        <v>496</v>
      </c>
      <c r="D1841">
        <v>16</v>
      </c>
      <c r="E1841">
        <f>WEEKNUM(makulatura[[#This Row],[Data_dostarczenia]],13)</f>
        <v>45</v>
      </c>
      <c r="F1841" s="2">
        <f>WEEKDAY(makulatura[[#This Row],[Data_dostarczenia]],2)</f>
        <v>3</v>
      </c>
    </row>
    <row r="1842" spans="1:6" x14ac:dyDescent="0.25">
      <c r="A1842" s="1">
        <v>43040</v>
      </c>
      <c r="B1842" s="2" t="s">
        <v>77</v>
      </c>
      <c r="C1842" s="2" t="s">
        <v>384</v>
      </c>
      <c r="D1842">
        <v>11</v>
      </c>
      <c r="E1842">
        <f>WEEKNUM(makulatura[[#This Row],[Data_dostarczenia]],13)</f>
        <v>45</v>
      </c>
      <c r="F1842" s="2">
        <f>WEEKDAY(makulatura[[#This Row],[Data_dostarczenia]],2)</f>
        <v>3</v>
      </c>
    </row>
    <row r="1843" spans="1:6" x14ac:dyDescent="0.25">
      <c r="A1843" s="1">
        <v>43040</v>
      </c>
      <c r="B1843" s="2" t="s">
        <v>51</v>
      </c>
      <c r="C1843" s="2" t="s">
        <v>52</v>
      </c>
      <c r="D1843">
        <v>40</v>
      </c>
      <c r="E1843">
        <f>WEEKNUM(makulatura[[#This Row],[Data_dostarczenia]],13)</f>
        <v>45</v>
      </c>
      <c r="F1843" s="2">
        <f>WEEKDAY(makulatura[[#This Row],[Data_dostarczenia]],2)</f>
        <v>3</v>
      </c>
    </row>
    <row r="1844" spans="1:6" x14ac:dyDescent="0.25">
      <c r="A1844" s="1">
        <v>43040</v>
      </c>
      <c r="B1844" s="2" t="s">
        <v>39</v>
      </c>
      <c r="C1844" s="2" t="s">
        <v>400</v>
      </c>
      <c r="D1844">
        <v>34</v>
      </c>
      <c r="E1844">
        <f>WEEKNUM(makulatura[[#This Row],[Data_dostarczenia]],13)</f>
        <v>45</v>
      </c>
      <c r="F1844" s="2">
        <f>WEEKDAY(makulatura[[#This Row],[Data_dostarczenia]],2)</f>
        <v>3</v>
      </c>
    </row>
    <row r="1845" spans="1:6" x14ac:dyDescent="0.25">
      <c r="A1845" s="1">
        <v>43040</v>
      </c>
      <c r="B1845" s="2" t="s">
        <v>53</v>
      </c>
      <c r="C1845" s="2" t="s">
        <v>227</v>
      </c>
      <c r="D1845">
        <v>36</v>
      </c>
      <c r="E1845">
        <f>WEEKNUM(makulatura[[#This Row],[Data_dostarczenia]],13)</f>
        <v>45</v>
      </c>
      <c r="F1845" s="2">
        <f>WEEKDAY(makulatura[[#This Row],[Data_dostarczenia]],2)</f>
        <v>3</v>
      </c>
    </row>
    <row r="1846" spans="1:6" x14ac:dyDescent="0.25">
      <c r="A1846" s="1">
        <v>43040</v>
      </c>
      <c r="B1846" s="2" t="s">
        <v>45</v>
      </c>
      <c r="C1846" s="2" t="s">
        <v>46</v>
      </c>
      <c r="D1846">
        <v>19</v>
      </c>
      <c r="E1846">
        <f>WEEKNUM(makulatura[[#This Row],[Data_dostarczenia]],13)</f>
        <v>45</v>
      </c>
      <c r="F1846" s="2">
        <f>WEEKDAY(makulatura[[#This Row],[Data_dostarczenia]],2)</f>
        <v>3</v>
      </c>
    </row>
    <row r="1847" spans="1:6" x14ac:dyDescent="0.25">
      <c r="A1847" s="1">
        <v>43040</v>
      </c>
      <c r="B1847" s="2" t="s">
        <v>41</v>
      </c>
      <c r="C1847" s="2" t="s">
        <v>614</v>
      </c>
      <c r="D1847">
        <v>22</v>
      </c>
      <c r="E1847">
        <f>WEEKNUM(makulatura[[#This Row],[Data_dostarczenia]],13)</f>
        <v>45</v>
      </c>
      <c r="F1847" s="2">
        <f>WEEKDAY(makulatura[[#This Row],[Data_dostarczenia]],2)</f>
        <v>3</v>
      </c>
    </row>
    <row r="1848" spans="1:6" x14ac:dyDescent="0.25">
      <c r="A1848" s="1">
        <v>43040</v>
      </c>
      <c r="B1848" s="2" t="s">
        <v>128</v>
      </c>
      <c r="C1848" s="2" t="s">
        <v>250</v>
      </c>
      <c r="D1848">
        <v>12</v>
      </c>
      <c r="E1848">
        <f>WEEKNUM(makulatura[[#This Row],[Data_dostarczenia]],13)</f>
        <v>45</v>
      </c>
      <c r="F1848" s="2">
        <f>WEEKDAY(makulatura[[#This Row],[Data_dostarczenia]],2)</f>
        <v>3</v>
      </c>
    </row>
    <row r="1849" spans="1:6" x14ac:dyDescent="0.25">
      <c r="A1849" s="1">
        <v>43040</v>
      </c>
      <c r="B1849" s="2" t="s">
        <v>55</v>
      </c>
      <c r="C1849" s="2" t="s">
        <v>691</v>
      </c>
      <c r="D1849">
        <v>28</v>
      </c>
      <c r="E1849">
        <f>WEEKNUM(makulatura[[#This Row],[Data_dostarczenia]],13)</f>
        <v>45</v>
      </c>
      <c r="F1849" s="2">
        <f>WEEKDAY(makulatura[[#This Row],[Data_dostarczenia]],2)</f>
        <v>3</v>
      </c>
    </row>
    <row r="1850" spans="1:6" x14ac:dyDescent="0.25">
      <c r="A1850" s="1">
        <v>43040</v>
      </c>
      <c r="B1850" s="2" t="s">
        <v>39</v>
      </c>
      <c r="C1850" s="2" t="s">
        <v>294</v>
      </c>
      <c r="D1850">
        <v>48</v>
      </c>
      <c r="E1850">
        <f>WEEKNUM(makulatura[[#This Row],[Data_dostarczenia]],13)</f>
        <v>45</v>
      </c>
      <c r="F1850" s="2">
        <f>WEEKDAY(makulatura[[#This Row],[Data_dostarczenia]],2)</f>
        <v>3</v>
      </c>
    </row>
    <row r="1851" spans="1:6" x14ac:dyDescent="0.25">
      <c r="A1851" s="1">
        <v>43040</v>
      </c>
      <c r="B1851" s="2" t="s">
        <v>61</v>
      </c>
      <c r="C1851" s="2" t="s">
        <v>62</v>
      </c>
      <c r="D1851">
        <v>25</v>
      </c>
      <c r="E1851">
        <f>WEEKNUM(makulatura[[#This Row],[Data_dostarczenia]],13)</f>
        <v>45</v>
      </c>
      <c r="F1851" s="2">
        <f>WEEKDAY(makulatura[[#This Row],[Data_dostarczenia]],2)</f>
        <v>3</v>
      </c>
    </row>
    <row r="1852" spans="1:6" x14ac:dyDescent="0.25">
      <c r="A1852" s="1">
        <v>43040</v>
      </c>
      <c r="B1852" s="2" t="s">
        <v>632</v>
      </c>
      <c r="C1852" s="2" t="s">
        <v>633</v>
      </c>
      <c r="D1852">
        <v>16</v>
      </c>
      <c r="E1852">
        <f>WEEKNUM(makulatura[[#This Row],[Data_dostarczenia]],13)</f>
        <v>45</v>
      </c>
      <c r="F1852" s="2">
        <f>WEEKDAY(makulatura[[#This Row],[Data_dostarczenia]],2)</f>
        <v>3</v>
      </c>
    </row>
    <row r="1853" spans="1:6" x14ac:dyDescent="0.25">
      <c r="A1853" s="1">
        <v>43040</v>
      </c>
      <c r="B1853" s="2" t="s">
        <v>79</v>
      </c>
      <c r="C1853" s="2" t="s">
        <v>80</v>
      </c>
      <c r="D1853">
        <v>12</v>
      </c>
      <c r="E1853">
        <f>WEEKNUM(makulatura[[#This Row],[Data_dostarczenia]],13)</f>
        <v>45</v>
      </c>
      <c r="F1853" s="2">
        <f>WEEKDAY(makulatura[[#This Row],[Data_dostarczenia]],2)</f>
        <v>3</v>
      </c>
    </row>
    <row r="1854" spans="1:6" x14ac:dyDescent="0.25">
      <c r="A1854" s="1">
        <v>43040</v>
      </c>
      <c r="B1854" s="2" t="s">
        <v>128</v>
      </c>
      <c r="C1854" s="2" t="s">
        <v>129</v>
      </c>
      <c r="D1854">
        <v>28</v>
      </c>
      <c r="E1854">
        <f>WEEKNUM(makulatura[[#This Row],[Data_dostarczenia]],13)</f>
        <v>45</v>
      </c>
      <c r="F1854" s="2">
        <f>WEEKDAY(makulatura[[#This Row],[Data_dostarczenia]],2)</f>
        <v>3</v>
      </c>
    </row>
    <row r="1855" spans="1:6" x14ac:dyDescent="0.25">
      <c r="A1855" s="1">
        <v>43040</v>
      </c>
      <c r="B1855" s="2" t="s">
        <v>30</v>
      </c>
      <c r="C1855" s="2" t="s">
        <v>109</v>
      </c>
      <c r="D1855">
        <v>12</v>
      </c>
      <c r="E1855">
        <f>WEEKNUM(makulatura[[#This Row],[Data_dostarczenia]],13)</f>
        <v>45</v>
      </c>
      <c r="F1855" s="2">
        <f>WEEKDAY(makulatura[[#This Row],[Data_dostarczenia]],2)</f>
        <v>3</v>
      </c>
    </row>
    <row r="1856" spans="1:6" x14ac:dyDescent="0.25">
      <c r="A1856" s="1">
        <v>43040</v>
      </c>
      <c r="B1856" s="2" t="s">
        <v>299</v>
      </c>
      <c r="C1856" s="2" t="s">
        <v>482</v>
      </c>
      <c r="D1856">
        <v>17</v>
      </c>
      <c r="E1856">
        <f>WEEKNUM(makulatura[[#This Row],[Data_dostarczenia]],13)</f>
        <v>45</v>
      </c>
      <c r="F1856" s="2">
        <f>WEEKDAY(makulatura[[#This Row],[Data_dostarczenia]],2)</f>
        <v>3</v>
      </c>
    </row>
    <row r="1857" spans="1:6" x14ac:dyDescent="0.25">
      <c r="A1857" s="1">
        <v>43041</v>
      </c>
      <c r="B1857" s="2" t="s">
        <v>438</v>
      </c>
      <c r="C1857" s="2" t="s">
        <v>439</v>
      </c>
      <c r="D1857">
        <v>16</v>
      </c>
      <c r="E1857">
        <f>WEEKNUM(makulatura[[#This Row],[Data_dostarczenia]],13)</f>
        <v>45</v>
      </c>
      <c r="F1857" s="2">
        <f>WEEKDAY(makulatura[[#This Row],[Data_dostarczenia]],2)</f>
        <v>4</v>
      </c>
    </row>
    <row r="1858" spans="1:6" x14ac:dyDescent="0.25">
      <c r="A1858" s="1">
        <v>43041</v>
      </c>
      <c r="B1858" s="2" t="s">
        <v>150</v>
      </c>
      <c r="C1858" s="2" t="s">
        <v>641</v>
      </c>
      <c r="D1858">
        <v>14</v>
      </c>
      <c r="E1858">
        <f>WEEKNUM(makulatura[[#This Row],[Data_dostarczenia]],13)</f>
        <v>45</v>
      </c>
      <c r="F1858" s="2">
        <f>WEEKDAY(makulatura[[#This Row],[Data_dostarczenia]],2)</f>
        <v>4</v>
      </c>
    </row>
    <row r="1859" spans="1:6" x14ac:dyDescent="0.25">
      <c r="A1859" s="1">
        <v>43041</v>
      </c>
      <c r="B1859" s="2" t="s">
        <v>232</v>
      </c>
      <c r="C1859" s="2" t="s">
        <v>378</v>
      </c>
      <c r="D1859">
        <v>25</v>
      </c>
      <c r="E1859">
        <f>WEEKNUM(makulatura[[#This Row],[Data_dostarczenia]],13)</f>
        <v>45</v>
      </c>
      <c r="F1859" s="2">
        <f>WEEKDAY(makulatura[[#This Row],[Data_dostarczenia]],2)</f>
        <v>4</v>
      </c>
    </row>
    <row r="1860" spans="1:6" x14ac:dyDescent="0.25">
      <c r="A1860" s="1">
        <v>43041</v>
      </c>
      <c r="B1860" s="2" t="s">
        <v>34</v>
      </c>
      <c r="C1860" s="2" t="s">
        <v>160</v>
      </c>
      <c r="D1860">
        <v>15</v>
      </c>
      <c r="E1860">
        <f>WEEKNUM(makulatura[[#This Row],[Data_dostarczenia]],13)</f>
        <v>45</v>
      </c>
      <c r="F1860" s="2">
        <f>WEEKDAY(makulatura[[#This Row],[Data_dostarczenia]],2)</f>
        <v>4</v>
      </c>
    </row>
    <row r="1861" spans="1:6" x14ac:dyDescent="0.25">
      <c r="A1861" s="1">
        <v>43041</v>
      </c>
      <c r="B1861" s="2" t="s">
        <v>27</v>
      </c>
      <c r="C1861" s="2" t="s">
        <v>28</v>
      </c>
      <c r="D1861">
        <v>16</v>
      </c>
      <c r="E1861">
        <f>WEEKNUM(makulatura[[#This Row],[Data_dostarczenia]],13)</f>
        <v>45</v>
      </c>
      <c r="F1861" s="2">
        <f>WEEKDAY(makulatura[[#This Row],[Data_dostarczenia]],2)</f>
        <v>4</v>
      </c>
    </row>
    <row r="1862" spans="1:6" x14ac:dyDescent="0.25">
      <c r="A1862" s="1">
        <v>43041</v>
      </c>
      <c r="B1862" s="2" t="s">
        <v>327</v>
      </c>
      <c r="C1862" s="2" t="s">
        <v>102</v>
      </c>
      <c r="D1862">
        <v>35</v>
      </c>
      <c r="E1862">
        <f>WEEKNUM(makulatura[[#This Row],[Data_dostarczenia]],13)</f>
        <v>45</v>
      </c>
      <c r="F1862" s="2">
        <f>WEEKDAY(makulatura[[#This Row],[Data_dostarczenia]],2)</f>
        <v>4</v>
      </c>
    </row>
    <row r="1863" spans="1:6" x14ac:dyDescent="0.25">
      <c r="A1863" s="1">
        <v>43042</v>
      </c>
      <c r="B1863" s="2" t="s">
        <v>271</v>
      </c>
      <c r="C1863" s="2" t="s">
        <v>272</v>
      </c>
      <c r="D1863">
        <v>2</v>
      </c>
      <c r="E1863">
        <f>WEEKNUM(makulatura[[#This Row],[Data_dostarczenia]],13)</f>
        <v>45</v>
      </c>
      <c r="F1863" s="2">
        <f>WEEKDAY(makulatura[[#This Row],[Data_dostarczenia]],2)</f>
        <v>5</v>
      </c>
    </row>
    <row r="1864" spans="1:6" x14ac:dyDescent="0.25">
      <c r="A1864" s="1">
        <v>43042</v>
      </c>
      <c r="B1864" s="2" t="s">
        <v>442</v>
      </c>
      <c r="C1864" s="2" t="s">
        <v>443</v>
      </c>
      <c r="D1864">
        <v>5</v>
      </c>
      <c r="E1864">
        <f>WEEKNUM(makulatura[[#This Row],[Data_dostarczenia]],13)</f>
        <v>45</v>
      </c>
      <c r="F1864" s="2">
        <f>WEEKDAY(makulatura[[#This Row],[Data_dostarczenia]],2)</f>
        <v>5</v>
      </c>
    </row>
    <row r="1865" spans="1:6" x14ac:dyDescent="0.25">
      <c r="A1865" s="1">
        <v>43042</v>
      </c>
      <c r="B1865" s="2" t="s">
        <v>34</v>
      </c>
      <c r="C1865" s="2" t="s">
        <v>662</v>
      </c>
      <c r="D1865">
        <v>14</v>
      </c>
      <c r="E1865">
        <f>WEEKNUM(makulatura[[#This Row],[Data_dostarczenia]],13)</f>
        <v>45</v>
      </c>
      <c r="F1865" s="2">
        <f>WEEKDAY(makulatura[[#This Row],[Data_dostarczenia]],2)</f>
        <v>5</v>
      </c>
    </row>
    <row r="1866" spans="1:6" x14ac:dyDescent="0.25">
      <c r="A1866" s="1">
        <v>43042</v>
      </c>
      <c r="B1866" s="2" t="s">
        <v>393</v>
      </c>
      <c r="C1866" s="2" t="s">
        <v>394</v>
      </c>
      <c r="D1866">
        <v>29</v>
      </c>
      <c r="E1866">
        <f>WEEKNUM(makulatura[[#This Row],[Data_dostarczenia]],13)</f>
        <v>45</v>
      </c>
      <c r="F1866" s="2">
        <f>WEEKDAY(makulatura[[#This Row],[Data_dostarczenia]],2)</f>
        <v>5</v>
      </c>
    </row>
    <row r="1867" spans="1:6" x14ac:dyDescent="0.25">
      <c r="A1867" s="1">
        <v>43042</v>
      </c>
      <c r="B1867" s="2" t="s">
        <v>174</v>
      </c>
      <c r="C1867" s="2" t="s">
        <v>175</v>
      </c>
      <c r="D1867">
        <v>13</v>
      </c>
      <c r="E1867">
        <f>WEEKNUM(makulatura[[#This Row],[Data_dostarczenia]],13)</f>
        <v>45</v>
      </c>
      <c r="F1867" s="2">
        <f>WEEKDAY(makulatura[[#This Row],[Data_dostarczenia]],2)</f>
        <v>5</v>
      </c>
    </row>
    <row r="1868" spans="1:6" x14ac:dyDescent="0.25">
      <c r="A1868" s="1">
        <v>43042</v>
      </c>
      <c r="B1868" s="2" t="s">
        <v>361</v>
      </c>
      <c r="C1868" s="2" t="s">
        <v>424</v>
      </c>
      <c r="D1868">
        <v>24</v>
      </c>
      <c r="E1868">
        <f>WEEKNUM(makulatura[[#This Row],[Data_dostarczenia]],13)</f>
        <v>45</v>
      </c>
      <c r="F1868" s="2">
        <f>WEEKDAY(makulatura[[#This Row],[Data_dostarczenia]],2)</f>
        <v>5</v>
      </c>
    </row>
    <row r="1869" spans="1:6" x14ac:dyDescent="0.25">
      <c r="A1869" s="1">
        <v>43045</v>
      </c>
      <c r="B1869" s="2" t="s">
        <v>178</v>
      </c>
      <c r="C1869" s="2" t="s">
        <v>242</v>
      </c>
      <c r="D1869">
        <v>2</v>
      </c>
      <c r="E1869">
        <f>WEEKNUM(makulatura[[#This Row],[Data_dostarczenia]],13)</f>
        <v>45</v>
      </c>
      <c r="F1869" s="2">
        <f>WEEKDAY(makulatura[[#This Row],[Data_dostarczenia]],2)</f>
        <v>1</v>
      </c>
    </row>
    <row r="1870" spans="1:6" x14ac:dyDescent="0.25">
      <c r="A1870" s="1">
        <v>43045</v>
      </c>
      <c r="B1870" s="2" t="s">
        <v>18</v>
      </c>
      <c r="C1870" s="2" t="s">
        <v>694</v>
      </c>
      <c r="D1870">
        <v>31</v>
      </c>
      <c r="E1870">
        <f>WEEKNUM(makulatura[[#This Row],[Data_dostarczenia]],13)</f>
        <v>45</v>
      </c>
      <c r="F1870" s="2">
        <f>WEEKDAY(makulatura[[#This Row],[Data_dostarczenia]],2)</f>
        <v>1</v>
      </c>
    </row>
    <row r="1871" spans="1:6" x14ac:dyDescent="0.25">
      <c r="A1871" s="1">
        <v>43045</v>
      </c>
      <c r="B1871" s="2" t="s">
        <v>280</v>
      </c>
      <c r="C1871" s="2" t="s">
        <v>580</v>
      </c>
      <c r="D1871">
        <v>18</v>
      </c>
      <c r="E1871">
        <f>WEEKNUM(makulatura[[#This Row],[Data_dostarczenia]],13)</f>
        <v>45</v>
      </c>
      <c r="F1871" s="2">
        <f>WEEKDAY(makulatura[[#This Row],[Data_dostarczenia]],2)</f>
        <v>1</v>
      </c>
    </row>
    <row r="1872" spans="1:6" x14ac:dyDescent="0.25">
      <c r="A1872" s="1">
        <v>43045</v>
      </c>
      <c r="B1872" s="2" t="s">
        <v>14</v>
      </c>
      <c r="C1872" s="2" t="s">
        <v>660</v>
      </c>
      <c r="D1872">
        <v>3</v>
      </c>
      <c r="E1872">
        <f>WEEKNUM(makulatura[[#This Row],[Data_dostarczenia]],13)</f>
        <v>45</v>
      </c>
      <c r="F1872" s="2">
        <f>WEEKDAY(makulatura[[#This Row],[Data_dostarczenia]],2)</f>
        <v>1</v>
      </c>
    </row>
    <row r="1873" spans="1:6" x14ac:dyDescent="0.25">
      <c r="A1873" s="1">
        <v>43045</v>
      </c>
      <c r="B1873" s="2" t="s">
        <v>51</v>
      </c>
      <c r="C1873" s="2" t="s">
        <v>522</v>
      </c>
      <c r="D1873">
        <v>30</v>
      </c>
      <c r="E1873">
        <f>WEEKNUM(makulatura[[#This Row],[Data_dostarczenia]],13)</f>
        <v>45</v>
      </c>
      <c r="F1873" s="2">
        <f>WEEKDAY(makulatura[[#This Row],[Data_dostarczenia]],2)</f>
        <v>1</v>
      </c>
    </row>
    <row r="1874" spans="1:6" x14ac:dyDescent="0.25">
      <c r="A1874" s="1">
        <v>43045</v>
      </c>
      <c r="B1874" s="2" t="s">
        <v>640</v>
      </c>
      <c r="C1874" s="2" t="s">
        <v>199</v>
      </c>
      <c r="D1874">
        <v>5</v>
      </c>
      <c r="E1874">
        <f>WEEKNUM(makulatura[[#This Row],[Data_dostarczenia]],13)</f>
        <v>45</v>
      </c>
      <c r="F1874" s="2">
        <f>WEEKDAY(makulatura[[#This Row],[Data_dostarczenia]],2)</f>
        <v>1</v>
      </c>
    </row>
    <row r="1875" spans="1:6" x14ac:dyDescent="0.25">
      <c r="A1875" s="1">
        <v>43046</v>
      </c>
      <c r="B1875" s="2" t="s">
        <v>61</v>
      </c>
      <c r="C1875" s="2" t="s">
        <v>62</v>
      </c>
      <c r="D1875">
        <v>13</v>
      </c>
      <c r="E1875">
        <f>WEEKNUM(makulatura[[#This Row],[Data_dostarczenia]],13)</f>
        <v>45</v>
      </c>
      <c r="F1875" s="2">
        <f>WEEKDAY(makulatura[[#This Row],[Data_dostarczenia]],2)</f>
        <v>2</v>
      </c>
    </row>
    <row r="1876" spans="1:6" x14ac:dyDescent="0.25">
      <c r="A1876" s="1">
        <v>43046</v>
      </c>
      <c r="B1876" s="2" t="s">
        <v>351</v>
      </c>
      <c r="C1876" s="2" t="s">
        <v>227</v>
      </c>
      <c r="D1876">
        <v>16</v>
      </c>
      <c r="E1876">
        <f>WEEKNUM(makulatura[[#This Row],[Data_dostarczenia]],13)</f>
        <v>45</v>
      </c>
      <c r="F1876" s="2">
        <f>WEEKDAY(makulatura[[#This Row],[Data_dostarczenia]],2)</f>
        <v>2</v>
      </c>
    </row>
    <row r="1877" spans="1:6" x14ac:dyDescent="0.25">
      <c r="A1877" s="1">
        <v>43046</v>
      </c>
      <c r="B1877" s="2" t="s">
        <v>346</v>
      </c>
      <c r="C1877" s="2" t="s">
        <v>665</v>
      </c>
      <c r="D1877">
        <v>3</v>
      </c>
      <c r="E1877">
        <f>WEEKNUM(makulatura[[#This Row],[Data_dostarczenia]],13)</f>
        <v>45</v>
      </c>
      <c r="F1877" s="2">
        <f>WEEKDAY(makulatura[[#This Row],[Data_dostarczenia]],2)</f>
        <v>2</v>
      </c>
    </row>
    <row r="1878" spans="1:6" x14ac:dyDescent="0.25">
      <c r="A1878" s="1">
        <v>43046</v>
      </c>
      <c r="B1878" s="2" t="s">
        <v>97</v>
      </c>
      <c r="C1878" s="2" t="s">
        <v>380</v>
      </c>
      <c r="D1878">
        <v>50</v>
      </c>
      <c r="E1878">
        <f>WEEKNUM(makulatura[[#This Row],[Data_dostarczenia]],13)</f>
        <v>45</v>
      </c>
      <c r="F1878" s="2">
        <f>WEEKDAY(makulatura[[#This Row],[Data_dostarczenia]],2)</f>
        <v>2</v>
      </c>
    </row>
    <row r="1879" spans="1:6" x14ac:dyDescent="0.25">
      <c r="A1879" s="1">
        <v>43046</v>
      </c>
      <c r="B1879" s="2" t="s">
        <v>133</v>
      </c>
      <c r="C1879" s="2" t="s">
        <v>316</v>
      </c>
      <c r="D1879">
        <v>25</v>
      </c>
      <c r="E1879">
        <f>WEEKNUM(makulatura[[#This Row],[Data_dostarczenia]],13)</f>
        <v>45</v>
      </c>
      <c r="F1879" s="2">
        <f>WEEKDAY(makulatura[[#This Row],[Data_dostarczenia]],2)</f>
        <v>2</v>
      </c>
    </row>
    <row r="1880" spans="1:6" x14ac:dyDescent="0.25">
      <c r="A1880" s="1">
        <v>43046</v>
      </c>
      <c r="B1880" s="2" t="s">
        <v>523</v>
      </c>
      <c r="C1880" s="2" t="s">
        <v>524</v>
      </c>
      <c r="D1880">
        <v>16</v>
      </c>
      <c r="E1880">
        <f>WEEKNUM(makulatura[[#This Row],[Data_dostarczenia]],13)</f>
        <v>45</v>
      </c>
      <c r="F1880" s="2">
        <f>WEEKDAY(makulatura[[#This Row],[Data_dostarczenia]],2)</f>
        <v>2</v>
      </c>
    </row>
    <row r="1881" spans="1:6" x14ac:dyDescent="0.25">
      <c r="A1881" s="1">
        <v>43047</v>
      </c>
      <c r="B1881" s="2" t="s">
        <v>65</v>
      </c>
      <c r="C1881" s="2" t="s">
        <v>631</v>
      </c>
      <c r="D1881">
        <v>13</v>
      </c>
      <c r="E1881">
        <f>WEEKNUM(makulatura[[#This Row],[Data_dostarczenia]],13)</f>
        <v>46</v>
      </c>
      <c r="F1881" s="2">
        <f>WEEKDAY(makulatura[[#This Row],[Data_dostarczenia]],2)</f>
        <v>3</v>
      </c>
    </row>
    <row r="1882" spans="1:6" x14ac:dyDescent="0.25">
      <c r="A1882" s="1">
        <v>43047</v>
      </c>
      <c r="B1882" s="2" t="s">
        <v>367</v>
      </c>
      <c r="C1882" s="2" t="s">
        <v>368</v>
      </c>
      <c r="D1882">
        <v>13</v>
      </c>
      <c r="E1882">
        <f>WEEKNUM(makulatura[[#This Row],[Data_dostarczenia]],13)</f>
        <v>46</v>
      </c>
      <c r="F1882" s="2">
        <f>WEEKDAY(makulatura[[#This Row],[Data_dostarczenia]],2)</f>
        <v>3</v>
      </c>
    </row>
    <row r="1883" spans="1:6" x14ac:dyDescent="0.25">
      <c r="A1883" s="1">
        <v>43047</v>
      </c>
      <c r="B1883" s="2" t="s">
        <v>314</v>
      </c>
      <c r="C1883" s="2" t="s">
        <v>366</v>
      </c>
      <c r="D1883">
        <v>15</v>
      </c>
      <c r="E1883">
        <f>WEEKNUM(makulatura[[#This Row],[Data_dostarczenia]],13)</f>
        <v>46</v>
      </c>
      <c r="F1883" s="2">
        <f>WEEKDAY(makulatura[[#This Row],[Data_dostarczenia]],2)</f>
        <v>3</v>
      </c>
    </row>
    <row r="1884" spans="1:6" x14ac:dyDescent="0.25">
      <c r="A1884" s="1">
        <v>43047</v>
      </c>
      <c r="B1884" s="2" t="s">
        <v>53</v>
      </c>
      <c r="C1884" s="2" t="s">
        <v>227</v>
      </c>
      <c r="D1884">
        <v>41</v>
      </c>
      <c r="E1884">
        <f>WEEKNUM(makulatura[[#This Row],[Data_dostarczenia]],13)</f>
        <v>46</v>
      </c>
      <c r="F1884" s="2">
        <f>WEEKDAY(makulatura[[#This Row],[Data_dostarczenia]],2)</f>
        <v>3</v>
      </c>
    </row>
    <row r="1885" spans="1:6" x14ac:dyDescent="0.25">
      <c r="A1885" s="1">
        <v>43047</v>
      </c>
      <c r="B1885" s="2" t="s">
        <v>442</v>
      </c>
      <c r="C1885" s="2" t="s">
        <v>502</v>
      </c>
      <c r="D1885">
        <v>50</v>
      </c>
      <c r="E1885">
        <f>WEEKNUM(makulatura[[#This Row],[Data_dostarczenia]],13)</f>
        <v>46</v>
      </c>
      <c r="F1885" s="2">
        <f>WEEKDAY(makulatura[[#This Row],[Data_dostarczenia]],2)</f>
        <v>3</v>
      </c>
    </row>
    <row r="1886" spans="1:6" x14ac:dyDescent="0.25">
      <c r="A1886" s="1">
        <v>43047</v>
      </c>
      <c r="B1886" s="2" t="s">
        <v>32</v>
      </c>
      <c r="C1886" s="2" t="s">
        <v>33</v>
      </c>
      <c r="D1886">
        <v>26</v>
      </c>
      <c r="E1886">
        <f>WEEKNUM(makulatura[[#This Row],[Data_dostarczenia]],13)</f>
        <v>46</v>
      </c>
      <c r="F1886" s="2">
        <f>WEEKDAY(makulatura[[#This Row],[Data_dostarczenia]],2)</f>
        <v>3</v>
      </c>
    </row>
    <row r="1887" spans="1:6" x14ac:dyDescent="0.25">
      <c r="A1887" s="1">
        <v>43048</v>
      </c>
      <c r="B1887" s="2" t="s">
        <v>63</v>
      </c>
      <c r="C1887" s="2" t="s">
        <v>64</v>
      </c>
      <c r="D1887">
        <v>10</v>
      </c>
      <c r="E1887">
        <f>WEEKNUM(makulatura[[#This Row],[Data_dostarczenia]],13)</f>
        <v>46</v>
      </c>
      <c r="F1887" s="2">
        <f>WEEKDAY(makulatura[[#This Row],[Data_dostarczenia]],2)</f>
        <v>4</v>
      </c>
    </row>
    <row r="1888" spans="1:6" x14ac:dyDescent="0.25">
      <c r="A1888" s="1">
        <v>43048</v>
      </c>
      <c r="B1888" s="2" t="s">
        <v>77</v>
      </c>
      <c r="C1888" s="2" t="s">
        <v>78</v>
      </c>
      <c r="D1888">
        <v>10</v>
      </c>
      <c r="E1888">
        <f>WEEKNUM(makulatura[[#This Row],[Data_dostarczenia]],13)</f>
        <v>46</v>
      </c>
      <c r="F1888" s="2">
        <f>WEEKDAY(makulatura[[#This Row],[Data_dostarczenia]],2)</f>
        <v>4</v>
      </c>
    </row>
    <row r="1889" spans="1:6" x14ac:dyDescent="0.25">
      <c r="A1889" s="1">
        <v>43048</v>
      </c>
      <c r="B1889" s="2" t="s">
        <v>244</v>
      </c>
      <c r="C1889" s="2" t="s">
        <v>245</v>
      </c>
      <c r="D1889">
        <v>20</v>
      </c>
      <c r="E1889">
        <f>WEEKNUM(makulatura[[#This Row],[Data_dostarczenia]],13)</f>
        <v>46</v>
      </c>
      <c r="F1889" s="2">
        <f>WEEKDAY(makulatura[[#This Row],[Data_dostarczenia]],2)</f>
        <v>4</v>
      </c>
    </row>
    <row r="1890" spans="1:6" x14ac:dyDescent="0.25">
      <c r="A1890" s="1">
        <v>43048</v>
      </c>
      <c r="B1890" s="2" t="s">
        <v>395</v>
      </c>
      <c r="C1890" s="2" t="s">
        <v>678</v>
      </c>
      <c r="D1890">
        <v>26</v>
      </c>
      <c r="E1890">
        <f>WEEKNUM(makulatura[[#This Row],[Data_dostarczenia]],13)</f>
        <v>46</v>
      </c>
      <c r="F1890" s="2">
        <f>WEEKDAY(makulatura[[#This Row],[Data_dostarczenia]],2)</f>
        <v>4</v>
      </c>
    </row>
    <row r="1891" spans="1:6" x14ac:dyDescent="0.25">
      <c r="A1891" s="1">
        <v>43048</v>
      </c>
      <c r="B1891" s="2" t="s">
        <v>12</v>
      </c>
      <c r="C1891" s="2" t="s">
        <v>668</v>
      </c>
      <c r="D1891">
        <v>27</v>
      </c>
      <c r="E1891">
        <f>WEEKNUM(makulatura[[#This Row],[Data_dostarczenia]],13)</f>
        <v>46</v>
      </c>
      <c r="F1891" s="2">
        <f>WEEKDAY(makulatura[[#This Row],[Data_dostarczenia]],2)</f>
        <v>4</v>
      </c>
    </row>
    <row r="1892" spans="1:6" x14ac:dyDescent="0.25">
      <c r="A1892" s="1">
        <v>43048</v>
      </c>
      <c r="B1892" s="2" t="s">
        <v>128</v>
      </c>
      <c r="C1892" s="2" t="s">
        <v>639</v>
      </c>
      <c r="D1892">
        <v>24</v>
      </c>
      <c r="E1892">
        <f>WEEKNUM(makulatura[[#This Row],[Data_dostarczenia]],13)</f>
        <v>46</v>
      </c>
      <c r="F1892" s="2">
        <f>WEEKDAY(makulatura[[#This Row],[Data_dostarczenia]],2)</f>
        <v>4</v>
      </c>
    </row>
    <row r="1893" spans="1:6" x14ac:dyDescent="0.25">
      <c r="A1893" s="1">
        <v>43049</v>
      </c>
      <c r="B1893" s="2" t="s">
        <v>34</v>
      </c>
      <c r="C1893" s="2" t="s">
        <v>90</v>
      </c>
      <c r="D1893">
        <v>41</v>
      </c>
      <c r="E1893">
        <f>WEEKNUM(makulatura[[#This Row],[Data_dostarczenia]],13)</f>
        <v>46</v>
      </c>
      <c r="F1893" s="2">
        <f>WEEKDAY(makulatura[[#This Row],[Data_dostarczenia]],2)</f>
        <v>5</v>
      </c>
    </row>
    <row r="1894" spans="1:6" x14ac:dyDescent="0.25">
      <c r="A1894" s="1">
        <v>43049</v>
      </c>
      <c r="B1894" s="2" t="s">
        <v>317</v>
      </c>
      <c r="C1894" s="2" t="s">
        <v>318</v>
      </c>
      <c r="D1894">
        <v>8</v>
      </c>
      <c r="E1894">
        <f>WEEKNUM(makulatura[[#This Row],[Data_dostarczenia]],13)</f>
        <v>46</v>
      </c>
      <c r="F1894" s="2">
        <f>WEEKDAY(makulatura[[#This Row],[Data_dostarczenia]],2)</f>
        <v>5</v>
      </c>
    </row>
    <row r="1895" spans="1:6" x14ac:dyDescent="0.25">
      <c r="A1895" s="1">
        <v>43049</v>
      </c>
      <c r="B1895" s="2" t="s">
        <v>69</v>
      </c>
      <c r="C1895" s="2" t="s">
        <v>535</v>
      </c>
      <c r="D1895">
        <v>30</v>
      </c>
      <c r="E1895">
        <f>WEEKNUM(makulatura[[#This Row],[Data_dostarczenia]],13)</f>
        <v>46</v>
      </c>
      <c r="F1895" s="2">
        <f>WEEKDAY(makulatura[[#This Row],[Data_dostarczenia]],2)</f>
        <v>5</v>
      </c>
    </row>
    <row r="1896" spans="1:6" x14ac:dyDescent="0.25">
      <c r="A1896" s="1">
        <v>43049</v>
      </c>
      <c r="B1896" s="2" t="s">
        <v>351</v>
      </c>
      <c r="C1896" s="2" t="s">
        <v>227</v>
      </c>
      <c r="D1896">
        <v>30</v>
      </c>
      <c r="E1896">
        <f>WEEKNUM(makulatura[[#This Row],[Data_dostarczenia]],13)</f>
        <v>46</v>
      </c>
      <c r="F1896" s="2">
        <f>WEEKDAY(makulatura[[#This Row],[Data_dostarczenia]],2)</f>
        <v>5</v>
      </c>
    </row>
    <row r="1897" spans="1:6" x14ac:dyDescent="0.25">
      <c r="A1897" s="1">
        <v>43049</v>
      </c>
      <c r="B1897" s="2" t="s">
        <v>14</v>
      </c>
      <c r="C1897" s="2" t="s">
        <v>422</v>
      </c>
      <c r="D1897">
        <v>13</v>
      </c>
      <c r="E1897">
        <f>WEEKNUM(makulatura[[#This Row],[Data_dostarczenia]],13)</f>
        <v>46</v>
      </c>
      <c r="F1897" s="2">
        <f>WEEKDAY(makulatura[[#This Row],[Data_dostarczenia]],2)</f>
        <v>5</v>
      </c>
    </row>
    <row r="1898" spans="1:6" x14ac:dyDescent="0.25">
      <c r="A1898" s="1">
        <v>43049</v>
      </c>
      <c r="B1898" s="2" t="s">
        <v>246</v>
      </c>
      <c r="C1898" s="2" t="s">
        <v>247</v>
      </c>
      <c r="D1898">
        <v>27</v>
      </c>
      <c r="E1898">
        <f>WEEKNUM(makulatura[[#This Row],[Data_dostarczenia]],13)</f>
        <v>46</v>
      </c>
      <c r="F1898" s="2">
        <f>WEEKDAY(makulatura[[#This Row],[Data_dostarczenia]],2)</f>
        <v>5</v>
      </c>
    </row>
    <row r="1899" spans="1:6" x14ac:dyDescent="0.25">
      <c r="A1899" s="1">
        <v>43049</v>
      </c>
      <c r="B1899" s="2" t="s">
        <v>195</v>
      </c>
      <c r="C1899" s="2" t="s">
        <v>196</v>
      </c>
      <c r="D1899">
        <v>41</v>
      </c>
      <c r="E1899">
        <f>WEEKNUM(makulatura[[#This Row],[Data_dostarczenia]],13)</f>
        <v>46</v>
      </c>
      <c r="F1899" s="2">
        <f>WEEKDAY(makulatura[[#This Row],[Data_dostarczenia]],2)</f>
        <v>5</v>
      </c>
    </row>
    <row r="1900" spans="1:6" x14ac:dyDescent="0.25">
      <c r="A1900" s="1">
        <v>43049</v>
      </c>
      <c r="B1900" s="2" t="s">
        <v>367</v>
      </c>
      <c r="C1900" s="2" t="s">
        <v>5</v>
      </c>
      <c r="D1900">
        <v>21</v>
      </c>
      <c r="E1900">
        <f>WEEKNUM(makulatura[[#This Row],[Data_dostarczenia]],13)</f>
        <v>46</v>
      </c>
      <c r="F1900" s="2">
        <f>WEEKDAY(makulatura[[#This Row],[Data_dostarczenia]],2)</f>
        <v>5</v>
      </c>
    </row>
    <row r="1901" spans="1:6" x14ac:dyDescent="0.25">
      <c r="A1901" s="1">
        <v>43049</v>
      </c>
      <c r="B1901" s="2" t="s">
        <v>278</v>
      </c>
      <c r="C1901" s="2" t="s">
        <v>202</v>
      </c>
      <c r="D1901">
        <v>52</v>
      </c>
      <c r="E1901">
        <f>WEEKNUM(makulatura[[#This Row],[Data_dostarczenia]],13)</f>
        <v>46</v>
      </c>
      <c r="F1901" s="2">
        <f>WEEKDAY(makulatura[[#This Row],[Data_dostarczenia]],2)</f>
        <v>5</v>
      </c>
    </row>
    <row r="1902" spans="1:6" x14ac:dyDescent="0.25">
      <c r="A1902" s="1">
        <v>43049</v>
      </c>
      <c r="B1902" s="2" t="s">
        <v>574</v>
      </c>
      <c r="C1902" s="2" t="s">
        <v>607</v>
      </c>
      <c r="D1902">
        <v>23</v>
      </c>
      <c r="E1902">
        <f>WEEKNUM(makulatura[[#This Row],[Data_dostarczenia]],13)</f>
        <v>46</v>
      </c>
      <c r="F1902" s="2">
        <f>WEEKDAY(makulatura[[#This Row],[Data_dostarczenia]],2)</f>
        <v>5</v>
      </c>
    </row>
    <row r="1903" spans="1:6" x14ac:dyDescent="0.25">
      <c r="A1903" s="1">
        <v>43049</v>
      </c>
      <c r="B1903" s="2" t="s">
        <v>39</v>
      </c>
      <c r="C1903" s="2" t="s">
        <v>103</v>
      </c>
      <c r="D1903">
        <v>32</v>
      </c>
      <c r="E1903">
        <f>WEEKNUM(makulatura[[#This Row],[Data_dostarczenia]],13)</f>
        <v>46</v>
      </c>
      <c r="F1903" s="2">
        <f>WEEKDAY(makulatura[[#This Row],[Data_dostarczenia]],2)</f>
        <v>5</v>
      </c>
    </row>
    <row r="1904" spans="1:6" x14ac:dyDescent="0.25">
      <c r="A1904" s="1">
        <v>43049</v>
      </c>
      <c r="B1904" s="2" t="s">
        <v>352</v>
      </c>
      <c r="C1904" s="2" t="s">
        <v>425</v>
      </c>
      <c r="D1904">
        <v>33</v>
      </c>
      <c r="E1904">
        <f>WEEKNUM(makulatura[[#This Row],[Data_dostarczenia]],13)</f>
        <v>46</v>
      </c>
      <c r="F1904" s="2">
        <f>WEEKDAY(makulatura[[#This Row],[Data_dostarczenia]],2)</f>
        <v>5</v>
      </c>
    </row>
    <row r="1905" spans="1:6" x14ac:dyDescent="0.25">
      <c r="A1905" s="1">
        <v>43049</v>
      </c>
      <c r="B1905" s="2" t="s">
        <v>155</v>
      </c>
      <c r="C1905" s="2" t="s">
        <v>650</v>
      </c>
      <c r="D1905">
        <v>41</v>
      </c>
      <c r="E1905">
        <f>WEEKNUM(makulatura[[#This Row],[Data_dostarczenia]],13)</f>
        <v>46</v>
      </c>
      <c r="F1905" s="2">
        <f>WEEKDAY(makulatura[[#This Row],[Data_dostarczenia]],2)</f>
        <v>5</v>
      </c>
    </row>
    <row r="1906" spans="1:6" x14ac:dyDescent="0.25">
      <c r="A1906" s="1">
        <v>43049</v>
      </c>
      <c r="B1906" s="2" t="s">
        <v>232</v>
      </c>
      <c r="C1906" s="2" t="s">
        <v>526</v>
      </c>
      <c r="D1906">
        <v>29</v>
      </c>
      <c r="E1906">
        <f>WEEKNUM(makulatura[[#This Row],[Data_dostarczenia]],13)</f>
        <v>46</v>
      </c>
      <c r="F1906" s="2">
        <f>WEEKDAY(makulatura[[#This Row],[Data_dostarczenia]],2)</f>
        <v>5</v>
      </c>
    </row>
    <row r="1907" spans="1:6" x14ac:dyDescent="0.25">
      <c r="A1907" s="1">
        <v>43049</v>
      </c>
      <c r="B1907" s="2" t="s">
        <v>119</v>
      </c>
      <c r="C1907" s="2" t="s">
        <v>164</v>
      </c>
      <c r="D1907">
        <v>25</v>
      </c>
      <c r="E1907">
        <f>WEEKNUM(makulatura[[#This Row],[Data_dostarczenia]],13)</f>
        <v>46</v>
      </c>
      <c r="F1907" s="2">
        <f>WEEKDAY(makulatura[[#This Row],[Data_dostarczenia]],2)</f>
        <v>5</v>
      </c>
    </row>
    <row r="1908" spans="1:6" x14ac:dyDescent="0.25">
      <c r="A1908" s="1">
        <v>43049</v>
      </c>
      <c r="B1908" s="2" t="s">
        <v>55</v>
      </c>
      <c r="C1908" s="2" t="s">
        <v>666</v>
      </c>
      <c r="D1908">
        <v>3</v>
      </c>
      <c r="E1908">
        <f>WEEKNUM(makulatura[[#This Row],[Data_dostarczenia]],13)</f>
        <v>46</v>
      </c>
      <c r="F1908" s="2">
        <f>WEEKDAY(makulatura[[#This Row],[Data_dostarczenia]],2)</f>
        <v>5</v>
      </c>
    </row>
    <row r="1909" spans="1:6" x14ac:dyDescent="0.25">
      <c r="A1909" s="1">
        <v>43049</v>
      </c>
      <c r="B1909" s="2" t="s">
        <v>83</v>
      </c>
      <c r="C1909" s="2" t="s">
        <v>470</v>
      </c>
      <c r="D1909">
        <v>23</v>
      </c>
      <c r="E1909">
        <f>WEEKNUM(makulatura[[#This Row],[Data_dostarczenia]],13)</f>
        <v>46</v>
      </c>
      <c r="F1909" s="2">
        <f>WEEKDAY(makulatura[[#This Row],[Data_dostarczenia]],2)</f>
        <v>5</v>
      </c>
    </row>
    <row r="1910" spans="1:6" x14ac:dyDescent="0.25">
      <c r="A1910" s="1">
        <v>43049</v>
      </c>
      <c r="B1910" s="2" t="s">
        <v>139</v>
      </c>
      <c r="C1910" s="2" t="s">
        <v>140</v>
      </c>
      <c r="D1910">
        <v>25</v>
      </c>
      <c r="E1910">
        <f>WEEKNUM(makulatura[[#This Row],[Data_dostarczenia]],13)</f>
        <v>46</v>
      </c>
      <c r="F1910" s="2">
        <f>WEEKDAY(makulatura[[#This Row],[Data_dostarczenia]],2)</f>
        <v>5</v>
      </c>
    </row>
    <row r="1911" spans="1:6" x14ac:dyDescent="0.25">
      <c r="A1911" s="1">
        <v>43049</v>
      </c>
      <c r="B1911" s="2" t="s">
        <v>119</v>
      </c>
      <c r="C1911" s="2" t="s">
        <v>517</v>
      </c>
      <c r="D1911">
        <v>29</v>
      </c>
      <c r="E1911">
        <f>WEEKNUM(makulatura[[#This Row],[Data_dostarczenia]],13)</f>
        <v>46</v>
      </c>
      <c r="F1911" s="2">
        <f>WEEKDAY(makulatura[[#This Row],[Data_dostarczenia]],2)</f>
        <v>5</v>
      </c>
    </row>
    <row r="1912" spans="1:6" x14ac:dyDescent="0.25">
      <c r="A1912" s="1">
        <v>43052</v>
      </c>
      <c r="B1912" s="2" t="s">
        <v>55</v>
      </c>
      <c r="C1912" s="2" t="s">
        <v>199</v>
      </c>
      <c r="D1912">
        <v>24</v>
      </c>
      <c r="E1912">
        <f>WEEKNUM(makulatura[[#This Row],[Data_dostarczenia]],13)</f>
        <v>46</v>
      </c>
      <c r="F1912" s="2">
        <f>WEEKDAY(makulatura[[#This Row],[Data_dostarczenia]],2)</f>
        <v>1</v>
      </c>
    </row>
    <row r="1913" spans="1:6" x14ac:dyDescent="0.25">
      <c r="A1913" s="1">
        <v>43052</v>
      </c>
      <c r="B1913" s="2" t="s">
        <v>449</v>
      </c>
      <c r="C1913" s="2" t="s">
        <v>664</v>
      </c>
      <c r="D1913">
        <v>19</v>
      </c>
      <c r="E1913">
        <f>WEEKNUM(makulatura[[#This Row],[Data_dostarczenia]],13)</f>
        <v>46</v>
      </c>
      <c r="F1913" s="2">
        <f>WEEKDAY(makulatura[[#This Row],[Data_dostarczenia]],2)</f>
        <v>1</v>
      </c>
    </row>
    <row r="1914" spans="1:6" x14ac:dyDescent="0.25">
      <c r="A1914" s="1">
        <v>43052</v>
      </c>
      <c r="B1914" s="2" t="s">
        <v>271</v>
      </c>
      <c r="C1914" s="2" t="s">
        <v>548</v>
      </c>
      <c r="D1914">
        <v>7</v>
      </c>
      <c r="E1914">
        <f>WEEKNUM(makulatura[[#This Row],[Data_dostarczenia]],13)</f>
        <v>46</v>
      </c>
      <c r="F1914" s="2">
        <f>WEEKDAY(makulatura[[#This Row],[Data_dostarczenia]],2)</f>
        <v>1</v>
      </c>
    </row>
    <row r="1915" spans="1:6" x14ac:dyDescent="0.25">
      <c r="A1915" s="1">
        <v>43052</v>
      </c>
      <c r="B1915" s="2" t="s">
        <v>150</v>
      </c>
      <c r="C1915" s="2" t="s">
        <v>211</v>
      </c>
      <c r="D1915">
        <v>7</v>
      </c>
      <c r="E1915">
        <f>WEEKNUM(makulatura[[#This Row],[Data_dostarczenia]],13)</f>
        <v>46</v>
      </c>
      <c r="F1915" s="2">
        <f>WEEKDAY(makulatura[[#This Row],[Data_dostarczenia]],2)</f>
        <v>1</v>
      </c>
    </row>
    <row r="1916" spans="1:6" x14ac:dyDescent="0.25">
      <c r="A1916" s="1">
        <v>43052</v>
      </c>
      <c r="B1916" s="2" t="s">
        <v>553</v>
      </c>
      <c r="C1916" s="2" t="s">
        <v>554</v>
      </c>
      <c r="D1916">
        <v>28</v>
      </c>
      <c r="E1916">
        <f>WEEKNUM(makulatura[[#This Row],[Data_dostarczenia]],13)</f>
        <v>46</v>
      </c>
      <c r="F1916" s="2">
        <f>WEEKDAY(makulatura[[#This Row],[Data_dostarczenia]],2)</f>
        <v>1</v>
      </c>
    </row>
    <row r="1917" spans="1:6" x14ac:dyDescent="0.25">
      <c r="A1917" s="1">
        <v>43052</v>
      </c>
      <c r="B1917" s="2" t="s">
        <v>566</v>
      </c>
      <c r="C1917" s="2" t="s">
        <v>567</v>
      </c>
      <c r="D1917">
        <v>50</v>
      </c>
      <c r="E1917">
        <f>WEEKNUM(makulatura[[#This Row],[Data_dostarczenia]],13)</f>
        <v>46</v>
      </c>
      <c r="F1917" s="2">
        <f>WEEKDAY(makulatura[[#This Row],[Data_dostarczenia]],2)</f>
        <v>1</v>
      </c>
    </row>
    <row r="1918" spans="1:6" x14ac:dyDescent="0.25">
      <c r="A1918" s="1">
        <v>43052</v>
      </c>
      <c r="B1918" s="2" t="s">
        <v>23</v>
      </c>
      <c r="C1918" s="2" t="s">
        <v>592</v>
      </c>
      <c r="D1918">
        <v>8</v>
      </c>
      <c r="E1918">
        <f>WEEKNUM(makulatura[[#This Row],[Data_dostarczenia]],13)</f>
        <v>46</v>
      </c>
      <c r="F1918" s="2">
        <f>WEEKDAY(makulatura[[#This Row],[Data_dostarczenia]],2)</f>
        <v>1</v>
      </c>
    </row>
    <row r="1919" spans="1:6" x14ac:dyDescent="0.25">
      <c r="A1919" s="1">
        <v>43052</v>
      </c>
      <c r="B1919" s="2" t="s">
        <v>4</v>
      </c>
      <c r="C1919" s="2" t="s">
        <v>382</v>
      </c>
      <c r="D1919">
        <v>3</v>
      </c>
      <c r="E1919">
        <f>WEEKNUM(makulatura[[#This Row],[Data_dostarczenia]],13)</f>
        <v>46</v>
      </c>
      <c r="F1919" s="2">
        <f>WEEKDAY(makulatura[[#This Row],[Data_dostarczenia]],2)</f>
        <v>1</v>
      </c>
    </row>
    <row r="1920" spans="1:6" x14ac:dyDescent="0.25">
      <c r="A1920" s="1">
        <v>43052</v>
      </c>
      <c r="B1920" s="2" t="s">
        <v>12</v>
      </c>
      <c r="C1920" s="2" t="s">
        <v>386</v>
      </c>
      <c r="D1920">
        <v>13</v>
      </c>
      <c r="E1920">
        <f>WEEKNUM(makulatura[[#This Row],[Data_dostarczenia]],13)</f>
        <v>46</v>
      </c>
      <c r="F1920" s="2">
        <f>WEEKDAY(makulatura[[#This Row],[Data_dostarczenia]],2)</f>
        <v>1</v>
      </c>
    </row>
    <row r="1921" spans="1:6" x14ac:dyDescent="0.25">
      <c r="A1921" s="1">
        <v>43052</v>
      </c>
      <c r="B1921" s="2" t="s">
        <v>87</v>
      </c>
      <c r="C1921" s="2" t="s">
        <v>154</v>
      </c>
      <c r="D1921">
        <v>17</v>
      </c>
      <c r="E1921">
        <f>WEEKNUM(makulatura[[#This Row],[Data_dostarczenia]],13)</f>
        <v>46</v>
      </c>
      <c r="F1921" s="2">
        <f>WEEKDAY(makulatura[[#This Row],[Data_dostarczenia]],2)</f>
        <v>1</v>
      </c>
    </row>
    <row r="1922" spans="1:6" x14ac:dyDescent="0.25">
      <c r="A1922" s="1">
        <v>43052</v>
      </c>
      <c r="B1922" s="2" t="s">
        <v>221</v>
      </c>
      <c r="C1922" s="2" t="s">
        <v>222</v>
      </c>
      <c r="D1922">
        <v>55</v>
      </c>
      <c r="E1922">
        <f>WEEKNUM(makulatura[[#This Row],[Data_dostarczenia]],13)</f>
        <v>46</v>
      </c>
      <c r="F1922" s="2">
        <f>WEEKDAY(makulatura[[#This Row],[Data_dostarczenia]],2)</f>
        <v>1</v>
      </c>
    </row>
    <row r="1923" spans="1:6" x14ac:dyDescent="0.25">
      <c r="A1923" s="1">
        <v>43052</v>
      </c>
      <c r="B1923" s="2" t="s">
        <v>150</v>
      </c>
      <c r="C1923" s="2" t="s">
        <v>258</v>
      </c>
      <c r="D1923">
        <v>46</v>
      </c>
      <c r="E1923">
        <f>WEEKNUM(makulatura[[#This Row],[Data_dostarczenia]],13)</f>
        <v>46</v>
      </c>
      <c r="F1923" s="2">
        <f>WEEKDAY(makulatura[[#This Row],[Data_dostarczenia]],2)</f>
        <v>1</v>
      </c>
    </row>
    <row r="1924" spans="1:6" x14ac:dyDescent="0.25">
      <c r="A1924" s="1">
        <v>43052</v>
      </c>
      <c r="B1924" s="2" t="s">
        <v>47</v>
      </c>
      <c r="C1924" s="2" t="s">
        <v>630</v>
      </c>
      <c r="D1924">
        <v>48</v>
      </c>
      <c r="E1924">
        <f>WEEKNUM(makulatura[[#This Row],[Data_dostarczenia]],13)</f>
        <v>46</v>
      </c>
      <c r="F1924" s="2">
        <f>WEEKDAY(makulatura[[#This Row],[Data_dostarczenia]],2)</f>
        <v>1</v>
      </c>
    </row>
    <row r="1925" spans="1:6" x14ac:dyDescent="0.25">
      <c r="A1925" s="1">
        <v>43052</v>
      </c>
      <c r="B1925" s="2" t="s">
        <v>395</v>
      </c>
      <c r="C1925" s="2" t="s">
        <v>687</v>
      </c>
      <c r="D1925">
        <v>35</v>
      </c>
      <c r="E1925">
        <f>WEEKNUM(makulatura[[#This Row],[Data_dostarczenia]],13)</f>
        <v>46</v>
      </c>
      <c r="F1925" s="2">
        <f>WEEKDAY(makulatura[[#This Row],[Data_dostarczenia]],2)</f>
        <v>1</v>
      </c>
    </row>
    <row r="1926" spans="1:6" x14ac:dyDescent="0.25">
      <c r="A1926" s="1">
        <v>43052</v>
      </c>
      <c r="B1926" s="2" t="s">
        <v>416</v>
      </c>
      <c r="C1926" s="2" t="s">
        <v>572</v>
      </c>
      <c r="D1926">
        <v>54</v>
      </c>
      <c r="E1926">
        <f>WEEKNUM(makulatura[[#This Row],[Data_dostarczenia]],13)</f>
        <v>46</v>
      </c>
      <c r="F1926" s="2">
        <f>WEEKDAY(makulatura[[#This Row],[Data_dostarczenia]],2)</f>
        <v>1</v>
      </c>
    </row>
    <row r="1927" spans="1:6" x14ac:dyDescent="0.25">
      <c r="A1927" s="1">
        <v>43052</v>
      </c>
      <c r="B1927" s="2" t="s">
        <v>167</v>
      </c>
      <c r="C1927" s="2" t="s">
        <v>168</v>
      </c>
      <c r="D1927">
        <v>6</v>
      </c>
      <c r="E1927">
        <f>WEEKNUM(makulatura[[#This Row],[Data_dostarczenia]],13)</f>
        <v>46</v>
      </c>
      <c r="F1927" s="2">
        <f>WEEKDAY(makulatura[[#This Row],[Data_dostarczenia]],2)</f>
        <v>1</v>
      </c>
    </row>
    <row r="1928" spans="1:6" x14ac:dyDescent="0.25">
      <c r="A1928" s="1">
        <v>43052</v>
      </c>
      <c r="B1928" s="2" t="s">
        <v>87</v>
      </c>
      <c r="C1928" s="2" t="s">
        <v>259</v>
      </c>
      <c r="D1928">
        <v>53</v>
      </c>
      <c r="E1928">
        <f>WEEKNUM(makulatura[[#This Row],[Data_dostarczenia]],13)</f>
        <v>46</v>
      </c>
      <c r="F1928" s="2">
        <f>WEEKDAY(makulatura[[#This Row],[Data_dostarczenia]],2)</f>
        <v>1</v>
      </c>
    </row>
    <row r="1929" spans="1:6" x14ac:dyDescent="0.25">
      <c r="A1929" s="1">
        <v>43052</v>
      </c>
      <c r="B1929" s="2" t="s">
        <v>34</v>
      </c>
      <c r="C1929" s="2" t="s">
        <v>564</v>
      </c>
      <c r="D1929">
        <v>29</v>
      </c>
      <c r="E1929">
        <f>WEEKNUM(makulatura[[#This Row],[Data_dostarczenia]],13)</f>
        <v>46</v>
      </c>
      <c r="F1929" s="2">
        <f>WEEKDAY(makulatura[[#This Row],[Data_dostarczenia]],2)</f>
        <v>1</v>
      </c>
    </row>
    <row r="1930" spans="1:6" x14ac:dyDescent="0.25">
      <c r="A1930" s="1">
        <v>43053</v>
      </c>
      <c r="B1930" s="2" t="s">
        <v>521</v>
      </c>
      <c r="C1930" s="2" t="s">
        <v>440</v>
      </c>
      <c r="D1930">
        <v>35</v>
      </c>
      <c r="E1930">
        <f>WEEKNUM(makulatura[[#This Row],[Data_dostarczenia]],13)</f>
        <v>46</v>
      </c>
      <c r="F1930" s="2">
        <f>WEEKDAY(makulatura[[#This Row],[Data_dostarczenia]],2)</f>
        <v>2</v>
      </c>
    </row>
    <row r="1931" spans="1:6" x14ac:dyDescent="0.25">
      <c r="A1931" s="1">
        <v>43053</v>
      </c>
      <c r="B1931" s="2" t="s">
        <v>246</v>
      </c>
      <c r="C1931" s="2" t="s">
        <v>247</v>
      </c>
      <c r="D1931">
        <v>24</v>
      </c>
      <c r="E1931">
        <f>WEEKNUM(makulatura[[#This Row],[Data_dostarczenia]],13)</f>
        <v>46</v>
      </c>
      <c r="F1931" s="2">
        <f>WEEKDAY(makulatura[[#This Row],[Data_dostarczenia]],2)</f>
        <v>2</v>
      </c>
    </row>
    <row r="1932" spans="1:6" x14ac:dyDescent="0.25">
      <c r="A1932" s="1">
        <v>43053</v>
      </c>
      <c r="B1932" s="2" t="s">
        <v>137</v>
      </c>
      <c r="C1932" s="2" t="s">
        <v>473</v>
      </c>
      <c r="D1932">
        <v>25</v>
      </c>
      <c r="E1932">
        <f>WEEKNUM(makulatura[[#This Row],[Data_dostarczenia]],13)</f>
        <v>46</v>
      </c>
      <c r="F1932" s="2">
        <f>WEEKDAY(makulatura[[#This Row],[Data_dostarczenia]],2)</f>
        <v>2</v>
      </c>
    </row>
    <row r="1933" spans="1:6" x14ac:dyDescent="0.25">
      <c r="A1933" s="1">
        <v>43053</v>
      </c>
      <c r="B1933" s="2" t="s">
        <v>87</v>
      </c>
      <c r="C1933" s="2" t="s">
        <v>154</v>
      </c>
      <c r="D1933">
        <v>10</v>
      </c>
      <c r="E1933">
        <f>WEEKNUM(makulatura[[#This Row],[Data_dostarczenia]],13)</f>
        <v>46</v>
      </c>
      <c r="F1933" s="2">
        <f>WEEKDAY(makulatura[[#This Row],[Data_dostarczenia]],2)</f>
        <v>2</v>
      </c>
    </row>
    <row r="1934" spans="1:6" x14ac:dyDescent="0.25">
      <c r="A1934" s="1">
        <v>43053</v>
      </c>
      <c r="B1934" s="2" t="s">
        <v>139</v>
      </c>
      <c r="C1934" s="2" t="s">
        <v>140</v>
      </c>
      <c r="D1934">
        <v>10</v>
      </c>
      <c r="E1934">
        <f>WEEKNUM(makulatura[[#This Row],[Data_dostarczenia]],13)</f>
        <v>46</v>
      </c>
      <c r="F1934" s="2">
        <f>WEEKDAY(makulatura[[#This Row],[Data_dostarczenia]],2)</f>
        <v>2</v>
      </c>
    </row>
    <row r="1935" spans="1:6" x14ac:dyDescent="0.25">
      <c r="A1935" s="1">
        <v>43053</v>
      </c>
      <c r="B1935" s="2" t="s">
        <v>49</v>
      </c>
      <c r="C1935" s="2" t="s">
        <v>50</v>
      </c>
      <c r="D1935">
        <v>6</v>
      </c>
      <c r="E1935">
        <f>WEEKNUM(makulatura[[#This Row],[Data_dostarczenia]],13)</f>
        <v>46</v>
      </c>
      <c r="F1935" s="2">
        <f>WEEKDAY(makulatura[[#This Row],[Data_dostarczenia]],2)</f>
        <v>2</v>
      </c>
    </row>
    <row r="1936" spans="1:6" x14ac:dyDescent="0.25">
      <c r="A1936" s="1">
        <v>43053</v>
      </c>
      <c r="B1936" s="2" t="s">
        <v>81</v>
      </c>
      <c r="C1936" s="2" t="s">
        <v>165</v>
      </c>
      <c r="D1936">
        <v>20</v>
      </c>
      <c r="E1936">
        <f>WEEKNUM(makulatura[[#This Row],[Data_dostarczenia]],13)</f>
        <v>46</v>
      </c>
      <c r="F1936" s="2">
        <f>WEEKDAY(makulatura[[#This Row],[Data_dostarczenia]],2)</f>
        <v>2</v>
      </c>
    </row>
    <row r="1937" spans="1:6" x14ac:dyDescent="0.25">
      <c r="A1937" s="1">
        <v>43053</v>
      </c>
      <c r="B1937" s="2" t="s">
        <v>195</v>
      </c>
      <c r="C1937" s="2" t="s">
        <v>401</v>
      </c>
      <c r="D1937">
        <v>9</v>
      </c>
      <c r="E1937">
        <f>WEEKNUM(makulatura[[#This Row],[Data_dostarczenia]],13)</f>
        <v>46</v>
      </c>
      <c r="F1937" s="2">
        <f>WEEKDAY(makulatura[[#This Row],[Data_dostarczenia]],2)</f>
        <v>2</v>
      </c>
    </row>
    <row r="1938" spans="1:6" x14ac:dyDescent="0.25">
      <c r="A1938" s="1">
        <v>43054</v>
      </c>
      <c r="B1938" s="2" t="s">
        <v>688</v>
      </c>
      <c r="C1938" s="2" t="s">
        <v>689</v>
      </c>
      <c r="D1938">
        <v>5</v>
      </c>
      <c r="E1938">
        <f>WEEKNUM(makulatura[[#This Row],[Data_dostarczenia]],13)</f>
        <v>47</v>
      </c>
      <c r="F1938" s="2">
        <f>WEEKDAY(makulatura[[#This Row],[Data_dostarczenia]],2)</f>
        <v>3</v>
      </c>
    </row>
    <row r="1939" spans="1:6" x14ac:dyDescent="0.25">
      <c r="A1939" s="1">
        <v>43054</v>
      </c>
      <c r="B1939" s="2" t="s">
        <v>141</v>
      </c>
      <c r="C1939" s="2" t="s">
        <v>364</v>
      </c>
      <c r="D1939">
        <v>22</v>
      </c>
      <c r="E1939">
        <f>WEEKNUM(makulatura[[#This Row],[Data_dostarczenia]],13)</f>
        <v>47</v>
      </c>
      <c r="F1939" s="2">
        <f>WEEKDAY(makulatura[[#This Row],[Data_dostarczenia]],2)</f>
        <v>3</v>
      </c>
    </row>
    <row r="1940" spans="1:6" x14ac:dyDescent="0.25">
      <c r="A1940" s="1">
        <v>43054</v>
      </c>
      <c r="B1940" s="2" t="s">
        <v>232</v>
      </c>
      <c r="C1940" s="2" t="s">
        <v>378</v>
      </c>
      <c r="D1940">
        <v>10</v>
      </c>
      <c r="E1940">
        <f>WEEKNUM(makulatura[[#This Row],[Data_dostarczenia]],13)</f>
        <v>47</v>
      </c>
      <c r="F1940" s="2">
        <f>WEEKDAY(makulatura[[#This Row],[Data_dostarczenia]],2)</f>
        <v>3</v>
      </c>
    </row>
    <row r="1941" spans="1:6" x14ac:dyDescent="0.25">
      <c r="A1941" s="1">
        <v>43054</v>
      </c>
      <c r="B1941" s="2" t="s">
        <v>150</v>
      </c>
      <c r="C1941" s="2" t="s">
        <v>556</v>
      </c>
      <c r="D1941">
        <v>13</v>
      </c>
      <c r="E1941">
        <f>WEEKNUM(makulatura[[#This Row],[Data_dostarczenia]],13)</f>
        <v>47</v>
      </c>
      <c r="F1941" s="2">
        <f>WEEKDAY(makulatura[[#This Row],[Data_dostarczenia]],2)</f>
        <v>3</v>
      </c>
    </row>
    <row r="1942" spans="1:6" x14ac:dyDescent="0.25">
      <c r="A1942" s="1">
        <v>43054</v>
      </c>
      <c r="B1942" s="2" t="s">
        <v>407</v>
      </c>
      <c r="C1942" s="2" t="s">
        <v>408</v>
      </c>
      <c r="D1942">
        <v>18</v>
      </c>
      <c r="E1942">
        <f>WEEKNUM(makulatura[[#This Row],[Data_dostarczenia]],13)</f>
        <v>47</v>
      </c>
      <c r="F1942" s="2">
        <f>WEEKDAY(makulatura[[#This Row],[Data_dostarczenia]],2)</f>
        <v>3</v>
      </c>
    </row>
    <row r="1943" spans="1:6" x14ac:dyDescent="0.25">
      <c r="A1943" s="1">
        <v>43054</v>
      </c>
      <c r="B1943" s="2" t="s">
        <v>121</v>
      </c>
      <c r="C1943" s="2" t="s">
        <v>122</v>
      </c>
      <c r="D1943">
        <v>5</v>
      </c>
      <c r="E1943">
        <f>WEEKNUM(makulatura[[#This Row],[Data_dostarczenia]],13)</f>
        <v>47</v>
      </c>
      <c r="F1943" s="2">
        <f>WEEKDAY(makulatura[[#This Row],[Data_dostarczenia]],2)</f>
        <v>3</v>
      </c>
    </row>
    <row r="1944" spans="1:6" x14ac:dyDescent="0.25">
      <c r="A1944" s="1">
        <v>43054</v>
      </c>
      <c r="B1944" s="2" t="s">
        <v>267</v>
      </c>
      <c r="C1944" s="2" t="s">
        <v>287</v>
      </c>
      <c r="D1944">
        <v>26</v>
      </c>
      <c r="E1944">
        <f>WEEKNUM(makulatura[[#This Row],[Data_dostarczenia]],13)</f>
        <v>47</v>
      </c>
      <c r="F1944" s="2">
        <f>WEEKDAY(makulatura[[#This Row],[Data_dostarczenia]],2)</f>
        <v>3</v>
      </c>
    </row>
    <row r="1945" spans="1:6" x14ac:dyDescent="0.25">
      <c r="A1945" s="1">
        <v>43054</v>
      </c>
      <c r="B1945" s="2" t="s">
        <v>23</v>
      </c>
      <c r="C1945" s="2" t="s">
        <v>695</v>
      </c>
      <c r="D1945">
        <v>20</v>
      </c>
      <c r="E1945">
        <f>WEEKNUM(makulatura[[#This Row],[Data_dostarczenia]],13)</f>
        <v>47</v>
      </c>
      <c r="F1945" s="2">
        <f>WEEKDAY(makulatura[[#This Row],[Data_dostarczenia]],2)</f>
        <v>3</v>
      </c>
    </row>
    <row r="1946" spans="1:6" x14ac:dyDescent="0.25">
      <c r="A1946" s="1">
        <v>43055</v>
      </c>
      <c r="B1946" s="2" t="s">
        <v>189</v>
      </c>
      <c r="C1946" s="2" t="s">
        <v>190</v>
      </c>
      <c r="D1946">
        <v>11</v>
      </c>
      <c r="E1946">
        <f>WEEKNUM(makulatura[[#This Row],[Data_dostarczenia]],13)</f>
        <v>47</v>
      </c>
      <c r="F1946" s="2">
        <f>WEEKDAY(makulatura[[#This Row],[Data_dostarczenia]],2)</f>
        <v>4</v>
      </c>
    </row>
    <row r="1947" spans="1:6" x14ac:dyDescent="0.25">
      <c r="A1947" s="1">
        <v>43055</v>
      </c>
      <c r="B1947" s="2" t="s">
        <v>87</v>
      </c>
      <c r="C1947" s="2" t="s">
        <v>383</v>
      </c>
      <c r="D1947">
        <v>23</v>
      </c>
      <c r="E1947">
        <f>WEEKNUM(makulatura[[#This Row],[Data_dostarczenia]],13)</f>
        <v>47</v>
      </c>
      <c r="F1947" s="2">
        <f>WEEKDAY(makulatura[[#This Row],[Data_dostarczenia]],2)</f>
        <v>4</v>
      </c>
    </row>
    <row r="1948" spans="1:6" x14ac:dyDescent="0.25">
      <c r="A1948" s="1">
        <v>43055</v>
      </c>
      <c r="B1948" s="2" t="s">
        <v>67</v>
      </c>
      <c r="C1948" s="2" t="s">
        <v>460</v>
      </c>
      <c r="D1948">
        <v>12</v>
      </c>
      <c r="E1948">
        <f>WEEKNUM(makulatura[[#This Row],[Data_dostarczenia]],13)</f>
        <v>47</v>
      </c>
      <c r="F1948" s="2">
        <f>WEEKDAY(makulatura[[#This Row],[Data_dostarczenia]],2)</f>
        <v>4</v>
      </c>
    </row>
    <row r="1949" spans="1:6" x14ac:dyDescent="0.25">
      <c r="A1949" s="1">
        <v>43055</v>
      </c>
      <c r="B1949" s="2" t="s">
        <v>303</v>
      </c>
      <c r="C1949" s="2" t="s">
        <v>304</v>
      </c>
      <c r="D1949">
        <v>23</v>
      </c>
      <c r="E1949">
        <f>WEEKNUM(makulatura[[#This Row],[Data_dostarczenia]],13)</f>
        <v>47</v>
      </c>
      <c r="F1949" s="2">
        <f>WEEKDAY(makulatura[[#This Row],[Data_dostarczenia]],2)</f>
        <v>4</v>
      </c>
    </row>
    <row r="1950" spans="1:6" x14ac:dyDescent="0.25">
      <c r="A1950" s="1">
        <v>43055</v>
      </c>
      <c r="B1950" s="2" t="s">
        <v>152</v>
      </c>
      <c r="C1950" s="2" t="s">
        <v>696</v>
      </c>
      <c r="D1950">
        <v>9</v>
      </c>
      <c r="E1950">
        <f>WEEKNUM(makulatura[[#This Row],[Data_dostarczenia]],13)</f>
        <v>47</v>
      </c>
      <c r="F1950" s="2">
        <f>WEEKDAY(makulatura[[#This Row],[Data_dostarczenia]],2)</f>
        <v>4</v>
      </c>
    </row>
    <row r="1951" spans="1:6" x14ac:dyDescent="0.25">
      <c r="A1951" s="1">
        <v>43055</v>
      </c>
      <c r="B1951" s="2" t="s">
        <v>81</v>
      </c>
      <c r="C1951" s="2" t="s">
        <v>648</v>
      </c>
      <c r="D1951">
        <v>27</v>
      </c>
      <c r="E1951">
        <f>WEEKNUM(makulatura[[#This Row],[Data_dostarczenia]],13)</f>
        <v>47</v>
      </c>
      <c r="F1951" s="2">
        <f>WEEKDAY(makulatura[[#This Row],[Data_dostarczenia]],2)</f>
        <v>4</v>
      </c>
    </row>
    <row r="1952" spans="1:6" x14ac:dyDescent="0.25">
      <c r="A1952" s="1">
        <v>43055</v>
      </c>
      <c r="B1952" s="2" t="s">
        <v>36</v>
      </c>
      <c r="C1952" s="2" t="s">
        <v>295</v>
      </c>
      <c r="D1952">
        <v>26</v>
      </c>
      <c r="E1952">
        <f>WEEKNUM(makulatura[[#This Row],[Data_dostarczenia]],13)</f>
        <v>47</v>
      </c>
      <c r="F1952" s="2">
        <f>WEEKDAY(makulatura[[#This Row],[Data_dostarczenia]],2)</f>
        <v>4</v>
      </c>
    </row>
    <row r="1953" spans="1:6" x14ac:dyDescent="0.25">
      <c r="A1953" s="1">
        <v>43055</v>
      </c>
      <c r="B1953" s="2" t="s">
        <v>508</v>
      </c>
      <c r="C1953" s="2" t="s">
        <v>509</v>
      </c>
      <c r="D1953">
        <v>11</v>
      </c>
      <c r="E1953">
        <f>WEEKNUM(makulatura[[#This Row],[Data_dostarczenia]],13)</f>
        <v>47</v>
      </c>
      <c r="F1953" s="2">
        <f>WEEKDAY(makulatura[[#This Row],[Data_dostarczenia]],2)</f>
        <v>4</v>
      </c>
    </row>
    <row r="1954" spans="1:6" x14ac:dyDescent="0.25">
      <c r="A1954" s="1">
        <v>43056</v>
      </c>
      <c r="B1954" s="2" t="s">
        <v>47</v>
      </c>
      <c r="C1954" s="2" t="s">
        <v>336</v>
      </c>
      <c r="D1954">
        <v>14</v>
      </c>
      <c r="E1954">
        <f>WEEKNUM(makulatura[[#This Row],[Data_dostarczenia]],13)</f>
        <v>47</v>
      </c>
      <c r="F1954" s="2">
        <f>WEEKDAY(makulatura[[#This Row],[Data_dostarczenia]],2)</f>
        <v>5</v>
      </c>
    </row>
    <row r="1955" spans="1:6" x14ac:dyDescent="0.25">
      <c r="A1955" s="1">
        <v>43056</v>
      </c>
      <c r="B1955" s="2" t="s">
        <v>4</v>
      </c>
      <c r="C1955" s="2" t="s">
        <v>207</v>
      </c>
      <c r="D1955">
        <v>24</v>
      </c>
      <c r="E1955">
        <f>WEEKNUM(makulatura[[#This Row],[Data_dostarczenia]],13)</f>
        <v>47</v>
      </c>
      <c r="F1955" s="2">
        <f>WEEKDAY(makulatura[[#This Row],[Data_dostarczenia]],2)</f>
        <v>5</v>
      </c>
    </row>
    <row r="1956" spans="1:6" x14ac:dyDescent="0.25">
      <c r="A1956" s="1">
        <v>43056</v>
      </c>
      <c r="B1956" s="2" t="s">
        <v>36</v>
      </c>
      <c r="C1956" s="2" t="s">
        <v>180</v>
      </c>
      <c r="D1956">
        <v>18</v>
      </c>
      <c r="E1956">
        <f>WEEKNUM(makulatura[[#This Row],[Data_dostarczenia]],13)</f>
        <v>47</v>
      </c>
      <c r="F1956" s="2">
        <f>WEEKDAY(makulatura[[#This Row],[Data_dostarczenia]],2)</f>
        <v>5</v>
      </c>
    </row>
    <row r="1957" spans="1:6" x14ac:dyDescent="0.25">
      <c r="A1957" s="1">
        <v>43056</v>
      </c>
      <c r="B1957" s="2" t="s">
        <v>128</v>
      </c>
      <c r="C1957" s="2" t="s">
        <v>559</v>
      </c>
      <c r="D1957">
        <v>13</v>
      </c>
      <c r="E1957">
        <f>WEEKNUM(makulatura[[#This Row],[Data_dostarczenia]],13)</f>
        <v>47</v>
      </c>
      <c r="F1957" s="2">
        <f>WEEKDAY(makulatura[[#This Row],[Data_dostarczenia]],2)</f>
        <v>5</v>
      </c>
    </row>
    <row r="1958" spans="1:6" x14ac:dyDescent="0.25">
      <c r="A1958" s="1">
        <v>43056</v>
      </c>
      <c r="B1958" s="2" t="s">
        <v>45</v>
      </c>
      <c r="C1958" s="2" t="s">
        <v>46</v>
      </c>
      <c r="D1958">
        <v>18</v>
      </c>
      <c r="E1958">
        <f>WEEKNUM(makulatura[[#This Row],[Data_dostarczenia]],13)</f>
        <v>47</v>
      </c>
      <c r="F1958" s="2">
        <f>WEEKDAY(makulatura[[#This Row],[Data_dostarczenia]],2)</f>
        <v>5</v>
      </c>
    </row>
    <row r="1959" spans="1:6" x14ac:dyDescent="0.25">
      <c r="A1959" s="1">
        <v>43056</v>
      </c>
      <c r="B1959" s="2" t="s">
        <v>393</v>
      </c>
      <c r="C1959" s="2" t="s">
        <v>227</v>
      </c>
      <c r="D1959">
        <v>36</v>
      </c>
      <c r="E1959">
        <f>WEEKNUM(makulatura[[#This Row],[Data_dostarczenia]],13)</f>
        <v>47</v>
      </c>
      <c r="F1959" s="2">
        <f>WEEKDAY(makulatura[[#This Row],[Data_dostarczenia]],2)</f>
        <v>5</v>
      </c>
    </row>
    <row r="1960" spans="1:6" x14ac:dyDescent="0.25">
      <c r="A1960" s="1">
        <v>43056</v>
      </c>
      <c r="B1960" s="2" t="s">
        <v>519</v>
      </c>
      <c r="C1960" s="2" t="s">
        <v>661</v>
      </c>
      <c r="D1960">
        <v>23</v>
      </c>
      <c r="E1960">
        <f>WEEKNUM(makulatura[[#This Row],[Data_dostarczenia]],13)</f>
        <v>47</v>
      </c>
      <c r="F1960" s="2">
        <f>WEEKDAY(makulatura[[#This Row],[Data_dostarczenia]],2)</f>
        <v>5</v>
      </c>
    </row>
    <row r="1961" spans="1:6" x14ac:dyDescent="0.25">
      <c r="A1961" s="1">
        <v>43056</v>
      </c>
      <c r="B1961" s="2" t="s">
        <v>453</v>
      </c>
      <c r="C1961" s="2" t="s">
        <v>454</v>
      </c>
      <c r="D1961">
        <v>7</v>
      </c>
      <c r="E1961">
        <f>WEEKNUM(makulatura[[#This Row],[Data_dostarczenia]],13)</f>
        <v>47</v>
      </c>
      <c r="F1961" s="2">
        <f>WEEKDAY(makulatura[[#This Row],[Data_dostarczenia]],2)</f>
        <v>5</v>
      </c>
    </row>
    <row r="1962" spans="1:6" x14ac:dyDescent="0.25">
      <c r="A1962" s="1">
        <v>43056</v>
      </c>
      <c r="B1962" s="2" t="s">
        <v>150</v>
      </c>
      <c r="C1962" s="2" t="s">
        <v>211</v>
      </c>
      <c r="D1962">
        <v>54</v>
      </c>
      <c r="E1962">
        <f>WEEKNUM(makulatura[[#This Row],[Data_dostarczenia]],13)</f>
        <v>47</v>
      </c>
      <c r="F1962" s="2">
        <f>WEEKDAY(makulatura[[#This Row],[Data_dostarczenia]],2)</f>
        <v>5</v>
      </c>
    </row>
    <row r="1963" spans="1:6" x14ac:dyDescent="0.25">
      <c r="A1963" s="1">
        <v>43056</v>
      </c>
      <c r="B1963" s="2" t="s">
        <v>271</v>
      </c>
      <c r="C1963" s="2" t="s">
        <v>272</v>
      </c>
      <c r="D1963">
        <v>48</v>
      </c>
      <c r="E1963">
        <f>WEEKNUM(makulatura[[#This Row],[Data_dostarczenia]],13)</f>
        <v>47</v>
      </c>
      <c r="F1963" s="2">
        <f>WEEKDAY(makulatura[[#This Row],[Data_dostarczenia]],2)</f>
        <v>5</v>
      </c>
    </row>
    <row r="1964" spans="1:6" x14ac:dyDescent="0.25">
      <c r="A1964" s="1">
        <v>43056</v>
      </c>
      <c r="B1964" s="2" t="s">
        <v>20</v>
      </c>
      <c r="C1964" s="2" t="s">
        <v>123</v>
      </c>
      <c r="D1964">
        <v>5</v>
      </c>
      <c r="E1964">
        <f>WEEKNUM(makulatura[[#This Row],[Data_dostarczenia]],13)</f>
        <v>47</v>
      </c>
      <c r="F1964" s="2">
        <f>WEEKDAY(makulatura[[#This Row],[Data_dostarczenia]],2)</f>
        <v>5</v>
      </c>
    </row>
    <row r="1965" spans="1:6" x14ac:dyDescent="0.25">
      <c r="A1965" s="1">
        <v>43056</v>
      </c>
      <c r="B1965" s="2" t="s">
        <v>320</v>
      </c>
      <c r="C1965" s="2" t="s">
        <v>321</v>
      </c>
      <c r="D1965">
        <v>51</v>
      </c>
      <c r="E1965">
        <f>WEEKNUM(makulatura[[#This Row],[Data_dostarczenia]],13)</f>
        <v>47</v>
      </c>
      <c r="F1965" s="2">
        <f>WEEKDAY(makulatura[[#This Row],[Data_dostarczenia]],2)</f>
        <v>5</v>
      </c>
    </row>
    <row r="1966" spans="1:6" x14ac:dyDescent="0.25">
      <c r="A1966" s="1">
        <v>43056</v>
      </c>
      <c r="B1966" s="2" t="s">
        <v>544</v>
      </c>
      <c r="C1966" s="2" t="s">
        <v>145</v>
      </c>
      <c r="D1966">
        <v>10</v>
      </c>
      <c r="E1966">
        <f>WEEKNUM(makulatura[[#This Row],[Data_dostarczenia]],13)</f>
        <v>47</v>
      </c>
      <c r="F1966" s="2">
        <f>WEEKDAY(makulatura[[#This Row],[Data_dostarczenia]],2)</f>
        <v>5</v>
      </c>
    </row>
    <row r="1967" spans="1:6" x14ac:dyDescent="0.25">
      <c r="A1967" s="1">
        <v>43056</v>
      </c>
      <c r="B1967" s="2" t="s">
        <v>147</v>
      </c>
      <c r="C1967" s="2" t="s">
        <v>148</v>
      </c>
      <c r="D1967">
        <v>24</v>
      </c>
      <c r="E1967">
        <f>WEEKNUM(makulatura[[#This Row],[Data_dostarczenia]],13)</f>
        <v>47</v>
      </c>
      <c r="F1967" s="2">
        <f>WEEKDAY(makulatura[[#This Row],[Data_dostarczenia]],2)</f>
        <v>5</v>
      </c>
    </row>
    <row r="1968" spans="1:6" x14ac:dyDescent="0.25">
      <c r="A1968" s="1">
        <v>43056</v>
      </c>
      <c r="B1968" s="2" t="s">
        <v>193</v>
      </c>
      <c r="C1968" s="2" t="s">
        <v>215</v>
      </c>
      <c r="D1968">
        <v>7</v>
      </c>
      <c r="E1968">
        <f>WEEKNUM(makulatura[[#This Row],[Data_dostarczenia]],13)</f>
        <v>47</v>
      </c>
      <c r="F1968" s="2">
        <f>WEEKDAY(makulatura[[#This Row],[Data_dostarczenia]],2)</f>
        <v>5</v>
      </c>
    </row>
    <row r="1969" spans="1:6" x14ac:dyDescent="0.25">
      <c r="A1969" s="1">
        <v>43056</v>
      </c>
      <c r="B1969" s="2" t="s">
        <v>55</v>
      </c>
      <c r="C1969" s="2" t="s">
        <v>493</v>
      </c>
      <c r="D1969">
        <v>11</v>
      </c>
      <c r="E1969">
        <f>WEEKNUM(makulatura[[#This Row],[Data_dostarczenia]],13)</f>
        <v>47</v>
      </c>
      <c r="F1969" s="2">
        <f>WEEKDAY(makulatura[[#This Row],[Data_dostarczenia]],2)</f>
        <v>5</v>
      </c>
    </row>
    <row r="1970" spans="1:6" x14ac:dyDescent="0.25">
      <c r="A1970" s="1">
        <v>43056</v>
      </c>
      <c r="B1970" s="2" t="s">
        <v>10</v>
      </c>
      <c r="C1970" s="2" t="s">
        <v>266</v>
      </c>
      <c r="D1970">
        <v>4</v>
      </c>
      <c r="E1970">
        <f>WEEKNUM(makulatura[[#This Row],[Data_dostarczenia]],13)</f>
        <v>47</v>
      </c>
      <c r="F1970" s="2">
        <f>WEEKDAY(makulatura[[#This Row],[Data_dostarczenia]],2)</f>
        <v>5</v>
      </c>
    </row>
    <row r="1971" spans="1:6" x14ac:dyDescent="0.25">
      <c r="A1971" s="1">
        <v>43059</v>
      </c>
      <c r="B1971" s="2" t="s">
        <v>12</v>
      </c>
      <c r="C1971" s="2" t="s">
        <v>667</v>
      </c>
      <c r="D1971">
        <v>30</v>
      </c>
      <c r="E1971">
        <f>WEEKNUM(makulatura[[#This Row],[Data_dostarczenia]],13)</f>
        <v>47</v>
      </c>
      <c r="F1971" s="2">
        <f>WEEKDAY(makulatura[[#This Row],[Data_dostarczenia]],2)</f>
        <v>1</v>
      </c>
    </row>
    <row r="1972" spans="1:6" x14ac:dyDescent="0.25">
      <c r="A1972" s="1">
        <v>43059</v>
      </c>
      <c r="B1972" s="2" t="s">
        <v>189</v>
      </c>
      <c r="C1972" s="2" t="s">
        <v>190</v>
      </c>
      <c r="D1972">
        <v>36</v>
      </c>
      <c r="E1972">
        <f>WEEKNUM(makulatura[[#This Row],[Data_dostarczenia]],13)</f>
        <v>47</v>
      </c>
      <c r="F1972" s="2">
        <f>WEEKDAY(makulatura[[#This Row],[Data_dostarczenia]],2)</f>
        <v>1</v>
      </c>
    </row>
    <row r="1973" spans="1:6" x14ac:dyDescent="0.25">
      <c r="A1973" s="1">
        <v>43059</v>
      </c>
      <c r="B1973" s="2" t="s">
        <v>47</v>
      </c>
      <c r="C1973" s="2" t="s">
        <v>230</v>
      </c>
      <c r="D1973">
        <v>22</v>
      </c>
      <c r="E1973">
        <f>WEEKNUM(makulatura[[#This Row],[Data_dostarczenia]],13)</f>
        <v>47</v>
      </c>
      <c r="F1973" s="2">
        <f>WEEKDAY(makulatura[[#This Row],[Data_dostarczenia]],2)</f>
        <v>1</v>
      </c>
    </row>
    <row r="1974" spans="1:6" x14ac:dyDescent="0.25">
      <c r="A1974" s="1">
        <v>43059</v>
      </c>
      <c r="B1974" s="2" t="s">
        <v>208</v>
      </c>
      <c r="C1974" s="2" t="s">
        <v>697</v>
      </c>
      <c r="D1974">
        <v>21</v>
      </c>
      <c r="E1974">
        <f>WEEKNUM(makulatura[[#This Row],[Data_dostarczenia]],13)</f>
        <v>47</v>
      </c>
      <c r="F1974" s="2">
        <f>WEEKDAY(makulatura[[#This Row],[Data_dostarczenia]],2)</f>
        <v>1</v>
      </c>
    </row>
    <row r="1975" spans="1:6" x14ac:dyDescent="0.25">
      <c r="A1975" s="1">
        <v>43059</v>
      </c>
      <c r="B1975" s="2" t="s">
        <v>83</v>
      </c>
      <c r="C1975" s="2" t="s">
        <v>459</v>
      </c>
      <c r="D1975">
        <v>16</v>
      </c>
      <c r="E1975">
        <f>WEEKNUM(makulatura[[#This Row],[Data_dostarczenia]],13)</f>
        <v>47</v>
      </c>
      <c r="F1975" s="2">
        <f>WEEKDAY(makulatura[[#This Row],[Data_dostarczenia]],2)</f>
        <v>1</v>
      </c>
    </row>
    <row r="1976" spans="1:6" x14ac:dyDescent="0.25">
      <c r="A1976" s="1">
        <v>43059</v>
      </c>
      <c r="B1976" s="2" t="s">
        <v>438</v>
      </c>
      <c r="C1976" s="2" t="s">
        <v>439</v>
      </c>
      <c r="D1976">
        <v>52</v>
      </c>
      <c r="E1976">
        <f>WEEKNUM(makulatura[[#This Row],[Data_dostarczenia]],13)</f>
        <v>47</v>
      </c>
      <c r="F1976" s="2">
        <f>WEEKDAY(makulatura[[#This Row],[Data_dostarczenia]],2)</f>
        <v>1</v>
      </c>
    </row>
    <row r="1977" spans="1:6" x14ac:dyDescent="0.25">
      <c r="A1977" s="1">
        <v>43059</v>
      </c>
      <c r="B1977" s="2" t="s">
        <v>232</v>
      </c>
      <c r="C1977" s="2" t="s">
        <v>487</v>
      </c>
      <c r="D1977">
        <v>20</v>
      </c>
      <c r="E1977">
        <f>WEEKNUM(makulatura[[#This Row],[Data_dostarczenia]],13)</f>
        <v>47</v>
      </c>
      <c r="F1977" s="2">
        <f>WEEKDAY(makulatura[[#This Row],[Data_dostarczenia]],2)</f>
        <v>1</v>
      </c>
    </row>
    <row r="1978" spans="1:6" x14ac:dyDescent="0.25">
      <c r="A1978" s="1">
        <v>43059</v>
      </c>
      <c r="B1978" s="2" t="s">
        <v>77</v>
      </c>
      <c r="C1978" s="2" t="s">
        <v>384</v>
      </c>
      <c r="D1978">
        <v>3</v>
      </c>
      <c r="E1978">
        <f>WEEKNUM(makulatura[[#This Row],[Data_dostarczenia]],13)</f>
        <v>47</v>
      </c>
      <c r="F1978" s="2">
        <f>WEEKDAY(makulatura[[#This Row],[Data_dostarczenia]],2)</f>
        <v>1</v>
      </c>
    </row>
    <row r="1979" spans="1:6" x14ac:dyDescent="0.25">
      <c r="A1979" s="1">
        <v>43059</v>
      </c>
      <c r="B1979" s="2" t="s">
        <v>117</v>
      </c>
      <c r="C1979" s="2" t="s">
        <v>183</v>
      </c>
      <c r="D1979">
        <v>23</v>
      </c>
      <c r="E1979">
        <f>WEEKNUM(makulatura[[#This Row],[Data_dostarczenia]],13)</f>
        <v>47</v>
      </c>
      <c r="F1979" s="2">
        <f>WEEKDAY(makulatura[[#This Row],[Data_dostarczenia]],2)</f>
        <v>1</v>
      </c>
    </row>
    <row r="1980" spans="1:6" x14ac:dyDescent="0.25">
      <c r="A1980" s="1">
        <v>43059</v>
      </c>
      <c r="B1980" s="2" t="s">
        <v>307</v>
      </c>
      <c r="C1980" s="2" t="s">
        <v>308</v>
      </c>
      <c r="D1980">
        <v>4</v>
      </c>
      <c r="E1980">
        <f>WEEKNUM(makulatura[[#This Row],[Data_dostarczenia]],13)</f>
        <v>47</v>
      </c>
      <c r="F1980" s="2">
        <f>WEEKDAY(makulatura[[#This Row],[Data_dostarczenia]],2)</f>
        <v>1</v>
      </c>
    </row>
    <row r="1981" spans="1:6" x14ac:dyDescent="0.25">
      <c r="A1981" s="1">
        <v>43059</v>
      </c>
      <c r="B1981" s="2" t="s">
        <v>174</v>
      </c>
      <c r="C1981" s="2" t="s">
        <v>175</v>
      </c>
      <c r="D1981">
        <v>20</v>
      </c>
      <c r="E1981">
        <f>WEEKNUM(makulatura[[#This Row],[Data_dostarczenia]],13)</f>
        <v>47</v>
      </c>
      <c r="F1981" s="2">
        <f>WEEKDAY(makulatura[[#This Row],[Data_dostarczenia]],2)</f>
        <v>1</v>
      </c>
    </row>
    <row r="1982" spans="1:6" x14ac:dyDescent="0.25">
      <c r="A1982" s="1">
        <v>43059</v>
      </c>
      <c r="B1982" s="2" t="s">
        <v>23</v>
      </c>
      <c r="C1982" s="2" t="s">
        <v>695</v>
      </c>
      <c r="D1982">
        <v>51</v>
      </c>
      <c r="E1982">
        <f>WEEKNUM(makulatura[[#This Row],[Data_dostarczenia]],13)</f>
        <v>47</v>
      </c>
      <c r="F1982" s="2">
        <f>WEEKDAY(makulatura[[#This Row],[Data_dostarczenia]],2)</f>
        <v>1</v>
      </c>
    </row>
    <row r="1983" spans="1:6" x14ac:dyDescent="0.25">
      <c r="A1983" s="1">
        <v>43059</v>
      </c>
      <c r="B1983" s="2" t="s">
        <v>574</v>
      </c>
      <c r="C1983" s="2" t="s">
        <v>421</v>
      </c>
      <c r="D1983">
        <v>29</v>
      </c>
      <c r="E1983">
        <f>WEEKNUM(makulatura[[#This Row],[Data_dostarczenia]],13)</f>
        <v>47</v>
      </c>
      <c r="F1983" s="2">
        <f>WEEKDAY(makulatura[[#This Row],[Data_dostarczenia]],2)</f>
        <v>1</v>
      </c>
    </row>
    <row r="1984" spans="1:6" x14ac:dyDescent="0.25">
      <c r="A1984" s="1">
        <v>43059</v>
      </c>
      <c r="B1984" s="2" t="s">
        <v>39</v>
      </c>
      <c r="C1984" s="2" t="s">
        <v>111</v>
      </c>
      <c r="D1984">
        <v>54</v>
      </c>
      <c r="E1984">
        <f>WEEKNUM(makulatura[[#This Row],[Data_dostarczenia]],13)</f>
        <v>47</v>
      </c>
      <c r="F1984" s="2">
        <f>WEEKDAY(makulatura[[#This Row],[Data_dostarczenia]],2)</f>
        <v>1</v>
      </c>
    </row>
    <row r="1985" spans="1:6" x14ac:dyDescent="0.25">
      <c r="A1985" s="1">
        <v>43059</v>
      </c>
      <c r="B1985" s="2" t="s">
        <v>171</v>
      </c>
      <c r="C1985" s="2" t="s">
        <v>562</v>
      </c>
      <c r="D1985">
        <v>19</v>
      </c>
      <c r="E1985">
        <f>WEEKNUM(makulatura[[#This Row],[Data_dostarczenia]],13)</f>
        <v>47</v>
      </c>
      <c r="F1985" s="2">
        <f>WEEKDAY(makulatura[[#This Row],[Data_dostarczenia]],2)</f>
        <v>1</v>
      </c>
    </row>
    <row r="1986" spans="1:6" x14ac:dyDescent="0.25">
      <c r="A1986" s="1">
        <v>43059</v>
      </c>
      <c r="B1986" s="2" t="s">
        <v>352</v>
      </c>
      <c r="C1986" s="2" t="s">
        <v>227</v>
      </c>
      <c r="D1986">
        <v>25</v>
      </c>
      <c r="E1986">
        <f>WEEKNUM(makulatura[[#This Row],[Data_dostarczenia]],13)</f>
        <v>47</v>
      </c>
      <c r="F1986" s="2">
        <f>WEEKDAY(makulatura[[#This Row],[Data_dostarczenia]],2)</f>
        <v>1</v>
      </c>
    </row>
    <row r="1987" spans="1:6" x14ac:dyDescent="0.25">
      <c r="A1987" s="1">
        <v>43059</v>
      </c>
      <c r="B1987" s="2" t="s">
        <v>409</v>
      </c>
      <c r="C1987" s="2" t="s">
        <v>410</v>
      </c>
      <c r="D1987">
        <v>4</v>
      </c>
      <c r="E1987">
        <f>WEEKNUM(makulatura[[#This Row],[Data_dostarczenia]],13)</f>
        <v>47</v>
      </c>
      <c r="F1987" s="2">
        <f>WEEKDAY(makulatura[[#This Row],[Data_dostarczenia]],2)</f>
        <v>1</v>
      </c>
    </row>
    <row r="1988" spans="1:6" x14ac:dyDescent="0.25">
      <c r="A1988" s="1">
        <v>43059</v>
      </c>
      <c r="B1988" s="2" t="s">
        <v>133</v>
      </c>
      <c r="C1988" s="2" t="s">
        <v>616</v>
      </c>
      <c r="D1988">
        <v>10</v>
      </c>
      <c r="E1988">
        <f>WEEKNUM(makulatura[[#This Row],[Data_dostarczenia]],13)</f>
        <v>47</v>
      </c>
      <c r="F1988" s="2">
        <f>WEEKDAY(makulatura[[#This Row],[Data_dostarczenia]],2)</f>
        <v>1</v>
      </c>
    </row>
    <row r="1989" spans="1:6" x14ac:dyDescent="0.25">
      <c r="A1989" s="1">
        <v>43060</v>
      </c>
      <c r="B1989" s="2" t="s">
        <v>106</v>
      </c>
      <c r="C1989" s="2" t="s">
        <v>107</v>
      </c>
      <c r="D1989">
        <v>9</v>
      </c>
      <c r="E1989">
        <f>WEEKNUM(makulatura[[#This Row],[Data_dostarczenia]],13)</f>
        <v>47</v>
      </c>
      <c r="F1989" s="2">
        <f>WEEKDAY(makulatura[[#This Row],[Data_dostarczenia]],2)</f>
        <v>2</v>
      </c>
    </row>
    <row r="1990" spans="1:6" x14ac:dyDescent="0.25">
      <c r="A1990" s="1">
        <v>43060</v>
      </c>
      <c r="B1990" s="2" t="s">
        <v>81</v>
      </c>
      <c r="C1990" s="2" t="s">
        <v>584</v>
      </c>
      <c r="D1990">
        <v>8</v>
      </c>
      <c r="E1990">
        <f>WEEKNUM(makulatura[[#This Row],[Data_dostarczenia]],13)</f>
        <v>47</v>
      </c>
      <c r="F1990" s="2">
        <f>WEEKDAY(makulatura[[#This Row],[Data_dostarczenia]],2)</f>
        <v>2</v>
      </c>
    </row>
    <row r="1991" spans="1:6" x14ac:dyDescent="0.25">
      <c r="A1991" s="1">
        <v>43060</v>
      </c>
      <c r="B1991" s="2" t="s">
        <v>280</v>
      </c>
      <c r="C1991" s="2" t="s">
        <v>580</v>
      </c>
      <c r="D1991">
        <v>50</v>
      </c>
      <c r="E1991">
        <f>WEEKNUM(makulatura[[#This Row],[Data_dostarczenia]],13)</f>
        <v>47</v>
      </c>
      <c r="F1991" s="2">
        <f>WEEKDAY(makulatura[[#This Row],[Data_dostarczenia]],2)</f>
        <v>2</v>
      </c>
    </row>
    <row r="1992" spans="1:6" x14ac:dyDescent="0.25">
      <c r="A1992" s="1">
        <v>43060</v>
      </c>
      <c r="B1992" s="2" t="s">
        <v>141</v>
      </c>
      <c r="C1992" s="2" t="s">
        <v>292</v>
      </c>
      <c r="D1992">
        <v>18</v>
      </c>
      <c r="E1992">
        <f>WEEKNUM(makulatura[[#This Row],[Data_dostarczenia]],13)</f>
        <v>47</v>
      </c>
      <c r="F1992" s="2">
        <f>WEEKDAY(makulatura[[#This Row],[Data_dostarczenia]],2)</f>
        <v>2</v>
      </c>
    </row>
    <row r="1993" spans="1:6" x14ac:dyDescent="0.25">
      <c r="A1993" s="1">
        <v>43060</v>
      </c>
      <c r="B1993" s="2" t="s">
        <v>176</v>
      </c>
      <c r="C1993" s="2" t="s">
        <v>486</v>
      </c>
      <c r="D1993">
        <v>42</v>
      </c>
      <c r="E1993">
        <f>WEEKNUM(makulatura[[#This Row],[Data_dostarczenia]],13)</f>
        <v>47</v>
      </c>
      <c r="F1993" s="2">
        <f>WEEKDAY(makulatura[[#This Row],[Data_dostarczenia]],2)</f>
        <v>2</v>
      </c>
    </row>
    <row r="1994" spans="1:6" x14ac:dyDescent="0.25">
      <c r="A1994" s="1">
        <v>43060</v>
      </c>
      <c r="B1994" s="2" t="s">
        <v>72</v>
      </c>
      <c r="C1994" s="2" t="s">
        <v>73</v>
      </c>
      <c r="D1994">
        <v>24</v>
      </c>
      <c r="E1994">
        <f>WEEKNUM(makulatura[[#This Row],[Data_dostarczenia]],13)</f>
        <v>47</v>
      </c>
      <c r="F1994" s="2">
        <f>WEEKDAY(makulatura[[#This Row],[Data_dostarczenia]],2)</f>
        <v>2</v>
      </c>
    </row>
    <row r="1995" spans="1:6" x14ac:dyDescent="0.25">
      <c r="A1995" s="1">
        <v>43060</v>
      </c>
      <c r="B1995" s="2" t="s">
        <v>171</v>
      </c>
      <c r="C1995" s="2" t="s">
        <v>5</v>
      </c>
      <c r="D1995">
        <v>31</v>
      </c>
      <c r="E1995">
        <f>WEEKNUM(makulatura[[#This Row],[Data_dostarczenia]],13)</f>
        <v>47</v>
      </c>
      <c r="F1995" s="2">
        <f>WEEKDAY(makulatura[[#This Row],[Data_dostarczenia]],2)</f>
        <v>2</v>
      </c>
    </row>
    <row r="1996" spans="1:6" x14ac:dyDescent="0.25">
      <c r="A1996" s="1">
        <v>43060</v>
      </c>
      <c r="B1996" s="2" t="s">
        <v>299</v>
      </c>
      <c r="C1996" s="2" t="s">
        <v>300</v>
      </c>
      <c r="D1996">
        <v>46</v>
      </c>
      <c r="E1996">
        <f>WEEKNUM(makulatura[[#This Row],[Data_dostarczenia]],13)</f>
        <v>47</v>
      </c>
      <c r="F1996" s="2">
        <f>WEEKDAY(makulatura[[#This Row],[Data_dostarczenia]],2)</f>
        <v>2</v>
      </c>
    </row>
    <row r="1997" spans="1:6" x14ac:dyDescent="0.25">
      <c r="A1997" s="1">
        <v>43060</v>
      </c>
      <c r="B1997" s="2" t="s">
        <v>206</v>
      </c>
      <c r="C1997" s="2" t="s">
        <v>227</v>
      </c>
      <c r="D1997">
        <v>9</v>
      </c>
      <c r="E1997">
        <f>WEEKNUM(makulatura[[#This Row],[Data_dostarczenia]],13)</f>
        <v>47</v>
      </c>
      <c r="F1997" s="2">
        <f>WEEKDAY(makulatura[[#This Row],[Data_dostarczenia]],2)</f>
        <v>2</v>
      </c>
    </row>
    <row r="1998" spans="1:6" x14ac:dyDescent="0.25">
      <c r="A1998" s="1">
        <v>43060</v>
      </c>
      <c r="B1998" s="2" t="s">
        <v>416</v>
      </c>
      <c r="C1998" s="2" t="s">
        <v>572</v>
      </c>
      <c r="D1998">
        <v>9</v>
      </c>
      <c r="E1998">
        <f>WEEKNUM(makulatura[[#This Row],[Data_dostarczenia]],13)</f>
        <v>47</v>
      </c>
      <c r="F1998" s="2">
        <f>WEEKDAY(makulatura[[#This Row],[Data_dostarczenia]],2)</f>
        <v>2</v>
      </c>
    </row>
    <row r="1999" spans="1:6" x14ac:dyDescent="0.25">
      <c r="A1999" s="1">
        <v>43060</v>
      </c>
      <c r="B1999" s="2" t="s">
        <v>43</v>
      </c>
      <c r="C1999" s="2" t="s">
        <v>44</v>
      </c>
      <c r="D1999">
        <v>53</v>
      </c>
      <c r="E1999">
        <f>WEEKNUM(makulatura[[#This Row],[Data_dostarczenia]],13)</f>
        <v>47</v>
      </c>
      <c r="F1999" s="2">
        <f>WEEKDAY(makulatura[[#This Row],[Data_dostarczenia]],2)</f>
        <v>2</v>
      </c>
    </row>
    <row r="2000" spans="1:6" x14ac:dyDescent="0.25">
      <c r="A2000" s="1">
        <v>43060</v>
      </c>
      <c r="B2000" s="2" t="s">
        <v>131</v>
      </c>
      <c r="C2000" s="2" t="s">
        <v>451</v>
      </c>
      <c r="D2000">
        <v>5</v>
      </c>
      <c r="E2000">
        <f>WEEKNUM(makulatura[[#This Row],[Data_dostarczenia]],13)</f>
        <v>47</v>
      </c>
      <c r="F2000" s="2">
        <f>WEEKDAY(makulatura[[#This Row],[Data_dostarczenia]],2)</f>
        <v>2</v>
      </c>
    </row>
    <row r="2001" spans="1:6" x14ac:dyDescent="0.25">
      <c r="A2001" s="1">
        <v>43060</v>
      </c>
      <c r="B2001" s="2" t="s">
        <v>137</v>
      </c>
      <c r="C2001" s="2" t="s">
        <v>138</v>
      </c>
      <c r="D2001">
        <v>39</v>
      </c>
      <c r="E2001">
        <f>WEEKNUM(makulatura[[#This Row],[Data_dostarczenia]],13)</f>
        <v>47</v>
      </c>
      <c r="F2001" s="2">
        <f>WEEKDAY(makulatura[[#This Row],[Data_dostarczenia]],2)</f>
        <v>2</v>
      </c>
    </row>
    <row r="2002" spans="1:6" x14ac:dyDescent="0.25">
      <c r="A2002" s="1">
        <v>43060</v>
      </c>
      <c r="B2002" s="2" t="s">
        <v>372</v>
      </c>
      <c r="C2002" s="2" t="s">
        <v>373</v>
      </c>
      <c r="D2002">
        <v>43</v>
      </c>
      <c r="E2002">
        <f>WEEKNUM(makulatura[[#This Row],[Data_dostarczenia]],13)</f>
        <v>47</v>
      </c>
      <c r="F2002" s="2">
        <f>WEEKDAY(makulatura[[#This Row],[Data_dostarczenia]],2)</f>
        <v>2</v>
      </c>
    </row>
    <row r="2003" spans="1:6" x14ac:dyDescent="0.25">
      <c r="A2003" s="1">
        <v>43060</v>
      </c>
      <c r="B2003" s="2" t="s">
        <v>83</v>
      </c>
      <c r="C2003" s="2" t="s">
        <v>350</v>
      </c>
      <c r="D2003">
        <v>14</v>
      </c>
      <c r="E2003">
        <f>WEEKNUM(makulatura[[#This Row],[Data_dostarczenia]],13)</f>
        <v>47</v>
      </c>
      <c r="F2003" s="2">
        <f>WEEKDAY(makulatura[[#This Row],[Data_dostarczenia]],2)</f>
        <v>2</v>
      </c>
    </row>
    <row r="2004" spans="1:6" x14ac:dyDescent="0.25">
      <c r="A2004" s="1">
        <v>43060</v>
      </c>
      <c r="B2004" s="2" t="s">
        <v>150</v>
      </c>
      <c r="C2004" s="2" t="s">
        <v>151</v>
      </c>
      <c r="D2004">
        <v>25</v>
      </c>
      <c r="E2004">
        <f>WEEKNUM(makulatura[[#This Row],[Data_dostarczenia]],13)</f>
        <v>47</v>
      </c>
      <c r="F2004" s="2">
        <f>WEEKDAY(makulatura[[#This Row],[Data_dostarczenia]],2)</f>
        <v>2</v>
      </c>
    </row>
    <row r="2005" spans="1:6" x14ac:dyDescent="0.25">
      <c r="A2005" s="1">
        <v>43060</v>
      </c>
      <c r="B2005" s="2" t="s">
        <v>121</v>
      </c>
      <c r="C2005" s="2" t="s">
        <v>122</v>
      </c>
      <c r="D2005">
        <v>16</v>
      </c>
      <c r="E2005">
        <f>WEEKNUM(makulatura[[#This Row],[Data_dostarczenia]],13)</f>
        <v>47</v>
      </c>
      <c r="F2005" s="2">
        <f>WEEKDAY(makulatura[[#This Row],[Data_dostarczenia]],2)</f>
        <v>2</v>
      </c>
    </row>
    <row r="2006" spans="1:6" x14ac:dyDescent="0.25">
      <c r="A2006" s="1">
        <v>43060</v>
      </c>
      <c r="B2006" s="2" t="s">
        <v>374</v>
      </c>
      <c r="C2006" s="2" t="s">
        <v>581</v>
      </c>
      <c r="D2006">
        <v>23</v>
      </c>
      <c r="E2006">
        <f>WEEKNUM(makulatura[[#This Row],[Data_dostarczenia]],13)</f>
        <v>47</v>
      </c>
      <c r="F2006" s="2">
        <f>WEEKDAY(makulatura[[#This Row],[Data_dostarczenia]],2)</f>
        <v>2</v>
      </c>
    </row>
    <row r="2007" spans="1:6" x14ac:dyDescent="0.25">
      <c r="A2007" s="1">
        <v>43061</v>
      </c>
      <c r="B2007" s="2" t="s">
        <v>4</v>
      </c>
      <c r="C2007" s="2" t="s">
        <v>5</v>
      </c>
      <c r="D2007">
        <v>12</v>
      </c>
      <c r="E2007">
        <f>WEEKNUM(makulatura[[#This Row],[Data_dostarczenia]],13)</f>
        <v>48</v>
      </c>
      <c r="F2007" s="2">
        <f>WEEKDAY(makulatura[[#This Row],[Data_dostarczenia]],2)</f>
        <v>3</v>
      </c>
    </row>
    <row r="2008" spans="1:6" x14ac:dyDescent="0.25">
      <c r="A2008" s="1">
        <v>43061</v>
      </c>
      <c r="B2008" s="2" t="s">
        <v>374</v>
      </c>
      <c r="C2008" s="2" t="s">
        <v>375</v>
      </c>
      <c r="D2008">
        <v>10</v>
      </c>
      <c r="E2008">
        <f>WEEKNUM(makulatura[[#This Row],[Data_dostarczenia]],13)</f>
        <v>48</v>
      </c>
      <c r="F2008" s="2">
        <f>WEEKDAY(makulatura[[#This Row],[Data_dostarczenia]],2)</f>
        <v>3</v>
      </c>
    </row>
    <row r="2009" spans="1:6" x14ac:dyDescent="0.25">
      <c r="A2009" s="1">
        <v>43061</v>
      </c>
      <c r="B2009" s="2" t="s">
        <v>16</v>
      </c>
      <c r="C2009" s="2" t="s">
        <v>642</v>
      </c>
      <c r="D2009">
        <v>49</v>
      </c>
      <c r="E2009">
        <f>WEEKNUM(makulatura[[#This Row],[Data_dostarczenia]],13)</f>
        <v>48</v>
      </c>
      <c r="F2009" s="2">
        <f>WEEKDAY(makulatura[[#This Row],[Data_dostarczenia]],2)</f>
        <v>3</v>
      </c>
    </row>
    <row r="2010" spans="1:6" x14ac:dyDescent="0.25">
      <c r="A2010" s="1">
        <v>43061</v>
      </c>
      <c r="B2010" s="2" t="s">
        <v>367</v>
      </c>
      <c r="C2010" s="2" t="s">
        <v>5</v>
      </c>
      <c r="D2010">
        <v>9</v>
      </c>
      <c r="E2010">
        <f>WEEKNUM(makulatura[[#This Row],[Data_dostarczenia]],13)</f>
        <v>48</v>
      </c>
      <c r="F2010" s="2">
        <f>WEEKDAY(makulatura[[#This Row],[Data_dostarczenia]],2)</f>
        <v>3</v>
      </c>
    </row>
    <row r="2011" spans="1:6" x14ac:dyDescent="0.25">
      <c r="A2011" s="1">
        <v>43061</v>
      </c>
      <c r="B2011" s="2" t="s">
        <v>55</v>
      </c>
      <c r="C2011" s="2" t="s">
        <v>56</v>
      </c>
      <c r="D2011">
        <v>14</v>
      </c>
      <c r="E2011">
        <f>WEEKNUM(makulatura[[#This Row],[Data_dostarczenia]],13)</f>
        <v>48</v>
      </c>
      <c r="F2011" s="2">
        <f>WEEKDAY(makulatura[[#This Row],[Data_dostarczenia]],2)</f>
        <v>3</v>
      </c>
    </row>
    <row r="2012" spans="1:6" x14ac:dyDescent="0.25">
      <c r="A2012" s="1">
        <v>43061</v>
      </c>
      <c r="B2012" s="2" t="s">
        <v>412</v>
      </c>
      <c r="C2012" s="2" t="s">
        <v>413</v>
      </c>
      <c r="D2012">
        <v>23</v>
      </c>
      <c r="E2012">
        <f>WEEKNUM(makulatura[[#This Row],[Data_dostarczenia]],13)</f>
        <v>48</v>
      </c>
      <c r="F2012" s="2">
        <f>WEEKDAY(makulatura[[#This Row],[Data_dostarczenia]],2)</f>
        <v>3</v>
      </c>
    </row>
    <row r="2013" spans="1:6" x14ac:dyDescent="0.25">
      <c r="A2013" s="1">
        <v>43061</v>
      </c>
      <c r="B2013" s="2" t="s">
        <v>367</v>
      </c>
      <c r="C2013" s="2" t="s">
        <v>368</v>
      </c>
      <c r="D2013">
        <v>12</v>
      </c>
      <c r="E2013">
        <f>WEEKNUM(makulatura[[#This Row],[Data_dostarczenia]],13)</f>
        <v>48</v>
      </c>
      <c r="F2013" s="2">
        <f>WEEKDAY(makulatura[[#This Row],[Data_dostarczenia]],2)</f>
        <v>3</v>
      </c>
    </row>
    <row r="2014" spans="1:6" x14ac:dyDescent="0.25">
      <c r="A2014" s="1">
        <v>43061</v>
      </c>
      <c r="B2014" s="2" t="s">
        <v>314</v>
      </c>
      <c r="C2014" s="2" t="s">
        <v>315</v>
      </c>
      <c r="D2014">
        <v>14</v>
      </c>
      <c r="E2014">
        <f>WEEKNUM(makulatura[[#This Row],[Data_dostarczenia]],13)</f>
        <v>48</v>
      </c>
      <c r="F2014" s="2">
        <f>WEEKDAY(makulatura[[#This Row],[Data_dostarczenia]],2)</f>
        <v>3</v>
      </c>
    </row>
    <row r="2015" spans="1:6" x14ac:dyDescent="0.25">
      <c r="A2015" s="1">
        <v>43061</v>
      </c>
      <c r="B2015" s="2" t="s">
        <v>92</v>
      </c>
      <c r="C2015" s="2" t="s">
        <v>93</v>
      </c>
      <c r="D2015">
        <v>5</v>
      </c>
      <c r="E2015">
        <f>WEEKNUM(makulatura[[#This Row],[Data_dostarczenia]],13)</f>
        <v>48</v>
      </c>
      <c r="F2015" s="2">
        <f>WEEKDAY(makulatura[[#This Row],[Data_dostarczenia]],2)</f>
        <v>3</v>
      </c>
    </row>
    <row r="2016" spans="1:6" x14ac:dyDescent="0.25">
      <c r="A2016" s="1">
        <v>43061</v>
      </c>
      <c r="B2016" s="2" t="s">
        <v>30</v>
      </c>
      <c r="C2016" s="2" t="s">
        <v>680</v>
      </c>
      <c r="D2016">
        <v>13</v>
      </c>
      <c r="E2016">
        <f>WEEKNUM(makulatura[[#This Row],[Data_dostarczenia]],13)</f>
        <v>48</v>
      </c>
      <c r="F2016" s="2">
        <f>WEEKDAY(makulatura[[#This Row],[Data_dostarczenia]],2)</f>
        <v>3</v>
      </c>
    </row>
    <row r="2017" spans="1:6" x14ac:dyDescent="0.25">
      <c r="A2017" s="1">
        <v>43061</v>
      </c>
      <c r="B2017" s="2" t="s">
        <v>232</v>
      </c>
      <c r="C2017" s="2" t="s">
        <v>233</v>
      </c>
      <c r="D2017">
        <v>5</v>
      </c>
      <c r="E2017">
        <f>WEEKNUM(makulatura[[#This Row],[Data_dostarczenia]],13)</f>
        <v>48</v>
      </c>
      <c r="F2017" s="2">
        <f>WEEKDAY(makulatura[[#This Row],[Data_dostarczenia]],2)</f>
        <v>3</v>
      </c>
    </row>
    <row r="2018" spans="1:6" x14ac:dyDescent="0.25">
      <c r="A2018" s="1">
        <v>43061</v>
      </c>
      <c r="B2018" s="2" t="s">
        <v>39</v>
      </c>
      <c r="C2018" s="2" t="s">
        <v>436</v>
      </c>
      <c r="D2018">
        <v>29</v>
      </c>
      <c r="E2018">
        <f>WEEKNUM(makulatura[[#This Row],[Data_dostarczenia]],13)</f>
        <v>48</v>
      </c>
      <c r="F2018" s="2">
        <f>WEEKDAY(makulatura[[#This Row],[Data_dostarczenia]],2)</f>
        <v>3</v>
      </c>
    </row>
    <row r="2019" spans="1:6" x14ac:dyDescent="0.25">
      <c r="A2019" s="1">
        <v>43061</v>
      </c>
      <c r="B2019" s="2" t="s">
        <v>427</v>
      </c>
      <c r="C2019" s="2" t="s">
        <v>118</v>
      </c>
      <c r="D2019">
        <v>24</v>
      </c>
      <c r="E2019">
        <f>WEEKNUM(makulatura[[#This Row],[Data_dostarczenia]],13)</f>
        <v>48</v>
      </c>
      <c r="F2019" s="2">
        <f>WEEKDAY(makulatura[[#This Row],[Data_dostarczenia]],2)</f>
        <v>3</v>
      </c>
    </row>
    <row r="2020" spans="1:6" x14ac:dyDescent="0.25">
      <c r="A2020" s="1">
        <v>43061</v>
      </c>
      <c r="B2020" s="2" t="s">
        <v>494</v>
      </c>
      <c r="C2020" s="2" t="s">
        <v>495</v>
      </c>
      <c r="D2020">
        <v>2</v>
      </c>
      <c r="E2020">
        <f>WEEKNUM(makulatura[[#This Row],[Data_dostarczenia]],13)</f>
        <v>48</v>
      </c>
      <c r="F2020" s="2">
        <f>WEEKDAY(makulatura[[#This Row],[Data_dostarczenia]],2)</f>
        <v>3</v>
      </c>
    </row>
    <row r="2021" spans="1:6" x14ac:dyDescent="0.25">
      <c r="A2021" s="1">
        <v>43061</v>
      </c>
      <c r="B2021" s="2" t="s">
        <v>55</v>
      </c>
      <c r="C2021" s="2" t="s">
        <v>691</v>
      </c>
      <c r="D2021">
        <v>41</v>
      </c>
      <c r="E2021">
        <f>WEEKNUM(makulatura[[#This Row],[Data_dostarczenia]],13)</f>
        <v>48</v>
      </c>
      <c r="F2021" s="2">
        <f>WEEKDAY(makulatura[[#This Row],[Data_dostarczenia]],2)</f>
        <v>3</v>
      </c>
    </row>
    <row r="2022" spans="1:6" x14ac:dyDescent="0.25">
      <c r="A2022" s="1">
        <v>43061</v>
      </c>
      <c r="B2022" s="2" t="s">
        <v>18</v>
      </c>
      <c r="C2022" s="2" t="s">
        <v>597</v>
      </c>
      <c r="D2022">
        <v>21</v>
      </c>
      <c r="E2022">
        <f>WEEKNUM(makulatura[[#This Row],[Data_dostarczenia]],13)</f>
        <v>48</v>
      </c>
      <c r="F2022" s="2">
        <f>WEEKDAY(makulatura[[#This Row],[Data_dostarczenia]],2)</f>
        <v>3</v>
      </c>
    </row>
    <row r="2023" spans="1:6" x14ac:dyDescent="0.25">
      <c r="A2023" s="1">
        <v>43061</v>
      </c>
      <c r="B2023" s="2" t="s">
        <v>171</v>
      </c>
      <c r="C2023" s="2" t="s">
        <v>651</v>
      </c>
      <c r="D2023">
        <v>25</v>
      </c>
      <c r="E2023">
        <f>WEEKNUM(makulatura[[#This Row],[Data_dostarczenia]],13)</f>
        <v>48</v>
      </c>
      <c r="F2023" s="2">
        <f>WEEKDAY(makulatura[[#This Row],[Data_dostarczenia]],2)</f>
        <v>3</v>
      </c>
    </row>
    <row r="2024" spans="1:6" x14ac:dyDescent="0.25">
      <c r="A2024" s="1">
        <v>43061</v>
      </c>
      <c r="B2024" s="2" t="s">
        <v>169</v>
      </c>
      <c r="C2024" s="2" t="s">
        <v>684</v>
      </c>
      <c r="D2024">
        <v>26</v>
      </c>
      <c r="E2024">
        <f>WEEKNUM(makulatura[[#This Row],[Data_dostarczenia]],13)</f>
        <v>48</v>
      </c>
      <c r="F2024" s="2">
        <f>WEEKDAY(makulatura[[#This Row],[Data_dostarczenia]],2)</f>
        <v>3</v>
      </c>
    </row>
    <row r="2025" spans="1:6" x14ac:dyDescent="0.25">
      <c r="A2025" s="1">
        <v>43061</v>
      </c>
      <c r="B2025" s="2" t="s">
        <v>87</v>
      </c>
      <c r="C2025" s="2" t="s">
        <v>424</v>
      </c>
      <c r="D2025">
        <v>14</v>
      </c>
      <c r="E2025">
        <f>WEEKNUM(makulatura[[#This Row],[Data_dostarczenia]],13)</f>
        <v>48</v>
      </c>
      <c r="F2025" s="2">
        <f>WEEKDAY(makulatura[[#This Row],[Data_dostarczenia]],2)</f>
        <v>3</v>
      </c>
    </row>
    <row r="2026" spans="1:6" x14ac:dyDescent="0.25">
      <c r="A2026" s="1">
        <v>43062</v>
      </c>
      <c r="B2026" s="2" t="s">
        <v>83</v>
      </c>
      <c r="C2026" s="2" t="s">
        <v>149</v>
      </c>
      <c r="D2026">
        <v>14</v>
      </c>
      <c r="E2026">
        <f>WEEKNUM(makulatura[[#This Row],[Data_dostarczenia]],13)</f>
        <v>48</v>
      </c>
      <c r="F2026" s="2">
        <f>WEEKDAY(makulatura[[#This Row],[Data_dostarczenia]],2)</f>
        <v>4</v>
      </c>
    </row>
    <row r="2027" spans="1:6" x14ac:dyDescent="0.25">
      <c r="A2027" s="1">
        <v>43062</v>
      </c>
      <c r="B2027" s="2" t="s">
        <v>427</v>
      </c>
      <c r="C2027" s="2" t="s">
        <v>118</v>
      </c>
      <c r="D2027">
        <v>39</v>
      </c>
      <c r="E2027">
        <f>WEEKNUM(makulatura[[#This Row],[Data_dostarczenia]],13)</f>
        <v>48</v>
      </c>
      <c r="F2027" s="2">
        <f>WEEKDAY(makulatura[[#This Row],[Data_dostarczenia]],2)</f>
        <v>4</v>
      </c>
    </row>
    <row r="2028" spans="1:6" x14ac:dyDescent="0.25">
      <c r="A2028" s="1">
        <v>43062</v>
      </c>
      <c r="B2028" s="2" t="s">
        <v>81</v>
      </c>
      <c r="C2028" s="2" t="s">
        <v>648</v>
      </c>
      <c r="D2028">
        <v>25</v>
      </c>
      <c r="E2028">
        <f>WEEKNUM(makulatura[[#This Row],[Data_dostarczenia]],13)</f>
        <v>48</v>
      </c>
      <c r="F2028" s="2">
        <f>WEEKDAY(makulatura[[#This Row],[Data_dostarczenia]],2)</f>
        <v>4</v>
      </c>
    </row>
    <row r="2029" spans="1:6" x14ac:dyDescent="0.25">
      <c r="A2029" s="1">
        <v>43062</v>
      </c>
      <c r="B2029" s="2" t="s">
        <v>395</v>
      </c>
      <c r="C2029" s="2" t="s">
        <v>599</v>
      </c>
      <c r="D2029">
        <v>15</v>
      </c>
      <c r="E2029">
        <f>WEEKNUM(makulatura[[#This Row],[Data_dostarczenia]],13)</f>
        <v>48</v>
      </c>
      <c r="F2029" s="2">
        <f>WEEKDAY(makulatura[[#This Row],[Data_dostarczenia]],2)</f>
        <v>4</v>
      </c>
    </row>
    <row r="2030" spans="1:6" x14ac:dyDescent="0.25">
      <c r="A2030" s="1">
        <v>43062</v>
      </c>
      <c r="B2030" s="2" t="s">
        <v>69</v>
      </c>
      <c r="C2030" s="2" t="s">
        <v>200</v>
      </c>
      <c r="D2030">
        <v>9</v>
      </c>
      <c r="E2030">
        <f>WEEKNUM(makulatura[[#This Row],[Data_dostarczenia]],13)</f>
        <v>48</v>
      </c>
      <c r="F2030" s="2">
        <f>WEEKDAY(makulatura[[#This Row],[Data_dostarczenia]],2)</f>
        <v>4</v>
      </c>
    </row>
    <row r="2031" spans="1:6" x14ac:dyDescent="0.25">
      <c r="A2031" s="1">
        <v>43062</v>
      </c>
      <c r="B2031" s="2" t="s">
        <v>359</v>
      </c>
      <c r="C2031" s="2" t="s">
        <v>431</v>
      </c>
      <c r="D2031">
        <v>10</v>
      </c>
      <c r="E2031">
        <f>WEEKNUM(makulatura[[#This Row],[Data_dostarczenia]],13)</f>
        <v>48</v>
      </c>
      <c r="F2031" s="2">
        <f>WEEKDAY(makulatura[[#This Row],[Data_dostarczenia]],2)</f>
        <v>4</v>
      </c>
    </row>
    <row r="2032" spans="1:6" x14ac:dyDescent="0.25">
      <c r="A2032" s="1">
        <v>43062</v>
      </c>
      <c r="B2032" s="2" t="s">
        <v>69</v>
      </c>
      <c r="C2032" s="2" t="s">
        <v>200</v>
      </c>
      <c r="D2032">
        <v>12</v>
      </c>
      <c r="E2032">
        <f>WEEKNUM(makulatura[[#This Row],[Data_dostarczenia]],13)</f>
        <v>48</v>
      </c>
      <c r="F2032" s="2">
        <f>WEEKDAY(makulatura[[#This Row],[Data_dostarczenia]],2)</f>
        <v>4</v>
      </c>
    </row>
    <row r="2033" spans="1:6" x14ac:dyDescent="0.25">
      <c r="A2033" s="1">
        <v>43062</v>
      </c>
      <c r="B2033" s="2" t="s">
        <v>69</v>
      </c>
      <c r="C2033" s="2" t="s">
        <v>461</v>
      </c>
      <c r="D2033">
        <v>19</v>
      </c>
      <c r="E2033">
        <f>WEEKNUM(makulatura[[#This Row],[Data_dostarczenia]],13)</f>
        <v>48</v>
      </c>
      <c r="F2033" s="2">
        <f>WEEKDAY(makulatura[[#This Row],[Data_dostarczenia]],2)</f>
        <v>4</v>
      </c>
    </row>
    <row r="2034" spans="1:6" x14ac:dyDescent="0.25">
      <c r="A2034" s="1">
        <v>43062</v>
      </c>
      <c r="B2034" s="2" t="s">
        <v>131</v>
      </c>
      <c r="C2034" s="2" t="s">
        <v>626</v>
      </c>
      <c r="D2034">
        <v>43</v>
      </c>
      <c r="E2034">
        <f>WEEKNUM(makulatura[[#This Row],[Data_dostarczenia]],13)</f>
        <v>48</v>
      </c>
      <c r="F2034" s="2">
        <f>WEEKDAY(makulatura[[#This Row],[Data_dostarczenia]],2)</f>
        <v>4</v>
      </c>
    </row>
    <row r="2035" spans="1:6" x14ac:dyDescent="0.25">
      <c r="A2035" s="1">
        <v>43063</v>
      </c>
      <c r="B2035" s="2" t="s">
        <v>83</v>
      </c>
      <c r="C2035" s="2" t="s">
        <v>698</v>
      </c>
      <c r="D2035">
        <v>13</v>
      </c>
      <c r="E2035">
        <f>WEEKNUM(makulatura[[#This Row],[Data_dostarczenia]],13)</f>
        <v>48</v>
      </c>
      <c r="F2035" s="2">
        <f>WEEKDAY(makulatura[[#This Row],[Data_dostarczenia]],2)</f>
        <v>5</v>
      </c>
    </row>
    <row r="2036" spans="1:6" x14ac:dyDescent="0.25">
      <c r="A2036" s="1">
        <v>43063</v>
      </c>
      <c r="B2036" s="2" t="s">
        <v>201</v>
      </c>
      <c r="C2036" s="2" t="s">
        <v>202</v>
      </c>
      <c r="D2036">
        <v>38</v>
      </c>
      <c r="E2036">
        <f>WEEKNUM(makulatura[[#This Row],[Data_dostarczenia]],13)</f>
        <v>48</v>
      </c>
      <c r="F2036" s="2">
        <f>WEEKDAY(makulatura[[#This Row],[Data_dostarczenia]],2)</f>
        <v>5</v>
      </c>
    </row>
    <row r="2037" spans="1:6" x14ac:dyDescent="0.25">
      <c r="A2037" s="1">
        <v>43063</v>
      </c>
      <c r="B2037" s="2" t="s">
        <v>150</v>
      </c>
      <c r="C2037" s="2" t="s">
        <v>556</v>
      </c>
      <c r="D2037">
        <v>9</v>
      </c>
      <c r="E2037">
        <f>WEEKNUM(makulatura[[#This Row],[Data_dostarczenia]],13)</f>
        <v>48</v>
      </c>
      <c r="F2037" s="2">
        <f>WEEKDAY(makulatura[[#This Row],[Data_dostarczenia]],2)</f>
        <v>5</v>
      </c>
    </row>
    <row r="2038" spans="1:6" x14ac:dyDescent="0.25">
      <c r="A2038" s="1">
        <v>43063</v>
      </c>
      <c r="B2038" s="2" t="s">
        <v>69</v>
      </c>
      <c r="C2038" s="2" t="s">
        <v>200</v>
      </c>
      <c r="D2038">
        <v>10</v>
      </c>
      <c r="E2038">
        <f>WEEKNUM(makulatura[[#This Row],[Data_dostarczenia]],13)</f>
        <v>48</v>
      </c>
      <c r="F2038" s="2">
        <f>WEEKDAY(makulatura[[#This Row],[Data_dostarczenia]],2)</f>
        <v>5</v>
      </c>
    </row>
    <row r="2039" spans="1:6" x14ac:dyDescent="0.25">
      <c r="A2039" s="1">
        <v>43063</v>
      </c>
      <c r="B2039" s="2" t="s">
        <v>367</v>
      </c>
      <c r="C2039" s="2" t="s">
        <v>5</v>
      </c>
      <c r="D2039">
        <v>13</v>
      </c>
      <c r="E2039">
        <f>WEEKNUM(makulatura[[#This Row],[Data_dostarczenia]],13)</f>
        <v>48</v>
      </c>
      <c r="F2039" s="2">
        <f>WEEKDAY(makulatura[[#This Row],[Data_dostarczenia]],2)</f>
        <v>5</v>
      </c>
    </row>
    <row r="2040" spans="1:6" x14ac:dyDescent="0.25">
      <c r="A2040" s="1">
        <v>43063</v>
      </c>
      <c r="B2040" s="2" t="s">
        <v>97</v>
      </c>
      <c r="C2040" s="2" t="s">
        <v>188</v>
      </c>
      <c r="D2040">
        <v>6</v>
      </c>
      <c r="E2040">
        <f>WEEKNUM(makulatura[[#This Row],[Data_dostarczenia]],13)</f>
        <v>48</v>
      </c>
      <c r="F2040" s="2">
        <f>WEEKDAY(makulatura[[#This Row],[Data_dostarczenia]],2)</f>
        <v>5</v>
      </c>
    </row>
    <row r="2041" spans="1:6" x14ac:dyDescent="0.25">
      <c r="A2041" s="1">
        <v>43063</v>
      </c>
      <c r="B2041" s="2" t="s">
        <v>39</v>
      </c>
      <c r="C2041" s="2" t="s">
        <v>434</v>
      </c>
      <c r="D2041">
        <v>26</v>
      </c>
      <c r="E2041">
        <f>WEEKNUM(makulatura[[#This Row],[Data_dostarczenia]],13)</f>
        <v>48</v>
      </c>
      <c r="F2041" s="2">
        <f>WEEKDAY(makulatura[[#This Row],[Data_dostarczenia]],2)</f>
        <v>5</v>
      </c>
    </row>
    <row r="2042" spans="1:6" x14ac:dyDescent="0.25">
      <c r="A2042" s="1">
        <v>43063</v>
      </c>
      <c r="B2042" s="2" t="s">
        <v>355</v>
      </c>
      <c r="C2042" s="2" t="s">
        <v>356</v>
      </c>
      <c r="D2042">
        <v>24</v>
      </c>
      <c r="E2042">
        <f>WEEKNUM(makulatura[[#This Row],[Data_dostarczenia]],13)</f>
        <v>48</v>
      </c>
      <c r="F2042" s="2">
        <f>WEEKDAY(makulatura[[#This Row],[Data_dostarczenia]],2)</f>
        <v>5</v>
      </c>
    </row>
    <row r="2043" spans="1:6" x14ac:dyDescent="0.25">
      <c r="A2043" s="1">
        <v>43063</v>
      </c>
      <c r="B2043" s="2" t="s">
        <v>77</v>
      </c>
      <c r="C2043" s="2" t="s">
        <v>78</v>
      </c>
      <c r="D2043">
        <v>13</v>
      </c>
      <c r="E2043">
        <f>WEEKNUM(makulatura[[#This Row],[Data_dostarczenia]],13)</f>
        <v>48</v>
      </c>
      <c r="F2043" s="2">
        <f>WEEKDAY(makulatura[[#This Row],[Data_dostarczenia]],2)</f>
        <v>5</v>
      </c>
    </row>
    <row r="2044" spans="1:6" x14ac:dyDescent="0.25">
      <c r="A2044" s="1">
        <v>43063</v>
      </c>
      <c r="B2044" s="2" t="s">
        <v>34</v>
      </c>
      <c r="C2044" s="2" t="s">
        <v>160</v>
      </c>
      <c r="D2044">
        <v>19</v>
      </c>
      <c r="E2044">
        <f>WEEKNUM(makulatura[[#This Row],[Data_dostarczenia]],13)</f>
        <v>48</v>
      </c>
      <c r="F2044" s="2">
        <f>WEEKDAY(makulatura[[#This Row],[Data_dostarczenia]],2)</f>
        <v>5</v>
      </c>
    </row>
    <row r="2045" spans="1:6" x14ac:dyDescent="0.25">
      <c r="A2045" s="1">
        <v>43063</v>
      </c>
      <c r="B2045" s="2" t="s">
        <v>150</v>
      </c>
      <c r="C2045" s="2" t="s">
        <v>258</v>
      </c>
      <c r="D2045">
        <v>22</v>
      </c>
      <c r="E2045">
        <f>WEEKNUM(makulatura[[#This Row],[Data_dostarczenia]],13)</f>
        <v>48</v>
      </c>
      <c r="F2045" s="2">
        <f>WEEKDAY(makulatura[[#This Row],[Data_dostarczenia]],2)</f>
        <v>5</v>
      </c>
    </row>
    <row r="2046" spans="1:6" x14ac:dyDescent="0.25">
      <c r="A2046" s="1">
        <v>43063</v>
      </c>
      <c r="B2046" s="2" t="s">
        <v>97</v>
      </c>
      <c r="C2046" s="2" t="s">
        <v>5</v>
      </c>
      <c r="D2046">
        <v>2</v>
      </c>
      <c r="E2046">
        <f>WEEKNUM(makulatura[[#This Row],[Data_dostarczenia]],13)</f>
        <v>48</v>
      </c>
      <c r="F2046" s="2">
        <f>WEEKDAY(makulatura[[#This Row],[Data_dostarczenia]],2)</f>
        <v>5</v>
      </c>
    </row>
    <row r="2047" spans="1:6" x14ac:dyDescent="0.25">
      <c r="A2047" s="1">
        <v>43063</v>
      </c>
      <c r="B2047" s="2" t="s">
        <v>23</v>
      </c>
      <c r="C2047" s="2" t="s">
        <v>604</v>
      </c>
      <c r="D2047">
        <v>2</v>
      </c>
      <c r="E2047">
        <f>WEEKNUM(makulatura[[#This Row],[Data_dostarczenia]],13)</f>
        <v>48</v>
      </c>
      <c r="F2047" s="2">
        <f>WEEKDAY(makulatura[[#This Row],[Data_dostarczenia]],2)</f>
        <v>5</v>
      </c>
    </row>
    <row r="2048" spans="1:6" x14ac:dyDescent="0.25">
      <c r="A2048" s="1">
        <v>43063</v>
      </c>
      <c r="B2048" s="2" t="s">
        <v>30</v>
      </c>
      <c r="C2048" s="2" t="s">
        <v>227</v>
      </c>
      <c r="D2048">
        <v>18</v>
      </c>
      <c r="E2048">
        <f>WEEKNUM(makulatura[[#This Row],[Data_dostarczenia]],13)</f>
        <v>48</v>
      </c>
      <c r="F2048" s="2">
        <f>WEEKDAY(makulatura[[#This Row],[Data_dostarczenia]],2)</f>
        <v>5</v>
      </c>
    </row>
    <row r="2049" spans="1:6" x14ac:dyDescent="0.25">
      <c r="A2049" s="1">
        <v>43063</v>
      </c>
      <c r="B2049" s="2" t="s">
        <v>18</v>
      </c>
      <c r="C2049" s="2" t="s">
        <v>74</v>
      </c>
      <c r="D2049">
        <v>24</v>
      </c>
      <c r="E2049">
        <f>WEEKNUM(makulatura[[#This Row],[Data_dostarczenia]],13)</f>
        <v>48</v>
      </c>
      <c r="F2049" s="2">
        <f>WEEKDAY(makulatura[[#This Row],[Data_dostarczenia]],2)</f>
        <v>5</v>
      </c>
    </row>
    <row r="2050" spans="1:6" x14ac:dyDescent="0.25">
      <c r="A2050" s="1">
        <v>43063</v>
      </c>
      <c r="B2050" s="2" t="s">
        <v>32</v>
      </c>
      <c r="C2050" s="2" t="s">
        <v>406</v>
      </c>
      <c r="D2050">
        <v>24</v>
      </c>
      <c r="E2050">
        <f>WEEKNUM(makulatura[[#This Row],[Data_dostarczenia]],13)</f>
        <v>48</v>
      </c>
      <c r="F2050" s="2">
        <f>WEEKDAY(makulatura[[#This Row],[Data_dostarczenia]],2)</f>
        <v>5</v>
      </c>
    </row>
    <row r="2051" spans="1:6" x14ac:dyDescent="0.25">
      <c r="A2051" s="1">
        <v>43063</v>
      </c>
      <c r="B2051" s="2" t="s">
        <v>193</v>
      </c>
      <c r="C2051" s="2" t="s">
        <v>228</v>
      </c>
      <c r="D2051">
        <v>17</v>
      </c>
      <c r="E2051">
        <f>WEEKNUM(makulatura[[#This Row],[Data_dostarczenia]],13)</f>
        <v>48</v>
      </c>
      <c r="F2051" s="2">
        <f>WEEKDAY(makulatura[[#This Row],[Data_dostarczenia]],2)</f>
        <v>5</v>
      </c>
    </row>
    <row r="2052" spans="1:6" x14ac:dyDescent="0.25">
      <c r="A2052" s="1">
        <v>43063</v>
      </c>
      <c r="B2052" s="2" t="s">
        <v>95</v>
      </c>
      <c r="C2052" s="2" t="s">
        <v>426</v>
      </c>
      <c r="D2052">
        <v>18</v>
      </c>
      <c r="E2052">
        <f>WEEKNUM(makulatura[[#This Row],[Data_dostarczenia]],13)</f>
        <v>48</v>
      </c>
      <c r="F2052" s="2">
        <f>WEEKDAY(makulatura[[#This Row],[Data_dostarczenia]],2)</f>
        <v>5</v>
      </c>
    </row>
    <row r="2053" spans="1:6" x14ac:dyDescent="0.25">
      <c r="A2053" s="1">
        <v>43063</v>
      </c>
      <c r="B2053" s="2" t="s">
        <v>83</v>
      </c>
      <c r="C2053" s="2" t="s">
        <v>470</v>
      </c>
      <c r="D2053">
        <v>26</v>
      </c>
      <c r="E2053">
        <f>WEEKNUM(makulatura[[#This Row],[Data_dostarczenia]],13)</f>
        <v>48</v>
      </c>
      <c r="F2053" s="2">
        <f>WEEKDAY(makulatura[[#This Row],[Data_dostarczenia]],2)</f>
        <v>5</v>
      </c>
    </row>
    <row r="2054" spans="1:6" x14ac:dyDescent="0.25">
      <c r="A2054" s="1">
        <v>43066</v>
      </c>
      <c r="B2054" s="2" t="s">
        <v>55</v>
      </c>
      <c r="C2054" s="2" t="s">
        <v>56</v>
      </c>
      <c r="D2054">
        <v>2</v>
      </c>
      <c r="E2054">
        <f>WEEKNUM(makulatura[[#This Row],[Data_dostarczenia]],13)</f>
        <v>48</v>
      </c>
      <c r="F2054" s="2">
        <f>WEEKDAY(makulatura[[#This Row],[Data_dostarczenia]],2)</f>
        <v>1</v>
      </c>
    </row>
    <row r="2055" spans="1:6" x14ac:dyDescent="0.25">
      <c r="A2055" s="1">
        <v>43066</v>
      </c>
      <c r="B2055" s="2" t="s">
        <v>314</v>
      </c>
      <c r="C2055" s="2" t="s">
        <v>366</v>
      </c>
      <c r="D2055">
        <v>51</v>
      </c>
      <c r="E2055">
        <f>WEEKNUM(makulatura[[#This Row],[Data_dostarczenia]],13)</f>
        <v>48</v>
      </c>
      <c r="F2055" s="2">
        <f>WEEKDAY(makulatura[[#This Row],[Data_dostarczenia]],2)</f>
        <v>1</v>
      </c>
    </row>
    <row r="2056" spans="1:6" x14ac:dyDescent="0.25">
      <c r="A2056" s="1">
        <v>43066</v>
      </c>
      <c r="B2056" s="2" t="s">
        <v>310</v>
      </c>
      <c r="C2056" s="2" t="s">
        <v>699</v>
      </c>
      <c r="D2056">
        <v>20</v>
      </c>
      <c r="E2056">
        <f>WEEKNUM(makulatura[[#This Row],[Data_dostarczenia]],13)</f>
        <v>48</v>
      </c>
      <c r="F2056" s="2">
        <f>WEEKDAY(makulatura[[#This Row],[Data_dostarczenia]],2)</f>
        <v>1</v>
      </c>
    </row>
    <row r="2057" spans="1:6" x14ac:dyDescent="0.25">
      <c r="A2057" s="1">
        <v>43066</v>
      </c>
      <c r="B2057" s="2" t="s">
        <v>81</v>
      </c>
      <c r="C2057" s="2" t="s">
        <v>648</v>
      </c>
      <c r="D2057">
        <v>5</v>
      </c>
      <c r="E2057">
        <f>WEEKNUM(makulatura[[#This Row],[Data_dostarczenia]],13)</f>
        <v>48</v>
      </c>
      <c r="F2057" s="2">
        <f>WEEKDAY(makulatura[[#This Row],[Data_dostarczenia]],2)</f>
        <v>1</v>
      </c>
    </row>
    <row r="2058" spans="1:6" x14ac:dyDescent="0.25">
      <c r="A2058" s="1">
        <v>43066</v>
      </c>
      <c r="B2058" s="2" t="s">
        <v>346</v>
      </c>
      <c r="C2058" s="2" t="s">
        <v>347</v>
      </c>
      <c r="D2058">
        <v>43</v>
      </c>
      <c r="E2058">
        <f>WEEKNUM(makulatura[[#This Row],[Data_dostarczenia]],13)</f>
        <v>48</v>
      </c>
      <c r="F2058" s="2">
        <f>WEEKDAY(makulatura[[#This Row],[Data_dostarczenia]],2)</f>
        <v>1</v>
      </c>
    </row>
    <row r="2059" spans="1:6" x14ac:dyDescent="0.25">
      <c r="A2059" s="1">
        <v>43066</v>
      </c>
      <c r="B2059" s="2" t="s">
        <v>39</v>
      </c>
      <c r="C2059" s="2" t="s">
        <v>436</v>
      </c>
      <c r="D2059">
        <v>25</v>
      </c>
      <c r="E2059">
        <f>WEEKNUM(makulatura[[#This Row],[Data_dostarczenia]],13)</f>
        <v>48</v>
      </c>
      <c r="F2059" s="2">
        <f>WEEKDAY(makulatura[[#This Row],[Data_dostarczenia]],2)</f>
        <v>1</v>
      </c>
    </row>
    <row r="2060" spans="1:6" x14ac:dyDescent="0.25">
      <c r="A2060" s="1">
        <v>43066</v>
      </c>
      <c r="B2060" s="2" t="s">
        <v>141</v>
      </c>
      <c r="C2060" s="2" t="s">
        <v>142</v>
      </c>
      <c r="D2060">
        <v>26</v>
      </c>
      <c r="E2060">
        <f>WEEKNUM(makulatura[[#This Row],[Data_dostarczenia]],13)</f>
        <v>48</v>
      </c>
      <c r="F2060" s="2">
        <f>WEEKDAY(makulatura[[#This Row],[Data_dostarczenia]],2)</f>
        <v>1</v>
      </c>
    </row>
    <row r="2061" spans="1:6" x14ac:dyDescent="0.25">
      <c r="A2061" s="1">
        <v>43066</v>
      </c>
      <c r="B2061" s="2" t="s">
        <v>45</v>
      </c>
      <c r="C2061" s="2" t="s">
        <v>388</v>
      </c>
      <c r="D2061">
        <v>25</v>
      </c>
      <c r="E2061">
        <f>WEEKNUM(makulatura[[#This Row],[Data_dostarczenia]],13)</f>
        <v>48</v>
      </c>
      <c r="F2061" s="2">
        <f>WEEKDAY(makulatura[[#This Row],[Data_dostarczenia]],2)</f>
        <v>1</v>
      </c>
    </row>
    <row r="2062" spans="1:6" x14ac:dyDescent="0.25">
      <c r="A2062" s="1">
        <v>43066</v>
      </c>
      <c r="B2062" s="2" t="s">
        <v>133</v>
      </c>
      <c r="C2062" s="2" t="s">
        <v>328</v>
      </c>
      <c r="D2062">
        <v>40</v>
      </c>
      <c r="E2062">
        <f>WEEKNUM(makulatura[[#This Row],[Data_dostarczenia]],13)</f>
        <v>48</v>
      </c>
      <c r="F2062" s="2">
        <f>WEEKDAY(makulatura[[#This Row],[Data_dostarczenia]],2)</f>
        <v>1</v>
      </c>
    </row>
    <row r="2063" spans="1:6" x14ac:dyDescent="0.25">
      <c r="A2063" s="1">
        <v>43067</v>
      </c>
      <c r="B2063" s="2" t="s">
        <v>34</v>
      </c>
      <c r="C2063" s="2" t="s">
        <v>35</v>
      </c>
      <c r="D2063">
        <v>26</v>
      </c>
      <c r="E2063">
        <f>WEEKNUM(makulatura[[#This Row],[Data_dostarczenia]],13)</f>
        <v>48</v>
      </c>
      <c r="F2063" s="2">
        <f>WEEKDAY(makulatura[[#This Row],[Data_dostarczenia]],2)</f>
        <v>2</v>
      </c>
    </row>
    <row r="2064" spans="1:6" x14ac:dyDescent="0.25">
      <c r="A2064" s="1">
        <v>43067</v>
      </c>
      <c r="B2064" s="2" t="s">
        <v>144</v>
      </c>
      <c r="C2064" s="2" t="s">
        <v>525</v>
      </c>
      <c r="D2064">
        <v>49</v>
      </c>
      <c r="E2064">
        <f>WEEKNUM(makulatura[[#This Row],[Data_dostarczenia]],13)</f>
        <v>48</v>
      </c>
      <c r="F2064" s="2">
        <f>WEEKDAY(makulatura[[#This Row],[Data_dostarczenia]],2)</f>
        <v>2</v>
      </c>
    </row>
    <row r="2065" spans="1:6" x14ac:dyDescent="0.25">
      <c r="A2065" s="1">
        <v>43067</v>
      </c>
      <c r="B2065" s="2" t="s">
        <v>427</v>
      </c>
      <c r="C2065" s="2" t="s">
        <v>558</v>
      </c>
      <c r="D2065">
        <v>6</v>
      </c>
      <c r="E2065">
        <f>WEEKNUM(makulatura[[#This Row],[Data_dostarczenia]],13)</f>
        <v>48</v>
      </c>
      <c r="F2065" s="2">
        <f>WEEKDAY(makulatura[[#This Row],[Data_dostarczenia]],2)</f>
        <v>2</v>
      </c>
    </row>
    <row r="2066" spans="1:6" x14ac:dyDescent="0.25">
      <c r="A2066" s="1">
        <v>43067</v>
      </c>
      <c r="B2066" s="2" t="s">
        <v>47</v>
      </c>
      <c r="C2066" s="2" t="s">
        <v>465</v>
      </c>
      <c r="D2066">
        <v>6</v>
      </c>
      <c r="E2066">
        <f>WEEKNUM(makulatura[[#This Row],[Data_dostarczenia]],13)</f>
        <v>48</v>
      </c>
      <c r="F2066" s="2">
        <f>WEEKDAY(makulatura[[#This Row],[Data_dostarczenia]],2)</f>
        <v>2</v>
      </c>
    </row>
    <row r="2067" spans="1:6" x14ac:dyDescent="0.25">
      <c r="A2067" s="1">
        <v>43067</v>
      </c>
      <c r="B2067" s="2" t="s">
        <v>47</v>
      </c>
      <c r="C2067" s="2" t="s">
        <v>465</v>
      </c>
      <c r="D2067">
        <v>11</v>
      </c>
      <c r="E2067">
        <f>WEEKNUM(makulatura[[#This Row],[Data_dostarczenia]],13)</f>
        <v>48</v>
      </c>
      <c r="F2067" s="2">
        <f>WEEKDAY(makulatura[[#This Row],[Data_dostarczenia]],2)</f>
        <v>2</v>
      </c>
    </row>
    <row r="2068" spans="1:6" x14ac:dyDescent="0.25">
      <c r="A2068" s="1">
        <v>43067</v>
      </c>
      <c r="B2068" s="2" t="s">
        <v>30</v>
      </c>
      <c r="C2068" s="2" t="s">
        <v>680</v>
      </c>
      <c r="D2068">
        <v>34</v>
      </c>
      <c r="E2068">
        <f>WEEKNUM(makulatura[[#This Row],[Data_dostarczenia]],13)</f>
        <v>48</v>
      </c>
      <c r="F2068" s="2">
        <f>WEEKDAY(makulatura[[#This Row],[Data_dostarczenia]],2)</f>
        <v>2</v>
      </c>
    </row>
    <row r="2069" spans="1:6" x14ac:dyDescent="0.25">
      <c r="A2069" s="1">
        <v>43067</v>
      </c>
      <c r="B2069" s="2" t="s">
        <v>81</v>
      </c>
      <c r="C2069" s="2" t="s">
        <v>82</v>
      </c>
      <c r="D2069">
        <v>8</v>
      </c>
      <c r="E2069">
        <f>WEEKNUM(makulatura[[#This Row],[Data_dostarczenia]],13)</f>
        <v>48</v>
      </c>
      <c r="F2069" s="2">
        <f>WEEKDAY(makulatura[[#This Row],[Data_dostarczenia]],2)</f>
        <v>2</v>
      </c>
    </row>
    <row r="2070" spans="1:6" x14ac:dyDescent="0.25">
      <c r="A2070" s="1">
        <v>43067</v>
      </c>
      <c r="B2070" s="2" t="s">
        <v>152</v>
      </c>
      <c r="C2070" s="2" t="s">
        <v>696</v>
      </c>
      <c r="D2070">
        <v>17</v>
      </c>
      <c r="E2070">
        <f>WEEKNUM(makulatura[[#This Row],[Data_dostarczenia]],13)</f>
        <v>48</v>
      </c>
      <c r="F2070" s="2">
        <f>WEEKDAY(makulatura[[#This Row],[Data_dostarczenia]],2)</f>
        <v>2</v>
      </c>
    </row>
    <row r="2071" spans="1:6" x14ac:dyDescent="0.25">
      <c r="A2071" s="1">
        <v>43067</v>
      </c>
      <c r="B2071" s="2" t="s">
        <v>41</v>
      </c>
      <c r="C2071" s="2" t="s">
        <v>42</v>
      </c>
      <c r="D2071">
        <v>29</v>
      </c>
      <c r="E2071">
        <f>WEEKNUM(makulatura[[#This Row],[Data_dostarczenia]],13)</f>
        <v>48</v>
      </c>
      <c r="F2071" s="2">
        <f>WEEKDAY(makulatura[[#This Row],[Data_dostarczenia]],2)</f>
        <v>2</v>
      </c>
    </row>
    <row r="2072" spans="1:6" x14ac:dyDescent="0.25">
      <c r="A2072" s="1">
        <v>43068</v>
      </c>
      <c r="B2072" s="2" t="s">
        <v>77</v>
      </c>
      <c r="C2072" s="2" t="s">
        <v>85</v>
      </c>
      <c r="D2072">
        <v>12</v>
      </c>
      <c r="E2072">
        <f>WEEKNUM(makulatura[[#This Row],[Data_dostarczenia]],13)</f>
        <v>49</v>
      </c>
      <c r="F2072" s="2">
        <f>WEEKDAY(makulatura[[#This Row],[Data_dostarczenia]],2)</f>
        <v>3</v>
      </c>
    </row>
    <row r="2073" spans="1:6" x14ac:dyDescent="0.25">
      <c r="A2073" s="1">
        <v>43068</v>
      </c>
      <c r="B2073" s="2" t="s">
        <v>150</v>
      </c>
      <c r="C2073" s="2" t="s">
        <v>297</v>
      </c>
      <c r="D2073">
        <v>19</v>
      </c>
      <c r="E2073">
        <f>WEEKNUM(makulatura[[#This Row],[Data_dostarczenia]],13)</f>
        <v>49</v>
      </c>
      <c r="F2073" s="2">
        <f>WEEKDAY(makulatura[[#This Row],[Data_dostarczenia]],2)</f>
        <v>3</v>
      </c>
    </row>
    <row r="2074" spans="1:6" x14ac:dyDescent="0.25">
      <c r="A2074" s="1">
        <v>43068</v>
      </c>
      <c r="B2074" s="2" t="s">
        <v>150</v>
      </c>
      <c r="C2074" s="2" t="s">
        <v>297</v>
      </c>
      <c r="D2074">
        <v>21</v>
      </c>
      <c r="E2074">
        <f>WEEKNUM(makulatura[[#This Row],[Data_dostarczenia]],13)</f>
        <v>49</v>
      </c>
      <c r="F2074" s="2">
        <f>WEEKDAY(makulatura[[#This Row],[Data_dostarczenia]],2)</f>
        <v>3</v>
      </c>
    </row>
    <row r="2075" spans="1:6" x14ac:dyDescent="0.25">
      <c r="A2075" s="1">
        <v>43068</v>
      </c>
      <c r="B2075" s="2" t="s">
        <v>87</v>
      </c>
      <c r="C2075" s="2" t="s">
        <v>397</v>
      </c>
      <c r="D2075">
        <v>33</v>
      </c>
      <c r="E2075">
        <f>WEEKNUM(makulatura[[#This Row],[Data_dostarczenia]],13)</f>
        <v>49</v>
      </c>
      <c r="F2075" s="2">
        <f>WEEKDAY(makulatura[[#This Row],[Data_dostarczenia]],2)</f>
        <v>3</v>
      </c>
    </row>
    <row r="2076" spans="1:6" x14ac:dyDescent="0.25">
      <c r="A2076" s="1">
        <v>43068</v>
      </c>
      <c r="B2076" s="2" t="s">
        <v>36</v>
      </c>
      <c r="C2076" s="2" t="s">
        <v>37</v>
      </c>
      <c r="D2076">
        <v>51</v>
      </c>
      <c r="E2076">
        <f>WEEKNUM(makulatura[[#This Row],[Data_dostarczenia]],13)</f>
        <v>49</v>
      </c>
      <c r="F2076" s="2">
        <f>WEEKDAY(makulatura[[#This Row],[Data_dostarczenia]],2)</f>
        <v>3</v>
      </c>
    </row>
    <row r="2077" spans="1:6" x14ac:dyDescent="0.25">
      <c r="A2077" s="1">
        <v>43068</v>
      </c>
      <c r="B2077" s="2" t="s">
        <v>83</v>
      </c>
      <c r="C2077" s="2" t="s">
        <v>591</v>
      </c>
      <c r="D2077">
        <v>10</v>
      </c>
      <c r="E2077">
        <f>WEEKNUM(makulatura[[#This Row],[Data_dostarczenia]],13)</f>
        <v>49</v>
      </c>
      <c r="F2077" s="2">
        <f>WEEKDAY(makulatura[[#This Row],[Data_dostarczenia]],2)</f>
        <v>3</v>
      </c>
    </row>
    <row r="2078" spans="1:6" x14ac:dyDescent="0.25">
      <c r="A2078" s="1">
        <v>43068</v>
      </c>
      <c r="B2078" s="2" t="s">
        <v>193</v>
      </c>
      <c r="C2078" s="2" t="s">
        <v>194</v>
      </c>
      <c r="D2078">
        <v>35</v>
      </c>
      <c r="E2078">
        <f>WEEKNUM(makulatura[[#This Row],[Data_dostarczenia]],13)</f>
        <v>49</v>
      </c>
      <c r="F2078" s="2">
        <f>WEEKDAY(makulatura[[#This Row],[Data_dostarczenia]],2)</f>
        <v>3</v>
      </c>
    </row>
    <row r="2079" spans="1:6" x14ac:dyDescent="0.25">
      <c r="A2079" s="1">
        <v>43068</v>
      </c>
      <c r="B2079" s="2" t="s">
        <v>51</v>
      </c>
      <c r="C2079" s="2" t="s">
        <v>358</v>
      </c>
      <c r="D2079">
        <v>22</v>
      </c>
      <c r="E2079">
        <f>WEEKNUM(makulatura[[#This Row],[Data_dostarczenia]],13)</f>
        <v>49</v>
      </c>
      <c r="F2079" s="2">
        <f>WEEKDAY(makulatura[[#This Row],[Data_dostarczenia]],2)</f>
        <v>3</v>
      </c>
    </row>
    <row r="2080" spans="1:6" x14ac:dyDescent="0.25">
      <c r="A2080" s="1">
        <v>43068</v>
      </c>
      <c r="B2080" s="2" t="s">
        <v>155</v>
      </c>
      <c r="C2080" s="2" t="s">
        <v>186</v>
      </c>
      <c r="D2080">
        <v>17</v>
      </c>
      <c r="E2080">
        <f>WEEKNUM(makulatura[[#This Row],[Data_dostarczenia]],13)</f>
        <v>49</v>
      </c>
      <c r="F2080" s="2">
        <f>WEEKDAY(makulatura[[#This Row],[Data_dostarczenia]],2)</f>
        <v>3</v>
      </c>
    </row>
    <row r="2081" spans="1:6" x14ac:dyDescent="0.25">
      <c r="A2081" s="1">
        <v>43069</v>
      </c>
      <c r="B2081" s="2" t="s">
        <v>574</v>
      </c>
      <c r="C2081" s="2" t="s">
        <v>421</v>
      </c>
      <c r="D2081">
        <v>28</v>
      </c>
      <c r="E2081">
        <f>WEEKNUM(makulatura[[#This Row],[Data_dostarczenia]],13)</f>
        <v>49</v>
      </c>
      <c r="F2081" s="2">
        <f>WEEKDAY(makulatura[[#This Row],[Data_dostarczenia]],2)</f>
        <v>4</v>
      </c>
    </row>
    <row r="2082" spans="1:6" x14ac:dyDescent="0.25">
      <c r="A2082" s="1">
        <v>43069</v>
      </c>
      <c r="B2082" s="2" t="s">
        <v>114</v>
      </c>
      <c r="C2082" s="2" t="s">
        <v>173</v>
      </c>
      <c r="D2082">
        <v>33</v>
      </c>
      <c r="E2082">
        <f>WEEKNUM(makulatura[[#This Row],[Data_dostarczenia]],13)</f>
        <v>49</v>
      </c>
      <c r="F2082" s="2">
        <f>WEEKDAY(makulatura[[#This Row],[Data_dostarczenia]],2)</f>
        <v>4</v>
      </c>
    </row>
    <row r="2083" spans="1:6" x14ac:dyDescent="0.25">
      <c r="A2083" s="1">
        <v>43069</v>
      </c>
      <c r="B2083" s="2" t="s">
        <v>155</v>
      </c>
      <c r="C2083" s="2" t="s">
        <v>384</v>
      </c>
      <c r="D2083">
        <v>45</v>
      </c>
      <c r="E2083">
        <f>WEEKNUM(makulatura[[#This Row],[Data_dostarczenia]],13)</f>
        <v>49</v>
      </c>
      <c r="F2083" s="2">
        <f>WEEKDAY(makulatura[[#This Row],[Data_dostarczenia]],2)</f>
        <v>4</v>
      </c>
    </row>
    <row r="2084" spans="1:6" x14ac:dyDescent="0.25">
      <c r="A2084" s="1">
        <v>43069</v>
      </c>
      <c r="B2084" s="2" t="s">
        <v>95</v>
      </c>
      <c r="C2084" s="2" t="s">
        <v>426</v>
      </c>
      <c r="D2084">
        <v>20</v>
      </c>
      <c r="E2084">
        <f>WEEKNUM(makulatura[[#This Row],[Data_dostarczenia]],13)</f>
        <v>49</v>
      </c>
      <c r="F2084" s="2">
        <f>WEEKDAY(makulatura[[#This Row],[Data_dostarczenia]],2)</f>
        <v>4</v>
      </c>
    </row>
    <row r="2085" spans="1:6" x14ac:dyDescent="0.25">
      <c r="A2085" s="1">
        <v>43069</v>
      </c>
      <c r="B2085" s="2" t="s">
        <v>147</v>
      </c>
      <c r="C2085" s="2" t="s">
        <v>148</v>
      </c>
      <c r="D2085">
        <v>39</v>
      </c>
      <c r="E2085">
        <f>WEEKNUM(makulatura[[#This Row],[Data_dostarczenia]],13)</f>
        <v>49</v>
      </c>
      <c r="F2085" s="2">
        <f>WEEKDAY(makulatura[[#This Row],[Data_dostarczenia]],2)</f>
        <v>4</v>
      </c>
    </row>
    <row r="2086" spans="1:6" x14ac:dyDescent="0.25">
      <c r="A2086" s="1">
        <v>43069</v>
      </c>
      <c r="B2086" s="2" t="s">
        <v>27</v>
      </c>
      <c r="C2086" s="2" t="s">
        <v>28</v>
      </c>
      <c r="D2086">
        <v>8</v>
      </c>
      <c r="E2086">
        <f>WEEKNUM(makulatura[[#This Row],[Data_dostarczenia]],13)</f>
        <v>49</v>
      </c>
      <c r="F2086" s="2">
        <f>WEEKDAY(makulatura[[#This Row],[Data_dostarczenia]],2)</f>
        <v>4</v>
      </c>
    </row>
    <row r="2087" spans="1:6" x14ac:dyDescent="0.25">
      <c r="A2087" s="1">
        <v>43069</v>
      </c>
      <c r="B2087" s="2" t="s">
        <v>57</v>
      </c>
      <c r="C2087" s="2" t="s">
        <v>58</v>
      </c>
      <c r="D2087">
        <v>10</v>
      </c>
      <c r="E2087">
        <f>WEEKNUM(makulatura[[#This Row],[Data_dostarczenia]],13)</f>
        <v>49</v>
      </c>
      <c r="F2087" s="2">
        <f>WEEKDAY(makulatura[[#This Row],[Data_dostarczenia]],2)</f>
        <v>4</v>
      </c>
    </row>
    <row r="2088" spans="1:6" x14ac:dyDescent="0.25">
      <c r="A2088" s="1">
        <v>43069</v>
      </c>
      <c r="B2088" s="2" t="s">
        <v>69</v>
      </c>
      <c r="C2088" s="2" t="s">
        <v>286</v>
      </c>
      <c r="D2088">
        <v>5</v>
      </c>
      <c r="E2088">
        <f>WEEKNUM(makulatura[[#This Row],[Data_dostarczenia]],13)</f>
        <v>49</v>
      </c>
      <c r="F2088" s="2">
        <f>WEEKDAY(makulatura[[#This Row],[Data_dostarczenia]],2)</f>
        <v>4</v>
      </c>
    </row>
    <row r="2089" spans="1:6" x14ac:dyDescent="0.25">
      <c r="A2089" s="1">
        <v>43069</v>
      </c>
      <c r="B2089" s="2" t="s">
        <v>219</v>
      </c>
      <c r="C2089" s="2" t="s">
        <v>254</v>
      </c>
      <c r="D2089">
        <v>32</v>
      </c>
      <c r="E2089">
        <f>WEEKNUM(makulatura[[#This Row],[Data_dostarczenia]],13)</f>
        <v>49</v>
      </c>
      <c r="F2089" s="2">
        <f>WEEKDAY(makulatura[[#This Row],[Data_dostarczenia]],2)</f>
        <v>4</v>
      </c>
    </row>
    <row r="2090" spans="1:6" x14ac:dyDescent="0.25">
      <c r="A2090" s="1">
        <v>43070</v>
      </c>
      <c r="B2090" s="2" t="s">
        <v>232</v>
      </c>
      <c r="C2090" s="2" t="s">
        <v>233</v>
      </c>
      <c r="D2090">
        <v>23</v>
      </c>
      <c r="E2090">
        <f>WEEKNUM(makulatura[[#This Row],[Data_dostarczenia]],13)</f>
        <v>49</v>
      </c>
      <c r="F2090" s="2">
        <f>WEEKDAY(makulatura[[#This Row],[Data_dostarczenia]],2)</f>
        <v>5</v>
      </c>
    </row>
    <row r="2091" spans="1:6" x14ac:dyDescent="0.25">
      <c r="A2091" s="1">
        <v>43070</v>
      </c>
      <c r="B2091" s="2" t="s">
        <v>193</v>
      </c>
      <c r="C2091" s="2" t="s">
        <v>483</v>
      </c>
      <c r="D2091">
        <v>11</v>
      </c>
      <c r="E2091">
        <f>WEEKNUM(makulatura[[#This Row],[Data_dostarczenia]],13)</f>
        <v>49</v>
      </c>
      <c r="F2091" s="2">
        <f>WEEKDAY(makulatura[[#This Row],[Data_dostarczenia]],2)</f>
        <v>5</v>
      </c>
    </row>
    <row r="2092" spans="1:6" x14ac:dyDescent="0.25">
      <c r="A2092" s="1">
        <v>43070</v>
      </c>
      <c r="B2092" s="2" t="s">
        <v>59</v>
      </c>
      <c r="C2092" s="2" t="s">
        <v>60</v>
      </c>
      <c r="D2092">
        <v>17</v>
      </c>
      <c r="E2092">
        <f>WEEKNUM(makulatura[[#This Row],[Data_dostarczenia]],13)</f>
        <v>49</v>
      </c>
      <c r="F2092" s="2">
        <f>WEEKDAY(makulatura[[#This Row],[Data_dostarczenia]],2)</f>
        <v>5</v>
      </c>
    </row>
    <row r="2093" spans="1:6" x14ac:dyDescent="0.25">
      <c r="A2093" s="1">
        <v>43070</v>
      </c>
      <c r="B2093" s="2" t="s">
        <v>49</v>
      </c>
      <c r="C2093" s="2" t="s">
        <v>50</v>
      </c>
      <c r="D2093">
        <v>22</v>
      </c>
      <c r="E2093">
        <f>WEEKNUM(makulatura[[#This Row],[Data_dostarczenia]],13)</f>
        <v>49</v>
      </c>
      <c r="F2093" s="2">
        <f>WEEKDAY(makulatura[[#This Row],[Data_dostarczenia]],2)</f>
        <v>5</v>
      </c>
    </row>
    <row r="2094" spans="1:6" x14ac:dyDescent="0.25">
      <c r="A2094" s="1">
        <v>43070</v>
      </c>
      <c r="B2094" s="2" t="s">
        <v>49</v>
      </c>
      <c r="C2094" s="2" t="s">
        <v>50</v>
      </c>
      <c r="D2094">
        <v>26</v>
      </c>
      <c r="E2094">
        <f>WEEKNUM(makulatura[[#This Row],[Data_dostarczenia]],13)</f>
        <v>49</v>
      </c>
      <c r="F2094" s="2">
        <f>WEEKDAY(makulatura[[#This Row],[Data_dostarczenia]],2)</f>
        <v>5</v>
      </c>
    </row>
    <row r="2095" spans="1:6" x14ac:dyDescent="0.25">
      <c r="A2095" s="1">
        <v>43070</v>
      </c>
      <c r="B2095" s="2" t="s">
        <v>55</v>
      </c>
      <c r="C2095" s="2" t="s">
        <v>265</v>
      </c>
      <c r="D2095">
        <v>48</v>
      </c>
      <c r="E2095">
        <f>WEEKNUM(makulatura[[#This Row],[Data_dostarczenia]],13)</f>
        <v>49</v>
      </c>
      <c r="F2095" s="2">
        <f>WEEKDAY(makulatura[[#This Row],[Data_dostarczenia]],2)</f>
        <v>5</v>
      </c>
    </row>
    <row r="2096" spans="1:6" x14ac:dyDescent="0.25">
      <c r="A2096" s="1">
        <v>43070</v>
      </c>
      <c r="B2096" s="2" t="s">
        <v>12</v>
      </c>
      <c r="C2096" s="2" t="s">
        <v>13</v>
      </c>
      <c r="D2096">
        <v>5</v>
      </c>
      <c r="E2096">
        <f>WEEKNUM(makulatura[[#This Row],[Data_dostarczenia]],13)</f>
        <v>49</v>
      </c>
      <c r="F2096" s="2">
        <f>WEEKDAY(makulatura[[#This Row],[Data_dostarczenia]],2)</f>
        <v>5</v>
      </c>
    </row>
    <row r="2097" spans="1:6" x14ac:dyDescent="0.25">
      <c r="A2097" s="1">
        <v>43070</v>
      </c>
      <c r="B2097" s="2" t="s">
        <v>49</v>
      </c>
      <c r="C2097" s="2" t="s">
        <v>50</v>
      </c>
      <c r="D2097">
        <v>31</v>
      </c>
      <c r="E2097">
        <f>WEEKNUM(makulatura[[#This Row],[Data_dostarczenia]],13)</f>
        <v>49</v>
      </c>
      <c r="F2097" s="2">
        <f>WEEKDAY(makulatura[[#This Row],[Data_dostarczenia]],2)</f>
        <v>5</v>
      </c>
    </row>
    <row r="2098" spans="1:6" x14ac:dyDescent="0.25">
      <c r="A2098" s="1">
        <v>43070</v>
      </c>
      <c r="B2098" s="2" t="s">
        <v>141</v>
      </c>
      <c r="C2098" s="2" t="s">
        <v>550</v>
      </c>
      <c r="D2098">
        <v>5</v>
      </c>
      <c r="E2098">
        <f>WEEKNUM(makulatura[[#This Row],[Data_dostarczenia]],13)</f>
        <v>49</v>
      </c>
      <c r="F2098" s="2">
        <f>WEEKDAY(makulatura[[#This Row],[Data_dostarczenia]],2)</f>
        <v>5</v>
      </c>
    </row>
    <row r="2099" spans="1:6" x14ac:dyDescent="0.25">
      <c r="A2099" s="1">
        <v>43073</v>
      </c>
      <c r="B2099" s="2" t="s">
        <v>34</v>
      </c>
      <c r="C2099" s="2" t="s">
        <v>338</v>
      </c>
      <c r="D2099">
        <v>18</v>
      </c>
      <c r="E2099">
        <f>WEEKNUM(makulatura[[#This Row],[Data_dostarczenia]],13)</f>
        <v>49</v>
      </c>
      <c r="F2099" s="2">
        <f>WEEKDAY(makulatura[[#This Row],[Data_dostarczenia]],2)</f>
        <v>1</v>
      </c>
    </row>
    <row r="2100" spans="1:6" x14ac:dyDescent="0.25">
      <c r="A2100" s="1">
        <v>43073</v>
      </c>
      <c r="B2100" s="2" t="s">
        <v>36</v>
      </c>
      <c r="C2100" s="2" t="s">
        <v>166</v>
      </c>
      <c r="D2100">
        <v>13</v>
      </c>
      <c r="E2100">
        <f>WEEKNUM(makulatura[[#This Row],[Data_dostarczenia]],13)</f>
        <v>49</v>
      </c>
      <c r="F2100" s="2">
        <f>WEEKDAY(makulatura[[#This Row],[Data_dostarczenia]],2)</f>
        <v>1</v>
      </c>
    </row>
    <row r="2101" spans="1:6" x14ac:dyDescent="0.25">
      <c r="A2101" s="1">
        <v>43073</v>
      </c>
      <c r="B2101" s="2" t="s">
        <v>327</v>
      </c>
      <c r="C2101" s="2" t="s">
        <v>102</v>
      </c>
      <c r="D2101">
        <v>55</v>
      </c>
      <c r="E2101">
        <f>WEEKNUM(makulatura[[#This Row],[Data_dostarczenia]],13)</f>
        <v>49</v>
      </c>
      <c r="F2101" s="2">
        <f>WEEKDAY(makulatura[[#This Row],[Data_dostarczenia]],2)</f>
        <v>1</v>
      </c>
    </row>
    <row r="2102" spans="1:6" x14ac:dyDescent="0.25">
      <c r="A2102" s="1">
        <v>43073</v>
      </c>
      <c r="B2102" s="2" t="s">
        <v>30</v>
      </c>
      <c r="C2102" s="2" t="s">
        <v>463</v>
      </c>
      <c r="D2102">
        <v>12</v>
      </c>
      <c r="E2102">
        <f>WEEKNUM(makulatura[[#This Row],[Data_dostarczenia]],13)</f>
        <v>49</v>
      </c>
      <c r="F2102" s="2">
        <f>WEEKDAY(makulatura[[#This Row],[Data_dostarczenia]],2)</f>
        <v>1</v>
      </c>
    </row>
    <row r="2103" spans="1:6" x14ac:dyDescent="0.25">
      <c r="A2103" s="1">
        <v>43073</v>
      </c>
      <c r="B2103" s="2" t="s">
        <v>10</v>
      </c>
      <c r="C2103" s="2" t="s">
        <v>700</v>
      </c>
      <c r="D2103">
        <v>15</v>
      </c>
      <c r="E2103">
        <f>WEEKNUM(makulatura[[#This Row],[Data_dostarczenia]],13)</f>
        <v>49</v>
      </c>
      <c r="F2103" s="2">
        <f>WEEKDAY(makulatura[[#This Row],[Data_dostarczenia]],2)</f>
        <v>1</v>
      </c>
    </row>
    <row r="2104" spans="1:6" x14ac:dyDescent="0.25">
      <c r="A2104" s="1">
        <v>43073</v>
      </c>
      <c r="B2104" s="2" t="s">
        <v>49</v>
      </c>
      <c r="C2104" s="2" t="s">
        <v>50</v>
      </c>
      <c r="D2104">
        <v>10</v>
      </c>
      <c r="E2104">
        <f>WEEKNUM(makulatura[[#This Row],[Data_dostarczenia]],13)</f>
        <v>49</v>
      </c>
      <c r="F2104" s="2">
        <f>WEEKDAY(makulatura[[#This Row],[Data_dostarczenia]],2)</f>
        <v>1</v>
      </c>
    </row>
    <row r="2105" spans="1:6" x14ac:dyDescent="0.25">
      <c r="A2105" s="1">
        <v>43073</v>
      </c>
      <c r="B2105" s="2" t="s">
        <v>603</v>
      </c>
      <c r="C2105" s="2" t="s">
        <v>439</v>
      </c>
      <c r="D2105">
        <v>6</v>
      </c>
      <c r="E2105">
        <f>WEEKNUM(makulatura[[#This Row],[Data_dostarczenia]],13)</f>
        <v>49</v>
      </c>
      <c r="F2105" s="2">
        <f>WEEKDAY(makulatura[[#This Row],[Data_dostarczenia]],2)</f>
        <v>1</v>
      </c>
    </row>
    <row r="2106" spans="1:6" x14ac:dyDescent="0.25">
      <c r="A2106" s="1">
        <v>43073</v>
      </c>
      <c r="B2106" s="2" t="s">
        <v>307</v>
      </c>
      <c r="C2106" s="2" t="s">
        <v>308</v>
      </c>
      <c r="D2106">
        <v>9</v>
      </c>
      <c r="E2106">
        <f>WEEKNUM(makulatura[[#This Row],[Data_dostarczenia]],13)</f>
        <v>49</v>
      </c>
      <c r="F2106" s="2">
        <f>WEEKDAY(makulatura[[#This Row],[Data_dostarczenia]],2)</f>
        <v>1</v>
      </c>
    </row>
    <row r="2107" spans="1:6" x14ac:dyDescent="0.25">
      <c r="A2107" s="1">
        <v>43073</v>
      </c>
      <c r="B2107" s="2" t="s">
        <v>14</v>
      </c>
      <c r="C2107" s="2" t="s">
        <v>430</v>
      </c>
      <c r="D2107">
        <v>48</v>
      </c>
      <c r="E2107">
        <f>WEEKNUM(makulatura[[#This Row],[Data_dostarczenia]],13)</f>
        <v>49</v>
      </c>
      <c r="F2107" s="2">
        <f>WEEKDAY(makulatura[[#This Row],[Data_dostarczenia]],2)</f>
        <v>1</v>
      </c>
    </row>
    <row r="2108" spans="1:6" x14ac:dyDescent="0.25">
      <c r="A2108" s="1">
        <v>43074</v>
      </c>
      <c r="B2108" s="2" t="s">
        <v>416</v>
      </c>
      <c r="C2108" s="2" t="s">
        <v>417</v>
      </c>
      <c r="D2108">
        <v>21</v>
      </c>
      <c r="E2108">
        <f>WEEKNUM(makulatura[[#This Row],[Data_dostarczenia]],13)</f>
        <v>49</v>
      </c>
      <c r="F2108" s="2">
        <f>WEEKDAY(makulatura[[#This Row],[Data_dostarczenia]],2)</f>
        <v>2</v>
      </c>
    </row>
    <row r="2109" spans="1:6" x14ac:dyDescent="0.25">
      <c r="A2109" s="1">
        <v>43074</v>
      </c>
      <c r="B2109" s="2" t="s">
        <v>139</v>
      </c>
      <c r="C2109" s="2" t="s">
        <v>654</v>
      </c>
      <c r="D2109">
        <v>2</v>
      </c>
      <c r="E2109">
        <f>WEEKNUM(makulatura[[#This Row],[Data_dostarczenia]],13)</f>
        <v>49</v>
      </c>
      <c r="F2109" s="2">
        <f>WEEKDAY(makulatura[[#This Row],[Data_dostarczenia]],2)</f>
        <v>2</v>
      </c>
    </row>
    <row r="2110" spans="1:6" x14ac:dyDescent="0.25">
      <c r="A2110" s="1">
        <v>43074</v>
      </c>
      <c r="B2110" s="2" t="s">
        <v>55</v>
      </c>
      <c r="C2110" s="2" t="s">
        <v>184</v>
      </c>
      <c r="D2110">
        <v>45</v>
      </c>
      <c r="E2110">
        <f>WEEKNUM(makulatura[[#This Row],[Data_dostarczenia]],13)</f>
        <v>49</v>
      </c>
      <c r="F2110" s="2">
        <f>WEEKDAY(makulatura[[#This Row],[Data_dostarczenia]],2)</f>
        <v>2</v>
      </c>
    </row>
    <row r="2111" spans="1:6" x14ac:dyDescent="0.25">
      <c r="A2111" s="1">
        <v>43074</v>
      </c>
      <c r="B2111" s="2" t="s">
        <v>63</v>
      </c>
      <c r="C2111" s="2" t="s">
        <v>441</v>
      </c>
      <c r="D2111">
        <v>34</v>
      </c>
      <c r="E2111">
        <f>WEEKNUM(makulatura[[#This Row],[Data_dostarczenia]],13)</f>
        <v>49</v>
      </c>
      <c r="F2111" s="2">
        <f>WEEKDAY(makulatura[[#This Row],[Data_dostarczenia]],2)</f>
        <v>2</v>
      </c>
    </row>
    <row r="2112" spans="1:6" x14ac:dyDescent="0.25">
      <c r="A2112" s="1">
        <v>43074</v>
      </c>
      <c r="B2112" s="2" t="s">
        <v>36</v>
      </c>
      <c r="C2112" s="2" t="s">
        <v>180</v>
      </c>
      <c r="D2112">
        <v>22</v>
      </c>
      <c r="E2112">
        <f>WEEKNUM(makulatura[[#This Row],[Data_dostarczenia]],13)</f>
        <v>49</v>
      </c>
      <c r="F2112" s="2">
        <f>WEEKDAY(makulatura[[#This Row],[Data_dostarczenia]],2)</f>
        <v>2</v>
      </c>
    </row>
    <row r="2113" spans="1:6" x14ac:dyDescent="0.25">
      <c r="A2113" s="1">
        <v>43074</v>
      </c>
      <c r="B2113" s="2" t="s">
        <v>8</v>
      </c>
      <c r="C2113" s="2" t="s">
        <v>491</v>
      </c>
      <c r="D2113">
        <v>6</v>
      </c>
      <c r="E2113">
        <f>WEEKNUM(makulatura[[#This Row],[Data_dostarczenia]],13)</f>
        <v>49</v>
      </c>
      <c r="F2113" s="2">
        <f>WEEKDAY(makulatura[[#This Row],[Data_dostarczenia]],2)</f>
        <v>2</v>
      </c>
    </row>
    <row r="2114" spans="1:6" x14ac:dyDescent="0.25">
      <c r="A2114" s="1">
        <v>43074</v>
      </c>
      <c r="B2114" s="2" t="s">
        <v>143</v>
      </c>
      <c r="C2114" s="2" t="s">
        <v>510</v>
      </c>
      <c r="D2114">
        <v>19</v>
      </c>
      <c r="E2114">
        <f>WEEKNUM(makulatura[[#This Row],[Data_dostarczenia]],13)</f>
        <v>49</v>
      </c>
      <c r="F2114" s="2">
        <f>WEEKDAY(makulatura[[#This Row],[Data_dostarczenia]],2)</f>
        <v>2</v>
      </c>
    </row>
    <row r="2115" spans="1:6" x14ac:dyDescent="0.25">
      <c r="A2115" s="1">
        <v>43074</v>
      </c>
      <c r="B2115" s="2" t="s">
        <v>14</v>
      </c>
      <c r="C2115" s="2" t="s">
        <v>15</v>
      </c>
      <c r="D2115">
        <v>22</v>
      </c>
      <c r="E2115">
        <f>WEEKNUM(makulatura[[#This Row],[Data_dostarczenia]],13)</f>
        <v>49</v>
      </c>
      <c r="F2115" s="2">
        <f>WEEKDAY(makulatura[[#This Row],[Data_dostarczenia]],2)</f>
        <v>2</v>
      </c>
    </row>
    <row r="2116" spans="1:6" x14ac:dyDescent="0.25">
      <c r="A2116" s="1">
        <v>43074</v>
      </c>
      <c r="B2116" s="2" t="s">
        <v>4</v>
      </c>
      <c r="C2116" s="2" t="s">
        <v>386</v>
      </c>
      <c r="D2116">
        <v>10</v>
      </c>
      <c r="E2116">
        <f>WEEKNUM(makulatura[[#This Row],[Data_dostarczenia]],13)</f>
        <v>49</v>
      </c>
      <c r="F2116" s="2">
        <f>WEEKDAY(makulatura[[#This Row],[Data_dostarczenia]],2)</f>
        <v>2</v>
      </c>
    </row>
    <row r="2117" spans="1:6" x14ac:dyDescent="0.25">
      <c r="A2117" s="1">
        <v>43075</v>
      </c>
      <c r="B2117" s="2" t="s">
        <v>271</v>
      </c>
      <c r="C2117" s="2" t="s">
        <v>548</v>
      </c>
      <c r="D2117">
        <v>20</v>
      </c>
      <c r="E2117">
        <f>WEEKNUM(makulatura[[#This Row],[Data_dostarczenia]],13)</f>
        <v>50</v>
      </c>
      <c r="F2117" s="2">
        <f>WEEKDAY(makulatura[[#This Row],[Data_dostarczenia]],2)</f>
        <v>3</v>
      </c>
    </row>
    <row r="2118" spans="1:6" x14ac:dyDescent="0.25">
      <c r="A2118" s="1">
        <v>43075</v>
      </c>
      <c r="B2118" s="2" t="s">
        <v>314</v>
      </c>
      <c r="C2118" s="2" t="s">
        <v>84</v>
      </c>
      <c r="D2118">
        <v>40</v>
      </c>
      <c r="E2118">
        <f>WEEKNUM(makulatura[[#This Row],[Data_dostarczenia]],13)</f>
        <v>50</v>
      </c>
      <c r="F2118" s="2">
        <f>WEEKDAY(makulatura[[#This Row],[Data_dostarczenia]],2)</f>
        <v>3</v>
      </c>
    </row>
    <row r="2119" spans="1:6" x14ac:dyDescent="0.25">
      <c r="A2119" s="1">
        <v>43075</v>
      </c>
      <c r="B2119" s="2" t="s">
        <v>137</v>
      </c>
      <c r="C2119" s="2" t="s">
        <v>685</v>
      </c>
      <c r="D2119">
        <v>14</v>
      </c>
      <c r="E2119">
        <f>WEEKNUM(makulatura[[#This Row],[Data_dostarczenia]],13)</f>
        <v>50</v>
      </c>
      <c r="F2119" s="2">
        <f>WEEKDAY(makulatura[[#This Row],[Data_dostarczenia]],2)</f>
        <v>3</v>
      </c>
    </row>
    <row r="2120" spans="1:6" x14ac:dyDescent="0.25">
      <c r="A2120" s="1">
        <v>43075</v>
      </c>
      <c r="B2120" s="2" t="s">
        <v>232</v>
      </c>
      <c r="C2120" s="2" t="s">
        <v>405</v>
      </c>
      <c r="D2120">
        <v>5</v>
      </c>
      <c r="E2120">
        <f>WEEKNUM(makulatura[[#This Row],[Data_dostarczenia]],13)</f>
        <v>50</v>
      </c>
      <c r="F2120" s="2">
        <f>WEEKDAY(makulatura[[#This Row],[Data_dostarczenia]],2)</f>
        <v>3</v>
      </c>
    </row>
    <row r="2121" spans="1:6" x14ac:dyDescent="0.25">
      <c r="A2121" s="1">
        <v>43075</v>
      </c>
      <c r="B2121" s="2" t="s">
        <v>178</v>
      </c>
      <c r="C2121" s="2" t="s">
        <v>333</v>
      </c>
      <c r="D2121">
        <v>3</v>
      </c>
      <c r="E2121">
        <f>WEEKNUM(makulatura[[#This Row],[Data_dostarczenia]],13)</f>
        <v>50</v>
      </c>
      <c r="F2121" s="2">
        <f>WEEKDAY(makulatura[[#This Row],[Data_dostarczenia]],2)</f>
        <v>3</v>
      </c>
    </row>
    <row r="2122" spans="1:6" x14ac:dyDescent="0.25">
      <c r="A2122" s="1">
        <v>43075</v>
      </c>
      <c r="B2122" s="2" t="s">
        <v>361</v>
      </c>
      <c r="C2122" s="2" t="s">
        <v>424</v>
      </c>
      <c r="D2122">
        <v>14</v>
      </c>
      <c r="E2122">
        <f>WEEKNUM(makulatura[[#This Row],[Data_dostarczenia]],13)</f>
        <v>50</v>
      </c>
      <c r="F2122" s="2">
        <f>WEEKDAY(makulatura[[#This Row],[Data_dostarczenia]],2)</f>
        <v>3</v>
      </c>
    </row>
    <row r="2123" spans="1:6" x14ac:dyDescent="0.25">
      <c r="A2123" s="1">
        <v>43075</v>
      </c>
      <c r="B2123" s="2" t="s">
        <v>30</v>
      </c>
      <c r="C2123" s="2" t="s">
        <v>463</v>
      </c>
      <c r="D2123">
        <v>7</v>
      </c>
      <c r="E2123">
        <f>WEEKNUM(makulatura[[#This Row],[Data_dostarczenia]],13)</f>
        <v>50</v>
      </c>
      <c r="F2123" s="2">
        <f>WEEKDAY(makulatura[[#This Row],[Data_dostarczenia]],2)</f>
        <v>3</v>
      </c>
    </row>
    <row r="2124" spans="1:6" x14ac:dyDescent="0.25">
      <c r="A2124" s="1">
        <v>43075</v>
      </c>
      <c r="B2124" s="2" t="s">
        <v>83</v>
      </c>
      <c r="C2124" s="2" t="s">
        <v>561</v>
      </c>
      <c r="D2124">
        <v>24</v>
      </c>
      <c r="E2124">
        <f>WEEKNUM(makulatura[[#This Row],[Data_dostarczenia]],13)</f>
        <v>50</v>
      </c>
      <c r="F2124" s="2">
        <f>WEEKDAY(makulatura[[#This Row],[Data_dostarczenia]],2)</f>
        <v>3</v>
      </c>
    </row>
    <row r="2125" spans="1:6" x14ac:dyDescent="0.25">
      <c r="A2125" s="1">
        <v>43075</v>
      </c>
      <c r="B2125" s="2" t="s">
        <v>10</v>
      </c>
      <c r="C2125" s="2" t="s">
        <v>266</v>
      </c>
      <c r="D2125">
        <v>39</v>
      </c>
      <c r="E2125">
        <f>WEEKNUM(makulatura[[#This Row],[Data_dostarczenia]],13)</f>
        <v>50</v>
      </c>
      <c r="F2125" s="2">
        <f>WEEKDAY(makulatura[[#This Row],[Data_dostarczenia]],2)</f>
        <v>3</v>
      </c>
    </row>
    <row r="2126" spans="1:6" x14ac:dyDescent="0.25">
      <c r="A2126" s="1">
        <v>43075</v>
      </c>
      <c r="B2126" s="2" t="s">
        <v>20</v>
      </c>
      <c r="C2126" s="2" t="s">
        <v>123</v>
      </c>
      <c r="D2126">
        <v>9</v>
      </c>
      <c r="E2126">
        <f>WEEKNUM(makulatura[[#This Row],[Data_dostarczenia]],13)</f>
        <v>50</v>
      </c>
      <c r="F2126" s="2">
        <f>WEEKDAY(makulatura[[#This Row],[Data_dostarczenia]],2)</f>
        <v>3</v>
      </c>
    </row>
    <row r="2127" spans="1:6" x14ac:dyDescent="0.25">
      <c r="A2127" s="1">
        <v>43076</v>
      </c>
      <c r="B2127" s="2" t="s">
        <v>63</v>
      </c>
      <c r="C2127" s="2" t="s">
        <v>64</v>
      </c>
      <c r="D2127">
        <v>17</v>
      </c>
      <c r="E2127">
        <f>WEEKNUM(makulatura[[#This Row],[Data_dostarczenia]],13)</f>
        <v>50</v>
      </c>
      <c r="F2127" s="2">
        <f>WEEKDAY(makulatura[[#This Row],[Data_dostarczenia]],2)</f>
        <v>4</v>
      </c>
    </row>
    <row r="2128" spans="1:6" x14ac:dyDescent="0.25">
      <c r="A2128" s="1">
        <v>43076</v>
      </c>
      <c r="B2128" s="2" t="s">
        <v>352</v>
      </c>
      <c r="C2128" s="2" t="s">
        <v>363</v>
      </c>
      <c r="D2128">
        <v>22</v>
      </c>
      <c r="E2128">
        <f>WEEKNUM(makulatura[[#This Row],[Data_dostarczenia]],13)</f>
        <v>50</v>
      </c>
      <c r="F2128" s="2">
        <f>WEEKDAY(makulatura[[#This Row],[Data_dostarczenia]],2)</f>
        <v>4</v>
      </c>
    </row>
    <row r="2129" spans="1:6" x14ac:dyDescent="0.25">
      <c r="A2129" s="1">
        <v>43076</v>
      </c>
      <c r="B2129" s="2" t="s">
        <v>374</v>
      </c>
      <c r="C2129" s="2" t="s">
        <v>581</v>
      </c>
      <c r="D2129">
        <v>12</v>
      </c>
      <c r="E2129">
        <f>WEEKNUM(makulatura[[#This Row],[Data_dostarczenia]],13)</f>
        <v>50</v>
      </c>
      <c r="F2129" s="2">
        <f>WEEKDAY(makulatura[[#This Row],[Data_dostarczenia]],2)</f>
        <v>4</v>
      </c>
    </row>
    <row r="2130" spans="1:6" x14ac:dyDescent="0.25">
      <c r="A2130" s="1">
        <v>43076</v>
      </c>
      <c r="B2130" s="2" t="s">
        <v>331</v>
      </c>
      <c r="C2130" s="2" t="s">
        <v>26</v>
      </c>
      <c r="D2130">
        <v>7</v>
      </c>
      <c r="E2130">
        <f>WEEKNUM(makulatura[[#This Row],[Data_dostarczenia]],13)</f>
        <v>50</v>
      </c>
      <c r="F2130" s="2">
        <f>WEEKDAY(makulatura[[#This Row],[Data_dostarczenia]],2)</f>
        <v>4</v>
      </c>
    </row>
    <row r="2131" spans="1:6" x14ac:dyDescent="0.25">
      <c r="A2131" s="1">
        <v>43076</v>
      </c>
      <c r="B2131" s="2" t="s">
        <v>39</v>
      </c>
      <c r="C2131" s="2" t="s">
        <v>289</v>
      </c>
      <c r="D2131">
        <v>15</v>
      </c>
      <c r="E2131">
        <f>WEEKNUM(makulatura[[#This Row],[Data_dostarczenia]],13)</f>
        <v>50</v>
      </c>
      <c r="F2131" s="2">
        <f>WEEKDAY(makulatura[[#This Row],[Data_dostarczenia]],2)</f>
        <v>4</v>
      </c>
    </row>
    <row r="2132" spans="1:6" x14ac:dyDescent="0.25">
      <c r="A2132" s="1">
        <v>43076</v>
      </c>
      <c r="B2132" s="2" t="s">
        <v>147</v>
      </c>
      <c r="C2132" s="2" t="s">
        <v>644</v>
      </c>
      <c r="D2132">
        <v>24</v>
      </c>
      <c r="E2132">
        <f>WEEKNUM(makulatura[[#This Row],[Data_dostarczenia]],13)</f>
        <v>50</v>
      </c>
      <c r="F2132" s="2">
        <f>WEEKDAY(makulatura[[#This Row],[Data_dostarczenia]],2)</f>
        <v>4</v>
      </c>
    </row>
    <row r="2133" spans="1:6" x14ac:dyDescent="0.25">
      <c r="A2133" s="1">
        <v>43076</v>
      </c>
      <c r="B2133" s="2" t="s">
        <v>133</v>
      </c>
      <c r="C2133" s="2" t="s">
        <v>499</v>
      </c>
      <c r="D2133">
        <v>49</v>
      </c>
      <c r="E2133">
        <f>WEEKNUM(makulatura[[#This Row],[Data_dostarczenia]],13)</f>
        <v>50</v>
      </c>
      <c r="F2133" s="2">
        <f>WEEKDAY(makulatura[[#This Row],[Data_dostarczenia]],2)</f>
        <v>4</v>
      </c>
    </row>
    <row r="2134" spans="1:6" x14ac:dyDescent="0.25">
      <c r="A2134" s="1">
        <v>43076</v>
      </c>
      <c r="B2134" s="2" t="s">
        <v>92</v>
      </c>
      <c r="C2134" s="2" t="s">
        <v>638</v>
      </c>
      <c r="D2134">
        <v>12</v>
      </c>
      <c r="E2134">
        <f>WEEKNUM(makulatura[[#This Row],[Data_dostarczenia]],13)</f>
        <v>50</v>
      </c>
      <c r="F2134" s="2">
        <f>WEEKDAY(makulatura[[#This Row],[Data_dostarczenia]],2)</f>
        <v>4</v>
      </c>
    </row>
    <row r="2135" spans="1:6" x14ac:dyDescent="0.25">
      <c r="A2135" s="1">
        <v>43076</v>
      </c>
      <c r="B2135" s="2" t="s">
        <v>280</v>
      </c>
      <c r="C2135" s="2" t="s">
        <v>281</v>
      </c>
      <c r="D2135">
        <v>24</v>
      </c>
      <c r="E2135">
        <f>WEEKNUM(makulatura[[#This Row],[Data_dostarczenia]],13)</f>
        <v>50</v>
      </c>
      <c r="F2135" s="2">
        <f>WEEKDAY(makulatura[[#This Row],[Data_dostarczenia]],2)</f>
        <v>4</v>
      </c>
    </row>
    <row r="2136" spans="1:6" x14ac:dyDescent="0.25">
      <c r="A2136" s="1">
        <v>43076</v>
      </c>
      <c r="B2136" s="2" t="s">
        <v>55</v>
      </c>
      <c r="C2136" s="2" t="s">
        <v>265</v>
      </c>
      <c r="D2136">
        <v>9</v>
      </c>
      <c r="E2136">
        <f>WEEKNUM(makulatura[[#This Row],[Data_dostarczenia]],13)</f>
        <v>50</v>
      </c>
      <c r="F2136" s="2">
        <f>WEEKDAY(makulatura[[#This Row],[Data_dostarczenia]],2)</f>
        <v>4</v>
      </c>
    </row>
    <row r="2137" spans="1:6" x14ac:dyDescent="0.25">
      <c r="A2137" s="1">
        <v>43077</v>
      </c>
      <c r="B2137" s="2" t="s">
        <v>30</v>
      </c>
      <c r="C2137" s="2" t="s">
        <v>31</v>
      </c>
      <c r="D2137">
        <v>6</v>
      </c>
      <c r="E2137">
        <f>WEEKNUM(makulatura[[#This Row],[Data_dostarczenia]],13)</f>
        <v>50</v>
      </c>
      <c r="F2137" s="2">
        <f>WEEKDAY(makulatura[[#This Row],[Data_dostarczenia]],2)</f>
        <v>5</v>
      </c>
    </row>
    <row r="2138" spans="1:6" x14ac:dyDescent="0.25">
      <c r="A2138" s="1">
        <v>43077</v>
      </c>
      <c r="B2138" s="2" t="s">
        <v>420</v>
      </c>
      <c r="C2138" s="2" t="s">
        <v>634</v>
      </c>
      <c r="D2138">
        <v>5</v>
      </c>
      <c r="E2138">
        <f>WEEKNUM(makulatura[[#This Row],[Data_dostarczenia]],13)</f>
        <v>50</v>
      </c>
      <c r="F2138" s="2">
        <f>WEEKDAY(makulatura[[#This Row],[Data_dostarczenia]],2)</f>
        <v>5</v>
      </c>
    </row>
    <row r="2139" spans="1:6" x14ac:dyDescent="0.25">
      <c r="A2139" s="1">
        <v>43077</v>
      </c>
      <c r="B2139" s="2" t="s">
        <v>12</v>
      </c>
      <c r="C2139" s="2" t="s">
        <v>38</v>
      </c>
      <c r="D2139">
        <v>9</v>
      </c>
      <c r="E2139">
        <f>WEEKNUM(makulatura[[#This Row],[Data_dostarczenia]],13)</f>
        <v>50</v>
      </c>
      <c r="F2139" s="2">
        <f>WEEKDAY(makulatura[[#This Row],[Data_dostarczenia]],2)</f>
        <v>5</v>
      </c>
    </row>
    <row r="2140" spans="1:6" x14ac:dyDescent="0.25">
      <c r="A2140" s="1">
        <v>43077</v>
      </c>
      <c r="B2140" s="2" t="s">
        <v>393</v>
      </c>
      <c r="C2140" s="2" t="s">
        <v>86</v>
      </c>
      <c r="D2140">
        <v>15</v>
      </c>
      <c r="E2140">
        <f>WEEKNUM(makulatura[[#This Row],[Data_dostarczenia]],13)</f>
        <v>50</v>
      </c>
      <c r="F2140" s="2">
        <f>WEEKDAY(makulatura[[#This Row],[Data_dostarczenia]],2)</f>
        <v>5</v>
      </c>
    </row>
    <row r="2141" spans="1:6" x14ac:dyDescent="0.25">
      <c r="A2141" s="1">
        <v>43077</v>
      </c>
      <c r="B2141" s="2" t="s">
        <v>593</v>
      </c>
      <c r="C2141" s="2" t="s">
        <v>594</v>
      </c>
      <c r="D2141">
        <v>21</v>
      </c>
      <c r="E2141">
        <f>WEEKNUM(makulatura[[#This Row],[Data_dostarczenia]],13)</f>
        <v>50</v>
      </c>
      <c r="F2141" s="2">
        <f>WEEKDAY(makulatura[[#This Row],[Data_dostarczenia]],2)</f>
        <v>5</v>
      </c>
    </row>
    <row r="2142" spans="1:6" x14ac:dyDescent="0.25">
      <c r="A2142" s="1">
        <v>43077</v>
      </c>
      <c r="B2142" s="2" t="s">
        <v>39</v>
      </c>
      <c r="C2142" s="2" t="s">
        <v>609</v>
      </c>
      <c r="D2142">
        <v>2</v>
      </c>
      <c r="E2142">
        <f>WEEKNUM(makulatura[[#This Row],[Data_dostarczenia]],13)</f>
        <v>50</v>
      </c>
      <c r="F2142" s="2">
        <f>WEEKDAY(makulatura[[#This Row],[Data_dostarczenia]],2)</f>
        <v>5</v>
      </c>
    </row>
    <row r="2143" spans="1:6" x14ac:dyDescent="0.25">
      <c r="A2143" s="1">
        <v>43077</v>
      </c>
      <c r="B2143" s="2" t="s">
        <v>39</v>
      </c>
      <c r="C2143" s="2" t="s">
        <v>586</v>
      </c>
      <c r="D2143">
        <v>48</v>
      </c>
      <c r="E2143">
        <f>WEEKNUM(makulatura[[#This Row],[Data_dostarczenia]],13)</f>
        <v>50</v>
      </c>
      <c r="F2143" s="2">
        <f>WEEKDAY(makulatura[[#This Row],[Data_dostarczenia]],2)</f>
        <v>5</v>
      </c>
    </row>
    <row r="2144" spans="1:6" x14ac:dyDescent="0.25">
      <c r="A2144" s="1">
        <v>43077</v>
      </c>
      <c r="B2144" s="2" t="s">
        <v>150</v>
      </c>
      <c r="C2144" s="2" t="s">
        <v>462</v>
      </c>
      <c r="D2144">
        <v>3</v>
      </c>
      <c r="E2144">
        <f>WEEKNUM(makulatura[[#This Row],[Data_dostarczenia]],13)</f>
        <v>50</v>
      </c>
      <c r="F2144" s="2">
        <f>WEEKDAY(makulatura[[#This Row],[Data_dostarczenia]],2)</f>
        <v>5</v>
      </c>
    </row>
    <row r="2145" spans="1:6" x14ac:dyDescent="0.25">
      <c r="A2145" s="1">
        <v>43077</v>
      </c>
      <c r="B2145" s="2" t="s">
        <v>329</v>
      </c>
      <c r="C2145" s="2" t="s">
        <v>330</v>
      </c>
      <c r="D2145">
        <v>52</v>
      </c>
      <c r="E2145">
        <f>WEEKNUM(makulatura[[#This Row],[Data_dostarczenia]],13)</f>
        <v>50</v>
      </c>
      <c r="F2145" s="2">
        <f>WEEKDAY(makulatura[[#This Row],[Data_dostarczenia]],2)</f>
        <v>5</v>
      </c>
    </row>
    <row r="2146" spans="1:6" x14ac:dyDescent="0.25">
      <c r="A2146" s="1">
        <v>43077</v>
      </c>
      <c r="B2146" s="2" t="s">
        <v>307</v>
      </c>
      <c r="C2146" s="2" t="s">
        <v>308</v>
      </c>
      <c r="D2146">
        <v>7</v>
      </c>
      <c r="E2146">
        <f>WEEKNUM(makulatura[[#This Row],[Data_dostarczenia]],13)</f>
        <v>50</v>
      </c>
      <c r="F2146" s="2">
        <f>WEEKDAY(makulatura[[#This Row],[Data_dostarczenia]],2)</f>
        <v>5</v>
      </c>
    </row>
    <row r="2147" spans="1:6" x14ac:dyDescent="0.25">
      <c r="A2147" s="1">
        <v>43080</v>
      </c>
      <c r="B2147" s="2" t="s">
        <v>232</v>
      </c>
      <c r="C2147" s="2" t="s">
        <v>573</v>
      </c>
      <c r="D2147">
        <v>12</v>
      </c>
      <c r="E2147">
        <f>WEEKNUM(makulatura[[#This Row],[Data_dostarczenia]],13)</f>
        <v>50</v>
      </c>
      <c r="F2147" s="2">
        <f>WEEKDAY(makulatura[[#This Row],[Data_dostarczenia]],2)</f>
        <v>1</v>
      </c>
    </row>
    <row r="2148" spans="1:6" x14ac:dyDescent="0.25">
      <c r="A2148" s="1">
        <v>43080</v>
      </c>
      <c r="B2148" s="2" t="s">
        <v>152</v>
      </c>
      <c r="C2148" s="2" t="s">
        <v>319</v>
      </c>
      <c r="D2148">
        <v>5</v>
      </c>
      <c r="E2148">
        <f>WEEKNUM(makulatura[[#This Row],[Data_dostarczenia]],13)</f>
        <v>50</v>
      </c>
      <c r="F2148" s="2">
        <f>WEEKDAY(makulatura[[#This Row],[Data_dostarczenia]],2)</f>
        <v>1</v>
      </c>
    </row>
    <row r="2149" spans="1:6" x14ac:dyDescent="0.25">
      <c r="A2149" s="1">
        <v>43080</v>
      </c>
      <c r="B2149" s="2" t="s">
        <v>280</v>
      </c>
      <c r="C2149" s="2" t="s">
        <v>281</v>
      </c>
      <c r="D2149">
        <v>7</v>
      </c>
      <c r="E2149">
        <f>WEEKNUM(makulatura[[#This Row],[Data_dostarczenia]],13)</f>
        <v>50</v>
      </c>
      <c r="F2149" s="2">
        <f>WEEKDAY(makulatura[[#This Row],[Data_dostarczenia]],2)</f>
        <v>1</v>
      </c>
    </row>
    <row r="2150" spans="1:6" x14ac:dyDescent="0.25">
      <c r="A2150" s="1">
        <v>43080</v>
      </c>
      <c r="B2150" s="2" t="s">
        <v>128</v>
      </c>
      <c r="C2150" s="2" t="s">
        <v>639</v>
      </c>
      <c r="D2150">
        <v>22</v>
      </c>
      <c r="E2150">
        <f>WEEKNUM(makulatura[[#This Row],[Data_dostarczenia]],13)</f>
        <v>50</v>
      </c>
      <c r="F2150" s="2">
        <f>WEEKDAY(makulatura[[#This Row],[Data_dostarczenia]],2)</f>
        <v>1</v>
      </c>
    </row>
    <row r="2151" spans="1:6" x14ac:dyDescent="0.25">
      <c r="A2151" s="1">
        <v>43080</v>
      </c>
      <c r="B2151" s="2" t="s">
        <v>280</v>
      </c>
      <c r="C2151" s="2" t="s">
        <v>451</v>
      </c>
      <c r="D2151">
        <v>5</v>
      </c>
      <c r="E2151">
        <f>WEEKNUM(makulatura[[#This Row],[Data_dostarczenia]],13)</f>
        <v>50</v>
      </c>
      <c r="F2151" s="2">
        <f>WEEKDAY(makulatura[[#This Row],[Data_dostarczenia]],2)</f>
        <v>1</v>
      </c>
    </row>
    <row r="2152" spans="1:6" x14ac:dyDescent="0.25">
      <c r="A2152" s="1">
        <v>43080</v>
      </c>
      <c r="B2152" s="2" t="s">
        <v>77</v>
      </c>
      <c r="C2152" s="2" t="s">
        <v>85</v>
      </c>
      <c r="D2152">
        <v>9</v>
      </c>
      <c r="E2152">
        <f>WEEKNUM(makulatura[[#This Row],[Data_dostarczenia]],13)</f>
        <v>50</v>
      </c>
      <c r="F2152" s="2">
        <f>WEEKDAY(makulatura[[#This Row],[Data_dostarczenia]],2)</f>
        <v>1</v>
      </c>
    </row>
    <row r="2153" spans="1:6" x14ac:dyDescent="0.25">
      <c r="A2153" s="1">
        <v>43080</v>
      </c>
      <c r="B2153" s="2" t="s">
        <v>176</v>
      </c>
      <c r="C2153" s="2" t="s">
        <v>486</v>
      </c>
      <c r="D2153">
        <v>4</v>
      </c>
      <c r="E2153">
        <f>WEEKNUM(makulatura[[#This Row],[Data_dostarczenia]],13)</f>
        <v>50</v>
      </c>
      <c r="F2153" s="2">
        <f>WEEKDAY(makulatura[[#This Row],[Data_dostarczenia]],2)</f>
        <v>1</v>
      </c>
    </row>
    <row r="2154" spans="1:6" x14ac:dyDescent="0.25">
      <c r="A2154" s="1">
        <v>43080</v>
      </c>
      <c r="B2154" s="2" t="s">
        <v>635</v>
      </c>
      <c r="C2154" s="2" t="s">
        <v>636</v>
      </c>
      <c r="D2154">
        <v>31</v>
      </c>
      <c r="E2154">
        <f>WEEKNUM(makulatura[[#This Row],[Data_dostarczenia]],13)</f>
        <v>50</v>
      </c>
      <c r="F2154" s="2">
        <f>WEEKDAY(makulatura[[#This Row],[Data_dostarczenia]],2)</f>
        <v>1</v>
      </c>
    </row>
    <row r="2155" spans="1:6" x14ac:dyDescent="0.25">
      <c r="A2155" s="1">
        <v>43080</v>
      </c>
      <c r="B2155" s="2" t="s">
        <v>232</v>
      </c>
      <c r="C2155" s="2" t="s">
        <v>451</v>
      </c>
      <c r="D2155">
        <v>16</v>
      </c>
      <c r="E2155">
        <f>WEEKNUM(makulatura[[#This Row],[Data_dostarczenia]],13)</f>
        <v>50</v>
      </c>
      <c r="F2155" s="2">
        <f>WEEKDAY(makulatura[[#This Row],[Data_dostarczenia]],2)</f>
        <v>1</v>
      </c>
    </row>
    <row r="2156" spans="1:6" x14ac:dyDescent="0.25">
      <c r="A2156" s="1">
        <v>43080</v>
      </c>
      <c r="B2156" s="2" t="s">
        <v>47</v>
      </c>
      <c r="C2156" s="2" t="s">
        <v>465</v>
      </c>
      <c r="D2156">
        <v>21</v>
      </c>
      <c r="E2156">
        <f>WEEKNUM(makulatura[[#This Row],[Data_dostarczenia]],13)</f>
        <v>50</v>
      </c>
      <c r="F2156" s="2">
        <f>WEEKDAY(makulatura[[#This Row],[Data_dostarczenia]],2)</f>
        <v>1</v>
      </c>
    </row>
    <row r="2157" spans="1:6" x14ac:dyDescent="0.25">
      <c r="A2157" s="1">
        <v>43081</v>
      </c>
      <c r="B2157" s="2" t="s">
        <v>206</v>
      </c>
      <c r="C2157" s="2" t="s">
        <v>192</v>
      </c>
      <c r="D2157">
        <v>22</v>
      </c>
      <c r="E2157">
        <f>WEEKNUM(makulatura[[#This Row],[Data_dostarczenia]],13)</f>
        <v>50</v>
      </c>
      <c r="F2157" s="2">
        <f>WEEKDAY(makulatura[[#This Row],[Data_dostarczenia]],2)</f>
        <v>2</v>
      </c>
    </row>
    <row r="2158" spans="1:6" x14ac:dyDescent="0.25">
      <c r="A2158" s="1">
        <v>43081</v>
      </c>
      <c r="B2158" s="2" t="s">
        <v>152</v>
      </c>
      <c r="C2158" s="2" t="s">
        <v>153</v>
      </c>
      <c r="D2158">
        <v>20</v>
      </c>
      <c r="E2158">
        <f>WEEKNUM(makulatura[[#This Row],[Data_dostarczenia]],13)</f>
        <v>50</v>
      </c>
      <c r="F2158" s="2">
        <f>WEEKDAY(makulatura[[#This Row],[Data_dostarczenia]],2)</f>
        <v>2</v>
      </c>
    </row>
    <row r="2159" spans="1:6" x14ac:dyDescent="0.25">
      <c r="A2159" s="1">
        <v>43081</v>
      </c>
      <c r="B2159" s="2" t="s">
        <v>193</v>
      </c>
      <c r="C2159" s="2" t="s">
        <v>228</v>
      </c>
      <c r="D2159">
        <v>24</v>
      </c>
      <c r="E2159">
        <f>WEEKNUM(makulatura[[#This Row],[Data_dostarczenia]],13)</f>
        <v>50</v>
      </c>
      <c r="F2159" s="2">
        <f>WEEKDAY(makulatura[[#This Row],[Data_dostarczenia]],2)</f>
        <v>2</v>
      </c>
    </row>
    <row r="2160" spans="1:6" x14ac:dyDescent="0.25">
      <c r="A2160" s="1">
        <v>43081</v>
      </c>
      <c r="B2160" s="2" t="s">
        <v>352</v>
      </c>
      <c r="C2160" s="2" t="s">
        <v>227</v>
      </c>
      <c r="D2160">
        <v>17</v>
      </c>
      <c r="E2160">
        <f>WEEKNUM(makulatura[[#This Row],[Data_dostarczenia]],13)</f>
        <v>50</v>
      </c>
      <c r="F2160" s="2">
        <f>WEEKDAY(makulatura[[#This Row],[Data_dostarczenia]],2)</f>
        <v>2</v>
      </c>
    </row>
    <row r="2161" spans="1:6" x14ac:dyDescent="0.25">
      <c r="A2161" s="1">
        <v>43081</v>
      </c>
      <c r="B2161" s="2" t="s">
        <v>92</v>
      </c>
      <c r="C2161" s="2" t="s">
        <v>638</v>
      </c>
      <c r="D2161">
        <v>25</v>
      </c>
      <c r="E2161">
        <f>WEEKNUM(makulatura[[#This Row],[Data_dostarczenia]],13)</f>
        <v>50</v>
      </c>
      <c r="F2161" s="2">
        <f>WEEKDAY(makulatura[[#This Row],[Data_dostarczenia]],2)</f>
        <v>2</v>
      </c>
    </row>
    <row r="2162" spans="1:6" x14ac:dyDescent="0.25">
      <c r="A2162" s="1">
        <v>43081</v>
      </c>
      <c r="B2162" s="2" t="s">
        <v>49</v>
      </c>
      <c r="C2162" s="2" t="s">
        <v>50</v>
      </c>
      <c r="D2162">
        <v>22</v>
      </c>
      <c r="E2162">
        <f>WEEKNUM(makulatura[[#This Row],[Data_dostarczenia]],13)</f>
        <v>50</v>
      </c>
      <c r="F2162" s="2">
        <f>WEEKDAY(makulatura[[#This Row],[Data_dostarczenia]],2)</f>
        <v>2</v>
      </c>
    </row>
    <row r="2163" spans="1:6" x14ac:dyDescent="0.25">
      <c r="A2163" s="1">
        <v>43081</v>
      </c>
      <c r="B2163" s="2" t="s">
        <v>83</v>
      </c>
      <c r="C2163" s="2" t="s">
        <v>698</v>
      </c>
      <c r="D2163">
        <v>50</v>
      </c>
      <c r="E2163">
        <f>WEEKNUM(makulatura[[#This Row],[Data_dostarczenia]],13)</f>
        <v>50</v>
      </c>
      <c r="F2163" s="2">
        <f>WEEKDAY(makulatura[[#This Row],[Data_dostarczenia]],2)</f>
        <v>2</v>
      </c>
    </row>
    <row r="2164" spans="1:6" x14ac:dyDescent="0.25">
      <c r="A2164" s="1">
        <v>43081</v>
      </c>
      <c r="B2164" s="2" t="s">
        <v>4</v>
      </c>
      <c r="C2164" s="2" t="s">
        <v>386</v>
      </c>
      <c r="D2164">
        <v>6</v>
      </c>
      <c r="E2164">
        <f>WEEKNUM(makulatura[[#This Row],[Data_dostarczenia]],13)</f>
        <v>50</v>
      </c>
      <c r="F2164" s="2">
        <f>WEEKDAY(makulatura[[#This Row],[Data_dostarczenia]],2)</f>
        <v>2</v>
      </c>
    </row>
    <row r="2165" spans="1:6" x14ac:dyDescent="0.25">
      <c r="A2165" s="1">
        <v>43081</v>
      </c>
      <c r="B2165" s="2" t="s">
        <v>8</v>
      </c>
      <c r="C2165" s="2" t="s">
        <v>322</v>
      </c>
      <c r="D2165">
        <v>27</v>
      </c>
      <c r="E2165">
        <f>WEEKNUM(makulatura[[#This Row],[Data_dostarczenia]],13)</f>
        <v>50</v>
      </c>
      <c r="F2165" s="2">
        <f>WEEKDAY(makulatura[[#This Row],[Data_dostarczenia]],2)</f>
        <v>2</v>
      </c>
    </row>
    <row r="2166" spans="1:6" x14ac:dyDescent="0.25">
      <c r="A2166" s="1">
        <v>43081</v>
      </c>
      <c r="B2166" s="2" t="s">
        <v>361</v>
      </c>
      <c r="C2166" s="2" t="s">
        <v>424</v>
      </c>
      <c r="D2166">
        <v>29</v>
      </c>
      <c r="E2166">
        <f>WEEKNUM(makulatura[[#This Row],[Data_dostarczenia]],13)</f>
        <v>50</v>
      </c>
      <c r="F2166" s="2">
        <f>WEEKDAY(makulatura[[#This Row],[Data_dostarczenia]],2)</f>
        <v>2</v>
      </c>
    </row>
    <row r="2167" spans="1:6" x14ac:dyDescent="0.25">
      <c r="A2167" s="1">
        <v>43082</v>
      </c>
      <c r="B2167" s="2" t="s">
        <v>352</v>
      </c>
      <c r="C2167" s="2" t="s">
        <v>227</v>
      </c>
      <c r="D2167">
        <v>12</v>
      </c>
      <c r="E2167">
        <f>WEEKNUM(makulatura[[#This Row],[Data_dostarczenia]],13)</f>
        <v>51</v>
      </c>
      <c r="F2167" s="2">
        <f>WEEKDAY(makulatura[[#This Row],[Data_dostarczenia]],2)</f>
        <v>3</v>
      </c>
    </row>
    <row r="2168" spans="1:6" x14ac:dyDescent="0.25">
      <c r="A2168" s="1">
        <v>43082</v>
      </c>
      <c r="B2168" s="2" t="s">
        <v>121</v>
      </c>
      <c r="C2168" s="2" t="s">
        <v>600</v>
      </c>
      <c r="D2168">
        <v>28</v>
      </c>
      <c r="E2168">
        <f>WEEKNUM(makulatura[[#This Row],[Data_dostarczenia]],13)</f>
        <v>51</v>
      </c>
      <c r="F2168" s="2">
        <f>WEEKDAY(makulatura[[#This Row],[Data_dostarczenia]],2)</f>
        <v>3</v>
      </c>
    </row>
    <row r="2169" spans="1:6" x14ac:dyDescent="0.25">
      <c r="A2169" s="1">
        <v>43082</v>
      </c>
      <c r="B2169" s="2" t="s">
        <v>508</v>
      </c>
      <c r="C2169" s="2" t="s">
        <v>509</v>
      </c>
      <c r="D2169">
        <v>21</v>
      </c>
      <c r="E2169">
        <f>WEEKNUM(makulatura[[#This Row],[Data_dostarczenia]],13)</f>
        <v>51</v>
      </c>
      <c r="F2169" s="2">
        <f>WEEKDAY(makulatura[[#This Row],[Data_dostarczenia]],2)</f>
        <v>3</v>
      </c>
    </row>
    <row r="2170" spans="1:6" x14ac:dyDescent="0.25">
      <c r="A2170" s="1">
        <v>43082</v>
      </c>
      <c r="B2170" s="2" t="s">
        <v>30</v>
      </c>
      <c r="C2170" s="2" t="s">
        <v>109</v>
      </c>
      <c r="D2170">
        <v>19</v>
      </c>
      <c r="E2170">
        <f>WEEKNUM(makulatura[[#This Row],[Data_dostarczenia]],13)</f>
        <v>51</v>
      </c>
      <c r="F2170" s="2">
        <f>WEEKDAY(makulatura[[#This Row],[Data_dostarczenia]],2)</f>
        <v>3</v>
      </c>
    </row>
    <row r="2171" spans="1:6" x14ac:dyDescent="0.25">
      <c r="A2171" s="1">
        <v>43082</v>
      </c>
      <c r="B2171" s="2" t="s">
        <v>128</v>
      </c>
      <c r="C2171" s="2" t="s">
        <v>250</v>
      </c>
      <c r="D2171">
        <v>29</v>
      </c>
      <c r="E2171">
        <f>WEEKNUM(makulatura[[#This Row],[Data_dostarczenia]],13)</f>
        <v>51</v>
      </c>
      <c r="F2171" s="2">
        <f>WEEKDAY(makulatura[[#This Row],[Data_dostarczenia]],2)</f>
        <v>3</v>
      </c>
    </row>
    <row r="2172" spans="1:6" x14ac:dyDescent="0.25">
      <c r="A2172" s="1">
        <v>43082</v>
      </c>
      <c r="B2172" s="2" t="s">
        <v>144</v>
      </c>
      <c r="C2172" s="2" t="s">
        <v>390</v>
      </c>
      <c r="D2172">
        <v>9</v>
      </c>
      <c r="E2172">
        <f>WEEKNUM(makulatura[[#This Row],[Data_dostarczenia]],13)</f>
        <v>51</v>
      </c>
      <c r="F2172" s="2">
        <f>WEEKDAY(makulatura[[#This Row],[Data_dostarczenia]],2)</f>
        <v>3</v>
      </c>
    </row>
    <row r="2173" spans="1:6" x14ac:dyDescent="0.25">
      <c r="A2173" s="1">
        <v>43082</v>
      </c>
      <c r="B2173" s="2" t="s">
        <v>635</v>
      </c>
      <c r="C2173" s="2" t="s">
        <v>636</v>
      </c>
      <c r="D2173">
        <v>24</v>
      </c>
      <c r="E2173">
        <f>WEEKNUM(makulatura[[#This Row],[Data_dostarczenia]],13)</f>
        <v>51</v>
      </c>
      <c r="F2173" s="2">
        <f>WEEKDAY(makulatura[[#This Row],[Data_dostarczenia]],2)</f>
        <v>3</v>
      </c>
    </row>
    <row r="2174" spans="1:6" x14ac:dyDescent="0.25">
      <c r="A2174" s="1">
        <v>43082</v>
      </c>
      <c r="B2174" s="2" t="s">
        <v>193</v>
      </c>
      <c r="C2174" s="2" t="s">
        <v>595</v>
      </c>
      <c r="D2174">
        <v>24</v>
      </c>
      <c r="E2174">
        <f>WEEKNUM(makulatura[[#This Row],[Data_dostarczenia]],13)</f>
        <v>51</v>
      </c>
      <c r="F2174" s="2">
        <f>WEEKDAY(makulatura[[#This Row],[Data_dostarczenia]],2)</f>
        <v>3</v>
      </c>
    </row>
    <row r="2175" spans="1:6" x14ac:dyDescent="0.25">
      <c r="A2175" s="1">
        <v>43082</v>
      </c>
      <c r="B2175" s="2" t="s">
        <v>128</v>
      </c>
      <c r="C2175" s="2" t="s">
        <v>559</v>
      </c>
      <c r="D2175">
        <v>8</v>
      </c>
      <c r="E2175">
        <f>WEEKNUM(makulatura[[#This Row],[Data_dostarczenia]],13)</f>
        <v>51</v>
      </c>
      <c r="F2175" s="2">
        <f>WEEKDAY(makulatura[[#This Row],[Data_dostarczenia]],2)</f>
        <v>3</v>
      </c>
    </row>
    <row r="2176" spans="1:6" x14ac:dyDescent="0.25">
      <c r="A2176" s="1">
        <v>43082</v>
      </c>
      <c r="B2176" s="2" t="s">
        <v>618</v>
      </c>
      <c r="C2176" s="2" t="s">
        <v>619</v>
      </c>
      <c r="D2176">
        <v>5</v>
      </c>
      <c r="E2176">
        <f>WEEKNUM(makulatura[[#This Row],[Data_dostarczenia]],13)</f>
        <v>51</v>
      </c>
      <c r="F2176" s="2">
        <f>WEEKDAY(makulatura[[#This Row],[Data_dostarczenia]],2)</f>
        <v>3</v>
      </c>
    </row>
    <row r="2177" spans="1:6" x14ac:dyDescent="0.25">
      <c r="A2177" s="1">
        <v>43083</v>
      </c>
      <c r="B2177" s="2" t="s">
        <v>47</v>
      </c>
      <c r="C2177" s="2" t="s">
        <v>465</v>
      </c>
      <c r="D2177">
        <v>32</v>
      </c>
      <c r="E2177">
        <f>WEEKNUM(makulatura[[#This Row],[Data_dostarczenia]],13)</f>
        <v>51</v>
      </c>
      <c r="F2177" s="2">
        <f>WEEKDAY(makulatura[[#This Row],[Data_dostarczenia]],2)</f>
        <v>4</v>
      </c>
    </row>
    <row r="2178" spans="1:6" x14ac:dyDescent="0.25">
      <c r="A2178" s="1">
        <v>43083</v>
      </c>
      <c r="B2178" s="2" t="s">
        <v>178</v>
      </c>
      <c r="C2178" s="2" t="s">
        <v>333</v>
      </c>
      <c r="D2178">
        <v>34</v>
      </c>
      <c r="E2178">
        <f>WEEKNUM(makulatura[[#This Row],[Data_dostarczenia]],13)</f>
        <v>51</v>
      </c>
      <c r="F2178" s="2">
        <f>WEEKDAY(makulatura[[#This Row],[Data_dostarczenia]],2)</f>
        <v>4</v>
      </c>
    </row>
    <row r="2179" spans="1:6" x14ac:dyDescent="0.25">
      <c r="A2179" s="1">
        <v>43083</v>
      </c>
      <c r="B2179" s="2" t="s">
        <v>69</v>
      </c>
      <c r="C2179" s="2" t="s">
        <v>535</v>
      </c>
      <c r="D2179">
        <v>9</v>
      </c>
      <c r="E2179">
        <f>WEEKNUM(makulatura[[#This Row],[Data_dostarczenia]],13)</f>
        <v>51</v>
      </c>
      <c r="F2179" s="2">
        <f>WEEKDAY(makulatura[[#This Row],[Data_dostarczenia]],2)</f>
        <v>4</v>
      </c>
    </row>
    <row r="2180" spans="1:6" x14ac:dyDescent="0.25">
      <c r="A2180" s="1">
        <v>43083</v>
      </c>
      <c r="B2180" s="2" t="s">
        <v>57</v>
      </c>
      <c r="C2180" s="2" t="s">
        <v>531</v>
      </c>
      <c r="D2180">
        <v>49</v>
      </c>
      <c r="E2180">
        <f>WEEKNUM(makulatura[[#This Row],[Data_dostarczenia]],13)</f>
        <v>51</v>
      </c>
      <c r="F2180" s="2">
        <f>WEEKDAY(makulatura[[#This Row],[Data_dostarczenia]],2)</f>
        <v>4</v>
      </c>
    </row>
    <row r="2181" spans="1:6" x14ac:dyDescent="0.25">
      <c r="A2181" s="1">
        <v>43083</v>
      </c>
      <c r="B2181" s="2" t="s">
        <v>280</v>
      </c>
      <c r="C2181" s="2" t="s">
        <v>281</v>
      </c>
      <c r="D2181">
        <v>18</v>
      </c>
      <c r="E2181">
        <f>WEEKNUM(makulatura[[#This Row],[Data_dostarczenia]],13)</f>
        <v>51</v>
      </c>
      <c r="F2181" s="2">
        <f>WEEKDAY(makulatura[[#This Row],[Data_dostarczenia]],2)</f>
        <v>4</v>
      </c>
    </row>
    <row r="2182" spans="1:6" x14ac:dyDescent="0.25">
      <c r="A2182" s="1">
        <v>43083</v>
      </c>
      <c r="B2182" s="2" t="s">
        <v>57</v>
      </c>
      <c r="C2182" s="2" t="s">
        <v>531</v>
      </c>
      <c r="D2182">
        <v>56</v>
      </c>
      <c r="E2182">
        <f>WEEKNUM(makulatura[[#This Row],[Data_dostarczenia]],13)</f>
        <v>51</v>
      </c>
      <c r="F2182" s="2">
        <f>WEEKDAY(makulatura[[#This Row],[Data_dostarczenia]],2)</f>
        <v>4</v>
      </c>
    </row>
    <row r="2183" spans="1:6" x14ac:dyDescent="0.25">
      <c r="A2183" s="1">
        <v>43083</v>
      </c>
      <c r="B2183" s="2" t="s">
        <v>248</v>
      </c>
      <c r="C2183" s="2" t="s">
        <v>249</v>
      </c>
      <c r="D2183">
        <v>46</v>
      </c>
      <c r="E2183">
        <f>WEEKNUM(makulatura[[#This Row],[Data_dostarczenia]],13)</f>
        <v>51</v>
      </c>
      <c r="F2183" s="2">
        <f>WEEKDAY(makulatura[[#This Row],[Data_dostarczenia]],2)</f>
        <v>4</v>
      </c>
    </row>
    <row r="2184" spans="1:6" x14ac:dyDescent="0.25">
      <c r="A2184" s="1">
        <v>43083</v>
      </c>
      <c r="B2184" s="2" t="s">
        <v>640</v>
      </c>
      <c r="C2184" s="2" t="s">
        <v>655</v>
      </c>
      <c r="D2184">
        <v>11</v>
      </c>
      <c r="E2184">
        <f>WEEKNUM(makulatura[[#This Row],[Data_dostarczenia]],13)</f>
        <v>51</v>
      </c>
      <c r="F2184" s="2">
        <f>WEEKDAY(makulatura[[#This Row],[Data_dostarczenia]],2)</f>
        <v>4</v>
      </c>
    </row>
    <row r="2185" spans="1:6" x14ac:dyDescent="0.25">
      <c r="A2185" s="1">
        <v>43083</v>
      </c>
      <c r="B2185" s="2" t="s">
        <v>282</v>
      </c>
      <c r="C2185" s="2" t="s">
        <v>283</v>
      </c>
      <c r="D2185">
        <v>24</v>
      </c>
      <c r="E2185">
        <f>WEEKNUM(makulatura[[#This Row],[Data_dostarczenia]],13)</f>
        <v>51</v>
      </c>
      <c r="F2185" s="2">
        <f>WEEKDAY(makulatura[[#This Row],[Data_dostarczenia]],2)</f>
        <v>4</v>
      </c>
    </row>
    <row r="2186" spans="1:6" x14ac:dyDescent="0.25">
      <c r="A2186" s="1">
        <v>43083</v>
      </c>
      <c r="B2186" s="2" t="s">
        <v>83</v>
      </c>
      <c r="C2186" s="2" t="s">
        <v>646</v>
      </c>
      <c r="D2186">
        <v>28</v>
      </c>
      <c r="E2186">
        <f>WEEKNUM(makulatura[[#This Row],[Data_dostarczenia]],13)</f>
        <v>51</v>
      </c>
      <c r="F2186" s="2">
        <f>WEEKDAY(makulatura[[#This Row],[Data_dostarczenia]],2)</f>
        <v>4</v>
      </c>
    </row>
    <row r="2187" spans="1:6" x14ac:dyDescent="0.25">
      <c r="A2187" s="1">
        <v>43084</v>
      </c>
      <c r="B2187" s="2" t="s">
        <v>252</v>
      </c>
      <c r="C2187" s="2" t="s">
        <v>253</v>
      </c>
      <c r="D2187">
        <v>29</v>
      </c>
      <c r="E2187">
        <f>WEEKNUM(makulatura[[#This Row],[Data_dostarczenia]],13)</f>
        <v>51</v>
      </c>
      <c r="F2187" s="2">
        <f>WEEKDAY(makulatura[[#This Row],[Data_dostarczenia]],2)</f>
        <v>5</v>
      </c>
    </row>
    <row r="2188" spans="1:6" x14ac:dyDescent="0.25">
      <c r="A2188" s="1">
        <v>43084</v>
      </c>
      <c r="B2188" s="2" t="s">
        <v>523</v>
      </c>
      <c r="C2188" s="2" t="s">
        <v>524</v>
      </c>
      <c r="D2188">
        <v>4</v>
      </c>
      <c r="E2188">
        <f>WEEKNUM(makulatura[[#This Row],[Data_dostarczenia]],13)</f>
        <v>51</v>
      </c>
      <c r="F2188" s="2">
        <f>WEEKDAY(makulatura[[#This Row],[Data_dostarczenia]],2)</f>
        <v>5</v>
      </c>
    </row>
    <row r="2189" spans="1:6" x14ac:dyDescent="0.25">
      <c r="A2189" s="1">
        <v>43084</v>
      </c>
      <c r="B2189" s="2" t="s">
        <v>67</v>
      </c>
      <c r="C2189" s="2" t="s">
        <v>301</v>
      </c>
      <c r="D2189">
        <v>3</v>
      </c>
      <c r="E2189">
        <f>WEEKNUM(makulatura[[#This Row],[Data_dostarczenia]],13)</f>
        <v>51</v>
      </c>
      <c r="F2189" s="2">
        <f>WEEKDAY(makulatura[[#This Row],[Data_dostarczenia]],2)</f>
        <v>5</v>
      </c>
    </row>
    <row r="2190" spans="1:6" x14ac:dyDescent="0.25">
      <c r="A2190" s="1">
        <v>43084</v>
      </c>
      <c r="B2190" s="2" t="s">
        <v>635</v>
      </c>
      <c r="C2190" s="2" t="s">
        <v>636</v>
      </c>
      <c r="D2190">
        <v>30</v>
      </c>
      <c r="E2190">
        <f>WEEKNUM(makulatura[[#This Row],[Data_dostarczenia]],13)</f>
        <v>51</v>
      </c>
      <c r="F2190" s="2">
        <f>WEEKDAY(makulatura[[#This Row],[Data_dostarczenia]],2)</f>
        <v>5</v>
      </c>
    </row>
    <row r="2191" spans="1:6" x14ac:dyDescent="0.25">
      <c r="A2191" s="1">
        <v>43084</v>
      </c>
      <c r="B2191" s="2" t="s">
        <v>195</v>
      </c>
      <c r="C2191" s="2" t="s">
        <v>401</v>
      </c>
      <c r="D2191">
        <v>4</v>
      </c>
      <c r="E2191">
        <f>WEEKNUM(makulatura[[#This Row],[Data_dostarczenia]],13)</f>
        <v>51</v>
      </c>
      <c r="F2191" s="2">
        <f>WEEKDAY(makulatura[[#This Row],[Data_dostarczenia]],2)</f>
        <v>5</v>
      </c>
    </row>
    <row r="2192" spans="1:6" x14ac:dyDescent="0.25">
      <c r="A2192" s="1">
        <v>43084</v>
      </c>
      <c r="B2192" s="2" t="s">
        <v>81</v>
      </c>
      <c r="C2192" s="2" t="s">
        <v>584</v>
      </c>
      <c r="D2192">
        <v>21</v>
      </c>
      <c r="E2192">
        <f>WEEKNUM(makulatura[[#This Row],[Data_dostarczenia]],13)</f>
        <v>51</v>
      </c>
      <c r="F2192" s="2">
        <f>WEEKDAY(makulatura[[#This Row],[Data_dostarczenia]],2)</f>
        <v>5</v>
      </c>
    </row>
    <row r="2193" spans="1:6" x14ac:dyDescent="0.25">
      <c r="A2193" s="1">
        <v>43084</v>
      </c>
      <c r="B2193" s="2" t="s">
        <v>106</v>
      </c>
      <c r="C2193" s="2" t="s">
        <v>240</v>
      </c>
      <c r="D2193">
        <v>15</v>
      </c>
      <c r="E2193">
        <f>WEEKNUM(makulatura[[#This Row],[Data_dostarczenia]],13)</f>
        <v>51</v>
      </c>
      <c r="F2193" s="2">
        <f>WEEKDAY(makulatura[[#This Row],[Data_dostarczenia]],2)</f>
        <v>5</v>
      </c>
    </row>
    <row r="2194" spans="1:6" x14ac:dyDescent="0.25">
      <c r="A2194" s="1">
        <v>43084</v>
      </c>
      <c r="B2194" s="2" t="s">
        <v>55</v>
      </c>
      <c r="C2194" s="2" t="s">
        <v>56</v>
      </c>
      <c r="D2194">
        <v>13</v>
      </c>
      <c r="E2194">
        <f>WEEKNUM(makulatura[[#This Row],[Data_dostarczenia]],13)</f>
        <v>51</v>
      </c>
      <c r="F2194" s="2">
        <f>WEEKDAY(makulatura[[#This Row],[Data_dostarczenia]],2)</f>
        <v>5</v>
      </c>
    </row>
    <row r="2195" spans="1:6" x14ac:dyDescent="0.25">
      <c r="A2195" s="1">
        <v>43084</v>
      </c>
      <c r="B2195" s="2" t="s">
        <v>25</v>
      </c>
      <c r="C2195" s="2" t="s">
        <v>146</v>
      </c>
      <c r="D2195">
        <v>13</v>
      </c>
      <c r="E2195">
        <f>WEEKNUM(makulatura[[#This Row],[Data_dostarczenia]],13)</f>
        <v>51</v>
      </c>
      <c r="F2195" s="2">
        <f>WEEKDAY(makulatura[[#This Row],[Data_dostarczenia]],2)</f>
        <v>5</v>
      </c>
    </row>
    <row r="2196" spans="1:6" x14ac:dyDescent="0.25">
      <c r="A2196" s="1">
        <v>43084</v>
      </c>
      <c r="B2196" s="2" t="s">
        <v>521</v>
      </c>
      <c r="C2196" s="2" t="s">
        <v>440</v>
      </c>
      <c r="D2196">
        <v>43</v>
      </c>
      <c r="E2196">
        <f>WEEKNUM(makulatura[[#This Row],[Data_dostarczenia]],13)</f>
        <v>51</v>
      </c>
      <c r="F2196" s="2">
        <f>WEEKDAY(makulatura[[#This Row],[Data_dostarczenia]],2)</f>
        <v>5</v>
      </c>
    </row>
    <row r="2197" spans="1:6" x14ac:dyDescent="0.25">
      <c r="A2197" s="1">
        <v>43087</v>
      </c>
      <c r="B2197" s="2" t="s">
        <v>47</v>
      </c>
      <c r="C2197" s="2" t="s">
        <v>192</v>
      </c>
      <c r="D2197">
        <v>31</v>
      </c>
      <c r="E2197">
        <f>WEEKNUM(makulatura[[#This Row],[Data_dostarczenia]],13)</f>
        <v>51</v>
      </c>
      <c r="F2197" s="2">
        <f>WEEKDAY(makulatura[[#This Row],[Data_dostarczenia]],2)</f>
        <v>1</v>
      </c>
    </row>
    <row r="2198" spans="1:6" x14ac:dyDescent="0.25">
      <c r="A2198" s="1">
        <v>43087</v>
      </c>
      <c r="B2198" s="2" t="s">
        <v>343</v>
      </c>
      <c r="C2198" s="2" t="s">
        <v>675</v>
      </c>
      <c r="D2198">
        <v>34</v>
      </c>
      <c r="E2198">
        <f>WEEKNUM(makulatura[[#This Row],[Data_dostarczenia]],13)</f>
        <v>51</v>
      </c>
      <c r="F2198" s="2">
        <f>WEEKDAY(makulatura[[#This Row],[Data_dostarczenia]],2)</f>
        <v>1</v>
      </c>
    </row>
    <row r="2199" spans="1:6" x14ac:dyDescent="0.25">
      <c r="A2199" s="1">
        <v>43087</v>
      </c>
      <c r="B2199" s="2" t="s">
        <v>143</v>
      </c>
      <c r="C2199" s="2" t="s">
        <v>585</v>
      </c>
      <c r="D2199">
        <v>12</v>
      </c>
      <c r="E2199">
        <f>WEEKNUM(makulatura[[#This Row],[Data_dostarczenia]],13)</f>
        <v>51</v>
      </c>
      <c r="F2199" s="2">
        <f>WEEKDAY(makulatura[[#This Row],[Data_dostarczenia]],2)</f>
        <v>1</v>
      </c>
    </row>
    <row r="2200" spans="1:6" x14ac:dyDescent="0.25">
      <c r="A2200" s="1">
        <v>43087</v>
      </c>
      <c r="B2200" s="2" t="s">
        <v>161</v>
      </c>
      <c r="C2200" s="2" t="s">
        <v>305</v>
      </c>
      <c r="D2200">
        <v>10</v>
      </c>
      <c r="E2200">
        <f>WEEKNUM(makulatura[[#This Row],[Data_dostarczenia]],13)</f>
        <v>51</v>
      </c>
      <c r="F2200" s="2">
        <f>WEEKDAY(makulatura[[#This Row],[Data_dostarczenia]],2)</f>
        <v>1</v>
      </c>
    </row>
    <row r="2201" spans="1:6" x14ac:dyDescent="0.25">
      <c r="A2201" s="1">
        <v>43087</v>
      </c>
      <c r="B2201" s="2" t="s">
        <v>72</v>
      </c>
      <c r="C2201" s="2" t="s">
        <v>73</v>
      </c>
      <c r="D2201">
        <v>5</v>
      </c>
      <c r="E2201">
        <f>WEEKNUM(makulatura[[#This Row],[Data_dostarczenia]],13)</f>
        <v>51</v>
      </c>
      <c r="F2201" s="2">
        <f>WEEKDAY(makulatura[[#This Row],[Data_dostarczenia]],2)</f>
        <v>1</v>
      </c>
    </row>
    <row r="2202" spans="1:6" x14ac:dyDescent="0.25">
      <c r="A2202" s="1">
        <v>43087</v>
      </c>
      <c r="B2202" s="2" t="s">
        <v>57</v>
      </c>
      <c r="C2202" s="2" t="s">
        <v>58</v>
      </c>
      <c r="D2202">
        <v>4</v>
      </c>
      <c r="E2202">
        <f>WEEKNUM(makulatura[[#This Row],[Data_dostarczenia]],13)</f>
        <v>51</v>
      </c>
      <c r="F2202" s="2">
        <f>WEEKDAY(makulatura[[#This Row],[Data_dostarczenia]],2)</f>
        <v>1</v>
      </c>
    </row>
    <row r="2203" spans="1:6" x14ac:dyDescent="0.25">
      <c r="A2203" s="1">
        <v>43087</v>
      </c>
      <c r="B2203" s="2" t="s">
        <v>41</v>
      </c>
      <c r="C2203" s="2" t="s">
        <v>690</v>
      </c>
      <c r="D2203">
        <v>44</v>
      </c>
      <c r="E2203">
        <f>WEEKNUM(makulatura[[#This Row],[Data_dostarczenia]],13)</f>
        <v>51</v>
      </c>
      <c r="F2203" s="2">
        <f>WEEKDAY(makulatura[[#This Row],[Data_dostarczenia]],2)</f>
        <v>1</v>
      </c>
    </row>
    <row r="2204" spans="1:6" x14ac:dyDescent="0.25">
      <c r="A2204" s="1">
        <v>43087</v>
      </c>
      <c r="B2204" s="2" t="s">
        <v>393</v>
      </c>
      <c r="C2204" s="2" t="s">
        <v>227</v>
      </c>
      <c r="D2204">
        <v>32</v>
      </c>
      <c r="E2204">
        <f>WEEKNUM(makulatura[[#This Row],[Data_dostarczenia]],13)</f>
        <v>51</v>
      </c>
      <c r="F2204" s="2">
        <f>WEEKDAY(makulatura[[#This Row],[Data_dostarczenia]],2)</f>
        <v>1</v>
      </c>
    </row>
    <row r="2205" spans="1:6" x14ac:dyDescent="0.25">
      <c r="A2205" s="1">
        <v>43087</v>
      </c>
      <c r="B2205" s="2" t="s">
        <v>92</v>
      </c>
      <c r="C2205" s="2" t="s">
        <v>93</v>
      </c>
      <c r="D2205">
        <v>11</v>
      </c>
      <c r="E2205">
        <f>WEEKNUM(makulatura[[#This Row],[Data_dostarczenia]],13)</f>
        <v>51</v>
      </c>
      <c r="F2205" s="2">
        <f>WEEKDAY(makulatura[[#This Row],[Data_dostarczenia]],2)</f>
        <v>1</v>
      </c>
    </row>
    <row r="2206" spans="1:6" x14ac:dyDescent="0.25">
      <c r="A2206" s="1">
        <v>43087</v>
      </c>
      <c r="B2206" s="2" t="s">
        <v>152</v>
      </c>
      <c r="C2206" s="2" t="s">
        <v>534</v>
      </c>
      <c r="D2206">
        <v>33</v>
      </c>
      <c r="E2206">
        <f>WEEKNUM(makulatura[[#This Row],[Data_dostarczenia]],13)</f>
        <v>51</v>
      </c>
      <c r="F2206" s="2">
        <f>WEEKDAY(makulatura[[#This Row],[Data_dostarczenia]],2)</f>
        <v>1</v>
      </c>
    </row>
    <row r="2207" spans="1:6" x14ac:dyDescent="0.25">
      <c r="A2207" s="1">
        <v>43088</v>
      </c>
      <c r="B2207" s="2" t="s">
        <v>39</v>
      </c>
      <c r="C2207" s="2" t="s">
        <v>371</v>
      </c>
      <c r="D2207">
        <v>56</v>
      </c>
      <c r="E2207">
        <f>WEEKNUM(makulatura[[#This Row],[Data_dostarczenia]],13)</f>
        <v>51</v>
      </c>
      <c r="F2207" s="2">
        <f>WEEKDAY(makulatura[[#This Row],[Data_dostarczenia]],2)</f>
        <v>2</v>
      </c>
    </row>
    <row r="2208" spans="1:6" x14ac:dyDescent="0.25">
      <c r="A2208" s="1">
        <v>43088</v>
      </c>
      <c r="B2208" s="2" t="s">
        <v>117</v>
      </c>
      <c r="C2208" s="2" t="s">
        <v>118</v>
      </c>
      <c r="D2208">
        <v>3</v>
      </c>
      <c r="E2208">
        <f>WEEKNUM(makulatura[[#This Row],[Data_dostarczenia]],13)</f>
        <v>51</v>
      </c>
      <c r="F2208" s="2">
        <f>WEEKDAY(makulatura[[#This Row],[Data_dostarczenia]],2)</f>
        <v>2</v>
      </c>
    </row>
    <row r="2209" spans="1:6" x14ac:dyDescent="0.25">
      <c r="A2209" s="1">
        <v>43088</v>
      </c>
      <c r="B2209" s="2" t="s">
        <v>117</v>
      </c>
      <c r="C2209" s="2" t="s">
        <v>183</v>
      </c>
      <c r="D2209">
        <v>24</v>
      </c>
      <c r="E2209">
        <f>WEEKNUM(makulatura[[#This Row],[Data_dostarczenia]],13)</f>
        <v>51</v>
      </c>
      <c r="F2209" s="2">
        <f>WEEKDAY(makulatura[[#This Row],[Data_dostarczenia]],2)</f>
        <v>2</v>
      </c>
    </row>
    <row r="2210" spans="1:6" x14ac:dyDescent="0.25">
      <c r="A2210" s="1">
        <v>43088</v>
      </c>
      <c r="B2210" s="2" t="s">
        <v>635</v>
      </c>
      <c r="C2210" s="2" t="s">
        <v>636</v>
      </c>
      <c r="D2210">
        <v>14</v>
      </c>
      <c r="E2210">
        <f>WEEKNUM(makulatura[[#This Row],[Data_dostarczenia]],13)</f>
        <v>51</v>
      </c>
      <c r="F2210" s="2">
        <f>WEEKDAY(makulatura[[#This Row],[Data_dostarczenia]],2)</f>
        <v>2</v>
      </c>
    </row>
    <row r="2211" spans="1:6" x14ac:dyDescent="0.25">
      <c r="A2211" s="1">
        <v>43088</v>
      </c>
      <c r="B2211" s="2" t="s">
        <v>393</v>
      </c>
      <c r="C2211" s="2" t="s">
        <v>686</v>
      </c>
      <c r="D2211">
        <v>42</v>
      </c>
      <c r="E2211">
        <f>WEEKNUM(makulatura[[#This Row],[Data_dostarczenia]],13)</f>
        <v>51</v>
      </c>
      <c r="F2211" s="2">
        <f>WEEKDAY(makulatura[[#This Row],[Data_dostarczenia]],2)</f>
        <v>2</v>
      </c>
    </row>
    <row r="2212" spans="1:6" x14ac:dyDescent="0.25">
      <c r="A2212" s="1">
        <v>43088</v>
      </c>
      <c r="B2212" s="2" t="s">
        <v>63</v>
      </c>
      <c r="C2212" s="2" t="s">
        <v>105</v>
      </c>
      <c r="D2212">
        <v>21</v>
      </c>
      <c r="E2212">
        <f>WEEKNUM(makulatura[[#This Row],[Data_dostarczenia]],13)</f>
        <v>51</v>
      </c>
      <c r="F2212" s="2">
        <f>WEEKDAY(makulatura[[#This Row],[Data_dostarczenia]],2)</f>
        <v>2</v>
      </c>
    </row>
    <row r="2213" spans="1:6" x14ac:dyDescent="0.25">
      <c r="A2213" s="1">
        <v>43088</v>
      </c>
      <c r="B2213" s="2" t="s">
        <v>232</v>
      </c>
      <c r="C2213" s="2" t="s">
        <v>526</v>
      </c>
      <c r="D2213">
        <v>4</v>
      </c>
      <c r="E2213">
        <f>WEEKNUM(makulatura[[#This Row],[Data_dostarczenia]],13)</f>
        <v>51</v>
      </c>
      <c r="F2213" s="2">
        <f>WEEKDAY(makulatura[[#This Row],[Data_dostarczenia]],2)</f>
        <v>2</v>
      </c>
    </row>
    <row r="2214" spans="1:6" x14ac:dyDescent="0.25">
      <c r="A2214" s="1">
        <v>43088</v>
      </c>
      <c r="B2214" s="2" t="s">
        <v>79</v>
      </c>
      <c r="C2214" s="2" t="s">
        <v>80</v>
      </c>
      <c r="D2214">
        <v>41</v>
      </c>
      <c r="E2214">
        <f>WEEKNUM(makulatura[[#This Row],[Data_dostarczenia]],13)</f>
        <v>51</v>
      </c>
      <c r="F2214" s="2">
        <f>WEEKDAY(makulatura[[#This Row],[Data_dostarczenia]],2)</f>
        <v>2</v>
      </c>
    </row>
    <row r="2215" spans="1:6" x14ac:dyDescent="0.25">
      <c r="A2215" s="1">
        <v>43088</v>
      </c>
      <c r="B2215" s="2" t="s">
        <v>25</v>
      </c>
      <c r="C2215" s="2" t="s">
        <v>146</v>
      </c>
      <c r="D2215">
        <v>51</v>
      </c>
      <c r="E2215">
        <f>WEEKNUM(makulatura[[#This Row],[Data_dostarczenia]],13)</f>
        <v>51</v>
      </c>
      <c r="F2215" s="2">
        <f>WEEKDAY(makulatura[[#This Row],[Data_dostarczenia]],2)</f>
        <v>2</v>
      </c>
    </row>
    <row r="2216" spans="1:6" x14ac:dyDescent="0.25">
      <c r="A2216" s="1">
        <v>43089</v>
      </c>
      <c r="B2216" s="2" t="s">
        <v>34</v>
      </c>
      <c r="C2216" s="2" t="s">
        <v>679</v>
      </c>
      <c r="D2216">
        <v>29</v>
      </c>
      <c r="E2216">
        <f>WEEKNUM(makulatura[[#This Row],[Data_dostarczenia]],13)</f>
        <v>52</v>
      </c>
      <c r="F2216" s="2">
        <f>WEEKDAY(makulatura[[#This Row],[Data_dostarczenia]],2)</f>
        <v>3</v>
      </c>
    </row>
    <row r="2217" spans="1:6" x14ac:dyDescent="0.25">
      <c r="A2217" s="1">
        <v>43089</v>
      </c>
      <c r="B2217" s="2" t="s">
        <v>30</v>
      </c>
      <c r="C2217" s="2" t="s">
        <v>680</v>
      </c>
      <c r="D2217">
        <v>29</v>
      </c>
      <c r="E2217">
        <f>WEEKNUM(makulatura[[#This Row],[Data_dostarczenia]],13)</f>
        <v>52</v>
      </c>
      <c r="F2217" s="2">
        <f>WEEKDAY(makulatura[[#This Row],[Data_dostarczenia]],2)</f>
        <v>3</v>
      </c>
    </row>
    <row r="2218" spans="1:6" x14ac:dyDescent="0.25">
      <c r="A2218" s="1">
        <v>43089</v>
      </c>
      <c r="B2218" s="2" t="s">
        <v>453</v>
      </c>
      <c r="C2218" s="2" t="s">
        <v>454</v>
      </c>
      <c r="D2218">
        <v>22</v>
      </c>
      <c r="E2218">
        <f>WEEKNUM(makulatura[[#This Row],[Data_dostarczenia]],13)</f>
        <v>52</v>
      </c>
      <c r="F2218" s="2">
        <f>WEEKDAY(makulatura[[#This Row],[Data_dostarczenia]],2)</f>
        <v>3</v>
      </c>
    </row>
    <row r="2219" spans="1:6" x14ac:dyDescent="0.25">
      <c r="A2219" s="1">
        <v>43089</v>
      </c>
      <c r="B2219" s="2" t="s">
        <v>10</v>
      </c>
      <c r="C2219" s="2" t="s">
        <v>266</v>
      </c>
      <c r="D2219">
        <v>4</v>
      </c>
      <c r="E2219">
        <f>WEEKNUM(makulatura[[#This Row],[Data_dostarczenia]],13)</f>
        <v>52</v>
      </c>
      <c r="F2219" s="2">
        <f>WEEKDAY(makulatura[[#This Row],[Data_dostarczenia]],2)</f>
        <v>3</v>
      </c>
    </row>
    <row r="2220" spans="1:6" x14ac:dyDescent="0.25">
      <c r="A2220" s="1">
        <v>43089</v>
      </c>
      <c r="B2220" s="2" t="s">
        <v>208</v>
      </c>
      <c r="C2220" s="2" t="s">
        <v>697</v>
      </c>
      <c r="D2220">
        <v>34</v>
      </c>
      <c r="E2220">
        <f>WEEKNUM(makulatura[[#This Row],[Data_dostarczenia]],13)</f>
        <v>52</v>
      </c>
      <c r="F2220" s="2">
        <f>WEEKDAY(makulatura[[#This Row],[Data_dostarczenia]],2)</f>
        <v>3</v>
      </c>
    </row>
    <row r="2221" spans="1:6" x14ac:dyDescent="0.25">
      <c r="A2221" s="1">
        <v>43089</v>
      </c>
      <c r="B2221" s="2" t="s">
        <v>63</v>
      </c>
      <c r="C2221" s="2" t="s">
        <v>105</v>
      </c>
      <c r="D2221">
        <v>6</v>
      </c>
      <c r="E2221">
        <f>WEEKNUM(makulatura[[#This Row],[Data_dostarczenia]],13)</f>
        <v>52</v>
      </c>
      <c r="F2221" s="2">
        <f>WEEKDAY(makulatura[[#This Row],[Data_dostarczenia]],2)</f>
        <v>3</v>
      </c>
    </row>
    <row r="2222" spans="1:6" x14ac:dyDescent="0.25">
      <c r="A2222" s="1">
        <v>43089</v>
      </c>
      <c r="B2222" s="2" t="s">
        <v>395</v>
      </c>
      <c r="C2222" s="2" t="s">
        <v>587</v>
      </c>
      <c r="D2222">
        <v>11</v>
      </c>
      <c r="E2222">
        <f>WEEKNUM(makulatura[[#This Row],[Data_dostarczenia]],13)</f>
        <v>52</v>
      </c>
      <c r="F2222" s="2">
        <f>WEEKDAY(makulatura[[#This Row],[Data_dostarczenia]],2)</f>
        <v>3</v>
      </c>
    </row>
    <row r="2223" spans="1:6" x14ac:dyDescent="0.25">
      <c r="A2223" s="1">
        <v>43089</v>
      </c>
      <c r="B2223" s="2" t="s">
        <v>275</v>
      </c>
      <c r="C2223" s="2" t="s">
        <v>276</v>
      </c>
      <c r="D2223">
        <v>9</v>
      </c>
      <c r="E2223">
        <f>WEEKNUM(makulatura[[#This Row],[Data_dostarczenia]],13)</f>
        <v>52</v>
      </c>
      <c r="F2223" s="2">
        <f>WEEKDAY(makulatura[[#This Row],[Data_dostarczenia]],2)</f>
        <v>3</v>
      </c>
    </row>
    <row r="2224" spans="1:6" x14ac:dyDescent="0.25">
      <c r="A2224" s="1">
        <v>43089</v>
      </c>
      <c r="B2224" s="2" t="s">
        <v>128</v>
      </c>
      <c r="C2224" s="2" t="s">
        <v>309</v>
      </c>
      <c r="D2224">
        <v>21</v>
      </c>
      <c r="E2224">
        <f>WEEKNUM(makulatura[[#This Row],[Data_dostarczenia]],13)</f>
        <v>52</v>
      </c>
      <c r="F2224" s="2">
        <f>WEEKDAY(makulatura[[#This Row],[Data_dostarczenia]],2)</f>
        <v>3</v>
      </c>
    </row>
    <row r="2225" spans="1:6" x14ac:dyDescent="0.25">
      <c r="A2225" s="1">
        <v>43090</v>
      </c>
      <c r="B2225" s="2" t="s">
        <v>574</v>
      </c>
      <c r="C2225" s="2" t="s">
        <v>607</v>
      </c>
      <c r="D2225">
        <v>26</v>
      </c>
      <c r="E2225">
        <f>WEEKNUM(makulatura[[#This Row],[Data_dostarczenia]],13)</f>
        <v>52</v>
      </c>
      <c r="F2225" s="2">
        <f>WEEKDAY(makulatura[[#This Row],[Data_dostarczenia]],2)</f>
        <v>4</v>
      </c>
    </row>
    <row r="2226" spans="1:6" x14ac:dyDescent="0.25">
      <c r="A2226" s="1">
        <v>43090</v>
      </c>
      <c r="B2226" s="2" t="s">
        <v>271</v>
      </c>
      <c r="C2226" s="2" t="s">
        <v>272</v>
      </c>
      <c r="D2226">
        <v>4</v>
      </c>
      <c r="E2226">
        <f>WEEKNUM(makulatura[[#This Row],[Data_dostarczenia]],13)</f>
        <v>52</v>
      </c>
      <c r="F2226" s="2">
        <f>WEEKDAY(makulatura[[#This Row],[Data_dostarczenia]],2)</f>
        <v>4</v>
      </c>
    </row>
    <row r="2227" spans="1:6" x14ac:dyDescent="0.25">
      <c r="A2227" s="1">
        <v>43090</v>
      </c>
      <c r="B2227" s="2" t="s">
        <v>30</v>
      </c>
      <c r="C2227" s="2" t="s">
        <v>432</v>
      </c>
      <c r="D2227">
        <v>18</v>
      </c>
      <c r="E2227">
        <f>WEEKNUM(makulatura[[#This Row],[Data_dostarczenia]],13)</f>
        <v>52</v>
      </c>
      <c r="F2227" s="2">
        <f>WEEKDAY(makulatura[[#This Row],[Data_dostarczenia]],2)</f>
        <v>4</v>
      </c>
    </row>
    <row r="2228" spans="1:6" x14ac:dyDescent="0.25">
      <c r="A2228" s="1">
        <v>43090</v>
      </c>
      <c r="B2228" s="2" t="s">
        <v>150</v>
      </c>
      <c r="C2228" s="2" t="s">
        <v>462</v>
      </c>
      <c r="D2228">
        <v>27</v>
      </c>
      <c r="E2228">
        <f>WEEKNUM(makulatura[[#This Row],[Data_dostarczenia]],13)</f>
        <v>52</v>
      </c>
      <c r="F2228" s="2">
        <f>WEEKDAY(makulatura[[#This Row],[Data_dostarczenia]],2)</f>
        <v>4</v>
      </c>
    </row>
    <row r="2229" spans="1:6" x14ac:dyDescent="0.25">
      <c r="A2229" s="1">
        <v>43090</v>
      </c>
      <c r="B2229" s="2" t="s">
        <v>521</v>
      </c>
      <c r="C2229" s="2" t="s">
        <v>440</v>
      </c>
      <c r="D2229">
        <v>15</v>
      </c>
      <c r="E2229">
        <f>WEEKNUM(makulatura[[#This Row],[Data_dostarczenia]],13)</f>
        <v>52</v>
      </c>
      <c r="F2229" s="2">
        <f>WEEKDAY(makulatura[[#This Row],[Data_dostarczenia]],2)</f>
        <v>4</v>
      </c>
    </row>
    <row r="2230" spans="1:6" x14ac:dyDescent="0.25">
      <c r="A2230" s="1">
        <v>43090</v>
      </c>
      <c r="B2230" s="2" t="s">
        <v>128</v>
      </c>
      <c r="C2230" s="2" t="s">
        <v>559</v>
      </c>
      <c r="D2230">
        <v>50</v>
      </c>
      <c r="E2230">
        <f>WEEKNUM(makulatura[[#This Row],[Data_dostarczenia]],13)</f>
        <v>52</v>
      </c>
      <c r="F2230" s="2">
        <f>WEEKDAY(makulatura[[#This Row],[Data_dostarczenia]],2)</f>
        <v>4</v>
      </c>
    </row>
    <row r="2231" spans="1:6" x14ac:dyDescent="0.25">
      <c r="A2231" s="1">
        <v>43090</v>
      </c>
      <c r="B2231" s="2" t="s">
        <v>150</v>
      </c>
      <c r="C2231" s="2" t="s">
        <v>200</v>
      </c>
      <c r="D2231">
        <v>13</v>
      </c>
      <c r="E2231">
        <f>WEEKNUM(makulatura[[#This Row],[Data_dostarczenia]],13)</f>
        <v>52</v>
      </c>
      <c r="F2231" s="2">
        <f>WEEKDAY(makulatura[[#This Row],[Data_dostarczenia]],2)</f>
        <v>4</v>
      </c>
    </row>
    <row r="2232" spans="1:6" x14ac:dyDescent="0.25">
      <c r="A2232" s="1">
        <v>43090</v>
      </c>
      <c r="B2232" s="2" t="s">
        <v>310</v>
      </c>
      <c r="C2232" s="2" t="s">
        <v>505</v>
      </c>
      <c r="D2232">
        <v>27</v>
      </c>
      <c r="E2232">
        <f>WEEKNUM(makulatura[[#This Row],[Data_dostarczenia]],13)</f>
        <v>52</v>
      </c>
      <c r="F2232" s="2">
        <f>WEEKDAY(makulatura[[#This Row],[Data_dostarczenia]],2)</f>
        <v>4</v>
      </c>
    </row>
    <row r="2233" spans="1:6" x14ac:dyDescent="0.25">
      <c r="A2233" s="1">
        <v>43090</v>
      </c>
      <c r="B2233" s="2" t="s">
        <v>137</v>
      </c>
      <c r="C2233" s="2" t="s">
        <v>138</v>
      </c>
      <c r="D2233">
        <v>7</v>
      </c>
      <c r="E2233">
        <f>WEEKNUM(makulatura[[#This Row],[Data_dostarczenia]],13)</f>
        <v>52</v>
      </c>
      <c r="F2233" s="2">
        <f>WEEKDAY(makulatura[[#This Row],[Data_dostarczenia]],2)</f>
        <v>4</v>
      </c>
    </row>
    <row r="2234" spans="1:6" x14ac:dyDescent="0.25">
      <c r="A2234" s="1">
        <v>43091</v>
      </c>
      <c r="B2234" s="2" t="s">
        <v>10</v>
      </c>
      <c r="C2234" s="2" t="s">
        <v>629</v>
      </c>
      <c r="D2234">
        <v>26</v>
      </c>
      <c r="E2234">
        <f>WEEKNUM(makulatura[[#This Row],[Data_dostarczenia]],13)</f>
        <v>52</v>
      </c>
      <c r="F2234" s="2">
        <f>WEEKDAY(makulatura[[#This Row],[Data_dostarczenia]],2)</f>
        <v>5</v>
      </c>
    </row>
    <row r="2235" spans="1:6" x14ac:dyDescent="0.25">
      <c r="A2235" s="1">
        <v>43091</v>
      </c>
      <c r="B2235" s="2" t="s">
        <v>55</v>
      </c>
      <c r="C2235" s="2" t="s">
        <v>125</v>
      </c>
      <c r="D2235">
        <v>16</v>
      </c>
      <c r="E2235">
        <f>WEEKNUM(makulatura[[#This Row],[Data_dostarczenia]],13)</f>
        <v>52</v>
      </c>
      <c r="F2235" s="2">
        <f>WEEKDAY(makulatura[[#This Row],[Data_dostarczenia]],2)</f>
        <v>5</v>
      </c>
    </row>
    <row r="2236" spans="1:6" x14ac:dyDescent="0.25">
      <c r="A2236" s="1">
        <v>43091</v>
      </c>
      <c r="B2236" s="2" t="s">
        <v>101</v>
      </c>
      <c r="C2236" s="2" t="s">
        <v>42</v>
      </c>
      <c r="D2236">
        <v>45</v>
      </c>
      <c r="E2236">
        <f>WEEKNUM(makulatura[[#This Row],[Data_dostarczenia]],13)</f>
        <v>52</v>
      </c>
      <c r="F2236" s="2">
        <f>WEEKDAY(makulatura[[#This Row],[Data_dostarczenia]],2)</f>
        <v>5</v>
      </c>
    </row>
    <row r="2237" spans="1:6" x14ac:dyDescent="0.25">
      <c r="A2237" s="1">
        <v>43091</v>
      </c>
      <c r="B2237" s="2" t="s">
        <v>346</v>
      </c>
      <c r="C2237" s="2" t="s">
        <v>669</v>
      </c>
      <c r="D2237">
        <v>34</v>
      </c>
      <c r="E2237">
        <f>WEEKNUM(makulatura[[#This Row],[Data_dostarczenia]],13)</f>
        <v>52</v>
      </c>
      <c r="F2237" s="2">
        <f>WEEKDAY(makulatura[[#This Row],[Data_dostarczenia]],2)</f>
        <v>5</v>
      </c>
    </row>
    <row r="2238" spans="1:6" x14ac:dyDescent="0.25">
      <c r="A2238" s="1">
        <v>43091</v>
      </c>
      <c r="B2238" s="2" t="s">
        <v>36</v>
      </c>
      <c r="C2238" s="2" t="s">
        <v>474</v>
      </c>
      <c r="D2238">
        <v>10</v>
      </c>
      <c r="E2238">
        <f>WEEKNUM(makulatura[[#This Row],[Data_dostarczenia]],13)</f>
        <v>52</v>
      </c>
      <c r="F2238" s="2">
        <f>WEEKDAY(makulatura[[#This Row],[Data_dostarczenia]],2)</f>
        <v>5</v>
      </c>
    </row>
    <row r="2239" spans="1:6" x14ac:dyDescent="0.25">
      <c r="A2239" s="1">
        <v>43091</v>
      </c>
      <c r="B2239" s="2" t="s">
        <v>541</v>
      </c>
      <c r="C2239" s="2" t="s">
        <v>542</v>
      </c>
      <c r="D2239">
        <v>55</v>
      </c>
      <c r="E2239">
        <f>WEEKNUM(makulatura[[#This Row],[Data_dostarczenia]],13)</f>
        <v>52</v>
      </c>
      <c r="F2239" s="2">
        <f>WEEKDAY(makulatura[[#This Row],[Data_dostarczenia]],2)</f>
        <v>5</v>
      </c>
    </row>
    <row r="2240" spans="1:6" x14ac:dyDescent="0.25">
      <c r="A2240" s="1">
        <v>43091</v>
      </c>
      <c r="B2240" s="2" t="s">
        <v>18</v>
      </c>
      <c r="C2240" s="2" t="s">
        <v>19</v>
      </c>
      <c r="D2240">
        <v>17</v>
      </c>
      <c r="E2240">
        <f>WEEKNUM(makulatura[[#This Row],[Data_dostarczenia]],13)</f>
        <v>52</v>
      </c>
      <c r="F2240" s="2">
        <f>WEEKDAY(makulatura[[#This Row],[Data_dostarczenia]],2)</f>
        <v>5</v>
      </c>
    </row>
    <row r="2241" spans="1:6" x14ac:dyDescent="0.25">
      <c r="A2241" s="1">
        <v>43091</v>
      </c>
      <c r="B2241" s="2" t="s">
        <v>114</v>
      </c>
      <c r="C2241" s="2" t="s">
        <v>173</v>
      </c>
      <c r="D2241">
        <v>13</v>
      </c>
      <c r="E2241">
        <f>WEEKNUM(makulatura[[#This Row],[Data_dostarczenia]],13)</f>
        <v>52</v>
      </c>
      <c r="F2241" s="2">
        <f>WEEKDAY(makulatura[[#This Row],[Data_dostarczenia]],2)</f>
        <v>5</v>
      </c>
    </row>
    <row r="2242" spans="1:6" x14ac:dyDescent="0.25">
      <c r="A2242" s="1">
        <v>43091</v>
      </c>
      <c r="B2242" s="2" t="s">
        <v>128</v>
      </c>
      <c r="C2242" s="2" t="s">
        <v>677</v>
      </c>
      <c r="D2242">
        <v>55</v>
      </c>
      <c r="E2242">
        <f>WEEKNUM(makulatura[[#This Row],[Data_dostarczenia]],13)</f>
        <v>52</v>
      </c>
      <c r="F2242" s="2">
        <f>WEEKDAY(makulatura[[#This Row],[Data_dostarczenia]],2)</f>
        <v>5</v>
      </c>
    </row>
    <row r="2243" spans="1:6" x14ac:dyDescent="0.25">
      <c r="A2243" s="1">
        <v>43096</v>
      </c>
      <c r="B2243" s="2" t="s">
        <v>83</v>
      </c>
      <c r="C2243" s="2" t="s">
        <v>110</v>
      </c>
      <c r="D2243">
        <v>45</v>
      </c>
      <c r="E2243">
        <f>WEEKNUM(makulatura[[#This Row],[Data_dostarczenia]],13)</f>
        <v>53</v>
      </c>
      <c r="F2243" s="2">
        <f>WEEKDAY(makulatura[[#This Row],[Data_dostarczenia]],2)</f>
        <v>3</v>
      </c>
    </row>
    <row r="2244" spans="1:6" x14ac:dyDescent="0.25">
      <c r="A2244" s="1">
        <v>43096</v>
      </c>
      <c r="B2244" s="2" t="s">
        <v>317</v>
      </c>
      <c r="C2244" s="2" t="s">
        <v>318</v>
      </c>
      <c r="D2244">
        <v>8</v>
      </c>
      <c r="E2244">
        <f>WEEKNUM(makulatura[[#This Row],[Data_dostarczenia]],13)</f>
        <v>53</v>
      </c>
      <c r="F2244" s="2">
        <f>WEEKDAY(makulatura[[#This Row],[Data_dostarczenia]],2)</f>
        <v>3</v>
      </c>
    </row>
    <row r="2245" spans="1:6" x14ac:dyDescent="0.25">
      <c r="A2245" s="1">
        <v>43096</v>
      </c>
      <c r="B2245" s="2" t="s">
        <v>395</v>
      </c>
      <c r="C2245" s="2" t="s">
        <v>587</v>
      </c>
      <c r="D2245">
        <v>6</v>
      </c>
      <c r="E2245">
        <f>WEEKNUM(makulatura[[#This Row],[Data_dostarczenia]],13)</f>
        <v>53</v>
      </c>
      <c r="F2245" s="2">
        <f>WEEKDAY(makulatura[[#This Row],[Data_dostarczenia]],2)</f>
        <v>3</v>
      </c>
    </row>
    <row r="2246" spans="1:6" x14ac:dyDescent="0.25">
      <c r="A2246" s="1">
        <v>43096</v>
      </c>
      <c r="B2246" s="2" t="s">
        <v>176</v>
      </c>
      <c r="C2246" s="2" t="s">
        <v>693</v>
      </c>
      <c r="D2246">
        <v>11</v>
      </c>
      <c r="E2246">
        <f>WEEKNUM(makulatura[[#This Row],[Data_dostarczenia]],13)</f>
        <v>53</v>
      </c>
      <c r="F2246" s="2">
        <f>WEEKDAY(makulatura[[#This Row],[Data_dostarczenia]],2)</f>
        <v>3</v>
      </c>
    </row>
    <row r="2247" spans="1:6" x14ac:dyDescent="0.25">
      <c r="A2247" s="1">
        <v>43096</v>
      </c>
      <c r="B2247" s="2" t="s">
        <v>623</v>
      </c>
      <c r="C2247" s="2" t="s">
        <v>624</v>
      </c>
      <c r="D2247">
        <v>29</v>
      </c>
      <c r="E2247">
        <f>WEEKNUM(makulatura[[#This Row],[Data_dostarczenia]],13)</f>
        <v>53</v>
      </c>
      <c r="F2247" s="2">
        <f>WEEKDAY(makulatura[[#This Row],[Data_dostarczenia]],2)</f>
        <v>3</v>
      </c>
    </row>
    <row r="2248" spans="1:6" x14ac:dyDescent="0.25">
      <c r="A2248" s="1">
        <v>43096</v>
      </c>
      <c r="B2248" s="2" t="s">
        <v>27</v>
      </c>
      <c r="C2248" s="2" t="s">
        <v>446</v>
      </c>
      <c r="D2248">
        <v>10</v>
      </c>
      <c r="E2248">
        <f>WEEKNUM(makulatura[[#This Row],[Data_dostarczenia]],13)</f>
        <v>53</v>
      </c>
      <c r="F2248" s="2">
        <f>WEEKDAY(makulatura[[#This Row],[Data_dostarczenia]],2)</f>
        <v>3</v>
      </c>
    </row>
    <row r="2249" spans="1:6" x14ac:dyDescent="0.25">
      <c r="A2249" s="1">
        <v>43096</v>
      </c>
      <c r="B2249" s="2" t="s">
        <v>83</v>
      </c>
      <c r="C2249" s="2" t="s">
        <v>591</v>
      </c>
      <c r="D2249">
        <v>38</v>
      </c>
      <c r="E2249">
        <f>WEEKNUM(makulatura[[#This Row],[Data_dostarczenia]],13)</f>
        <v>53</v>
      </c>
      <c r="F2249" s="2">
        <f>WEEKDAY(makulatura[[#This Row],[Data_dostarczenia]],2)</f>
        <v>3</v>
      </c>
    </row>
    <row r="2250" spans="1:6" x14ac:dyDescent="0.25">
      <c r="A2250" s="1">
        <v>43096</v>
      </c>
      <c r="B2250" s="2" t="s">
        <v>69</v>
      </c>
      <c r="C2250" s="2" t="s">
        <v>461</v>
      </c>
      <c r="D2250">
        <v>8</v>
      </c>
      <c r="E2250">
        <f>WEEKNUM(makulatura[[#This Row],[Data_dostarczenia]],13)</f>
        <v>53</v>
      </c>
      <c r="F2250" s="2">
        <f>WEEKDAY(makulatura[[#This Row],[Data_dostarczenia]],2)</f>
        <v>3</v>
      </c>
    </row>
    <row r="2251" spans="1:6" x14ac:dyDescent="0.25">
      <c r="A2251" s="1">
        <v>43096</v>
      </c>
      <c r="B2251" s="2" t="s">
        <v>14</v>
      </c>
      <c r="C2251" s="2" t="s">
        <v>422</v>
      </c>
      <c r="D2251">
        <v>19</v>
      </c>
      <c r="E2251">
        <f>WEEKNUM(makulatura[[#This Row],[Data_dostarczenia]],13)</f>
        <v>53</v>
      </c>
      <c r="F2251" s="2">
        <f>WEEKDAY(makulatura[[#This Row],[Data_dostarczenia]],2)</f>
        <v>3</v>
      </c>
    </row>
    <row r="2252" spans="1:6" x14ac:dyDescent="0.25">
      <c r="A2252" s="1">
        <v>43097</v>
      </c>
      <c r="B2252" s="2" t="s">
        <v>27</v>
      </c>
      <c r="C2252" s="2" t="s">
        <v>446</v>
      </c>
      <c r="D2252">
        <v>22</v>
      </c>
      <c r="E2252">
        <f>WEEKNUM(makulatura[[#This Row],[Data_dostarczenia]],13)</f>
        <v>53</v>
      </c>
      <c r="F2252" s="2">
        <f>WEEKDAY(makulatura[[#This Row],[Data_dostarczenia]],2)</f>
        <v>4</v>
      </c>
    </row>
    <row r="2253" spans="1:6" x14ac:dyDescent="0.25">
      <c r="A2253" s="1">
        <v>43097</v>
      </c>
      <c r="B2253" s="2" t="s">
        <v>174</v>
      </c>
      <c r="C2253" s="2" t="s">
        <v>424</v>
      </c>
      <c r="D2253">
        <v>12</v>
      </c>
      <c r="E2253">
        <f>WEEKNUM(makulatura[[#This Row],[Data_dostarczenia]],13)</f>
        <v>53</v>
      </c>
      <c r="F2253" s="2">
        <f>WEEKDAY(makulatura[[#This Row],[Data_dostarczenia]],2)</f>
        <v>4</v>
      </c>
    </row>
    <row r="2254" spans="1:6" x14ac:dyDescent="0.25">
      <c r="A2254" s="1">
        <v>43097</v>
      </c>
      <c r="B2254" s="2" t="s">
        <v>278</v>
      </c>
      <c r="C2254" s="2" t="s">
        <v>202</v>
      </c>
      <c r="D2254">
        <v>7</v>
      </c>
      <c r="E2254">
        <f>WEEKNUM(makulatura[[#This Row],[Data_dostarczenia]],13)</f>
        <v>53</v>
      </c>
      <c r="F2254" s="2">
        <f>WEEKDAY(makulatura[[#This Row],[Data_dostarczenia]],2)</f>
        <v>4</v>
      </c>
    </row>
    <row r="2255" spans="1:6" x14ac:dyDescent="0.25">
      <c r="A2255" s="1">
        <v>43097</v>
      </c>
      <c r="B2255" s="2" t="s">
        <v>39</v>
      </c>
      <c r="C2255" s="2" t="s">
        <v>391</v>
      </c>
      <c r="D2255">
        <v>17</v>
      </c>
      <c r="E2255">
        <f>WEEKNUM(makulatura[[#This Row],[Data_dostarczenia]],13)</f>
        <v>53</v>
      </c>
      <c r="F2255" s="2">
        <f>WEEKDAY(makulatura[[#This Row],[Data_dostarczenia]],2)</f>
        <v>4</v>
      </c>
    </row>
    <row r="2256" spans="1:6" x14ac:dyDescent="0.25">
      <c r="A2256" s="1">
        <v>43097</v>
      </c>
      <c r="B2256" s="2" t="s">
        <v>150</v>
      </c>
      <c r="C2256" s="2" t="s">
        <v>462</v>
      </c>
      <c r="D2256">
        <v>29</v>
      </c>
      <c r="E2256">
        <f>WEEKNUM(makulatura[[#This Row],[Data_dostarczenia]],13)</f>
        <v>53</v>
      </c>
      <c r="F2256" s="2">
        <f>WEEKDAY(makulatura[[#This Row],[Data_dostarczenia]],2)</f>
        <v>4</v>
      </c>
    </row>
    <row r="2257" spans="1:6" x14ac:dyDescent="0.25">
      <c r="A2257" s="1">
        <v>43097</v>
      </c>
      <c r="B2257" s="2" t="s">
        <v>219</v>
      </c>
      <c r="C2257" s="2" t="s">
        <v>543</v>
      </c>
      <c r="D2257">
        <v>9</v>
      </c>
      <c r="E2257">
        <f>WEEKNUM(makulatura[[#This Row],[Data_dostarczenia]],13)</f>
        <v>53</v>
      </c>
      <c r="F2257" s="2">
        <f>WEEKDAY(makulatura[[#This Row],[Data_dostarczenia]],2)</f>
        <v>4</v>
      </c>
    </row>
    <row r="2258" spans="1:6" x14ac:dyDescent="0.25">
      <c r="A2258" s="1">
        <v>43097</v>
      </c>
      <c r="B2258" s="2" t="s">
        <v>427</v>
      </c>
      <c r="C2258" s="2" t="s">
        <v>428</v>
      </c>
      <c r="D2258">
        <v>21</v>
      </c>
      <c r="E2258">
        <f>WEEKNUM(makulatura[[#This Row],[Data_dostarczenia]],13)</f>
        <v>53</v>
      </c>
      <c r="F2258" s="2">
        <f>WEEKDAY(makulatura[[#This Row],[Data_dostarczenia]],2)</f>
        <v>4</v>
      </c>
    </row>
    <row r="2259" spans="1:6" x14ac:dyDescent="0.25">
      <c r="A2259" s="1">
        <v>43097</v>
      </c>
      <c r="B2259" s="2" t="s">
        <v>106</v>
      </c>
      <c r="C2259" s="2" t="s">
        <v>602</v>
      </c>
      <c r="D2259">
        <v>10</v>
      </c>
      <c r="E2259">
        <f>WEEKNUM(makulatura[[#This Row],[Data_dostarczenia]],13)</f>
        <v>53</v>
      </c>
      <c r="F2259" s="2">
        <f>WEEKDAY(makulatura[[#This Row],[Data_dostarczenia]],2)</f>
        <v>4</v>
      </c>
    </row>
    <row r="2260" spans="1:6" x14ac:dyDescent="0.25">
      <c r="A2260" s="1">
        <v>43097</v>
      </c>
      <c r="B2260" s="2" t="s">
        <v>219</v>
      </c>
      <c r="C2260" s="2" t="s">
        <v>220</v>
      </c>
      <c r="D2260">
        <v>30</v>
      </c>
      <c r="E2260">
        <f>WEEKNUM(makulatura[[#This Row],[Data_dostarczenia]],13)</f>
        <v>53</v>
      </c>
      <c r="F2260" s="2">
        <f>WEEKDAY(makulatura[[#This Row],[Data_dostarczenia]],2)</f>
        <v>4</v>
      </c>
    </row>
    <row r="2261" spans="1:6" x14ac:dyDescent="0.25">
      <c r="A2261" s="1">
        <v>43098</v>
      </c>
      <c r="B2261" s="2" t="s">
        <v>95</v>
      </c>
      <c r="C2261" s="2" t="s">
        <v>96</v>
      </c>
      <c r="D2261">
        <v>14</v>
      </c>
      <c r="E2261">
        <f>WEEKNUM(makulatura[[#This Row],[Data_dostarczenia]],13)</f>
        <v>53</v>
      </c>
      <c r="F2261" s="2">
        <f>WEEKDAY(makulatura[[#This Row],[Data_dostarczenia]],2)</f>
        <v>5</v>
      </c>
    </row>
    <row r="2262" spans="1:6" x14ac:dyDescent="0.25">
      <c r="A2262" s="1">
        <v>43098</v>
      </c>
      <c r="B2262" s="2" t="s">
        <v>232</v>
      </c>
      <c r="C2262" s="2" t="s">
        <v>451</v>
      </c>
      <c r="D2262">
        <v>15</v>
      </c>
      <c r="E2262">
        <f>WEEKNUM(makulatura[[#This Row],[Data_dostarczenia]],13)</f>
        <v>53</v>
      </c>
      <c r="F2262" s="2">
        <f>WEEKDAY(makulatura[[#This Row],[Data_dostarczenia]],2)</f>
        <v>5</v>
      </c>
    </row>
    <row r="2263" spans="1:6" x14ac:dyDescent="0.25">
      <c r="A2263" s="1">
        <v>43098</v>
      </c>
      <c r="B2263" s="2" t="s">
        <v>16</v>
      </c>
      <c r="C2263" s="2" t="s">
        <v>17</v>
      </c>
      <c r="D2263">
        <v>24</v>
      </c>
      <c r="E2263">
        <f>WEEKNUM(makulatura[[#This Row],[Data_dostarczenia]],13)</f>
        <v>53</v>
      </c>
      <c r="F2263" s="2">
        <f>WEEKDAY(makulatura[[#This Row],[Data_dostarczenia]],2)</f>
        <v>5</v>
      </c>
    </row>
    <row r="2264" spans="1:6" x14ac:dyDescent="0.25">
      <c r="A2264" s="1">
        <v>43098</v>
      </c>
      <c r="B2264" s="2" t="s">
        <v>193</v>
      </c>
      <c r="C2264" s="2" t="s">
        <v>194</v>
      </c>
      <c r="D2264">
        <v>26</v>
      </c>
      <c r="E2264">
        <f>WEEKNUM(makulatura[[#This Row],[Data_dostarczenia]],13)</f>
        <v>53</v>
      </c>
      <c r="F2264" s="2">
        <f>WEEKDAY(makulatura[[#This Row],[Data_dostarczenia]],2)</f>
        <v>5</v>
      </c>
    </row>
    <row r="2265" spans="1:6" x14ac:dyDescent="0.25">
      <c r="A2265" s="1">
        <v>43098</v>
      </c>
      <c r="B2265" s="2" t="s">
        <v>47</v>
      </c>
      <c r="C2265" s="2" t="s">
        <v>336</v>
      </c>
      <c r="D2265">
        <v>22</v>
      </c>
      <c r="E2265">
        <f>WEEKNUM(makulatura[[#This Row],[Data_dostarczenia]],13)</f>
        <v>53</v>
      </c>
      <c r="F2265" s="2">
        <f>WEEKDAY(makulatura[[#This Row],[Data_dostarczenia]],2)</f>
        <v>5</v>
      </c>
    </row>
    <row r="2266" spans="1:6" x14ac:dyDescent="0.25">
      <c r="A2266" s="1">
        <v>43098</v>
      </c>
      <c r="B2266" s="2" t="s">
        <v>101</v>
      </c>
      <c r="C2266" s="2" t="s">
        <v>701</v>
      </c>
      <c r="D2266">
        <v>35</v>
      </c>
      <c r="E2266">
        <f>WEEKNUM(makulatura[[#This Row],[Data_dostarczenia]],13)</f>
        <v>53</v>
      </c>
      <c r="F2266" s="2">
        <f>WEEKDAY(makulatura[[#This Row],[Data_dostarczenia]],2)</f>
        <v>5</v>
      </c>
    </row>
    <row r="2267" spans="1:6" x14ac:dyDescent="0.25">
      <c r="A2267" s="1">
        <v>43098</v>
      </c>
      <c r="B2267" s="2" t="s">
        <v>143</v>
      </c>
      <c r="C2267" s="2" t="s">
        <v>585</v>
      </c>
      <c r="D2267">
        <v>21</v>
      </c>
      <c r="E2267">
        <f>WEEKNUM(makulatura[[#This Row],[Data_dostarczenia]],13)</f>
        <v>53</v>
      </c>
      <c r="F2267" s="2">
        <f>WEEKDAY(makulatura[[#This Row],[Data_dostarczenia]],2)</f>
        <v>5</v>
      </c>
    </row>
    <row r="2268" spans="1:6" x14ac:dyDescent="0.25">
      <c r="A2268" s="1">
        <v>43098</v>
      </c>
      <c r="B2268" s="2" t="s">
        <v>114</v>
      </c>
      <c r="C2268" s="2" t="s">
        <v>115</v>
      </c>
      <c r="D2268">
        <v>16</v>
      </c>
      <c r="E2268">
        <f>WEEKNUM(makulatura[[#This Row],[Data_dostarczenia]],13)</f>
        <v>53</v>
      </c>
      <c r="F2268" s="2">
        <f>WEEKDAY(makulatura[[#This Row],[Data_dostarczenia]],2)</f>
        <v>5</v>
      </c>
    </row>
    <row r="2269" spans="1:6" x14ac:dyDescent="0.25">
      <c r="A2269" s="1">
        <v>43098</v>
      </c>
      <c r="B2269" s="2" t="s">
        <v>193</v>
      </c>
      <c r="C2269" s="2" t="s">
        <v>555</v>
      </c>
      <c r="D2269">
        <v>48</v>
      </c>
      <c r="E2269">
        <f>WEEKNUM(makulatura[[#This Row],[Data_dostarczenia]],13)</f>
        <v>53</v>
      </c>
      <c r="F2269" s="2">
        <f>WEEKDAY(makulatura[[#This Row],[Data_dostarczenia]],2)</f>
        <v>5</v>
      </c>
    </row>
  </sheetData>
  <conditionalFormatting sqref="L1:L1048576">
    <cfRule type="cellIs" dxfId="6" priority="2" operator="equal">
      <formula>1</formula>
    </cfRule>
  </conditionalFormatting>
  <conditionalFormatting sqref="E1:E1048576">
    <cfRule type="cellIs" dxfId="5" priority="1" operator="equal">
      <formula>5</formula>
    </cfRule>
  </conditionalFormatting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EE6F-A492-4CF2-8834-BEB23B340724}">
  <dimension ref="A1:D2269"/>
  <sheetViews>
    <sheetView workbookViewId="0">
      <selection activeCell="H4" sqref="H4"/>
    </sheetView>
  </sheetViews>
  <sheetFormatPr defaultRowHeight="15" x14ac:dyDescent="0.25"/>
  <cols>
    <col min="1" max="1" width="19.7109375" bestFit="1" customWidth="1"/>
    <col min="2" max="2" width="12.140625" bestFit="1" customWidth="1"/>
    <col min="3" max="3" width="14.85546875" bestFit="1" customWidth="1"/>
    <col min="4" max="4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42737</v>
      </c>
      <c r="B2" s="2" t="s">
        <v>4</v>
      </c>
      <c r="C2" s="2" t="s">
        <v>5</v>
      </c>
      <c r="D2">
        <v>2</v>
      </c>
    </row>
    <row r="3" spans="1:4" x14ac:dyDescent="0.25">
      <c r="A3" s="1">
        <v>42737</v>
      </c>
      <c r="B3" s="2" t="s">
        <v>6</v>
      </c>
      <c r="C3" s="2" t="s">
        <v>7</v>
      </c>
      <c r="D3">
        <v>51</v>
      </c>
    </row>
    <row r="4" spans="1:4" x14ac:dyDescent="0.25">
      <c r="A4" s="1">
        <v>42737</v>
      </c>
      <c r="B4" s="2" t="s">
        <v>8</v>
      </c>
      <c r="C4" s="2" t="s">
        <v>9</v>
      </c>
      <c r="D4">
        <v>41</v>
      </c>
    </row>
    <row r="5" spans="1:4" x14ac:dyDescent="0.25">
      <c r="A5" s="1">
        <v>42737</v>
      </c>
      <c r="B5" s="2" t="s">
        <v>10</v>
      </c>
      <c r="C5" s="2" t="s">
        <v>11</v>
      </c>
      <c r="D5">
        <v>7</v>
      </c>
    </row>
    <row r="6" spans="1:4" x14ac:dyDescent="0.25">
      <c r="A6" s="1">
        <v>42737</v>
      </c>
      <c r="B6" s="2" t="s">
        <v>12</v>
      </c>
      <c r="C6" s="2" t="s">
        <v>13</v>
      </c>
      <c r="D6">
        <v>46</v>
      </c>
    </row>
    <row r="7" spans="1:4" x14ac:dyDescent="0.25">
      <c r="A7" s="1">
        <v>42737</v>
      </c>
      <c r="B7" s="2" t="s">
        <v>14</v>
      </c>
      <c r="C7" s="2" t="s">
        <v>15</v>
      </c>
      <c r="D7">
        <v>12</v>
      </c>
    </row>
    <row r="8" spans="1:4" x14ac:dyDescent="0.25">
      <c r="A8" s="1">
        <v>42737</v>
      </c>
      <c r="B8" s="2" t="s">
        <v>16</v>
      </c>
      <c r="C8" s="2" t="s">
        <v>17</v>
      </c>
      <c r="D8">
        <v>54</v>
      </c>
    </row>
    <row r="9" spans="1:4" x14ac:dyDescent="0.25">
      <c r="A9" s="1">
        <v>42737</v>
      </c>
      <c r="B9" s="2" t="s">
        <v>18</v>
      </c>
      <c r="C9" s="2" t="s">
        <v>19</v>
      </c>
      <c r="D9">
        <v>55</v>
      </c>
    </row>
    <row r="10" spans="1:4" x14ac:dyDescent="0.25">
      <c r="A10" s="1">
        <v>42737</v>
      </c>
      <c r="B10" s="2" t="s">
        <v>20</v>
      </c>
      <c r="C10" s="2" t="s">
        <v>21</v>
      </c>
      <c r="D10">
        <v>45</v>
      </c>
    </row>
    <row r="11" spans="1:4" x14ac:dyDescent="0.25">
      <c r="A11" s="1">
        <v>42737</v>
      </c>
      <c r="B11" s="2" t="s">
        <v>4</v>
      </c>
      <c r="C11" s="2" t="s">
        <v>22</v>
      </c>
      <c r="D11">
        <v>3</v>
      </c>
    </row>
    <row r="12" spans="1:4" x14ac:dyDescent="0.25">
      <c r="A12" s="1">
        <v>42738</v>
      </c>
      <c r="B12" s="2" t="s">
        <v>23</v>
      </c>
      <c r="C12" s="2" t="s">
        <v>24</v>
      </c>
      <c r="D12">
        <v>6</v>
      </c>
    </row>
    <row r="13" spans="1:4" x14ac:dyDescent="0.25">
      <c r="A13" s="1">
        <v>42738</v>
      </c>
      <c r="B13" s="2" t="s">
        <v>25</v>
      </c>
      <c r="C13" s="2" t="s">
        <v>26</v>
      </c>
      <c r="D13">
        <v>23</v>
      </c>
    </row>
    <row r="14" spans="1:4" x14ac:dyDescent="0.25">
      <c r="A14" s="1">
        <v>42738</v>
      </c>
      <c r="B14" s="2" t="s">
        <v>27</v>
      </c>
      <c r="C14" s="2" t="s">
        <v>28</v>
      </c>
      <c r="D14">
        <v>53</v>
      </c>
    </row>
    <row r="15" spans="1:4" x14ac:dyDescent="0.25">
      <c r="A15" s="1">
        <v>42738</v>
      </c>
      <c r="B15" s="2" t="s">
        <v>18</v>
      </c>
      <c r="C15" s="2" t="s">
        <v>29</v>
      </c>
      <c r="D15">
        <v>15</v>
      </c>
    </row>
    <row r="16" spans="1:4" x14ac:dyDescent="0.25">
      <c r="A16" s="1">
        <v>42738</v>
      </c>
      <c r="B16" s="2" t="s">
        <v>30</v>
      </c>
      <c r="C16" s="2" t="s">
        <v>31</v>
      </c>
      <c r="D16">
        <v>44</v>
      </c>
    </row>
    <row r="17" spans="1:4" x14ac:dyDescent="0.25">
      <c r="A17" s="1">
        <v>42738</v>
      </c>
      <c r="B17" s="2" t="s">
        <v>32</v>
      </c>
      <c r="C17" s="2" t="s">
        <v>33</v>
      </c>
      <c r="D17">
        <v>14</v>
      </c>
    </row>
    <row r="18" spans="1:4" x14ac:dyDescent="0.25">
      <c r="A18" s="1">
        <v>42738</v>
      </c>
      <c r="B18" s="2" t="s">
        <v>34</v>
      </c>
      <c r="C18" s="2" t="s">
        <v>35</v>
      </c>
      <c r="D18">
        <v>26</v>
      </c>
    </row>
    <row r="19" spans="1:4" x14ac:dyDescent="0.25">
      <c r="A19" s="1">
        <v>42738</v>
      </c>
      <c r="B19" s="2" t="s">
        <v>36</v>
      </c>
      <c r="C19" s="2" t="s">
        <v>37</v>
      </c>
      <c r="D19">
        <v>19</v>
      </c>
    </row>
    <row r="20" spans="1:4" x14ac:dyDescent="0.25">
      <c r="A20" s="1">
        <v>42738</v>
      </c>
      <c r="B20" s="2" t="s">
        <v>12</v>
      </c>
      <c r="C20" s="2" t="s">
        <v>38</v>
      </c>
      <c r="D20">
        <v>14</v>
      </c>
    </row>
    <row r="21" spans="1:4" x14ac:dyDescent="0.25">
      <c r="A21" s="1">
        <v>42739</v>
      </c>
      <c r="B21" s="2" t="s">
        <v>39</v>
      </c>
      <c r="C21" s="2" t="s">
        <v>40</v>
      </c>
      <c r="D21">
        <v>56</v>
      </c>
    </row>
    <row r="22" spans="1:4" x14ac:dyDescent="0.25">
      <c r="A22" s="1">
        <v>42739</v>
      </c>
      <c r="B22" s="2" t="s">
        <v>41</v>
      </c>
      <c r="C22" s="2" t="s">
        <v>42</v>
      </c>
      <c r="D22">
        <v>20</v>
      </c>
    </row>
    <row r="23" spans="1:4" x14ac:dyDescent="0.25">
      <c r="A23" s="1">
        <v>42739</v>
      </c>
      <c r="B23" s="2" t="s">
        <v>43</v>
      </c>
      <c r="C23" s="2" t="s">
        <v>44</v>
      </c>
      <c r="D23">
        <v>28</v>
      </c>
    </row>
    <row r="24" spans="1:4" x14ac:dyDescent="0.25">
      <c r="A24" s="1">
        <v>42739</v>
      </c>
      <c r="B24" s="2" t="s">
        <v>45</v>
      </c>
      <c r="C24" s="2" t="s">
        <v>46</v>
      </c>
      <c r="D24">
        <v>24</v>
      </c>
    </row>
    <row r="25" spans="1:4" x14ac:dyDescent="0.25">
      <c r="A25" s="1">
        <v>42739</v>
      </c>
      <c r="B25" s="2" t="s">
        <v>47</v>
      </c>
      <c r="C25" s="2" t="s">
        <v>48</v>
      </c>
      <c r="D25">
        <v>21</v>
      </c>
    </row>
    <row r="26" spans="1:4" x14ac:dyDescent="0.25">
      <c r="A26" s="1">
        <v>42739</v>
      </c>
      <c r="B26" s="2" t="s">
        <v>49</v>
      </c>
      <c r="C26" s="2" t="s">
        <v>50</v>
      </c>
      <c r="D26">
        <v>16</v>
      </c>
    </row>
    <row r="27" spans="1:4" x14ac:dyDescent="0.25">
      <c r="A27" s="1">
        <v>42739</v>
      </c>
      <c r="B27" s="2" t="s">
        <v>51</v>
      </c>
      <c r="C27" s="2" t="s">
        <v>52</v>
      </c>
      <c r="D27">
        <v>8</v>
      </c>
    </row>
    <row r="28" spans="1:4" x14ac:dyDescent="0.25">
      <c r="A28" s="1">
        <v>42739</v>
      </c>
      <c r="B28" s="2" t="s">
        <v>53</v>
      </c>
      <c r="C28" s="2" t="s">
        <v>54</v>
      </c>
      <c r="D28">
        <v>41</v>
      </c>
    </row>
    <row r="29" spans="1:4" x14ac:dyDescent="0.25">
      <c r="A29" s="1">
        <v>42739</v>
      </c>
      <c r="B29" s="2" t="s">
        <v>55</v>
      </c>
      <c r="C29" s="2" t="s">
        <v>56</v>
      </c>
      <c r="D29">
        <v>9</v>
      </c>
    </row>
    <row r="30" spans="1:4" x14ac:dyDescent="0.25">
      <c r="A30" s="1">
        <v>42740</v>
      </c>
      <c r="B30" s="2" t="s">
        <v>57</v>
      </c>
      <c r="C30" s="2" t="s">
        <v>58</v>
      </c>
      <c r="D30">
        <v>19</v>
      </c>
    </row>
    <row r="31" spans="1:4" x14ac:dyDescent="0.25">
      <c r="A31" s="1">
        <v>42740</v>
      </c>
      <c r="B31" s="2" t="s">
        <v>59</v>
      </c>
      <c r="C31" s="2" t="s">
        <v>60</v>
      </c>
      <c r="D31">
        <v>33</v>
      </c>
    </row>
    <row r="32" spans="1:4" x14ac:dyDescent="0.25">
      <c r="A32" s="1">
        <v>42740</v>
      </c>
      <c r="B32" s="2" t="s">
        <v>61</v>
      </c>
      <c r="C32" s="2" t="s">
        <v>62</v>
      </c>
      <c r="D32">
        <v>29</v>
      </c>
    </row>
    <row r="33" spans="1:4" x14ac:dyDescent="0.25">
      <c r="A33" s="1">
        <v>42740</v>
      </c>
      <c r="B33" s="2" t="s">
        <v>63</v>
      </c>
      <c r="C33" s="2" t="s">
        <v>64</v>
      </c>
      <c r="D33">
        <v>27</v>
      </c>
    </row>
    <row r="34" spans="1:4" x14ac:dyDescent="0.25">
      <c r="A34" s="1">
        <v>42740</v>
      </c>
      <c r="B34" s="2" t="s">
        <v>65</v>
      </c>
      <c r="C34" s="2" t="s">
        <v>66</v>
      </c>
      <c r="D34">
        <v>23</v>
      </c>
    </row>
    <row r="35" spans="1:4" x14ac:dyDescent="0.25">
      <c r="A35" s="1">
        <v>42740</v>
      </c>
      <c r="B35" s="2" t="s">
        <v>67</v>
      </c>
      <c r="C35" s="2" t="s">
        <v>68</v>
      </c>
      <c r="D35">
        <v>50</v>
      </c>
    </row>
    <row r="36" spans="1:4" x14ac:dyDescent="0.25">
      <c r="A36" s="1">
        <v>42740</v>
      </c>
      <c r="B36" s="2" t="s">
        <v>69</v>
      </c>
      <c r="C36" s="2" t="s">
        <v>70</v>
      </c>
      <c r="D36">
        <v>15</v>
      </c>
    </row>
    <row r="37" spans="1:4" x14ac:dyDescent="0.25">
      <c r="A37" s="1">
        <v>42740</v>
      </c>
      <c r="B37" s="2" t="s">
        <v>43</v>
      </c>
      <c r="C37" s="2" t="s">
        <v>71</v>
      </c>
      <c r="D37">
        <v>18</v>
      </c>
    </row>
    <row r="38" spans="1:4" x14ac:dyDescent="0.25">
      <c r="A38" s="1">
        <v>42740</v>
      </c>
      <c r="B38" s="2" t="s">
        <v>72</v>
      </c>
      <c r="C38" s="2" t="s">
        <v>73</v>
      </c>
      <c r="D38">
        <v>2</v>
      </c>
    </row>
    <row r="39" spans="1:4" x14ac:dyDescent="0.25">
      <c r="A39" s="1">
        <v>42741</v>
      </c>
      <c r="B39" s="2" t="s">
        <v>67</v>
      </c>
      <c r="C39" s="2" t="s">
        <v>68</v>
      </c>
      <c r="D39">
        <v>23</v>
      </c>
    </row>
    <row r="40" spans="1:4" x14ac:dyDescent="0.25">
      <c r="A40" s="1">
        <v>42741</v>
      </c>
      <c r="B40" s="2" t="s">
        <v>18</v>
      </c>
      <c r="C40" s="2" t="s">
        <v>74</v>
      </c>
      <c r="D40">
        <v>22</v>
      </c>
    </row>
    <row r="41" spans="1:4" x14ac:dyDescent="0.25">
      <c r="A41" s="1">
        <v>42741</v>
      </c>
      <c r="B41" s="2" t="s">
        <v>75</v>
      </c>
      <c r="C41" s="2" t="s">
        <v>76</v>
      </c>
      <c r="D41">
        <v>17</v>
      </c>
    </row>
    <row r="42" spans="1:4" x14ac:dyDescent="0.25">
      <c r="A42" s="1">
        <v>42741</v>
      </c>
      <c r="B42" s="2" t="s">
        <v>12</v>
      </c>
      <c r="C42" s="2" t="s">
        <v>38</v>
      </c>
      <c r="D42">
        <v>19</v>
      </c>
    </row>
    <row r="43" spans="1:4" x14ac:dyDescent="0.25">
      <c r="A43" s="1">
        <v>42741</v>
      </c>
      <c r="B43" s="2" t="s">
        <v>77</v>
      </c>
      <c r="C43" s="2" t="s">
        <v>78</v>
      </c>
      <c r="D43">
        <v>43</v>
      </c>
    </row>
    <row r="44" spans="1:4" x14ac:dyDescent="0.25">
      <c r="A44" s="1">
        <v>42741</v>
      </c>
      <c r="B44" s="2" t="s">
        <v>79</v>
      </c>
      <c r="C44" s="2" t="s">
        <v>80</v>
      </c>
      <c r="D44">
        <v>22</v>
      </c>
    </row>
    <row r="45" spans="1:4" x14ac:dyDescent="0.25">
      <c r="A45" s="1">
        <v>42741</v>
      </c>
      <c r="B45" s="2" t="s">
        <v>81</v>
      </c>
      <c r="C45" s="2" t="s">
        <v>82</v>
      </c>
      <c r="D45">
        <v>29</v>
      </c>
    </row>
    <row r="46" spans="1:4" x14ac:dyDescent="0.25">
      <c r="A46" s="1">
        <v>42741</v>
      </c>
      <c r="B46" s="2" t="s">
        <v>83</v>
      </c>
      <c r="C46" s="2" t="s">
        <v>84</v>
      </c>
      <c r="D46">
        <v>26</v>
      </c>
    </row>
    <row r="47" spans="1:4" x14ac:dyDescent="0.25">
      <c r="A47" s="1">
        <v>42741</v>
      </c>
      <c r="B47" s="2" t="s">
        <v>77</v>
      </c>
      <c r="C47" s="2" t="s">
        <v>85</v>
      </c>
      <c r="D47">
        <v>53</v>
      </c>
    </row>
    <row r="48" spans="1:4" x14ac:dyDescent="0.25">
      <c r="A48" s="1">
        <v>42744</v>
      </c>
      <c r="B48" s="2" t="s">
        <v>30</v>
      </c>
      <c r="C48" s="2" t="s">
        <v>86</v>
      </c>
      <c r="D48">
        <v>20</v>
      </c>
    </row>
    <row r="49" spans="1:4" x14ac:dyDescent="0.25">
      <c r="A49" s="1">
        <v>42744</v>
      </c>
      <c r="B49" s="2" t="s">
        <v>87</v>
      </c>
      <c r="C49" s="2" t="s">
        <v>88</v>
      </c>
      <c r="D49">
        <v>26</v>
      </c>
    </row>
    <row r="50" spans="1:4" x14ac:dyDescent="0.25">
      <c r="A50" s="1">
        <v>42744</v>
      </c>
      <c r="B50" s="2" t="s">
        <v>30</v>
      </c>
      <c r="C50" s="2" t="s">
        <v>89</v>
      </c>
      <c r="D50">
        <v>36</v>
      </c>
    </row>
    <row r="51" spans="1:4" x14ac:dyDescent="0.25">
      <c r="A51" s="1">
        <v>42744</v>
      </c>
      <c r="B51" s="2" t="s">
        <v>34</v>
      </c>
      <c r="C51" s="2" t="s">
        <v>90</v>
      </c>
      <c r="D51">
        <v>11</v>
      </c>
    </row>
    <row r="52" spans="1:4" x14ac:dyDescent="0.25">
      <c r="A52" s="1">
        <v>42744</v>
      </c>
      <c r="B52" s="2" t="s">
        <v>47</v>
      </c>
      <c r="C52" s="2" t="s">
        <v>91</v>
      </c>
      <c r="D52">
        <v>52</v>
      </c>
    </row>
    <row r="53" spans="1:4" x14ac:dyDescent="0.25">
      <c r="A53" s="1">
        <v>42744</v>
      </c>
      <c r="B53" s="2" t="s">
        <v>92</v>
      </c>
      <c r="C53" s="2" t="s">
        <v>93</v>
      </c>
      <c r="D53">
        <v>11</v>
      </c>
    </row>
    <row r="54" spans="1:4" x14ac:dyDescent="0.25">
      <c r="A54" s="1">
        <v>42744</v>
      </c>
      <c r="B54" s="2" t="s">
        <v>27</v>
      </c>
      <c r="C54" s="2" t="s">
        <v>94</v>
      </c>
      <c r="D54">
        <v>11</v>
      </c>
    </row>
    <row r="55" spans="1:4" x14ac:dyDescent="0.25">
      <c r="A55" s="1">
        <v>42744</v>
      </c>
      <c r="B55" s="2" t="s">
        <v>27</v>
      </c>
      <c r="C55" s="2" t="s">
        <v>94</v>
      </c>
      <c r="D55">
        <v>10</v>
      </c>
    </row>
    <row r="56" spans="1:4" x14ac:dyDescent="0.25">
      <c r="A56" s="1">
        <v>42744</v>
      </c>
      <c r="B56" s="2" t="s">
        <v>95</v>
      </c>
      <c r="C56" s="2" t="s">
        <v>96</v>
      </c>
      <c r="D56">
        <v>8</v>
      </c>
    </row>
    <row r="57" spans="1:4" x14ac:dyDescent="0.25">
      <c r="A57" s="1">
        <v>42745</v>
      </c>
      <c r="B57" s="2" t="s">
        <v>43</v>
      </c>
      <c r="C57" s="2" t="s">
        <v>44</v>
      </c>
      <c r="D57">
        <v>13</v>
      </c>
    </row>
    <row r="58" spans="1:4" x14ac:dyDescent="0.25">
      <c r="A58" s="1">
        <v>42745</v>
      </c>
      <c r="B58" s="2" t="s">
        <v>97</v>
      </c>
      <c r="C58" s="2" t="s">
        <v>98</v>
      </c>
      <c r="D58">
        <v>16</v>
      </c>
    </row>
    <row r="59" spans="1:4" x14ac:dyDescent="0.25">
      <c r="A59" s="1">
        <v>42745</v>
      </c>
      <c r="B59" s="2" t="s">
        <v>99</v>
      </c>
      <c r="C59" s="2" t="s">
        <v>100</v>
      </c>
      <c r="D59">
        <v>46</v>
      </c>
    </row>
    <row r="60" spans="1:4" x14ac:dyDescent="0.25">
      <c r="A60" s="1">
        <v>42745</v>
      </c>
      <c r="B60" s="2" t="s">
        <v>101</v>
      </c>
      <c r="C60" s="2" t="s">
        <v>102</v>
      </c>
      <c r="D60">
        <v>41</v>
      </c>
    </row>
    <row r="61" spans="1:4" x14ac:dyDescent="0.25">
      <c r="A61" s="1">
        <v>42745</v>
      </c>
      <c r="B61" s="2" t="s">
        <v>39</v>
      </c>
      <c r="C61" s="2" t="s">
        <v>103</v>
      </c>
      <c r="D61">
        <v>26</v>
      </c>
    </row>
    <row r="62" spans="1:4" x14ac:dyDescent="0.25">
      <c r="A62" s="1">
        <v>42745</v>
      </c>
      <c r="B62" s="2" t="s">
        <v>81</v>
      </c>
      <c r="C62" s="2" t="s">
        <v>104</v>
      </c>
      <c r="D62">
        <v>22</v>
      </c>
    </row>
    <row r="63" spans="1:4" x14ac:dyDescent="0.25">
      <c r="A63" s="1">
        <v>42745</v>
      </c>
      <c r="B63" s="2" t="s">
        <v>63</v>
      </c>
      <c r="C63" s="2" t="s">
        <v>105</v>
      </c>
      <c r="D63">
        <v>6</v>
      </c>
    </row>
    <row r="64" spans="1:4" x14ac:dyDescent="0.25">
      <c r="A64" s="1">
        <v>42745</v>
      </c>
      <c r="B64" s="2" t="s">
        <v>106</v>
      </c>
      <c r="C64" s="2" t="s">
        <v>107</v>
      </c>
      <c r="D64">
        <v>24</v>
      </c>
    </row>
    <row r="65" spans="1:4" x14ac:dyDescent="0.25">
      <c r="A65" s="1">
        <v>42745</v>
      </c>
      <c r="B65" s="2" t="s">
        <v>43</v>
      </c>
      <c r="C65" s="2" t="s">
        <v>71</v>
      </c>
      <c r="D65">
        <v>11</v>
      </c>
    </row>
    <row r="66" spans="1:4" x14ac:dyDescent="0.25">
      <c r="A66" s="1">
        <v>42746</v>
      </c>
      <c r="B66" s="2" t="s">
        <v>49</v>
      </c>
      <c r="C66" s="2" t="s">
        <v>50</v>
      </c>
      <c r="D66">
        <v>16</v>
      </c>
    </row>
    <row r="67" spans="1:4" x14ac:dyDescent="0.25">
      <c r="A67" s="1">
        <v>42746</v>
      </c>
      <c r="B67" s="2" t="s">
        <v>69</v>
      </c>
      <c r="C67" s="2" t="s">
        <v>108</v>
      </c>
      <c r="D67">
        <v>8</v>
      </c>
    </row>
    <row r="68" spans="1:4" x14ac:dyDescent="0.25">
      <c r="A68" s="1">
        <v>42746</v>
      </c>
      <c r="B68" s="2" t="s">
        <v>30</v>
      </c>
      <c r="C68" s="2" t="s">
        <v>109</v>
      </c>
      <c r="D68">
        <v>27</v>
      </c>
    </row>
    <row r="69" spans="1:4" x14ac:dyDescent="0.25">
      <c r="A69" s="1">
        <v>42746</v>
      </c>
      <c r="B69" s="2" t="s">
        <v>83</v>
      </c>
      <c r="C69" s="2" t="s">
        <v>110</v>
      </c>
      <c r="D69">
        <v>9</v>
      </c>
    </row>
    <row r="70" spans="1:4" x14ac:dyDescent="0.25">
      <c r="A70" s="1">
        <v>42746</v>
      </c>
      <c r="B70" s="2" t="s">
        <v>39</v>
      </c>
      <c r="C70" s="2" t="s">
        <v>111</v>
      </c>
      <c r="D70">
        <v>32</v>
      </c>
    </row>
    <row r="71" spans="1:4" x14ac:dyDescent="0.25">
      <c r="A71" s="1">
        <v>42746</v>
      </c>
      <c r="B71" s="2" t="s">
        <v>112</v>
      </c>
      <c r="C71" s="2" t="s">
        <v>113</v>
      </c>
      <c r="D71">
        <v>55</v>
      </c>
    </row>
    <row r="72" spans="1:4" x14ac:dyDescent="0.25">
      <c r="A72" s="1">
        <v>42746</v>
      </c>
      <c r="B72" s="2" t="s">
        <v>77</v>
      </c>
      <c r="C72" s="2" t="s">
        <v>85</v>
      </c>
      <c r="D72">
        <v>18</v>
      </c>
    </row>
    <row r="73" spans="1:4" x14ac:dyDescent="0.25">
      <c r="A73" s="1">
        <v>42746</v>
      </c>
      <c r="B73" s="2" t="s">
        <v>114</v>
      </c>
      <c r="C73" s="2" t="s">
        <v>115</v>
      </c>
      <c r="D73">
        <v>46</v>
      </c>
    </row>
    <row r="74" spans="1:4" x14ac:dyDescent="0.25">
      <c r="A74" s="1">
        <v>42746</v>
      </c>
      <c r="B74" s="2" t="s">
        <v>65</v>
      </c>
      <c r="C74" s="2" t="s">
        <v>116</v>
      </c>
      <c r="D74">
        <v>17</v>
      </c>
    </row>
    <row r="75" spans="1:4" x14ac:dyDescent="0.25">
      <c r="A75" s="1">
        <v>42747</v>
      </c>
      <c r="B75" s="2" t="s">
        <v>117</v>
      </c>
      <c r="C75" s="2" t="s">
        <v>118</v>
      </c>
      <c r="D75">
        <v>43</v>
      </c>
    </row>
    <row r="76" spans="1:4" x14ac:dyDescent="0.25">
      <c r="A76" s="1">
        <v>42747</v>
      </c>
      <c r="B76" s="2" t="s">
        <v>119</v>
      </c>
      <c r="C76" s="2" t="s">
        <v>120</v>
      </c>
      <c r="D76">
        <v>17</v>
      </c>
    </row>
    <row r="77" spans="1:4" x14ac:dyDescent="0.25">
      <c r="A77" s="1">
        <v>42747</v>
      </c>
      <c r="B77" s="2" t="s">
        <v>121</v>
      </c>
      <c r="C77" s="2" t="s">
        <v>122</v>
      </c>
      <c r="D77">
        <v>21</v>
      </c>
    </row>
    <row r="78" spans="1:4" x14ac:dyDescent="0.25">
      <c r="A78" s="1">
        <v>42747</v>
      </c>
      <c r="B78" s="2" t="s">
        <v>20</v>
      </c>
      <c r="C78" s="2" t="s">
        <v>123</v>
      </c>
      <c r="D78">
        <v>27</v>
      </c>
    </row>
    <row r="79" spans="1:4" x14ac:dyDescent="0.25">
      <c r="A79" s="1">
        <v>42747</v>
      </c>
      <c r="B79" s="2" t="s">
        <v>87</v>
      </c>
      <c r="C79" s="2" t="s">
        <v>124</v>
      </c>
      <c r="D79">
        <v>22</v>
      </c>
    </row>
    <row r="80" spans="1:4" x14ac:dyDescent="0.25">
      <c r="A80" s="1">
        <v>42747</v>
      </c>
      <c r="B80" s="2" t="s">
        <v>55</v>
      </c>
      <c r="C80" s="2" t="s">
        <v>125</v>
      </c>
      <c r="D80">
        <v>46</v>
      </c>
    </row>
    <row r="81" spans="1:4" x14ac:dyDescent="0.25">
      <c r="A81" s="1">
        <v>42747</v>
      </c>
      <c r="B81" s="2" t="s">
        <v>79</v>
      </c>
      <c r="C81" s="2" t="s">
        <v>80</v>
      </c>
      <c r="D81">
        <v>15</v>
      </c>
    </row>
    <row r="82" spans="1:4" x14ac:dyDescent="0.25">
      <c r="A82" s="1">
        <v>42747</v>
      </c>
      <c r="B82" s="2" t="s">
        <v>126</v>
      </c>
      <c r="C82" s="2" t="s">
        <v>127</v>
      </c>
      <c r="D82">
        <v>30</v>
      </c>
    </row>
    <row r="83" spans="1:4" x14ac:dyDescent="0.25">
      <c r="A83" s="1">
        <v>42747</v>
      </c>
      <c r="B83" s="2" t="s">
        <v>128</v>
      </c>
      <c r="C83" s="2" t="s">
        <v>129</v>
      </c>
      <c r="D83">
        <v>31</v>
      </c>
    </row>
    <row r="84" spans="1:4" x14ac:dyDescent="0.25">
      <c r="A84" s="1">
        <v>42748</v>
      </c>
      <c r="B84" s="2" t="s">
        <v>119</v>
      </c>
      <c r="C84" s="2" t="s">
        <v>120</v>
      </c>
      <c r="D84">
        <v>5</v>
      </c>
    </row>
    <row r="85" spans="1:4" x14ac:dyDescent="0.25">
      <c r="A85" s="1">
        <v>42748</v>
      </c>
      <c r="B85" s="2" t="s">
        <v>97</v>
      </c>
      <c r="C85" s="2" t="s">
        <v>130</v>
      </c>
      <c r="D85">
        <v>26</v>
      </c>
    </row>
    <row r="86" spans="1:4" x14ac:dyDescent="0.25">
      <c r="A86" s="1">
        <v>42748</v>
      </c>
      <c r="B86" s="2" t="s">
        <v>131</v>
      </c>
      <c r="C86" s="2" t="s">
        <v>132</v>
      </c>
      <c r="D86">
        <v>10</v>
      </c>
    </row>
    <row r="87" spans="1:4" x14ac:dyDescent="0.25">
      <c r="A87" s="1">
        <v>42748</v>
      </c>
      <c r="B87" s="2" t="s">
        <v>133</v>
      </c>
      <c r="C87" s="2" t="s">
        <v>134</v>
      </c>
      <c r="D87">
        <v>29</v>
      </c>
    </row>
    <row r="88" spans="1:4" x14ac:dyDescent="0.25">
      <c r="A88" s="1">
        <v>42748</v>
      </c>
      <c r="B88" s="2" t="s">
        <v>57</v>
      </c>
      <c r="C88" s="2" t="s">
        <v>135</v>
      </c>
      <c r="D88">
        <v>40</v>
      </c>
    </row>
    <row r="89" spans="1:4" x14ac:dyDescent="0.25">
      <c r="A89" s="1">
        <v>42748</v>
      </c>
      <c r="B89" s="2" t="s">
        <v>83</v>
      </c>
      <c r="C89" s="2" t="s">
        <v>136</v>
      </c>
      <c r="D89">
        <v>21</v>
      </c>
    </row>
    <row r="90" spans="1:4" x14ac:dyDescent="0.25">
      <c r="A90" s="1">
        <v>42748</v>
      </c>
      <c r="B90" s="2" t="s">
        <v>137</v>
      </c>
      <c r="C90" s="2" t="s">
        <v>138</v>
      </c>
      <c r="D90">
        <v>14</v>
      </c>
    </row>
    <row r="91" spans="1:4" x14ac:dyDescent="0.25">
      <c r="A91" s="1">
        <v>42748</v>
      </c>
      <c r="B91" s="2" t="s">
        <v>139</v>
      </c>
      <c r="C91" s="2" t="s">
        <v>140</v>
      </c>
      <c r="D91">
        <v>26</v>
      </c>
    </row>
    <row r="92" spans="1:4" x14ac:dyDescent="0.25">
      <c r="A92" s="1">
        <v>42748</v>
      </c>
      <c r="B92" s="2" t="s">
        <v>141</v>
      </c>
      <c r="C92" s="2" t="s">
        <v>142</v>
      </c>
      <c r="D92">
        <v>8</v>
      </c>
    </row>
    <row r="93" spans="1:4" x14ac:dyDescent="0.25">
      <c r="A93" s="1">
        <v>42751</v>
      </c>
      <c r="B93" s="2" t="s">
        <v>143</v>
      </c>
      <c r="C93" s="2" t="s">
        <v>47</v>
      </c>
      <c r="D93">
        <v>56</v>
      </c>
    </row>
    <row r="94" spans="1:4" x14ac:dyDescent="0.25">
      <c r="A94" s="1">
        <v>42751</v>
      </c>
      <c r="B94" s="2" t="s">
        <v>101</v>
      </c>
      <c r="C94" s="2" t="s">
        <v>102</v>
      </c>
      <c r="D94">
        <v>3</v>
      </c>
    </row>
    <row r="95" spans="1:4" x14ac:dyDescent="0.25">
      <c r="A95" s="1">
        <v>42751</v>
      </c>
      <c r="B95" s="2" t="s">
        <v>144</v>
      </c>
      <c r="C95" s="2" t="s">
        <v>145</v>
      </c>
      <c r="D95">
        <v>47</v>
      </c>
    </row>
    <row r="96" spans="1:4" x14ac:dyDescent="0.25">
      <c r="A96" s="1">
        <v>42751</v>
      </c>
      <c r="B96" s="2" t="s">
        <v>25</v>
      </c>
      <c r="C96" s="2" t="s">
        <v>146</v>
      </c>
      <c r="D96">
        <v>19</v>
      </c>
    </row>
    <row r="97" spans="1:4" x14ac:dyDescent="0.25">
      <c r="A97" s="1">
        <v>42751</v>
      </c>
      <c r="B97" s="2" t="s">
        <v>147</v>
      </c>
      <c r="C97" s="2" t="s">
        <v>148</v>
      </c>
      <c r="D97">
        <v>14</v>
      </c>
    </row>
    <row r="98" spans="1:4" x14ac:dyDescent="0.25">
      <c r="A98" s="1">
        <v>42751</v>
      </c>
      <c r="B98" s="2" t="s">
        <v>83</v>
      </c>
      <c r="C98" s="2" t="s">
        <v>149</v>
      </c>
      <c r="D98">
        <v>47</v>
      </c>
    </row>
    <row r="99" spans="1:4" x14ac:dyDescent="0.25">
      <c r="A99" s="1">
        <v>42751</v>
      </c>
      <c r="B99" s="2" t="s">
        <v>150</v>
      </c>
      <c r="C99" s="2" t="s">
        <v>151</v>
      </c>
      <c r="D99">
        <v>13</v>
      </c>
    </row>
    <row r="100" spans="1:4" x14ac:dyDescent="0.25">
      <c r="A100" s="1">
        <v>42751</v>
      </c>
      <c r="B100" s="2" t="s">
        <v>152</v>
      </c>
      <c r="C100" s="2" t="s">
        <v>153</v>
      </c>
      <c r="D100">
        <v>27</v>
      </c>
    </row>
    <row r="101" spans="1:4" x14ac:dyDescent="0.25">
      <c r="A101" s="1">
        <v>42751</v>
      </c>
      <c r="B101" s="2" t="s">
        <v>87</v>
      </c>
      <c r="C101" s="2" t="s">
        <v>154</v>
      </c>
      <c r="D101">
        <v>23</v>
      </c>
    </row>
    <row r="102" spans="1:4" x14ac:dyDescent="0.25">
      <c r="A102" s="1">
        <v>42752</v>
      </c>
      <c r="B102" s="2" t="s">
        <v>155</v>
      </c>
      <c r="C102" s="2" t="s">
        <v>156</v>
      </c>
      <c r="D102">
        <v>39</v>
      </c>
    </row>
    <row r="103" spans="1:4" x14ac:dyDescent="0.25">
      <c r="A103" s="1">
        <v>42752</v>
      </c>
      <c r="B103" s="2" t="s">
        <v>157</v>
      </c>
      <c r="C103" s="2" t="s">
        <v>115</v>
      </c>
      <c r="D103">
        <v>19</v>
      </c>
    </row>
    <row r="104" spans="1:4" x14ac:dyDescent="0.25">
      <c r="A104" s="1">
        <v>42752</v>
      </c>
      <c r="B104" s="2" t="s">
        <v>39</v>
      </c>
      <c r="C104" s="2" t="s">
        <v>158</v>
      </c>
      <c r="D104">
        <v>17</v>
      </c>
    </row>
    <row r="105" spans="1:4" x14ac:dyDescent="0.25">
      <c r="A105" s="1">
        <v>42752</v>
      </c>
      <c r="B105" s="2" t="s">
        <v>65</v>
      </c>
      <c r="C105" s="2" t="s">
        <v>159</v>
      </c>
      <c r="D105">
        <v>30</v>
      </c>
    </row>
    <row r="106" spans="1:4" x14ac:dyDescent="0.25">
      <c r="A106" s="1">
        <v>42752</v>
      </c>
      <c r="B106" s="2" t="s">
        <v>34</v>
      </c>
      <c r="C106" s="2" t="s">
        <v>160</v>
      </c>
      <c r="D106">
        <v>22</v>
      </c>
    </row>
    <row r="107" spans="1:4" x14ac:dyDescent="0.25">
      <c r="A107" s="1">
        <v>42752</v>
      </c>
      <c r="B107" s="2" t="s">
        <v>161</v>
      </c>
      <c r="C107" s="2" t="s">
        <v>162</v>
      </c>
      <c r="D107">
        <v>8</v>
      </c>
    </row>
    <row r="108" spans="1:4" x14ac:dyDescent="0.25">
      <c r="A108" s="1">
        <v>42752</v>
      </c>
      <c r="B108" s="2" t="s">
        <v>23</v>
      </c>
      <c r="C108" s="2" t="s">
        <v>163</v>
      </c>
      <c r="D108">
        <v>20</v>
      </c>
    </row>
    <row r="109" spans="1:4" x14ac:dyDescent="0.25">
      <c r="A109" s="1">
        <v>42752</v>
      </c>
      <c r="B109" s="2" t="s">
        <v>39</v>
      </c>
      <c r="C109" s="2" t="s">
        <v>40</v>
      </c>
      <c r="D109">
        <v>20</v>
      </c>
    </row>
    <row r="110" spans="1:4" x14ac:dyDescent="0.25">
      <c r="A110" s="1">
        <v>42752</v>
      </c>
      <c r="B110" s="2" t="s">
        <v>39</v>
      </c>
      <c r="C110" s="2" t="s">
        <v>164</v>
      </c>
      <c r="D110">
        <v>29</v>
      </c>
    </row>
    <row r="111" spans="1:4" x14ac:dyDescent="0.25">
      <c r="A111" s="1">
        <v>42753</v>
      </c>
      <c r="B111" s="2" t="s">
        <v>81</v>
      </c>
      <c r="C111" s="2" t="s">
        <v>165</v>
      </c>
      <c r="D111">
        <v>42</v>
      </c>
    </row>
    <row r="112" spans="1:4" x14ac:dyDescent="0.25">
      <c r="A112" s="1">
        <v>42753</v>
      </c>
      <c r="B112" s="2" t="s">
        <v>36</v>
      </c>
      <c r="C112" s="2" t="s">
        <v>166</v>
      </c>
      <c r="D112">
        <v>4</v>
      </c>
    </row>
    <row r="113" spans="1:4" x14ac:dyDescent="0.25">
      <c r="A113" s="1">
        <v>42753</v>
      </c>
      <c r="B113" s="2" t="s">
        <v>167</v>
      </c>
      <c r="C113" s="2" t="s">
        <v>168</v>
      </c>
      <c r="D113">
        <v>3</v>
      </c>
    </row>
    <row r="114" spans="1:4" x14ac:dyDescent="0.25">
      <c r="A114" s="1">
        <v>42753</v>
      </c>
      <c r="B114" s="2" t="s">
        <v>169</v>
      </c>
      <c r="C114" s="2" t="s">
        <v>170</v>
      </c>
      <c r="D114">
        <v>39</v>
      </c>
    </row>
    <row r="115" spans="1:4" x14ac:dyDescent="0.25">
      <c r="A115" s="1">
        <v>42753</v>
      </c>
      <c r="B115" s="2" t="s">
        <v>171</v>
      </c>
      <c r="C115" s="2" t="s">
        <v>172</v>
      </c>
      <c r="D115">
        <v>51</v>
      </c>
    </row>
    <row r="116" spans="1:4" x14ac:dyDescent="0.25">
      <c r="A116" s="1">
        <v>42753</v>
      </c>
      <c r="B116" s="2" t="s">
        <v>114</v>
      </c>
      <c r="C116" s="2" t="s">
        <v>173</v>
      </c>
      <c r="D116">
        <v>8</v>
      </c>
    </row>
    <row r="117" spans="1:4" x14ac:dyDescent="0.25">
      <c r="A117" s="1">
        <v>42753</v>
      </c>
      <c r="B117" s="2" t="s">
        <v>174</v>
      </c>
      <c r="C117" s="2" t="s">
        <v>175</v>
      </c>
      <c r="D117">
        <v>22</v>
      </c>
    </row>
    <row r="118" spans="1:4" x14ac:dyDescent="0.25">
      <c r="A118" s="1">
        <v>42753</v>
      </c>
      <c r="B118" s="2" t="s">
        <v>176</v>
      </c>
      <c r="C118" s="2" t="s">
        <v>177</v>
      </c>
      <c r="D118">
        <v>15</v>
      </c>
    </row>
    <row r="119" spans="1:4" x14ac:dyDescent="0.25">
      <c r="A119" s="1">
        <v>42753</v>
      </c>
      <c r="B119" s="2" t="s">
        <v>178</v>
      </c>
      <c r="C119" s="2" t="s">
        <v>179</v>
      </c>
      <c r="D119">
        <v>10</v>
      </c>
    </row>
    <row r="120" spans="1:4" x14ac:dyDescent="0.25">
      <c r="A120" s="1">
        <v>42754</v>
      </c>
      <c r="B120" s="2" t="s">
        <v>36</v>
      </c>
      <c r="C120" s="2" t="s">
        <v>180</v>
      </c>
      <c r="D120">
        <v>21</v>
      </c>
    </row>
    <row r="121" spans="1:4" x14ac:dyDescent="0.25">
      <c r="A121" s="1">
        <v>42754</v>
      </c>
      <c r="B121" s="2" t="s">
        <v>97</v>
      </c>
      <c r="C121" s="2" t="s">
        <v>181</v>
      </c>
      <c r="D121">
        <v>34</v>
      </c>
    </row>
    <row r="122" spans="1:4" x14ac:dyDescent="0.25">
      <c r="A122" s="1">
        <v>42754</v>
      </c>
      <c r="B122" s="2" t="s">
        <v>34</v>
      </c>
      <c r="C122" s="2" t="s">
        <v>182</v>
      </c>
      <c r="D122">
        <v>43</v>
      </c>
    </row>
    <row r="123" spans="1:4" x14ac:dyDescent="0.25">
      <c r="A123" s="1">
        <v>42754</v>
      </c>
      <c r="B123" s="2" t="s">
        <v>114</v>
      </c>
      <c r="C123" s="2" t="s">
        <v>173</v>
      </c>
      <c r="D123">
        <v>24</v>
      </c>
    </row>
    <row r="124" spans="1:4" x14ac:dyDescent="0.25">
      <c r="A124" s="1">
        <v>42754</v>
      </c>
      <c r="B124" s="2" t="s">
        <v>117</v>
      </c>
      <c r="C124" s="2" t="s">
        <v>183</v>
      </c>
      <c r="D124">
        <v>29</v>
      </c>
    </row>
    <row r="125" spans="1:4" x14ac:dyDescent="0.25">
      <c r="A125" s="1">
        <v>42754</v>
      </c>
      <c r="B125" s="2" t="s">
        <v>55</v>
      </c>
      <c r="C125" s="2" t="s">
        <v>184</v>
      </c>
      <c r="D125">
        <v>5</v>
      </c>
    </row>
    <row r="126" spans="1:4" x14ac:dyDescent="0.25">
      <c r="A126" s="1">
        <v>42754</v>
      </c>
      <c r="B126" s="2" t="s">
        <v>41</v>
      </c>
      <c r="C126" s="2" t="s">
        <v>42</v>
      </c>
      <c r="D126">
        <v>54</v>
      </c>
    </row>
    <row r="127" spans="1:4" x14ac:dyDescent="0.25">
      <c r="A127" s="1">
        <v>42754</v>
      </c>
      <c r="B127" s="2" t="s">
        <v>30</v>
      </c>
      <c r="C127" s="2" t="s">
        <v>185</v>
      </c>
      <c r="D127">
        <v>29</v>
      </c>
    </row>
    <row r="128" spans="1:4" x14ac:dyDescent="0.25">
      <c r="A128" s="1">
        <v>42754</v>
      </c>
      <c r="B128" s="2" t="s">
        <v>155</v>
      </c>
      <c r="C128" s="2" t="s">
        <v>186</v>
      </c>
      <c r="D128">
        <v>4</v>
      </c>
    </row>
    <row r="129" spans="1:4" x14ac:dyDescent="0.25">
      <c r="A129" s="1">
        <v>42755</v>
      </c>
      <c r="B129" s="2" t="s">
        <v>101</v>
      </c>
      <c r="C129" s="2" t="s">
        <v>187</v>
      </c>
      <c r="D129">
        <v>12</v>
      </c>
    </row>
    <row r="130" spans="1:4" x14ac:dyDescent="0.25">
      <c r="A130" s="1">
        <v>42755</v>
      </c>
      <c r="B130" s="2" t="s">
        <v>97</v>
      </c>
      <c r="C130" s="2" t="s">
        <v>181</v>
      </c>
      <c r="D130">
        <v>14</v>
      </c>
    </row>
    <row r="131" spans="1:4" x14ac:dyDescent="0.25">
      <c r="A131" s="1">
        <v>42755</v>
      </c>
      <c r="B131" s="2" t="s">
        <v>97</v>
      </c>
      <c r="C131" s="2" t="s">
        <v>188</v>
      </c>
      <c r="D131">
        <v>46</v>
      </c>
    </row>
    <row r="132" spans="1:4" x14ac:dyDescent="0.25">
      <c r="A132" s="1">
        <v>42755</v>
      </c>
      <c r="B132" s="2" t="s">
        <v>189</v>
      </c>
      <c r="C132" s="2" t="s">
        <v>190</v>
      </c>
      <c r="D132">
        <v>13</v>
      </c>
    </row>
    <row r="133" spans="1:4" x14ac:dyDescent="0.25">
      <c r="A133" s="1">
        <v>42755</v>
      </c>
      <c r="B133" s="2" t="s">
        <v>53</v>
      </c>
      <c r="C133" s="2" t="s">
        <v>191</v>
      </c>
      <c r="D133">
        <v>15</v>
      </c>
    </row>
    <row r="134" spans="1:4" x14ac:dyDescent="0.25">
      <c r="A134" s="1">
        <v>42755</v>
      </c>
      <c r="B134" s="2" t="s">
        <v>47</v>
      </c>
      <c r="C134" s="2" t="s">
        <v>192</v>
      </c>
      <c r="D134">
        <v>38</v>
      </c>
    </row>
    <row r="135" spans="1:4" x14ac:dyDescent="0.25">
      <c r="A135" s="1">
        <v>42755</v>
      </c>
      <c r="B135" s="2" t="s">
        <v>193</v>
      </c>
      <c r="C135" s="2" t="s">
        <v>194</v>
      </c>
      <c r="D135">
        <v>27</v>
      </c>
    </row>
    <row r="136" spans="1:4" x14ac:dyDescent="0.25">
      <c r="A136" s="1">
        <v>42755</v>
      </c>
      <c r="B136" s="2" t="s">
        <v>87</v>
      </c>
      <c r="C136" s="2" t="s">
        <v>88</v>
      </c>
      <c r="D136">
        <v>49</v>
      </c>
    </row>
    <row r="137" spans="1:4" x14ac:dyDescent="0.25">
      <c r="A137" s="1">
        <v>42755</v>
      </c>
      <c r="B137" s="2" t="s">
        <v>51</v>
      </c>
      <c r="C137" s="2" t="s">
        <v>52</v>
      </c>
      <c r="D137">
        <v>17</v>
      </c>
    </row>
    <row r="138" spans="1:4" x14ac:dyDescent="0.25">
      <c r="A138" s="1">
        <v>42758</v>
      </c>
      <c r="B138" s="2" t="s">
        <v>195</v>
      </c>
      <c r="C138" s="2" t="s">
        <v>196</v>
      </c>
      <c r="D138">
        <v>10</v>
      </c>
    </row>
    <row r="139" spans="1:4" x14ac:dyDescent="0.25">
      <c r="A139" s="1">
        <v>42758</v>
      </c>
      <c r="B139" s="2" t="s">
        <v>101</v>
      </c>
      <c r="C139" s="2" t="s">
        <v>187</v>
      </c>
      <c r="D139">
        <v>12</v>
      </c>
    </row>
    <row r="140" spans="1:4" x14ac:dyDescent="0.25">
      <c r="A140" s="1">
        <v>42758</v>
      </c>
      <c r="B140" s="2" t="s">
        <v>4</v>
      </c>
      <c r="C140" s="2" t="s">
        <v>197</v>
      </c>
      <c r="D140">
        <v>42</v>
      </c>
    </row>
    <row r="141" spans="1:4" x14ac:dyDescent="0.25">
      <c r="A141" s="1">
        <v>42758</v>
      </c>
      <c r="B141" s="2" t="s">
        <v>198</v>
      </c>
      <c r="C141" s="2" t="s">
        <v>199</v>
      </c>
      <c r="D141">
        <v>25</v>
      </c>
    </row>
    <row r="142" spans="1:4" x14ac:dyDescent="0.25">
      <c r="A142" s="1">
        <v>42758</v>
      </c>
      <c r="B142" s="2" t="s">
        <v>117</v>
      </c>
      <c r="C142" s="2" t="s">
        <v>118</v>
      </c>
      <c r="D142">
        <v>47</v>
      </c>
    </row>
    <row r="143" spans="1:4" x14ac:dyDescent="0.25">
      <c r="A143" s="1">
        <v>42758</v>
      </c>
      <c r="B143" s="2" t="s">
        <v>150</v>
      </c>
      <c r="C143" s="2" t="s">
        <v>200</v>
      </c>
      <c r="D143">
        <v>14</v>
      </c>
    </row>
    <row r="144" spans="1:4" x14ac:dyDescent="0.25">
      <c r="A144" s="1">
        <v>42758</v>
      </c>
      <c r="B144" s="2" t="s">
        <v>201</v>
      </c>
      <c r="C144" s="2" t="s">
        <v>202</v>
      </c>
      <c r="D144">
        <v>6</v>
      </c>
    </row>
    <row r="145" spans="1:4" x14ac:dyDescent="0.25">
      <c r="A145" s="1">
        <v>42758</v>
      </c>
      <c r="B145" s="2" t="s">
        <v>203</v>
      </c>
      <c r="C145" s="2" t="s">
        <v>204</v>
      </c>
      <c r="D145">
        <v>55</v>
      </c>
    </row>
    <row r="146" spans="1:4" x14ac:dyDescent="0.25">
      <c r="A146" s="1">
        <v>42758</v>
      </c>
      <c r="B146" s="2" t="s">
        <v>65</v>
      </c>
      <c r="C146" s="2" t="s">
        <v>205</v>
      </c>
      <c r="D146">
        <v>22</v>
      </c>
    </row>
    <row r="147" spans="1:4" x14ac:dyDescent="0.25">
      <c r="A147" s="1">
        <v>42759</v>
      </c>
      <c r="B147" s="2" t="s">
        <v>206</v>
      </c>
      <c r="C147" s="2" t="s">
        <v>192</v>
      </c>
      <c r="D147">
        <v>45</v>
      </c>
    </row>
    <row r="148" spans="1:4" x14ac:dyDescent="0.25">
      <c r="A148" s="1">
        <v>42759</v>
      </c>
      <c r="B148" s="2" t="s">
        <v>4</v>
      </c>
      <c r="C148" s="2" t="s">
        <v>207</v>
      </c>
      <c r="D148">
        <v>20</v>
      </c>
    </row>
    <row r="149" spans="1:4" x14ac:dyDescent="0.25">
      <c r="A149" s="1">
        <v>42759</v>
      </c>
      <c r="B149" s="2" t="s">
        <v>208</v>
      </c>
      <c r="C149" s="2" t="s">
        <v>209</v>
      </c>
      <c r="D149">
        <v>52</v>
      </c>
    </row>
    <row r="150" spans="1:4" x14ac:dyDescent="0.25">
      <c r="A150" s="1">
        <v>42759</v>
      </c>
      <c r="B150" s="2" t="s">
        <v>65</v>
      </c>
      <c r="C150" s="2" t="s">
        <v>210</v>
      </c>
      <c r="D150">
        <v>47</v>
      </c>
    </row>
    <row r="151" spans="1:4" x14ac:dyDescent="0.25">
      <c r="A151" s="1">
        <v>42759</v>
      </c>
      <c r="B151" s="2" t="s">
        <v>150</v>
      </c>
      <c r="C151" s="2" t="s">
        <v>211</v>
      </c>
      <c r="D151">
        <v>13</v>
      </c>
    </row>
    <row r="152" spans="1:4" x14ac:dyDescent="0.25">
      <c r="A152" s="1">
        <v>42759</v>
      </c>
      <c r="B152" s="2" t="s">
        <v>101</v>
      </c>
      <c r="C152" s="2" t="s">
        <v>212</v>
      </c>
      <c r="D152">
        <v>23</v>
      </c>
    </row>
    <row r="153" spans="1:4" x14ac:dyDescent="0.25">
      <c r="A153" s="1">
        <v>42759</v>
      </c>
      <c r="B153" s="2" t="s">
        <v>27</v>
      </c>
      <c r="C153" s="2" t="s">
        <v>28</v>
      </c>
      <c r="D153">
        <v>11</v>
      </c>
    </row>
    <row r="154" spans="1:4" x14ac:dyDescent="0.25">
      <c r="A154" s="1">
        <v>42759</v>
      </c>
      <c r="B154" s="2" t="s">
        <v>141</v>
      </c>
      <c r="C154" s="2" t="s">
        <v>142</v>
      </c>
      <c r="D154">
        <v>35</v>
      </c>
    </row>
    <row r="155" spans="1:4" x14ac:dyDescent="0.25">
      <c r="A155" s="1">
        <v>42759</v>
      </c>
      <c r="B155" s="2" t="s">
        <v>75</v>
      </c>
      <c r="C155" s="2" t="s">
        <v>213</v>
      </c>
      <c r="D155">
        <v>42</v>
      </c>
    </row>
    <row r="156" spans="1:4" x14ac:dyDescent="0.25">
      <c r="A156" s="1">
        <v>42760</v>
      </c>
      <c r="B156" s="2" t="s">
        <v>161</v>
      </c>
      <c r="C156" s="2" t="s">
        <v>214</v>
      </c>
      <c r="D156">
        <v>15</v>
      </c>
    </row>
    <row r="157" spans="1:4" x14ac:dyDescent="0.25">
      <c r="A157" s="1">
        <v>42760</v>
      </c>
      <c r="B157" s="2" t="s">
        <v>193</v>
      </c>
      <c r="C157" s="2" t="s">
        <v>215</v>
      </c>
      <c r="D157">
        <v>9</v>
      </c>
    </row>
    <row r="158" spans="1:4" x14ac:dyDescent="0.25">
      <c r="A158" s="1">
        <v>42760</v>
      </c>
      <c r="B158" s="2" t="s">
        <v>119</v>
      </c>
      <c r="C158" s="2" t="s">
        <v>216</v>
      </c>
      <c r="D158">
        <v>33</v>
      </c>
    </row>
    <row r="159" spans="1:4" x14ac:dyDescent="0.25">
      <c r="A159" s="1">
        <v>42760</v>
      </c>
      <c r="B159" s="2" t="s">
        <v>27</v>
      </c>
      <c r="C159" s="2" t="s">
        <v>94</v>
      </c>
      <c r="D159">
        <v>17</v>
      </c>
    </row>
    <row r="160" spans="1:4" x14ac:dyDescent="0.25">
      <c r="A160" s="1">
        <v>42760</v>
      </c>
      <c r="B160" s="2" t="s">
        <v>95</v>
      </c>
      <c r="C160" s="2" t="s">
        <v>96</v>
      </c>
      <c r="D160">
        <v>11</v>
      </c>
    </row>
    <row r="161" spans="1:4" x14ac:dyDescent="0.25">
      <c r="A161" s="1">
        <v>42760</v>
      </c>
      <c r="B161" s="2" t="s">
        <v>217</v>
      </c>
      <c r="C161" s="2" t="s">
        <v>218</v>
      </c>
      <c r="D161">
        <v>19</v>
      </c>
    </row>
    <row r="162" spans="1:4" x14ac:dyDescent="0.25">
      <c r="A162" s="1">
        <v>42760</v>
      </c>
      <c r="B162" s="2" t="s">
        <v>32</v>
      </c>
      <c r="C162" s="2" t="s">
        <v>33</v>
      </c>
      <c r="D162">
        <v>14</v>
      </c>
    </row>
    <row r="163" spans="1:4" x14ac:dyDescent="0.25">
      <c r="A163" s="1">
        <v>42760</v>
      </c>
      <c r="B163" s="2" t="s">
        <v>23</v>
      </c>
      <c r="C163" s="2" t="s">
        <v>163</v>
      </c>
      <c r="D163">
        <v>6</v>
      </c>
    </row>
    <row r="164" spans="1:4" x14ac:dyDescent="0.25">
      <c r="A164" s="1">
        <v>42760</v>
      </c>
      <c r="B164" s="2" t="s">
        <v>61</v>
      </c>
      <c r="C164" s="2" t="s">
        <v>62</v>
      </c>
      <c r="D164">
        <v>47</v>
      </c>
    </row>
    <row r="165" spans="1:4" x14ac:dyDescent="0.25">
      <c r="A165" s="1">
        <v>42760</v>
      </c>
      <c r="B165" s="2" t="s">
        <v>219</v>
      </c>
      <c r="C165" s="2" t="s">
        <v>220</v>
      </c>
      <c r="D165">
        <v>4</v>
      </c>
    </row>
    <row r="166" spans="1:4" x14ac:dyDescent="0.25">
      <c r="A166" s="1">
        <v>42760</v>
      </c>
      <c r="B166" s="2" t="s">
        <v>221</v>
      </c>
      <c r="C166" s="2" t="s">
        <v>222</v>
      </c>
      <c r="D166">
        <v>45</v>
      </c>
    </row>
    <row r="167" spans="1:4" x14ac:dyDescent="0.25">
      <c r="A167" s="1">
        <v>42761</v>
      </c>
      <c r="B167" s="2" t="s">
        <v>14</v>
      </c>
      <c r="C167" s="2" t="s">
        <v>15</v>
      </c>
      <c r="D167">
        <v>39</v>
      </c>
    </row>
    <row r="168" spans="1:4" x14ac:dyDescent="0.25">
      <c r="A168" s="1">
        <v>42761</v>
      </c>
      <c r="B168" s="2" t="s">
        <v>101</v>
      </c>
      <c r="C168" s="2" t="s">
        <v>223</v>
      </c>
      <c r="D168">
        <v>34</v>
      </c>
    </row>
    <row r="169" spans="1:4" x14ac:dyDescent="0.25">
      <c r="A169" s="1">
        <v>42761</v>
      </c>
      <c r="B169" s="2" t="s">
        <v>195</v>
      </c>
      <c r="C169" s="2" t="s">
        <v>224</v>
      </c>
      <c r="D169">
        <v>9</v>
      </c>
    </row>
    <row r="170" spans="1:4" x14ac:dyDescent="0.25">
      <c r="A170" s="1">
        <v>42761</v>
      </c>
      <c r="B170" s="2" t="s">
        <v>225</v>
      </c>
      <c r="C170" s="2" t="s">
        <v>226</v>
      </c>
      <c r="D170">
        <v>23</v>
      </c>
    </row>
    <row r="171" spans="1:4" x14ac:dyDescent="0.25">
      <c r="A171" s="1">
        <v>42761</v>
      </c>
      <c r="B171" s="2" t="s">
        <v>34</v>
      </c>
      <c r="C171" s="2" t="s">
        <v>160</v>
      </c>
      <c r="D171">
        <v>3</v>
      </c>
    </row>
    <row r="172" spans="1:4" x14ac:dyDescent="0.25">
      <c r="A172" s="1">
        <v>42761</v>
      </c>
      <c r="B172" s="2" t="s">
        <v>193</v>
      </c>
      <c r="C172" s="2" t="s">
        <v>227</v>
      </c>
      <c r="D172">
        <v>13</v>
      </c>
    </row>
    <row r="173" spans="1:4" x14ac:dyDescent="0.25">
      <c r="A173" s="1">
        <v>42761</v>
      </c>
      <c r="B173" s="2" t="s">
        <v>193</v>
      </c>
      <c r="C173" s="2" t="s">
        <v>228</v>
      </c>
      <c r="D173">
        <v>16</v>
      </c>
    </row>
    <row r="174" spans="1:4" x14ac:dyDescent="0.25">
      <c r="A174" s="1">
        <v>42761</v>
      </c>
      <c r="B174" s="2" t="s">
        <v>36</v>
      </c>
      <c r="C174" s="2" t="s">
        <v>229</v>
      </c>
      <c r="D174">
        <v>19</v>
      </c>
    </row>
    <row r="175" spans="1:4" x14ac:dyDescent="0.25">
      <c r="A175" s="1">
        <v>42761</v>
      </c>
      <c r="B175" s="2" t="s">
        <v>47</v>
      </c>
      <c r="C175" s="2" t="s">
        <v>230</v>
      </c>
      <c r="D175">
        <v>49</v>
      </c>
    </row>
    <row r="176" spans="1:4" x14ac:dyDescent="0.25">
      <c r="A176" s="1">
        <v>42761</v>
      </c>
      <c r="B176" s="2" t="s">
        <v>63</v>
      </c>
      <c r="C176" s="2" t="s">
        <v>231</v>
      </c>
      <c r="D176">
        <v>45</v>
      </c>
    </row>
    <row r="177" spans="1:4" x14ac:dyDescent="0.25">
      <c r="A177" s="1">
        <v>42761</v>
      </c>
      <c r="B177" s="2" t="s">
        <v>232</v>
      </c>
      <c r="C177" s="2" t="s">
        <v>233</v>
      </c>
      <c r="D177">
        <v>14</v>
      </c>
    </row>
    <row r="178" spans="1:4" x14ac:dyDescent="0.25">
      <c r="A178" s="1">
        <v>42762</v>
      </c>
      <c r="B178" s="2" t="s">
        <v>83</v>
      </c>
      <c r="C178" s="2" t="s">
        <v>110</v>
      </c>
      <c r="D178">
        <v>23</v>
      </c>
    </row>
    <row r="179" spans="1:4" x14ac:dyDescent="0.25">
      <c r="A179" s="1">
        <v>42762</v>
      </c>
      <c r="B179" s="2" t="s">
        <v>234</v>
      </c>
      <c r="C179" s="2" t="s">
        <v>235</v>
      </c>
      <c r="D179">
        <v>42</v>
      </c>
    </row>
    <row r="180" spans="1:4" x14ac:dyDescent="0.25">
      <c r="A180" s="1">
        <v>42762</v>
      </c>
      <c r="B180" s="2" t="s">
        <v>236</v>
      </c>
      <c r="C180" s="2" t="s">
        <v>237</v>
      </c>
      <c r="D180">
        <v>30</v>
      </c>
    </row>
    <row r="181" spans="1:4" x14ac:dyDescent="0.25">
      <c r="A181" s="1">
        <v>42762</v>
      </c>
      <c r="B181" s="2" t="s">
        <v>41</v>
      </c>
      <c r="C181" s="2" t="s">
        <v>238</v>
      </c>
      <c r="D181">
        <v>42</v>
      </c>
    </row>
    <row r="182" spans="1:4" x14ac:dyDescent="0.25">
      <c r="A182" s="1">
        <v>42762</v>
      </c>
      <c r="B182" s="2" t="s">
        <v>12</v>
      </c>
      <c r="C182" s="2" t="s">
        <v>38</v>
      </c>
      <c r="D182">
        <v>29</v>
      </c>
    </row>
    <row r="183" spans="1:4" x14ac:dyDescent="0.25">
      <c r="A183" s="1">
        <v>42762</v>
      </c>
      <c r="B183" s="2" t="s">
        <v>72</v>
      </c>
      <c r="C183" s="2" t="s">
        <v>239</v>
      </c>
      <c r="D183">
        <v>6</v>
      </c>
    </row>
    <row r="184" spans="1:4" x14ac:dyDescent="0.25">
      <c r="A184" s="1">
        <v>42762</v>
      </c>
      <c r="B184" s="2" t="s">
        <v>106</v>
      </c>
      <c r="C184" s="2" t="s">
        <v>240</v>
      </c>
      <c r="D184">
        <v>17</v>
      </c>
    </row>
    <row r="185" spans="1:4" x14ac:dyDescent="0.25">
      <c r="A185" s="1">
        <v>42762</v>
      </c>
      <c r="B185" s="2" t="s">
        <v>30</v>
      </c>
      <c r="C185" s="2" t="s">
        <v>241</v>
      </c>
      <c r="D185">
        <v>41</v>
      </c>
    </row>
    <row r="186" spans="1:4" x14ac:dyDescent="0.25">
      <c r="A186" s="1">
        <v>42762</v>
      </c>
      <c r="B186" s="2" t="s">
        <v>178</v>
      </c>
      <c r="C186" s="2" t="s">
        <v>242</v>
      </c>
      <c r="D186">
        <v>23</v>
      </c>
    </row>
    <row r="187" spans="1:4" x14ac:dyDescent="0.25">
      <c r="A187" s="1">
        <v>42762</v>
      </c>
      <c r="B187" s="2" t="s">
        <v>53</v>
      </c>
      <c r="C187" s="2" t="s">
        <v>191</v>
      </c>
      <c r="D187">
        <v>4</v>
      </c>
    </row>
    <row r="188" spans="1:4" x14ac:dyDescent="0.25">
      <c r="A188" s="1">
        <v>42762</v>
      </c>
      <c r="B188" s="2" t="s">
        <v>243</v>
      </c>
      <c r="C188" s="2" t="s">
        <v>82</v>
      </c>
      <c r="D188">
        <v>52</v>
      </c>
    </row>
    <row r="189" spans="1:4" x14ac:dyDescent="0.25">
      <c r="A189" s="1">
        <v>42765</v>
      </c>
      <c r="B189" s="2" t="s">
        <v>59</v>
      </c>
      <c r="C189" s="2" t="s">
        <v>60</v>
      </c>
      <c r="D189">
        <v>7</v>
      </c>
    </row>
    <row r="190" spans="1:4" x14ac:dyDescent="0.25">
      <c r="A190" s="1">
        <v>42765</v>
      </c>
      <c r="B190" s="2" t="s">
        <v>18</v>
      </c>
      <c r="C190" s="2" t="s">
        <v>74</v>
      </c>
      <c r="D190">
        <v>33</v>
      </c>
    </row>
    <row r="191" spans="1:4" x14ac:dyDescent="0.25">
      <c r="A191" s="1">
        <v>42765</v>
      </c>
      <c r="B191" s="2" t="s">
        <v>244</v>
      </c>
      <c r="C191" s="2" t="s">
        <v>245</v>
      </c>
      <c r="D191">
        <v>55</v>
      </c>
    </row>
    <row r="192" spans="1:4" x14ac:dyDescent="0.25">
      <c r="A192" s="1">
        <v>42765</v>
      </c>
      <c r="B192" s="2" t="s">
        <v>246</v>
      </c>
      <c r="C192" s="2" t="s">
        <v>247</v>
      </c>
      <c r="D192">
        <v>13</v>
      </c>
    </row>
    <row r="193" spans="1:4" x14ac:dyDescent="0.25">
      <c r="A193" s="1">
        <v>42765</v>
      </c>
      <c r="B193" s="2" t="s">
        <v>248</v>
      </c>
      <c r="C193" s="2" t="s">
        <v>249</v>
      </c>
      <c r="D193">
        <v>2</v>
      </c>
    </row>
    <row r="194" spans="1:4" x14ac:dyDescent="0.25">
      <c r="A194" s="1">
        <v>42765</v>
      </c>
      <c r="B194" s="2" t="s">
        <v>81</v>
      </c>
      <c r="C194" s="2" t="s">
        <v>82</v>
      </c>
      <c r="D194">
        <v>19</v>
      </c>
    </row>
    <row r="195" spans="1:4" x14ac:dyDescent="0.25">
      <c r="A195" s="1">
        <v>42765</v>
      </c>
      <c r="B195" s="2" t="s">
        <v>128</v>
      </c>
      <c r="C195" s="2" t="s">
        <v>250</v>
      </c>
      <c r="D195">
        <v>28</v>
      </c>
    </row>
    <row r="196" spans="1:4" x14ac:dyDescent="0.25">
      <c r="A196" s="1">
        <v>42765</v>
      </c>
      <c r="B196" s="2" t="s">
        <v>87</v>
      </c>
      <c r="C196" s="2" t="s">
        <v>251</v>
      </c>
      <c r="D196">
        <v>43</v>
      </c>
    </row>
    <row r="197" spans="1:4" x14ac:dyDescent="0.25">
      <c r="A197" s="1">
        <v>42765</v>
      </c>
      <c r="B197" s="2" t="s">
        <v>252</v>
      </c>
      <c r="C197" s="2" t="s">
        <v>253</v>
      </c>
      <c r="D197">
        <v>20</v>
      </c>
    </row>
    <row r="198" spans="1:4" x14ac:dyDescent="0.25">
      <c r="A198" s="1">
        <v>42765</v>
      </c>
      <c r="B198" s="2" t="s">
        <v>219</v>
      </c>
      <c r="C198" s="2" t="s">
        <v>254</v>
      </c>
      <c r="D198">
        <v>22</v>
      </c>
    </row>
    <row r="199" spans="1:4" x14ac:dyDescent="0.25">
      <c r="A199" s="1">
        <v>42765</v>
      </c>
      <c r="B199" s="2" t="s">
        <v>87</v>
      </c>
      <c r="C199" s="2" t="s">
        <v>255</v>
      </c>
      <c r="D199">
        <v>9</v>
      </c>
    </row>
    <row r="200" spans="1:4" x14ac:dyDescent="0.25">
      <c r="A200" s="1">
        <v>42766</v>
      </c>
      <c r="B200" s="2" t="s">
        <v>12</v>
      </c>
      <c r="C200" s="2" t="s">
        <v>13</v>
      </c>
      <c r="D200">
        <v>26</v>
      </c>
    </row>
    <row r="201" spans="1:4" x14ac:dyDescent="0.25">
      <c r="A201" s="1">
        <v>42766</v>
      </c>
      <c r="B201" s="2" t="s">
        <v>47</v>
      </c>
      <c r="C201" s="2" t="s">
        <v>256</v>
      </c>
      <c r="D201">
        <v>38</v>
      </c>
    </row>
    <row r="202" spans="1:4" x14ac:dyDescent="0.25">
      <c r="A202" s="1">
        <v>42766</v>
      </c>
      <c r="B202" s="2" t="s">
        <v>55</v>
      </c>
      <c r="C202" s="2" t="s">
        <v>199</v>
      </c>
      <c r="D202">
        <v>40</v>
      </c>
    </row>
    <row r="203" spans="1:4" x14ac:dyDescent="0.25">
      <c r="A203" s="1">
        <v>42766</v>
      </c>
      <c r="B203" s="2" t="s">
        <v>152</v>
      </c>
      <c r="C203" s="2" t="s">
        <v>257</v>
      </c>
      <c r="D203">
        <v>56</v>
      </c>
    </row>
    <row r="204" spans="1:4" x14ac:dyDescent="0.25">
      <c r="A204" s="1">
        <v>42766</v>
      </c>
      <c r="B204" s="2" t="s">
        <v>150</v>
      </c>
      <c r="C204" s="2" t="s">
        <v>258</v>
      </c>
      <c r="D204">
        <v>18</v>
      </c>
    </row>
    <row r="205" spans="1:4" x14ac:dyDescent="0.25">
      <c r="A205" s="1">
        <v>42766</v>
      </c>
      <c r="B205" s="2" t="s">
        <v>101</v>
      </c>
      <c r="C205" s="2" t="s">
        <v>102</v>
      </c>
      <c r="D205">
        <v>14</v>
      </c>
    </row>
    <row r="206" spans="1:4" x14ac:dyDescent="0.25">
      <c r="A206" s="1">
        <v>42766</v>
      </c>
      <c r="B206" s="2" t="s">
        <v>87</v>
      </c>
      <c r="C206" s="2" t="s">
        <v>259</v>
      </c>
      <c r="D206">
        <v>16</v>
      </c>
    </row>
    <row r="207" spans="1:4" x14ac:dyDescent="0.25">
      <c r="A207" s="1">
        <v>42766</v>
      </c>
      <c r="B207" s="2" t="s">
        <v>141</v>
      </c>
      <c r="C207" s="2" t="s">
        <v>260</v>
      </c>
      <c r="D207">
        <v>41</v>
      </c>
    </row>
    <row r="208" spans="1:4" x14ac:dyDescent="0.25">
      <c r="A208" s="1">
        <v>42766</v>
      </c>
      <c r="B208" s="2" t="s">
        <v>261</v>
      </c>
      <c r="C208" s="2" t="s">
        <v>262</v>
      </c>
      <c r="D208">
        <v>52</v>
      </c>
    </row>
    <row r="209" spans="1:4" x14ac:dyDescent="0.25">
      <c r="A209" s="1">
        <v>42766</v>
      </c>
      <c r="B209" s="2" t="s">
        <v>101</v>
      </c>
      <c r="C209" s="2" t="s">
        <v>263</v>
      </c>
      <c r="D209">
        <v>50</v>
      </c>
    </row>
    <row r="210" spans="1:4" x14ac:dyDescent="0.25">
      <c r="A210" s="1">
        <v>42766</v>
      </c>
      <c r="B210" s="2" t="s">
        <v>75</v>
      </c>
      <c r="C210" s="2" t="s">
        <v>264</v>
      </c>
      <c r="D210">
        <v>34</v>
      </c>
    </row>
    <row r="211" spans="1:4" x14ac:dyDescent="0.25">
      <c r="A211" s="1">
        <v>42767</v>
      </c>
      <c r="B211" s="2" t="s">
        <v>55</v>
      </c>
      <c r="C211" s="2" t="s">
        <v>265</v>
      </c>
      <c r="D211">
        <v>17</v>
      </c>
    </row>
    <row r="212" spans="1:4" x14ac:dyDescent="0.25">
      <c r="A212" s="1">
        <v>42767</v>
      </c>
      <c r="B212" s="2" t="s">
        <v>10</v>
      </c>
      <c r="C212" s="2" t="s">
        <v>266</v>
      </c>
      <c r="D212">
        <v>3</v>
      </c>
    </row>
    <row r="213" spans="1:4" x14ac:dyDescent="0.25">
      <c r="A213" s="1">
        <v>42767</v>
      </c>
      <c r="B213" s="2" t="s">
        <v>267</v>
      </c>
      <c r="C213" s="2" t="s">
        <v>268</v>
      </c>
      <c r="D213">
        <v>3</v>
      </c>
    </row>
    <row r="214" spans="1:4" x14ac:dyDescent="0.25">
      <c r="A214" s="1">
        <v>42767</v>
      </c>
      <c r="B214" s="2" t="s">
        <v>161</v>
      </c>
      <c r="C214" s="2" t="s">
        <v>214</v>
      </c>
      <c r="D214">
        <v>26</v>
      </c>
    </row>
    <row r="215" spans="1:4" x14ac:dyDescent="0.25">
      <c r="A215" s="1">
        <v>42767</v>
      </c>
      <c r="B215" s="2" t="s">
        <v>61</v>
      </c>
      <c r="C215" s="2" t="s">
        <v>62</v>
      </c>
      <c r="D215">
        <v>3</v>
      </c>
    </row>
    <row r="216" spans="1:4" x14ac:dyDescent="0.25">
      <c r="A216" s="1">
        <v>42767</v>
      </c>
      <c r="B216" s="2" t="s">
        <v>269</v>
      </c>
      <c r="C216" s="2" t="s">
        <v>270</v>
      </c>
      <c r="D216">
        <v>20</v>
      </c>
    </row>
    <row r="217" spans="1:4" x14ac:dyDescent="0.25">
      <c r="A217" s="1">
        <v>42767</v>
      </c>
      <c r="B217" s="2" t="s">
        <v>271</v>
      </c>
      <c r="C217" s="2" t="s">
        <v>272</v>
      </c>
      <c r="D217">
        <v>23</v>
      </c>
    </row>
    <row r="218" spans="1:4" x14ac:dyDescent="0.25">
      <c r="A218" s="1">
        <v>42767</v>
      </c>
      <c r="B218" s="2" t="s">
        <v>273</v>
      </c>
      <c r="C218" s="2" t="s">
        <v>274</v>
      </c>
      <c r="D218">
        <v>24</v>
      </c>
    </row>
    <row r="219" spans="1:4" x14ac:dyDescent="0.25">
      <c r="A219" s="1">
        <v>42767</v>
      </c>
      <c r="B219" s="2" t="s">
        <v>275</v>
      </c>
      <c r="C219" s="2" t="s">
        <v>276</v>
      </c>
      <c r="D219">
        <v>17</v>
      </c>
    </row>
    <row r="220" spans="1:4" x14ac:dyDescent="0.25">
      <c r="A220" s="1">
        <v>42767</v>
      </c>
      <c r="B220" s="2" t="s">
        <v>106</v>
      </c>
      <c r="C220" s="2" t="s">
        <v>277</v>
      </c>
      <c r="D220">
        <v>6</v>
      </c>
    </row>
    <row r="221" spans="1:4" x14ac:dyDescent="0.25">
      <c r="A221" s="1">
        <v>42767</v>
      </c>
      <c r="B221" s="2" t="s">
        <v>278</v>
      </c>
      <c r="C221" s="2" t="s">
        <v>279</v>
      </c>
      <c r="D221">
        <v>47</v>
      </c>
    </row>
    <row r="222" spans="1:4" x14ac:dyDescent="0.25">
      <c r="A222" s="1">
        <v>42768</v>
      </c>
      <c r="B222" s="2" t="s">
        <v>280</v>
      </c>
      <c r="C222" s="2" t="s">
        <v>281</v>
      </c>
      <c r="D222">
        <v>25</v>
      </c>
    </row>
    <row r="223" spans="1:4" x14ac:dyDescent="0.25">
      <c r="A223" s="1">
        <v>42768</v>
      </c>
      <c r="B223" s="2" t="s">
        <v>282</v>
      </c>
      <c r="C223" s="2" t="s">
        <v>283</v>
      </c>
      <c r="D223">
        <v>20</v>
      </c>
    </row>
    <row r="224" spans="1:4" x14ac:dyDescent="0.25">
      <c r="A224" s="1">
        <v>42768</v>
      </c>
      <c r="B224" s="2" t="s">
        <v>284</v>
      </c>
      <c r="C224" s="2" t="s">
        <v>285</v>
      </c>
      <c r="D224">
        <v>6</v>
      </c>
    </row>
    <row r="225" spans="1:4" x14ac:dyDescent="0.25">
      <c r="A225" s="1">
        <v>42768</v>
      </c>
      <c r="B225" s="2" t="s">
        <v>69</v>
      </c>
      <c r="C225" s="2" t="s">
        <v>286</v>
      </c>
      <c r="D225">
        <v>16</v>
      </c>
    </row>
    <row r="226" spans="1:4" x14ac:dyDescent="0.25">
      <c r="A226" s="1">
        <v>42768</v>
      </c>
      <c r="B226" s="2" t="s">
        <v>267</v>
      </c>
      <c r="C226" s="2" t="s">
        <v>287</v>
      </c>
      <c r="D226">
        <v>16</v>
      </c>
    </row>
    <row r="227" spans="1:4" x14ac:dyDescent="0.25">
      <c r="A227" s="1">
        <v>42768</v>
      </c>
      <c r="B227" s="2" t="s">
        <v>252</v>
      </c>
      <c r="C227" s="2" t="s">
        <v>288</v>
      </c>
      <c r="D227">
        <v>8</v>
      </c>
    </row>
    <row r="228" spans="1:4" x14ac:dyDescent="0.25">
      <c r="A228" s="1">
        <v>42768</v>
      </c>
      <c r="B228" s="2" t="s">
        <v>178</v>
      </c>
      <c r="C228" s="2" t="s">
        <v>242</v>
      </c>
      <c r="D228">
        <v>17</v>
      </c>
    </row>
    <row r="229" spans="1:4" x14ac:dyDescent="0.25">
      <c r="A229" s="1">
        <v>42768</v>
      </c>
      <c r="B229" s="2" t="s">
        <v>39</v>
      </c>
      <c r="C229" s="2" t="s">
        <v>289</v>
      </c>
      <c r="D229">
        <v>8</v>
      </c>
    </row>
    <row r="230" spans="1:4" x14ac:dyDescent="0.25">
      <c r="A230" s="1">
        <v>42768</v>
      </c>
      <c r="B230" s="2" t="s">
        <v>30</v>
      </c>
      <c r="C230" s="2" t="s">
        <v>31</v>
      </c>
      <c r="D230">
        <v>29</v>
      </c>
    </row>
    <row r="231" spans="1:4" x14ac:dyDescent="0.25">
      <c r="A231" s="1">
        <v>42768</v>
      </c>
      <c r="B231" s="2" t="s">
        <v>206</v>
      </c>
      <c r="C231" s="2" t="s">
        <v>227</v>
      </c>
      <c r="D231">
        <v>43</v>
      </c>
    </row>
    <row r="232" spans="1:4" x14ac:dyDescent="0.25">
      <c r="A232" s="1">
        <v>42768</v>
      </c>
      <c r="B232" s="2" t="s">
        <v>290</v>
      </c>
      <c r="C232" s="2" t="s">
        <v>291</v>
      </c>
      <c r="D232">
        <v>17</v>
      </c>
    </row>
    <row r="233" spans="1:4" x14ac:dyDescent="0.25">
      <c r="A233" s="1">
        <v>42769</v>
      </c>
      <c r="B233" s="2" t="s">
        <v>67</v>
      </c>
      <c r="C233" s="2" t="s">
        <v>68</v>
      </c>
      <c r="D233">
        <v>29</v>
      </c>
    </row>
    <row r="234" spans="1:4" x14ac:dyDescent="0.25">
      <c r="A234" s="1">
        <v>42769</v>
      </c>
      <c r="B234" s="2" t="s">
        <v>117</v>
      </c>
      <c r="C234" s="2" t="s">
        <v>183</v>
      </c>
      <c r="D234">
        <v>7</v>
      </c>
    </row>
    <row r="235" spans="1:4" x14ac:dyDescent="0.25">
      <c r="A235" s="1">
        <v>42769</v>
      </c>
      <c r="B235" s="2" t="s">
        <v>141</v>
      </c>
      <c r="C235" s="2" t="s">
        <v>292</v>
      </c>
      <c r="D235">
        <v>16</v>
      </c>
    </row>
    <row r="236" spans="1:4" x14ac:dyDescent="0.25">
      <c r="A236" s="1">
        <v>42769</v>
      </c>
      <c r="B236" s="2" t="s">
        <v>150</v>
      </c>
      <c r="C236" s="2" t="s">
        <v>258</v>
      </c>
      <c r="D236">
        <v>3</v>
      </c>
    </row>
    <row r="237" spans="1:4" x14ac:dyDescent="0.25">
      <c r="A237" s="1">
        <v>42769</v>
      </c>
      <c r="B237" s="2" t="s">
        <v>12</v>
      </c>
      <c r="C237" s="2" t="s">
        <v>13</v>
      </c>
      <c r="D237">
        <v>26</v>
      </c>
    </row>
    <row r="238" spans="1:4" x14ac:dyDescent="0.25">
      <c r="A238" s="1">
        <v>42769</v>
      </c>
      <c r="B238" s="2" t="s">
        <v>101</v>
      </c>
      <c r="C238" s="2" t="s">
        <v>293</v>
      </c>
      <c r="D238">
        <v>5</v>
      </c>
    </row>
    <row r="239" spans="1:4" x14ac:dyDescent="0.25">
      <c r="A239" s="1">
        <v>42769</v>
      </c>
      <c r="B239" s="2" t="s">
        <v>39</v>
      </c>
      <c r="C239" s="2" t="s">
        <v>294</v>
      </c>
      <c r="D239">
        <v>16</v>
      </c>
    </row>
    <row r="240" spans="1:4" x14ac:dyDescent="0.25">
      <c r="A240" s="1">
        <v>42769</v>
      </c>
      <c r="B240" s="2" t="s">
        <v>36</v>
      </c>
      <c r="C240" s="2" t="s">
        <v>295</v>
      </c>
      <c r="D240">
        <v>19</v>
      </c>
    </row>
    <row r="241" spans="1:4" x14ac:dyDescent="0.25">
      <c r="A241" s="1">
        <v>42769</v>
      </c>
      <c r="B241" s="2" t="s">
        <v>217</v>
      </c>
      <c r="C241" s="2" t="s">
        <v>218</v>
      </c>
      <c r="D241">
        <v>13</v>
      </c>
    </row>
    <row r="242" spans="1:4" x14ac:dyDescent="0.25">
      <c r="A242" s="1">
        <v>42769</v>
      </c>
      <c r="B242" s="2" t="s">
        <v>206</v>
      </c>
      <c r="C242" s="2" t="s">
        <v>296</v>
      </c>
      <c r="D242">
        <v>8</v>
      </c>
    </row>
    <row r="243" spans="1:4" x14ac:dyDescent="0.25">
      <c r="A243" s="1">
        <v>42769</v>
      </c>
      <c r="B243" s="2" t="s">
        <v>150</v>
      </c>
      <c r="C243" s="2" t="s">
        <v>297</v>
      </c>
      <c r="D243">
        <v>13</v>
      </c>
    </row>
    <row r="244" spans="1:4" x14ac:dyDescent="0.25">
      <c r="A244" s="1">
        <v>42772</v>
      </c>
      <c r="B244" s="2" t="s">
        <v>150</v>
      </c>
      <c r="C244" s="2" t="s">
        <v>298</v>
      </c>
      <c r="D244">
        <v>25</v>
      </c>
    </row>
    <row r="245" spans="1:4" x14ac:dyDescent="0.25">
      <c r="A245" s="1">
        <v>42772</v>
      </c>
      <c r="B245" s="2" t="s">
        <v>299</v>
      </c>
      <c r="C245" s="2" t="s">
        <v>300</v>
      </c>
      <c r="D245">
        <v>25</v>
      </c>
    </row>
    <row r="246" spans="1:4" x14ac:dyDescent="0.25">
      <c r="A246" s="1">
        <v>42772</v>
      </c>
      <c r="B246" s="2" t="s">
        <v>67</v>
      </c>
      <c r="C246" s="2" t="s">
        <v>301</v>
      </c>
      <c r="D246">
        <v>56</v>
      </c>
    </row>
    <row r="247" spans="1:4" x14ac:dyDescent="0.25">
      <c r="A247" s="1">
        <v>42772</v>
      </c>
      <c r="B247" s="2" t="s">
        <v>198</v>
      </c>
      <c r="C247" s="2" t="s">
        <v>199</v>
      </c>
      <c r="D247">
        <v>3</v>
      </c>
    </row>
    <row r="248" spans="1:4" x14ac:dyDescent="0.25">
      <c r="A248" s="1">
        <v>42772</v>
      </c>
      <c r="B248" s="2" t="s">
        <v>41</v>
      </c>
      <c r="C248" s="2" t="s">
        <v>302</v>
      </c>
      <c r="D248">
        <v>18</v>
      </c>
    </row>
    <row r="249" spans="1:4" x14ac:dyDescent="0.25">
      <c r="A249" s="1">
        <v>42772</v>
      </c>
      <c r="B249" s="2" t="s">
        <v>67</v>
      </c>
      <c r="C249" s="2" t="s">
        <v>301</v>
      </c>
      <c r="D249">
        <v>14</v>
      </c>
    </row>
    <row r="250" spans="1:4" x14ac:dyDescent="0.25">
      <c r="A250" s="1">
        <v>42772</v>
      </c>
      <c r="B250" s="2" t="s">
        <v>303</v>
      </c>
      <c r="C250" s="2" t="s">
        <v>304</v>
      </c>
      <c r="D250">
        <v>5</v>
      </c>
    </row>
    <row r="251" spans="1:4" x14ac:dyDescent="0.25">
      <c r="A251" s="1">
        <v>42772</v>
      </c>
      <c r="B251" s="2" t="s">
        <v>161</v>
      </c>
      <c r="C251" s="2" t="s">
        <v>305</v>
      </c>
      <c r="D251">
        <v>3</v>
      </c>
    </row>
    <row r="252" spans="1:4" x14ac:dyDescent="0.25">
      <c r="A252" s="1">
        <v>42772</v>
      </c>
      <c r="B252" s="2" t="s">
        <v>36</v>
      </c>
      <c r="C252" s="2" t="s">
        <v>306</v>
      </c>
      <c r="D252">
        <v>27</v>
      </c>
    </row>
    <row r="253" spans="1:4" x14ac:dyDescent="0.25">
      <c r="A253" s="1">
        <v>42772</v>
      </c>
      <c r="B253" s="2" t="s">
        <v>307</v>
      </c>
      <c r="C253" s="2" t="s">
        <v>308</v>
      </c>
      <c r="D253">
        <v>28</v>
      </c>
    </row>
    <row r="254" spans="1:4" x14ac:dyDescent="0.25">
      <c r="A254" s="1">
        <v>42772</v>
      </c>
      <c r="B254" s="2" t="s">
        <v>128</v>
      </c>
      <c r="C254" s="2" t="s">
        <v>309</v>
      </c>
      <c r="D254">
        <v>2</v>
      </c>
    </row>
    <row r="255" spans="1:4" x14ac:dyDescent="0.25">
      <c r="A255" s="1">
        <v>42773</v>
      </c>
      <c r="B255" s="2" t="s">
        <v>269</v>
      </c>
      <c r="C255" s="2" t="s">
        <v>270</v>
      </c>
      <c r="D255">
        <v>29</v>
      </c>
    </row>
    <row r="256" spans="1:4" x14ac:dyDescent="0.25">
      <c r="A256" s="1">
        <v>42773</v>
      </c>
      <c r="B256" s="2" t="s">
        <v>310</v>
      </c>
      <c r="C256" s="2" t="s">
        <v>311</v>
      </c>
      <c r="D256">
        <v>54</v>
      </c>
    </row>
    <row r="257" spans="1:4" x14ac:dyDescent="0.25">
      <c r="A257" s="1">
        <v>42773</v>
      </c>
      <c r="B257" s="2" t="s">
        <v>312</v>
      </c>
      <c r="C257" s="2" t="s">
        <v>88</v>
      </c>
      <c r="D257">
        <v>4</v>
      </c>
    </row>
    <row r="258" spans="1:4" x14ac:dyDescent="0.25">
      <c r="A258" s="1">
        <v>42773</v>
      </c>
      <c r="B258" s="2" t="s">
        <v>150</v>
      </c>
      <c r="C258" s="2" t="s">
        <v>313</v>
      </c>
      <c r="D258">
        <v>29</v>
      </c>
    </row>
    <row r="259" spans="1:4" x14ac:dyDescent="0.25">
      <c r="A259" s="1">
        <v>42773</v>
      </c>
      <c r="B259" s="2" t="s">
        <v>314</v>
      </c>
      <c r="C259" s="2" t="s">
        <v>315</v>
      </c>
      <c r="D259">
        <v>22</v>
      </c>
    </row>
    <row r="260" spans="1:4" x14ac:dyDescent="0.25">
      <c r="A260" s="1">
        <v>42773</v>
      </c>
      <c r="B260" s="2" t="s">
        <v>150</v>
      </c>
      <c r="C260" s="2" t="s">
        <v>313</v>
      </c>
      <c r="D260">
        <v>6</v>
      </c>
    </row>
    <row r="261" spans="1:4" x14ac:dyDescent="0.25">
      <c r="A261" s="1">
        <v>42773</v>
      </c>
      <c r="B261" s="2" t="s">
        <v>169</v>
      </c>
      <c r="C261" s="2" t="s">
        <v>170</v>
      </c>
      <c r="D261">
        <v>7</v>
      </c>
    </row>
    <row r="262" spans="1:4" x14ac:dyDescent="0.25">
      <c r="A262" s="1">
        <v>42773</v>
      </c>
      <c r="B262" s="2" t="s">
        <v>133</v>
      </c>
      <c r="C262" s="2" t="s">
        <v>316</v>
      </c>
      <c r="D262">
        <v>21</v>
      </c>
    </row>
    <row r="263" spans="1:4" x14ac:dyDescent="0.25">
      <c r="A263" s="1">
        <v>42773</v>
      </c>
      <c r="B263" s="2" t="s">
        <v>39</v>
      </c>
      <c r="C263" s="2" t="s">
        <v>164</v>
      </c>
      <c r="D263">
        <v>19</v>
      </c>
    </row>
    <row r="264" spans="1:4" x14ac:dyDescent="0.25">
      <c r="A264" s="1">
        <v>42773</v>
      </c>
      <c r="B264" s="2" t="s">
        <v>317</v>
      </c>
      <c r="C264" s="2" t="s">
        <v>318</v>
      </c>
      <c r="D264">
        <v>8</v>
      </c>
    </row>
    <row r="265" spans="1:4" x14ac:dyDescent="0.25">
      <c r="A265" s="1">
        <v>42773</v>
      </c>
      <c r="B265" s="2" t="s">
        <v>39</v>
      </c>
      <c r="C265" s="2" t="s">
        <v>40</v>
      </c>
      <c r="D265">
        <v>2</v>
      </c>
    </row>
    <row r="266" spans="1:4" x14ac:dyDescent="0.25">
      <c r="A266" s="1">
        <v>42774</v>
      </c>
      <c r="B266" s="2" t="s">
        <v>267</v>
      </c>
      <c r="C266" s="2" t="s">
        <v>287</v>
      </c>
      <c r="D266">
        <v>45</v>
      </c>
    </row>
    <row r="267" spans="1:4" x14ac:dyDescent="0.25">
      <c r="A267" s="1">
        <v>42774</v>
      </c>
      <c r="B267" s="2" t="s">
        <v>152</v>
      </c>
      <c r="C267" s="2" t="s">
        <v>319</v>
      </c>
      <c r="D267">
        <v>3</v>
      </c>
    </row>
    <row r="268" spans="1:4" x14ac:dyDescent="0.25">
      <c r="A268" s="1">
        <v>42774</v>
      </c>
      <c r="B268" s="2" t="s">
        <v>320</v>
      </c>
      <c r="C268" s="2" t="s">
        <v>321</v>
      </c>
      <c r="D268">
        <v>36</v>
      </c>
    </row>
    <row r="269" spans="1:4" x14ac:dyDescent="0.25">
      <c r="A269" s="1">
        <v>42774</v>
      </c>
      <c r="B269" s="2" t="s">
        <v>152</v>
      </c>
      <c r="C269" s="2" t="s">
        <v>319</v>
      </c>
      <c r="D269">
        <v>9</v>
      </c>
    </row>
    <row r="270" spans="1:4" x14ac:dyDescent="0.25">
      <c r="A270" s="1">
        <v>42774</v>
      </c>
      <c r="B270" s="2" t="s">
        <v>8</v>
      </c>
      <c r="C270" s="2" t="s">
        <v>322</v>
      </c>
      <c r="D270">
        <v>24</v>
      </c>
    </row>
    <row r="271" spans="1:4" x14ac:dyDescent="0.25">
      <c r="A271" s="1">
        <v>42774</v>
      </c>
      <c r="B271" s="2" t="s">
        <v>51</v>
      </c>
      <c r="C271" s="2" t="s">
        <v>52</v>
      </c>
      <c r="D271">
        <v>5</v>
      </c>
    </row>
    <row r="272" spans="1:4" x14ac:dyDescent="0.25">
      <c r="A272" s="1">
        <v>42774</v>
      </c>
      <c r="B272" s="2" t="s">
        <v>323</v>
      </c>
      <c r="C272" s="2" t="s">
        <v>324</v>
      </c>
      <c r="D272">
        <v>22</v>
      </c>
    </row>
    <row r="273" spans="1:4" x14ac:dyDescent="0.25">
      <c r="A273" s="1">
        <v>42774</v>
      </c>
      <c r="B273" s="2" t="s">
        <v>307</v>
      </c>
      <c r="C273" s="2" t="s">
        <v>325</v>
      </c>
      <c r="D273">
        <v>9</v>
      </c>
    </row>
    <row r="274" spans="1:4" x14ac:dyDescent="0.25">
      <c r="A274" s="1">
        <v>42774</v>
      </c>
      <c r="B274" s="2" t="s">
        <v>55</v>
      </c>
      <c r="C274" s="2" t="s">
        <v>326</v>
      </c>
      <c r="D274">
        <v>6</v>
      </c>
    </row>
    <row r="275" spans="1:4" x14ac:dyDescent="0.25">
      <c r="A275" s="1">
        <v>42774</v>
      </c>
      <c r="B275" s="2" t="s">
        <v>327</v>
      </c>
      <c r="C275" s="2" t="s">
        <v>102</v>
      </c>
      <c r="D275">
        <v>9</v>
      </c>
    </row>
    <row r="276" spans="1:4" x14ac:dyDescent="0.25">
      <c r="A276" s="1">
        <v>42774</v>
      </c>
      <c r="B276" s="2" t="s">
        <v>133</v>
      </c>
      <c r="C276" s="2" t="s">
        <v>328</v>
      </c>
      <c r="D276">
        <v>19</v>
      </c>
    </row>
    <row r="277" spans="1:4" x14ac:dyDescent="0.25">
      <c r="A277" s="1">
        <v>42775</v>
      </c>
      <c r="B277" s="2" t="s">
        <v>329</v>
      </c>
      <c r="C277" s="2" t="s">
        <v>330</v>
      </c>
      <c r="D277">
        <v>14</v>
      </c>
    </row>
    <row r="278" spans="1:4" x14ac:dyDescent="0.25">
      <c r="A278" s="1">
        <v>42775</v>
      </c>
      <c r="B278" s="2" t="s">
        <v>331</v>
      </c>
      <c r="C278" s="2" t="s">
        <v>26</v>
      </c>
      <c r="D278">
        <v>44</v>
      </c>
    </row>
    <row r="279" spans="1:4" x14ac:dyDescent="0.25">
      <c r="A279" s="1">
        <v>42775</v>
      </c>
      <c r="B279" s="2" t="s">
        <v>206</v>
      </c>
      <c r="C279" s="2" t="s">
        <v>332</v>
      </c>
      <c r="D279">
        <v>38</v>
      </c>
    </row>
    <row r="280" spans="1:4" x14ac:dyDescent="0.25">
      <c r="A280" s="1">
        <v>42775</v>
      </c>
      <c r="B280" s="2" t="s">
        <v>178</v>
      </c>
      <c r="C280" s="2" t="s">
        <v>333</v>
      </c>
      <c r="D280">
        <v>18</v>
      </c>
    </row>
    <row r="281" spans="1:4" x14ac:dyDescent="0.25">
      <c r="A281" s="1">
        <v>42775</v>
      </c>
      <c r="B281" s="2" t="s">
        <v>47</v>
      </c>
      <c r="C281" s="2" t="s">
        <v>256</v>
      </c>
      <c r="D281">
        <v>51</v>
      </c>
    </row>
    <row r="282" spans="1:4" x14ac:dyDescent="0.25">
      <c r="A282" s="1">
        <v>42775</v>
      </c>
      <c r="B282" s="2" t="s">
        <v>47</v>
      </c>
      <c r="C282" s="2" t="s">
        <v>334</v>
      </c>
      <c r="D282">
        <v>10</v>
      </c>
    </row>
    <row r="283" spans="1:4" x14ac:dyDescent="0.25">
      <c r="A283" s="1">
        <v>42775</v>
      </c>
      <c r="B283" s="2" t="s">
        <v>178</v>
      </c>
      <c r="C283" s="2" t="s">
        <v>335</v>
      </c>
      <c r="D283">
        <v>47</v>
      </c>
    </row>
    <row r="284" spans="1:4" x14ac:dyDescent="0.25">
      <c r="A284" s="1">
        <v>42775</v>
      </c>
      <c r="B284" s="2" t="s">
        <v>47</v>
      </c>
      <c r="C284" s="2" t="s">
        <v>336</v>
      </c>
      <c r="D284">
        <v>54</v>
      </c>
    </row>
    <row r="285" spans="1:4" x14ac:dyDescent="0.25">
      <c r="A285" s="1">
        <v>42775</v>
      </c>
      <c r="B285" s="2" t="s">
        <v>87</v>
      </c>
      <c r="C285" s="2" t="s">
        <v>88</v>
      </c>
      <c r="D285">
        <v>32</v>
      </c>
    </row>
    <row r="286" spans="1:4" x14ac:dyDescent="0.25">
      <c r="A286" s="1">
        <v>42775</v>
      </c>
      <c r="B286" s="2" t="s">
        <v>248</v>
      </c>
      <c r="C286" s="2" t="s">
        <v>337</v>
      </c>
      <c r="D286">
        <v>16</v>
      </c>
    </row>
    <row r="287" spans="1:4" x14ac:dyDescent="0.25">
      <c r="A287" s="1">
        <v>42775</v>
      </c>
      <c r="B287" s="2" t="s">
        <v>34</v>
      </c>
      <c r="C287" s="2" t="s">
        <v>338</v>
      </c>
      <c r="D287">
        <v>18</v>
      </c>
    </row>
    <row r="288" spans="1:4" x14ac:dyDescent="0.25">
      <c r="A288" s="1">
        <v>42776</v>
      </c>
      <c r="B288" s="2" t="s">
        <v>339</v>
      </c>
      <c r="C288" s="2" t="s">
        <v>340</v>
      </c>
      <c r="D288">
        <v>38</v>
      </c>
    </row>
    <row r="289" spans="1:4" x14ac:dyDescent="0.25">
      <c r="A289" s="1">
        <v>42776</v>
      </c>
      <c r="B289" s="2" t="s">
        <v>341</v>
      </c>
      <c r="C289" s="2" t="s">
        <v>342</v>
      </c>
      <c r="D289">
        <v>7</v>
      </c>
    </row>
    <row r="290" spans="1:4" x14ac:dyDescent="0.25">
      <c r="A290" s="1">
        <v>42776</v>
      </c>
      <c r="B290" s="2" t="s">
        <v>343</v>
      </c>
      <c r="C290" s="2" t="s">
        <v>344</v>
      </c>
      <c r="D290">
        <v>16</v>
      </c>
    </row>
    <row r="291" spans="1:4" x14ac:dyDescent="0.25">
      <c r="A291" s="1">
        <v>42776</v>
      </c>
      <c r="B291" s="2" t="s">
        <v>161</v>
      </c>
      <c r="C291" s="2" t="s">
        <v>345</v>
      </c>
      <c r="D291">
        <v>42</v>
      </c>
    </row>
    <row r="292" spans="1:4" x14ac:dyDescent="0.25">
      <c r="A292" s="1">
        <v>42776</v>
      </c>
      <c r="B292" s="2" t="s">
        <v>346</v>
      </c>
      <c r="C292" s="2" t="s">
        <v>347</v>
      </c>
      <c r="D292">
        <v>27</v>
      </c>
    </row>
    <row r="293" spans="1:4" x14ac:dyDescent="0.25">
      <c r="A293" s="1">
        <v>42776</v>
      </c>
      <c r="B293" s="2" t="s">
        <v>30</v>
      </c>
      <c r="C293" s="2" t="s">
        <v>185</v>
      </c>
      <c r="D293">
        <v>19</v>
      </c>
    </row>
    <row r="294" spans="1:4" x14ac:dyDescent="0.25">
      <c r="A294" s="1">
        <v>42776</v>
      </c>
      <c r="B294" s="2" t="s">
        <v>267</v>
      </c>
      <c r="C294" s="2" t="s">
        <v>268</v>
      </c>
      <c r="D294">
        <v>37</v>
      </c>
    </row>
    <row r="295" spans="1:4" x14ac:dyDescent="0.25">
      <c r="A295" s="1">
        <v>42776</v>
      </c>
      <c r="B295" s="2" t="s">
        <v>221</v>
      </c>
      <c r="C295" s="2" t="s">
        <v>348</v>
      </c>
      <c r="D295">
        <v>49</v>
      </c>
    </row>
    <row r="296" spans="1:4" x14ac:dyDescent="0.25">
      <c r="A296" s="1">
        <v>42776</v>
      </c>
      <c r="B296" s="2" t="s">
        <v>119</v>
      </c>
      <c r="C296" s="2" t="s">
        <v>349</v>
      </c>
      <c r="D296">
        <v>38</v>
      </c>
    </row>
    <row r="297" spans="1:4" x14ac:dyDescent="0.25">
      <c r="A297" s="1">
        <v>42776</v>
      </c>
      <c r="B297" s="2" t="s">
        <v>79</v>
      </c>
      <c r="C297" s="2" t="s">
        <v>80</v>
      </c>
      <c r="D297">
        <v>8</v>
      </c>
    </row>
    <row r="298" spans="1:4" x14ac:dyDescent="0.25">
      <c r="A298" s="1">
        <v>42776</v>
      </c>
      <c r="B298" s="2" t="s">
        <v>106</v>
      </c>
      <c r="C298" s="2" t="s">
        <v>240</v>
      </c>
      <c r="D298">
        <v>9</v>
      </c>
    </row>
    <row r="299" spans="1:4" x14ac:dyDescent="0.25">
      <c r="A299" s="1">
        <v>42779</v>
      </c>
      <c r="B299" s="2" t="s">
        <v>278</v>
      </c>
      <c r="C299" s="2" t="s">
        <v>279</v>
      </c>
      <c r="D299">
        <v>48</v>
      </c>
    </row>
    <row r="300" spans="1:4" x14ac:dyDescent="0.25">
      <c r="A300" s="1">
        <v>42779</v>
      </c>
      <c r="B300" s="2" t="s">
        <v>280</v>
      </c>
      <c r="C300" s="2" t="s">
        <v>281</v>
      </c>
      <c r="D300">
        <v>19</v>
      </c>
    </row>
    <row r="301" spans="1:4" x14ac:dyDescent="0.25">
      <c r="A301" s="1">
        <v>42779</v>
      </c>
      <c r="B301" s="2" t="s">
        <v>97</v>
      </c>
      <c r="C301" s="2" t="s">
        <v>5</v>
      </c>
      <c r="D301">
        <v>5</v>
      </c>
    </row>
    <row r="302" spans="1:4" x14ac:dyDescent="0.25">
      <c r="A302" s="1">
        <v>42779</v>
      </c>
      <c r="B302" s="2" t="s">
        <v>83</v>
      </c>
      <c r="C302" s="2" t="s">
        <v>350</v>
      </c>
      <c r="D302">
        <v>25</v>
      </c>
    </row>
    <row r="303" spans="1:4" x14ac:dyDescent="0.25">
      <c r="A303" s="1">
        <v>42779</v>
      </c>
      <c r="B303" s="2" t="s">
        <v>248</v>
      </c>
      <c r="C303" s="2" t="s">
        <v>249</v>
      </c>
      <c r="D303">
        <v>21</v>
      </c>
    </row>
    <row r="304" spans="1:4" x14ac:dyDescent="0.25">
      <c r="A304" s="1">
        <v>42779</v>
      </c>
      <c r="B304" s="2" t="s">
        <v>351</v>
      </c>
      <c r="C304" s="2" t="s">
        <v>227</v>
      </c>
      <c r="D304">
        <v>6</v>
      </c>
    </row>
    <row r="305" spans="1:4" x14ac:dyDescent="0.25">
      <c r="A305" s="1">
        <v>42779</v>
      </c>
      <c r="B305" s="2" t="s">
        <v>133</v>
      </c>
      <c r="C305" s="2" t="s">
        <v>288</v>
      </c>
      <c r="D305">
        <v>4</v>
      </c>
    </row>
    <row r="306" spans="1:4" x14ac:dyDescent="0.25">
      <c r="A306" s="1">
        <v>42779</v>
      </c>
      <c r="B306" s="2" t="s">
        <v>352</v>
      </c>
      <c r="C306" s="2" t="s">
        <v>227</v>
      </c>
      <c r="D306">
        <v>9</v>
      </c>
    </row>
    <row r="307" spans="1:4" x14ac:dyDescent="0.25">
      <c r="A307" s="1">
        <v>42779</v>
      </c>
      <c r="B307" s="2" t="s">
        <v>81</v>
      </c>
      <c r="C307" s="2" t="s">
        <v>82</v>
      </c>
      <c r="D307">
        <v>10</v>
      </c>
    </row>
    <row r="308" spans="1:4" x14ac:dyDescent="0.25">
      <c r="A308" s="1">
        <v>42779</v>
      </c>
      <c r="B308" s="2" t="s">
        <v>133</v>
      </c>
      <c r="C308" s="2" t="s">
        <v>316</v>
      </c>
      <c r="D308">
        <v>26</v>
      </c>
    </row>
    <row r="309" spans="1:4" x14ac:dyDescent="0.25">
      <c r="A309" s="1">
        <v>42779</v>
      </c>
      <c r="B309" s="2" t="s">
        <v>30</v>
      </c>
      <c r="C309" s="2" t="s">
        <v>185</v>
      </c>
      <c r="D309">
        <v>26</v>
      </c>
    </row>
    <row r="310" spans="1:4" x14ac:dyDescent="0.25">
      <c r="A310" s="1">
        <v>42780</v>
      </c>
      <c r="B310" s="2" t="s">
        <v>69</v>
      </c>
      <c r="C310" s="2" t="s">
        <v>353</v>
      </c>
      <c r="D310">
        <v>42</v>
      </c>
    </row>
    <row r="311" spans="1:4" x14ac:dyDescent="0.25">
      <c r="A311" s="1">
        <v>42780</v>
      </c>
      <c r="B311" s="2" t="s">
        <v>331</v>
      </c>
      <c r="C311" s="2" t="s">
        <v>26</v>
      </c>
      <c r="D311">
        <v>8</v>
      </c>
    </row>
    <row r="312" spans="1:4" x14ac:dyDescent="0.25">
      <c r="A312" s="1">
        <v>42780</v>
      </c>
      <c r="B312" s="2" t="s">
        <v>18</v>
      </c>
      <c r="C312" s="2" t="s">
        <v>354</v>
      </c>
      <c r="D312">
        <v>8</v>
      </c>
    </row>
    <row r="313" spans="1:4" x14ac:dyDescent="0.25">
      <c r="A313" s="1">
        <v>42780</v>
      </c>
      <c r="B313" s="2" t="s">
        <v>355</v>
      </c>
      <c r="C313" s="2" t="s">
        <v>356</v>
      </c>
      <c r="D313">
        <v>45</v>
      </c>
    </row>
    <row r="314" spans="1:4" x14ac:dyDescent="0.25">
      <c r="A314" s="1">
        <v>42780</v>
      </c>
      <c r="B314" s="2" t="s">
        <v>201</v>
      </c>
      <c r="C314" s="2" t="s">
        <v>357</v>
      </c>
      <c r="D314">
        <v>41</v>
      </c>
    </row>
    <row r="315" spans="1:4" x14ac:dyDescent="0.25">
      <c r="A315" s="1">
        <v>42780</v>
      </c>
      <c r="B315" s="2" t="s">
        <v>51</v>
      </c>
      <c r="C315" s="2" t="s">
        <v>358</v>
      </c>
      <c r="D315">
        <v>5</v>
      </c>
    </row>
    <row r="316" spans="1:4" x14ac:dyDescent="0.25">
      <c r="A316" s="1">
        <v>42780</v>
      </c>
      <c r="B316" s="2" t="s">
        <v>359</v>
      </c>
      <c r="C316" s="2" t="s">
        <v>360</v>
      </c>
      <c r="D316">
        <v>54</v>
      </c>
    </row>
    <row r="317" spans="1:4" x14ac:dyDescent="0.25">
      <c r="A317" s="1">
        <v>42780</v>
      </c>
      <c r="B317" s="2" t="s">
        <v>101</v>
      </c>
      <c r="C317" s="2" t="s">
        <v>263</v>
      </c>
      <c r="D317">
        <v>6</v>
      </c>
    </row>
    <row r="318" spans="1:4" x14ac:dyDescent="0.25">
      <c r="A318" s="1">
        <v>42780</v>
      </c>
      <c r="B318" s="2" t="s">
        <v>361</v>
      </c>
      <c r="C318" s="2" t="s">
        <v>362</v>
      </c>
      <c r="D318">
        <v>3</v>
      </c>
    </row>
    <row r="319" spans="1:4" x14ac:dyDescent="0.25">
      <c r="A319" s="1">
        <v>42780</v>
      </c>
      <c r="B319" s="2" t="s">
        <v>97</v>
      </c>
      <c r="C319" s="2" t="s">
        <v>130</v>
      </c>
      <c r="D319">
        <v>49</v>
      </c>
    </row>
    <row r="320" spans="1:4" x14ac:dyDescent="0.25">
      <c r="A320" s="1">
        <v>42780</v>
      </c>
      <c r="B320" s="2" t="s">
        <v>39</v>
      </c>
      <c r="C320" s="2" t="s">
        <v>164</v>
      </c>
      <c r="D320">
        <v>19</v>
      </c>
    </row>
    <row r="321" spans="1:4" x14ac:dyDescent="0.25">
      <c r="A321" s="1">
        <v>42781</v>
      </c>
      <c r="B321" s="2" t="s">
        <v>47</v>
      </c>
      <c r="C321" s="2" t="s">
        <v>230</v>
      </c>
      <c r="D321">
        <v>29</v>
      </c>
    </row>
    <row r="322" spans="1:4" x14ac:dyDescent="0.25">
      <c r="A322" s="1">
        <v>42781</v>
      </c>
      <c r="B322" s="2" t="s">
        <v>352</v>
      </c>
      <c r="C322" s="2" t="s">
        <v>363</v>
      </c>
      <c r="D322">
        <v>14</v>
      </c>
    </row>
    <row r="323" spans="1:4" x14ac:dyDescent="0.25">
      <c r="A323" s="1">
        <v>42781</v>
      </c>
      <c r="B323" s="2" t="s">
        <v>141</v>
      </c>
      <c r="C323" s="2" t="s">
        <v>364</v>
      </c>
      <c r="D323">
        <v>12</v>
      </c>
    </row>
    <row r="324" spans="1:4" x14ac:dyDescent="0.25">
      <c r="A324" s="1">
        <v>42781</v>
      </c>
      <c r="B324" s="2" t="s">
        <v>365</v>
      </c>
      <c r="C324" s="2" t="s">
        <v>366</v>
      </c>
      <c r="D324">
        <v>4</v>
      </c>
    </row>
    <row r="325" spans="1:4" x14ac:dyDescent="0.25">
      <c r="A325" s="1">
        <v>42781</v>
      </c>
      <c r="B325" s="2" t="s">
        <v>178</v>
      </c>
      <c r="C325" s="2" t="s">
        <v>242</v>
      </c>
      <c r="D325">
        <v>14</v>
      </c>
    </row>
    <row r="326" spans="1:4" x14ac:dyDescent="0.25">
      <c r="A326" s="1">
        <v>42781</v>
      </c>
      <c r="B326" s="2" t="s">
        <v>367</v>
      </c>
      <c r="C326" s="2" t="s">
        <v>368</v>
      </c>
      <c r="D326">
        <v>12</v>
      </c>
    </row>
    <row r="327" spans="1:4" x14ac:dyDescent="0.25">
      <c r="A327" s="1">
        <v>42781</v>
      </c>
      <c r="B327" s="2" t="s">
        <v>193</v>
      </c>
      <c r="C327" s="2" t="s">
        <v>369</v>
      </c>
      <c r="D327">
        <v>52</v>
      </c>
    </row>
    <row r="328" spans="1:4" x14ac:dyDescent="0.25">
      <c r="A328" s="1">
        <v>42781</v>
      </c>
      <c r="B328" s="2" t="s">
        <v>203</v>
      </c>
      <c r="C328" s="2" t="s">
        <v>370</v>
      </c>
      <c r="D328">
        <v>9</v>
      </c>
    </row>
    <row r="329" spans="1:4" x14ac:dyDescent="0.25">
      <c r="A329" s="1">
        <v>42781</v>
      </c>
      <c r="B329" s="2" t="s">
        <v>39</v>
      </c>
      <c r="C329" s="2" t="s">
        <v>371</v>
      </c>
      <c r="D329">
        <v>13</v>
      </c>
    </row>
    <row r="330" spans="1:4" x14ac:dyDescent="0.25">
      <c r="A330" s="1">
        <v>42781</v>
      </c>
      <c r="B330" s="2" t="s">
        <v>372</v>
      </c>
      <c r="C330" s="2" t="s">
        <v>373</v>
      </c>
      <c r="D330">
        <v>29</v>
      </c>
    </row>
    <row r="331" spans="1:4" x14ac:dyDescent="0.25">
      <c r="A331" s="1">
        <v>42781</v>
      </c>
      <c r="B331" s="2" t="s">
        <v>374</v>
      </c>
      <c r="C331" s="2" t="s">
        <v>375</v>
      </c>
      <c r="D331">
        <v>18</v>
      </c>
    </row>
    <row r="332" spans="1:4" x14ac:dyDescent="0.25">
      <c r="A332" s="1">
        <v>42782</v>
      </c>
      <c r="B332" s="2" t="s">
        <v>193</v>
      </c>
      <c r="C332" s="2" t="s">
        <v>215</v>
      </c>
      <c r="D332">
        <v>17</v>
      </c>
    </row>
    <row r="333" spans="1:4" x14ac:dyDescent="0.25">
      <c r="A333" s="1">
        <v>42782</v>
      </c>
      <c r="B333" s="2" t="s">
        <v>178</v>
      </c>
      <c r="C333" s="2" t="s">
        <v>376</v>
      </c>
      <c r="D333">
        <v>9</v>
      </c>
    </row>
    <row r="334" spans="1:4" x14ac:dyDescent="0.25">
      <c r="A334" s="1">
        <v>42782</v>
      </c>
      <c r="B334" s="2" t="s">
        <v>83</v>
      </c>
      <c r="C334" s="2" t="s">
        <v>136</v>
      </c>
      <c r="D334">
        <v>20</v>
      </c>
    </row>
    <row r="335" spans="1:4" x14ac:dyDescent="0.25">
      <c r="A335" s="1">
        <v>42782</v>
      </c>
      <c r="B335" s="2" t="s">
        <v>30</v>
      </c>
      <c r="C335" s="2" t="s">
        <v>377</v>
      </c>
      <c r="D335">
        <v>50</v>
      </c>
    </row>
    <row r="336" spans="1:4" x14ac:dyDescent="0.25">
      <c r="A336" s="1">
        <v>42782</v>
      </c>
      <c r="B336" s="2" t="s">
        <v>232</v>
      </c>
      <c r="C336" s="2" t="s">
        <v>378</v>
      </c>
      <c r="D336">
        <v>9</v>
      </c>
    </row>
    <row r="337" spans="1:4" x14ac:dyDescent="0.25">
      <c r="A337" s="1">
        <v>42782</v>
      </c>
      <c r="B337" s="2" t="s">
        <v>83</v>
      </c>
      <c r="C337" s="2" t="s">
        <v>350</v>
      </c>
      <c r="D337">
        <v>4</v>
      </c>
    </row>
    <row r="338" spans="1:4" x14ac:dyDescent="0.25">
      <c r="A338" s="1">
        <v>42782</v>
      </c>
      <c r="B338" s="2" t="s">
        <v>39</v>
      </c>
      <c r="C338" s="2" t="s">
        <v>158</v>
      </c>
      <c r="D338">
        <v>41</v>
      </c>
    </row>
    <row r="339" spans="1:4" x14ac:dyDescent="0.25">
      <c r="A339" s="1">
        <v>42782</v>
      </c>
      <c r="B339" s="2" t="s">
        <v>8</v>
      </c>
      <c r="C339" s="2" t="s">
        <v>322</v>
      </c>
      <c r="D339">
        <v>11</v>
      </c>
    </row>
    <row r="340" spans="1:4" x14ac:dyDescent="0.25">
      <c r="A340" s="1">
        <v>42782</v>
      </c>
      <c r="B340" s="2" t="s">
        <v>152</v>
      </c>
      <c r="C340" s="2" t="s">
        <v>153</v>
      </c>
      <c r="D340">
        <v>22</v>
      </c>
    </row>
    <row r="341" spans="1:4" x14ac:dyDescent="0.25">
      <c r="A341" s="1">
        <v>42782</v>
      </c>
      <c r="B341" s="2" t="s">
        <v>43</v>
      </c>
      <c r="C341" s="2" t="s">
        <v>71</v>
      </c>
      <c r="D341">
        <v>23</v>
      </c>
    </row>
    <row r="342" spans="1:4" x14ac:dyDescent="0.25">
      <c r="A342" s="1">
        <v>42782</v>
      </c>
      <c r="B342" s="2" t="s">
        <v>137</v>
      </c>
      <c r="C342" s="2" t="s">
        <v>379</v>
      </c>
      <c r="D342">
        <v>33</v>
      </c>
    </row>
    <row r="343" spans="1:4" x14ac:dyDescent="0.25">
      <c r="A343" s="1">
        <v>42783</v>
      </c>
      <c r="B343" s="2" t="s">
        <v>97</v>
      </c>
      <c r="C343" s="2" t="s">
        <v>380</v>
      </c>
      <c r="D343">
        <v>14</v>
      </c>
    </row>
    <row r="344" spans="1:4" x14ac:dyDescent="0.25">
      <c r="A344" s="1">
        <v>42783</v>
      </c>
      <c r="B344" s="2" t="s">
        <v>20</v>
      </c>
      <c r="C344" s="2" t="s">
        <v>381</v>
      </c>
      <c r="D344">
        <v>28</v>
      </c>
    </row>
    <row r="345" spans="1:4" x14ac:dyDescent="0.25">
      <c r="A345" s="1">
        <v>42783</v>
      </c>
      <c r="B345" s="2" t="s">
        <v>4</v>
      </c>
      <c r="C345" s="2" t="s">
        <v>382</v>
      </c>
      <c r="D345">
        <v>12</v>
      </c>
    </row>
    <row r="346" spans="1:4" x14ac:dyDescent="0.25">
      <c r="A346" s="1">
        <v>42783</v>
      </c>
      <c r="B346" s="2" t="s">
        <v>155</v>
      </c>
      <c r="C346" s="2" t="s">
        <v>186</v>
      </c>
      <c r="D346">
        <v>55</v>
      </c>
    </row>
    <row r="347" spans="1:4" x14ac:dyDescent="0.25">
      <c r="A347" s="1">
        <v>42783</v>
      </c>
      <c r="B347" s="2" t="s">
        <v>106</v>
      </c>
      <c r="C347" s="2" t="s">
        <v>107</v>
      </c>
      <c r="D347">
        <v>27</v>
      </c>
    </row>
    <row r="348" spans="1:4" x14ac:dyDescent="0.25">
      <c r="A348" s="1">
        <v>42783</v>
      </c>
      <c r="B348" s="2" t="s">
        <v>367</v>
      </c>
      <c r="C348" s="2" t="s">
        <v>5</v>
      </c>
      <c r="D348">
        <v>12</v>
      </c>
    </row>
    <row r="349" spans="1:4" x14ac:dyDescent="0.25">
      <c r="A349" s="1">
        <v>42783</v>
      </c>
      <c r="B349" s="2" t="s">
        <v>128</v>
      </c>
      <c r="C349" s="2" t="s">
        <v>12</v>
      </c>
      <c r="D349">
        <v>50</v>
      </c>
    </row>
    <row r="350" spans="1:4" x14ac:dyDescent="0.25">
      <c r="A350" s="1">
        <v>42783</v>
      </c>
      <c r="B350" s="2" t="s">
        <v>341</v>
      </c>
      <c r="C350" s="2" t="s">
        <v>342</v>
      </c>
      <c r="D350">
        <v>23</v>
      </c>
    </row>
    <row r="351" spans="1:4" x14ac:dyDescent="0.25">
      <c r="A351" s="1">
        <v>42783</v>
      </c>
      <c r="B351" s="2" t="s">
        <v>87</v>
      </c>
      <c r="C351" s="2" t="s">
        <v>383</v>
      </c>
      <c r="D351">
        <v>24</v>
      </c>
    </row>
    <row r="352" spans="1:4" x14ac:dyDescent="0.25">
      <c r="A352" s="1">
        <v>42783</v>
      </c>
      <c r="B352" s="2" t="s">
        <v>77</v>
      </c>
      <c r="C352" s="2" t="s">
        <v>384</v>
      </c>
      <c r="D352">
        <v>29</v>
      </c>
    </row>
    <row r="353" spans="1:4" x14ac:dyDescent="0.25">
      <c r="A353" s="1">
        <v>42783</v>
      </c>
      <c r="B353" s="2" t="s">
        <v>119</v>
      </c>
      <c r="C353" s="2" t="s">
        <v>349</v>
      </c>
      <c r="D353">
        <v>25</v>
      </c>
    </row>
    <row r="354" spans="1:4" x14ac:dyDescent="0.25">
      <c r="A354" s="1">
        <v>42786</v>
      </c>
      <c r="B354" s="2" t="s">
        <v>206</v>
      </c>
      <c r="C354" s="2" t="s">
        <v>385</v>
      </c>
      <c r="D354">
        <v>17</v>
      </c>
    </row>
    <row r="355" spans="1:4" x14ac:dyDescent="0.25">
      <c r="A355" s="1">
        <v>42786</v>
      </c>
      <c r="B355" s="2" t="s">
        <v>4</v>
      </c>
      <c r="C355" s="2" t="s">
        <v>386</v>
      </c>
      <c r="D355">
        <v>5</v>
      </c>
    </row>
    <row r="356" spans="1:4" x14ac:dyDescent="0.25">
      <c r="A356" s="1">
        <v>42786</v>
      </c>
      <c r="B356" s="2" t="s">
        <v>97</v>
      </c>
      <c r="C356" s="2" t="s">
        <v>188</v>
      </c>
      <c r="D356">
        <v>12</v>
      </c>
    </row>
    <row r="357" spans="1:4" x14ac:dyDescent="0.25">
      <c r="A357" s="1">
        <v>42786</v>
      </c>
      <c r="B357" s="2" t="s">
        <v>198</v>
      </c>
      <c r="C357" s="2" t="s">
        <v>199</v>
      </c>
      <c r="D357">
        <v>31</v>
      </c>
    </row>
    <row r="358" spans="1:4" x14ac:dyDescent="0.25">
      <c r="A358" s="1">
        <v>42786</v>
      </c>
      <c r="B358" s="2" t="s">
        <v>30</v>
      </c>
      <c r="C358" s="2" t="s">
        <v>387</v>
      </c>
      <c r="D358">
        <v>7</v>
      </c>
    </row>
    <row r="359" spans="1:4" x14ac:dyDescent="0.25">
      <c r="A359" s="1">
        <v>42786</v>
      </c>
      <c r="B359" s="2" t="s">
        <v>150</v>
      </c>
      <c r="C359" s="2" t="s">
        <v>140</v>
      </c>
      <c r="D359">
        <v>26</v>
      </c>
    </row>
    <row r="360" spans="1:4" x14ac:dyDescent="0.25">
      <c r="A360" s="1">
        <v>42786</v>
      </c>
      <c r="B360" s="2" t="s">
        <v>83</v>
      </c>
      <c r="C360" s="2" t="s">
        <v>91</v>
      </c>
      <c r="D360">
        <v>28</v>
      </c>
    </row>
    <row r="361" spans="1:4" x14ac:dyDescent="0.25">
      <c r="A361" s="1">
        <v>42786</v>
      </c>
      <c r="B361" s="2" t="s">
        <v>45</v>
      </c>
      <c r="C361" s="2" t="s">
        <v>46</v>
      </c>
      <c r="D361">
        <v>19</v>
      </c>
    </row>
    <row r="362" spans="1:4" x14ac:dyDescent="0.25">
      <c r="A362" s="1">
        <v>42786</v>
      </c>
      <c r="B362" s="2" t="s">
        <v>8</v>
      </c>
      <c r="C362" s="2" t="s">
        <v>322</v>
      </c>
      <c r="D362">
        <v>3</v>
      </c>
    </row>
    <row r="363" spans="1:4" x14ac:dyDescent="0.25">
      <c r="A363" s="1">
        <v>42786</v>
      </c>
      <c r="B363" s="2" t="s">
        <v>69</v>
      </c>
      <c r="C363" s="2" t="s">
        <v>108</v>
      </c>
      <c r="D363">
        <v>12</v>
      </c>
    </row>
    <row r="364" spans="1:4" x14ac:dyDescent="0.25">
      <c r="A364" s="1">
        <v>42786</v>
      </c>
      <c r="B364" s="2" t="s">
        <v>45</v>
      </c>
      <c r="C364" s="2" t="s">
        <v>388</v>
      </c>
      <c r="D364">
        <v>11</v>
      </c>
    </row>
    <row r="365" spans="1:4" x14ac:dyDescent="0.25">
      <c r="A365" s="1">
        <v>42787</v>
      </c>
      <c r="B365" s="2" t="s">
        <v>280</v>
      </c>
      <c r="C365" s="2" t="s">
        <v>281</v>
      </c>
      <c r="D365">
        <v>29</v>
      </c>
    </row>
    <row r="366" spans="1:4" x14ac:dyDescent="0.25">
      <c r="A366" s="1">
        <v>42787</v>
      </c>
      <c r="B366" s="2" t="s">
        <v>53</v>
      </c>
      <c r="C366" s="2" t="s">
        <v>389</v>
      </c>
      <c r="D366">
        <v>4</v>
      </c>
    </row>
    <row r="367" spans="1:4" x14ac:dyDescent="0.25">
      <c r="A367" s="1">
        <v>42787</v>
      </c>
      <c r="B367" s="2" t="s">
        <v>144</v>
      </c>
      <c r="C367" s="2" t="s">
        <v>390</v>
      </c>
      <c r="D367">
        <v>2</v>
      </c>
    </row>
    <row r="368" spans="1:4" x14ac:dyDescent="0.25">
      <c r="A368" s="1">
        <v>42787</v>
      </c>
      <c r="B368" s="2" t="s">
        <v>39</v>
      </c>
      <c r="C368" s="2" t="s">
        <v>391</v>
      </c>
      <c r="D368">
        <v>45</v>
      </c>
    </row>
    <row r="369" spans="1:4" x14ac:dyDescent="0.25">
      <c r="A369" s="1">
        <v>42787</v>
      </c>
      <c r="B369" s="2" t="s">
        <v>18</v>
      </c>
      <c r="C369" s="2" t="s">
        <v>392</v>
      </c>
      <c r="D369">
        <v>46</v>
      </c>
    </row>
    <row r="370" spans="1:4" x14ac:dyDescent="0.25">
      <c r="A370" s="1">
        <v>42787</v>
      </c>
      <c r="B370" s="2" t="s">
        <v>393</v>
      </c>
      <c r="C370" s="2" t="s">
        <v>394</v>
      </c>
      <c r="D370">
        <v>21</v>
      </c>
    </row>
    <row r="371" spans="1:4" x14ac:dyDescent="0.25">
      <c r="A371" s="1">
        <v>42787</v>
      </c>
      <c r="B371" s="2" t="s">
        <v>395</v>
      </c>
      <c r="C371" s="2" t="s">
        <v>396</v>
      </c>
      <c r="D371">
        <v>24</v>
      </c>
    </row>
    <row r="372" spans="1:4" x14ac:dyDescent="0.25">
      <c r="A372" s="1">
        <v>42787</v>
      </c>
      <c r="B372" s="2" t="s">
        <v>87</v>
      </c>
      <c r="C372" s="2" t="s">
        <v>397</v>
      </c>
      <c r="D372">
        <v>53</v>
      </c>
    </row>
    <row r="373" spans="1:4" x14ac:dyDescent="0.25">
      <c r="A373" s="1">
        <v>42787</v>
      </c>
      <c r="B373" s="2" t="s">
        <v>393</v>
      </c>
      <c r="C373" s="2" t="s">
        <v>398</v>
      </c>
      <c r="D373">
        <v>45</v>
      </c>
    </row>
    <row r="374" spans="1:4" x14ac:dyDescent="0.25">
      <c r="A374" s="1">
        <v>42787</v>
      </c>
      <c r="B374" s="2" t="s">
        <v>57</v>
      </c>
      <c r="C374" s="2" t="s">
        <v>399</v>
      </c>
      <c r="D374">
        <v>56</v>
      </c>
    </row>
    <row r="375" spans="1:4" x14ac:dyDescent="0.25">
      <c r="A375" s="1">
        <v>42787</v>
      </c>
      <c r="B375" s="2" t="s">
        <v>97</v>
      </c>
      <c r="C375" s="2" t="s">
        <v>181</v>
      </c>
      <c r="D375">
        <v>28</v>
      </c>
    </row>
    <row r="376" spans="1:4" x14ac:dyDescent="0.25">
      <c r="A376" s="1">
        <v>42788</v>
      </c>
      <c r="B376" s="2" t="s">
        <v>144</v>
      </c>
      <c r="C376" s="2" t="s">
        <v>390</v>
      </c>
      <c r="D376">
        <v>45</v>
      </c>
    </row>
    <row r="377" spans="1:4" x14ac:dyDescent="0.25">
      <c r="A377" s="1">
        <v>42788</v>
      </c>
      <c r="B377" s="2" t="s">
        <v>39</v>
      </c>
      <c r="C377" s="2" t="s">
        <v>400</v>
      </c>
      <c r="D377">
        <v>43</v>
      </c>
    </row>
    <row r="378" spans="1:4" x14ac:dyDescent="0.25">
      <c r="A378" s="1">
        <v>42788</v>
      </c>
      <c r="B378" s="2" t="s">
        <v>87</v>
      </c>
      <c r="C378" s="2" t="s">
        <v>124</v>
      </c>
      <c r="D378">
        <v>6</v>
      </c>
    </row>
    <row r="379" spans="1:4" x14ac:dyDescent="0.25">
      <c r="A379" s="1">
        <v>42788</v>
      </c>
      <c r="B379" s="2" t="s">
        <v>195</v>
      </c>
      <c r="C379" s="2" t="s">
        <v>401</v>
      </c>
      <c r="D379">
        <v>5</v>
      </c>
    </row>
    <row r="380" spans="1:4" x14ac:dyDescent="0.25">
      <c r="A380" s="1">
        <v>42788</v>
      </c>
      <c r="B380" s="2" t="s">
        <v>402</v>
      </c>
      <c r="C380" s="2" t="s">
        <v>403</v>
      </c>
      <c r="D380">
        <v>47</v>
      </c>
    </row>
    <row r="381" spans="1:4" x14ac:dyDescent="0.25">
      <c r="A381" s="1">
        <v>42788</v>
      </c>
      <c r="B381" s="2" t="s">
        <v>36</v>
      </c>
      <c r="C381" s="2" t="s">
        <v>404</v>
      </c>
      <c r="D381">
        <v>6</v>
      </c>
    </row>
    <row r="382" spans="1:4" x14ac:dyDescent="0.25">
      <c r="A382" s="1">
        <v>42788</v>
      </c>
      <c r="B382" s="2" t="s">
        <v>117</v>
      </c>
      <c r="C382" s="2" t="s">
        <v>183</v>
      </c>
      <c r="D382">
        <v>55</v>
      </c>
    </row>
    <row r="383" spans="1:4" x14ac:dyDescent="0.25">
      <c r="A383" s="1">
        <v>42788</v>
      </c>
      <c r="B383" s="2" t="s">
        <v>23</v>
      </c>
      <c r="C383" s="2" t="s">
        <v>24</v>
      </c>
      <c r="D383">
        <v>37</v>
      </c>
    </row>
    <row r="384" spans="1:4" x14ac:dyDescent="0.25">
      <c r="A384" s="1">
        <v>42788</v>
      </c>
      <c r="B384" s="2" t="s">
        <v>128</v>
      </c>
      <c r="C384" s="2" t="s">
        <v>309</v>
      </c>
      <c r="D384">
        <v>10</v>
      </c>
    </row>
    <row r="385" spans="1:4" x14ac:dyDescent="0.25">
      <c r="A385" s="1">
        <v>42788</v>
      </c>
      <c r="B385" s="2" t="s">
        <v>27</v>
      </c>
      <c r="C385" s="2" t="s">
        <v>94</v>
      </c>
      <c r="D385">
        <v>39</v>
      </c>
    </row>
    <row r="386" spans="1:4" x14ac:dyDescent="0.25">
      <c r="A386" s="1">
        <v>42788</v>
      </c>
      <c r="B386" s="2" t="s">
        <v>232</v>
      </c>
      <c r="C386" s="2" t="s">
        <v>405</v>
      </c>
      <c r="D386">
        <v>23</v>
      </c>
    </row>
    <row r="387" spans="1:4" x14ac:dyDescent="0.25">
      <c r="A387" s="1">
        <v>42789</v>
      </c>
      <c r="B387" s="2" t="s">
        <v>41</v>
      </c>
      <c r="C387" s="2" t="s">
        <v>238</v>
      </c>
      <c r="D387">
        <v>19</v>
      </c>
    </row>
    <row r="388" spans="1:4" x14ac:dyDescent="0.25">
      <c r="A388" s="1">
        <v>42789</v>
      </c>
      <c r="B388" s="2" t="s">
        <v>87</v>
      </c>
      <c r="C388" s="2" t="s">
        <v>383</v>
      </c>
      <c r="D388">
        <v>28</v>
      </c>
    </row>
    <row r="389" spans="1:4" x14ac:dyDescent="0.25">
      <c r="A389" s="1">
        <v>42789</v>
      </c>
      <c r="B389" s="2" t="s">
        <v>128</v>
      </c>
      <c r="C389" s="2" t="s">
        <v>129</v>
      </c>
      <c r="D389">
        <v>2</v>
      </c>
    </row>
    <row r="390" spans="1:4" x14ac:dyDescent="0.25">
      <c r="A390" s="1">
        <v>42789</v>
      </c>
      <c r="B390" s="2" t="s">
        <v>47</v>
      </c>
      <c r="C390" s="2" t="s">
        <v>48</v>
      </c>
      <c r="D390">
        <v>6</v>
      </c>
    </row>
    <row r="391" spans="1:4" x14ac:dyDescent="0.25">
      <c r="A391" s="1">
        <v>42789</v>
      </c>
      <c r="B391" s="2" t="s">
        <v>32</v>
      </c>
      <c r="C391" s="2" t="s">
        <v>406</v>
      </c>
      <c r="D391">
        <v>26</v>
      </c>
    </row>
    <row r="392" spans="1:4" x14ac:dyDescent="0.25">
      <c r="A392" s="1">
        <v>42789</v>
      </c>
      <c r="B392" s="2" t="s">
        <v>407</v>
      </c>
      <c r="C392" s="2" t="s">
        <v>408</v>
      </c>
      <c r="D392">
        <v>55</v>
      </c>
    </row>
    <row r="393" spans="1:4" x14ac:dyDescent="0.25">
      <c r="A393" s="1">
        <v>42789</v>
      </c>
      <c r="B393" s="2" t="s">
        <v>409</v>
      </c>
      <c r="C393" s="2" t="s">
        <v>410</v>
      </c>
      <c r="D393">
        <v>52</v>
      </c>
    </row>
    <row r="394" spans="1:4" x14ac:dyDescent="0.25">
      <c r="A394" s="1">
        <v>42789</v>
      </c>
      <c r="B394" s="2" t="s">
        <v>367</v>
      </c>
      <c r="C394" s="2" t="s">
        <v>411</v>
      </c>
      <c r="D394">
        <v>55</v>
      </c>
    </row>
    <row r="395" spans="1:4" x14ac:dyDescent="0.25">
      <c r="A395" s="1">
        <v>42789</v>
      </c>
      <c r="B395" s="2" t="s">
        <v>412</v>
      </c>
      <c r="C395" s="2" t="s">
        <v>413</v>
      </c>
      <c r="D395">
        <v>15</v>
      </c>
    </row>
    <row r="396" spans="1:4" x14ac:dyDescent="0.25">
      <c r="A396" s="1">
        <v>42789</v>
      </c>
      <c r="B396" s="2" t="s">
        <v>155</v>
      </c>
      <c r="C396" s="2" t="s">
        <v>414</v>
      </c>
      <c r="D396">
        <v>44</v>
      </c>
    </row>
    <row r="397" spans="1:4" x14ac:dyDescent="0.25">
      <c r="A397" s="1">
        <v>42789</v>
      </c>
      <c r="B397" s="2" t="s">
        <v>41</v>
      </c>
      <c r="C397" s="2" t="s">
        <v>42</v>
      </c>
      <c r="D397">
        <v>28</v>
      </c>
    </row>
    <row r="398" spans="1:4" x14ac:dyDescent="0.25">
      <c r="A398" s="1">
        <v>42790</v>
      </c>
      <c r="B398" s="2" t="s">
        <v>174</v>
      </c>
      <c r="C398" s="2" t="s">
        <v>415</v>
      </c>
      <c r="D398">
        <v>19</v>
      </c>
    </row>
    <row r="399" spans="1:4" x14ac:dyDescent="0.25">
      <c r="A399" s="1">
        <v>42790</v>
      </c>
      <c r="B399" s="2" t="s">
        <v>193</v>
      </c>
      <c r="C399" s="2" t="s">
        <v>215</v>
      </c>
      <c r="D399">
        <v>20</v>
      </c>
    </row>
    <row r="400" spans="1:4" x14ac:dyDescent="0.25">
      <c r="A400" s="1">
        <v>42790</v>
      </c>
      <c r="B400" s="2" t="s">
        <v>416</v>
      </c>
      <c r="C400" s="2" t="s">
        <v>417</v>
      </c>
      <c r="D400">
        <v>24</v>
      </c>
    </row>
    <row r="401" spans="1:4" x14ac:dyDescent="0.25">
      <c r="A401" s="1">
        <v>42790</v>
      </c>
      <c r="B401" s="2" t="s">
        <v>34</v>
      </c>
      <c r="C401" s="2" t="s">
        <v>182</v>
      </c>
      <c r="D401">
        <v>8</v>
      </c>
    </row>
    <row r="402" spans="1:4" x14ac:dyDescent="0.25">
      <c r="A402" s="1">
        <v>42790</v>
      </c>
      <c r="B402" s="2" t="s">
        <v>57</v>
      </c>
      <c r="C402" s="2" t="s">
        <v>418</v>
      </c>
      <c r="D402">
        <v>8</v>
      </c>
    </row>
    <row r="403" spans="1:4" x14ac:dyDescent="0.25">
      <c r="A403" s="1">
        <v>42790</v>
      </c>
      <c r="B403" s="2" t="s">
        <v>275</v>
      </c>
      <c r="C403" s="2" t="s">
        <v>276</v>
      </c>
      <c r="D403">
        <v>18</v>
      </c>
    </row>
    <row r="404" spans="1:4" x14ac:dyDescent="0.25">
      <c r="A404" s="1">
        <v>42790</v>
      </c>
      <c r="B404" s="2" t="s">
        <v>67</v>
      </c>
      <c r="C404" s="2" t="s">
        <v>68</v>
      </c>
      <c r="D404">
        <v>26</v>
      </c>
    </row>
    <row r="405" spans="1:4" x14ac:dyDescent="0.25">
      <c r="A405" s="1">
        <v>42790</v>
      </c>
      <c r="B405" s="2" t="s">
        <v>77</v>
      </c>
      <c r="C405" s="2" t="s">
        <v>384</v>
      </c>
      <c r="D405">
        <v>5</v>
      </c>
    </row>
    <row r="406" spans="1:4" x14ac:dyDescent="0.25">
      <c r="A406" s="1">
        <v>42790</v>
      </c>
      <c r="B406" s="2" t="s">
        <v>219</v>
      </c>
      <c r="C406" s="2" t="s">
        <v>220</v>
      </c>
      <c r="D406">
        <v>39</v>
      </c>
    </row>
    <row r="407" spans="1:4" x14ac:dyDescent="0.25">
      <c r="A407" s="1">
        <v>42790</v>
      </c>
      <c r="B407" s="2" t="s">
        <v>57</v>
      </c>
      <c r="C407" s="2" t="s">
        <v>418</v>
      </c>
      <c r="D407">
        <v>13</v>
      </c>
    </row>
    <row r="408" spans="1:4" x14ac:dyDescent="0.25">
      <c r="A408" s="1">
        <v>42790</v>
      </c>
      <c r="B408" s="2" t="s">
        <v>317</v>
      </c>
      <c r="C408" s="2" t="s">
        <v>318</v>
      </c>
      <c r="D408">
        <v>52</v>
      </c>
    </row>
    <row r="409" spans="1:4" x14ac:dyDescent="0.25">
      <c r="A409" s="1">
        <v>42793</v>
      </c>
      <c r="B409" s="2" t="s">
        <v>393</v>
      </c>
      <c r="C409" s="2" t="s">
        <v>419</v>
      </c>
      <c r="D409">
        <v>21</v>
      </c>
    </row>
    <row r="410" spans="1:4" x14ac:dyDescent="0.25">
      <c r="A410" s="1">
        <v>42793</v>
      </c>
      <c r="B410" s="2" t="s">
        <v>97</v>
      </c>
      <c r="C410" s="2" t="s">
        <v>136</v>
      </c>
      <c r="D410">
        <v>50</v>
      </c>
    </row>
    <row r="411" spans="1:4" x14ac:dyDescent="0.25">
      <c r="A411" s="1">
        <v>42793</v>
      </c>
      <c r="B411" s="2" t="s">
        <v>63</v>
      </c>
      <c r="C411" s="2" t="s">
        <v>231</v>
      </c>
      <c r="D411">
        <v>17</v>
      </c>
    </row>
    <row r="412" spans="1:4" x14ac:dyDescent="0.25">
      <c r="A412" s="1">
        <v>42793</v>
      </c>
      <c r="B412" s="2" t="s">
        <v>420</v>
      </c>
      <c r="C412" s="2" t="s">
        <v>421</v>
      </c>
      <c r="D412">
        <v>45</v>
      </c>
    </row>
    <row r="413" spans="1:4" x14ac:dyDescent="0.25">
      <c r="A413" s="1">
        <v>42793</v>
      </c>
      <c r="B413" s="2" t="s">
        <v>150</v>
      </c>
      <c r="C413" s="2" t="s">
        <v>211</v>
      </c>
      <c r="D413">
        <v>10</v>
      </c>
    </row>
    <row r="414" spans="1:4" x14ac:dyDescent="0.25">
      <c r="A414" s="1">
        <v>42793</v>
      </c>
      <c r="B414" s="2" t="s">
        <v>14</v>
      </c>
      <c r="C414" s="2" t="s">
        <v>422</v>
      </c>
      <c r="D414">
        <v>24</v>
      </c>
    </row>
    <row r="415" spans="1:4" x14ac:dyDescent="0.25">
      <c r="A415" s="1">
        <v>42793</v>
      </c>
      <c r="B415" s="2" t="s">
        <v>34</v>
      </c>
      <c r="C415" s="2" t="s">
        <v>338</v>
      </c>
      <c r="D415">
        <v>7</v>
      </c>
    </row>
    <row r="416" spans="1:4" x14ac:dyDescent="0.25">
      <c r="A416" s="1">
        <v>42793</v>
      </c>
      <c r="B416" s="2" t="s">
        <v>10</v>
      </c>
      <c r="C416" s="2" t="s">
        <v>423</v>
      </c>
      <c r="D416">
        <v>30</v>
      </c>
    </row>
    <row r="417" spans="1:4" x14ac:dyDescent="0.25">
      <c r="A417" s="1">
        <v>42793</v>
      </c>
      <c r="B417" s="2" t="s">
        <v>87</v>
      </c>
      <c r="C417" s="2" t="s">
        <v>424</v>
      </c>
      <c r="D417">
        <v>41</v>
      </c>
    </row>
    <row r="418" spans="1:4" x14ac:dyDescent="0.25">
      <c r="A418" s="1">
        <v>42793</v>
      </c>
      <c r="B418" s="2" t="s">
        <v>45</v>
      </c>
      <c r="C418" s="2" t="s">
        <v>388</v>
      </c>
      <c r="D418">
        <v>22</v>
      </c>
    </row>
    <row r="419" spans="1:4" x14ac:dyDescent="0.25">
      <c r="A419" s="1">
        <v>42793</v>
      </c>
      <c r="B419" s="2" t="s">
        <v>352</v>
      </c>
      <c r="C419" s="2" t="s">
        <v>425</v>
      </c>
      <c r="D419">
        <v>18</v>
      </c>
    </row>
    <row r="420" spans="1:4" x14ac:dyDescent="0.25">
      <c r="A420" s="1">
        <v>42794</v>
      </c>
      <c r="B420" s="2" t="s">
        <v>83</v>
      </c>
      <c r="C420" s="2" t="s">
        <v>84</v>
      </c>
      <c r="D420">
        <v>9</v>
      </c>
    </row>
    <row r="421" spans="1:4" x14ac:dyDescent="0.25">
      <c r="A421" s="1">
        <v>42794</v>
      </c>
      <c r="B421" s="2" t="s">
        <v>53</v>
      </c>
      <c r="C421" s="2" t="s">
        <v>54</v>
      </c>
      <c r="D421">
        <v>19</v>
      </c>
    </row>
    <row r="422" spans="1:4" x14ac:dyDescent="0.25">
      <c r="A422" s="1">
        <v>42794</v>
      </c>
      <c r="B422" s="2" t="s">
        <v>30</v>
      </c>
      <c r="C422" s="2" t="s">
        <v>31</v>
      </c>
      <c r="D422">
        <v>16</v>
      </c>
    </row>
    <row r="423" spans="1:4" x14ac:dyDescent="0.25">
      <c r="A423" s="1">
        <v>42794</v>
      </c>
      <c r="B423" s="2" t="s">
        <v>95</v>
      </c>
      <c r="C423" s="2" t="s">
        <v>426</v>
      </c>
      <c r="D423">
        <v>27</v>
      </c>
    </row>
    <row r="424" spans="1:4" x14ac:dyDescent="0.25">
      <c r="A424" s="1">
        <v>42794</v>
      </c>
      <c r="B424" s="2" t="s">
        <v>427</v>
      </c>
      <c r="C424" s="2" t="s">
        <v>428</v>
      </c>
      <c r="D424">
        <v>13</v>
      </c>
    </row>
    <row r="425" spans="1:4" x14ac:dyDescent="0.25">
      <c r="A425" s="1">
        <v>42794</v>
      </c>
      <c r="B425" s="2" t="s">
        <v>252</v>
      </c>
      <c r="C425" s="2" t="s">
        <v>253</v>
      </c>
      <c r="D425">
        <v>44</v>
      </c>
    </row>
    <row r="426" spans="1:4" x14ac:dyDescent="0.25">
      <c r="A426" s="1">
        <v>42794</v>
      </c>
      <c r="B426" s="2" t="s">
        <v>147</v>
      </c>
      <c r="C426" s="2" t="s">
        <v>148</v>
      </c>
      <c r="D426">
        <v>16</v>
      </c>
    </row>
    <row r="427" spans="1:4" x14ac:dyDescent="0.25">
      <c r="A427" s="1">
        <v>42794</v>
      </c>
      <c r="B427" s="2" t="s">
        <v>244</v>
      </c>
      <c r="C427" s="2" t="s">
        <v>245</v>
      </c>
      <c r="D427">
        <v>13</v>
      </c>
    </row>
    <row r="428" spans="1:4" x14ac:dyDescent="0.25">
      <c r="A428" s="1">
        <v>42794</v>
      </c>
      <c r="B428" s="2" t="s">
        <v>57</v>
      </c>
      <c r="C428" s="2" t="s">
        <v>429</v>
      </c>
      <c r="D428">
        <v>42</v>
      </c>
    </row>
    <row r="429" spans="1:4" x14ac:dyDescent="0.25">
      <c r="A429" s="1">
        <v>42794</v>
      </c>
      <c r="B429" s="2" t="s">
        <v>217</v>
      </c>
      <c r="C429" s="2" t="s">
        <v>218</v>
      </c>
      <c r="D429">
        <v>28</v>
      </c>
    </row>
    <row r="430" spans="1:4" x14ac:dyDescent="0.25">
      <c r="A430" s="1">
        <v>42794</v>
      </c>
      <c r="B430" s="2" t="s">
        <v>14</v>
      </c>
      <c r="C430" s="2" t="s">
        <v>430</v>
      </c>
      <c r="D430">
        <v>54</v>
      </c>
    </row>
    <row r="431" spans="1:4" x14ac:dyDescent="0.25">
      <c r="A431" s="1">
        <v>42795</v>
      </c>
      <c r="B431" s="2" t="s">
        <v>359</v>
      </c>
      <c r="C431" s="2" t="s">
        <v>431</v>
      </c>
      <c r="D431">
        <v>40</v>
      </c>
    </row>
    <row r="432" spans="1:4" x14ac:dyDescent="0.25">
      <c r="A432" s="1">
        <v>42795</v>
      </c>
      <c r="B432" s="2" t="s">
        <v>30</v>
      </c>
      <c r="C432" s="2" t="s">
        <v>432</v>
      </c>
      <c r="D432">
        <v>19</v>
      </c>
    </row>
    <row r="433" spans="1:4" x14ac:dyDescent="0.25">
      <c r="A433" s="1">
        <v>42795</v>
      </c>
      <c r="B433" s="2" t="s">
        <v>147</v>
      </c>
      <c r="C433" s="2" t="s">
        <v>148</v>
      </c>
      <c r="D433">
        <v>18</v>
      </c>
    </row>
    <row r="434" spans="1:4" x14ac:dyDescent="0.25">
      <c r="A434" s="1">
        <v>42795</v>
      </c>
      <c r="B434" s="2" t="s">
        <v>393</v>
      </c>
      <c r="C434" s="2" t="s">
        <v>394</v>
      </c>
      <c r="D434">
        <v>24</v>
      </c>
    </row>
    <row r="435" spans="1:4" x14ac:dyDescent="0.25">
      <c r="A435" s="1">
        <v>42795</v>
      </c>
      <c r="B435" s="2" t="s">
        <v>81</v>
      </c>
      <c r="C435" s="2" t="s">
        <v>145</v>
      </c>
      <c r="D435">
        <v>25</v>
      </c>
    </row>
    <row r="436" spans="1:4" x14ac:dyDescent="0.25">
      <c r="A436" s="1">
        <v>42795</v>
      </c>
      <c r="B436" s="2" t="s">
        <v>201</v>
      </c>
      <c r="C436" s="2" t="s">
        <v>433</v>
      </c>
      <c r="D436">
        <v>7</v>
      </c>
    </row>
    <row r="437" spans="1:4" x14ac:dyDescent="0.25">
      <c r="A437" s="1">
        <v>42795</v>
      </c>
      <c r="B437" s="2" t="s">
        <v>34</v>
      </c>
      <c r="C437" s="2" t="s">
        <v>160</v>
      </c>
      <c r="D437">
        <v>52</v>
      </c>
    </row>
    <row r="438" spans="1:4" x14ac:dyDescent="0.25">
      <c r="A438" s="1">
        <v>42795</v>
      </c>
      <c r="B438" s="2" t="s">
        <v>30</v>
      </c>
      <c r="C438" s="2" t="s">
        <v>241</v>
      </c>
      <c r="D438">
        <v>23</v>
      </c>
    </row>
    <row r="439" spans="1:4" x14ac:dyDescent="0.25">
      <c r="A439" s="1">
        <v>42795</v>
      </c>
      <c r="B439" s="2" t="s">
        <v>217</v>
      </c>
      <c r="C439" s="2" t="s">
        <v>218</v>
      </c>
      <c r="D439">
        <v>45</v>
      </c>
    </row>
    <row r="440" spans="1:4" x14ac:dyDescent="0.25">
      <c r="A440" s="1">
        <v>42795</v>
      </c>
      <c r="B440" s="2" t="s">
        <v>14</v>
      </c>
      <c r="C440" s="2" t="s">
        <v>422</v>
      </c>
      <c r="D440">
        <v>12</v>
      </c>
    </row>
    <row r="441" spans="1:4" x14ac:dyDescent="0.25">
      <c r="A441" s="1">
        <v>42795</v>
      </c>
      <c r="B441" s="2" t="s">
        <v>39</v>
      </c>
      <c r="C441" s="2" t="s">
        <v>434</v>
      </c>
      <c r="D441">
        <v>25</v>
      </c>
    </row>
    <row r="442" spans="1:4" x14ac:dyDescent="0.25">
      <c r="A442" s="1">
        <v>42796</v>
      </c>
      <c r="B442" s="2" t="s">
        <v>141</v>
      </c>
      <c r="C442" s="2" t="s">
        <v>435</v>
      </c>
      <c r="D442">
        <v>4</v>
      </c>
    </row>
    <row r="443" spans="1:4" x14ac:dyDescent="0.25">
      <c r="A443" s="1">
        <v>42796</v>
      </c>
      <c r="B443" s="2" t="s">
        <v>39</v>
      </c>
      <c r="C443" s="2" t="s">
        <v>436</v>
      </c>
      <c r="D443">
        <v>10</v>
      </c>
    </row>
    <row r="444" spans="1:4" x14ac:dyDescent="0.25">
      <c r="A444" s="1">
        <v>42796</v>
      </c>
      <c r="B444" s="2" t="s">
        <v>77</v>
      </c>
      <c r="C444" s="2" t="s">
        <v>384</v>
      </c>
      <c r="D444">
        <v>23</v>
      </c>
    </row>
    <row r="445" spans="1:4" x14ac:dyDescent="0.25">
      <c r="A445" s="1">
        <v>42796</v>
      </c>
      <c r="B445" s="2" t="s">
        <v>437</v>
      </c>
      <c r="C445" s="2" t="s">
        <v>199</v>
      </c>
      <c r="D445">
        <v>56</v>
      </c>
    </row>
    <row r="446" spans="1:4" x14ac:dyDescent="0.25">
      <c r="A446" s="1">
        <v>42796</v>
      </c>
      <c r="B446" s="2" t="s">
        <v>18</v>
      </c>
      <c r="C446" s="2" t="s">
        <v>74</v>
      </c>
      <c r="D446">
        <v>38</v>
      </c>
    </row>
    <row r="447" spans="1:4" x14ac:dyDescent="0.25">
      <c r="A447" s="1">
        <v>42796</v>
      </c>
      <c r="B447" s="2" t="s">
        <v>438</v>
      </c>
      <c r="C447" s="2" t="s">
        <v>439</v>
      </c>
      <c r="D447">
        <v>27</v>
      </c>
    </row>
    <row r="448" spans="1:4" x14ac:dyDescent="0.25">
      <c r="A448" s="1">
        <v>42796</v>
      </c>
      <c r="B448" s="2" t="s">
        <v>206</v>
      </c>
      <c r="C448" s="2" t="s">
        <v>332</v>
      </c>
      <c r="D448">
        <v>28</v>
      </c>
    </row>
    <row r="449" spans="1:4" x14ac:dyDescent="0.25">
      <c r="A449" s="1">
        <v>42796</v>
      </c>
      <c r="B449" s="2" t="s">
        <v>36</v>
      </c>
      <c r="C449" s="2" t="s">
        <v>306</v>
      </c>
      <c r="D449">
        <v>8</v>
      </c>
    </row>
    <row r="450" spans="1:4" x14ac:dyDescent="0.25">
      <c r="A450" s="1">
        <v>42796</v>
      </c>
      <c r="B450" s="2" t="s">
        <v>101</v>
      </c>
      <c r="C450" s="2" t="s">
        <v>42</v>
      </c>
      <c r="D450">
        <v>39</v>
      </c>
    </row>
    <row r="451" spans="1:4" x14ac:dyDescent="0.25">
      <c r="A451" s="1">
        <v>42796</v>
      </c>
      <c r="B451" s="2" t="s">
        <v>16</v>
      </c>
      <c r="C451" s="2" t="s">
        <v>440</v>
      </c>
      <c r="D451">
        <v>4</v>
      </c>
    </row>
    <row r="452" spans="1:4" x14ac:dyDescent="0.25">
      <c r="A452" s="1">
        <v>42796</v>
      </c>
      <c r="B452" s="2" t="s">
        <v>112</v>
      </c>
      <c r="C452" s="2" t="s">
        <v>113</v>
      </c>
      <c r="D452">
        <v>56</v>
      </c>
    </row>
    <row r="453" spans="1:4" x14ac:dyDescent="0.25">
      <c r="A453" s="1">
        <v>42797</v>
      </c>
      <c r="B453" s="2" t="s">
        <v>101</v>
      </c>
      <c r="C453" s="2" t="s">
        <v>188</v>
      </c>
      <c r="D453">
        <v>33</v>
      </c>
    </row>
    <row r="454" spans="1:4" x14ac:dyDescent="0.25">
      <c r="A454" s="1">
        <v>42797</v>
      </c>
      <c r="B454" s="2" t="s">
        <v>63</v>
      </c>
      <c r="C454" s="2" t="s">
        <v>441</v>
      </c>
      <c r="D454">
        <v>53</v>
      </c>
    </row>
    <row r="455" spans="1:4" x14ac:dyDescent="0.25">
      <c r="A455" s="1">
        <v>42797</v>
      </c>
      <c r="B455" s="2" t="s">
        <v>442</v>
      </c>
      <c r="C455" s="2" t="s">
        <v>443</v>
      </c>
      <c r="D455">
        <v>26</v>
      </c>
    </row>
    <row r="456" spans="1:4" x14ac:dyDescent="0.25">
      <c r="A456" s="1">
        <v>42797</v>
      </c>
      <c r="B456" s="2" t="s">
        <v>55</v>
      </c>
      <c r="C456" s="2" t="s">
        <v>444</v>
      </c>
      <c r="D456">
        <v>27</v>
      </c>
    </row>
    <row r="457" spans="1:4" x14ac:dyDescent="0.25">
      <c r="A457" s="1">
        <v>42797</v>
      </c>
      <c r="B457" s="2" t="s">
        <v>34</v>
      </c>
      <c r="C457" s="2" t="s">
        <v>445</v>
      </c>
      <c r="D457">
        <v>49</v>
      </c>
    </row>
    <row r="458" spans="1:4" x14ac:dyDescent="0.25">
      <c r="A458" s="1">
        <v>42797</v>
      </c>
      <c r="B458" s="2" t="s">
        <v>32</v>
      </c>
      <c r="C458" s="2" t="s">
        <v>446</v>
      </c>
      <c r="D458">
        <v>20</v>
      </c>
    </row>
    <row r="459" spans="1:4" x14ac:dyDescent="0.25">
      <c r="A459" s="1">
        <v>42797</v>
      </c>
      <c r="B459" s="2" t="s">
        <v>352</v>
      </c>
      <c r="C459" s="2" t="s">
        <v>425</v>
      </c>
      <c r="D459">
        <v>7</v>
      </c>
    </row>
    <row r="460" spans="1:4" x14ac:dyDescent="0.25">
      <c r="A460" s="1">
        <v>42797</v>
      </c>
      <c r="B460" s="2" t="s">
        <v>141</v>
      </c>
      <c r="C460" s="2" t="s">
        <v>447</v>
      </c>
      <c r="D460">
        <v>3</v>
      </c>
    </row>
    <row r="461" spans="1:4" x14ac:dyDescent="0.25">
      <c r="A461" s="1">
        <v>42797</v>
      </c>
      <c r="B461" s="2" t="s">
        <v>141</v>
      </c>
      <c r="C461" s="2" t="s">
        <v>448</v>
      </c>
      <c r="D461">
        <v>47</v>
      </c>
    </row>
    <row r="462" spans="1:4" x14ac:dyDescent="0.25">
      <c r="A462" s="1">
        <v>42797</v>
      </c>
      <c r="B462" s="2" t="s">
        <v>150</v>
      </c>
      <c r="C462" s="2" t="s">
        <v>140</v>
      </c>
      <c r="D462">
        <v>48</v>
      </c>
    </row>
    <row r="463" spans="1:4" x14ac:dyDescent="0.25">
      <c r="A463" s="1">
        <v>42797</v>
      </c>
      <c r="B463" s="2" t="s">
        <v>449</v>
      </c>
      <c r="C463" s="2" t="s">
        <v>382</v>
      </c>
      <c r="D463">
        <v>24</v>
      </c>
    </row>
    <row r="464" spans="1:4" x14ac:dyDescent="0.25">
      <c r="A464" s="1">
        <v>42800</v>
      </c>
      <c r="B464" s="2" t="s">
        <v>47</v>
      </c>
      <c r="C464" s="2" t="s">
        <v>91</v>
      </c>
      <c r="D464">
        <v>33</v>
      </c>
    </row>
    <row r="465" spans="1:4" x14ac:dyDescent="0.25">
      <c r="A465" s="1">
        <v>42800</v>
      </c>
      <c r="B465" s="2" t="s">
        <v>55</v>
      </c>
      <c r="C465" s="2" t="s">
        <v>444</v>
      </c>
      <c r="D465">
        <v>20</v>
      </c>
    </row>
    <row r="466" spans="1:4" x14ac:dyDescent="0.25">
      <c r="A466" s="1">
        <v>42800</v>
      </c>
      <c r="B466" s="2" t="s">
        <v>32</v>
      </c>
      <c r="C466" s="2" t="s">
        <v>33</v>
      </c>
      <c r="D466">
        <v>35</v>
      </c>
    </row>
    <row r="467" spans="1:4" x14ac:dyDescent="0.25">
      <c r="A467" s="1">
        <v>42800</v>
      </c>
      <c r="B467" s="2" t="s">
        <v>314</v>
      </c>
      <c r="C467" s="2" t="s">
        <v>450</v>
      </c>
      <c r="D467">
        <v>10</v>
      </c>
    </row>
    <row r="468" spans="1:4" x14ac:dyDescent="0.25">
      <c r="A468" s="1">
        <v>42800</v>
      </c>
      <c r="B468" s="2" t="s">
        <v>20</v>
      </c>
      <c r="C468" s="2" t="s">
        <v>123</v>
      </c>
      <c r="D468">
        <v>43</v>
      </c>
    </row>
    <row r="469" spans="1:4" x14ac:dyDescent="0.25">
      <c r="A469" s="1">
        <v>42800</v>
      </c>
      <c r="B469" s="2" t="s">
        <v>280</v>
      </c>
      <c r="C469" s="2" t="s">
        <v>451</v>
      </c>
      <c r="D469">
        <v>15</v>
      </c>
    </row>
    <row r="470" spans="1:4" x14ac:dyDescent="0.25">
      <c r="A470" s="1">
        <v>42800</v>
      </c>
      <c r="B470" s="2" t="s">
        <v>352</v>
      </c>
      <c r="C470" s="2" t="s">
        <v>363</v>
      </c>
      <c r="D470">
        <v>8</v>
      </c>
    </row>
    <row r="471" spans="1:4" x14ac:dyDescent="0.25">
      <c r="A471" s="1">
        <v>42800</v>
      </c>
      <c r="B471" s="2" t="s">
        <v>81</v>
      </c>
      <c r="C471" s="2" t="s">
        <v>104</v>
      </c>
      <c r="D471">
        <v>20</v>
      </c>
    </row>
    <row r="472" spans="1:4" x14ac:dyDescent="0.25">
      <c r="A472" s="1">
        <v>42800</v>
      </c>
      <c r="B472" s="2" t="s">
        <v>65</v>
      </c>
      <c r="C472" s="2" t="s">
        <v>116</v>
      </c>
      <c r="D472">
        <v>35</v>
      </c>
    </row>
    <row r="473" spans="1:4" x14ac:dyDescent="0.25">
      <c r="A473" s="1">
        <v>42800</v>
      </c>
      <c r="B473" s="2" t="s">
        <v>267</v>
      </c>
      <c r="C473" s="2" t="s">
        <v>287</v>
      </c>
      <c r="D473">
        <v>26</v>
      </c>
    </row>
    <row r="474" spans="1:4" x14ac:dyDescent="0.25">
      <c r="A474" s="1">
        <v>42800</v>
      </c>
      <c r="B474" s="2" t="s">
        <v>72</v>
      </c>
      <c r="C474" s="2" t="s">
        <v>239</v>
      </c>
      <c r="D474">
        <v>39</v>
      </c>
    </row>
    <row r="475" spans="1:4" x14ac:dyDescent="0.25">
      <c r="A475" s="1">
        <v>42801</v>
      </c>
      <c r="B475" s="2" t="s">
        <v>97</v>
      </c>
      <c r="C475" s="2" t="s">
        <v>98</v>
      </c>
      <c r="D475">
        <v>52</v>
      </c>
    </row>
    <row r="476" spans="1:4" x14ac:dyDescent="0.25">
      <c r="A476" s="1">
        <v>42801</v>
      </c>
      <c r="B476" s="2" t="s">
        <v>193</v>
      </c>
      <c r="C476" s="2" t="s">
        <v>215</v>
      </c>
      <c r="D476">
        <v>13</v>
      </c>
    </row>
    <row r="477" spans="1:4" x14ac:dyDescent="0.25">
      <c r="A477" s="1">
        <v>42801</v>
      </c>
      <c r="B477" s="2" t="s">
        <v>83</v>
      </c>
      <c r="C477" s="2" t="s">
        <v>136</v>
      </c>
      <c r="D477">
        <v>16</v>
      </c>
    </row>
    <row r="478" spans="1:4" x14ac:dyDescent="0.25">
      <c r="A478" s="1">
        <v>42801</v>
      </c>
      <c r="B478" s="2" t="s">
        <v>141</v>
      </c>
      <c r="C478" s="2" t="s">
        <v>202</v>
      </c>
      <c r="D478">
        <v>17</v>
      </c>
    </row>
    <row r="479" spans="1:4" x14ac:dyDescent="0.25">
      <c r="A479" s="1">
        <v>42801</v>
      </c>
      <c r="B479" s="2" t="s">
        <v>243</v>
      </c>
      <c r="C479" s="2" t="s">
        <v>82</v>
      </c>
      <c r="D479">
        <v>7</v>
      </c>
    </row>
    <row r="480" spans="1:4" x14ac:dyDescent="0.25">
      <c r="A480" s="1">
        <v>42801</v>
      </c>
      <c r="B480" s="2" t="s">
        <v>32</v>
      </c>
      <c r="C480" s="2" t="s">
        <v>446</v>
      </c>
      <c r="D480">
        <v>48</v>
      </c>
    </row>
    <row r="481" spans="1:4" x14ac:dyDescent="0.25">
      <c r="A481" s="1">
        <v>42801</v>
      </c>
      <c r="B481" s="2" t="s">
        <v>97</v>
      </c>
      <c r="C481" s="2" t="s">
        <v>452</v>
      </c>
      <c r="D481">
        <v>20</v>
      </c>
    </row>
    <row r="482" spans="1:4" x14ac:dyDescent="0.25">
      <c r="A482" s="1">
        <v>42801</v>
      </c>
      <c r="B482" s="2" t="s">
        <v>97</v>
      </c>
      <c r="C482" s="2" t="s">
        <v>309</v>
      </c>
      <c r="D482">
        <v>3</v>
      </c>
    </row>
    <row r="483" spans="1:4" x14ac:dyDescent="0.25">
      <c r="A483" s="1">
        <v>42801</v>
      </c>
      <c r="B483" s="2" t="s">
        <v>87</v>
      </c>
      <c r="C483" s="2" t="s">
        <v>259</v>
      </c>
      <c r="D483">
        <v>22</v>
      </c>
    </row>
    <row r="484" spans="1:4" x14ac:dyDescent="0.25">
      <c r="A484" s="1">
        <v>42802</v>
      </c>
      <c r="B484" s="2" t="s">
        <v>87</v>
      </c>
      <c r="C484" s="2" t="s">
        <v>397</v>
      </c>
      <c r="D484">
        <v>14</v>
      </c>
    </row>
    <row r="485" spans="1:4" x14ac:dyDescent="0.25">
      <c r="A485" s="1">
        <v>42802</v>
      </c>
      <c r="B485" s="2" t="s">
        <v>155</v>
      </c>
      <c r="C485" s="2" t="s">
        <v>186</v>
      </c>
      <c r="D485">
        <v>17</v>
      </c>
    </row>
    <row r="486" spans="1:4" x14ac:dyDescent="0.25">
      <c r="A486" s="1">
        <v>42802</v>
      </c>
      <c r="B486" s="2" t="s">
        <v>30</v>
      </c>
      <c r="C486" s="2" t="s">
        <v>89</v>
      </c>
      <c r="D486">
        <v>3</v>
      </c>
    </row>
    <row r="487" spans="1:4" x14ac:dyDescent="0.25">
      <c r="A487" s="1">
        <v>42802</v>
      </c>
      <c r="B487" s="2" t="s">
        <v>453</v>
      </c>
      <c r="C487" s="2" t="s">
        <v>454</v>
      </c>
      <c r="D487">
        <v>10</v>
      </c>
    </row>
    <row r="488" spans="1:4" x14ac:dyDescent="0.25">
      <c r="A488" s="1">
        <v>42802</v>
      </c>
      <c r="B488" s="2" t="s">
        <v>178</v>
      </c>
      <c r="C488" s="2" t="s">
        <v>242</v>
      </c>
      <c r="D488">
        <v>14</v>
      </c>
    </row>
    <row r="489" spans="1:4" x14ac:dyDescent="0.25">
      <c r="A489" s="1">
        <v>42802</v>
      </c>
      <c r="B489" s="2" t="s">
        <v>393</v>
      </c>
      <c r="C489" s="2" t="s">
        <v>398</v>
      </c>
      <c r="D489">
        <v>3</v>
      </c>
    </row>
    <row r="490" spans="1:4" x14ac:dyDescent="0.25">
      <c r="A490" s="1">
        <v>42802</v>
      </c>
      <c r="B490" s="2" t="s">
        <v>141</v>
      </c>
      <c r="C490" s="2" t="s">
        <v>364</v>
      </c>
      <c r="D490">
        <v>22</v>
      </c>
    </row>
    <row r="491" spans="1:4" x14ac:dyDescent="0.25">
      <c r="A491" s="1">
        <v>42802</v>
      </c>
      <c r="B491" s="2" t="s">
        <v>83</v>
      </c>
      <c r="C491" s="2" t="s">
        <v>455</v>
      </c>
      <c r="D491">
        <v>11</v>
      </c>
    </row>
    <row r="492" spans="1:4" x14ac:dyDescent="0.25">
      <c r="A492" s="1">
        <v>42802</v>
      </c>
      <c r="B492" s="2" t="s">
        <v>32</v>
      </c>
      <c r="C492" s="2" t="s">
        <v>406</v>
      </c>
      <c r="D492">
        <v>7</v>
      </c>
    </row>
    <row r="493" spans="1:4" x14ac:dyDescent="0.25">
      <c r="A493" s="1">
        <v>42803</v>
      </c>
      <c r="B493" s="2" t="s">
        <v>87</v>
      </c>
      <c r="C493" s="2" t="s">
        <v>88</v>
      </c>
      <c r="D493">
        <v>13</v>
      </c>
    </row>
    <row r="494" spans="1:4" x14ac:dyDescent="0.25">
      <c r="A494" s="1">
        <v>42803</v>
      </c>
      <c r="B494" s="2" t="s">
        <v>55</v>
      </c>
      <c r="C494" s="2" t="s">
        <v>456</v>
      </c>
      <c r="D494">
        <v>47</v>
      </c>
    </row>
    <row r="495" spans="1:4" x14ac:dyDescent="0.25">
      <c r="A495" s="1">
        <v>42803</v>
      </c>
      <c r="B495" s="2" t="s">
        <v>155</v>
      </c>
      <c r="C495" s="2" t="s">
        <v>156</v>
      </c>
      <c r="D495">
        <v>22</v>
      </c>
    </row>
    <row r="496" spans="1:4" x14ac:dyDescent="0.25">
      <c r="A496" s="1">
        <v>42803</v>
      </c>
      <c r="B496" s="2" t="s">
        <v>97</v>
      </c>
      <c r="C496" s="2" t="s">
        <v>457</v>
      </c>
      <c r="D496">
        <v>10</v>
      </c>
    </row>
    <row r="497" spans="1:4" x14ac:dyDescent="0.25">
      <c r="A497" s="1">
        <v>42803</v>
      </c>
      <c r="B497" s="2" t="s">
        <v>310</v>
      </c>
      <c r="C497" s="2" t="s">
        <v>458</v>
      </c>
      <c r="D497">
        <v>38</v>
      </c>
    </row>
    <row r="498" spans="1:4" x14ac:dyDescent="0.25">
      <c r="A498" s="1">
        <v>42803</v>
      </c>
      <c r="B498" s="2" t="s">
        <v>55</v>
      </c>
      <c r="C498" s="2" t="s">
        <v>459</v>
      </c>
      <c r="D498">
        <v>48</v>
      </c>
    </row>
    <row r="499" spans="1:4" x14ac:dyDescent="0.25">
      <c r="A499" s="1">
        <v>42803</v>
      </c>
      <c r="B499" s="2" t="s">
        <v>67</v>
      </c>
      <c r="C499" s="2" t="s">
        <v>460</v>
      </c>
      <c r="D499">
        <v>9</v>
      </c>
    </row>
    <row r="500" spans="1:4" x14ac:dyDescent="0.25">
      <c r="A500" s="1">
        <v>42803</v>
      </c>
      <c r="B500" s="2" t="s">
        <v>101</v>
      </c>
      <c r="C500" s="2" t="s">
        <v>212</v>
      </c>
      <c r="D500">
        <v>6</v>
      </c>
    </row>
    <row r="501" spans="1:4" x14ac:dyDescent="0.25">
      <c r="A501" s="1">
        <v>42803</v>
      </c>
      <c r="B501" s="2" t="s">
        <v>195</v>
      </c>
      <c r="C501" s="2" t="s">
        <v>196</v>
      </c>
      <c r="D501">
        <v>13</v>
      </c>
    </row>
    <row r="502" spans="1:4" x14ac:dyDescent="0.25">
      <c r="A502" s="1">
        <v>42804</v>
      </c>
      <c r="B502" s="2" t="s">
        <v>97</v>
      </c>
      <c r="C502" s="2" t="s">
        <v>181</v>
      </c>
      <c r="D502">
        <v>30</v>
      </c>
    </row>
    <row r="503" spans="1:4" x14ac:dyDescent="0.25">
      <c r="A503" s="1">
        <v>42804</v>
      </c>
      <c r="B503" s="2" t="s">
        <v>69</v>
      </c>
      <c r="C503" s="2" t="s">
        <v>461</v>
      </c>
      <c r="D503">
        <v>3</v>
      </c>
    </row>
    <row r="504" spans="1:4" x14ac:dyDescent="0.25">
      <c r="A504" s="1">
        <v>42804</v>
      </c>
      <c r="B504" s="2" t="s">
        <v>12</v>
      </c>
      <c r="C504" s="2" t="s">
        <v>38</v>
      </c>
      <c r="D504">
        <v>8</v>
      </c>
    </row>
    <row r="505" spans="1:4" x14ac:dyDescent="0.25">
      <c r="A505" s="1">
        <v>42804</v>
      </c>
      <c r="B505" s="2" t="s">
        <v>178</v>
      </c>
      <c r="C505" s="2" t="s">
        <v>242</v>
      </c>
      <c r="D505">
        <v>12</v>
      </c>
    </row>
    <row r="506" spans="1:4" x14ac:dyDescent="0.25">
      <c r="A506" s="1">
        <v>42804</v>
      </c>
      <c r="B506" s="2" t="s">
        <v>16</v>
      </c>
      <c r="C506" s="2" t="s">
        <v>440</v>
      </c>
      <c r="D506">
        <v>14</v>
      </c>
    </row>
    <row r="507" spans="1:4" x14ac:dyDescent="0.25">
      <c r="A507" s="1">
        <v>42804</v>
      </c>
      <c r="B507" s="2" t="s">
        <v>453</v>
      </c>
      <c r="C507" s="2" t="s">
        <v>454</v>
      </c>
      <c r="D507">
        <v>4</v>
      </c>
    </row>
    <row r="508" spans="1:4" x14ac:dyDescent="0.25">
      <c r="A508" s="1">
        <v>42804</v>
      </c>
      <c r="B508" s="2" t="s">
        <v>99</v>
      </c>
      <c r="C508" s="2" t="s">
        <v>100</v>
      </c>
      <c r="D508">
        <v>5</v>
      </c>
    </row>
    <row r="509" spans="1:4" x14ac:dyDescent="0.25">
      <c r="A509" s="1">
        <v>42804</v>
      </c>
      <c r="B509" s="2" t="s">
        <v>150</v>
      </c>
      <c r="C509" s="2" t="s">
        <v>462</v>
      </c>
      <c r="D509">
        <v>13</v>
      </c>
    </row>
    <row r="510" spans="1:4" x14ac:dyDescent="0.25">
      <c r="A510" s="1">
        <v>42804</v>
      </c>
      <c r="B510" s="2" t="s">
        <v>30</v>
      </c>
      <c r="C510" s="2" t="s">
        <v>463</v>
      </c>
      <c r="D510">
        <v>9</v>
      </c>
    </row>
    <row r="511" spans="1:4" x14ac:dyDescent="0.25">
      <c r="A511" s="1">
        <v>42807</v>
      </c>
      <c r="B511" s="2" t="s">
        <v>97</v>
      </c>
      <c r="C511" s="2" t="s">
        <v>464</v>
      </c>
      <c r="D511">
        <v>14</v>
      </c>
    </row>
    <row r="512" spans="1:4" x14ac:dyDescent="0.25">
      <c r="A512" s="1">
        <v>42807</v>
      </c>
      <c r="B512" s="2" t="s">
        <v>47</v>
      </c>
      <c r="C512" s="2" t="s">
        <v>465</v>
      </c>
      <c r="D512">
        <v>19</v>
      </c>
    </row>
    <row r="513" spans="1:4" x14ac:dyDescent="0.25">
      <c r="A513" s="1">
        <v>42807</v>
      </c>
      <c r="B513" s="2" t="s">
        <v>282</v>
      </c>
      <c r="C513" s="2" t="s">
        <v>283</v>
      </c>
      <c r="D513">
        <v>21</v>
      </c>
    </row>
    <row r="514" spans="1:4" x14ac:dyDescent="0.25">
      <c r="A514" s="1">
        <v>42807</v>
      </c>
      <c r="B514" s="2" t="s">
        <v>141</v>
      </c>
      <c r="C514" s="2" t="s">
        <v>292</v>
      </c>
      <c r="D514">
        <v>5</v>
      </c>
    </row>
    <row r="515" spans="1:4" x14ac:dyDescent="0.25">
      <c r="A515" s="1">
        <v>42807</v>
      </c>
      <c r="B515" s="2" t="s">
        <v>314</v>
      </c>
      <c r="C515" s="2" t="s">
        <v>466</v>
      </c>
      <c r="D515">
        <v>18</v>
      </c>
    </row>
    <row r="516" spans="1:4" x14ac:dyDescent="0.25">
      <c r="A516" s="1">
        <v>42807</v>
      </c>
      <c r="B516" s="2" t="s">
        <v>55</v>
      </c>
      <c r="C516" s="2" t="s">
        <v>56</v>
      </c>
      <c r="D516">
        <v>4</v>
      </c>
    </row>
    <row r="517" spans="1:4" x14ac:dyDescent="0.25">
      <c r="A517" s="1">
        <v>42807</v>
      </c>
      <c r="B517" s="2" t="s">
        <v>395</v>
      </c>
      <c r="C517" s="2" t="s">
        <v>467</v>
      </c>
      <c r="D517">
        <v>34</v>
      </c>
    </row>
    <row r="518" spans="1:4" x14ac:dyDescent="0.25">
      <c r="A518" s="1">
        <v>42807</v>
      </c>
      <c r="B518" s="2" t="s">
        <v>36</v>
      </c>
      <c r="C518" s="2" t="s">
        <v>37</v>
      </c>
      <c r="D518">
        <v>7</v>
      </c>
    </row>
    <row r="519" spans="1:4" x14ac:dyDescent="0.25">
      <c r="A519" s="1">
        <v>42807</v>
      </c>
      <c r="B519" s="2" t="s">
        <v>171</v>
      </c>
      <c r="C519" s="2" t="s">
        <v>468</v>
      </c>
      <c r="D519">
        <v>41</v>
      </c>
    </row>
    <row r="520" spans="1:4" x14ac:dyDescent="0.25">
      <c r="A520" s="1">
        <v>42808</v>
      </c>
      <c r="B520" s="2" t="s">
        <v>41</v>
      </c>
      <c r="C520" s="2" t="s">
        <v>42</v>
      </c>
      <c r="D520">
        <v>10</v>
      </c>
    </row>
    <row r="521" spans="1:4" x14ac:dyDescent="0.25">
      <c r="A521" s="1">
        <v>42808</v>
      </c>
      <c r="B521" s="2" t="s">
        <v>87</v>
      </c>
      <c r="C521" s="2" t="s">
        <v>124</v>
      </c>
      <c r="D521">
        <v>42</v>
      </c>
    </row>
    <row r="522" spans="1:4" x14ac:dyDescent="0.25">
      <c r="A522" s="1">
        <v>42808</v>
      </c>
      <c r="B522" s="2" t="s">
        <v>178</v>
      </c>
      <c r="C522" s="2" t="s">
        <v>335</v>
      </c>
      <c r="D522">
        <v>10</v>
      </c>
    </row>
    <row r="523" spans="1:4" x14ac:dyDescent="0.25">
      <c r="A523" s="1">
        <v>42808</v>
      </c>
      <c r="B523" s="2" t="s">
        <v>51</v>
      </c>
      <c r="C523" s="2" t="s">
        <v>469</v>
      </c>
      <c r="D523">
        <v>4</v>
      </c>
    </row>
    <row r="524" spans="1:4" x14ac:dyDescent="0.25">
      <c r="A524" s="1">
        <v>42808</v>
      </c>
      <c r="B524" s="2" t="s">
        <v>442</v>
      </c>
      <c r="C524" s="2" t="s">
        <v>443</v>
      </c>
      <c r="D524">
        <v>17</v>
      </c>
    </row>
    <row r="525" spans="1:4" x14ac:dyDescent="0.25">
      <c r="A525" s="1">
        <v>42808</v>
      </c>
      <c r="B525" s="2" t="s">
        <v>121</v>
      </c>
      <c r="C525" s="2" t="s">
        <v>122</v>
      </c>
      <c r="D525">
        <v>29</v>
      </c>
    </row>
    <row r="526" spans="1:4" x14ac:dyDescent="0.25">
      <c r="A526" s="1">
        <v>42808</v>
      </c>
      <c r="B526" s="2" t="s">
        <v>83</v>
      </c>
      <c r="C526" s="2" t="s">
        <v>470</v>
      </c>
      <c r="D526">
        <v>6</v>
      </c>
    </row>
    <row r="527" spans="1:4" x14ac:dyDescent="0.25">
      <c r="A527" s="1">
        <v>42808</v>
      </c>
      <c r="B527" s="2" t="s">
        <v>8</v>
      </c>
      <c r="C527" s="2" t="s">
        <v>9</v>
      </c>
      <c r="D527">
        <v>12</v>
      </c>
    </row>
    <row r="528" spans="1:4" x14ac:dyDescent="0.25">
      <c r="A528" s="1">
        <v>42808</v>
      </c>
      <c r="B528" s="2" t="s">
        <v>193</v>
      </c>
      <c r="C528" s="2" t="s">
        <v>406</v>
      </c>
      <c r="D528">
        <v>14</v>
      </c>
    </row>
    <row r="529" spans="1:4" x14ac:dyDescent="0.25">
      <c r="A529" s="1">
        <v>42809</v>
      </c>
      <c r="B529" s="2" t="s">
        <v>47</v>
      </c>
      <c r="C529" s="2" t="s">
        <v>471</v>
      </c>
      <c r="D529">
        <v>28</v>
      </c>
    </row>
    <row r="530" spans="1:4" x14ac:dyDescent="0.25">
      <c r="A530" s="1">
        <v>42809</v>
      </c>
      <c r="B530" s="2" t="s">
        <v>131</v>
      </c>
      <c r="C530" s="2" t="s">
        <v>472</v>
      </c>
      <c r="D530">
        <v>19</v>
      </c>
    </row>
    <row r="531" spans="1:4" x14ac:dyDescent="0.25">
      <c r="A531" s="1">
        <v>42809</v>
      </c>
      <c r="B531" s="2" t="s">
        <v>87</v>
      </c>
      <c r="C531" s="2" t="s">
        <v>135</v>
      </c>
      <c r="D531">
        <v>30</v>
      </c>
    </row>
    <row r="532" spans="1:4" x14ac:dyDescent="0.25">
      <c r="A532" s="1">
        <v>42809</v>
      </c>
      <c r="B532" s="2" t="s">
        <v>137</v>
      </c>
      <c r="C532" s="2" t="s">
        <v>473</v>
      </c>
      <c r="D532">
        <v>54</v>
      </c>
    </row>
    <row r="533" spans="1:4" x14ac:dyDescent="0.25">
      <c r="A533" s="1">
        <v>42809</v>
      </c>
      <c r="B533" s="2" t="s">
        <v>131</v>
      </c>
      <c r="C533" s="2" t="s">
        <v>132</v>
      </c>
      <c r="D533">
        <v>21</v>
      </c>
    </row>
    <row r="534" spans="1:4" x14ac:dyDescent="0.25">
      <c r="A534" s="1">
        <v>42809</v>
      </c>
      <c r="B534" s="2" t="s">
        <v>4</v>
      </c>
      <c r="C534" s="2" t="s">
        <v>386</v>
      </c>
      <c r="D534">
        <v>10</v>
      </c>
    </row>
    <row r="535" spans="1:4" x14ac:dyDescent="0.25">
      <c r="A535" s="1">
        <v>42809</v>
      </c>
      <c r="B535" s="2" t="s">
        <v>97</v>
      </c>
      <c r="C535" s="2" t="s">
        <v>464</v>
      </c>
      <c r="D535">
        <v>25</v>
      </c>
    </row>
    <row r="536" spans="1:4" x14ac:dyDescent="0.25">
      <c r="A536" s="1">
        <v>42809</v>
      </c>
      <c r="B536" s="2" t="s">
        <v>36</v>
      </c>
      <c r="C536" s="2" t="s">
        <v>295</v>
      </c>
      <c r="D536">
        <v>5</v>
      </c>
    </row>
    <row r="537" spans="1:4" x14ac:dyDescent="0.25">
      <c r="A537" s="1">
        <v>42809</v>
      </c>
      <c r="B537" s="2" t="s">
        <v>30</v>
      </c>
      <c r="C537" s="2" t="s">
        <v>109</v>
      </c>
      <c r="D537">
        <v>12</v>
      </c>
    </row>
    <row r="538" spans="1:4" x14ac:dyDescent="0.25">
      <c r="A538" s="1">
        <v>42810</v>
      </c>
      <c r="B538" s="2" t="s">
        <v>150</v>
      </c>
      <c r="C538" s="2" t="s">
        <v>313</v>
      </c>
      <c r="D538">
        <v>24</v>
      </c>
    </row>
    <row r="539" spans="1:4" x14ac:dyDescent="0.25">
      <c r="A539" s="1">
        <v>42810</v>
      </c>
      <c r="B539" s="2" t="s">
        <v>106</v>
      </c>
      <c r="C539" s="2" t="s">
        <v>240</v>
      </c>
      <c r="D539">
        <v>11</v>
      </c>
    </row>
    <row r="540" spans="1:4" x14ac:dyDescent="0.25">
      <c r="A540" s="1">
        <v>42810</v>
      </c>
      <c r="B540" s="2" t="s">
        <v>36</v>
      </c>
      <c r="C540" s="2" t="s">
        <v>474</v>
      </c>
      <c r="D540">
        <v>37</v>
      </c>
    </row>
    <row r="541" spans="1:4" x14ac:dyDescent="0.25">
      <c r="A541" s="1">
        <v>42810</v>
      </c>
      <c r="B541" s="2" t="s">
        <v>178</v>
      </c>
      <c r="C541" s="2" t="s">
        <v>333</v>
      </c>
      <c r="D541">
        <v>26</v>
      </c>
    </row>
    <row r="542" spans="1:4" x14ac:dyDescent="0.25">
      <c r="A542" s="1">
        <v>42810</v>
      </c>
      <c r="B542" s="2" t="s">
        <v>208</v>
      </c>
      <c r="C542" s="2" t="s">
        <v>475</v>
      </c>
      <c r="D542">
        <v>3</v>
      </c>
    </row>
    <row r="543" spans="1:4" x14ac:dyDescent="0.25">
      <c r="A543" s="1">
        <v>42810</v>
      </c>
      <c r="B543" s="2" t="s">
        <v>476</v>
      </c>
      <c r="C543" s="2" t="s">
        <v>477</v>
      </c>
      <c r="D543">
        <v>52</v>
      </c>
    </row>
    <row r="544" spans="1:4" x14ac:dyDescent="0.25">
      <c r="A544" s="1">
        <v>42810</v>
      </c>
      <c r="B544" s="2" t="s">
        <v>10</v>
      </c>
      <c r="C544" s="2" t="s">
        <v>266</v>
      </c>
      <c r="D544">
        <v>24</v>
      </c>
    </row>
    <row r="545" spans="1:4" x14ac:dyDescent="0.25">
      <c r="A545" s="1">
        <v>42810</v>
      </c>
      <c r="B545" s="2" t="s">
        <v>12</v>
      </c>
      <c r="C545" s="2" t="s">
        <v>386</v>
      </c>
      <c r="D545">
        <v>43</v>
      </c>
    </row>
    <row r="546" spans="1:4" x14ac:dyDescent="0.25">
      <c r="A546" s="1">
        <v>42810</v>
      </c>
      <c r="B546" s="2" t="s">
        <v>128</v>
      </c>
      <c r="C546" s="2" t="s">
        <v>478</v>
      </c>
      <c r="D546">
        <v>54</v>
      </c>
    </row>
    <row r="547" spans="1:4" x14ac:dyDescent="0.25">
      <c r="A547" s="1">
        <v>42810</v>
      </c>
      <c r="B547" s="2" t="s">
        <v>119</v>
      </c>
      <c r="C547" s="2" t="s">
        <v>120</v>
      </c>
      <c r="D547">
        <v>42</v>
      </c>
    </row>
    <row r="548" spans="1:4" x14ac:dyDescent="0.25">
      <c r="A548" s="1">
        <v>42811</v>
      </c>
      <c r="B548" s="2" t="s">
        <v>479</v>
      </c>
      <c r="C548" s="2" t="s">
        <v>480</v>
      </c>
      <c r="D548">
        <v>10</v>
      </c>
    </row>
    <row r="549" spans="1:4" x14ac:dyDescent="0.25">
      <c r="A549" s="1">
        <v>42811</v>
      </c>
      <c r="B549" s="2" t="s">
        <v>232</v>
      </c>
      <c r="C549" s="2" t="s">
        <v>405</v>
      </c>
      <c r="D549">
        <v>40</v>
      </c>
    </row>
    <row r="550" spans="1:4" x14ac:dyDescent="0.25">
      <c r="A550" s="1">
        <v>42811</v>
      </c>
      <c r="B550" s="2" t="s">
        <v>34</v>
      </c>
      <c r="C550" s="2" t="s">
        <v>481</v>
      </c>
      <c r="D550">
        <v>16</v>
      </c>
    </row>
    <row r="551" spans="1:4" x14ac:dyDescent="0.25">
      <c r="A551" s="1">
        <v>42811</v>
      </c>
      <c r="B551" s="2" t="s">
        <v>299</v>
      </c>
      <c r="C551" s="2" t="s">
        <v>482</v>
      </c>
      <c r="D551">
        <v>27</v>
      </c>
    </row>
    <row r="552" spans="1:4" x14ac:dyDescent="0.25">
      <c r="A552" s="1">
        <v>42811</v>
      </c>
      <c r="B552" s="2" t="s">
        <v>8</v>
      </c>
      <c r="C552" s="2" t="s">
        <v>9</v>
      </c>
      <c r="D552">
        <v>14</v>
      </c>
    </row>
    <row r="553" spans="1:4" x14ac:dyDescent="0.25">
      <c r="A553" s="1">
        <v>42811</v>
      </c>
      <c r="B553" s="2" t="s">
        <v>131</v>
      </c>
      <c r="C553" s="2" t="s">
        <v>132</v>
      </c>
      <c r="D553">
        <v>5</v>
      </c>
    </row>
    <row r="554" spans="1:4" x14ac:dyDescent="0.25">
      <c r="A554" s="1">
        <v>42811</v>
      </c>
      <c r="B554" s="2" t="s">
        <v>101</v>
      </c>
      <c r="C554" s="2" t="s">
        <v>263</v>
      </c>
      <c r="D554">
        <v>23</v>
      </c>
    </row>
    <row r="555" spans="1:4" x14ac:dyDescent="0.25">
      <c r="A555" s="1">
        <v>42811</v>
      </c>
      <c r="B555" s="2" t="s">
        <v>67</v>
      </c>
      <c r="C555" s="2" t="s">
        <v>460</v>
      </c>
      <c r="D555">
        <v>17</v>
      </c>
    </row>
    <row r="556" spans="1:4" x14ac:dyDescent="0.25">
      <c r="A556" s="1">
        <v>42811</v>
      </c>
      <c r="B556" s="2" t="s">
        <v>193</v>
      </c>
      <c r="C556" s="2" t="s">
        <v>483</v>
      </c>
      <c r="D556">
        <v>54</v>
      </c>
    </row>
    <row r="557" spans="1:4" x14ac:dyDescent="0.25">
      <c r="A557" s="1">
        <v>42811</v>
      </c>
      <c r="B557" s="2" t="s">
        <v>484</v>
      </c>
      <c r="C557" s="2" t="s">
        <v>485</v>
      </c>
      <c r="D557">
        <v>24</v>
      </c>
    </row>
    <row r="558" spans="1:4" x14ac:dyDescent="0.25">
      <c r="A558" s="1">
        <v>42814</v>
      </c>
      <c r="B558" s="2" t="s">
        <v>176</v>
      </c>
      <c r="C558" s="2" t="s">
        <v>486</v>
      </c>
      <c r="D558">
        <v>19</v>
      </c>
    </row>
    <row r="559" spans="1:4" x14ac:dyDescent="0.25">
      <c r="A559" s="1">
        <v>42814</v>
      </c>
      <c r="B559" s="2" t="s">
        <v>232</v>
      </c>
      <c r="C559" s="2" t="s">
        <v>487</v>
      </c>
      <c r="D559">
        <v>17</v>
      </c>
    </row>
    <row r="560" spans="1:4" x14ac:dyDescent="0.25">
      <c r="A560" s="1">
        <v>42814</v>
      </c>
      <c r="B560" s="2" t="s">
        <v>81</v>
      </c>
      <c r="C560" s="2" t="s">
        <v>488</v>
      </c>
      <c r="D560">
        <v>20</v>
      </c>
    </row>
    <row r="561" spans="1:4" x14ac:dyDescent="0.25">
      <c r="A561" s="1">
        <v>42814</v>
      </c>
      <c r="B561" s="2" t="s">
        <v>193</v>
      </c>
      <c r="C561" s="2" t="s">
        <v>194</v>
      </c>
      <c r="D561">
        <v>42</v>
      </c>
    </row>
    <row r="562" spans="1:4" x14ac:dyDescent="0.25">
      <c r="A562" s="1">
        <v>42814</v>
      </c>
      <c r="B562" s="2" t="s">
        <v>36</v>
      </c>
      <c r="C562" s="2" t="s">
        <v>37</v>
      </c>
      <c r="D562">
        <v>14</v>
      </c>
    </row>
    <row r="563" spans="1:4" x14ac:dyDescent="0.25">
      <c r="A563" s="1">
        <v>42814</v>
      </c>
      <c r="B563" s="2" t="s">
        <v>4</v>
      </c>
      <c r="C563" s="2" t="s">
        <v>489</v>
      </c>
      <c r="D563">
        <v>10</v>
      </c>
    </row>
    <row r="564" spans="1:4" x14ac:dyDescent="0.25">
      <c r="A564" s="1">
        <v>42814</v>
      </c>
      <c r="B564" s="2" t="s">
        <v>36</v>
      </c>
      <c r="C564" s="2" t="s">
        <v>490</v>
      </c>
      <c r="D564">
        <v>24</v>
      </c>
    </row>
    <row r="565" spans="1:4" x14ac:dyDescent="0.25">
      <c r="A565" s="1">
        <v>42814</v>
      </c>
      <c r="B565" s="2" t="s">
        <v>97</v>
      </c>
      <c r="C565" s="2" t="s">
        <v>309</v>
      </c>
      <c r="D565">
        <v>10</v>
      </c>
    </row>
    <row r="566" spans="1:4" x14ac:dyDescent="0.25">
      <c r="A566" s="1">
        <v>42814</v>
      </c>
      <c r="B566" s="2" t="s">
        <v>314</v>
      </c>
      <c r="C566" s="2" t="s">
        <v>315</v>
      </c>
      <c r="D566">
        <v>17</v>
      </c>
    </row>
    <row r="567" spans="1:4" x14ac:dyDescent="0.25">
      <c r="A567" s="1">
        <v>42814</v>
      </c>
      <c r="B567" s="2" t="s">
        <v>8</v>
      </c>
      <c r="C567" s="2" t="s">
        <v>491</v>
      </c>
      <c r="D567">
        <v>4</v>
      </c>
    </row>
    <row r="568" spans="1:4" x14ac:dyDescent="0.25">
      <c r="A568" s="1">
        <v>42815</v>
      </c>
      <c r="B568" s="2" t="s">
        <v>55</v>
      </c>
      <c r="C568" s="2" t="s">
        <v>492</v>
      </c>
      <c r="D568">
        <v>30</v>
      </c>
    </row>
    <row r="569" spans="1:4" x14ac:dyDescent="0.25">
      <c r="A569" s="1">
        <v>42815</v>
      </c>
      <c r="B569" s="2" t="s">
        <v>374</v>
      </c>
      <c r="C569" s="2" t="s">
        <v>375</v>
      </c>
      <c r="D569">
        <v>13</v>
      </c>
    </row>
    <row r="570" spans="1:4" x14ac:dyDescent="0.25">
      <c r="A570" s="1">
        <v>42815</v>
      </c>
      <c r="B570" s="2" t="s">
        <v>206</v>
      </c>
      <c r="C570" s="2" t="s">
        <v>332</v>
      </c>
      <c r="D570">
        <v>8</v>
      </c>
    </row>
    <row r="571" spans="1:4" x14ac:dyDescent="0.25">
      <c r="A571" s="1">
        <v>42815</v>
      </c>
      <c r="B571" s="2" t="s">
        <v>55</v>
      </c>
      <c r="C571" s="2" t="s">
        <v>493</v>
      </c>
      <c r="D571">
        <v>21</v>
      </c>
    </row>
    <row r="572" spans="1:4" x14ac:dyDescent="0.25">
      <c r="A572" s="1">
        <v>42815</v>
      </c>
      <c r="B572" s="2" t="s">
        <v>494</v>
      </c>
      <c r="C572" s="2" t="s">
        <v>495</v>
      </c>
      <c r="D572">
        <v>7</v>
      </c>
    </row>
    <row r="573" spans="1:4" x14ac:dyDescent="0.25">
      <c r="A573" s="1">
        <v>42815</v>
      </c>
      <c r="B573" s="2" t="s">
        <v>97</v>
      </c>
      <c r="C573" s="2" t="s">
        <v>188</v>
      </c>
      <c r="D573">
        <v>13</v>
      </c>
    </row>
    <row r="574" spans="1:4" x14ac:dyDescent="0.25">
      <c r="A574" s="1">
        <v>42815</v>
      </c>
      <c r="B574" s="2" t="s">
        <v>81</v>
      </c>
      <c r="C574" s="2" t="s">
        <v>496</v>
      </c>
      <c r="D574">
        <v>19</v>
      </c>
    </row>
    <row r="575" spans="1:4" x14ac:dyDescent="0.25">
      <c r="A575" s="1">
        <v>42815</v>
      </c>
      <c r="B575" s="2" t="s">
        <v>128</v>
      </c>
      <c r="C575" s="2" t="s">
        <v>309</v>
      </c>
      <c r="D575">
        <v>47</v>
      </c>
    </row>
    <row r="576" spans="1:4" x14ac:dyDescent="0.25">
      <c r="A576" s="1">
        <v>42815</v>
      </c>
      <c r="B576" s="2" t="s">
        <v>355</v>
      </c>
      <c r="C576" s="2" t="s">
        <v>356</v>
      </c>
      <c r="D576">
        <v>15</v>
      </c>
    </row>
    <row r="577" spans="1:4" x14ac:dyDescent="0.25">
      <c r="A577" s="1">
        <v>42815</v>
      </c>
      <c r="B577" s="2" t="s">
        <v>355</v>
      </c>
      <c r="C577" s="2" t="s">
        <v>497</v>
      </c>
      <c r="D577">
        <v>50</v>
      </c>
    </row>
    <row r="578" spans="1:4" x14ac:dyDescent="0.25">
      <c r="A578" s="1">
        <v>42816</v>
      </c>
      <c r="B578" s="2" t="s">
        <v>498</v>
      </c>
      <c r="C578" s="2" t="s">
        <v>110</v>
      </c>
      <c r="D578">
        <v>10</v>
      </c>
    </row>
    <row r="579" spans="1:4" x14ac:dyDescent="0.25">
      <c r="A579" s="1">
        <v>42816</v>
      </c>
      <c r="B579" s="2" t="s">
        <v>267</v>
      </c>
      <c r="C579" s="2" t="s">
        <v>268</v>
      </c>
      <c r="D579">
        <v>21</v>
      </c>
    </row>
    <row r="580" spans="1:4" x14ac:dyDescent="0.25">
      <c r="A580" s="1">
        <v>42816</v>
      </c>
      <c r="B580" s="2" t="s">
        <v>133</v>
      </c>
      <c r="C580" s="2" t="s">
        <v>499</v>
      </c>
      <c r="D580">
        <v>7</v>
      </c>
    </row>
    <row r="581" spans="1:4" x14ac:dyDescent="0.25">
      <c r="A581" s="1">
        <v>42816</v>
      </c>
      <c r="B581" s="2" t="s">
        <v>47</v>
      </c>
      <c r="C581" s="2" t="s">
        <v>334</v>
      </c>
      <c r="D581">
        <v>13</v>
      </c>
    </row>
    <row r="582" spans="1:4" x14ac:dyDescent="0.25">
      <c r="A582" s="1">
        <v>42816</v>
      </c>
      <c r="B582" s="2" t="s">
        <v>18</v>
      </c>
      <c r="C582" s="2" t="s">
        <v>19</v>
      </c>
      <c r="D582">
        <v>27</v>
      </c>
    </row>
    <row r="583" spans="1:4" x14ac:dyDescent="0.25">
      <c r="A583" s="1">
        <v>42816</v>
      </c>
      <c r="B583" s="2" t="s">
        <v>75</v>
      </c>
      <c r="C583" s="2" t="s">
        <v>500</v>
      </c>
      <c r="D583">
        <v>23</v>
      </c>
    </row>
    <row r="584" spans="1:4" x14ac:dyDescent="0.25">
      <c r="A584" s="1">
        <v>42816</v>
      </c>
      <c r="B584" s="2" t="s">
        <v>18</v>
      </c>
      <c r="C584" s="2" t="s">
        <v>19</v>
      </c>
      <c r="D584">
        <v>18</v>
      </c>
    </row>
    <row r="585" spans="1:4" x14ac:dyDescent="0.25">
      <c r="A585" s="1">
        <v>42816</v>
      </c>
      <c r="B585" s="2" t="s">
        <v>178</v>
      </c>
      <c r="C585" s="2" t="s">
        <v>376</v>
      </c>
      <c r="D585">
        <v>16</v>
      </c>
    </row>
    <row r="586" spans="1:4" x14ac:dyDescent="0.25">
      <c r="A586" s="1">
        <v>42816</v>
      </c>
      <c r="B586" s="2" t="s">
        <v>83</v>
      </c>
      <c r="C586" s="2" t="s">
        <v>350</v>
      </c>
      <c r="D586">
        <v>21</v>
      </c>
    </row>
    <row r="587" spans="1:4" x14ac:dyDescent="0.25">
      <c r="A587" s="1">
        <v>42816</v>
      </c>
      <c r="B587" s="2" t="s">
        <v>393</v>
      </c>
      <c r="C587" s="2" t="s">
        <v>419</v>
      </c>
      <c r="D587">
        <v>17</v>
      </c>
    </row>
    <row r="588" spans="1:4" x14ac:dyDescent="0.25">
      <c r="A588" s="1">
        <v>42817</v>
      </c>
      <c r="B588" s="2" t="s">
        <v>30</v>
      </c>
      <c r="C588" s="2" t="s">
        <v>89</v>
      </c>
      <c r="D588">
        <v>21</v>
      </c>
    </row>
    <row r="589" spans="1:4" x14ac:dyDescent="0.25">
      <c r="A589" s="1">
        <v>42817</v>
      </c>
      <c r="B589" s="2" t="s">
        <v>343</v>
      </c>
      <c r="C589" s="2" t="s">
        <v>501</v>
      </c>
      <c r="D589">
        <v>19</v>
      </c>
    </row>
    <row r="590" spans="1:4" x14ac:dyDescent="0.25">
      <c r="A590" s="1">
        <v>42817</v>
      </c>
      <c r="B590" s="2" t="s">
        <v>393</v>
      </c>
      <c r="C590" s="2" t="s">
        <v>398</v>
      </c>
      <c r="D590">
        <v>24</v>
      </c>
    </row>
    <row r="591" spans="1:4" x14ac:dyDescent="0.25">
      <c r="A591" s="1">
        <v>42817</v>
      </c>
      <c r="B591" s="2" t="s">
        <v>442</v>
      </c>
      <c r="C591" s="2" t="s">
        <v>502</v>
      </c>
      <c r="D591">
        <v>16</v>
      </c>
    </row>
    <row r="592" spans="1:4" x14ac:dyDescent="0.25">
      <c r="A592" s="1">
        <v>42817</v>
      </c>
      <c r="B592" s="2" t="s">
        <v>503</v>
      </c>
      <c r="C592" s="2" t="s">
        <v>183</v>
      </c>
      <c r="D592">
        <v>8</v>
      </c>
    </row>
    <row r="593" spans="1:4" x14ac:dyDescent="0.25">
      <c r="A593" s="1">
        <v>42817</v>
      </c>
      <c r="B593" s="2" t="s">
        <v>232</v>
      </c>
      <c r="C593" s="2" t="s">
        <v>233</v>
      </c>
      <c r="D593">
        <v>27</v>
      </c>
    </row>
    <row r="594" spans="1:4" x14ac:dyDescent="0.25">
      <c r="A594" s="1">
        <v>42817</v>
      </c>
      <c r="B594" s="2" t="s">
        <v>393</v>
      </c>
      <c r="C594" s="2" t="s">
        <v>394</v>
      </c>
      <c r="D594">
        <v>25</v>
      </c>
    </row>
    <row r="595" spans="1:4" x14ac:dyDescent="0.25">
      <c r="A595" s="1">
        <v>42817</v>
      </c>
      <c r="B595" s="2" t="s">
        <v>36</v>
      </c>
      <c r="C595" s="2" t="s">
        <v>295</v>
      </c>
      <c r="D595">
        <v>10</v>
      </c>
    </row>
    <row r="596" spans="1:4" x14ac:dyDescent="0.25">
      <c r="A596" s="1">
        <v>42817</v>
      </c>
      <c r="B596" s="2" t="s">
        <v>10</v>
      </c>
      <c r="C596" s="2" t="s">
        <v>504</v>
      </c>
      <c r="D596">
        <v>11</v>
      </c>
    </row>
    <row r="597" spans="1:4" x14ac:dyDescent="0.25">
      <c r="A597" s="1">
        <v>42817</v>
      </c>
      <c r="B597" s="2" t="s">
        <v>310</v>
      </c>
      <c r="C597" s="2" t="s">
        <v>505</v>
      </c>
      <c r="D597">
        <v>3</v>
      </c>
    </row>
    <row r="598" spans="1:4" x14ac:dyDescent="0.25">
      <c r="A598" s="1">
        <v>42818</v>
      </c>
      <c r="B598" s="2" t="s">
        <v>4</v>
      </c>
      <c r="C598" s="2" t="s">
        <v>489</v>
      </c>
      <c r="D598">
        <v>15</v>
      </c>
    </row>
    <row r="599" spans="1:4" x14ac:dyDescent="0.25">
      <c r="A599" s="1">
        <v>42818</v>
      </c>
      <c r="B599" s="2" t="s">
        <v>87</v>
      </c>
      <c r="C599" s="2" t="s">
        <v>124</v>
      </c>
      <c r="D599">
        <v>14</v>
      </c>
    </row>
    <row r="600" spans="1:4" x14ac:dyDescent="0.25">
      <c r="A600" s="1">
        <v>42818</v>
      </c>
      <c r="B600" s="2" t="s">
        <v>55</v>
      </c>
      <c r="C600" s="2" t="s">
        <v>506</v>
      </c>
      <c r="D600">
        <v>37</v>
      </c>
    </row>
    <row r="601" spans="1:4" x14ac:dyDescent="0.25">
      <c r="A601" s="1">
        <v>42818</v>
      </c>
      <c r="B601" s="2" t="s">
        <v>43</v>
      </c>
      <c r="C601" s="2" t="s">
        <v>507</v>
      </c>
      <c r="D601">
        <v>22</v>
      </c>
    </row>
    <row r="602" spans="1:4" x14ac:dyDescent="0.25">
      <c r="A602" s="1">
        <v>42818</v>
      </c>
      <c r="B602" s="2" t="s">
        <v>67</v>
      </c>
      <c r="C602" s="2" t="s">
        <v>301</v>
      </c>
      <c r="D602">
        <v>5</v>
      </c>
    </row>
    <row r="603" spans="1:4" x14ac:dyDescent="0.25">
      <c r="A603" s="1">
        <v>42818</v>
      </c>
      <c r="B603" s="2" t="s">
        <v>30</v>
      </c>
      <c r="C603" s="2" t="s">
        <v>227</v>
      </c>
      <c r="D603">
        <v>29</v>
      </c>
    </row>
    <row r="604" spans="1:4" x14ac:dyDescent="0.25">
      <c r="A604" s="1">
        <v>42818</v>
      </c>
      <c r="B604" s="2" t="s">
        <v>32</v>
      </c>
      <c r="C604" s="2" t="s">
        <v>33</v>
      </c>
      <c r="D604">
        <v>25</v>
      </c>
    </row>
    <row r="605" spans="1:4" x14ac:dyDescent="0.25">
      <c r="A605" s="1">
        <v>42818</v>
      </c>
      <c r="B605" s="2" t="s">
        <v>101</v>
      </c>
      <c r="C605" s="2" t="s">
        <v>223</v>
      </c>
      <c r="D605">
        <v>52</v>
      </c>
    </row>
    <row r="606" spans="1:4" x14ac:dyDescent="0.25">
      <c r="A606" s="1">
        <v>42818</v>
      </c>
      <c r="B606" s="2" t="s">
        <v>508</v>
      </c>
      <c r="C606" s="2" t="s">
        <v>509</v>
      </c>
      <c r="D606">
        <v>2</v>
      </c>
    </row>
    <row r="607" spans="1:4" x14ac:dyDescent="0.25">
      <c r="A607" s="1">
        <v>42818</v>
      </c>
      <c r="B607" s="2" t="s">
        <v>75</v>
      </c>
      <c r="C607" s="2" t="s">
        <v>76</v>
      </c>
      <c r="D607">
        <v>27</v>
      </c>
    </row>
    <row r="608" spans="1:4" x14ac:dyDescent="0.25">
      <c r="A608" s="1">
        <v>42821</v>
      </c>
      <c r="B608" s="2" t="s">
        <v>121</v>
      </c>
      <c r="C608" s="2" t="s">
        <v>122</v>
      </c>
      <c r="D608">
        <v>43</v>
      </c>
    </row>
    <row r="609" spans="1:4" x14ac:dyDescent="0.25">
      <c r="A609" s="1">
        <v>42821</v>
      </c>
      <c r="B609" s="2" t="s">
        <v>169</v>
      </c>
      <c r="C609" s="2" t="s">
        <v>170</v>
      </c>
      <c r="D609">
        <v>23</v>
      </c>
    </row>
    <row r="610" spans="1:4" x14ac:dyDescent="0.25">
      <c r="A610" s="1">
        <v>42821</v>
      </c>
      <c r="B610" s="2" t="s">
        <v>361</v>
      </c>
      <c r="C610" s="2" t="s">
        <v>362</v>
      </c>
      <c r="D610">
        <v>19</v>
      </c>
    </row>
    <row r="611" spans="1:4" x14ac:dyDescent="0.25">
      <c r="A611" s="1">
        <v>42821</v>
      </c>
      <c r="B611" s="2" t="s">
        <v>16</v>
      </c>
      <c r="C611" s="2" t="s">
        <v>440</v>
      </c>
      <c r="D611">
        <v>36</v>
      </c>
    </row>
    <row r="612" spans="1:4" x14ac:dyDescent="0.25">
      <c r="A612" s="1">
        <v>42821</v>
      </c>
      <c r="B612" s="2" t="s">
        <v>57</v>
      </c>
      <c r="C612" s="2" t="s">
        <v>418</v>
      </c>
      <c r="D612">
        <v>26</v>
      </c>
    </row>
    <row r="613" spans="1:4" x14ac:dyDescent="0.25">
      <c r="A613" s="1">
        <v>42821</v>
      </c>
      <c r="B613" s="2" t="s">
        <v>143</v>
      </c>
      <c r="C613" s="2" t="s">
        <v>510</v>
      </c>
      <c r="D613">
        <v>24</v>
      </c>
    </row>
    <row r="614" spans="1:4" x14ac:dyDescent="0.25">
      <c r="A614" s="1">
        <v>42821</v>
      </c>
      <c r="B614" s="2" t="s">
        <v>119</v>
      </c>
      <c r="C614" s="2" t="s">
        <v>380</v>
      </c>
      <c r="D614">
        <v>5</v>
      </c>
    </row>
    <row r="615" spans="1:4" x14ac:dyDescent="0.25">
      <c r="A615" s="1">
        <v>42821</v>
      </c>
      <c r="B615" s="2" t="s">
        <v>39</v>
      </c>
      <c r="C615" s="2" t="s">
        <v>391</v>
      </c>
      <c r="D615">
        <v>53</v>
      </c>
    </row>
    <row r="616" spans="1:4" x14ac:dyDescent="0.25">
      <c r="A616" s="1">
        <v>42821</v>
      </c>
      <c r="B616" s="2" t="s">
        <v>10</v>
      </c>
      <c r="C616" s="2" t="s">
        <v>504</v>
      </c>
      <c r="D616">
        <v>18</v>
      </c>
    </row>
    <row r="617" spans="1:4" x14ac:dyDescent="0.25">
      <c r="A617" s="1">
        <v>42821</v>
      </c>
      <c r="B617" s="2" t="s">
        <v>36</v>
      </c>
      <c r="C617" s="2" t="s">
        <v>490</v>
      </c>
      <c r="D617">
        <v>15</v>
      </c>
    </row>
    <row r="618" spans="1:4" x14ac:dyDescent="0.25">
      <c r="A618" s="1">
        <v>42822</v>
      </c>
      <c r="B618" s="2" t="s">
        <v>152</v>
      </c>
      <c r="C618" s="2" t="s">
        <v>511</v>
      </c>
      <c r="D618">
        <v>20</v>
      </c>
    </row>
    <row r="619" spans="1:4" x14ac:dyDescent="0.25">
      <c r="A619" s="1">
        <v>42822</v>
      </c>
      <c r="B619" s="2" t="s">
        <v>141</v>
      </c>
      <c r="C619" s="2" t="s">
        <v>512</v>
      </c>
      <c r="D619">
        <v>34</v>
      </c>
    </row>
    <row r="620" spans="1:4" x14ac:dyDescent="0.25">
      <c r="A620" s="1">
        <v>42822</v>
      </c>
      <c r="B620" s="2" t="s">
        <v>63</v>
      </c>
      <c r="C620" s="2" t="s">
        <v>64</v>
      </c>
      <c r="D620">
        <v>35</v>
      </c>
    </row>
    <row r="621" spans="1:4" x14ac:dyDescent="0.25">
      <c r="A621" s="1">
        <v>42822</v>
      </c>
      <c r="B621" s="2" t="s">
        <v>83</v>
      </c>
      <c r="C621" s="2" t="s">
        <v>513</v>
      </c>
      <c r="D621">
        <v>29</v>
      </c>
    </row>
    <row r="622" spans="1:4" x14ac:dyDescent="0.25">
      <c r="A622" s="1">
        <v>42822</v>
      </c>
      <c r="B622" s="2" t="s">
        <v>442</v>
      </c>
      <c r="C622" s="2" t="s">
        <v>502</v>
      </c>
      <c r="D622">
        <v>7</v>
      </c>
    </row>
    <row r="623" spans="1:4" x14ac:dyDescent="0.25">
      <c r="A623" s="1">
        <v>42822</v>
      </c>
      <c r="B623" s="2" t="s">
        <v>41</v>
      </c>
      <c r="C623" s="2" t="s">
        <v>238</v>
      </c>
      <c r="D623">
        <v>10</v>
      </c>
    </row>
    <row r="624" spans="1:4" x14ac:dyDescent="0.25">
      <c r="A624" s="1">
        <v>42822</v>
      </c>
      <c r="B624" s="2" t="s">
        <v>514</v>
      </c>
      <c r="C624" s="2" t="s">
        <v>515</v>
      </c>
      <c r="D624">
        <v>14</v>
      </c>
    </row>
    <row r="625" spans="1:4" x14ac:dyDescent="0.25">
      <c r="A625" s="1">
        <v>42822</v>
      </c>
      <c r="B625" s="2" t="s">
        <v>234</v>
      </c>
      <c r="C625" s="2" t="s">
        <v>516</v>
      </c>
      <c r="D625">
        <v>23</v>
      </c>
    </row>
    <row r="626" spans="1:4" x14ac:dyDescent="0.25">
      <c r="A626" s="1">
        <v>42822</v>
      </c>
      <c r="B626" s="2" t="s">
        <v>232</v>
      </c>
      <c r="C626" s="2" t="s">
        <v>487</v>
      </c>
      <c r="D626">
        <v>26</v>
      </c>
    </row>
    <row r="627" spans="1:4" x14ac:dyDescent="0.25">
      <c r="A627" s="1">
        <v>42822</v>
      </c>
      <c r="B627" s="2" t="s">
        <v>280</v>
      </c>
      <c r="C627" s="2" t="s">
        <v>281</v>
      </c>
      <c r="D627">
        <v>2</v>
      </c>
    </row>
    <row r="628" spans="1:4" x14ac:dyDescent="0.25">
      <c r="A628" s="1">
        <v>42823</v>
      </c>
      <c r="B628" s="2" t="s">
        <v>119</v>
      </c>
      <c r="C628" s="2" t="s">
        <v>319</v>
      </c>
      <c r="D628">
        <v>36</v>
      </c>
    </row>
    <row r="629" spans="1:4" x14ac:dyDescent="0.25">
      <c r="A629" s="1">
        <v>42823</v>
      </c>
      <c r="B629" s="2" t="s">
        <v>119</v>
      </c>
      <c r="C629" s="2" t="s">
        <v>517</v>
      </c>
      <c r="D629">
        <v>18</v>
      </c>
    </row>
    <row r="630" spans="1:4" x14ac:dyDescent="0.25">
      <c r="A630" s="1">
        <v>42823</v>
      </c>
      <c r="B630" s="2" t="s">
        <v>83</v>
      </c>
      <c r="C630" s="2" t="s">
        <v>518</v>
      </c>
      <c r="D630">
        <v>23</v>
      </c>
    </row>
    <row r="631" spans="1:4" x14ac:dyDescent="0.25">
      <c r="A631" s="1">
        <v>42823</v>
      </c>
      <c r="B631" s="2" t="s">
        <v>143</v>
      </c>
      <c r="C631" s="2" t="s">
        <v>510</v>
      </c>
      <c r="D631">
        <v>20</v>
      </c>
    </row>
    <row r="632" spans="1:4" x14ac:dyDescent="0.25">
      <c r="A632" s="1">
        <v>42823</v>
      </c>
      <c r="B632" s="2" t="s">
        <v>193</v>
      </c>
      <c r="C632" s="2" t="s">
        <v>369</v>
      </c>
      <c r="D632">
        <v>16</v>
      </c>
    </row>
    <row r="633" spans="1:4" x14ac:dyDescent="0.25">
      <c r="A633" s="1">
        <v>42823</v>
      </c>
      <c r="B633" s="2" t="s">
        <v>519</v>
      </c>
      <c r="C633" s="2" t="s">
        <v>520</v>
      </c>
      <c r="D633">
        <v>7</v>
      </c>
    </row>
    <row r="634" spans="1:4" x14ac:dyDescent="0.25">
      <c r="A634" s="1">
        <v>42823</v>
      </c>
      <c r="B634" s="2" t="s">
        <v>521</v>
      </c>
      <c r="C634" s="2" t="s">
        <v>410</v>
      </c>
      <c r="D634">
        <v>47</v>
      </c>
    </row>
    <row r="635" spans="1:4" x14ac:dyDescent="0.25">
      <c r="A635" s="1">
        <v>42823</v>
      </c>
      <c r="B635" s="2" t="s">
        <v>314</v>
      </c>
      <c r="C635" s="2" t="s">
        <v>366</v>
      </c>
      <c r="D635">
        <v>9</v>
      </c>
    </row>
    <row r="636" spans="1:4" x14ac:dyDescent="0.25">
      <c r="A636" s="1">
        <v>42823</v>
      </c>
      <c r="B636" s="2" t="s">
        <v>51</v>
      </c>
      <c r="C636" s="2" t="s">
        <v>522</v>
      </c>
      <c r="D636">
        <v>11</v>
      </c>
    </row>
    <row r="637" spans="1:4" x14ac:dyDescent="0.25">
      <c r="A637" s="1">
        <v>42823</v>
      </c>
      <c r="B637" s="2" t="s">
        <v>523</v>
      </c>
      <c r="C637" s="2" t="s">
        <v>524</v>
      </c>
      <c r="D637">
        <v>12</v>
      </c>
    </row>
    <row r="638" spans="1:4" x14ac:dyDescent="0.25">
      <c r="A638" s="1">
        <v>42824</v>
      </c>
      <c r="B638" s="2" t="s">
        <v>144</v>
      </c>
      <c r="C638" s="2" t="s">
        <v>525</v>
      </c>
      <c r="D638">
        <v>2</v>
      </c>
    </row>
    <row r="639" spans="1:4" x14ac:dyDescent="0.25">
      <c r="A639" s="1">
        <v>42824</v>
      </c>
      <c r="B639" s="2" t="s">
        <v>280</v>
      </c>
      <c r="C639" s="2" t="s">
        <v>281</v>
      </c>
      <c r="D639">
        <v>23</v>
      </c>
    </row>
    <row r="640" spans="1:4" x14ac:dyDescent="0.25">
      <c r="A640" s="1">
        <v>42824</v>
      </c>
      <c r="B640" s="2" t="s">
        <v>23</v>
      </c>
      <c r="C640" s="2" t="s">
        <v>24</v>
      </c>
      <c r="D640">
        <v>52</v>
      </c>
    </row>
    <row r="641" spans="1:4" x14ac:dyDescent="0.25">
      <c r="A641" s="1">
        <v>42824</v>
      </c>
      <c r="B641" s="2" t="s">
        <v>81</v>
      </c>
      <c r="C641" s="2" t="s">
        <v>145</v>
      </c>
      <c r="D641">
        <v>10</v>
      </c>
    </row>
    <row r="642" spans="1:4" x14ac:dyDescent="0.25">
      <c r="A642" s="1">
        <v>42824</v>
      </c>
      <c r="B642" s="2" t="s">
        <v>43</v>
      </c>
      <c r="C642" s="2" t="s">
        <v>124</v>
      </c>
      <c r="D642">
        <v>47</v>
      </c>
    </row>
    <row r="643" spans="1:4" x14ac:dyDescent="0.25">
      <c r="A643" s="1">
        <v>42824</v>
      </c>
      <c r="B643" s="2" t="s">
        <v>503</v>
      </c>
      <c r="C643" s="2" t="s">
        <v>183</v>
      </c>
      <c r="D643">
        <v>20</v>
      </c>
    </row>
    <row r="644" spans="1:4" x14ac:dyDescent="0.25">
      <c r="A644" s="1">
        <v>42824</v>
      </c>
      <c r="B644" s="2" t="s">
        <v>30</v>
      </c>
      <c r="C644" s="2" t="s">
        <v>241</v>
      </c>
      <c r="D644">
        <v>3</v>
      </c>
    </row>
    <row r="645" spans="1:4" x14ac:dyDescent="0.25">
      <c r="A645" s="1">
        <v>42824</v>
      </c>
      <c r="B645" s="2" t="s">
        <v>232</v>
      </c>
      <c r="C645" s="2" t="s">
        <v>526</v>
      </c>
      <c r="D645">
        <v>9</v>
      </c>
    </row>
    <row r="646" spans="1:4" x14ac:dyDescent="0.25">
      <c r="A646" s="1">
        <v>42824</v>
      </c>
      <c r="B646" s="2" t="s">
        <v>147</v>
      </c>
      <c r="C646" s="2" t="s">
        <v>527</v>
      </c>
      <c r="D646">
        <v>22</v>
      </c>
    </row>
    <row r="647" spans="1:4" x14ac:dyDescent="0.25">
      <c r="A647" s="1">
        <v>42824</v>
      </c>
      <c r="B647" s="2" t="s">
        <v>55</v>
      </c>
      <c r="C647" s="2" t="s">
        <v>326</v>
      </c>
      <c r="D647">
        <v>9</v>
      </c>
    </row>
    <row r="648" spans="1:4" x14ac:dyDescent="0.25">
      <c r="A648" s="1">
        <v>42825</v>
      </c>
      <c r="B648" s="2" t="s">
        <v>47</v>
      </c>
      <c r="C648" s="2" t="s">
        <v>334</v>
      </c>
      <c r="D648">
        <v>30</v>
      </c>
    </row>
    <row r="649" spans="1:4" x14ac:dyDescent="0.25">
      <c r="A649" s="1">
        <v>42825</v>
      </c>
      <c r="B649" s="2" t="s">
        <v>528</v>
      </c>
      <c r="C649" s="2" t="s">
        <v>428</v>
      </c>
      <c r="D649">
        <v>18</v>
      </c>
    </row>
    <row r="650" spans="1:4" x14ac:dyDescent="0.25">
      <c r="A650" s="1">
        <v>42825</v>
      </c>
      <c r="B650" s="2" t="s">
        <v>30</v>
      </c>
      <c r="C650" s="2" t="s">
        <v>86</v>
      </c>
      <c r="D650">
        <v>55</v>
      </c>
    </row>
    <row r="651" spans="1:4" x14ac:dyDescent="0.25">
      <c r="A651" s="1">
        <v>42825</v>
      </c>
      <c r="B651" s="2" t="s">
        <v>20</v>
      </c>
      <c r="C651" s="2" t="s">
        <v>381</v>
      </c>
      <c r="D651">
        <v>17</v>
      </c>
    </row>
    <row r="652" spans="1:4" x14ac:dyDescent="0.25">
      <c r="A652" s="1">
        <v>42825</v>
      </c>
      <c r="B652" s="2" t="s">
        <v>97</v>
      </c>
      <c r="C652" s="2" t="s">
        <v>529</v>
      </c>
      <c r="D652">
        <v>30</v>
      </c>
    </row>
    <row r="653" spans="1:4" x14ac:dyDescent="0.25">
      <c r="A653" s="1">
        <v>42825</v>
      </c>
      <c r="B653" s="2" t="s">
        <v>508</v>
      </c>
      <c r="C653" s="2" t="s">
        <v>509</v>
      </c>
      <c r="D653">
        <v>4</v>
      </c>
    </row>
    <row r="654" spans="1:4" x14ac:dyDescent="0.25">
      <c r="A654" s="1">
        <v>42825</v>
      </c>
      <c r="B654" s="2" t="s">
        <v>361</v>
      </c>
      <c r="C654" s="2" t="s">
        <v>362</v>
      </c>
      <c r="D654">
        <v>21</v>
      </c>
    </row>
    <row r="655" spans="1:4" x14ac:dyDescent="0.25">
      <c r="A655" s="1">
        <v>42825</v>
      </c>
      <c r="B655" s="2" t="s">
        <v>6</v>
      </c>
      <c r="C655" s="2" t="s">
        <v>7</v>
      </c>
      <c r="D655">
        <v>7</v>
      </c>
    </row>
    <row r="656" spans="1:4" x14ac:dyDescent="0.25">
      <c r="A656" s="1">
        <v>42825</v>
      </c>
      <c r="B656" s="2" t="s">
        <v>39</v>
      </c>
      <c r="C656" s="2" t="s">
        <v>40</v>
      </c>
      <c r="D656">
        <v>20</v>
      </c>
    </row>
    <row r="657" spans="1:4" x14ac:dyDescent="0.25">
      <c r="A657" s="1">
        <v>42825</v>
      </c>
      <c r="B657" s="2" t="s">
        <v>341</v>
      </c>
      <c r="C657" s="2" t="s">
        <v>342</v>
      </c>
      <c r="D657">
        <v>6</v>
      </c>
    </row>
    <row r="658" spans="1:4" x14ac:dyDescent="0.25">
      <c r="A658" s="1">
        <v>42828</v>
      </c>
      <c r="B658" s="2" t="s">
        <v>278</v>
      </c>
      <c r="C658" s="2" t="s">
        <v>530</v>
      </c>
      <c r="D658">
        <v>12</v>
      </c>
    </row>
    <row r="659" spans="1:4" x14ac:dyDescent="0.25">
      <c r="A659" s="1">
        <v>42828</v>
      </c>
      <c r="B659" s="2" t="s">
        <v>41</v>
      </c>
      <c r="C659" s="2" t="s">
        <v>238</v>
      </c>
      <c r="D659">
        <v>29</v>
      </c>
    </row>
    <row r="660" spans="1:4" x14ac:dyDescent="0.25">
      <c r="A660" s="1">
        <v>42828</v>
      </c>
      <c r="B660" s="2" t="s">
        <v>278</v>
      </c>
      <c r="C660" s="2" t="s">
        <v>202</v>
      </c>
      <c r="D660">
        <v>2</v>
      </c>
    </row>
    <row r="661" spans="1:4" x14ac:dyDescent="0.25">
      <c r="A661" s="1">
        <v>42828</v>
      </c>
      <c r="B661" s="2" t="s">
        <v>69</v>
      </c>
      <c r="C661" s="2" t="s">
        <v>353</v>
      </c>
      <c r="D661">
        <v>27</v>
      </c>
    </row>
    <row r="662" spans="1:4" x14ac:dyDescent="0.25">
      <c r="A662" s="1">
        <v>42828</v>
      </c>
      <c r="B662" s="2" t="s">
        <v>57</v>
      </c>
      <c r="C662" s="2" t="s">
        <v>531</v>
      </c>
      <c r="D662">
        <v>9</v>
      </c>
    </row>
    <row r="663" spans="1:4" x14ac:dyDescent="0.25">
      <c r="A663" s="1">
        <v>42828</v>
      </c>
      <c r="B663" s="2" t="s">
        <v>141</v>
      </c>
      <c r="C663" s="2" t="s">
        <v>202</v>
      </c>
      <c r="D663">
        <v>25</v>
      </c>
    </row>
    <row r="664" spans="1:4" x14ac:dyDescent="0.25">
      <c r="A664" s="1">
        <v>42828</v>
      </c>
      <c r="B664" s="2" t="s">
        <v>12</v>
      </c>
      <c r="C664" s="2" t="s">
        <v>532</v>
      </c>
      <c r="D664">
        <v>45</v>
      </c>
    </row>
    <row r="665" spans="1:4" x14ac:dyDescent="0.25">
      <c r="A665" s="1">
        <v>42828</v>
      </c>
      <c r="B665" s="2" t="s">
        <v>36</v>
      </c>
      <c r="C665" s="2" t="s">
        <v>533</v>
      </c>
      <c r="D665">
        <v>12</v>
      </c>
    </row>
    <row r="666" spans="1:4" x14ac:dyDescent="0.25">
      <c r="A666" s="1">
        <v>42828</v>
      </c>
      <c r="B666" s="2" t="s">
        <v>225</v>
      </c>
      <c r="C666" s="2" t="s">
        <v>226</v>
      </c>
      <c r="D666">
        <v>44</v>
      </c>
    </row>
    <row r="667" spans="1:4" x14ac:dyDescent="0.25">
      <c r="A667" s="1">
        <v>42828</v>
      </c>
      <c r="B667" s="2" t="s">
        <v>53</v>
      </c>
      <c r="C667" s="2" t="s">
        <v>227</v>
      </c>
      <c r="D667">
        <v>18</v>
      </c>
    </row>
    <row r="668" spans="1:4" x14ac:dyDescent="0.25">
      <c r="A668" s="1">
        <v>42829</v>
      </c>
      <c r="B668" s="2" t="s">
        <v>152</v>
      </c>
      <c r="C668" s="2" t="s">
        <v>534</v>
      </c>
      <c r="D668">
        <v>16</v>
      </c>
    </row>
    <row r="669" spans="1:4" x14ac:dyDescent="0.25">
      <c r="A669" s="1">
        <v>42829</v>
      </c>
      <c r="B669" s="2" t="s">
        <v>217</v>
      </c>
      <c r="C669" s="2" t="s">
        <v>218</v>
      </c>
      <c r="D669">
        <v>18</v>
      </c>
    </row>
    <row r="670" spans="1:4" x14ac:dyDescent="0.25">
      <c r="A670" s="1">
        <v>42829</v>
      </c>
      <c r="B670" s="2" t="s">
        <v>437</v>
      </c>
      <c r="C670" s="2" t="s">
        <v>199</v>
      </c>
      <c r="D670">
        <v>6</v>
      </c>
    </row>
    <row r="671" spans="1:4" x14ac:dyDescent="0.25">
      <c r="A671" s="1">
        <v>42829</v>
      </c>
      <c r="B671" s="2" t="s">
        <v>246</v>
      </c>
      <c r="C671" s="2" t="s">
        <v>247</v>
      </c>
      <c r="D671">
        <v>17</v>
      </c>
    </row>
    <row r="672" spans="1:4" x14ac:dyDescent="0.25">
      <c r="A672" s="1">
        <v>42829</v>
      </c>
      <c r="B672" s="2" t="s">
        <v>55</v>
      </c>
      <c r="C672" s="2" t="s">
        <v>265</v>
      </c>
      <c r="D672">
        <v>18</v>
      </c>
    </row>
    <row r="673" spans="1:4" x14ac:dyDescent="0.25">
      <c r="A673" s="1">
        <v>42829</v>
      </c>
      <c r="B673" s="2" t="s">
        <v>234</v>
      </c>
      <c r="C673" s="2" t="s">
        <v>516</v>
      </c>
      <c r="D673">
        <v>4</v>
      </c>
    </row>
    <row r="674" spans="1:4" x14ac:dyDescent="0.25">
      <c r="A674" s="1">
        <v>42829</v>
      </c>
      <c r="B674" s="2" t="s">
        <v>8</v>
      </c>
      <c r="C674" s="2" t="s">
        <v>9</v>
      </c>
      <c r="D674">
        <v>13</v>
      </c>
    </row>
    <row r="675" spans="1:4" x14ac:dyDescent="0.25">
      <c r="A675" s="1">
        <v>42829</v>
      </c>
      <c r="B675" s="2" t="s">
        <v>41</v>
      </c>
      <c r="C675" s="2" t="s">
        <v>302</v>
      </c>
      <c r="D675">
        <v>52</v>
      </c>
    </row>
    <row r="676" spans="1:4" x14ac:dyDescent="0.25">
      <c r="A676" s="1">
        <v>42829</v>
      </c>
      <c r="B676" s="2" t="s">
        <v>83</v>
      </c>
      <c r="C676" s="2" t="s">
        <v>470</v>
      </c>
      <c r="D676">
        <v>10</v>
      </c>
    </row>
    <row r="677" spans="1:4" x14ac:dyDescent="0.25">
      <c r="A677" s="1">
        <v>42829</v>
      </c>
      <c r="B677" s="2" t="s">
        <v>47</v>
      </c>
      <c r="C677" s="2" t="s">
        <v>48</v>
      </c>
      <c r="D677">
        <v>33</v>
      </c>
    </row>
    <row r="678" spans="1:4" x14ac:dyDescent="0.25">
      <c r="A678" s="1">
        <v>42830</v>
      </c>
      <c r="B678" s="2" t="s">
        <v>95</v>
      </c>
      <c r="C678" s="2" t="s">
        <v>96</v>
      </c>
      <c r="D678">
        <v>6</v>
      </c>
    </row>
    <row r="679" spans="1:4" x14ac:dyDescent="0.25">
      <c r="A679" s="1">
        <v>42830</v>
      </c>
      <c r="B679" s="2" t="s">
        <v>87</v>
      </c>
      <c r="C679" s="2" t="s">
        <v>255</v>
      </c>
      <c r="D679">
        <v>21</v>
      </c>
    </row>
    <row r="680" spans="1:4" x14ac:dyDescent="0.25">
      <c r="A680" s="1">
        <v>42830</v>
      </c>
      <c r="B680" s="2" t="s">
        <v>45</v>
      </c>
      <c r="C680" s="2" t="s">
        <v>46</v>
      </c>
      <c r="D680">
        <v>2</v>
      </c>
    </row>
    <row r="681" spans="1:4" x14ac:dyDescent="0.25">
      <c r="A681" s="1">
        <v>42830</v>
      </c>
      <c r="B681" s="2" t="s">
        <v>51</v>
      </c>
      <c r="C681" s="2" t="s">
        <v>469</v>
      </c>
      <c r="D681">
        <v>16</v>
      </c>
    </row>
    <row r="682" spans="1:4" x14ac:dyDescent="0.25">
      <c r="A682" s="1">
        <v>42830</v>
      </c>
      <c r="B682" s="2" t="s">
        <v>314</v>
      </c>
      <c r="C682" s="2" t="s">
        <v>466</v>
      </c>
      <c r="D682">
        <v>23</v>
      </c>
    </row>
    <row r="683" spans="1:4" x14ac:dyDescent="0.25">
      <c r="A683" s="1">
        <v>42830</v>
      </c>
      <c r="B683" s="2" t="s">
        <v>314</v>
      </c>
      <c r="C683" s="2" t="s">
        <v>535</v>
      </c>
      <c r="D683">
        <v>50</v>
      </c>
    </row>
    <row r="684" spans="1:4" x14ac:dyDescent="0.25">
      <c r="A684" s="1">
        <v>42830</v>
      </c>
      <c r="B684" s="2" t="s">
        <v>43</v>
      </c>
      <c r="C684" s="2" t="s">
        <v>71</v>
      </c>
      <c r="D684">
        <v>26</v>
      </c>
    </row>
    <row r="685" spans="1:4" x14ac:dyDescent="0.25">
      <c r="A685" s="1">
        <v>42830</v>
      </c>
      <c r="B685" s="2" t="s">
        <v>536</v>
      </c>
      <c r="C685" s="2" t="s">
        <v>537</v>
      </c>
      <c r="D685">
        <v>42</v>
      </c>
    </row>
    <row r="686" spans="1:4" x14ac:dyDescent="0.25">
      <c r="A686" s="1">
        <v>42830</v>
      </c>
      <c r="B686" s="2" t="s">
        <v>538</v>
      </c>
      <c r="C686" s="2" t="s">
        <v>539</v>
      </c>
      <c r="D686">
        <v>39</v>
      </c>
    </row>
    <row r="687" spans="1:4" x14ac:dyDescent="0.25">
      <c r="A687" s="1">
        <v>42831</v>
      </c>
      <c r="B687" s="2" t="s">
        <v>30</v>
      </c>
      <c r="C687" s="2" t="s">
        <v>432</v>
      </c>
      <c r="D687">
        <v>17</v>
      </c>
    </row>
    <row r="688" spans="1:4" x14ac:dyDescent="0.25">
      <c r="A688" s="1">
        <v>42831</v>
      </c>
      <c r="B688" s="2" t="s">
        <v>4</v>
      </c>
      <c r="C688" s="2" t="s">
        <v>386</v>
      </c>
      <c r="D688">
        <v>10</v>
      </c>
    </row>
    <row r="689" spans="1:4" x14ac:dyDescent="0.25">
      <c r="A689" s="1">
        <v>42831</v>
      </c>
      <c r="B689" s="2" t="s">
        <v>508</v>
      </c>
      <c r="C689" s="2" t="s">
        <v>509</v>
      </c>
      <c r="D689">
        <v>13</v>
      </c>
    </row>
    <row r="690" spans="1:4" x14ac:dyDescent="0.25">
      <c r="A690" s="1">
        <v>42831</v>
      </c>
      <c r="B690" s="2" t="s">
        <v>523</v>
      </c>
      <c r="C690" s="2" t="s">
        <v>524</v>
      </c>
      <c r="D690">
        <v>7</v>
      </c>
    </row>
    <row r="691" spans="1:4" x14ac:dyDescent="0.25">
      <c r="A691" s="1">
        <v>42831</v>
      </c>
      <c r="B691" s="2" t="s">
        <v>128</v>
      </c>
      <c r="C691" s="2" t="s">
        <v>129</v>
      </c>
      <c r="D691">
        <v>32</v>
      </c>
    </row>
    <row r="692" spans="1:4" x14ac:dyDescent="0.25">
      <c r="A692" s="1">
        <v>42831</v>
      </c>
      <c r="B692" s="2" t="s">
        <v>53</v>
      </c>
      <c r="C692" s="2" t="s">
        <v>389</v>
      </c>
      <c r="D692">
        <v>16</v>
      </c>
    </row>
    <row r="693" spans="1:4" x14ac:dyDescent="0.25">
      <c r="A693" s="1">
        <v>42831</v>
      </c>
      <c r="B693" s="2" t="s">
        <v>63</v>
      </c>
      <c r="C693" s="2" t="s">
        <v>411</v>
      </c>
      <c r="D693">
        <v>38</v>
      </c>
    </row>
    <row r="694" spans="1:4" x14ac:dyDescent="0.25">
      <c r="A694" s="1">
        <v>42831</v>
      </c>
      <c r="B694" s="2" t="s">
        <v>161</v>
      </c>
      <c r="C694" s="2" t="s">
        <v>214</v>
      </c>
      <c r="D694">
        <v>10</v>
      </c>
    </row>
    <row r="695" spans="1:4" x14ac:dyDescent="0.25">
      <c r="A695" s="1">
        <v>42832</v>
      </c>
      <c r="B695" s="2" t="s">
        <v>442</v>
      </c>
      <c r="C695" s="2" t="s">
        <v>540</v>
      </c>
      <c r="D695">
        <v>19</v>
      </c>
    </row>
    <row r="696" spans="1:4" x14ac:dyDescent="0.25">
      <c r="A696" s="1">
        <v>42832</v>
      </c>
      <c r="B696" s="2" t="s">
        <v>171</v>
      </c>
      <c r="C696" s="2" t="s">
        <v>468</v>
      </c>
      <c r="D696">
        <v>17</v>
      </c>
    </row>
    <row r="697" spans="1:4" x14ac:dyDescent="0.25">
      <c r="A697" s="1">
        <v>42832</v>
      </c>
      <c r="B697" s="2" t="s">
        <v>79</v>
      </c>
      <c r="C697" s="2" t="s">
        <v>80</v>
      </c>
      <c r="D697">
        <v>2</v>
      </c>
    </row>
    <row r="698" spans="1:4" x14ac:dyDescent="0.25">
      <c r="A698" s="1">
        <v>42832</v>
      </c>
      <c r="B698" s="2" t="s">
        <v>541</v>
      </c>
      <c r="C698" s="2" t="s">
        <v>542</v>
      </c>
      <c r="D698">
        <v>15</v>
      </c>
    </row>
    <row r="699" spans="1:4" x14ac:dyDescent="0.25">
      <c r="A699" s="1">
        <v>42832</v>
      </c>
      <c r="B699" s="2" t="s">
        <v>244</v>
      </c>
      <c r="C699" s="2" t="s">
        <v>245</v>
      </c>
      <c r="D699">
        <v>12</v>
      </c>
    </row>
    <row r="700" spans="1:4" x14ac:dyDescent="0.25">
      <c r="A700" s="1">
        <v>42832</v>
      </c>
      <c r="B700" s="2" t="s">
        <v>206</v>
      </c>
      <c r="C700" s="2" t="s">
        <v>332</v>
      </c>
      <c r="D700">
        <v>25</v>
      </c>
    </row>
    <row r="701" spans="1:4" x14ac:dyDescent="0.25">
      <c r="A701" s="1">
        <v>42832</v>
      </c>
      <c r="B701" s="2" t="s">
        <v>150</v>
      </c>
      <c r="C701" s="2" t="s">
        <v>258</v>
      </c>
      <c r="D701">
        <v>6</v>
      </c>
    </row>
    <row r="702" spans="1:4" x14ac:dyDescent="0.25">
      <c r="A702" s="1">
        <v>42832</v>
      </c>
      <c r="B702" s="2" t="s">
        <v>161</v>
      </c>
      <c r="C702" s="2" t="s">
        <v>162</v>
      </c>
      <c r="D702">
        <v>19</v>
      </c>
    </row>
    <row r="703" spans="1:4" x14ac:dyDescent="0.25">
      <c r="A703" s="1">
        <v>42835</v>
      </c>
      <c r="B703" s="2" t="s">
        <v>352</v>
      </c>
      <c r="C703" s="2" t="s">
        <v>363</v>
      </c>
      <c r="D703">
        <v>15</v>
      </c>
    </row>
    <row r="704" spans="1:4" x14ac:dyDescent="0.25">
      <c r="A704" s="1">
        <v>42835</v>
      </c>
      <c r="B704" s="2" t="s">
        <v>219</v>
      </c>
      <c r="C704" s="2" t="s">
        <v>543</v>
      </c>
      <c r="D704">
        <v>9</v>
      </c>
    </row>
    <row r="705" spans="1:4" x14ac:dyDescent="0.25">
      <c r="A705" s="1">
        <v>42835</v>
      </c>
      <c r="B705" s="2" t="s">
        <v>544</v>
      </c>
      <c r="C705" s="2" t="s">
        <v>145</v>
      </c>
      <c r="D705">
        <v>35</v>
      </c>
    </row>
    <row r="706" spans="1:4" x14ac:dyDescent="0.25">
      <c r="A706" s="1">
        <v>42835</v>
      </c>
      <c r="B706" s="2" t="s">
        <v>8</v>
      </c>
      <c r="C706" s="2" t="s">
        <v>545</v>
      </c>
      <c r="D706">
        <v>44</v>
      </c>
    </row>
    <row r="707" spans="1:4" x14ac:dyDescent="0.25">
      <c r="A707" s="1">
        <v>42835</v>
      </c>
      <c r="B707" s="2" t="s">
        <v>83</v>
      </c>
      <c r="C707" s="2" t="s">
        <v>84</v>
      </c>
      <c r="D707">
        <v>36</v>
      </c>
    </row>
    <row r="708" spans="1:4" x14ac:dyDescent="0.25">
      <c r="A708" s="1">
        <v>42835</v>
      </c>
      <c r="B708" s="2" t="s">
        <v>45</v>
      </c>
      <c r="C708" s="2" t="s">
        <v>546</v>
      </c>
      <c r="D708">
        <v>53</v>
      </c>
    </row>
    <row r="709" spans="1:4" x14ac:dyDescent="0.25">
      <c r="A709" s="1">
        <v>42835</v>
      </c>
      <c r="B709" s="2" t="s">
        <v>83</v>
      </c>
      <c r="C709" s="2" t="s">
        <v>547</v>
      </c>
      <c r="D709">
        <v>12</v>
      </c>
    </row>
    <row r="710" spans="1:4" x14ac:dyDescent="0.25">
      <c r="A710" s="1">
        <v>42835</v>
      </c>
      <c r="B710" s="2" t="s">
        <v>141</v>
      </c>
      <c r="C710" s="2" t="s">
        <v>202</v>
      </c>
      <c r="D710">
        <v>29</v>
      </c>
    </row>
    <row r="711" spans="1:4" x14ac:dyDescent="0.25">
      <c r="A711" s="1">
        <v>42836</v>
      </c>
      <c r="B711" s="2" t="s">
        <v>36</v>
      </c>
      <c r="C711" s="2" t="s">
        <v>404</v>
      </c>
      <c r="D711">
        <v>9</v>
      </c>
    </row>
    <row r="712" spans="1:4" x14ac:dyDescent="0.25">
      <c r="A712" s="1">
        <v>42836</v>
      </c>
      <c r="B712" s="2" t="s">
        <v>8</v>
      </c>
      <c r="C712" s="2" t="s">
        <v>322</v>
      </c>
      <c r="D712">
        <v>29</v>
      </c>
    </row>
    <row r="713" spans="1:4" x14ac:dyDescent="0.25">
      <c r="A713" s="1">
        <v>42836</v>
      </c>
      <c r="B713" s="2" t="s">
        <v>75</v>
      </c>
      <c r="C713" s="2" t="s">
        <v>46</v>
      </c>
      <c r="D713">
        <v>6</v>
      </c>
    </row>
    <row r="714" spans="1:4" x14ac:dyDescent="0.25">
      <c r="A714" s="1">
        <v>42836</v>
      </c>
      <c r="B714" s="2" t="s">
        <v>189</v>
      </c>
      <c r="C714" s="2" t="s">
        <v>190</v>
      </c>
      <c r="D714">
        <v>12</v>
      </c>
    </row>
    <row r="715" spans="1:4" x14ac:dyDescent="0.25">
      <c r="A715" s="1">
        <v>42836</v>
      </c>
      <c r="B715" s="2" t="s">
        <v>83</v>
      </c>
      <c r="C715" s="2" t="s">
        <v>91</v>
      </c>
      <c r="D715">
        <v>23</v>
      </c>
    </row>
    <row r="716" spans="1:4" x14ac:dyDescent="0.25">
      <c r="A716" s="1">
        <v>42836</v>
      </c>
      <c r="B716" s="2" t="s">
        <v>498</v>
      </c>
      <c r="C716" s="2" t="s">
        <v>110</v>
      </c>
      <c r="D716">
        <v>21</v>
      </c>
    </row>
    <row r="717" spans="1:4" x14ac:dyDescent="0.25">
      <c r="A717" s="1">
        <v>42836</v>
      </c>
      <c r="B717" s="2" t="s">
        <v>271</v>
      </c>
      <c r="C717" s="2" t="s">
        <v>548</v>
      </c>
      <c r="D717">
        <v>16</v>
      </c>
    </row>
    <row r="718" spans="1:4" x14ac:dyDescent="0.25">
      <c r="A718" s="1">
        <v>42836</v>
      </c>
      <c r="B718" s="2" t="s">
        <v>365</v>
      </c>
      <c r="C718" s="2" t="s">
        <v>366</v>
      </c>
      <c r="D718">
        <v>21</v>
      </c>
    </row>
    <row r="719" spans="1:4" x14ac:dyDescent="0.25">
      <c r="A719" s="1">
        <v>42837</v>
      </c>
      <c r="B719" s="2" t="s">
        <v>246</v>
      </c>
      <c r="C719" s="2" t="s">
        <v>247</v>
      </c>
      <c r="D719">
        <v>25</v>
      </c>
    </row>
    <row r="720" spans="1:4" x14ac:dyDescent="0.25">
      <c r="A720" s="1">
        <v>42837</v>
      </c>
      <c r="B720" s="2" t="s">
        <v>484</v>
      </c>
      <c r="C720" s="2" t="s">
        <v>485</v>
      </c>
      <c r="D720">
        <v>4</v>
      </c>
    </row>
    <row r="721" spans="1:4" x14ac:dyDescent="0.25">
      <c r="A721" s="1">
        <v>42837</v>
      </c>
      <c r="B721" s="2" t="s">
        <v>53</v>
      </c>
      <c r="C721" s="2" t="s">
        <v>191</v>
      </c>
      <c r="D721">
        <v>19</v>
      </c>
    </row>
    <row r="722" spans="1:4" x14ac:dyDescent="0.25">
      <c r="A722" s="1">
        <v>42837</v>
      </c>
      <c r="B722" s="2" t="s">
        <v>92</v>
      </c>
      <c r="C722" s="2" t="s">
        <v>93</v>
      </c>
      <c r="D722">
        <v>17</v>
      </c>
    </row>
    <row r="723" spans="1:4" x14ac:dyDescent="0.25">
      <c r="A723" s="1">
        <v>42837</v>
      </c>
      <c r="B723" s="2" t="s">
        <v>12</v>
      </c>
      <c r="C723" s="2" t="s">
        <v>549</v>
      </c>
      <c r="D723">
        <v>9</v>
      </c>
    </row>
    <row r="724" spans="1:4" x14ac:dyDescent="0.25">
      <c r="A724" s="1">
        <v>42837</v>
      </c>
      <c r="B724" s="2" t="s">
        <v>329</v>
      </c>
      <c r="C724" s="2" t="s">
        <v>330</v>
      </c>
      <c r="D724">
        <v>8</v>
      </c>
    </row>
    <row r="725" spans="1:4" x14ac:dyDescent="0.25">
      <c r="A725" s="1">
        <v>42837</v>
      </c>
      <c r="B725" s="2" t="s">
        <v>232</v>
      </c>
      <c r="C725" s="2" t="s">
        <v>378</v>
      </c>
      <c r="D725">
        <v>11</v>
      </c>
    </row>
    <row r="726" spans="1:4" x14ac:dyDescent="0.25">
      <c r="A726" s="1">
        <v>42837</v>
      </c>
      <c r="B726" s="2" t="s">
        <v>244</v>
      </c>
      <c r="C726" s="2" t="s">
        <v>245</v>
      </c>
      <c r="D726">
        <v>26</v>
      </c>
    </row>
    <row r="727" spans="1:4" x14ac:dyDescent="0.25">
      <c r="A727" s="1">
        <v>42837</v>
      </c>
      <c r="B727" s="2" t="s">
        <v>141</v>
      </c>
      <c r="C727" s="2" t="s">
        <v>550</v>
      </c>
      <c r="D727">
        <v>23</v>
      </c>
    </row>
    <row r="728" spans="1:4" x14ac:dyDescent="0.25">
      <c r="A728" s="1">
        <v>42838</v>
      </c>
      <c r="B728" s="2" t="s">
        <v>203</v>
      </c>
      <c r="C728" s="2" t="s">
        <v>370</v>
      </c>
      <c r="D728">
        <v>55</v>
      </c>
    </row>
    <row r="729" spans="1:4" x14ac:dyDescent="0.25">
      <c r="A729" s="1">
        <v>42838</v>
      </c>
      <c r="B729" s="2" t="s">
        <v>171</v>
      </c>
      <c r="C729" s="2" t="s">
        <v>172</v>
      </c>
      <c r="D729">
        <v>38</v>
      </c>
    </row>
    <row r="730" spans="1:4" x14ac:dyDescent="0.25">
      <c r="A730" s="1">
        <v>42838</v>
      </c>
      <c r="B730" s="2" t="s">
        <v>97</v>
      </c>
      <c r="C730" s="2" t="s">
        <v>309</v>
      </c>
      <c r="D730">
        <v>9</v>
      </c>
    </row>
    <row r="731" spans="1:4" x14ac:dyDescent="0.25">
      <c r="A731" s="1">
        <v>42838</v>
      </c>
      <c r="B731" s="2" t="s">
        <v>221</v>
      </c>
      <c r="C731" s="2" t="s">
        <v>551</v>
      </c>
      <c r="D731">
        <v>34</v>
      </c>
    </row>
    <row r="732" spans="1:4" x14ac:dyDescent="0.25">
      <c r="A732" s="1">
        <v>42838</v>
      </c>
      <c r="B732" s="2" t="s">
        <v>232</v>
      </c>
      <c r="C732" s="2" t="s">
        <v>487</v>
      </c>
      <c r="D732">
        <v>14</v>
      </c>
    </row>
    <row r="733" spans="1:4" x14ac:dyDescent="0.25">
      <c r="A733" s="1">
        <v>42838</v>
      </c>
      <c r="B733" s="2" t="s">
        <v>69</v>
      </c>
      <c r="C733" s="2" t="s">
        <v>70</v>
      </c>
      <c r="D733">
        <v>5</v>
      </c>
    </row>
    <row r="734" spans="1:4" x14ac:dyDescent="0.25">
      <c r="A734" s="1">
        <v>42838</v>
      </c>
      <c r="B734" s="2" t="s">
        <v>41</v>
      </c>
      <c r="C734" s="2" t="s">
        <v>302</v>
      </c>
      <c r="D734">
        <v>2</v>
      </c>
    </row>
    <row r="735" spans="1:4" x14ac:dyDescent="0.25">
      <c r="A735" s="1">
        <v>42838</v>
      </c>
      <c r="B735" s="2" t="s">
        <v>144</v>
      </c>
      <c r="C735" s="2" t="s">
        <v>145</v>
      </c>
      <c r="D735">
        <v>20</v>
      </c>
    </row>
    <row r="736" spans="1:4" x14ac:dyDescent="0.25">
      <c r="A736" s="1">
        <v>42838</v>
      </c>
      <c r="B736" s="2" t="s">
        <v>18</v>
      </c>
      <c r="C736" s="2" t="s">
        <v>19</v>
      </c>
      <c r="D736">
        <v>6</v>
      </c>
    </row>
    <row r="737" spans="1:4" x14ac:dyDescent="0.25">
      <c r="A737" s="1">
        <v>42838</v>
      </c>
      <c r="B737" s="2" t="s">
        <v>83</v>
      </c>
      <c r="C737" s="2" t="s">
        <v>136</v>
      </c>
      <c r="D737">
        <v>22</v>
      </c>
    </row>
    <row r="738" spans="1:4" x14ac:dyDescent="0.25">
      <c r="A738" s="1">
        <v>42838</v>
      </c>
      <c r="B738" s="2" t="s">
        <v>169</v>
      </c>
      <c r="C738" s="2" t="s">
        <v>170</v>
      </c>
      <c r="D738">
        <v>26</v>
      </c>
    </row>
    <row r="739" spans="1:4" x14ac:dyDescent="0.25">
      <c r="A739" s="1">
        <v>42838</v>
      </c>
      <c r="B739" s="2" t="s">
        <v>69</v>
      </c>
      <c r="C739" s="2" t="s">
        <v>286</v>
      </c>
      <c r="D739">
        <v>27</v>
      </c>
    </row>
    <row r="740" spans="1:4" x14ac:dyDescent="0.25">
      <c r="A740" s="1">
        <v>42838</v>
      </c>
      <c r="B740" s="2" t="s">
        <v>141</v>
      </c>
      <c r="C740" s="2" t="s">
        <v>202</v>
      </c>
      <c r="D740">
        <v>26</v>
      </c>
    </row>
    <row r="741" spans="1:4" x14ac:dyDescent="0.25">
      <c r="A741" s="1">
        <v>42838</v>
      </c>
      <c r="B741" s="2" t="s">
        <v>43</v>
      </c>
      <c r="C741" s="2" t="s">
        <v>507</v>
      </c>
      <c r="D741">
        <v>29</v>
      </c>
    </row>
    <row r="742" spans="1:4" x14ac:dyDescent="0.25">
      <c r="A742" s="1">
        <v>42838</v>
      </c>
      <c r="B742" s="2" t="s">
        <v>106</v>
      </c>
      <c r="C742" s="2" t="s">
        <v>277</v>
      </c>
      <c r="D742">
        <v>10</v>
      </c>
    </row>
    <row r="743" spans="1:4" x14ac:dyDescent="0.25">
      <c r="A743" s="1">
        <v>42839</v>
      </c>
      <c r="B743" s="2" t="s">
        <v>167</v>
      </c>
      <c r="C743" s="2" t="s">
        <v>552</v>
      </c>
      <c r="D743">
        <v>37</v>
      </c>
    </row>
    <row r="744" spans="1:4" x14ac:dyDescent="0.25">
      <c r="A744" s="1">
        <v>42839</v>
      </c>
      <c r="B744" s="2" t="s">
        <v>232</v>
      </c>
      <c r="C744" s="2" t="s">
        <v>405</v>
      </c>
      <c r="D744">
        <v>7</v>
      </c>
    </row>
    <row r="745" spans="1:4" x14ac:dyDescent="0.25">
      <c r="A745" s="1">
        <v>42839</v>
      </c>
      <c r="B745" s="2" t="s">
        <v>101</v>
      </c>
      <c r="C745" s="2" t="s">
        <v>293</v>
      </c>
      <c r="D745">
        <v>44</v>
      </c>
    </row>
    <row r="746" spans="1:4" x14ac:dyDescent="0.25">
      <c r="A746" s="1">
        <v>42839</v>
      </c>
      <c r="B746" s="2" t="s">
        <v>367</v>
      </c>
      <c r="C746" s="2" t="s">
        <v>368</v>
      </c>
      <c r="D746">
        <v>11</v>
      </c>
    </row>
    <row r="747" spans="1:4" x14ac:dyDescent="0.25">
      <c r="A747" s="1">
        <v>42839</v>
      </c>
      <c r="B747" s="2" t="s">
        <v>553</v>
      </c>
      <c r="C747" s="2" t="s">
        <v>554</v>
      </c>
      <c r="D747">
        <v>25</v>
      </c>
    </row>
    <row r="748" spans="1:4" x14ac:dyDescent="0.25">
      <c r="A748" s="1">
        <v>42839</v>
      </c>
      <c r="B748" s="2" t="s">
        <v>412</v>
      </c>
      <c r="C748" s="2" t="s">
        <v>413</v>
      </c>
      <c r="D748">
        <v>18</v>
      </c>
    </row>
    <row r="749" spans="1:4" x14ac:dyDescent="0.25">
      <c r="A749" s="1">
        <v>42842</v>
      </c>
      <c r="B749" s="2" t="s">
        <v>528</v>
      </c>
      <c r="C749" s="2" t="s">
        <v>428</v>
      </c>
      <c r="D749">
        <v>44</v>
      </c>
    </row>
    <row r="750" spans="1:4" x14ac:dyDescent="0.25">
      <c r="A750" s="1">
        <v>42842</v>
      </c>
      <c r="B750" s="2" t="s">
        <v>119</v>
      </c>
      <c r="C750" s="2" t="s">
        <v>319</v>
      </c>
      <c r="D750">
        <v>26</v>
      </c>
    </row>
    <row r="751" spans="1:4" x14ac:dyDescent="0.25">
      <c r="A751" s="1">
        <v>42842</v>
      </c>
      <c r="B751" s="2" t="s">
        <v>193</v>
      </c>
      <c r="C751" s="2" t="s">
        <v>555</v>
      </c>
      <c r="D751">
        <v>7</v>
      </c>
    </row>
    <row r="752" spans="1:4" x14ac:dyDescent="0.25">
      <c r="A752" s="1">
        <v>42842</v>
      </c>
      <c r="B752" s="2" t="s">
        <v>43</v>
      </c>
      <c r="C752" s="2" t="s">
        <v>71</v>
      </c>
      <c r="D752">
        <v>41</v>
      </c>
    </row>
    <row r="753" spans="1:4" x14ac:dyDescent="0.25">
      <c r="A753" s="1">
        <v>42842</v>
      </c>
      <c r="B753" s="2" t="s">
        <v>232</v>
      </c>
      <c r="C753" s="2" t="s">
        <v>526</v>
      </c>
      <c r="D753">
        <v>46</v>
      </c>
    </row>
    <row r="754" spans="1:4" x14ac:dyDescent="0.25">
      <c r="A754" s="1">
        <v>42842</v>
      </c>
      <c r="B754" s="2" t="s">
        <v>18</v>
      </c>
      <c r="C754" s="2" t="s">
        <v>392</v>
      </c>
      <c r="D754">
        <v>52</v>
      </c>
    </row>
    <row r="755" spans="1:4" x14ac:dyDescent="0.25">
      <c r="A755" s="1">
        <v>42843</v>
      </c>
      <c r="B755" s="2" t="s">
        <v>12</v>
      </c>
      <c r="C755" s="2" t="s">
        <v>386</v>
      </c>
      <c r="D755">
        <v>6</v>
      </c>
    </row>
    <row r="756" spans="1:4" x14ac:dyDescent="0.25">
      <c r="A756" s="1">
        <v>42843</v>
      </c>
      <c r="B756" s="2" t="s">
        <v>51</v>
      </c>
      <c r="C756" s="2" t="s">
        <v>358</v>
      </c>
      <c r="D756">
        <v>23</v>
      </c>
    </row>
    <row r="757" spans="1:4" x14ac:dyDescent="0.25">
      <c r="A757" s="1">
        <v>42843</v>
      </c>
      <c r="B757" s="2" t="s">
        <v>275</v>
      </c>
      <c r="C757" s="2" t="s">
        <v>276</v>
      </c>
      <c r="D757">
        <v>22</v>
      </c>
    </row>
    <row r="758" spans="1:4" x14ac:dyDescent="0.25">
      <c r="A758" s="1">
        <v>42843</v>
      </c>
      <c r="B758" s="2" t="s">
        <v>131</v>
      </c>
      <c r="C758" s="2" t="s">
        <v>451</v>
      </c>
      <c r="D758">
        <v>21</v>
      </c>
    </row>
    <row r="759" spans="1:4" x14ac:dyDescent="0.25">
      <c r="A759" s="1">
        <v>42843</v>
      </c>
      <c r="B759" s="2" t="s">
        <v>30</v>
      </c>
      <c r="C759" s="2" t="s">
        <v>387</v>
      </c>
      <c r="D759">
        <v>29</v>
      </c>
    </row>
    <row r="760" spans="1:4" x14ac:dyDescent="0.25">
      <c r="A760" s="1">
        <v>42843</v>
      </c>
      <c r="B760" s="2" t="s">
        <v>150</v>
      </c>
      <c r="C760" s="2" t="s">
        <v>556</v>
      </c>
      <c r="D760">
        <v>21</v>
      </c>
    </row>
    <row r="761" spans="1:4" x14ac:dyDescent="0.25">
      <c r="A761" s="1">
        <v>42844</v>
      </c>
      <c r="B761" s="2" t="s">
        <v>484</v>
      </c>
      <c r="C761" s="2" t="s">
        <v>485</v>
      </c>
      <c r="D761">
        <v>3</v>
      </c>
    </row>
    <row r="762" spans="1:4" x14ac:dyDescent="0.25">
      <c r="A762" s="1">
        <v>42844</v>
      </c>
      <c r="B762" s="2" t="s">
        <v>34</v>
      </c>
      <c r="C762" s="2" t="s">
        <v>557</v>
      </c>
      <c r="D762">
        <v>29</v>
      </c>
    </row>
    <row r="763" spans="1:4" x14ac:dyDescent="0.25">
      <c r="A763" s="1">
        <v>42844</v>
      </c>
      <c r="B763" s="2" t="s">
        <v>427</v>
      </c>
      <c r="C763" s="2" t="s">
        <v>558</v>
      </c>
      <c r="D763">
        <v>56</v>
      </c>
    </row>
    <row r="764" spans="1:4" x14ac:dyDescent="0.25">
      <c r="A764" s="1">
        <v>42844</v>
      </c>
      <c r="B764" s="2" t="s">
        <v>201</v>
      </c>
      <c r="C764" s="2" t="s">
        <v>202</v>
      </c>
      <c r="D764">
        <v>15</v>
      </c>
    </row>
    <row r="765" spans="1:4" x14ac:dyDescent="0.25">
      <c r="A765" s="1">
        <v>42844</v>
      </c>
      <c r="B765" s="2" t="s">
        <v>193</v>
      </c>
      <c r="C765" s="2" t="s">
        <v>194</v>
      </c>
      <c r="D765">
        <v>12</v>
      </c>
    </row>
    <row r="766" spans="1:4" x14ac:dyDescent="0.25">
      <c r="A766" s="1">
        <v>42844</v>
      </c>
      <c r="B766" s="2" t="s">
        <v>55</v>
      </c>
      <c r="C766" s="2" t="s">
        <v>56</v>
      </c>
      <c r="D766">
        <v>19</v>
      </c>
    </row>
    <row r="767" spans="1:4" x14ac:dyDescent="0.25">
      <c r="A767" s="1">
        <v>42845</v>
      </c>
      <c r="B767" s="2" t="s">
        <v>416</v>
      </c>
      <c r="C767" s="2" t="s">
        <v>417</v>
      </c>
      <c r="D767">
        <v>14</v>
      </c>
    </row>
    <row r="768" spans="1:4" x14ac:dyDescent="0.25">
      <c r="A768" s="1">
        <v>42845</v>
      </c>
      <c r="B768" s="2" t="s">
        <v>234</v>
      </c>
      <c r="C768" s="2" t="s">
        <v>516</v>
      </c>
      <c r="D768">
        <v>42</v>
      </c>
    </row>
    <row r="769" spans="1:4" x14ac:dyDescent="0.25">
      <c r="A769" s="1">
        <v>42845</v>
      </c>
      <c r="B769" s="2" t="s">
        <v>128</v>
      </c>
      <c r="C769" s="2" t="s">
        <v>559</v>
      </c>
      <c r="D769">
        <v>10</v>
      </c>
    </row>
    <row r="770" spans="1:4" x14ac:dyDescent="0.25">
      <c r="A770" s="1">
        <v>42845</v>
      </c>
      <c r="B770" s="2" t="s">
        <v>55</v>
      </c>
      <c r="C770" s="2" t="s">
        <v>184</v>
      </c>
      <c r="D770">
        <v>20</v>
      </c>
    </row>
    <row r="771" spans="1:4" x14ac:dyDescent="0.25">
      <c r="A771" s="1">
        <v>42845</v>
      </c>
      <c r="B771" s="2" t="s">
        <v>361</v>
      </c>
      <c r="C771" s="2" t="s">
        <v>362</v>
      </c>
      <c r="D771">
        <v>51</v>
      </c>
    </row>
    <row r="772" spans="1:4" x14ac:dyDescent="0.25">
      <c r="A772" s="1">
        <v>42845</v>
      </c>
      <c r="B772" s="2" t="s">
        <v>36</v>
      </c>
      <c r="C772" s="2" t="s">
        <v>560</v>
      </c>
      <c r="D772">
        <v>35</v>
      </c>
    </row>
    <row r="773" spans="1:4" x14ac:dyDescent="0.25">
      <c r="A773" s="1">
        <v>42846</v>
      </c>
      <c r="B773" s="2" t="s">
        <v>83</v>
      </c>
      <c r="C773" s="2" t="s">
        <v>561</v>
      </c>
      <c r="D773">
        <v>45</v>
      </c>
    </row>
    <row r="774" spans="1:4" x14ac:dyDescent="0.25">
      <c r="A774" s="1">
        <v>42846</v>
      </c>
      <c r="B774" s="2" t="s">
        <v>87</v>
      </c>
      <c r="C774" s="2" t="s">
        <v>255</v>
      </c>
      <c r="D774">
        <v>29</v>
      </c>
    </row>
    <row r="775" spans="1:4" x14ac:dyDescent="0.25">
      <c r="A775" s="1">
        <v>42846</v>
      </c>
      <c r="B775" s="2" t="s">
        <v>43</v>
      </c>
      <c r="C775" s="2" t="s">
        <v>507</v>
      </c>
      <c r="D775">
        <v>5</v>
      </c>
    </row>
    <row r="776" spans="1:4" x14ac:dyDescent="0.25">
      <c r="A776" s="1">
        <v>42846</v>
      </c>
      <c r="B776" s="2" t="s">
        <v>4</v>
      </c>
      <c r="C776" s="2" t="s">
        <v>197</v>
      </c>
      <c r="D776">
        <v>16</v>
      </c>
    </row>
    <row r="777" spans="1:4" x14ac:dyDescent="0.25">
      <c r="A777" s="1">
        <v>42846</v>
      </c>
      <c r="B777" s="2" t="s">
        <v>352</v>
      </c>
      <c r="C777" s="2" t="s">
        <v>363</v>
      </c>
      <c r="D777">
        <v>25</v>
      </c>
    </row>
    <row r="778" spans="1:4" x14ac:dyDescent="0.25">
      <c r="A778" s="1">
        <v>42846</v>
      </c>
      <c r="B778" s="2" t="s">
        <v>171</v>
      </c>
      <c r="C778" s="2" t="s">
        <v>562</v>
      </c>
      <c r="D778">
        <v>38</v>
      </c>
    </row>
    <row r="779" spans="1:4" x14ac:dyDescent="0.25">
      <c r="A779" s="1">
        <v>42849</v>
      </c>
      <c r="B779" s="2" t="s">
        <v>178</v>
      </c>
      <c r="C779" s="2" t="s">
        <v>179</v>
      </c>
      <c r="D779">
        <v>33</v>
      </c>
    </row>
    <row r="780" spans="1:4" x14ac:dyDescent="0.25">
      <c r="A780" s="1">
        <v>42849</v>
      </c>
      <c r="B780" s="2" t="s">
        <v>206</v>
      </c>
      <c r="C780" s="2" t="s">
        <v>563</v>
      </c>
      <c r="D780">
        <v>48</v>
      </c>
    </row>
    <row r="781" spans="1:4" x14ac:dyDescent="0.25">
      <c r="A781" s="1">
        <v>42849</v>
      </c>
      <c r="B781" s="2" t="s">
        <v>201</v>
      </c>
      <c r="C781" s="2" t="s">
        <v>433</v>
      </c>
      <c r="D781">
        <v>14</v>
      </c>
    </row>
    <row r="782" spans="1:4" x14ac:dyDescent="0.25">
      <c r="A782" s="1">
        <v>42849</v>
      </c>
      <c r="B782" s="2" t="s">
        <v>275</v>
      </c>
      <c r="C782" s="2" t="s">
        <v>276</v>
      </c>
      <c r="D782">
        <v>13</v>
      </c>
    </row>
    <row r="783" spans="1:4" x14ac:dyDescent="0.25">
      <c r="A783" s="1">
        <v>42849</v>
      </c>
      <c r="B783" s="2" t="s">
        <v>34</v>
      </c>
      <c r="C783" s="2" t="s">
        <v>564</v>
      </c>
      <c r="D783">
        <v>24</v>
      </c>
    </row>
    <row r="784" spans="1:4" x14ac:dyDescent="0.25">
      <c r="A784" s="1">
        <v>42849</v>
      </c>
      <c r="B784" s="2" t="s">
        <v>101</v>
      </c>
      <c r="C784" s="2" t="s">
        <v>102</v>
      </c>
      <c r="D784">
        <v>23</v>
      </c>
    </row>
    <row r="785" spans="1:4" x14ac:dyDescent="0.25">
      <c r="A785" s="1">
        <v>42850</v>
      </c>
      <c r="B785" s="2" t="s">
        <v>150</v>
      </c>
      <c r="C785" s="2" t="s">
        <v>297</v>
      </c>
      <c r="D785">
        <v>23</v>
      </c>
    </row>
    <row r="786" spans="1:4" x14ac:dyDescent="0.25">
      <c r="A786" s="1">
        <v>42850</v>
      </c>
      <c r="B786" s="2" t="s">
        <v>339</v>
      </c>
      <c r="C786" s="2" t="s">
        <v>565</v>
      </c>
      <c r="D786">
        <v>32</v>
      </c>
    </row>
    <row r="787" spans="1:4" x14ac:dyDescent="0.25">
      <c r="A787" s="1">
        <v>42850</v>
      </c>
      <c r="B787" s="2" t="s">
        <v>566</v>
      </c>
      <c r="C787" s="2" t="s">
        <v>567</v>
      </c>
      <c r="D787">
        <v>34</v>
      </c>
    </row>
    <row r="788" spans="1:4" x14ac:dyDescent="0.25">
      <c r="A788" s="1">
        <v>42850</v>
      </c>
      <c r="B788" s="2" t="s">
        <v>30</v>
      </c>
      <c r="C788" s="2" t="s">
        <v>387</v>
      </c>
      <c r="D788">
        <v>48</v>
      </c>
    </row>
    <row r="789" spans="1:4" x14ac:dyDescent="0.25">
      <c r="A789" s="1">
        <v>42850</v>
      </c>
      <c r="B789" s="2" t="s">
        <v>30</v>
      </c>
      <c r="C789" s="2" t="s">
        <v>568</v>
      </c>
      <c r="D789">
        <v>26</v>
      </c>
    </row>
    <row r="790" spans="1:4" x14ac:dyDescent="0.25">
      <c r="A790" s="1">
        <v>42850</v>
      </c>
      <c r="B790" s="2" t="s">
        <v>314</v>
      </c>
      <c r="C790" s="2" t="s">
        <v>315</v>
      </c>
      <c r="D790">
        <v>11</v>
      </c>
    </row>
    <row r="791" spans="1:4" x14ac:dyDescent="0.25">
      <c r="A791" s="1">
        <v>42851</v>
      </c>
      <c r="B791" s="2" t="s">
        <v>75</v>
      </c>
      <c r="C791" s="2" t="s">
        <v>264</v>
      </c>
      <c r="D791">
        <v>23</v>
      </c>
    </row>
    <row r="792" spans="1:4" x14ac:dyDescent="0.25">
      <c r="A792" s="1">
        <v>42851</v>
      </c>
      <c r="B792" s="2" t="s">
        <v>152</v>
      </c>
      <c r="C792" s="2" t="s">
        <v>153</v>
      </c>
      <c r="D792">
        <v>50</v>
      </c>
    </row>
    <row r="793" spans="1:4" x14ac:dyDescent="0.25">
      <c r="A793" s="1">
        <v>42851</v>
      </c>
      <c r="B793" s="2" t="s">
        <v>34</v>
      </c>
      <c r="C793" s="2" t="s">
        <v>564</v>
      </c>
      <c r="D793">
        <v>14</v>
      </c>
    </row>
    <row r="794" spans="1:4" x14ac:dyDescent="0.25">
      <c r="A794" s="1">
        <v>42851</v>
      </c>
      <c r="B794" s="2" t="s">
        <v>374</v>
      </c>
      <c r="C794" s="2" t="s">
        <v>375</v>
      </c>
      <c r="D794">
        <v>12</v>
      </c>
    </row>
    <row r="795" spans="1:4" x14ac:dyDescent="0.25">
      <c r="A795" s="1">
        <v>42851</v>
      </c>
      <c r="B795" s="2" t="s">
        <v>55</v>
      </c>
      <c r="C795" s="2" t="s">
        <v>456</v>
      </c>
      <c r="D795">
        <v>39</v>
      </c>
    </row>
    <row r="796" spans="1:4" x14ac:dyDescent="0.25">
      <c r="A796" s="1">
        <v>42851</v>
      </c>
      <c r="B796" s="2" t="s">
        <v>43</v>
      </c>
      <c r="C796" s="2" t="s">
        <v>569</v>
      </c>
      <c r="D796">
        <v>20</v>
      </c>
    </row>
    <row r="797" spans="1:4" x14ac:dyDescent="0.25">
      <c r="A797" s="1">
        <v>42852</v>
      </c>
      <c r="B797" s="2" t="s">
        <v>174</v>
      </c>
      <c r="C797" s="2" t="s">
        <v>570</v>
      </c>
      <c r="D797">
        <v>51</v>
      </c>
    </row>
    <row r="798" spans="1:4" x14ac:dyDescent="0.25">
      <c r="A798" s="1">
        <v>42852</v>
      </c>
      <c r="B798" s="2" t="s">
        <v>55</v>
      </c>
      <c r="C798" s="2" t="s">
        <v>571</v>
      </c>
      <c r="D798">
        <v>47</v>
      </c>
    </row>
    <row r="799" spans="1:4" x14ac:dyDescent="0.25">
      <c r="A799" s="1">
        <v>42852</v>
      </c>
      <c r="B799" s="2" t="s">
        <v>95</v>
      </c>
      <c r="C799" s="2" t="s">
        <v>426</v>
      </c>
      <c r="D799">
        <v>29</v>
      </c>
    </row>
    <row r="800" spans="1:4" x14ac:dyDescent="0.25">
      <c r="A800" s="1">
        <v>42852</v>
      </c>
      <c r="B800" s="2" t="s">
        <v>521</v>
      </c>
      <c r="C800" s="2" t="s">
        <v>410</v>
      </c>
      <c r="D800">
        <v>34</v>
      </c>
    </row>
    <row r="801" spans="1:4" x14ac:dyDescent="0.25">
      <c r="A801" s="1">
        <v>42852</v>
      </c>
      <c r="B801" s="2" t="s">
        <v>416</v>
      </c>
      <c r="C801" s="2" t="s">
        <v>572</v>
      </c>
      <c r="D801">
        <v>12</v>
      </c>
    </row>
    <row r="802" spans="1:4" x14ac:dyDescent="0.25">
      <c r="A802" s="1">
        <v>42852</v>
      </c>
      <c r="B802" s="2" t="s">
        <v>117</v>
      </c>
      <c r="C802" s="2" t="s">
        <v>183</v>
      </c>
      <c r="D802">
        <v>6</v>
      </c>
    </row>
    <row r="803" spans="1:4" x14ac:dyDescent="0.25">
      <c r="A803" s="1">
        <v>42853</v>
      </c>
      <c r="B803" s="2" t="s">
        <v>232</v>
      </c>
      <c r="C803" s="2" t="s">
        <v>573</v>
      </c>
      <c r="D803">
        <v>5</v>
      </c>
    </row>
    <row r="804" spans="1:4" x14ac:dyDescent="0.25">
      <c r="A804" s="1">
        <v>42853</v>
      </c>
      <c r="B804" s="2" t="s">
        <v>171</v>
      </c>
      <c r="C804" s="2" t="s">
        <v>562</v>
      </c>
      <c r="D804">
        <v>13</v>
      </c>
    </row>
    <row r="805" spans="1:4" x14ac:dyDescent="0.25">
      <c r="A805" s="1">
        <v>42853</v>
      </c>
      <c r="B805" s="2" t="s">
        <v>361</v>
      </c>
      <c r="C805" s="2" t="s">
        <v>424</v>
      </c>
      <c r="D805">
        <v>18</v>
      </c>
    </row>
    <row r="806" spans="1:4" x14ac:dyDescent="0.25">
      <c r="A806" s="1">
        <v>42853</v>
      </c>
      <c r="B806" s="2" t="s">
        <v>574</v>
      </c>
      <c r="C806" s="2" t="s">
        <v>421</v>
      </c>
      <c r="D806">
        <v>7</v>
      </c>
    </row>
    <row r="807" spans="1:4" x14ac:dyDescent="0.25">
      <c r="A807" s="1">
        <v>42853</v>
      </c>
      <c r="B807" s="2" t="s">
        <v>77</v>
      </c>
      <c r="C807" s="2" t="s">
        <v>575</v>
      </c>
      <c r="D807">
        <v>28</v>
      </c>
    </row>
    <row r="808" spans="1:4" x14ac:dyDescent="0.25">
      <c r="A808" s="1">
        <v>42853</v>
      </c>
      <c r="B808" s="2" t="s">
        <v>55</v>
      </c>
      <c r="C808" s="2" t="s">
        <v>184</v>
      </c>
      <c r="D808">
        <v>37</v>
      </c>
    </row>
    <row r="809" spans="1:4" x14ac:dyDescent="0.25">
      <c r="A809" s="1">
        <v>42856</v>
      </c>
      <c r="B809" s="2" t="s">
        <v>352</v>
      </c>
      <c r="C809" s="2" t="s">
        <v>227</v>
      </c>
      <c r="D809">
        <v>23</v>
      </c>
    </row>
    <row r="810" spans="1:4" x14ac:dyDescent="0.25">
      <c r="A810" s="1">
        <v>42856</v>
      </c>
      <c r="B810" s="2" t="s">
        <v>97</v>
      </c>
      <c r="C810" s="2" t="s">
        <v>188</v>
      </c>
      <c r="D810">
        <v>26</v>
      </c>
    </row>
    <row r="811" spans="1:4" x14ac:dyDescent="0.25">
      <c r="A811" s="1">
        <v>42856</v>
      </c>
      <c r="B811" s="2" t="s">
        <v>34</v>
      </c>
      <c r="C811" s="2" t="s">
        <v>338</v>
      </c>
      <c r="D811">
        <v>11</v>
      </c>
    </row>
    <row r="812" spans="1:4" x14ac:dyDescent="0.25">
      <c r="A812" s="1">
        <v>42856</v>
      </c>
      <c r="B812" s="2" t="s">
        <v>438</v>
      </c>
      <c r="C812" s="2" t="s">
        <v>439</v>
      </c>
      <c r="D812">
        <v>25</v>
      </c>
    </row>
    <row r="813" spans="1:4" x14ac:dyDescent="0.25">
      <c r="A813" s="1">
        <v>42856</v>
      </c>
      <c r="B813" s="2" t="s">
        <v>36</v>
      </c>
      <c r="C813" s="2" t="s">
        <v>180</v>
      </c>
      <c r="D813">
        <v>3</v>
      </c>
    </row>
    <row r="814" spans="1:4" x14ac:dyDescent="0.25">
      <c r="A814" s="1">
        <v>42856</v>
      </c>
      <c r="B814" s="2" t="s">
        <v>87</v>
      </c>
      <c r="C814" s="2" t="s">
        <v>383</v>
      </c>
      <c r="D814">
        <v>30</v>
      </c>
    </row>
    <row r="815" spans="1:4" x14ac:dyDescent="0.25">
      <c r="A815" s="1">
        <v>42857</v>
      </c>
      <c r="B815" s="2" t="s">
        <v>574</v>
      </c>
      <c r="C815" s="2" t="s">
        <v>421</v>
      </c>
      <c r="D815">
        <v>12</v>
      </c>
    </row>
    <row r="816" spans="1:4" x14ac:dyDescent="0.25">
      <c r="A816" s="1">
        <v>42857</v>
      </c>
      <c r="B816" s="2" t="s">
        <v>101</v>
      </c>
      <c r="C816" s="2" t="s">
        <v>212</v>
      </c>
      <c r="D816">
        <v>27</v>
      </c>
    </row>
    <row r="817" spans="1:4" x14ac:dyDescent="0.25">
      <c r="A817" s="1">
        <v>42857</v>
      </c>
      <c r="B817" s="2" t="s">
        <v>217</v>
      </c>
      <c r="C817" s="2" t="s">
        <v>218</v>
      </c>
      <c r="D817">
        <v>16</v>
      </c>
    </row>
    <row r="818" spans="1:4" x14ac:dyDescent="0.25">
      <c r="A818" s="1">
        <v>42857</v>
      </c>
      <c r="B818" s="2" t="s">
        <v>49</v>
      </c>
      <c r="C818" s="2" t="s">
        <v>50</v>
      </c>
      <c r="D818">
        <v>38</v>
      </c>
    </row>
    <row r="819" spans="1:4" x14ac:dyDescent="0.25">
      <c r="A819" s="1">
        <v>42857</v>
      </c>
      <c r="B819" s="2" t="s">
        <v>193</v>
      </c>
      <c r="C819" s="2" t="s">
        <v>160</v>
      </c>
      <c r="D819">
        <v>35</v>
      </c>
    </row>
    <row r="820" spans="1:4" x14ac:dyDescent="0.25">
      <c r="A820" s="1">
        <v>42857</v>
      </c>
      <c r="B820" s="2" t="s">
        <v>97</v>
      </c>
      <c r="C820" s="2" t="s">
        <v>309</v>
      </c>
      <c r="D820">
        <v>16</v>
      </c>
    </row>
    <row r="821" spans="1:4" x14ac:dyDescent="0.25">
      <c r="A821" s="1">
        <v>42858</v>
      </c>
      <c r="B821" s="2" t="s">
        <v>10</v>
      </c>
      <c r="C821" s="2" t="s">
        <v>266</v>
      </c>
      <c r="D821">
        <v>6</v>
      </c>
    </row>
    <row r="822" spans="1:4" x14ac:dyDescent="0.25">
      <c r="A822" s="1">
        <v>42858</v>
      </c>
      <c r="B822" s="2" t="s">
        <v>217</v>
      </c>
      <c r="C822" s="2" t="s">
        <v>218</v>
      </c>
      <c r="D822">
        <v>23</v>
      </c>
    </row>
    <row r="823" spans="1:4" x14ac:dyDescent="0.25">
      <c r="A823" s="1">
        <v>42858</v>
      </c>
      <c r="B823" s="2" t="s">
        <v>280</v>
      </c>
      <c r="C823" s="2" t="s">
        <v>466</v>
      </c>
      <c r="D823">
        <v>22</v>
      </c>
    </row>
    <row r="824" spans="1:4" x14ac:dyDescent="0.25">
      <c r="A824" s="1">
        <v>42858</v>
      </c>
      <c r="B824" s="2" t="s">
        <v>77</v>
      </c>
      <c r="C824" s="2" t="s">
        <v>85</v>
      </c>
      <c r="D824">
        <v>5</v>
      </c>
    </row>
    <row r="825" spans="1:4" x14ac:dyDescent="0.25">
      <c r="A825" s="1">
        <v>42858</v>
      </c>
      <c r="B825" s="2" t="s">
        <v>206</v>
      </c>
      <c r="C825" s="2" t="s">
        <v>332</v>
      </c>
      <c r="D825">
        <v>2</v>
      </c>
    </row>
    <row r="826" spans="1:4" x14ac:dyDescent="0.25">
      <c r="A826" s="1">
        <v>42858</v>
      </c>
      <c r="B826" s="2" t="s">
        <v>92</v>
      </c>
      <c r="C826" s="2" t="s">
        <v>93</v>
      </c>
      <c r="D826">
        <v>29</v>
      </c>
    </row>
    <row r="827" spans="1:4" x14ac:dyDescent="0.25">
      <c r="A827" s="1">
        <v>42859</v>
      </c>
      <c r="B827" s="2" t="s">
        <v>97</v>
      </c>
      <c r="C827" s="2" t="s">
        <v>181</v>
      </c>
      <c r="D827">
        <v>19</v>
      </c>
    </row>
    <row r="828" spans="1:4" x14ac:dyDescent="0.25">
      <c r="A828" s="1">
        <v>42859</v>
      </c>
      <c r="B828" s="2" t="s">
        <v>133</v>
      </c>
      <c r="C828" s="2" t="s">
        <v>499</v>
      </c>
      <c r="D828">
        <v>23</v>
      </c>
    </row>
    <row r="829" spans="1:4" x14ac:dyDescent="0.25">
      <c r="A829" s="1">
        <v>42859</v>
      </c>
      <c r="B829" s="2" t="s">
        <v>442</v>
      </c>
      <c r="C829" s="2" t="s">
        <v>540</v>
      </c>
      <c r="D829">
        <v>27</v>
      </c>
    </row>
    <row r="830" spans="1:4" x14ac:dyDescent="0.25">
      <c r="A830" s="1">
        <v>42859</v>
      </c>
      <c r="B830" s="2" t="s">
        <v>299</v>
      </c>
      <c r="C830" s="2" t="s">
        <v>482</v>
      </c>
      <c r="D830">
        <v>53</v>
      </c>
    </row>
    <row r="831" spans="1:4" x14ac:dyDescent="0.25">
      <c r="A831" s="1">
        <v>42859</v>
      </c>
      <c r="B831" s="2" t="s">
        <v>87</v>
      </c>
      <c r="C831" s="2" t="s">
        <v>124</v>
      </c>
      <c r="D831">
        <v>35</v>
      </c>
    </row>
    <row r="832" spans="1:4" x14ac:dyDescent="0.25">
      <c r="A832" s="1">
        <v>42859</v>
      </c>
      <c r="B832" s="2" t="s">
        <v>30</v>
      </c>
      <c r="C832" s="2" t="s">
        <v>241</v>
      </c>
      <c r="D832">
        <v>3</v>
      </c>
    </row>
    <row r="833" spans="1:4" x14ac:dyDescent="0.25">
      <c r="A833" s="1">
        <v>42860</v>
      </c>
      <c r="B833" s="2" t="s">
        <v>141</v>
      </c>
      <c r="C833" s="2" t="s">
        <v>364</v>
      </c>
      <c r="D833">
        <v>15</v>
      </c>
    </row>
    <row r="834" spans="1:4" x14ac:dyDescent="0.25">
      <c r="A834" s="1">
        <v>42860</v>
      </c>
      <c r="B834" s="2" t="s">
        <v>55</v>
      </c>
      <c r="C834" s="2" t="s">
        <v>326</v>
      </c>
      <c r="D834">
        <v>3</v>
      </c>
    </row>
    <row r="835" spans="1:4" x14ac:dyDescent="0.25">
      <c r="A835" s="1">
        <v>42860</v>
      </c>
      <c r="B835" s="2" t="s">
        <v>367</v>
      </c>
      <c r="C835" s="2" t="s">
        <v>368</v>
      </c>
      <c r="D835">
        <v>2</v>
      </c>
    </row>
    <row r="836" spans="1:4" x14ac:dyDescent="0.25">
      <c r="A836" s="1">
        <v>42860</v>
      </c>
      <c r="B836" s="2" t="s">
        <v>141</v>
      </c>
      <c r="C836" s="2" t="s">
        <v>550</v>
      </c>
      <c r="D836">
        <v>28</v>
      </c>
    </row>
    <row r="837" spans="1:4" x14ac:dyDescent="0.25">
      <c r="A837" s="1">
        <v>42860</v>
      </c>
      <c r="B837" s="2" t="s">
        <v>395</v>
      </c>
      <c r="C837" s="2" t="s">
        <v>461</v>
      </c>
      <c r="D837">
        <v>23</v>
      </c>
    </row>
    <row r="838" spans="1:4" x14ac:dyDescent="0.25">
      <c r="A838" s="1">
        <v>42860</v>
      </c>
      <c r="B838" s="2" t="s">
        <v>39</v>
      </c>
      <c r="C838" s="2" t="s">
        <v>164</v>
      </c>
      <c r="D838">
        <v>20</v>
      </c>
    </row>
    <row r="839" spans="1:4" x14ac:dyDescent="0.25">
      <c r="A839" s="1">
        <v>42863</v>
      </c>
      <c r="B839" s="2" t="s">
        <v>193</v>
      </c>
      <c r="C839" s="2" t="s">
        <v>160</v>
      </c>
      <c r="D839">
        <v>35</v>
      </c>
    </row>
    <row r="840" spans="1:4" x14ac:dyDescent="0.25">
      <c r="A840" s="1">
        <v>42863</v>
      </c>
      <c r="B840" s="2" t="s">
        <v>206</v>
      </c>
      <c r="C840" s="2" t="s">
        <v>563</v>
      </c>
      <c r="D840">
        <v>45</v>
      </c>
    </row>
    <row r="841" spans="1:4" x14ac:dyDescent="0.25">
      <c r="A841" s="1">
        <v>42863</v>
      </c>
      <c r="B841" s="2" t="s">
        <v>519</v>
      </c>
      <c r="C841" s="2" t="s">
        <v>520</v>
      </c>
      <c r="D841">
        <v>39</v>
      </c>
    </row>
    <row r="842" spans="1:4" x14ac:dyDescent="0.25">
      <c r="A842" s="1">
        <v>42863</v>
      </c>
      <c r="B842" s="2" t="s">
        <v>34</v>
      </c>
      <c r="C842" s="2" t="s">
        <v>564</v>
      </c>
      <c r="D842">
        <v>13</v>
      </c>
    </row>
    <row r="843" spans="1:4" x14ac:dyDescent="0.25">
      <c r="A843" s="1">
        <v>42863</v>
      </c>
      <c r="B843" s="2" t="s">
        <v>87</v>
      </c>
      <c r="C843" s="2" t="s">
        <v>154</v>
      </c>
      <c r="D843">
        <v>2</v>
      </c>
    </row>
    <row r="844" spans="1:4" x14ac:dyDescent="0.25">
      <c r="A844" s="1">
        <v>42863</v>
      </c>
      <c r="B844" s="2" t="s">
        <v>195</v>
      </c>
      <c r="C844" s="2" t="s">
        <v>196</v>
      </c>
      <c r="D844">
        <v>38</v>
      </c>
    </row>
    <row r="845" spans="1:4" x14ac:dyDescent="0.25">
      <c r="A845" s="1">
        <v>42864</v>
      </c>
      <c r="B845" s="2" t="s">
        <v>161</v>
      </c>
      <c r="C845" s="2" t="s">
        <v>345</v>
      </c>
      <c r="D845">
        <v>48</v>
      </c>
    </row>
    <row r="846" spans="1:4" x14ac:dyDescent="0.25">
      <c r="A846" s="1">
        <v>42864</v>
      </c>
      <c r="B846" s="2" t="s">
        <v>51</v>
      </c>
      <c r="C846" s="2" t="s">
        <v>469</v>
      </c>
      <c r="D846">
        <v>41</v>
      </c>
    </row>
    <row r="847" spans="1:4" x14ac:dyDescent="0.25">
      <c r="A847" s="1">
        <v>42864</v>
      </c>
      <c r="B847" s="2" t="s">
        <v>101</v>
      </c>
      <c r="C847" s="2" t="s">
        <v>102</v>
      </c>
      <c r="D847">
        <v>6</v>
      </c>
    </row>
    <row r="848" spans="1:4" x14ac:dyDescent="0.25">
      <c r="A848" s="1">
        <v>42864</v>
      </c>
      <c r="B848" s="2" t="s">
        <v>367</v>
      </c>
      <c r="C848" s="2" t="s">
        <v>411</v>
      </c>
      <c r="D848">
        <v>14</v>
      </c>
    </row>
    <row r="849" spans="1:4" x14ac:dyDescent="0.25">
      <c r="A849" s="1">
        <v>42864</v>
      </c>
      <c r="B849" s="2" t="s">
        <v>576</v>
      </c>
      <c r="C849" s="2" t="s">
        <v>577</v>
      </c>
      <c r="D849">
        <v>35</v>
      </c>
    </row>
    <row r="850" spans="1:4" x14ac:dyDescent="0.25">
      <c r="A850" s="1">
        <v>42864</v>
      </c>
      <c r="B850" s="2" t="s">
        <v>147</v>
      </c>
      <c r="C850" s="2" t="s">
        <v>578</v>
      </c>
      <c r="D850">
        <v>26</v>
      </c>
    </row>
    <row r="851" spans="1:4" x14ac:dyDescent="0.25">
      <c r="A851" s="1">
        <v>42865</v>
      </c>
      <c r="B851" s="2" t="s">
        <v>83</v>
      </c>
      <c r="C851" s="2" t="s">
        <v>84</v>
      </c>
      <c r="D851">
        <v>49</v>
      </c>
    </row>
    <row r="852" spans="1:4" x14ac:dyDescent="0.25">
      <c r="A852" s="1">
        <v>42865</v>
      </c>
      <c r="B852" s="2" t="s">
        <v>280</v>
      </c>
      <c r="C852" s="2" t="s">
        <v>281</v>
      </c>
      <c r="D852">
        <v>22</v>
      </c>
    </row>
    <row r="853" spans="1:4" x14ac:dyDescent="0.25">
      <c r="A853" s="1">
        <v>42865</v>
      </c>
      <c r="B853" s="2" t="s">
        <v>97</v>
      </c>
      <c r="C853" s="2" t="s">
        <v>579</v>
      </c>
      <c r="D853">
        <v>56</v>
      </c>
    </row>
    <row r="854" spans="1:4" x14ac:dyDescent="0.25">
      <c r="A854" s="1">
        <v>42865</v>
      </c>
      <c r="B854" s="2" t="s">
        <v>367</v>
      </c>
      <c r="C854" s="2" t="s">
        <v>368</v>
      </c>
      <c r="D854">
        <v>6</v>
      </c>
    </row>
    <row r="855" spans="1:4" x14ac:dyDescent="0.25">
      <c r="A855" s="1">
        <v>42865</v>
      </c>
      <c r="B855" s="2" t="s">
        <v>232</v>
      </c>
      <c r="C855" s="2" t="s">
        <v>378</v>
      </c>
      <c r="D855">
        <v>13</v>
      </c>
    </row>
    <row r="856" spans="1:4" x14ac:dyDescent="0.25">
      <c r="A856" s="1">
        <v>42865</v>
      </c>
      <c r="B856" s="2" t="s">
        <v>574</v>
      </c>
      <c r="C856" s="2" t="s">
        <v>421</v>
      </c>
      <c r="D856">
        <v>3</v>
      </c>
    </row>
    <row r="857" spans="1:4" x14ac:dyDescent="0.25">
      <c r="A857" s="1">
        <v>42866</v>
      </c>
      <c r="B857" s="2" t="s">
        <v>47</v>
      </c>
      <c r="C857" s="2" t="s">
        <v>336</v>
      </c>
      <c r="D857">
        <v>7</v>
      </c>
    </row>
    <row r="858" spans="1:4" x14ac:dyDescent="0.25">
      <c r="A858" s="1">
        <v>42866</v>
      </c>
      <c r="B858" s="2" t="s">
        <v>83</v>
      </c>
      <c r="C858" s="2" t="s">
        <v>136</v>
      </c>
      <c r="D858">
        <v>29</v>
      </c>
    </row>
    <row r="859" spans="1:4" x14ac:dyDescent="0.25">
      <c r="A859" s="1">
        <v>42866</v>
      </c>
      <c r="B859" s="2" t="s">
        <v>45</v>
      </c>
      <c r="C859" s="2" t="s">
        <v>388</v>
      </c>
      <c r="D859">
        <v>53</v>
      </c>
    </row>
    <row r="860" spans="1:4" x14ac:dyDescent="0.25">
      <c r="A860" s="1">
        <v>42866</v>
      </c>
      <c r="B860" s="2" t="s">
        <v>16</v>
      </c>
      <c r="C860" s="2" t="s">
        <v>440</v>
      </c>
      <c r="D860">
        <v>52</v>
      </c>
    </row>
    <row r="861" spans="1:4" x14ac:dyDescent="0.25">
      <c r="A861" s="1">
        <v>42866</v>
      </c>
      <c r="B861" s="2" t="s">
        <v>280</v>
      </c>
      <c r="C861" s="2" t="s">
        <v>580</v>
      </c>
      <c r="D861">
        <v>26</v>
      </c>
    </row>
    <row r="862" spans="1:4" x14ac:dyDescent="0.25">
      <c r="A862" s="1">
        <v>42866</v>
      </c>
      <c r="B862" s="2" t="s">
        <v>101</v>
      </c>
      <c r="C862" s="2" t="s">
        <v>293</v>
      </c>
      <c r="D862">
        <v>28</v>
      </c>
    </row>
    <row r="863" spans="1:4" x14ac:dyDescent="0.25">
      <c r="A863" s="1">
        <v>42867</v>
      </c>
      <c r="B863" s="2" t="s">
        <v>69</v>
      </c>
      <c r="C863" s="2" t="s">
        <v>200</v>
      </c>
      <c r="D863">
        <v>12</v>
      </c>
    </row>
    <row r="864" spans="1:4" x14ac:dyDescent="0.25">
      <c r="A864" s="1">
        <v>42867</v>
      </c>
      <c r="B864" s="2" t="s">
        <v>161</v>
      </c>
      <c r="C864" s="2" t="s">
        <v>214</v>
      </c>
      <c r="D864">
        <v>10</v>
      </c>
    </row>
    <row r="865" spans="1:4" x14ac:dyDescent="0.25">
      <c r="A865" s="1">
        <v>42867</v>
      </c>
      <c r="B865" s="2" t="s">
        <v>72</v>
      </c>
      <c r="C865" s="2" t="s">
        <v>73</v>
      </c>
      <c r="D865">
        <v>10</v>
      </c>
    </row>
    <row r="866" spans="1:4" x14ac:dyDescent="0.25">
      <c r="A866" s="1">
        <v>42867</v>
      </c>
      <c r="B866" s="2" t="s">
        <v>119</v>
      </c>
      <c r="C866" s="2" t="s">
        <v>380</v>
      </c>
      <c r="D866">
        <v>54</v>
      </c>
    </row>
    <row r="867" spans="1:4" x14ac:dyDescent="0.25">
      <c r="A867" s="1">
        <v>42867</v>
      </c>
      <c r="B867" s="2" t="s">
        <v>374</v>
      </c>
      <c r="C867" s="2" t="s">
        <v>581</v>
      </c>
      <c r="D867">
        <v>19</v>
      </c>
    </row>
    <row r="868" spans="1:4" x14ac:dyDescent="0.25">
      <c r="A868" s="1">
        <v>42867</v>
      </c>
      <c r="B868" s="2" t="s">
        <v>152</v>
      </c>
      <c r="C868" s="2" t="s">
        <v>257</v>
      </c>
      <c r="D868">
        <v>53</v>
      </c>
    </row>
    <row r="869" spans="1:4" x14ac:dyDescent="0.25">
      <c r="A869" s="1">
        <v>42870</v>
      </c>
      <c r="B869" s="2" t="s">
        <v>47</v>
      </c>
      <c r="C869" s="2" t="s">
        <v>334</v>
      </c>
      <c r="D869">
        <v>18</v>
      </c>
    </row>
    <row r="870" spans="1:4" x14ac:dyDescent="0.25">
      <c r="A870" s="1">
        <v>42870</v>
      </c>
      <c r="B870" s="2" t="s">
        <v>393</v>
      </c>
      <c r="C870" s="2" t="s">
        <v>582</v>
      </c>
      <c r="D870">
        <v>27</v>
      </c>
    </row>
    <row r="871" spans="1:4" x14ac:dyDescent="0.25">
      <c r="A871" s="1">
        <v>42870</v>
      </c>
      <c r="B871" s="2" t="s">
        <v>479</v>
      </c>
      <c r="C871" s="2" t="s">
        <v>480</v>
      </c>
      <c r="D871">
        <v>26</v>
      </c>
    </row>
    <row r="872" spans="1:4" x14ac:dyDescent="0.25">
      <c r="A872" s="1">
        <v>42870</v>
      </c>
      <c r="B872" s="2" t="s">
        <v>339</v>
      </c>
      <c r="C872" s="2" t="s">
        <v>583</v>
      </c>
      <c r="D872">
        <v>52</v>
      </c>
    </row>
    <row r="873" spans="1:4" x14ac:dyDescent="0.25">
      <c r="A873" s="1">
        <v>42870</v>
      </c>
      <c r="B873" s="2" t="s">
        <v>81</v>
      </c>
      <c r="C873" s="2" t="s">
        <v>104</v>
      </c>
      <c r="D873">
        <v>10</v>
      </c>
    </row>
    <row r="874" spans="1:4" x14ac:dyDescent="0.25">
      <c r="A874" s="1">
        <v>42870</v>
      </c>
      <c r="B874" s="2" t="s">
        <v>34</v>
      </c>
      <c r="C874" s="2" t="s">
        <v>557</v>
      </c>
      <c r="D874">
        <v>5</v>
      </c>
    </row>
    <row r="875" spans="1:4" x14ac:dyDescent="0.25">
      <c r="A875" s="1">
        <v>42871</v>
      </c>
      <c r="B875" s="2" t="s">
        <v>81</v>
      </c>
      <c r="C875" s="2" t="s">
        <v>584</v>
      </c>
      <c r="D875">
        <v>38</v>
      </c>
    </row>
    <row r="876" spans="1:4" x14ac:dyDescent="0.25">
      <c r="A876" s="1">
        <v>42871</v>
      </c>
      <c r="B876" s="2" t="s">
        <v>55</v>
      </c>
      <c r="C876" s="2" t="s">
        <v>466</v>
      </c>
      <c r="D876">
        <v>20</v>
      </c>
    </row>
    <row r="877" spans="1:4" x14ac:dyDescent="0.25">
      <c r="A877" s="1">
        <v>42871</v>
      </c>
      <c r="B877" s="2" t="s">
        <v>77</v>
      </c>
      <c r="C877" s="2" t="s">
        <v>78</v>
      </c>
      <c r="D877">
        <v>2</v>
      </c>
    </row>
    <row r="878" spans="1:4" x14ac:dyDescent="0.25">
      <c r="A878" s="1">
        <v>42871</v>
      </c>
      <c r="B878" s="2" t="s">
        <v>83</v>
      </c>
      <c r="C878" s="2" t="s">
        <v>91</v>
      </c>
      <c r="D878">
        <v>25</v>
      </c>
    </row>
    <row r="879" spans="1:4" x14ac:dyDescent="0.25">
      <c r="A879" s="1">
        <v>42871</v>
      </c>
      <c r="B879" s="2" t="s">
        <v>101</v>
      </c>
      <c r="C879" s="2" t="s">
        <v>188</v>
      </c>
      <c r="D879">
        <v>13</v>
      </c>
    </row>
    <row r="880" spans="1:4" x14ac:dyDescent="0.25">
      <c r="A880" s="1">
        <v>42871</v>
      </c>
      <c r="B880" s="2" t="s">
        <v>402</v>
      </c>
      <c r="C880" s="2" t="s">
        <v>403</v>
      </c>
      <c r="D880">
        <v>54</v>
      </c>
    </row>
    <row r="881" spans="1:4" x14ac:dyDescent="0.25">
      <c r="A881" s="1">
        <v>42872</v>
      </c>
      <c r="B881" s="2" t="s">
        <v>372</v>
      </c>
      <c r="C881" s="2" t="s">
        <v>373</v>
      </c>
      <c r="D881">
        <v>27</v>
      </c>
    </row>
    <row r="882" spans="1:4" x14ac:dyDescent="0.25">
      <c r="A882" s="1">
        <v>42872</v>
      </c>
      <c r="B882" s="2" t="s">
        <v>18</v>
      </c>
      <c r="C882" s="2" t="s">
        <v>29</v>
      </c>
      <c r="D882">
        <v>15</v>
      </c>
    </row>
    <row r="883" spans="1:4" x14ac:dyDescent="0.25">
      <c r="A883" s="1">
        <v>42872</v>
      </c>
      <c r="B883" s="2" t="s">
        <v>4</v>
      </c>
      <c r="C883" s="2" t="s">
        <v>489</v>
      </c>
      <c r="D883">
        <v>19</v>
      </c>
    </row>
    <row r="884" spans="1:4" x14ac:dyDescent="0.25">
      <c r="A884" s="1">
        <v>42872</v>
      </c>
      <c r="B884" s="2" t="s">
        <v>69</v>
      </c>
      <c r="C884" s="2" t="s">
        <v>286</v>
      </c>
      <c r="D884">
        <v>22</v>
      </c>
    </row>
    <row r="885" spans="1:4" x14ac:dyDescent="0.25">
      <c r="A885" s="1">
        <v>42872</v>
      </c>
      <c r="B885" s="2" t="s">
        <v>143</v>
      </c>
      <c r="C885" s="2" t="s">
        <v>585</v>
      </c>
      <c r="D885">
        <v>12</v>
      </c>
    </row>
    <row r="886" spans="1:4" x14ac:dyDescent="0.25">
      <c r="A886" s="1">
        <v>42872</v>
      </c>
      <c r="B886" s="2" t="s">
        <v>479</v>
      </c>
      <c r="C886" s="2" t="s">
        <v>480</v>
      </c>
      <c r="D886">
        <v>6</v>
      </c>
    </row>
    <row r="887" spans="1:4" x14ac:dyDescent="0.25">
      <c r="A887" s="1">
        <v>42873</v>
      </c>
      <c r="B887" s="2" t="s">
        <v>343</v>
      </c>
      <c r="C887" s="2" t="s">
        <v>344</v>
      </c>
      <c r="D887">
        <v>27</v>
      </c>
    </row>
    <row r="888" spans="1:4" x14ac:dyDescent="0.25">
      <c r="A888" s="1">
        <v>42873</v>
      </c>
      <c r="B888" s="2" t="s">
        <v>137</v>
      </c>
      <c r="C888" s="2" t="s">
        <v>379</v>
      </c>
      <c r="D888">
        <v>6</v>
      </c>
    </row>
    <row r="889" spans="1:4" x14ac:dyDescent="0.25">
      <c r="A889" s="1">
        <v>42873</v>
      </c>
      <c r="B889" s="2" t="s">
        <v>484</v>
      </c>
      <c r="C889" s="2" t="s">
        <v>485</v>
      </c>
      <c r="D889">
        <v>6</v>
      </c>
    </row>
    <row r="890" spans="1:4" x14ac:dyDescent="0.25">
      <c r="A890" s="1">
        <v>42873</v>
      </c>
      <c r="B890" s="2" t="s">
        <v>39</v>
      </c>
      <c r="C890" s="2" t="s">
        <v>586</v>
      </c>
      <c r="D890">
        <v>4</v>
      </c>
    </row>
    <row r="891" spans="1:4" x14ac:dyDescent="0.25">
      <c r="A891" s="1">
        <v>42873</v>
      </c>
      <c r="B891" s="2" t="s">
        <v>201</v>
      </c>
      <c r="C891" s="2" t="s">
        <v>433</v>
      </c>
      <c r="D891">
        <v>28</v>
      </c>
    </row>
    <row r="892" spans="1:4" x14ac:dyDescent="0.25">
      <c r="A892" s="1">
        <v>42873</v>
      </c>
      <c r="B892" s="2" t="s">
        <v>143</v>
      </c>
      <c r="C892" s="2" t="s">
        <v>585</v>
      </c>
      <c r="D892">
        <v>48</v>
      </c>
    </row>
    <row r="893" spans="1:4" x14ac:dyDescent="0.25">
      <c r="A893" s="1">
        <v>42874</v>
      </c>
      <c r="B893" s="2" t="s">
        <v>69</v>
      </c>
      <c r="C893" s="2" t="s">
        <v>461</v>
      </c>
      <c r="D893">
        <v>40</v>
      </c>
    </row>
    <row r="894" spans="1:4" x14ac:dyDescent="0.25">
      <c r="A894" s="1">
        <v>42874</v>
      </c>
      <c r="B894" s="2" t="s">
        <v>101</v>
      </c>
      <c r="C894" s="2" t="s">
        <v>187</v>
      </c>
      <c r="D894">
        <v>17</v>
      </c>
    </row>
    <row r="895" spans="1:4" x14ac:dyDescent="0.25">
      <c r="A895" s="1">
        <v>42874</v>
      </c>
      <c r="B895" s="2" t="s">
        <v>203</v>
      </c>
      <c r="C895" s="2" t="s">
        <v>370</v>
      </c>
      <c r="D895">
        <v>22</v>
      </c>
    </row>
    <row r="896" spans="1:4" x14ac:dyDescent="0.25">
      <c r="A896" s="1">
        <v>42874</v>
      </c>
      <c r="B896" s="2" t="s">
        <v>174</v>
      </c>
      <c r="C896" s="2" t="s">
        <v>175</v>
      </c>
      <c r="D896">
        <v>2</v>
      </c>
    </row>
    <row r="897" spans="1:4" x14ac:dyDescent="0.25">
      <c r="A897" s="1">
        <v>42874</v>
      </c>
      <c r="B897" s="2" t="s">
        <v>30</v>
      </c>
      <c r="C897" s="2" t="s">
        <v>31</v>
      </c>
      <c r="D897">
        <v>5</v>
      </c>
    </row>
    <row r="898" spans="1:4" x14ac:dyDescent="0.25">
      <c r="A898" s="1">
        <v>42874</v>
      </c>
      <c r="B898" s="2" t="s">
        <v>280</v>
      </c>
      <c r="C898" s="2" t="s">
        <v>451</v>
      </c>
      <c r="D898">
        <v>25</v>
      </c>
    </row>
    <row r="899" spans="1:4" x14ac:dyDescent="0.25">
      <c r="A899" s="1">
        <v>42877</v>
      </c>
      <c r="B899" s="2" t="s">
        <v>167</v>
      </c>
      <c r="C899" s="2" t="s">
        <v>552</v>
      </c>
      <c r="D899">
        <v>21</v>
      </c>
    </row>
    <row r="900" spans="1:4" x14ac:dyDescent="0.25">
      <c r="A900" s="1">
        <v>42877</v>
      </c>
      <c r="B900" s="2" t="s">
        <v>30</v>
      </c>
      <c r="C900" s="2" t="s">
        <v>432</v>
      </c>
      <c r="D900">
        <v>31</v>
      </c>
    </row>
    <row r="901" spans="1:4" x14ac:dyDescent="0.25">
      <c r="A901" s="1">
        <v>42877</v>
      </c>
      <c r="B901" s="2" t="s">
        <v>75</v>
      </c>
      <c r="C901" s="2" t="s">
        <v>213</v>
      </c>
      <c r="D901">
        <v>21</v>
      </c>
    </row>
    <row r="902" spans="1:4" x14ac:dyDescent="0.25">
      <c r="A902" s="1">
        <v>42877</v>
      </c>
      <c r="B902" s="2" t="s">
        <v>232</v>
      </c>
      <c r="C902" s="2" t="s">
        <v>573</v>
      </c>
      <c r="D902">
        <v>19</v>
      </c>
    </row>
    <row r="903" spans="1:4" x14ac:dyDescent="0.25">
      <c r="A903" s="1">
        <v>42877</v>
      </c>
      <c r="B903" s="2" t="s">
        <v>57</v>
      </c>
      <c r="C903" s="2" t="s">
        <v>58</v>
      </c>
      <c r="D903">
        <v>6</v>
      </c>
    </row>
    <row r="904" spans="1:4" x14ac:dyDescent="0.25">
      <c r="A904" s="1">
        <v>42877</v>
      </c>
      <c r="B904" s="2" t="s">
        <v>150</v>
      </c>
      <c r="C904" s="2" t="s">
        <v>140</v>
      </c>
      <c r="D904">
        <v>24</v>
      </c>
    </row>
    <row r="905" spans="1:4" x14ac:dyDescent="0.25">
      <c r="A905" s="1">
        <v>42878</v>
      </c>
      <c r="B905" s="2" t="s">
        <v>343</v>
      </c>
      <c r="C905" s="2" t="s">
        <v>344</v>
      </c>
      <c r="D905">
        <v>54</v>
      </c>
    </row>
    <row r="906" spans="1:4" x14ac:dyDescent="0.25">
      <c r="A906" s="1">
        <v>42878</v>
      </c>
      <c r="B906" s="2" t="s">
        <v>53</v>
      </c>
      <c r="C906" s="2" t="s">
        <v>54</v>
      </c>
      <c r="D906">
        <v>18</v>
      </c>
    </row>
    <row r="907" spans="1:4" x14ac:dyDescent="0.25">
      <c r="A907" s="1">
        <v>42878</v>
      </c>
      <c r="B907" s="2" t="s">
        <v>343</v>
      </c>
      <c r="C907" s="2" t="s">
        <v>501</v>
      </c>
      <c r="D907">
        <v>8</v>
      </c>
    </row>
    <row r="908" spans="1:4" x14ac:dyDescent="0.25">
      <c r="A908" s="1">
        <v>42878</v>
      </c>
      <c r="B908" s="2" t="s">
        <v>243</v>
      </c>
      <c r="C908" s="2" t="s">
        <v>82</v>
      </c>
      <c r="D908">
        <v>4</v>
      </c>
    </row>
    <row r="909" spans="1:4" x14ac:dyDescent="0.25">
      <c r="A909" s="1">
        <v>42878</v>
      </c>
      <c r="B909" s="2" t="s">
        <v>53</v>
      </c>
      <c r="C909" s="2" t="s">
        <v>227</v>
      </c>
      <c r="D909">
        <v>16</v>
      </c>
    </row>
    <row r="910" spans="1:4" x14ac:dyDescent="0.25">
      <c r="A910" s="1">
        <v>42878</v>
      </c>
      <c r="B910" s="2" t="s">
        <v>34</v>
      </c>
      <c r="C910" s="2" t="s">
        <v>557</v>
      </c>
      <c r="D910">
        <v>6</v>
      </c>
    </row>
    <row r="911" spans="1:4" x14ac:dyDescent="0.25">
      <c r="A911" s="1">
        <v>42879</v>
      </c>
      <c r="B911" s="2" t="s">
        <v>43</v>
      </c>
      <c r="C911" s="2" t="s">
        <v>124</v>
      </c>
      <c r="D911">
        <v>54</v>
      </c>
    </row>
    <row r="912" spans="1:4" x14ac:dyDescent="0.25">
      <c r="A912" s="1">
        <v>42879</v>
      </c>
      <c r="B912" s="2" t="s">
        <v>83</v>
      </c>
      <c r="C912" s="2" t="s">
        <v>459</v>
      </c>
      <c r="D912">
        <v>35</v>
      </c>
    </row>
    <row r="913" spans="1:4" x14ac:dyDescent="0.25">
      <c r="A913" s="1">
        <v>42879</v>
      </c>
      <c r="B913" s="2" t="s">
        <v>234</v>
      </c>
      <c r="C913" s="2" t="s">
        <v>235</v>
      </c>
      <c r="D913">
        <v>23</v>
      </c>
    </row>
    <row r="914" spans="1:4" x14ac:dyDescent="0.25">
      <c r="A914" s="1">
        <v>42879</v>
      </c>
      <c r="B914" s="2" t="s">
        <v>72</v>
      </c>
      <c r="C914" s="2" t="s">
        <v>227</v>
      </c>
      <c r="D914">
        <v>52</v>
      </c>
    </row>
    <row r="915" spans="1:4" x14ac:dyDescent="0.25">
      <c r="A915" s="1">
        <v>42879</v>
      </c>
      <c r="B915" s="2" t="s">
        <v>367</v>
      </c>
      <c r="C915" s="2" t="s">
        <v>411</v>
      </c>
      <c r="D915">
        <v>26</v>
      </c>
    </row>
    <row r="916" spans="1:4" x14ac:dyDescent="0.25">
      <c r="A916" s="1">
        <v>42879</v>
      </c>
      <c r="B916" s="2" t="s">
        <v>343</v>
      </c>
      <c r="C916" s="2" t="s">
        <v>501</v>
      </c>
      <c r="D916">
        <v>26</v>
      </c>
    </row>
    <row r="917" spans="1:4" x14ac:dyDescent="0.25">
      <c r="A917" s="1">
        <v>42880</v>
      </c>
      <c r="B917" s="2" t="s">
        <v>97</v>
      </c>
      <c r="C917" s="2" t="s">
        <v>457</v>
      </c>
      <c r="D917">
        <v>2</v>
      </c>
    </row>
    <row r="918" spans="1:4" x14ac:dyDescent="0.25">
      <c r="A918" s="1">
        <v>42880</v>
      </c>
      <c r="B918" s="2" t="s">
        <v>51</v>
      </c>
      <c r="C918" s="2" t="s">
        <v>469</v>
      </c>
      <c r="D918">
        <v>31</v>
      </c>
    </row>
    <row r="919" spans="1:4" x14ac:dyDescent="0.25">
      <c r="A919" s="1">
        <v>42880</v>
      </c>
      <c r="B919" s="2" t="s">
        <v>20</v>
      </c>
      <c r="C919" s="2" t="s">
        <v>21</v>
      </c>
      <c r="D919">
        <v>38</v>
      </c>
    </row>
    <row r="920" spans="1:4" x14ac:dyDescent="0.25">
      <c r="A920" s="1">
        <v>42880</v>
      </c>
      <c r="B920" s="2" t="s">
        <v>4</v>
      </c>
      <c r="C920" s="2" t="s">
        <v>386</v>
      </c>
      <c r="D920">
        <v>8</v>
      </c>
    </row>
    <row r="921" spans="1:4" x14ac:dyDescent="0.25">
      <c r="A921" s="1">
        <v>42880</v>
      </c>
      <c r="B921" s="2" t="s">
        <v>36</v>
      </c>
      <c r="C921" s="2" t="s">
        <v>295</v>
      </c>
      <c r="D921">
        <v>53</v>
      </c>
    </row>
    <row r="922" spans="1:4" x14ac:dyDescent="0.25">
      <c r="A922" s="1">
        <v>42880</v>
      </c>
      <c r="B922" s="2" t="s">
        <v>484</v>
      </c>
      <c r="C922" s="2" t="s">
        <v>485</v>
      </c>
      <c r="D922">
        <v>6</v>
      </c>
    </row>
    <row r="923" spans="1:4" x14ac:dyDescent="0.25">
      <c r="A923" s="1">
        <v>42881</v>
      </c>
      <c r="B923" s="2" t="s">
        <v>72</v>
      </c>
      <c r="C923" s="2" t="s">
        <v>73</v>
      </c>
      <c r="D923">
        <v>55</v>
      </c>
    </row>
    <row r="924" spans="1:4" x14ac:dyDescent="0.25">
      <c r="A924" s="1">
        <v>42881</v>
      </c>
      <c r="B924" s="2" t="s">
        <v>395</v>
      </c>
      <c r="C924" s="2" t="s">
        <v>587</v>
      </c>
      <c r="D924">
        <v>15</v>
      </c>
    </row>
    <row r="925" spans="1:4" x14ac:dyDescent="0.25">
      <c r="A925" s="1">
        <v>42881</v>
      </c>
      <c r="B925" s="2" t="s">
        <v>155</v>
      </c>
      <c r="C925" s="2" t="s">
        <v>414</v>
      </c>
      <c r="D925">
        <v>25</v>
      </c>
    </row>
    <row r="926" spans="1:4" x14ac:dyDescent="0.25">
      <c r="A926" s="1">
        <v>42881</v>
      </c>
      <c r="B926" s="2" t="s">
        <v>69</v>
      </c>
      <c r="C926" s="2" t="s">
        <v>588</v>
      </c>
      <c r="D926">
        <v>39</v>
      </c>
    </row>
    <row r="927" spans="1:4" x14ac:dyDescent="0.25">
      <c r="A927" s="1">
        <v>42881</v>
      </c>
      <c r="B927" s="2" t="s">
        <v>201</v>
      </c>
      <c r="C927" s="2" t="s">
        <v>357</v>
      </c>
      <c r="D927">
        <v>25</v>
      </c>
    </row>
    <row r="928" spans="1:4" x14ac:dyDescent="0.25">
      <c r="A928" s="1">
        <v>42881</v>
      </c>
      <c r="B928" s="2" t="s">
        <v>55</v>
      </c>
      <c r="C928" s="2" t="s">
        <v>265</v>
      </c>
      <c r="D928">
        <v>22</v>
      </c>
    </row>
    <row r="929" spans="1:4" x14ac:dyDescent="0.25">
      <c r="A929" s="1">
        <v>42884</v>
      </c>
      <c r="B929" s="2" t="s">
        <v>589</v>
      </c>
      <c r="C929" s="2" t="s">
        <v>590</v>
      </c>
      <c r="D929">
        <v>22</v>
      </c>
    </row>
    <row r="930" spans="1:4" x14ac:dyDescent="0.25">
      <c r="A930" s="1">
        <v>42884</v>
      </c>
      <c r="B930" s="2" t="s">
        <v>150</v>
      </c>
      <c r="C930" s="2" t="s">
        <v>200</v>
      </c>
      <c r="D930">
        <v>2</v>
      </c>
    </row>
    <row r="931" spans="1:4" x14ac:dyDescent="0.25">
      <c r="A931" s="1">
        <v>42884</v>
      </c>
      <c r="B931" s="2" t="s">
        <v>101</v>
      </c>
      <c r="C931" s="2" t="s">
        <v>293</v>
      </c>
      <c r="D931">
        <v>8</v>
      </c>
    </row>
    <row r="932" spans="1:4" x14ac:dyDescent="0.25">
      <c r="A932" s="1">
        <v>42884</v>
      </c>
      <c r="B932" s="2" t="s">
        <v>83</v>
      </c>
      <c r="C932" s="2" t="s">
        <v>591</v>
      </c>
      <c r="D932">
        <v>50</v>
      </c>
    </row>
    <row r="933" spans="1:4" x14ac:dyDescent="0.25">
      <c r="A933" s="1">
        <v>42884</v>
      </c>
      <c r="B933" s="2" t="s">
        <v>95</v>
      </c>
      <c r="C933" s="2" t="s">
        <v>96</v>
      </c>
      <c r="D933">
        <v>17</v>
      </c>
    </row>
    <row r="934" spans="1:4" x14ac:dyDescent="0.25">
      <c r="A934" s="1">
        <v>42884</v>
      </c>
      <c r="B934" s="2" t="s">
        <v>65</v>
      </c>
      <c r="C934" s="2" t="s">
        <v>66</v>
      </c>
      <c r="D934">
        <v>9</v>
      </c>
    </row>
    <row r="935" spans="1:4" x14ac:dyDescent="0.25">
      <c r="A935" s="1">
        <v>42885</v>
      </c>
      <c r="B935" s="2" t="s">
        <v>307</v>
      </c>
      <c r="C935" s="2" t="s">
        <v>325</v>
      </c>
      <c r="D935">
        <v>52</v>
      </c>
    </row>
    <row r="936" spans="1:4" x14ac:dyDescent="0.25">
      <c r="A936" s="1">
        <v>42885</v>
      </c>
      <c r="B936" s="2" t="s">
        <v>232</v>
      </c>
      <c r="C936" s="2" t="s">
        <v>451</v>
      </c>
      <c r="D936">
        <v>18</v>
      </c>
    </row>
    <row r="937" spans="1:4" x14ac:dyDescent="0.25">
      <c r="A937" s="1">
        <v>42885</v>
      </c>
      <c r="B937" s="2" t="s">
        <v>23</v>
      </c>
      <c r="C937" s="2" t="s">
        <v>592</v>
      </c>
      <c r="D937">
        <v>17</v>
      </c>
    </row>
    <row r="938" spans="1:4" x14ac:dyDescent="0.25">
      <c r="A938" s="1">
        <v>42885</v>
      </c>
      <c r="B938" s="2" t="s">
        <v>299</v>
      </c>
      <c r="C938" s="2" t="s">
        <v>300</v>
      </c>
      <c r="D938">
        <v>52</v>
      </c>
    </row>
    <row r="939" spans="1:4" x14ac:dyDescent="0.25">
      <c r="A939" s="1">
        <v>42885</v>
      </c>
      <c r="B939" s="2" t="s">
        <v>65</v>
      </c>
      <c r="C939" s="2" t="s">
        <v>116</v>
      </c>
      <c r="D939">
        <v>13</v>
      </c>
    </row>
    <row r="940" spans="1:4" x14ac:dyDescent="0.25">
      <c r="A940" s="1">
        <v>42885</v>
      </c>
      <c r="B940" s="2" t="s">
        <v>25</v>
      </c>
      <c r="C940" s="2" t="s">
        <v>26</v>
      </c>
      <c r="D940">
        <v>10</v>
      </c>
    </row>
    <row r="941" spans="1:4" x14ac:dyDescent="0.25">
      <c r="A941" s="1">
        <v>42886</v>
      </c>
      <c r="B941" s="2" t="s">
        <v>593</v>
      </c>
      <c r="C941" s="2" t="s">
        <v>594</v>
      </c>
      <c r="D941">
        <v>18</v>
      </c>
    </row>
    <row r="942" spans="1:4" x14ac:dyDescent="0.25">
      <c r="A942" s="1">
        <v>42886</v>
      </c>
      <c r="B942" s="2" t="s">
        <v>67</v>
      </c>
      <c r="C942" s="2" t="s">
        <v>301</v>
      </c>
      <c r="D942">
        <v>16</v>
      </c>
    </row>
    <row r="943" spans="1:4" x14ac:dyDescent="0.25">
      <c r="A943" s="1">
        <v>42886</v>
      </c>
      <c r="B943" s="2" t="s">
        <v>193</v>
      </c>
      <c r="C943" s="2" t="s">
        <v>595</v>
      </c>
      <c r="D943">
        <v>8</v>
      </c>
    </row>
    <row r="944" spans="1:4" x14ac:dyDescent="0.25">
      <c r="A944" s="1">
        <v>42886</v>
      </c>
      <c r="B944" s="2" t="s">
        <v>30</v>
      </c>
      <c r="C944" s="2" t="s">
        <v>241</v>
      </c>
      <c r="D944">
        <v>26</v>
      </c>
    </row>
    <row r="945" spans="1:4" x14ac:dyDescent="0.25">
      <c r="A945" s="1">
        <v>42886</v>
      </c>
      <c r="B945" s="2" t="s">
        <v>12</v>
      </c>
      <c r="C945" s="2" t="s">
        <v>532</v>
      </c>
      <c r="D945">
        <v>53</v>
      </c>
    </row>
    <row r="946" spans="1:4" x14ac:dyDescent="0.25">
      <c r="A946" s="1">
        <v>42886</v>
      </c>
      <c r="B946" s="2" t="s">
        <v>77</v>
      </c>
      <c r="C946" s="2" t="s">
        <v>575</v>
      </c>
      <c r="D946">
        <v>3</v>
      </c>
    </row>
    <row r="947" spans="1:4" x14ac:dyDescent="0.25">
      <c r="A947" s="1">
        <v>42887</v>
      </c>
      <c r="B947" s="2" t="s">
        <v>65</v>
      </c>
      <c r="C947" s="2" t="s">
        <v>83</v>
      </c>
      <c r="D947">
        <v>36</v>
      </c>
    </row>
    <row r="948" spans="1:4" x14ac:dyDescent="0.25">
      <c r="A948" s="1">
        <v>42887</v>
      </c>
      <c r="B948" s="2" t="s">
        <v>203</v>
      </c>
      <c r="C948" s="2" t="s">
        <v>370</v>
      </c>
      <c r="D948">
        <v>17</v>
      </c>
    </row>
    <row r="949" spans="1:4" x14ac:dyDescent="0.25">
      <c r="A949" s="1">
        <v>42887</v>
      </c>
      <c r="B949" s="2" t="s">
        <v>63</v>
      </c>
      <c r="C949" s="2" t="s">
        <v>105</v>
      </c>
      <c r="D949">
        <v>14</v>
      </c>
    </row>
    <row r="950" spans="1:4" x14ac:dyDescent="0.25">
      <c r="A950" s="1">
        <v>42887</v>
      </c>
      <c r="B950" s="2" t="s">
        <v>34</v>
      </c>
      <c r="C950" s="2" t="s">
        <v>557</v>
      </c>
      <c r="D950">
        <v>54</v>
      </c>
    </row>
    <row r="951" spans="1:4" x14ac:dyDescent="0.25">
      <c r="A951" s="1">
        <v>42887</v>
      </c>
      <c r="B951" s="2" t="s">
        <v>12</v>
      </c>
      <c r="C951" s="2" t="s">
        <v>386</v>
      </c>
      <c r="D951">
        <v>22</v>
      </c>
    </row>
    <row r="952" spans="1:4" x14ac:dyDescent="0.25">
      <c r="A952" s="1">
        <v>42887</v>
      </c>
      <c r="B952" s="2" t="s">
        <v>339</v>
      </c>
      <c r="C952" s="2" t="s">
        <v>565</v>
      </c>
      <c r="D952">
        <v>33</v>
      </c>
    </row>
    <row r="953" spans="1:4" x14ac:dyDescent="0.25">
      <c r="A953" s="1">
        <v>42888</v>
      </c>
      <c r="B953" s="2" t="s">
        <v>101</v>
      </c>
      <c r="C953" s="2" t="s">
        <v>187</v>
      </c>
      <c r="D953">
        <v>22</v>
      </c>
    </row>
    <row r="954" spans="1:4" x14ac:dyDescent="0.25">
      <c r="A954" s="1">
        <v>42888</v>
      </c>
      <c r="B954" s="2" t="s">
        <v>367</v>
      </c>
      <c r="C954" s="2" t="s">
        <v>368</v>
      </c>
      <c r="D954">
        <v>2</v>
      </c>
    </row>
    <row r="955" spans="1:4" x14ac:dyDescent="0.25">
      <c r="A955" s="1">
        <v>42888</v>
      </c>
      <c r="B955" s="2" t="s">
        <v>246</v>
      </c>
      <c r="C955" s="2" t="s">
        <v>247</v>
      </c>
      <c r="D955">
        <v>8</v>
      </c>
    </row>
    <row r="956" spans="1:4" x14ac:dyDescent="0.25">
      <c r="A956" s="1">
        <v>42888</v>
      </c>
      <c r="B956" s="2" t="s">
        <v>83</v>
      </c>
      <c r="C956" s="2" t="s">
        <v>596</v>
      </c>
      <c r="D956">
        <v>5</v>
      </c>
    </row>
    <row r="957" spans="1:4" x14ac:dyDescent="0.25">
      <c r="A957" s="1">
        <v>42888</v>
      </c>
      <c r="B957" s="2" t="s">
        <v>63</v>
      </c>
      <c r="C957" s="2" t="s">
        <v>441</v>
      </c>
      <c r="D957">
        <v>25</v>
      </c>
    </row>
    <row r="958" spans="1:4" x14ac:dyDescent="0.25">
      <c r="A958" s="1">
        <v>42888</v>
      </c>
      <c r="B958" s="2" t="s">
        <v>143</v>
      </c>
      <c r="C958" s="2" t="s">
        <v>585</v>
      </c>
      <c r="D958">
        <v>18</v>
      </c>
    </row>
    <row r="959" spans="1:4" x14ac:dyDescent="0.25">
      <c r="A959" s="1">
        <v>42891</v>
      </c>
      <c r="B959" s="2" t="s">
        <v>131</v>
      </c>
      <c r="C959" s="2" t="s">
        <v>451</v>
      </c>
      <c r="D959">
        <v>8</v>
      </c>
    </row>
    <row r="960" spans="1:4" x14ac:dyDescent="0.25">
      <c r="A960" s="1">
        <v>42891</v>
      </c>
      <c r="B960" s="2" t="s">
        <v>106</v>
      </c>
      <c r="C960" s="2" t="s">
        <v>107</v>
      </c>
      <c r="D960">
        <v>20</v>
      </c>
    </row>
    <row r="961" spans="1:4" x14ac:dyDescent="0.25">
      <c r="A961" s="1">
        <v>42891</v>
      </c>
      <c r="B961" s="2" t="s">
        <v>57</v>
      </c>
      <c r="C961" s="2" t="s">
        <v>399</v>
      </c>
      <c r="D961">
        <v>23</v>
      </c>
    </row>
    <row r="962" spans="1:4" x14ac:dyDescent="0.25">
      <c r="A962" s="1">
        <v>42891</v>
      </c>
      <c r="B962" s="2" t="s">
        <v>25</v>
      </c>
      <c r="C962" s="2" t="s">
        <v>26</v>
      </c>
      <c r="D962">
        <v>52</v>
      </c>
    </row>
    <row r="963" spans="1:4" x14ac:dyDescent="0.25">
      <c r="A963" s="1">
        <v>42891</v>
      </c>
      <c r="B963" s="2" t="s">
        <v>65</v>
      </c>
      <c r="C963" s="2" t="s">
        <v>210</v>
      </c>
      <c r="D963">
        <v>14</v>
      </c>
    </row>
    <row r="964" spans="1:4" x14ac:dyDescent="0.25">
      <c r="A964" s="1">
        <v>42891</v>
      </c>
      <c r="B964" s="2" t="s">
        <v>8</v>
      </c>
      <c r="C964" s="2" t="s">
        <v>545</v>
      </c>
      <c r="D964">
        <v>27</v>
      </c>
    </row>
    <row r="965" spans="1:4" x14ac:dyDescent="0.25">
      <c r="A965" s="1">
        <v>42892</v>
      </c>
      <c r="B965" s="2" t="s">
        <v>47</v>
      </c>
      <c r="C965" s="2" t="s">
        <v>48</v>
      </c>
      <c r="D965">
        <v>21</v>
      </c>
    </row>
    <row r="966" spans="1:4" x14ac:dyDescent="0.25">
      <c r="A966" s="1">
        <v>42892</v>
      </c>
      <c r="B966" s="2" t="s">
        <v>23</v>
      </c>
      <c r="C966" s="2" t="s">
        <v>24</v>
      </c>
      <c r="D966">
        <v>28</v>
      </c>
    </row>
    <row r="967" spans="1:4" x14ac:dyDescent="0.25">
      <c r="A967" s="1">
        <v>42892</v>
      </c>
      <c r="B967" s="2" t="s">
        <v>18</v>
      </c>
      <c r="C967" s="2" t="s">
        <v>597</v>
      </c>
      <c r="D967">
        <v>50</v>
      </c>
    </row>
    <row r="968" spans="1:4" x14ac:dyDescent="0.25">
      <c r="A968" s="1">
        <v>42892</v>
      </c>
      <c r="B968" s="2" t="s">
        <v>77</v>
      </c>
      <c r="C968" s="2" t="s">
        <v>78</v>
      </c>
      <c r="D968">
        <v>5</v>
      </c>
    </row>
    <row r="969" spans="1:4" x14ac:dyDescent="0.25">
      <c r="A969" s="1">
        <v>42892</v>
      </c>
      <c r="B969" s="2" t="s">
        <v>201</v>
      </c>
      <c r="C969" s="2" t="s">
        <v>598</v>
      </c>
      <c r="D969">
        <v>7</v>
      </c>
    </row>
    <row r="970" spans="1:4" x14ac:dyDescent="0.25">
      <c r="A970" s="1">
        <v>42892</v>
      </c>
      <c r="B970" s="2" t="s">
        <v>395</v>
      </c>
      <c r="C970" s="2" t="s">
        <v>599</v>
      </c>
      <c r="D970">
        <v>11</v>
      </c>
    </row>
    <row r="971" spans="1:4" x14ac:dyDescent="0.25">
      <c r="A971" s="1">
        <v>42893</v>
      </c>
      <c r="B971" s="2" t="s">
        <v>101</v>
      </c>
      <c r="C971" s="2" t="s">
        <v>187</v>
      </c>
      <c r="D971">
        <v>17</v>
      </c>
    </row>
    <row r="972" spans="1:4" x14ac:dyDescent="0.25">
      <c r="A972" s="1">
        <v>42893</v>
      </c>
      <c r="B972" s="2" t="s">
        <v>119</v>
      </c>
      <c r="C972" s="2" t="s">
        <v>120</v>
      </c>
      <c r="D972">
        <v>12</v>
      </c>
    </row>
    <row r="973" spans="1:4" x14ac:dyDescent="0.25">
      <c r="A973" s="1">
        <v>42893</v>
      </c>
      <c r="B973" s="2" t="s">
        <v>171</v>
      </c>
      <c r="C973" s="2" t="s">
        <v>5</v>
      </c>
      <c r="D973">
        <v>49</v>
      </c>
    </row>
    <row r="974" spans="1:4" x14ac:dyDescent="0.25">
      <c r="A974" s="1">
        <v>42893</v>
      </c>
      <c r="B974" s="2" t="s">
        <v>41</v>
      </c>
      <c r="C974" s="2" t="s">
        <v>42</v>
      </c>
      <c r="D974">
        <v>6</v>
      </c>
    </row>
    <row r="975" spans="1:4" x14ac:dyDescent="0.25">
      <c r="A975" s="1">
        <v>42893</v>
      </c>
      <c r="B975" s="2" t="s">
        <v>8</v>
      </c>
      <c r="C975" s="2" t="s">
        <v>9</v>
      </c>
      <c r="D975">
        <v>13</v>
      </c>
    </row>
    <row r="976" spans="1:4" x14ac:dyDescent="0.25">
      <c r="A976" s="1">
        <v>42893</v>
      </c>
      <c r="B976" s="2" t="s">
        <v>121</v>
      </c>
      <c r="C976" s="2" t="s">
        <v>600</v>
      </c>
      <c r="D976">
        <v>40</v>
      </c>
    </row>
    <row r="977" spans="1:4" x14ac:dyDescent="0.25">
      <c r="A977" s="1">
        <v>42894</v>
      </c>
      <c r="B977" s="2" t="s">
        <v>150</v>
      </c>
      <c r="C977" s="2" t="s">
        <v>601</v>
      </c>
      <c r="D977">
        <v>26</v>
      </c>
    </row>
    <row r="978" spans="1:4" x14ac:dyDescent="0.25">
      <c r="A978" s="1">
        <v>42894</v>
      </c>
      <c r="B978" s="2" t="s">
        <v>106</v>
      </c>
      <c r="C978" s="2" t="s">
        <v>602</v>
      </c>
      <c r="D978">
        <v>16</v>
      </c>
    </row>
    <row r="979" spans="1:4" x14ac:dyDescent="0.25">
      <c r="A979" s="1">
        <v>42894</v>
      </c>
      <c r="B979" s="2" t="s">
        <v>416</v>
      </c>
      <c r="C979" s="2" t="s">
        <v>572</v>
      </c>
      <c r="D979">
        <v>36</v>
      </c>
    </row>
    <row r="980" spans="1:4" x14ac:dyDescent="0.25">
      <c r="A980" s="1">
        <v>42894</v>
      </c>
      <c r="B980" s="2" t="s">
        <v>206</v>
      </c>
      <c r="C980" s="2" t="s">
        <v>192</v>
      </c>
      <c r="D980">
        <v>8</v>
      </c>
    </row>
    <row r="981" spans="1:4" x14ac:dyDescent="0.25">
      <c r="A981" s="1">
        <v>42894</v>
      </c>
      <c r="B981" s="2" t="s">
        <v>36</v>
      </c>
      <c r="C981" s="2" t="s">
        <v>306</v>
      </c>
      <c r="D981">
        <v>7</v>
      </c>
    </row>
    <row r="982" spans="1:4" x14ac:dyDescent="0.25">
      <c r="A982" s="1">
        <v>42894</v>
      </c>
      <c r="B982" s="2" t="s">
        <v>232</v>
      </c>
      <c r="C982" s="2" t="s">
        <v>573</v>
      </c>
      <c r="D982">
        <v>25</v>
      </c>
    </row>
    <row r="983" spans="1:4" x14ac:dyDescent="0.25">
      <c r="A983" s="1">
        <v>42895</v>
      </c>
      <c r="B983" s="2" t="s">
        <v>603</v>
      </c>
      <c r="C983" s="2" t="s">
        <v>439</v>
      </c>
      <c r="D983">
        <v>43</v>
      </c>
    </row>
    <row r="984" spans="1:4" x14ac:dyDescent="0.25">
      <c r="A984" s="1">
        <v>42895</v>
      </c>
      <c r="B984" s="2" t="s">
        <v>39</v>
      </c>
      <c r="C984" s="2" t="s">
        <v>164</v>
      </c>
      <c r="D984">
        <v>23</v>
      </c>
    </row>
    <row r="985" spans="1:4" x14ac:dyDescent="0.25">
      <c r="A985" s="1">
        <v>42895</v>
      </c>
      <c r="B985" s="2" t="s">
        <v>243</v>
      </c>
      <c r="C985" s="2" t="s">
        <v>82</v>
      </c>
      <c r="D985">
        <v>5</v>
      </c>
    </row>
    <row r="986" spans="1:4" x14ac:dyDescent="0.25">
      <c r="A986" s="1">
        <v>42895</v>
      </c>
      <c r="B986" s="2" t="s">
        <v>232</v>
      </c>
      <c r="C986" s="2" t="s">
        <v>378</v>
      </c>
      <c r="D986">
        <v>2</v>
      </c>
    </row>
    <row r="987" spans="1:4" x14ac:dyDescent="0.25">
      <c r="A987" s="1">
        <v>42895</v>
      </c>
      <c r="B987" s="2" t="s">
        <v>178</v>
      </c>
      <c r="C987" s="2" t="s">
        <v>335</v>
      </c>
      <c r="D987">
        <v>5</v>
      </c>
    </row>
    <row r="988" spans="1:4" x14ac:dyDescent="0.25">
      <c r="A988" s="1">
        <v>42895</v>
      </c>
      <c r="B988" s="2" t="s">
        <v>23</v>
      </c>
      <c r="C988" s="2" t="s">
        <v>604</v>
      </c>
      <c r="D988">
        <v>50</v>
      </c>
    </row>
    <row r="989" spans="1:4" x14ac:dyDescent="0.25">
      <c r="A989" s="1">
        <v>42898</v>
      </c>
      <c r="B989" s="2" t="s">
        <v>25</v>
      </c>
      <c r="C989" s="2" t="s">
        <v>146</v>
      </c>
      <c r="D989">
        <v>11</v>
      </c>
    </row>
    <row r="990" spans="1:4" x14ac:dyDescent="0.25">
      <c r="A990" s="1">
        <v>42898</v>
      </c>
      <c r="B990" s="2" t="s">
        <v>30</v>
      </c>
      <c r="C990" s="2" t="s">
        <v>109</v>
      </c>
      <c r="D990">
        <v>18</v>
      </c>
    </row>
    <row r="991" spans="1:4" x14ac:dyDescent="0.25">
      <c r="A991" s="1">
        <v>42898</v>
      </c>
      <c r="B991" s="2" t="s">
        <v>97</v>
      </c>
      <c r="C991" s="2" t="s">
        <v>181</v>
      </c>
      <c r="D991">
        <v>24</v>
      </c>
    </row>
    <row r="992" spans="1:4" x14ac:dyDescent="0.25">
      <c r="A992" s="1">
        <v>42898</v>
      </c>
      <c r="B992" s="2" t="s">
        <v>4</v>
      </c>
      <c r="C992" s="2" t="s">
        <v>382</v>
      </c>
      <c r="D992">
        <v>20</v>
      </c>
    </row>
    <row r="993" spans="1:4" x14ac:dyDescent="0.25">
      <c r="A993" s="1">
        <v>42898</v>
      </c>
      <c r="B993" s="2" t="s">
        <v>267</v>
      </c>
      <c r="C993" s="2" t="s">
        <v>287</v>
      </c>
      <c r="D993">
        <v>55</v>
      </c>
    </row>
    <row r="994" spans="1:4" x14ac:dyDescent="0.25">
      <c r="A994" s="1">
        <v>42898</v>
      </c>
      <c r="B994" s="2" t="s">
        <v>269</v>
      </c>
      <c r="C994" s="2" t="s">
        <v>605</v>
      </c>
      <c r="D994">
        <v>52</v>
      </c>
    </row>
    <row r="995" spans="1:4" x14ac:dyDescent="0.25">
      <c r="A995" s="1">
        <v>42899</v>
      </c>
      <c r="B995" s="2" t="s">
        <v>121</v>
      </c>
      <c r="C995" s="2" t="s">
        <v>606</v>
      </c>
      <c r="D995">
        <v>41</v>
      </c>
    </row>
    <row r="996" spans="1:4" x14ac:dyDescent="0.25">
      <c r="A996" s="1">
        <v>42899</v>
      </c>
      <c r="B996" s="2" t="s">
        <v>87</v>
      </c>
      <c r="C996" s="2" t="s">
        <v>255</v>
      </c>
      <c r="D996">
        <v>27</v>
      </c>
    </row>
    <row r="997" spans="1:4" x14ac:dyDescent="0.25">
      <c r="A997" s="1">
        <v>42899</v>
      </c>
      <c r="B997" s="2" t="s">
        <v>36</v>
      </c>
      <c r="C997" s="2" t="s">
        <v>404</v>
      </c>
      <c r="D997">
        <v>12</v>
      </c>
    </row>
    <row r="998" spans="1:4" x14ac:dyDescent="0.25">
      <c r="A998" s="1">
        <v>42899</v>
      </c>
      <c r="B998" s="2" t="s">
        <v>97</v>
      </c>
      <c r="C998" s="2" t="s">
        <v>464</v>
      </c>
      <c r="D998">
        <v>23</v>
      </c>
    </row>
    <row r="999" spans="1:4" x14ac:dyDescent="0.25">
      <c r="A999" s="1">
        <v>42899</v>
      </c>
      <c r="B999" s="2" t="s">
        <v>327</v>
      </c>
      <c r="C999" s="2" t="s">
        <v>102</v>
      </c>
      <c r="D999">
        <v>4</v>
      </c>
    </row>
    <row r="1000" spans="1:4" x14ac:dyDescent="0.25">
      <c r="A1000" s="1">
        <v>42899</v>
      </c>
      <c r="B1000" s="2" t="s">
        <v>77</v>
      </c>
      <c r="C1000" s="2" t="s">
        <v>384</v>
      </c>
      <c r="D1000">
        <v>27</v>
      </c>
    </row>
    <row r="1001" spans="1:4" x14ac:dyDescent="0.25">
      <c r="A1001" s="1">
        <v>42900</v>
      </c>
      <c r="B1001" s="2" t="s">
        <v>72</v>
      </c>
      <c r="C1001" s="2" t="s">
        <v>73</v>
      </c>
      <c r="D1001">
        <v>36</v>
      </c>
    </row>
    <row r="1002" spans="1:4" x14ac:dyDescent="0.25">
      <c r="A1002" s="1">
        <v>42900</v>
      </c>
      <c r="B1002" s="2" t="s">
        <v>51</v>
      </c>
      <c r="C1002" s="2" t="s">
        <v>522</v>
      </c>
      <c r="D1002">
        <v>20</v>
      </c>
    </row>
    <row r="1003" spans="1:4" x14ac:dyDescent="0.25">
      <c r="A1003" s="1">
        <v>42900</v>
      </c>
      <c r="B1003" s="2" t="s">
        <v>442</v>
      </c>
      <c r="C1003" s="2" t="s">
        <v>502</v>
      </c>
      <c r="D1003">
        <v>26</v>
      </c>
    </row>
    <row r="1004" spans="1:4" x14ac:dyDescent="0.25">
      <c r="A1004" s="1">
        <v>42900</v>
      </c>
      <c r="B1004" s="2" t="s">
        <v>442</v>
      </c>
      <c r="C1004" s="2" t="s">
        <v>540</v>
      </c>
      <c r="D1004">
        <v>8</v>
      </c>
    </row>
    <row r="1005" spans="1:4" x14ac:dyDescent="0.25">
      <c r="A1005" s="1">
        <v>42900</v>
      </c>
      <c r="B1005" s="2" t="s">
        <v>141</v>
      </c>
      <c r="C1005" s="2" t="s">
        <v>448</v>
      </c>
      <c r="D1005">
        <v>6</v>
      </c>
    </row>
    <row r="1006" spans="1:4" x14ac:dyDescent="0.25">
      <c r="A1006" s="1">
        <v>42900</v>
      </c>
      <c r="B1006" s="2" t="s">
        <v>232</v>
      </c>
      <c r="C1006" s="2" t="s">
        <v>573</v>
      </c>
      <c r="D1006">
        <v>5</v>
      </c>
    </row>
    <row r="1007" spans="1:4" x14ac:dyDescent="0.25">
      <c r="A1007" s="1">
        <v>42901</v>
      </c>
      <c r="B1007" s="2" t="s">
        <v>39</v>
      </c>
      <c r="C1007" s="2" t="s">
        <v>391</v>
      </c>
      <c r="D1007">
        <v>8</v>
      </c>
    </row>
    <row r="1008" spans="1:4" x14ac:dyDescent="0.25">
      <c r="A1008" s="1">
        <v>42901</v>
      </c>
      <c r="B1008" s="2" t="s">
        <v>150</v>
      </c>
      <c r="C1008" s="2" t="s">
        <v>140</v>
      </c>
      <c r="D1008">
        <v>4</v>
      </c>
    </row>
    <row r="1009" spans="1:4" x14ac:dyDescent="0.25">
      <c r="A1009" s="1">
        <v>42901</v>
      </c>
      <c r="B1009" s="2" t="s">
        <v>195</v>
      </c>
      <c r="C1009" s="2" t="s">
        <v>401</v>
      </c>
      <c r="D1009">
        <v>31</v>
      </c>
    </row>
    <row r="1010" spans="1:4" x14ac:dyDescent="0.25">
      <c r="A1010" s="1">
        <v>42901</v>
      </c>
      <c r="B1010" s="2" t="s">
        <v>57</v>
      </c>
      <c r="C1010" s="2" t="s">
        <v>418</v>
      </c>
      <c r="D1010">
        <v>36</v>
      </c>
    </row>
    <row r="1011" spans="1:4" x14ac:dyDescent="0.25">
      <c r="A1011" s="1">
        <v>42901</v>
      </c>
      <c r="B1011" s="2" t="s">
        <v>271</v>
      </c>
      <c r="C1011" s="2" t="s">
        <v>548</v>
      </c>
      <c r="D1011">
        <v>3</v>
      </c>
    </row>
    <row r="1012" spans="1:4" x14ac:dyDescent="0.25">
      <c r="A1012" s="1">
        <v>42901</v>
      </c>
      <c r="B1012" s="2" t="s">
        <v>83</v>
      </c>
      <c r="C1012" s="2" t="s">
        <v>518</v>
      </c>
      <c r="D1012">
        <v>31</v>
      </c>
    </row>
    <row r="1013" spans="1:4" x14ac:dyDescent="0.25">
      <c r="A1013" s="1">
        <v>42902</v>
      </c>
      <c r="B1013" s="2" t="s">
        <v>55</v>
      </c>
      <c r="C1013" s="2" t="s">
        <v>184</v>
      </c>
      <c r="D1013">
        <v>3</v>
      </c>
    </row>
    <row r="1014" spans="1:4" x14ac:dyDescent="0.25">
      <c r="A1014" s="1">
        <v>42902</v>
      </c>
      <c r="B1014" s="2" t="s">
        <v>574</v>
      </c>
      <c r="C1014" s="2" t="s">
        <v>607</v>
      </c>
      <c r="D1014">
        <v>2</v>
      </c>
    </row>
    <row r="1015" spans="1:4" x14ac:dyDescent="0.25">
      <c r="A1015" s="1">
        <v>42902</v>
      </c>
      <c r="B1015" s="2" t="s">
        <v>143</v>
      </c>
      <c r="C1015" s="2" t="s">
        <v>510</v>
      </c>
      <c r="D1015">
        <v>53</v>
      </c>
    </row>
    <row r="1016" spans="1:4" x14ac:dyDescent="0.25">
      <c r="A1016" s="1">
        <v>42902</v>
      </c>
      <c r="B1016" s="2" t="s">
        <v>327</v>
      </c>
      <c r="C1016" s="2" t="s">
        <v>608</v>
      </c>
      <c r="D1016">
        <v>7</v>
      </c>
    </row>
    <row r="1017" spans="1:4" x14ac:dyDescent="0.25">
      <c r="A1017" s="1">
        <v>42902</v>
      </c>
      <c r="B1017" s="2" t="s">
        <v>139</v>
      </c>
      <c r="C1017" s="2" t="s">
        <v>140</v>
      </c>
      <c r="D1017">
        <v>27</v>
      </c>
    </row>
    <row r="1018" spans="1:4" x14ac:dyDescent="0.25">
      <c r="A1018" s="1">
        <v>42902</v>
      </c>
      <c r="B1018" s="2" t="s">
        <v>4</v>
      </c>
      <c r="C1018" s="2" t="s">
        <v>489</v>
      </c>
      <c r="D1018">
        <v>29</v>
      </c>
    </row>
    <row r="1019" spans="1:4" x14ac:dyDescent="0.25">
      <c r="A1019" s="1">
        <v>42905</v>
      </c>
      <c r="B1019" s="2" t="s">
        <v>25</v>
      </c>
      <c r="C1019" s="2" t="s">
        <v>26</v>
      </c>
      <c r="D1019">
        <v>19</v>
      </c>
    </row>
    <row r="1020" spans="1:4" x14ac:dyDescent="0.25">
      <c r="A1020" s="1">
        <v>42905</v>
      </c>
      <c r="B1020" s="2" t="s">
        <v>152</v>
      </c>
      <c r="C1020" s="2" t="s">
        <v>17</v>
      </c>
      <c r="D1020">
        <v>15</v>
      </c>
    </row>
    <row r="1021" spans="1:4" x14ac:dyDescent="0.25">
      <c r="A1021" s="1">
        <v>42905</v>
      </c>
      <c r="B1021" s="2" t="s">
        <v>128</v>
      </c>
      <c r="C1021" s="2" t="s">
        <v>478</v>
      </c>
      <c r="D1021">
        <v>24</v>
      </c>
    </row>
    <row r="1022" spans="1:4" x14ac:dyDescent="0.25">
      <c r="A1022" s="1">
        <v>42905</v>
      </c>
      <c r="B1022" s="2" t="s">
        <v>87</v>
      </c>
      <c r="C1022" s="2" t="s">
        <v>255</v>
      </c>
      <c r="D1022">
        <v>50</v>
      </c>
    </row>
    <row r="1023" spans="1:4" x14ac:dyDescent="0.25">
      <c r="A1023" s="1">
        <v>42905</v>
      </c>
      <c r="B1023" s="2" t="s">
        <v>36</v>
      </c>
      <c r="C1023" s="2" t="s">
        <v>166</v>
      </c>
      <c r="D1023">
        <v>18</v>
      </c>
    </row>
    <row r="1024" spans="1:4" x14ac:dyDescent="0.25">
      <c r="A1024" s="1">
        <v>42905</v>
      </c>
      <c r="B1024" s="2" t="s">
        <v>39</v>
      </c>
      <c r="C1024" s="2" t="s">
        <v>609</v>
      </c>
      <c r="D1024">
        <v>36</v>
      </c>
    </row>
    <row r="1025" spans="1:4" x14ac:dyDescent="0.25">
      <c r="A1025" s="1">
        <v>42906</v>
      </c>
      <c r="B1025" s="2" t="s">
        <v>352</v>
      </c>
      <c r="C1025" s="2" t="s">
        <v>425</v>
      </c>
      <c r="D1025">
        <v>13</v>
      </c>
    </row>
    <row r="1026" spans="1:4" x14ac:dyDescent="0.25">
      <c r="A1026" s="1">
        <v>42906</v>
      </c>
      <c r="B1026" s="2" t="s">
        <v>101</v>
      </c>
      <c r="C1026" s="2" t="s">
        <v>610</v>
      </c>
      <c r="D1026">
        <v>29</v>
      </c>
    </row>
    <row r="1027" spans="1:4" x14ac:dyDescent="0.25">
      <c r="A1027" s="1">
        <v>42906</v>
      </c>
      <c r="B1027" s="2" t="s">
        <v>412</v>
      </c>
      <c r="C1027" s="2" t="s">
        <v>413</v>
      </c>
      <c r="D1027">
        <v>47</v>
      </c>
    </row>
    <row r="1028" spans="1:4" x14ac:dyDescent="0.25">
      <c r="A1028" s="1">
        <v>42906</v>
      </c>
      <c r="B1028" s="2" t="s">
        <v>67</v>
      </c>
      <c r="C1028" s="2" t="s">
        <v>460</v>
      </c>
      <c r="D1028">
        <v>17</v>
      </c>
    </row>
    <row r="1029" spans="1:4" x14ac:dyDescent="0.25">
      <c r="A1029" s="1">
        <v>42906</v>
      </c>
      <c r="B1029" s="2" t="s">
        <v>155</v>
      </c>
      <c r="C1029" s="2" t="s">
        <v>186</v>
      </c>
      <c r="D1029">
        <v>9</v>
      </c>
    </row>
    <row r="1030" spans="1:4" x14ac:dyDescent="0.25">
      <c r="A1030" s="1">
        <v>42906</v>
      </c>
      <c r="B1030" s="2" t="s">
        <v>139</v>
      </c>
      <c r="C1030" s="2" t="s">
        <v>140</v>
      </c>
      <c r="D1030">
        <v>8</v>
      </c>
    </row>
    <row r="1031" spans="1:4" x14ac:dyDescent="0.25">
      <c r="A1031" s="1">
        <v>42907</v>
      </c>
      <c r="B1031" s="2" t="s">
        <v>395</v>
      </c>
      <c r="C1031" s="2" t="s">
        <v>599</v>
      </c>
      <c r="D1031">
        <v>4</v>
      </c>
    </row>
    <row r="1032" spans="1:4" x14ac:dyDescent="0.25">
      <c r="A1032" s="1">
        <v>42907</v>
      </c>
      <c r="B1032" s="2" t="s">
        <v>314</v>
      </c>
      <c r="C1032" s="2" t="s">
        <v>466</v>
      </c>
      <c r="D1032">
        <v>53</v>
      </c>
    </row>
    <row r="1033" spans="1:4" x14ac:dyDescent="0.25">
      <c r="A1033" s="1">
        <v>42907</v>
      </c>
      <c r="B1033" s="2" t="s">
        <v>329</v>
      </c>
      <c r="C1033" s="2" t="s">
        <v>330</v>
      </c>
      <c r="D1033">
        <v>29</v>
      </c>
    </row>
    <row r="1034" spans="1:4" x14ac:dyDescent="0.25">
      <c r="A1034" s="1">
        <v>42907</v>
      </c>
      <c r="B1034" s="2" t="s">
        <v>69</v>
      </c>
      <c r="C1034" s="2" t="s">
        <v>70</v>
      </c>
      <c r="D1034">
        <v>52</v>
      </c>
    </row>
    <row r="1035" spans="1:4" x14ac:dyDescent="0.25">
      <c r="A1035" s="1">
        <v>42907</v>
      </c>
      <c r="B1035" s="2" t="s">
        <v>395</v>
      </c>
      <c r="C1035" s="2" t="s">
        <v>599</v>
      </c>
      <c r="D1035">
        <v>8</v>
      </c>
    </row>
    <row r="1036" spans="1:4" x14ac:dyDescent="0.25">
      <c r="A1036" s="1">
        <v>42907</v>
      </c>
      <c r="B1036" s="2" t="s">
        <v>87</v>
      </c>
      <c r="C1036" s="2" t="s">
        <v>154</v>
      </c>
      <c r="D1036">
        <v>32</v>
      </c>
    </row>
    <row r="1037" spans="1:4" x14ac:dyDescent="0.25">
      <c r="A1037" s="1">
        <v>42908</v>
      </c>
      <c r="B1037" s="2" t="s">
        <v>208</v>
      </c>
      <c r="C1037" s="2" t="s">
        <v>611</v>
      </c>
      <c r="D1037">
        <v>11</v>
      </c>
    </row>
    <row r="1038" spans="1:4" x14ac:dyDescent="0.25">
      <c r="A1038" s="1">
        <v>42908</v>
      </c>
      <c r="B1038" s="2" t="s">
        <v>395</v>
      </c>
      <c r="C1038" s="2" t="s">
        <v>467</v>
      </c>
      <c r="D1038">
        <v>35</v>
      </c>
    </row>
    <row r="1039" spans="1:4" x14ac:dyDescent="0.25">
      <c r="A1039" s="1">
        <v>42908</v>
      </c>
      <c r="B1039" s="2" t="s">
        <v>141</v>
      </c>
      <c r="C1039" s="2" t="s">
        <v>612</v>
      </c>
      <c r="D1039">
        <v>4</v>
      </c>
    </row>
    <row r="1040" spans="1:4" x14ac:dyDescent="0.25">
      <c r="A1040" s="1">
        <v>42908</v>
      </c>
      <c r="B1040" s="2" t="s">
        <v>141</v>
      </c>
      <c r="C1040" s="2" t="s">
        <v>435</v>
      </c>
      <c r="D1040">
        <v>18</v>
      </c>
    </row>
    <row r="1041" spans="1:4" x14ac:dyDescent="0.25">
      <c r="A1041" s="1">
        <v>42908</v>
      </c>
      <c r="B1041" s="2" t="s">
        <v>83</v>
      </c>
      <c r="C1041" s="2" t="s">
        <v>591</v>
      </c>
      <c r="D1041">
        <v>5</v>
      </c>
    </row>
    <row r="1042" spans="1:4" x14ac:dyDescent="0.25">
      <c r="A1042" s="1">
        <v>42908</v>
      </c>
      <c r="B1042" s="2" t="s">
        <v>30</v>
      </c>
      <c r="C1042" s="2" t="s">
        <v>432</v>
      </c>
      <c r="D1042">
        <v>32</v>
      </c>
    </row>
    <row r="1043" spans="1:4" x14ac:dyDescent="0.25">
      <c r="A1043" s="1">
        <v>42909</v>
      </c>
      <c r="B1043" s="2" t="s">
        <v>161</v>
      </c>
      <c r="C1043" s="2" t="s">
        <v>345</v>
      </c>
      <c r="D1043">
        <v>18</v>
      </c>
    </row>
    <row r="1044" spans="1:4" x14ac:dyDescent="0.25">
      <c r="A1044" s="1">
        <v>42909</v>
      </c>
      <c r="B1044" s="2" t="s">
        <v>32</v>
      </c>
      <c r="C1044" s="2" t="s">
        <v>406</v>
      </c>
      <c r="D1044">
        <v>19</v>
      </c>
    </row>
    <row r="1045" spans="1:4" x14ac:dyDescent="0.25">
      <c r="A1045" s="1">
        <v>42909</v>
      </c>
      <c r="B1045" s="2" t="s">
        <v>161</v>
      </c>
      <c r="C1045" s="2" t="s">
        <v>162</v>
      </c>
      <c r="D1045">
        <v>8</v>
      </c>
    </row>
    <row r="1046" spans="1:4" x14ac:dyDescent="0.25">
      <c r="A1046" s="1">
        <v>42909</v>
      </c>
      <c r="B1046" s="2" t="s">
        <v>449</v>
      </c>
      <c r="C1046" s="2" t="s">
        <v>613</v>
      </c>
      <c r="D1046">
        <v>16</v>
      </c>
    </row>
    <row r="1047" spans="1:4" x14ac:dyDescent="0.25">
      <c r="A1047" s="1">
        <v>42909</v>
      </c>
      <c r="B1047" s="2" t="s">
        <v>41</v>
      </c>
      <c r="C1047" s="2" t="s">
        <v>614</v>
      </c>
      <c r="D1047">
        <v>39</v>
      </c>
    </row>
    <row r="1048" spans="1:4" x14ac:dyDescent="0.25">
      <c r="A1048" s="1">
        <v>42909</v>
      </c>
      <c r="B1048" s="2" t="s">
        <v>101</v>
      </c>
      <c r="C1048" s="2" t="s">
        <v>610</v>
      </c>
      <c r="D1048">
        <v>45</v>
      </c>
    </row>
    <row r="1049" spans="1:4" x14ac:dyDescent="0.25">
      <c r="A1049" s="1">
        <v>42912</v>
      </c>
      <c r="B1049" s="2" t="s">
        <v>141</v>
      </c>
      <c r="C1049" s="2" t="s">
        <v>435</v>
      </c>
      <c r="D1049">
        <v>46</v>
      </c>
    </row>
    <row r="1050" spans="1:4" x14ac:dyDescent="0.25">
      <c r="A1050" s="1">
        <v>42912</v>
      </c>
      <c r="B1050" s="2" t="s">
        <v>83</v>
      </c>
      <c r="C1050" s="2" t="s">
        <v>91</v>
      </c>
      <c r="D1050">
        <v>26</v>
      </c>
    </row>
    <row r="1051" spans="1:4" x14ac:dyDescent="0.25">
      <c r="A1051" s="1">
        <v>42912</v>
      </c>
      <c r="B1051" s="2" t="s">
        <v>351</v>
      </c>
      <c r="C1051" s="2" t="s">
        <v>227</v>
      </c>
      <c r="D1051">
        <v>53</v>
      </c>
    </row>
    <row r="1052" spans="1:4" x14ac:dyDescent="0.25">
      <c r="A1052" s="1">
        <v>42912</v>
      </c>
      <c r="B1052" s="2" t="s">
        <v>503</v>
      </c>
      <c r="C1052" s="2" t="s">
        <v>183</v>
      </c>
      <c r="D1052">
        <v>26</v>
      </c>
    </row>
    <row r="1053" spans="1:4" x14ac:dyDescent="0.25">
      <c r="A1053" s="1">
        <v>42912</v>
      </c>
      <c r="B1053" s="2" t="s">
        <v>4</v>
      </c>
      <c r="C1053" s="2" t="s">
        <v>5</v>
      </c>
      <c r="D1053">
        <v>16</v>
      </c>
    </row>
    <row r="1054" spans="1:4" x14ac:dyDescent="0.25">
      <c r="A1054" s="1">
        <v>42912</v>
      </c>
      <c r="B1054" s="2" t="s">
        <v>83</v>
      </c>
      <c r="C1054" s="2" t="s">
        <v>615</v>
      </c>
      <c r="D1054">
        <v>10</v>
      </c>
    </row>
    <row r="1055" spans="1:4" x14ac:dyDescent="0.25">
      <c r="A1055" s="1">
        <v>42913</v>
      </c>
      <c r="B1055" s="2" t="s">
        <v>161</v>
      </c>
      <c r="C1055" s="2" t="s">
        <v>214</v>
      </c>
      <c r="D1055">
        <v>23</v>
      </c>
    </row>
    <row r="1056" spans="1:4" x14ac:dyDescent="0.25">
      <c r="A1056" s="1">
        <v>42913</v>
      </c>
      <c r="B1056" s="2" t="s">
        <v>32</v>
      </c>
      <c r="C1056" s="2" t="s">
        <v>33</v>
      </c>
      <c r="D1056">
        <v>22</v>
      </c>
    </row>
    <row r="1057" spans="1:4" x14ac:dyDescent="0.25">
      <c r="A1057" s="1">
        <v>42913</v>
      </c>
      <c r="B1057" s="2" t="s">
        <v>41</v>
      </c>
      <c r="C1057" s="2" t="s">
        <v>302</v>
      </c>
      <c r="D1057">
        <v>29</v>
      </c>
    </row>
    <row r="1058" spans="1:4" x14ac:dyDescent="0.25">
      <c r="A1058" s="1">
        <v>42913</v>
      </c>
      <c r="B1058" s="2" t="s">
        <v>150</v>
      </c>
      <c r="C1058" s="2" t="s">
        <v>151</v>
      </c>
      <c r="D1058">
        <v>26</v>
      </c>
    </row>
    <row r="1059" spans="1:4" x14ac:dyDescent="0.25">
      <c r="A1059" s="1">
        <v>42913</v>
      </c>
      <c r="B1059" s="2" t="s">
        <v>51</v>
      </c>
      <c r="C1059" s="2" t="s">
        <v>358</v>
      </c>
      <c r="D1059">
        <v>9</v>
      </c>
    </row>
    <row r="1060" spans="1:4" x14ac:dyDescent="0.25">
      <c r="A1060" s="1">
        <v>42913</v>
      </c>
      <c r="B1060" s="2" t="s">
        <v>81</v>
      </c>
      <c r="C1060" s="2" t="s">
        <v>104</v>
      </c>
      <c r="D1060">
        <v>20</v>
      </c>
    </row>
    <row r="1061" spans="1:4" x14ac:dyDescent="0.25">
      <c r="A1061" s="1">
        <v>42914</v>
      </c>
      <c r="B1061" s="2" t="s">
        <v>128</v>
      </c>
      <c r="C1061" s="2" t="s">
        <v>250</v>
      </c>
      <c r="D1061">
        <v>7</v>
      </c>
    </row>
    <row r="1062" spans="1:4" x14ac:dyDescent="0.25">
      <c r="A1062" s="1">
        <v>42914</v>
      </c>
      <c r="B1062" s="2" t="s">
        <v>176</v>
      </c>
      <c r="C1062" s="2" t="s">
        <v>486</v>
      </c>
      <c r="D1062">
        <v>27</v>
      </c>
    </row>
    <row r="1063" spans="1:4" x14ac:dyDescent="0.25">
      <c r="A1063" s="1">
        <v>42914</v>
      </c>
      <c r="B1063" s="2" t="s">
        <v>119</v>
      </c>
      <c r="C1063" s="2" t="s">
        <v>120</v>
      </c>
      <c r="D1063">
        <v>35</v>
      </c>
    </row>
    <row r="1064" spans="1:4" x14ac:dyDescent="0.25">
      <c r="A1064" s="1">
        <v>42914</v>
      </c>
      <c r="B1064" s="2" t="s">
        <v>395</v>
      </c>
      <c r="C1064" s="2" t="s">
        <v>599</v>
      </c>
      <c r="D1064">
        <v>15</v>
      </c>
    </row>
    <row r="1065" spans="1:4" x14ac:dyDescent="0.25">
      <c r="A1065" s="1">
        <v>42914</v>
      </c>
      <c r="B1065" s="2" t="s">
        <v>83</v>
      </c>
      <c r="C1065" s="2" t="s">
        <v>596</v>
      </c>
      <c r="D1065">
        <v>29</v>
      </c>
    </row>
    <row r="1066" spans="1:4" x14ac:dyDescent="0.25">
      <c r="A1066" s="1">
        <v>42914</v>
      </c>
      <c r="B1066" s="2" t="s">
        <v>133</v>
      </c>
      <c r="C1066" s="2" t="s">
        <v>616</v>
      </c>
      <c r="D1066">
        <v>42</v>
      </c>
    </row>
    <row r="1067" spans="1:4" x14ac:dyDescent="0.25">
      <c r="A1067" s="1">
        <v>42915</v>
      </c>
      <c r="B1067" s="2" t="s">
        <v>280</v>
      </c>
      <c r="C1067" s="2" t="s">
        <v>451</v>
      </c>
      <c r="D1067">
        <v>9</v>
      </c>
    </row>
    <row r="1068" spans="1:4" x14ac:dyDescent="0.25">
      <c r="A1068" s="1">
        <v>42915</v>
      </c>
      <c r="B1068" s="2" t="s">
        <v>137</v>
      </c>
      <c r="C1068" s="2" t="s">
        <v>617</v>
      </c>
      <c r="D1068">
        <v>50</v>
      </c>
    </row>
    <row r="1069" spans="1:4" x14ac:dyDescent="0.25">
      <c r="A1069" s="1">
        <v>42915</v>
      </c>
      <c r="B1069" s="2" t="s">
        <v>95</v>
      </c>
      <c r="C1069" s="2" t="s">
        <v>426</v>
      </c>
      <c r="D1069">
        <v>6</v>
      </c>
    </row>
    <row r="1070" spans="1:4" x14ac:dyDescent="0.25">
      <c r="A1070" s="1">
        <v>42915</v>
      </c>
      <c r="B1070" s="2" t="s">
        <v>87</v>
      </c>
      <c r="C1070" s="2" t="s">
        <v>383</v>
      </c>
      <c r="D1070">
        <v>18</v>
      </c>
    </row>
    <row r="1071" spans="1:4" x14ac:dyDescent="0.25">
      <c r="A1071" s="1">
        <v>42915</v>
      </c>
      <c r="B1071" s="2" t="s">
        <v>83</v>
      </c>
      <c r="C1071" s="2" t="s">
        <v>615</v>
      </c>
      <c r="D1071">
        <v>28</v>
      </c>
    </row>
    <row r="1072" spans="1:4" x14ac:dyDescent="0.25">
      <c r="A1072" s="1">
        <v>42915</v>
      </c>
      <c r="B1072" s="2" t="s">
        <v>83</v>
      </c>
      <c r="C1072" s="2" t="s">
        <v>455</v>
      </c>
      <c r="D1072">
        <v>7</v>
      </c>
    </row>
    <row r="1073" spans="1:4" x14ac:dyDescent="0.25">
      <c r="A1073" s="1">
        <v>42916</v>
      </c>
      <c r="B1073" s="2" t="s">
        <v>618</v>
      </c>
      <c r="C1073" s="2" t="s">
        <v>619</v>
      </c>
      <c r="D1073">
        <v>28</v>
      </c>
    </row>
    <row r="1074" spans="1:4" x14ac:dyDescent="0.25">
      <c r="A1074" s="1">
        <v>42916</v>
      </c>
      <c r="B1074" s="2" t="s">
        <v>95</v>
      </c>
      <c r="C1074" s="2" t="s">
        <v>96</v>
      </c>
      <c r="D1074">
        <v>27</v>
      </c>
    </row>
    <row r="1075" spans="1:4" x14ac:dyDescent="0.25">
      <c r="A1075" s="1">
        <v>42916</v>
      </c>
      <c r="B1075" s="2" t="s">
        <v>36</v>
      </c>
      <c r="C1075" s="2" t="s">
        <v>166</v>
      </c>
      <c r="D1075">
        <v>19</v>
      </c>
    </row>
    <row r="1076" spans="1:4" x14ac:dyDescent="0.25">
      <c r="A1076" s="1">
        <v>42916</v>
      </c>
      <c r="B1076" s="2" t="s">
        <v>77</v>
      </c>
      <c r="C1076" s="2" t="s">
        <v>384</v>
      </c>
      <c r="D1076">
        <v>19</v>
      </c>
    </row>
    <row r="1077" spans="1:4" x14ac:dyDescent="0.25">
      <c r="A1077" s="1">
        <v>42916</v>
      </c>
      <c r="B1077" s="2" t="s">
        <v>34</v>
      </c>
      <c r="C1077" s="2" t="s">
        <v>35</v>
      </c>
      <c r="D1077">
        <v>18</v>
      </c>
    </row>
    <row r="1078" spans="1:4" x14ac:dyDescent="0.25">
      <c r="A1078" s="1">
        <v>42916</v>
      </c>
      <c r="B1078" s="2" t="s">
        <v>141</v>
      </c>
      <c r="C1078" s="2" t="s">
        <v>364</v>
      </c>
      <c r="D1078">
        <v>27</v>
      </c>
    </row>
    <row r="1079" spans="1:4" x14ac:dyDescent="0.25">
      <c r="A1079" s="1">
        <v>42919</v>
      </c>
      <c r="B1079" s="2" t="s">
        <v>339</v>
      </c>
      <c r="C1079" s="2" t="s">
        <v>565</v>
      </c>
      <c r="D1079">
        <v>21</v>
      </c>
    </row>
    <row r="1080" spans="1:4" x14ac:dyDescent="0.25">
      <c r="A1080" s="1">
        <v>42919</v>
      </c>
      <c r="B1080" s="2" t="s">
        <v>106</v>
      </c>
      <c r="C1080" s="2" t="s">
        <v>277</v>
      </c>
      <c r="D1080">
        <v>14</v>
      </c>
    </row>
    <row r="1081" spans="1:4" x14ac:dyDescent="0.25">
      <c r="A1081" s="1">
        <v>42919</v>
      </c>
      <c r="B1081" s="2" t="s">
        <v>147</v>
      </c>
      <c r="C1081" s="2" t="s">
        <v>527</v>
      </c>
      <c r="D1081">
        <v>34</v>
      </c>
    </row>
    <row r="1082" spans="1:4" x14ac:dyDescent="0.25">
      <c r="A1082" s="1">
        <v>42919</v>
      </c>
      <c r="B1082" s="2" t="s">
        <v>97</v>
      </c>
      <c r="C1082" s="2" t="s">
        <v>464</v>
      </c>
      <c r="D1082">
        <v>29</v>
      </c>
    </row>
    <row r="1083" spans="1:4" x14ac:dyDescent="0.25">
      <c r="A1083" s="1">
        <v>42919</v>
      </c>
      <c r="B1083" s="2" t="s">
        <v>126</v>
      </c>
      <c r="C1083" s="2" t="s">
        <v>127</v>
      </c>
      <c r="D1083">
        <v>37</v>
      </c>
    </row>
    <row r="1084" spans="1:4" x14ac:dyDescent="0.25">
      <c r="A1084" s="1">
        <v>42919</v>
      </c>
      <c r="B1084" s="2" t="s">
        <v>39</v>
      </c>
      <c r="C1084" s="2" t="s">
        <v>391</v>
      </c>
      <c r="D1084">
        <v>28</v>
      </c>
    </row>
    <row r="1085" spans="1:4" x14ac:dyDescent="0.25">
      <c r="A1085" s="1">
        <v>42920</v>
      </c>
      <c r="B1085" s="2" t="s">
        <v>234</v>
      </c>
      <c r="C1085" s="2" t="s">
        <v>516</v>
      </c>
      <c r="D1085">
        <v>8</v>
      </c>
    </row>
    <row r="1086" spans="1:4" x14ac:dyDescent="0.25">
      <c r="A1086" s="1">
        <v>42920</v>
      </c>
      <c r="B1086" s="2" t="s">
        <v>14</v>
      </c>
      <c r="C1086" s="2" t="s">
        <v>430</v>
      </c>
      <c r="D1086">
        <v>16</v>
      </c>
    </row>
    <row r="1087" spans="1:4" x14ac:dyDescent="0.25">
      <c r="A1087" s="1">
        <v>42920</v>
      </c>
      <c r="B1087" s="2" t="s">
        <v>139</v>
      </c>
      <c r="C1087" s="2" t="s">
        <v>140</v>
      </c>
      <c r="D1087">
        <v>7</v>
      </c>
    </row>
    <row r="1088" spans="1:4" x14ac:dyDescent="0.25">
      <c r="A1088" s="1">
        <v>42920</v>
      </c>
      <c r="B1088" s="2" t="s">
        <v>171</v>
      </c>
      <c r="C1088" s="2" t="s">
        <v>562</v>
      </c>
      <c r="D1088">
        <v>29</v>
      </c>
    </row>
    <row r="1089" spans="1:4" x14ac:dyDescent="0.25">
      <c r="A1089" s="1">
        <v>42920</v>
      </c>
      <c r="B1089" s="2" t="s">
        <v>47</v>
      </c>
      <c r="C1089" s="2" t="s">
        <v>334</v>
      </c>
      <c r="D1089">
        <v>4</v>
      </c>
    </row>
    <row r="1090" spans="1:4" x14ac:dyDescent="0.25">
      <c r="A1090" s="1">
        <v>42920</v>
      </c>
      <c r="B1090" s="2" t="s">
        <v>81</v>
      </c>
      <c r="C1090" s="2" t="s">
        <v>488</v>
      </c>
      <c r="D1090">
        <v>3</v>
      </c>
    </row>
    <row r="1091" spans="1:4" x14ac:dyDescent="0.25">
      <c r="A1091" s="1">
        <v>42921</v>
      </c>
      <c r="B1091" s="2" t="s">
        <v>420</v>
      </c>
      <c r="C1091" s="2" t="s">
        <v>421</v>
      </c>
      <c r="D1091">
        <v>35</v>
      </c>
    </row>
    <row r="1092" spans="1:4" x14ac:dyDescent="0.25">
      <c r="A1092" s="1">
        <v>42921</v>
      </c>
      <c r="B1092" s="2" t="s">
        <v>152</v>
      </c>
      <c r="C1092" s="2" t="s">
        <v>534</v>
      </c>
      <c r="D1092">
        <v>24</v>
      </c>
    </row>
    <row r="1093" spans="1:4" x14ac:dyDescent="0.25">
      <c r="A1093" s="1">
        <v>42921</v>
      </c>
      <c r="B1093" s="2" t="s">
        <v>36</v>
      </c>
      <c r="C1093" s="2" t="s">
        <v>180</v>
      </c>
      <c r="D1093">
        <v>39</v>
      </c>
    </row>
    <row r="1094" spans="1:4" x14ac:dyDescent="0.25">
      <c r="A1094" s="1">
        <v>42921</v>
      </c>
      <c r="B1094" s="2" t="s">
        <v>269</v>
      </c>
      <c r="C1094" s="2" t="s">
        <v>270</v>
      </c>
      <c r="D1094">
        <v>56</v>
      </c>
    </row>
    <row r="1095" spans="1:4" x14ac:dyDescent="0.25">
      <c r="A1095" s="1">
        <v>42921</v>
      </c>
      <c r="B1095" s="2" t="s">
        <v>476</v>
      </c>
      <c r="C1095" s="2" t="s">
        <v>620</v>
      </c>
      <c r="D1095">
        <v>54</v>
      </c>
    </row>
    <row r="1096" spans="1:4" x14ac:dyDescent="0.25">
      <c r="A1096" s="1">
        <v>42921</v>
      </c>
      <c r="B1096" s="2" t="s">
        <v>43</v>
      </c>
      <c r="C1096" s="2" t="s">
        <v>44</v>
      </c>
      <c r="D1096">
        <v>12</v>
      </c>
    </row>
    <row r="1097" spans="1:4" x14ac:dyDescent="0.25">
      <c r="A1097" s="1">
        <v>42922</v>
      </c>
      <c r="B1097" s="2" t="s">
        <v>341</v>
      </c>
      <c r="C1097" s="2" t="s">
        <v>342</v>
      </c>
      <c r="D1097">
        <v>7</v>
      </c>
    </row>
    <row r="1098" spans="1:4" x14ac:dyDescent="0.25">
      <c r="A1098" s="1">
        <v>42922</v>
      </c>
      <c r="B1098" s="2" t="s">
        <v>178</v>
      </c>
      <c r="C1098" s="2" t="s">
        <v>335</v>
      </c>
      <c r="D1098">
        <v>11</v>
      </c>
    </row>
    <row r="1099" spans="1:4" x14ac:dyDescent="0.25">
      <c r="A1099" s="1">
        <v>42922</v>
      </c>
      <c r="B1099" s="2" t="s">
        <v>30</v>
      </c>
      <c r="C1099" s="2" t="s">
        <v>432</v>
      </c>
      <c r="D1099">
        <v>7</v>
      </c>
    </row>
    <row r="1100" spans="1:4" x14ac:dyDescent="0.25">
      <c r="A1100" s="1">
        <v>42922</v>
      </c>
      <c r="B1100" s="2" t="s">
        <v>193</v>
      </c>
      <c r="C1100" s="2" t="s">
        <v>194</v>
      </c>
      <c r="D1100">
        <v>28</v>
      </c>
    </row>
    <row r="1101" spans="1:4" x14ac:dyDescent="0.25">
      <c r="A1101" s="1">
        <v>42922</v>
      </c>
      <c r="B1101" s="2" t="s">
        <v>14</v>
      </c>
      <c r="C1101" s="2" t="s">
        <v>430</v>
      </c>
      <c r="D1101">
        <v>20</v>
      </c>
    </row>
    <row r="1102" spans="1:4" x14ac:dyDescent="0.25">
      <c r="A1102" s="1">
        <v>42922</v>
      </c>
      <c r="B1102" s="2" t="s">
        <v>143</v>
      </c>
      <c r="C1102" s="2" t="s">
        <v>510</v>
      </c>
      <c r="D1102">
        <v>11</v>
      </c>
    </row>
    <row r="1103" spans="1:4" x14ac:dyDescent="0.25">
      <c r="A1103" s="1">
        <v>42923</v>
      </c>
      <c r="B1103" s="2" t="s">
        <v>51</v>
      </c>
      <c r="C1103" s="2" t="s">
        <v>621</v>
      </c>
      <c r="D1103">
        <v>55</v>
      </c>
    </row>
    <row r="1104" spans="1:4" x14ac:dyDescent="0.25">
      <c r="A1104" s="1">
        <v>42923</v>
      </c>
      <c r="B1104" s="2" t="s">
        <v>97</v>
      </c>
      <c r="C1104" s="2" t="s">
        <v>464</v>
      </c>
      <c r="D1104">
        <v>41</v>
      </c>
    </row>
    <row r="1105" spans="1:4" x14ac:dyDescent="0.25">
      <c r="A1105" s="1">
        <v>42923</v>
      </c>
      <c r="B1105" s="2" t="s">
        <v>476</v>
      </c>
      <c r="C1105" s="2" t="s">
        <v>622</v>
      </c>
      <c r="D1105">
        <v>21</v>
      </c>
    </row>
    <row r="1106" spans="1:4" x14ac:dyDescent="0.25">
      <c r="A1106" s="1">
        <v>42923</v>
      </c>
      <c r="B1106" s="2" t="s">
        <v>339</v>
      </c>
      <c r="C1106" s="2" t="s">
        <v>583</v>
      </c>
      <c r="D1106">
        <v>33</v>
      </c>
    </row>
    <row r="1107" spans="1:4" x14ac:dyDescent="0.25">
      <c r="A1107" s="1">
        <v>42923</v>
      </c>
      <c r="B1107" s="2" t="s">
        <v>18</v>
      </c>
      <c r="C1107" s="2" t="s">
        <v>597</v>
      </c>
      <c r="D1107">
        <v>7</v>
      </c>
    </row>
    <row r="1108" spans="1:4" x14ac:dyDescent="0.25">
      <c r="A1108" s="1">
        <v>42923</v>
      </c>
      <c r="B1108" s="2" t="s">
        <v>45</v>
      </c>
      <c r="C1108" s="2" t="s">
        <v>388</v>
      </c>
      <c r="D1108">
        <v>15</v>
      </c>
    </row>
    <row r="1109" spans="1:4" x14ac:dyDescent="0.25">
      <c r="A1109" s="1">
        <v>42926</v>
      </c>
      <c r="B1109" s="2" t="s">
        <v>141</v>
      </c>
      <c r="C1109" s="2" t="s">
        <v>260</v>
      </c>
      <c r="D1109">
        <v>39</v>
      </c>
    </row>
    <row r="1110" spans="1:4" x14ac:dyDescent="0.25">
      <c r="A1110" s="1">
        <v>42926</v>
      </c>
      <c r="B1110" s="2" t="s">
        <v>479</v>
      </c>
      <c r="C1110" s="2" t="s">
        <v>480</v>
      </c>
      <c r="D1110">
        <v>20</v>
      </c>
    </row>
    <row r="1111" spans="1:4" x14ac:dyDescent="0.25">
      <c r="A1111" s="1">
        <v>42926</v>
      </c>
      <c r="B1111" s="2" t="s">
        <v>83</v>
      </c>
      <c r="C1111" s="2" t="s">
        <v>455</v>
      </c>
      <c r="D1111">
        <v>11</v>
      </c>
    </row>
    <row r="1112" spans="1:4" x14ac:dyDescent="0.25">
      <c r="A1112" s="1">
        <v>42926</v>
      </c>
      <c r="B1112" s="2" t="s">
        <v>623</v>
      </c>
      <c r="C1112" s="2" t="s">
        <v>624</v>
      </c>
      <c r="D1112">
        <v>55</v>
      </c>
    </row>
    <row r="1113" spans="1:4" x14ac:dyDescent="0.25">
      <c r="A1113" s="1">
        <v>42926</v>
      </c>
      <c r="B1113" s="2" t="s">
        <v>69</v>
      </c>
      <c r="C1113" s="2" t="s">
        <v>588</v>
      </c>
      <c r="D1113">
        <v>36</v>
      </c>
    </row>
    <row r="1114" spans="1:4" x14ac:dyDescent="0.25">
      <c r="A1114" s="1">
        <v>42926</v>
      </c>
      <c r="B1114" s="2" t="s">
        <v>20</v>
      </c>
      <c r="C1114" s="2" t="s">
        <v>381</v>
      </c>
      <c r="D1114">
        <v>19</v>
      </c>
    </row>
    <row r="1115" spans="1:4" x14ac:dyDescent="0.25">
      <c r="A1115" s="1">
        <v>42927</v>
      </c>
      <c r="B1115" s="2" t="s">
        <v>416</v>
      </c>
      <c r="C1115" s="2" t="s">
        <v>417</v>
      </c>
      <c r="D1115">
        <v>15</v>
      </c>
    </row>
    <row r="1116" spans="1:4" x14ac:dyDescent="0.25">
      <c r="A1116" s="1">
        <v>42927</v>
      </c>
      <c r="B1116" s="2" t="s">
        <v>131</v>
      </c>
      <c r="C1116" s="2" t="s">
        <v>132</v>
      </c>
      <c r="D1116">
        <v>11</v>
      </c>
    </row>
    <row r="1117" spans="1:4" x14ac:dyDescent="0.25">
      <c r="A1117" s="1">
        <v>42927</v>
      </c>
      <c r="B1117" s="2" t="s">
        <v>34</v>
      </c>
      <c r="C1117" s="2" t="s">
        <v>35</v>
      </c>
      <c r="D1117">
        <v>30</v>
      </c>
    </row>
    <row r="1118" spans="1:4" x14ac:dyDescent="0.25">
      <c r="A1118" s="1">
        <v>42927</v>
      </c>
      <c r="B1118" s="2" t="s">
        <v>278</v>
      </c>
      <c r="C1118" s="2" t="s">
        <v>202</v>
      </c>
      <c r="D1118">
        <v>6</v>
      </c>
    </row>
    <row r="1119" spans="1:4" x14ac:dyDescent="0.25">
      <c r="A1119" s="1">
        <v>42927</v>
      </c>
      <c r="B1119" s="2" t="s">
        <v>83</v>
      </c>
      <c r="C1119" s="2" t="s">
        <v>455</v>
      </c>
      <c r="D1119">
        <v>16</v>
      </c>
    </row>
    <row r="1120" spans="1:4" x14ac:dyDescent="0.25">
      <c r="A1120" s="1">
        <v>42927</v>
      </c>
      <c r="B1120" s="2" t="s">
        <v>51</v>
      </c>
      <c r="C1120" s="2" t="s">
        <v>522</v>
      </c>
      <c r="D1120">
        <v>26</v>
      </c>
    </row>
    <row r="1121" spans="1:4" x14ac:dyDescent="0.25">
      <c r="A1121" s="1">
        <v>42928</v>
      </c>
      <c r="B1121" s="2" t="s">
        <v>55</v>
      </c>
      <c r="C1121" s="2" t="s">
        <v>493</v>
      </c>
      <c r="D1121">
        <v>48</v>
      </c>
    </row>
    <row r="1122" spans="1:4" x14ac:dyDescent="0.25">
      <c r="A1122" s="1">
        <v>42928</v>
      </c>
      <c r="B1122" s="2" t="s">
        <v>101</v>
      </c>
      <c r="C1122" s="2" t="s">
        <v>263</v>
      </c>
      <c r="D1122">
        <v>24</v>
      </c>
    </row>
    <row r="1123" spans="1:4" x14ac:dyDescent="0.25">
      <c r="A1123" s="1">
        <v>42928</v>
      </c>
      <c r="B1123" s="2" t="s">
        <v>55</v>
      </c>
      <c r="C1123" s="2" t="s">
        <v>625</v>
      </c>
      <c r="D1123">
        <v>9</v>
      </c>
    </row>
    <row r="1124" spans="1:4" x14ac:dyDescent="0.25">
      <c r="A1124" s="1">
        <v>42928</v>
      </c>
      <c r="B1124" s="2" t="s">
        <v>65</v>
      </c>
      <c r="C1124" s="2" t="s">
        <v>159</v>
      </c>
      <c r="D1124">
        <v>55</v>
      </c>
    </row>
    <row r="1125" spans="1:4" x14ac:dyDescent="0.25">
      <c r="A1125" s="1">
        <v>42928</v>
      </c>
      <c r="B1125" s="2" t="s">
        <v>331</v>
      </c>
      <c r="C1125" s="2" t="s">
        <v>26</v>
      </c>
      <c r="D1125">
        <v>51</v>
      </c>
    </row>
    <row r="1126" spans="1:4" x14ac:dyDescent="0.25">
      <c r="A1126" s="1">
        <v>42928</v>
      </c>
      <c r="B1126" s="2" t="s">
        <v>41</v>
      </c>
      <c r="C1126" s="2" t="s">
        <v>42</v>
      </c>
      <c r="D1126">
        <v>10</v>
      </c>
    </row>
    <row r="1127" spans="1:4" x14ac:dyDescent="0.25">
      <c r="A1127" s="1">
        <v>42929</v>
      </c>
      <c r="B1127" s="2" t="s">
        <v>155</v>
      </c>
      <c r="C1127" s="2" t="s">
        <v>156</v>
      </c>
      <c r="D1127">
        <v>15</v>
      </c>
    </row>
    <row r="1128" spans="1:4" x14ac:dyDescent="0.25">
      <c r="A1128" s="1">
        <v>42929</v>
      </c>
      <c r="B1128" s="2" t="s">
        <v>131</v>
      </c>
      <c r="C1128" s="2" t="s">
        <v>626</v>
      </c>
      <c r="D1128">
        <v>26</v>
      </c>
    </row>
    <row r="1129" spans="1:4" x14ac:dyDescent="0.25">
      <c r="A1129" s="1">
        <v>42929</v>
      </c>
      <c r="B1129" s="2" t="s">
        <v>541</v>
      </c>
      <c r="C1129" s="2" t="s">
        <v>542</v>
      </c>
      <c r="D1129">
        <v>21</v>
      </c>
    </row>
    <row r="1130" spans="1:4" x14ac:dyDescent="0.25">
      <c r="A1130" s="1">
        <v>42929</v>
      </c>
      <c r="B1130" s="2" t="s">
        <v>290</v>
      </c>
      <c r="C1130" s="2" t="s">
        <v>291</v>
      </c>
      <c r="D1130">
        <v>4</v>
      </c>
    </row>
    <row r="1131" spans="1:4" x14ac:dyDescent="0.25">
      <c r="A1131" s="1">
        <v>42929</v>
      </c>
      <c r="B1131" s="2" t="s">
        <v>63</v>
      </c>
      <c r="C1131" s="2" t="s">
        <v>411</v>
      </c>
      <c r="D1131">
        <v>43</v>
      </c>
    </row>
    <row r="1132" spans="1:4" x14ac:dyDescent="0.25">
      <c r="A1132" s="1">
        <v>42929</v>
      </c>
      <c r="B1132" s="2" t="s">
        <v>141</v>
      </c>
      <c r="C1132" s="2" t="s">
        <v>202</v>
      </c>
      <c r="D1132">
        <v>7</v>
      </c>
    </row>
    <row r="1133" spans="1:4" x14ac:dyDescent="0.25">
      <c r="A1133" s="1">
        <v>42929</v>
      </c>
      <c r="B1133" s="2" t="s">
        <v>101</v>
      </c>
      <c r="C1133" s="2" t="s">
        <v>263</v>
      </c>
      <c r="D1133">
        <v>44</v>
      </c>
    </row>
    <row r="1134" spans="1:4" x14ac:dyDescent="0.25">
      <c r="A1134" s="1">
        <v>42930</v>
      </c>
      <c r="B1134" s="2" t="s">
        <v>97</v>
      </c>
      <c r="C1134" s="2" t="s">
        <v>529</v>
      </c>
      <c r="D1134">
        <v>19</v>
      </c>
    </row>
    <row r="1135" spans="1:4" x14ac:dyDescent="0.25">
      <c r="A1135" s="1">
        <v>42930</v>
      </c>
      <c r="B1135" s="2" t="s">
        <v>232</v>
      </c>
      <c r="C1135" s="2" t="s">
        <v>627</v>
      </c>
      <c r="D1135">
        <v>29</v>
      </c>
    </row>
    <row r="1136" spans="1:4" x14ac:dyDescent="0.25">
      <c r="A1136" s="1">
        <v>42930</v>
      </c>
      <c r="B1136" s="2" t="s">
        <v>161</v>
      </c>
      <c r="C1136" s="2" t="s">
        <v>305</v>
      </c>
      <c r="D1136">
        <v>33</v>
      </c>
    </row>
    <row r="1137" spans="1:4" x14ac:dyDescent="0.25">
      <c r="A1137" s="1">
        <v>42930</v>
      </c>
      <c r="B1137" s="2" t="s">
        <v>65</v>
      </c>
      <c r="C1137" s="2" t="s">
        <v>116</v>
      </c>
      <c r="D1137">
        <v>2</v>
      </c>
    </row>
    <row r="1138" spans="1:4" x14ac:dyDescent="0.25">
      <c r="A1138" s="1">
        <v>42930</v>
      </c>
      <c r="B1138" s="2" t="s">
        <v>141</v>
      </c>
      <c r="C1138" s="2" t="s">
        <v>292</v>
      </c>
      <c r="D1138">
        <v>15</v>
      </c>
    </row>
    <row r="1139" spans="1:4" x14ac:dyDescent="0.25">
      <c r="A1139" s="1">
        <v>42930</v>
      </c>
      <c r="B1139" s="2" t="s">
        <v>27</v>
      </c>
      <c r="C1139" s="2" t="s">
        <v>28</v>
      </c>
      <c r="D1139">
        <v>30</v>
      </c>
    </row>
    <row r="1140" spans="1:4" x14ac:dyDescent="0.25">
      <c r="A1140" s="1">
        <v>42930</v>
      </c>
      <c r="B1140" s="2" t="s">
        <v>39</v>
      </c>
      <c r="C1140" s="2" t="s">
        <v>400</v>
      </c>
      <c r="D1140">
        <v>5</v>
      </c>
    </row>
    <row r="1141" spans="1:4" x14ac:dyDescent="0.25">
      <c r="A1141" s="1">
        <v>42933</v>
      </c>
      <c r="B1141" s="2" t="s">
        <v>97</v>
      </c>
      <c r="C1141" s="2" t="s">
        <v>464</v>
      </c>
      <c r="D1141">
        <v>14</v>
      </c>
    </row>
    <row r="1142" spans="1:4" x14ac:dyDescent="0.25">
      <c r="A1142" s="1">
        <v>42933</v>
      </c>
      <c r="B1142" s="2" t="s">
        <v>30</v>
      </c>
      <c r="C1142" s="2" t="s">
        <v>628</v>
      </c>
      <c r="D1142">
        <v>8</v>
      </c>
    </row>
    <row r="1143" spans="1:4" x14ac:dyDescent="0.25">
      <c r="A1143" s="1">
        <v>42933</v>
      </c>
      <c r="B1143" s="2" t="s">
        <v>81</v>
      </c>
      <c r="C1143" s="2" t="s">
        <v>104</v>
      </c>
      <c r="D1143">
        <v>44</v>
      </c>
    </row>
    <row r="1144" spans="1:4" x14ac:dyDescent="0.25">
      <c r="A1144" s="1">
        <v>42933</v>
      </c>
      <c r="B1144" s="2" t="s">
        <v>476</v>
      </c>
      <c r="C1144" s="2" t="s">
        <v>477</v>
      </c>
      <c r="D1144">
        <v>50</v>
      </c>
    </row>
    <row r="1145" spans="1:4" x14ac:dyDescent="0.25">
      <c r="A1145" s="1">
        <v>42933</v>
      </c>
      <c r="B1145" s="2" t="s">
        <v>83</v>
      </c>
      <c r="C1145" s="2" t="s">
        <v>91</v>
      </c>
      <c r="D1145">
        <v>15</v>
      </c>
    </row>
    <row r="1146" spans="1:4" x14ac:dyDescent="0.25">
      <c r="A1146" s="1">
        <v>42933</v>
      </c>
      <c r="B1146" s="2" t="s">
        <v>393</v>
      </c>
      <c r="C1146" s="2" t="s">
        <v>582</v>
      </c>
      <c r="D1146">
        <v>46</v>
      </c>
    </row>
    <row r="1147" spans="1:4" x14ac:dyDescent="0.25">
      <c r="A1147" s="1">
        <v>42933</v>
      </c>
      <c r="B1147" s="2" t="s">
        <v>34</v>
      </c>
      <c r="C1147" s="2" t="s">
        <v>338</v>
      </c>
      <c r="D1147">
        <v>5</v>
      </c>
    </row>
    <row r="1148" spans="1:4" x14ac:dyDescent="0.25">
      <c r="A1148" s="1">
        <v>42934</v>
      </c>
      <c r="B1148" s="2" t="s">
        <v>407</v>
      </c>
      <c r="C1148" s="2" t="s">
        <v>408</v>
      </c>
      <c r="D1148">
        <v>27</v>
      </c>
    </row>
    <row r="1149" spans="1:4" x14ac:dyDescent="0.25">
      <c r="A1149" s="1">
        <v>42934</v>
      </c>
      <c r="B1149" s="2" t="s">
        <v>10</v>
      </c>
      <c r="C1149" s="2" t="s">
        <v>266</v>
      </c>
      <c r="D1149">
        <v>25</v>
      </c>
    </row>
    <row r="1150" spans="1:4" x14ac:dyDescent="0.25">
      <c r="A1150" s="1">
        <v>42934</v>
      </c>
      <c r="B1150" s="2" t="s">
        <v>101</v>
      </c>
      <c r="C1150" s="2" t="s">
        <v>610</v>
      </c>
      <c r="D1150">
        <v>22</v>
      </c>
    </row>
    <row r="1151" spans="1:4" x14ac:dyDescent="0.25">
      <c r="A1151" s="1">
        <v>42934</v>
      </c>
      <c r="B1151" s="2" t="s">
        <v>343</v>
      </c>
      <c r="C1151" s="2" t="s">
        <v>344</v>
      </c>
      <c r="D1151">
        <v>3</v>
      </c>
    </row>
    <row r="1152" spans="1:4" x14ac:dyDescent="0.25">
      <c r="A1152" s="1">
        <v>42934</v>
      </c>
      <c r="B1152" s="2" t="s">
        <v>346</v>
      </c>
      <c r="C1152" s="2" t="s">
        <v>347</v>
      </c>
      <c r="D1152">
        <v>28</v>
      </c>
    </row>
    <row r="1153" spans="1:4" x14ac:dyDescent="0.25">
      <c r="A1153" s="1">
        <v>42934</v>
      </c>
      <c r="B1153" s="2" t="s">
        <v>30</v>
      </c>
      <c r="C1153" s="2" t="s">
        <v>241</v>
      </c>
      <c r="D1153">
        <v>8</v>
      </c>
    </row>
    <row r="1154" spans="1:4" x14ac:dyDescent="0.25">
      <c r="A1154" s="1">
        <v>42934</v>
      </c>
      <c r="B1154" s="2" t="s">
        <v>395</v>
      </c>
      <c r="C1154" s="2" t="s">
        <v>467</v>
      </c>
      <c r="D1154">
        <v>8</v>
      </c>
    </row>
    <row r="1155" spans="1:4" x14ac:dyDescent="0.25">
      <c r="A1155" s="1">
        <v>42935</v>
      </c>
      <c r="B1155" s="2" t="s">
        <v>106</v>
      </c>
      <c r="C1155" s="2" t="s">
        <v>107</v>
      </c>
      <c r="D1155">
        <v>18</v>
      </c>
    </row>
    <row r="1156" spans="1:4" x14ac:dyDescent="0.25">
      <c r="A1156" s="1">
        <v>42935</v>
      </c>
      <c r="B1156" s="2" t="s">
        <v>201</v>
      </c>
      <c r="C1156" s="2" t="s">
        <v>598</v>
      </c>
      <c r="D1156">
        <v>27</v>
      </c>
    </row>
    <row r="1157" spans="1:4" x14ac:dyDescent="0.25">
      <c r="A1157" s="1">
        <v>42935</v>
      </c>
      <c r="B1157" s="2" t="s">
        <v>278</v>
      </c>
      <c r="C1157" s="2" t="s">
        <v>530</v>
      </c>
      <c r="D1157">
        <v>23</v>
      </c>
    </row>
    <row r="1158" spans="1:4" x14ac:dyDescent="0.25">
      <c r="A1158" s="1">
        <v>42935</v>
      </c>
      <c r="B1158" s="2" t="s">
        <v>12</v>
      </c>
      <c r="C1158" s="2" t="s">
        <v>13</v>
      </c>
      <c r="D1158">
        <v>46</v>
      </c>
    </row>
    <row r="1159" spans="1:4" x14ac:dyDescent="0.25">
      <c r="A1159" s="1">
        <v>42935</v>
      </c>
      <c r="B1159" s="2" t="s">
        <v>150</v>
      </c>
      <c r="C1159" s="2" t="s">
        <v>200</v>
      </c>
      <c r="D1159">
        <v>16</v>
      </c>
    </row>
    <row r="1160" spans="1:4" x14ac:dyDescent="0.25">
      <c r="A1160" s="1">
        <v>42935</v>
      </c>
      <c r="B1160" s="2" t="s">
        <v>39</v>
      </c>
      <c r="C1160" s="2" t="s">
        <v>289</v>
      </c>
      <c r="D1160">
        <v>27</v>
      </c>
    </row>
    <row r="1161" spans="1:4" x14ac:dyDescent="0.25">
      <c r="A1161" s="1">
        <v>42935</v>
      </c>
      <c r="B1161" s="2" t="s">
        <v>83</v>
      </c>
      <c r="C1161" s="2" t="s">
        <v>547</v>
      </c>
      <c r="D1161">
        <v>12</v>
      </c>
    </row>
    <row r="1162" spans="1:4" x14ac:dyDescent="0.25">
      <c r="A1162" s="1">
        <v>42936</v>
      </c>
      <c r="B1162" s="2" t="s">
        <v>150</v>
      </c>
      <c r="C1162" s="2" t="s">
        <v>556</v>
      </c>
      <c r="D1162">
        <v>21</v>
      </c>
    </row>
    <row r="1163" spans="1:4" x14ac:dyDescent="0.25">
      <c r="A1163" s="1">
        <v>42936</v>
      </c>
      <c r="B1163" s="2" t="s">
        <v>407</v>
      </c>
      <c r="C1163" s="2" t="s">
        <v>408</v>
      </c>
      <c r="D1163">
        <v>45</v>
      </c>
    </row>
    <row r="1164" spans="1:4" x14ac:dyDescent="0.25">
      <c r="A1164" s="1">
        <v>42936</v>
      </c>
      <c r="B1164" s="2" t="s">
        <v>150</v>
      </c>
      <c r="C1164" s="2" t="s">
        <v>200</v>
      </c>
      <c r="D1164">
        <v>22</v>
      </c>
    </row>
    <row r="1165" spans="1:4" x14ac:dyDescent="0.25">
      <c r="A1165" s="1">
        <v>42936</v>
      </c>
      <c r="B1165" s="2" t="s">
        <v>32</v>
      </c>
      <c r="C1165" s="2" t="s">
        <v>406</v>
      </c>
      <c r="D1165">
        <v>40</v>
      </c>
    </row>
    <row r="1166" spans="1:4" x14ac:dyDescent="0.25">
      <c r="A1166" s="1">
        <v>42936</v>
      </c>
      <c r="B1166" s="2" t="s">
        <v>278</v>
      </c>
      <c r="C1166" s="2" t="s">
        <v>530</v>
      </c>
      <c r="D1166">
        <v>10</v>
      </c>
    </row>
    <row r="1167" spans="1:4" x14ac:dyDescent="0.25">
      <c r="A1167" s="1">
        <v>42936</v>
      </c>
      <c r="B1167" s="2" t="s">
        <v>65</v>
      </c>
      <c r="C1167" s="2" t="s">
        <v>116</v>
      </c>
      <c r="D1167">
        <v>33</v>
      </c>
    </row>
    <row r="1168" spans="1:4" x14ac:dyDescent="0.25">
      <c r="A1168" s="1">
        <v>42936</v>
      </c>
      <c r="B1168" s="2" t="s">
        <v>57</v>
      </c>
      <c r="C1168" s="2" t="s">
        <v>58</v>
      </c>
      <c r="D1168">
        <v>15</v>
      </c>
    </row>
    <row r="1169" spans="1:4" x14ac:dyDescent="0.25">
      <c r="A1169" s="1">
        <v>42937</v>
      </c>
      <c r="B1169" s="2" t="s">
        <v>282</v>
      </c>
      <c r="C1169" s="2" t="s">
        <v>283</v>
      </c>
      <c r="D1169">
        <v>12</v>
      </c>
    </row>
    <row r="1170" spans="1:4" x14ac:dyDescent="0.25">
      <c r="A1170" s="1">
        <v>42937</v>
      </c>
      <c r="B1170" s="2" t="s">
        <v>69</v>
      </c>
      <c r="C1170" s="2" t="s">
        <v>70</v>
      </c>
      <c r="D1170">
        <v>32</v>
      </c>
    </row>
    <row r="1171" spans="1:4" x14ac:dyDescent="0.25">
      <c r="A1171" s="1">
        <v>42937</v>
      </c>
      <c r="B1171" s="2" t="s">
        <v>232</v>
      </c>
      <c r="C1171" s="2" t="s">
        <v>405</v>
      </c>
      <c r="D1171">
        <v>10</v>
      </c>
    </row>
    <row r="1172" spans="1:4" x14ac:dyDescent="0.25">
      <c r="A1172" s="1">
        <v>42937</v>
      </c>
      <c r="B1172" s="2" t="s">
        <v>69</v>
      </c>
      <c r="C1172" s="2" t="s">
        <v>70</v>
      </c>
      <c r="D1172">
        <v>5</v>
      </c>
    </row>
    <row r="1173" spans="1:4" x14ac:dyDescent="0.25">
      <c r="A1173" s="1">
        <v>42937</v>
      </c>
      <c r="B1173" s="2" t="s">
        <v>442</v>
      </c>
      <c r="C1173" s="2" t="s">
        <v>540</v>
      </c>
      <c r="D1173">
        <v>28</v>
      </c>
    </row>
    <row r="1174" spans="1:4" x14ac:dyDescent="0.25">
      <c r="A1174" s="1">
        <v>42937</v>
      </c>
      <c r="B1174" s="2" t="s">
        <v>144</v>
      </c>
      <c r="C1174" s="2" t="s">
        <v>390</v>
      </c>
      <c r="D1174">
        <v>11</v>
      </c>
    </row>
    <row r="1175" spans="1:4" x14ac:dyDescent="0.25">
      <c r="A1175" s="1">
        <v>42937</v>
      </c>
      <c r="B1175" s="2" t="s">
        <v>589</v>
      </c>
      <c r="C1175" s="2" t="s">
        <v>590</v>
      </c>
      <c r="D1175">
        <v>11</v>
      </c>
    </row>
    <row r="1176" spans="1:4" x14ac:dyDescent="0.25">
      <c r="A1176" s="1">
        <v>42940</v>
      </c>
      <c r="B1176" s="2" t="s">
        <v>39</v>
      </c>
      <c r="C1176" s="2" t="s">
        <v>391</v>
      </c>
      <c r="D1176">
        <v>28</v>
      </c>
    </row>
    <row r="1177" spans="1:4" x14ac:dyDescent="0.25">
      <c r="A1177" s="1">
        <v>42940</v>
      </c>
      <c r="B1177" s="2" t="s">
        <v>346</v>
      </c>
      <c r="C1177" s="2" t="s">
        <v>347</v>
      </c>
      <c r="D1177">
        <v>13</v>
      </c>
    </row>
    <row r="1178" spans="1:4" x14ac:dyDescent="0.25">
      <c r="A1178" s="1">
        <v>42940</v>
      </c>
      <c r="B1178" s="2" t="s">
        <v>10</v>
      </c>
      <c r="C1178" s="2" t="s">
        <v>629</v>
      </c>
      <c r="D1178">
        <v>22</v>
      </c>
    </row>
    <row r="1179" spans="1:4" x14ac:dyDescent="0.25">
      <c r="A1179" s="1">
        <v>42940</v>
      </c>
      <c r="B1179" s="2" t="s">
        <v>47</v>
      </c>
      <c r="C1179" s="2" t="s">
        <v>630</v>
      </c>
      <c r="D1179">
        <v>19</v>
      </c>
    </row>
    <row r="1180" spans="1:4" x14ac:dyDescent="0.25">
      <c r="A1180" s="1">
        <v>42940</v>
      </c>
      <c r="B1180" s="2" t="s">
        <v>157</v>
      </c>
      <c r="C1180" s="2" t="s">
        <v>115</v>
      </c>
      <c r="D1180">
        <v>46</v>
      </c>
    </row>
    <row r="1181" spans="1:4" x14ac:dyDescent="0.25">
      <c r="A1181" s="1">
        <v>42940</v>
      </c>
      <c r="B1181" s="2" t="s">
        <v>203</v>
      </c>
      <c r="C1181" s="2" t="s">
        <v>204</v>
      </c>
      <c r="D1181">
        <v>17</v>
      </c>
    </row>
    <row r="1182" spans="1:4" x14ac:dyDescent="0.25">
      <c r="A1182" s="1">
        <v>42940</v>
      </c>
      <c r="B1182" s="2" t="s">
        <v>101</v>
      </c>
      <c r="C1182" s="2" t="s">
        <v>212</v>
      </c>
      <c r="D1182">
        <v>27</v>
      </c>
    </row>
    <row r="1183" spans="1:4" x14ac:dyDescent="0.25">
      <c r="A1183" s="1">
        <v>42941</v>
      </c>
      <c r="B1183" s="2" t="s">
        <v>133</v>
      </c>
      <c r="C1183" s="2" t="s">
        <v>499</v>
      </c>
      <c r="D1183">
        <v>3</v>
      </c>
    </row>
    <row r="1184" spans="1:4" x14ac:dyDescent="0.25">
      <c r="A1184" s="1">
        <v>42941</v>
      </c>
      <c r="B1184" s="2" t="s">
        <v>393</v>
      </c>
      <c r="C1184" s="2" t="s">
        <v>394</v>
      </c>
      <c r="D1184">
        <v>11</v>
      </c>
    </row>
    <row r="1185" spans="1:4" x14ac:dyDescent="0.25">
      <c r="A1185" s="1">
        <v>42941</v>
      </c>
      <c r="B1185" s="2" t="s">
        <v>176</v>
      </c>
      <c r="C1185" s="2" t="s">
        <v>177</v>
      </c>
      <c r="D1185">
        <v>17</v>
      </c>
    </row>
    <row r="1186" spans="1:4" x14ac:dyDescent="0.25">
      <c r="A1186" s="1">
        <v>42941</v>
      </c>
      <c r="B1186" s="2" t="s">
        <v>217</v>
      </c>
      <c r="C1186" s="2" t="s">
        <v>218</v>
      </c>
      <c r="D1186">
        <v>16</v>
      </c>
    </row>
    <row r="1187" spans="1:4" x14ac:dyDescent="0.25">
      <c r="A1187" s="1">
        <v>42941</v>
      </c>
      <c r="B1187" s="2" t="s">
        <v>39</v>
      </c>
      <c r="C1187" s="2" t="s">
        <v>40</v>
      </c>
      <c r="D1187">
        <v>25</v>
      </c>
    </row>
    <row r="1188" spans="1:4" x14ac:dyDescent="0.25">
      <c r="A1188" s="1">
        <v>42941</v>
      </c>
      <c r="B1188" s="2" t="s">
        <v>271</v>
      </c>
      <c r="C1188" s="2" t="s">
        <v>272</v>
      </c>
      <c r="D1188">
        <v>43</v>
      </c>
    </row>
    <row r="1189" spans="1:4" x14ac:dyDescent="0.25">
      <c r="A1189" s="1">
        <v>42941</v>
      </c>
      <c r="B1189" s="2" t="s">
        <v>208</v>
      </c>
      <c r="C1189" s="2" t="s">
        <v>209</v>
      </c>
      <c r="D1189">
        <v>5</v>
      </c>
    </row>
    <row r="1190" spans="1:4" x14ac:dyDescent="0.25">
      <c r="A1190" s="1">
        <v>42942</v>
      </c>
      <c r="B1190" s="2" t="s">
        <v>343</v>
      </c>
      <c r="C1190" s="2" t="s">
        <v>344</v>
      </c>
      <c r="D1190">
        <v>21</v>
      </c>
    </row>
    <row r="1191" spans="1:4" x14ac:dyDescent="0.25">
      <c r="A1191" s="1">
        <v>42942</v>
      </c>
      <c r="B1191" s="2" t="s">
        <v>252</v>
      </c>
      <c r="C1191" s="2" t="s">
        <v>253</v>
      </c>
      <c r="D1191">
        <v>48</v>
      </c>
    </row>
    <row r="1192" spans="1:4" x14ac:dyDescent="0.25">
      <c r="A1192" s="1">
        <v>42942</v>
      </c>
      <c r="B1192" s="2" t="s">
        <v>97</v>
      </c>
      <c r="C1192" s="2" t="s">
        <v>529</v>
      </c>
      <c r="D1192">
        <v>29</v>
      </c>
    </row>
    <row r="1193" spans="1:4" x14ac:dyDescent="0.25">
      <c r="A1193" s="1">
        <v>42942</v>
      </c>
      <c r="B1193" s="2" t="s">
        <v>273</v>
      </c>
      <c r="C1193" s="2" t="s">
        <v>274</v>
      </c>
      <c r="D1193">
        <v>23</v>
      </c>
    </row>
    <row r="1194" spans="1:4" x14ac:dyDescent="0.25">
      <c r="A1194" s="1">
        <v>42942</v>
      </c>
      <c r="B1194" s="2" t="s">
        <v>133</v>
      </c>
      <c r="C1194" s="2" t="s">
        <v>616</v>
      </c>
      <c r="D1194">
        <v>52</v>
      </c>
    </row>
    <row r="1195" spans="1:4" x14ac:dyDescent="0.25">
      <c r="A1195" s="1">
        <v>42942</v>
      </c>
      <c r="B1195" s="2" t="s">
        <v>87</v>
      </c>
      <c r="C1195" s="2" t="s">
        <v>124</v>
      </c>
      <c r="D1195">
        <v>6</v>
      </c>
    </row>
    <row r="1196" spans="1:4" x14ac:dyDescent="0.25">
      <c r="A1196" s="1">
        <v>42942</v>
      </c>
      <c r="B1196" s="2" t="s">
        <v>393</v>
      </c>
      <c r="C1196" s="2" t="s">
        <v>419</v>
      </c>
      <c r="D1196">
        <v>29</v>
      </c>
    </row>
    <row r="1197" spans="1:4" x14ac:dyDescent="0.25">
      <c r="A1197" s="1">
        <v>42943</v>
      </c>
      <c r="B1197" s="2" t="s">
        <v>494</v>
      </c>
      <c r="C1197" s="2" t="s">
        <v>495</v>
      </c>
      <c r="D1197">
        <v>26</v>
      </c>
    </row>
    <row r="1198" spans="1:4" x14ac:dyDescent="0.25">
      <c r="A1198" s="1">
        <v>42943</v>
      </c>
      <c r="B1198" s="2" t="s">
        <v>232</v>
      </c>
      <c r="C1198" s="2" t="s">
        <v>573</v>
      </c>
      <c r="D1198">
        <v>13</v>
      </c>
    </row>
    <row r="1199" spans="1:4" x14ac:dyDescent="0.25">
      <c r="A1199" s="1">
        <v>42943</v>
      </c>
      <c r="B1199" s="2" t="s">
        <v>87</v>
      </c>
      <c r="C1199" s="2" t="s">
        <v>397</v>
      </c>
      <c r="D1199">
        <v>28</v>
      </c>
    </row>
    <row r="1200" spans="1:4" x14ac:dyDescent="0.25">
      <c r="A1200" s="1">
        <v>42943</v>
      </c>
      <c r="B1200" s="2" t="s">
        <v>416</v>
      </c>
      <c r="C1200" s="2" t="s">
        <v>572</v>
      </c>
      <c r="D1200">
        <v>3</v>
      </c>
    </row>
    <row r="1201" spans="1:4" x14ac:dyDescent="0.25">
      <c r="A1201" s="1">
        <v>42943</v>
      </c>
      <c r="B1201" s="2" t="s">
        <v>442</v>
      </c>
      <c r="C1201" s="2" t="s">
        <v>443</v>
      </c>
      <c r="D1201">
        <v>42</v>
      </c>
    </row>
    <row r="1202" spans="1:4" x14ac:dyDescent="0.25">
      <c r="A1202" s="1">
        <v>42943</v>
      </c>
      <c r="B1202" s="2" t="s">
        <v>121</v>
      </c>
      <c r="C1202" s="2" t="s">
        <v>122</v>
      </c>
      <c r="D1202">
        <v>15</v>
      </c>
    </row>
    <row r="1203" spans="1:4" x14ac:dyDescent="0.25">
      <c r="A1203" s="1">
        <v>42943</v>
      </c>
      <c r="B1203" s="2" t="s">
        <v>234</v>
      </c>
      <c r="C1203" s="2" t="s">
        <v>227</v>
      </c>
      <c r="D1203">
        <v>3</v>
      </c>
    </row>
    <row r="1204" spans="1:4" x14ac:dyDescent="0.25">
      <c r="A1204" s="1">
        <v>42944</v>
      </c>
      <c r="B1204" s="2" t="s">
        <v>10</v>
      </c>
      <c r="C1204" s="2" t="s">
        <v>11</v>
      </c>
      <c r="D1204">
        <v>17</v>
      </c>
    </row>
    <row r="1205" spans="1:4" x14ac:dyDescent="0.25">
      <c r="A1205" s="1">
        <v>42944</v>
      </c>
      <c r="B1205" s="2" t="s">
        <v>20</v>
      </c>
      <c r="C1205" s="2" t="s">
        <v>381</v>
      </c>
      <c r="D1205">
        <v>18</v>
      </c>
    </row>
    <row r="1206" spans="1:4" x14ac:dyDescent="0.25">
      <c r="A1206" s="1">
        <v>42944</v>
      </c>
      <c r="B1206" s="2" t="s">
        <v>32</v>
      </c>
      <c r="C1206" s="2" t="s">
        <v>33</v>
      </c>
      <c r="D1206">
        <v>23</v>
      </c>
    </row>
    <row r="1207" spans="1:4" x14ac:dyDescent="0.25">
      <c r="A1207" s="1">
        <v>42944</v>
      </c>
      <c r="B1207" s="2" t="s">
        <v>374</v>
      </c>
      <c r="C1207" s="2" t="s">
        <v>581</v>
      </c>
      <c r="D1207">
        <v>34</v>
      </c>
    </row>
    <row r="1208" spans="1:4" x14ac:dyDescent="0.25">
      <c r="A1208" s="1">
        <v>42944</v>
      </c>
      <c r="B1208" s="2" t="s">
        <v>133</v>
      </c>
      <c r="C1208" s="2" t="s">
        <v>616</v>
      </c>
      <c r="D1208">
        <v>16</v>
      </c>
    </row>
    <row r="1209" spans="1:4" x14ac:dyDescent="0.25">
      <c r="A1209" s="1">
        <v>42944</v>
      </c>
      <c r="B1209" s="2" t="s">
        <v>290</v>
      </c>
      <c r="C1209" s="2" t="s">
        <v>291</v>
      </c>
      <c r="D1209">
        <v>29</v>
      </c>
    </row>
    <row r="1210" spans="1:4" x14ac:dyDescent="0.25">
      <c r="A1210" s="1">
        <v>42944</v>
      </c>
      <c r="B1210" s="2" t="s">
        <v>67</v>
      </c>
      <c r="C1210" s="2" t="s">
        <v>301</v>
      </c>
      <c r="D1210">
        <v>14</v>
      </c>
    </row>
    <row r="1211" spans="1:4" x14ac:dyDescent="0.25">
      <c r="A1211" s="1">
        <v>42947</v>
      </c>
      <c r="B1211" s="2" t="s">
        <v>178</v>
      </c>
      <c r="C1211" s="2" t="s">
        <v>242</v>
      </c>
      <c r="D1211">
        <v>2</v>
      </c>
    </row>
    <row r="1212" spans="1:4" x14ac:dyDescent="0.25">
      <c r="A1212" s="1">
        <v>42947</v>
      </c>
      <c r="B1212" s="2" t="s">
        <v>34</v>
      </c>
      <c r="C1212" s="2" t="s">
        <v>564</v>
      </c>
      <c r="D1212">
        <v>55</v>
      </c>
    </row>
    <row r="1213" spans="1:4" x14ac:dyDescent="0.25">
      <c r="A1213" s="1">
        <v>42947</v>
      </c>
      <c r="B1213" s="2" t="s">
        <v>201</v>
      </c>
      <c r="C1213" s="2" t="s">
        <v>357</v>
      </c>
      <c r="D1213">
        <v>20</v>
      </c>
    </row>
    <row r="1214" spans="1:4" x14ac:dyDescent="0.25">
      <c r="A1214" s="1">
        <v>42947</v>
      </c>
      <c r="B1214" s="2" t="s">
        <v>10</v>
      </c>
      <c r="C1214" s="2" t="s">
        <v>423</v>
      </c>
      <c r="D1214">
        <v>40</v>
      </c>
    </row>
    <row r="1215" spans="1:4" x14ac:dyDescent="0.25">
      <c r="A1215" s="1">
        <v>42947</v>
      </c>
      <c r="B1215" s="2" t="s">
        <v>36</v>
      </c>
      <c r="C1215" s="2" t="s">
        <v>306</v>
      </c>
      <c r="D1215">
        <v>13</v>
      </c>
    </row>
    <row r="1216" spans="1:4" x14ac:dyDescent="0.25">
      <c r="A1216" s="1">
        <v>42947</v>
      </c>
      <c r="B1216" s="2" t="s">
        <v>83</v>
      </c>
      <c r="C1216" s="2" t="s">
        <v>513</v>
      </c>
      <c r="D1216">
        <v>53</v>
      </c>
    </row>
    <row r="1217" spans="1:4" x14ac:dyDescent="0.25">
      <c r="A1217" s="1">
        <v>42947</v>
      </c>
      <c r="B1217" s="2" t="s">
        <v>65</v>
      </c>
      <c r="C1217" s="2" t="s">
        <v>631</v>
      </c>
      <c r="D1217">
        <v>51</v>
      </c>
    </row>
    <row r="1218" spans="1:4" x14ac:dyDescent="0.25">
      <c r="A1218" s="1">
        <v>42948</v>
      </c>
      <c r="B1218" s="2" t="s">
        <v>47</v>
      </c>
      <c r="C1218" s="2" t="s">
        <v>336</v>
      </c>
      <c r="D1218">
        <v>17</v>
      </c>
    </row>
    <row r="1219" spans="1:4" x14ac:dyDescent="0.25">
      <c r="A1219" s="1">
        <v>42948</v>
      </c>
      <c r="B1219" s="2" t="s">
        <v>39</v>
      </c>
      <c r="C1219" s="2" t="s">
        <v>436</v>
      </c>
      <c r="D1219">
        <v>10</v>
      </c>
    </row>
    <row r="1220" spans="1:4" x14ac:dyDescent="0.25">
      <c r="A1220" s="1">
        <v>42948</v>
      </c>
      <c r="B1220" s="2" t="s">
        <v>195</v>
      </c>
      <c r="C1220" s="2" t="s">
        <v>401</v>
      </c>
      <c r="D1220">
        <v>24</v>
      </c>
    </row>
    <row r="1221" spans="1:4" x14ac:dyDescent="0.25">
      <c r="A1221" s="1">
        <v>42948</v>
      </c>
      <c r="B1221" s="2" t="s">
        <v>155</v>
      </c>
      <c r="C1221" s="2" t="s">
        <v>156</v>
      </c>
      <c r="D1221">
        <v>11</v>
      </c>
    </row>
    <row r="1222" spans="1:4" x14ac:dyDescent="0.25">
      <c r="A1222" s="1">
        <v>42948</v>
      </c>
      <c r="B1222" s="2" t="s">
        <v>36</v>
      </c>
      <c r="C1222" s="2" t="s">
        <v>490</v>
      </c>
      <c r="D1222">
        <v>18</v>
      </c>
    </row>
    <row r="1223" spans="1:4" x14ac:dyDescent="0.25">
      <c r="A1223" s="1">
        <v>42948</v>
      </c>
      <c r="B1223" s="2" t="s">
        <v>267</v>
      </c>
      <c r="C1223" s="2" t="s">
        <v>287</v>
      </c>
      <c r="D1223">
        <v>12</v>
      </c>
    </row>
    <row r="1224" spans="1:4" x14ac:dyDescent="0.25">
      <c r="A1224" s="1">
        <v>42948</v>
      </c>
      <c r="B1224" s="2" t="s">
        <v>395</v>
      </c>
      <c r="C1224" s="2" t="s">
        <v>599</v>
      </c>
      <c r="D1224">
        <v>8</v>
      </c>
    </row>
    <row r="1225" spans="1:4" x14ac:dyDescent="0.25">
      <c r="A1225" s="1">
        <v>42949</v>
      </c>
      <c r="B1225" s="2" t="s">
        <v>155</v>
      </c>
      <c r="C1225" s="2" t="s">
        <v>384</v>
      </c>
      <c r="D1225">
        <v>36</v>
      </c>
    </row>
    <row r="1226" spans="1:4" x14ac:dyDescent="0.25">
      <c r="A1226" s="1">
        <v>42949</v>
      </c>
      <c r="B1226" s="2" t="s">
        <v>57</v>
      </c>
      <c r="C1226" s="2" t="s">
        <v>135</v>
      </c>
      <c r="D1226">
        <v>24</v>
      </c>
    </row>
    <row r="1227" spans="1:4" x14ac:dyDescent="0.25">
      <c r="A1227" s="1">
        <v>42949</v>
      </c>
      <c r="B1227" s="2" t="s">
        <v>290</v>
      </c>
      <c r="C1227" s="2" t="s">
        <v>291</v>
      </c>
      <c r="D1227">
        <v>13</v>
      </c>
    </row>
    <row r="1228" spans="1:4" x14ac:dyDescent="0.25">
      <c r="A1228" s="1">
        <v>42949</v>
      </c>
      <c r="B1228" s="2" t="s">
        <v>128</v>
      </c>
      <c r="C1228" s="2" t="s">
        <v>559</v>
      </c>
      <c r="D1228">
        <v>51</v>
      </c>
    </row>
    <row r="1229" spans="1:4" x14ac:dyDescent="0.25">
      <c r="A1229" s="1">
        <v>42949</v>
      </c>
      <c r="B1229" s="2" t="s">
        <v>169</v>
      </c>
      <c r="C1229" s="2" t="s">
        <v>170</v>
      </c>
      <c r="D1229">
        <v>31</v>
      </c>
    </row>
    <row r="1230" spans="1:4" x14ac:dyDescent="0.25">
      <c r="A1230" s="1">
        <v>42949</v>
      </c>
      <c r="B1230" s="2" t="s">
        <v>69</v>
      </c>
      <c r="C1230" s="2" t="s">
        <v>108</v>
      </c>
      <c r="D1230">
        <v>17</v>
      </c>
    </row>
    <row r="1231" spans="1:4" x14ac:dyDescent="0.25">
      <c r="A1231" s="1">
        <v>42949</v>
      </c>
      <c r="B1231" s="2" t="s">
        <v>395</v>
      </c>
      <c r="C1231" s="2" t="s">
        <v>587</v>
      </c>
      <c r="D1231">
        <v>6</v>
      </c>
    </row>
    <row r="1232" spans="1:4" x14ac:dyDescent="0.25">
      <c r="A1232" s="1">
        <v>42950</v>
      </c>
      <c r="B1232" s="2" t="s">
        <v>248</v>
      </c>
      <c r="C1232" s="2" t="s">
        <v>249</v>
      </c>
      <c r="D1232">
        <v>47</v>
      </c>
    </row>
    <row r="1233" spans="1:4" x14ac:dyDescent="0.25">
      <c r="A1233" s="1">
        <v>42950</v>
      </c>
      <c r="B1233" s="2" t="s">
        <v>632</v>
      </c>
      <c r="C1233" s="2" t="s">
        <v>633</v>
      </c>
      <c r="D1233">
        <v>52</v>
      </c>
    </row>
    <row r="1234" spans="1:4" x14ac:dyDescent="0.25">
      <c r="A1234" s="1">
        <v>42950</v>
      </c>
      <c r="B1234" s="2" t="s">
        <v>395</v>
      </c>
      <c r="C1234" s="2" t="s">
        <v>467</v>
      </c>
      <c r="D1234">
        <v>10</v>
      </c>
    </row>
    <row r="1235" spans="1:4" x14ac:dyDescent="0.25">
      <c r="A1235" s="1">
        <v>42950</v>
      </c>
      <c r="B1235" s="2" t="s">
        <v>4</v>
      </c>
      <c r="C1235" s="2" t="s">
        <v>489</v>
      </c>
      <c r="D1235">
        <v>3</v>
      </c>
    </row>
    <row r="1236" spans="1:4" x14ac:dyDescent="0.25">
      <c r="A1236" s="1">
        <v>42950</v>
      </c>
      <c r="B1236" s="2" t="s">
        <v>420</v>
      </c>
      <c r="C1236" s="2" t="s">
        <v>634</v>
      </c>
      <c r="D1236">
        <v>10</v>
      </c>
    </row>
    <row r="1237" spans="1:4" x14ac:dyDescent="0.25">
      <c r="A1237" s="1">
        <v>42950</v>
      </c>
      <c r="B1237" s="2" t="s">
        <v>635</v>
      </c>
      <c r="C1237" s="2" t="s">
        <v>636</v>
      </c>
      <c r="D1237">
        <v>15</v>
      </c>
    </row>
    <row r="1238" spans="1:4" x14ac:dyDescent="0.25">
      <c r="A1238" s="1">
        <v>42950</v>
      </c>
      <c r="B1238" s="2" t="s">
        <v>178</v>
      </c>
      <c r="C1238" s="2" t="s">
        <v>335</v>
      </c>
      <c r="D1238">
        <v>26</v>
      </c>
    </row>
    <row r="1239" spans="1:4" x14ac:dyDescent="0.25">
      <c r="A1239" s="1">
        <v>42951</v>
      </c>
      <c r="B1239" s="2" t="s">
        <v>83</v>
      </c>
      <c r="C1239" s="2" t="s">
        <v>637</v>
      </c>
      <c r="D1239">
        <v>41</v>
      </c>
    </row>
    <row r="1240" spans="1:4" x14ac:dyDescent="0.25">
      <c r="A1240" s="1">
        <v>42951</v>
      </c>
      <c r="B1240" s="2" t="s">
        <v>45</v>
      </c>
      <c r="C1240" s="2" t="s">
        <v>388</v>
      </c>
      <c r="D1240">
        <v>20</v>
      </c>
    </row>
    <row r="1241" spans="1:4" x14ac:dyDescent="0.25">
      <c r="A1241" s="1">
        <v>42951</v>
      </c>
      <c r="B1241" s="2" t="s">
        <v>101</v>
      </c>
      <c r="C1241" s="2" t="s">
        <v>188</v>
      </c>
      <c r="D1241">
        <v>9</v>
      </c>
    </row>
    <row r="1242" spans="1:4" x14ac:dyDescent="0.25">
      <c r="A1242" s="1">
        <v>42951</v>
      </c>
      <c r="B1242" s="2" t="s">
        <v>92</v>
      </c>
      <c r="C1242" s="2" t="s">
        <v>638</v>
      </c>
      <c r="D1242">
        <v>14</v>
      </c>
    </row>
    <row r="1243" spans="1:4" x14ac:dyDescent="0.25">
      <c r="A1243" s="1">
        <v>42951</v>
      </c>
      <c r="B1243" s="2" t="s">
        <v>147</v>
      </c>
      <c r="C1243" s="2" t="s">
        <v>578</v>
      </c>
      <c r="D1243">
        <v>14</v>
      </c>
    </row>
    <row r="1244" spans="1:4" x14ac:dyDescent="0.25">
      <c r="A1244" s="1">
        <v>42951</v>
      </c>
      <c r="B1244" s="2" t="s">
        <v>65</v>
      </c>
      <c r="C1244" s="2" t="s">
        <v>83</v>
      </c>
      <c r="D1244">
        <v>16</v>
      </c>
    </row>
    <row r="1245" spans="1:4" x14ac:dyDescent="0.25">
      <c r="A1245" s="1">
        <v>42951</v>
      </c>
      <c r="B1245" s="2" t="s">
        <v>367</v>
      </c>
      <c r="C1245" s="2" t="s">
        <v>5</v>
      </c>
      <c r="D1245">
        <v>54</v>
      </c>
    </row>
    <row r="1246" spans="1:4" x14ac:dyDescent="0.25">
      <c r="A1246" s="1">
        <v>42954</v>
      </c>
      <c r="B1246" s="2" t="s">
        <v>23</v>
      </c>
      <c r="C1246" s="2" t="s">
        <v>592</v>
      </c>
      <c r="D1246">
        <v>11</v>
      </c>
    </row>
    <row r="1247" spans="1:4" x14ac:dyDescent="0.25">
      <c r="A1247" s="1">
        <v>42954</v>
      </c>
      <c r="B1247" s="2" t="s">
        <v>339</v>
      </c>
      <c r="C1247" s="2" t="s">
        <v>340</v>
      </c>
      <c r="D1247">
        <v>6</v>
      </c>
    </row>
    <row r="1248" spans="1:4" x14ac:dyDescent="0.25">
      <c r="A1248" s="1">
        <v>42954</v>
      </c>
      <c r="B1248" s="2" t="s">
        <v>83</v>
      </c>
      <c r="C1248" s="2" t="s">
        <v>596</v>
      </c>
      <c r="D1248">
        <v>19</v>
      </c>
    </row>
    <row r="1249" spans="1:4" x14ac:dyDescent="0.25">
      <c r="A1249" s="1">
        <v>42954</v>
      </c>
      <c r="B1249" s="2" t="s">
        <v>314</v>
      </c>
      <c r="C1249" s="2" t="s">
        <v>466</v>
      </c>
      <c r="D1249">
        <v>13</v>
      </c>
    </row>
    <row r="1250" spans="1:4" x14ac:dyDescent="0.25">
      <c r="A1250" s="1">
        <v>42954</v>
      </c>
      <c r="B1250" s="2" t="s">
        <v>43</v>
      </c>
      <c r="C1250" s="2" t="s">
        <v>507</v>
      </c>
      <c r="D1250">
        <v>35</v>
      </c>
    </row>
    <row r="1251" spans="1:4" x14ac:dyDescent="0.25">
      <c r="A1251" s="1">
        <v>42954</v>
      </c>
      <c r="B1251" s="2" t="s">
        <v>83</v>
      </c>
      <c r="C1251" s="2" t="s">
        <v>513</v>
      </c>
      <c r="D1251">
        <v>14</v>
      </c>
    </row>
    <row r="1252" spans="1:4" x14ac:dyDescent="0.25">
      <c r="A1252" s="1">
        <v>42954</v>
      </c>
      <c r="B1252" s="2" t="s">
        <v>106</v>
      </c>
      <c r="C1252" s="2" t="s">
        <v>277</v>
      </c>
      <c r="D1252">
        <v>7</v>
      </c>
    </row>
    <row r="1253" spans="1:4" x14ac:dyDescent="0.25">
      <c r="A1253" s="1">
        <v>42955</v>
      </c>
      <c r="B1253" s="2" t="s">
        <v>141</v>
      </c>
      <c r="C1253" s="2" t="s">
        <v>447</v>
      </c>
      <c r="D1253">
        <v>54</v>
      </c>
    </row>
    <row r="1254" spans="1:4" x14ac:dyDescent="0.25">
      <c r="A1254" s="1">
        <v>42955</v>
      </c>
      <c r="B1254" s="2" t="s">
        <v>4</v>
      </c>
      <c r="C1254" s="2" t="s">
        <v>5</v>
      </c>
      <c r="D1254">
        <v>11</v>
      </c>
    </row>
    <row r="1255" spans="1:4" x14ac:dyDescent="0.25">
      <c r="A1255" s="1">
        <v>42955</v>
      </c>
      <c r="B1255" s="2" t="s">
        <v>83</v>
      </c>
      <c r="C1255" s="2" t="s">
        <v>591</v>
      </c>
      <c r="D1255">
        <v>8</v>
      </c>
    </row>
    <row r="1256" spans="1:4" x14ac:dyDescent="0.25">
      <c r="A1256" s="1">
        <v>42955</v>
      </c>
      <c r="B1256" s="2" t="s">
        <v>412</v>
      </c>
      <c r="C1256" s="2" t="s">
        <v>413</v>
      </c>
      <c r="D1256">
        <v>3</v>
      </c>
    </row>
    <row r="1257" spans="1:4" x14ac:dyDescent="0.25">
      <c r="A1257" s="1">
        <v>42955</v>
      </c>
      <c r="B1257" s="2" t="s">
        <v>314</v>
      </c>
      <c r="C1257" s="2" t="s">
        <v>535</v>
      </c>
      <c r="D1257">
        <v>2</v>
      </c>
    </row>
    <row r="1258" spans="1:4" x14ac:dyDescent="0.25">
      <c r="A1258" s="1">
        <v>42955</v>
      </c>
      <c r="B1258" s="2" t="s">
        <v>81</v>
      </c>
      <c r="C1258" s="2" t="s">
        <v>165</v>
      </c>
      <c r="D1258">
        <v>25</v>
      </c>
    </row>
    <row r="1259" spans="1:4" x14ac:dyDescent="0.25">
      <c r="A1259" s="1">
        <v>42955</v>
      </c>
      <c r="B1259" s="2" t="s">
        <v>412</v>
      </c>
      <c r="C1259" s="2" t="s">
        <v>413</v>
      </c>
      <c r="D1259">
        <v>44</v>
      </c>
    </row>
    <row r="1260" spans="1:4" x14ac:dyDescent="0.25">
      <c r="A1260" s="1">
        <v>42956</v>
      </c>
      <c r="B1260" s="2" t="s">
        <v>553</v>
      </c>
      <c r="C1260" s="2" t="s">
        <v>554</v>
      </c>
      <c r="D1260">
        <v>13</v>
      </c>
    </row>
    <row r="1261" spans="1:4" x14ac:dyDescent="0.25">
      <c r="A1261" s="1">
        <v>42956</v>
      </c>
      <c r="B1261" s="2" t="s">
        <v>81</v>
      </c>
      <c r="C1261" s="2" t="s">
        <v>584</v>
      </c>
      <c r="D1261">
        <v>44</v>
      </c>
    </row>
    <row r="1262" spans="1:4" x14ac:dyDescent="0.25">
      <c r="A1262" s="1">
        <v>42956</v>
      </c>
      <c r="B1262" s="2" t="s">
        <v>232</v>
      </c>
      <c r="C1262" s="2" t="s">
        <v>451</v>
      </c>
      <c r="D1262">
        <v>21</v>
      </c>
    </row>
    <row r="1263" spans="1:4" x14ac:dyDescent="0.25">
      <c r="A1263" s="1">
        <v>42956</v>
      </c>
      <c r="B1263" s="2" t="s">
        <v>87</v>
      </c>
      <c r="C1263" s="2" t="s">
        <v>255</v>
      </c>
      <c r="D1263">
        <v>4</v>
      </c>
    </row>
    <row r="1264" spans="1:4" x14ac:dyDescent="0.25">
      <c r="A1264" s="1">
        <v>42956</v>
      </c>
      <c r="B1264" s="2" t="s">
        <v>128</v>
      </c>
      <c r="C1264" s="2" t="s">
        <v>639</v>
      </c>
      <c r="D1264">
        <v>6</v>
      </c>
    </row>
    <row r="1265" spans="1:4" x14ac:dyDescent="0.25">
      <c r="A1265" s="1">
        <v>42956</v>
      </c>
      <c r="B1265" s="2" t="s">
        <v>81</v>
      </c>
      <c r="C1265" s="2" t="s">
        <v>82</v>
      </c>
      <c r="D1265">
        <v>17</v>
      </c>
    </row>
    <row r="1266" spans="1:4" x14ac:dyDescent="0.25">
      <c r="A1266" s="1">
        <v>42956</v>
      </c>
      <c r="B1266" s="2" t="s">
        <v>14</v>
      </c>
      <c r="C1266" s="2" t="s">
        <v>430</v>
      </c>
      <c r="D1266">
        <v>12</v>
      </c>
    </row>
    <row r="1267" spans="1:4" x14ac:dyDescent="0.25">
      <c r="A1267" s="1">
        <v>42957</v>
      </c>
      <c r="B1267" s="2" t="s">
        <v>141</v>
      </c>
      <c r="C1267" s="2" t="s">
        <v>435</v>
      </c>
      <c r="D1267">
        <v>21</v>
      </c>
    </row>
    <row r="1268" spans="1:4" x14ac:dyDescent="0.25">
      <c r="A1268" s="1">
        <v>42957</v>
      </c>
      <c r="B1268" s="2" t="s">
        <v>640</v>
      </c>
      <c r="C1268" s="2" t="s">
        <v>199</v>
      </c>
      <c r="D1268">
        <v>12</v>
      </c>
    </row>
    <row r="1269" spans="1:4" x14ac:dyDescent="0.25">
      <c r="A1269" s="1">
        <v>42957</v>
      </c>
      <c r="B1269" s="2" t="s">
        <v>63</v>
      </c>
      <c r="C1269" s="2" t="s">
        <v>231</v>
      </c>
      <c r="D1269">
        <v>54</v>
      </c>
    </row>
    <row r="1270" spans="1:4" x14ac:dyDescent="0.25">
      <c r="A1270" s="1">
        <v>42957</v>
      </c>
      <c r="B1270" s="2" t="s">
        <v>150</v>
      </c>
      <c r="C1270" s="2" t="s">
        <v>641</v>
      </c>
      <c r="D1270">
        <v>11</v>
      </c>
    </row>
    <row r="1271" spans="1:4" x14ac:dyDescent="0.25">
      <c r="A1271" s="1">
        <v>42957</v>
      </c>
      <c r="B1271" s="2" t="s">
        <v>39</v>
      </c>
      <c r="C1271" s="2" t="s">
        <v>609</v>
      </c>
      <c r="D1271">
        <v>47</v>
      </c>
    </row>
    <row r="1272" spans="1:4" x14ac:dyDescent="0.25">
      <c r="A1272" s="1">
        <v>42957</v>
      </c>
      <c r="B1272" s="2" t="s">
        <v>77</v>
      </c>
      <c r="C1272" s="2" t="s">
        <v>384</v>
      </c>
      <c r="D1272">
        <v>55</v>
      </c>
    </row>
    <row r="1273" spans="1:4" x14ac:dyDescent="0.25">
      <c r="A1273" s="1">
        <v>42957</v>
      </c>
      <c r="B1273" s="2" t="s">
        <v>14</v>
      </c>
      <c r="C1273" s="2" t="s">
        <v>422</v>
      </c>
      <c r="D1273">
        <v>24</v>
      </c>
    </row>
    <row r="1274" spans="1:4" x14ac:dyDescent="0.25">
      <c r="A1274" s="1">
        <v>42958</v>
      </c>
      <c r="B1274" s="2" t="s">
        <v>16</v>
      </c>
      <c r="C1274" s="2" t="s">
        <v>642</v>
      </c>
      <c r="D1274">
        <v>3</v>
      </c>
    </row>
    <row r="1275" spans="1:4" x14ac:dyDescent="0.25">
      <c r="A1275" s="1">
        <v>42958</v>
      </c>
      <c r="B1275" s="2" t="s">
        <v>39</v>
      </c>
      <c r="C1275" s="2" t="s">
        <v>289</v>
      </c>
      <c r="D1275">
        <v>15</v>
      </c>
    </row>
    <row r="1276" spans="1:4" x14ac:dyDescent="0.25">
      <c r="A1276" s="1">
        <v>42958</v>
      </c>
      <c r="B1276" s="2" t="s">
        <v>201</v>
      </c>
      <c r="C1276" s="2" t="s">
        <v>643</v>
      </c>
      <c r="D1276">
        <v>15</v>
      </c>
    </row>
    <row r="1277" spans="1:4" x14ac:dyDescent="0.25">
      <c r="A1277" s="1">
        <v>42958</v>
      </c>
      <c r="B1277" s="2" t="s">
        <v>34</v>
      </c>
      <c r="C1277" s="2" t="s">
        <v>35</v>
      </c>
      <c r="D1277">
        <v>27</v>
      </c>
    </row>
    <row r="1278" spans="1:4" x14ac:dyDescent="0.25">
      <c r="A1278" s="1">
        <v>42958</v>
      </c>
      <c r="B1278" s="2" t="s">
        <v>55</v>
      </c>
      <c r="C1278" s="2" t="s">
        <v>493</v>
      </c>
      <c r="D1278">
        <v>31</v>
      </c>
    </row>
    <row r="1279" spans="1:4" x14ac:dyDescent="0.25">
      <c r="A1279" s="1">
        <v>42958</v>
      </c>
      <c r="B1279" s="2" t="s">
        <v>150</v>
      </c>
      <c r="C1279" s="2" t="s">
        <v>140</v>
      </c>
      <c r="D1279">
        <v>7</v>
      </c>
    </row>
    <row r="1280" spans="1:4" x14ac:dyDescent="0.25">
      <c r="A1280" s="1">
        <v>42958</v>
      </c>
      <c r="B1280" s="2" t="s">
        <v>427</v>
      </c>
      <c r="C1280" s="2" t="s">
        <v>118</v>
      </c>
      <c r="D1280">
        <v>20</v>
      </c>
    </row>
    <row r="1281" spans="1:4" x14ac:dyDescent="0.25">
      <c r="A1281" s="1">
        <v>42958</v>
      </c>
      <c r="B1281" s="2" t="s">
        <v>36</v>
      </c>
      <c r="C1281" s="2" t="s">
        <v>533</v>
      </c>
      <c r="D1281">
        <v>30</v>
      </c>
    </row>
    <row r="1282" spans="1:4" x14ac:dyDescent="0.25">
      <c r="A1282" s="1">
        <v>42961</v>
      </c>
      <c r="B1282" s="2" t="s">
        <v>25</v>
      </c>
      <c r="C1282" s="2" t="s">
        <v>146</v>
      </c>
      <c r="D1282">
        <v>22</v>
      </c>
    </row>
    <row r="1283" spans="1:4" x14ac:dyDescent="0.25">
      <c r="A1283" s="1">
        <v>42961</v>
      </c>
      <c r="B1283" s="2" t="s">
        <v>32</v>
      </c>
      <c r="C1283" s="2" t="s">
        <v>276</v>
      </c>
      <c r="D1283">
        <v>44</v>
      </c>
    </row>
    <row r="1284" spans="1:4" x14ac:dyDescent="0.25">
      <c r="A1284" s="1">
        <v>42961</v>
      </c>
      <c r="B1284" s="2" t="s">
        <v>51</v>
      </c>
      <c r="C1284" s="2" t="s">
        <v>358</v>
      </c>
      <c r="D1284">
        <v>5</v>
      </c>
    </row>
    <row r="1285" spans="1:4" x14ac:dyDescent="0.25">
      <c r="A1285" s="1">
        <v>42961</v>
      </c>
      <c r="B1285" s="2" t="s">
        <v>45</v>
      </c>
      <c r="C1285" s="2" t="s">
        <v>388</v>
      </c>
      <c r="D1285">
        <v>3</v>
      </c>
    </row>
    <row r="1286" spans="1:4" x14ac:dyDescent="0.25">
      <c r="A1286" s="1">
        <v>42961</v>
      </c>
      <c r="B1286" s="2" t="s">
        <v>128</v>
      </c>
      <c r="C1286" s="2" t="s">
        <v>12</v>
      </c>
      <c r="D1286">
        <v>6</v>
      </c>
    </row>
    <row r="1287" spans="1:4" x14ac:dyDescent="0.25">
      <c r="A1287" s="1">
        <v>42961</v>
      </c>
      <c r="B1287" s="2" t="s">
        <v>30</v>
      </c>
      <c r="C1287" s="2" t="s">
        <v>185</v>
      </c>
      <c r="D1287">
        <v>12</v>
      </c>
    </row>
    <row r="1288" spans="1:4" x14ac:dyDescent="0.25">
      <c r="A1288" s="1">
        <v>42961</v>
      </c>
      <c r="B1288" s="2" t="s">
        <v>155</v>
      </c>
      <c r="C1288" s="2" t="s">
        <v>156</v>
      </c>
      <c r="D1288">
        <v>5</v>
      </c>
    </row>
    <row r="1289" spans="1:4" x14ac:dyDescent="0.25">
      <c r="A1289" s="1">
        <v>42961</v>
      </c>
      <c r="B1289" s="2" t="s">
        <v>147</v>
      </c>
      <c r="C1289" s="2" t="s">
        <v>644</v>
      </c>
      <c r="D1289">
        <v>6</v>
      </c>
    </row>
    <row r="1290" spans="1:4" x14ac:dyDescent="0.25">
      <c r="A1290" s="1">
        <v>42962</v>
      </c>
      <c r="B1290" s="2" t="s">
        <v>30</v>
      </c>
      <c r="C1290" s="2" t="s">
        <v>89</v>
      </c>
      <c r="D1290">
        <v>29</v>
      </c>
    </row>
    <row r="1291" spans="1:4" x14ac:dyDescent="0.25">
      <c r="A1291" s="1">
        <v>42962</v>
      </c>
      <c r="B1291" s="2" t="s">
        <v>55</v>
      </c>
      <c r="C1291" s="2" t="s">
        <v>326</v>
      </c>
      <c r="D1291">
        <v>46</v>
      </c>
    </row>
    <row r="1292" spans="1:4" x14ac:dyDescent="0.25">
      <c r="A1292" s="1">
        <v>42962</v>
      </c>
      <c r="B1292" s="2" t="s">
        <v>171</v>
      </c>
      <c r="C1292" s="2" t="s">
        <v>645</v>
      </c>
      <c r="D1292">
        <v>20</v>
      </c>
    </row>
    <row r="1293" spans="1:4" x14ac:dyDescent="0.25">
      <c r="A1293" s="1">
        <v>42962</v>
      </c>
      <c r="B1293" s="2" t="s">
        <v>47</v>
      </c>
      <c r="C1293" s="2" t="s">
        <v>471</v>
      </c>
      <c r="D1293">
        <v>28</v>
      </c>
    </row>
    <row r="1294" spans="1:4" x14ac:dyDescent="0.25">
      <c r="A1294" s="1">
        <v>42962</v>
      </c>
      <c r="B1294" s="2" t="s">
        <v>574</v>
      </c>
      <c r="C1294" s="2" t="s">
        <v>421</v>
      </c>
      <c r="D1294">
        <v>5</v>
      </c>
    </row>
    <row r="1295" spans="1:4" x14ac:dyDescent="0.25">
      <c r="A1295" s="1">
        <v>42962</v>
      </c>
      <c r="B1295" s="2" t="s">
        <v>87</v>
      </c>
      <c r="C1295" s="2" t="s">
        <v>383</v>
      </c>
      <c r="D1295">
        <v>12</v>
      </c>
    </row>
    <row r="1296" spans="1:4" x14ac:dyDescent="0.25">
      <c r="A1296" s="1">
        <v>42962</v>
      </c>
      <c r="B1296" s="2" t="s">
        <v>57</v>
      </c>
      <c r="C1296" s="2" t="s">
        <v>399</v>
      </c>
      <c r="D1296">
        <v>29</v>
      </c>
    </row>
    <row r="1297" spans="1:4" x14ac:dyDescent="0.25">
      <c r="A1297" s="1">
        <v>42962</v>
      </c>
      <c r="B1297" s="2" t="s">
        <v>41</v>
      </c>
      <c r="C1297" s="2" t="s">
        <v>302</v>
      </c>
      <c r="D1297">
        <v>14</v>
      </c>
    </row>
    <row r="1298" spans="1:4" x14ac:dyDescent="0.25">
      <c r="A1298" s="1">
        <v>42963</v>
      </c>
      <c r="B1298" s="2" t="s">
        <v>476</v>
      </c>
      <c r="C1298" s="2" t="s">
        <v>622</v>
      </c>
      <c r="D1298">
        <v>29</v>
      </c>
    </row>
    <row r="1299" spans="1:4" x14ac:dyDescent="0.25">
      <c r="A1299" s="1">
        <v>42963</v>
      </c>
      <c r="B1299" s="2" t="s">
        <v>208</v>
      </c>
      <c r="C1299" s="2" t="s">
        <v>209</v>
      </c>
      <c r="D1299">
        <v>15</v>
      </c>
    </row>
    <row r="1300" spans="1:4" x14ac:dyDescent="0.25">
      <c r="A1300" s="1">
        <v>42963</v>
      </c>
      <c r="B1300" s="2" t="s">
        <v>36</v>
      </c>
      <c r="C1300" s="2" t="s">
        <v>560</v>
      </c>
      <c r="D1300">
        <v>35</v>
      </c>
    </row>
    <row r="1301" spans="1:4" x14ac:dyDescent="0.25">
      <c r="A1301" s="1">
        <v>42963</v>
      </c>
      <c r="B1301" s="2" t="s">
        <v>169</v>
      </c>
      <c r="C1301" s="2" t="s">
        <v>170</v>
      </c>
      <c r="D1301">
        <v>28</v>
      </c>
    </row>
    <row r="1302" spans="1:4" x14ac:dyDescent="0.25">
      <c r="A1302" s="1">
        <v>42963</v>
      </c>
      <c r="B1302" s="2" t="s">
        <v>248</v>
      </c>
      <c r="C1302" s="2" t="s">
        <v>249</v>
      </c>
      <c r="D1302">
        <v>3</v>
      </c>
    </row>
    <row r="1303" spans="1:4" x14ac:dyDescent="0.25">
      <c r="A1303" s="1">
        <v>42963</v>
      </c>
      <c r="B1303" s="2" t="s">
        <v>106</v>
      </c>
      <c r="C1303" s="2" t="s">
        <v>240</v>
      </c>
      <c r="D1303">
        <v>49</v>
      </c>
    </row>
    <row r="1304" spans="1:4" x14ac:dyDescent="0.25">
      <c r="A1304" s="1">
        <v>42963</v>
      </c>
      <c r="B1304" s="2" t="s">
        <v>407</v>
      </c>
      <c r="C1304" s="2" t="s">
        <v>408</v>
      </c>
      <c r="D1304">
        <v>21</v>
      </c>
    </row>
    <row r="1305" spans="1:4" x14ac:dyDescent="0.25">
      <c r="A1305" s="1">
        <v>42963</v>
      </c>
      <c r="B1305" s="2" t="s">
        <v>83</v>
      </c>
      <c r="C1305" s="2" t="s">
        <v>646</v>
      </c>
      <c r="D1305">
        <v>43</v>
      </c>
    </row>
    <row r="1306" spans="1:4" x14ac:dyDescent="0.25">
      <c r="A1306" s="1">
        <v>42964</v>
      </c>
      <c r="B1306" s="2" t="s">
        <v>128</v>
      </c>
      <c r="C1306" s="2" t="s">
        <v>12</v>
      </c>
      <c r="D1306">
        <v>6</v>
      </c>
    </row>
    <row r="1307" spans="1:4" x14ac:dyDescent="0.25">
      <c r="A1307" s="1">
        <v>42964</v>
      </c>
      <c r="B1307" s="2" t="s">
        <v>36</v>
      </c>
      <c r="C1307" s="2" t="s">
        <v>180</v>
      </c>
      <c r="D1307">
        <v>10</v>
      </c>
    </row>
    <row r="1308" spans="1:4" x14ac:dyDescent="0.25">
      <c r="A1308" s="1">
        <v>42964</v>
      </c>
      <c r="B1308" s="2" t="s">
        <v>97</v>
      </c>
      <c r="C1308" s="2" t="s">
        <v>188</v>
      </c>
      <c r="D1308">
        <v>7</v>
      </c>
    </row>
    <row r="1309" spans="1:4" x14ac:dyDescent="0.25">
      <c r="A1309" s="1">
        <v>42964</v>
      </c>
      <c r="B1309" s="2" t="s">
        <v>23</v>
      </c>
      <c r="C1309" s="2" t="s">
        <v>163</v>
      </c>
      <c r="D1309">
        <v>7</v>
      </c>
    </row>
    <row r="1310" spans="1:4" x14ac:dyDescent="0.25">
      <c r="A1310" s="1">
        <v>42964</v>
      </c>
      <c r="B1310" s="2" t="s">
        <v>152</v>
      </c>
      <c r="C1310" s="2" t="s">
        <v>319</v>
      </c>
      <c r="D1310">
        <v>22</v>
      </c>
    </row>
    <row r="1311" spans="1:4" x14ac:dyDescent="0.25">
      <c r="A1311" s="1">
        <v>42964</v>
      </c>
      <c r="B1311" s="2" t="s">
        <v>171</v>
      </c>
      <c r="C1311" s="2" t="s">
        <v>562</v>
      </c>
      <c r="D1311">
        <v>36</v>
      </c>
    </row>
    <row r="1312" spans="1:4" x14ac:dyDescent="0.25">
      <c r="A1312" s="1">
        <v>42964</v>
      </c>
      <c r="B1312" s="2" t="s">
        <v>206</v>
      </c>
      <c r="C1312" s="2" t="s">
        <v>192</v>
      </c>
      <c r="D1312">
        <v>13</v>
      </c>
    </row>
    <row r="1313" spans="1:4" x14ac:dyDescent="0.25">
      <c r="A1313" s="1">
        <v>42964</v>
      </c>
      <c r="B1313" s="2" t="s">
        <v>155</v>
      </c>
      <c r="C1313" s="2" t="s">
        <v>156</v>
      </c>
      <c r="D1313">
        <v>14</v>
      </c>
    </row>
    <row r="1314" spans="1:4" x14ac:dyDescent="0.25">
      <c r="A1314" s="1">
        <v>42965</v>
      </c>
      <c r="B1314" s="2" t="s">
        <v>150</v>
      </c>
      <c r="C1314" s="2" t="s">
        <v>462</v>
      </c>
      <c r="D1314">
        <v>6</v>
      </c>
    </row>
    <row r="1315" spans="1:4" x14ac:dyDescent="0.25">
      <c r="A1315" s="1">
        <v>42965</v>
      </c>
      <c r="B1315" s="2" t="s">
        <v>193</v>
      </c>
      <c r="C1315" s="2" t="s">
        <v>228</v>
      </c>
      <c r="D1315">
        <v>11</v>
      </c>
    </row>
    <row r="1316" spans="1:4" x14ac:dyDescent="0.25">
      <c r="A1316" s="1">
        <v>42965</v>
      </c>
      <c r="B1316" s="2" t="s">
        <v>147</v>
      </c>
      <c r="C1316" s="2" t="s">
        <v>644</v>
      </c>
      <c r="D1316">
        <v>22</v>
      </c>
    </row>
    <row r="1317" spans="1:4" x14ac:dyDescent="0.25">
      <c r="A1317" s="1">
        <v>42965</v>
      </c>
      <c r="B1317" s="2" t="s">
        <v>47</v>
      </c>
      <c r="C1317" s="2" t="s">
        <v>48</v>
      </c>
      <c r="D1317">
        <v>56</v>
      </c>
    </row>
    <row r="1318" spans="1:4" x14ac:dyDescent="0.25">
      <c r="A1318" s="1">
        <v>42965</v>
      </c>
      <c r="B1318" s="2" t="s">
        <v>55</v>
      </c>
      <c r="C1318" s="2" t="s">
        <v>459</v>
      </c>
      <c r="D1318">
        <v>55</v>
      </c>
    </row>
    <row r="1319" spans="1:4" x14ac:dyDescent="0.25">
      <c r="A1319" s="1">
        <v>42965</v>
      </c>
      <c r="B1319" s="2" t="s">
        <v>176</v>
      </c>
      <c r="C1319" s="2" t="s">
        <v>177</v>
      </c>
      <c r="D1319">
        <v>45</v>
      </c>
    </row>
    <row r="1320" spans="1:4" x14ac:dyDescent="0.25">
      <c r="A1320" s="1">
        <v>42965</v>
      </c>
      <c r="B1320" s="2" t="s">
        <v>63</v>
      </c>
      <c r="C1320" s="2" t="s">
        <v>231</v>
      </c>
      <c r="D1320">
        <v>12</v>
      </c>
    </row>
    <row r="1321" spans="1:4" x14ac:dyDescent="0.25">
      <c r="A1321" s="1">
        <v>42965</v>
      </c>
      <c r="B1321" s="2" t="s">
        <v>81</v>
      </c>
      <c r="C1321" s="2" t="s">
        <v>82</v>
      </c>
      <c r="D1321">
        <v>20</v>
      </c>
    </row>
    <row r="1322" spans="1:4" x14ac:dyDescent="0.25">
      <c r="A1322" s="1">
        <v>42968</v>
      </c>
      <c r="B1322" s="2" t="s">
        <v>514</v>
      </c>
      <c r="C1322" s="2" t="s">
        <v>515</v>
      </c>
      <c r="D1322">
        <v>8</v>
      </c>
    </row>
    <row r="1323" spans="1:4" x14ac:dyDescent="0.25">
      <c r="A1323" s="1">
        <v>42968</v>
      </c>
      <c r="B1323" s="2" t="s">
        <v>36</v>
      </c>
      <c r="C1323" s="2" t="s">
        <v>229</v>
      </c>
      <c r="D1323">
        <v>33</v>
      </c>
    </row>
    <row r="1324" spans="1:4" x14ac:dyDescent="0.25">
      <c r="A1324" s="1">
        <v>42968</v>
      </c>
      <c r="B1324" s="2" t="s">
        <v>41</v>
      </c>
      <c r="C1324" s="2" t="s">
        <v>302</v>
      </c>
      <c r="D1324">
        <v>9</v>
      </c>
    </row>
    <row r="1325" spans="1:4" x14ac:dyDescent="0.25">
      <c r="A1325" s="1">
        <v>42968</v>
      </c>
      <c r="B1325" s="2" t="s">
        <v>523</v>
      </c>
      <c r="C1325" s="2" t="s">
        <v>524</v>
      </c>
      <c r="D1325">
        <v>52</v>
      </c>
    </row>
    <row r="1326" spans="1:4" x14ac:dyDescent="0.25">
      <c r="A1326" s="1">
        <v>42968</v>
      </c>
      <c r="B1326" s="2" t="s">
        <v>232</v>
      </c>
      <c r="C1326" s="2" t="s">
        <v>627</v>
      </c>
      <c r="D1326">
        <v>48</v>
      </c>
    </row>
    <row r="1327" spans="1:4" x14ac:dyDescent="0.25">
      <c r="A1327" s="1">
        <v>42968</v>
      </c>
      <c r="B1327" s="2" t="s">
        <v>632</v>
      </c>
      <c r="C1327" s="2" t="s">
        <v>647</v>
      </c>
      <c r="D1327">
        <v>40</v>
      </c>
    </row>
    <row r="1328" spans="1:4" x14ac:dyDescent="0.25">
      <c r="A1328" s="1">
        <v>42968</v>
      </c>
      <c r="B1328" s="2" t="s">
        <v>81</v>
      </c>
      <c r="C1328" s="2" t="s">
        <v>648</v>
      </c>
      <c r="D1328">
        <v>52</v>
      </c>
    </row>
    <row r="1329" spans="1:4" x14ac:dyDescent="0.25">
      <c r="A1329" s="1">
        <v>42968</v>
      </c>
      <c r="B1329" s="2" t="s">
        <v>92</v>
      </c>
      <c r="C1329" s="2" t="s">
        <v>638</v>
      </c>
      <c r="D1329">
        <v>34</v>
      </c>
    </row>
    <row r="1330" spans="1:4" x14ac:dyDescent="0.25">
      <c r="A1330" s="1">
        <v>42969</v>
      </c>
      <c r="B1330" s="2" t="s">
        <v>416</v>
      </c>
      <c r="C1330" s="2" t="s">
        <v>572</v>
      </c>
      <c r="D1330">
        <v>2</v>
      </c>
    </row>
    <row r="1331" spans="1:4" x14ac:dyDescent="0.25">
      <c r="A1331" s="1">
        <v>42969</v>
      </c>
      <c r="B1331" s="2" t="s">
        <v>34</v>
      </c>
      <c r="C1331" s="2" t="s">
        <v>35</v>
      </c>
      <c r="D1331">
        <v>9</v>
      </c>
    </row>
    <row r="1332" spans="1:4" x14ac:dyDescent="0.25">
      <c r="A1332" s="1">
        <v>42969</v>
      </c>
      <c r="B1332" s="2" t="s">
        <v>97</v>
      </c>
      <c r="C1332" s="2" t="s">
        <v>380</v>
      </c>
      <c r="D1332">
        <v>24</v>
      </c>
    </row>
    <row r="1333" spans="1:4" x14ac:dyDescent="0.25">
      <c r="A1333" s="1">
        <v>42969</v>
      </c>
      <c r="B1333" s="2" t="s">
        <v>327</v>
      </c>
      <c r="C1333" s="2" t="s">
        <v>102</v>
      </c>
      <c r="D1333">
        <v>28</v>
      </c>
    </row>
    <row r="1334" spans="1:4" x14ac:dyDescent="0.25">
      <c r="A1334" s="1">
        <v>42969</v>
      </c>
      <c r="B1334" s="2" t="s">
        <v>243</v>
      </c>
      <c r="C1334" s="2" t="s">
        <v>82</v>
      </c>
      <c r="D1334">
        <v>16</v>
      </c>
    </row>
    <row r="1335" spans="1:4" x14ac:dyDescent="0.25">
      <c r="A1335" s="1">
        <v>42969</v>
      </c>
      <c r="B1335" s="2" t="s">
        <v>195</v>
      </c>
      <c r="C1335" s="2" t="s">
        <v>401</v>
      </c>
      <c r="D1335">
        <v>19</v>
      </c>
    </row>
    <row r="1336" spans="1:4" x14ac:dyDescent="0.25">
      <c r="A1336" s="1">
        <v>42969</v>
      </c>
      <c r="B1336" s="2" t="s">
        <v>30</v>
      </c>
      <c r="C1336" s="2" t="s">
        <v>185</v>
      </c>
      <c r="D1336">
        <v>26</v>
      </c>
    </row>
    <row r="1337" spans="1:4" x14ac:dyDescent="0.25">
      <c r="A1337" s="1">
        <v>42969</v>
      </c>
      <c r="B1337" s="2" t="s">
        <v>30</v>
      </c>
      <c r="C1337" s="2" t="s">
        <v>387</v>
      </c>
      <c r="D1337">
        <v>29</v>
      </c>
    </row>
    <row r="1338" spans="1:4" x14ac:dyDescent="0.25">
      <c r="A1338" s="1">
        <v>42970</v>
      </c>
      <c r="B1338" s="2" t="s">
        <v>141</v>
      </c>
      <c r="C1338" s="2" t="s">
        <v>649</v>
      </c>
      <c r="D1338">
        <v>51</v>
      </c>
    </row>
    <row r="1339" spans="1:4" x14ac:dyDescent="0.25">
      <c r="A1339" s="1">
        <v>42970</v>
      </c>
      <c r="B1339" s="2" t="s">
        <v>53</v>
      </c>
      <c r="C1339" s="2" t="s">
        <v>54</v>
      </c>
      <c r="D1339">
        <v>25</v>
      </c>
    </row>
    <row r="1340" spans="1:4" x14ac:dyDescent="0.25">
      <c r="A1340" s="1">
        <v>42970</v>
      </c>
      <c r="B1340" s="2" t="s">
        <v>23</v>
      </c>
      <c r="C1340" s="2" t="s">
        <v>604</v>
      </c>
      <c r="D1340">
        <v>33</v>
      </c>
    </row>
    <row r="1341" spans="1:4" x14ac:dyDescent="0.25">
      <c r="A1341" s="1">
        <v>42970</v>
      </c>
      <c r="B1341" s="2" t="s">
        <v>267</v>
      </c>
      <c r="C1341" s="2" t="s">
        <v>268</v>
      </c>
      <c r="D1341">
        <v>18</v>
      </c>
    </row>
    <row r="1342" spans="1:4" x14ac:dyDescent="0.25">
      <c r="A1342" s="1">
        <v>42970</v>
      </c>
      <c r="B1342" s="2" t="s">
        <v>92</v>
      </c>
      <c r="C1342" s="2" t="s">
        <v>638</v>
      </c>
      <c r="D1342">
        <v>19</v>
      </c>
    </row>
    <row r="1343" spans="1:4" x14ac:dyDescent="0.25">
      <c r="A1343" s="1">
        <v>42970</v>
      </c>
      <c r="B1343" s="2" t="s">
        <v>30</v>
      </c>
      <c r="C1343" s="2" t="s">
        <v>89</v>
      </c>
      <c r="D1343">
        <v>42</v>
      </c>
    </row>
    <row r="1344" spans="1:4" x14ac:dyDescent="0.25">
      <c r="A1344" s="1">
        <v>42970</v>
      </c>
      <c r="B1344" s="2" t="s">
        <v>30</v>
      </c>
      <c r="C1344" s="2" t="s">
        <v>387</v>
      </c>
      <c r="D1344">
        <v>15</v>
      </c>
    </row>
    <row r="1345" spans="1:4" x14ac:dyDescent="0.25">
      <c r="A1345" s="1">
        <v>42970</v>
      </c>
      <c r="B1345" s="2" t="s">
        <v>361</v>
      </c>
      <c r="C1345" s="2" t="s">
        <v>424</v>
      </c>
      <c r="D1345">
        <v>15</v>
      </c>
    </row>
    <row r="1346" spans="1:4" x14ac:dyDescent="0.25">
      <c r="A1346" s="1">
        <v>42971</v>
      </c>
      <c r="B1346" s="2" t="s">
        <v>174</v>
      </c>
      <c r="C1346" s="2" t="s">
        <v>175</v>
      </c>
      <c r="D1346">
        <v>3</v>
      </c>
    </row>
    <row r="1347" spans="1:4" x14ac:dyDescent="0.25">
      <c r="A1347" s="1">
        <v>42971</v>
      </c>
      <c r="B1347" s="2" t="s">
        <v>284</v>
      </c>
      <c r="C1347" s="2" t="s">
        <v>285</v>
      </c>
      <c r="D1347">
        <v>13</v>
      </c>
    </row>
    <row r="1348" spans="1:4" x14ac:dyDescent="0.25">
      <c r="A1348" s="1">
        <v>42971</v>
      </c>
      <c r="B1348" s="2" t="s">
        <v>393</v>
      </c>
      <c r="C1348" s="2" t="s">
        <v>398</v>
      </c>
      <c r="D1348">
        <v>27</v>
      </c>
    </row>
    <row r="1349" spans="1:4" x14ac:dyDescent="0.25">
      <c r="A1349" s="1">
        <v>42971</v>
      </c>
      <c r="B1349" s="2" t="s">
        <v>155</v>
      </c>
      <c r="C1349" s="2" t="s">
        <v>650</v>
      </c>
      <c r="D1349">
        <v>18</v>
      </c>
    </row>
    <row r="1350" spans="1:4" x14ac:dyDescent="0.25">
      <c r="A1350" s="1">
        <v>42971</v>
      </c>
      <c r="B1350" s="2" t="s">
        <v>171</v>
      </c>
      <c r="C1350" s="2" t="s">
        <v>651</v>
      </c>
      <c r="D1350">
        <v>42</v>
      </c>
    </row>
    <row r="1351" spans="1:4" x14ac:dyDescent="0.25">
      <c r="A1351" s="1">
        <v>42971</v>
      </c>
      <c r="B1351" s="2" t="s">
        <v>280</v>
      </c>
      <c r="C1351" s="2" t="s">
        <v>281</v>
      </c>
      <c r="D1351">
        <v>9</v>
      </c>
    </row>
    <row r="1352" spans="1:4" x14ac:dyDescent="0.25">
      <c r="A1352" s="1">
        <v>42971</v>
      </c>
      <c r="B1352" s="2" t="s">
        <v>83</v>
      </c>
      <c r="C1352" s="2" t="s">
        <v>513</v>
      </c>
      <c r="D1352">
        <v>22</v>
      </c>
    </row>
    <row r="1353" spans="1:4" x14ac:dyDescent="0.25">
      <c r="A1353" s="1">
        <v>42971</v>
      </c>
      <c r="B1353" s="2" t="s">
        <v>34</v>
      </c>
      <c r="C1353" s="2" t="s">
        <v>481</v>
      </c>
      <c r="D1353">
        <v>47</v>
      </c>
    </row>
    <row r="1354" spans="1:4" x14ac:dyDescent="0.25">
      <c r="A1354" s="1">
        <v>42972</v>
      </c>
      <c r="B1354" s="2" t="s">
        <v>632</v>
      </c>
      <c r="C1354" s="2" t="s">
        <v>647</v>
      </c>
      <c r="D1354">
        <v>55</v>
      </c>
    </row>
    <row r="1355" spans="1:4" x14ac:dyDescent="0.25">
      <c r="A1355" s="1">
        <v>42972</v>
      </c>
      <c r="B1355" s="2" t="s">
        <v>41</v>
      </c>
      <c r="C1355" s="2" t="s">
        <v>238</v>
      </c>
      <c r="D1355">
        <v>9</v>
      </c>
    </row>
    <row r="1356" spans="1:4" x14ac:dyDescent="0.25">
      <c r="A1356" s="1">
        <v>42972</v>
      </c>
      <c r="B1356" s="2" t="s">
        <v>12</v>
      </c>
      <c r="C1356" s="2" t="s">
        <v>13</v>
      </c>
      <c r="D1356">
        <v>27</v>
      </c>
    </row>
    <row r="1357" spans="1:4" x14ac:dyDescent="0.25">
      <c r="A1357" s="1">
        <v>42972</v>
      </c>
      <c r="B1357" s="2" t="s">
        <v>131</v>
      </c>
      <c r="C1357" s="2" t="s">
        <v>451</v>
      </c>
      <c r="D1357">
        <v>11</v>
      </c>
    </row>
    <row r="1358" spans="1:4" x14ac:dyDescent="0.25">
      <c r="A1358" s="1">
        <v>42972</v>
      </c>
      <c r="B1358" s="2" t="s">
        <v>39</v>
      </c>
      <c r="C1358" s="2" t="s">
        <v>289</v>
      </c>
      <c r="D1358">
        <v>42</v>
      </c>
    </row>
    <row r="1359" spans="1:4" x14ac:dyDescent="0.25">
      <c r="A1359" s="1">
        <v>42972</v>
      </c>
      <c r="B1359" s="2" t="s">
        <v>133</v>
      </c>
      <c r="C1359" s="2" t="s">
        <v>652</v>
      </c>
      <c r="D1359">
        <v>8</v>
      </c>
    </row>
    <row r="1360" spans="1:4" x14ac:dyDescent="0.25">
      <c r="A1360" s="1">
        <v>42972</v>
      </c>
      <c r="B1360" s="2" t="s">
        <v>244</v>
      </c>
      <c r="C1360" s="2" t="s">
        <v>245</v>
      </c>
      <c r="D1360">
        <v>39</v>
      </c>
    </row>
    <row r="1361" spans="1:4" x14ac:dyDescent="0.25">
      <c r="A1361" s="1">
        <v>42972</v>
      </c>
      <c r="B1361" s="2" t="s">
        <v>193</v>
      </c>
      <c r="C1361" s="2" t="s">
        <v>406</v>
      </c>
      <c r="D1361">
        <v>26</v>
      </c>
    </row>
    <row r="1362" spans="1:4" x14ac:dyDescent="0.25">
      <c r="A1362" s="1">
        <v>42975</v>
      </c>
      <c r="B1362" s="2" t="s">
        <v>32</v>
      </c>
      <c r="C1362" s="2" t="s">
        <v>33</v>
      </c>
      <c r="D1362">
        <v>28</v>
      </c>
    </row>
    <row r="1363" spans="1:4" x14ac:dyDescent="0.25">
      <c r="A1363" s="1">
        <v>42975</v>
      </c>
      <c r="B1363" s="2" t="s">
        <v>114</v>
      </c>
      <c r="C1363" s="2" t="s">
        <v>653</v>
      </c>
      <c r="D1363">
        <v>40</v>
      </c>
    </row>
    <row r="1364" spans="1:4" x14ac:dyDescent="0.25">
      <c r="A1364" s="1">
        <v>42975</v>
      </c>
      <c r="B1364" s="2" t="s">
        <v>203</v>
      </c>
      <c r="C1364" s="2" t="s">
        <v>370</v>
      </c>
      <c r="D1364">
        <v>17</v>
      </c>
    </row>
    <row r="1365" spans="1:4" x14ac:dyDescent="0.25">
      <c r="A1365" s="1">
        <v>42975</v>
      </c>
      <c r="B1365" s="2" t="s">
        <v>299</v>
      </c>
      <c r="C1365" s="2" t="s">
        <v>482</v>
      </c>
      <c r="D1365">
        <v>2</v>
      </c>
    </row>
    <row r="1366" spans="1:4" x14ac:dyDescent="0.25">
      <c r="A1366" s="1">
        <v>42975</v>
      </c>
      <c r="B1366" s="2" t="s">
        <v>106</v>
      </c>
      <c r="C1366" s="2" t="s">
        <v>277</v>
      </c>
      <c r="D1366">
        <v>22</v>
      </c>
    </row>
    <row r="1367" spans="1:4" x14ac:dyDescent="0.25">
      <c r="A1367" s="1">
        <v>42975</v>
      </c>
      <c r="B1367" s="2" t="s">
        <v>39</v>
      </c>
      <c r="C1367" s="2" t="s">
        <v>289</v>
      </c>
      <c r="D1367">
        <v>18</v>
      </c>
    </row>
    <row r="1368" spans="1:4" x14ac:dyDescent="0.25">
      <c r="A1368" s="1">
        <v>42975</v>
      </c>
      <c r="B1368" s="2" t="s">
        <v>83</v>
      </c>
      <c r="C1368" s="2" t="s">
        <v>561</v>
      </c>
      <c r="D1368">
        <v>35</v>
      </c>
    </row>
    <row r="1369" spans="1:4" x14ac:dyDescent="0.25">
      <c r="A1369" s="1">
        <v>42975</v>
      </c>
      <c r="B1369" s="2" t="s">
        <v>178</v>
      </c>
      <c r="C1369" s="2" t="s">
        <v>335</v>
      </c>
      <c r="D1369">
        <v>7</v>
      </c>
    </row>
    <row r="1370" spans="1:4" x14ac:dyDescent="0.25">
      <c r="A1370" s="1">
        <v>42975</v>
      </c>
      <c r="B1370" s="2" t="s">
        <v>280</v>
      </c>
      <c r="C1370" s="2" t="s">
        <v>447</v>
      </c>
      <c r="D1370">
        <v>12</v>
      </c>
    </row>
    <row r="1371" spans="1:4" x14ac:dyDescent="0.25">
      <c r="A1371" s="1">
        <v>42975</v>
      </c>
      <c r="B1371" s="2" t="s">
        <v>139</v>
      </c>
      <c r="C1371" s="2" t="s">
        <v>654</v>
      </c>
      <c r="D1371">
        <v>32</v>
      </c>
    </row>
    <row r="1372" spans="1:4" x14ac:dyDescent="0.25">
      <c r="A1372" s="1">
        <v>42976</v>
      </c>
      <c r="B1372" s="2" t="s">
        <v>45</v>
      </c>
      <c r="C1372" s="2" t="s">
        <v>388</v>
      </c>
      <c r="D1372">
        <v>22</v>
      </c>
    </row>
    <row r="1373" spans="1:4" x14ac:dyDescent="0.25">
      <c r="A1373" s="1">
        <v>42976</v>
      </c>
      <c r="B1373" s="2" t="s">
        <v>97</v>
      </c>
      <c r="C1373" s="2" t="s">
        <v>579</v>
      </c>
      <c r="D1373">
        <v>25</v>
      </c>
    </row>
    <row r="1374" spans="1:4" x14ac:dyDescent="0.25">
      <c r="A1374" s="1">
        <v>42976</v>
      </c>
      <c r="B1374" s="2" t="s">
        <v>640</v>
      </c>
      <c r="C1374" s="2" t="s">
        <v>655</v>
      </c>
      <c r="D1374">
        <v>25</v>
      </c>
    </row>
    <row r="1375" spans="1:4" x14ac:dyDescent="0.25">
      <c r="A1375" s="1">
        <v>42976</v>
      </c>
      <c r="B1375" s="2" t="s">
        <v>409</v>
      </c>
      <c r="C1375" s="2" t="s">
        <v>656</v>
      </c>
      <c r="D1375">
        <v>6</v>
      </c>
    </row>
    <row r="1376" spans="1:4" x14ac:dyDescent="0.25">
      <c r="A1376" s="1">
        <v>42976</v>
      </c>
      <c r="B1376" s="2" t="s">
        <v>310</v>
      </c>
      <c r="C1376" s="2" t="s">
        <v>641</v>
      </c>
      <c r="D1376">
        <v>50</v>
      </c>
    </row>
    <row r="1377" spans="1:4" x14ac:dyDescent="0.25">
      <c r="A1377" s="1">
        <v>42976</v>
      </c>
      <c r="B1377" s="2" t="s">
        <v>77</v>
      </c>
      <c r="C1377" s="2" t="s">
        <v>78</v>
      </c>
      <c r="D1377">
        <v>16</v>
      </c>
    </row>
    <row r="1378" spans="1:4" x14ac:dyDescent="0.25">
      <c r="A1378" s="1">
        <v>42976</v>
      </c>
      <c r="B1378" s="2" t="s">
        <v>201</v>
      </c>
      <c r="C1378" s="2" t="s">
        <v>357</v>
      </c>
      <c r="D1378">
        <v>23</v>
      </c>
    </row>
    <row r="1379" spans="1:4" x14ac:dyDescent="0.25">
      <c r="A1379" s="1">
        <v>42976</v>
      </c>
      <c r="B1379" s="2" t="s">
        <v>83</v>
      </c>
      <c r="C1379" s="2" t="s">
        <v>615</v>
      </c>
      <c r="D1379">
        <v>7</v>
      </c>
    </row>
    <row r="1380" spans="1:4" x14ac:dyDescent="0.25">
      <c r="A1380" s="1">
        <v>42976</v>
      </c>
      <c r="B1380" s="2" t="s">
        <v>416</v>
      </c>
      <c r="C1380" s="2" t="s">
        <v>417</v>
      </c>
      <c r="D1380">
        <v>6</v>
      </c>
    </row>
    <row r="1381" spans="1:4" x14ac:dyDescent="0.25">
      <c r="A1381" s="1">
        <v>42976</v>
      </c>
      <c r="B1381" s="2" t="s">
        <v>206</v>
      </c>
      <c r="C1381" s="2" t="s">
        <v>192</v>
      </c>
      <c r="D1381">
        <v>44</v>
      </c>
    </row>
    <row r="1382" spans="1:4" x14ac:dyDescent="0.25">
      <c r="A1382" s="1">
        <v>42977</v>
      </c>
      <c r="B1382" s="2" t="s">
        <v>51</v>
      </c>
      <c r="C1382" s="2" t="s">
        <v>621</v>
      </c>
      <c r="D1382">
        <v>33</v>
      </c>
    </row>
    <row r="1383" spans="1:4" x14ac:dyDescent="0.25">
      <c r="A1383" s="1">
        <v>42977</v>
      </c>
      <c r="B1383" s="2" t="s">
        <v>43</v>
      </c>
      <c r="C1383" s="2" t="s">
        <v>507</v>
      </c>
      <c r="D1383">
        <v>26</v>
      </c>
    </row>
    <row r="1384" spans="1:4" x14ac:dyDescent="0.25">
      <c r="A1384" s="1">
        <v>42977</v>
      </c>
      <c r="B1384" s="2" t="s">
        <v>39</v>
      </c>
      <c r="C1384" s="2" t="s">
        <v>609</v>
      </c>
      <c r="D1384">
        <v>18</v>
      </c>
    </row>
    <row r="1385" spans="1:4" x14ac:dyDescent="0.25">
      <c r="A1385" s="1">
        <v>42977</v>
      </c>
      <c r="B1385" s="2" t="s">
        <v>16</v>
      </c>
      <c r="C1385" s="2" t="s">
        <v>440</v>
      </c>
      <c r="D1385">
        <v>5</v>
      </c>
    </row>
    <row r="1386" spans="1:4" x14ac:dyDescent="0.25">
      <c r="A1386" s="1">
        <v>42977</v>
      </c>
      <c r="B1386" s="2" t="s">
        <v>150</v>
      </c>
      <c r="C1386" s="2" t="s">
        <v>556</v>
      </c>
      <c r="D1386">
        <v>4</v>
      </c>
    </row>
    <row r="1387" spans="1:4" x14ac:dyDescent="0.25">
      <c r="A1387" s="1">
        <v>42977</v>
      </c>
      <c r="B1387" s="2" t="s">
        <v>34</v>
      </c>
      <c r="C1387" s="2" t="s">
        <v>182</v>
      </c>
      <c r="D1387">
        <v>4</v>
      </c>
    </row>
    <row r="1388" spans="1:4" x14ac:dyDescent="0.25">
      <c r="A1388" s="1">
        <v>42977</v>
      </c>
      <c r="B1388" s="2" t="s">
        <v>39</v>
      </c>
      <c r="C1388" s="2" t="s">
        <v>436</v>
      </c>
      <c r="D1388">
        <v>43</v>
      </c>
    </row>
    <row r="1389" spans="1:4" x14ac:dyDescent="0.25">
      <c r="A1389" s="1">
        <v>42977</v>
      </c>
      <c r="B1389" s="2" t="s">
        <v>75</v>
      </c>
      <c r="C1389" s="2" t="s">
        <v>500</v>
      </c>
      <c r="D1389">
        <v>48</v>
      </c>
    </row>
    <row r="1390" spans="1:4" x14ac:dyDescent="0.25">
      <c r="A1390" s="1">
        <v>42977</v>
      </c>
      <c r="B1390" s="2" t="s">
        <v>273</v>
      </c>
      <c r="C1390" s="2" t="s">
        <v>274</v>
      </c>
      <c r="D1390">
        <v>12</v>
      </c>
    </row>
    <row r="1391" spans="1:4" x14ac:dyDescent="0.25">
      <c r="A1391" s="1">
        <v>42977</v>
      </c>
      <c r="B1391" s="2" t="s">
        <v>503</v>
      </c>
      <c r="C1391" s="2" t="s">
        <v>183</v>
      </c>
      <c r="D1391">
        <v>21</v>
      </c>
    </row>
    <row r="1392" spans="1:4" x14ac:dyDescent="0.25">
      <c r="A1392" s="1">
        <v>42978</v>
      </c>
      <c r="B1392" s="2" t="s">
        <v>39</v>
      </c>
      <c r="C1392" s="2" t="s">
        <v>657</v>
      </c>
      <c r="D1392">
        <v>21</v>
      </c>
    </row>
    <row r="1393" spans="1:4" x14ac:dyDescent="0.25">
      <c r="A1393" s="1">
        <v>42978</v>
      </c>
      <c r="B1393" s="2" t="s">
        <v>36</v>
      </c>
      <c r="C1393" s="2" t="s">
        <v>306</v>
      </c>
      <c r="D1393">
        <v>2</v>
      </c>
    </row>
    <row r="1394" spans="1:4" x14ac:dyDescent="0.25">
      <c r="A1394" s="1">
        <v>42978</v>
      </c>
      <c r="B1394" s="2" t="s">
        <v>83</v>
      </c>
      <c r="C1394" s="2" t="s">
        <v>658</v>
      </c>
      <c r="D1394">
        <v>14</v>
      </c>
    </row>
    <row r="1395" spans="1:4" x14ac:dyDescent="0.25">
      <c r="A1395" s="1">
        <v>42978</v>
      </c>
      <c r="B1395" s="2" t="s">
        <v>67</v>
      </c>
      <c r="C1395" s="2" t="s">
        <v>301</v>
      </c>
      <c r="D1395">
        <v>26</v>
      </c>
    </row>
    <row r="1396" spans="1:4" x14ac:dyDescent="0.25">
      <c r="A1396" s="1">
        <v>42978</v>
      </c>
      <c r="B1396" s="2" t="s">
        <v>97</v>
      </c>
      <c r="C1396" s="2" t="s">
        <v>309</v>
      </c>
      <c r="D1396">
        <v>44</v>
      </c>
    </row>
    <row r="1397" spans="1:4" x14ac:dyDescent="0.25">
      <c r="A1397" s="1">
        <v>42978</v>
      </c>
      <c r="B1397" s="2" t="s">
        <v>133</v>
      </c>
      <c r="C1397" s="2" t="s">
        <v>499</v>
      </c>
      <c r="D1397">
        <v>31</v>
      </c>
    </row>
    <row r="1398" spans="1:4" x14ac:dyDescent="0.25">
      <c r="A1398" s="1">
        <v>42978</v>
      </c>
      <c r="B1398" s="2" t="s">
        <v>63</v>
      </c>
      <c r="C1398" s="2" t="s">
        <v>231</v>
      </c>
      <c r="D1398">
        <v>29</v>
      </c>
    </row>
    <row r="1399" spans="1:4" x14ac:dyDescent="0.25">
      <c r="A1399" s="1">
        <v>42978</v>
      </c>
      <c r="B1399" s="2" t="s">
        <v>39</v>
      </c>
      <c r="C1399" s="2" t="s">
        <v>436</v>
      </c>
      <c r="D1399">
        <v>13</v>
      </c>
    </row>
    <row r="1400" spans="1:4" x14ac:dyDescent="0.25">
      <c r="A1400" s="1">
        <v>42978</v>
      </c>
      <c r="B1400" s="2" t="s">
        <v>593</v>
      </c>
      <c r="C1400" s="2" t="s">
        <v>659</v>
      </c>
      <c r="D1400">
        <v>28</v>
      </c>
    </row>
    <row r="1401" spans="1:4" x14ac:dyDescent="0.25">
      <c r="A1401" s="1">
        <v>42978</v>
      </c>
      <c r="B1401" s="2" t="s">
        <v>23</v>
      </c>
      <c r="C1401" s="2" t="s">
        <v>163</v>
      </c>
      <c r="D1401">
        <v>23</v>
      </c>
    </row>
    <row r="1402" spans="1:4" x14ac:dyDescent="0.25">
      <c r="A1402" s="1">
        <v>42979</v>
      </c>
      <c r="B1402" s="2" t="s">
        <v>57</v>
      </c>
      <c r="C1402" s="2" t="s">
        <v>58</v>
      </c>
      <c r="D1402">
        <v>5</v>
      </c>
    </row>
    <row r="1403" spans="1:4" x14ac:dyDescent="0.25">
      <c r="A1403" s="1">
        <v>42979</v>
      </c>
      <c r="B1403" s="2" t="s">
        <v>14</v>
      </c>
      <c r="C1403" s="2" t="s">
        <v>660</v>
      </c>
      <c r="D1403">
        <v>16</v>
      </c>
    </row>
    <row r="1404" spans="1:4" x14ac:dyDescent="0.25">
      <c r="A1404" s="1">
        <v>42979</v>
      </c>
      <c r="B1404" s="2" t="s">
        <v>327</v>
      </c>
      <c r="C1404" s="2" t="s">
        <v>102</v>
      </c>
      <c r="D1404">
        <v>21</v>
      </c>
    </row>
    <row r="1405" spans="1:4" x14ac:dyDescent="0.25">
      <c r="A1405" s="1">
        <v>42979</v>
      </c>
      <c r="B1405" s="2" t="s">
        <v>593</v>
      </c>
      <c r="C1405" s="2" t="s">
        <v>659</v>
      </c>
      <c r="D1405">
        <v>46</v>
      </c>
    </row>
    <row r="1406" spans="1:4" x14ac:dyDescent="0.25">
      <c r="A1406" s="1">
        <v>42979</v>
      </c>
      <c r="B1406" s="2" t="s">
        <v>576</v>
      </c>
      <c r="C1406" s="2" t="s">
        <v>577</v>
      </c>
      <c r="D1406">
        <v>39</v>
      </c>
    </row>
    <row r="1407" spans="1:4" x14ac:dyDescent="0.25">
      <c r="A1407" s="1">
        <v>42979</v>
      </c>
      <c r="B1407" s="2" t="s">
        <v>178</v>
      </c>
      <c r="C1407" s="2" t="s">
        <v>333</v>
      </c>
      <c r="D1407">
        <v>18</v>
      </c>
    </row>
    <row r="1408" spans="1:4" x14ac:dyDescent="0.25">
      <c r="A1408" s="1">
        <v>42979</v>
      </c>
      <c r="B1408" s="2" t="s">
        <v>519</v>
      </c>
      <c r="C1408" s="2" t="s">
        <v>661</v>
      </c>
      <c r="D1408">
        <v>47</v>
      </c>
    </row>
    <row r="1409" spans="1:4" x14ac:dyDescent="0.25">
      <c r="A1409" s="1">
        <v>42979</v>
      </c>
      <c r="B1409" s="2" t="s">
        <v>128</v>
      </c>
      <c r="C1409" s="2" t="s">
        <v>129</v>
      </c>
      <c r="D1409">
        <v>23</v>
      </c>
    </row>
    <row r="1410" spans="1:4" x14ac:dyDescent="0.25">
      <c r="A1410" s="1">
        <v>42979</v>
      </c>
      <c r="B1410" s="2" t="s">
        <v>14</v>
      </c>
      <c r="C1410" s="2" t="s">
        <v>422</v>
      </c>
      <c r="D1410">
        <v>27</v>
      </c>
    </row>
    <row r="1411" spans="1:4" x14ac:dyDescent="0.25">
      <c r="A1411" s="1">
        <v>42979</v>
      </c>
      <c r="B1411" s="2" t="s">
        <v>20</v>
      </c>
      <c r="C1411" s="2" t="s">
        <v>123</v>
      </c>
      <c r="D1411">
        <v>25</v>
      </c>
    </row>
    <row r="1412" spans="1:4" x14ac:dyDescent="0.25">
      <c r="A1412" s="1">
        <v>42982</v>
      </c>
      <c r="B1412" s="2" t="s">
        <v>269</v>
      </c>
      <c r="C1412" s="2" t="s">
        <v>605</v>
      </c>
      <c r="D1412">
        <v>23</v>
      </c>
    </row>
    <row r="1413" spans="1:4" x14ac:dyDescent="0.25">
      <c r="A1413" s="1">
        <v>42982</v>
      </c>
      <c r="B1413" s="2" t="s">
        <v>514</v>
      </c>
      <c r="C1413" s="2" t="s">
        <v>515</v>
      </c>
      <c r="D1413">
        <v>25</v>
      </c>
    </row>
    <row r="1414" spans="1:4" x14ac:dyDescent="0.25">
      <c r="A1414" s="1">
        <v>42982</v>
      </c>
      <c r="B1414" s="2" t="s">
        <v>39</v>
      </c>
      <c r="C1414" s="2" t="s">
        <v>657</v>
      </c>
      <c r="D1414">
        <v>16</v>
      </c>
    </row>
    <row r="1415" spans="1:4" x14ac:dyDescent="0.25">
      <c r="A1415" s="1">
        <v>42982</v>
      </c>
      <c r="B1415" s="2" t="s">
        <v>69</v>
      </c>
      <c r="C1415" s="2" t="s">
        <v>461</v>
      </c>
      <c r="D1415">
        <v>29</v>
      </c>
    </row>
    <row r="1416" spans="1:4" x14ac:dyDescent="0.25">
      <c r="A1416" s="1">
        <v>42982</v>
      </c>
      <c r="B1416" s="2" t="s">
        <v>329</v>
      </c>
      <c r="C1416" s="2" t="s">
        <v>330</v>
      </c>
      <c r="D1416">
        <v>23</v>
      </c>
    </row>
    <row r="1417" spans="1:4" x14ac:dyDescent="0.25">
      <c r="A1417" s="1">
        <v>42982</v>
      </c>
      <c r="B1417" s="2" t="s">
        <v>47</v>
      </c>
      <c r="C1417" s="2" t="s">
        <v>48</v>
      </c>
      <c r="D1417">
        <v>25</v>
      </c>
    </row>
    <row r="1418" spans="1:4" x14ac:dyDescent="0.25">
      <c r="A1418" s="1">
        <v>42982</v>
      </c>
      <c r="B1418" s="2" t="s">
        <v>278</v>
      </c>
      <c r="C1418" s="2" t="s">
        <v>202</v>
      </c>
      <c r="D1418">
        <v>14</v>
      </c>
    </row>
    <row r="1419" spans="1:4" x14ac:dyDescent="0.25">
      <c r="A1419" s="1">
        <v>42982</v>
      </c>
      <c r="B1419" s="2" t="s">
        <v>114</v>
      </c>
      <c r="C1419" s="2" t="s">
        <v>173</v>
      </c>
      <c r="D1419">
        <v>20</v>
      </c>
    </row>
    <row r="1420" spans="1:4" x14ac:dyDescent="0.25">
      <c r="A1420" s="1">
        <v>42982</v>
      </c>
      <c r="B1420" s="2" t="s">
        <v>343</v>
      </c>
      <c r="C1420" s="2" t="s">
        <v>344</v>
      </c>
      <c r="D1420">
        <v>12</v>
      </c>
    </row>
    <row r="1421" spans="1:4" x14ac:dyDescent="0.25">
      <c r="A1421" s="1">
        <v>42982</v>
      </c>
      <c r="B1421" s="2" t="s">
        <v>97</v>
      </c>
      <c r="C1421" s="2" t="s">
        <v>529</v>
      </c>
      <c r="D1421">
        <v>2</v>
      </c>
    </row>
    <row r="1422" spans="1:4" x14ac:dyDescent="0.25">
      <c r="A1422" s="1">
        <v>42983</v>
      </c>
      <c r="B1422" s="2" t="s">
        <v>34</v>
      </c>
      <c r="C1422" s="2" t="s">
        <v>662</v>
      </c>
      <c r="D1422">
        <v>53</v>
      </c>
    </row>
    <row r="1423" spans="1:4" x14ac:dyDescent="0.25">
      <c r="A1423" s="1">
        <v>42983</v>
      </c>
      <c r="B1423" s="2" t="s">
        <v>280</v>
      </c>
      <c r="C1423" s="2" t="s">
        <v>466</v>
      </c>
      <c r="D1423">
        <v>20</v>
      </c>
    </row>
    <row r="1424" spans="1:4" x14ac:dyDescent="0.25">
      <c r="A1424" s="1">
        <v>42983</v>
      </c>
      <c r="B1424" s="2" t="s">
        <v>479</v>
      </c>
      <c r="C1424" s="2" t="s">
        <v>480</v>
      </c>
      <c r="D1424">
        <v>4</v>
      </c>
    </row>
    <row r="1425" spans="1:4" x14ac:dyDescent="0.25">
      <c r="A1425" s="1">
        <v>42983</v>
      </c>
      <c r="B1425" s="2" t="s">
        <v>141</v>
      </c>
      <c r="C1425" s="2" t="s">
        <v>292</v>
      </c>
      <c r="D1425">
        <v>5</v>
      </c>
    </row>
    <row r="1426" spans="1:4" x14ac:dyDescent="0.25">
      <c r="A1426" s="1">
        <v>42983</v>
      </c>
      <c r="B1426" s="2" t="s">
        <v>34</v>
      </c>
      <c r="C1426" s="2" t="s">
        <v>182</v>
      </c>
      <c r="D1426">
        <v>36</v>
      </c>
    </row>
    <row r="1427" spans="1:4" x14ac:dyDescent="0.25">
      <c r="A1427" s="1">
        <v>42983</v>
      </c>
      <c r="B1427" s="2" t="s">
        <v>442</v>
      </c>
      <c r="C1427" s="2" t="s">
        <v>540</v>
      </c>
      <c r="D1427">
        <v>23</v>
      </c>
    </row>
    <row r="1428" spans="1:4" x14ac:dyDescent="0.25">
      <c r="A1428" s="1">
        <v>42983</v>
      </c>
      <c r="B1428" s="2" t="s">
        <v>137</v>
      </c>
      <c r="C1428" s="2" t="s">
        <v>138</v>
      </c>
      <c r="D1428">
        <v>6</v>
      </c>
    </row>
    <row r="1429" spans="1:4" x14ac:dyDescent="0.25">
      <c r="A1429" s="1">
        <v>42983</v>
      </c>
      <c r="B1429" s="2" t="s">
        <v>133</v>
      </c>
      <c r="C1429" s="2" t="s">
        <v>652</v>
      </c>
      <c r="D1429">
        <v>43</v>
      </c>
    </row>
    <row r="1430" spans="1:4" x14ac:dyDescent="0.25">
      <c r="A1430" s="1">
        <v>42983</v>
      </c>
      <c r="B1430" s="2" t="s">
        <v>72</v>
      </c>
      <c r="C1430" s="2" t="s">
        <v>239</v>
      </c>
      <c r="D1430">
        <v>11</v>
      </c>
    </row>
    <row r="1431" spans="1:4" x14ac:dyDescent="0.25">
      <c r="A1431" s="1">
        <v>42983</v>
      </c>
      <c r="B1431" s="2" t="s">
        <v>63</v>
      </c>
      <c r="C1431" s="2" t="s">
        <v>64</v>
      </c>
      <c r="D1431">
        <v>9</v>
      </c>
    </row>
    <row r="1432" spans="1:4" x14ac:dyDescent="0.25">
      <c r="A1432" s="1">
        <v>42984</v>
      </c>
      <c r="B1432" s="2" t="s">
        <v>150</v>
      </c>
      <c r="C1432" s="2" t="s">
        <v>151</v>
      </c>
      <c r="D1432">
        <v>15</v>
      </c>
    </row>
    <row r="1433" spans="1:4" x14ac:dyDescent="0.25">
      <c r="A1433" s="1">
        <v>42984</v>
      </c>
      <c r="B1433" s="2" t="s">
        <v>252</v>
      </c>
      <c r="C1433" s="2" t="s">
        <v>253</v>
      </c>
      <c r="D1433">
        <v>2</v>
      </c>
    </row>
    <row r="1434" spans="1:4" x14ac:dyDescent="0.25">
      <c r="A1434" s="1">
        <v>42984</v>
      </c>
      <c r="B1434" s="2" t="s">
        <v>171</v>
      </c>
      <c r="C1434" s="2" t="s">
        <v>562</v>
      </c>
      <c r="D1434">
        <v>10</v>
      </c>
    </row>
    <row r="1435" spans="1:4" x14ac:dyDescent="0.25">
      <c r="A1435" s="1">
        <v>42984</v>
      </c>
      <c r="B1435" s="2" t="s">
        <v>355</v>
      </c>
      <c r="C1435" s="2" t="s">
        <v>497</v>
      </c>
      <c r="D1435">
        <v>55</v>
      </c>
    </row>
    <row r="1436" spans="1:4" x14ac:dyDescent="0.25">
      <c r="A1436" s="1">
        <v>42984</v>
      </c>
      <c r="B1436" s="2" t="s">
        <v>663</v>
      </c>
      <c r="C1436" s="2" t="s">
        <v>134</v>
      </c>
      <c r="D1436">
        <v>45</v>
      </c>
    </row>
    <row r="1437" spans="1:4" x14ac:dyDescent="0.25">
      <c r="A1437" s="1">
        <v>42984</v>
      </c>
      <c r="B1437" s="2" t="s">
        <v>193</v>
      </c>
      <c r="C1437" s="2" t="s">
        <v>227</v>
      </c>
      <c r="D1437">
        <v>5</v>
      </c>
    </row>
    <row r="1438" spans="1:4" x14ac:dyDescent="0.25">
      <c r="A1438" s="1">
        <v>42984</v>
      </c>
      <c r="B1438" s="2" t="s">
        <v>141</v>
      </c>
      <c r="C1438" s="2" t="s">
        <v>364</v>
      </c>
      <c r="D1438">
        <v>22</v>
      </c>
    </row>
    <row r="1439" spans="1:4" x14ac:dyDescent="0.25">
      <c r="A1439" s="1">
        <v>42984</v>
      </c>
      <c r="B1439" s="2" t="s">
        <v>150</v>
      </c>
      <c r="C1439" s="2" t="s">
        <v>200</v>
      </c>
      <c r="D1439">
        <v>20</v>
      </c>
    </row>
    <row r="1440" spans="1:4" x14ac:dyDescent="0.25">
      <c r="A1440" s="1">
        <v>42984</v>
      </c>
      <c r="B1440" s="2" t="s">
        <v>484</v>
      </c>
      <c r="C1440" s="2" t="s">
        <v>485</v>
      </c>
      <c r="D1440">
        <v>27</v>
      </c>
    </row>
    <row r="1441" spans="1:4" x14ac:dyDescent="0.25">
      <c r="A1441" s="1">
        <v>42984</v>
      </c>
      <c r="B1441" s="2" t="s">
        <v>137</v>
      </c>
      <c r="C1441" s="2" t="s">
        <v>138</v>
      </c>
      <c r="D1441">
        <v>6</v>
      </c>
    </row>
    <row r="1442" spans="1:4" x14ac:dyDescent="0.25">
      <c r="A1442" s="1">
        <v>42985</v>
      </c>
      <c r="B1442" s="2" t="s">
        <v>150</v>
      </c>
      <c r="C1442" s="2" t="s">
        <v>200</v>
      </c>
      <c r="D1442">
        <v>29</v>
      </c>
    </row>
    <row r="1443" spans="1:4" x14ac:dyDescent="0.25">
      <c r="A1443" s="1">
        <v>42985</v>
      </c>
      <c r="B1443" s="2" t="s">
        <v>97</v>
      </c>
      <c r="C1443" s="2" t="s">
        <v>452</v>
      </c>
      <c r="D1443">
        <v>15</v>
      </c>
    </row>
    <row r="1444" spans="1:4" x14ac:dyDescent="0.25">
      <c r="A1444" s="1">
        <v>42985</v>
      </c>
      <c r="B1444" s="2" t="s">
        <v>367</v>
      </c>
      <c r="C1444" s="2" t="s">
        <v>5</v>
      </c>
      <c r="D1444">
        <v>5</v>
      </c>
    </row>
    <row r="1445" spans="1:4" x14ac:dyDescent="0.25">
      <c r="A1445" s="1">
        <v>42985</v>
      </c>
      <c r="B1445" s="2" t="s">
        <v>476</v>
      </c>
      <c r="C1445" s="2" t="s">
        <v>620</v>
      </c>
      <c r="D1445">
        <v>34</v>
      </c>
    </row>
    <row r="1446" spans="1:4" x14ac:dyDescent="0.25">
      <c r="A1446" s="1">
        <v>42985</v>
      </c>
      <c r="B1446" s="2" t="s">
        <v>55</v>
      </c>
      <c r="C1446" s="2" t="s">
        <v>223</v>
      </c>
      <c r="D1446">
        <v>30</v>
      </c>
    </row>
    <row r="1447" spans="1:4" x14ac:dyDescent="0.25">
      <c r="A1447" s="1">
        <v>42985</v>
      </c>
      <c r="B1447" s="2" t="s">
        <v>367</v>
      </c>
      <c r="C1447" s="2" t="s">
        <v>368</v>
      </c>
      <c r="D1447">
        <v>3</v>
      </c>
    </row>
    <row r="1448" spans="1:4" x14ac:dyDescent="0.25">
      <c r="A1448" s="1">
        <v>42985</v>
      </c>
      <c r="B1448" s="2" t="s">
        <v>30</v>
      </c>
      <c r="C1448" s="2" t="s">
        <v>628</v>
      </c>
      <c r="D1448">
        <v>34</v>
      </c>
    </row>
    <row r="1449" spans="1:4" x14ac:dyDescent="0.25">
      <c r="A1449" s="1">
        <v>42985</v>
      </c>
      <c r="B1449" s="2" t="s">
        <v>128</v>
      </c>
      <c r="C1449" s="2" t="s">
        <v>309</v>
      </c>
      <c r="D1449">
        <v>7</v>
      </c>
    </row>
    <row r="1450" spans="1:4" x14ac:dyDescent="0.25">
      <c r="A1450" s="1">
        <v>42985</v>
      </c>
      <c r="B1450" s="2" t="s">
        <v>203</v>
      </c>
      <c r="C1450" s="2" t="s">
        <v>370</v>
      </c>
      <c r="D1450">
        <v>17</v>
      </c>
    </row>
    <row r="1451" spans="1:4" x14ac:dyDescent="0.25">
      <c r="A1451" s="1">
        <v>42985</v>
      </c>
      <c r="B1451" s="2" t="s">
        <v>39</v>
      </c>
      <c r="C1451" s="2" t="s">
        <v>657</v>
      </c>
      <c r="D1451">
        <v>26</v>
      </c>
    </row>
    <row r="1452" spans="1:4" x14ac:dyDescent="0.25">
      <c r="A1452" s="1">
        <v>42986</v>
      </c>
      <c r="B1452" s="2" t="s">
        <v>30</v>
      </c>
      <c r="C1452" s="2" t="s">
        <v>185</v>
      </c>
      <c r="D1452">
        <v>20</v>
      </c>
    </row>
    <row r="1453" spans="1:4" x14ac:dyDescent="0.25">
      <c r="A1453" s="1">
        <v>42986</v>
      </c>
      <c r="B1453" s="2" t="s">
        <v>83</v>
      </c>
      <c r="C1453" s="2" t="s">
        <v>596</v>
      </c>
      <c r="D1453">
        <v>24</v>
      </c>
    </row>
    <row r="1454" spans="1:4" x14ac:dyDescent="0.25">
      <c r="A1454" s="1">
        <v>42986</v>
      </c>
      <c r="B1454" s="2" t="s">
        <v>101</v>
      </c>
      <c r="C1454" s="2" t="s">
        <v>293</v>
      </c>
      <c r="D1454">
        <v>21</v>
      </c>
    </row>
    <row r="1455" spans="1:4" x14ac:dyDescent="0.25">
      <c r="A1455" s="1">
        <v>42986</v>
      </c>
      <c r="B1455" s="2" t="s">
        <v>449</v>
      </c>
      <c r="C1455" s="2" t="s">
        <v>664</v>
      </c>
      <c r="D1455">
        <v>3</v>
      </c>
    </row>
    <row r="1456" spans="1:4" x14ac:dyDescent="0.25">
      <c r="A1456" s="1">
        <v>42986</v>
      </c>
      <c r="B1456" s="2" t="s">
        <v>273</v>
      </c>
      <c r="C1456" s="2" t="s">
        <v>274</v>
      </c>
      <c r="D1456">
        <v>9</v>
      </c>
    </row>
    <row r="1457" spans="1:4" x14ac:dyDescent="0.25">
      <c r="A1457" s="1">
        <v>42986</v>
      </c>
      <c r="B1457" s="2" t="s">
        <v>150</v>
      </c>
      <c r="C1457" s="2" t="s">
        <v>298</v>
      </c>
      <c r="D1457">
        <v>46</v>
      </c>
    </row>
    <row r="1458" spans="1:4" x14ac:dyDescent="0.25">
      <c r="A1458" s="1">
        <v>42986</v>
      </c>
      <c r="B1458" s="2" t="s">
        <v>208</v>
      </c>
      <c r="C1458" s="2" t="s">
        <v>209</v>
      </c>
      <c r="D1458">
        <v>16</v>
      </c>
    </row>
    <row r="1459" spans="1:4" x14ac:dyDescent="0.25">
      <c r="A1459" s="1">
        <v>42986</v>
      </c>
      <c r="B1459" s="2" t="s">
        <v>18</v>
      </c>
      <c r="C1459" s="2" t="s">
        <v>392</v>
      </c>
      <c r="D1459">
        <v>24</v>
      </c>
    </row>
    <row r="1460" spans="1:4" x14ac:dyDescent="0.25">
      <c r="A1460" s="1">
        <v>42986</v>
      </c>
      <c r="B1460" s="2" t="s">
        <v>178</v>
      </c>
      <c r="C1460" s="2" t="s">
        <v>242</v>
      </c>
      <c r="D1460">
        <v>23</v>
      </c>
    </row>
    <row r="1461" spans="1:4" x14ac:dyDescent="0.25">
      <c r="A1461" s="1">
        <v>42986</v>
      </c>
      <c r="B1461" s="2" t="s">
        <v>208</v>
      </c>
      <c r="C1461" s="2" t="s">
        <v>209</v>
      </c>
      <c r="D1461">
        <v>18</v>
      </c>
    </row>
    <row r="1462" spans="1:4" x14ac:dyDescent="0.25">
      <c r="A1462" s="1">
        <v>42989</v>
      </c>
      <c r="B1462" s="2" t="s">
        <v>178</v>
      </c>
      <c r="C1462" s="2" t="s">
        <v>333</v>
      </c>
      <c r="D1462">
        <v>29</v>
      </c>
    </row>
    <row r="1463" spans="1:4" x14ac:dyDescent="0.25">
      <c r="A1463" s="1">
        <v>42989</v>
      </c>
      <c r="B1463" s="2" t="s">
        <v>81</v>
      </c>
      <c r="C1463" s="2" t="s">
        <v>165</v>
      </c>
      <c r="D1463">
        <v>24</v>
      </c>
    </row>
    <row r="1464" spans="1:4" x14ac:dyDescent="0.25">
      <c r="A1464" s="1">
        <v>42989</v>
      </c>
      <c r="B1464" s="2" t="s">
        <v>150</v>
      </c>
      <c r="C1464" s="2" t="s">
        <v>462</v>
      </c>
      <c r="D1464">
        <v>36</v>
      </c>
    </row>
    <row r="1465" spans="1:4" x14ac:dyDescent="0.25">
      <c r="A1465" s="1">
        <v>42989</v>
      </c>
      <c r="B1465" s="2" t="s">
        <v>553</v>
      </c>
      <c r="C1465" s="2" t="s">
        <v>554</v>
      </c>
      <c r="D1465">
        <v>6</v>
      </c>
    </row>
    <row r="1466" spans="1:4" x14ac:dyDescent="0.25">
      <c r="A1466" s="1">
        <v>42989</v>
      </c>
      <c r="B1466" s="2" t="s">
        <v>361</v>
      </c>
      <c r="C1466" s="2" t="s">
        <v>362</v>
      </c>
      <c r="D1466">
        <v>29</v>
      </c>
    </row>
    <row r="1467" spans="1:4" x14ac:dyDescent="0.25">
      <c r="A1467" s="1">
        <v>42989</v>
      </c>
      <c r="B1467" s="2" t="s">
        <v>150</v>
      </c>
      <c r="C1467" s="2" t="s">
        <v>313</v>
      </c>
      <c r="D1467">
        <v>15</v>
      </c>
    </row>
    <row r="1468" spans="1:4" x14ac:dyDescent="0.25">
      <c r="A1468" s="1">
        <v>42989</v>
      </c>
      <c r="B1468" s="2" t="s">
        <v>63</v>
      </c>
      <c r="C1468" s="2" t="s">
        <v>231</v>
      </c>
      <c r="D1468">
        <v>8</v>
      </c>
    </row>
    <row r="1469" spans="1:4" x14ac:dyDescent="0.25">
      <c r="A1469" s="1">
        <v>42989</v>
      </c>
      <c r="B1469" s="2" t="s">
        <v>150</v>
      </c>
      <c r="C1469" s="2" t="s">
        <v>211</v>
      </c>
      <c r="D1469">
        <v>47</v>
      </c>
    </row>
    <row r="1470" spans="1:4" x14ac:dyDescent="0.25">
      <c r="A1470" s="1">
        <v>42989</v>
      </c>
      <c r="B1470" s="2" t="s">
        <v>280</v>
      </c>
      <c r="C1470" s="2" t="s">
        <v>281</v>
      </c>
      <c r="D1470">
        <v>23</v>
      </c>
    </row>
    <row r="1471" spans="1:4" x14ac:dyDescent="0.25">
      <c r="A1471" s="1">
        <v>42989</v>
      </c>
      <c r="B1471" s="2" t="s">
        <v>51</v>
      </c>
      <c r="C1471" s="2" t="s">
        <v>52</v>
      </c>
      <c r="D1471">
        <v>5</v>
      </c>
    </row>
    <row r="1472" spans="1:4" x14ac:dyDescent="0.25">
      <c r="A1472" s="1">
        <v>42989</v>
      </c>
      <c r="B1472" s="2" t="s">
        <v>36</v>
      </c>
      <c r="C1472" s="2" t="s">
        <v>306</v>
      </c>
      <c r="D1472">
        <v>31</v>
      </c>
    </row>
    <row r="1473" spans="1:4" x14ac:dyDescent="0.25">
      <c r="A1473" s="1">
        <v>42989</v>
      </c>
      <c r="B1473" s="2" t="s">
        <v>101</v>
      </c>
      <c r="C1473" s="2" t="s">
        <v>188</v>
      </c>
      <c r="D1473">
        <v>28</v>
      </c>
    </row>
    <row r="1474" spans="1:4" x14ac:dyDescent="0.25">
      <c r="A1474" s="1">
        <v>42989</v>
      </c>
      <c r="B1474" s="2" t="s">
        <v>189</v>
      </c>
      <c r="C1474" s="2" t="s">
        <v>190</v>
      </c>
      <c r="D1474">
        <v>11</v>
      </c>
    </row>
    <row r="1475" spans="1:4" x14ac:dyDescent="0.25">
      <c r="A1475" s="1">
        <v>42989</v>
      </c>
      <c r="B1475" s="2" t="s">
        <v>81</v>
      </c>
      <c r="C1475" s="2" t="s">
        <v>104</v>
      </c>
      <c r="D1475">
        <v>26</v>
      </c>
    </row>
    <row r="1476" spans="1:4" x14ac:dyDescent="0.25">
      <c r="A1476" s="1">
        <v>42990</v>
      </c>
      <c r="B1476" s="2" t="s">
        <v>514</v>
      </c>
      <c r="C1476" s="2" t="s">
        <v>515</v>
      </c>
      <c r="D1476">
        <v>46</v>
      </c>
    </row>
    <row r="1477" spans="1:4" x14ac:dyDescent="0.25">
      <c r="A1477" s="1">
        <v>42990</v>
      </c>
      <c r="B1477" s="2" t="s">
        <v>278</v>
      </c>
      <c r="C1477" s="2" t="s">
        <v>530</v>
      </c>
      <c r="D1477">
        <v>36</v>
      </c>
    </row>
    <row r="1478" spans="1:4" x14ac:dyDescent="0.25">
      <c r="A1478" s="1">
        <v>42990</v>
      </c>
      <c r="B1478" s="2" t="s">
        <v>352</v>
      </c>
      <c r="C1478" s="2" t="s">
        <v>227</v>
      </c>
      <c r="D1478">
        <v>21</v>
      </c>
    </row>
    <row r="1479" spans="1:4" x14ac:dyDescent="0.25">
      <c r="A1479" s="1">
        <v>42990</v>
      </c>
      <c r="B1479" s="2" t="s">
        <v>36</v>
      </c>
      <c r="C1479" s="2" t="s">
        <v>37</v>
      </c>
      <c r="D1479">
        <v>15</v>
      </c>
    </row>
    <row r="1480" spans="1:4" x14ac:dyDescent="0.25">
      <c r="A1480" s="1">
        <v>42990</v>
      </c>
      <c r="B1480" s="2" t="s">
        <v>449</v>
      </c>
      <c r="C1480" s="2" t="s">
        <v>613</v>
      </c>
      <c r="D1480">
        <v>16</v>
      </c>
    </row>
    <row r="1481" spans="1:4" x14ac:dyDescent="0.25">
      <c r="A1481" s="1">
        <v>42990</v>
      </c>
      <c r="B1481" s="2" t="s">
        <v>81</v>
      </c>
      <c r="C1481" s="2" t="s">
        <v>145</v>
      </c>
      <c r="D1481">
        <v>26</v>
      </c>
    </row>
    <row r="1482" spans="1:4" x14ac:dyDescent="0.25">
      <c r="A1482" s="1">
        <v>42990</v>
      </c>
      <c r="B1482" s="2" t="s">
        <v>243</v>
      </c>
      <c r="C1482" s="2" t="s">
        <v>82</v>
      </c>
      <c r="D1482">
        <v>14</v>
      </c>
    </row>
    <row r="1483" spans="1:4" x14ac:dyDescent="0.25">
      <c r="A1483" s="1">
        <v>42990</v>
      </c>
      <c r="B1483" s="2" t="s">
        <v>290</v>
      </c>
      <c r="C1483" s="2" t="s">
        <v>291</v>
      </c>
      <c r="D1483">
        <v>20</v>
      </c>
    </row>
    <row r="1484" spans="1:4" x14ac:dyDescent="0.25">
      <c r="A1484" s="1">
        <v>42990</v>
      </c>
      <c r="B1484" s="2" t="s">
        <v>67</v>
      </c>
      <c r="C1484" s="2" t="s">
        <v>460</v>
      </c>
      <c r="D1484">
        <v>20</v>
      </c>
    </row>
    <row r="1485" spans="1:4" x14ac:dyDescent="0.25">
      <c r="A1485" s="1">
        <v>42990</v>
      </c>
      <c r="B1485" s="2" t="s">
        <v>34</v>
      </c>
      <c r="C1485" s="2" t="s">
        <v>160</v>
      </c>
      <c r="D1485">
        <v>22</v>
      </c>
    </row>
    <row r="1486" spans="1:4" x14ac:dyDescent="0.25">
      <c r="A1486" s="1">
        <v>42990</v>
      </c>
      <c r="B1486" s="2" t="s">
        <v>133</v>
      </c>
      <c r="C1486" s="2" t="s">
        <v>316</v>
      </c>
      <c r="D1486">
        <v>16</v>
      </c>
    </row>
    <row r="1487" spans="1:4" x14ac:dyDescent="0.25">
      <c r="A1487" s="1">
        <v>42990</v>
      </c>
      <c r="B1487" s="2" t="s">
        <v>51</v>
      </c>
      <c r="C1487" s="2" t="s">
        <v>522</v>
      </c>
      <c r="D1487">
        <v>17</v>
      </c>
    </row>
    <row r="1488" spans="1:4" x14ac:dyDescent="0.25">
      <c r="A1488" s="1">
        <v>42990</v>
      </c>
      <c r="B1488" s="2" t="s">
        <v>174</v>
      </c>
      <c r="C1488" s="2" t="s">
        <v>424</v>
      </c>
      <c r="D1488">
        <v>41</v>
      </c>
    </row>
    <row r="1489" spans="1:4" x14ac:dyDescent="0.25">
      <c r="A1489" s="1">
        <v>42990</v>
      </c>
      <c r="B1489" s="2" t="s">
        <v>438</v>
      </c>
      <c r="C1489" s="2" t="s">
        <v>439</v>
      </c>
      <c r="D1489">
        <v>3</v>
      </c>
    </row>
    <row r="1490" spans="1:4" x14ac:dyDescent="0.25">
      <c r="A1490" s="1">
        <v>42991</v>
      </c>
      <c r="B1490" s="2" t="s">
        <v>131</v>
      </c>
      <c r="C1490" s="2" t="s">
        <v>472</v>
      </c>
      <c r="D1490">
        <v>20</v>
      </c>
    </row>
    <row r="1491" spans="1:4" x14ac:dyDescent="0.25">
      <c r="A1491" s="1">
        <v>42991</v>
      </c>
      <c r="B1491" s="2" t="s">
        <v>12</v>
      </c>
      <c r="C1491" s="2" t="s">
        <v>386</v>
      </c>
      <c r="D1491">
        <v>7</v>
      </c>
    </row>
    <row r="1492" spans="1:4" x14ac:dyDescent="0.25">
      <c r="A1492" s="1">
        <v>42991</v>
      </c>
      <c r="B1492" s="2" t="s">
        <v>55</v>
      </c>
      <c r="C1492" s="2" t="s">
        <v>466</v>
      </c>
      <c r="D1492">
        <v>41</v>
      </c>
    </row>
    <row r="1493" spans="1:4" x14ac:dyDescent="0.25">
      <c r="A1493" s="1">
        <v>42991</v>
      </c>
      <c r="B1493" s="2" t="s">
        <v>10</v>
      </c>
      <c r="C1493" s="2" t="s">
        <v>266</v>
      </c>
      <c r="D1493">
        <v>4</v>
      </c>
    </row>
    <row r="1494" spans="1:4" x14ac:dyDescent="0.25">
      <c r="A1494" s="1">
        <v>42991</v>
      </c>
      <c r="B1494" s="2" t="s">
        <v>269</v>
      </c>
      <c r="C1494" s="2" t="s">
        <v>270</v>
      </c>
      <c r="D1494">
        <v>31</v>
      </c>
    </row>
    <row r="1495" spans="1:4" x14ac:dyDescent="0.25">
      <c r="A1495" s="1">
        <v>42991</v>
      </c>
      <c r="B1495" s="2" t="s">
        <v>346</v>
      </c>
      <c r="C1495" s="2" t="s">
        <v>665</v>
      </c>
      <c r="D1495">
        <v>6</v>
      </c>
    </row>
    <row r="1496" spans="1:4" x14ac:dyDescent="0.25">
      <c r="A1496" s="1">
        <v>42991</v>
      </c>
      <c r="B1496" s="2" t="s">
        <v>101</v>
      </c>
      <c r="C1496" s="2" t="s">
        <v>102</v>
      </c>
      <c r="D1496">
        <v>12</v>
      </c>
    </row>
    <row r="1497" spans="1:4" x14ac:dyDescent="0.25">
      <c r="A1497" s="1">
        <v>42991</v>
      </c>
      <c r="B1497" s="2" t="s">
        <v>55</v>
      </c>
      <c r="C1497" s="2" t="s">
        <v>666</v>
      </c>
      <c r="D1497">
        <v>5</v>
      </c>
    </row>
    <row r="1498" spans="1:4" x14ac:dyDescent="0.25">
      <c r="A1498" s="1">
        <v>42991</v>
      </c>
      <c r="B1498" s="2" t="s">
        <v>221</v>
      </c>
      <c r="C1498" s="2" t="s">
        <v>551</v>
      </c>
      <c r="D1498">
        <v>5</v>
      </c>
    </row>
    <row r="1499" spans="1:4" x14ac:dyDescent="0.25">
      <c r="A1499" s="1">
        <v>42991</v>
      </c>
      <c r="B1499" s="2" t="s">
        <v>12</v>
      </c>
      <c r="C1499" s="2" t="s">
        <v>667</v>
      </c>
      <c r="D1499">
        <v>19</v>
      </c>
    </row>
    <row r="1500" spans="1:4" x14ac:dyDescent="0.25">
      <c r="A1500" s="1">
        <v>42991</v>
      </c>
      <c r="B1500" s="2" t="s">
        <v>53</v>
      </c>
      <c r="C1500" s="2" t="s">
        <v>191</v>
      </c>
      <c r="D1500">
        <v>8</v>
      </c>
    </row>
    <row r="1501" spans="1:4" x14ac:dyDescent="0.25">
      <c r="A1501" s="1">
        <v>42991</v>
      </c>
      <c r="B1501" s="2" t="s">
        <v>365</v>
      </c>
      <c r="C1501" s="2" t="s">
        <v>366</v>
      </c>
      <c r="D1501">
        <v>8</v>
      </c>
    </row>
    <row r="1502" spans="1:4" x14ac:dyDescent="0.25">
      <c r="A1502" s="1">
        <v>42991</v>
      </c>
      <c r="B1502" s="2" t="s">
        <v>4</v>
      </c>
      <c r="C1502" s="2" t="s">
        <v>382</v>
      </c>
      <c r="D1502">
        <v>56</v>
      </c>
    </row>
    <row r="1503" spans="1:4" x14ac:dyDescent="0.25">
      <c r="A1503" s="1">
        <v>42991</v>
      </c>
      <c r="B1503" s="2" t="s">
        <v>39</v>
      </c>
      <c r="C1503" s="2" t="s">
        <v>164</v>
      </c>
      <c r="D1503">
        <v>8</v>
      </c>
    </row>
    <row r="1504" spans="1:4" x14ac:dyDescent="0.25">
      <c r="A1504" s="1">
        <v>42992</v>
      </c>
      <c r="B1504" s="2" t="s">
        <v>83</v>
      </c>
      <c r="C1504" s="2" t="s">
        <v>658</v>
      </c>
      <c r="D1504">
        <v>25</v>
      </c>
    </row>
    <row r="1505" spans="1:4" x14ac:dyDescent="0.25">
      <c r="A1505" s="1">
        <v>42992</v>
      </c>
      <c r="B1505" s="2" t="s">
        <v>51</v>
      </c>
      <c r="C1505" s="2" t="s">
        <v>52</v>
      </c>
      <c r="D1505">
        <v>23</v>
      </c>
    </row>
    <row r="1506" spans="1:4" x14ac:dyDescent="0.25">
      <c r="A1506" s="1">
        <v>42992</v>
      </c>
      <c r="B1506" s="2" t="s">
        <v>12</v>
      </c>
      <c r="C1506" s="2" t="s">
        <v>668</v>
      </c>
      <c r="D1506">
        <v>33</v>
      </c>
    </row>
    <row r="1507" spans="1:4" x14ac:dyDescent="0.25">
      <c r="A1507" s="1">
        <v>42992</v>
      </c>
      <c r="B1507" s="2" t="s">
        <v>128</v>
      </c>
      <c r="C1507" s="2" t="s">
        <v>12</v>
      </c>
      <c r="D1507">
        <v>15</v>
      </c>
    </row>
    <row r="1508" spans="1:4" x14ac:dyDescent="0.25">
      <c r="A1508" s="1">
        <v>42992</v>
      </c>
      <c r="B1508" s="2" t="s">
        <v>141</v>
      </c>
      <c r="C1508" s="2" t="s">
        <v>292</v>
      </c>
      <c r="D1508">
        <v>16</v>
      </c>
    </row>
    <row r="1509" spans="1:4" x14ac:dyDescent="0.25">
      <c r="A1509" s="1">
        <v>42992</v>
      </c>
      <c r="B1509" s="2" t="s">
        <v>119</v>
      </c>
      <c r="C1509" s="2" t="s">
        <v>164</v>
      </c>
      <c r="D1509">
        <v>29</v>
      </c>
    </row>
    <row r="1510" spans="1:4" x14ac:dyDescent="0.25">
      <c r="A1510" s="1">
        <v>42992</v>
      </c>
      <c r="B1510" s="2" t="s">
        <v>252</v>
      </c>
      <c r="C1510" s="2" t="s">
        <v>253</v>
      </c>
      <c r="D1510">
        <v>2</v>
      </c>
    </row>
    <row r="1511" spans="1:4" x14ac:dyDescent="0.25">
      <c r="A1511" s="1">
        <v>42992</v>
      </c>
      <c r="B1511" s="2" t="s">
        <v>208</v>
      </c>
      <c r="C1511" s="2" t="s">
        <v>475</v>
      </c>
      <c r="D1511">
        <v>15</v>
      </c>
    </row>
    <row r="1512" spans="1:4" x14ac:dyDescent="0.25">
      <c r="A1512" s="1">
        <v>42992</v>
      </c>
      <c r="B1512" s="2" t="s">
        <v>206</v>
      </c>
      <c r="C1512" s="2" t="s">
        <v>227</v>
      </c>
      <c r="D1512">
        <v>17</v>
      </c>
    </row>
    <row r="1513" spans="1:4" x14ac:dyDescent="0.25">
      <c r="A1513" s="1">
        <v>42992</v>
      </c>
      <c r="B1513" s="2" t="s">
        <v>36</v>
      </c>
      <c r="C1513" s="2" t="s">
        <v>166</v>
      </c>
      <c r="D1513">
        <v>54</v>
      </c>
    </row>
    <row r="1514" spans="1:4" x14ac:dyDescent="0.25">
      <c r="A1514" s="1">
        <v>42992</v>
      </c>
      <c r="B1514" s="2" t="s">
        <v>189</v>
      </c>
      <c r="C1514" s="2" t="s">
        <v>190</v>
      </c>
      <c r="D1514">
        <v>38</v>
      </c>
    </row>
    <row r="1515" spans="1:4" x14ac:dyDescent="0.25">
      <c r="A1515" s="1">
        <v>42992</v>
      </c>
      <c r="B1515" s="2" t="s">
        <v>150</v>
      </c>
      <c r="C1515" s="2" t="s">
        <v>200</v>
      </c>
      <c r="D1515">
        <v>9</v>
      </c>
    </row>
    <row r="1516" spans="1:4" x14ac:dyDescent="0.25">
      <c r="A1516" s="1">
        <v>42992</v>
      </c>
      <c r="B1516" s="2" t="s">
        <v>63</v>
      </c>
      <c r="C1516" s="2" t="s">
        <v>64</v>
      </c>
      <c r="D1516">
        <v>3</v>
      </c>
    </row>
    <row r="1517" spans="1:4" x14ac:dyDescent="0.25">
      <c r="A1517" s="1">
        <v>42992</v>
      </c>
      <c r="B1517" s="2" t="s">
        <v>69</v>
      </c>
      <c r="C1517" s="2" t="s">
        <v>108</v>
      </c>
      <c r="D1517">
        <v>17</v>
      </c>
    </row>
    <row r="1518" spans="1:4" x14ac:dyDescent="0.25">
      <c r="A1518" s="1">
        <v>42993</v>
      </c>
      <c r="B1518" s="2" t="s">
        <v>248</v>
      </c>
      <c r="C1518" s="2" t="s">
        <v>337</v>
      </c>
      <c r="D1518">
        <v>12</v>
      </c>
    </row>
    <row r="1519" spans="1:4" x14ac:dyDescent="0.25">
      <c r="A1519" s="1">
        <v>42993</v>
      </c>
      <c r="B1519" s="2" t="s">
        <v>57</v>
      </c>
      <c r="C1519" s="2" t="s">
        <v>399</v>
      </c>
      <c r="D1519">
        <v>28</v>
      </c>
    </row>
    <row r="1520" spans="1:4" x14ac:dyDescent="0.25">
      <c r="A1520" s="1">
        <v>42993</v>
      </c>
      <c r="B1520" s="2" t="s">
        <v>128</v>
      </c>
      <c r="C1520" s="2" t="s">
        <v>309</v>
      </c>
      <c r="D1520">
        <v>4</v>
      </c>
    </row>
    <row r="1521" spans="1:4" x14ac:dyDescent="0.25">
      <c r="A1521" s="1">
        <v>42993</v>
      </c>
      <c r="B1521" s="2" t="s">
        <v>346</v>
      </c>
      <c r="C1521" s="2" t="s">
        <v>669</v>
      </c>
      <c r="D1521">
        <v>5</v>
      </c>
    </row>
    <row r="1522" spans="1:4" x14ac:dyDescent="0.25">
      <c r="A1522" s="1">
        <v>42993</v>
      </c>
      <c r="B1522" s="2" t="s">
        <v>67</v>
      </c>
      <c r="C1522" s="2" t="s">
        <v>670</v>
      </c>
      <c r="D1522">
        <v>30</v>
      </c>
    </row>
    <row r="1523" spans="1:4" x14ac:dyDescent="0.25">
      <c r="A1523" s="1">
        <v>42993</v>
      </c>
      <c r="B1523" s="2" t="s">
        <v>55</v>
      </c>
      <c r="C1523" s="2" t="s">
        <v>326</v>
      </c>
      <c r="D1523">
        <v>40</v>
      </c>
    </row>
    <row r="1524" spans="1:4" x14ac:dyDescent="0.25">
      <c r="A1524" s="1">
        <v>42993</v>
      </c>
      <c r="B1524" s="2" t="s">
        <v>193</v>
      </c>
      <c r="C1524" s="2" t="s">
        <v>228</v>
      </c>
      <c r="D1524">
        <v>10</v>
      </c>
    </row>
    <row r="1525" spans="1:4" x14ac:dyDescent="0.25">
      <c r="A1525" s="1">
        <v>42993</v>
      </c>
      <c r="B1525" s="2" t="s">
        <v>346</v>
      </c>
      <c r="C1525" s="2" t="s">
        <v>347</v>
      </c>
      <c r="D1525">
        <v>20</v>
      </c>
    </row>
    <row r="1526" spans="1:4" x14ac:dyDescent="0.25">
      <c r="A1526" s="1">
        <v>42993</v>
      </c>
      <c r="B1526" s="2" t="s">
        <v>150</v>
      </c>
      <c r="C1526" s="2" t="s">
        <v>313</v>
      </c>
      <c r="D1526">
        <v>12</v>
      </c>
    </row>
    <row r="1527" spans="1:4" x14ac:dyDescent="0.25">
      <c r="A1527" s="1">
        <v>42993</v>
      </c>
      <c r="B1527" s="2" t="s">
        <v>201</v>
      </c>
      <c r="C1527" s="2" t="s">
        <v>357</v>
      </c>
      <c r="D1527">
        <v>9</v>
      </c>
    </row>
    <row r="1528" spans="1:4" x14ac:dyDescent="0.25">
      <c r="A1528" s="1">
        <v>42993</v>
      </c>
      <c r="B1528" s="2" t="s">
        <v>232</v>
      </c>
      <c r="C1528" s="2" t="s">
        <v>487</v>
      </c>
      <c r="D1528">
        <v>46</v>
      </c>
    </row>
    <row r="1529" spans="1:4" x14ac:dyDescent="0.25">
      <c r="A1529" s="1">
        <v>42993</v>
      </c>
      <c r="B1529" s="2" t="s">
        <v>234</v>
      </c>
      <c r="C1529" s="2" t="s">
        <v>516</v>
      </c>
      <c r="D1529">
        <v>30</v>
      </c>
    </row>
    <row r="1530" spans="1:4" x14ac:dyDescent="0.25">
      <c r="A1530" s="1">
        <v>42993</v>
      </c>
      <c r="B1530" s="2" t="s">
        <v>53</v>
      </c>
      <c r="C1530" s="2" t="s">
        <v>227</v>
      </c>
      <c r="D1530">
        <v>25</v>
      </c>
    </row>
    <row r="1531" spans="1:4" x14ac:dyDescent="0.25">
      <c r="A1531" s="1">
        <v>42993</v>
      </c>
      <c r="B1531" s="2" t="s">
        <v>55</v>
      </c>
      <c r="C1531" s="2" t="s">
        <v>265</v>
      </c>
      <c r="D1531">
        <v>25</v>
      </c>
    </row>
    <row r="1532" spans="1:4" x14ac:dyDescent="0.25">
      <c r="A1532" s="1">
        <v>42996</v>
      </c>
      <c r="B1532" s="2" t="s">
        <v>155</v>
      </c>
      <c r="C1532" s="2" t="s">
        <v>186</v>
      </c>
      <c r="D1532">
        <v>15</v>
      </c>
    </row>
    <row r="1533" spans="1:4" x14ac:dyDescent="0.25">
      <c r="A1533" s="1">
        <v>42996</v>
      </c>
      <c r="B1533" s="2" t="s">
        <v>152</v>
      </c>
      <c r="C1533" s="2" t="s">
        <v>534</v>
      </c>
      <c r="D1533">
        <v>8</v>
      </c>
    </row>
    <row r="1534" spans="1:4" x14ac:dyDescent="0.25">
      <c r="A1534" s="1">
        <v>42996</v>
      </c>
      <c r="B1534" s="2" t="s">
        <v>232</v>
      </c>
      <c r="C1534" s="2" t="s">
        <v>451</v>
      </c>
      <c r="D1534">
        <v>8</v>
      </c>
    </row>
    <row r="1535" spans="1:4" x14ac:dyDescent="0.25">
      <c r="A1535" s="1">
        <v>42996</v>
      </c>
      <c r="B1535" s="2" t="s">
        <v>83</v>
      </c>
      <c r="C1535" s="2" t="s">
        <v>455</v>
      </c>
      <c r="D1535">
        <v>20</v>
      </c>
    </row>
    <row r="1536" spans="1:4" x14ac:dyDescent="0.25">
      <c r="A1536" s="1">
        <v>42996</v>
      </c>
      <c r="B1536" s="2" t="s">
        <v>20</v>
      </c>
      <c r="C1536" s="2" t="s">
        <v>123</v>
      </c>
      <c r="D1536">
        <v>53</v>
      </c>
    </row>
    <row r="1537" spans="1:4" x14ac:dyDescent="0.25">
      <c r="A1537" s="1">
        <v>42996</v>
      </c>
      <c r="B1537" s="2" t="s">
        <v>280</v>
      </c>
      <c r="C1537" s="2" t="s">
        <v>466</v>
      </c>
      <c r="D1537">
        <v>50</v>
      </c>
    </row>
    <row r="1538" spans="1:4" x14ac:dyDescent="0.25">
      <c r="A1538" s="1">
        <v>42996</v>
      </c>
      <c r="B1538" s="2" t="s">
        <v>63</v>
      </c>
      <c r="C1538" s="2" t="s">
        <v>671</v>
      </c>
      <c r="D1538">
        <v>52</v>
      </c>
    </row>
    <row r="1539" spans="1:4" x14ac:dyDescent="0.25">
      <c r="A1539" s="1">
        <v>42996</v>
      </c>
      <c r="B1539" s="2" t="s">
        <v>141</v>
      </c>
      <c r="C1539" s="2" t="s">
        <v>649</v>
      </c>
      <c r="D1539">
        <v>12</v>
      </c>
    </row>
    <row r="1540" spans="1:4" x14ac:dyDescent="0.25">
      <c r="A1540" s="1">
        <v>42996</v>
      </c>
      <c r="B1540" s="2" t="s">
        <v>81</v>
      </c>
      <c r="C1540" s="2" t="s">
        <v>496</v>
      </c>
      <c r="D1540">
        <v>14</v>
      </c>
    </row>
    <row r="1541" spans="1:4" x14ac:dyDescent="0.25">
      <c r="A1541" s="1">
        <v>42996</v>
      </c>
      <c r="B1541" s="2" t="s">
        <v>87</v>
      </c>
      <c r="C1541" s="2" t="s">
        <v>255</v>
      </c>
      <c r="D1541">
        <v>12</v>
      </c>
    </row>
    <row r="1542" spans="1:4" x14ac:dyDescent="0.25">
      <c r="A1542" s="1">
        <v>42996</v>
      </c>
      <c r="B1542" s="2" t="s">
        <v>27</v>
      </c>
      <c r="C1542" s="2" t="s">
        <v>28</v>
      </c>
      <c r="D1542">
        <v>27</v>
      </c>
    </row>
    <row r="1543" spans="1:4" x14ac:dyDescent="0.25">
      <c r="A1543" s="1">
        <v>42996</v>
      </c>
      <c r="B1543" s="2" t="s">
        <v>234</v>
      </c>
      <c r="C1543" s="2" t="s">
        <v>516</v>
      </c>
      <c r="D1543">
        <v>25</v>
      </c>
    </row>
    <row r="1544" spans="1:4" x14ac:dyDescent="0.25">
      <c r="A1544" s="1">
        <v>42997</v>
      </c>
      <c r="B1544" s="2" t="s">
        <v>494</v>
      </c>
      <c r="C1544" s="2" t="s">
        <v>495</v>
      </c>
      <c r="D1544">
        <v>29</v>
      </c>
    </row>
    <row r="1545" spans="1:4" x14ac:dyDescent="0.25">
      <c r="A1545" s="1">
        <v>42997</v>
      </c>
      <c r="B1545" s="2" t="s">
        <v>341</v>
      </c>
      <c r="C1545" s="2" t="s">
        <v>342</v>
      </c>
      <c r="D1545">
        <v>54</v>
      </c>
    </row>
    <row r="1546" spans="1:4" x14ac:dyDescent="0.25">
      <c r="A1546" s="1">
        <v>42997</v>
      </c>
      <c r="B1546" s="2" t="s">
        <v>97</v>
      </c>
      <c r="C1546" s="2" t="s">
        <v>452</v>
      </c>
      <c r="D1546">
        <v>10</v>
      </c>
    </row>
    <row r="1547" spans="1:4" x14ac:dyDescent="0.25">
      <c r="A1547" s="1">
        <v>42997</v>
      </c>
      <c r="B1547" s="2" t="s">
        <v>30</v>
      </c>
      <c r="C1547" s="2" t="s">
        <v>463</v>
      </c>
      <c r="D1547">
        <v>28</v>
      </c>
    </row>
    <row r="1548" spans="1:4" x14ac:dyDescent="0.25">
      <c r="A1548" s="1">
        <v>42997</v>
      </c>
      <c r="B1548" s="2" t="s">
        <v>271</v>
      </c>
      <c r="C1548" s="2" t="s">
        <v>272</v>
      </c>
      <c r="D1548">
        <v>7</v>
      </c>
    </row>
    <row r="1549" spans="1:4" x14ac:dyDescent="0.25">
      <c r="A1549" s="1">
        <v>42997</v>
      </c>
      <c r="B1549" s="2" t="s">
        <v>83</v>
      </c>
      <c r="C1549" s="2" t="s">
        <v>646</v>
      </c>
      <c r="D1549">
        <v>18</v>
      </c>
    </row>
    <row r="1550" spans="1:4" x14ac:dyDescent="0.25">
      <c r="A1550" s="1">
        <v>42997</v>
      </c>
      <c r="B1550" s="2" t="s">
        <v>141</v>
      </c>
      <c r="C1550" s="2" t="s">
        <v>612</v>
      </c>
      <c r="D1550">
        <v>10</v>
      </c>
    </row>
    <row r="1551" spans="1:4" x14ac:dyDescent="0.25">
      <c r="A1551" s="1">
        <v>42997</v>
      </c>
      <c r="B1551" s="2" t="s">
        <v>27</v>
      </c>
      <c r="C1551" s="2" t="s">
        <v>94</v>
      </c>
      <c r="D1551">
        <v>24</v>
      </c>
    </row>
    <row r="1552" spans="1:4" x14ac:dyDescent="0.25">
      <c r="A1552" s="1">
        <v>42997</v>
      </c>
      <c r="B1552" s="2" t="s">
        <v>18</v>
      </c>
      <c r="C1552" s="2" t="s">
        <v>392</v>
      </c>
      <c r="D1552">
        <v>19</v>
      </c>
    </row>
    <row r="1553" spans="1:4" x14ac:dyDescent="0.25">
      <c r="A1553" s="1">
        <v>42997</v>
      </c>
      <c r="B1553" s="2" t="s">
        <v>219</v>
      </c>
      <c r="C1553" s="2" t="s">
        <v>543</v>
      </c>
      <c r="D1553">
        <v>28</v>
      </c>
    </row>
    <row r="1554" spans="1:4" x14ac:dyDescent="0.25">
      <c r="A1554" s="1">
        <v>42997</v>
      </c>
      <c r="B1554" s="2" t="s">
        <v>150</v>
      </c>
      <c r="C1554" s="2" t="s">
        <v>298</v>
      </c>
      <c r="D1554">
        <v>5</v>
      </c>
    </row>
    <row r="1555" spans="1:4" x14ac:dyDescent="0.25">
      <c r="A1555" s="1">
        <v>42997</v>
      </c>
      <c r="B1555" s="2" t="s">
        <v>314</v>
      </c>
      <c r="C1555" s="2" t="s">
        <v>315</v>
      </c>
      <c r="D1555">
        <v>17</v>
      </c>
    </row>
    <row r="1556" spans="1:4" x14ac:dyDescent="0.25">
      <c r="A1556" s="1">
        <v>42998</v>
      </c>
      <c r="B1556" s="2" t="s">
        <v>67</v>
      </c>
      <c r="C1556" s="2" t="s">
        <v>460</v>
      </c>
      <c r="D1556">
        <v>53</v>
      </c>
    </row>
    <row r="1557" spans="1:4" x14ac:dyDescent="0.25">
      <c r="A1557" s="1">
        <v>42998</v>
      </c>
      <c r="B1557" s="2" t="s">
        <v>217</v>
      </c>
      <c r="C1557" s="2" t="s">
        <v>218</v>
      </c>
      <c r="D1557">
        <v>5</v>
      </c>
    </row>
    <row r="1558" spans="1:4" x14ac:dyDescent="0.25">
      <c r="A1558" s="1">
        <v>42998</v>
      </c>
      <c r="B1558" s="2" t="s">
        <v>672</v>
      </c>
      <c r="C1558" s="2" t="s">
        <v>673</v>
      </c>
      <c r="D1558">
        <v>35</v>
      </c>
    </row>
    <row r="1559" spans="1:4" x14ac:dyDescent="0.25">
      <c r="A1559" s="1">
        <v>42998</v>
      </c>
      <c r="B1559" s="2" t="s">
        <v>12</v>
      </c>
      <c r="C1559" s="2" t="s">
        <v>38</v>
      </c>
      <c r="D1559">
        <v>17</v>
      </c>
    </row>
    <row r="1560" spans="1:4" x14ac:dyDescent="0.25">
      <c r="A1560" s="1">
        <v>42998</v>
      </c>
      <c r="B1560" s="2" t="s">
        <v>67</v>
      </c>
      <c r="C1560" s="2" t="s">
        <v>68</v>
      </c>
      <c r="D1560">
        <v>12</v>
      </c>
    </row>
    <row r="1561" spans="1:4" x14ac:dyDescent="0.25">
      <c r="A1561" s="1">
        <v>42998</v>
      </c>
      <c r="B1561" s="2" t="s">
        <v>81</v>
      </c>
      <c r="C1561" s="2" t="s">
        <v>104</v>
      </c>
      <c r="D1561">
        <v>28</v>
      </c>
    </row>
    <row r="1562" spans="1:4" x14ac:dyDescent="0.25">
      <c r="A1562" s="1">
        <v>42998</v>
      </c>
      <c r="B1562" s="2" t="s">
        <v>55</v>
      </c>
      <c r="C1562" s="2" t="s">
        <v>492</v>
      </c>
      <c r="D1562">
        <v>47</v>
      </c>
    </row>
    <row r="1563" spans="1:4" x14ac:dyDescent="0.25">
      <c r="A1563" s="1">
        <v>42998</v>
      </c>
      <c r="B1563" s="2" t="s">
        <v>69</v>
      </c>
      <c r="C1563" s="2" t="s">
        <v>461</v>
      </c>
      <c r="D1563">
        <v>5</v>
      </c>
    </row>
    <row r="1564" spans="1:4" x14ac:dyDescent="0.25">
      <c r="A1564" s="1">
        <v>42999</v>
      </c>
      <c r="B1564" s="2" t="s">
        <v>83</v>
      </c>
      <c r="C1564" s="2" t="s">
        <v>596</v>
      </c>
      <c r="D1564">
        <v>7</v>
      </c>
    </row>
    <row r="1565" spans="1:4" x14ac:dyDescent="0.25">
      <c r="A1565" s="1">
        <v>42999</v>
      </c>
      <c r="B1565" s="2" t="s">
        <v>65</v>
      </c>
      <c r="C1565" s="2" t="s">
        <v>674</v>
      </c>
      <c r="D1565">
        <v>52</v>
      </c>
    </row>
    <row r="1566" spans="1:4" x14ac:dyDescent="0.25">
      <c r="A1566" s="1">
        <v>42999</v>
      </c>
      <c r="B1566" s="2" t="s">
        <v>12</v>
      </c>
      <c r="C1566" s="2" t="s">
        <v>549</v>
      </c>
      <c r="D1566">
        <v>50</v>
      </c>
    </row>
    <row r="1567" spans="1:4" x14ac:dyDescent="0.25">
      <c r="A1567" s="1">
        <v>42999</v>
      </c>
      <c r="B1567" s="2" t="s">
        <v>34</v>
      </c>
      <c r="C1567" s="2" t="s">
        <v>182</v>
      </c>
      <c r="D1567">
        <v>10</v>
      </c>
    </row>
    <row r="1568" spans="1:4" x14ac:dyDescent="0.25">
      <c r="A1568" s="1">
        <v>42999</v>
      </c>
      <c r="B1568" s="2" t="s">
        <v>438</v>
      </c>
      <c r="C1568" s="2" t="s">
        <v>439</v>
      </c>
      <c r="D1568">
        <v>5</v>
      </c>
    </row>
    <row r="1569" spans="1:4" x14ac:dyDescent="0.25">
      <c r="A1569" s="1">
        <v>42999</v>
      </c>
      <c r="B1569" s="2" t="s">
        <v>81</v>
      </c>
      <c r="C1569" s="2" t="s">
        <v>584</v>
      </c>
      <c r="D1569">
        <v>17</v>
      </c>
    </row>
    <row r="1570" spans="1:4" x14ac:dyDescent="0.25">
      <c r="A1570" s="1">
        <v>42999</v>
      </c>
      <c r="B1570" s="2" t="s">
        <v>12</v>
      </c>
      <c r="C1570" s="2" t="s">
        <v>386</v>
      </c>
      <c r="D1570">
        <v>24</v>
      </c>
    </row>
    <row r="1571" spans="1:4" x14ac:dyDescent="0.25">
      <c r="A1571" s="1">
        <v>42999</v>
      </c>
      <c r="B1571" s="2" t="s">
        <v>409</v>
      </c>
      <c r="C1571" s="2" t="s">
        <v>656</v>
      </c>
      <c r="D1571">
        <v>50</v>
      </c>
    </row>
    <row r="1572" spans="1:4" x14ac:dyDescent="0.25">
      <c r="A1572" s="1">
        <v>43000</v>
      </c>
      <c r="B1572" s="2" t="s">
        <v>101</v>
      </c>
      <c r="C1572" s="2" t="s">
        <v>188</v>
      </c>
      <c r="D1572">
        <v>9</v>
      </c>
    </row>
    <row r="1573" spans="1:4" x14ac:dyDescent="0.25">
      <c r="A1573" s="1">
        <v>43000</v>
      </c>
      <c r="B1573" s="2" t="s">
        <v>83</v>
      </c>
      <c r="C1573" s="2" t="s">
        <v>561</v>
      </c>
      <c r="D1573">
        <v>6</v>
      </c>
    </row>
    <row r="1574" spans="1:4" x14ac:dyDescent="0.25">
      <c r="A1574" s="1">
        <v>43000</v>
      </c>
      <c r="B1574" s="2" t="s">
        <v>232</v>
      </c>
      <c r="C1574" s="2" t="s">
        <v>405</v>
      </c>
      <c r="D1574">
        <v>24</v>
      </c>
    </row>
    <row r="1575" spans="1:4" x14ac:dyDescent="0.25">
      <c r="A1575" s="1">
        <v>43000</v>
      </c>
      <c r="B1575" s="2" t="s">
        <v>95</v>
      </c>
      <c r="C1575" s="2" t="s">
        <v>426</v>
      </c>
      <c r="D1575">
        <v>15</v>
      </c>
    </row>
    <row r="1576" spans="1:4" x14ac:dyDescent="0.25">
      <c r="A1576" s="1">
        <v>43000</v>
      </c>
      <c r="B1576" s="2" t="s">
        <v>150</v>
      </c>
      <c r="C1576" s="2" t="s">
        <v>258</v>
      </c>
      <c r="D1576">
        <v>16</v>
      </c>
    </row>
    <row r="1577" spans="1:4" x14ac:dyDescent="0.25">
      <c r="A1577" s="1">
        <v>43000</v>
      </c>
      <c r="B1577" s="2" t="s">
        <v>55</v>
      </c>
      <c r="C1577" s="2" t="s">
        <v>493</v>
      </c>
      <c r="D1577">
        <v>10</v>
      </c>
    </row>
    <row r="1578" spans="1:4" x14ac:dyDescent="0.25">
      <c r="A1578" s="1">
        <v>43000</v>
      </c>
      <c r="B1578" s="2" t="s">
        <v>307</v>
      </c>
      <c r="C1578" s="2" t="s">
        <v>325</v>
      </c>
      <c r="D1578">
        <v>32</v>
      </c>
    </row>
    <row r="1579" spans="1:4" x14ac:dyDescent="0.25">
      <c r="A1579" s="1">
        <v>43000</v>
      </c>
      <c r="B1579" s="2" t="s">
        <v>51</v>
      </c>
      <c r="C1579" s="2" t="s">
        <v>469</v>
      </c>
      <c r="D1579">
        <v>24</v>
      </c>
    </row>
    <row r="1580" spans="1:4" x14ac:dyDescent="0.25">
      <c r="A1580" s="1">
        <v>43003</v>
      </c>
      <c r="B1580" s="2" t="s">
        <v>178</v>
      </c>
      <c r="C1580" s="2" t="s">
        <v>242</v>
      </c>
      <c r="D1580">
        <v>34</v>
      </c>
    </row>
    <row r="1581" spans="1:4" x14ac:dyDescent="0.25">
      <c r="A1581" s="1">
        <v>43003</v>
      </c>
      <c r="B1581" s="2" t="s">
        <v>47</v>
      </c>
      <c r="C1581" s="2" t="s">
        <v>256</v>
      </c>
      <c r="D1581">
        <v>28</v>
      </c>
    </row>
    <row r="1582" spans="1:4" x14ac:dyDescent="0.25">
      <c r="A1582" s="1">
        <v>43003</v>
      </c>
      <c r="B1582" s="2" t="s">
        <v>55</v>
      </c>
      <c r="C1582" s="2" t="s">
        <v>506</v>
      </c>
      <c r="D1582">
        <v>18</v>
      </c>
    </row>
    <row r="1583" spans="1:4" x14ac:dyDescent="0.25">
      <c r="A1583" s="1">
        <v>43003</v>
      </c>
      <c r="B1583" s="2" t="s">
        <v>343</v>
      </c>
      <c r="C1583" s="2" t="s">
        <v>675</v>
      </c>
      <c r="D1583">
        <v>19</v>
      </c>
    </row>
    <row r="1584" spans="1:4" x14ac:dyDescent="0.25">
      <c r="A1584" s="1">
        <v>43003</v>
      </c>
      <c r="B1584" s="2" t="s">
        <v>314</v>
      </c>
      <c r="C1584" s="2" t="s">
        <v>466</v>
      </c>
      <c r="D1584">
        <v>7</v>
      </c>
    </row>
    <row r="1585" spans="1:4" x14ac:dyDescent="0.25">
      <c r="A1585" s="1">
        <v>43003</v>
      </c>
      <c r="B1585" s="2" t="s">
        <v>219</v>
      </c>
      <c r="C1585" s="2" t="s">
        <v>543</v>
      </c>
      <c r="D1585">
        <v>29</v>
      </c>
    </row>
    <row r="1586" spans="1:4" x14ac:dyDescent="0.25">
      <c r="A1586" s="1">
        <v>43003</v>
      </c>
      <c r="B1586" s="2" t="s">
        <v>150</v>
      </c>
      <c r="C1586" s="2" t="s">
        <v>676</v>
      </c>
      <c r="D1586">
        <v>56</v>
      </c>
    </row>
    <row r="1587" spans="1:4" x14ac:dyDescent="0.25">
      <c r="A1587" s="1">
        <v>43003</v>
      </c>
      <c r="B1587" s="2" t="s">
        <v>234</v>
      </c>
      <c r="C1587" s="2" t="s">
        <v>227</v>
      </c>
      <c r="D1587">
        <v>11</v>
      </c>
    </row>
    <row r="1588" spans="1:4" x14ac:dyDescent="0.25">
      <c r="A1588" s="1">
        <v>43004</v>
      </c>
      <c r="B1588" s="2" t="s">
        <v>310</v>
      </c>
      <c r="C1588" s="2" t="s">
        <v>641</v>
      </c>
      <c r="D1588">
        <v>33</v>
      </c>
    </row>
    <row r="1589" spans="1:4" x14ac:dyDescent="0.25">
      <c r="A1589" s="1">
        <v>43004</v>
      </c>
      <c r="B1589" s="2" t="s">
        <v>57</v>
      </c>
      <c r="C1589" s="2" t="s">
        <v>399</v>
      </c>
      <c r="D1589">
        <v>5</v>
      </c>
    </row>
    <row r="1590" spans="1:4" x14ac:dyDescent="0.25">
      <c r="A1590" s="1">
        <v>43004</v>
      </c>
      <c r="B1590" s="2" t="s">
        <v>195</v>
      </c>
      <c r="C1590" s="2" t="s">
        <v>196</v>
      </c>
      <c r="D1590">
        <v>25</v>
      </c>
    </row>
    <row r="1591" spans="1:4" x14ac:dyDescent="0.25">
      <c r="A1591" s="1">
        <v>43004</v>
      </c>
      <c r="B1591" s="2" t="s">
        <v>352</v>
      </c>
      <c r="C1591" s="2" t="s">
        <v>425</v>
      </c>
      <c r="D1591">
        <v>10</v>
      </c>
    </row>
    <row r="1592" spans="1:4" x14ac:dyDescent="0.25">
      <c r="A1592" s="1">
        <v>43004</v>
      </c>
      <c r="B1592" s="2" t="s">
        <v>131</v>
      </c>
      <c r="C1592" s="2" t="s">
        <v>451</v>
      </c>
      <c r="D1592">
        <v>18</v>
      </c>
    </row>
    <row r="1593" spans="1:4" x14ac:dyDescent="0.25">
      <c r="A1593" s="1">
        <v>43004</v>
      </c>
      <c r="B1593" s="2" t="s">
        <v>34</v>
      </c>
      <c r="C1593" s="2" t="s">
        <v>557</v>
      </c>
      <c r="D1593">
        <v>26</v>
      </c>
    </row>
    <row r="1594" spans="1:4" x14ac:dyDescent="0.25">
      <c r="A1594" s="1">
        <v>43004</v>
      </c>
      <c r="B1594" s="2" t="s">
        <v>278</v>
      </c>
      <c r="C1594" s="2" t="s">
        <v>530</v>
      </c>
      <c r="D1594">
        <v>12</v>
      </c>
    </row>
    <row r="1595" spans="1:4" x14ac:dyDescent="0.25">
      <c r="A1595" s="1">
        <v>43004</v>
      </c>
      <c r="B1595" s="2" t="s">
        <v>72</v>
      </c>
      <c r="C1595" s="2" t="s">
        <v>227</v>
      </c>
      <c r="D1595">
        <v>22</v>
      </c>
    </row>
    <row r="1596" spans="1:4" x14ac:dyDescent="0.25">
      <c r="A1596" s="1">
        <v>43005</v>
      </c>
      <c r="B1596" s="2" t="s">
        <v>206</v>
      </c>
      <c r="C1596" s="2" t="s">
        <v>385</v>
      </c>
      <c r="D1596">
        <v>19</v>
      </c>
    </row>
    <row r="1597" spans="1:4" x14ac:dyDescent="0.25">
      <c r="A1597" s="1">
        <v>43005</v>
      </c>
      <c r="B1597" s="2" t="s">
        <v>30</v>
      </c>
      <c r="C1597" s="2" t="s">
        <v>463</v>
      </c>
      <c r="D1597">
        <v>5</v>
      </c>
    </row>
    <row r="1598" spans="1:4" x14ac:dyDescent="0.25">
      <c r="A1598" s="1">
        <v>43005</v>
      </c>
      <c r="B1598" s="2" t="s">
        <v>150</v>
      </c>
      <c r="C1598" s="2" t="s">
        <v>462</v>
      </c>
      <c r="D1598">
        <v>7</v>
      </c>
    </row>
    <row r="1599" spans="1:4" x14ac:dyDescent="0.25">
      <c r="A1599" s="1">
        <v>43005</v>
      </c>
      <c r="B1599" s="2" t="s">
        <v>4</v>
      </c>
      <c r="C1599" s="2" t="s">
        <v>382</v>
      </c>
      <c r="D1599">
        <v>28</v>
      </c>
    </row>
    <row r="1600" spans="1:4" x14ac:dyDescent="0.25">
      <c r="A1600" s="1">
        <v>43005</v>
      </c>
      <c r="B1600" s="2" t="s">
        <v>128</v>
      </c>
      <c r="C1600" s="2" t="s">
        <v>677</v>
      </c>
      <c r="D1600">
        <v>53</v>
      </c>
    </row>
    <row r="1601" spans="1:4" x14ac:dyDescent="0.25">
      <c r="A1601" s="1">
        <v>43005</v>
      </c>
      <c r="B1601" s="2" t="s">
        <v>147</v>
      </c>
      <c r="C1601" s="2" t="s">
        <v>578</v>
      </c>
      <c r="D1601">
        <v>28</v>
      </c>
    </row>
    <row r="1602" spans="1:4" x14ac:dyDescent="0.25">
      <c r="A1602" s="1">
        <v>43005</v>
      </c>
      <c r="B1602" s="2" t="s">
        <v>494</v>
      </c>
      <c r="C1602" s="2" t="s">
        <v>495</v>
      </c>
      <c r="D1602">
        <v>17</v>
      </c>
    </row>
    <row r="1603" spans="1:4" x14ac:dyDescent="0.25">
      <c r="A1603" s="1">
        <v>43005</v>
      </c>
      <c r="B1603" s="2" t="s">
        <v>141</v>
      </c>
      <c r="C1603" s="2" t="s">
        <v>435</v>
      </c>
      <c r="D1603">
        <v>20</v>
      </c>
    </row>
    <row r="1604" spans="1:4" x14ac:dyDescent="0.25">
      <c r="A1604" s="1">
        <v>43006</v>
      </c>
      <c r="B1604" s="2" t="s">
        <v>57</v>
      </c>
      <c r="C1604" s="2" t="s">
        <v>418</v>
      </c>
      <c r="D1604">
        <v>50</v>
      </c>
    </row>
    <row r="1605" spans="1:4" x14ac:dyDescent="0.25">
      <c r="A1605" s="1">
        <v>43006</v>
      </c>
      <c r="B1605" s="2" t="s">
        <v>137</v>
      </c>
      <c r="C1605" s="2" t="s">
        <v>138</v>
      </c>
      <c r="D1605">
        <v>15</v>
      </c>
    </row>
    <row r="1606" spans="1:4" x14ac:dyDescent="0.25">
      <c r="A1606" s="1">
        <v>43006</v>
      </c>
      <c r="B1606" s="2" t="s">
        <v>81</v>
      </c>
      <c r="C1606" s="2" t="s">
        <v>145</v>
      </c>
      <c r="D1606">
        <v>27</v>
      </c>
    </row>
    <row r="1607" spans="1:4" x14ac:dyDescent="0.25">
      <c r="A1607" s="1">
        <v>43006</v>
      </c>
      <c r="B1607" s="2" t="s">
        <v>97</v>
      </c>
      <c r="C1607" s="2" t="s">
        <v>188</v>
      </c>
      <c r="D1607">
        <v>2</v>
      </c>
    </row>
    <row r="1608" spans="1:4" x14ac:dyDescent="0.25">
      <c r="A1608" s="1">
        <v>43006</v>
      </c>
      <c r="B1608" s="2" t="s">
        <v>119</v>
      </c>
      <c r="C1608" s="2" t="s">
        <v>120</v>
      </c>
      <c r="D1608">
        <v>17</v>
      </c>
    </row>
    <row r="1609" spans="1:4" x14ac:dyDescent="0.25">
      <c r="A1609" s="1">
        <v>43006</v>
      </c>
      <c r="B1609" s="2" t="s">
        <v>453</v>
      </c>
      <c r="C1609" s="2" t="s">
        <v>454</v>
      </c>
      <c r="D1609">
        <v>53</v>
      </c>
    </row>
    <row r="1610" spans="1:4" x14ac:dyDescent="0.25">
      <c r="A1610" s="1">
        <v>43006</v>
      </c>
      <c r="B1610" s="2" t="s">
        <v>83</v>
      </c>
      <c r="C1610" s="2" t="s">
        <v>646</v>
      </c>
      <c r="D1610">
        <v>30</v>
      </c>
    </row>
    <row r="1611" spans="1:4" x14ac:dyDescent="0.25">
      <c r="A1611" s="1">
        <v>43006</v>
      </c>
      <c r="B1611" s="2" t="s">
        <v>193</v>
      </c>
      <c r="C1611" s="2" t="s">
        <v>483</v>
      </c>
      <c r="D1611">
        <v>7</v>
      </c>
    </row>
    <row r="1612" spans="1:4" x14ac:dyDescent="0.25">
      <c r="A1612" s="1">
        <v>43007</v>
      </c>
      <c r="B1612" s="2" t="s">
        <v>83</v>
      </c>
      <c r="C1612" s="2" t="s">
        <v>350</v>
      </c>
      <c r="D1612">
        <v>15</v>
      </c>
    </row>
    <row r="1613" spans="1:4" x14ac:dyDescent="0.25">
      <c r="A1613" s="1">
        <v>43007</v>
      </c>
      <c r="B1613" s="2" t="s">
        <v>152</v>
      </c>
      <c r="C1613" s="2" t="s">
        <v>511</v>
      </c>
      <c r="D1613">
        <v>55</v>
      </c>
    </row>
    <row r="1614" spans="1:4" x14ac:dyDescent="0.25">
      <c r="A1614" s="1">
        <v>43007</v>
      </c>
      <c r="B1614" s="2" t="s">
        <v>494</v>
      </c>
      <c r="C1614" s="2" t="s">
        <v>495</v>
      </c>
      <c r="D1614">
        <v>39</v>
      </c>
    </row>
    <row r="1615" spans="1:4" x14ac:dyDescent="0.25">
      <c r="A1615" s="1">
        <v>43007</v>
      </c>
      <c r="B1615" s="2" t="s">
        <v>150</v>
      </c>
      <c r="C1615" s="2" t="s">
        <v>297</v>
      </c>
      <c r="D1615">
        <v>18</v>
      </c>
    </row>
    <row r="1616" spans="1:4" x14ac:dyDescent="0.25">
      <c r="A1616" s="1">
        <v>43007</v>
      </c>
      <c r="B1616" s="2" t="s">
        <v>23</v>
      </c>
      <c r="C1616" s="2" t="s">
        <v>592</v>
      </c>
      <c r="D1616">
        <v>9</v>
      </c>
    </row>
    <row r="1617" spans="1:4" x14ac:dyDescent="0.25">
      <c r="A1617" s="1">
        <v>43007</v>
      </c>
      <c r="B1617" s="2" t="s">
        <v>395</v>
      </c>
      <c r="C1617" s="2" t="s">
        <v>678</v>
      </c>
      <c r="D1617">
        <v>55</v>
      </c>
    </row>
    <row r="1618" spans="1:4" x14ac:dyDescent="0.25">
      <c r="A1618" s="1">
        <v>43007</v>
      </c>
      <c r="B1618" s="2" t="s">
        <v>278</v>
      </c>
      <c r="C1618" s="2" t="s">
        <v>530</v>
      </c>
      <c r="D1618">
        <v>24</v>
      </c>
    </row>
    <row r="1619" spans="1:4" x14ac:dyDescent="0.25">
      <c r="A1619" s="1">
        <v>43007</v>
      </c>
      <c r="B1619" s="2" t="s">
        <v>278</v>
      </c>
      <c r="C1619" s="2" t="s">
        <v>202</v>
      </c>
      <c r="D1619">
        <v>52</v>
      </c>
    </row>
    <row r="1620" spans="1:4" x14ac:dyDescent="0.25">
      <c r="A1620" s="1">
        <v>43010</v>
      </c>
      <c r="B1620" s="2" t="s">
        <v>395</v>
      </c>
      <c r="C1620" s="2" t="s">
        <v>461</v>
      </c>
      <c r="D1620">
        <v>42</v>
      </c>
    </row>
    <row r="1621" spans="1:4" x14ac:dyDescent="0.25">
      <c r="A1621" s="1">
        <v>43010</v>
      </c>
      <c r="B1621" s="2" t="s">
        <v>314</v>
      </c>
      <c r="C1621" s="2" t="s">
        <v>450</v>
      </c>
      <c r="D1621">
        <v>16</v>
      </c>
    </row>
    <row r="1622" spans="1:4" x14ac:dyDescent="0.25">
      <c r="A1622" s="1">
        <v>43010</v>
      </c>
      <c r="B1622" s="2" t="s">
        <v>34</v>
      </c>
      <c r="C1622" s="2" t="s">
        <v>679</v>
      </c>
      <c r="D1622">
        <v>43</v>
      </c>
    </row>
    <row r="1623" spans="1:4" x14ac:dyDescent="0.25">
      <c r="A1623" s="1">
        <v>43010</v>
      </c>
      <c r="B1623" s="2" t="s">
        <v>23</v>
      </c>
      <c r="C1623" s="2" t="s">
        <v>163</v>
      </c>
      <c r="D1623">
        <v>55</v>
      </c>
    </row>
    <row r="1624" spans="1:4" x14ac:dyDescent="0.25">
      <c r="A1624" s="1">
        <v>43010</v>
      </c>
      <c r="B1624" s="2" t="s">
        <v>206</v>
      </c>
      <c r="C1624" s="2" t="s">
        <v>296</v>
      </c>
      <c r="D1624">
        <v>45</v>
      </c>
    </row>
    <row r="1625" spans="1:4" x14ac:dyDescent="0.25">
      <c r="A1625" s="1">
        <v>43010</v>
      </c>
      <c r="B1625" s="2" t="s">
        <v>307</v>
      </c>
      <c r="C1625" s="2" t="s">
        <v>308</v>
      </c>
      <c r="D1625">
        <v>25</v>
      </c>
    </row>
    <row r="1626" spans="1:4" x14ac:dyDescent="0.25">
      <c r="A1626" s="1">
        <v>43011</v>
      </c>
      <c r="B1626" s="2" t="s">
        <v>133</v>
      </c>
      <c r="C1626" s="2" t="s">
        <v>499</v>
      </c>
      <c r="D1626">
        <v>28</v>
      </c>
    </row>
    <row r="1627" spans="1:4" x14ac:dyDescent="0.25">
      <c r="A1627" s="1">
        <v>43011</v>
      </c>
      <c r="B1627" s="2" t="s">
        <v>372</v>
      </c>
      <c r="C1627" s="2" t="s">
        <v>373</v>
      </c>
      <c r="D1627">
        <v>14</v>
      </c>
    </row>
    <row r="1628" spans="1:4" x14ac:dyDescent="0.25">
      <c r="A1628" s="1">
        <v>43011</v>
      </c>
      <c r="B1628" s="2" t="s">
        <v>252</v>
      </c>
      <c r="C1628" s="2" t="s">
        <v>288</v>
      </c>
      <c r="D1628">
        <v>26</v>
      </c>
    </row>
    <row r="1629" spans="1:4" x14ac:dyDescent="0.25">
      <c r="A1629" s="1">
        <v>43011</v>
      </c>
      <c r="B1629" s="2" t="s">
        <v>41</v>
      </c>
      <c r="C1629" s="2" t="s">
        <v>238</v>
      </c>
      <c r="D1629">
        <v>21</v>
      </c>
    </row>
    <row r="1630" spans="1:4" x14ac:dyDescent="0.25">
      <c r="A1630" s="1">
        <v>43011</v>
      </c>
      <c r="B1630" s="2" t="s">
        <v>36</v>
      </c>
      <c r="C1630" s="2" t="s">
        <v>404</v>
      </c>
      <c r="D1630">
        <v>14</v>
      </c>
    </row>
    <row r="1631" spans="1:4" x14ac:dyDescent="0.25">
      <c r="A1631" s="1">
        <v>43011</v>
      </c>
      <c r="B1631" s="2" t="s">
        <v>59</v>
      </c>
      <c r="C1631" s="2" t="s">
        <v>60</v>
      </c>
      <c r="D1631">
        <v>36</v>
      </c>
    </row>
    <row r="1632" spans="1:4" x14ac:dyDescent="0.25">
      <c r="A1632" s="1">
        <v>43012</v>
      </c>
      <c r="B1632" s="2" t="s">
        <v>43</v>
      </c>
      <c r="C1632" s="2" t="s">
        <v>124</v>
      </c>
      <c r="D1632">
        <v>3</v>
      </c>
    </row>
    <row r="1633" spans="1:4" x14ac:dyDescent="0.25">
      <c r="A1633" s="1">
        <v>43012</v>
      </c>
      <c r="B1633" s="2" t="s">
        <v>453</v>
      </c>
      <c r="C1633" s="2" t="s">
        <v>454</v>
      </c>
      <c r="D1633">
        <v>11</v>
      </c>
    </row>
    <row r="1634" spans="1:4" x14ac:dyDescent="0.25">
      <c r="A1634" s="1">
        <v>43012</v>
      </c>
      <c r="B1634" s="2" t="s">
        <v>147</v>
      </c>
      <c r="C1634" s="2" t="s">
        <v>148</v>
      </c>
      <c r="D1634">
        <v>49</v>
      </c>
    </row>
    <row r="1635" spans="1:4" x14ac:dyDescent="0.25">
      <c r="A1635" s="1">
        <v>43012</v>
      </c>
      <c r="B1635" s="2" t="s">
        <v>339</v>
      </c>
      <c r="C1635" s="2" t="s">
        <v>565</v>
      </c>
      <c r="D1635">
        <v>16</v>
      </c>
    </row>
    <row r="1636" spans="1:4" x14ac:dyDescent="0.25">
      <c r="A1636" s="1">
        <v>43012</v>
      </c>
      <c r="B1636" s="2" t="s">
        <v>43</v>
      </c>
      <c r="C1636" s="2" t="s">
        <v>569</v>
      </c>
      <c r="D1636">
        <v>26</v>
      </c>
    </row>
    <row r="1637" spans="1:4" x14ac:dyDescent="0.25">
      <c r="A1637" s="1">
        <v>43012</v>
      </c>
      <c r="B1637" s="2" t="s">
        <v>36</v>
      </c>
      <c r="C1637" s="2" t="s">
        <v>229</v>
      </c>
      <c r="D1637">
        <v>50</v>
      </c>
    </row>
    <row r="1638" spans="1:4" x14ac:dyDescent="0.25">
      <c r="A1638" s="1">
        <v>43013</v>
      </c>
      <c r="B1638" s="2" t="s">
        <v>155</v>
      </c>
      <c r="C1638" s="2" t="s">
        <v>414</v>
      </c>
      <c r="D1638">
        <v>19</v>
      </c>
    </row>
    <row r="1639" spans="1:4" x14ac:dyDescent="0.25">
      <c r="A1639" s="1">
        <v>43013</v>
      </c>
      <c r="B1639" s="2" t="s">
        <v>161</v>
      </c>
      <c r="C1639" s="2" t="s">
        <v>214</v>
      </c>
      <c r="D1639">
        <v>27</v>
      </c>
    </row>
    <row r="1640" spans="1:4" x14ac:dyDescent="0.25">
      <c r="A1640" s="1">
        <v>43013</v>
      </c>
      <c r="B1640" s="2" t="s">
        <v>150</v>
      </c>
      <c r="C1640" s="2" t="s">
        <v>151</v>
      </c>
      <c r="D1640">
        <v>2</v>
      </c>
    </row>
    <row r="1641" spans="1:4" x14ac:dyDescent="0.25">
      <c r="A1641" s="1">
        <v>43013</v>
      </c>
      <c r="B1641" s="2" t="s">
        <v>514</v>
      </c>
      <c r="C1641" s="2" t="s">
        <v>515</v>
      </c>
      <c r="D1641">
        <v>15</v>
      </c>
    </row>
    <row r="1642" spans="1:4" x14ac:dyDescent="0.25">
      <c r="A1642" s="1">
        <v>43013</v>
      </c>
      <c r="B1642" s="2" t="s">
        <v>83</v>
      </c>
      <c r="C1642" s="2" t="s">
        <v>91</v>
      </c>
      <c r="D1642">
        <v>3</v>
      </c>
    </row>
    <row r="1643" spans="1:4" x14ac:dyDescent="0.25">
      <c r="A1643" s="1">
        <v>43013</v>
      </c>
      <c r="B1643" s="2" t="s">
        <v>161</v>
      </c>
      <c r="C1643" s="2" t="s">
        <v>305</v>
      </c>
      <c r="D1643">
        <v>56</v>
      </c>
    </row>
    <row r="1644" spans="1:4" x14ac:dyDescent="0.25">
      <c r="A1644" s="1">
        <v>43014</v>
      </c>
      <c r="B1644" s="2" t="s">
        <v>32</v>
      </c>
      <c r="C1644" s="2" t="s">
        <v>276</v>
      </c>
      <c r="D1644">
        <v>36</v>
      </c>
    </row>
    <row r="1645" spans="1:4" x14ac:dyDescent="0.25">
      <c r="A1645" s="1">
        <v>43014</v>
      </c>
      <c r="B1645" s="2" t="s">
        <v>361</v>
      </c>
      <c r="C1645" s="2" t="s">
        <v>424</v>
      </c>
      <c r="D1645">
        <v>32</v>
      </c>
    </row>
    <row r="1646" spans="1:4" x14ac:dyDescent="0.25">
      <c r="A1646" s="1">
        <v>43014</v>
      </c>
      <c r="B1646" s="2" t="s">
        <v>280</v>
      </c>
      <c r="C1646" s="2" t="s">
        <v>466</v>
      </c>
      <c r="D1646">
        <v>50</v>
      </c>
    </row>
    <row r="1647" spans="1:4" x14ac:dyDescent="0.25">
      <c r="A1647" s="1">
        <v>43014</v>
      </c>
      <c r="B1647" s="2" t="s">
        <v>331</v>
      </c>
      <c r="C1647" s="2" t="s">
        <v>26</v>
      </c>
      <c r="D1647">
        <v>26</v>
      </c>
    </row>
    <row r="1648" spans="1:4" x14ac:dyDescent="0.25">
      <c r="A1648" s="1">
        <v>43014</v>
      </c>
      <c r="B1648" s="2" t="s">
        <v>30</v>
      </c>
      <c r="C1648" s="2" t="s">
        <v>680</v>
      </c>
      <c r="D1648">
        <v>13</v>
      </c>
    </row>
    <row r="1649" spans="1:4" x14ac:dyDescent="0.25">
      <c r="A1649" s="1">
        <v>43014</v>
      </c>
      <c r="B1649" s="2" t="s">
        <v>41</v>
      </c>
      <c r="C1649" s="2" t="s">
        <v>614</v>
      </c>
      <c r="D1649">
        <v>2</v>
      </c>
    </row>
    <row r="1650" spans="1:4" x14ac:dyDescent="0.25">
      <c r="A1650" s="1">
        <v>43017</v>
      </c>
      <c r="B1650" s="2" t="s">
        <v>106</v>
      </c>
      <c r="C1650" s="2" t="s">
        <v>107</v>
      </c>
      <c r="D1650">
        <v>11</v>
      </c>
    </row>
    <row r="1651" spans="1:4" x14ac:dyDescent="0.25">
      <c r="A1651" s="1">
        <v>43017</v>
      </c>
      <c r="B1651" s="2" t="s">
        <v>83</v>
      </c>
      <c r="C1651" s="2" t="s">
        <v>615</v>
      </c>
      <c r="D1651">
        <v>19</v>
      </c>
    </row>
    <row r="1652" spans="1:4" x14ac:dyDescent="0.25">
      <c r="A1652" s="1">
        <v>43017</v>
      </c>
      <c r="B1652" s="2" t="s">
        <v>359</v>
      </c>
      <c r="C1652" s="2" t="s">
        <v>360</v>
      </c>
      <c r="D1652">
        <v>23</v>
      </c>
    </row>
    <row r="1653" spans="1:4" x14ac:dyDescent="0.25">
      <c r="A1653" s="1">
        <v>43017</v>
      </c>
      <c r="B1653" s="2" t="s">
        <v>69</v>
      </c>
      <c r="C1653" s="2" t="s">
        <v>200</v>
      </c>
      <c r="D1653">
        <v>22</v>
      </c>
    </row>
    <row r="1654" spans="1:4" x14ac:dyDescent="0.25">
      <c r="A1654" s="1">
        <v>43017</v>
      </c>
      <c r="B1654" s="2" t="s">
        <v>95</v>
      </c>
      <c r="C1654" s="2" t="s">
        <v>426</v>
      </c>
      <c r="D1654">
        <v>19</v>
      </c>
    </row>
    <row r="1655" spans="1:4" x14ac:dyDescent="0.25">
      <c r="A1655" s="1">
        <v>43017</v>
      </c>
      <c r="B1655" s="2" t="s">
        <v>83</v>
      </c>
      <c r="C1655" s="2" t="s">
        <v>637</v>
      </c>
      <c r="D1655">
        <v>5</v>
      </c>
    </row>
    <row r="1656" spans="1:4" x14ac:dyDescent="0.25">
      <c r="A1656" s="1">
        <v>43018</v>
      </c>
      <c r="B1656" s="2" t="s">
        <v>206</v>
      </c>
      <c r="C1656" s="2" t="s">
        <v>332</v>
      </c>
      <c r="D1656">
        <v>10</v>
      </c>
    </row>
    <row r="1657" spans="1:4" x14ac:dyDescent="0.25">
      <c r="A1657" s="1">
        <v>43018</v>
      </c>
      <c r="B1657" s="2" t="s">
        <v>150</v>
      </c>
      <c r="C1657" s="2" t="s">
        <v>298</v>
      </c>
      <c r="D1657">
        <v>13</v>
      </c>
    </row>
    <row r="1658" spans="1:4" x14ac:dyDescent="0.25">
      <c r="A1658" s="1">
        <v>43018</v>
      </c>
      <c r="B1658" s="2" t="s">
        <v>339</v>
      </c>
      <c r="C1658" s="2" t="s">
        <v>565</v>
      </c>
      <c r="D1658">
        <v>12</v>
      </c>
    </row>
    <row r="1659" spans="1:4" x14ac:dyDescent="0.25">
      <c r="A1659" s="1">
        <v>43018</v>
      </c>
      <c r="B1659" s="2" t="s">
        <v>81</v>
      </c>
      <c r="C1659" s="2" t="s">
        <v>584</v>
      </c>
      <c r="D1659">
        <v>25</v>
      </c>
    </row>
    <row r="1660" spans="1:4" x14ac:dyDescent="0.25">
      <c r="A1660" s="1">
        <v>43018</v>
      </c>
      <c r="B1660" s="2" t="s">
        <v>55</v>
      </c>
      <c r="C1660" s="2" t="s">
        <v>223</v>
      </c>
      <c r="D1660">
        <v>25</v>
      </c>
    </row>
    <row r="1661" spans="1:4" x14ac:dyDescent="0.25">
      <c r="A1661" s="1">
        <v>43018</v>
      </c>
      <c r="B1661" s="2" t="s">
        <v>282</v>
      </c>
      <c r="C1661" s="2" t="s">
        <v>283</v>
      </c>
      <c r="D1661">
        <v>9</v>
      </c>
    </row>
    <row r="1662" spans="1:4" x14ac:dyDescent="0.25">
      <c r="A1662" s="1">
        <v>43019</v>
      </c>
      <c r="B1662" s="2" t="s">
        <v>81</v>
      </c>
      <c r="C1662" s="2" t="s">
        <v>104</v>
      </c>
      <c r="D1662">
        <v>17</v>
      </c>
    </row>
    <row r="1663" spans="1:4" x14ac:dyDescent="0.25">
      <c r="A1663" s="1">
        <v>43019</v>
      </c>
      <c r="B1663" s="2" t="s">
        <v>681</v>
      </c>
      <c r="C1663" s="2" t="s">
        <v>682</v>
      </c>
      <c r="D1663">
        <v>26</v>
      </c>
    </row>
    <row r="1664" spans="1:4" x14ac:dyDescent="0.25">
      <c r="A1664" s="1">
        <v>43019</v>
      </c>
      <c r="B1664" s="2" t="s">
        <v>97</v>
      </c>
      <c r="C1664" s="2" t="s">
        <v>136</v>
      </c>
      <c r="D1664">
        <v>44</v>
      </c>
    </row>
    <row r="1665" spans="1:4" x14ac:dyDescent="0.25">
      <c r="A1665" s="1">
        <v>43019</v>
      </c>
      <c r="B1665" s="2" t="s">
        <v>69</v>
      </c>
      <c r="C1665" s="2" t="s">
        <v>108</v>
      </c>
      <c r="D1665">
        <v>31</v>
      </c>
    </row>
    <row r="1666" spans="1:4" x14ac:dyDescent="0.25">
      <c r="A1666" s="1">
        <v>43019</v>
      </c>
      <c r="B1666" s="2" t="s">
        <v>553</v>
      </c>
      <c r="C1666" s="2" t="s">
        <v>554</v>
      </c>
      <c r="D1666">
        <v>6</v>
      </c>
    </row>
    <row r="1667" spans="1:4" x14ac:dyDescent="0.25">
      <c r="A1667" s="1">
        <v>43019</v>
      </c>
      <c r="B1667" s="2" t="s">
        <v>27</v>
      </c>
      <c r="C1667" s="2" t="s">
        <v>683</v>
      </c>
      <c r="D1667">
        <v>14</v>
      </c>
    </row>
    <row r="1668" spans="1:4" x14ac:dyDescent="0.25">
      <c r="A1668" s="1">
        <v>43020</v>
      </c>
      <c r="B1668" s="2" t="s">
        <v>523</v>
      </c>
      <c r="C1668" s="2" t="s">
        <v>524</v>
      </c>
      <c r="D1668">
        <v>5</v>
      </c>
    </row>
    <row r="1669" spans="1:4" x14ac:dyDescent="0.25">
      <c r="A1669" s="1">
        <v>43020</v>
      </c>
      <c r="B1669" s="2" t="s">
        <v>314</v>
      </c>
      <c r="C1669" s="2" t="s">
        <v>466</v>
      </c>
      <c r="D1669">
        <v>21</v>
      </c>
    </row>
    <row r="1670" spans="1:4" x14ac:dyDescent="0.25">
      <c r="A1670" s="1">
        <v>43020</v>
      </c>
      <c r="B1670" s="2" t="s">
        <v>18</v>
      </c>
      <c r="C1670" s="2" t="s">
        <v>597</v>
      </c>
      <c r="D1670">
        <v>4</v>
      </c>
    </row>
    <row r="1671" spans="1:4" x14ac:dyDescent="0.25">
      <c r="A1671" s="1">
        <v>43020</v>
      </c>
      <c r="B1671" s="2" t="s">
        <v>51</v>
      </c>
      <c r="C1671" s="2" t="s">
        <v>358</v>
      </c>
      <c r="D1671">
        <v>51</v>
      </c>
    </row>
    <row r="1672" spans="1:4" x14ac:dyDescent="0.25">
      <c r="A1672" s="1">
        <v>43020</v>
      </c>
      <c r="B1672" s="2" t="s">
        <v>267</v>
      </c>
      <c r="C1672" s="2" t="s">
        <v>268</v>
      </c>
      <c r="D1672">
        <v>27</v>
      </c>
    </row>
    <row r="1673" spans="1:4" x14ac:dyDescent="0.25">
      <c r="A1673" s="1">
        <v>43020</v>
      </c>
      <c r="B1673" s="2" t="s">
        <v>589</v>
      </c>
      <c r="C1673" s="2" t="s">
        <v>590</v>
      </c>
      <c r="D1673">
        <v>15</v>
      </c>
    </row>
    <row r="1674" spans="1:4" x14ac:dyDescent="0.25">
      <c r="A1674" s="1">
        <v>43021</v>
      </c>
      <c r="B1674" s="2" t="s">
        <v>4</v>
      </c>
      <c r="C1674" s="2" t="s">
        <v>489</v>
      </c>
      <c r="D1674">
        <v>15</v>
      </c>
    </row>
    <row r="1675" spans="1:4" x14ac:dyDescent="0.25">
      <c r="A1675" s="1">
        <v>43021</v>
      </c>
      <c r="B1675" s="2" t="s">
        <v>114</v>
      </c>
      <c r="C1675" s="2" t="s">
        <v>173</v>
      </c>
      <c r="D1675">
        <v>13</v>
      </c>
    </row>
    <row r="1676" spans="1:4" x14ac:dyDescent="0.25">
      <c r="A1676" s="1">
        <v>43021</v>
      </c>
      <c r="B1676" s="2" t="s">
        <v>141</v>
      </c>
      <c r="C1676" s="2" t="s">
        <v>202</v>
      </c>
      <c r="D1676">
        <v>22</v>
      </c>
    </row>
    <row r="1677" spans="1:4" x14ac:dyDescent="0.25">
      <c r="A1677" s="1">
        <v>43021</v>
      </c>
      <c r="B1677" s="2" t="s">
        <v>150</v>
      </c>
      <c r="C1677" s="2" t="s">
        <v>151</v>
      </c>
      <c r="D1677">
        <v>16</v>
      </c>
    </row>
    <row r="1678" spans="1:4" x14ac:dyDescent="0.25">
      <c r="A1678" s="1">
        <v>43021</v>
      </c>
      <c r="B1678" s="2" t="s">
        <v>55</v>
      </c>
      <c r="C1678" s="2" t="s">
        <v>326</v>
      </c>
      <c r="D1678">
        <v>9</v>
      </c>
    </row>
    <row r="1679" spans="1:4" x14ac:dyDescent="0.25">
      <c r="A1679" s="1">
        <v>43021</v>
      </c>
      <c r="B1679" s="2" t="s">
        <v>147</v>
      </c>
      <c r="C1679" s="2" t="s">
        <v>578</v>
      </c>
      <c r="D1679">
        <v>8</v>
      </c>
    </row>
    <row r="1680" spans="1:4" x14ac:dyDescent="0.25">
      <c r="A1680" s="1">
        <v>43024</v>
      </c>
      <c r="B1680" s="2" t="s">
        <v>101</v>
      </c>
      <c r="C1680" s="2" t="s">
        <v>263</v>
      </c>
      <c r="D1680">
        <v>5</v>
      </c>
    </row>
    <row r="1681" spans="1:4" x14ac:dyDescent="0.25">
      <c r="A1681" s="1">
        <v>43024</v>
      </c>
      <c r="B1681" s="2" t="s">
        <v>4</v>
      </c>
      <c r="C1681" s="2" t="s">
        <v>22</v>
      </c>
      <c r="D1681">
        <v>10</v>
      </c>
    </row>
    <row r="1682" spans="1:4" x14ac:dyDescent="0.25">
      <c r="A1682" s="1">
        <v>43024</v>
      </c>
      <c r="B1682" s="2" t="s">
        <v>27</v>
      </c>
      <c r="C1682" s="2" t="s">
        <v>94</v>
      </c>
      <c r="D1682">
        <v>29</v>
      </c>
    </row>
    <row r="1683" spans="1:4" x14ac:dyDescent="0.25">
      <c r="A1683" s="1">
        <v>43024</v>
      </c>
      <c r="B1683" s="2" t="s">
        <v>55</v>
      </c>
      <c r="C1683" s="2" t="s">
        <v>571</v>
      </c>
      <c r="D1683">
        <v>20</v>
      </c>
    </row>
    <row r="1684" spans="1:4" x14ac:dyDescent="0.25">
      <c r="A1684" s="1">
        <v>43024</v>
      </c>
      <c r="B1684" s="2" t="s">
        <v>36</v>
      </c>
      <c r="C1684" s="2" t="s">
        <v>166</v>
      </c>
      <c r="D1684">
        <v>11</v>
      </c>
    </row>
    <row r="1685" spans="1:4" x14ac:dyDescent="0.25">
      <c r="A1685" s="1">
        <v>43024</v>
      </c>
      <c r="B1685" s="2" t="s">
        <v>314</v>
      </c>
      <c r="C1685" s="2" t="s">
        <v>535</v>
      </c>
      <c r="D1685">
        <v>45</v>
      </c>
    </row>
    <row r="1686" spans="1:4" x14ac:dyDescent="0.25">
      <c r="A1686" s="1">
        <v>43024</v>
      </c>
      <c r="B1686" s="2" t="s">
        <v>372</v>
      </c>
      <c r="C1686" s="2" t="s">
        <v>373</v>
      </c>
      <c r="D1686">
        <v>9</v>
      </c>
    </row>
    <row r="1687" spans="1:4" x14ac:dyDescent="0.25">
      <c r="A1687" s="1">
        <v>43024</v>
      </c>
      <c r="B1687" s="2" t="s">
        <v>169</v>
      </c>
      <c r="C1687" s="2" t="s">
        <v>684</v>
      </c>
      <c r="D1687">
        <v>15</v>
      </c>
    </row>
    <row r="1688" spans="1:4" x14ac:dyDescent="0.25">
      <c r="A1688" s="1">
        <v>43024</v>
      </c>
      <c r="B1688" s="2" t="s">
        <v>137</v>
      </c>
      <c r="C1688" s="2" t="s">
        <v>685</v>
      </c>
      <c r="D1688">
        <v>6</v>
      </c>
    </row>
    <row r="1689" spans="1:4" x14ac:dyDescent="0.25">
      <c r="A1689" s="1">
        <v>43024</v>
      </c>
      <c r="B1689" s="2" t="s">
        <v>141</v>
      </c>
      <c r="C1689" s="2" t="s">
        <v>447</v>
      </c>
      <c r="D1689">
        <v>13</v>
      </c>
    </row>
    <row r="1690" spans="1:4" x14ac:dyDescent="0.25">
      <c r="A1690" s="1">
        <v>43024</v>
      </c>
      <c r="B1690" s="2" t="s">
        <v>232</v>
      </c>
      <c r="C1690" s="2" t="s">
        <v>487</v>
      </c>
      <c r="D1690">
        <v>7</v>
      </c>
    </row>
    <row r="1691" spans="1:4" x14ac:dyDescent="0.25">
      <c r="A1691" s="1">
        <v>43024</v>
      </c>
      <c r="B1691" s="2" t="s">
        <v>81</v>
      </c>
      <c r="C1691" s="2" t="s">
        <v>496</v>
      </c>
      <c r="D1691">
        <v>34</v>
      </c>
    </row>
    <row r="1692" spans="1:4" x14ac:dyDescent="0.25">
      <c r="A1692" s="1">
        <v>43024</v>
      </c>
      <c r="B1692" s="2" t="s">
        <v>176</v>
      </c>
      <c r="C1692" s="2" t="s">
        <v>486</v>
      </c>
      <c r="D1692">
        <v>4</v>
      </c>
    </row>
    <row r="1693" spans="1:4" x14ac:dyDescent="0.25">
      <c r="A1693" s="1">
        <v>43024</v>
      </c>
      <c r="B1693" s="2" t="s">
        <v>69</v>
      </c>
      <c r="C1693" s="2" t="s">
        <v>108</v>
      </c>
      <c r="D1693">
        <v>17</v>
      </c>
    </row>
    <row r="1694" spans="1:4" x14ac:dyDescent="0.25">
      <c r="A1694" s="1">
        <v>43025</v>
      </c>
      <c r="B1694" s="2" t="s">
        <v>374</v>
      </c>
      <c r="C1694" s="2" t="s">
        <v>375</v>
      </c>
      <c r="D1694">
        <v>5</v>
      </c>
    </row>
    <row r="1695" spans="1:4" x14ac:dyDescent="0.25">
      <c r="A1695" s="1">
        <v>43025</v>
      </c>
      <c r="B1695" s="2" t="s">
        <v>30</v>
      </c>
      <c r="C1695" s="2" t="s">
        <v>680</v>
      </c>
      <c r="D1695">
        <v>9</v>
      </c>
    </row>
    <row r="1696" spans="1:4" x14ac:dyDescent="0.25">
      <c r="A1696" s="1">
        <v>43025</v>
      </c>
      <c r="B1696" s="2" t="s">
        <v>23</v>
      </c>
      <c r="C1696" s="2" t="s">
        <v>24</v>
      </c>
      <c r="D1696">
        <v>12</v>
      </c>
    </row>
    <row r="1697" spans="1:4" x14ac:dyDescent="0.25">
      <c r="A1697" s="1">
        <v>43025</v>
      </c>
      <c r="B1697" s="2" t="s">
        <v>55</v>
      </c>
      <c r="C1697" s="2" t="s">
        <v>625</v>
      </c>
      <c r="D1697">
        <v>22</v>
      </c>
    </row>
    <row r="1698" spans="1:4" x14ac:dyDescent="0.25">
      <c r="A1698" s="1">
        <v>43025</v>
      </c>
      <c r="B1698" s="2" t="s">
        <v>393</v>
      </c>
      <c r="C1698" s="2" t="s">
        <v>394</v>
      </c>
      <c r="D1698">
        <v>4</v>
      </c>
    </row>
    <row r="1699" spans="1:4" x14ac:dyDescent="0.25">
      <c r="A1699" s="1">
        <v>43025</v>
      </c>
      <c r="B1699" s="2" t="s">
        <v>352</v>
      </c>
      <c r="C1699" s="2" t="s">
        <v>425</v>
      </c>
      <c r="D1699">
        <v>12</v>
      </c>
    </row>
    <row r="1700" spans="1:4" x14ac:dyDescent="0.25">
      <c r="A1700" s="1">
        <v>43025</v>
      </c>
      <c r="B1700" s="2" t="s">
        <v>55</v>
      </c>
      <c r="C1700" s="2" t="s">
        <v>493</v>
      </c>
      <c r="D1700">
        <v>5</v>
      </c>
    </row>
    <row r="1701" spans="1:4" x14ac:dyDescent="0.25">
      <c r="A1701" s="1">
        <v>43025</v>
      </c>
      <c r="B1701" s="2" t="s">
        <v>663</v>
      </c>
      <c r="C1701" s="2" t="s">
        <v>134</v>
      </c>
      <c r="D1701">
        <v>9</v>
      </c>
    </row>
    <row r="1702" spans="1:4" x14ac:dyDescent="0.25">
      <c r="A1702" s="1">
        <v>43025</v>
      </c>
      <c r="B1702" s="2" t="s">
        <v>30</v>
      </c>
      <c r="C1702" s="2" t="s">
        <v>89</v>
      </c>
      <c r="D1702">
        <v>8</v>
      </c>
    </row>
    <row r="1703" spans="1:4" x14ac:dyDescent="0.25">
      <c r="A1703" s="1">
        <v>43025</v>
      </c>
      <c r="B1703" s="2" t="s">
        <v>25</v>
      </c>
      <c r="C1703" s="2" t="s">
        <v>26</v>
      </c>
      <c r="D1703">
        <v>25</v>
      </c>
    </row>
    <row r="1704" spans="1:4" x14ac:dyDescent="0.25">
      <c r="A1704" s="1">
        <v>43025</v>
      </c>
      <c r="B1704" s="2" t="s">
        <v>69</v>
      </c>
      <c r="C1704" s="2" t="s">
        <v>286</v>
      </c>
      <c r="D1704">
        <v>2</v>
      </c>
    </row>
    <row r="1705" spans="1:4" x14ac:dyDescent="0.25">
      <c r="A1705" s="1">
        <v>43025</v>
      </c>
      <c r="B1705" s="2" t="s">
        <v>83</v>
      </c>
      <c r="C1705" s="2" t="s">
        <v>561</v>
      </c>
      <c r="D1705">
        <v>22</v>
      </c>
    </row>
    <row r="1706" spans="1:4" x14ac:dyDescent="0.25">
      <c r="A1706" s="1">
        <v>43025</v>
      </c>
      <c r="B1706" s="2" t="s">
        <v>69</v>
      </c>
      <c r="C1706" s="2" t="s">
        <v>200</v>
      </c>
      <c r="D1706">
        <v>23</v>
      </c>
    </row>
    <row r="1707" spans="1:4" x14ac:dyDescent="0.25">
      <c r="A1707" s="1">
        <v>43025</v>
      </c>
      <c r="B1707" s="2" t="s">
        <v>171</v>
      </c>
      <c r="C1707" s="2" t="s">
        <v>645</v>
      </c>
      <c r="D1707">
        <v>14</v>
      </c>
    </row>
    <row r="1708" spans="1:4" x14ac:dyDescent="0.25">
      <c r="A1708" s="1">
        <v>43025</v>
      </c>
      <c r="B1708" s="2" t="s">
        <v>39</v>
      </c>
      <c r="C1708" s="2" t="s">
        <v>609</v>
      </c>
      <c r="D1708">
        <v>7</v>
      </c>
    </row>
    <row r="1709" spans="1:4" x14ac:dyDescent="0.25">
      <c r="A1709" s="1">
        <v>43026</v>
      </c>
      <c r="B1709" s="2" t="s">
        <v>141</v>
      </c>
      <c r="C1709" s="2" t="s">
        <v>550</v>
      </c>
      <c r="D1709">
        <v>37</v>
      </c>
    </row>
    <row r="1710" spans="1:4" x14ac:dyDescent="0.25">
      <c r="A1710" s="1">
        <v>43026</v>
      </c>
      <c r="B1710" s="2" t="s">
        <v>34</v>
      </c>
      <c r="C1710" s="2" t="s">
        <v>679</v>
      </c>
      <c r="D1710">
        <v>18</v>
      </c>
    </row>
    <row r="1711" spans="1:4" x14ac:dyDescent="0.25">
      <c r="A1711" s="1">
        <v>43026</v>
      </c>
      <c r="B1711" s="2" t="s">
        <v>395</v>
      </c>
      <c r="C1711" s="2" t="s">
        <v>467</v>
      </c>
      <c r="D1711">
        <v>7</v>
      </c>
    </row>
    <row r="1712" spans="1:4" x14ac:dyDescent="0.25">
      <c r="A1712" s="1">
        <v>43026</v>
      </c>
      <c r="B1712" s="2" t="s">
        <v>503</v>
      </c>
      <c r="C1712" s="2" t="s">
        <v>183</v>
      </c>
      <c r="D1712">
        <v>24</v>
      </c>
    </row>
    <row r="1713" spans="1:4" x14ac:dyDescent="0.25">
      <c r="A1713" s="1">
        <v>43026</v>
      </c>
      <c r="B1713" s="2" t="s">
        <v>43</v>
      </c>
      <c r="C1713" s="2" t="s">
        <v>71</v>
      </c>
      <c r="D1713">
        <v>2</v>
      </c>
    </row>
    <row r="1714" spans="1:4" x14ac:dyDescent="0.25">
      <c r="A1714" s="1">
        <v>43026</v>
      </c>
      <c r="B1714" s="2" t="s">
        <v>141</v>
      </c>
      <c r="C1714" s="2" t="s">
        <v>435</v>
      </c>
      <c r="D1714">
        <v>16</v>
      </c>
    </row>
    <row r="1715" spans="1:4" x14ac:dyDescent="0.25">
      <c r="A1715" s="1">
        <v>43026</v>
      </c>
      <c r="B1715" s="2" t="s">
        <v>372</v>
      </c>
      <c r="C1715" s="2" t="s">
        <v>373</v>
      </c>
      <c r="D1715">
        <v>11</v>
      </c>
    </row>
    <row r="1716" spans="1:4" x14ac:dyDescent="0.25">
      <c r="A1716" s="1">
        <v>43026</v>
      </c>
      <c r="B1716" s="2" t="s">
        <v>351</v>
      </c>
      <c r="C1716" s="2" t="s">
        <v>227</v>
      </c>
      <c r="D1716">
        <v>27</v>
      </c>
    </row>
    <row r="1717" spans="1:4" x14ac:dyDescent="0.25">
      <c r="A1717" s="1">
        <v>43026</v>
      </c>
      <c r="B1717" s="2" t="s">
        <v>41</v>
      </c>
      <c r="C1717" s="2" t="s">
        <v>614</v>
      </c>
      <c r="D1717">
        <v>27</v>
      </c>
    </row>
    <row r="1718" spans="1:4" x14ac:dyDescent="0.25">
      <c r="A1718" s="1">
        <v>43026</v>
      </c>
      <c r="B1718" s="2" t="s">
        <v>150</v>
      </c>
      <c r="C1718" s="2" t="s">
        <v>676</v>
      </c>
      <c r="D1718">
        <v>42</v>
      </c>
    </row>
    <row r="1719" spans="1:4" x14ac:dyDescent="0.25">
      <c r="A1719" s="1">
        <v>43026</v>
      </c>
      <c r="B1719" s="2" t="s">
        <v>374</v>
      </c>
      <c r="C1719" s="2" t="s">
        <v>375</v>
      </c>
      <c r="D1719">
        <v>10</v>
      </c>
    </row>
    <row r="1720" spans="1:4" x14ac:dyDescent="0.25">
      <c r="A1720" s="1">
        <v>43026</v>
      </c>
      <c r="B1720" s="2" t="s">
        <v>232</v>
      </c>
      <c r="C1720" s="2" t="s">
        <v>526</v>
      </c>
      <c r="D1720">
        <v>28</v>
      </c>
    </row>
    <row r="1721" spans="1:4" x14ac:dyDescent="0.25">
      <c r="A1721" s="1">
        <v>43026</v>
      </c>
      <c r="B1721" s="2" t="s">
        <v>310</v>
      </c>
      <c r="C1721" s="2" t="s">
        <v>505</v>
      </c>
      <c r="D1721">
        <v>13</v>
      </c>
    </row>
    <row r="1722" spans="1:4" x14ac:dyDescent="0.25">
      <c r="A1722" s="1">
        <v>43026</v>
      </c>
      <c r="B1722" s="2" t="s">
        <v>117</v>
      </c>
      <c r="C1722" s="2" t="s">
        <v>118</v>
      </c>
      <c r="D1722">
        <v>29</v>
      </c>
    </row>
    <row r="1723" spans="1:4" x14ac:dyDescent="0.25">
      <c r="A1723" s="1">
        <v>43026</v>
      </c>
      <c r="B1723" s="2" t="s">
        <v>208</v>
      </c>
      <c r="C1723" s="2" t="s">
        <v>611</v>
      </c>
      <c r="D1723">
        <v>46</v>
      </c>
    </row>
    <row r="1724" spans="1:4" x14ac:dyDescent="0.25">
      <c r="A1724" s="1">
        <v>43027</v>
      </c>
      <c r="B1724" s="2" t="s">
        <v>20</v>
      </c>
      <c r="C1724" s="2" t="s">
        <v>381</v>
      </c>
      <c r="D1724">
        <v>5</v>
      </c>
    </row>
    <row r="1725" spans="1:4" x14ac:dyDescent="0.25">
      <c r="A1725" s="1">
        <v>43027</v>
      </c>
      <c r="B1725" s="2" t="s">
        <v>374</v>
      </c>
      <c r="C1725" s="2" t="s">
        <v>581</v>
      </c>
      <c r="D1725">
        <v>35</v>
      </c>
    </row>
    <row r="1726" spans="1:4" x14ac:dyDescent="0.25">
      <c r="A1726" s="1">
        <v>43027</v>
      </c>
      <c r="B1726" s="2" t="s">
        <v>55</v>
      </c>
      <c r="C1726" s="2" t="s">
        <v>184</v>
      </c>
      <c r="D1726">
        <v>5</v>
      </c>
    </row>
    <row r="1727" spans="1:4" x14ac:dyDescent="0.25">
      <c r="A1727" s="1">
        <v>43027</v>
      </c>
      <c r="B1727" s="2" t="s">
        <v>393</v>
      </c>
      <c r="C1727" s="2" t="s">
        <v>686</v>
      </c>
      <c r="D1727">
        <v>35</v>
      </c>
    </row>
    <row r="1728" spans="1:4" x14ac:dyDescent="0.25">
      <c r="A1728" s="1">
        <v>43027</v>
      </c>
      <c r="B1728" s="2" t="s">
        <v>101</v>
      </c>
      <c r="C1728" s="2" t="s">
        <v>212</v>
      </c>
      <c r="D1728">
        <v>8</v>
      </c>
    </row>
    <row r="1729" spans="1:4" x14ac:dyDescent="0.25">
      <c r="A1729" s="1">
        <v>43027</v>
      </c>
      <c r="B1729" s="2" t="s">
        <v>343</v>
      </c>
      <c r="C1729" s="2" t="s">
        <v>501</v>
      </c>
      <c r="D1729">
        <v>44</v>
      </c>
    </row>
    <row r="1730" spans="1:4" x14ac:dyDescent="0.25">
      <c r="A1730" s="1">
        <v>43027</v>
      </c>
      <c r="B1730" s="2" t="s">
        <v>343</v>
      </c>
      <c r="C1730" s="2" t="s">
        <v>501</v>
      </c>
      <c r="D1730">
        <v>34</v>
      </c>
    </row>
    <row r="1731" spans="1:4" x14ac:dyDescent="0.25">
      <c r="A1731" s="1">
        <v>43027</v>
      </c>
      <c r="B1731" s="2" t="s">
        <v>310</v>
      </c>
      <c r="C1731" s="2" t="s">
        <v>311</v>
      </c>
      <c r="D1731">
        <v>6</v>
      </c>
    </row>
    <row r="1732" spans="1:4" x14ac:dyDescent="0.25">
      <c r="A1732" s="1">
        <v>43027</v>
      </c>
      <c r="B1732" s="2" t="s">
        <v>147</v>
      </c>
      <c r="C1732" s="2" t="s">
        <v>644</v>
      </c>
      <c r="D1732">
        <v>16</v>
      </c>
    </row>
    <row r="1733" spans="1:4" x14ac:dyDescent="0.25">
      <c r="A1733" s="1">
        <v>43027</v>
      </c>
      <c r="B1733" s="2" t="s">
        <v>65</v>
      </c>
      <c r="C1733" s="2" t="s">
        <v>205</v>
      </c>
      <c r="D1733">
        <v>32</v>
      </c>
    </row>
    <row r="1734" spans="1:4" x14ac:dyDescent="0.25">
      <c r="A1734" s="1">
        <v>43027</v>
      </c>
      <c r="B1734" s="2" t="s">
        <v>34</v>
      </c>
      <c r="C1734" s="2" t="s">
        <v>445</v>
      </c>
      <c r="D1734">
        <v>35</v>
      </c>
    </row>
    <row r="1735" spans="1:4" x14ac:dyDescent="0.25">
      <c r="A1735" s="1">
        <v>43027</v>
      </c>
      <c r="B1735" s="2" t="s">
        <v>67</v>
      </c>
      <c r="C1735" s="2" t="s">
        <v>301</v>
      </c>
      <c r="D1735">
        <v>9</v>
      </c>
    </row>
    <row r="1736" spans="1:4" x14ac:dyDescent="0.25">
      <c r="A1736" s="1">
        <v>43027</v>
      </c>
      <c r="B1736" s="2" t="s">
        <v>310</v>
      </c>
      <c r="C1736" s="2" t="s">
        <v>458</v>
      </c>
      <c r="D1736">
        <v>29</v>
      </c>
    </row>
    <row r="1737" spans="1:4" x14ac:dyDescent="0.25">
      <c r="A1737" s="1">
        <v>43027</v>
      </c>
      <c r="B1737" s="2" t="s">
        <v>174</v>
      </c>
      <c r="C1737" s="2" t="s">
        <v>570</v>
      </c>
      <c r="D1737">
        <v>51</v>
      </c>
    </row>
    <row r="1738" spans="1:4" x14ac:dyDescent="0.25">
      <c r="A1738" s="1">
        <v>43028</v>
      </c>
      <c r="B1738" s="2" t="s">
        <v>143</v>
      </c>
      <c r="C1738" s="2" t="s">
        <v>510</v>
      </c>
      <c r="D1738">
        <v>14</v>
      </c>
    </row>
    <row r="1739" spans="1:4" x14ac:dyDescent="0.25">
      <c r="A1739" s="1">
        <v>43028</v>
      </c>
      <c r="B1739" s="2" t="s">
        <v>150</v>
      </c>
      <c r="C1739" s="2" t="s">
        <v>200</v>
      </c>
      <c r="D1739">
        <v>6</v>
      </c>
    </row>
    <row r="1740" spans="1:4" x14ac:dyDescent="0.25">
      <c r="A1740" s="1">
        <v>43028</v>
      </c>
      <c r="B1740" s="2" t="s">
        <v>442</v>
      </c>
      <c r="C1740" s="2" t="s">
        <v>540</v>
      </c>
      <c r="D1740">
        <v>7</v>
      </c>
    </row>
    <row r="1741" spans="1:4" x14ac:dyDescent="0.25">
      <c r="A1741" s="1">
        <v>43028</v>
      </c>
      <c r="B1741" s="2" t="s">
        <v>150</v>
      </c>
      <c r="C1741" s="2" t="s">
        <v>556</v>
      </c>
      <c r="D1741">
        <v>23</v>
      </c>
    </row>
    <row r="1742" spans="1:4" x14ac:dyDescent="0.25">
      <c r="A1742" s="1">
        <v>43028</v>
      </c>
      <c r="B1742" s="2" t="s">
        <v>97</v>
      </c>
      <c r="C1742" s="2" t="s">
        <v>188</v>
      </c>
      <c r="D1742">
        <v>19</v>
      </c>
    </row>
    <row r="1743" spans="1:4" x14ac:dyDescent="0.25">
      <c r="A1743" s="1">
        <v>43028</v>
      </c>
      <c r="B1743" s="2" t="s">
        <v>20</v>
      </c>
      <c r="C1743" s="2" t="s">
        <v>381</v>
      </c>
      <c r="D1743">
        <v>9</v>
      </c>
    </row>
    <row r="1744" spans="1:4" x14ac:dyDescent="0.25">
      <c r="A1744" s="1">
        <v>43028</v>
      </c>
      <c r="B1744" s="2" t="s">
        <v>635</v>
      </c>
      <c r="C1744" s="2" t="s">
        <v>636</v>
      </c>
      <c r="D1744">
        <v>24</v>
      </c>
    </row>
    <row r="1745" spans="1:4" x14ac:dyDescent="0.25">
      <c r="A1745" s="1">
        <v>43028</v>
      </c>
      <c r="B1745" s="2" t="s">
        <v>361</v>
      </c>
      <c r="C1745" s="2" t="s">
        <v>362</v>
      </c>
      <c r="D1745">
        <v>22</v>
      </c>
    </row>
    <row r="1746" spans="1:4" x14ac:dyDescent="0.25">
      <c r="A1746" s="1">
        <v>43028</v>
      </c>
      <c r="B1746" s="2" t="s">
        <v>101</v>
      </c>
      <c r="C1746" s="2" t="s">
        <v>188</v>
      </c>
      <c r="D1746">
        <v>22</v>
      </c>
    </row>
    <row r="1747" spans="1:4" x14ac:dyDescent="0.25">
      <c r="A1747" s="1">
        <v>43028</v>
      </c>
      <c r="B1747" s="2" t="s">
        <v>395</v>
      </c>
      <c r="C1747" s="2" t="s">
        <v>687</v>
      </c>
      <c r="D1747">
        <v>31</v>
      </c>
    </row>
    <row r="1748" spans="1:4" x14ac:dyDescent="0.25">
      <c r="A1748" s="1">
        <v>43028</v>
      </c>
      <c r="B1748" s="2" t="s">
        <v>128</v>
      </c>
      <c r="C1748" s="2" t="s">
        <v>12</v>
      </c>
      <c r="D1748">
        <v>4</v>
      </c>
    </row>
    <row r="1749" spans="1:4" x14ac:dyDescent="0.25">
      <c r="A1749" s="1">
        <v>43028</v>
      </c>
      <c r="B1749" s="2" t="s">
        <v>53</v>
      </c>
      <c r="C1749" s="2" t="s">
        <v>227</v>
      </c>
      <c r="D1749">
        <v>2</v>
      </c>
    </row>
    <row r="1750" spans="1:4" x14ac:dyDescent="0.25">
      <c r="A1750" s="1">
        <v>43028</v>
      </c>
      <c r="B1750" s="2" t="s">
        <v>193</v>
      </c>
      <c r="C1750" s="2" t="s">
        <v>555</v>
      </c>
      <c r="D1750">
        <v>25</v>
      </c>
    </row>
    <row r="1751" spans="1:4" x14ac:dyDescent="0.25">
      <c r="A1751" s="1">
        <v>43028</v>
      </c>
      <c r="B1751" s="2" t="s">
        <v>312</v>
      </c>
      <c r="C1751" s="2" t="s">
        <v>88</v>
      </c>
      <c r="D1751">
        <v>17</v>
      </c>
    </row>
    <row r="1752" spans="1:4" x14ac:dyDescent="0.25">
      <c r="A1752" s="1">
        <v>43028</v>
      </c>
      <c r="B1752" s="2" t="s">
        <v>152</v>
      </c>
      <c r="C1752" s="2" t="s">
        <v>17</v>
      </c>
      <c r="D1752">
        <v>6</v>
      </c>
    </row>
    <row r="1753" spans="1:4" x14ac:dyDescent="0.25">
      <c r="A1753" s="1">
        <v>43028</v>
      </c>
      <c r="B1753" s="2" t="s">
        <v>144</v>
      </c>
      <c r="C1753" s="2" t="s">
        <v>390</v>
      </c>
      <c r="D1753">
        <v>21</v>
      </c>
    </row>
    <row r="1754" spans="1:4" x14ac:dyDescent="0.25">
      <c r="A1754" s="1">
        <v>43028</v>
      </c>
      <c r="B1754" s="2" t="s">
        <v>150</v>
      </c>
      <c r="C1754" s="2" t="s">
        <v>211</v>
      </c>
      <c r="D1754">
        <v>26</v>
      </c>
    </row>
    <row r="1755" spans="1:4" x14ac:dyDescent="0.25">
      <c r="A1755" s="1">
        <v>43031</v>
      </c>
      <c r="B1755" s="2" t="s">
        <v>427</v>
      </c>
      <c r="C1755" s="2" t="s">
        <v>118</v>
      </c>
      <c r="D1755">
        <v>41</v>
      </c>
    </row>
    <row r="1756" spans="1:4" x14ac:dyDescent="0.25">
      <c r="A1756" s="1">
        <v>43031</v>
      </c>
      <c r="B1756" s="2" t="s">
        <v>34</v>
      </c>
      <c r="C1756" s="2" t="s">
        <v>564</v>
      </c>
      <c r="D1756">
        <v>28</v>
      </c>
    </row>
    <row r="1757" spans="1:4" x14ac:dyDescent="0.25">
      <c r="A1757" s="1">
        <v>43031</v>
      </c>
      <c r="B1757" s="2" t="s">
        <v>137</v>
      </c>
      <c r="C1757" s="2" t="s">
        <v>617</v>
      </c>
      <c r="D1757">
        <v>11</v>
      </c>
    </row>
    <row r="1758" spans="1:4" x14ac:dyDescent="0.25">
      <c r="A1758" s="1">
        <v>43031</v>
      </c>
      <c r="B1758" s="2" t="s">
        <v>41</v>
      </c>
      <c r="C1758" s="2" t="s">
        <v>42</v>
      </c>
      <c r="D1758">
        <v>27</v>
      </c>
    </row>
    <row r="1759" spans="1:4" x14ac:dyDescent="0.25">
      <c r="A1759" s="1">
        <v>43031</v>
      </c>
      <c r="B1759" s="2" t="s">
        <v>150</v>
      </c>
      <c r="C1759" s="2" t="s">
        <v>200</v>
      </c>
      <c r="D1759">
        <v>14</v>
      </c>
    </row>
    <row r="1760" spans="1:4" x14ac:dyDescent="0.25">
      <c r="A1760" s="1">
        <v>43031</v>
      </c>
      <c r="B1760" s="2" t="s">
        <v>449</v>
      </c>
      <c r="C1760" s="2" t="s">
        <v>382</v>
      </c>
      <c r="D1760">
        <v>37</v>
      </c>
    </row>
    <row r="1761" spans="1:4" x14ac:dyDescent="0.25">
      <c r="A1761" s="1">
        <v>43031</v>
      </c>
      <c r="B1761" s="2" t="s">
        <v>221</v>
      </c>
      <c r="C1761" s="2" t="s">
        <v>348</v>
      </c>
      <c r="D1761">
        <v>49</v>
      </c>
    </row>
    <row r="1762" spans="1:4" x14ac:dyDescent="0.25">
      <c r="A1762" s="1">
        <v>43031</v>
      </c>
      <c r="B1762" s="2" t="s">
        <v>126</v>
      </c>
      <c r="C1762" s="2" t="s">
        <v>127</v>
      </c>
      <c r="D1762">
        <v>12</v>
      </c>
    </row>
    <row r="1763" spans="1:4" x14ac:dyDescent="0.25">
      <c r="A1763" s="1">
        <v>43031</v>
      </c>
      <c r="B1763" s="2" t="s">
        <v>688</v>
      </c>
      <c r="C1763" s="2" t="s">
        <v>689</v>
      </c>
      <c r="D1763">
        <v>16</v>
      </c>
    </row>
    <row r="1764" spans="1:4" x14ac:dyDescent="0.25">
      <c r="A1764" s="1">
        <v>43031</v>
      </c>
      <c r="B1764" s="2" t="s">
        <v>34</v>
      </c>
      <c r="C1764" s="2" t="s">
        <v>557</v>
      </c>
      <c r="D1764">
        <v>20</v>
      </c>
    </row>
    <row r="1765" spans="1:4" x14ac:dyDescent="0.25">
      <c r="A1765" s="1">
        <v>43031</v>
      </c>
      <c r="B1765" s="2" t="s">
        <v>101</v>
      </c>
      <c r="C1765" s="2" t="s">
        <v>610</v>
      </c>
      <c r="D1765">
        <v>19</v>
      </c>
    </row>
    <row r="1766" spans="1:4" x14ac:dyDescent="0.25">
      <c r="A1766" s="1">
        <v>43031</v>
      </c>
      <c r="B1766" s="2" t="s">
        <v>341</v>
      </c>
      <c r="C1766" s="2" t="s">
        <v>342</v>
      </c>
      <c r="D1766">
        <v>17</v>
      </c>
    </row>
    <row r="1767" spans="1:4" x14ac:dyDescent="0.25">
      <c r="A1767" s="1">
        <v>43031</v>
      </c>
      <c r="B1767" s="2" t="s">
        <v>427</v>
      </c>
      <c r="C1767" s="2" t="s">
        <v>118</v>
      </c>
      <c r="D1767">
        <v>24</v>
      </c>
    </row>
    <row r="1768" spans="1:4" x14ac:dyDescent="0.25">
      <c r="A1768" s="1">
        <v>43031</v>
      </c>
      <c r="B1768" s="2" t="s">
        <v>67</v>
      </c>
      <c r="C1768" s="2" t="s">
        <v>68</v>
      </c>
      <c r="D1768">
        <v>28</v>
      </c>
    </row>
    <row r="1769" spans="1:4" x14ac:dyDescent="0.25">
      <c r="A1769" s="1">
        <v>43031</v>
      </c>
      <c r="B1769" s="2" t="s">
        <v>69</v>
      </c>
      <c r="C1769" s="2" t="s">
        <v>286</v>
      </c>
      <c r="D1769">
        <v>14</v>
      </c>
    </row>
    <row r="1770" spans="1:4" x14ac:dyDescent="0.25">
      <c r="A1770" s="1">
        <v>43031</v>
      </c>
      <c r="B1770" s="2" t="s">
        <v>178</v>
      </c>
      <c r="C1770" s="2" t="s">
        <v>335</v>
      </c>
      <c r="D1770">
        <v>47</v>
      </c>
    </row>
    <row r="1771" spans="1:4" x14ac:dyDescent="0.25">
      <c r="A1771" s="1">
        <v>43031</v>
      </c>
      <c r="B1771" s="2" t="s">
        <v>150</v>
      </c>
      <c r="C1771" s="2" t="s">
        <v>140</v>
      </c>
      <c r="D1771">
        <v>6</v>
      </c>
    </row>
    <row r="1772" spans="1:4" x14ac:dyDescent="0.25">
      <c r="A1772" s="1">
        <v>43032</v>
      </c>
      <c r="B1772" s="2" t="s">
        <v>536</v>
      </c>
      <c r="C1772" s="2" t="s">
        <v>537</v>
      </c>
      <c r="D1772">
        <v>20</v>
      </c>
    </row>
    <row r="1773" spans="1:4" x14ac:dyDescent="0.25">
      <c r="A1773" s="1">
        <v>43032</v>
      </c>
      <c r="B1773" s="2" t="s">
        <v>280</v>
      </c>
      <c r="C1773" s="2" t="s">
        <v>447</v>
      </c>
      <c r="D1773">
        <v>9</v>
      </c>
    </row>
    <row r="1774" spans="1:4" x14ac:dyDescent="0.25">
      <c r="A1774" s="1">
        <v>43032</v>
      </c>
      <c r="B1774" s="2" t="s">
        <v>87</v>
      </c>
      <c r="C1774" s="2" t="s">
        <v>251</v>
      </c>
      <c r="D1774">
        <v>43</v>
      </c>
    </row>
    <row r="1775" spans="1:4" x14ac:dyDescent="0.25">
      <c r="A1775" s="1">
        <v>43032</v>
      </c>
      <c r="B1775" s="2" t="s">
        <v>63</v>
      </c>
      <c r="C1775" s="2" t="s">
        <v>671</v>
      </c>
      <c r="D1775">
        <v>50</v>
      </c>
    </row>
    <row r="1776" spans="1:4" x14ac:dyDescent="0.25">
      <c r="A1776" s="1">
        <v>43032</v>
      </c>
      <c r="B1776" s="2" t="s">
        <v>83</v>
      </c>
      <c r="C1776" s="2" t="s">
        <v>513</v>
      </c>
      <c r="D1776">
        <v>13</v>
      </c>
    </row>
    <row r="1777" spans="1:4" x14ac:dyDescent="0.25">
      <c r="A1777" s="1">
        <v>43032</v>
      </c>
      <c r="B1777" s="2" t="s">
        <v>27</v>
      </c>
      <c r="C1777" s="2" t="s">
        <v>683</v>
      </c>
      <c r="D1777">
        <v>30</v>
      </c>
    </row>
    <row r="1778" spans="1:4" x14ac:dyDescent="0.25">
      <c r="A1778" s="1">
        <v>43032</v>
      </c>
      <c r="B1778" s="2" t="s">
        <v>290</v>
      </c>
      <c r="C1778" s="2" t="s">
        <v>291</v>
      </c>
      <c r="D1778">
        <v>7</v>
      </c>
    </row>
    <row r="1779" spans="1:4" x14ac:dyDescent="0.25">
      <c r="A1779" s="1">
        <v>43032</v>
      </c>
      <c r="B1779" s="2" t="s">
        <v>150</v>
      </c>
      <c r="C1779" s="2" t="s">
        <v>601</v>
      </c>
      <c r="D1779">
        <v>52</v>
      </c>
    </row>
    <row r="1780" spans="1:4" x14ac:dyDescent="0.25">
      <c r="A1780" s="1">
        <v>43032</v>
      </c>
      <c r="B1780" s="2" t="s">
        <v>83</v>
      </c>
      <c r="C1780" s="2" t="s">
        <v>455</v>
      </c>
      <c r="D1780">
        <v>7</v>
      </c>
    </row>
    <row r="1781" spans="1:4" x14ac:dyDescent="0.25">
      <c r="A1781" s="1">
        <v>43032</v>
      </c>
      <c r="B1781" s="2" t="s">
        <v>174</v>
      </c>
      <c r="C1781" s="2" t="s">
        <v>415</v>
      </c>
      <c r="D1781">
        <v>6</v>
      </c>
    </row>
    <row r="1782" spans="1:4" x14ac:dyDescent="0.25">
      <c r="A1782" s="1">
        <v>43032</v>
      </c>
      <c r="B1782" s="2" t="s">
        <v>30</v>
      </c>
      <c r="C1782" s="2" t="s">
        <v>680</v>
      </c>
      <c r="D1782">
        <v>4</v>
      </c>
    </row>
    <row r="1783" spans="1:4" x14ac:dyDescent="0.25">
      <c r="A1783" s="1">
        <v>43032</v>
      </c>
      <c r="B1783" s="2" t="s">
        <v>67</v>
      </c>
      <c r="C1783" s="2" t="s">
        <v>670</v>
      </c>
      <c r="D1783">
        <v>56</v>
      </c>
    </row>
    <row r="1784" spans="1:4" x14ac:dyDescent="0.25">
      <c r="A1784" s="1">
        <v>43032</v>
      </c>
      <c r="B1784" s="2" t="s">
        <v>106</v>
      </c>
      <c r="C1784" s="2" t="s">
        <v>277</v>
      </c>
      <c r="D1784">
        <v>54</v>
      </c>
    </row>
    <row r="1785" spans="1:4" x14ac:dyDescent="0.25">
      <c r="A1785" s="1">
        <v>43032</v>
      </c>
      <c r="B1785" s="2" t="s">
        <v>395</v>
      </c>
      <c r="C1785" s="2" t="s">
        <v>587</v>
      </c>
      <c r="D1785">
        <v>10</v>
      </c>
    </row>
    <row r="1786" spans="1:4" x14ac:dyDescent="0.25">
      <c r="A1786" s="1">
        <v>43032</v>
      </c>
      <c r="B1786" s="2" t="s">
        <v>87</v>
      </c>
      <c r="C1786" s="2" t="s">
        <v>88</v>
      </c>
      <c r="D1786">
        <v>4</v>
      </c>
    </row>
    <row r="1787" spans="1:4" x14ac:dyDescent="0.25">
      <c r="A1787" s="1">
        <v>43032</v>
      </c>
      <c r="B1787" s="2" t="s">
        <v>117</v>
      </c>
      <c r="C1787" s="2" t="s">
        <v>118</v>
      </c>
      <c r="D1787">
        <v>27</v>
      </c>
    </row>
    <row r="1788" spans="1:4" x14ac:dyDescent="0.25">
      <c r="A1788" s="1">
        <v>43032</v>
      </c>
      <c r="B1788" s="2" t="s">
        <v>150</v>
      </c>
      <c r="C1788" s="2" t="s">
        <v>298</v>
      </c>
      <c r="D1788">
        <v>10</v>
      </c>
    </row>
    <row r="1789" spans="1:4" x14ac:dyDescent="0.25">
      <c r="A1789" s="1">
        <v>43033</v>
      </c>
      <c r="B1789" s="2" t="s">
        <v>114</v>
      </c>
      <c r="C1789" s="2" t="s">
        <v>653</v>
      </c>
      <c r="D1789">
        <v>11</v>
      </c>
    </row>
    <row r="1790" spans="1:4" x14ac:dyDescent="0.25">
      <c r="A1790" s="1">
        <v>43033</v>
      </c>
      <c r="B1790" s="2" t="s">
        <v>18</v>
      </c>
      <c r="C1790" s="2" t="s">
        <v>354</v>
      </c>
      <c r="D1790">
        <v>46</v>
      </c>
    </row>
    <row r="1791" spans="1:4" x14ac:dyDescent="0.25">
      <c r="A1791" s="1">
        <v>43033</v>
      </c>
      <c r="B1791" s="2" t="s">
        <v>18</v>
      </c>
      <c r="C1791" s="2" t="s">
        <v>597</v>
      </c>
      <c r="D1791">
        <v>28</v>
      </c>
    </row>
    <row r="1792" spans="1:4" x14ac:dyDescent="0.25">
      <c r="A1792" s="1">
        <v>43033</v>
      </c>
      <c r="B1792" s="2" t="s">
        <v>53</v>
      </c>
      <c r="C1792" s="2" t="s">
        <v>191</v>
      </c>
      <c r="D1792">
        <v>21</v>
      </c>
    </row>
    <row r="1793" spans="1:4" x14ac:dyDescent="0.25">
      <c r="A1793" s="1">
        <v>43033</v>
      </c>
      <c r="B1793" s="2" t="s">
        <v>18</v>
      </c>
      <c r="C1793" s="2" t="s">
        <v>392</v>
      </c>
      <c r="D1793">
        <v>2</v>
      </c>
    </row>
    <row r="1794" spans="1:4" x14ac:dyDescent="0.25">
      <c r="A1794" s="1">
        <v>43033</v>
      </c>
      <c r="B1794" s="2" t="s">
        <v>603</v>
      </c>
      <c r="C1794" s="2" t="s">
        <v>439</v>
      </c>
      <c r="D1794">
        <v>15</v>
      </c>
    </row>
    <row r="1795" spans="1:4" x14ac:dyDescent="0.25">
      <c r="A1795" s="1">
        <v>43033</v>
      </c>
      <c r="B1795" s="2" t="s">
        <v>152</v>
      </c>
      <c r="C1795" s="2" t="s">
        <v>153</v>
      </c>
      <c r="D1795">
        <v>34</v>
      </c>
    </row>
    <row r="1796" spans="1:4" x14ac:dyDescent="0.25">
      <c r="A1796" s="1">
        <v>43033</v>
      </c>
      <c r="B1796" s="2" t="s">
        <v>55</v>
      </c>
      <c r="C1796" s="2" t="s">
        <v>625</v>
      </c>
      <c r="D1796">
        <v>52</v>
      </c>
    </row>
    <row r="1797" spans="1:4" x14ac:dyDescent="0.25">
      <c r="A1797" s="1">
        <v>43033</v>
      </c>
      <c r="B1797" s="2" t="s">
        <v>193</v>
      </c>
      <c r="C1797" s="2" t="s">
        <v>228</v>
      </c>
      <c r="D1797">
        <v>49</v>
      </c>
    </row>
    <row r="1798" spans="1:4" x14ac:dyDescent="0.25">
      <c r="A1798" s="1">
        <v>43033</v>
      </c>
      <c r="B1798" s="2" t="s">
        <v>393</v>
      </c>
      <c r="C1798" s="2" t="s">
        <v>398</v>
      </c>
      <c r="D1798">
        <v>4</v>
      </c>
    </row>
    <row r="1799" spans="1:4" x14ac:dyDescent="0.25">
      <c r="A1799" s="1">
        <v>43033</v>
      </c>
      <c r="B1799" s="2" t="s">
        <v>131</v>
      </c>
      <c r="C1799" s="2" t="s">
        <v>451</v>
      </c>
      <c r="D1799">
        <v>17</v>
      </c>
    </row>
    <row r="1800" spans="1:4" x14ac:dyDescent="0.25">
      <c r="A1800" s="1">
        <v>43033</v>
      </c>
      <c r="B1800" s="2" t="s">
        <v>574</v>
      </c>
      <c r="C1800" s="2" t="s">
        <v>607</v>
      </c>
      <c r="D1800">
        <v>8</v>
      </c>
    </row>
    <row r="1801" spans="1:4" x14ac:dyDescent="0.25">
      <c r="A1801" s="1">
        <v>43033</v>
      </c>
      <c r="B1801" s="2" t="s">
        <v>8</v>
      </c>
      <c r="C1801" s="2" t="s">
        <v>322</v>
      </c>
      <c r="D1801">
        <v>39</v>
      </c>
    </row>
    <row r="1802" spans="1:4" x14ac:dyDescent="0.25">
      <c r="A1802" s="1">
        <v>43033</v>
      </c>
      <c r="B1802" s="2" t="s">
        <v>201</v>
      </c>
      <c r="C1802" s="2" t="s">
        <v>433</v>
      </c>
      <c r="D1802">
        <v>32</v>
      </c>
    </row>
    <row r="1803" spans="1:4" x14ac:dyDescent="0.25">
      <c r="A1803" s="1">
        <v>43033</v>
      </c>
      <c r="B1803" s="2" t="s">
        <v>57</v>
      </c>
      <c r="C1803" s="2" t="s">
        <v>429</v>
      </c>
      <c r="D1803">
        <v>12</v>
      </c>
    </row>
    <row r="1804" spans="1:4" x14ac:dyDescent="0.25">
      <c r="A1804" s="1">
        <v>43033</v>
      </c>
      <c r="B1804" s="2" t="s">
        <v>41</v>
      </c>
      <c r="C1804" s="2" t="s">
        <v>690</v>
      </c>
      <c r="D1804">
        <v>10</v>
      </c>
    </row>
    <row r="1805" spans="1:4" x14ac:dyDescent="0.25">
      <c r="A1805" s="1">
        <v>43034</v>
      </c>
      <c r="B1805" s="2" t="s">
        <v>178</v>
      </c>
      <c r="C1805" s="2" t="s">
        <v>179</v>
      </c>
      <c r="D1805">
        <v>9</v>
      </c>
    </row>
    <row r="1806" spans="1:4" x14ac:dyDescent="0.25">
      <c r="A1806" s="1">
        <v>43034</v>
      </c>
      <c r="B1806" s="2" t="s">
        <v>87</v>
      </c>
      <c r="C1806" s="2" t="s">
        <v>397</v>
      </c>
      <c r="D1806">
        <v>26</v>
      </c>
    </row>
    <row r="1807" spans="1:4" x14ac:dyDescent="0.25">
      <c r="A1807" s="1">
        <v>43034</v>
      </c>
      <c r="B1807" s="2" t="s">
        <v>55</v>
      </c>
      <c r="C1807" s="2" t="s">
        <v>691</v>
      </c>
      <c r="D1807">
        <v>25</v>
      </c>
    </row>
    <row r="1808" spans="1:4" x14ac:dyDescent="0.25">
      <c r="A1808" s="1">
        <v>43034</v>
      </c>
      <c r="B1808" s="2" t="s">
        <v>141</v>
      </c>
      <c r="C1808" s="2" t="s">
        <v>142</v>
      </c>
      <c r="D1808">
        <v>2</v>
      </c>
    </row>
    <row r="1809" spans="1:4" x14ac:dyDescent="0.25">
      <c r="A1809" s="1">
        <v>43034</v>
      </c>
      <c r="B1809" s="2" t="s">
        <v>101</v>
      </c>
      <c r="C1809" s="2" t="s">
        <v>293</v>
      </c>
      <c r="D1809">
        <v>23</v>
      </c>
    </row>
    <row r="1810" spans="1:4" x14ac:dyDescent="0.25">
      <c r="A1810" s="1">
        <v>43034</v>
      </c>
      <c r="B1810" s="2" t="s">
        <v>16</v>
      </c>
      <c r="C1810" s="2" t="s">
        <v>440</v>
      </c>
      <c r="D1810">
        <v>27</v>
      </c>
    </row>
    <row r="1811" spans="1:4" x14ac:dyDescent="0.25">
      <c r="A1811" s="1">
        <v>43035</v>
      </c>
      <c r="B1811" s="2" t="s">
        <v>236</v>
      </c>
      <c r="C1811" s="2" t="s">
        <v>237</v>
      </c>
      <c r="D1811">
        <v>12</v>
      </c>
    </row>
    <row r="1812" spans="1:4" x14ac:dyDescent="0.25">
      <c r="A1812" s="1">
        <v>43035</v>
      </c>
      <c r="B1812" s="2" t="s">
        <v>81</v>
      </c>
      <c r="C1812" s="2" t="s">
        <v>145</v>
      </c>
      <c r="D1812">
        <v>22</v>
      </c>
    </row>
    <row r="1813" spans="1:4" x14ac:dyDescent="0.25">
      <c r="A1813" s="1">
        <v>43035</v>
      </c>
      <c r="B1813" s="2" t="s">
        <v>53</v>
      </c>
      <c r="C1813" s="2" t="s">
        <v>191</v>
      </c>
      <c r="D1813">
        <v>22</v>
      </c>
    </row>
    <row r="1814" spans="1:4" x14ac:dyDescent="0.25">
      <c r="A1814" s="1">
        <v>43035</v>
      </c>
      <c r="B1814" s="2" t="s">
        <v>30</v>
      </c>
      <c r="C1814" s="2" t="s">
        <v>377</v>
      </c>
      <c r="D1814">
        <v>13</v>
      </c>
    </row>
    <row r="1815" spans="1:4" x14ac:dyDescent="0.25">
      <c r="A1815" s="1">
        <v>43035</v>
      </c>
      <c r="B1815" s="2" t="s">
        <v>416</v>
      </c>
      <c r="C1815" s="2" t="s">
        <v>417</v>
      </c>
      <c r="D1815">
        <v>8</v>
      </c>
    </row>
    <row r="1816" spans="1:4" x14ac:dyDescent="0.25">
      <c r="A1816" s="1">
        <v>43035</v>
      </c>
      <c r="B1816" s="2" t="s">
        <v>87</v>
      </c>
      <c r="C1816" s="2" t="s">
        <v>692</v>
      </c>
      <c r="D1816">
        <v>29</v>
      </c>
    </row>
    <row r="1817" spans="1:4" x14ac:dyDescent="0.25">
      <c r="A1817" s="1">
        <v>43038</v>
      </c>
      <c r="B1817" s="2" t="s">
        <v>393</v>
      </c>
      <c r="C1817" s="2" t="s">
        <v>86</v>
      </c>
      <c r="D1817">
        <v>22</v>
      </c>
    </row>
    <row r="1818" spans="1:4" x14ac:dyDescent="0.25">
      <c r="A1818" s="1">
        <v>43038</v>
      </c>
      <c r="B1818" s="2" t="s">
        <v>51</v>
      </c>
      <c r="C1818" s="2" t="s">
        <v>522</v>
      </c>
      <c r="D1818">
        <v>16</v>
      </c>
    </row>
    <row r="1819" spans="1:4" x14ac:dyDescent="0.25">
      <c r="A1819" s="1">
        <v>43038</v>
      </c>
      <c r="B1819" s="2" t="s">
        <v>119</v>
      </c>
      <c r="C1819" s="2" t="s">
        <v>216</v>
      </c>
      <c r="D1819">
        <v>56</v>
      </c>
    </row>
    <row r="1820" spans="1:4" x14ac:dyDescent="0.25">
      <c r="A1820" s="1">
        <v>43038</v>
      </c>
      <c r="B1820" s="2" t="s">
        <v>143</v>
      </c>
      <c r="C1820" s="2" t="s">
        <v>47</v>
      </c>
      <c r="D1820">
        <v>3</v>
      </c>
    </row>
    <row r="1821" spans="1:4" x14ac:dyDescent="0.25">
      <c r="A1821" s="1">
        <v>43038</v>
      </c>
      <c r="B1821" s="2" t="s">
        <v>176</v>
      </c>
      <c r="C1821" s="2" t="s">
        <v>693</v>
      </c>
      <c r="D1821">
        <v>46</v>
      </c>
    </row>
    <row r="1822" spans="1:4" x14ac:dyDescent="0.25">
      <c r="A1822" s="1">
        <v>43038</v>
      </c>
      <c r="B1822" s="2" t="s">
        <v>352</v>
      </c>
      <c r="C1822" s="2" t="s">
        <v>363</v>
      </c>
      <c r="D1822">
        <v>28</v>
      </c>
    </row>
    <row r="1823" spans="1:4" x14ac:dyDescent="0.25">
      <c r="A1823" s="1">
        <v>43039</v>
      </c>
      <c r="B1823" s="2" t="s">
        <v>18</v>
      </c>
      <c r="C1823" s="2" t="s">
        <v>597</v>
      </c>
      <c r="D1823">
        <v>42</v>
      </c>
    </row>
    <row r="1824" spans="1:4" x14ac:dyDescent="0.25">
      <c r="A1824" s="1">
        <v>43039</v>
      </c>
      <c r="B1824" s="2" t="s">
        <v>87</v>
      </c>
      <c r="C1824" s="2" t="s">
        <v>397</v>
      </c>
      <c r="D1824">
        <v>7</v>
      </c>
    </row>
    <row r="1825" spans="1:4" x14ac:dyDescent="0.25">
      <c r="A1825" s="1">
        <v>43039</v>
      </c>
      <c r="B1825" s="2" t="s">
        <v>133</v>
      </c>
      <c r="C1825" s="2" t="s">
        <v>134</v>
      </c>
      <c r="D1825">
        <v>18</v>
      </c>
    </row>
    <row r="1826" spans="1:4" x14ac:dyDescent="0.25">
      <c r="A1826" s="1">
        <v>43039</v>
      </c>
      <c r="B1826" s="2" t="s">
        <v>150</v>
      </c>
      <c r="C1826" s="2" t="s">
        <v>313</v>
      </c>
      <c r="D1826">
        <v>16</v>
      </c>
    </row>
    <row r="1827" spans="1:4" x14ac:dyDescent="0.25">
      <c r="A1827" s="1">
        <v>43039</v>
      </c>
      <c r="B1827" s="2" t="s">
        <v>201</v>
      </c>
      <c r="C1827" s="2" t="s">
        <v>357</v>
      </c>
      <c r="D1827">
        <v>12</v>
      </c>
    </row>
    <row r="1828" spans="1:4" x14ac:dyDescent="0.25">
      <c r="A1828" s="1">
        <v>43039</v>
      </c>
      <c r="B1828" s="2" t="s">
        <v>147</v>
      </c>
      <c r="C1828" s="2" t="s">
        <v>644</v>
      </c>
      <c r="D1828">
        <v>4</v>
      </c>
    </row>
    <row r="1829" spans="1:4" x14ac:dyDescent="0.25">
      <c r="A1829" s="1">
        <v>43039</v>
      </c>
      <c r="B1829" s="2" t="s">
        <v>681</v>
      </c>
      <c r="C1829" s="2" t="s">
        <v>682</v>
      </c>
      <c r="D1829">
        <v>36</v>
      </c>
    </row>
    <row r="1830" spans="1:4" x14ac:dyDescent="0.25">
      <c r="A1830" s="1">
        <v>43039</v>
      </c>
      <c r="B1830" s="2" t="s">
        <v>201</v>
      </c>
      <c r="C1830" s="2" t="s">
        <v>433</v>
      </c>
      <c r="D1830">
        <v>22</v>
      </c>
    </row>
    <row r="1831" spans="1:4" x14ac:dyDescent="0.25">
      <c r="A1831" s="1">
        <v>43039</v>
      </c>
      <c r="B1831" s="2" t="s">
        <v>278</v>
      </c>
      <c r="C1831" s="2" t="s">
        <v>530</v>
      </c>
      <c r="D1831">
        <v>22</v>
      </c>
    </row>
    <row r="1832" spans="1:4" x14ac:dyDescent="0.25">
      <c r="A1832" s="1">
        <v>43039</v>
      </c>
      <c r="B1832" s="2" t="s">
        <v>144</v>
      </c>
      <c r="C1832" s="2" t="s">
        <v>390</v>
      </c>
      <c r="D1832">
        <v>10</v>
      </c>
    </row>
    <row r="1833" spans="1:4" x14ac:dyDescent="0.25">
      <c r="A1833" s="1">
        <v>43039</v>
      </c>
      <c r="B1833" s="2" t="s">
        <v>25</v>
      </c>
      <c r="C1833" s="2" t="s">
        <v>26</v>
      </c>
      <c r="D1833">
        <v>3</v>
      </c>
    </row>
    <row r="1834" spans="1:4" x14ac:dyDescent="0.25">
      <c r="A1834" s="1">
        <v>43039</v>
      </c>
      <c r="B1834" s="2" t="s">
        <v>36</v>
      </c>
      <c r="C1834" s="2" t="s">
        <v>404</v>
      </c>
      <c r="D1834">
        <v>8</v>
      </c>
    </row>
    <row r="1835" spans="1:4" x14ac:dyDescent="0.25">
      <c r="A1835" s="1">
        <v>43039</v>
      </c>
      <c r="B1835" s="2" t="s">
        <v>514</v>
      </c>
      <c r="C1835" s="2" t="s">
        <v>515</v>
      </c>
      <c r="D1835">
        <v>7</v>
      </c>
    </row>
    <row r="1836" spans="1:4" x14ac:dyDescent="0.25">
      <c r="A1836" s="1">
        <v>43039</v>
      </c>
      <c r="B1836" s="2" t="s">
        <v>87</v>
      </c>
      <c r="C1836" s="2" t="s">
        <v>88</v>
      </c>
      <c r="D1836">
        <v>29</v>
      </c>
    </row>
    <row r="1837" spans="1:4" x14ac:dyDescent="0.25">
      <c r="A1837" s="1">
        <v>43039</v>
      </c>
      <c r="B1837" s="2" t="s">
        <v>47</v>
      </c>
      <c r="C1837" s="2" t="s">
        <v>336</v>
      </c>
      <c r="D1837">
        <v>7</v>
      </c>
    </row>
    <row r="1838" spans="1:4" x14ac:dyDescent="0.25">
      <c r="A1838" s="1">
        <v>43039</v>
      </c>
      <c r="B1838" s="2" t="s">
        <v>23</v>
      </c>
      <c r="C1838" s="2" t="s">
        <v>163</v>
      </c>
      <c r="D1838">
        <v>20</v>
      </c>
    </row>
    <row r="1839" spans="1:4" x14ac:dyDescent="0.25">
      <c r="A1839" s="1">
        <v>43039</v>
      </c>
      <c r="B1839" s="2" t="s">
        <v>81</v>
      </c>
      <c r="C1839" s="2" t="s">
        <v>145</v>
      </c>
      <c r="D1839">
        <v>13</v>
      </c>
    </row>
    <row r="1840" spans="1:4" x14ac:dyDescent="0.25">
      <c r="A1840" s="1">
        <v>43040</v>
      </c>
      <c r="B1840" s="2" t="s">
        <v>69</v>
      </c>
      <c r="C1840" s="2" t="s">
        <v>70</v>
      </c>
      <c r="D1840">
        <v>12</v>
      </c>
    </row>
    <row r="1841" spans="1:4" x14ac:dyDescent="0.25">
      <c r="A1841" s="1">
        <v>43040</v>
      </c>
      <c r="B1841" s="2" t="s">
        <v>81</v>
      </c>
      <c r="C1841" s="2" t="s">
        <v>496</v>
      </c>
      <c r="D1841">
        <v>16</v>
      </c>
    </row>
    <row r="1842" spans="1:4" x14ac:dyDescent="0.25">
      <c r="A1842" s="1">
        <v>43040</v>
      </c>
      <c r="B1842" s="2" t="s">
        <v>77</v>
      </c>
      <c r="C1842" s="2" t="s">
        <v>384</v>
      </c>
      <c r="D1842">
        <v>11</v>
      </c>
    </row>
    <row r="1843" spans="1:4" x14ac:dyDescent="0.25">
      <c r="A1843" s="1">
        <v>43040</v>
      </c>
      <c r="B1843" s="2" t="s">
        <v>51</v>
      </c>
      <c r="C1843" s="2" t="s">
        <v>52</v>
      </c>
      <c r="D1843">
        <v>40</v>
      </c>
    </row>
    <row r="1844" spans="1:4" x14ac:dyDescent="0.25">
      <c r="A1844" s="1">
        <v>43040</v>
      </c>
      <c r="B1844" s="2" t="s">
        <v>39</v>
      </c>
      <c r="C1844" s="2" t="s">
        <v>400</v>
      </c>
      <c r="D1844">
        <v>34</v>
      </c>
    </row>
    <row r="1845" spans="1:4" x14ac:dyDescent="0.25">
      <c r="A1845" s="1">
        <v>43040</v>
      </c>
      <c r="B1845" s="2" t="s">
        <v>53</v>
      </c>
      <c r="C1845" s="2" t="s">
        <v>227</v>
      </c>
      <c r="D1845">
        <v>36</v>
      </c>
    </row>
    <row r="1846" spans="1:4" x14ac:dyDescent="0.25">
      <c r="A1846" s="1">
        <v>43040</v>
      </c>
      <c r="B1846" s="2" t="s">
        <v>45</v>
      </c>
      <c r="C1846" s="2" t="s">
        <v>46</v>
      </c>
      <c r="D1846">
        <v>19</v>
      </c>
    </row>
    <row r="1847" spans="1:4" x14ac:dyDescent="0.25">
      <c r="A1847" s="1">
        <v>43040</v>
      </c>
      <c r="B1847" s="2" t="s">
        <v>41</v>
      </c>
      <c r="C1847" s="2" t="s">
        <v>614</v>
      </c>
      <c r="D1847">
        <v>22</v>
      </c>
    </row>
    <row r="1848" spans="1:4" x14ac:dyDescent="0.25">
      <c r="A1848" s="1">
        <v>43040</v>
      </c>
      <c r="B1848" s="2" t="s">
        <v>128</v>
      </c>
      <c r="C1848" s="2" t="s">
        <v>250</v>
      </c>
      <c r="D1848">
        <v>12</v>
      </c>
    </row>
    <row r="1849" spans="1:4" x14ac:dyDescent="0.25">
      <c r="A1849" s="1">
        <v>43040</v>
      </c>
      <c r="B1849" s="2" t="s">
        <v>55</v>
      </c>
      <c r="C1849" s="2" t="s">
        <v>691</v>
      </c>
      <c r="D1849">
        <v>28</v>
      </c>
    </row>
    <row r="1850" spans="1:4" x14ac:dyDescent="0.25">
      <c r="A1850" s="1">
        <v>43040</v>
      </c>
      <c r="B1850" s="2" t="s">
        <v>39</v>
      </c>
      <c r="C1850" s="2" t="s">
        <v>294</v>
      </c>
      <c r="D1850">
        <v>48</v>
      </c>
    </row>
    <row r="1851" spans="1:4" x14ac:dyDescent="0.25">
      <c r="A1851" s="1">
        <v>43040</v>
      </c>
      <c r="B1851" s="2" t="s">
        <v>61</v>
      </c>
      <c r="C1851" s="2" t="s">
        <v>62</v>
      </c>
      <c r="D1851">
        <v>25</v>
      </c>
    </row>
    <row r="1852" spans="1:4" x14ac:dyDescent="0.25">
      <c r="A1852" s="1">
        <v>43040</v>
      </c>
      <c r="B1852" s="2" t="s">
        <v>632</v>
      </c>
      <c r="C1852" s="2" t="s">
        <v>633</v>
      </c>
      <c r="D1852">
        <v>16</v>
      </c>
    </row>
    <row r="1853" spans="1:4" x14ac:dyDescent="0.25">
      <c r="A1853" s="1">
        <v>43040</v>
      </c>
      <c r="B1853" s="2" t="s">
        <v>79</v>
      </c>
      <c r="C1853" s="2" t="s">
        <v>80</v>
      </c>
      <c r="D1853">
        <v>12</v>
      </c>
    </row>
    <row r="1854" spans="1:4" x14ac:dyDescent="0.25">
      <c r="A1854" s="1">
        <v>43040</v>
      </c>
      <c r="B1854" s="2" t="s">
        <v>128</v>
      </c>
      <c r="C1854" s="2" t="s">
        <v>129</v>
      </c>
      <c r="D1854">
        <v>28</v>
      </c>
    </row>
    <row r="1855" spans="1:4" x14ac:dyDescent="0.25">
      <c r="A1855" s="1">
        <v>43040</v>
      </c>
      <c r="B1855" s="2" t="s">
        <v>30</v>
      </c>
      <c r="C1855" s="2" t="s">
        <v>109</v>
      </c>
      <c r="D1855">
        <v>12</v>
      </c>
    </row>
    <row r="1856" spans="1:4" x14ac:dyDescent="0.25">
      <c r="A1856" s="1">
        <v>43040</v>
      </c>
      <c r="B1856" s="2" t="s">
        <v>299</v>
      </c>
      <c r="C1856" s="2" t="s">
        <v>482</v>
      </c>
      <c r="D1856">
        <v>17</v>
      </c>
    </row>
    <row r="1857" spans="1:4" x14ac:dyDescent="0.25">
      <c r="A1857" s="1">
        <v>43041</v>
      </c>
      <c r="B1857" s="2" t="s">
        <v>438</v>
      </c>
      <c r="C1857" s="2" t="s">
        <v>439</v>
      </c>
      <c r="D1857">
        <v>16</v>
      </c>
    </row>
    <row r="1858" spans="1:4" x14ac:dyDescent="0.25">
      <c r="A1858" s="1">
        <v>43041</v>
      </c>
      <c r="B1858" s="2" t="s">
        <v>150</v>
      </c>
      <c r="C1858" s="2" t="s">
        <v>641</v>
      </c>
      <c r="D1858">
        <v>14</v>
      </c>
    </row>
    <row r="1859" spans="1:4" x14ac:dyDescent="0.25">
      <c r="A1859" s="1">
        <v>43041</v>
      </c>
      <c r="B1859" s="2" t="s">
        <v>232</v>
      </c>
      <c r="C1859" s="2" t="s">
        <v>378</v>
      </c>
      <c r="D1859">
        <v>25</v>
      </c>
    </row>
    <row r="1860" spans="1:4" x14ac:dyDescent="0.25">
      <c r="A1860" s="1">
        <v>43041</v>
      </c>
      <c r="B1860" s="2" t="s">
        <v>34</v>
      </c>
      <c r="C1860" s="2" t="s">
        <v>160</v>
      </c>
      <c r="D1860">
        <v>15</v>
      </c>
    </row>
    <row r="1861" spans="1:4" x14ac:dyDescent="0.25">
      <c r="A1861" s="1">
        <v>43041</v>
      </c>
      <c r="B1861" s="2" t="s">
        <v>27</v>
      </c>
      <c r="C1861" s="2" t="s">
        <v>28</v>
      </c>
      <c r="D1861">
        <v>16</v>
      </c>
    </row>
    <row r="1862" spans="1:4" x14ac:dyDescent="0.25">
      <c r="A1862" s="1">
        <v>43041</v>
      </c>
      <c r="B1862" s="2" t="s">
        <v>327</v>
      </c>
      <c r="C1862" s="2" t="s">
        <v>102</v>
      </c>
      <c r="D1862">
        <v>35</v>
      </c>
    </row>
    <row r="1863" spans="1:4" x14ac:dyDescent="0.25">
      <c r="A1863" s="1">
        <v>43042</v>
      </c>
      <c r="B1863" s="2" t="s">
        <v>271</v>
      </c>
      <c r="C1863" s="2" t="s">
        <v>272</v>
      </c>
      <c r="D1863">
        <v>2</v>
      </c>
    </row>
    <row r="1864" spans="1:4" x14ac:dyDescent="0.25">
      <c r="A1864" s="1">
        <v>43042</v>
      </c>
      <c r="B1864" s="2" t="s">
        <v>442</v>
      </c>
      <c r="C1864" s="2" t="s">
        <v>443</v>
      </c>
      <c r="D1864">
        <v>5</v>
      </c>
    </row>
    <row r="1865" spans="1:4" x14ac:dyDescent="0.25">
      <c r="A1865" s="1">
        <v>43042</v>
      </c>
      <c r="B1865" s="2" t="s">
        <v>34</v>
      </c>
      <c r="C1865" s="2" t="s">
        <v>662</v>
      </c>
      <c r="D1865">
        <v>14</v>
      </c>
    </row>
    <row r="1866" spans="1:4" x14ac:dyDescent="0.25">
      <c r="A1866" s="1">
        <v>43042</v>
      </c>
      <c r="B1866" s="2" t="s">
        <v>393</v>
      </c>
      <c r="C1866" s="2" t="s">
        <v>394</v>
      </c>
      <c r="D1866">
        <v>29</v>
      </c>
    </row>
    <row r="1867" spans="1:4" x14ac:dyDescent="0.25">
      <c r="A1867" s="1">
        <v>43042</v>
      </c>
      <c r="B1867" s="2" t="s">
        <v>174</v>
      </c>
      <c r="C1867" s="2" t="s">
        <v>175</v>
      </c>
      <c r="D1867">
        <v>13</v>
      </c>
    </row>
    <row r="1868" spans="1:4" x14ac:dyDescent="0.25">
      <c r="A1868" s="1">
        <v>43042</v>
      </c>
      <c r="B1868" s="2" t="s">
        <v>361</v>
      </c>
      <c r="C1868" s="2" t="s">
        <v>424</v>
      </c>
      <c r="D1868">
        <v>24</v>
      </c>
    </row>
    <row r="1869" spans="1:4" x14ac:dyDescent="0.25">
      <c r="A1869" s="1">
        <v>43045</v>
      </c>
      <c r="B1869" s="2" t="s">
        <v>178</v>
      </c>
      <c r="C1869" s="2" t="s">
        <v>242</v>
      </c>
      <c r="D1869">
        <v>2</v>
      </c>
    </row>
    <row r="1870" spans="1:4" x14ac:dyDescent="0.25">
      <c r="A1870" s="1">
        <v>43045</v>
      </c>
      <c r="B1870" s="2" t="s">
        <v>18</v>
      </c>
      <c r="C1870" s="2" t="s">
        <v>694</v>
      </c>
      <c r="D1870">
        <v>31</v>
      </c>
    </row>
    <row r="1871" spans="1:4" x14ac:dyDescent="0.25">
      <c r="A1871" s="1">
        <v>43045</v>
      </c>
      <c r="B1871" s="2" t="s">
        <v>280</v>
      </c>
      <c r="C1871" s="2" t="s">
        <v>580</v>
      </c>
      <c r="D1871">
        <v>18</v>
      </c>
    </row>
    <row r="1872" spans="1:4" x14ac:dyDescent="0.25">
      <c r="A1872" s="1">
        <v>43045</v>
      </c>
      <c r="B1872" s="2" t="s">
        <v>14</v>
      </c>
      <c r="C1872" s="2" t="s">
        <v>660</v>
      </c>
      <c r="D1872">
        <v>3</v>
      </c>
    </row>
    <row r="1873" spans="1:4" x14ac:dyDescent="0.25">
      <c r="A1873" s="1">
        <v>43045</v>
      </c>
      <c r="B1873" s="2" t="s">
        <v>51</v>
      </c>
      <c r="C1873" s="2" t="s">
        <v>522</v>
      </c>
      <c r="D1873">
        <v>30</v>
      </c>
    </row>
    <row r="1874" spans="1:4" x14ac:dyDescent="0.25">
      <c r="A1874" s="1">
        <v>43045</v>
      </c>
      <c r="B1874" s="2" t="s">
        <v>640</v>
      </c>
      <c r="C1874" s="2" t="s">
        <v>199</v>
      </c>
      <c r="D1874">
        <v>5</v>
      </c>
    </row>
    <row r="1875" spans="1:4" x14ac:dyDescent="0.25">
      <c r="A1875" s="1">
        <v>43046</v>
      </c>
      <c r="B1875" s="2" t="s">
        <v>61</v>
      </c>
      <c r="C1875" s="2" t="s">
        <v>62</v>
      </c>
      <c r="D1875">
        <v>13</v>
      </c>
    </row>
    <row r="1876" spans="1:4" x14ac:dyDescent="0.25">
      <c r="A1876" s="1">
        <v>43046</v>
      </c>
      <c r="B1876" s="2" t="s">
        <v>351</v>
      </c>
      <c r="C1876" s="2" t="s">
        <v>227</v>
      </c>
      <c r="D1876">
        <v>16</v>
      </c>
    </row>
    <row r="1877" spans="1:4" x14ac:dyDescent="0.25">
      <c r="A1877" s="1">
        <v>43046</v>
      </c>
      <c r="B1877" s="2" t="s">
        <v>346</v>
      </c>
      <c r="C1877" s="2" t="s">
        <v>665</v>
      </c>
      <c r="D1877">
        <v>3</v>
      </c>
    </row>
    <row r="1878" spans="1:4" x14ac:dyDescent="0.25">
      <c r="A1878" s="1">
        <v>43046</v>
      </c>
      <c r="B1878" s="2" t="s">
        <v>97</v>
      </c>
      <c r="C1878" s="2" t="s">
        <v>380</v>
      </c>
      <c r="D1878">
        <v>50</v>
      </c>
    </row>
    <row r="1879" spans="1:4" x14ac:dyDescent="0.25">
      <c r="A1879" s="1">
        <v>43046</v>
      </c>
      <c r="B1879" s="2" t="s">
        <v>133</v>
      </c>
      <c r="C1879" s="2" t="s">
        <v>316</v>
      </c>
      <c r="D1879">
        <v>25</v>
      </c>
    </row>
    <row r="1880" spans="1:4" x14ac:dyDescent="0.25">
      <c r="A1880" s="1">
        <v>43046</v>
      </c>
      <c r="B1880" s="2" t="s">
        <v>523</v>
      </c>
      <c r="C1880" s="2" t="s">
        <v>524</v>
      </c>
      <c r="D1880">
        <v>16</v>
      </c>
    </row>
    <row r="1881" spans="1:4" x14ac:dyDescent="0.25">
      <c r="A1881" s="1">
        <v>43047</v>
      </c>
      <c r="B1881" s="2" t="s">
        <v>65</v>
      </c>
      <c r="C1881" s="2" t="s">
        <v>631</v>
      </c>
      <c r="D1881">
        <v>13</v>
      </c>
    </row>
    <row r="1882" spans="1:4" x14ac:dyDescent="0.25">
      <c r="A1882" s="1">
        <v>43047</v>
      </c>
      <c r="B1882" s="2" t="s">
        <v>367</v>
      </c>
      <c r="C1882" s="2" t="s">
        <v>368</v>
      </c>
      <c r="D1882">
        <v>13</v>
      </c>
    </row>
    <row r="1883" spans="1:4" x14ac:dyDescent="0.25">
      <c r="A1883" s="1">
        <v>43047</v>
      </c>
      <c r="B1883" s="2" t="s">
        <v>314</v>
      </c>
      <c r="C1883" s="2" t="s">
        <v>366</v>
      </c>
      <c r="D1883">
        <v>15</v>
      </c>
    </row>
    <row r="1884" spans="1:4" x14ac:dyDescent="0.25">
      <c r="A1884" s="1">
        <v>43047</v>
      </c>
      <c r="B1884" s="2" t="s">
        <v>53</v>
      </c>
      <c r="C1884" s="2" t="s">
        <v>227</v>
      </c>
      <c r="D1884">
        <v>41</v>
      </c>
    </row>
    <row r="1885" spans="1:4" x14ac:dyDescent="0.25">
      <c r="A1885" s="1">
        <v>43047</v>
      </c>
      <c r="B1885" s="2" t="s">
        <v>442</v>
      </c>
      <c r="C1885" s="2" t="s">
        <v>502</v>
      </c>
      <c r="D1885">
        <v>50</v>
      </c>
    </row>
    <row r="1886" spans="1:4" x14ac:dyDescent="0.25">
      <c r="A1886" s="1">
        <v>43047</v>
      </c>
      <c r="B1886" s="2" t="s">
        <v>32</v>
      </c>
      <c r="C1886" s="2" t="s">
        <v>33</v>
      </c>
      <c r="D1886">
        <v>26</v>
      </c>
    </row>
    <row r="1887" spans="1:4" x14ac:dyDescent="0.25">
      <c r="A1887" s="1">
        <v>43048</v>
      </c>
      <c r="B1887" s="2" t="s">
        <v>63</v>
      </c>
      <c r="C1887" s="2" t="s">
        <v>64</v>
      </c>
      <c r="D1887">
        <v>10</v>
      </c>
    </row>
    <row r="1888" spans="1:4" x14ac:dyDescent="0.25">
      <c r="A1888" s="1">
        <v>43048</v>
      </c>
      <c r="B1888" s="2" t="s">
        <v>77</v>
      </c>
      <c r="C1888" s="2" t="s">
        <v>78</v>
      </c>
      <c r="D1888">
        <v>10</v>
      </c>
    </row>
    <row r="1889" spans="1:4" x14ac:dyDescent="0.25">
      <c r="A1889" s="1">
        <v>43048</v>
      </c>
      <c r="B1889" s="2" t="s">
        <v>244</v>
      </c>
      <c r="C1889" s="2" t="s">
        <v>245</v>
      </c>
      <c r="D1889">
        <v>20</v>
      </c>
    </row>
    <row r="1890" spans="1:4" x14ac:dyDescent="0.25">
      <c r="A1890" s="1">
        <v>43048</v>
      </c>
      <c r="B1890" s="2" t="s">
        <v>395</v>
      </c>
      <c r="C1890" s="2" t="s">
        <v>678</v>
      </c>
      <c r="D1890">
        <v>26</v>
      </c>
    </row>
    <row r="1891" spans="1:4" x14ac:dyDescent="0.25">
      <c r="A1891" s="1">
        <v>43048</v>
      </c>
      <c r="B1891" s="2" t="s">
        <v>12</v>
      </c>
      <c r="C1891" s="2" t="s">
        <v>668</v>
      </c>
      <c r="D1891">
        <v>27</v>
      </c>
    </row>
    <row r="1892" spans="1:4" x14ac:dyDescent="0.25">
      <c r="A1892" s="1">
        <v>43048</v>
      </c>
      <c r="B1892" s="2" t="s">
        <v>128</v>
      </c>
      <c r="C1892" s="2" t="s">
        <v>639</v>
      </c>
      <c r="D1892">
        <v>24</v>
      </c>
    </row>
    <row r="1893" spans="1:4" x14ac:dyDescent="0.25">
      <c r="A1893" s="1">
        <v>43049</v>
      </c>
      <c r="B1893" s="2" t="s">
        <v>34</v>
      </c>
      <c r="C1893" s="2" t="s">
        <v>90</v>
      </c>
      <c r="D1893">
        <v>41</v>
      </c>
    </row>
    <row r="1894" spans="1:4" x14ac:dyDescent="0.25">
      <c r="A1894" s="1">
        <v>43049</v>
      </c>
      <c r="B1894" s="2" t="s">
        <v>317</v>
      </c>
      <c r="C1894" s="2" t="s">
        <v>318</v>
      </c>
      <c r="D1894">
        <v>8</v>
      </c>
    </row>
    <row r="1895" spans="1:4" x14ac:dyDescent="0.25">
      <c r="A1895" s="1">
        <v>43049</v>
      </c>
      <c r="B1895" s="2" t="s">
        <v>69</v>
      </c>
      <c r="C1895" s="2" t="s">
        <v>535</v>
      </c>
      <c r="D1895">
        <v>30</v>
      </c>
    </row>
    <row r="1896" spans="1:4" x14ac:dyDescent="0.25">
      <c r="A1896" s="1">
        <v>43049</v>
      </c>
      <c r="B1896" s="2" t="s">
        <v>351</v>
      </c>
      <c r="C1896" s="2" t="s">
        <v>227</v>
      </c>
      <c r="D1896">
        <v>30</v>
      </c>
    </row>
    <row r="1897" spans="1:4" x14ac:dyDescent="0.25">
      <c r="A1897" s="1">
        <v>43049</v>
      </c>
      <c r="B1897" s="2" t="s">
        <v>14</v>
      </c>
      <c r="C1897" s="2" t="s">
        <v>422</v>
      </c>
      <c r="D1897">
        <v>13</v>
      </c>
    </row>
    <row r="1898" spans="1:4" x14ac:dyDescent="0.25">
      <c r="A1898" s="1">
        <v>43049</v>
      </c>
      <c r="B1898" s="2" t="s">
        <v>246</v>
      </c>
      <c r="C1898" s="2" t="s">
        <v>247</v>
      </c>
      <c r="D1898">
        <v>27</v>
      </c>
    </row>
    <row r="1899" spans="1:4" x14ac:dyDescent="0.25">
      <c r="A1899" s="1">
        <v>43049</v>
      </c>
      <c r="B1899" s="2" t="s">
        <v>195</v>
      </c>
      <c r="C1899" s="2" t="s">
        <v>196</v>
      </c>
      <c r="D1899">
        <v>41</v>
      </c>
    </row>
    <row r="1900" spans="1:4" x14ac:dyDescent="0.25">
      <c r="A1900" s="1">
        <v>43049</v>
      </c>
      <c r="B1900" s="2" t="s">
        <v>367</v>
      </c>
      <c r="C1900" s="2" t="s">
        <v>5</v>
      </c>
      <c r="D1900">
        <v>21</v>
      </c>
    </row>
    <row r="1901" spans="1:4" x14ac:dyDescent="0.25">
      <c r="A1901" s="1">
        <v>43049</v>
      </c>
      <c r="B1901" s="2" t="s">
        <v>278</v>
      </c>
      <c r="C1901" s="2" t="s">
        <v>202</v>
      </c>
      <c r="D1901">
        <v>52</v>
      </c>
    </row>
    <row r="1902" spans="1:4" x14ac:dyDescent="0.25">
      <c r="A1902" s="1">
        <v>43049</v>
      </c>
      <c r="B1902" s="2" t="s">
        <v>574</v>
      </c>
      <c r="C1902" s="2" t="s">
        <v>607</v>
      </c>
      <c r="D1902">
        <v>23</v>
      </c>
    </row>
    <row r="1903" spans="1:4" x14ac:dyDescent="0.25">
      <c r="A1903" s="1">
        <v>43049</v>
      </c>
      <c r="B1903" s="2" t="s">
        <v>39</v>
      </c>
      <c r="C1903" s="2" t="s">
        <v>103</v>
      </c>
      <c r="D1903">
        <v>32</v>
      </c>
    </row>
    <row r="1904" spans="1:4" x14ac:dyDescent="0.25">
      <c r="A1904" s="1">
        <v>43049</v>
      </c>
      <c r="B1904" s="2" t="s">
        <v>352</v>
      </c>
      <c r="C1904" s="2" t="s">
        <v>425</v>
      </c>
      <c r="D1904">
        <v>33</v>
      </c>
    </row>
    <row r="1905" spans="1:4" x14ac:dyDescent="0.25">
      <c r="A1905" s="1">
        <v>43049</v>
      </c>
      <c r="B1905" s="2" t="s">
        <v>155</v>
      </c>
      <c r="C1905" s="2" t="s">
        <v>650</v>
      </c>
      <c r="D1905">
        <v>41</v>
      </c>
    </row>
    <row r="1906" spans="1:4" x14ac:dyDescent="0.25">
      <c r="A1906" s="1">
        <v>43049</v>
      </c>
      <c r="B1906" s="2" t="s">
        <v>232</v>
      </c>
      <c r="C1906" s="2" t="s">
        <v>526</v>
      </c>
      <c r="D1906">
        <v>29</v>
      </c>
    </row>
    <row r="1907" spans="1:4" x14ac:dyDescent="0.25">
      <c r="A1907" s="1">
        <v>43049</v>
      </c>
      <c r="B1907" s="2" t="s">
        <v>119</v>
      </c>
      <c r="C1907" s="2" t="s">
        <v>164</v>
      </c>
      <c r="D1907">
        <v>25</v>
      </c>
    </row>
    <row r="1908" spans="1:4" x14ac:dyDescent="0.25">
      <c r="A1908" s="1">
        <v>43049</v>
      </c>
      <c r="B1908" s="2" t="s">
        <v>55</v>
      </c>
      <c r="C1908" s="2" t="s">
        <v>666</v>
      </c>
      <c r="D1908">
        <v>3</v>
      </c>
    </row>
    <row r="1909" spans="1:4" x14ac:dyDescent="0.25">
      <c r="A1909" s="1">
        <v>43049</v>
      </c>
      <c r="B1909" s="2" t="s">
        <v>83</v>
      </c>
      <c r="C1909" s="2" t="s">
        <v>470</v>
      </c>
      <c r="D1909">
        <v>23</v>
      </c>
    </row>
    <row r="1910" spans="1:4" x14ac:dyDescent="0.25">
      <c r="A1910" s="1">
        <v>43049</v>
      </c>
      <c r="B1910" s="2" t="s">
        <v>139</v>
      </c>
      <c r="C1910" s="2" t="s">
        <v>140</v>
      </c>
      <c r="D1910">
        <v>25</v>
      </c>
    </row>
    <row r="1911" spans="1:4" x14ac:dyDescent="0.25">
      <c r="A1911" s="1">
        <v>43049</v>
      </c>
      <c r="B1911" s="2" t="s">
        <v>119</v>
      </c>
      <c r="C1911" s="2" t="s">
        <v>517</v>
      </c>
      <c r="D1911">
        <v>29</v>
      </c>
    </row>
    <row r="1912" spans="1:4" x14ac:dyDescent="0.25">
      <c r="A1912" s="1">
        <v>43052</v>
      </c>
      <c r="B1912" s="2" t="s">
        <v>55</v>
      </c>
      <c r="C1912" s="2" t="s">
        <v>199</v>
      </c>
      <c r="D1912">
        <v>24</v>
      </c>
    </row>
    <row r="1913" spans="1:4" x14ac:dyDescent="0.25">
      <c r="A1913" s="1">
        <v>43052</v>
      </c>
      <c r="B1913" s="2" t="s">
        <v>449</v>
      </c>
      <c r="C1913" s="2" t="s">
        <v>664</v>
      </c>
      <c r="D1913">
        <v>19</v>
      </c>
    </row>
    <row r="1914" spans="1:4" x14ac:dyDescent="0.25">
      <c r="A1914" s="1">
        <v>43052</v>
      </c>
      <c r="B1914" s="2" t="s">
        <v>271</v>
      </c>
      <c r="C1914" s="2" t="s">
        <v>548</v>
      </c>
      <c r="D1914">
        <v>7</v>
      </c>
    </row>
    <row r="1915" spans="1:4" x14ac:dyDescent="0.25">
      <c r="A1915" s="1">
        <v>43052</v>
      </c>
      <c r="B1915" s="2" t="s">
        <v>150</v>
      </c>
      <c r="C1915" s="2" t="s">
        <v>211</v>
      </c>
      <c r="D1915">
        <v>7</v>
      </c>
    </row>
    <row r="1916" spans="1:4" x14ac:dyDescent="0.25">
      <c r="A1916" s="1">
        <v>43052</v>
      </c>
      <c r="B1916" s="2" t="s">
        <v>553</v>
      </c>
      <c r="C1916" s="2" t="s">
        <v>554</v>
      </c>
      <c r="D1916">
        <v>28</v>
      </c>
    </row>
    <row r="1917" spans="1:4" x14ac:dyDescent="0.25">
      <c r="A1917" s="1">
        <v>43052</v>
      </c>
      <c r="B1917" s="2" t="s">
        <v>566</v>
      </c>
      <c r="C1917" s="2" t="s">
        <v>567</v>
      </c>
      <c r="D1917">
        <v>50</v>
      </c>
    </row>
    <row r="1918" spans="1:4" x14ac:dyDescent="0.25">
      <c r="A1918" s="1">
        <v>43052</v>
      </c>
      <c r="B1918" s="2" t="s">
        <v>23</v>
      </c>
      <c r="C1918" s="2" t="s">
        <v>592</v>
      </c>
      <c r="D1918">
        <v>8</v>
      </c>
    </row>
    <row r="1919" spans="1:4" x14ac:dyDescent="0.25">
      <c r="A1919" s="1">
        <v>43052</v>
      </c>
      <c r="B1919" s="2" t="s">
        <v>4</v>
      </c>
      <c r="C1919" s="2" t="s">
        <v>382</v>
      </c>
      <c r="D1919">
        <v>3</v>
      </c>
    </row>
    <row r="1920" spans="1:4" x14ac:dyDescent="0.25">
      <c r="A1920" s="1">
        <v>43052</v>
      </c>
      <c r="B1920" s="2" t="s">
        <v>12</v>
      </c>
      <c r="C1920" s="2" t="s">
        <v>386</v>
      </c>
      <c r="D1920">
        <v>13</v>
      </c>
    </row>
    <row r="1921" spans="1:4" x14ac:dyDescent="0.25">
      <c r="A1921" s="1">
        <v>43052</v>
      </c>
      <c r="B1921" s="2" t="s">
        <v>87</v>
      </c>
      <c r="C1921" s="2" t="s">
        <v>154</v>
      </c>
      <c r="D1921">
        <v>17</v>
      </c>
    </row>
    <row r="1922" spans="1:4" x14ac:dyDescent="0.25">
      <c r="A1922" s="1">
        <v>43052</v>
      </c>
      <c r="B1922" s="2" t="s">
        <v>221</v>
      </c>
      <c r="C1922" s="2" t="s">
        <v>222</v>
      </c>
      <c r="D1922">
        <v>55</v>
      </c>
    </row>
    <row r="1923" spans="1:4" x14ac:dyDescent="0.25">
      <c r="A1923" s="1">
        <v>43052</v>
      </c>
      <c r="B1923" s="2" t="s">
        <v>150</v>
      </c>
      <c r="C1923" s="2" t="s">
        <v>258</v>
      </c>
      <c r="D1923">
        <v>46</v>
      </c>
    </row>
    <row r="1924" spans="1:4" x14ac:dyDescent="0.25">
      <c r="A1924" s="1">
        <v>43052</v>
      </c>
      <c r="B1924" s="2" t="s">
        <v>47</v>
      </c>
      <c r="C1924" s="2" t="s">
        <v>630</v>
      </c>
      <c r="D1924">
        <v>48</v>
      </c>
    </row>
    <row r="1925" spans="1:4" x14ac:dyDescent="0.25">
      <c r="A1925" s="1">
        <v>43052</v>
      </c>
      <c r="B1925" s="2" t="s">
        <v>395</v>
      </c>
      <c r="C1925" s="2" t="s">
        <v>687</v>
      </c>
      <c r="D1925">
        <v>35</v>
      </c>
    </row>
    <row r="1926" spans="1:4" x14ac:dyDescent="0.25">
      <c r="A1926" s="1">
        <v>43052</v>
      </c>
      <c r="B1926" s="2" t="s">
        <v>416</v>
      </c>
      <c r="C1926" s="2" t="s">
        <v>572</v>
      </c>
      <c r="D1926">
        <v>54</v>
      </c>
    </row>
    <row r="1927" spans="1:4" x14ac:dyDescent="0.25">
      <c r="A1927" s="1">
        <v>43052</v>
      </c>
      <c r="B1927" s="2" t="s">
        <v>167</v>
      </c>
      <c r="C1927" s="2" t="s">
        <v>168</v>
      </c>
      <c r="D1927">
        <v>6</v>
      </c>
    </row>
    <row r="1928" spans="1:4" x14ac:dyDescent="0.25">
      <c r="A1928" s="1">
        <v>43052</v>
      </c>
      <c r="B1928" s="2" t="s">
        <v>87</v>
      </c>
      <c r="C1928" s="2" t="s">
        <v>259</v>
      </c>
      <c r="D1928">
        <v>53</v>
      </c>
    </row>
    <row r="1929" spans="1:4" x14ac:dyDescent="0.25">
      <c r="A1929" s="1">
        <v>43052</v>
      </c>
      <c r="B1929" s="2" t="s">
        <v>34</v>
      </c>
      <c r="C1929" s="2" t="s">
        <v>564</v>
      </c>
      <c r="D1929">
        <v>29</v>
      </c>
    </row>
    <row r="1930" spans="1:4" x14ac:dyDescent="0.25">
      <c r="A1930" s="1">
        <v>43053</v>
      </c>
      <c r="B1930" s="2" t="s">
        <v>521</v>
      </c>
      <c r="C1930" s="2" t="s">
        <v>440</v>
      </c>
      <c r="D1930">
        <v>35</v>
      </c>
    </row>
    <row r="1931" spans="1:4" x14ac:dyDescent="0.25">
      <c r="A1931" s="1">
        <v>43053</v>
      </c>
      <c r="B1931" s="2" t="s">
        <v>246</v>
      </c>
      <c r="C1931" s="2" t="s">
        <v>247</v>
      </c>
      <c r="D1931">
        <v>24</v>
      </c>
    </row>
    <row r="1932" spans="1:4" x14ac:dyDescent="0.25">
      <c r="A1932" s="1">
        <v>43053</v>
      </c>
      <c r="B1932" s="2" t="s">
        <v>137</v>
      </c>
      <c r="C1932" s="2" t="s">
        <v>473</v>
      </c>
      <c r="D1932">
        <v>25</v>
      </c>
    </row>
    <row r="1933" spans="1:4" x14ac:dyDescent="0.25">
      <c r="A1933" s="1">
        <v>43053</v>
      </c>
      <c r="B1933" s="2" t="s">
        <v>87</v>
      </c>
      <c r="C1933" s="2" t="s">
        <v>154</v>
      </c>
      <c r="D1933">
        <v>10</v>
      </c>
    </row>
    <row r="1934" spans="1:4" x14ac:dyDescent="0.25">
      <c r="A1934" s="1">
        <v>43053</v>
      </c>
      <c r="B1934" s="2" t="s">
        <v>139</v>
      </c>
      <c r="C1934" s="2" t="s">
        <v>140</v>
      </c>
      <c r="D1934">
        <v>10</v>
      </c>
    </row>
    <row r="1935" spans="1:4" x14ac:dyDescent="0.25">
      <c r="A1935" s="1">
        <v>43053</v>
      </c>
      <c r="B1935" s="2" t="s">
        <v>49</v>
      </c>
      <c r="C1935" s="2" t="s">
        <v>50</v>
      </c>
      <c r="D1935">
        <v>6</v>
      </c>
    </row>
    <row r="1936" spans="1:4" x14ac:dyDescent="0.25">
      <c r="A1936" s="1">
        <v>43053</v>
      </c>
      <c r="B1936" s="2" t="s">
        <v>81</v>
      </c>
      <c r="C1936" s="2" t="s">
        <v>165</v>
      </c>
      <c r="D1936">
        <v>20</v>
      </c>
    </row>
    <row r="1937" spans="1:4" x14ac:dyDescent="0.25">
      <c r="A1937" s="1">
        <v>43053</v>
      </c>
      <c r="B1937" s="2" t="s">
        <v>195</v>
      </c>
      <c r="C1937" s="2" t="s">
        <v>401</v>
      </c>
      <c r="D1937">
        <v>9</v>
      </c>
    </row>
    <row r="1938" spans="1:4" x14ac:dyDescent="0.25">
      <c r="A1938" s="1">
        <v>43054</v>
      </c>
      <c r="B1938" s="2" t="s">
        <v>688</v>
      </c>
      <c r="C1938" s="2" t="s">
        <v>689</v>
      </c>
      <c r="D1938">
        <v>5</v>
      </c>
    </row>
    <row r="1939" spans="1:4" x14ac:dyDescent="0.25">
      <c r="A1939" s="1">
        <v>43054</v>
      </c>
      <c r="B1939" s="2" t="s">
        <v>141</v>
      </c>
      <c r="C1939" s="2" t="s">
        <v>364</v>
      </c>
      <c r="D1939">
        <v>22</v>
      </c>
    </row>
    <row r="1940" spans="1:4" x14ac:dyDescent="0.25">
      <c r="A1940" s="1">
        <v>43054</v>
      </c>
      <c r="B1940" s="2" t="s">
        <v>232</v>
      </c>
      <c r="C1940" s="2" t="s">
        <v>378</v>
      </c>
      <c r="D1940">
        <v>10</v>
      </c>
    </row>
    <row r="1941" spans="1:4" x14ac:dyDescent="0.25">
      <c r="A1941" s="1">
        <v>43054</v>
      </c>
      <c r="B1941" s="2" t="s">
        <v>150</v>
      </c>
      <c r="C1941" s="2" t="s">
        <v>556</v>
      </c>
      <c r="D1941">
        <v>13</v>
      </c>
    </row>
    <row r="1942" spans="1:4" x14ac:dyDescent="0.25">
      <c r="A1942" s="1">
        <v>43054</v>
      </c>
      <c r="B1942" s="2" t="s">
        <v>407</v>
      </c>
      <c r="C1942" s="2" t="s">
        <v>408</v>
      </c>
      <c r="D1942">
        <v>18</v>
      </c>
    </row>
    <row r="1943" spans="1:4" x14ac:dyDescent="0.25">
      <c r="A1943" s="1">
        <v>43054</v>
      </c>
      <c r="B1943" s="2" t="s">
        <v>121</v>
      </c>
      <c r="C1943" s="2" t="s">
        <v>122</v>
      </c>
      <c r="D1943">
        <v>5</v>
      </c>
    </row>
    <row r="1944" spans="1:4" x14ac:dyDescent="0.25">
      <c r="A1944" s="1">
        <v>43054</v>
      </c>
      <c r="B1944" s="2" t="s">
        <v>267</v>
      </c>
      <c r="C1944" s="2" t="s">
        <v>287</v>
      </c>
      <c r="D1944">
        <v>26</v>
      </c>
    </row>
    <row r="1945" spans="1:4" x14ac:dyDescent="0.25">
      <c r="A1945" s="1">
        <v>43054</v>
      </c>
      <c r="B1945" s="2" t="s">
        <v>23</v>
      </c>
      <c r="C1945" s="2" t="s">
        <v>695</v>
      </c>
      <c r="D1945">
        <v>20</v>
      </c>
    </row>
    <row r="1946" spans="1:4" x14ac:dyDescent="0.25">
      <c r="A1946" s="1">
        <v>43055</v>
      </c>
      <c r="B1946" s="2" t="s">
        <v>189</v>
      </c>
      <c r="C1946" s="2" t="s">
        <v>190</v>
      </c>
      <c r="D1946">
        <v>11</v>
      </c>
    </row>
    <row r="1947" spans="1:4" x14ac:dyDescent="0.25">
      <c r="A1947" s="1">
        <v>43055</v>
      </c>
      <c r="B1947" s="2" t="s">
        <v>87</v>
      </c>
      <c r="C1947" s="2" t="s">
        <v>383</v>
      </c>
      <c r="D1947">
        <v>23</v>
      </c>
    </row>
    <row r="1948" spans="1:4" x14ac:dyDescent="0.25">
      <c r="A1948" s="1">
        <v>43055</v>
      </c>
      <c r="B1948" s="2" t="s">
        <v>67</v>
      </c>
      <c r="C1948" s="2" t="s">
        <v>460</v>
      </c>
      <c r="D1948">
        <v>12</v>
      </c>
    </row>
    <row r="1949" spans="1:4" x14ac:dyDescent="0.25">
      <c r="A1949" s="1">
        <v>43055</v>
      </c>
      <c r="B1949" s="2" t="s">
        <v>303</v>
      </c>
      <c r="C1949" s="2" t="s">
        <v>304</v>
      </c>
      <c r="D1949">
        <v>23</v>
      </c>
    </row>
    <row r="1950" spans="1:4" x14ac:dyDescent="0.25">
      <c r="A1950" s="1">
        <v>43055</v>
      </c>
      <c r="B1950" s="2" t="s">
        <v>152</v>
      </c>
      <c r="C1950" s="2" t="s">
        <v>696</v>
      </c>
      <c r="D1950">
        <v>9</v>
      </c>
    </row>
    <row r="1951" spans="1:4" x14ac:dyDescent="0.25">
      <c r="A1951" s="1">
        <v>43055</v>
      </c>
      <c r="B1951" s="2" t="s">
        <v>81</v>
      </c>
      <c r="C1951" s="2" t="s">
        <v>648</v>
      </c>
      <c r="D1951">
        <v>27</v>
      </c>
    </row>
    <row r="1952" spans="1:4" x14ac:dyDescent="0.25">
      <c r="A1952" s="1">
        <v>43055</v>
      </c>
      <c r="B1952" s="2" t="s">
        <v>36</v>
      </c>
      <c r="C1952" s="2" t="s">
        <v>295</v>
      </c>
      <c r="D1952">
        <v>26</v>
      </c>
    </row>
    <row r="1953" spans="1:4" x14ac:dyDescent="0.25">
      <c r="A1953" s="1">
        <v>43055</v>
      </c>
      <c r="B1953" s="2" t="s">
        <v>508</v>
      </c>
      <c r="C1953" s="2" t="s">
        <v>509</v>
      </c>
      <c r="D1953">
        <v>11</v>
      </c>
    </row>
    <row r="1954" spans="1:4" x14ac:dyDescent="0.25">
      <c r="A1954" s="1">
        <v>43056</v>
      </c>
      <c r="B1954" s="2" t="s">
        <v>47</v>
      </c>
      <c r="C1954" s="2" t="s">
        <v>336</v>
      </c>
      <c r="D1954">
        <v>14</v>
      </c>
    </row>
    <row r="1955" spans="1:4" x14ac:dyDescent="0.25">
      <c r="A1955" s="1">
        <v>43056</v>
      </c>
      <c r="B1955" s="2" t="s">
        <v>4</v>
      </c>
      <c r="C1955" s="2" t="s">
        <v>207</v>
      </c>
      <c r="D1955">
        <v>24</v>
      </c>
    </row>
    <row r="1956" spans="1:4" x14ac:dyDescent="0.25">
      <c r="A1956" s="1">
        <v>43056</v>
      </c>
      <c r="B1956" s="2" t="s">
        <v>36</v>
      </c>
      <c r="C1956" s="2" t="s">
        <v>180</v>
      </c>
      <c r="D1956">
        <v>18</v>
      </c>
    </row>
    <row r="1957" spans="1:4" x14ac:dyDescent="0.25">
      <c r="A1957" s="1">
        <v>43056</v>
      </c>
      <c r="B1957" s="2" t="s">
        <v>128</v>
      </c>
      <c r="C1957" s="2" t="s">
        <v>559</v>
      </c>
      <c r="D1957">
        <v>13</v>
      </c>
    </row>
    <row r="1958" spans="1:4" x14ac:dyDescent="0.25">
      <c r="A1958" s="1">
        <v>43056</v>
      </c>
      <c r="B1958" s="2" t="s">
        <v>45</v>
      </c>
      <c r="C1958" s="2" t="s">
        <v>46</v>
      </c>
      <c r="D1958">
        <v>18</v>
      </c>
    </row>
    <row r="1959" spans="1:4" x14ac:dyDescent="0.25">
      <c r="A1959" s="1">
        <v>43056</v>
      </c>
      <c r="B1959" s="2" t="s">
        <v>393</v>
      </c>
      <c r="C1959" s="2" t="s">
        <v>227</v>
      </c>
      <c r="D1959">
        <v>36</v>
      </c>
    </row>
    <row r="1960" spans="1:4" x14ac:dyDescent="0.25">
      <c r="A1960" s="1">
        <v>43056</v>
      </c>
      <c r="B1960" s="2" t="s">
        <v>519</v>
      </c>
      <c r="C1960" s="2" t="s">
        <v>661</v>
      </c>
      <c r="D1960">
        <v>23</v>
      </c>
    </row>
    <row r="1961" spans="1:4" x14ac:dyDescent="0.25">
      <c r="A1961" s="1">
        <v>43056</v>
      </c>
      <c r="B1961" s="2" t="s">
        <v>453</v>
      </c>
      <c r="C1961" s="2" t="s">
        <v>454</v>
      </c>
      <c r="D1961">
        <v>7</v>
      </c>
    </row>
    <row r="1962" spans="1:4" x14ac:dyDescent="0.25">
      <c r="A1962" s="1">
        <v>43056</v>
      </c>
      <c r="B1962" s="2" t="s">
        <v>150</v>
      </c>
      <c r="C1962" s="2" t="s">
        <v>211</v>
      </c>
      <c r="D1962">
        <v>54</v>
      </c>
    </row>
    <row r="1963" spans="1:4" x14ac:dyDescent="0.25">
      <c r="A1963" s="1">
        <v>43056</v>
      </c>
      <c r="B1963" s="2" t="s">
        <v>271</v>
      </c>
      <c r="C1963" s="2" t="s">
        <v>272</v>
      </c>
      <c r="D1963">
        <v>48</v>
      </c>
    </row>
    <row r="1964" spans="1:4" x14ac:dyDescent="0.25">
      <c r="A1964" s="1">
        <v>43056</v>
      </c>
      <c r="B1964" s="2" t="s">
        <v>20</v>
      </c>
      <c r="C1964" s="2" t="s">
        <v>123</v>
      </c>
      <c r="D1964">
        <v>5</v>
      </c>
    </row>
    <row r="1965" spans="1:4" x14ac:dyDescent="0.25">
      <c r="A1965" s="1">
        <v>43056</v>
      </c>
      <c r="B1965" s="2" t="s">
        <v>320</v>
      </c>
      <c r="C1965" s="2" t="s">
        <v>321</v>
      </c>
      <c r="D1965">
        <v>51</v>
      </c>
    </row>
    <row r="1966" spans="1:4" x14ac:dyDescent="0.25">
      <c r="A1966" s="1">
        <v>43056</v>
      </c>
      <c r="B1966" s="2" t="s">
        <v>544</v>
      </c>
      <c r="C1966" s="2" t="s">
        <v>145</v>
      </c>
      <c r="D1966">
        <v>10</v>
      </c>
    </row>
    <row r="1967" spans="1:4" x14ac:dyDescent="0.25">
      <c r="A1967" s="1">
        <v>43056</v>
      </c>
      <c r="B1967" s="2" t="s">
        <v>147</v>
      </c>
      <c r="C1967" s="2" t="s">
        <v>148</v>
      </c>
      <c r="D1967">
        <v>24</v>
      </c>
    </row>
    <row r="1968" spans="1:4" x14ac:dyDescent="0.25">
      <c r="A1968" s="1">
        <v>43056</v>
      </c>
      <c r="B1968" s="2" t="s">
        <v>193</v>
      </c>
      <c r="C1968" s="2" t="s">
        <v>215</v>
      </c>
      <c r="D1968">
        <v>7</v>
      </c>
    </row>
    <row r="1969" spans="1:4" x14ac:dyDescent="0.25">
      <c r="A1969" s="1">
        <v>43056</v>
      </c>
      <c r="B1969" s="2" t="s">
        <v>55</v>
      </c>
      <c r="C1969" s="2" t="s">
        <v>493</v>
      </c>
      <c r="D1969">
        <v>11</v>
      </c>
    </row>
    <row r="1970" spans="1:4" x14ac:dyDescent="0.25">
      <c r="A1970" s="1">
        <v>43056</v>
      </c>
      <c r="B1970" s="2" t="s">
        <v>10</v>
      </c>
      <c r="C1970" s="2" t="s">
        <v>266</v>
      </c>
      <c r="D1970">
        <v>4</v>
      </c>
    </row>
    <row r="1971" spans="1:4" x14ac:dyDescent="0.25">
      <c r="A1971" s="1">
        <v>43059</v>
      </c>
      <c r="B1971" s="2" t="s">
        <v>12</v>
      </c>
      <c r="C1971" s="2" t="s">
        <v>667</v>
      </c>
      <c r="D1971">
        <v>30</v>
      </c>
    </row>
    <row r="1972" spans="1:4" x14ac:dyDescent="0.25">
      <c r="A1972" s="1">
        <v>43059</v>
      </c>
      <c r="B1972" s="2" t="s">
        <v>189</v>
      </c>
      <c r="C1972" s="2" t="s">
        <v>190</v>
      </c>
      <c r="D1972">
        <v>36</v>
      </c>
    </row>
    <row r="1973" spans="1:4" x14ac:dyDescent="0.25">
      <c r="A1973" s="1">
        <v>43059</v>
      </c>
      <c r="B1973" s="2" t="s">
        <v>47</v>
      </c>
      <c r="C1973" s="2" t="s">
        <v>230</v>
      </c>
      <c r="D1973">
        <v>22</v>
      </c>
    </row>
    <row r="1974" spans="1:4" x14ac:dyDescent="0.25">
      <c r="A1974" s="1">
        <v>43059</v>
      </c>
      <c r="B1974" s="2" t="s">
        <v>208</v>
      </c>
      <c r="C1974" s="2" t="s">
        <v>697</v>
      </c>
      <c r="D1974">
        <v>21</v>
      </c>
    </row>
    <row r="1975" spans="1:4" x14ac:dyDescent="0.25">
      <c r="A1975" s="1">
        <v>43059</v>
      </c>
      <c r="B1975" s="2" t="s">
        <v>83</v>
      </c>
      <c r="C1975" s="2" t="s">
        <v>459</v>
      </c>
      <c r="D1975">
        <v>16</v>
      </c>
    </row>
    <row r="1976" spans="1:4" x14ac:dyDescent="0.25">
      <c r="A1976" s="1">
        <v>43059</v>
      </c>
      <c r="B1976" s="2" t="s">
        <v>438</v>
      </c>
      <c r="C1976" s="2" t="s">
        <v>439</v>
      </c>
      <c r="D1976">
        <v>52</v>
      </c>
    </row>
    <row r="1977" spans="1:4" x14ac:dyDescent="0.25">
      <c r="A1977" s="1">
        <v>43059</v>
      </c>
      <c r="B1977" s="2" t="s">
        <v>232</v>
      </c>
      <c r="C1977" s="2" t="s">
        <v>487</v>
      </c>
      <c r="D1977">
        <v>20</v>
      </c>
    </row>
    <row r="1978" spans="1:4" x14ac:dyDescent="0.25">
      <c r="A1978" s="1">
        <v>43059</v>
      </c>
      <c r="B1978" s="2" t="s">
        <v>77</v>
      </c>
      <c r="C1978" s="2" t="s">
        <v>384</v>
      </c>
      <c r="D1978">
        <v>3</v>
      </c>
    </row>
    <row r="1979" spans="1:4" x14ac:dyDescent="0.25">
      <c r="A1979" s="1">
        <v>43059</v>
      </c>
      <c r="B1979" s="2" t="s">
        <v>117</v>
      </c>
      <c r="C1979" s="2" t="s">
        <v>183</v>
      </c>
      <c r="D1979">
        <v>23</v>
      </c>
    </row>
    <row r="1980" spans="1:4" x14ac:dyDescent="0.25">
      <c r="A1980" s="1">
        <v>43059</v>
      </c>
      <c r="B1980" s="2" t="s">
        <v>307</v>
      </c>
      <c r="C1980" s="2" t="s">
        <v>308</v>
      </c>
      <c r="D1980">
        <v>4</v>
      </c>
    </row>
    <row r="1981" spans="1:4" x14ac:dyDescent="0.25">
      <c r="A1981" s="1">
        <v>43059</v>
      </c>
      <c r="B1981" s="2" t="s">
        <v>174</v>
      </c>
      <c r="C1981" s="2" t="s">
        <v>175</v>
      </c>
      <c r="D1981">
        <v>20</v>
      </c>
    </row>
    <row r="1982" spans="1:4" x14ac:dyDescent="0.25">
      <c r="A1982" s="1">
        <v>43059</v>
      </c>
      <c r="B1982" s="2" t="s">
        <v>23</v>
      </c>
      <c r="C1982" s="2" t="s">
        <v>695</v>
      </c>
      <c r="D1982">
        <v>51</v>
      </c>
    </row>
    <row r="1983" spans="1:4" x14ac:dyDescent="0.25">
      <c r="A1983" s="1">
        <v>43059</v>
      </c>
      <c r="B1983" s="2" t="s">
        <v>574</v>
      </c>
      <c r="C1983" s="2" t="s">
        <v>421</v>
      </c>
      <c r="D1983">
        <v>29</v>
      </c>
    </row>
    <row r="1984" spans="1:4" x14ac:dyDescent="0.25">
      <c r="A1984" s="1">
        <v>43059</v>
      </c>
      <c r="B1984" s="2" t="s">
        <v>39</v>
      </c>
      <c r="C1984" s="2" t="s">
        <v>111</v>
      </c>
      <c r="D1984">
        <v>54</v>
      </c>
    </row>
    <row r="1985" spans="1:4" x14ac:dyDescent="0.25">
      <c r="A1985" s="1">
        <v>43059</v>
      </c>
      <c r="B1985" s="2" t="s">
        <v>171</v>
      </c>
      <c r="C1985" s="2" t="s">
        <v>562</v>
      </c>
      <c r="D1985">
        <v>19</v>
      </c>
    </row>
    <row r="1986" spans="1:4" x14ac:dyDescent="0.25">
      <c r="A1986" s="1">
        <v>43059</v>
      </c>
      <c r="B1986" s="2" t="s">
        <v>352</v>
      </c>
      <c r="C1986" s="2" t="s">
        <v>227</v>
      </c>
      <c r="D1986">
        <v>25</v>
      </c>
    </row>
    <row r="1987" spans="1:4" x14ac:dyDescent="0.25">
      <c r="A1987" s="1">
        <v>43059</v>
      </c>
      <c r="B1987" s="2" t="s">
        <v>409</v>
      </c>
      <c r="C1987" s="2" t="s">
        <v>410</v>
      </c>
      <c r="D1987">
        <v>4</v>
      </c>
    </row>
    <row r="1988" spans="1:4" x14ac:dyDescent="0.25">
      <c r="A1988" s="1">
        <v>43059</v>
      </c>
      <c r="B1988" s="2" t="s">
        <v>133</v>
      </c>
      <c r="C1988" s="2" t="s">
        <v>616</v>
      </c>
      <c r="D1988">
        <v>10</v>
      </c>
    </row>
    <row r="1989" spans="1:4" x14ac:dyDescent="0.25">
      <c r="A1989" s="1">
        <v>43060</v>
      </c>
      <c r="B1989" s="2" t="s">
        <v>106</v>
      </c>
      <c r="C1989" s="2" t="s">
        <v>107</v>
      </c>
      <c r="D1989">
        <v>9</v>
      </c>
    </row>
    <row r="1990" spans="1:4" x14ac:dyDescent="0.25">
      <c r="A1990" s="1">
        <v>43060</v>
      </c>
      <c r="B1990" s="2" t="s">
        <v>81</v>
      </c>
      <c r="C1990" s="2" t="s">
        <v>584</v>
      </c>
      <c r="D1990">
        <v>8</v>
      </c>
    </row>
    <row r="1991" spans="1:4" x14ac:dyDescent="0.25">
      <c r="A1991" s="1">
        <v>43060</v>
      </c>
      <c r="B1991" s="2" t="s">
        <v>280</v>
      </c>
      <c r="C1991" s="2" t="s">
        <v>580</v>
      </c>
      <c r="D1991">
        <v>50</v>
      </c>
    </row>
    <row r="1992" spans="1:4" x14ac:dyDescent="0.25">
      <c r="A1992" s="1">
        <v>43060</v>
      </c>
      <c r="B1992" s="2" t="s">
        <v>141</v>
      </c>
      <c r="C1992" s="2" t="s">
        <v>292</v>
      </c>
      <c r="D1992">
        <v>18</v>
      </c>
    </row>
    <row r="1993" spans="1:4" x14ac:dyDescent="0.25">
      <c r="A1993" s="1">
        <v>43060</v>
      </c>
      <c r="B1993" s="2" t="s">
        <v>176</v>
      </c>
      <c r="C1993" s="2" t="s">
        <v>486</v>
      </c>
      <c r="D1993">
        <v>42</v>
      </c>
    </row>
    <row r="1994" spans="1:4" x14ac:dyDescent="0.25">
      <c r="A1994" s="1">
        <v>43060</v>
      </c>
      <c r="B1994" s="2" t="s">
        <v>72</v>
      </c>
      <c r="C1994" s="2" t="s">
        <v>73</v>
      </c>
      <c r="D1994">
        <v>24</v>
      </c>
    </row>
    <row r="1995" spans="1:4" x14ac:dyDescent="0.25">
      <c r="A1995" s="1">
        <v>43060</v>
      </c>
      <c r="B1995" s="2" t="s">
        <v>171</v>
      </c>
      <c r="C1995" s="2" t="s">
        <v>5</v>
      </c>
      <c r="D1995">
        <v>31</v>
      </c>
    </row>
    <row r="1996" spans="1:4" x14ac:dyDescent="0.25">
      <c r="A1996" s="1">
        <v>43060</v>
      </c>
      <c r="B1996" s="2" t="s">
        <v>299</v>
      </c>
      <c r="C1996" s="2" t="s">
        <v>300</v>
      </c>
      <c r="D1996">
        <v>46</v>
      </c>
    </row>
    <row r="1997" spans="1:4" x14ac:dyDescent="0.25">
      <c r="A1997" s="1">
        <v>43060</v>
      </c>
      <c r="B1997" s="2" t="s">
        <v>206</v>
      </c>
      <c r="C1997" s="2" t="s">
        <v>227</v>
      </c>
      <c r="D1997">
        <v>9</v>
      </c>
    </row>
    <row r="1998" spans="1:4" x14ac:dyDescent="0.25">
      <c r="A1998" s="1">
        <v>43060</v>
      </c>
      <c r="B1998" s="2" t="s">
        <v>416</v>
      </c>
      <c r="C1998" s="2" t="s">
        <v>572</v>
      </c>
      <c r="D1998">
        <v>9</v>
      </c>
    </row>
    <row r="1999" spans="1:4" x14ac:dyDescent="0.25">
      <c r="A1999" s="1">
        <v>43060</v>
      </c>
      <c r="B1999" s="2" t="s">
        <v>43</v>
      </c>
      <c r="C1999" s="2" t="s">
        <v>44</v>
      </c>
      <c r="D1999">
        <v>53</v>
      </c>
    </row>
    <row r="2000" spans="1:4" x14ac:dyDescent="0.25">
      <c r="A2000" s="1">
        <v>43060</v>
      </c>
      <c r="B2000" s="2" t="s">
        <v>131</v>
      </c>
      <c r="C2000" s="2" t="s">
        <v>451</v>
      </c>
      <c r="D2000">
        <v>5</v>
      </c>
    </row>
    <row r="2001" spans="1:4" x14ac:dyDescent="0.25">
      <c r="A2001" s="1">
        <v>43060</v>
      </c>
      <c r="B2001" s="2" t="s">
        <v>137</v>
      </c>
      <c r="C2001" s="2" t="s">
        <v>138</v>
      </c>
      <c r="D2001">
        <v>39</v>
      </c>
    </row>
    <row r="2002" spans="1:4" x14ac:dyDescent="0.25">
      <c r="A2002" s="1">
        <v>43060</v>
      </c>
      <c r="B2002" s="2" t="s">
        <v>372</v>
      </c>
      <c r="C2002" s="2" t="s">
        <v>373</v>
      </c>
      <c r="D2002">
        <v>43</v>
      </c>
    </row>
    <row r="2003" spans="1:4" x14ac:dyDescent="0.25">
      <c r="A2003" s="1">
        <v>43060</v>
      </c>
      <c r="B2003" s="2" t="s">
        <v>83</v>
      </c>
      <c r="C2003" s="2" t="s">
        <v>350</v>
      </c>
      <c r="D2003">
        <v>14</v>
      </c>
    </row>
    <row r="2004" spans="1:4" x14ac:dyDescent="0.25">
      <c r="A2004" s="1">
        <v>43060</v>
      </c>
      <c r="B2004" s="2" t="s">
        <v>150</v>
      </c>
      <c r="C2004" s="2" t="s">
        <v>151</v>
      </c>
      <c r="D2004">
        <v>25</v>
      </c>
    </row>
    <row r="2005" spans="1:4" x14ac:dyDescent="0.25">
      <c r="A2005" s="1">
        <v>43060</v>
      </c>
      <c r="B2005" s="2" t="s">
        <v>121</v>
      </c>
      <c r="C2005" s="2" t="s">
        <v>122</v>
      </c>
      <c r="D2005">
        <v>16</v>
      </c>
    </row>
    <row r="2006" spans="1:4" x14ac:dyDescent="0.25">
      <c r="A2006" s="1">
        <v>43060</v>
      </c>
      <c r="B2006" s="2" t="s">
        <v>374</v>
      </c>
      <c r="C2006" s="2" t="s">
        <v>581</v>
      </c>
      <c r="D2006">
        <v>23</v>
      </c>
    </row>
    <row r="2007" spans="1:4" x14ac:dyDescent="0.25">
      <c r="A2007" s="1">
        <v>43061</v>
      </c>
      <c r="B2007" s="2" t="s">
        <v>4</v>
      </c>
      <c r="C2007" s="2" t="s">
        <v>5</v>
      </c>
      <c r="D2007">
        <v>12</v>
      </c>
    </row>
    <row r="2008" spans="1:4" x14ac:dyDescent="0.25">
      <c r="A2008" s="1">
        <v>43061</v>
      </c>
      <c r="B2008" s="2" t="s">
        <v>374</v>
      </c>
      <c r="C2008" s="2" t="s">
        <v>375</v>
      </c>
      <c r="D2008">
        <v>10</v>
      </c>
    </row>
    <row r="2009" spans="1:4" x14ac:dyDescent="0.25">
      <c r="A2009" s="1">
        <v>43061</v>
      </c>
      <c r="B2009" s="2" t="s">
        <v>16</v>
      </c>
      <c r="C2009" s="2" t="s">
        <v>642</v>
      </c>
      <c r="D2009">
        <v>49</v>
      </c>
    </row>
    <row r="2010" spans="1:4" x14ac:dyDescent="0.25">
      <c r="A2010" s="1">
        <v>43061</v>
      </c>
      <c r="B2010" s="2" t="s">
        <v>367</v>
      </c>
      <c r="C2010" s="2" t="s">
        <v>5</v>
      </c>
      <c r="D2010">
        <v>9</v>
      </c>
    </row>
    <row r="2011" spans="1:4" x14ac:dyDescent="0.25">
      <c r="A2011" s="1">
        <v>43061</v>
      </c>
      <c r="B2011" s="2" t="s">
        <v>55</v>
      </c>
      <c r="C2011" s="2" t="s">
        <v>56</v>
      </c>
      <c r="D2011">
        <v>14</v>
      </c>
    </row>
    <row r="2012" spans="1:4" x14ac:dyDescent="0.25">
      <c r="A2012" s="1">
        <v>43061</v>
      </c>
      <c r="B2012" s="2" t="s">
        <v>412</v>
      </c>
      <c r="C2012" s="2" t="s">
        <v>413</v>
      </c>
      <c r="D2012">
        <v>23</v>
      </c>
    </row>
    <row r="2013" spans="1:4" x14ac:dyDescent="0.25">
      <c r="A2013" s="1">
        <v>43061</v>
      </c>
      <c r="B2013" s="2" t="s">
        <v>367</v>
      </c>
      <c r="C2013" s="2" t="s">
        <v>368</v>
      </c>
      <c r="D2013">
        <v>12</v>
      </c>
    </row>
    <row r="2014" spans="1:4" x14ac:dyDescent="0.25">
      <c r="A2014" s="1">
        <v>43061</v>
      </c>
      <c r="B2014" s="2" t="s">
        <v>314</v>
      </c>
      <c r="C2014" s="2" t="s">
        <v>315</v>
      </c>
      <c r="D2014">
        <v>14</v>
      </c>
    </row>
    <row r="2015" spans="1:4" x14ac:dyDescent="0.25">
      <c r="A2015" s="1">
        <v>43061</v>
      </c>
      <c r="B2015" s="2" t="s">
        <v>92</v>
      </c>
      <c r="C2015" s="2" t="s">
        <v>93</v>
      </c>
      <c r="D2015">
        <v>5</v>
      </c>
    </row>
    <row r="2016" spans="1:4" x14ac:dyDescent="0.25">
      <c r="A2016" s="1">
        <v>43061</v>
      </c>
      <c r="B2016" s="2" t="s">
        <v>30</v>
      </c>
      <c r="C2016" s="2" t="s">
        <v>680</v>
      </c>
      <c r="D2016">
        <v>13</v>
      </c>
    </row>
    <row r="2017" spans="1:4" x14ac:dyDescent="0.25">
      <c r="A2017" s="1">
        <v>43061</v>
      </c>
      <c r="B2017" s="2" t="s">
        <v>232</v>
      </c>
      <c r="C2017" s="2" t="s">
        <v>233</v>
      </c>
      <c r="D2017">
        <v>5</v>
      </c>
    </row>
    <row r="2018" spans="1:4" x14ac:dyDescent="0.25">
      <c r="A2018" s="1">
        <v>43061</v>
      </c>
      <c r="B2018" s="2" t="s">
        <v>39</v>
      </c>
      <c r="C2018" s="2" t="s">
        <v>436</v>
      </c>
      <c r="D2018">
        <v>29</v>
      </c>
    </row>
    <row r="2019" spans="1:4" x14ac:dyDescent="0.25">
      <c r="A2019" s="1">
        <v>43061</v>
      </c>
      <c r="B2019" s="2" t="s">
        <v>427</v>
      </c>
      <c r="C2019" s="2" t="s">
        <v>118</v>
      </c>
      <c r="D2019">
        <v>24</v>
      </c>
    </row>
    <row r="2020" spans="1:4" x14ac:dyDescent="0.25">
      <c r="A2020" s="1">
        <v>43061</v>
      </c>
      <c r="B2020" s="2" t="s">
        <v>494</v>
      </c>
      <c r="C2020" s="2" t="s">
        <v>495</v>
      </c>
      <c r="D2020">
        <v>2</v>
      </c>
    </row>
    <row r="2021" spans="1:4" x14ac:dyDescent="0.25">
      <c r="A2021" s="1">
        <v>43061</v>
      </c>
      <c r="B2021" s="2" t="s">
        <v>55</v>
      </c>
      <c r="C2021" s="2" t="s">
        <v>691</v>
      </c>
      <c r="D2021">
        <v>41</v>
      </c>
    </row>
    <row r="2022" spans="1:4" x14ac:dyDescent="0.25">
      <c r="A2022" s="1">
        <v>43061</v>
      </c>
      <c r="B2022" s="2" t="s">
        <v>18</v>
      </c>
      <c r="C2022" s="2" t="s">
        <v>597</v>
      </c>
      <c r="D2022">
        <v>21</v>
      </c>
    </row>
    <row r="2023" spans="1:4" x14ac:dyDescent="0.25">
      <c r="A2023" s="1">
        <v>43061</v>
      </c>
      <c r="B2023" s="2" t="s">
        <v>171</v>
      </c>
      <c r="C2023" s="2" t="s">
        <v>651</v>
      </c>
      <c r="D2023">
        <v>25</v>
      </c>
    </row>
    <row r="2024" spans="1:4" x14ac:dyDescent="0.25">
      <c r="A2024" s="1">
        <v>43061</v>
      </c>
      <c r="B2024" s="2" t="s">
        <v>169</v>
      </c>
      <c r="C2024" s="2" t="s">
        <v>684</v>
      </c>
      <c r="D2024">
        <v>26</v>
      </c>
    </row>
    <row r="2025" spans="1:4" x14ac:dyDescent="0.25">
      <c r="A2025" s="1">
        <v>43061</v>
      </c>
      <c r="B2025" s="2" t="s">
        <v>87</v>
      </c>
      <c r="C2025" s="2" t="s">
        <v>424</v>
      </c>
      <c r="D2025">
        <v>14</v>
      </c>
    </row>
    <row r="2026" spans="1:4" x14ac:dyDescent="0.25">
      <c r="A2026" s="1">
        <v>43062</v>
      </c>
      <c r="B2026" s="2" t="s">
        <v>83</v>
      </c>
      <c r="C2026" s="2" t="s">
        <v>149</v>
      </c>
      <c r="D2026">
        <v>14</v>
      </c>
    </row>
    <row r="2027" spans="1:4" x14ac:dyDescent="0.25">
      <c r="A2027" s="1">
        <v>43062</v>
      </c>
      <c r="B2027" s="2" t="s">
        <v>427</v>
      </c>
      <c r="C2027" s="2" t="s">
        <v>118</v>
      </c>
      <c r="D2027">
        <v>39</v>
      </c>
    </row>
    <row r="2028" spans="1:4" x14ac:dyDescent="0.25">
      <c r="A2028" s="1">
        <v>43062</v>
      </c>
      <c r="B2028" s="2" t="s">
        <v>81</v>
      </c>
      <c r="C2028" s="2" t="s">
        <v>648</v>
      </c>
      <c r="D2028">
        <v>25</v>
      </c>
    </row>
    <row r="2029" spans="1:4" x14ac:dyDescent="0.25">
      <c r="A2029" s="1">
        <v>43062</v>
      </c>
      <c r="B2029" s="2" t="s">
        <v>395</v>
      </c>
      <c r="C2029" s="2" t="s">
        <v>599</v>
      </c>
      <c r="D2029">
        <v>15</v>
      </c>
    </row>
    <row r="2030" spans="1:4" x14ac:dyDescent="0.25">
      <c r="A2030" s="1">
        <v>43062</v>
      </c>
      <c r="B2030" s="2" t="s">
        <v>69</v>
      </c>
      <c r="C2030" s="2" t="s">
        <v>200</v>
      </c>
      <c r="D2030">
        <v>9</v>
      </c>
    </row>
    <row r="2031" spans="1:4" x14ac:dyDescent="0.25">
      <c r="A2031" s="1">
        <v>43062</v>
      </c>
      <c r="B2031" s="2" t="s">
        <v>359</v>
      </c>
      <c r="C2031" s="2" t="s">
        <v>431</v>
      </c>
      <c r="D2031">
        <v>10</v>
      </c>
    </row>
    <row r="2032" spans="1:4" x14ac:dyDescent="0.25">
      <c r="A2032" s="1">
        <v>43062</v>
      </c>
      <c r="B2032" s="2" t="s">
        <v>69</v>
      </c>
      <c r="C2032" s="2" t="s">
        <v>200</v>
      </c>
      <c r="D2032">
        <v>12</v>
      </c>
    </row>
    <row r="2033" spans="1:4" x14ac:dyDescent="0.25">
      <c r="A2033" s="1">
        <v>43062</v>
      </c>
      <c r="B2033" s="2" t="s">
        <v>69</v>
      </c>
      <c r="C2033" s="2" t="s">
        <v>461</v>
      </c>
      <c r="D2033">
        <v>19</v>
      </c>
    </row>
    <row r="2034" spans="1:4" x14ac:dyDescent="0.25">
      <c r="A2034" s="1">
        <v>43062</v>
      </c>
      <c r="B2034" s="2" t="s">
        <v>131</v>
      </c>
      <c r="C2034" s="2" t="s">
        <v>626</v>
      </c>
      <c r="D2034">
        <v>43</v>
      </c>
    </row>
    <row r="2035" spans="1:4" x14ac:dyDescent="0.25">
      <c r="A2035" s="1">
        <v>43063</v>
      </c>
      <c r="B2035" s="2" t="s">
        <v>83</v>
      </c>
      <c r="C2035" s="2" t="s">
        <v>698</v>
      </c>
      <c r="D2035">
        <v>13</v>
      </c>
    </row>
    <row r="2036" spans="1:4" x14ac:dyDescent="0.25">
      <c r="A2036" s="1">
        <v>43063</v>
      </c>
      <c r="B2036" s="2" t="s">
        <v>201</v>
      </c>
      <c r="C2036" s="2" t="s">
        <v>202</v>
      </c>
      <c r="D2036">
        <v>38</v>
      </c>
    </row>
    <row r="2037" spans="1:4" x14ac:dyDescent="0.25">
      <c r="A2037" s="1">
        <v>43063</v>
      </c>
      <c r="B2037" s="2" t="s">
        <v>150</v>
      </c>
      <c r="C2037" s="2" t="s">
        <v>556</v>
      </c>
      <c r="D2037">
        <v>9</v>
      </c>
    </row>
    <row r="2038" spans="1:4" x14ac:dyDescent="0.25">
      <c r="A2038" s="1">
        <v>43063</v>
      </c>
      <c r="B2038" s="2" t="s">
        <v>69</v>
      </c>
      <c r="C2038" s="2" t="s">
        <v>200</v>
      </c>
      <c r="D2038">
        <v>10</v>
      </c>
    </row>
    <row r="2039" spans="1:4" x14ac:dyDescent="0.25">
      <c r="A2039" s="1">
        <v>43063</v>
      </c>
      <c r="B2039" s="2" t="s">
        <v>367</v>
      </c>
      <c r="C2039" s="2" t="s">
        <v>5</v>
      </c>
      <c r="D2039">
        <v>13</v>
      </c>
    </row>
    <row r="2040" spans="1:4" x14ac:dyDescent="0.25">
      <c r="A2040" s="1">
        <v>43063</v>
      </c>
      <c r="B2040" s="2" t="s">
        <v>97</v>
      </c>
      <c r="C2040" s="2" t="s">
        <v>188</v>
      </c>
      <c r="D2040">
        <v>6</v>
      </c>
    </row>
    <row r="2041" spans="1:4" x14ac:dyDescent="0.25">
      <c r="A2041" s="1">
        <v>43063</v>
      </c>
      <c r="B2041" s="2" t="s">
        <v>39</v>
      </c>
      <c r="C2041" s="2" t="s">
        <v>434</v>
      </c>
      <c r="D2041">
        <v>26</v>
      </c>
    </row>
    <row r="2042" spans="1:4" x14ac:dyDescent="0.25">
      <c r="A2042" s="1">
        <v>43063</v>
      </c>
      <c r="B2042" s="2" t="s">
        <v>355</v>
      </c>
      <c r="C2042" s="2" t="s">
        <v>356</v>
      </c>
      <c r="D2042">
        <v>24</v>
      </c>
    </row>
    <row r="2043" spans="1:4" x14ac:dyDescent="0.25">
      <c r="A2043" s="1">
        <v>43063</v>
      </c>
      <c r="B2043" s="2" t="s">
        <v>77</v>
      </c>
      <c r="C2043" s="2" t="s">
        <v>78</v>
      </c>
      <c r="D2043">
        <v>13</v>
      </c>
    </row>
    <row r="2044" spans="1:4" x14ac:dyDescent="0.25">
      <c r="A2044" s="1">
        <v>43063</v>
      </c>
      <c r="B2044" s="2" t="s">
        <v>34</v>
      </c>
      <c r="C2044" s="2" t="s">
        <v>160</v>
      </c>
      <c r="D2044">
        <v>19</v>
      </c>
    </row>
    <row r="2045" spans="1:4" x14ac:dyDescent="0.25">
      <c r="A2045" s="1">
        <v>43063</v>
      </c>
      <c r="B2045" s="2" t="s">
        <v>150</v>
      </c>
      <c r="C2045" s="2" t="s">
        <v>258</v>
      </c>
      <c r="D2045">
        <v>22</v>
      </c>
    </row>
    <row r="2046" spans="1:4" x14ac:dyDescent="0.25">
      <c r="A2046" s="1">
        <v>43063</v>
      </c>
      <c r="B2046" s="2" t="s">
        <v>97</v>
      </c>
      <c r="C2046" s="2" t="s">
        <v>5</v>
      </c>
      <c r="D2046">
        <v>2</v>
      </c>
    </row>
    <row r="2047" spans="1:4" x14ac:dyDescent="0.25">
      <c r="A2047" s="1">
        <v>43063</v>
      </c>
      <c r="B2047" s="2" t="s">
        <v>23</v>
      </c>
      <c r="C2047" s="2" t="s">
        <v>604</v>
      </c>
      <c r="D2047">
        <v>2</v>
      </c>
    </row>
    <row r="2048" spans="1:4" x14ac:dyDescent="0.25">
      <c r="A2048" s="1">
        <v>43063</v>
      </c>
      <c r="B2048" s="2" t="s">
        <v>30</v>
      </c>
      <c r="C2048" s="2" t="s">
        <v>227</v>
      </c>
      <c r="D2048">
        <v>18</v>
      </c>
    </row>
    <row r="2049" spans="1:4" x14ac:dyDescent="0.25">
      <c r="A2049" s="1">
        <v>43063</v>
      </c>
      <c r="B2049" s="2" t="s">
        <v>18</v>
      </c>
      <c r="C2049" s="2" t="s">
        <v>74</v>
      </c>
      <c r="D2049">
        <v>24</v>
      </c>
    </row>
    <row r="2050" spans="1:4" x14ac:dyDescent="0.25">
      <c r="A2050" s="1">
        <v>43063</v>
      </c>
      <c r="B2050" s="2" t="s">
        <v>32</v>
      </c>
      <c r="C2050" s="2" t="s">
        <v>406</v>
      </c>
      <c r="D2050">
        <v>24</v>
      </c>
    </row>
    <row r="2051" spans="1:4" x14ac:dyDescent="0.25">
      <c r="A2051" s="1">
        <v>43063</v>
      </c>
      <c r="B2051" s="2" t="s">
        <v>193</v>
      </c>
      <c r="C2051" s="2" t="s">
        <v>228</v>
      </c>
      <c r="D2051">
        <v>17</v>
      </c>
    </row>
    <row r="2052" spans="1:4" x14ac:dyDescent="0.25">
      <c r="A2052" s="1">
        <v>43063</v>
      </c>
      <c r="B2052" s="2" t="s">
        <v>95</v>
      </c>
      <c r="C2052" s="2" t="s">
        <v>426</v>
      </c>
      <c r="D2052">
        <v>18</v>
      </c>
    </row>
    <row r="2053" spans="1:4" x14ac:dyDescent="0.25">
      <c r="A2053" s="1">
        <v>43063</v>
      </c>
      <c r="B2053" s="2" t="s">
        <v>83</v>
      </c>
      <c r="C2053" s="2" t="s">
        <v>470</v>
      </c>
      <c r="D2053">
        <v>26</v>
      </c>
    </row>
    <row r="2054" spans="1:4" x14ac:dyDescent="0.25">
      <c r="A2054" s="1">
        <v>43066</v>
      </c>
      <c r="B2054" s="2" t="s">
        <v>55</v>
      </c>
      <c r="C2054" s="2" t="s">
        <v>56</v>
      </c>
      <c r="D2054">
        <v>2</v>
      </c>
    </row>
    <row r="2055" spans="1:4" x14ac:dyDescent="0.25">
      <c r="A2055" s="1">
        <v>43066</v>
      </c>
      <c r="B2055" s="2" t="s">
        <v>314</v>
      </c>
      <c r="C2055" s="2" t="s">
        <v>366</v>
      </c>
      <c r="D2055">
        <v>51</v>
      </c>
    </row>
    <row r="2056" spans="1:4" x14ac:dyDescent="0.25">
      <c r="A2056" s="1">
        <v>43066</v>
      </c>
      <c r="B2056" s="2" t="s">
        <v>310</v>
      </c>
      <c r="C2056" s="2" t="s">
        <v>699</v>
      </c>
      <c r="D2056">
        <v>20</v>
      </c>
    </row>
    <row r="2057" spans="1:4" x14ac:dyDescent="0.25">
      <c r="A2057" s="1">
        <v>43066</v>
      </c>
      <c r="B2057" s="2" t="s">
        <v>81</v>
      </c>
      <c r="C2057" s="2" t="s">
        <v>648</v>
      </c>
      <c r="D2057">
        <v>5</v>
      </c>
    </row>
    <row r="2058" spans="1:4" x14ac:dyDescent="0.25">
      <c r="A2058" s="1">
        <v>43066</v>
      </c>
      <c r="B2058" s="2" t="s">
        <v>346</v>
      </c>
      <c r="C2058" s="2" t="s">
        <v>347</v>
      </c>
      <c r="D2058">
        <v>43</v>
      </c>
    </row>
    <row r="2059" spans="1:4" x14ac:dyDescent="0.25">
      <c r="A2059" s="1">
        <v>43066</v>
      </c>
      <c r="B2059" s="2" t="s">
        <v>39</v>
      </c>
      <c r="C2059" s="2" t="s">
        <v>436</v>
      </c>
      <c r="D2059">
        <v>25</v>
      </c>
    </row>
    <row r="2060" spans="1:4" x14ac:dyDescent="0.25">
      <c r="A2060" s="1">
        <v>43066</v>
      </c>
      <c r="B2060" s="2" t="s">
        <v>141</v>
      </c>
      <c r="C2060" s="2" t="s">
        <v>142</v>
      </c>
      <c r="D2060">
        <v>26</v>
      </c>
    </row>
    <row r="2061" spans="1:4" x14ac:dyDescent="0.25">
      <c r="A2061" s="1">
        <v>43066</v>
      </c>
      <c r="B2061" s="2" t="s">
        <v>45</v>
      </c>
      <c r="C2061" s="2" t="s">
        <v>388</v>
      </c>
      <c r="D2061">
        <v>25</v>
      </c>
    </row>
    <row r="2062" spans="1:4" x14ac:dyDescent="0.25">
      <c r="A2062" s="1">
        <v>43066</v>
      </c>
      <c r="B2062" s="2" t="s">
        <v>133</v>
      </c>
      <c r="C2062" s="2" t="s">
        <v>328</v>
      </c>
      <c r="D2062">
        <v>40</v>
      </c>
    </row>
    <row r="2063" spans="1:4" x14ac:dyDescent="0.25">
      <c r="A2063" s="1">
        <v>43067</v>
      </c>
      <c r="B2063" s="2" t="s">
        <v>34</v>
      </c>
      <c r="C2063" s="2" t="s">
        <v>35</v>
      </c>
      <c r="D2063">
        <v>26</v>
      </c>
    </row>
    <row r="2064" spans="1:4" x14ac:dyDescent="0.25">
      <c r="A2064" s="1">
        <v>43067</v>
      </c>
      <c r="B2064" s="2" t="s">
        <v>144</v>
      </c>
      <c r="C2064" s="2" t="s">
        <v>525</v>
      </c>
      <c r="D2064">
        <v>49</v>
      </c>
    </row>
    <row r="2065" spans="1:4" x14ac:dyDescent="0.25">
      <c r="A2065" s="1">
        <v>43067</v>
      </c>
      <c r="B2065" s="2" t="s">
        <v>427</v>
      </c>
      <c r="C2065" s="2" t="s">
        <v>558</v>
      </c>
      <c r="D2065">
        <v>6</v>
      </c>
    </row>
    <row r="2066" spans="1:4" x14ac:dyDescent="0.25">
      <c r="A2066" s="1">
        <v>43067</v>
      </c>
      <c r="B2066" s="2" t="s">
        <v>47</v>
      </c>
      <c r="C2066" s="2" t="s">
        <v>465</v>
      </c>
      <c r="D2066">
        <v>6</v>
      </c>
    </row>
    <row r="2067" spans="1:4" x14ac:dyDescent="0.25">
      <c r="A2067" s="1">
        <v>43067</v>
      </c>
      <c r="B2067" s="2" t="s">
        <v>47</v>
      </c>
      <c r="C2067" s="2" t="s">
        <v>465</v>
      </c>
      <c r="D2067">
        <v>11</v>
      </c>
    </row>
    <row r="2068" spans="1:4" x14ac:dyDescent="0.25">
      <c r="A2068" s="1">
        <v>43067</v>
      </c>
      <c r="B2068" s="2" t="s">
        <v>30</v>
      </c>
      <c r="C2068" s="2" t="s">
        <v>680</v>
      </c>
      <c r="D2068">
        <v>34</v>
      </c>
    </row>
    <row r="2069" spans="1:4" x14ac:dyDescent="0.25">
      <c r="A2069" s="1">
        <v>43067</v>
      </c>
      <c r="B2069" s="2" t="s">
        <v>81</v>
      </c>
      <c r="C2069" s="2" t="s">
        <v>82</v>
      </c>
      <c r="D2069">
        <v>8</v>
      </c>
    </row>
    <row r="2070" spans="1:4" x14ac:dyDescent="0.25">
      <c r="A2070" s="1">
        <v>43067</v>
      </c>
      <c r="B2070" s="2" t="s">
        <v>152</v>
      </c>
      <c r="C2070" s="2" t="s">
        <v>696</v>
      </c>
      <c r="D2070">
        <v>17</v>
      </c>
    </row>
    <row r="2071" spans="1:4" x14ac:dyDescent="0.25">
      <c r="A2071" s="1">
        <v>43067</v>
      </c>
      <c r="B2071" s="2" t="s">
        <v>41</v>
      </c>
      <c r="C2071" s="2" t="s">
        <v>42</v>
      </c>
      <c r="D2071">
        <v>29</v>
      </c>
    </row>
    <row r="2072" spans="1:4" x14ac:dyDescent="0.25">
      <c r="A2072" s="1">
        <v>43068</v>
      </c>
      <c r="B2072" s="2" t="s">
        <v>77</v>
      </c>
      <c r="C2072" s="2" t="s">
        <v>85</v>
      </c>
      <c r="D2072">
        <v>12</v>
      </c>
    </row>
    <row r="2073" spans="1:4" x14ac:dyDescent="0.25">
      <c r="A2073" s="1">
        <v>43068</v>
      </c>
      <c r="B2073" s="2" t="s">
        <v>150</v>
      </c>
      <c r="C2073" s="2" t="s">
        <v>297</v>
      </c>
      <c r="D2073">
        <v>19</v>
      </c>
    </row>
    <row r="2074" spans="1:4" x14ac:dyDescent="0.25">
      <c r="A2074" s="1">
        <v>43068</v>
      </c>
      <c r="B2074" s="2" t="s">
        <v>150</v>
      </c>
      <c r="C2074" s="2" t="s">
        <v>297</v>
      </c>
      <c r="D2074">
        <v>21</v>
      </c>
    </row>
    <row r="2075" spans="1:4" x14ac:dyDescent="0.25">
      <c r="A2075" s="1">
        <v>43068</v>
      </c>
      <c r="B2075" s="2" t="s">
        <v>87</v>
      </c>
      <c r="C2075" s="2" t="s">
        <v>397</v>
      </c>
      <c r="D2075">
        <v>33</v>
      </c>
    </row>
    <row r="2076" spans="1:4" x14ac:dyDescent="0.25">
      <c r="A2076" s="1">
        <v>43068</v>
      </c>
      <c r="B2076" s="2" t="s">
        <v>36</v>
      </c>
      <c r="C2076" s="2" t="s">
        <v>37</v>
      </c>
      <c r="D2076">
        <v>51</v>
      </c>
    </row>
    <row r="2077" spans="1:4" x14ac:dyDescent="0.25">
      <c r="A2077" s="1">
        <v>43068</v>
      </c>
      <c r="B2077" s="2" t="s">
        <v>83</v>
      </c>
      <c r="C2077" s="2" t="s">
        <v>591</v>
      </c>
      <c r="D2077">
        <v>10</v>
      </c>
    </row>
    <row r="2078" spans="1:4" x14ac:dyDescent="0.25">
      <c r="A2078" s="1">
        <v>43068</v>
      </c>
      <c r="B2078" s="2" t="s">
        <v>193</v>
      </c>
      <c r="C2078" s="2" t="s">
        <v>194</v>
      </c>
      <c r="D2078">
        <v>35</v>
      </c>
    </row>
    <row r="2079" spans="1:4" x14ac:dyDescent="0.25">
      <c r="A2079" s="1">
        <v>43068</v>
      </c>
      <c r="B2079" s="2" t="s">
        <v>51</v>
      </c>
      <c r="C2079" s="2" t="s">
        <v>358</v>
      </c>
      <c r="D2079">
        <v>22</v>
      </c>
    </row>
    <row r="2080" spans="1:4" x14ac:dyDescent="0.25">
      <c r="A2080" s="1">
        <v>43068</v>
      </c>
      <c r="B2080" s="2" t="s">
        <v>155</v>
      </c>
      <c r="C2080" s="2" t="s">
        <v>186</v>
      </c>
      <c r="D2080">
        <v>17</v>
      </c>
    </row>
    <row r="2081" spans="1:4" x14ac:dyDescent="0.25">
      <c r="A2081" s="1">
        <v>43069</v>
      </c>
      <c r="B2081" s="2" t="s">
        <v>574</v>
      </c>
      <c r="C2081" s="2" t="s">
        <v>421</v>
      </c>
      <c r="D2081">
        <v>28</v>
      </c>
    </row>
    <row r="2082" spans="1:4" x14ac:dyDescent="0.25">
      <c r="A2082" s="1">
        <v>43069</v>
      </c>
      <c r="B2082" s="2" t="s">
        <v>114</v>
      </c>
      <c r="C2082" s="2" t="s">
        <v>173</v>
      </c>
      <c r="D2082">
        <v>33</v>
      </c>
    </row>
    <row r="2083" spans="1:4" x14ac:dyDescent="0.25">
      <c r="A2083" s="1">
        <v>43069</v>
      </c>
      <c r="B2083" s="2" t="s">
        <v>155</v>
      </c>
      <c r="C2083" s="2" t="s">
        <v>384</v>
      </c>
      <c r="D2083">
        <v>45</v>
      </c>
    </row>
    <row r="2084" spans="1:4" x14ac:dyDescent="0.25">
      <c r="A2084" s="1">
        <v>43069</v>
      </c>
      <c r="B2084" s="2" t="s">
        <v>95</v>
      </c>
      <c r="C2084" s="2" t="s">
        <v>426</v>
      </c>
      <c r="D2084">
        <v>20</v>
      </c>
    </row>
    <row r="2085" spans="1:4" x14ac:dyDescent="0.25">
      <c r="A2085" s="1">
        <v>43069</v>
      </c>
      <c r="B2085" s="2" t="s">
        <v>147</v>
      </c>
      <c r="C2085" s="2" t="s">
        <v>148</v>
      </c>
      <c r="D2085">
        <v>39</v>
      </c>
    </row>
    <row r="2086" spans="1:4" x14ac:dyDescent="0.25">
      <c r="A2086" s="1">
        <v>43069</v>
      </c>
      <c r="B2086" s="2" t="s">
        <v>27</v>
      </c>
      <c r="C2086" s="2" t="s">
        <v>28</v>
      </c>
      <c r="D2086">
        <v>8</v>
      </c>
    </row>
    <row r="2087" spans="1:4" x14ac:dyDescent="0.25">
      <c r="A2087" s="1">
        <v>43069</v>
      </c>
      <c r="B2087" s="2" t="s">
        <v>57</v>
      </c>
      <c r="C2087" s="2" t="s">
        <v>58</v>
      </c>
      <c r="D2087">
        <v>10</v>
      </c>
    </row>
    <row r="2088" spans="1:4" x14ac:dyDescent="0.25">
      <c r="A2088" s="1">
        <v>43069</v>
      </c>
      <c r="B2088" s="2" t="s">
        <v>69</v>
      </c>
      <c r="C2088" s="2" t="s">
        <v>286</v>
      </c>
      <c r="D2088">
        <v>5</v>
      </c>
    </row>
    <row r="2089" spans="1:4" x14ac:dyDescent="0.25">
      <c r="A2089" s="1">
        <v>43069</v>
      </c>
      <c r="B2089" s="2" t="s">
        <v>219</v>
      </c>
      <c r="C2089" s="2" t="s">
        <v>254</v>
      </c>
      <c r="D2089">
        <v>32</v>
      </c>
    </row>
    <row r="2090" spans="1:4" x14ac:dyDescent="0.25">
      <c r="A2090" s="1">
        <v>43070</v>
      </c>
      <c r="B2090" s="2" t="s">
        <v>232</v>
      </c>
      <c r="C2090" s="2" t="s">
        <v>233</v>
      </c>
      <c r="D2090">
        <v>23</v>
      </c>
    </row>
    <row r="2091" spans="1:4" x14ac:dyDescent="0.25">
      <c r="A2091" s="1">
        <v>43070</v>
      </c>
      <c r="B2091" s="2" t="s">
        <v>193</v>
      </c>
      <c r="C2091" s="2" t="s">
        <v>483</v>
      </c>
      <c r="D2091">
        <v>11</v>
      </c>
    </row>
    <row r="2092" spans="1:4" x14ac:dyDescent="0.25">
      <c r="A2092" s="1">
        <v>43070</v>
      </c>
      <c r="B2092" s="2" t="s">
        <v>59</v>
      </c>
      <c r="C2092" s="2" t="s">
        <v>60</v>
      </c>
      <c r="D2092">
        <v>17</v>
      </c>
    </row>
    <row r="2093" spans="1:4" x14ac:dyDescent="0.25">
      <c r="A2093" s="1">
        <v>43070</v>
      </c>
      <c r="B2093" s="2" t="s">
        <v>49</v>
      </c>
      <c r="C2093" s="2" t="s">
        <v>50</v>
      </c>
      <c r="D2093">
        <v>22</v>
      </c>
    </row>
    <row r="2094" spans="1:4" x14ac:dyDescent="0.25">
      <c r="A2094" s="1">
        <v>43070</v>
      </c>
      <c r="B2094" s="2" t="s">
        <v>49</v>
      </c>
      <c r="C2094" s="2" t="s">
        <v>50</v>
      </c>
      <c r="D2094">
        <v>26</v>
      </c>
    </row>
    <row r="2095" spans="1:4" x14ac:dyDescent="0.25">
      <c r="A2095" s="1">
        <v>43070</v>
      </c>
      <c r="B2095" s="2" t="s">
        <v>55</v>
      </c>
      <c r="C2095" s="2" t="s">
        <v>265</v>
      </c>
      <c r="D2095">
        <v>48</v>
      </c>
    </row>
    <row r="2096" spans="1:4" x14ac:dyDescent="0.25">
      <c r="A2096" s="1">
        <v>43070</v>
      </c>
      <c r="B2096" s="2" t="s">
        <v>12</v>
      </c>
      <c r="C2096" s="2" t="s">
        <v>13</v>
      </c>
      <c r="D2096">
        <v>5</v>
      </c>
    </row>
    <row r="2097" spans="1:4" x14ac:dyDescent="0.25">
      <c r="A2097" s="1">
        <v>43070</v>
      </c>
      <c r="B2097" s="2" t="s">
        <v>49</v>
      </c>
      <c r="C2097" s="2" t="s">
        <v>50</v>
      </c>
      <c r="D2097">
        <v>31</v>
      </c>
    </row>
    <row r="2098" spans="1:4" x14ac:dyDescent="0.25">
      <c r="A2098" s="1">
        <v>43070</v>
      </c>
      <c r="B2098" s="2" t="s">
        <v>141</v>
      </c>
      <c r="C2098" s="2" t="s">
        <v>550</v>
      </c>
      <c r="D2098">
        <v>5</v>
      </c>
    </row>
    <row r="2099" spans="1:4" x14ac:dyDescent="0.25">
      <c r="A2099" s="1">
        <v>43073</v>
      </c>
      <c r="B2099" s="2" t="s">
        <v>34</v>
      </c>
      <c r="C2099" s="2" t="s">
        <v>338</v>
      </c>
      <c r="D2099">
        <v>18</v>
      </c>
    </row>
    <row r="2100" spans="1:4" x14ac:dyDescent="0.25">
      <c r="A2100" s="1">
        <v>43073</v>
      </c>
      <c r="B2100" s="2" t="s">
        <v>36</v>
      </c>
      <c r="C2100" s="2" t="s">
        <v>166</v>
      </c>
      <c r="D2100">
        <v>13</v>
      </c>
    </row>
    <row r="2101" spans="1:4" x14ac:dyDescent="0.25">
      <c r="A2101" s="1">
        <v>43073</v>
      </c>
      <c r="B2101" s="2" t="s">
        <v>327</v>
      </c>
      <c r="C2101" s="2" t="s">
        <v>102</v>
      </c>
      <c r="D2101">
        <v>55</v>
      </c>
    </row>
    <row r="2102" spans="1:4" x14ac:dyDescent="0.25">
      <c r="A2102" s="1">
        <v>43073</v>
      </c>
      <c r="B2102" s="2" t="s">
        <v>30</v>
      </c>
      <c r="C2102" s="2" t="s">
        <v>463</v>
      </c>
      <c r="D2102">
        <v>12</v>
      </c>
    </row>
    <row r="2103" spans="1:4" x14ac:dyDescent="0.25">
      <c r="A2103" s="1">
        <v>43073</v>
      </c>
      <c r="B2103" s="2" t="s">
        <v>10</v>
      </c>
      <c r="C2103" s="2" t="s">
        <v>700</v>
      </c>
      <c r="D2103">
        <v>15</v>
      </c>
    </row>
    <row r="2104" spans="1:4" x14ac:dyDescent="0.25">
      <c r="A2104" s="1">
        <v>43073</v>
      </c>
      <c r="B2104" s="2" t="s">
        <v>49</v>
      </c>
      <c r="C2104" s="2" t="s">
        <v>50</v>
      </c>
      <c r="D2104">
        <v>10</v>
      </c>
    </row>
    <row r="2105" spans="1:4" x14ac:dyDescent="0.25">
      <c r="A2105" s="1">
        <v>43073</v>
      </c>
      <c r="B2105" s="2" t="s">
        <v>603</v>
      </c>
      <c r="C2105" s="2" t="s">
        <v>439</v>
      </c>
      <c r="D2105">
        <v>6</v>
      </c>
    </row>
    <row r="2106" spans="1:4" x14ac:dyDescent="0.25">
      <c r="A2106" s="1">
        <v>43073</v>
      </c>
      <c r="B2106" s="2" t="s">
        <v>307</v>
      </c>
      <c r="C2106" s="2" t="s">
        <v>308</v>
      </c>
      <c r="D2106">
        <v>9</v>
      </c>
    </row>
    <row r="2107" spans="1:4" x14ac:dyDescent="0.25">
      <c r="A2107" s="1">
        <v>43073</v>
      </c>
      <c r="B2107" s="2" t="s">
        <v>14</v>
      </c>
      <c r="C2107" s="2" t="s">
        <v>430</v>
      </c>
      <c r="D2107">
        <v>48</v>
      </c>
    </row>
    <row r="2108" spans="1:4" x14ac:dyDescent="0.25">
      <c r="A2108" s="1">
        <v>43074</v>
      </c>
      <c r="B2108" s="2" t="s">
        <v>416</v>
      </c>
      <c r="C2108" s="2" t="s">
        <v>417</v>
      </c>
      <c r="D2108">
        <v>21</v>
      </c>
    </row>
    <row r="2109" spans="1:4" x14ac:dyDescent="0.25">
      <c r="A2109" s="1">
        <v>43074</v>
      </c>
      <c r="B2109" s="2" t="s">
        <v>139</v>
      </c>
      <c r="C2109" s="2" t="s">
        <v>654</v>
      </c>
      <c r="D2109">
        <v>2</v>
      </c>
    </row>
    <row r="2110" spans="1:4" x14ac:dyDescent="0.25">
      <c r="A2110" s="1">
        <v>43074</v>
      </c>
      <c r="B2110" s="2" t="s">
        <v>55</v>
      </c>
      <c r="C2110" s="2" t="s">
        <v>184</v>
      </c>
      <c r="D2110">
        <v>45</v>
      </c>
    </row>
    <row r="2111" spans="1:4" x14ac:dyDescent="0.25">
      <c r="A2111" s="1">
        <v>43074</v>
      </c>
      <c r="B2111" s="2" t="s">
        <v>63</v>
      </c>
      <c r="C2111" s="2" t="s">
        <v>441</v>
      </c>
      <c r="D2111">
        <v>34</v>
      </c>
    </row>
    <row r="2112" spans="1:4" x14ac:dyDescent="0.25">
      <c r="A2112" s="1">
        <v>43074</v>
      </c>
      <c r="B2112" s="2" t="s">
        <v>36</v>
      </c>
      <c r="C2112" s="2" t="s">
        <v>180</v>
      </c>
      <c r="D2112">
        <v>22</v>
      </c>
    </row>
    <row r="2113" spans="1:4" x14ac:dyDescent="0.25">
      <c r="A2113" s="1">
        <v>43074</v>
      </c>
      <c r="B2113" s="2" t="s">
        <v>8</v>
      </c>
      <c r="C2113" s="2" t="s">
        <v>491</v>
      </c>
      <c r="D2113">
        <v>6</v>
      </c>
    </row>
    <row r="2114" spans="1:4" x14ac:dyDescent="0.25">
      <c r="A2114" s="1">
        <v>43074</v>
      </c>
      <c r="B2114" s="2" t="s">
        <v>143</v>
      </c>
      <c r="C2114" s="2" t="s">
        <v>510</v>
      </c>
      <c r="D2114">
        <v>19</v>
      </c>
    </row>
    <row r="2115" spans="1:4" x14ac:dyDescent="0.25">
      <c r="A2115" s="1">
        <v>43074</v>
      </c>
      <c r="B2115" s="2" t="s">
        <v>14</v>
      </c>
      <c r="C2115" s="2" t="s">
        <v>15</v>
      </c>
      <c r="D2115">
        <v>22</v>
      </c>
    </row>
    <row r="2116" spans="1:4" x14ac:dyDescent="0.25">
      <c r="A2116" s="1">
        <v>43074</v>
      </c>
      <c r="B2116" s="2" t="s">
        <v>4</v>
      </c>
      <c r="C2116" s="2" t="s">
        <v>386</v>
      </c>
      <c r="D2116">
        <v>10</v>
      </c>
    </row>
    <row r="2117" spans="1:4" x14ac:dyDescent="0.25">
      <c r="A2117" s="1">
        <v>43075</v>
      </c>
      <c r="B2117" s="2" t="s">
        <v>271</v>
      </c>
      <c r="C2117" s="2" t="s">
        <v>548</v>
      </c>
      <c r="D2117">
        <v>20</v>
      </c>
    </row>
    <row r="2118" spans="1:4" x14ac:dyDescent="0.25">
      <c r="A2118" s="1">
        <v>43075</v>
      </c>
      <c r="B2118" s="2" t="s">
        <v>314</v>
      </c>
      <c r="C2118" s="2" t="s">
        <v>84</v>
      </c>
      <c r="D2118">
        <v>40</v>
      </c>
    </row>
    <row r="2119" spans="1:4" x14ac:dyDescent="0.25">
      <c r="A2119" s="1">
        <v>43075</v>
      </c>
      <c r="B2119" s="2" t="s">
        <v>137</v>
      </c>
      <c r="C2119" s="2" t="s">
        <v>685</v>
      </c>
      <c r="D2119">
        <v>14</v>
      </c>
    </row>
    <row r="2120" spans="1:4" x14ac:dyDescent="0.25">
      <c r="A2120" s="1">
        <v>43075</v>
      </c>
      <c r="B2120" s="2" t="s">
        <v>232</v>
      </c>
      <c r="C2120" s="2" t="s">
        <v>405</v>
      </c>
      <c r="D2120">
        <v>5</v>
      </c>
    </row>
    <row r="2121" spans="1:4" x14ac:dyDescent="0.25">
      <c r="A2121" s="1">
        <v>43075</v>
      </c>
      <c r="B2121" s="2" t="s">
        <v>178</v>
      </c>
      <c r="C2121" s="2" t="s">
        <v>333</v>
      </c>
      <c r="D2121">
        <v>3</v>
      </c>
    </row>
    <row r="2122" spans="1:4" x14ac:dyDescent="0.25">
      <c r="A2122" s="1">
        <v>43075</v>
      </c>
      <c r="B2122" s="2" t="s">
        <v>361</v>
      </c>
      <c r="C2122" s="2" t="s">
        <v>424</v>
      </c>
      <c r="D2122">
        <v>14</v>
      </c>
    </row>
    <row r="2123" spans="1:4" x14ac:dyDescent="0.25">
      <c r="A2123" s="1">
        <v>43075</v>
      </c>
      <c r="B2123" s="2" t="s">
        <v>30</v>
      </c>
      <c r="C2123" s="2" t="s">
        <v>463</v>
      </c>
      <c r="D2123">
        <v>7</v>
      </c>
    </row>
    <row r="2124" spans="1:4" x14ac:dyDescent="0.25">
      <c r="A2124" s="1">
        <v>43075</v>
      </c>
      <c r="B2124" s="2" t="s">
        <v>83</v>
      </c>
      <c r="C2124" s="2" t="s">
        <v>561</v>
      </c>
      <c r="D2124">
        <v>24</v>
      </c>
    </row>
    <row r="2125" spans="1:4" x14ac:dyDescent="0.25">
      <c r="A2125" s="1">
        <v>43075</v>
      </c>
      <c r="B2125" s="2" t="s">
        <v>10</v>
      </c>
      <c r="C2125" s="2" t="s">
        <v>266</v>
      </c>
      <c r="D2125">
        <v>39</v>
      </c>
    </row>
    <row r="2126" spans="1:4" x14ac:dyDescent="0.25">
      <c r="A2126" s="1">
        <v>43075</v>
      </c>
      <c r="B2126" s="2" t="s">
        <v>20</v>
      </c>
      <c r="C2126" s="2" t="s">
        <v>123</v>
      </c>
      <c r="D2126">
        <v>9</v>
      </c>
    </row>
    <row r="2127" spans="1:4" x14ac:dyDescent="0.25">
      <c r="A2127" s="1">
        <v>43076</v>
      </c>
      <c r="B2127" s="2" t="s">
        <v>63</v>
      </c>
      <c r="C2127" s="2" t="s">
        <v>64</v>
      </c>
      <c r="D2127">
        <v>17</v>
      </c>
    </row>
    <row r="2128" spans="1:4" x14ac:dyDescent="0.25">
      <c r="A2128" s="1">
        <v>43076</v>
      </c>
      <c r="B2128" s="2" t="s">
        <v>352</v>
      </c>
      <c r="C2128" s="2" t="s">
        <v>363</v>
      </c>
      <c r="D2128">
        <v>22</v>
      </c>
    </row>
    <row r="2129" spans="1:4" x14ac:dyDescent="0.25">
      <c r="A2129" s="1">
        <v>43076</v>
      </c>
      <c r="B2129" s="2" t="s">
        <v>374</v>
      </c>
      <c r="C2129" s="2" t="s">
        <v>581</v>
      </c>
      <c r="D2129">
        <v>12</v>
      </c>
    </row>
    <row r="2130" spans="1:4" x14ac:dyDescent="0.25">
      <c r="A2130" s="1">
        <v>43076</v>
      </c>
      <c r="B2130" s="2" t="s">
        <v>331</v>
      </c>
      <c r="C2130" s="2" t="s">
        <v>26</v>
      </c>
      <c r="D2130">
        <v>7</v>
      </c>
    </row>
    <row r="2131" spans="1:4" x14ac:dyDescent="0.25">
      <c r="A2131" s="1">
        <v>43076</v>
      </c>
      <c r="B2131" s="2" t="s">
        <v>39</v>
      </c>
      <c r="C2131" s="2" t="s">
        <v>289</v>
      </c>
      <c r="D2131">
        <v>15</v>
      </c>
    </row>
    <row r="2132" spans="1:4" x14ac:dyDescent="0.25">
      <c r="A2132" s="1">
        <v>43076</v>
      </c>
      <c r="B2132" s="2" t="s">
        <v>147</v>
      </c>
      <c r="C2132" s="2" t="s">
        <v>644</v>
      </c>
      <c r="D2132">
        <v>24</v>
      </c>
    </row>
    <row r="2133" spans="1:4" x14ac:dyDescent="0.25">
      <c r="A2133" s="1">
        <v>43076</v>
      </c>
      <c r="B2133" s="2" t="s">
        <v>133</v>
      </c>
      <c r="C2133" s="2" t="s">
        <v>499</v>
      </c>
      <c r="D2133">
        <v>49</v>
      </c>
    </row>
    <row r="2134" spans="1:4" x14ac:dyDescent="0.25">
      <c r="A2134" s="1">
        <v>43076</v>
      </c>
      <c r="B2134" s="2" t="s">
        <v>92</v>
      </c>
      <c r="C2134" s="2" t="s">
        <v>638</v>
      </c>
      <c r="D2134">
        <v>12</v>
      </c>
    </row>
    <row r="2135" spans="1:4" x14ac:dyDescent="0.25">
      <c r="A2135" s="1">
        <v>43076</v>
      </c>
      <c r="B2135" s="2" t="s">
        <v>280</v>
      </c>
      <c r="C2135" s="2" t="s">
        <v>281</v>
      </c>
      <c r="D2135">
        <v>24</v>
      </c>
    </row>
    <row r="2136" spans="1:4" x14ac:dyDescent="0.25">
      <c r="A2136" s="1">
        <v>43076</v>
      </c>
      <c r="B2136" s="2" t="s">
        <v>55</v>
      </c>
      <c r="C2136" s="2" t="s">
        <v>265</v>
      </c>
      <c r="D2136">
        <v>9</v>
      </c>
    </row>
    <row r="2137" spans="1:4" x14ac:dyDescent="0.25">
      <c r="A2137" s="1">
        <v>43077</v>
      </c>
      <c r="B2137" s="2" t="s">
        <v>30</v>
      </c>
      <c r="C2137" s="2" t="s">
        <v>31</v>
      </c>
      <c r="D2137">
        <v>6</v>
      </c>
    </row>
    <row r="2138" spans="1:4" x14ac:dyDescent="0.25">
      <c r="A2138" s="1">
        <v>43077</v>
      </c>
      <c r="B2138" s="2" t="s">
        <v>420</v>
      </c>
      <c r="C2138" s="2" t="s">
        <v>634</v>
      </c>
      <c r="D2138">
        <v>5</v>
      </c>
    </row>
    <row r="2139" spans="1:4" x14ac:dyDescent="0.25">
      <c r="A2139" s="1">
        <v>43077</v>
      </c>
      <c r="B2139" s="2" t="s">
        <v>12</v>
      </c>
      <c r="C2139" s="2" t="s">
        <v>38</v>
      </c>
      <c r="D2139">
        <v>9</v>
      </c>
    </row>
    <row r="2140" spans="1:4" x14ac:dyDescent="0.25">
      <c r="A2140" s="1">
        <v>43077</v>
      </c>
      <c r="B2140" s="2" t="s">
        <v>393</v>
      </c>
      <c r="C2140" s="2" t="s">
        <v>86</v>
      </c>
      <c r="D2140">
        <v>15</v>
      </c>
    </row>
    <row r="2141" spans="1:4" x14ac:dyDescent="0.25">
      <c r="A2141" s="1">
        <v>43077</v>
      </c>
      <c r="B2141" s="2" t="s">
        <v>593</v>
      </c>
      <c r="C2141" s="2" t="s">
        <v>594</v>
      </c>
      <c r="D2141">
        <v>21</v>
      </c>
    </row>
    <row r="2142" spans="1:4" x14ac:dyDescent="0.25">
      <c r="A2142" s="1">
        <v>43077</v>
      </c>
      <c r="B2142" s="2" t="s">
        <v>39</v>
      </c>
      <c r="C2142" s="2" t="s">
        <v>609</v>
      </c>
      <c r="D2142">
        <v>2</v>
      </c>
    </row>
    <row r="2143" spans="1:4" x14ac:dyDescent="0.25">
      <c r="A2143" s="1">
        <v>43077</v>
      </c>
      <c r="B2143" s="2" t="s">
        <v>39</v>
      </c>
      <c r="C2143" s="2" t="s">
        <v>586</v>
      </c>
      <c r="D2143">
        <v>48</v>
      </c>
    </row>
    <row r="2144" spans="1:4" x14ac:dyDescent="0.25">
      <c r="A2144" s="1">
        <v>43077</v>
      </c>
      <c r="B2144" s="2" t="s">
        <v>150</v>
      </c>
      <c r="C2144" s="2" t="s">
        <v>462</v>
      </c>
      <c r="D2144">
        <v>3</v>
      </c>
    </row>
    <row r="2145" spans="1:4" x14ac:dyDescent="0.25">
      <c r="A2145" s="1">
        <v>43077</v>
      </c>
      <c r="B2145" s="2" t="s">
        <v>329</v>
      </c>
      <c r="C2145" s="2" t="s">
        <v>330</v>
      </c>
      <c r="D2145">
        <v>52</v>
      </c>
    </row>
    <row r="2146" spans="1:4" x14ac:dyDescent="0.25">
      <c r="A2146" s="1">
        <v>43077</v>
      </c>
      <c r="B2146" s="2" t="s">
        <v>307</v>
      </c>
      <c r="C2146" s="2" t="s">
        <v>308</v>
      </c>
      <c r="D2146">
        <v>7</v>
      </c>
    </row>
    <row r="2147" spans="1:4" x14ac:dyDescent="0.25">
      <c r="A2147" s="1">
        <v>43080</v>
      </c>
      <c r="B2147" s="2" t="s">
        <v>232</v>
      </c>
      <c r="C2147" s="2" t="s">
        <v>573</v>
      </c>
      <c r="D2147">
        <v>12</v>
      </c>
    </row>
    <row r="2148" spans="1:4" x14ac:dyDescent="0.25">
      <c r="A2148" s="1">
        <v>43080</v>
      </c>
      <c r="B2148" s="2" t="s">
        <v>152</v>
      </c>
      <c r="C2148" s="2" t="s">
        <v>319</v>
      </c>
      <c r="D2148">
        <v>5</v>
      </c>
    </row>
    <row r="2149" spans="1:4" x14ac:dyDescent="0.25">
      <c r="A2149" s="1">
        <v>43080</v>
      </c>
      <c r="B2149" s="2" t="s">
        <v>280</v>
      </c>
      <c r="C2149" s="2" t="s">
        <v>281</v>
      </c>
      <c r="D2149">
        <v>7</v>
      </c>
    </row>
    <row r="2150" spans="1:4" x14ac:dyDescent="0.25">
      <c r="A2150" s="1">
        <v>43080</v>
      </c>
      <c r="B2150" s="2" t="s">
        <v>128</v>
      </c>
      <c r="C2150" s="2" t="s">
        <v>639</v>
      </c>
      <c r="D2150">
        <v>22</v>
      </c>
    </row>
    <row r="2151" spans="1:4" x14ac:dyDescent="0.25">
      <c r="A2151" s="1">
        <v>43080</v>
      </c>
      <c r="B2151" s="2" t="s">
        <v>280</v>
      </c>
      <c r="C2151" s="2" t="s">
        <v>451</v>
      </c>
      <c r="D2151">
        <v>5</v>
      </c>
    </row>
    <row r="2152" spans="1:4" x14ac:dyDescent="0.25">
      <c r="A2152" s="1">
        <v>43080</v>
      </c>
      <c r="B2152" s="2" t="s">
        <v>77</v>
      </c>
      <c r="C2152" s="2" t="s">
        <v>85</v>
      </c>
      <c r="D2152">
        <v>9</v>
      </c>
    </row>
    <row r="2153" spans="1:4" x14ac:dyDescent="0.25">
      <c r="A2153" s="1">
        <v>43080</v>
      </c>
      <c r="B2153" s="2" t="s">
        <v>176</v>
      </c>
      <c r="C2153" s="2" t="s">
        <v>486</v>
      </c>
      <c r="D2153">
        <v>4</v>
      </c>
    </row>
    <row r="2154" spans="1:4" x14ac:dyDescent="0.25">
      <c r="A2154" s="1">
        <v>43080</v>
      </c>
      <c r="B2154" s="2" t="s">
        <v>635</v>
      </c>
      <c r="C2154" s="2" t="s">
        <v>636</v>
      </c>
      <c r="D2154">
        <v>31</v>
      </c>
    </row>
    <row r="2155" spans="1:4" x14ac:dyDescent="0.25">
      <c r="A2155" s="1">
        <v>43080</v>
      </c>
      <c r="B2155" s="2" t="s">
        <v>232</v>
      </c>
      <c r="C2155" s="2" t="s">
        <v>451</v>
      </c>
      <c r="D2155">
        <v>16</v>
      </c>
    </row>
    <row r="2156" spans="1:4" x14ac:dyDescent="0.25">
      <c r="A2156" s="1">
        <v>43080</v>
      </c>
      <c r="B2156" s="2" t="s">
        <v>47</v>
      </c>
      <c r="C2156" s="2" t="s">
        <v>465</v>
      </c>
      <c r="D2156">
        <v>21</v>
      </c>
    </row>
    <row r="2157" spans="1:4" x14ac:dyDescent="0.25">
      <c r="A2157" s="1">
        <v>43081</v>
      </c>
      <c r="B2157" s="2" t="s">
        <v>206</v>
      </c>
      <c r="C2157" s="2" t="s">
        <v>192</v>
      </c>
      <c r="D2157">
        <v>22</v>
      </c>
    </row>
    <row r="2158" spans="1:4" x14ac:dyDescent="0.25">
      <c r="A2158" s="1">
        <v>43081</v>
      </c>
      <c r="B2158" s="2" t="s">
        <v>152</v>
      </c>
      <c r="C2158" s="2" t="s">
        <v>153</v>
      </c>
      <c r="D2158">
        <v>20</v>
      </c>
    </row>
    <row r="2159" spans="1:4" x14ac:dyDescent="0.25">
      <c r="A2159" s="1">
        <v>43081</v>
      </c>
      <c r="B2159" s="2" t="s">
        <v>193</v>
      </c>
      <c r="C2159" s="2" t="s">
        <v>228</v>
      </c>
      <c r="D2159">
        <v>24</v>
      </c>
    </row>
    <row r="2160" spans="1:4" x14ac:dyDescent="0.25">
      <c r="A2160" s="1">
        <v>43081</v>
      </c>
      <c r="B2160" s="2" t="s">
        <v>352</v>
      </c>
      <c r="C2160" s="2" t="s">
        <v>227</v>
      </c>
      <c r="D2160">
        <v>17</v>
      </c>
    </row>
    <row r="2161" spans="1:4" x14ac:dyDescent="0.25">
      <c r="A2161" s="1">
        <v>43081</v>
      </c>
      <c r="B2161" s="2" t="s">
        <v>92</v>
      </c>
      <c r="C2161" s="2" t="s">
        <v>638</v>
      </c>
      <c r="D2161">
        <v>25</v>
      </c>
    </row>
    <row r="2162" spans="1:4" x14ac:dyDescent="0.25">
      <c r="A2162" s="1">
        <v>43081</v>
      </c>
      <c r="B2162" s="2" t="s">
        <v>49</v>
      </c>
      <c r="C2162" s="2" t="s">
        <v>50</v>
      </c>
      <c r="D2162">
        <v>22</v>
      </c>
    </row>
    <row r="2163" spans="1:4" x14ac:dyDescent="0.25">
      <c r="A2163" s="1">
        <v>43081</v>
      </c>
      <c r="B2163" s="2" t="s">
        <v>83</v>
      </c>
      <c r="C2163" s="2" t="s">
        <v>698</v>
      </c>
      <c r="D2163">
        <v>50</v>
      </c>
    </row>
    <row r="2164" spans="1:4" x14ac:dyDescent="0.25">
      <c r="A2164" s="1">
        <v>43081</v>
      </c>
      <c r="B2164" s="2" t="s">
        <v>4</v>
      </c>
      <c r="C2164" s="2" t="s">
        <v>386</v>
      </c>
      <c r="D2164">
        <v>6</v>
      </c>
    </row>
    <row r="2165" spans="1:4" x14ac:dyDescent="0.25">
      <c r="A2165" s="1">
        <v>43081</v>
      </c>
      <c r="B2165" s="2" t="s">
        <v>8</v>
      </c>
      <c r="C2165" s="2" t="s">
        <v>322</v>
      </c>
      <c r="D2165">
        <v>27</v>
      </c>
    </row>
    <row r="2166" spans="1:4" x14ac:dyDescent="0.25">
      <c r="A2166" s="1">
        <v>43081</v>
      </c>
      <c r="B2166" s="2" t="s">
        <v>361</v>
      </c>
      <c r="C2166" s="2" t="s">
        <v>424</v>
      </c>
      <c r="D2166">
        <v>29</v>
      </c>
    </row>
    <row r="2167" spans="1:4" x14ac:dyDescent="0.25">
      <c r="A2167" s="1">
        <v>43082</v>
      </c>
      <c r="B2167" s="2" t="s">
        <v>352</v>
      </c>
      <c r="C2167" s="2" t="s">
        <v>227</v>
      </c>
      <c r="D2167">
        <v>12</v>
      </c>
    </row>
    <row r="2168" spans="1:4" x14ac:dyDescent="0.25">
      <c r="A2168" s="1">
        <v>43082</v>
      </c>
      <c r="B2168" s="2" t="s">
        <v>121</v>
      </c>
      <c r="C2168" s="2" t="s">
        <v>600</v>
      </c>
      <c r="D2168">
        <v>28</v>
      </c>
    </row>
    <row r="2169" spans="1:4" x14ac:dyDescent="0.25">
      <c r="A2169" s="1">
        <v>43082</v>
      </c>
      <c r="B2169" s="2" t="s">
        <v>508</v>
      </c>
      <c r="C2169" s="2" t="s">
        <v>509</v>
      </c>
      <c r="D2169">
        <v>21</v>
      </c>
    </row>
    <row r="2170" spans="1:4" x14ac:dyDescent="0.25">
      <c r="A2170" s="1">
        <v>43082</v>
      </c>
      <c r="B2170" s="2" t="s">
        <v>30</v>
      </c>
      <c r="C2170" s="2" t="s">
        <v>109</v>
      </c>
      <c r="D2170">
        <v>19</v>
      </c>
    </row>
    <row r="2171" spans="1:4" x14ac:dyDescent="0.25">
      <c r="A2171" s="1">
        <v>43082</v>
      </c>
      <c r="B2171" s="2" t="s">
        <v>128</v>
      </c>
      <c r="C2171" s="2" t="s">
        <v>250</v>
      </c>
      <c r="D2171">
        <v>29</v>
      </c>
    </row>
    <row r="2172" spans="1:4" x14ac:dyDescent="0.25">
      <c r="A2172" s="1">
        <v>43082</v>
      </c>
      <c r="B2172" s="2" t="s">
        <v>144</v>
      </c>
      <c r="C2172" s="2" t="s">
        <v>390</v>
      </c>
      <c r="D2172">
        <v>9</v>
      </c>
    </row>
    <row r="2173" spans="1:4" x14ac:dyDescent="0.25">
      <c r="A2173" s="1">
        <v>43082</v>
      </c>
      <c r="B2173" s="2" t="s">
        <v>635</v>
      </c>
      <c r="C2173" s="2" t="s">
        <v>636</v>
      </c>
      <c r="D2173">
        <v>24</v>
      </c>
    </row>
    <row r="2174" spans="1:4" x14ac:dyDescent="0.25">
      <c r="A2174" s="1">
        <v>43082</v>
      </c>
      <c r="B2174" s="2" t="s">
        <v>193</v>
      </c>
      <c r="C2174" s="2" t="s">
        <v>595</v>
      </c>
      <c r="D2174">
        <v>24</v>
      </c>
    </row>
    <row r="2175" spans="1:4" x14ac:dyDescent="0.25">
      <c r="A2175" s="1">
        <v>43082</v>
      </c>
      <c r="B2175" s="2" t="s">
        <v>128</v>
      </c>
      <c r="C2175" s="2" t="s">
        <v>559</v>
      </c>
      <c r="D2175">
        <v>8</v>
      </c>
    </row>
    <row r="2176" spans="1:4" x14ac:dyDescent="0.25">
      <c r="A2176" s="1">
        <v>43082</v>
      </c>
      <c r="B2176" s="2" t="s">
        <v>618</v>
      </c>
      <c r="C2176" s="2" t="s">
        <v>619</v>
      </c>
      <c r="D2176">
        <v>5</v>
      </c>
    </row>
    <row r="2177" spans="1:4" x14ac:dyDescent="0.25">
      <c r="A2177" s="1">
        <v>43083</v>
      </c>
      <c r="B2177" s="2" t="s">
        <v>47</v>
      </c>
      <c r="C2177" s="2" t="s">
        <v>465</v>
      </c>
      <c r="D2177">
        <v>32</v>
      </c>
    </row>
    <row r="2178" spans="1:4" x14ac:dyDescent="0.25">
      <c r="A2178" s="1">
        <v>43083</v>
      </c>
      <c r="B2178" s="2" t="s">
        <v>178</v>
      </c>
      <c r="C2178" s="2" t="s">
        <v>333</v>
      </c>
      <c r="D2178">
        <v>34</v>
      </c>
    </row>
    <row r="2179" spans="1:4" x14ac:dyDescent="0.25">
      <c r="A2179" s="1">
        <v>43083</v>
      </c>
      <c r="B2179" s="2" t="s">
        <v>69</v>
      </c>
      <c r="C2179" s="2" t="s">
        <v>535</v>
      </c>
      <c r="D2179">
        <v>9</v>
      </c>
    </row>
    <row r="2180" spans="1:4" x14ac:dyDescent="0.25">
      <c r="A2180" s="1">
        <v>43083</v>
      </c>
      <c r="B2180" s="2" t="s">
        <v>57</v>
      </c>
      <c r="C2180" s="2" t="s">
        <v>531</v>
      </c>
      <c r="D2180">
        <v>49</v>
      </c>
    </row>
    <row r="2181" spans="1:4" x14ac:dyDescent="0.25">
      <c r="A2181" s="1">
        <v>43083</v>
      </c>
      <c r="B2181" s="2" t="s">
        <v>280</v>
      </c>
      <c r="C2181" s="2" t="s">
        <v>281</v>
      </c>
      <c r="D2181">
        <v>18</v>
      </c>
    </row>
    <row r="2182" spans="1:4" x14ac:dyDescent="0.25">
      <c r="A2182" s="1">
        <v>43083</v>
      </c>
      <c r="B2182" s="2" t="s">
        <v>57</v>
      </c>
      <c r="C2182" s="2" t="s">
        <v>531</v>
      </c>
      <c r="D2182">
        <v>56</v>
      </c>
    </row>
    <row r="2183" spans="1:4" x14ac:dyDescent="0.25">
      <c r="A2183" s="1">
        <v>43083</v>
      </c>
      <c r="B2183" s="2" t="s">
        <v>248</v>
      </c>
      <c r="C2183" s="2" t="s">
        <v>249</v>
      </c>
      <c r="D2183">
        <v>46</v>
      </c>
    </row>
    <row r="2184" spans="1:4" x14ac:dyDescent="0.25">
      <c r="A2184" s="1">
        <v>43083</v>
      </c>
      <c r="B2184" s="2" t="s">
        <v>640</v>
      </c>
      <c r="C2184" s="2" t="s">
        <v>655</v>
      </c>
      <c r="D2184">
        <v>11</v>
      </c>
    </row>
    <row r="2185" spans="1:4" x14ac:dyDescent="0.25">
      <c r="A2185" s="1">
        <v>43083</v>
      </c>
      <c r="B2185" s="2" t="s">
        <v>282</v>
      </c>
      <c r="C2185" s="2" t="s">
        <v>283</v>
      </c>
      <c r="D2185">
        <v>24</v>
      </c>
    </row>
    <row r="2186" spans="1:4" x14ac:dyDescent="0.25">
      <c r="A2186" s="1">
        <v>43083</v>
      </c>
      <c r="B2186" s="2" t="s">
        <v>83</v>
      </c>
      <c r="C2186" s="2" t="s">
        <v>646</v>
      </c>
      <c r="D2186">
        <v>28</v>
      </c>
    </row>
    <row r="2187" spans="1:4" x14ac:dyDescent="0.25">
      <c r="A2187" s="1">
        <v>43084</v>
      </c>
      <c r="B2187" s="2" t="s">
        <v>252</v>
      </c>
      <c r="C2187" s="2" t="s">
        <v>253</v>
      </c>
      <c r="D2187">
        <v>29</v>
      </c>
    </row>
    <row r="2188" spans="1:4" x14ac:dyDescent="0.25">
      <c r="A2188" s="1">
        <v>43084</v>
      </c>
      <c r="B2188" s="2" t="s">
        <v>523</v>
      </c>
      <c r="C2188" s="2" t="s">
        <v>524</v>
      </c>
      <c r="D2188">
        <v>4</v>
      </c>
    </row>
    <row r="2189" spans="1:4" x14ac:dyDescent="0.25">
      <c r="A2189" s="1">
        <v>43084</v>
      </c>
      <c r="B2189" s="2" t="s">
        <v>67</v>
      </c>
      <c r="C2189" s="2" t="s">
        <v>301</v>
      </c>
      <c r="D2189">
        <v>3</v>
      </c>
    </row>
    <row r="2190" spans="1:4" x14ac:dyDescent="0.25">
      <c r="A2190" s="1">
        <v>43084</v>
      </c>
      <c r="B2190" s="2" t="s">
        <v>635</v>
      </c>
      <c r="C2190" s="2" t="s">
        <v>636</v>
      </c>
      <c r="D2190">
        <v>30</v>
      </c>
    </row>
    <row r="2191" spans="1:4" x14ac:dyDescent="0.25">
      <c r="A2191" s="1">
        <v>43084</v>
      </c>
      <c r="B2191" s="2" t="s">
        <v>195</v>
      </c>
      <c r="C2191" s="2" t="s">
        <v>401</v>
      </c>
      <c r="D2191">
        <v>4</v>
      </c>
    </row>
    <row r="2192" spans="1:4" x14ac:dyDescent="0.25">
      <c r="A2192" s="1">
        <v>43084</v>
      </c>
      <c r="B2192" s="2" t="s">
        <v>81</v>
      </c>
      <c r="C2192" s="2" t="s">
        <v>584</v>
      </c>
      <c r="D2192">
        <v>21</v>
      </c>
    </row>
    <row r="2193" spans="1:4" x14ac:dyDescent="0.25">
      <c r="A2193" s="1">
        <v>43084</v>
      </c>
      <c r="B2193" s="2" t="s">
        <v>106</v>
      </c>
      <c r="C2193" s="2" t="s">
        <v>240</v>
      </c>
      <c r="D2193">
        <v>15</v>
      </c>
    </row>
    <row r="2194" spans="1:4" x14ac:dyDescent="0.25">
      <c r="A2194" s="1">
        <v>43084</v>
      </c>
      <c r="B2194" s="2" t="s">
        <v>55</v>
      </c>
      <c r="C2194" s="2" t="s">
        <v>56</v>
      </c>
      <c r="D2194">
        <v>13</v>
      </c>
    </row>
    <row r="2195" spans="1:4" x14ac:dyDescent="0.25">
      <c r="A2195" s="1">
        <v>43084</v>
      </c>
      <c r="B2195" s="2" t="s">
        <v>25</v>
      </c>
      <c r="C2195" s="2" t="s">
        <v>146</v>
      </c>
      <c r="D2195">
        <v>13</v>
      </c>
    </row>
    <row r="2196" spans="1:4" x14ac:dyDescent="0.25">
      <c r="A2196" s="1">
        <v>43084</v>
      </c>
      <c r="B2196" s="2" t="s">
        <v>521</v>
      </c>
      <c r="C2196" s="2" t="s">
        <v>440</v>
      </c>
      <c r="D2196">
        <v>43</v>
      </c>
    </row>
    <row r="2197" spans="1:4" x14ac:dyDescent="0.25">
      <c r="A2197" s="1">
        <v>43087</v>
      </c>
      <c r="B2197" s="2" t="s">
        <v>47</v>
      </c>
      <c r="C2197" s="2" t="s">
        <v>192</v>
      </c>
      <c r="D2197">
        <v>31</v>
      </c>
    </row>
    <row r="2198" spans="1:4" x14ac:dyDescent="0.25">
      <c r="A2198" s="1">
        <v>43087</v>
      </c>
      <c r="B2198" s="2" t="s">
        <v>343</v>
      </c>
      <c r="C2198" s="2" t="s">
        <v>675</v>
      </c>
      <c r="D2198">
        <v>34</v>
      </c>
    </row>
    <row r="2199" spans="1:4" x14ac:dyDescent="0.25">
      <c r="A2199" s="1">
        <v>43087</v>
      </c>
      <c r="B2199" s="2" t="s">
        <v>143</v>
      </c>
      <c r="C2199" s="2" t="s">
        <v>585</v>
      </c>
      <c r="D2199">
        <v>12</v>
      </c>
    </row>
    <row r="2200" spans="1:4" x14ac:dyDescent="0.25">
      <c r="A2200" s="1">
        <v>43087</v>
      </c>
      <c r="B2200" s="2" t="s">
        <v>161</v>
      </c>
      <c r="C2200" s="2" t="s">
        <v>305</v>
      </c>
      <c r="D2200">
        <v>10</v>
      </c>
    </row>
    <row r="2201" spans="1:4" x14ac:dyDescent="0.25">
      <c r="A2201" s="1">
        <v>43087</v>
      </c>
      <c r="B2201" s="2" t="s">
        <v>72</v>
      </c>
      <c r="C2201" s="2" t="s">
        <v>73</v>
      </c>
      <c r="D2201">
        <v>5</v>
      </c>
    </row>
    <row r="2202" spans="1:4" x14ac:dyDescent="0.25">
      <c r="A2202" s="1">
        <v>43087</v>
      </c>
      <c r="B2202" s="2" t="s">
        <v>57</v>
      </c>
      <c r="C2202" s="2" t="s">
        <v>58</v>
      </c>
      <c r="D2202">
        <v>4</v>
      </c>
    </row>
    <row r="2203" spans="1:4" x14ac:dyDescent="0.25">
      <c r="A2203" s="1">
        <v>43087</v>
      </c>
      <c r="B2203" s="2" t="s">
        <v>41</v>
      </c>
      <c r="C2203" s="2" t="s">
        <v>690</v>
      </c>
      <c r="D2203">
        <v>44</v>
      </c>
    </row>
    <row r="2204" spans="1:4" x14ac:dyDescent="0.25">
      <c r="A2204" s="1">
        <v>43087</v>
      </c>
      <c r="B2204" s="2" t="s">
        <v>393</v>
      </c>
      <c r="C2204" s="2" t="s">
        <v>227</v>
      </c>
      <c r="D2204">
        <v>32</v>
      </c>
    </row>
    <row r="2205" spans="1:4" x14ac:dyDescent="0.25">
      <c r="A2205" s="1">
        <v>43087</v>
      </c>
      <c r="B2205" s="2" t="s">
        <v>92</v>
      </c>
      <c r="C2205" s="2" t="s">
        <v>93</v>
      </c>
      <c r="D2205">
        <v>11</v>
      </c>
    </row>
    <row r="2206" spans="1:4" x14ac:dyDescent="0.25">
      <c r="A2206" s="1">
        <v>43087</v>
      </c>
      <c r="B2206" s="2" t="s">
        <v>152</v>
      </c>
      <c r="C2206" s="2" t="s">
        <v>534</v>
      </c>
      <c r="D2206">
        <v>33</v>
      </c>
    </row>
    <row r="2207" spans="1:4" x14ac:dyDescent="0.25">
      <c r="A2207" s="1">
        <v>43088</v>
      </c>
      <c r="B2207" s="2" t="s">
        <v>39</v>
      </c>
      <c r="C2207" s="2" t="s">
        <v>371</v>
      </c>
      <c r="D2207">
        <v>56</v>
      </c>
    </row>
    <row r="2208" spans="1:4" x14ac:dyDescent="0.25">
      <c r="A2208" s="1">
        <v>43088</v>
      </c>
      <c r="B2208" s="2" t="s">
        <v>117</v>
      </c>
      <c r="C2208" s="2" t="s">
        <v>118</v>
      </c>
      <c r="D2208">
        <v>3</v>
      </c>
    </row>
    <row r="2209" spans="1:4" x14ac:dyDescent="0.25">
      <c r="A2209" s="1">
        <v>43088</v>
      </c>
      <c r="B2209" s="2" t="s">
        <v>117</v>
      </c>
      <c r="C2209" s="2" t="s">
        <v>183</v>
      </c>
      <c r="D2209">
        <v>24</v>
      </c>
    </row>
    <row r="2210" spans="1:4" x14ac:dyDescent="0.25">
      <c r="A2210" s="1">
        <v>43088</v>
      </c>
      <c r="B2210" s="2" t="s">
        <v>635</v>
      </c>
      <c r="C2210" s="2" t="s">
        <v>636</v>
      </c>
      <c r="D2210">
        <v>14</v>
      </c>
    </row>
    <row r="2211" spans="1:4" x14ac:dyDescent="0.25">
      <c r="A2211" s="1">
        <v>43088</v>
      </c>
      <c r="B2211" s="2" t="s">
        <v>393</v>
      </c>
      <c r="C2211" s="2" t="s">
        <v>686</v>
      </c>
      <c r="D2211">
        <v>42</v>
      </c>
    </row>
    <row r="2212" spans="1:4" x14ac:dyDescent="0.25">
      <c r="A2212" s="1">
        <v>43088</v>
      </c>
      <c r="B2212" s="2" t="s">
        <v>63</v>
      </c>
      <c r="C2212" s="2" t="s">
        <v>105</v>
      </c>
      <c r="D2212">
        <v>21</v>
      </c>
    </row>
    <row r="2213" spans="1:4" x14ac:dyDescent="0.25">
      <c r="A2213" s="1">
        <v>43088</v>
      </c>
      <c r="B2213" s="2" t="s">
        <v>232</v>
      </c>
      <c r="C2213" s="2" t="s">
        <v>526</v>
      </c>
      <c r="D2213">
        <v>4</v>
      </c>
    </row>
    <row r="2214" spans="1:4" x14ac:dyDescent="0.25">
      <c r="A2214" s="1">
        <v>43088</v>
      </c>
      <c r="B2214" s="2" t="s">
        <v>79</v>
      </c>
      <c r="C2214" s="2" t="s">
        <v>80</v>
      </c>
      <c r="D2214">
        <v>41</v>
      </c>
    </row>
    <row r="2215" spans="1:4" x14ac:dyDescent="0.25">
      <c r="A2215" s="1">
        <v>43088</v>
      </c>
      <c r="B2215" s="2" t="s">
        <v>25</v>
      </c>
      <c r="C2215" s="2" t="s">
        <v>146</v>
      </c>
      <c r="D2215">
        <v>51</v>
      </c>
    </row>
    <row r="2216" spans="1:4" x14ac:dyDescent="0.25">
      <c r="A2216" s="1">
        <v>43089</v>
      </c>
      <c r="B2216" s="2" t="s">
        <v>34</v>
      </c>
      <c r="C2216" s="2" t="s">
        <v>679</v>
      </c>
      <c r="D2216">
        <v>29</v>
      </c>
    </row>
    <row r="2217" spans="1:4" x14ac:dyDescent="0.25">
      <c r="A2217" s="1">
        <v>43089</v>
      </c>
      <c r="B2217" s="2" t="s">
        <v>30</v>
      </c>
      <c r="C2217" s="2" t="s">
        <v>680</v>
      </c>
      <c r="D2217">
        <v>29</v>
      </c>
    </row>
    <row r="2218" spans="1:4" x14ac:dyDescent="0.25">
      <c r="A2218" s="1">
        <v>43089</v>
      </c>
      <c r="B2218" s="2" t="s">
        <v>453</v>
      </c>
      <c r="C2218" s="2" t="s">
        <v>454</v>
      </c>
      <c r="D2218">
        <v>22</v>
      </c>
    </row>
    <row r="2219" spans="1:4" x14ac:dyDescent="0.25">
      <c r="A2219" s="1">
        <v>43089</v>
      </c>
      <c r="B2219" s="2" t="s">
        <v>10</v>
      </c>
      <c r="C2219" s="2" t="s">
        <v>266</v>
      </c>
      <c r="D2219">
        <v>4</v>
      </c>
    </row>
    <row r="2220" spans="1:4" x14ac:dyDescent="0.25">
      <c r="A2220" s="1">
        <v>43089</v>
      </c>
      <c r="B2220" s="2" t="s">
        <v>208</v>
      </c>
      <c r="C2220" s="2" t="s">
        <v>697</v>
      </c>
      <c r="D2220">
        <v>34</v>
      </c>
    </row>
    <row r="2221" spans="1:4" x14ac:dyDescent="0.25">
      <c r="A2221" s="1">
        <v>43089</v>
      </c>
      <c r="B2221" s="2" t="s">
        <v>63</v>
      </c>
      <c r="C2221" s="2" t="s">
        <v>105</v>
      </c>
      <c r="D2221">
        <v>6</v>
      </c>
    </row>
    <row r="2222" spans="1:4" x14ac:dyDescent="0.25">
      <c r="A2222" s="1">
        <v>43089</v>
      </c>
      <c r="B2222" s="2" t="s">
        <v>395</v>
      </c>
      <c r="C2222" s="2" t="s">
        <v>587</v>
      </c>
      <c r="D2222">
        <v>11</v>
      </c>
    </row>
    <row r="2223" spans="1:4" x14ac:dyDescent="0.25">
      <c r="A2223" s="1">
        <v>43089</v>
      </c>
      <c r="B2223" s="2" t="s">
        <v>275</v>
      </c>
      <c r="C2223" s="2" t="s">
        <v>276</v>
      </c>
      <c r="D2223">
        <v>9</v>
      </c>
    </row>
    <row r="2224" spans="1:4" x14ac:dyDescent="0.25">
      <c r="A2224" s="1">
        <v>43089</v>
      </c>
      <c r="B2224" s="2" t="s">
        <v>128</v>
      </c>
      <c r="C2224" s="2" t="s">
        <v>309</v>
      </c>
      <c r="D2224">
        <v>21</v>
      </c>
    </row>
    <row r="2225" spans="1:4" x14ac:dyDescent="0.25">
      <c r="A2225" s="1">
        <v>43090</v>
      </c>
      <c r="B2225" s="2" t="s">
        <v>574</v>
      </c>
      <c r="C2225" s="2" t="s">
        <v>607</v>
      </c>
      <c r="D2225">
        <v>26</v>
      </c>
    </row>
    <row r="2226" spans="1:4" x14ac:dyDescent="0.25">
      <c r="A2226" s="1">
        <v>43090</v>
      </c>
      <c r="B2226" s="2" t="s">
        <v>271</v>
      </c>
      <c r="C2226" s="2" t="s">
        <v>272</v>
      </c>
      <c r="D2226">
        <v>4</v>
      </c>
    </row>
    <row r="2227" spans="1:4" x14ac:dyDescent="0.25">
      <c r="A2227" s="1">
        <v>43090</v>
      </c>
      <c r="B2227" s="2" t="s">
        <v>30</v>
      </c>
      <c r="C2227" s="2" t="s">
        <v>432</v>
      </c>
      <c r="D2227">
        <v>18</v>
      </c>
    </row>
    <row r="2228" spans="1:4" x14ac:dyDescent="0.25">
      <c r="A2228" s="1">
        <v>43090</v>
      </c>
      <c r="B2228" s="2" t="s">
        <v>150</v>
      </c>
      <c r="C2228" s="2" t="s">
        <v>462</v>
      </c>
      <c r="D2228">
        <v>27</v>
      </c>
    </row>
    <row r="2229" spans="1:4" x14ac:dyDescent="0.25">
      <c r="A2229" s="1">
        <v>43090</v>
      </c>
      <c r="B2229" s="2" t="s">
        <v>521</v>
      </c>
      <c r="C2229" s="2" t="s">
        <v>440</v>
      </c>
      <c r="D2229">
        <v>15</v>
      </c>
    </row>
    <row r="2230" spans="1:4" x14ac:dyDescent="0.25">
      <c r="A2230" s="1">
        <v>43090</v>
      </c>
      <c r="B2230" s="2" t="s">
        <v>128</v>
      </c>
      <c r="C2230" s="2" t="s">
        <v>559</v>
      </c>
      <c r="D2230">
        <v>50</v>
      </c>
    </row>
    <row r="2231" spans="1:4" x14ac:dyDescent="0.25">
      <c r="A2231" s="1">
        <v>43090</v>
      </c>
      <c r="B2231" s="2" t="s">
        <v>150</v>
      </c>
      <c r="C2231" s="2" t="s">
        <v>200</v>
      </c>
      <c r="D2231">
        <v>13</v>
      </c>
    </row>
    <row r="2232" spans="1:4" x14ac:dyDescent="0.25">
      <c r="A2232" s="1">
        <v>43090</v>
      </c>
      <c r="B2232" s="2" t="s">
        <v>310</v>
      </c>
      <c r="C2232" s="2" t="s">
        <v>505</v>
      </c>
      <c r="D2232">
        <v>27</v>
      </c>
    </row>
    <row r="2233" spans="1:4" x14ac:dyDescent="0.25">
      <c r="A2233" s="1">
        <v>43090</v>
      </c>
      <c r="B2233" s="2" t="s">
        <v>137</v>
      </c>
      <c r="C2233" s="2" t="s">
        <v>138</v>
      </c>
      <c r="D2233">
        <v>7</v>
      </c>
    </row>
    <row r="2234" spans="1:4" x14ac:dyDescent="0.25">
      <c r="A2234" s="1">
        <v>43091</v>
      </c>
      <c r="B2234" s="2" t="s">
        <v>10</v>
      </c>
      <c r="C2234" s="2" t="s">
        <v>629</v>
      </c>
      <c r="D2234">
        <v>26</v>
      </c>
    </row>
    <row r="2235" spans="1:4" x14ac:dyDescent="0.25">
      <c r="A2235" s="1">
        <v>43091</v>
      </c>
      <c r="B2235" s="2" t="s">
        <v>55</v>
      </c>
      <c r="C2235" s="2" t="s">
        <v>125</v>
      </c>
      <c r="D2235">
        <v>16</v>
      </c>
    </row>
    <row r="2236" spans="1:4" x14ac:dyDescent="0.25">
      <c r="A2236" s="1">
        <v>43091</v>
      </c>
      <c r="B2236" s="2" t="s">
        <v>101</v>
      </c>
      <c r="C2236" s="2" t="s">
        <v>42</v>
      </c>
      <c r="D2236">
        <v>45</v>
      </c>
    </row>
    <row r="2237" spans="1:4" x14ac:dyDescent="0.25">
      <c r="A2237" s="1">
        <v>43091</v>
      </c>
      <c r="B2237" s="2" t="s">
        <v>346</v>
      </c>
      <c r="C2237" s="2" t="s">
        <v>669</v>
      </c>
      <c r="D2237">
        <v>34</v>
      </c>
    </row>
    <row r="2238" spans="1:4" x14ac:dyDescent="0.25">
      <c r="A2238" s="1">
        <v>43091</v>
      </c>
      <c r="B2238" s="2" t="s">
        <v>36</v>
      </c>
      <c r="C2238" s="2" t="s">
        <v>474</v>
      </c>
      <c r="D2238">
        <v>10</v>
      </c>
    </row>
    <row r="2239" spans="1:4" x14ac:dyDescent="0.25">
      <c r="A2239" s="1">
        <v>43091</v>
      </c>
      <c r="B2239" s="2" t="s">
        <v>541</v>
      </c>
      <c r="C2239" s="2" t="s">
        <v>542</v>
      </c>
      <c r="D2239">
        <v>55</v>
      </c>
    </row>
    <row r="2240" spans="1:4" x14ac:dyDescent="0.25">
      <c r="A2240" s="1">
        <v>43091</v>
      </c>
      <c r="B2240" s="2" t="s">
        <v>18</v>
      </c>
      <c r="C2240" s="2" t="s">
        <v>19</v>
      </c>
      <c r="D2240">
        <v>17</v>
      </c>
    </row>
    <row r="2241" spans="1:4" x14ac:dyDescent="0.25">
      <c r="A2241" s="1">
        <v>43091</v>
      </c>
      <c r="B2241" s="2" t="s">
        <v>114</v>
      </c>
      <c r="C2241" s="2" t="s">
        <v>173</v>
      </c>
      <c r="D2241">
        <v>13</v>
      </c>
    </row>
    <row r="2242" spans="1:4" x14ac:dyDescent="0.25">
      <c r="A2242" s="1">
        <v>43091</v>
      </c>
      <c r="B2242" s="2" t="s">
        <v>128</v>
      </c>
      <c r="C2242" s="2" t="s">
        <v>677</v>
      </c>
      <c r="D2242">
        <v>55</v>
      </c>
    </row>
    <row r="2243" spans="1:4" x14ac:dyDescent="0.25">
      <c r="A2243" s="1">
        <v>43096</v>
      </c>
      <c r="B2243" s="2" t="s">
        <v>83</v>
      </c>
      <c r="C2243" s="2" t="s">
        <v>110</v>
      </c>
      <c r="D2243">
        <v>45</v>
      </c>
    </row>
    <row r="2244" spans="1:4" x14ac:dyDescent="0.25">
      <c r="A2244" s="1">
        <v>43096</v>
      </c>
      <c r="B2244" s="2" t="s">
        <v>317</v>
      </c>
      <c r="C2244" s="2" t="s">
        <v>318</v>
      </c>
      <c r="D2244">
        <v>8</v>
      </c>
    </row>
    <row r="2245" spans="1:4" x14ac:dyDescent="0.25">
      <c r="A2245" s="1">
        <v>43096</v>
      </c>
      <c r="B2245" s="2" t="s">
        <v>395</v>
      </c>
      <c r="C2245" s="2" t="s">
        <v>587</v>
      </c>
      <c r="D2245">
        <v>6</v>
      </c>
    </row>
    <row r="2246" spans="1:4" x14ac:dyDescent="0.25">
      <c r="A2246" s="1">
        <v>43096</v>
      </c>
      <c r="B2246" s="2" t="s">
        <v>176</v>
      </c>
      <c r="C2246" s="2" t="s">
        <v>693</v>
      </c>
      <c r="D2246">
        <v>11</v>
      </c>
    </row>
    <row r="2247" spans="1:4" x14ac:dyDescent="0.25">
      <c r="A2247" s="1">
        <v>43096</v>
      </c>
      <c r="B2247" s="2" t="s">
        <v>623</v>
      </c>
      <c r="C2247" s="2" t="s">
        <v>624</v>
      </c>
      <c r="D2247">
        <v>29</v>
      </c>
    </row>
    <row r="2248" spans="1:4" x14ac:dyDescent="0.25">
      <c r="A2248" s="1">
        <v>43096</v>
      </c>
      <c r="B2248" s="2" t="s">
        <v>27</v>
      </c>
      <c r="C2248" s="2" t="s">
        <v>446</v>
      </c>
      <c r="D2248">
        <v>10</v>
      </c>
    </row>
    <row r="2249" spans="1:4" x14ac:dyDescent="0.25">
      <c r="A2249" s="1">
        <v>43096</v>
      </c>
      <c r="B2249" s="2" t="s">
        <v>83</v>
      </c>
      <c r="C2249" s="2" t="s">
        <v>591</v>
      </c>
      <c r="D2249">
        <v>38</v>
      </c>
    </row>
    <row r="2250" spans="1:4" x14ac:dyDescent="0.25">
      <c r="A2250" s="1">
        <v>43096</v>
      </c>
      <c r="B2250" s="2" t="s">
        <v>69</v>
      </c>
      <c r="C2250" s="2" t="s">
        <v>461</v>
      </c>
      <c r="D2250">
        <v>8</v>
      </c>
    </row>
    <row r="2251" spans="1:4" x14ac:dyDescent="0.25">
      <c r="A2251" s="1">
        <v>43096</v>
      </c>
      <c r="B2251" s="2" t="s">
        <v>14</v>
      </c>
      <c r="C2251" s="2" t="s">
        <v>422</v>
      </c>
      <c r="D2251">
        <v>19</v>
      </c>
    </row>
    <row r="2252" spans="1:4" x14ac:dyDescent="0.25">
      <c r="A2252" s="1">
        <v>43097</v>
      </c>
      <c r="B2252" s="2" t="s">
        <v>27</v>
      </c>
      <c r="C2252" s="2" t="s">
        <v>446</v>
      </c>
      <c r="D2252">
        <v>22</v>
      </c>
    </row>
    <row r="2253" spans="1:4" x14ac:dyDescent="0.25">
      <c r="A2253" s="1">
        <v>43097</v>
      </c>
      <c r="B2253" s="2" t="s">
        <v>174</v>
      </c>
      <c r="C2253" s="2" t="s">
        <v>424</v>
      </c>
      <c r="D2253">
        <v>12</v>
      </c>
    </row>
    <row r="2254" spans="1:4" x14ac:dyDescent="0.25">
      <c r="A2254" s="1">
        <v>43097</v>
      </c>
      <c r="B2254" s="2" t="s">
        <v>278</v>
      </c>
      <c r="C2254" s="2" t="s">
        <v>202</v>
      </c>
      <c r="D2254">
        <v>7</v>
      </c>
    </row>
    <row r="2255" spans="1:4" x14ac:dyDescent="0.25">
      <c r="A2255" s="1">
        <v>43097</v>
      </c>
      <c r="B2255" s="2" t="s">
        <v>39</v>
      </c>
      <c r="C2255" s="2" t="s">
        <v>391</v>
      </c>
      <c r="D2255">
        <v>17</v>
      </c>
    </row>
    <row r="2256" spans="1:4" x14ac:dyDescent="0.25">
      <c r="A2256" s="1">
        <v>43097</v>
      </c>
      <c r="B2256" s="2" t="s">
        <v>150</v>
      </c>
      <c r="C2256" s="2" t="s">
        <v>462</v>
      </c>
      <c r="D2256">
        <v>29</v>
      </c>
    </row>
    <row r="2257" spans="1:4" x14ac:dyDescent="0.25">
      <c r="A2257" s="1">
        <v>43097</v>
      </c>
      <c r="B2257" s="2" t="s">
        <v>219</v>
      </c>
      <c r="C2257" s="2" t="s">
        <v>543</v>
      </c>
      <c r="D2257">
        <v>9</v>
      </c>
    </row>
    <row r="2258" spans="1:4" x14ac:dyDescent="0.25">
      <c r="A2258" s="1">
        <v>43097</v>
      </c>
      <c r="B2258" s="2" t="s">
        <v>427</v>
      </c>
      <c r="C2258" s="2" t="s">
        <v>428</v>
      </c>
      <c r="D2258">
        <v>21</v>
      </c>
    </row>
    <row r="2259" spans="1:4" x14ac:dyDescent="0.25">
      <c r="A2259" s="1">
        <v>43097</v>
      </c>
      <c r="B2259" s="2" t="s">
        <v>106</v>
      </c>
      <c r="C2259" s="2" t="s">
        <v>602</v>
      </c>
      <c r="D2259">
        <v>10</v>
      </c>
    </row>
    <row r="2260" spans="1:4" x14ac:dyDescent="0.25">
      <c r="A2260" s="1">
        <v>43097</v>
      </c>
      <c r="B2260" s="2" t="s">
        <v>219</v>
      </c>
      <c r="C2260" s="2" t="s">
        <v>220</v>
      </c>
      <c r="D2260">
        <v>30</v>
      </c>
    </row>
    <row r="2261" spans="1:4" x14ac:dyDescent="0.25">
      <c r="A2261" s="1">
        <v>43098</v>
      </c>
      <c r="B2261" s="2" t="s">
        <v>95</v>
      </c>
      <c r="C2261" s="2" t="s">
        <v>96</v>
      </c>
      <c r="D2261">
        <v>14</v>
      </c>
    </row>
    <row r="2262" spans="1:4" x14ac:dyDescent="0.25">
      <c r="A2262" s="1">
        <v>43098</v>
      </c>
      <c r="B2262" s="2" t="s">
        <v>232</v>
      </c>
      <c r="C2262" s="2" t="s">
        <v>451</v>
      </c>
      <c r="D2262">
        <v>15</v>
      </c>
    </row>
    <row r="2263" spans="1:4" x14ac:dyDescent="0.25">
      <c r="A2263" s="1">
        <v>43098</v>
      </c>
      <c r="B2263" s="2" t="s">
        <v>16</v>
      </c>
      <c r="C2263" s="2" t="s">
        <v>17</v>
      </c>
      <c r="D2263">
        <v>24</v>
      </c>
    </row>
    <row r="2264" spans="1:4" x14ac:dyDescent="0.25">
      <c r="A2264" s="1">
        <v>43098</v>
      </c>
      <c r="B2264" s="2" t="s">
        <v>193</v>
      </c>
      <c r="C2264" s="2" t="s">
        <v>194</v>
      </c>
      <c r="D2264">
        <v>26</v>
      </c>
    </row>
    <row r="2265" spans="1:4" x14ac:dyDescent="0.25">
      <c r="A2265" s="1">
        <v>43098</v>
      </c>
      <c r="B2265" s="2" t="s">
        <v>47</v>
      </c>
      <c r="C2265" s="2" t="s">
        <v>336</v>
      </c>
      <c r="D2265">
        <v>22</v>
      </c>
    </row>
    <row r="2266" spans="1:4" x14ac:dyDescent="0.25">
      <c r="A2266" s="1">
        <v>43098</v>
      </c>
      <c r="B2266" s="2" t="s">
        <v>101</v>
      </c>
      <c r="C2266" s="2" t="s">
        <v>701</v>
      </c>
      <c r="D2266">
        <v>35</v>
      </c>
    </row>
    <row r="2267" spans="1:4" x14ac:dyDescent="0.25">
      <c r="A2267" s="1">
        <v>43098</v>
      </c>
      <c r="B2267" s="2" t="s">
        <v>143</v>
      </c>
      <c r="C2267" s="2" t="s">
        <v>585</v>
      </c>
      <c r="D2267">
        <v>21</v>
      </c>
    </row>
    <row r="2268" spans="1:4" x14ac:dyDescent="0.25">
      <c r="A2268" s="1">
        <v>43098</v>
      </c>
      <c r="B2268" s="2" t="s">
        <v>114</v>
      </c>
      <c r="C2268" s="2" t="s">
        <v>115</v>
      </c>
      <c r="D2268">
        <v>16</v>
      </c>
    </row>
    <row r="2269" spans="1:4" x14ac:dyDescent="0.25">
      <c r="A2269" s="1">
        <v>43098</v>
      </c>
      <c r="B2269" s="2" t="s">
        <v>193</v>
      </c>
      <c r="C2269" s="2" t="s">
        <v>555</v>
      </c>
      <c r="D2269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5208B-5F4E-4001-B36F-55FBD57F54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2025-10-25T19:27:56Z</dcterms:modified>
</cp:coreProperties>
</file>