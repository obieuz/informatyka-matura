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z\OneDrive\Pulpit\2009pp\"/>
    </mc:Choice>
  </mc:AlternateContent>
  <xr:revisionPtr revIDLastSave="0" documentId="13_ncr:1_{BC47D602-09B5-4C2A-98CB-C506743B19EA}" xr6:coauthVersionLast="47" xr6:coauthVersionMax="47" xr10:uidLastSave="{00000000-0000-0000-0000-000000000000}"/>
  <bookViews>
    <workbookView xWindow="-120" yWindow="-120" windowWidth="29040" windowHeight="15840" xr2:uid="{DBF602E4-8FE7-4466-B863-E23C35C97B3B}"/>
  </bookViews>
  <sheets>
    <sheet name="d" sheetId="9" r:id="rId1"/>
    <sheet name="dane" sheetId="2" r:id="rId2"/>
    <sheet name="C" sheetId="8" r:id="rId3"/>
    <sheet name="B" sheetId="6" r:id="rId4"/>
    <sheet name="a" sheetId="4" r:id="rId5"/>
  </sheets>
  <definedNames>
    <definedName name="ExternalData_1" localSheetId="4" hidden="1">a!$A$1:$M$229</definedName>
    <definedName name="ExternalData_1" localSheetId="3" hidden="1">B!$A$1:$M$229</definedName>
    <definedName name="ExternalData_1" localSheetId="2" hidden="1">'C'!$A$1:$M$229</definedName>
    <definedName name="ExternalData_1" localSheetId="0" hidden="1">d!$A$1:$M$229</definedName>
    <definedName name="ExternalData_1" localSheetId="1" hidden="1">dane!$A$1:$M$229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9" l="1"/>
  <c r="O4" i="9"/>
  <c r="O5" i="9" s="1"/>
  <c r="O6" i="9"/>
  <c r="O7" i="9"/>
  <c r="O8" i="9" s="1"/>
  <c r="O9" i="9" s="1"/>
  <c r="O10" i="9"/>
  <c r="O11" i="9"/>
  <c r="O12" i="9"/>
  <c r="O13" i="9" s="1"/>
  <c r="O14" i="9"/>
  <c r="O15" i="9"/>
  <c r="O16" i="9"/>
  <c r="O17" i="9" s="1"/>
  <c r="O18" i="9"/>
  <c r="O19" i="9"/>
  <c r="O20" i="9"/>
  <c r="O21" i="9"/>
  <c r="O22" i="9"/>
  <c r="O23" i="9"/>
  <c r="O24" i="9" s="1"/>
  <c r="O25" i="9"/>
  <c r="O26" i="9"/>
  <c r="O27" i="9"/>
  <c r="O28" i="9" s="1"/>
  <c r="O29" i="9"/>
  <c r="O30" i="9"/>
  <c r="O31" i="9"/>
  <c r="O32" i="9"/>
  <c r="O33" i="9" s="1"/>
  <c r="O34" i="9"/>
  <c r="O35" i="9"/>
  <c r="O36" i="9" s="1"/>
  <c r="O37" i="9"/>
  <c r="O38" i="9"/>
  <c r="O39" i="9"/>
  <c r="O40" i="9"/>
  <c r="O41" i="9" s="1"/>
  <c r="O42" i="9"/>
  <c r="O43" i="9"/>
  <c r="O44" i="9"/>
  <c r="O45" i="9"/>
  <c r="O46" i="9"/>
  <c r="O47" i="9"/>
  <c r="O48" i="9"/>
  <c r="O49" i="9"/>
  <c r="O50" i="9"/>
  <c r="O51" i="9"/>
  <c r="O52" i="9" s="1"/>
  <c r="O53" i="9"/>
  <c r="O54" i="9" s="1"/>
  <c r="O55" i="9"/>
  <c r="O56" i="9"/>
  <c r="O57" i="9"/>
  <c r="O58" i="9"/>
  <c r="O59" i="9"/>
  <c r="O60" i="9"/>
  <c r="O61" i="9" s="1"/>
  <c r="O62" i="9"/>
  <c r="O63" i="9"/>
  <c r="O64" i="9"/>
  <c r="O65" i="9"/>
  <c r="O66" i="9"/>
  <c r="O67" i="9" s="1"/>
  <c r="O68" i="9"/>
  <c r="O69" i="9"/>
  <c r="O70" i="9"/>
  <c r="O71" i="9"/>
  <c r="O72" i="9" s="1"/>
  <c r="O73" i="9"/>
  <c r="O74" i="9" s="1"/>
  <c r="O75" i="9"/>
  <c r="O76" i="9" s="1"/>
  <c r="O77" i="9"/>
  <c r="O78" i="9"/>
  <c r="O79" i="9" s="1"/>
  <c r="O80" i="9"/>
  <c r="O81" i="9"/>
  <c r="O82" i="9"/>
  <c r="O83" i="9"/>
  <c r="O84" i="9"/>
  <c r="O85" i="9" s="1"/>
  <c r="O86" i="9"/>
  <c r="O87" i="9"/>
  <c r="O88" i="9"/>
  <c r="O89" i="9"/>
  <c r="O90" i="9"/>
  <c r="O91" i="9"/>
  <c r="O92" i="9"/>
  <c r="O93" i="9" s="1"/>
  <c r="O94" i="9"/>
  <c r="O95" i="9"/>
  <c r="O96" i="9"/>
  <c r="O97" i="9" s="1"/>
  <c r="O98" i="9"/>
  <c r="O99" i="9"/>
  <c r="O100" i="9" s="1"/>
  <c r="O101" i="9"/>
  <c r="O102" i="9"/>
  <c r="O103" i="9"/>
  <c r="O104" i="9"/>
  <c r="O105" i="9"/>
  <c r="O106" i="9"/>
  <c r="O107" i="9"/>
  <c r="O108" i="9" s="1"/>
  <c r="O109" i="9"/>
  <c r="O110" i="9" s="1"/>
  <c r="O111" i="9"/>
  <c r="O112" i="9"/>
  <c r="O113" i="9"/>
  <c r="O114" i="9"/>
  <c r="O115" i="9"/>
  <c r="O116" i="9"/>
  <c r="O117" i="9"/>
  <c r="O118" i="9"/>
  <c r="O119" i="9"/>
  <c r="O120" i="9"/>
  <c r="O121" i="9" s="1"/>
  <c r="O122" i="9" s="1"/>
  <c r="O123" i="9"/>
  <c r="O124" i="9" s="1"/>
  <c r="O125" i="9" s="1"/>
  <c r="O126" i="9"/>
  <c r="O127" i="9"/>
  <c r="O128" i="9"/>
  <c r="O129" i="9" s="1"/>
  <c r="O130" i="9" s="1"/>
  <c r="O131" i="9"/>
  <c r="O132" i="9"/>
  <c r="O133" i="9" s="1"/>
  <c r="O134" i="9"/>
  <c r="O135" i="9"/>
  <c r="O136" i="9" s="1"/>
  <c r="O137" i="9"/>
  <c r="O138" i="9"/>
  <c r="O139" i="9" s="1"/>
  <c r="O140" i="9"/>
  <c r="O141" i="9" s="1"/>
  <c r="O142" i="9" s="1"/>
  <c r="O143" i="9"/>
  <c r="O144" i="9"/>
  <c r="O145" i="9" s="1"/>
  <c r="O146" i="9" s="1"/>
  <c r="O147" i="9"/>
  <c r="O148" i="9"/>
  <c r="O149" i="9" s="1"/>
  <c r="O150" i="9"/>
  <c r="O151" i="9" s="1"/>
  <c r="O152" i="9"/>
  <c r="O153" i="9" s="1"/>
  <c r="O154" i="9"/>
  <c r="O155" i="9"/>
  <c r="O156" i="9" s="1"/>
  <c r="O157" i="9"/>
  <c r="O158" i="9" s="1"/>
  <c r="O159" i="9" s="1"/>
  <c r="O160" i="9"/>
  <c r="O161" i="9"/>
  <c r="O162" i="9"/>
  <c r="O163" i="9" s="1"/>
  <c r="O164" i="9"/>
  <c r="O165" i="9"/>
  <c r="O166" i="9"/>
  <c r="O167" i="9"/>
  <c r="O168" i="9" s="1"/>
  <c r="O169" i="9"/>
  <c r="O170" i="9"/>
  <c r="O171" i="9"/>
  <c r="O172" i="9" s="1"/>
  <c r="O173" i="9"/>
  <c r="O174" i="9"/>
  <c r="O175" i="9" s="1"/>
  <c r="O176" i="9" s="1"/>
  <c r="O177" i="9"/>
  <c r="O178" i="9"/>
  <c r="O179" i="9"/>
  <c r="O180" i="9"/>
  <c r="O181" i="9"/>
  <c r="O182" i="9"/>
  <c r="O183" i="9"/>
  <c r="O184" i="9" s="1"/>
  <c r="O185" i="9"/>
  <c r="O186" i="9"/>
  <c r="O187" i="9"/>
  <c r="O188" i="9"/>
  <c r="O189" i="9"/>
  <c r="O190" i="9"/>
  <c r="O191" i="9"/>
  <c r="O192" i="9" s="1"/>
  <c r="O193" i="9"/>
  <c r="O194" i="9"/>
  <c r="O195" i="9"/>
  <c r="O196" i="9"/>
  <c r="O197" i="9" s="1"/>
  <c r="O198" i="9"/>
  <c r="O199" i="9"/>
  <c r="O200" i="9"/>
  <c r="O201" i="9"/>
  <c r="O202" i="9"/>
  <c r="O203" i="9"/>
  <c r="O204" i="9"/>
  <c r="O205" i="9"/>
  <c r="O206" i="9" s="1"/>
  <c r="O207" i="9" s="1"/>
  <c r="O208" i="9" s="1"/>
  <c r="O209" i="9" s="1"/>
  <c r="O210" i="9" s="1"/>
  <c r="O211" i="9"/>
  <c r="O212" i="9"/>
  <c r="O213" i="9" s="1"/>
  <c r="O214" i="9"/>
  <c r="O215" i="9"/>
  <c r="O216" i="9" s="1"/>
  <c r="O217" i="9"/>
  <c r="O218" i="9"/>
  <c r="O219" i="9"/>
  <c r="O220" i="9"/>
  <c r="O221" i="9" s="1"/>
  <c r="O222" i="9"/>
  <c r="O223" i="9"/>
  <c r="O224" i="9"/>
  <c r="O225" i="9"/>
  <c r="O226" i="9"/>
  <c r="O227" i="9"/>
  <c r="O228" i="9"/>
  <c r="O229" i="9"/>
  <c r="O3" i="9"/>
  <c r="Q3" i="8"/>
  <c r="R3" i="8"/>
  <c r="S3" i="8"/>
  <c r="T3" i="8"/>
  <c r="U3" i="8"/>
  <c r="V3" i="8"/>
  <c r="W3" i="8"/>
  <c r="X3" i="8"/>
  <c r="Y3" i="8"/>
  <c r="Z3" i="8"/>
  <c r="AA3" i="8"/>
  <c r="P3" i="8"/>
  <c r="AA2" i="8"/>
  <c r="Q2" i="8"/>
  <c r="R2" i="8"/>
  <c r="S2" i="8"/>
  <c r="T2" i="8"/>
  <c r="U2" i="8"/>
  <c r="V2" i="8"/>
  <c r="W2" i="8"/>
  <c r="X2" i="8"/>
  <c r="Y2" i="8"/>
  <c r="Z2" i="8"/>
  <c r="P2" i="8"/>
  <c r="Q2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Q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FE9905-865D-4064-949F-B6AB1986AD45}" keepAlive="1" name="Zapytanie — temp" description="Połączenie z zapytaniem „temp” w skoroszycie." type="5" refreshedVersion="8" background="1" saveData="1">
    <dbPr connection="Provider=Microsoft.Mashup.OleDb.1;Data Source=$Workbook$;Location=temp;Extended Properties=&quot;&quot;" command="SELECT * FROM [temp]"/>
  </connection>
  <connection id="2" xr16:uid="{DB6576CA-3BF5-4328-A7DC-F8DC58829411}" keepAlive="1" name="Zapytanie — temp (2)" description="Połączenie z zapytaniem „temp (2)” w skoroszycie." type="5" refreshedVersion="8" background="1" saveData="1">
    <dbPr connection="Provider=Microsoft.Mashup.OleDb.1;Data Source=$Workbook$;Location=&quot;temp (2)&quot;;Extended Properties=&quot;&quot;" command="SELECT * FROM [temp (2)]"/>
  </connection>
  <connection id="3" xr16:uid="{6B73386F-85F9-4F5B-82A6-5AF1AF5DFAE1}" keepAlive="1" name="Zapytanie — temp (3)" description="Połączenie z zapytaniem „temp (3)” w skoroszycie." type="5" refreshedVersion="8" background="1" saveData="1">
    <dbPr connection="Provider=Microsoft.Mashup.OleDb.1;Data Source=$Workbook$;Location=&quot;temp (3)&quot;;Extended Properties=&quot;&quot;" command="SELECT * FROM [temp (3)]"/>
  </connection>
  <connection id="4" xr16:uid="{0F12E662-31E8-4218-B49A-3899DF0CC13D}" keepAlive="1" name="Zapytanie — temp (4)" description="Połączenie z zapytaniem „temp (4)” w skoroszycie." type="5" refreshedVersion="8" background="1" saveData="1">
    <dbPr connection="Provider=Microsoft.Mashup.OleDb.1;Data Source=$Workbook$;Location=&quot;temp (4)&quot;;Extended Properties=&quot;&quot;" command="SELECT * FROM [temp (4)]"/>
  </connection>
  <connection id="5" xr16:uid="{DFDFB188-229C-462A-BFFA-45A727496323}" keepAlive="1" name="Zapytanie — temp (5)" description="Połączenie z zapytaniem „temp (5)” w skoroszycie." type="5" refreshedVersion="8" background="1" saveData="1">
    <dbPr connection="Provider=Microsoft.Mashup.OleDb.1;Data Source=$Workbook$;Location=&quot;temp (5)&quot;;Extended Properties=&quot;&quot;" command="SELECT * FROM [temp (5)]"/>
  </connection>
  <connection id="6" xr16:uid="{BE313E7B-2C92-48A9-9AAD-929C28219F99}" keepAlive="1" name="Zapytanie — temp (6)" description="Połączenie z zapytaniem „temp (6)” w skoroszycie." type="5" refreshedVersion="8" background="1" saveData="1">
    <dbPr connection="Provider=Microsoft.Mashup.OleDb.1;Data Source=$Workbook$;Location=&quot;temp (6)&quot;;Extended Properties=&quot;&quot;" command="SELECT * FROM [temp (6)]"/>
  </connection>
  <connection id="7" xr16:uid="{3A704FD6-C89D-40FF-AD41-6DEEB164FBFE}" keepAlive="1" name="Zapytanie — temp (7)" description="Połączenie z zapytaniem „temp (7)” w skoroszycie." type="5" refreshedVersion="8" background="1" saveData="1">
    <dbPr connection="Provider=Microsoft.Mashup.OleDb.1;Data Source=$Workbook$;Location=&quot;temp (7)&quot;;Extended Properties=&quot;&quot;" command="SELECT * FROM [temp (7)]"/>
  </connection>
</connections>
</file>

<file path=xl/sharedStrings.xml><?xml version="1.0" encoding="utf-8"?>
<sst xmlns="http://schemas.openxmlformats.org/spreadsheetml/2006/main" count="89" uniqueCount="24">
  <si>
    <t>ROK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</si>
  <si>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</si>
  <si>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</si>
  <si>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</si>
  <si>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</si>
  <si>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</si>
  <si>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</si>
  <si>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</si>
  <si>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</si>
  <si>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</si>
  <si>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</si>
  <si>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</si>
  <si>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</si>
  <si>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ŚREDNIA ROCZNA TEMP</t>
  </si>
  <si>
    <t>najmniejsza średnia roczna</t>
  </si>
  <si>
    <t>ROK NAMNIEJSZEJ ŚREDNIEJ ROCZNEJ</t>
  </si>
  <si>
    <t>ROK NAJ ŚREDNIEJ ROCZNEJ</t>
  </si>
  <si>
    <t>NAJWIEKSZA średnia roczna</t>
  </si>
  <si>
    <t>min</t>
  </si>
  <si>
    <t>max</t>
  </si>
  <si>
    <t>Ciąg malejący temp w sierpniu</t>
  </si>
  <si>
    <t>NAJDŁUŻSZY CIĄG</t>
  </si>
  <si>
    <t>POCZĄTEK</t>
  </si>
  <si>
    <t>KONIEC 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</si>
</sst>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16" fontId="0" fillId="0" borderId="0" xfId="0" applyNumberFormat="1"/>
    <xf numFmtId="14" fontId="0" fillId="0" borderId="0" xfId="0" applyNumberFormat="1"/>
    <xf numFmtId="0" fontId="0" fillId="3" borderId="0" xfId="0" applyFill="1"/>
    <xf numFmtId="0" fontId="0" fillId="4" borderId="1" xfId="0" applyFont="1" applyFill="1" applyBorder="1"/>
    <xf numFmtId="0" fontId="0" fillId="3" borderId="1" xfId="0" applyFont="1" applyFill="1" applyBorder="1"/>
  </cellXfs>
  <cellStyles count="1">
    <cellStyle name="Normalny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minimalna i maksymalna średnią miesięczną temperaturę odnotowaną w tym miesiącu w latach 1779–2006</a:t>
            </a:r>
            <a:endParaRPr lang="pl-PL"/>
          </a:p>
        </c:rich>
      </c:tx>
      <c:layout>
        <c:manualLayout>
          <c:xMode val="edge"/>
          <c:yMode val="edge"/>
          <c:x val="0.1263352462298144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8122703412073497E-2"/>
          <c:y val="0.17171296296296298"/>
          <c:w val="0.88254396325459317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'C'!$O$2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'C'!$P$1:$AA$1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xVal>
          <c:yVal>
            <c:numRef>
              <c:f>'C'!$P$2:$AA$2</c:f>
              <c:numCache>
                <c:formatCode>General</c:formatCode>
                <c:ptCount val="12"/>
                <c:pt idx="0">
                  <c:v>-13.5</c:v>
                </c:pt>
                <c:pt idx="1">
                  <c:v>-13.7</c:v>
                </c:pt>
                <c:pt idx="2">
                  <c:v>-6.9</c:v>
                </c:pt>
                <c:pt idx="3">
                  <c:v>2.4</c:v>
                </c:pt>
                <c:pt idx="4">
                  <c:v>7.9</c:v>
                </c:pt>
                <c:pt idx="5">
                  <c:v>13</c:v>
                </c:pt>
                <c:pt idx="6">
                  <c:v>14.6</c:v>
                </c:pt>
                <c:pt idx="7">
                  <c:v>14</c:v>
                </c:pt>
                <c:pt idx="8">
                  <c:v>9.1</c:v>
                </c:pt>
                <c:pt idx="9">
                  <c:v>1.8</c:v>
                </c:pt>
                <c:pt idx="10">
                  <c:v>-3.4</c:v>
                </c:pt>
                <c:pt idx="11">
                  <c:v>-13.7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7A-4AFB-921A-654FC3A3A9B1}"/>
            </c:ext>
          </c:extLst>
        </c:ser>
        <c:ser>
          <c:idx val="1"/>
          <c:order val="1"/>
          <c:tx>
            <c:strRef>
              <c:f>'C'!$O$3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'C'!$P$1:$AA$1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xVal>
          <c:yVal>
            <c:numRef>
              <c:f>'C'!$P$3:$AA$3</c:f>
              <c:numCache>
                <c:formatCode>General</c:formatCode>
                <c:ptCount val="12"/>
                <c:pt idx="0">
                  <c:v>3.5</c:v>
                </c:pt>
                <c:pt idx="1">
                  <c:v>5.0999999999999996</c:v>
                </c:pt>
                <c:pt idx="2">
                  <c:v>7.4</c:v>
                </c:pt>
                <c:pt idx="3">
                  <c:v>13.2</c:v>
                </c:pt>
                <c:pt idx="4">
                  <c:v>18.2</c:v>
                </c:pt>
                <c:pt idx="5">
                  <c:v>22.4</c:v>
                </c:pt>
                <c:pt idx="6">
                  <c:v>23.5</c:v>
                </c:pt>
                <c:pt idx="7">
                  <c:v>23.8</c:v>
                </c:pt>
                <c:pt idx="8">
                  <c:v>16.8</c:v>
                </c:pt>
                <c:pt idx="9">
                  <c:v>12.6</c:v>
                </c:pt>
                <c:pt idx="10">
                  <c:v>7.6</c:v>
                </c:pt>
                <c:pt idx="11">
                  <c:v>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7A-4AFB-921A-654FC3A3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61264"/>
        <c:axId val="720541104"/>
      </c:scatterChart>
      <c:valAx>
        <c:axId val="72056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  <a:r>
                  <a:rPr lang="pl-PL" baseline="0"/>
                  <a:t> jako liczba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0541104"/>
        <c:crosses val="autoZero"/>
        <c:crossBetween val="midCat"/>
      </c:valAx>
      <c:valAx>
        <c:axId val="72054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Temp</a:t>
                </a:r>
                <a:r>
                  <a:rPr lang="pl-PL" baseline="0"/>
                  <a:t> </a:t>
                </a:r>
                <a:r>
                  <a:rPr lang="pl-PL" sz="1050" baseline="0"/>
                  <a:t>celciusza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056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14287</xdr:rowOff>
    </xdr:from>
    <xdr:to>
      <xdr:col>26</xdr:col>
      <xdr:colOff>428625</xdr:colOff>
      <xdr:row>21</xdr:row>
      <xdr:rowOff>90487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A5F234D-DE77-2008-A18E-C92C30EB6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9729E7C-057C-4F99-933F-92DB8159C8E4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2A27ED-1B30-4B11-B613-19E226E0D42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7DFA507-B9CE-4811-945C-157F95001C5D}" autoFormatId="16" applyNumberFormats="0" applyBorderFormats="0" applyFontFormats="0" applyPatternFormats="0" applyAlignmentFormats="0" applyWidthHeightFormats="0">
  <queryTableRefresh nextId="15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ACF9D1E-A25E-4CB3-BF88-232E4559D6A1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0BBF500-41F8-45CB-B212-EC2337A19494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D0472F-7A41-47A2-8ABE-643D7D2B07C5}" name="temp8" displayName="temp8" ref="A1:M229" tableType="queryTable" totalsRowShown="0">
  <autoFilter ref="A1:M229" xr:uid="{9157839C-339A-4196-B5FF-5C5B8ED55155}"/>
  <tableColumns count="13">
    <tableColumn id="1" xr3:uid="{CF05B0FC-FA0A-4CE4-8535-6967BAA5347E}" uniqueName="1" name="ROK" queryTableFieldId="1"/>
    <tableColumn id="2" xr3:uid="{9728C2F0-1233-4827-B07A-9D30BFE992D1}" uniqueName="2" name="styczeń" queryTableFieldId="2"/>
    <tableColumn id="3" xr3:uid="{CF79942E-9AA1-49E7-83F8-37A7D183AFD9}" uniqueName="3" name="luty" queryTableFieldId="3"/>
    <tableColumn id="4" xr3:uid="{384604F1-0B45-4E00-9789-38D2F17CCF32}" uniqueName="4" name="marzec" queryTableFieldId="4"/>
    <tableColumn id="5" xr3:uid="{A8BF25A0-D673-47FB-848C-90FE07404CB6}" uniqueName="5" name="kwiecień" queryTableFieldId="5"/>
    <tableColumn id="6" xr3:uid="{5EB671D5-E22C-49A1-B28D-BE0538CEA3A1}" uniqueName="6" name="maj" queryTableFieldId="6"/>
    <tableColumn id="7" xr3:uid="{6C44CA7B-E883-4164-94FA-B02EE14B8101}" uniqueName="7" name="czerwiec" queryTableFieldId="7"/>
    <tableColumn id="8" xr3:uid="{B4512EB2-A80C-40EC-85A0-54699336C3F8}" uniqueName="8" name="lipiec" queryTableFieldId="8"/>
    <tableColumn id="9" xr3:uid="{3C4BD582-A421-4D6B-A4B7-C66B84047937}" uniqueName="9" name="sierpień" queryTableFieldId="9"/>
    <tableColumn id="10" xr3:uid="{FFAE7442-0686-443C-A158-8C79253F6548}" uniqueName="10" name="wrzesień" queryTableFieldId="10"/>
    <tableColumn id="11" xr3:uid="{C2616538-14AB-4447-9080-4552D4DF7875}" uniqueName="11" name="październik" queryTableFieldId="11"/>
    <tableColumn id="12" xr3:uid="{9AA55F09-62F9-4EC3-A5C9-75839EF8C6D4}" uniqueName="12" name="listopad" queryTableFieldId="12"/>
    <tableColumn id="13" xr3:uid="{79CD2B44-98AF-4618-B0AB-B794A7613B37}" uniqueName="13" name="grudzień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7839C-339A-4196-B5FF-5C5B8ED55155}" name="temp" displayName="temp" ref="A1:M229" tableType="queryTable" totalsRowShown="0">
  <autoFilter ref="A1:M229" xr:uid="{9157839C-339A-4196-B5FF-5C5B8ED55155}"/>
  <tableColumns count="13">
    <tableColumn id="1" xr3:uid="{A0FE1F7D-15A7-49C5-BE68-9A949F6C243A}" uniqueName="1" name="ROK" queryTableFieldId="1"/>
    <tableColumn id="2" xr3:uid="{E741AAD5-4DA8-4B9D-B094-67A0869AA078}" uniqueName="2" name="styczeń" queryTableFieldId="2"/>
    <tableColumn id="3" xr3:uid="{4777D91C-311C-42FA-9EA5-830B144AFDD1}" uniqueName="3" name="luty" queryTableFieldId="3"/>
    <tableColumn id="4" xr3:uid="{C20A7482-C0DE-454E-92D5-DD6ADB55D4D0}" uniqueName="4" name="marzec" queryTableFieldId="4"/>
    <tableColumn id="5" xr3:uid="{8B9FAB56-C8F6-4CF0-8339-6022DA0F4C3E}" uniqueName="5" name="kwiecień" queryTableFieldId="5"/>
    <tableColumn id="6" xr3:uid="{552AB322-2B27-4603-BF5E-5191637454B0}" uniqueName="6" name="maj" queryTableFieldId="6"/>
    <tableColumn id="7" xr3:uid="{115FC038-0038-460D-A1D0-5D1C6C3E11BA}" uniqueName="7" name="czerwiec" queryTableFieldId="7"/>
    <tableColumn id="8" xr3:uid="{F52C4295-3BD5-4AF4-8807-666F5AD1EC04}" uniqueName="8" name="lipiec" queryTableFieldId="8"/>
    <tableColumn id="9" xr3:uid="{E9720555-3490-419E-AEDB-8B7BCF4CCF4B}" uniqueName="9" name="sierpień" queryTableFieldId="9"/>
    <tableColumn id="10" xr3:uid="{88C172D7-8D91-49D1-84F0-9BDAB4C56F2A}" uniqueName="10" name="wrzesień" queryTableFieldId="10"/>
    <tableColumn id="11" xr3:uid="{20D21BB0-237C-427B-91CA-BD37A3AA89D8}" uniqueName="11" name="październik" queryTableFieldId="11"/>
    <tableColumn id="12" xr3:uid="{042BFF75-5080-487B-B1C7-58E262FF246A}" uniqueName="12" name="listopad" queryTableFieldId="12"/>
    <tableColumn id="13" xr3:uid="{10113CCF-A64D-44FF-B232-5F7B911A09B9}" uniqueName="13" name="grudzień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40C0F2-D49C-4845-87E4-B8251B0123F0}" name="temp357" displayName="temp357" ref="A1:M229" tableType="queryTable" totalsRowShown="0">
  <autoFilter ref="A1:M229" xr:uid="{9157839C-339A-4196-B5FF-5C5B8ED55155}"/>
  <tableColumns count="13">
    <tableColumn id="1" xr3:uid="{B534245B-A8E3-4F04-8CEB-A2562F229909}" uniqueName="1" name="ROK" queryTableFieldId="1"/>
    <tableColumn id="2" xr3:uid="{428E81AC-EBF6-4648-9DEE-4196FA28082C}" uniqueName="2" name="styczeń" queryTableFieldId="2"/>
    <tableColumn id="3" xr3:uid="{226A903B-9E5A-4126-8065-1511BBAB4CDA}" uniqueName="3" name="luty" queryTableFieldId="3"/>
    <tableColumn id="4" xr3:uid="{09EB1D95-76C6-48BE-8351-63542CE10D41}" uniqueName="4" name="marzec" queryTableFieldId="4"/>
    <tableColumn id="5" xr3:uid="{C29FB06E-BD52-4672-BC3D-11E3A351C630}" uniqueName="5" name="kwiecień" queryTableFieldId="5"/>
    <tableColumn id="6" xr3:uid="{96B63081-E5C4-4647-B630-F4D2548D9589}" uniqueName="6" name="maj" queryTableFieldId="6"/>
    <tableColumn id="7" xr3:uid="{308F61E9-26D1-4335-8679-92CBE1E9F9E5}" uniqueName="7" name="czerwiec" queryTableFieldId="7"/>
    <tableColumn id="8" xr3:uid="{2EA9C258-126F-4743-8E8A-D8018FB511B7}" uniqueName="8" name="lipiec" queryTableFieldId="8"/>
    <tableColumn id="9" xr3:uid="{A01ACDCB-F305-4F96-9573-F51A51DACFAE}" uniqueName="9" name="sierpień" queryTableFieldId="9"/>
    <tableColumn id="10" xr3:uid="{EE460E40-D23A-453C-8392-2F2904D1ED11}" uniqueName="10" name="wrzesień" queryTableFieldId="10"/>
    <tableColumn id="11" xr3:uid="{FA23B925-9E5C-4044-9B34-CE4F19FB8438}" uniqueName="11" name="październik" queryTableFieldId="11"/>
    <tableColumn id="12" xr3:uid="{2713B348-D2DA-4CC5-B8D9-0F05885FED08}" uniqueName="12" name="listopad" queryTableFieldId="12"/>
    <tableColumn id="13" xr3:uid="{7D8DEF85-3571-4D6D-8906-5DE9AC423D06}" uniqueName="13" name="grudzień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399A80-F425-4147-A394-63353C390684}" name="temp35" displayName="temp35" ref="A1:M229" tableType="queryTable" totalsRowShown="0">
  <autoFilter ref="A1:M229" xr:uid="{9157839C-339A-4196-B5FF-5C5B8ED55155}"/>
  <tableColumns count="13">
    <tableColumn id="1" xr3:uid="{1B1EA120-13A2-4D49-8000-F4B408031AF6}" uniqueName="1" name="ROK" queryTableFieldId="1"/>
    <tableColumn id="2" xr3:uid="{13E76009-3314-45CF-90FD-FCAF0D9978F9}" uniqueName="2" name="styczeń" queryTableFieldId="2"/>
    <tableColumn id="3" xr3:uid="{29B6125E-5182-461E-A6E8-E6D0A602731B}" uniqueName="3" name="luty" queryTableFieldId="3"/>
    <tableColumn id="4" xr3:uid="{4F11422B-10FE-4946-82F7-595C5A80DD76}" uniqueName="4" name="marzec" queryTableFieldId="4"/>
    <tableColumn id="5" xr3:uid="{6DA6AE21-0498-46A1-BE55-88026571B241}" uniqueName="5" name="kwiecień" queryTableFieldId="5"/>
    <tableColumn id="6" xr3:uid="{6FFE9753-8A8F-4C60-95AA-F522A47124E3}" uniqueName="6" name="maj" queryTableFieldId="6"/>
    <tableColumn id="7" xr3:uid="{CB4D313E-709F-404F-878C-1BD93B11750E}" uniqueName="7" name="czerwiec" queryTableFieldId="7"/>
    <tableColumn id="8" xr3:uid="{CD47B882-642C-4D13-9A2C-3FA70198D37F}" uniqueName="8" name="lipiec" queryTableFieldId="8"/>
    <tableColumn id="9" xr3:uid="{A45A5183-7112-41C5-B44A-215B2BA1A5F2}" uniqueName="9" name="sierpień" queryTableFieldId="9"/>
    <tableColumn id="10" xr3:uid="{F523EBB2-7142-476D-B5F5-CEAD04170FD9}" uniqueName="10" name="wrzesień" queryTableFieldId="10"/>
    <tableColumn id="11" xr3:uid="{0A58ED17-F0B7-408C-B26E-8F2C1D69610B}" uniqueName="11" name="październik" queryTableFieldId="11"/>
    <tableColumn id="12" xr3:uid="{BCBE48EA-1512-4AC3-88A8-CC50831DEDED}" uniqueName="12" name="listopad" queryTableFieldId="12"/>
    <tableColumn id="13" xr3:uid="{886DABFA-154E-40F3-BAFB-DB766F20B15E}" uniqueName="13" name="grudzień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85E0DF-5245-4D92-9B7A-FBC6208DEB3D}" name="temp3" displayName="temp3" ref="A1:M229" tableType="queryTable" totalsRowShown="0">
  <autoFilter ref="A1:M229" xr:uid="{9157839C-339A-4196-B5FF-5C5B8ED55155}"/>
  <tableColumns count="13">
    <tableColumn id="1" xr3:uid="{87FD3CF4-A369-4559-BF64-CEC4F0157654}" uniqueName="1" name="ROK" queryTableFieldId="1"/>
    <tableColumn id="2" xr3:uid="{51237348-063B-45FC-AE6E-C1290CB6804D}" uniqueName="2" name="styczeń" queryTableFieldId="2"/>
    <tableColumn id="3" xr3:uid="{4E64ECB1-5391-4182-BE70-7AAD6586F169}" uniqueName="3" name="luty" queryTableFieldId="3"/>
    <tableColumn id="4" xr3:uid="{37B23F0F-CDDC-46DC-AB6F-BD6F07EA785F}" uniqueName="4" name="marzec" queryTableFieldId="4"/>
    <tableColumn id="5" xr3:uid="{9C7C46C6-378E-4CC5-B666-105DE472AD55}" uniqueName="5" name="kwiecień" queryTableFieldId="5"/>
    <tableColumn id="6" xr3:uid="{C063F2AF-2E85-4B8C-B207-89D2E6FAEFE3}" uniqueName="6" name="maj" queryTableFieldId="6"/>
    <tableColumn id="7" xr3:uid="{D49C1083-3644-4C43-9232-D39E4BBCE0DA}" uniqueName="7" name="czerwiec" queryTableFieldId="7"/>
    <tableColumn id="8" xr3:uid="{A82F8C6C-3355-4E04-8743-9F35FC19F6BD}" uniqueName="8" name="lipiec" queryTableFieldId="8"/>
    <tableColumn id="9" xr3:uid="{FC3A280C-3960-4A54-89E0-3196235B9BEA}" uniqueName="9" name="sierpień" queryTableFieldId="9"/>
    <tableColumn id="10" xr3:uid="{DCB25EB2-C04C-453B-B2A1-2B49633A7EA5}" uniqueName="10" name="wrzesień" queryTableFieldId="10"/>
    <tableColumn id="11" xr3:uid="{104798E6-B315-40F4-AC20-22096F18ABEF}" uniqueName="11" name="październik" queryTableFieldId="11"/>
    <tableColumn id="12" xr3:uid="{EA2E1491-83F0-4339-800F-A586A748BAD2}" uniqueName="12" name="listopad" queryTableFieldId="12"/>
    <tableColumn id="13" xr3:uid="{123A8A0C-9033-4ED8-B836-C646D53E470E}" uniqueName="13" name="grudzień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2CF7-8144-43B6-99BB-15262DD792FC}">
  <dimension ref="A1:T229"/>
  <sheetViews>
    <sheetView tabSelected="1" workbookViewId="0">
      <selection activeCell="S7" sqref="S7"/>
    </sheetView>
  </sheetViews>
  <sheetFormatPr defaultRowHeight="15" x14ac:dyDescent="0.25"/>
  <cols>
    <col min="1" max="9" width="11.140625" bestFit="1" customWidth="1"/>
    <col min="10" max="13" width="12.140625" bestFit="1" customWidth="1"/>
    <col min="15" max="15" width="28.42578125" bestFit="1" customWidth="1"/>
    <col min="16" max="16" width="10.140625" bestFit="1" customWidth="1"/>
    <col min="17" max="17" width="18.42578125" bestFit="1" customWidth="1"/>
    <col min="18" max="18" width="10.140625" bestFit="1" customWidth="1"/>
    <col min="19" max="19" width="11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20</v>
      </c>
      <c r="Q1" s="5" t="s">
        <v>21</v>
      </c>
      <c r="R1" s="5" t="s">
        <v>22</v>
      </c>
      <c r="S1" s="7" t="s">
        <v>23</v>
      </c>
    </row>
    <row r="2" spans="1:20" x14ac:dyDescent="0.25">
      <c r="A2">
        <v>1779</v>
      </c>
      <c r="B2">
        <v>-4.9000000000000004</v>
      </c>
      <c r="C2">
        <v>2.2000000000000002</v>
      </c>
      <c r="D2">
        <v>3.8</v>
      </c>
      <c r="E2">
        <v>9.5</v>
      </c>
      <c r="F2">
        <v>15.4</v>
      </c>
      <c r="G2">
        <v>16.399999999999999</v>
      </c>
      <c r="H2">
        <v>17.899999999999999</v>
      </c>
      <c r="I2">
        <v>19.5</v>
      </c>
      <c r="J2">
        <v>14.7</v>
      </c>
      <c r="K2">
        <v>9.3000000000000007</v>
      </c>
      <c r="L2">
        <v>4.0999999999999996</v>
      </c>
      <c r="M2">
        <v>1.4</v>
      </c>
      <c r="O2">
        <v>1</v>
      </c>
      <c r="Q2" s="5">
        <f>MAX(O2:O229)</f>
        <v>6</v>
      </c>
      <c r="R2" s="7">
        <v>1982</v>
      </c>
      <c r="S2" s="6">
        <v>1987</v>
      </c>
    </row>
    <row r="3" spans="1:20" x14ac:dyDescent="0.25">
      <c r="A3">
        <v>1780</v>
      </c>
      <c r="B3">
        <v>-5.0999999999999996</v>
      </c>
      <c r="C3">
        <v>-4.3</v>
      </c>
      <c r="D3">
        <v>4.4000000000000004</v>
      </c>
      <c r="E3">
        <v>5.9</v>
      </c>
      <c r="F3">
        <v>14.2</v>
      </c>
      <c r="G3">
        <v>17.2</v>
      </c>
      <c r="H3">
        <v>19.399999999999999</v>
      </c>
      <c r="I3">
        <v>17.899999999999999</v>
      </c>
      <c r="J3">
        <v>13.1</v>
      </c>
      <c r="K3">
        <v>9.4</v>
      </c>
      <c r="L3">
        <v>2.8</v>
      </c>
      <c r="M3">
        <v>-4.5999999999999996</v>
      </c>
      <c r="O3">
        <f>IF(temp8[[#This Row],[sierpień]]&lt;I2,O2+1,1)</f>
        <v>2</v>
      </c>
      <c r="S3" s="2"/>
      <c r="T3" s="3"/>
    </row>
    <row r="4" spans="1:20" x14ac:dyDescent="0.25">
      <c r="A4">
        <v>1781</v>
      </c>
      <c r="B4">
        <v>-4</v>
      </c>
      <c r="C4">
        <v>-1.9</v>
      </c>
      <c r="D4">
        <v>1.5</v>
      </c>
      <c r="E4">
        <v>9.1</v>
      </c>
      <c r="F4">
        <v>13.8</v>
      </c>
      <c r="G4">
        <v>19.2</v>
      </c>
      <c r="H4">
        <v>20.100000000000001</v>
      </c>
      <c r="I4">
        <v>22.8</v>
      </c>
      <c r="J4">
        <v>16.2</v>
      </c>
      <c r="K4">
        <v>6</v>
      </c>
      <c r="L4">
        <v>4</v>
      </c>
      <c r="M4">
        <v>-3.6</v>
      </c>
      <c r="O4">
        <f>IF(temp8[[#This Row],[sierpień]]&lt;I3,O3+1,1)</f>
        <v>1</v>
      </c>
      <c r="S4" s="1"/>
    </row>
    <row r="5" spans="1:20" x14ac:dyDescent="0.25">
      <c r="A5">
        <v>1782</v>
      </c>
      <c r="B5">
        <v>-1.6</v>
      </c>
      <c r="C5">
        <v>-6.2</v>
      </c>
      <c r="D5">
        <v>0.9</v>
      </c>
      <c r="E5">
        <v>7.3</v>
      </c>
      <c r="F5">
        <v>14.1</v>
      </c>
      <c r="G5">
        <v>17.8</v>
      </c>
      <c r="H5">
        <v>20.3</v>
      </c>
      <c r="I5">
        <v>18.3</v>
      </c>
      <c r="J5">
        <v>13.4</v>
      </c>
      <c r="K5">
        <v>6.4</v>
      </c>
      <c r="L5">
        <v>0.3</v>
      </c>
      <c r="M5">
        <v>-3.1</v>
      </c>
      <c r="O5">
        <f>IF(temp8[[#This Row],[sierpień]]&lt;I4,O4+1,1)</f>
        <v>2</v>
      </c>
      <c r="P5" s="4"/>
      <c r="S5" s="2"/>
    </row>
    <row r="6" spans="1:20" x14ac:dyDescent="0.25">
      <c r="A6">
        <v>1783</v>
      </c>
      <c r="B6">
        <v>-2.9</v>
      </c>
      <c r="C6">
        <v>1.9</v>
      </c>
      <c r="D6">
        <v>0.6</v>
      </c>
      <c r="E6">
        <v>7.1</v>
      </c>
      <c r="F6">
        <v>15.8</v>
      </c>
      <c r="G6">
        <v>20</v>
      </c>
      <c r="H6">
        <v>19.8</v>
      </c>
      <c r="I6">
        <v>20.2</v>
      </c>
      <c r="J6">
        <v>15.5</v>
      </c>
      <c r="K6">
        <v>8.4</v>
      </c>
      <c r="L6">
        <v>0.9</v>
      </c>
      <c r="M6">
        <v>-4.5999999999999996</v>
      </c>
      <c r="O6">
        <f>IF(temp8[[#This Row],[sierpień]]&lt;I5,O5+1,1)</f>
        <v>1</v>
      </c>
      <c r="P6" s="4"/>
      <c r="S6" s="1"/>
    </row>
    <row r="7" spans="1:20" x14ac:dyDescent="0.25">
      <c r="A7">
        <v>1784</v>
      </c>
      <c r="B7">
        <v>-7.1</v>
      </c>
      <c r="C7">
        <v>-4.3</v>
      </c>
      <c r="D7">
        <v>-0.4</v>
      </c>
      <c r="E7">
        <v>7</v>
      </c>
      <c r="F7">
        <v>14.1</v>
      </c>
      <c r="G7">
        <v>18.399999999999999</v>
      </c>
      <c r="H7">
        <v>19.7</v>
      </c>
      <c r="I7">
        <v>22.5</v>
      </c>
      <c r="J7">
        <v>15.3</v>
      </c>
      <c r="K7">
        <v>6</v>
      </c>
      <c r="L7">
        <v>3.1</v>
      </c>
      <c r="M7">
        <v>-0.8</v>
      </c>
      <c r="O7">
        <f>IF(temp8[[#This Row],[sierpień]]&lt;I6,O6+1,1)</f>
        <v>1</v>
      </c>
      <c r="P7" s="4"/>
      <c r="S7" s="3"/>
    </row>
    <row r="8" spans="1:20" x14ac:dyDescent="0.25">
      <c r="A8">
        <v>1785</v>
      </c>
      <c r="B8">
        <v>-5.3</v>
      </c>
      <c r="C8">
        <v>-4.8</v>
      </c>
      <c r="D8">
        <v>-6.4</v>
      </c>
      <c r="E8">
        <v>3.1</v>
      </c>
      <c r="F8">
        <v>11</v>
      </c>
      <c r="G8">
        <v>15.2</v>
      </c>
      <c r="H8">
        <v>16.7</v>
      </c>
      <c r="I8">
        <v>16.7</v>
      </c>
      <c r="J8">
        <v>14.1</v>
      </c>
      <c r="K8">
        <v>5.8</v>
      </c>
      <c r="L8">
        <v>2.4</v>
      </c>
      <c r="M8">
        <v>-5.0999999999999996</v>
      </c>
      <c r="O8">
        <f>IF(temp8[[#This Row],[sierpień]]&lt;I7,O7+1,1)</f>
        <v>2</v>
      </c>
      <c r="P8" s="4"/>
      <c r="S8" s="3"/>
    </row>
    <row r="9" spans="1:20" x14ac:dyDescent="0.25">
      <c r="A9">
        <v>1786</v>
      </c>
      <c r="B9">
        <v>-3.8</v>
      </c>
      <c r="C9">
        <v>-5.2</v>
      </c>
      <c r="D9">
        <v>-0.4</v>
      </c>
      <c r="E9">
        <v>8.9</v>
      </c>
      <c r="F9">
        <v>10.6</v>
      </c>
      <c r="G9">
        <v>16.5</v>
      </c>
      <c r="H9">
        <v>16.5</v>
      </c>
      <c r="I9">
        <v>15.9</v>
      </c>
      <c r="J9">
        <v>11.6</v>
      </c>
      <c r="K9">
        <v>4.5</v>
      </c>
      <c r="L9">
        <v>-2.7</v>
      </c>
      <c r="M9">
        <v>-2.5</v>
      </c>
      <c r="O9">
        <f>IF(temp8[[#This Row],[sierpień]]&lt;I8,O8+1,1)</f>
        <v>3</v>
      </c>
      <c r="P9" s="4"/>
      <c r="S9" s="3"/>
    </row>
    <row r="10" spans="1:20" x14ac:dyDescent="0.25">
      <c r="A10">
        <v>1787</v>
      </c>
      <c r="B10">
        <v>-5</v>
      </c>
      <c r="C10">
        <v>-0.8</v>
      </c>
      <c r="D10">
        <v>0.8</v>
      </c>
      <c r="E10">
        <v>5.9</v>
      </c>
      <c r="F10">
        <v>13.7</v>
      </c>
      <c r="G10">
        <v>18.7</v>
      </c>
      <c r="H10">
        <v>18.3</v>
      </c>
      <c r="I10">
        <v>17.100000000000001</v>
      </c>
      <c r="J10">
        <v>11.9</v>
      </c>
      <c r="K10">
        <v>9.5</v>
      </c>
      <c r="L10">
        <v>1.4</v>
      </c>
      <c r="M10">
        <v>-0.3</v>
      </c>
      <c r="O10">
        <f>IF(temp8[[#This Row],[sierpień]]&lt;I9,O9+1,1)</f>
        <v>1</v>
      </c>
      <c r="P10" s="4"/>
      <c r="S10" s="3"/>
    </row>
    <row r="11" spans="1:20" x14ac:dyDescent="0.25">
      <c r="A11">
        <v>1788</v>
      </c>
      <c r="B11">
        <v>-3.1</v>
      </c>
      <c r="C11">
        <v>-5</v>
      </c>
      <c r="D11">
        <v>-1.2</v>
      </c>
      <c r="E11">
        <v>5.4</v>
      </c>
      <c r="F11">
        <v>12.9</v>
      </c>
      <c r="G11">
        <v>18.100000000000001</v>
      </c>
      <c r="H11">
        <v>21.1</v>
      </c>
      <c r="I11">
        <v>17.600000000000001</v>
      </c>
      <c r="J11">
        <v>16.100000000000001</v>
      </c>
      <c r="K11">
        <v>6.9</v>
      </c>
      <c r="L11">
        <v>0.7</v>
      </c>
      <c r="M11">
        <v>-14.8</v>
      </c>
      <c r="O11">
        <f>IF(temp8[[#This Row],[sierpień]]&lt;I10,O10+1,1)</f>
        <v>1</v>
      </c>
      <c r="P11" s="4"/>
      <c r="S11" s="3"/>
    </row>
    <row r="12" spans="1:20" x14ac:dyDescent="0.25">
      <c r="A12">
        <v>1789</v>
      </c>
      <c r="B12">
        <v>-7.7</v>
      </c>
      <c r="C12">
        <v>-2.4</v>
      </c>
      <c r="D12">
        <v>-5.3</v>
      </c>
      <c r="E12">
        <v>6.3</v>
      </c>
      <c r="F12">
        <v>16.2</v>
      </c>
      <c r="G12">
        <v>16.899999999999999</v>
      </c>
      <c r="H12">
        <v>21.8</v>
      </c>
      <c r="I12">
        <v>20</v>
      </c>
      <c r="J12">
        <v>16.2</v>
      </c>
      <c r="K12">
        <v>10.7</v>
      </c>
      <c r="L12">
        <v>4.7</v>
      </c>
      <c r="M12">
        <v>0.9</v>
      </c>
      <c r="O12">
        <f>IF(temp8[[#This Row],[sierpień]]&lt;I11,O11+1,1)</f>
        <v>1</v>
      </c>
      <c r="P12" s="4"/>
      <c r="S12" s="3"/>
    </row>
    <row r="13" spans="1:20" x14ac:dyDescent="0.25">
      <c r="A13">
        <v>1790</v>
      </c>
      <c r="B13">
        <v>-1.2</v>
      </c>
      <c r="C13">
        <v>1.9</v>
      </c>
      <c r="D13">
        <v>2.5</v>
      </c>
      <c r="E13">
        <v>5.0999999999999996</v>
      </c>
      <c r="F13">
        <v>12.9</v>
      </c>
      <c r="G13">
        <v>17.2</v>
      </c>
      <c r="H13">
        <v>17.399999999999999</v>
      </c>
      <c r="I13">
        <v>17.2</v>
      </c>
      <c r="J13">
        <v>12.9</v>
      </c>
      <c r="K13">
        <v>6.9</v>
      </c>
      <c r="L13">
        <v>2.5</v>
      </c>
      <c r="M13">
        <v>1.2</v>
      </c>
      <c r="O13">
        <f>IF(temp8[[#This Row],[sierpień]]&lt;I12,O12+1,1)</f>
        <v>2</v>
      </c>
      <c r="P13" s="4"/>
      <c r="S13" s="3"/>
    </row>
    <row r="14" spans="1:20" x14ac:dyDescent="0.25">
      <c r="A14">
        <v>1791</v>
      </c>
      <c r="B14">
        <v>1.4</v>
      </c>
      <c r="C14">
        <v>-1</v>
      </c>
      <c r="D14">
        <v>2.7</v>
      </c>
      <c r="E14">
        <v>10.1</v>
      </c>
      <c r="F14">
        <v>12.3</v>
      </c>
      <c r="G14">
        <v>16.100000000000001</v>
      </c>
      <c r="H14">
        <v>19</v>
      </c>
      <c r="I14">
        <v>19.899999999999999</v>
      </c>
      <c r="J14">
        <v>13.2</v>
      </c>
      <c r="K14">
        <v>7.8</v>
      </c>
      <c r="L14">
        <v>2.2000000000000002</v>
      </c>
      <c r="M14">
        <v>-0.2</v>
      </c>
      <c r="O14">
        <f>IF(temp8[[#This Row],[sierpień]]&lt;I13,O13+1,1)</f>
        <v>1</v>
      </c>
      <c r="P14" s="4"/>
      <c r="S14" s="3"/>
    </row>
    <row r="15" spans="1:20" x14ac:dyDescent="0.25">
      <c r="A15">
        <v>1792</v>
      </c>
      <c r="B15">
        <v>-2.8</v>
      </c>
      <c r="C15">
        <v>-4</v>
      </c>
      <c r="D15">
        <v>0.9</v>
      </c>
      <c r="E15">
        <v>8</v>
      </c>
      <c r="F15">
        <v>12.1</v>
      </c>
      <c r="G15">
        <v>17.5</v>
      </c>
      <c r="H15">
        <v>20.399999999999999</v>
      </c>
      <c r="I15">
        <v>18.3</v>
      </c>
      <c r="J15">
        <v>14.7</v>
      </c>
      <c r="K15">
        <v>6.2</v>
      </c>
      <c r="L15">
        <v>1.4</v>
      </c>
      <c r="M15">
        <v>-1.5</v>
      </c>
      <c r="O15">
        <f>IF(temp8[[#This Row],[sierpień]]&lt;I14,O14+1,1)</f>
        <v>2</v>
      </c>
      <c r="P15" s="4"/>
      <c r="S15" s="3"/>
    </row>
    <row r="16" spans="1:20" x14ac:dyDescent="0.25">
      <c r="A16">
        <v>1793</v>
      </c>
      <c r="B16">
        <v>-5.8</v>
      </c>
      <c r="C16">
        <v>0</v>
      </c>
      <c r="D16">
        <v>-0.7</v>
      </c>
      <c r="E16">
        <v>5.3</v>
      </c>
      <c r="F16">
        <v>13.4</v>
      </c>
      <c r="G16">
        <v>15</v>
      </c>
      <c r="H16">
        <v>20.399999999999999</v>
      </c>
      <c r="I16">
        <v>18.7</v>
      </c>
      <c r="J16">
        <v>12.3</v>
      </c>
      <c r="K16">
        <v>9.5</v>
      </c>
      <c r="L16">
        <v>3.2</v>
      </c>
      <c r="M16">
        <v>-1.2</v>
      </c>
      <c r="O16">
        <f>IF(temp8[[#This Row],[sierpień]]&lt;I15,O15+1,1)</f>
        <v>1</v>
      </c>
      <c r="P16" s="4"/>
      <c r="S16" s="3"/>
    </row>
    <row r="17" spans="1:19" x14ac:dyDescent="0.25">
      <c r="A17">
        <v>1794</v>
      </c>
      <c r="B17">
        <v>-2</v>
      </c>
      <c r="C17">
        <v>-0.3</v>
      </c>
      <c r="D17">
        <v>3.6</v>
      </c>
      <c r="E17">
        <v>9.1999999999999993</v>
      </c>
      <c r="F17">
        <v>15.8</v>
      </c>
      <c r="G17">
        <v>18.8</v>
      </c>
      <c r="H17">
        <v>20.399999999999999</v>
      </c>
      <c r="I17">
        <v>17</v>
      </c>
      <c r="J17">
        <v>11.2</v>
      </c>
      <c r="K17">
        <v>8.1999999999999993</v>
      </c>
      <c r="L17">
        <v>2.8</v>
      </c>
      <c r="M17">
        <v>-6.1</v>
      </c>
      <c r="O17">
        <f>IF(temp8[[#This Row],[sierpień]]&lt;I16,O16+1,1)</f>
        <v>2</v>
      </c>
      <c r="P17" s="4"/>
      <c r="S17" s="3"/>
    </row>
    <row r="18" spans="1:19" x14ac:dyDescent="0.25">
      <c r="A18">
        <v>1795</v>
      </c>
      <c r="B18">
        <v>-10.6</v>
      </c>
      <c r="C18">
        <v>-2.8</v>
      </c>
      <c r="D18">
        <v>1.2</v>
      </c>
      <c r="E18">
        <v>10</v>
      </c>
      <c r="F18">
        <v>13.8</v>
      </c>
      <c r="G18">
        <v>18.8</v>
      </c>
      <c r="H18">
        <v>17.3</v>
      </c>
      <c r="I18">
        <v>17.399999999999999</v>
      </c>
      <c r="J18">
        <v>13.2</v>
      </c>
      <c r="K18">
        <v>10.1</v>
      </c>
      <c r="L18">
        <v>0.7</v>
      </c>
      <c r="M18">
        <v>1</v>
      </c>
      <c r="O18">
        <f>IF(temp8[[#This Row],[sierpień]]&lt;I17,O17+1,1)</f>
        <v>1</v>
      </c>
      <c r="P18" s="4"/>
      <c r="S18" s="3"/>
    </row>
    <row r="19" spans="1:19" x14ac:dyDescent="0.25">
      <c r="A19">
        <v>1796</v>
      </c>
      <c r="B19">
        <v>3.5</v>
      </c>
      <c r="C19">
        <v>-2.2000000000000002</v>
      </c>
      <c r="D19">
        <v>-3.8</v>
      </c>
      <c r="E19">
        <v>4.9000000000000004</v>
      </c>
      <c r="F19">
        <v>13.5</v>
      </c>
      <c r="G19">
        <v>17.8</v>
      </c>
      <c r="H19">
        <v>19.5</v>
      </c>
      <c r="I19">
        <v>20.100000000000001</v>
      </c>
      <c r="J19">
        <v>14.7</v>
      </c>
      <c r="K19">
        <v>7.8</v>
      </c>
      <c r="L19">
        <v>1.2</v>
      </c>
      <c r="M19">
        <v>-2.7</v>
      </c>
      <c r="O19">
        <f>IF(temp8[[#This Row],[sierpień]]&lt;I18,O18+1,1)</f>
        <v>1</v>
      </c>
      <c r="P19" s="4"/>
      <c r="S19" s="3"/>
    </row>
    <row r="20" spans="1:19" x14ac:dyDescent="0.25">
      <c r="A20">
        <v>1797</v>
      </c>
      <c r="B20">
        <v>-1</v>
      </c>
      <c r="C20">
        <v>1.3</v>
      </c>
      <c r="D20">
        <v>0.8</v>
      </c>
      <c r="E20">
        <v>9.4</v>
      </c>
      <c r="F20">
        <v>17.600000000000001</v>
      </c>
      <c r="G20">
        <v>18.7</v>
      </c>
      <c r="H20">
        <v>21.2</v>
      </c>
      <c r="I20">
        <v>19.8</v>
      </c>
      <c r="J20">
        <v>16</v>
      </c>
      <c r="K20">
        <v>9.6</v>
      </c>
      <c r="L20">
        <v>1.6</v>
      </c>
      <c r="M20">
        <v>-0.3</v>
      </c>
      <c r="O20">
        <f>IF(temp8[[#This Row],[sierpień]]&lt;I19,O19+1,1)</f>
        <v>2</v>
      </c>
      <c r="P20" s="4"/>
    </row>
    <row r="21" spans="1:19" x14ac:dyDescent="0.25">
      <c r="A21">
        <v>1798</v>
      </c>
      <c r="B21">
        <v>-2.4</v>
      </c>
      <c r="C21">
        <v>0.3</v>
      </c>
      <c r="D21">
        <v>3.2</v>
      </c>
      <c r="E21">
        <v>10</v>
      </c>
      <c r="F21">
        <v>15.6</v>
      </c>
      <c r="G21">
        <v>17.899999999999999</v>
      </c>
      <c r="H21">
        <v>20.5</v>
      </c>
      <c r="I21">
        <v>19.899999999999999</v>
      </c>
      <c r="J21">
        <v>15</v>
      </c>
      <c r="K21">
        <v>7</v>
      </c>
      <c r="L21">
        <v>0.5</v>
      </c>
      <c r="M21">
        <v>-7.8</v>
      </c>
      <c r="O21">
        <f>IF(temp8[[#This Row],[sierpień]]&lt;I20,O20+1,1)</f>
        <v>1</v>
      </c>
      <c r="P21" s="4"/>
    </row>
    <row r="22" spans="1:19" x14ac:dyDescent="0.25">
      <c r="A22">
        <v>1799</v>
      </c>
      <c r="B22">
        <v>-8.4</v>
      </c>
      <c r="C22">
        <v>-9.6</v>
      </c>
      <c r="D22">
        <v>-3.1</v>
      </c>
      <c r="E22">
        <v>6.6</v>
      </c>
      <c r="F22">
        <v>12.1</v>
      </c>
      <c r="G22">
        <v>15.4</v>
      </c>
      <c r="H22">
        <v>17.600000000000001</v>
      </c>
      <c r="I22">
        <v>17.7</v>
      </c>
      <c r="J22">
        <v>12</v>
      </c>
      <c r="K22">
        <v>7.5</v>
      </c>
      <c r="L22">
        <v>3.1</v>
      </c>
      <c r="M22">
        <v>-8.4</v>
      </c>
      <c r="O22">
        <f>IF(temp8[[#This Row],[sierpień]]&lt;I21,O21+1,1)</f>
        <v>2</v>
      </c>
      <c r="P22" s="4"/>
    </row>
    <row r="23" spans="1:19" x14ac:dyDescent="0.25">
      <c r="A23">
        <v>1800</v>
      </c>
      <c r="B23">
        <v>-4.9000000000000004</v>
      </c>
      <c r="C23">
        <v>-3.6</v>
      </c>
      <c r="D23">
        <v>-2.6</v>
      </c>
      <c r="E23">
        <v>12.3</v>
      </c>
      <c r="F23">
        <v>14.7</v>
      </c>
      <c r="G23">
        <v>15.3</v>
      </c>
      <c r="H23">
        <v>16.8</v>
      </c>
      <c r="I23">
        <v>17.600000000000001</v>
      </c>
      <c r="J23">
        <v>12.2</v>
      </c>
      <c r="K23">
        <v>7.5</v>
      </c>
      <c r="L23">
        <v>4.0999999999999996</v>
      </c>
      <c r="M23">
        <v>-2.1</v>
      </c>
      <c r="O23">
        <f>IF(temp8[[#This Row],[sierpień]]&lt;I22,O22+1,1)</f>
        <v>3</v>
      </c>
    </row>
    <row r="24" spans="1:19" x14ac:dyDescent="0.25">
      <c r="A24">
        <v>1801</v>
      </c>
      <c r="B24">
        <v>-2.6</v>
      </c>
      <c r="C24">
        <v>-3.3</v>
      </c>
      <c r="D24">
        <v>4.0999999999999996</v>
      </c>
      <c r="E24">
        <v>7.5</v>
      </c>
      <c r="F24">
        <v>17.100000000000001</v>
      </c>
      <c r="G24">
        <v>15.2</v>
      </c>
      <c r="H24">
        <v>19.100000000000001</v>
      </c>
      <c r="I24">
        <v>15.9</v>
      </c>
      <c r="J24">
        <v>14.7</v>
      </c>
      <c r="K24">
        <v>9.1</v>
      </c>
      <c r="L24">
        <v>4.5999999999999996</v>
      </c>
      <c r="M24">
        <v>-0.6</v>
      </c>
      <c r="O24">
        <f>IF(temp8[[#This Row],[sierpień]]&lt;I23,O23+1,1)</f>
        <v>4</v>
      </c>
    </row>
    <row r="25" spans="1:19" x14ac:dyDescent="0.25">
      <c r="A25">
        <v>1802</v>
      </c>
      <c r="B25">
        <v>-4.4000000000000004</v>
      </c>
      <c r="C25">
        <v>-2.2999999999999998</v>
      </c>
      <c r="D25">
        <v>3.5</v>
      </c>
      <c r="E25">
        <v>9.3000000000000007</v>
      </c>
      <c r="F25">
        <v>12</v>
      </c>
      <c r="G25">
        <v>16.399999999999999</v>
      </c>
      <c r="H25">
        <v>19.3</v>
      </c>
      <c r="I25">
        <v>19.5</v>
      </c>
      <c r="J25">
        <v>12.7</v>
      </c>
      <c r="K25">
        <v>10.5</v>
      </c>
      <c r="L25">
        <v>2.2999999999999998</v>
      </c>
      <c r="M25">
        <v>-0.5</v>
      </c>
      <c r="O25">
        <f>IF(temp8[[#This Row],[sierpień]]&lt;I24,O24+1,1)</f>
        <v>1</v>
      </c>
    </row>
    <row r="26" spans="1:19" x14ac:dyDescent="0.25">
      <c r="A26">
        <v>1803</v>
      </c>
      <c r="B26">
        <v>-13.2</v>
      </c>
      <c r="C26">
        <v>-7.1</v>
      </c>
      <c r="D26">
        <v>0.7</v>
      </c>
      <c r="E26">
        <v>9.9</v>
      </c>
      <c r="F26">
        <v>11.5</v>
      </c>
      <c r="G26">
        <v>15.6</v>
      </c>
      <c r="H26">
        <v>19</v>
      </c>
      <c r="I26">
        <v>18.5</v>
      </c>
      <c r="J26">
        <v>11.4</v>
      </c>
      <c r="K26">
        <v>6.2</v>
      </c>
      <c r="L26">
        <v>1.6</v>
      </c>
      <c r="M26">
        <v>-5.0999999999999996</v>
      </c>
      <c r="O26">
        <f>IF(temp8[[#This Row],[sierpień]]&lt;I25,O25+1,1)</f>
        <v>2</v>
      </c>
    </row>
    <row r="27" spans="1:19" x14ac:dyDescent="0.25">
      <c r="A27">
        <v>1804</v>
      </c>
      <c r="B27">
        <v>-0.2</v>
      </c>
      <c r="C27">
        <v>-4.3</v>
      </c>
      <c r="D27">
        <v>-3.1</v>
      </c>
      <c r="E27">
        <v>7.2</v>
      </c>
      <c r="F27">
        <v>13.2</v>
      </c>
      <c r="G27">
        <v>17.100000000000001</v>
      </c>
      <c r="H27">
        <v>18.899999999999999</v>
      </c>
      <c r="I27">
        <v>16.5</v>
      </c>
      <c r="J27">
        <v>14.9</v>
      </c>
      <c r="K27">
        <v>7.5</v>
      </c>
      <c r="L27">
        <v>-2.2000000000000002</v>
      </c>
      <c r="M27">
        <v>-7.7</v>
      </c>
      <c r="O27">
        <f>IF(temp8[[#This Row],[sierpień]]&lt;I26,O26+1,1)</f>
        <v>3</v>
      </c>
    </row>
    <row r="28" spans="1:19" x14ac:dyDescent="0.25">
      <c r="A28">
        <v>1805</v>
      </c>
      <c r="B28">
        <v>-9</v>
      </c>
      <c r="C28">
        <v>-5</v>
      </c>
      <c r="D28">
        <v>-0.4</v>
      </c>
      <c r="E28">
        <v>4.5</v>
      </c>
      <c r="F28">
        <v>12</v>
      </c>
      <c r="G28">
        <v>15.1</v>
      </c>
      <c r="H28">
        <v>17.399999999999999</v>
      </c>
      <c r="I28">
        <v>16.399999999999999</v>
      </c>
      <c r="J28">
        <v>14.8</v>
      </c>
      <c r="K28">
        <v>1.8</v>
      </c>
      <c r="L28">
        <v>-2.5</v>
      </c>
      <c r="M28">
        <v>-1.3</v>
      </c>
      <c r="O28">
        <f>IF(temp8[[#This Row],[sierpień]]&lt;I27,O27+1,1)</f>
        <v>4</v>
      </c>
    </row>
    <row r="29" spans="1:19" x14ac:dyDescent="0.25">
      <c r="A29">
        <v>1806</v>
      </c>
      <c r="B29">
        <v>-0.2</v>
      </c>
      <c r="C29">
        <v>-1</v>
      </c>
      <c r="D29">
        <v>0.2</v>
      </c>
      <c r="E29">
        <v>6.4</v>
      </c>
      <c r="F29">
        <v>14.9</v>
      </c>
      <c r="G29">
        <v>14.5</v>
      </c>
      <c r="H29">
        <v>17</v>
      </c>
      <c r="I29">
        <v>18.3</v>
      </c>
      <c r="J29">
        <v>16.600000000000001</v>
      </c>
      <c r="K29">
        <v>8</v>
      </c>
      <c r="L29">
        <v>2.7</v>
      </c>
      <c r="M29">
        <v>2</v>
      </c>
      <c r="O29">
        <f>IF(temp8[[#This Row],[sierpień]]&lt;I28,O28+1,1)</f>
        <v>1</v>
      </c>
    </row>
    <row r="30" spans="1:19" x14ac:dyDescent="0.25">
      <c r="A30">
        <v>1807</v>
      </c>
      <c r="B30">
        <v>-3.5</v>
      </c>
      <c r="C30">
        <v>-1.3</v>
      </c>
      <c r="D30">
        <v>-1.3</v>
      </c>
      <c r="E30">
        <v>5.7</v>
      </c>
      <c r="F30">
        <v>13.4</v>
      </c>
      <c r="G30">
        <v>16.3</v>
      </c>
      <c r="H30">
        <v>19.5</v>
      </c>
      <c r="I30">
        <v>23.8</v>
      </c>
      <c r="J30">
        <v>13</v>
      </c>
      <c r="K30">
        <v>8.4</v>
      </c>
      <c r="L30">
        <v>4</v>
      </c>
      <c r="M30">
        <v>-0.3</v>
      </c>
      <c r="O30">
        <f>IF(temp8[[#This Row],[sierpień]]&lt;I29,O29+1,1)</f>
        <v>1</v>
      </c>
    </row>
    <row r="31" spans="1:19" x14ac:dyDescent="0.25">
      <c r="A31">
        <v>1808</v>
      </c>
      <c r="B31">
        <v>-2</v>
      </c>
      <c r="C31">
        <v>-4</v>
      </c>
      <c r="D31">
        <v>-5.9</v>
      </c>
      <c r="E31">
        <v>4.7</v>
      </c>
      <c r="F31">
        <v>13</v>
      </c>
      <c r="G31">
        <v>17.100000000000001</v>
      </c>
      <c r="H31">
        <v>19.600000000000001</v>
      </c>
      <c r="I31">
        <v>20.5</v>
      </c>
      <c r="J31">
        <v>15.1</v>
      </c>
      <c r="K31">
        <v>8.5</v>
      </c>
      <c r="L31">
        <v>0.6</v>
      </c>
      <c r="M31">
        <v>-6.8</v>
      </c>
      <c r="O31">
        <f>IF(temp8[[#This Row],[sierpień]]&lt;I30,O30+1,1)</f>
        <v>2</v>
      </c>
    </row>
    <row r="32" spans="1:19" x14ac:dyDescent="0.25">
      <c r="A32">
        <v>1809</v>
      </c>
      <c r="B32">
        <v>-9.3000000000000007</v>
      </c>
      <c r="C32">
        <v>0</v>
      </c>
      <c r="D32">
        <v>-1.5</v>
      </c>
      <c r="E32">
        <v>4.9000000000000004</v>
      </c>
      <c r="F32">
        <v>14.4</v>
      </c>
      <c r="G32">
        <v>16.600000000000001</v>
      </c>
      <c r="H32">
        <v>18</v>
      </c>
      <c r="I32">
        <v>19.7</v>
      </c>
      <c r="J32">
        <v>13.4</v>
      </c>
      <c r="K32">
        <v>6.7</v>
      </c>
      <c r="L32">
        <v>1.3</v>
      </c>
      <c r="M32">
        <v>1</v>
      </c>
      <c r="O32">
        <f>IF(temp8[[#This Row],[sierpień]]&lt;I31,O31+1,1)</f>
        <v>3</v>
      </c>
    </row>
    <row r="33" spans="1:15" x14ac:dyDescent="0.25">
      <c r="A33">
        <v>1810</v>
      </c>
      <c r="B33">
        <v>-3.3</v>
      </c>
      <c r="C33">
        <v>-2.5</v>
      </c>
      <c r="D33">
        <v>1</v>
      </c>
      <c r="E33">
        <v>3.9</v>
      </c>
      <c r="F33">
        <v>11.2</v>
      </c>
      <c r="G33">
        <v>14.2</v>
      </c>
      <c r="H33">
        <v>18.100000000000001</v>
      </c>
      <c r="I33">
        <v>17.5</v>
      </c>
      <c r="J33">
        <v>14.6</v>
      </c>
      <c r="K33">
        <v>6.5</v>
      </c>
      <c r="L33">
        <v>2.7</v>
      </c>
      <c r="M33">
        <v>-0.6</v>
      </c>
      <c r="O33">
        <f>IF(temp8[[#This Row],[sierpień]]&lt;I32,O32+1,1)</f>
        <v>4</v>
      </c>
    </row>
    <row r="34" spans="1:15" x14ac:dyDescent="0.25">
      <c r="A34">
        <v>1811</v>
      </c>
      <c r="B34">
        <v>-8</v>
      </c>
      <c r="C34">
        <v>-4.5</v>
      </c>
      <c r="D34">
        <v>3.4</v>
      </c>
      <c r="E34">
        <v>6.5</v>
      </c>
      <c r="F34">
        <v>16.7</v>
      </c>
      <c r="G34">
        <v>22.4</v>
      </c>
      <c r="H34">
        <v>22.5</v>
      </c>
      <c r="I34">
        <v>19.899999999999999</v>
      </c>
      <c r="J34">
        <v>12.5</v>
      </c>
      <c r="K34">
        <v>10.6</v>
      </c>
      <c r="L34">
        <v>2.8</v>
      </c>
      <c r="M34">
        <v>-0.4</v>
      </c>
      <c r="O34">
        <f>IF(temp8[[#This Row],[sierpień]]&lt;I33,O33+1,1)</f>
        <v>1</v>
      </c>
    </row>
    <row r="35" spans="1:15" x14ac:dyDescent="0.25">
      <c r="A35">
        <v>1812</v>
      </c>
      <c r="B35">
        <v>-7.8</v>
      </c>
      <c r="C35">
        <v>-3.8</v>
      </c>
      <c r="D35">
        <v>1.1000000000000001</v>
      </c>
      <c r="E35">
        <v>3.5</v>
      </c>
      <c r="F35">
        <v>12.4</v>
      </c>
      <c r="G35">
        <v>17.5</v>
      </c>
      <c r="H35">
        <v>18.5</v>
      </c>
      <c r="I35">
        <v>17.7</v>
      </c>
      <c r="J35">
        <v>11.3</v>
      </c>
      <c r="K35">
        <v>10.199999999999999</v>
      </c>
      <c r="L35">
        <v>0.2</v>
      </c>
      <c r="M35">
        <v>-10.9</v>
      </c>
      <c r="O35">
        <f>IF(temp8[[#This Row],[sierpień]]&lt;I34,O34+1,1)</f>
        <v>2</v>
      </c>
    </row>
    <row r="36" spans="1:15" x14ac:dyDescent="0.25">
      <c r="A36">
        <v>1813</v>
      </c>
      <c r="B36">
        <v>-6.2</v>
      </c>
      <c r="C36">
        <v>0.4</v>
      </c>
      <c r="D36">
        <v>0</v>
      </c>
      <c r="E36">
        <v>9</v>
      </c>
      <c r="F36">
        <v>12.4</v>
      </c>
      <c r="G36">
        <v>15.4</v>
      </c>
      <c r="H36">
        <v>18.5</v>
      </c>
      <c r="I36">
        <v>16.7</v>
      </c>
      <c r="J36">
        <v>12.6</v>
      </c>
      <c r="K36">
        <v>5.4</v>
      </c>
      <c r="L36">
        <v>2.9</v>
      </c>
      <c r="M36">
        <v>-0.9</v>
      </c>
      <c r="O36">
        <f>IF(temp8[[#This Row],[sierpień]]&lt;I35,O35+1,1)</f>
        <v>3</v>
      </c>
    </row>
    <row r="37" spans="1:15" x14ac:dyDescent="0.25">
      <c r="A37">
        <v>1814</v>
      </c>
      <c r="B37">
        <v>-5</v>
      </c>
      <c r="C37">
        <v>-9.6</v>
      </c>
      <c r="D37">
        <v>0.5</v>
      </c>
      <c r="E37">
        <v>8.6999999999999993</v>
      </c>
      <c r="F37">
        <v>9.9</v>
      </c>
      <c r="G37">
        <v>15.4</v>
      </c>
      <c r="H37">
        <v>20.100000000000001</v>
      </c>
      <c r="I37">
        <v>17.7</v>
      </c>
      <c r="J37">
        <v>11.6</v>
      </c>
      <c r="K37">
        <v>6.2</v>
      </c>
      <c r="L37">
        <v>2.1</v>
      </c>
      <c r="M37">
        <v>-0.9</v>
      </c>
      <c r="O37">
        <f>IF(temp8[[#This Row],[sierpień]]&lt;I36,O36+1,1)</f>
        <v>1</v>
      </c>
    </row>
    <row r="38" spans="1:15" x14ac:dyDescent="0.25">
      <c r="A38">
        <v>1815</v>
      </c>
      <c r="B38">
        <v>-9.4</v>
      </c>
      <c r="C38">
        <v>-2.7</v>
      </c>
      <c r="D38">
        <v>2</v>
      </c>
      <c r="E38">
        <v>6.8</v>
      </c>
      <c r="F38">
        <v>13.1</v>
      </c>
      <c r="G38">
        <v>17.3</v>
      </c>
      <c r="H38">
        <v>16.7</v>
      </c>
      <c r="I38">
        <v>17</v>
      </c>
      <c r="J38">
        <v>11.8</v>
      </c>
      <c r="K38">
        <v>7.8</v>
      </c>
      <c r="L38">
        <v>1.2</v>
      </c>
      <c r="M38">
        <v>-7.2</v>
      </c>
      <c r="O38">
        <f>IF(temp8[[#This Row],[sierpień]]&lt;I37,O37+1,1)</f>
        <v>2</v>
      </c>
    </row>
    <row r="39" spans="1:15" x14ac:dyDescent="0.25">
      <c r="A39">
        <v>1816</v>
      </c>
      <c r="B39">
        <v>-3.2</v>
      </c>
      <c r="C39">
        <v>-5.4</v>
      </c>
      <c r="D39">
        <v>0.5</v>
      </c>
      <c r="E39">
        <v>6.4</v>
      </c>
      <c r="F39">
        <v>12.2</v>
      </c>
      <c r="G39">
        <v>16.8</v>
      </c>
      <c r="H39">
        <v>18</v>
      </c>
      <c r="I39">
        <v>16.2</v>
      </c>
      <c r="J39">
        <v>12.7</v>
      </c>
      <c r="K39">
        <v>6.6</v>
      </c>
      <c r="L39">
        <v>2.2999999999999998</v>
      </c>
      <c r="M39">
        <v>-3.5</v>
      </c>
      <c r="O39">
        <f>IF(temp8[[#This Row],[sierpień]]&lt;I38,O38+1,1)</f>
        <v>3</v>
      </c>
    </row>
    <row r="40" spans="1:15" x14ac:dyDescent="0.25">
      <c r="A40">
        <v>1817</v>
      </c>
      <c r="B40">
        <v>-0.5</v>
      </c>
      <c r="C40">
        <v>1.1000000000000001</v>
      </c>
      <c r="D40">
        <v>1.4</v>
      </c>
      <c r="E40">
        <v>2.4</v>
      </c>
      <c r="F40">
        <v>13.4</v>
      </c>
      <c r="G40">
        <v>18.600000000000001</v>
      </c>
      <c r="H40">
        <v>18.7</v>
      </c>
      <c r="I40">
        <v>18</v>
      </c>
      <c r="J40">
        <v>12.6</v>
      </c>
      <c r="K40">
        <v>4.5</v>
      </c>
      <c r="L40">
        <v>2.7</v>
      </c>
      <c r="M40">
        <v>-2.7</v>
      </c>
      <c r="O40">
        <f>IF(temp8[[#This Row],[sierpień]]&lt;I39,O39+1,1)</f>
        <v>1</v>
      </c>
    </row>
    <row r="41" spans="1:15" x14ac:dyDescent="0.25">
      <c r="A41">
        <v>1818</v>
      </c>
      <c r="B41">
        <v>-2.8</v>
      </c>
      <c r="C41">
        <v>-1</v>
      </c>
      <c r="D41">
        <v>2.9</v>
      </c>
      <c r="E41">
        <v>7.4</v>
      </c>
      <c r="F41">
        <v>12.2</v>
      </c>
      <c r="G41">
        <v>16.7</v>
      </c>
      <c r="H41">
        <v>19.2</v>
      </c>
      <c r="I41">
        <v>16.399999999999999</v>
      </c>
      <c r="J41">
        <v>12.8</v>
      </c>
      <c r="K41">
        <v>7.1</v>
      </c>
      <c r="L41">
        <v>2</v>
      </c>
      <c r="M41">
        <v>-4.4000000000000004</v>
      </c>
      <c r="O41">
        <f>IF(temp8[[#This Row],[sierpień]]&lt;I40,O40+1,1)</f>
        <v>2</v>
      </c>
    </row>
    <row r="42" spans="1:15" x14ac:dyDescent="0.25">
      <c r="A42">
        <v>1819</v>
      </c>
      <c r="B42">
        <v>-2</v>
      </c>
      <c r="C42">
        <v>-0.5</v>
      </c>
      <c r="D42">
        <v>1.9</v>
      </c>
      <c r="E42">
        <v>6.8</v>
      </c>
      <c r="F42">
        <v>13.4</v>
      </c>
      <c r="G42">
        <v>18.100000000000001</v>
      </c>
      <c r="H42">
        <v>19</v>
      </c>
      <c r="I42">
        <v>18.7</v>
      </c>
      <c r="J42">
        <v>14.3</v>
      </c>
      <c r="K42">
        <v>7.8</v>
      </c>
      <c r="L42">
        <v>1.6</v>
      </c>
      <c r="M42">
        <v>-8</v>
      </c>
      <c r="O42">
        <f>IF(temp8[[#This Row],[sierpień]]&lt;I41,O41+1,1)</f>
        <v>1</v>
      </c>
    </row>
    <row r="43" spans="1:15" x14ac:dyDescent="0.25">
      <c r="A43">
        <v>1820</v>
      </c>
      <c r="B43">
        <v>-9.6999999999999993</v>
      </c>
      <c r="C43">
        <v>-3</v>
      </c>
      <c r="D43">
        <v>0.5</v>
      </c>
      <c r="E43">
        <v>8.5</v>
      </c>
      <c r="F43">
        <v>15.3</v>
      </c>
      <c r="G43">
        <v>16.2</v>
      </c>
      <c r="H43">
        <v>16.899999999999999</v>
      </c>
      <c r="I43">
        <v>18.8</v>
      </c>
      <c r="J43">
        <v>12.9</v>
      </c>
      <c r="K43">
        <v>8.6</v>
      </c>
      <c r="L43">
        <v>1.9</v>
      </c>
      <c r="M43">
        <v>-5.5</v>
      </c>
      <c r="O43">
        <f>IF(temp8[[#This Row],[sierpień]]&lt;I42,O42+1,1)</f>
        <v>1</v>
      </c>
    </row>
    <row r="44" spans="1:15" x14ac:dyDescent="0.25">
      <c r="A44">
        <v>1821</v>
      </c>
      <c r="B44">
        <v>-2.5</v>
      </c>
      <c r="C44">
        <v>-5</v>
      </c>
      <c r="D44">
        <v>-1.7</v>
      </c>
      <c r="E44">
        <v>10.6</v>
      </c>
      <c r="F44">
        <v>13.4</v>
      </c>
      <c r="G44">
        <v>14.5</v>
      </c>
      <c r="H44">
        <v>17</v>
      </c>
      <c r="I44">
        <v>16.5</v>
      </c>
      <c r="J44">
        <v>13.9</v>
      </c>
      <c r="K44">
        <v>8.5</v>
      </c>
      <c r="L44">
        <v>4.9000000000000004</v>
      </c>
      <c r="M44">
        <v>-0.4</v>
      </c>
      <c r="O44">
        <f>IF(temp8[[#This Row],[sierpień]]&lt;I43,O43+1,1)</f>
        <v>2</v>
      </c>
    </row>
    <row r="45" spans="1:15" x14ac:dyDescent="0.25">
      <c r="A45">
        <v>1822</v>
      </c>
      <c r="B45">
        <v>-2.7</v>
      </c>
      <c r="C45">
        <v>-0.2</v>
      </c>
      <c r="D45">
        <v>5</v>
      </c>
      <c r="E45">
        <v>9</v>
      </c>
      <c r="F45">
        <v>13.9</v>
      </c>
      <c r="G45">
        <v>17.8</v>
      </c>
      <c r="H45">
        <v>20.8</v>
      </c>
      <c r="I45">
        <v>17.600000000000001</v>
      </c>
      <c r="J45">
        <v>12.2</v>
      </c>
      <c r="K45">
        <v>10.9</v>
      </c>
      <c r="L45">
        <v>3.2</v>
      </c>
      <c r="M45">
        <v>-5.2</v>
      </c>
      <c r="O45">
        <f>IF(temp8[[#This Row],[sierpień]]&lt;I44,O44+1,1)</f>
        <v>1</v>
      </c>
    </row>
    <row r="46" spans="1:15" x14ac:dyDescent="0.25">
      <c r="A46">
        <v>1823</v>
      </c>
      <c r="B46">
        <v>-13</v>
      </c>
      <c r="C46">
        <v>-2.5</v>
      </c>
      <c r="D46">
        <v>2.5</v>
      </c>
      <c r="E46">
        <v>6</v>
      </c>
      <c r="F46">
        <v>12.5</v>
      </c>
      <c r="G46">
        <v>18.5</v>
      </c>
      <c r="H46">
        <v>19.5</v>
      </c>
      <c r="I46">
        <v>20.399999999999999</v>
      </c>
      <c r="J46">
        <v>13.6</v>
      </c>
      <c r="K46">
        <v>10.5</v>
      </c>
      <c r="L46">
        <v>2.9</v>
      </c>
      <c r="M46">
        <v>-2.2999999999999998</v>
      </c>
      <c r="O46">
        <f>IF(temp8[[#This Row],[sierpień]]&lt;I45,O45+1,1)</f>
        <v>1</v>
      </c>
    </row>
    <row r="47" spans="1:15" x14ac:dyDescent="0.25">
      <c r="A47">
        <v>1824</v>
      </c>
      <c r="B47">
        <v>-2.2999999999999998</v>
      </c>
      <c r="C47">
        <v>-1.1000000000000001</v>
      </c>
      <c r="D47">
        <v>2.5</v>
      </c>
      <c r="E47">
        <v>7</v>
      </c>
      <c r="F47">
        <v>10.8</v>
      </c>
      <c r="G47">
        <v>15.7</v>
      </c>
      <c r="H47">
        <v>18.100000000000001</v>
      </c>
      <c r="I47">
        <v>18.3</v>
      </c>
      <c r="J47">
        <v>16.5</v>
      </c>
      <c r="K47">
        <v>8.9</v>
      </c>
      <c r="L47">
        <v>3.8</v>
      </c>
      <c r="M47">
        <v>2.4</v>
      </c>
      <c r="O47">
        <f>IF(temp8[[#This Row],[sierpień]]&lt;I46,O46+1,1)</f>
        <v>2</v>
      </c>
    </row>
    <row r="48" spans="1:15" x14ac:dyDescent="0.25">
      <c r="A48">
        <v>1825</v>
      </c>
      <c r="B48">
        <v>-1.6</v>
      </c>
      <c r="C48">
        <v>-3.1</v>
      </c>
      <c r="D48">
        <v>-2.2999999999999998</v>
      </c>
      <c r="E48">
        <v>6.9</v>
      </c>
      <c r="F48">
        <v>13</v>
      </c>
      <c r="G48">
        <v>17.399999999999999</v>
      </c>
      <c r="H48">
        <v>18.7</v>
      </c>
      <c r="I48">
        <v>18.3</v>
      </c>
      <c r="J48">
        <v>13.8</v>
      </c>
      <c r="K48">
        <v>8.8000000000000007</v>
      </c>
      <c r="L48">
        <v>5.7</v>
      </c>
      <c r="M48">
        <v>2.5</v>
      </c>
      <c r="O48">
        <f>IF(temp8[[#This Row],[sierpień]]&lt;I47,O47+1,1)</f>
        <v>1</v>
      </c>
    </row>
    <row r="49" spans="1:15" x14ac:dyDescent="0.25">
      <c r="A49">
        <v>1826</v>
      </c>
      <c r="B49">
        <v>-8.6</v>
      </c>
      <c r="C49">
        <v>-1.6</v>
      </c>
      <c r="D49">
        <v>1.5</v>
      </c>
      <c r="E49">
        <v>6.2</v>
      </c>
      <c r="F49">
        <v>12.6</v>
      </c>
      <c r="G49">
        <v>17.100000000000001</v>
      </c>
      <c r="H49">
        <v>21.4</v>
      </c>
      <c r="I49">
        <v>19.600000000000001</v>
      </c>
      <c r="J49">
        <v>13.6</v>
      </c>
      <c r="K49">
        <v>9.6999999999999993</v>
      </c>
      <c r="L49">
        <v>2.2999999999999998</v>
      </c>
      <c r="M49">
        <v>-0.6</v>
      </c>
      <c r="O49">
        <f>IF(temp8[[#This Row],[sierpień]]&lt;I48,O48+1,1)</f>
        <v>1</v>
      </c>
    </row>
    <row r="50" spans="1:15" x14ac:dyDescent="0.25">
      <c r="A50">
        <v>1827</v>
      </c>
      <c r="B50">
        <v>-2.5</v>
      </c>
      <c r="C50">
        <v>-7.5</v>
      </c>
      <c r="D50">
        <v>2.7</v>
      </c>
      <c r="E50">
        <v>10.4</v>
      </c>
      <c r="F50">
        <v>14.9</v>
      </c>
      <c r="G50">
        <v>19.600000000000001</v>
      </c>
      <c r="H50">
        <v>18.600000000000001</v>
      </c>
      <c r="I50">
        <v>17</v>
      </c>
      <c r="J50">
        <v>14</v>
      </c>
      <c r="K50">
        <v>9.1</v>
      </c>
      <c r="L50">
        <v>-0.4</v>
      </c>
      <c r="M50">
        <v>1</v>
      </c>
      <c r="O50">
        <f>IF(temp8[[#This Row],[sierpień]]&lt;I49,O49+1,1)</f>
        <v>2</v>
      </c>
    </row>
    <row r="51" spans="1:15" x14ac:dyDescent="0.25">
      <c r="A51">
        <v>1828</v>
      </c>
      <c r="B51">
        <v>-7.4</v>
      </c>
      <c r="C51">
        <v>-4.7</v>
      </c>
      <c r="D51">
        <v>2</v>
      </c>
      <c r="E51">
        <v>9.1999999999999993</v>
      </c>
      <c r="F51">
        <v>12.3</v>
      </c>
      <c r="G51">
        <v>16.8</v>
      </c>
      <c r="H51">
        <v>19.399999999999999</v>
      </c>
      <c r="I51">
        <v>16.600000000000001</v>
      </c>
      <c r="J51">
        <v>12.7</v>
      </c>
      <c r="K51">
        <v>7.5</v>
      </c>
      <c r="L51">
        <v>2.5</v>
      </c>
      <c r="M51">
        <v>-2.1</v>
      </c>
      <c r="O51">
        <f>IF(temp8[[#This Row],[sierpień]]&lt;I50,O50+1,1)</f>
        <v>3</v>
      </c>
    </row>
    <row r="52" spans="1:15" x14ac:dyDescent="0.25">
      <c r="A52">
        <v>1829</v>
      </c>
      <c r="B52">
        <v>-8.5</v>
      </c>
      <c r="C52">
        <v>-6.9</v>
      </c>
      <c r="D52">
        <v>-1.7</v>
      </c>
      <c r="E52">
        <v>6.6</v>
      </c>
      <c r="F52">
        <v>11.4</v>
      </c>
      <c r="G52">
        <v>15.5</v>
      </c>
      <c r="H52">
        <v>18</v>
      </c>
      <c r="I52">
        <v>16.399999999999999</v>
      </c>
      <c r="J52">
        <v>14.3</v>
      </c>
      <c r="K52">
        <v>5.3</v>
      </c>
      <c r="L52">
        <v>-2.2999999999999998</v>
      </c>
      <c r="M52">
        <v>-11.2</v>
      </c>
      <c r="O52">
        <f>IF(temp8[[#This Row],[sierpień]]&lt;I51,O51+1,1)</f>
        <v>4</v>
      </c>
    </row>
    <row r="53" spans="1:15" x14ac:dyDescent="0.25">
      <c r="A53">
        <v>1830</v>
      </c>
      <c r="B53">
        <v>-10</v>
      </c>
      <c r="C53">
        <v>-6.4</v>
      </c>
      <c r="D53">
        <v>0.9</v>
      </c>
      <c r="E53">
        <v>8</v>
      </c>
      <c r="F53">
        <v>11.9</v>
      </c>
      <c r="G53">
        <v>17.399999999999999</v>
      </c>
      <c r="H53">
        <v>17.100000000000001</v>
      </c>
      <c r="I53">
        <v>17.899999999999999</v>
      </c>
      <c r="J53">
        <v>12.5</v>
      </c>
      <c r="K53">
        <v>6.8</v>
      </c>
      <c r="L53">
        <v>3.8</v>
      </c>
      <c r="M53">
        <v>-0.2</v>
      </c>
      <c r="O53">
        <f>IF(temp8[[#This Row],[sierpień]]&lt;I52,O52+1,1)</f>
        <v>1</v>
      </c>
    </row>
    <row r="54" spans="1:15" x14ac:dyDescent="0.25">
      <c r="A54">
        <v>1831</v>
      </c>
      <c r="B54">
        <v>-7.2</v>
      </c>
      <c r="C54">
        <v>-1.3</v>
      </c>
      <c r="D54">
        <v>0.4</v>
      </c>
      <c r="E54">
        <v>10.4</v>
      </c>
      <c r="F54">
        <v>13</v>
      </c>
      <c r="G54">
        <v>16.100000000000001</v>
      </c>
      <c r="H54">
        <v>18.7</v>
      </c>
      <c r="I54">
        <v>16.899999999999999</v>
      </c>
      <c r="J54">
        <v>12</v>
      </c>
      <c r="K54">
        <v>9.5</v>
      </c>
      <c r="L54">
        <v>1.6</v>
      </c>
      <c r="M54">
        <v>-1.8</v>
      </c>
      <c r="O54">
        <f>IF(temp8[[#This Row],[sierpień]]&lt;I53,O53+1,1)</f>
        <v>2</v>
      </c>
    </row>
    <row r="55" spans="1:15" x14ac:dyDescent="0.25">
      <c r="A55">
        <v>1832</v>
      </c>
      <c r="B55">
        <v>-3.5</v>
      </c>
      <c r="C55">
        <v>-1.7</v>
      </c>
      <c r="D55">
        <v>0.4</v>
      </c>
      <c r="E55">
        <v>5.7</v>
      </c>
      <c r="F55">
        <v>10.7</v>
      </c>
      <c r="G55">
        <v>15.2</v>
      </c>
      <c r="H55">
        <v>14.6</v>
      </c>
      <c r="I55">
        <v>16.899999999999999</v>
      </c>
      <c r="J55">
        <v>10.9</v>
      </c>
      <c r="K55">
        <v>7.6</v>
      </c>
      <c r="L55">
        <v>0.4</v>
      </c>
      <c r="M55">
        <v>-3.6</v>
      </c>
      <c r="O55">
        <f>IF(temp8[[#This Row],[sierpień]]&lt;I54,O54+1,1)</f>
        <v>1</v>
      </c>
    </row>
    <row r="56" spans="1:15" x14ac:dyDescent="0.25">
      <c r="A56">
        <v>1833</v>
      </c>
      <c r="B56">
        <v>-4.7</v>
      </c>
      <c r="C56">
        <v>1.3</v>
      </c>
      <c r="D56">
        <v>2</v>
      </c>
      <c r="E56">
        <v>6</v>
      </c>
      <c r="F56">
        <v>15.3</v>
      </c>
      <c r="G56">
        <v>18.3</v>
      </c>
      <c r="H56">
        <v>17.5</v>
      </c>
      <c r="I56">
        <v>14</v>
      </c>
      <c r="J56">
        <v>13.3</v>
      </c>
      <c r="K56">
        <v>6.8</v>
      </c>
      <c r="L56">
        <v>2.5</v>
      </c>
      <c r="M56">
        <v>2.1</v>
      </c>
      <c r="O56">
        <f>IF(temp8[[#This Row],[sierpień]]&lt;I55,O55+1,1)</f>
        <v>2</v>
      </c>
    </row>
    <row r="57" spans="1:15" x14ac:dyDescent="0.25">
      <c r="A57">
        <v>1834</v>
      </c>
      <c r="B57">
        <v>-0.4</v>
      </c>
      <c r="C57">
        <v>-1.4</v>
      </c>
      <c r="D57">
        <v>1.3</v>
      </c>
      <c r="E57">
        <v>6.4</v>
      </c>
      <c r="F57">
        <v>15.3</v>
      </c>
      <c r="G57">
        <v>17.100000000000001</v>
      </c>
      <c r="H57">
        <v>21.2</v>
      </c>
      <c r="I57">
        <v>20.3</v>
      </c>
      <c r="J57">
        <v>14.3</v>
      </c>
      <c r="K57">
        <v>7.6</v>
      </c>
      <c r="L57">
        <v>2.5</v>
      </c>
      <c r="M57">
        <v>0.2</v>
      </c>
      <c r="O57">
        <f>IF(temp8[[#This Row],[sierpień]]&lt;I56,O56+1,1)</f>
        <v>1</v>
      </c>
    </row>
    <row r="58" spans="1:15" x14ac:dyDescent="0.25">
      <c r="A58">
        <v>1835</v>
      </c>
      <c r="B58">
        <v>-1.1000000000000001</v>
      </c>
      <c r="C58">
        <v>1.2</v>
      </c>
      <c r="D58">
        <v>2.2999999999999998</v>
      </c>
      <c r="E58">
        <v>6.1</v>
      </c>
      <c r="F58">
        <v>12.5</v>
      </c>
      <c r="G58">
        <v>17.2</v>
      </c>
      <c r="H58">
        <v>18.8</v>
      </c>
      <c r="I58">
        <v>15.2</v>
      </c>
      <c r="J58">
        <v>13.4</v>
      </c>
      <c r="K58">
        <v>7.4</v>
      </c>
      <c r="L58">
        <v>-1.5</v>
      </c>
      <c r="M58">
        <v>-4.5999999999999996</v>
      </c>
      <c r="O58">
        <f>IF(temp8[[#This Row],[sierpień]]&lt;I57,O57+1,1)</f>
        <v>2</v>
      </c>
    </row>
    <row r="59" spans="1:15" x14ac:dyDescent="0.25">
      <c r="A59">
        <v>1836</v>
      </c>
      <c r="B59">
        <v>-5.2</v>
      </c>
      <c r="C59">
        <v>-0.7</v>
      </c>
      <c r="D59">
        <v>7.4</v>
      </c>
      <c r="E59">
        <v>8.8000000000000007</v>
      </c>
      <c r="F59">
        <v>10</v>
      </c>
      <c r="G59">
        <v>17.399999999999999</v>
      </c>
      <c r="H59">
        <v>16.7</v>
      </c>
      <c r="I59">
        <v>15.9</v>
      </c>
      <c r="J59">
        <v>13.9</v>
      </c>
      <c r="K59">
        <v>11</v>
      </c>
      <c r="L59">
        <v>-0.6</v>
      </c>
      <c r="M59">
        <v>-0.6</v>
      </c>
      <c r="O59">
        <f>IF(temp8[[#This Row],[sierpień]]&lt;I58,O58+1,1)</f>
        <v>1</v>
      </c>
    </row>
    <row r="60" spans="1:15" x14ac:dyDescent="0.25">
      <c r="A60">
        <v>1837</v>
      </c>
      <c r="B60">
        <v>-4</v>
      </c>
      <c r="C60">
        <v>-3.7</v>
      </c>
      <c r="D60">
        <v>-0.7</v>
      </c>
      <c r="E60">
        <v>7.7</v>
      </c>
      <c r="F60">
        <v>12.7</v>
      </c>
      <c r="G60">
        <v>16.399999999999999</v>
      </c>
      <c r="H60">
        <v>16.7</v>
      </c>
      <c r="I60">
        <v>18.899999999999999</v>
      </c>
      <c r="J60">
        <v>12.6</v>
      </c>
      <c r="K60">
        <v>7.8</v>
      </c>
      <c r="L60">
        <v>3.6</v>
      </c>
      <c r="M60">
        <v>-4.9000000000000004</v>
      </c>
      <c r="O60">
        <f>IF(temp8[[#This Row],[sierpień]]&lt;I59,O59+1,1)</f>
        <v>1</v>
      </c>
    </row>
    <row r="61" spans="1:15" x14ac:dyDescent="0.25">
      <c r="A61">
        <v>1838</v>
      </c>
      <c r="B61">
        <v>-13.5</v>
      </c>
      <c r="C61">
        <v>-7.3</v>
      </c>
      <c r="D61">
        <v>0.6</v>
      </c>
      <c r="E61">
        <v>5.8</v>
      </c>
      <c r="F61">
        <v>14.2</v>
      </c>
      <c r="G61">
        <v>16.7</v>
      </c>
      <c r="H61">
        <v>17.399999999999999</v>
      </c>
      <c r="I61">
        <v>15.5</v>
      </c>
      <c r="J61">
        <v>15.8</v>
      </c>
      <c r="K61">
        <v>6.1</v>
      </c>
      <c r="L61">
        <v>0.4</v>
      </c>
      <c r="M61">
        <v>-2.7</v>
      </c>
      <c r="O61">
        <f>IF(temp8[[#This Row],[sierpień]]&lt;I60,O60+1,1)</f>
        <v>2</v>
      </c>
    </row>
    <row r="62" spans="1:15" x14ac:dyDescent="0.25">
      <c r="A62">
        <v>1839</v>
      </c>
      <c r="B62">
        <v>-4.4000000000000004</v>
      </c>
      <c r="C62">
        <v>-2.2999999999999998</v>
      </c>
      <c r="D62">
        <v>-3.4</v>
      </c>
      <c r="E62">
        <v>3.7</v>
      </c>
      <c r="F62">
        <v>15.3</v>
      </c>
      <c r="G62">
        <v>18.399999999999999</v>
      </c>
      <c r="H62">
        <v>20.7</v>
      </c>
      <c r="I62">
        <v>18</v>
      </c>
      <c r="J62">
        <v>16.2</v>
      </c>
      <c r="K62">
        <v>8.3000000000000007</v>
      </c>
      <c r="L62">
        <v>2.2000000000000002</v>
      </c>
      <c r="M62">
        <v>-5.6</v>
      </c>
      <c r="O62">
        <f>IF(temp8[[#This Row],[sierpień]]&lt;I61,O61+1,1)</f>
        <v>1</v>
      </c>
    </row>
    <row r="63" spans="1:15" x14ac:dyDescent="0.25">
      <c r="A63">
        <v>1840</v>
      </c>
      <c r="B63">
        <v>-4.2</v>
      </c>
      <c r="C63">
        <v>-3.5</v>
      </c>
      <c r="D63">
        <v>-3</v>
      </c>
      <c r="E63">
        <v>6.5</v>
      </c>
      <c r="F63">
        <v>11.1</v>
      </c>
      <c r="G63">
        <v>16.5</v>
      </c>
      <c r="H63">
        <v>19</v>
      </c>
      <c r="I63">
        <v>16.7</v>
      </c>
      <c r="J63">
        <v>14.8</v>
      </c>
      <c r="K63">
        <v>5.7</v>
      </c>
      <c r="L63">
        <v>3.5</v>
      </c>
      <c r="M63">
        <v>-8.9</v>
      </c>
      <c r="O63">
        <f>IF(temp8[[#This Row],[sierpień]]&lt;I62,O62+1,1)</f>
        <v>2</v>
      </c>
    </row>
    <row r="64" spans="1:15" x14ac:dyDescent="0.25">
      <c r="A64">
        <v>1841</v>
      </c>
      <c r="B64">
        <v>-3.9</v>
      </c>
      <c r="C64">
        <v>-9.5</v>
      </c>
      <c r="D64">
        <v>1.2</v>
      </c>
      <c r="E64">
        <v>9.4</v>
      </c>
      <c r="F64">
        <v>16.8</v>
      </c>
      <c r="G64">
        <v>17.8</v>
      </c>
      <c r="H64">
        <v>18.3</v>
      </c>
      <c r="I64">
        <v>19.3</v>
      </c>
      <c r="J64">
        <v>14.6</v>
      </c>
      <c r="K64">
        <v>11.2</v>
      </c>
      <c r="L64">
        <v>3.1</v>
      </c>
      <c r="M64">
        <v>2</v>
      </c>
      <c r="O64">
        <f>IF(temp8[[#This Row],[sierpień]]&lt;I63,O63+1,1)</f>
        <v>1</v>
      </c>
    </row>
    <row r="65" spans="1:15" x14ac:dyDescent="0.25">
      <c r="A65">
        <v>1842</v>
      </c>
      <c r="B65">
        <v>-7.3</v>
      </c>
      <c r="C65">
        <v>-3.5</v>
      </c>
      <c r="D65">
        <v>1.7</v>
      </c>
      <c r="E65">
        <v>4</v>
      </c>
      <c r="F65">
        <v>14.4</v>
      </c>
      <c r="G65">
        <v>16</v>
      </c>
      <c r="H65">
        <v>16.5</v>
      </c>
      <c r="I65">
        <v>20.5</v>
      </c>
      <c r="J65">
        <v>13.7</v>
      </c>
      <c r="K65">
        <v>5.7</v>
      </c>
      <c r="L65">
        <v>-1.3</v>
      </c>
      <c r="M65">
        <v>1.6</v>
      </c>
      <c r="O65">
        <f>IF(temp8[[#This Row],[sierpień]]&lt;I64,O64+1,1)</f>
        <v>1</v>
      </c>
    </row>
    <row r="66" spans="1:15" x14ac:dyDescent="0.25">
      <c r="A66">
        <v>1843</v>
      </c>
      <c r="B66">
        <v>-1</v>
      </c>
      <c r="C66">
        <v>3.6</v>
      </c>
      <c r="D66">
        <v>0.1</v>
      </c>
      <c r="E66">
        <v>7.3</v>
      </c>
      <c r="F66">
        <v>10.5</v>
      </c>
      <c r="G66">
        <v>17.100000000000001</v>
      </c>
      <c r="H66">
        <v>18.600000000000001</v>
      </c>
      <c r="I66">
        <v>19.399999999999999</v>
      </c>
      <c r="J66">
        <v>12</v>
      </c>
      <c r="K66">
        <v>7.6</v>
      </c>
      <c r="L66">
        <v>1.9</v>
      </c>
      <c r="M66">
        <v>2.2999999999999998</v>
      </c>
      <c r="O66">
        <f>IF(temp8[[#This Row],[sierpień]]&lt;I65,O65+1,1)</f>
        <v>2</v>
      </c>
    </row>
    <row r="67" spans="1:15" x14ac:dyDescent="0.25">
      <c r="A67">
        <v>1844</v>
      </c>
      <c r="B67">
        <v>-4</v>
      </c>
      <c r="C67">
        <v>-4.8</v>
      </c>
      <c r="D67">
        <v>-1.3</v>
      </c>
      <c r="E67">
        <v>6.6</v>
      </c>
      <c r="F67">
        <v>14.8</v>
      </c>
      <c r="G67">
        <v>15.7</v>
      </c>
      <c r="H67">
        <v>15.4</v>
      </c>
      <c r="I67">
        <v>16</v>
      </c>
      <c r="J67">
        <v>14</v>
      </c>
      <c r="K67">
        <v>8.5</v>
      </c>
      <c r="L67">
        <v>2.2999999999999998</v>
      </c>
      <c r="M67">
        <v>-6.2</v>
      </c>
      <c r="O67">
        <f>IF(temp8[[#This Row],[sierpień]]&lt;I66,O66+1,1)</f>
        <v>3</v>
      </c>
    </row>
    <row r="68" spans="1:15" x14ac:dyDescent="0.25">
      <c r="A68">
        <v>1845</v>
      </c>
      <c r="B68">
        <v>-2.2000000000000002</v>
      </c>
      <c r="C68">
        <v>-10.3</v>
      </c>
      <c r="D68">
        <v>-6.9</v>
      </c>
      <c r="E68">
        <v>7.4</v>
      </c>
      <c r="F68">
        <v>12.2</v>
      </c>
      <c r="G68">
        <v>18.2</v>
      </c>
      <c r="H68">
        <v>20.5</v>
      </c>
      <c r="I68">
        <v>17.100000000000001</v>
      </c>
      <c r="J68">
        <v>12.2</v>
      </c>
      <c r="K68">
        <v>7.7</v>
      </c>
      <c r="L68">
        <v>3.9</v>
      </c>
      <c r="M68">
        <v>-0.2</v>
      </c>
      <c r="O68">
        <f>IF(temp8[[#This Row],[sierpień]]&lt;I67,O67+1,1)</f>
        <v>1</v>
      </c>
    </row>
    <row r="69" spans="1:15" x14ac:dyDescent="0.25">
      <c r="A69">
        <v>1846</v>
      </c>
      <c r="B69">
        <v>-2.8</v>
      </c>
      <c r="C69">
        <v>-1.6</v>
      </c>
      <c r="D69">
        <v>4.8</v>
      </c>
      <c r="E69">
        <v>9.1</v>
      </c>
      <c r="F69">
        <v>11.2</v>
      </c>
      <c r="G69">
        <v>16.3</v>
      </c>
      <c r="H69">
        <v>19.899999999999999</v>
      </c>
      <c r="I69">
        <v>21.4</v>
      </c>
      <c r="J69">
        <v>14.2</v>
      </c>
      <c r="K69">
        <v>11.2</v>
      </c>
      <c r="L69">
        <v>-0.2</v>
      </c>
      <c r="M69">
        <v>-4.0999999999999996</v>
      </c>
      <c r="O69">
        <f>IF(temp8[[#This Row],[sierpień]]&lt;I68,O68+1,1)</f>
        <v>1</v>
      </c>
    </row>
    <row r="70" spans="1:15" x14ac:dyDescent="0.25">
      <c r="A70">
        <v>1847</v>
      </c>
      <c r="B70">
        <v>-7.4</v>
      </c>
      <c r="C70">
        <v>-2.7</v>
      </c>
      <c r="D70">
        <v>0.8</v>
      </c>
      <c r="E70">
        <v>5.7</v>
      </c>
      <c r="F70">
        <v>14.2</v>
      </c>
      <c r="G70">
        <v>16.100000000000001</v>
      </c>
      <c r="H70">
        <v>17.100000000000001</v>
      </c>
      <c r="I70">
        <v>19.399999999999999</v>
      </c>
      <c r="J70">
        <v>12</v>
      </c>
      <c r="K70">
        <v>6.5</v>
      </c>
      <c r="L70">
        <v>2.1</v>
      </c>
      <c r="M70">
        <v>-3.3</v>
      </c>
      <c r="O70">
        <f>IF(temp8[[#This Row],[sierpień]]&lt;I69,O69+1,1)</f>
        <v>2</v>
      </c>
    </row>
    <row r="71" spans="1:15" x14ac:dyDescent="0.25">
      <c r="A71">
        <v>1848</v>
      </c>
      <c r="B71">
        <v>-13</v>
      </c>
      <c r="C71">
        <v>-0.1</v>
      </c>
      <c r="D71">
        <v>3.8</v>
      </c>
      <c r="E71">
        <v>11.1</v>
      </c>
      <c r="F71">
        <v>13.8</v>
      </c>
      <c r="G71">
        <v>19.600000000000001</v>
      </c>
      <c r="H71">
        <v>19</v>
      </c>
      <c r="I71">
        <v>17.399999999999999</v>
      </c>
      <c r="J71">
        <v>12.5</v>
      </c>
      <c r="K71">
        <v>9.3000000000000007</v>
      </c>
      <c r="L71">
        <v>2</v>
      </c>
      <c r="M71">
        <v>0.3</v>
      </c>
      <c r="O71">
        <f>IF(temp8[[#This Row],[sierpień]]&lt;I70,O70+1,1)</f>
        <v>3</v>
      </c>
    </row>
    <row r="72" spans="1:15" x14ac:dyDescent="0.25">
      <c r="A72">
        <v>1849</v>
      </c>
      <c r="B72">
        <v>-5.3</v>
      </c>
      <c r="C72">
        <v>-0.4</v>
      </c>
      <c r="D72">
        <v>-0.6</v>
      </c>
      <c r="E72">
        <v>5.9</v>
      </c>
      <c r="F72">
        <v>14.5</v>
      </c>
      <c r="G72">
        <v>16.2</v>
      </c>
      <c r="H72">
        <v>16.8</v>
      </c>
      <c r="I72">
        <v>16.100000000000001</v>
      </c>
      <c r="J72">
        <v>12.1</v>
      </c>
      <c r="K72">
        <v>7.2</v>
      </c>
      <c r="L72">
        <v>2</v>
      </c>
      <c r="M72">
        <v>-6.3</v>
      </c>
      <c r="O72">
        <f>IF(temp8[[#This Row],[sierpień]]&lt;I71,O71+1,1)</f>
        <v>4</v>
      </c>
    </row>
    <row r="73" spans="1:15" x14ac:dyDescent="0.25">
      <c r="A73">
        <v>1850</v>
      </c>
      <c r="B73">
        <v>-11.7</v>
      </c>
      <c r="C73">
        <v>-0.4</v>
      </c>
      <c r="D73">
        <v>-1.6</v>
      </c>
      <c r="E73">
        <v>7.2</v>
      </c>
      <c r="F73">
        <v>14.9</v>
      </c>
      <c r="G73">
        <v>18.8</v>
      </c>
      <c r="H73">
        <v>18.8</v>
      </c>
      <c r="I73">
        <v>18.899999999999999</v>
      </c>
      <c r="J73">
        <v>11.6</v>
      </c>
      <c r="K73">
        <v>7.3</v>
      </c>
      <c r="L73">
        <v>2.5</v>
      </c>
      <c r="M73">
        <v>-0.3</v>
      </c>
      <c r="O73">
        <f>IF(temp8[[#This Row],[sierpień]]&lt;I72,O72+1,1)</f>
        <v>1</v>
      </c>
    </row>
    <row r="74" spans="1:15" x14ac:dyDescent="0.25">
      <c r="A74">
        <v>1851</v>
      </c>
      <c r="B74">
        <v>-5.0999999999999996</v>
      </c>
      <c r="C74">
        <v>-2.2999999999999998</v>
      </c>
      <c r="D74">
        <v>1.2</v>
      </c>
      <c r="E74">
        <v>9.5</v>
      </c>
      <c r="F74">
        <v>10.6</v>
      </c>
      <c r="G74">
        <v>15.9</v>
      </c>
      <c r="H74">
        <v>17.7</v>
      </c>
      <c r="I74">
        <v>17.7</v>
      </c>
      <c r="J74">
        <v>13.1</v>
      </c>
      <c r="K74">
        <v>10.4</v>
      </c>
      <c r="L74">
        <v>3.2</v>
      </c>
      <c r="M74">
        <v>-0.4</v>
      </c>
      <c r="O74">
        <f>IF(temp8[[#This Row],[sierpień]]&lt;I73,O73+1,1)</f>
        <v>2</v>
      </c>
    </row>
    <row r="75" spans="1:15" x14ac:dyDescent="0.25">
      <c r="A75">
        <v>1852</v>
      </c>
      <c r="B75">
        <v>-0.3</v>
      </c>
      <c r="C75">
        <v>-2.2000000000000002</v>
      </c>
      <c r="D75">
        <v>-1.1000000000000001</v>
      </c>
      <c r="E75">
        <v>3.3</v>
      </c>
      <c r="F75">
        <v>13.3</v>
      </c>
      <c r="G75">
        <v>18.600000000000001</v>
      </c>
      <c r="H75">
        <v>19.2</v>
      </c>
      <c r="I75">
        <v>18.399999999999999</v>
      </c>
      <c r="J75">
        <v>13.8</v>
      </c>
      <c r="K75">
        <v>6.8</v>
      </c>
      <c r="L75">
        <v>3.1</v>
      </c>
      <c r="M75">
        <v>2</v>
      </c>
      <c r="O75">
        <f>IF(temp8[[#This Row],[sierpień]]&lt;I74,O74+1,1)</f>
        <v>1</v>
      </c>
    </row>
    <row r="76" spans="1:15" x14ac:dyDescent="0.25">
      <c r="A76">
        <v>1853</v>
      </c>
      <c r="B76">
        <v>-1.1000000000000001</v>
      </c>
      <c r="C76">
        <v>-3.2</v>
      </c>
      <c r="D76">
        <v>-3.5</v>
      </c>
      <c r="E76">
        <v>3.6</v>
      </c>
      <c r="F76">
        <v>12.8</v>
      </c>
      <c r="G76">
        <v>18.399999999999999</v>
      </c>
      <c r="H76">
        <v>18.899999999999999</v>
      </c>
      <c r="I76">
        <v>17.399999999999999</v>
      </c>
      <c r="J76">
        <v>13</v>
      </c>
      <c r="K76">
        <v>8.8000000000000007</v>
      </c>
      <c r="L76">
        <v>0</v>
      </c>
      <c r="M76">
        <v>-5.3</v>
      </c>
      <c r="O76">
        <f>IF(temp8[[#This Row],[sierpień]]&lt;I75,O75+1,1)</f>
        <v>2</v>
      </c>
    </row>
    <row r="77" spans="1:15" x14ac:dyDescent="0.25">
      <c r="A77">
        <v>1854</v>
      </c>
      <c r="B77">
        <v>-3.2</v>
      </c>
      <c r="C77">
        <v>-2.8</v>
      </c>
      <c r="D77">
        <v>0.8</v>
      </c>
      <c r="E77">
        <v>6.2</v>
      </c>
      <c r="F77">
        <v>15.1</v>
      </c>
      <c r="G77">
        <v>15.9</v>
      </c>
      <c r="H77">
        <v>19.8</v>
      </c>
      <c r="I77">
        <v>17.5</v>
      </c>
      <c r="J77">
        <v>12</v>
      </c>
      <c r="K77">
        <v>8.8000000000000007</v>
      </c>
      <c r="L77">
        <v>-0.2</v>
      </c>
      <c r="M77">
        <v>-0.1</v>
      </c>
      <c r="O77">
        <f>IF(temp8[[#This Row],[sierpień]]&lt;I76,O76+1,1)</f>
        <v>1</v>
      </c>
    </row>
    <row r="78" spans="1:15" x14ac:dyDescent="0.25">
      <c r="A78">
        <v>1855</v>
      </c>
      <c r="B78">
        <v>-6.6</v>
      </c>
      <c r="C78">
        <v>-11.4</v>
      </c>
      <c r="D78">
        <v>0.3</v>
      </c>
      <c r="E78">
        <v>5.5</v>
      </c>
      <c r="F78">
        <v>12.6</v>
      </c>
      <c r="G78">
        <v>18.899999999999999</v>
      </c>
      <c r="H78">
        <v>19.100000000000001</v>
      </c>
      <c r="I78">
        <v>17.8</v>
      </c>
      <c r="J78">
        <v>11.8</v>
      </c>
      <c r="K78">
        <v>10.3</v>
      </c>
      <c r="L78">
        <v>0.5</v>
      </c>
      <c r="M78">
        <v>-9.3000000000000007</v>
      </c>
      <c r="O78">
        <f>IF(temp8[[#This Row],[sierpień]]&lt;I77,O77+1,1)</f>
        <v>1</v>
      </c>
    </row>
    <row r="79" spans="1:15" x14ac:dyDescent="0.25">
      <c r="A79">
        <v>1856</v>
      </c>
      <c r="B79">
        <v>-1.4</v>
      </c>
      <c r="C79">
        <v>-2</v>
      </c>
      <c r="D79">
        <v>-1.9</v>
      </c>
      <c r="E79">
        <v>8.8000000000000007</v>
      </c>
      <c r="F79">
        <v>12.4</v>
      </c>
      <c r="G79">
        <v>17.8</v>
      </c>
      <c r="H79">
        <v>17.100000000000001</v>
      </c>
      <c r="I79">
        <v>15.9</v>
      </c>
      <c r="J79">
        <v>12.8</v>
      </c>
      <c r="K79">
        <v>8.6999999999999993</v>
      </c>
      <c r="L79">
        <v>-1.7</v>
      </c>
      <c r="M79">
        <v>-0.7</v>
      </c>
      <c r="O79">
        <f>IF(temp8[[#This Row],[sierpień]]&lt;I78,O78+1,1)</f>
        <v>2</v>
      </c>
    </row>
    <row r="80" spans="1:15" x14ac:dyDescent="0.25">
      <c r="A80">
        <v>1857</v>
      </c>
      <c r="B80">
        <v>-3.6</v>
      </c>
      <c r="C80">
        <v>-4.9000000000000004</v>
      </c>
      <c r="D80">
        <v>0.4</v>
      </c>
      <c r="E80">
        <v>7.5</v>
      </c>
      <c r="F80">
        <v>11.9</v>
      </c>
      <c r="G80">
        <v>17.3</v>
      </c>
      <c r="H80">
        <v>18.3</v>
      </c>
      <c r="I80">
        <v>18.5</v>
      </c>
      <c r="J80">
        <v>13.5</v>
      </c>
      <c r="K80">
        <v>10.3</v>
      </c>
      <c r="L80">
        <v>0.5</v>
      </c>
      <c r="M80">
        <v>1.3</v>
      </c>
      <c r="O80">
        <f>IF(temp8[[#This Row],[sierpień]]&lt;I79,O79+1,1)</f>
        <v>1</v>
      </c>
    </row>
    <row r="81" spans="1:15" x14ac:dyDescent="0.25">
      <c r="A81">
        <v>1858</v>
      </c>
      <c r="B81">
        <v>-5.3</v>
      </c>
      <c r="C81">
        <v>-8.1</v>
      </c>
      <c r="D81">
        <v>-1.2</v>
      </c>
      <c r="E81">
        <v>5.3</v>
      </c>
      <c r="F81">
        <v>13.3</v>
      </c>
      <c r="G81">
        <v>18.399999999999999</v>
      </c>
      <c r="H81">
        <v>20</v>
      </c>
      <c r="I81">
        <v>18.8</v>
      </c>
      <c r="J81">
        <v>13.7</v>
      </c>
      <c r="K81">
        <v>9.8000000000000007</v>
      </c>
      <c r="L81">
        <v>-2.6</v>
      </c>
      <c r="M81">
        <v>-3.3</v>
      </c>
      <c r="O81">
        <f>IF(temp8[[#This Row],[sierpień]]&lt;I80,O80+1,1)</f>
        <v>1</v>
      </c>
    </row>
    <row r="82" spans="1:15" x14ac:dyDescent="0.25">
      <c r="A82">
        <v>1859</v>
      </c>
      <c r="B82">
        <v>-1.1000000000000001</v>
      </c>
      <c r="C82">
        <v>0.8</v>
      </c>
      <c r="D82">
        <v>3.7</v>
      </c>
      <c r="E82">
        <v>7.1</v>
      </c>
      <c r="F82">
        <v>14.2</v>
      </c>
      <c r="G82">
        <v>18.100000000000001</v>
      </c>
      <c r="H82">
        <v>20.5</v>
      </c>
      <c r="I82">
        <v>20.399999999999999</v>
      </c>
      <c r="J82">
        <v>11.9</v>
      </c>
      <c r="K82">
        <v>8.5</v>
      </c>
      <c r="L82">
        <v>2.1</v>
      </c>
      <c r="M82">
        <v>-4.3</v>
      </c>
      <c r="O82">
        <f>IF(temp8[[#This Row],[sierpień]]&lt;I81,O81+1,1)</f>
        <v>1</v>
      </c>
    </row>
    <row r="83" spans="1:15" x14ac:dyDescent="0.25">
      <c r="A83">
        <v>1860</v>
      </c>
      <c r="B83">
        <v>-1.3</v>
      </c>
      <c r="C83">
        <v>-3.6</v>
      </c>
      <c r="D83">
        <v>-1.2</v>
      </c>
      <c r="E83">
        <v>7.8</v>
      </c>
      <c r="F83">
        <v>14.1</v>
      </c>
      <c r="G83">
        <v>18</v>
      </c>
      <c r="H83">
        <v>17.600000000000001</v>
      </c>
      <c r="I83">
        <v>17.5</v>
      </c>
      <c r="J83">
        <v>14.2</v>
      </c>
      <c r="K83">
        <v>5.9</v>
      </c>
      <c r="L83">
        <v>0.6</v>
      </c>
      <c r="M83">
        <v>-4.3</v>
      </c>
      <c r="O83">
        <f>IF(temp8[[#This Row],[sierpień]]&lt;I82,O82+1,1)</f>
        <v>2</v>
      </c>
    </row>
    <row r="84" spans="1:15" x14ac:dyDescent="0.25">
      <c r="A84">
        <v>1861</v>
      </c>
      <c r="B84">
        <v>-9.3000000000000007</v>
      </c>
      <c r="C84">
        <v>1.2</v>
      </c>
      <c r="D84">
        <v>3.7</v>
      </c>
      <c r="E84">
        <v>4.7</v>
      </c>
      <c r="F84">
        <v>10.6</v>
      </c>
      <c r="G84">
        <v>19.899999999999999</v>
      </c>
      <c r="H84">
        <v>20.9</v>
      </c>
      <c r="I84">
        <v>18</v>
      </c>
      <c r="J84">
        <v>12.9</v>
      </c>
      <c r="K84">
        <v>7.6</v>
      </c>
      <c r="L84">
        <v>3.4</v>
      </c>
      <c r="M84">
        <v>-1.8</v>
      </c>
      <c r="O84">
        <f>IF(temp8[[#This Row],[sierpień]]&lt;I83,O83+1,1)</f>
        <v>1</v>
      </c>
    </row>
    <row r="85" spans="1:15" x14ac:dyDescent="0.25">
      <c r="A85">
        <v>1862</v>
      </c>
      <c r="B85">
        <v>-6.8</v>
      </c>
      <c r="C85">
        <v>-5.5</v>
      </c>
      <c r="D85">
        <v>3.1</v>
      </c>
      <c r="E85">
        <v>7.6</v>
      </c>
      <c r="F85">
        <v>15</v>
      </c>
      <c r="G85">
        <v>17.100000000000001</v>
      </c>
      <c r="H85">
        <v>18.3</v>
      </c>
      <c r="I85">
        <v>17.8</v>
      </c>
      <c r="J85">
        <v>14</v>
      </c>
      <c r="K85">
        <v>9.1999999999999993</v>
      </c>
      <c r="L85">
        <v>-0.6</v>
      </c>
      <c r="M85">
        <v>-6.8</v>
      </c>
      <c r="O85">
        <f>IF(temp8[[#This Row],[sierpień]]&lt;I84,O84+1,1)</f>
        <v>2</v>
      </c>
    </row>
    <row r="86" spans="1:15" x14ac:dyDescent="0.25">
      <c r="A86">
        <v>1863</v>
      </c>
      <c r="B86">
        <v>1.4</v>
      </c>
      <c r="C86">
        <v>1.2</v>
      </c>
      <c r="D86">
        <v>3.2</v>
      </c>
      <c r="E86">
        <v>6.6</v>
      </c>
      <c r="F86">
        <v>13.9</v>
      </c>
      <c r="G86">
        <v>17.7</v>
      </c>
      <c r="H86">
        <v>17</v>
      </c>
      <c r="I86">
        <v>18.7</v>
      </c>
      <c r="J86">
        <v>14.9</v>
      </c>
      <c r="K86">
        <v>9.8000000000000007</v>
      </c>
      <c r="L86">
        <v>3.7</v>
      </c>
      <c r="M86">
        <v>-0.4</v>
      </c>
      <c r="O86">
        <f>IF(temp8[[#This Row],[sierpień]]&lt;I85,O85+1,1)</f>
        <v>1</v>
      </c>
    </row>
    <row r="87" spans="1:15" x14ac:dyDescent="0.25">
      <c r="A87">
        <v>1864</v>
      </c>
      <c r="B87">
        <v>-6.1</v>
      </c>
      <c r="C87">
        <v>-1.5</v>
      </c>
      <c r="D87">
        <v>3.6</v>
      </c>
      <c r="E87">
        <v>5.0999999999999996</v>
      </c>
      <c r="F87">
        <v>7.9</v>
      </c>
      <c r="G87">
        <v>17.8</v>
      </c>
      <c r="H87">
        <v>16.399999999999999</v>
      </c>
      <c r="I87">
        <v>15.3</v>
      </c>
      <c r="J87">
        <v>12.9</v>
      </c>
      <c r="K87">
        <v>6.6</v>
      </c>
      <c r="L87">
        <v>-0.3</v>
      </c>
      <c r="M87">
        <v>-6.4</v>
      </c>
      <c r="O87">
        <f>IF(temp8[[#This Row],[sierpień]]&lt;I86,O86+1,1)</f>
        <v>2</v>
      </c>
    </row>
    <row r="88" spans="1:15" x14ac:dyDescent="0.25">
      <c r="A88">
        <v>1865</v>
      </c>
      <c r="B88">
        <v>-2.2999999999999998</v>
      </c>
      <c r="C88">
        <v>-9.1</v>
      </c>
      <c r="D88">
        <v>-1.6</v>
      </c>
      <c r="E88">
        <v>7.1</v>
      </c>
      <c r="F88">
        <v>16.399999999999999</v>
      </c>
      <c r="G88">
        <v>13.6</v>
      </c>
      <c r="H88">
        <v>21.6</v>
      </c>
      <c r="I88">
        <v>16.600000000000001</v>
      </c>
      <c r="J88">
        <v>12.8</v>
      </c>
      <c r="K88">
        <v>7.7</v>
      </c>
      <c r="L88">
        <v>3.6</v>
      </c>
      <c r="M88">
        <v>-0.4</v>
      </c>
      <c r="O88">
        <f>IF(temp8[[#This Row],[sierpień]]&lt;I87,O87+1,1)</f>
        <v>1</v>
      </c>
    </row>
    <row r="89" spans="1:15" x14ac:dyDescent="0.25">
      <c r="A89">
        <v>1866</v>
      </c>
      <c r="B89">
        <v>1</v>
      </c>
      <c r="C89">
        <v>-0.3</v>
      </c>
      <c r="D89">
        <v>1.6</v>
      </c>
      <c r="E89">
        <v>9</v>
      </c>
      <c r="F89">
        <v>11</v>
      </c>
      <c r="G89">
        <v>20.6</v>
      </c>
      <c r="H89">
        <v>17</v>
      </c>
      <c r="I89">
        <v>16.7</v>
      </c>
      <c r="J89">
        <v>16.5</v>
      </c>
      <c r="K89">
        <v>5.6</v>
      </c>
      <c r="L89">
        <v>1.7</v>
      </c>
      <c r="M89">
        <v>-1.2</v>
      </c>
      <c r="O89">
        <f>IF(temp8[[#This Row],[sierpień]]&lt;I88,O88+1,1)</f>
        <v>1</v>
      </c>
    </row>
    <row r="90" spans="1:15" x14ac:dyDescent="0.25">
      <c r="A90">
        <v>1867</v>
      </c>
      <c r="B90">
        <v>-2.7</v>
      </c>
      <c r="C90">
        <v>1</v>
      </c>
      <c r="D90">
        <v>-2.2000000000000002</v>
      </c>
      <c r="E90">
        <v>6.3</v>
      </c>
      <c r="F90">
        <v>10.7</v>
      </c>
      <c r="G90">
        <v>15.8</v>
      </c>
      <c r="H90">
        <v>17.3</v>
      </c>
      <c r="I90">
        <v>17.399999999999999</v>
      </c>
      <c r="J90">
        <v>12.7</v>
      </c>
      <c r="K90">
        <v>8.1999999999999993</v>
      </c>
      <c r="L90">
        <v>0.2</v>
      </c>
      <c r="M90">
        <v>-4.2</v>
      </c>
      <c r="O90">
        <f>IF(temp8[[#This Row],[sierpień]]&lt;I89,O89+1,1)</f>
        <v>1</v>
      </c>
    </row>
    <row r="91" spans="1:15" x14ac:dyDescent="0.25">
      <c r="A91">
        <v>1868</v>
      </c>
      <c r="B91">
        <v>-4.5999999999999996</v>
      </c>
      <c r="C91">
        <v>0.2</v>
      </c>
      <c r="D91">
        <v>1.9</v>
      </c>
      <c r="E91">
        <v>7.8</v>
      </c>
      <c r="F91">
        <v>15.4</v>
      </c>
      <c r="G91">
        <v>18.7</v>
      </c>
      <c r="H91">
        <v>20.5</v>
      </c>
      <c r="I91">
        <v>19.8</v>
      </c>
      <c r="J91">
        <v>15.1</v>
      </c>
      <c r="K91">
        <v>8.6999999999999993</v>
      </c>
      <c r="L91">
        <v>0.6</v>
      </c>
      <c r="M91">
        <v>1.1000000000000001</v>
      </c>
      <c r="O91">
        <f>IF(temp8[[#This Row],[sierpień]]&lt;I90,O90+1,1)</f>
        <v>1</v>
      </c>
    </row>
    <row r="92" spans="1:15" x14ac:dyDescent="0.25">
      <c r="A92">
        <v>1869</v>
      </c>
      <c r="B92">
        <v>-4.0999999999999996</v>
      </c>
      <c r="C92">
        <v>2.2999999999999998</v>
      </c>
      <c r="D92">
        <v>1.2</v>
      </c>
      <c r="E92">
        <v>9.5</v>
      </c>
      <c r="F92">
        <v>15</v>
      </c>
      <c r="G92">
        <v>15</v>
      </c>
      <c r="H92">
        <v>18.600000000000001</v>
      </c>
      <c r="I92">
        <v>17.399999999999999</v>
      </c>
      <c r="J92">
        <v>14</v>
      </c>
      <c r="K92">
        <v>7</v>
      </c>
      <c r="L92">
        <v>1.6</v>
      </c>
      <c r="M92">
        <v>-0.8</v>
      </c>
      <c r="O92">
        <f>IF(temp8[[#This Row],[sierpień]]&lt;I91,O91+1,1)</f>
        <v>2</v>
      </c>
    </row>
    <row r="93" spans="1:15" x14ac:dyDescent="0.25">
      <c r="A93">
        <v>1870</v>
      </c>
      <c r="B93">
        <v>-3.9</v>
      </c>
      <c r="C93">
        <v>-11.3</v>
      </c>
      <c r="D93">
        <v>-1.4</v>
      </c>
      <c r="E93">
        <v>6.8</v>
      </c>
      <c r="F93">
        <v>13</v>
      </c>
      <c r="G93">
        <v>15.6</v>
      </c>
      <c r="H93">
        <v>19.100000000000001</v>
      </c>
      <c r="I93">
        <v>17.100000000000001</v>
      </c>
      <c r="J93">
        <v>11.9</v>
      </c>
      <c r="K93">
        <v>7</v>
      </c>
      <c r="L93">
        <v>3.8</v>
      </c>
      <c r="M93">
        <v>-7.9</v>
      </c>
      <c r="O93">
        <f>IF(temp8[[#This Row],[sierpień]]&lt;I92,O92+1,1)</f>
        <v>3</v>
      </c>
    </row>
    <row r="94" spans="1:15" x14ac:dyDescent="0.25">
      <c r="A94">
        <v>1871</v>
      </c>
      <c r="B94">
        <v>-9.3000000000000007</v>
      </c>
      <c r="C94">
        <v>-7.2</v>
      </c>
      <c r="D94">
        <v>2.5</v>
      </c>
      <c r="E94">
        <v>5.2</v>
      </c>
      <c r="F94">
        <v>9.1999999999999993</v>
      </c>
      <c r="G94">
        <v>15.8</v>
      </c>
      <c r="H94">
        <v>19.3</v>
      </c>
      <c r="I94">
        <v>17.5</v>
      </c>
      <c r="J94">
        <v>11.8</v>
      </c>
      <c r="K94">
        <v>3.8</v>
      </c>
      <c r="L94">
        <v>1.5</v>
      </c>
      <c r="M94">
        <v>-5.7</v>
      </c>
      <c r="O94">
        <f>IF(temp8[[#This Row],[sierpień]]&lt;I93,O93+1,1)</f>
        <v>1</v>
      </c>
    </row>
    <row r="95" spans="1:15" x14ac:dyDescent="0.25">
      <c r="A95">
        <v>1872</v>
      </c>
      <c r="B95">
        <v>-1.9</v>
      </c>
      <c r="C95">
        <v>-3.3</v>
      </c>
      <c r="D95">
        <v>2.5</v>
      </c>
      <c r="E95">
        <v>10.3</v>
      </c>
      <c r="F95">
        <v>17.7</v>
      </c>
      <c r="G95">
        <v>17.3</v>
      </c>
      <c r="H95">
        <v>19.100000000000001</v>
      </c>
      <c r="I95">
        <v>16.600000000000001</v>
      </c>
      <c r="J95">
        <v>14.5</v>
      </c>
      <c r="K95">
        <v>10.7</v>
      </c>
      <c r="L95">
        <v>6.1</v>
      </c>
      <c r="M95">
        <v>-0.5</v>
      </c>
      <c r="O95">
        <f>IF(temp8[[#This Row],[sierpień]]&lt;I94,O94+1,1)</f>
        <v>2</v>
      </c>
    </row>
    <row r="96" spans="1:15" x14ac:dyDescent="0.25">
      <c r="A96">
        <v>1873</v>
      </c>
      <c r="B96">
        <v>0.7</v>
      </c>
      <c r="C96">
        <v>-2.7</v>
      </c>
      <c r="D96">
        <v>3.3</v>
      </c>
      <c r="E96">
        <v>5.4</v>
      </c>
      <c r="F96">
        <v>10.6</v>
      </c>
      <c r="G96">
        <v>17.399999999999999</v>
      </c>
      <c r="H96">
        <v>19.8</v>
      </c>
      <c r="I96">
        <v>18.600000000000001</v>
      </c>
      <c r="J96">
        <v>12.9</v>
      </c>
      <c r="K96">
        <v>8.5</v>
      </c>
      <c r="L96">
        <v>3.7</v>
      </c>
      <c r="M96">
        <v>0.8</v>
      </c>
      <c r="O96">
        <f>IF(temp8[[#This Row],[sierpień]]&lt;I95,O95+1,1)</f>
        <v>1</v>
      </c>
    </row>
    <row r="97" spans="1:15" x14ac:dyDescent="0.25">
      <c r="A97">
        <v>1874</v>
      </c>
      <c r="B97">
        <v>-1.2</v>
      </c>
      <c r="C97">
        <v>-1.5</v>
      </c>
      <c r="D97">
        <v>0.6</v>
      </c>
      <c r="E97">
        <v>8</v>
      </c>
      <c r="F97">
        <v>9.1999999999999993</v>
      </c>
      <c r="G97">
        <v>17</v>
      </c>
      <c r="H97">
        <v>20.399999999999999</v>
      </c>
      <c r="I97">
        <v>16.899999999999999</v>
      </c>
      <c r="J97">
        <v>15.5</v>
      </c>
      <c r="K97">
        <v>9.3000000000000007</v>
      </c>
      <c r="L97">
        <v>0.1</v>
      </c>
      <c r="M97">
        <v>-1.6</v>
      </c>
      <c r="O97">
        <f>IF(temp8[[#This Row],[sierpień]]&lt;I96,O96+1,1)</f>
        <v>2</v>
      </c>
    </row>
    <row r="98" spans="1:15" x14ac:dyDescent="0.25">
      <c r="A98">
        <v>1875</v>
      </c>
      <c r="B98">
        <v>-3.5</v>
      </c>
      <c r="C98">
        <v>-6.9</v>
      </c>
      <c r="D98">
        <v>-2.2999999999999998</v>
      </c>
      <c r="E98">
        <v>4.9000000000000004</v>
      </c>
      <c r="F98">
        <v>13.1</v>
      </c>
      <c r="G98">
        <v>20.6</v>
      </c>
      <c r="H98">
        <v>19.2</v>
      </c>
      <c r="I98">
        <v>18.8</v>
      </c>
      <c r="J98">
        <v>12.3</v>
      </c>
      <c r="K98">
        <v>4.5999999999999996</v>
      </c>
      <c r="L98">
        <v>-0.6</v>
      </c>
      <c r="M98">
        <v>-6.1</v>
      </c>
      <c r="O98">
        <f>IF(temp8[[#This Row],[sierpień]]&lt;I97,O97+1,1)</f>
        <v>1</v>
      </c>
    </row>
    <row r="99" spans="1:15" x14ac:dyDescent="0.25">
      <c r="A99">
        <v>1876</v>
      </c>
      <c r="B99">
        <v>-6.6</v>
      </c>
      <c r="C99">
        <v>-0.5</v>
      </c>
      <c r="D99">
        <v>3.3</v>
      </c>
      <c r="E99">
        <v>9.4</v>
      </c>
      <c r="F99">
        <v>9.3000000000000007</v>
      </c>
      <c r="G99">
        <v>18.600000000000001</v>
      </c>
      <c r="H99">
        <v>18.8</v>
      </c>
      <c r="I99">
        <v>18.2</v>
      </c>
      <c r="J99">
        <v>12.7</v>
      </c>
      <c r="K99">
        <v>7.9</v>
      </c>
      <c r="L99">
        <v>-2.1</v>
      </c>
      <c r="M99">
        <v>-5.0999999999999996</v>
      </c>
      <c r="O99">
        <f>IF(temp8[[#This Row],[sierpień]]&lt;I98,O98+1,1)</f>
        <v>2</v>
      </c>
    </row>
    <row r="100" spans="1:15" x14ac:dyDescent="0.25">
      <c r="A100">
        <v>1877</v>
      </c>
      <c r="B100">
        <v>-1.5</v>
      </c>
      <c r="C100">
        <v>-1.1000000000000001</v>
      </c>
      <c r="D100">
        <v>-0.2</v>
      </c>
      <c r="E100">
        <v>5.2</v>
      </c>
      <c r="F100">
        <v>11.4</v>
      </c>
      <c r="G100">
        <v>18.399999999999999</v>
      </c>
      <c r="H100">
        <v>18.7</v>
      </c>
      <c r="I100">
        <v>18.100000000000001</v>
      </c>
      <c r="J100">
        <v>10.1</v>
      </c>
      <c r="K100">
        <v>6.3</v>
      </c>
      <c r="L100">
        <v>4.0999999999999996</v>
      </c>
      <c r="M100">
        <v>-2.4</v>
      </c>
      <c r="O100">
        <f>IF(temp8[[#This Row],[sierpień]]&lt;I99,O99+1,1)</f>
        <v>3</v>
      </c>
    </row>
    <row r="101" spans="1:15" x14ac:dyDescent="0.25">
      <c r="A101">
        <v>1878</v>
      </c>
      <c r="B101">
        <v>-3.2</v>
      </c>
      <c r="C101">
        <v>-0.4</v>
      </c>
      <c r="D101">
        <v>1.2</v>
      </c>
      <c r="E101">
        <v>9.3000000000000007</v>
      </c>
      <c r="F101">
        <v>12.6</v>
      </c>
      <c r="G101">
        <v>17</v>
      </c>
      <c r="H101">
        <v>16.3</v>
      </c>
      <c r="I101">
        <v>18.2</v>
      </c>
      <c r="J101">
        <v>15.1</v>
      </c>
      <c r="K101">
        <v>9.6999999999999993</v>
      </c>
      <c r="L101">
        <v>3.6</v>
      </c>
      <c r="M101">
        <v>-1.6</v>
      </c>
      <c r="O101">
        <f>IF(temp8[[#This Row],[sierpień]]&lt;I100,O100+1,1)</f>
        <v>1</v>
      </c>
    </row>
    <row r="102" spans="1:15" x14ac:dyDescent="0.25">
      <c r="A102">
        <v>1879</v>
      </c>
      <c r="B102">
        <v>-4.4000000000000004</v>
      </c>
      <c r="C102">
        <v>-0.8</v>
      </c>
      <c r="D102">
        <v>-1.3</v>
      </c>
      <c r="E102">
        <v>6.3</v>
      </c>
      <c r="F102">
        <v>12.7</v>
      </c>
      <c r="G102">
        <v>18.2</v>
      </c>
      <c r="H102">
        <v>16.8</v>
      </c>
      <c r="I102">
        <v>17.2</v>
      </c>
      <c r="J102">
        <v>14.8</v>
      </c>
      <c r="K102">
        <v>7.1</v>
      </c>
      <c r="L102">
        <v>0.2</v>
      </c>
      <c r="M102">
        <v>-8.3000000000000007</v>
      </c>
      <c r="O102">
        <f>IF(temp8[[#This Row],[sierpień]]&lt;I101,O101+1,1)</f>
        <v>2</v>
      </c>
    </row>
    <row r="103" spans="1:15" x14ac:dyDescent="0.25">
      <c r="A103">
        <v>1880</v>
      </c>
      <c r="B103">
        <v>-4.2</v>
      </c>
      <c r="C103">
        <v>-3</v>
      </c>
      <c r="D103">
        <v>0.3</v>
      </c>
      <c r="E103">
        <v>9.6</v>
      </c>
      <c r="F103">
        <v>11.8</v>
      </c>
      <c r="G103">
        <v>17.5</v>
      </c>
      <c r="H103">
        <v>20.100000000000001</v>
      </c>
      <c r="I103">
        <v>17.8</v>
      </c>
      <c r="J103">
        <v>14.1</v>
      </c>
      <c r="K103">
        <v>6.2</v>
      </c>
      <c r="L103">
        <v>2.8</v>
      </c>
      <c r="M103">
        <v>-0.4</v>
      </c>
      <c r="O103">
        <f>IF(temp8[[#This Row],[sierpień]]&lt;I102,O102+1,1)</f>
        <v>1</v>
      </c>
    </row>
    <row r="104" spans="1:15" x14ac:dyDescent="0.25">
      <c r="A104">
        <v>1881</v>
      </c>
      <c r="B104">
        <v>-7.7</v>
      </c>
      <c r="C104">
        <v>-3.3</v>
      </c>
      <c r="D104">
        <v>-0.4</v>
      </c>
      <c r="E104">
        <v>4.4000000000000004</v>
      </c>
      <c r="F104">
        <v>13.6</v>
      </c>
      <c r="G104">
        <v>16.399999999999999</v>
      </c>
      <c r="H104">
        <v>19.2</v>
      </c>
      <c r="I104">
        <v>16.5</v>
      </c>
      <c r="J104">
        <v>12</v>
      </c>
      <c r="K104">
        <v>4.5</v>
      </c>
      <c r="L104">
        <v>3.1</v>
      </c>
      <c r="M104">
        <v>-1.3</v>
      </c>
      <c r="O104">
        <f>IF(temp8[[#This Row],[sierpień]]&lt;I103,O103+1,1)</f>
        <v>2</v>
      </c>
    </row>
    <row r="105" spans="1:15" x14ac:dyDescent="0.25">
      <c r="A105">
        <v>1882</v>
      </c>
      <c r="B105">
        <v>0.1</v>
      </c>
      <c r="C105">
        <v>0.3</v>
      </c>
      <c r="D105">
        <v>6.2</v>
      </c>
      <c r="E105">
        <v>8.8000000000000007</v>
      </c>
      <c r="F105">
        <v>13.5</v>
      </c>
      <c r="G105">
        <v>15.8</v>
      </c>
      <c r="H105">
        <v>20.3</v>
      </c>
      <c r="I105">
        <v>16.7</v>
      </c>
      <c r="J105">
        <v>15</v>
      </c>
      <c r="K105">
        <v>6.4</v>
      </c>
      <c r="L105">
        <v>1.7</v>
      </c>
      <c r="M105">
        <v>-2.1</v>
      </c>
      <c r="O105">
        <f>IF(temp8[[#This Row],[sierpień]]&lt;I104,O104+1,1)</f>
        <v>1</v>
      </c>
    </row>
    <row r="106" spans="1:15" x14ac:dyDescent="0.25">
      <c r="A106">
        <v>1883</v>
      </c>
      <c r="B106">
        <v>-4.0999999999999996</v>
      </c>
      <c r="C106">
        <v>-1.9</v>
      </c>
      <c r="D106">
        <v>-3</v>
      </c>
      <c r="E106">
        <v>5.3</v>
      </c>
      <c r="F106">
        <v>12.5</v>
      </c>
      <c r="G106">
        <v>18.100000000000001</v>
      </c>
      <c r="H106">
        <v>19</v>
      </c>
      <c r="I106">
        <v>16.600000000000001</v>
      </c>
      <c r="J106">
        <v>13.5</v>
      </c>
      <c r="K106">
        <v>8.1</v>
      </c>
      <c r="L106">
        <v>3.3</v>
      </c>
      <c r="M106">
        <v>-0.8</v>
      </c>
      <c r="O106">
        <f>IF(temp8[[#This Row],[sierpień]]&lt;I105,O105+1,1)</f>
        <v>2</v>
      </c>
    </row>
    <row r="107" spans="1:15" x14ac:dyDescent="0.25">
      <c r="A107">
        <v>1884</v>
      </c>
      <c r="B107">
        <v>0</v>
      </c>
      <c r="C107">
        <v>1.7</v>
      </c>
      <c r="D107">
        <v>2.2000000000000002</v>
      </c>
      <c r="E107">
        <v>4.9000000000000004</v>
      </c>
      <c r="F107">
        <v>12.8</v>
      </c>
      <c r="G107">
        <v>15.8</v>
      </c>
      <c r="H107">
        <v>19.7</v>
      </c>
      <c r="I107">
        <v>16.3</v>
      </c>
      <c r="J107">
        <v>14.5</v>
      </c>
      <c r="K107">
        <v>7.1</v>
      </c>
      <c r="L107">
        <v>-0.1</v>
      </c>
      <c r="M107">
        <v>1.4</v>
      </c>
      <c r="O107">
        <f>IF(temp8[[#This Row],[sierpień]]&lt;I106,O106+1,1)</f>
        <v>3</v>
      </c>
    </row>
    <row r="108" spans="1:15" x14ac:dyDescent="0.25">
      <c r="A108">
        <v>1885</v>
      </c>
      <c r="B108">
        <v>-4</v>
      </c>
      <c r="C108">
        <v>-0.2</v>
      </c>
      <c r="D108">
        <v>2.2000000000000002</v>
      </c>
      <c r="E108">
        <v>9</v>
      </c>
      <c r="F108">
        <v>11.6</v>
      </c>
      <c r="G108">
        <v>18.399999999999999</v>
      </c>
      <c r="H108">
        <v>19.7</v>
      </c>
      <c r="I108">
        <v>15.3</v>
      </c>
      <c r="J108">
        <v>13.4</v>
      </c>
      <c r="K108">
        <v>8.4</v>
      </c>
      <c r="L108">
        <v>0.4</v>
      </c>
      <c r="M108">
        <v>-2</v>
      </c>
      <c r="O108">
        <f>IF(temp8[[#This Row],[sierpień]]&lt;I107,O107+1,1)</f>
        <v>4</v>
      </c>
    </row>
    <row r="109" spans="1:15" x14ac:dyDescent="0.25">
      <c r="A109">
        <v>1886</v>
      </c>
      <c r="B109">
        <v>-2.1</v>
      </c>
      <c r="C109">
        <v>-5.7</v>
      </c>
      <c r="D109">
        <v>-2.4</v>
      </c>
      <c r="E109">
        <v>10.9</v>
      </c>
      <c r="F109">
        <v>14</v>
      </c>
      <c r="G109">
        <v>16.2</v>
      </c>
      <c r="H109">
        <v>17.399999999999999</v>
      </c>
      <c r="I109">
        <v>17.600000000000001</v>
      </c>
      <c r="J109">
        <v>15.8</v>
      </c>
      <c r="K109">
        <v>7.6</v>
      </c>
      <c r="L109">
        <v>4.9000000000000004</v>
      </c>
      <c r="M109">
        <v>0.9</v>
      </c>
      <c r="O109">
        <f>IF(temp8[[#This Row],[sierpień]]&lt;I108,O108+1,1)</f>
        <v>1</v>
      </c>
    </row>
    <row r="110" spans="1:15" x14ac:dyDescent="0.25">
      <c r="A110">
        <v>1887</v>
      </c>
      <c r="B110">
        <v>-2.5</v>
      </c>
      <c r="C110">
        <v>-2.7</v>
      </c>
      <c r="D110">
        <v>0.2</v>
      </c>
      <c r="E110">
        <v>9.1</v>
      </c>
      <c r="F110">
        <v>12.2</v>
      </c>
      <c r="G110">
        <v>15</v>
      </c>
      <c r="H110">
        <v>19.3</v>
      </c>
      <c r="I110">
        <v>16.3</v>
      </c>
      <c r="J110">
        <v>14.7</v>
      </c>
      <c r="K110">
        <v>6.9</v>
      </c>
      <c r="L110">
        <v>3.7</v>
      </c>
      <c r="M110">
        <v>-2.2999999999999998</v>
      </c>
      <c r="O110">
        <f>IF(temp8[[#This Row],[sierpień]]&lt;I109,O109+1,1)</f>
        <v>2</v>
      </c>
    </row>
    <row r="111" spans="1:15" x14ac:dyDescent="0.25">
      <c r="A111">
        <v>1888</v>
      </c>
      <c r="B111">
        <v>-6.1</v>
      </c>
      <c r="C111">
        <v>-5.4</v>
      </c>
      <c r="D111">
        <v>-1.4</v>
      </c>
      <c r="E111">
        <v>7.3</v>
      </c>
      <c r="F111">
        <v>13.4</v>
      </c>
      <c r="G111">
        <v>15.8</v>
      </c>
      <c r="H111">
        <v>16.899999999999999</v>
      </c>
      <c r="I111">
        <v>16.3</v>
      </c>
      <c r="J111">
        <v>13.3</v>
      </c>
      <c r="K111">
        <v>8.3000000000000007</v>
      </c>
      <c r="L111">
        <v>1.3</v>
      </c>
      <c r="M111">
        <v>-1.2</v>
      </c>
      <c r="O111">
        <f>IF(temp8[[#This Row],[sierpień]]&lt;I110,O110+1,1)</f>
        <v>1</v>
      </c>
    </row>
    <row r="112" spans="1:15" x14ac:dyDescent="0.25">
      <c r="A112">
        <v>1889</v>
      </c>
      <c r="B112">
        <v>-5.7</v>
      </c>
      <c r="C112">
        <v>-3.3</v>
      </c>
      <c r="D112">
        <v>-2.6</v>
      </c>
      <c r="E112">
        <v>8.3000000000000007</v>
      </c>
      <c r="F112">
        <v>17.7</v>
      </c>
      <c r="G112">
        <v>19.7</v>
      </c>
      <c r="H112">
        <v>18</v>
      </c>
      <c r="I112">
        <v>17</v>
      </c>
      <c r="J112">
        <v>10.8</v>
      </c>
      <c r="K112">
        <v>10.3</v>
      </c>
      <c r="L112">
        <v>3.6</v>
      </c>
      <c r="M112">
        <v>-5.3</v>
      </c>
      <c r="O112">
        <f>IF(temp8[[#This Row],[sierpień]]&lt;I111,O111+1,1)</f>
        <v>1</v>
      </c>
    </row>
    <row r="113" spans="1:15" x14ac:dyDescent="0.25">
      <c r="A113">
        <v>1890</v>
      </c>
      <c r="B113">
        <v>0.6</v>
      </c>
      <c r="C113">
        <v>-3.6</v>
      </c>
      <c r="D113">
        <v>4.4000000000000004</v>
      </c>
      <c r="E113">
        <v>11.2</v>
      </c>
      <c r="F113">
        <v>15.2</v>
      </c>
      <c r="G113">
        <v>15.5</v>
      </c>
      <c r="H113">
        <v>18.600000000000001</v>
      </c>
      <c r="I113">
        <v>20.2</v>
      </c>
      <c r="J113">
        <v>13.4</v>
      </c>
      <c r="K113">
        <v>7.1</v>
      </c>
      <c r="L113">
        <v>3.3</v>
      </c>
      <c r="M113">
        <v>-8.5</v>
      </c>
      <c r="O113">
        <f>IF(temp8[[#This Row],[sierpień]]&lt;I112,O112+1,1)</f>
        <v>1</v>
      </c>
    </row>
    <row r="114" spans="1:15" x14ac:dyDescent="0.25">
      <c r="A114">
        <v>1891</v>
      </c>
      <c r="B114">
        <v>-4.3</v>
      </c>
      <c r="C114">
        <v>-3.6</v>
      </c>
      <c r="D114">
        <v>2.5</v>
      </c>
      <c r="E114">
        <v>6.2</v>
      </c>
      <c r="F114">
        <v>14.5</v>
      </c>
      <c r="G114">
        <v>15.5</v>
      </c>
      <c r="H114">
        <v>17.7</v>
      </c>
      <c r="I114">
        <v>17.2</v>
      </c>
      <c r="J114">
        <v>14</v>
      </c>
      <c r="K114">
        <v>10.8</v>
      </c>
      <c r="L114">
        <v>1.3</v>
      </c>
      <c r="M114">
        <v>-0.2</v>
      </c>
      <c r="O114">
        <f>IF(temp8[[#This Row],[sierpień]]&lt;I113,O113+1,1)</f>
        <v>2</v>
      </c>
    </row>
    <row r="115" spans="1:15" x14ac:dyDescent="0.25">
      <c r="A115">
        <v>1892</v>
      </c>
      <c r="B115">
        <v>-4.0999999999999996</v>
      </c>
      <c r="C115">
        <v>-1.5</v>
      </c>
      <c r="D115">
        <v>1.2</v>
      </c>
      <c r="E115">
        <v>7.5</v>
      </c>
      <c r="F115">
        <v>13.5</v>
      </c>
      <c r="G115">
        <v>17.3</v>
      </c>
      <c r="H115">
        <v>16.7</v>
      </c>
      <c r="I115">
        <v>19.8</v>
      </c>
      <c r="J115">
        <v>16.5</v>
      </c>
      <c r="K115">
        <v>8.3000000000000007</v>
      </c>
      <c r="L115">
        <v>0.6</v>
      </c>
      <c r="M115">
        <v>-3.1</v>
      </c>
      <c r="O115">
        <f>IF(temp8[[#This Row],[sierpień]]&lt;I114,O114+1,1)</f>
        <v>1</v>
      </c>
    </row>
    <row r="116" spans="1:15" x14ac:dyDescent="0.25">
      <c r="A116">
        <v>1893</v>
      </c>
      <c r="B116">
        <v>-12</v>
      </c>
      <c r="C116">
        <v>-1.1000000000000001</v>
      </c>
      <c r="D116">
        <v>2.7</v>
      </c>
      <c r="E116">
        <v>6.3</v>
      </c>
      <c r="F116">
        <v>12.4</v>
      </c>
      <c r="G116">
        <v>16.3</v>
      </c>
      <c r="H116">
        <v>18.2</v>
      </c>
      <c r="I116">
        <v>17.100000000000001</v>
      </c>
      <c r="J116">
        <v>12.8</v>
      </c>
      <c r="K116">
        <v>11.2</v>
      </c>
      <c r="L116">
        <v>1.7</v>
      </c>
      <c r="M116">
        <v>-0.5</v>
      </c>
      <c r="O116">
        <f>IF(temp8[[#This Row],[sierpień]]&lt;I115,O115+1,1)</f>
        <v>2</v>
      </c>
    </row>
    <row r="117" spans="1:15" x14ac:dyDescent="0.25">
      <c r="A117">
        <v>1894</v>
      </c>
      <c r="B117">
        <v>-4.5999999999999996</v>
      </c>
      <c r="C117">
        <v>0</v>
      </c>
      <c r="D117">
        <v>4.9000000000000004</v>
      </c>
      <c r="E117">
        <v>10.199999999999999</v>
      </c>
      <c r="F117">
        <v>13.8</v>
      </c>
      <c r="G117">
        <v>15</v>
      </c>
      <c r="H117">
        <v>19.399999999999999</v>
      </c>
      <c r="I117">
        <v>17.3</v>
      </c>
      <c r="J117">
        <v>11</v>
      </c>
      <c r="K117">
        <v>7.9</v>
      </c>
      <c r="L117">
        <v>3.8</v>
      </c>
      <c r="M117">
        <v>-1.7</v>
      </c>
      <c r="O117">
        <f>IF(temp8[[#This Row],[sierpień]]&lt;I116,O116+1,1)</f>
        <v>1</v>
      </c>
    </row>
    <row r="118" spans="1:15" x14ac:dyDescent="0.25">
      <c r="A118">
        <v>1895</v>
      </c>
      <c r="B118">
        <v>-2.2000000000000002</v>
      </c>
      <c r="C118">
        <v>-6.4</v>
      </c>
      <c r="D118">
        <v>0.4</v>
      </c>
      <c r="E118">
        <v>9.1999999999999993</v>
      </c>
      <c r="F118">
        <v>14.6</v>
      </c>
      <c r="G118">
        <v>17</v>
      </c>
      <c r="H118">
        <v>19</v>
      </c>
      <c r="I118">
        <v>17.600000000000001</v>
      </c>
      <c r="J118">
        <v>14.6</v>
      </c>
      <c r="K118">
        <v>8.9</v>
      </c>
      <c r="L118">
        <v>2.9</v>
      </c>
      <c r="M118">
        <v>-3.1</v>
      </c>
      <c r="O118">
        <f>IF(temp8[[#This Row],[sierpień]]&lt;I117,O117+1,1)</f>
        <v>1</v>
      </c>
    </row>
    <row r="119" spans="1:15" x14ac:dyDescent="0.25">
      <c r="A119">
        <v>1896</v>
      </c>
      <c r="B119">
        <v>-3.5</v>
      </c>
      <c r="C119">
        <v>-1.1000000000000001</v>
      </c>
      <c r="D119">
        <v>4.9000000000000004</v>
      </c>
      <c r="E119">
        <v>6.6</v>
      </c>
      <c r="F119">
        <v>12.3</v>
      </c>
      <c r="G119">
        <v>18.899999999999999</v>
      </c>
      <c r="H119">
        <v>20</v>
      </c>
      <c r="I119">
        <v>16.3</v>
      </c>
      <c r="J119">
        <v>13.3</v>
      </c>
      <c r="K119">
        <v>12.1</v>
      </c>
      <c r="L119">
        <v>0</v>
      </c>
      <c r="M119">
        <v>-1.9</v>
      </c>
      <c r="O119">
        <f>IF(temp8[[#This Row],[sierpień]]&lt;I118,O118+1,1)</f>
        <v>2</v>
      </c>
    </row>
    <row r="120" spans="1:15" x14ac:dyDescent="0.25">
      <c r="A120">
        <v>1897</v>
      </c>
      <c r="B120">
        <v>-5</v>
      </c>
      <c r="C120">
        <v>-2.1</v>
      </c>
      <c r="D120">
        <v>4</v>
      </c>
      <c r="E120">
        <v>8.5</v>
      </c>
      <c r="F120">
        <v>13.9</v>
      </c>
      <c r="G120">
        <v>17.2</v>
      </c>
      <c r="H120">
        <v>18.2</v>
      </c>
      <c r="I120">
        <v>18.5</v>
      </c>
      <c r="J120">
        <v>13.3</v>
      </c>
      <c r="K120">
        <v>7.5</v>
      </c>
      <c r="L120">
        <v>1.5</v>
      </c>
      <c r="M120">
        <v>-1.3</v>
      </c>
      <c r="O120">
        <f>IF(temp8[[#This Row],[sierpień]]&lt;I119,O119+1,1)</f>
        <v>1</v>
      </c>
    </row>
    <row r="121" spans="1:15" x14ac:dyDescent="0.25">
      <c r="A121">
        <v>1898</v>
      </c>
      <c r="B121">
        <v>0</v>
      </c>
      <c r="C121">
        <v>-0.2</v>
      </c>
      <c r="D121">
        <v>2.5</v>
      </c>
      <c r="E121">
        <v>7.1</v>
      </c>
      <c r="F121">
        <v>14.3</v>
      </c>
      <c r="G121">
        <v>16</v>
      </c>
      <c r="H121">
        <v>16.2</v>
      </c>
      <c r="I121">
        <v>18</v>
      </c>
      <c r="J121">
        <v>13.1</v>
      </c>
      <c r="K121">
        <v>6.7</v>
      </c>
      <c r="L121">
        <v>5.3</v>
      </c>
      <c r="M121">
        <v>2.4</v>
      </c>
      <c r="O121">
        <f>IF(temp8[[#This Row],[sierpień]]&lt;I120,O120+1,1)</f>
        <v>2</v>
      </c>
    </row>
    <row r="122" spans="1:15" x14ac:dyDescent="0.25">
      <c r="A122">
        <v>1899</v>
      </c>
      <c r="B122">
        <v>0.3</v>
      </c>
      <c r="C122">
        <v>0.2</v>
      </c>
      <c r="D122">
        <v>2.4</v>
      </c>
      <c r="E122">
        <v>8.5</v>
      </c>
      <c r="F122">
        <v>12.5</v>
      </c>
      <c r="G122">
        <v>14.4</v>
      </c>
      <c r="H122">
        <v>18.600000000000001</v>
      </c>
      <c r="I122">
        <v>15.7</v>
      </c>
      <c r="J122">
        <v>13.7</v>
      </c>
      <c r="K122">
        <v>7.8</v>
      </c>
      <c r="L122">
        <v>5.7</v>
      </c>
      <c r="M122">
        <v>-3.8</v>
      </c>
      <c r="O122">
        <f>IF(temp8[[#This Row],[sierpień]]&lt;I121,O121+1,1)</f>
        <v>3</v>
      </c>
    </row>
    <row r="123" spans="1:15" x14ac:dyDescent="0.25">
      <c r="A123">
        <v>1900</v>
      </c>
      <c r="B123">
        <v>-2.4</v>
      </c>
      <c r="C123">
        <v>0.1</v>
      </c>
      <c r="D123">
        <v>-0.6</v>
      </c>
      <c r="E123">
        <v>7.1</v>
      </c>
      <c r="F123">
        <v>12.2</v>
      </c>
      <c r="G123">
        <v>16.8</v>
      </c>
      <c r="H123">
        <v>19.7</v>
      </c>
      <c r="I123">
        <v>17.5</v>
      </c>
      <c r="J123">
        <v>13.9</v>
      </c>
      <c r="K123">
        <v>9.6999999999999993</v>
      </c>
      <c r="L123">
        <v>4.7</v>
      </c>
      <c r="M123">
        <v>1.3</v>
      </c>
      <c r="O123">
        <f>IF(temp8[[#This Row],[sierpień]]&lt;I122,O122+1,1)</f>
        <v>1</v>
      </c>
    </row>
    <row r="124" spans="1:15" x14ac:dyDescent="0.25">
      <c r="A124">
        <v>1901</v>
      </c>
      <c r="B124">
        <v>-5.5</v>
      </c>
      <c r="C124">
        <v>-5</v>
      </c>
      <c r="D124">
        <v>1.4</v>
      </c>
      <c r="E124">
        <v>8.1</v>
      </c>
      <c r="F124">
        <v>14.2</v>
      </c>
      <c r="G124">
        <v>17.5</v>
      </c>
      <c r="H124">
        <v>19.100000000000001</v>
      </c>
      <c r="I124">
        <v>17.100000000000001</v>
      </c>
      <c r="J124">
        <v>12.4</v>
      </c>
      <c r="K124">
        <v>9.9</v>
      </c>
      <c r="L124">
        <v>3</v>
      </c>
      <c r="M124">
        <v>1.4</v>
      </c>
      <c r="O124">
        <f>IF(temp8[[#This Row],[sierpień]]&lt;I123,O123+1,1)</f>
        <v>2</v>
      </c>
    </row>
    <row r="125" spans="1:15" x14ac:dyDescent="0.25">
      <c r="A125">
        <v>1902</v>
      </c>
      <c r="B125">
        <v>1.4</v>
      </c>
      <c r="C125">
        <v>-1.7</v>
      </c>
      <c r="D125">
        <v>2.1</v>
      </c>
      <c r="E125">
        <v>5.0999999999999996</v>
      </c>
      <c r="F125">
        <v>9.8000000000000007</v>
      </c>
      <c r="G125">
        <v>15.5</v>
      </c>
      <c r="H125">
        <v>16.5</v>
      </c>
      <c r="I125">
        <v>16</v>
      </c>
      <c r="J125">
        <v>12.3</v>
      </c>
      <c r="K125">
        <v>6.3</v>
      </c>
      <c r="L125">
        <v>-0.9</v>
      </c>
      <c r="M125">
        <v>-5.5</v>
      </c>
      <c r="O125">
        <f>IF(temp8[[#This Row],[sierpień]]&lt;I124,O124+1,1)</f>
        <v>3</v>
      </c>
    </row>
    <row r="126" spans="1:15" x14ac:dyDescent="0.25">
      <c r="A126">
        <v>1903</v>
      </c>
      <c r="B126">
        <v>-2.1</v>
      </c>
      <c r="C126">
        <v>2.5</v>
      </c>
      <c r="D126">
        <v>6.1</v>
      </c>
      <c r="E126">
        <v>6</v>
      </c>
      <c r="F126">
        <v>13.8</v>
      </c>
      <c r="G126">
        <v>15.4</v>
      </c>
      <c r="H126">
        <v>17.100000000000001</v>
      </c>
      <c r="I126">
        <v>16.8</v>
      </c>
      <c r="J126">
        <v>14.1</v>
      </c>
      <c r="K126">
        <v>8.6</v>
      </c>
      <c r="L126">
        <v>3.4</v>
      </c>
      <c r="M126">
        <v>-1.5</v>
      </c>
      <c r="O126">
        <f>IF(temp8[[#This Row],[sierpień]]&lt;I125,O125+1,1)</f>
        <v>1</v>
      </c>
    </row>
    <row r="127" spans="1:15" x14ac:dyDescent="0.25">
      <c r="A127">
        <v>1904</v>
      </c>
      <c r="B127">
        <v>-3.6</v>
      </c>
      <c r="C127">
        <v>0.1</v>
      </c>
      <c r="D127">
        <v>0.3</v>
      </c>
      <c r="E127">
        <v>6.6</v>
      </c>
      <c r="F127">
        <v>10</v>
      </c>
      <c r="G127">
        <v>15.3</v>
      </c>
      <c r="H127">
        <v>19.100000000000001</v>
      </c>
      <c r="I127">
        <v>17.399999999999999</v>
      </c>
      <c r="J127">
        <v>11.9</v>
      </c>
      <c r="K127">
        <v>8</v>
      </c>
      <c r="L127">
        <v>1.6</v>
      </c>
      <c r="M127">
        <v>0.5</v>
      </c>
      <c r="O127">
        <f>IF(temp8[[#This Row],[sierpień]]&lt;I126,O126+1,1)</f>
        <v>1</v>
      </c>
    </row>
    <row r="128" spans="1:15" x14ac:dyDescent="0.25">
      <c r="A128">
        <v>1905</v>
      </c>
      <c r="B128">
        <v>-5.7</v>
      </c>
      <c r="C128">
        <v>0.8</v>
      </c>
      <c r="D128">
        <v>2.6</v>
      </c>
      <c r="E128">
        <v>6</v>
      </c>
      <c r="F128">
        <v>13.8</v>
      </c>
      <c r="G128">
        <v>18</v>
      </c>
      <c r="H128">
        <v>19.2</v>
      </c>
      <c r="I128">
        <v>18</v>
      </c>
      <c r="J128">
        <v>13.2</v>
      </c>
      <c r="K128">
        <v>4.5999999999999996</v>
      </c>
      <c r="L128">
        <v>3.8</v>
      </c>
      <c r="M128">
        <v>-0.6</v>
      </c>
      <c r="O128">
        <f>IF(temp8[[#This Row],[sierpień]]&lt;I127,O127+1,1)</f>
        <v>1</v>
      </c>
    </row>
    <row r="129" spans="1:15" x14ac:dyDescent="0.25">
      <c r="A129">
        <v>1906</v>
      </c>
      <c r="B129">
        <v>-1.3</v>
      </c>
      <c r="C129">
        <v>-0.6</v>
      </c>
      <c r="D129">
        <v>2.2000000000000002</v>
      </c>
      <c r="E129">
        <v>9.1999999999999993</v>
      </c>
      <c r="F129">
        <v>15.5</v>
      </c>
      <c r="G129">
        <v>15.6</v>
      </c>
      <c r="H129">
        <v>19.7</v>
      </c>
      <c r="I129">
        <v>16.5</v>
      </c>
      <c r="J129">
        <v>12</v>
      </c>
      <c r="K129">
        <v>7.7</v>
      </c>
      <c r="L129">
        <v>6</v>
      </c>
      <c r="M129">
        <v>-4.0999999999999996</v>
      </c>
      <c r="O129">
        <f>IF(temp8[[#This Row],[sierpień]]&lt;I128,O128+1,1)</f>
        <v>2</v>
      </c>
    </row>
    <row r="130" spans="1:15" x14ac:dyDescent="0.25">
      <c r="A130">
        <v>1907</v>
      </c>
      <c r="B130">
        <v>-4.9000000000000004</v>
      </c>
      <c r="C130">
        <v>-5.0999999999999996</v>
      </c>
      <c r="D130">
        <v>0.6</v>
      </c>
      <c r="E130">
        <v>5.7</v>
      </c>
      <c r="F130">
        <v>14.8</v>
      </c>
      <c r="G130">
        <v>15.8</v>
      </c>
      <c r="H130">
        <v>16</v>
      </c>
      <c r="I130">
        <v>15.5</v>
      </c>
      <c r="J130">
        <v>12.7</v>
      </c>
      <c r="K130">
        <v>12.6</v>
      </c>
      <c r="L130">
        <v>1.3</v>
      </c>
      <c r="M130">
        <v>-2.5</v>
      </c>
      <c r="O130">
        <f>IF(temp8[[#This Row],[sierpień]]&lt;I129,O129+1,1)</f>
        <v>3</v>
      </c>
    </row>
    <row r="131" spans="1:15" x14ac:dyDescent="0.25">
      <c r="A131">
        <v>1908</v>
      </c>
      <c r="B131">
        <v>-2.1</v>
      </c>
      <c r="C131">
        <v>0.3</v>
      </c>
      <c r="D131">
        <v>2</v>
      </c>
      <c r="E131">
        <v>6.4</v>
      </c>
      <c r="F131">
        <v>13.7</v>
      </c>
      <c r="G131">
        <v>17.399999999999999</v>
      </c>
      <c r="H131">
        <v>18.5</v>
      </c>
      <c r="I131">
        <v>16.5</v>
      </c>
      <c r="J131">
        <v>11.6</v>
      </c>
      <c r="K131">
        <v>6.5</v>
      </c>
      <c r="L131">
        <v>-0.5</v>
      </c>
      <c r="M131">
        <v>-2.9</v>
      </c>
      <c r="O131">
        <f>IF(temp8[[#This Row],[sierpień]]&lt;I130,O130+1,1)</f>
        <v>1</v>
      </c>
    </row>
    <row r="132" spans="1:15" x14ac:dyDescent="0.25">
      <c r="A132">
        <v>1909</v>
      </c>
      <c r="B132">
        <v>-3.3</v>
      </c>
      <c r="C132">
        <v>-6</v>
      </c>
      <c r="D132">
        <v>1.5</v>
      </c>
      <c r="E132">
        <v>6.4</v>
      </c>
      <c r="F132">
        <v>11.2</v>
      </c>
      <c r="G132">
        <v>16.3</v>
      </c>
      <c r="H132">
        <v>17.399999999999999</v>
      </c>
      <c r="I132">
        <v>17.3</v>
      </c>
      <c r="J132">
        <v>14.3</v>
      </c>
      <c r="K132">
        <v>10.6</v>
      </c>
      <c r="L132">
        <v>1.6</v>
      </c>
      <c r="M132">
        <v>1.1000000000000001</v>
      </c>
      <c r="O132">
        <f>IF(temp8[[#This Row],[sierpień]]&lt;I131,O131+1,1)</f>
        <v>1</v>
      </c>
    </row>
    <row r="133" spans="1:15" x14ac:dyDescent="0.25">
      <c r="A133">
        <v>1910</v>
      </c>
      <c r="B133">
        <v>0.5</v>
      </c>
      <c r="C133">
        <v>2.7</v>
      </c>
      <c r="D133">
        <v>3.4</v>
      </c>
      <c r="E133">
        <v>8.5</v>
      </c>
      <c r="F133">
        <v>13.8</v>
      </c>
      <c r="G133">
        <v>17.899999999999999</v>
      </c>
      <c r="H133">
        <v>17.600000000000001</v>
      </c>
      <c r="I133">
        <v>16.600000000000001</v>
      </c>
      <c r="J133">
        <v>12.1</v>
      </c>
      <c r="K133">
        <v>7.3</v>
      </c>
      <c r="L133">
        <v>2.2000000000000002</v>
      </c>
      <c r="M133">
        <v>2.4</v>
      </c>
      <c r="O133">
        <f>IF(temp8[[#This Row],[sierpień]]&lt;I132,O132+1,1)</f>
        <v>2</v>
      </c>
    </row>
    <row r="134" spans="1:15" x14ac:dyDescent="0.25">
      <c r="A134">
        <v>1911</v>
      </c>
      <c r="B134">
        <v>-0.5</v>
      </c>
      <c r="C134">
        <v>-3</v>
      </c>
      <c r="D134">
        <v>3.4</v>
      </c>
      <c r="E134">
        <v>7.7</v>
      </c>
      <c r="F134">
        <v>13.8</v>
      </c>
      <c r="G134">
        <v>16</v>
      </c>
      <c r="H134">
        <v>18.8</v>
      </c>
      <c r="I134">
        <v>18.7</v>
      </c>
      <c r="J134">
        <v>14</v>
      </c>
      <c r="K134">
        <v>8.5</v>
      </c>
      <c r="L134">
        <v>4.7</v>
      </c>
      <c r="M134">
        <v>0.7</v>
      </c>
      <c r="O134">
        <f>IF(temp8[[#This Row],[sierpień]]&lt;I133,O133+1,1)</f>
        <v>1</v>
      </c>
    </row>
    <row r="135" spans="1:15" x14ac:dyDescent="0.25">
      <c r="A135">
        <v>1912</v>
      </c>
      <c r="B135">
        <v>-7</v>
      </c>
      <c r="C135">
        <v>-1.3</v>
      </c>
      <c r="D135">
        <v>5.3</v>
      </c>
      <c r="E135">
        <v>5.7</v>
      </c>
      <c r="F135">
        <v>11.3</v>
      </c>
      <c r="G135">
        <v>17.5</v>
      </c>
      <c r="H135">
        <v>18.8</v>
      </c>
      <c r="I135">
        <v>15.9</v>
      </c>
      <c r="J135">
        <v>9.1</v>
      </c>
      <c r="K135">
        <v>5.4</v>
      </c>
      <c r="L135">
        <v>1</v>
      </c>
      <c r="M135">
        <v>2.2999999999999998</v>
      </c>
      <c r="O135">
        <f>IF(temp8[[#This Row],[sierpień]]&lt;I134,O134+1,1)</f>
        <v>2</v>
      </c>
    </row>
    <row r="136" spans="1:15" x14ac:dyDescent="0.25">
      <c r="A136">
        <v>1913</v>
      </c>
      <c r="B136">
        <v>-3.2</v>
      </c>
      <c r="C136">
        <v>-1</v>
      </c>
      <c r="D136">
        <v>5.3</v>
      </c>
      <c r="E136">
        <v>8</v>
      </c>
      <c r="F136">
        <v>12.3</v>
      </c>
      <c r="G136">
        <v>15</v>
      </c>
      <c r="H136">
        <v>16</v>
      </c>
      <c r="I136">
        <v>15.4</v>
      </c>
      <c r="J136">
        <v>13</v>
      </c>
      <c r="K136">
        <v>8.9</v>
      </c>
      <c r="L136">
        <v>4.9000000000000004</v>
      </c>
      <c r="M136">
        <v>1.8</v>
      </c>
      <c r="O136">
        <f>IF(temp8[[#This Row],[sierpień]]&lt;I135,O135+1,1)</f>
        <v>3</v>
      </c>
    </row>
    <row r="137" spans="1:15" x14ac:dyDescent="0.25">
      <c r="A137">
        <v>1914</v>
      </c>
      <c r="B137">
        <v>-5</v>
      </c>
      <c r="C137">
        <v>1.2</v>
      </c>
      <c r="D137">
        <v>4.2</v>
      </c>
      <c r="E137">
        <v>9.4</v>
      </c>
      <c r="F137">
        <v>13.4</v>
      </c>
      <c r="G137">
        <v>16</v>
      </c>
      <c r="H137">
        <v>19</v>
      </c>
      <c r="I137">
        <v>17.3</v>
      </c>
      <c r="J137">
        <v>12.2</v>
      </c>
      <c r="K137">
        <v>6.7</v>
      </c>
      <c r="L137">
        <v>0.9</v>
      </c>
      <c r="M137">
        <v>2.8</v>
      </c>
      <c r="O137">
        <f>IF(temp8[[#This Row],[sierpień]]&lt;I136,O136+1,1)</f>
        <v>1</v>
      </c>
    </row>
    <row r="138" spans="1:15" x14ac:dyDescent="0.25">
      <c r="A138">
        <v>1915</v>
      </c>
      <c r="B138">
        <v>-1.4</v>
      </c>
      <c r="C138">
        <v>-0.4</v>
      </c>
      <c r="D138">
        <v>-0.8</v>
      </c>
      <c r="E138">
        <v>8.3000000000000007</v>
      </c>
      <c r="F138">
        <v>13.5</v>
      </c>
      <c r="G138">
        <v>18</v>
      </c>
      <c r="H138">
        <v>17.899999999999999</v>
      </c>
      <c r="I138">
        <v>16.7</v>
      </c>
      <c r="J138">
        <v>12.1</v>
      </c>
      <c r="K138">
        <v>6.6</v>
      </c>
      <c r="L138">
        <v>1.3</v>
      </c>
      <c r="M138">
        <v>1</v>
      </c>
      <c r="O138">
        <f>IF(temp8[[#This Row],[sierpień]]&lt;I137,O137+1,1)</f>
        <v>2</v>
      </c>
    </row>
    <row r="139" spans="1:15" x14ac:dyDescent="0.25">
      <c r="A139">
        <v>1916</v>
      </c>
      <c r="B139">
        <v>1.4</v>
      </c>
      <c r="C139">
        <v>-0.4</v>
      </c>
      <c r="D139">
        <v>3.5</v>
      </c>
      <c r="E139">
        <v>8.8000000000000007</v>
      </c>
      <c r="F139">
        <v>12.9</v>
      </c>
      <c r="G139">
        <v>15.7</v>
      </c>
      <c r="H139">
        <v>17.899999999999999</v>
      </c>
      <c r="I139">
        <v>16.2</v>
      </c>
      <c r="J139">
        <v>12.1</v>
      </c>
      <c r="K139">
        <v>7</v>
      </c>
      <c r="L139">
        <v>4.3</v>
      </c>
      <c r="M139">
        <v>0.6</v>
      </c>
      <c r="O139">
        <f>IF(temp8[[#This Row],[sierpień]]&lt;I138,O138+1,1)</f>
        <v>3</v>
      </c>
    </row>
    <row r="140" spans="1:15" x14ac:dyDescent="0.25">
      <c r="A140">
        <v>1917</v>
      </c>
      <c r="B140">
        <v>-4.7</v>
      </c>
      <c r="C140">
        <v>-6.5</v>
      </c>
      <c r="D140">
        <v>-3</v>
      </c>
      <c r="E140">
        <v>5.0999999999999996</v>
      </c>
      <c r="F140">
        <v>14</v>
      </c>
      <c r="G140">
        <v>20.5</v>
      </c>
      <c r="H140">
        <v>18.3</v>
      </c>
      <c r="I140">
        <v>19.899999999999999</v>
      </c>
      <c r="J140">
        <v>14.7</v>
      </c>
      <c r="K140">
        <v>9.6</v>
      </c>
      <c r="L140">
        <v>5</v>
      </c>
      <c r="M140">
        <v>-2.2000000000000002</v>
      </c>
      <c r="O140">
        <f>IF(temp8[[#This Row],[sierpień]]&lt;I139,O139+1,1)</f>
        <v>1</v>
      </c>
    </row>
    <row r="141" spans="1:15" x14ac:dyDescent="0.25">
      <c r="A141">
        <v>1918</v>
      </c>
      <c r="B141">
        <v>-1.1000000000000001</v>
      </c>
      <c r="C141">
        <v>-1.2</v>
      </c>
      <c r="D141">
        <v>1.9</v>
      </c>
      <c r="E141">
        <v>13.2</v>
      </c>
      <c r="F141">
        <v>13.5</v>
      </c>
      <c r="G141">
        <v>14.1</v>
      </c>
      <c r="H141">
        <v>18.399999999999999</v>
      </c>
      <c r="I141">
        <v>16.7</v>
      </c>
      <c r="J141">
        <v>14</v>
      </c>
      <c r="K141">
        <v>10</v>
      </c>
      <c r="L141">
        <v>2.2000000000000002</v>
      </c>
      <c r="M141">
        <v>-1.1000000000000001</v>
      </c>
      <c r="O141">
        <f>IF(temp8[[#This Row],[sierpień]]&lt;I140,O140+1,1)</f>
        <v>2</v>
      </c>
    </row>
    <row r="142" spans="1:15" x14ac:dyDescent="0.25">
      <c r="A142">
        <v>1919</v>
      </c>
      <c r="B142">
        <v>-1.4</v>
      </c>
      <c r="C142">
        <v>-1.6</v>
      </c>
      <c r="D142">
        <v>1.5</v>
      </c>
      <c r="E142">
        <v>7.2</v>
      </c>
      <c r="F142">
        <v>10.7</v>
      </c>
      <c r="G142">
        <v>15.9</v>
      </c>
      <c r="H142">
        <v>16.7</v>
      </c>
      <c r="I142">
        <v>15.5</v>
      </c>
      <c r="J142">
        <v>15.6</v>
      </c>
      <c r="K142">
        <v>6.8</v>
      </c>
      <c r="L142">
        <v>-3.4</v>
      </c>
      <c r="M142">
        <v>-1.9</v>
      </c>
      <c r="O142">
        <f>IF(temp8[[#This Row],[sierpień]]&lt;I141,O141+1,1)</f>
        <v>3</v>
      </c>
    </row>
    <row r="143" spans="1:15" x14ac:dyDescent="0.25">
      <c r="A143">
        <v>1920</v>
      </c>
      <c r="B143">
        <v>-1.8</v>
      </c>
      <c r="C143">
        <v>0.7</v>
      </c>
      <c r="D143">
        <v>4.9000000000000004</v>
      </c>
      <c r="E143">
        <v>12.5</v>
      </c>
      <c r="F143">
        <v>15.5</v>
      </c>
      <c r="G143">
        <v>15.4</v>
      </c>
      <c r="H143">
        <v>20.399999999999999</v>
      </c>
      <c r="I143">
        <v>17.2</v>
      </c>
      <c r="J143">
        <v>13.5</v>
      </c>
      <c r="K143">
        <v>4.0999999999999996</v>
      </c>
      <c r="L143">
        <v>0.1</v>
      </c>
      <c r="M143">
        <v>-2.8</v>
      </c>
      <c r="O143">
        <f>IF(temp8[[#This Row],[sierpień]]&lt;I142,O142+1,1)</f>
        <v>1</v>
      </c>
    </row>
    <row r="144" spans="1:15" x14ac:dyDescent="0.25">
      <c r="A144">
        <v>1921</v>
      </c>
      <c r="B144">
        <v>2.6</v>
      </c>
      <c r="C144">
        <v>-2.5</v>
      </c>
      <c r="D144">
        <v>6.3</v>
      </c>
      <c r="E144">
        <v>9.1999999999999993</v>
      </c>
      <c r="F144">
        <v>16.5</v>
      </c>
      <c r="G144">
        <v>16.399999999999999</v>
      </c>
      <c r="H144">
        <v>20.2</v>
      </c>
      <c r="I144">
        <v>19.3</v>
      </c>
      <c r="J144">
        <v>13.3</v>
      </c>
      <c r="K144">
        <v>9.6</v>
      </c>
      <c r="L144">
        <v>-1.2</v>
      </c>
      <c r="M144">
        <v>-2.6</v>
      </c>
      <c r="O144">
        <f>IF(temp8[[#This Row],[sierpień]]&lt;I143,O143+1,1)</f>
        <v>1</v>
      </c>
    </row>
    <row r="145" spans="1:15" x14ac:dyDescent="0.25">
      <c r="A145">
        <v>1922</v>
      </c>
      <c r="B145">
        <v>-5.9</v>
      </c>
      <c r="C145">
        <v>-3.8</v>
      </c>
      <c r="D145">
        <v>3</v>
      </c>
      <c r="E145">
        <v>7</v>
      </c>
      <c r="F145">
        <v>14.3</v>
      </c>
      <c r="G145">
        <v>17.600000000000001</v>
      </c>
      <c r="H145">
        <v>18.7</v>
      </c>
      <c r="I145">
        <v>17</v>
      </c>
      <c r="J145">
        <v>11.8</v>
      </c>
      <c r="K145">
        <v>4.9000000000000004</v>
      </c>
      <c r="L145">
        <v>0.8</v>
      </c>
      <c r="M145">
        <v>0.8</v>
      </c>
      <c r="O145">
        <f>IF(temp8[[#This Row],[sierpień]]&lt;I144,O144+1,1)</f>
        <v>2</v>
      </c>
    </row>
    <row r="146" spans="1:15" x14ac:dyDescent="0.25">
      <c r="A146">
        <v>1923</v>
      </c>
      <c r="B146">
        <v>0.3</v>
      </c>
      <c r="C146">
        <v>-3.1</v>
      </c>
      <c r="D146">
        <v>3.2</v>
      </c>
      <c r="E146">
        <v>6.3</v>
      </c>
      <c r="F146">
        <v>13.7</v>
      </c>
      <c r="G146">
        <v>13</v>
      </c>
      <c r="H146">
        <v>18.7</v>
      </c>
      <c r="I146">
        <v>15</v>
      </c>
      <c r="J146">
        <v>14.4</v>
      </c>
      <c r="K146">
        <v>10.3</v>
      </c>
      <c r="L146">
        <v>3.5</v>
      </c>
      <c r="M146">
        <v>-1.6</v>
      </c>
      <c r="O146">
        <f>IF(temp8[[#This Row],[sierpień]]&lt;I145,O145+1,1)</f>
        <v>3</v>
      </c>
    </row>
    <row r="147" spans="1:15" x14ac:dyDescent="0.25">
      <c r="A147">
        <v>1924</v>
      </c>
      <c r="B147">
        <v>-6.8</v>
      </c>
      <c r="C147">
        <v>-5.6</v>
      </c>
      <c r="D147">
        <v>-1</v>
      </c>
      <c r="E147">
        <v>5.7</v>
      </c>
      <c r="F147">
        <v>15.4</v>
      </c>
      <c r="G147">
        <v>17.600000000000001</v>
      </c>
      <c r="H147">
        <v>17.5</v>
      </c>
      <c r="I147">
        <v>17</v>
      </c>
      <c r="J147">
        <v>14.9</v>
      </c>
      <c r="K147">
        <v>8.6</v>
      </c>
      <c r="L147">
        <v>2</v>
      </c>
      <c r="M147">
        <v>-1.8</v>
      </c>
      <c r="O147">
        <f>IF(temp8[[#This Row],[sierpień]]&lt;I146,O146+1,1)</f>
        <v>1</v>
      </c>
    </row>
    <row r="148" spans="1:15" x14ac:dyDescent="0.25">
      <c r="A148">
        <v>1925</v>
      </c>
      <c r="B148">
        <v>1.3</v>
      </c>
      <c r="C148">
        <v>3.4</v>
      </c>
      <c r="D148">
        <v>1.2</v>
      </c>
      <c r="E148">
        <v>8.9</v>
      </c>
      <c r="F148">
        <v>16.3</v>
      </c>
      <c r="G148">
        <v>14.6</v>
      </c>
      <c r="H148">
        <v>18.8</v>
      </c>
      <c r="I148">
        <v>17.2</v>
      </c>
      <c r="J148">
        <v>12.1</v>
      </c>
      <c r="K148">
        <v>7</v>
      </c>
      <c r="L148">
        <v>2.5</v>
      </c>
      <c r="M148">
        <v>-1.2</v>
      </c>
      <c r="O148">
        <f>IF(temp8[[#This Row],[sierpień]]&lt;I147,O147+1,1)</f>
        <v>1</v>
      </c>
    </row>
    <row r="149" spans="1:15" x14ac:dyDescent="0.25">
      <c r="A149">
        <v>1926</v>
      </c>
      <c r="B149">
        <v>-2.4</v>
      </c>
      <c r="C149">
        <v>0.4</v>
      </c>
      <c r="D149">
        <v>1.8</v>
      </c>
      <c r="E149">
        <v>9.6</v>
      </c>
      <c r="F149">
        <v>13.2</v>
      </c>
      <c r="G149">
        <v>16.399999999999999</v>
      </c>
      <c r="H149">
        <v>19.7</v>
      </c>
      <c r="I149">
        <v>15.8</v>
      </c>
      <c r="J149">
        <v>13.8</v>
      </c>
      <c r="K149">
        <v>7.1</v>
      </c>
      <c r="L149">
        <v>7.6</v>
      </c>
      <c r="M149">
        <v>-1.9</v>
      </c>
      <c r="O149">
        <f>IF(temp8[[#This Row],[sierpień]]&lt;I148,O148+1,1)</f>
        <v>2</v>
      </c>
    </row>
    <row r="150" spans="1:15" x14ac:dyDescent="0.25">
      <c r="A150">
        <v>1927</v>
      </c>
      <c r="B150">
        <v>-2.2999999999999998</v>
      </c>
      <c r="C150">
        <v>-2.5</v>
      </c>
      <c r="D150">
        <v>5.5</v>
      </c>
      <c r="E150">
        <v>6.7</v>
      </c>
      <c r="F150">
        <v>10.5</v>
      </c>
      <c r="G150">
        <v>16.5</v>
      </c>
      <c r="H150">
        <v>20</v>
      </c>
      <c r="I150">
        <v>18.399999999999999</v>
      </c>
      <c r="J150">
        <v>14.3</v>
      </c>
      <c r="K150">
        <v>8.4</v>
      </c>
      <c r="L150">
        <v>1.4</v>
      </c>
      <c r="M150">
        <v>-6.1</v>
      </c>
      <c r="O150">
        <f>IF(temp8[[#This Row],[sierpień]]&lt;I149,O149+1,1)</f>
        <v>1</v>
      </c>
    </row>
    <row r="151" spans="1:15" x14ac:dyDescent="0.25">
      <c r="A151">
        <v>1928</v>
      </c>
      <c r="B151">
        <v>-0.9</v>
      </c>
      <c r="C151">
        <v>-1.4</v>
      </c>
      <c r="D151">
        <v>0</v>
      </c>
      <c r="E151">
        <v>7.6</v>
      </c>
      <c r="F151">
        <v>12</v>
      </c>
      <c r="G151">
        <v>14.6</v>
      </c>
      <c r="H151">
        <v>19.3</v>
      </c>
      <c r="I151">
        <v>16.399999999999999</v>
      </c>
      <c r="J151">
        <v>13.6</v>
      </c>
      <c r="K151">
        <v>8.6</v>
      </c>
      <c r="L151">
        <v>6.3</v>
      </c>
      <c r="M151">
        <v>-2.4</v>
      </c>
      <c r="O151">
        <f>IF(temp8[[#This Row],[sierpień]]&lt;I150,O150+1,1)</f>
        <v>2</v>
      </c>
    </row>
    <row r="152" spans="1:15" x14ac:dyDescent="0.25">
      <c r="A152">
        <v>1929</v>
      </c>
      <c r="B152">
        <v>-6.9</v>
      </c>
      <c r="C152">
        <v>-13.7</v>
      </c>
      <c r="D152">
        <v>-1.5</v>
      </c>
      <c r="E152">
        <v>2.9</v>
      </c>
      <c r="F152">
        <v>16</v>
      </c>
      <c r="G152">
        <v>15.2</v>
      </c>
      <c r="H152">
        <v>18.3</v>
      </c>
      <c r="I152">
        <v>18.600000000000001</v>
      </c>
      <c r="J152">
        <v>13.7</v>
      </c>
      <c r="K152">
        <v>10.9</v>
      </c>
      <c r="L152">
        <v>4.5</v>
      </c>
      <c r="M152">
        <v>1.6</v>
      </c>
      <c r="O152">
        <f>IF(temp8[[#This Row],[sierpień]]&lt;I151,O151+1,1)</f>
        <v>1</v>
      </c>
    </row>
    <row r="153" spans="1:15" x14ac:dyDescent="0.25">
      <c r="A153">
        <v>1930</v>
      </c>
      <c r="B153">
        <v>0.3</v>
      </c>
      <c r="C153">
        <v>-0.6</v>
      </c>
      <c r="D153">
        <v>3</v>
      </c>
      <c r="E153">
        <v>9.6</v>
      </c>
      <c r="F153">
        <v>13.7</v>
      </c>
      <c r="G153">
        <v>19.3</v>
      </c>
      <c r="H153">
        <v>18</v>
      </c>
      <c r="I153">
        <v>16.7</v>
      </c>
      <c r="J153">
        <v>13.1</v>
      </c>
      <c r="K153">
        <v>9.1</v>
      </c>
      <c r="L153">
        <v>4.9000000000000004</v>
      </c>
      <c r="M153">
        <v>-2.8</v>
      </c>
      <c r="O153">
        <f>IF(temp8[[#This Row],[sierpień]]&lt;I152,O152+1,1)</f>
        <v>2</v>
      </c>
    </row>
    <row r="154" spans="1:15" x14ac:dyDescent="0.25">
      <c r="A154">
        <v>1931</v>
      </c>
      <c r="B154">
        <v>-1.8</v>
      </c>
      <c r="C154">
        <v>-3.3</v>
      </c>
      <c r="D154">
        <v>-0.7</v>
      </c>
      <c r="E154">
        <v>5.5</v>
      </c>
      <c r="F154">
        <v>17.8</v>
      </c>
      <c r="G154">
        <v>17</v>
      </c>
      <c r="H154">
        <v>19</v>
      </c>
      <c r="I154">
        <v>17.399999999999999</v>
      </c>
      <c r="J154">
        <v>11.1</v>
      </c>
      <c r="K154">
        <v>7</v>
      </c>
      <c r="L154">
        <v>2</v>
      </c>
      <c r="M154">
        <v>-0.5</v>
      </c>
      <c r="O154">
        <f>IF(temp8[[#This Row],[sierpień]]&lt;I153,O153+1,1)</f>
        <v>1</v>
      </c>
    </row>
    <row r="155" spans="1:15" x14ac:dyDescent="0.25">
      <c r="A155">
        <v>1932</v>
      </c>
      <c r="B155">
        <v>-0.6</v>
      </c>
      <c r="C155">
        <v>-5.6</v>
      </c>
      <c r="D155">
        <v>-2</v>
      </c>
      <c r="E155">
        <v>8.1999999999999993</v>
      </c>
      <c r="F155">
        <v>15.8</v>
      </c>
      <c r="G155">
        <v>15.7</v>
      </c>
      <c r="H155">
        <v>21.4</v>
      </c>
      <c r="I155">
        <v>19.3</v>
      </c>
      <c r="J155">
        <v>16.100000000000001</v>
      </c>
      <c r="K155">
        <v>9.4</v>
      </c>
      <c r="L155">
        <v>3.3</v>
      </c>
      <c r="M155">
        <v>0.4</v>
      </c>
      <c r="O155">
        <f>IF(temp8[[#This Row],[sierpień]]&lt;I154,O154+1,1)</f>
        <v>1</v>
      </c>
    </row>
    <row r="156" spans="1:15" x14ac:dyDescent="0.25">
      <c r="A156">
        <v>1933</v>
      </c>
      <c r="B156">
        <v>-7.3</v>
      </c>
      <c r="C156">
        <v>-2</v>
      </c>
      <c r="D156">
        <v>2.9</v>
      </c>
      <c r="E156">
        <v>5.0999999999999996</v>
      </c>
      <c r="F156">
        <v>11.9</v>
      </c>
      <c r="G156">
        <v>15.4</v>
      </c>
      <c r="H156">
        <v>19.7</v>
      </c>
      <c r="I156">
        <v>17</v>
      </c>
      <c r="J156">
        <v>13.2</v>
      </c>
      <c r="K156">
        <v>8.5</v>
      </c>
      <c r="L156">
        <v>1.5</v>
      </c>
      <c r="M156">
        <v>-6.5</v>
      </c>
      <c r="O156">
        <f>IF(temp8[[#This Row],[sierpień]]&lt;I155,O155+1,1)</f>
        <v>2</v>
      </c>
    </row>
    <row r="157" spans="1:15" x14ac:dyDescent="0.25">
      <c r="A157">
        <v>1934</v>
      </c>
      <c r="B157">
        <v>-2.2999999999999998</v>
      </c>
      <c r="C157">
        <v>0.2</v>
      </c>
      <c r="D157">
        <v>4.5</v>
      </c>
      <c r="E157">
        <v>11.1</v>
      </c>
      <c r="F157">
        <v>15.4</v>
      </c>
      <c r="G157">
        <v>17.3</v>
      </c>
      <c r="H157">
        <v>18.2</v>
      </c>
      <c r="I157">
        <v>18.399999999999999</v>
      </c>
      <c r="J157">
        <v>15.6</v>
      </c>
      <c r="K157">
        <v>10.1</v>
      </c>
      <c r="L157">
        <v>5.6</v>
      </c>
      <c r="M157">
        <v>-0.6</v>
      </c>
      <c r="O157">
        <f>IF(temp8[[#This Row],[sierpień]]&lt;I156,O156+1,1)</f>
        <v>1</v>
      </c>
    </row>
    <row r="158" spans="1:15" x14ac:dyDescent="0.25">
      <c r="A158">
        <v>1935</v>
      </c>
      <c r="B158">
        <v>-5.4</v>
      </c>
      <c r="C158">
        <v>-0.6</v>
      </c>
      <c r="D158">
        <v>1.1000000000000001</v>
      </c>
      <c r="E158">
        <v>8.1</v>
      </c>
      <c r="F158">
        <v>11.3</v>
      </c>
      <c r="G158">
        <v>18.899999999999999</v>
      </c>
      <c r="H158">
        <v>17.100000000000001</v>
      </c>
      <c r="I158">
        <v>17.600000000000001</v>
      </c>
      <c r="J158">
        <v>14</v>
      </c>
      <c r="K158">
        <v>9.8000000000000007</v>
      </c>
      <c r="L158">
        <v>3.2</v>
      </c>
      <c r="M158">
        <v>0.1</v>
      </c>
      <c r="O158">
        <f>IF(temp8[[#This Row],[sierpień]]&lt;I157,O157+1,1)</f>
        <v>2</v>
      </c>
    </row>
    <row r="159" spans="1:15" x14ac:dyDescent="0.25">
      <c r="A159">
        <v>1936</v>
      </c>
      <c r="B159">
        <v>2</v>
      </c>
      <c r="C159">
        <v>-3.1</v>
      </c>
      <c r="D159">
        <v>4.5999999999999996</v>
      </c>
      <c r="E159">
        <v>8</v>
      </c>
      <c r="F159">
        <v>16.100000000000001</v>
      </c>
      <c r="G159">
        <v>17.899999999999999</v>
      </c>
      <c r="H159">
        <v>20.7</v>
      </c>
      <c r="I159">
        <v>16.600000000000001</v>
      </c>
      <c r="J159">
        <v>12.8</v>
      </c>
      <c r="K159">
        <v>5.3</v>
      </c>
      <c r="L159">
        <v>2.8</v>
      </c>
      <c r="M159">
        <v>0.8</v>
      </c>
      <c r="O159">
        <f>IF(temp8[[#This Row],[sierpień]]&lt;I158,O158+1,1)</f>
        <v>3</v>
      </c>
    </row>
    <row r="160" spans="1:15" x14ac:dyDescent="0.25">
      <c r="A160">
        <v>1937</v>
      </c>
      <c r="B160">
        <v>-6.6</v>
      </c>
      <c r="C160">
        <v>-0.9</v>
      </c>
      <c r="D160">
        <v>2.8</v>
      </c>
      <c r="E160">
        <v>8.6</v>
      </c>
      <c r="F160">
        <v>18.2</v>
      </c>
      <c r="G160">
        <v>18.8</v>
      </c>
      <c r="H160">
        <v>18.899999999999999</v>
      </c>
      <c r="I160">
        <v>19.3</v>
      </c>
      <c r="J160">
        <v>15.6</v>
      </c>
      <c r="K160">
        <v>9.1</v>
      </c>
      <c r="L160">
        <v>3.3</v>
      </c>
      <c r="M160">
        <v>-1.7</v>
      </c>
      <c r="O160">
        <f>IF(temp8[[#This Row],[sierpień]]&lt;I159,O159+1,1)</f>
        <v>1</v>
      </c>
    </row>
    <row r="161" spans="1:15" x14ac:dyDescent="0.25">
      <c r="A161">
        <v>1938</v>
      </c>
      <c r="B161">
        <v>-1.9</v>
      </c>
      <c r="C161">
        <v>-0.2</v>
      </c>
      <c r="D161">
        <v>6.3</v>
      </c>
      <c r="E161">
        <v>5.3</v>
      </c>
      <c r="F161">
        <v>12.9</v>
      </c>
      <c r="G161">
        <v>17.899999999999999</v>
      </c>
      <c r="H161">
        <v>19.5</v>
      </c>
      <c r="I161">
        <v>20</v>
      </c>
      <c r="J161">
        <v>14.1</v>
      </c>
      <c r="K161">
        <v>9.6999999999999993</v>
      </c>
      <c r="L161">
        <v>5.7</v>
      </c>
      <c r="M161">
        <v>-4.4000000000000004</v>
      </c>
      <c r="O161">
        <f>IF(temp8[[#This Row],[sierpień]]&lt;I160,O160+1,1)</f>
        <v>1</v>
      </c>
    </row>
    <row r="162" spans="1:15" x14ac:dyDescent="0.25">
      <c r="A162">
        <v>1939</v>
      </c>
      <c r="B162">
        <v>0.7</v>
      </c>
      <c r="C162">
        <v>2.2000000000000002</v>
      </c>
      <c r="D162">
        <v>1.3</v>
      </c>
      <c r="E162">
        <v>10.4</v>
      </c>
      <c r="F162">
        <v>12.6</v>
      </c>
      <c r="G162">
        <v>19.100000000000001</v>
      </c>
      <c r="H162">
        <v>21</v>
      </c>
      <c r="I162">
        <v>21.7</v>
      </c>
      <c r="J162">
        <v>14.1</v>
      </c>
      <c r="K162">
        <v>6</v>
      </c>
      <c r="L162">
        <v>3.8</v>
      </c>
      <c r="M162">
        <v>-3</v>
      </c>
      <c r="O162">
        <f>IF(temp8[[#This Row],[sierpień]]&lt;I161,O161+1,1)</f>
        <v>1</v>
      </c>
    </row>
    <row r="163" spans="1:15" x14ac:dyDescent="0.25">
      <c r="A163">
        <v>1940</v>
      </c>
      <c r="B163">
        <v>-12.1</v>
      </c>
      <c r="C163">
        <v>-11.4</v>
      </c>
      <c r="D163">
        <v>-1.3</v>
      </c>
      <c r="E163">
        <v>7.6</v>
      </c>
      <c r="F163">
        <v>13.9</v>
      </c>
      <c r="G163">
        <v>20</v>
      </c>
      <c r="H163">
        <v>18.899999999999999</v>
      </c>
      <c r="I163">
        <v>15.8</v>
      </c>
      <c r="J163">
        <v>12.9</v>
      </c>
      <c r="K163">
        <v>6.2</v>
      </c>
      <c r="L163">
        <v>5.2</v>
      </c>
      <c r="M163">
        <v>-4.7</v>
      </c>
      <c r="O163">
        <f>IF(temp8[[#This Row],[sierpień]]&lt;I162,O162+1,1)</f>
        <v>2</v>
      </c>
    </row>
    <row r="164" spans="1:15" x14ac:dyDescent="0.25">
      <c r="A164">
        <v>1941</v>
      </c>
      <c r="B164">
        <v>-9.1999999999999993</v>
      </c>
      <c r="C164">
        <v>-1.7</v>
      </c>
      <c r="D164">
        <v>1.4</v>
      </c>
      <c r="E164">
        <v>5.4</v>
      </c>
      <c r="F164">
        <v>10.7</v>
      </c>
      <c r="G164">
        <v>17.3</v>
      </c>
      <c r="H164">
        <v>20.100000000000001</v>
      </c>
      <c r="I164">
        <v>17.100000000000001</v>
      </c>
      <c r="J164">
        <v>11.6</v>
      </c>
      <c r="K164">
        <v>6.2</v>
      </c>
      <c r="L164">
        <v>-1.8</v>
      </c>
      <c r="M164">
        <v>-0.1</v>
      </c>
      <c r="O164">
        <f>IF(temp8[[#This Row],[sierpień]]&lt;I163,O163+1,1)</f>
        <v>1</v>
      </c>
    </row>
    <row r="165" spans="1:15" x14ac:dyDescent="0.25">
      <c r="A165">
        <v>1942</v>
      </c>
      <c r="B165">
        <v>-10.9</v>
      </c>
      <c r="C165">
        <v>-6.2</v>
      </c>
      <c r="D165">
        <v>-3.7</v>
      </c>
      <c r="E165">
        <v>7.1</v>
      </c>
      <c r="F165">
        <v>13.2</v>
      </c>
      <c r="G165">
        <v>16.2</v>
      </c>
      <c r="H165">
        <v>18</v>
      </c>
      <c r="I165">
        <v>20.5</v>
      </c>
      <c r="J165">
        <v>16.8</v>
      </c>
      <c r="K165">
        <v>9.8000000000000007</v>
      </c>
      <c r="L165">
        <v>1.6</v>
      </c>
      <c r="M165">
        <v>1.3</v>
      </c>
      <c r="O165">
        <f>IF(temp8[[#This Row],[sierpień]]&lt;I164,O164+1,1)</f>
        <v>1</v>
      </c>
    </row>
    <row r="166" spans="1:15" x14ac:dyDescent="0.25">
      <c r="A166">
        <v>1943</v>
      </c>
      <c r="B166">
        <v>-6</v>
      </c>
      <c r="C166">
        <v>2</v>
      </c>
      <c r="D166">
        <v>3.9</v>
      </c>
      <c r="E166">
        <v>9.6999999999999993</v>
      </c>
      <c r="F166">
        <v>13</v>
      </c>
      <c r="G166">
        <v>16.600000000000001</v>
      </c>
      <c r="H166">
        <v>18.2</v>
      </c>
      <c r="I166">
        <v>19.5</v>
      </c>
      <c r="J166">
        <v>14.8</v>
      </c>
      <c r="K166">
        <v>9.3000000000000007</v>
      </c>
      <c r="L166">
        <v>2.8</v>
      </c>
      <c r="M166">
        <v>-1.2</v>
      </c>
      <c r="O166">
        <f>IF(temp8[[#This Row],[sierpień]]&lt;I165,O165+1,1)</f>
        <v>2</v>
      </c>
    </row>
    <row r="167" spans="1:15" x14ac:dyDescent="0.25">
      <c r="A167">
        <v>1944</v>
      </c>
      <c r="B167">
        <v>1.5</v>
      </c>
      <c r="C167">
        <v>-1</v>
      </c>
      <c r="D167">
        <v>0.5</v>
      </c>
      <c r="E167">
        <v>6.9</v>
      </c>
      <c r="F167">
        <v>13.1</v>
      </c>
      <c r="G167">
        <v>16.2</v>
      </c>
      <c r="H167">
        <v>20.2</v>
      </c>
      <c r="I167">
        <v>19.399999999999999</v>
      </c>
      <c r="J167">
        <v>13.3</v>
      </c>
      <c r="K167">
        <v>9.9</v>
      </c>
      <c r="L167">
        <v>2.4</v>
      </c>
      <c r="M167">
        <v>-1.8</v>
      </c>
      <c r="O167">
        <f>IF(temp8[[#This Row],[sierpień]]&lt;I166,O166+1,1)</f>
        <v>3</v>
      </c>
    </row>
    <row r="168" spans="1:15" x14ac:dyDescent="0.25">
      <c r="A168">
        <v>1945</v>
      </c>
      <c r="B168">
        <v>-4.9000000000000004</v>
      </c>
      <c r="C168">
        <v>0.3</v>
      </c>
      <c r="D168">
        <v>2.8</v>
      </c>
      <c r="E168">
        <v>7.8</v>
      </c>
      <c r="F168">
        <v>12.9</v>
      </c>
      <c r="G168">
        <v>16.3</v>
      </c>
      <c r="H168">
        <v>18.5</v>
      </c>
      <c r="I168">
        <v>18</v>
      </c>
      <c r="J168">
        <v>13.9</v>
      </c>
      <c r="K168">
        <v>8.1999999999999993</v>
      </c>
      <c r="L168">
        <v>2.7</v>
      </c>
      <c r="M168">
        <v>-1.3</v>
      </c>
      <c r="O168">
        <f>IF(temp8[[#This Row],[sierpień]]&lt;I167,O167+1,1)</f>
        <v>4</v>
      </c>
    </row>
    <row r="169" spans="1:15" x14ac:dyDescent="0.25">
      <c r="A169">
        <v>1946</v>
      </c>
      <c r="B169">
        <v>-2.8</v>
      </c>
      <c r="C169">
        <v>-0.7</v>
      </c>
      <c r="D169">
        <v>2.4</v>
      </c>
      <c r="E169">
        <v>9.8000000000000007</v>
      </c>
      <c r="F169">
        <v>16.100000000000001</v>
      </c>
      <c r="G169">
        <v>17.8</v>
      </c>
      <c r="H169">
        <v>20.5</v>
      </c>
      <c r="I169">
        <v>18.100000000000001</v>
      </c>
      <c r="J169">
        <v>14.2</v>
      </c>
      <c r="K169">
        <v>4.8</v>
      </c>
      <c r="L169">
        <v>0.8</v>
      </c>
      <c r="M169">
        <v>-3.9</v>
      </c>
      <c r="O169">
        <f>IF(temp8[[#This Row],[sierpień]]&lt;I168,O168+1,1)</f>
        <v>1</v>
      </c>
    </row>
    <row r="170" spans="1:15" x14ac:dyDescent="0.25">
      <c r="A170">
        <v>1947</v>
      </c>
      <c r="B170">
        <v>-7.8</v>
      </c>
      <c r="C170">
        <v>-10.8</v>
      </c>
      <c r="D170">
        <v>0.2</v>
      </c>
      <c r="E170">
        <v>8.9</v>
      </c>
      <c r="F170">
        <v>15.9</v>
      </c>
      <c r="G170">
        <v>19.100000000000001</v>
      </c>
      <c r="H170">
        <v>20.2</v>
      </c>
      <c r="I170">
        <v>16.8</v>
      </c>
      <c r="J170">
        <v>15.9</v>
      </c>
      <c r="K170">
        <v>6.3</v>
      </c>
      <c r="L170">
        <v>4.2</v>
      </c>
      <c r="M170">
        <v>0.9</v>
      </c>
      <c r="O170">
        <f>IF(temp8[[#This Row],[sierpień]]&lt;I169,O169+1,1)</f>
        <v>2</v>
      </c>
    </row>
    <row r="171" spans="1:15" x14ac:dyDescent="0.25">
      <c r="A171">
        <v>1948</v>
      </c>
      <c r="B171">
        <v>1.1000000000000001</v>
      </c>
      <c r="C171">
        <v>-2.6</v>
      </c>
      <c r="D171">
        <v>2.9</v>
      </c>
      <c r="E171">
        <v>10.5</v>
      </c>
      <c r="F171">
        <v>15.2</v>
      </c>
      <c r="G171">
        <v>16.5</v>
      </c>
      <c r="H171">
        <v>17.899999999999999</v>
      </c>
      <c r="I171">
        <v>17.8</v>
      </c>
      <c r="J171">
        <v>14.9</v>
      </c>
      <c r="K171">
        <v>8.1999999999999993</v>
      </c>
      <c r="L171">
        <v>3</v>
      </c>
      <c r="M171">
        <v>-0.7</v>
      </c>
      <c r="O171">
        <f>IF(temp8[[#This Row],[sierpień]]&lt;I170,O170+1,1)</f>
        <v>1</v>
      </c>
    </row>
    <row r="172" spans="1:15" x14ac:dyDescent="0.25">
      <c r="A172">
        <v>1949</v>
      </c>
      <c r="B172">
        <v>-0.1</v>
      </c>
      <c r="C172">
        <v>0.1</v>
      </c>
      <c r="D172">
        <v>-0.4</v>
      </c>
      <c r="E172">
        <v>9.6999999999999993</v>
      </c>
      <c r="F172">
        <v>15.8</v>
      </c>
      <c r="G172">
        <v>15.8</v>
      </c>
      <c r="H172">
        <v>18.600000000000001</v>
      </c>
      <c r="I172">
        <v>16.899999999999999</v>
      </c>
      <c r="J172">
        <v>15.3</v>
      </c>
      <c r="K172">
        <v>9</v>
      </c>
      <c r="L172">
        <v>4.4000000000000004</v>
      </c>
      <c r="M172">
        <v>2.5</v>
      </c>
      <c r="O172">
        <f>IF(temp8[[#This Row],[sierpień]]&lt;I171,O171+1,1)</f>
        <v>2</v>
      </c>
    </row>
    <row r="173" spans="1:15" x14ac:dyDescent="0.25">
      <c r="A173">
        <v>1950</v>
      </c>
      <c r="B173">
        <v>-6.8</v>
      </c>
      <c r="C173">
        <v>1.2</v>
      </c>
      <c r="D173">
        <v>3.1</v>
      </c>
      <c r="E173">
        <v>9.9</v>
      </c>
      <c r="F173">
        <v>16.100000000000001</v>
      </c>
      <c r="G173">
        <v>17.899999999999999</v>
      </c>
      <c r="H173">
        <v>18.5</v>
      </c>
      <c r="I173">
        <v>18.3</v>
      </c>
      <c r="J173">
        <v>13.6</v>
      </c>
      <c r="K173">
        <v>7.5</v>
      </c>
      <c r="L173">
        <v>3.8</v>
      </c>
      <c r="M173">
        <v>0.4</v>
      </c>
      <c r="O173">
        <f>IF(temp8[[#This Row],[sierpień]]&lt;I172,O172+1,1)</f>
        <v>1</v>
      </c>
    </row>
    <row r="174" spans="1:15" x14ac:dyDescent="0.25">
      <c r="A174">
        <v>1951</v>
      </c>
      <c r="B174">
        <v>-1.8</v>
      </c>
      <c r="C174">
        <v>-0.7</v>
      </c>
      <c r="D174">
        <v>0.6</v>
      </c>
      <c r="E174">
        <v>9.3000000000000007</v>
      </c>
      <c r="F174">
        <v>12.6</v>
      </c>
      <c r="G174">
        <v>18.3</v>
      </c>
      <c r="H174">
        <v>19</v>
      </c>
      <c r="I174">
        <v>20.399999999999999</v>
      </c>
      <c r="J174">
        <v>15.8</v>
      </c>
      <c r="K174">
        <v>6.7</v>
      </c>
      <c r="L174">
        <v>5.7</v>
      </c>
      <c r="M174">
        <v>2.1</v>
      </c>
      <c r="O174">
        <f>IF(temp8[[#This Row],[sierpień]]&lt;I173,O173+1,1)</f>
        <v>1</v>
      </c>
    </row>
    <row r="175" spans="1:15" x14ac:dyDescent="0.25">
      <c r="A175">
        <v>1952</v>
      </c>
      <c r="B175">
        <v>-0.1</v>
      </c>
      <c r="C175">
        <v>-1.8</v>
      </c>
      <c r="D175">
        <v>-2.9</v>
      </c>
      <c r="E175">
        <v>11</v>
      </c>
      <c r="F175">
        <v>12.1</v>
      </c>
      <c r="G175">
        <v>16.2</v>
      </c>
      <c r="H175">
        <v>19.5</v>
      </c>
      <c r="I175">
        <v>19.2</v>
      </c>
      <c r="J175">
        <v>11.8</v>
      </c>
      <c r="K175">
        <v>7.2</v>
      </c>
      <c r="L175">
        <v>1.8</v>
      </c>
      <c r="M175">
        <v>-1.3</v>
      </c>
      <c r="O175">
        <f>IF(temp8[[#This Row],[sierpień]]&lt;I174,O174+1,1)</f>
        <v>2</v>
      </c>
    </row>
    <row r="176" spans="1:15" x14ac:dyDescent="0.25">
      <c r="A176">
        <v>1953</v>
      </c>
      <c r="B176">
        <v>-1.8</v>
      </c>
      <c r="C176">
        <v>-2.2000000000000002</v>
      </c>
      <c r="D176">
        <v>2.9</v>
      </c>
      <c r="E176">
        <v>9.3000000000000007</v>
      </c>
      <c r="F176">
        <v>14</v>
      </c>
      <c r="G176">
        <v>18.8</v>
      </c>
      <c r="H176">
        <v>20.6</v>
      </c>
      <c r="I176">
        <v>17.600000000000001</v>
      </c>
      <c r="J176">
        <v>13.7</v>
      </c>
      <c r="K176">
        <v>9.5</v>
      </c>
      <c r="L176">
        <v>2.6</v>
      </c>
      <c r="M176">
        <v>-0.8</v>
      </c>
      <c r="O176">
        <f>IF(temp8[[#This Row],[sierpień]]&lt;I175,O175+1,1)</f>
        <v>3</v>
      </c>
    </row>
    <row r="177" spans="1:15" x14ac:dyDescent="0.25">
      <c r="A177">
        <v>1954</v>
      </c>
      <c r="B177">
        <v>-7.5</v>
      </c>
      <c r="C177">
        <v>-9.5</v>
      </c>
      <c r="D177">
        <v>2.2999999999999998</v>
      </c>
      <c r="E177">
        <v>5.5</v>
      </c>
      <c r="F177">
        <v>14.6</v>
      </c>
      <c r="G177">
        <v>19.399999999999999</v>
      </c>
      <c r="H177">
        <v>17.399999999999999</v>
      </c>
      <c r="I177">
        <v>18</v>
      </c>
      <c r="J177">
        <v>14.8</v>
      </c>
      <c r="K177">
        <v>8.6999999999999993</v>
      </c>
      <c r="L177">
        <v>2.4</v>
      </c>
      <c r="M177">
        <v>2.6</v>
      </c>
      <c r="O177">
        <f>IF(temp8[[#This Row],[sierpień]]&lt;I176,O176+1,1)</f>
        <v>1</v>
      </c>
    </row>
    <row r="178" spans="1:15" x14ac:dyDescent="0.25">
      <c r="A178">
        <v>1955</v>
      </c>
      <c r="B178">
        <v>-3</v>
      </c>
      <c r="C178">
        <v>-2.2999999999999998</v>
      </c>
      <c r="D178">
        <v>-0.6</v>
      </c>
      <c r="E178">
        <v>4.9000000000000004</v>
      </c>
      <c r="F178">
        <v>11.8</v>
      </c>
      <c r="G178">
        <v>16.3</v>
      </c>
      <c r="H178">
        <v>19.5</v>
      </c>
      <c r="I178">
        <v>19.600000000000001</v>
      </c>
      <c r="J178">
        <v>15.1</v>
      </c>
      <c r="K178">
        <v>8.6</v>
      </c>
      <c r="L178">
        <v>3.4</v>
      </c>
      <c r="M178">
        <v>0.6</v>
      </c>
      <c r="O178">
        <f>IF(temp8[[#This Row],[sierpień]]&lt;I177,O177+1,1)</f>
        <v>1</v>
      </c>
    </row>
    <row r="179" spans="1:15" x14ac:dyDescent="0.25">
      <c r="A179">
        <v>1956</v>
      </c>
      <c r="B179">
        <v>-1.4</v>
      </c>
      <c r="C179">
        <v>-11.7</v>
      </c>
      <c r="D179">
        <v>-1.3</v>
      </c>
      <c r="E179">
        <v>6</v>
      </c>
      <c r="F179">
        <v>13.3</v>
      </c>
      <c r="G179">
        <v>17.899999999999999</v>
      </c>
      <c r="H179">
        <v>17.600000000000001</v>
      </c>
      <c r="I179">
        <v>15.8</v>
      </c>
      <c r="J179">
        <v>12.7</v>
      </c>
      <c r="K179">
        <v>8.4</v>
      </c>
      <c r="L179">
        <v>-0.6</v>
      </c>
      <c r="M179">
        <v>-0.3</v>
      </c>
      <c r="O179">
        <f>IF(temp8[[#This Row],[sierpień]]&lt;I178,O178+1,1)</f>
        <v>2</v>
      </c>
    </row>
    <row r="180" spans="1:15" x14ac:dyDescent="0.25">
      <c r="A180">
        <v>1957</v>
      </c>
      <c r="B180">
        <v>-1.1000000000000001</v>
      </c>
      <c r="C180">
        <v>2.7</v>
      </c>
      <c r="D180">
        <v>2.7</v>
      </c>
      <c r="E180">
        <v>9.1</v>
      </c>
      <c r="F180">
        <v>11.1</v>
      </c>
      <c r="G180">
        <v>18.3</v>
      </c>
      <c r="H180">
        <v>19.2</v>
      </c>
      <c r="I180">
        <v>16.5</v>
      </c>
      <c r="J180">
        <v>11.9</v>
      </c>
      <c r="K180">
        <v>9</v>
      </c>
      <c r="L180">
        <v>4.3</v>
      </c>
      <c r="M180">
        <v>-1.3</v>
      </c>
      <c r="O180">
        <f>IF(temp8[[#This Row],[sierpień]]&lt;I179,O179+1,1)</f>
        <v>1</v>
      </c>
    </row>
    <row r="181" spans="1:15" x14ac:dyDescent="0.25">
      <c r="A181">
        <v>1958</v>
      </c>
      <c r="B181">
        <v>-2.4</v>
      </c>
      <c r="C181">
        <v>0</v>
      </c>
      <c r="D181">
        <v>-2.5</v>
      </c>
      <c r="E181">
        <v>4.5999999999999996</v>
      </c>
      <c r="F181">
        <v>15.5</v>
      </c>
      <c r="G181">
        <v>16</v>
      </c>
      <c r="H181">
        <v>19.3</v>
      </c>
      <c r="I181">
        <v>17.8</v>
      </c>
      <c r="J181">
        <v>13.5</v>
      </c>
      <c r="K181">
        <v>9.9</v>
      </c>
      <c r="L181">
        <v>3.8</v>
      </c>
      <c r="M181">
        <v>1.3</v>
      </c>
      <c r="O181">
        <f>IF(temp8[[#This Row],[sierpień]]&lt;I180,O180+1,1)</f>
        <v>1</v>
      </c>
    </row>
    <row r="182" spans="1:15" x14ac:dyDescent="0.25">
      <c r="A182">
        <v>1959</v>
      </c>
      <c r="B182">
        <v>-0.6</v>
      </c>
      <c r="C182">
        <v>-1.5</v>
      </c>
      <c r="D182">
        <v>4.5999999999999996</v>
      </c>
      <c r="E182">
        <v>8.9</v>
      </c>
      <c r="F182">
        <v>13.8</v>
      </c>
      <c r="G182">
        <v>17.3</v>
      </c>
      <c r="H182">
        <v>21.5</v>
      </c>
      <c r="I182">
        <v>19.3</v>
      </c>
      <c r="J182">
        <v>12.7</v>
      </c>
      <c r="K182">
        <v>8.1</v>
      </c>
      <c r="L182">
        <v>2.2999999999999998</v>
      </c>
      <c r="M182">
        <v>-1.4</v>
      </c>
      <c r="O182">
        <f>IF(temp8[[#This Row],[sierpień]]&lt;I181,O181+1,1)</f>
        <v>1</v>
      </c>
    </row>
    <row r="183" spans="1:15" x14ac:dyDescent="0.25">
      <c r="A183">
        <v>1960</v>
      </c>
      <c r="B183">
        <v>-2.8</v>
      </c>
      <c r="C183">
        <v>-3.1</v>
      </c>
      <c r="D183">
        <v>1.8</v>
      </c>
      <c r="E183">
        <v>7.3</v>
      </c>
      <c r="F183">
        <v>13.6</v>
      </c>
      <c r="G183">
        <v>17.8</v>
      </c>
      <c r="H183">
        <v>17.3</v>
      </c>
      <c r="I183">
        <v>17</v>
      </c>
      <c r="J183">
        <v>12.3</v>
      </c>
      <c r="K183">
        <v>8.9</v>
      </c>
      <c r="L183">
        <v>5.2</v>
      </c>
      <c r="M183">
        <v>2.9</v>
      </c>
      <c r="O183">
        <f>IF(temp8[[#This Row],[sierpień]]&lt;I182,O182+1,1)</f>
        <v>2</v>
      </c>
    </row>
    <row r="184" spans="1:15" x14ac:dyDescent="0.25">
      <c r="A184">
        <v>1961</v>
      </c>
      <c r="B184">
        <v>-2.8</v>
      </c>
      <c r="C184">
        <v>1.7</v>
      </c>
      <c r="D184">
        <v>5.5</v>
      </c>
      <c r="E184">
        <v>10.5</v>
      </c>
      <c r="F184">
        <v>12.6</v>
      </c>
      <c r="G184">
        <v>18.600000000000001</v>
      </c>
      <c r="H184">
        <v>16.8</v>
      </c>
      <c r="I184">
        <v>16.8</v>
      </c>
      <c r="J184">
        <v>14.8</v>
      </c>
      <c r="K184">
        <v>10.7</v>
      </c>
      <c r="L184">
        <v>3.8</v>
      </c>
      <c r="M184">
        <v>-3.1</v>
      </c>
      <c r="O184">
        <f>IF(temp8[[#This Row],[sierpień]]&lt;I183,O183+1,1)</f>
        <v>3</v>
      </c>
    </row>
    <row r="185" spans="1:15" x14ac:dyDescent="0.25">
      <c r="A185">
        <v>1962</v>
      </c>
      <c r="B185">
        <v>0</v>
      </c>
      <c r="C185">
        <v>-2.1</v>
      </c>
      <c r="D185">
        <v>-1.4</v>
      </c>
      <c r="E185">
        <v>11.2</v>
      </c>
      <c r="F185">
        <v>11.5</v>
      </c>
      <c r="G185">
        <v>15.3</v>
      </c>
      <c r="H185">
        <v>16.8</v>
      </c>
      <c r="I185">
        <v>17.100000000000001</v>
      </c>
      <c r="J185">
        <v>12.7</v>
      </c>
      <c r="K185">
        <v>8.5</v>
      </c>
      <c r="L185">
        <v>4.2</v>
      </c>
      <c r="M185">
        <v>-4.2</v>
      </c>
      <c r="O185">
        <f>IF(temp8[[#This Row],[sierpień]]&lt;I184,O184+1,1)</f>
        <v>1</v>
      </c>
    </row>
    <row r="186" spans="1:15" x14ac:dyDescent="0.25">
      <c r="A186">
        <v>1963</v>
      </c>
      <c r="B186">
        <v>-11.6</v>
      </c>
      <c r="C186">
        <v>-7.2</v>
      </c>
      <c r="D186">
        <v>-1.2</v>
      </c>
      <c r="E186">
        <v>8.8000000000000007</v>
      </c>
      <c r="F186">
        <v>16.3</v>
      </c>
      <c r="G186">
        <v>17.3</v>
      </c>
      <c r="H186">
        <v>21.1</v>
      </c>
      <c r="I186">
        <v>19.8</v>
      </c>
      <c r="J186">
        <v>15.4</v>
      </c>
      <c r="K186">
        <v>8.6999999999999993</v>
      </c>
      <c r="L186">
        <v>6.6</v>
      </c>
      <c r="M186">
        <v>-4.5</v>
      </c>
      <c r="O186">
        <f>IF(temp8[[#This Row],[sierpień]]&lt;I185,O185+1,1)</f>
        <v>1</v>
      </c>
    </row>
    <row r="187" spans="1:15" x14ac:dyDescent="0.25">
      <c r="A187">
        <v>1964</v>
      </c>
      <c r="B187">
        <v>-2.9</v>
      </c>
      <c r="C187">
        <v>-3.9</v>
      </c>
      <c r="D187">
        <v>-2.4</v>
      </c>
      <c r="E187">
        <v>8.8000000000000007</v>
      </c>
      <c r="F187">
        <v>14.1</v>
      </c>
      <c r="G187">
        <v>20.399999999999999</v>
      </c>
      <c r="H187">
        <v>19.3</v>
      </c>
      <c r="I187">
        <v>16.8</v>
      </c>
      <c r="J187">
        <v>14.1</v>
      </c>
      <c r="K187">
        <v>8.1999999999999993</v>
      </c>
      <c r="L187">
        <v>3.9</v>
      </c>
      <c r="M187">
        <v>0</v>
      </c>
      <c r="O187">
        <f>IF(temp8[[#This Row],[sierpień]]&lt;I186,O186+1,1)</f>
        <v>2</v>
      </c>
    </row>
    <row r="188" spans="1:15" x14ac:dyDescent="0.25">
      <c r="A188">
        <v>1965</v>
      </c>
      <c r="B188">
        <v>-0.8</v>
      </c>
      <c r="C188">
        <v>-4.8</v>
      </c>
      <c r="D188">
        <v>1.3</v>
      </c>
      <c r="E188">
        <v>6.8</v>
      </c>
      <c r="F188">
        <v>10.8</v>
      </c>
      <c r="G188">
        <v>16.7</v>
      </c>
      <c r="H188">
        <v>17.100000000000001</v>
      </c>
      <c r="I188">
        <v>16.3</v>
      </c>
      <c r="J188">
        <v>15.2</v>
      </c>
      <c r="K188">
        <v>8.1999999999999993</v>
      </c>
      <c r="L188">
        <v>-0.6</v>
      </c>
      <c r="M188">
        <v>0.7</v>
      </c>
      <c r="O188">
        <f>IF(temp8[[#This Row],[sierpień]]&lt;I187,O187+1,1)</f>
        <v>3</v>
      </c>
    </row>
    <row r="189" spans="1:15" x14ac:dyDescent="0.25">
      <c r="A189">
        <v>1966</v>
      </c>
      <c r="B189">
        <v>-4.5</v>
      </c>
      <c r="C189">
        <v>-0.3</v>
      </c>
      <c r="D189">
        <v>2.9</v>
      </c>
      <c r="E189">
        <v>9</v>
      </c>
      <c r="F189">
        <v>14.1</v>
      </c>
      <c r="G189">
        <v>18</v>
      </c>
      <c r="H189">
        <v>19.2</v>
      </c>
      <c r="I189">
        <v>17.5</v>
      </c>
      <c r="J189">
        <v>12.8</v>
      </c>
      <c r="K189">
        <v>11.1</v>
      </c>
      <c r="L189">
        <v>2.8</v>
      </c>
      <c r="M189">
        <v>0</v>
      </c>
      <c r="O189">
        <f>IF(temp8[[#This Row],[sierpień]]&lt;I188,O188+1,1)</f>
        <v>1</v>
      </c>
    </row>
    <row r="190" spans="1:15" x14ac:dyDescent="0.25">
      <c r="A190">
        <v>1967</v>
      </c>
      <c r="B190">
        <v>-4.8</v>
      </c>
      <c r="C190">
        <v>0.7</v>
      </c>
      <c r="D190">
        <v>5.3</v>
      </c>
      <c r="E190">
        <v>8.1</v>
      </c>
      <c r="F190">
        <v>14.8</v>
      </c>
      <c r="G190">
        <v>17.2</v>
      </c>
      <c r="H190">
        <v>20.100000000000001</v>
      </c>
      <c r="I190">
        <v>18</v>
      </c>
      <c r="J190">
        <v>16.600000000000001</v>
      </c>
      <c r="K190">
        <v>11.7</v>
      </c>
      <c r="L190">
        <v>4.0999999999999996</v>
      </c>
      <c r="M190">
        <v>-1</v>
      </c>
      <c r="O190">
        <f>IF(temp8[[#This Row],[sierpień]]&lt;I189,O189+1,1)</f>
        <v>1</v>
      </c>
    </row>
    <row r="191" spans="1:15" x14ac:dyDescent="0.25">
      <c r="A191">
        <v>1968</v>
      </c>
      <c r="B191">
        <v>-3.3</v>
      </c>
      <c r="C191">
        <v>-0.4</v>
      </c>
      <c r="D191">
        <v>3.6</v>
      </c>
      <c r="E191">
        <v>10.199999999999999</v>
      </c>
      <c r="F191">
        <v>12.2</v>
      </c>
      <c r="G191">
        <v>18.7</v>
      </c>
      <c r="H191">
        <v>17.399999999999999</v>
      </c>
      <c r="I191">
        <v>18.399999999999999</v>
      </c>
      <c r="J191">
        <v>13.8</v>
      </c>
      <c r="K191">
        <v>8.6999999999999993</v>
      </c>
      <c r="L191">
        <v>3.8</v>
      </c>
      <c r="M191">
        <v>-3.5</v>
      </c>
      <c r="O191">
        <f>IF(temp8[[#This Row],[sierpień]]&lt;I190,O190+1,1)</f>
        <v>1</v>
      </c>
    </row>
    <row r="192" spans="1:15" x14ac:dyDescent="0.25">
      <c r="A192">
        <v>1969</v>
      </c>
      <c r="B192">
        <v>-6</v>
      </c>
      <c r="C192">
        <v>-4.2</v>
      </c>
      <c r="D192">
        <v>-1.7</v>
      </c>
      <c r="E192">
        <v>7.2</v>
      </c>
      <c r="F192">
        <v>15.5</v>
      </c>
      <c r="G192">
        <v>17.7</v>
      </c>
      <c r="H192">
        <v>19.600000000000001</v>
      </c>
      <c r="I192">
        <v>17.399999999999999</v>
      </c>
      <c r="J192">
        <v>14</v>
      </c>
      <c r="K192">
        <v>8.9</v>
      </c>
      <c r="L192">
        <v>5.7</v>
      </c>
      <c r="M192">
        <v>-8.1</v>
      </c>
      <c r="O192">
        <f>IF(temp8[[#This Row],[sierpień]]&lt;I191,O191+1,1)</f>
        <v>2</v>
      </c>
    </row>
    <row r="193" spans="1:15" x14ac:dyDescent="0.25">
      <c r="A193">
        <v>1970</v>
      </c>
      <c r="B193">
        <v>-5.7</v>
      </c>
      <c r="C193">
        <v>-4.9000000000000004</v>
      </c>
      <c r="D193">
        <v>0.7</v>
      </c>
      <c r="E193">
        <v>7.4</v>
      </c>
      <c r="F193">
        <v>13.3</v>
      </c>
      <c r="G193">
        <v>17.600000000000001</v>
      </c>
      <c r="H193">
        <v>17.600000000000001</v>
      </c>
      <c r="I193">
        <v>17.7</v>
      </c>
      <c r="J193">
        <v>12.8</v>
      </c>
      <c r="K193">
        <v>8</v>
      </c>
      <c r="L193">
        <v>4.9000000000000004</v>
      </c>
      <c r="M193">
        <v>0.9</v>
      </c>
      <c r="O193">
        <f>IF(temp8[[#This Row],[sierpień]]&lt;I192,O192+1,1)</f>
        <v>1</v>
      </c>
    </row>
    <row r="194" spans="1:15" x14ac:dyDescent="0.25">
      <c r="A194">
        <v>1971</v>
      </c>
      <c r="B194">
        <v>-3.2</v>
      </c>
      <c r="C194">
        <v>0.2</v>
      </c>
      <c r="D194">
        <v>0.3</v>
      </c>
      <c r="E194">
        <v>8.1</v>
      </c>
      <c r="F194">
        <v>17.2</v>
      </c>
      <c r="G194">
        <v>16.3</v>
      </c>
      <c r="H194">
        <v>19.2</v>
      </c>
      <c r="I194">
        <v>19.7</v>
      </c>
      <c r="J194">
        <v>11.3</v>
      </c>
      <c r="K194">
        <v>8.6999999999999993</v>
      </c>
      <c r="L194">
        <v>2.5</v>
      </c>
      <c r="M194">
        <v>3.2</v>
      </c>
      <c r="O194">
        <f>IF(temp8[[#This Row],[sierpień]]&lt;I193,O193+1,1)</f>
        <v>1</v>
      </c>
    </row>
    <row r="195" spans="1:15" x14ac:dyDescent="0.25">
      <c r="A195">
        <v>1972</v>
      </c>
      <c r="B195">
        <v>-7.2</v>
      </c>
      <c r="C195">
        <v>-0.6</v>
      </c>
      <c r="D195">
        <v>4</v>
      </c>
      <c r="E195">
        <v>8.3000000000000007</v>
      </c>
      <c r="F195">
        <v>14.2</v>
      </c>
      <c r="G195">
        <v>17.7</v>
      </c>
      <c r="H195">
        <v>20.9</v>
      </c>
      <c r="I195">
        <v>17.3</v>
      </c>
      <c r="J195">
        <v>12.2</v>
      </c>
      <c r="K195">
        <v>6.6</v>
      </c>
      <c r="L195">
        <v>4.5</v>
      </c>
      <c r="M195">
        <v>0.1</v>
      </c>
      <c r="O195">
        <f>IF(temp8[[#This Row],[sierpień]]&lt;I194,O194+1,1)</f>
        <v>2</v>
      </c>
    </row>
    <row r="196" spans="1:15" x14ac:dyDescent="0.25">
      <c r="A196">
        <v>1973</v>
      </c>
      <c r="B196">
        <v>-2.4</v>
      </c>
      <c r="C196">
        <v>1.6</v>
      </c>
      <c r="D196">
        <v>4.4000000000000004</v>
      </c>
      <c r="E196">
        <v>7.6</v>
      </c>
      <c r="F196">
        <v>13.5</v>
      </c>
      <c r="G196">
        <v>17</v>
      </c>
      <c r="H196">
        <v>18.7</v>
      </c>
      <c r="I196">
        <v>18.7</v>
      </c>
      <c r="J196">
        <v>13.4</v>
      </c>
      <c r="K196">
        <v>6.7</v>
      </c>
      <c r="L196">
        <v>1.9</v>
      </c>
      <c r="M196">
        <v>-0.6</v>
      </c>
      <c r="O196">
        <f>IF(temp8[[#This Row],[sierpień]]&lt;I195,O195+1,1)</f>
        <v>1</v>
      </c>
    </row>
    <row r="197" spans="1:15" x14ac:dyDescent="0.25">
      <c r="A197">
        <v>1974</v>
      </c>
      <c r="B197">
        <v>-1</v>
      </c>
      <c r="C197">
        <v>2.2999999999999998</v>
      </c>
      <c r="D197">
        <v>4.8</v>
      </c>
      <c r="E197">
        <v>7.8</v>
      </c>
      <c r="F197">
        <v>11.6</v>
      </c>
      <c r="G197">
        <v>15.1</v>
      </c>
      <c r="H197">
        <v>16.3</v>
      </c>
      <c r="I197">
        <v>18.399999999999999</v>
      </c>
      <c r="J197">
        <v>13.9</v>
      </c>
      <c r="K197">
        <v>6.6</v>
      </c>
      <c r="L197">
        <v>3.7</v>
      </c>
      <c r="M197">
        <v>2.6</v>
      </c>
      <c r="O197">
        <f>IF(temp8[[#This Row],[sierpień]]&lt;I196,O196+1,1)</f>
        <v>2</v>
      </c>
    </row>
    <row r="198" spans="1:15" x14ac:dyDescent="0.25">
      <c r="A198">
        <v>1975</v>
      </c>
      <c r="B198">
        <v>2.7</v>
      </c>
      <c r="C198">
        <v>-0.2</v>
      </c>
      <c r="D198">
        <v>4.8</v>
      </c>
      <c r="E198">
        <v>7.4</v>
      </c>
      <c r="F198">
        <v>15.4</v>
      </c>
      <c r="G198">
        <v>17</v>
      </c>
      <c r="H198">
        <v>20.2</v>
      </c>
      <c r="I198">
        <v>19.3</v>
      </c>
      <c r="J198">
        <v>16.100000000000001</v>
      </c>
      <c r="K198">
        <v>8.1999999999999993</v>
      </c>
      <c r="L198">
        <v>1.7</v>
      </c>
      <c r="M198">
        <v>1.2</v>
      </c>
      <c r="O198">
        <f>IF(temp8[[#This Row],[sierpień]]&lt;I197,O197+1,1)</f>
        <v>1</v>
      </c>
    </row>
    <row r="199" spans="1:15" x14ac:dyDescent="0.25">
      <c r="A199">
        <v>1976</v>
      </c>
      <c r="B199">
        <v>-2.2999999999999998</v>
      </c>
      <c r="C199">
        <v>-4</v>
      </c>
      <c r="D199">
        <v>-0.6</v>
      </c>
      <c r="E199">
        <v>8.4</v>
      </c>
      <c r="F199">
        <v>13.1</v>
      </c>
      <c r="G199">
        <v>16.100000000000001</v>
      </c>
      <c r="H199">
        <v>19.600000000000001</v>
      </c>
      <c r="I199">
        <v>16.600000000000001</v>
      </c>
      <c r="J199">
        <v>13.4</v>
      </c>
      <c r="K199">
        <v>6.8</v>
      </c>
      <c r="L199">
        <v>4.5999999999999996</v>
      </c>
      <c r="M199">
        <v>-1</v>
      </c>
      <c r="O199">
        <f>IF(temp8[[#This Row],[sierpień]]&lt;I198,O198+1,1)</f>
        <v>2</v>
      </c>
    </row>
    <row r="200" spans="1:15" x14ac:dyDescent="0.25">
      <c r="A200">
        <v>1977</v>
      </c>
      <c r="B200">
        <v>-1.7</v>
      </c>
      <c r="C200">
        <v>0.4</v>
      </c>
      <c r="D200">
        <v>5.7</v>
      </c>
      <c r="E200">
        <v>6.8</v>
      </c>
      <c r="F200">
        <v>13.3</v>
      </c>
      <c r="G200">
        <v>17.8</v>
      </c>
      <c r="H200">
        <v>16.899999999999999</v>
      </c>
      <c r="I200">
        <v>16</v>
      </c>
      <c r="J200">
        <v>11.2</v>
      </c>
      <c r="K200">
        <v>9.3000000000000007</v>
      </c>
      <c r="L200">
        <v>5.4</v>
      </c>
      <c r="M200">
        <v>-0.6</v>
      </c>
      <c r="O200">
        <f>IF(temp8[[#This Row],[sierpień]]&lt;I199,O199+1,1)</f>
        <v>3</v>
      </c>
    </row>
    <row r="201" spans="1:15" x14ac:dyDescent="0.25">
      <c r="A201">
        <v>1978</v>
      </c>
      <c r="B201">
        <v>-1.2</v>
      </c>
      <c r="C201">
        <v>-2.9</v>
      </c>
      <c r="D201">
        <v>3.3</v>
      </c>
      <c r="E201">
        <v>6.8</v>
      </c>
      <c r="F201">
        <v>12.6</v>
      </c>
      <c r="G201">
        <v>16</v>
      </c>
      <c r="H201">
        <v>17.100000000000001</v>
      </c>
      <c r="I201">
        <v>16.3</v>
      </c>
      <c r="J201">
        <v>11.3</v>
      </c>
      <c r="K201">
        <v>8.6999999999999993</v>
      </c>
      <c r="L201">
        <v>5.4</v>
      </c>
      <c r="M201">
        <v>-4</v>
      </c>
      <c r="O201">
        <f>IF(temp8[[#This Row],[sierpień]]&lt;I200,O200+1,1)</f>
        <v>1</v>
      </c>
    </row>
    <row r="202" spans="1:15" x14ac:dyDescent="0.25">
      <c r="A202">
        <v>1979</v>
      </c>
      <c r="B202">
        <v>-5.7</v>
      </c>
      <c r="C202">
        <v>-5.3</v>
      </c>
      <c r="D202">
        <v>1.9</v>
      </c>
      <c r="E202">
        <v>7.1</v>
      </c>
      <c r="F202">
        <v>15.5</v>
      </c>
      <c r="G202">
        <v>20.5</v>
      </c>
      <c r="H202">
        <v>15.6</v>
      </c>
      <c r="I202">
        <v>17</v>
      </c>
      <c r="J202">
        <v>14.2</v>
      </c>
      <c r="K202">
        <v>6.1</v>
      </c>
      <c r="L202">
        <v>3</v>
      </c>
      <c r="M202">
        <v>1.7</v>
      </c>
      <c r="O202">
        <f>IF(temp8[[#This Row],[sierpień]]&lt;I201,O201+1,1)</f>
        <v>1</v>
      </c>
    </row>
    <row r="203" spans="1:15" x14ac:dyDescent="0.25">
      <c r="A203">
        <v>1980</v>
      </c>
      <c r="B203">
        <v>-5.6</v>
      </c>
      <c r="C203">
        <v>-1.5</v>
      </c>
      <c r="D203">
        <v>-0.5</v>
      </c>
      <c r="E203">
        <v>7.3</v>
      </c>
      <c r="F203">
        <v>10.4</v>
      </c>
      <c r="G203">
        <v>16.100000000000001</v>
      </c>
      <c r="H203">
        <v>16.899999999999999</v>
      </c>
      <c r="I203">
        <v>16.8</v>
      </c>
      <c r="J203">
        <v>12.9</v>
      </c>
      <c r="K203">
        <v>8.4</v>
      </c>
      <c r="L203">
        <v>2</v>
      </c>
      <c r="M203">
        <v>-0.5</v>
      </c>
      <c r="O203">
        <f>IF(temp8[[#This Row],[sierpień]]&lt;I202,O202+1,1)</f>
        <v>2</v>
      </c>
    </row>
    <row r="204" spans="1:15" x14ac:dyDescent="0.25">
      <c r="A204">
        <v>1981</v>
      </c>
      <c r="B204">
        <v>-2.8</v>
      </c>
      <c r="C204">
        <v>-0.8</v>
      </c>
      <c r="D204">
        <v>4</v>
      </c>
      <c r="E204">
        <v>6.5</v>
      </c>
      <c r="F204">
        <v>14.4</v>
      </c>
      <c r="G204">
        <v>17.3</v>
      </c>
      <c r="H204">
        <v>18.3</v>
      </c>
      <c r="I204">
        <v>16.8</v>
      </c>
      <c r="J204">
        <v>14.2</v>
      </c>
      <c r="K204">
        <v>8.8000000000000007</v>
      </c>
      <c r="L204">
        <v>3.5</v>
      </c>
      <c r="M204">
        <v>-3.3</v>
      </c>
      <c r="O204">
        <f>IF(temp8[[#This Row],[sierpień]]&lt;I203,O203+1,1)</f>
        <v>1</v>
      </c>
    </row>
    <row r="205" spans="1:15" x14ac:dyDescent="0.25">
      <c r="A205">
        <v>1982</v>
      </c>
      <c r="B205">
        <v>-3.3</v>
      </c>
      <c r="C205">
        <v>-1.8</v>
      </c>
      <c r="D205">
        <v>3.9</v>
      </c>
      <c r="E205">
        <v>6.2</v>
      </c>
      <c r="F205">
        <v>14.9</v>
      </c>
      <c r="G205">
        <v>16.3</v>
      </c>
      <c r="H205">
        <v>19.600000000000001</v>
      </c>
      <c r="I205">
        <v>19.600000000000001</v>
      </c>
      <c r="J205">
        <v>15.6</v>
      </c>
      <c r="K205">
        <v>9</v>
      </c>
      <c r="L205">
        <v>5.0999999999999996</v>
      </c>
      <c r="M205">
        <v>1.5</v>
      </c>
      <c r="O205">
        <f>IF(temp8[[#This Row],[sierpień]]&lt;I204,O204+1,1)</f>
        <v>1</v>
      </c>
    </row>
    <row r="206" spans="1:15" x14ac:dyDescent="0.25">
      <c r="A206">
        <v>1983</v>
      </c>
      <c r="B206">
        <v>3.4</v>
      </c>
      <c r="C206">
        <v>-1.9</v>
      </c>
      <c r="D206">
        <v>4.4000000000000004</v>
      </c>
      <c r="E206">
        <v>10.3</v>
      </c>
      <c r="F206">
        <v>16.100000000000001</v>
      </c>
      <c r="G206">
        <v>17.600000000000001</v>
      </c>
      <c r="H206">
        <v>19.899999999999999</v>
      </c>
      <c r="I206">
        <v>19</v>
      </c>
      <c r="J206">
        <v>15</v>
      </c>
      <c r="K206">
        <v>9.1999999999999993</v>
      </c>
      <c r="L206">
        <v>2.7</v>
      </c>
      <c r="M206">
        <v>-0.3</v>
      </c>
      <c r="O206">
        <f>IF(temp8[[#This Row],[sierpień]]&lt;I205,O205+1,1)</f>
        <v>2</v>
      </c>
    </row>
    <row r="207" spans="1:15" x14ac:dyDescent="0.25">
      <c r="A207">
        <v>1984</v>
      </c>
      <c r="B207">
        <v>0.4</v>
      </c>
      <c r="C207">
        <v>-1.6</v>
      </c>
      <c r="D207">
        <v>1.3</v>
      </c>
      <c r="E207">
        <v>9.6</v>
      </c>
      <c r="F207">
        <v>14</v>
      </c>
      <c r="G207">
        <v>15</v>
      </c>
      <c r="H207">
        <v>16.100000000000001</v>
      </c>
      <c r="I207">
        <v>18.5</v>
      </c>
      <c r="J207">
        <v>13.3</v>
      </c>
      <c r="K207">
        <v>10.5</v>
      </c>
      <c r="L207">
        <v>2.4</v>
      </c>
      <c r="M207">
        <v>-1</v>
      </c>
      <c r="O207">
        <f>IF(temp8[[#This Row],[sierpień]]&lt;I206,O206+1,1)</f>
        <v>3</v>
      </c>
    </row>
    <row r="208" spans="1:15" x14ac:dyDescent="0.25">
      <c r="A208">
        <v>1985</v>
      </c>
      <c r="B208">
        <v>-7.8</v>
      </c>
      <c r="C208">
        <v>-8.5</v>
      </c>
      <c r="D208">
        <v>2.1</v>
      </c>
      <c r="E208">
        <v>9</v>
      </c>
      <c r="F208">
        <v>15.6</v>
      </c>
      <c r="G208">
        <v>15.3</v>
      </c>
      <c r="H208">
        <v>18</v>
      </c>
      <c r="I208">
        <v>18.399999999999999</v>
      </c>
      <c r="J208">
        <v>12.7</v>
      </c>
      <c r="K208">
        <v>8.6</v>
      </c>
      <c r="L208">
        <v>1.1000000000000001</v>
      </c>
      <c r="M208">
        <v>1.9</v>
      </c>
      <c r="O208">
        <f>IF(temp8[[#This Row],[sierpień]]&lt;I207,O207+1,1)</f>
        <v>4</v>
      </c>
    </row>
    <row r="209" spans="1:15" x14ac:dyDescent="0.25">
      <c r="A209">
        <v>1986</v>
      </c>
      <c r="B209">
        <v>-1.2</v>
      </c>
      <c r="C209">
        <v>-9</v>
      </c>
      <c r="D209">
        <v>2.2999999999999998</v>
      </c>
      <c r="E209">
        <v>9.1999999999999993</v>
      </c>
      <c r="F209">
        <v>15.3</v>
      </c>
      <c r="G209">
        <v>17.3</v>
      </c>
      <c r="H209">
        <v>18.600000000000001</v>
      </c>
      <c r="I209">
        <v>17.7</v>
      </c>
      <c r="J209">
        <v>11.4</v>
      </c>
      <c r="K209">
        <v>8.5</v>
      </c>
      <c r="L209">
        <v>5.5</v>
      </c>
      <c r="M209">
        <v>0.1</v>
      </c>
      <c r="O209">
        <f>IF(temp8[[#This Row],[sierpień]]&lt;I208,O208+1,1)</f>
        <v>5</v>
      </c>
    </row>
    <row r="210" spans="1:15" x14ac:dyDescent="0.25">
      <c r="A210">
        <v>1987</v>
      </c>
      <c r="B210">
        <v>-12</v>
      </c>
      <c r="C210">
        <v>-0.7</v>
      </c>
      <c r="D210">
        <v>-2</v>
      </c>
      <c r="E210">
        <v>7.6</v>
      </c>
      <c r="F210">
        <v>12.8</v>
      </c>
      <c r="G210">
        <v>16.2</v>
      </c>
      <c r="H210">
        <v>18.600000000000001</v>
      </c>
      <c r="I210">
        <v>15.6</v>
      </c>
      <c r="J210">
        <v>13.1</v>
      </c>
      <c r="K210">
        <v>8.5</v>
      </c>
      <c r="L210">
        <v>4.0999999999999996</v>
      </c>
      <c r="M210">
        <v>0.9</v>
      </c>
      <c r="O210">
        <f>IF(temp8[[#This Row],[sierpień]]&lt;I209,O209+1,1)</f>
        <v>6</v>
      </c>
    </row>
    <row r="211" spans="1:15" x14ac:dyDescent="0.25">
      <c r="A211">
        <v>1988</v>
      </c>
      <c r="B211">
        <v>0.7</v>
      </c>
      <c r="C211">
        <v>0.6</v>
      </c>
      <c r="D211">
        <v>1.2</v>
      </c>
      <c r="E211">
        <v>7.7</v>
      </c>
      <c r="F211">
        <v>15.5</v>
      </c>
      <c r="G211">
        <v>17.100000000000001</v>
      </c>
      <c r="H211">
        <v>19.899999999999999</v>
      </c>
      <c r="I211">
        <v>17.7</v>
      </c>
      <c r="J211">
        <v>13.7</v>
      </c>
      <c r="K211">
        <v>7.8</v>
      </c>
      <c r="L211">
        <v>0.3</v>
      </c>
      <c r="M211">
        <v>0.9</v>
      </c>
      <c r="O211">
        <f>IF(temp8[[#This Row],[sierpień]]&lt;I210,O210+1,1)</f>
        <v>1</v>
      </c>
    </row>
    <row r="212" spans="1:15" x14ac:dyDescent="0.25">
      <c r="A212">
        <v>1989</v>
      </c>
      <c r="B212">
        <v>2.2000000000000002</v>
      </c>
      <c r="C212">
        <v>4.0999999999999996</v>
      </c>
      <c r="D212">
        <v>5.8</v>
      </c>
      <c r="E212">
        <v>9.3000000000000007</v>
      </c>
      <c r="F212">
        <v>14.9</v>
      </c>
      <c r="G212">
        <v>16.3</v>
      </c>
      <c r="H212">
        <v>19</v>
      </c>
      <c r="I212">
        <v>18.399999999999999</v>
      </c>
      <c r="J212">
        <v>14.7</v>
      </c>
      <c r="K212">
        <v>10.5</v>
      </c>
      <c r="L212">
        <v>1.5</v>
      </c>
      <c r="M212">
        <v>1.1000000000000001</v>
      </c>
      <c r="O212">
        <f>IF(temp8[[#This Row],[sierpień]]&lt;I211,O211+1,1)</f>
        <v>1</v>
      </c>
    </row>
    <row r="213" spans="1:15" x14ac:dyDescent="0.25">
      <c r="A213">
        <v>1990</v>
      </c>
      <c r="B213">
        <v>1.9</v>
      </c>
      <c r="C213">
        <v>5.0999999999999996</v>
      </c>
      <c r="D213">
        <v>6.7</v>
      </c>
      <c r="E213">
        <v>9.3000000000000007</v>
      </c>
      <c r="F213">
        <v>14.6</v>
      </c>
      <c r="G213">
        <v>17.5</v>
      </c>
      <c r="H213">
        <v>17.5</v>
      </c>
      <c r="I213">
        <v>18</v>
      </c>
      <c r="J213">
        <v>11.5</v>
      </c>
      <c r="K213">
        <v>9.5</v>
      </c>
      <c r="L213">
        <v>4.9000000000000004</v>
      </c>
      <c r="M213">
        <v>0.1</v>
      </c>
      <c r="O213">
        <f>IF(temp8[[#This Row],[sierpień]]&lt;I212,O212+1,1)</f>
        <v>2</v>
      </c>
    </row>
    <row r="214" spans="1:15" x14ac:dyDescent="0.25">
      <c r="A214">
        <v>1991</v>
      </c>
      <c r="B214">
        <v>0.3</v>
      </c>
      <c r="C214">
        <v>-3.5</v>
      </c>
      <c r="D214">
        <v>4.2</v>
      </c>
      <c r="E214">
        <v>8.3000000000000007</v>
      </c>
      <c r="F214">
        <v>11.5</v>
      </c>
      <c r="G214">
        <v>16.399999999999999</v>
      </c>
      <c r="H214">
        <v>19.899999999999999</v>
      </c>
      <c r="I214">
        <v>18.899999999999999</v>
      </c>
      <c r="J214">
        <v>15.2</v>
      </c>
      <c r="K214">
        <v>8.1999999999999993</v>
      </c>
      <c r="L214">
        <v>4.4000000000000004</v>
      </c>
      <c r="M214">
        <v>-0.8</v>
      </c>
      <c r="O214">
        <f>IF(temp8[[#This Row],[sierpień]]&lt;I213,O213+1,1)</f>
        <v>1</v>
      </c>
    </row>
    <row r="215" spans="1:15" x14ac:dyDescent="0.25">
      <c r="A215">
        <v>1992</v>
      </c>
      <c r="B215">
        <v>-0.5</v>
      </c>
      <c r="C215">
        <v>1.5</v>
      </c>
      <c r="D215">
        <v>3.8</v>
      </c>
      <c r="E215">
        <v>8</v>
      </c>
      <c r="F215">
        <v>14.4</v>
      </c>
      <c r="G215">
        <v>19</v>
      </c>
      <c r="H215">
        <v>20.8</v>
      </c>
      <c r="I215">
        <v>22</v>
      </c>
      <c r="J215">
        <v>13</v>
      </c>
      <c r="K215">
        <v>6.2</v>
      </c>
      <c r="L215">
        <v>4.0999999999999996</v>
      </c>
      <c r="M215">
        <v>0</v>
      </c>
      <c r="O215">
        <f>IF(temp8[[#This Row],[sierpień]]&lt;I214,O214+1,1)</f>
        <v>1</v>
      </c>
    </row>
    <row r="216" spans="1:15" x14ac:dyDescent="0.25">
      <c r="A216">
        <v>1993</v>
      </c>
      <c r="B216">
        <v>0.6</v>
      </c>
      <c r="C216">
        <v>-0.9</v>
      </c>
      <c r="D216">
        <v>1.5</v>
      </c>
      <c r="E216">
        <v>9.5</v>
      </c>
      <c r="F216">
        <v>16.899999999999999</v>
      </c>
      <c r="G216">
        <v>16.399999999999999</v>
      </c>
      <c r="H216">
        <v>17.600000000000001</v>
      </c>
      <c r="I216">
        <v>17.399999999999999</v>
      </c>
      <c r="J216">
        <v>12.4</v>
      </c>
      <c r="K216">
        <v>8.3000000000000007</v>
      </c>
      <c r="L216">
        <v>-2.2999999999999998</v>
      </c>
      <c r="M216">
        <v>2.2000000000000002</v>
      </c>
      <c r="O216">
        <f>IF(temp8[[#This Row],[sierpień]]&lt;I215,O215+1,1)</f>
        <v>2</v>
      </c>
    </row>
    <row r="217" spans="1:15" x14ac:dyDescent="0.25">
      <c r="A217">
        <v>1994</v>
      </c>
      <c r="B217">
        <v>2.2999999999999998</v>
      </c>
      <c r="C217">
        <v>-2.4</v>
      </c>
      <c r="D217">
        <v>4</v>
      </c>
      <c r="E217">
        <v>9.6</v>
      </c>
      <c r="F217">
        <v>13.1</v>
      </c>
      <c r="G217">
        <v>16.8</v>
      </c>
      <c r="H217">
        <v>22.3</v>
      </c>
      <c r="I217">
        <v>18.899999999999999</v>
      </c>
      <c r="J217">
        <v>15.1</v>
      </c>
      <c r="K217">
        <v>7.1</v>
      </c>
      <c r="L217">
        <v>3.9</v>
      </c>
      <c r="M217">
        <v>0.9</v>
      </c>
      <c r="O217">
        <f>IF(temp8[[#This Row],[sierpień]]&lt;I216,O216+1,1)</f>
        <v>1</v>
      </c>
    </row>
    <row r="218" spans="1:15" x14ac:dyDescent="0.25">
      <c r="A218">
        <v>1995</v>
      </c>
      <c r="B218">
        <v>-1.3</v>
      </c>
      <c r="C218">
        <v>3.5</v>
      </c>
      <c r="D218">
        <v>3.3</v>
      </c>
      <c r="E218">
        <v>8.3000000000000007</v>
      </c>
      <c r="F218">
        <v>13.2</v>
      </c>
      <c r="G218">
        <v>17.899999999999999</v>
      </c>
      <c r="H218">
        <v>20.9</v>
      </c>
      <c r="I218">
        <v>19.2</v>
      </c>
      <c r="J218">
        <v>13.5</v>
      </c>
      <c r="K218">
        <v>10.5</v>
      </c>
      <c r="L218">
        <v>0.3</v>
      </c>
      <c r="M218">
        <v>-4.8</v>
      </c>
      <c r="O218">
        <f>IF(temp8[[#This Row],[sierpień]]&lt;I217,O217+1,1)</f>
        <v>1</v>
      </c>
    </row>
    <row r="219" spans="1:15" x14ac:dyDescent="0.25">
      <c r="A219">
        <v>1996</v>
      </c>
      <c r="B219">
        <v>-5.7</v>
      </c>
      <c r="C219">
        <v>-5.3</v>
      </c>
      <c r="D219">
        <v>-1.1000000000000001</v>
      </c>
      <c r="E219">
        <v>8.8000000000000007</v>
      </c>
      <c r="F219">
        <v>16.2</v>
      </c>
      <c r="G219">
        <v>18.100000000000001</v>
      </c>
      <c r="H219">
        <v>17.5</v>
      </c>
      <c r="I219">
        <v>19.2</v>
      </c>
      <c r="J219">
        <v>11.1</v>
      </c>
      <c r="K219">
        <v>9.8000000000000007</v>
      </c>
      <c r="L219">
        <v>6.5</v>
      </c>
      <c r="M219">
        <v>-4.5999999999999996</v>
      </c>
      <c r="O219">
        <f>IF(temp8[[#This Row],[sierpień]]&lt;I218,O218+1,1)</f>
        <v>1</v>
      </c>
    </row>
    <row r="220" spans="1:15" x14ac:dyDescent="0.25">
      <c r="A220">
        <v>1997</v>
      </c>
      <c r="B220">
        <v>-3.7</v>
      </c>
      <c r="C220">
        <v>2.5</v>
      </c>
      <c r="D220">
        <v>3.6</v>
      </c>
      <c r="E220">
        <v>6</v>
      </c>
      <c r="F220">
        <v>14.7</v>
      </c>
      <c r="G220">
        <v>17.7</v>
      </c>
      <c r="H220">
        <v>18.5</v>
      </c>
      <c r="I220">
        <v>19.7</v>
      </c>
      <c r="J220">
        <v>13.8</v>
      </c>
      <c r="K220">
        <v>6.9</v>
      </c>
      <c r="L220">
        <v>3.3</v>
      </c>
      <c r="M220">
        <v>0.3</v>
      </c>
      <c r="O220">
        <f>IF(temp8[[#This Row],[sierpień]]&lt;I219,O219+1,1)</f>
        <v>1</v>
      </c>
    </row>
    <row r="221" spans="1:15" x14ac:dyDescent="0.25">
      <c r="A221">
        <v>1998</v>
      </c>
      <c r="B221">
        <v>1.1000000000000001</v>
      </c>
      <c r="C221">
        <v>3.6</v>
      </c>
      <c r="D221">
        <v>2.2999999999999998</v>
      </c>
      <c r="E221">
        <v>10.7</v>
      </c>
      <c r="F221">
        <v>15.2</v>
      </c>
      <c r="G221">
        <v>18.600000000000001</v>
      </c>
      <c r="H221">
        <v>18.5</v>
      </c>
      <c r="I221">
        <v>17.2</v>
      </c>
      <c r="J221">
        <v>13.4</v>
      </c>
      <c r="K221">
        <v>8.1999999999999993</v>
      </c>
      <c r="L221">
        <v>-1.4</v>
      </c>
      <c r="M221">
        <v>-1.8</v>
      </c>
      <c r="O221">
        <f>IF(temp8[[#This Row],[sierpień]]&lt;I220,O220+1,1)</f>
        <v>2</v>
      </c>
    </row>
    <row r="222" spans="1:15" x14ac:dyDescent="0.25">
      <c r="A222">
        <v>1999</v>
      </c>
      <c r="B222">
        <v>-0.2</v>
      </c>
      <c r="C222">
        <v>-1.3</v>
      </c>
      <c r="D222">
        <v>4.5999999999999996</v>
      </c>
      <c r="E222">
        <v>10</v>
      </c>
      <c r="F222">
        <v>12.6</v>
      </c>
      <c r="G222">
        <v>18</v>
      </c>
      <c r="H222">
        <v>20.6</v>
      </c>
      <c r="I222">
        <v>17.899999999999999</v>
      </c>
      <c r="J222">
        <v>15.8</v>
      </c>
      <c r="K222">
        <v>8.3000000000000007</v>
      </c>
      <c r="L222">
        <v>3</v>
      </c>
      <c r="M222">
        <v>0.7</v>
      </c>
      <c r="O222">
        <f>IF(temp8[[#This Row],[sierpień]]&lt;I221,O221+1,1)</f>
        <v>1</v>
      </c>
    </row>
    <row r="223" spans="1:15" x14ac:dyDescent="0.25">
      <c r="A223">
        <v>2000</v>
      </c>
      <c r="B223">
        <v>-1.4</v>
      </c>
      <c r="C223">
        <v>2.5</v>
      </c>
      <c r="D223">
        <v>3.4</v>
      </c>
      <c r="E223">
        <v>12.4</v>
      </c>
      <c r="F223">
        <v>15.3</v>
      </c>
      <c r="G223">
        <v>17.8</v>
      </c>
      <c r="H223">
        <v>16.600000000000001</v>
      </c>
      <c r="I223">
        <v>18.100000000000001</v>
      </c>
      <c r="J223">
        <v>12</v>
      </c>
      <c r="K223">
        <v>11.6</v>
      </c>
      <c r="L223">
        <v>5.9</v>
      </c>
      <c r="M223">
        <v>1.1000000000000001</v>
      </c>
      <c r="O223">
        <f>IF(temp8[[#This Row],[sierpień]]&lt;I222,O222+1,1)</f>
        <v>1</v>
      </c>
    </row>
    <row r="224" spans="1:15" x14ac:dyDescent="0.25">
      <c r="A224">
        <v>2001</v>
      </c>
      <c r="B224">
        <v>-0.5</v>
      </c>
      <c r="C224">
        <v>-0.8</v>
      </c>
      <c r="D224">
        <v>2.2000000000000002</v>
      </c>
      <c r="E224">
        <v>8</v>
      </c>
      <c r="F224">
        <v>14.7</v>
      </c>
      <c r="G224">
        <v>15.2</v>
      </c>
      <c r="H224">
        <v>20.7</v>
      </c>
      <c r="I224">
        <v>19.3</v>
      </c>
      <c r="J224">
        <v>12.1</v>
      </c>
      <c r="K224">
        <v>10.9</v>
      </c>
      <c r="L224">
        <v>2.4</v>
      </c>
      <c r="M224">
        <v>-4.2</v>
      </c>
      <c r="O224">
        <f>IF(temp8[[#This Row],[sierpień]]&lt;I223,O223+1,1)</f>
        <v>1</v>
      </c>
    </row>
    <row r="225" spans="1:15" x14ac:dyDescent="0.25">
      <c r="A225">
        <v>2002</v>
      </c>
      <c r="B225">
        <v>-0.7</v>
      </c>
      <c r="C225">
        <v>3.6</v>
      </c>
      <c r="D225">
        <v>4.5</v>
      </c>
      <c r="E225">
        <v>9</v>
      </c>
      <c r="F225">
        <v>17.399999999999999</v>
      </c>
      <c r="G225">
        <v>17.600000000000001</v>
      </c>
      <c r="H225">
        <v>21.1</v>
      </c>
      <c r="I225">
        <v>20.7</v>
      </c>
      <c r="J225">
        <v>13.7</v>
      </c>
      <c r="K225">
        <v>7.2</v>
      </c>
      <c r="L225">
        <v>4.0999999999999996</v>
      </c>
      <c r="M225">
        <v>-6.6</v>
      </c>
      <c r="O225">
        <f>IF(temp8[[#This Row],[sierpień]]&lt;I224,O224+1,1)</f>
        <v>1</v>
      </c>
    </row>
    <row r="226" spans="1:15" x14ac:dyDescent="0.25">
      <c r="A226">
        <v>2003</v>
      </c>
      <c r="B226">
        <v>-3</v>
      </c>
      <c r="C226">
        <v>-4.9000000000000004</v>
      </c>
      <c r="D226">
        <v>2</v>
      </c>
      <c r="E226">
        <v>7.3</v>
      </c>
      <c r="F226">
        <v>15.7</v>
      </c>
      <c r="G226">
        <v>17.899999999999999</v>
      </c>
      <c r="H226">
        <v>20.2</v>
      </c>
      <c r="I226">
        <v>18.7</v>
      </c>
      <c r="J226">
        <v>13.8</v>
      </c>
      <c r="K226">
        <v>5.4</v>
      </c>
      <c r="L226">
        <v>4.9000000000000004</v>
      </c>
      <c r="M226">
        <v>0.9</v>
      </c>
      <c r="O226">
        <f>IF(temp8[[#This Row],[sierpień]]&lt;I225,O225+1,1)</f>
        <v>2</v>
      </c>
    </row>
    <row r="227" spans="1:15" x14ac:dyDescent="0.25">
      <c r="A227">
        <v>2004</v>
      </c>
      <c r="B227">
        <v>-5.0999999999999996</v>
      </c>
      <c r="C227">
        <v>0</v>
      </c>
      <c r="D227">
        <v>3.5</v>
      </c>
      <c r="E227">
        <v>8.6999999999999993</v>
      </c>
      <c r="F227">
        <v>12</v>
      </c>
      <c r="G227">
        <v>15.8</v>
      </c>
      <c r="H227">
        <v>17.899999999999999</v>
      </c>
      <c r="I227">
        <v>19</v>
      </c>
      <c r="J227">
        <v>13.5</v>
      </c>
      <c r="K227">
        <v>10</v>
      </c>
      <c r="L227">
        <v>3.7</v>
      </c>
      <c r="M227">
        <v>1.8</v>
      </c>
      <c r="O227">
        <f>IF(temp8[[#This Row],[sierpień]]&lt;I226,O226+1,1)</f>
        <v>1</v>
      </c>
    </row>
    <row r="228" spans="1:15" x14ac:dyDescent="0.25">
      <c r="A228">
        <v>2005</v>
      </c>
      <c r="B228">
        <v>0.9</v>
      </c>
      <c r="C228">
        <v>-3.1</v>
      </c>
      <c r="D228">
        <v>0</v>
      </c>
      <c r="E228">
        <v>8.9</v>
      </c>
      <c r="F228">
        <v>13.7</v>
      </c>
      <c r="G228">
        <v>16</v>
      </c>
      <c r="H228">
        <v>20.5</v>
      </c>
      <c r="I228">
        <v>17.7</v>
      </c>
      <c r="J228">
        <v>15.9</v>
      </c>
      <c r="K228">
        <v>9.4</v>
      </c>
      <c r="L228">
        <v>3.2</v>
      </c>
      <c r="M228">
        <v>-0.3</v>
      </c>
      <c r="O228">
        <f>IF(temp8[[#This Row],[sierpień]]&lt;I227,O227+1,1)</f>
        <v>2</v>
      </c>
    </row>
    <row r="229" spans="1:15" x14ac:dyDescent="0.25">
      <c r="A229">
        <v>2006</v>
      </c>
      <c r="B229">
        <v>-8.3000000000000007</v>
      </c>
      <c r="C229">
        <v>-3.2</v>
      </c>
      <c r="D229">
        <v>-0.6</v>
      </c>
      <c r="E229">
        <v>9.1</v>
      </c>
      <c r="F229">
        <v>14.2</v>
      </c>
      <c r="G229">
        <v>18.3</v>
      </c>
      <c r="H229">
        <v>23.5</v>
      </c>
      <c r="I229">
        <v>17.899999999999999</v>
      </c>
      <c r="J229">
        <v>16.100000000000001</v>
      </c>
      <c r="K229">
        <v>10.7</v>
      </c>
      <c r="L229">
        <v>5.9</v>
      </c>
      <c r="M229">
        <v>3.9</v>
      </c>
      <c r="O229">
        <f>IF(temp8[[#This Row],[sierpień]]&lt;I228,O228+1,1)</f>
        <v>1</v>
      </c>
    </row>
  </sheetData>
  <conditionalFormatting sqref="O1:O1048576">
    <cfRule type="cellIs" dxfId="0" priority="1" operator="equal">
      <formula>6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0CEF-8B4C-4EBE-B8F6-5D4BED1A4773}">
  <dimension ref="A1:T229"/>
  <sheetViews>
    <sheetView workbookViewId="0">
      <selection activeCell="A2" sqref="A2"/>
    </sheetView>
  </sheetViews>
  <sheetFormatPr defaultRowHeight="15" x14ac:dyDescent="0.25"/>
  <cols>
    <col min="1" max="9" width="11.140625" bestFit="1" customWidth="1"/>
    <col min="10" max="13" width="12.140625" bestFit="1" customWidth="1"/>
    <col min="16" max="16" width="10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0" x14ac:dyDescent="0.25">
      <c r="A2">
        <v>1779</v>
      </c>
      <c r="B2">
        <v>-4.9000000000000004</v>
      </c>
      <c r="C2">
        <v>2.2000000000000002</v>
      </c>
      <c r="D2">
        <v>3.8</v>
      </c>
      <c r="E2">
        <v>9.5</v>
      </c>
      <c r="F2">
        <v>15.4</v>
      </c>
      <c r="G2">
        <v>16.399999999999999</v>
      </c>
      <c r="H2">
        <v>17.899999999999999</v>
      </c>
      <c r="I2">
        <v>19.5</v>
      </c>
      <c r="J2">
        <v>14.7</v>
      </c>
      <c r="K2">
        <v>9.3000000000000007</v>
      </c>
      <c r="L2">
        <v>4.0999999999999996</v>
      </c>
      <c r="M2">
        <v>1.4</v>
      </c>
    </row>
    <row r="3" spans="1:20" x14ac:dyDescent="0.25">
      <c r="A3">
        <v>1780</v>
      </c>
      <c r="B3">
        <v>-5.0999999999999996</v>
      </c>
      <c r="C3">
        <v>-4.3</v>
      </c>
      <c r="D3">
        <v>4.4000000000000004</v>
      </c>
      <c r="E3">
        <v>5.9</v>
      </c>
      <c r="F3">
        <v>14.2</v>
      </c>
      <c r="G3">
        <v>17.2</v>
      </c>
      <c r="H3">
        <v>19.399999999999999</v>
      </c>
      <c r="I3">
        <v>17.899999999999999</v>
      </c>
      <c r="J3">
        <v>13.1</v>
      </c>
      <c r="K3">
        <v>9.4</v>
      </c>
      <c r="L3">
        <v>2.8</v>
      </c>
      <c r="M3">
        <v>-4.5999999999999996</v>
      </c>
      <c r="S3" s="3"/>
      <c r="T3" s="3"/>
    </row>
    <row r="4" spans="1:20" x14ac:dyDescent="0.25">
      <c r="A4">
        <v>1781</v>
      </c>
      <c r="B4">
        <v>-4</v>
      </c>
      <c r="C4">
        <v>-1.9</v>
      </c>
      <c r="D4">
        <v>1.5</v>
      </c>
      <c r="E4">
        <v>9.1</v>
      </c>
      <c r="F4">
        <v>13.8</v>
      </c>
      <c r="G4">
        <v>19.2</v>
      </c>
      <c r="H4">
        <v>20.100000000000001</v>
      </c>
      <c r="I4">
        <v>22.8</v>
      </c>
      <c r="J4">
        <v>16.2</v>
      </c>
      <c r="K4">
        <v>6</v>
      </c>
      <c r="L4">
        <v>4</v>
      </c>
      <c r="M4">
        <v>-3.6</v>
      </c>
      <c r="S4" s="3"/>
    </row>
    <row r="5" spans="1:20" x14ac:dyDescent="0.25">
      <c r="A5">
        <v>1782</v>
      </c>
      <c r="B5">
        <v>-1.6</v>
      </c>
      <c r="C5">
        <v>-6.2</v>
      </c>
      <c r="D5">
        <v>0.9</v>
      </c>
      <c r="E5">
        <v>7.3</v>
      </c>
      <c r="F5">
        <v>14.1</v>
      </c>
      <c r="G5">
        <v>17.8</v>
      </c>
      <c r="H5">
        <v>20.3</v>
      </c>
      <c r="I5">
        <v>18.3</v>
      </c>
      <c r="J5">
        <v>13.4</v>
      </c>
      <c r="K5">
        <v>6.4</v>
      </c>
      <c r="L5">
        <v>0.3</v>
      </c>
      <c r="M5">
        <v>-3.1</v>
      </c>
      <c r="P5" s="4"/>
      <c r="S5" s="3"/>
    </row>
    <row r="6" spans="1:20" x14ac:dyDescent="0.25">
      <c r="A6">
        <v>1783</v>
      </c>
      <c r="B6">
        <v>-2.9</v>
      </c>
      <c r="C6">
        <v>1.9</v>
      </c>
      <c r="D6">
        <v>0.6</v>
      </c>
      <c r="E6">
        <v>7.1</v>
      </c>
      <c r="F6">
        <v>15.8</v>
      </c>
      <c r="G6">
        <v>20</v>
      </c>
      <c r="H6">
        <v>19.8</v>
      </c>
      <c r="I6">
        <v>20.2</v>
      </c>
      <c r="J6">
        <v>15.5</v>
      </c>
      <c r="K6">
        <v>8.4</v>
      </c>
      <c r="L6">
        <v>0.9</v>
      </c>
      <c r="M6">
        <v>-4.5999999999999996</v>
      </c>
      <c r="P6" s="4"/>
      <c r="S6" s="3"/>
    </row>
    <row r="7" spans="1:20" x14ac:dyDescent="0.25">
      <c r="A7">
        <v>1784</v>
      </c>
      <c r="B7">
        <v>-7.1</v>
      </c>
      <c r="C7">
        <v>-4.3</v>
      </c>
      <c r="D7">
        <v>-0.4</v>
      </c>
      <c r="E7">
        <v>7</v>
      </c>
      <c r="F7">
        <v>14.1</v>
      </c>
      <c r="G7">
        <v>18.399999999999999</v>
      </c>
      <c r="H7">
        <v>19.7</v>
      </c>
      <c r="I7">
        <v>22.5</v>
      </c>
      <c r="J7">
        <v>15.3</v>
      </c>
      <c r="K7">
        <v>6</v>
      </c>
      <c r="L7">
        <v>3.1</v>
      </c>
      <c r="M7">
        <v>-0.8</v>
      </c>
      <c r="P7" s="4"/>
      <c r="S7" s="3"/>
    </row>
    <row r="8" spans="1:20" x14ac:dyDescent="0.25">
      <c r="A8">
        <v>1785</v>
      </c>
      <c r="B8">
        <v>-5.3</v>
      </c>
      <c r="C8">
        <v>-4.8</v>
      </c>
      <c r="D8">
        <v>-6.4</v>
      </c>
      <c r="E8">
        <v>3.1</v>
      </c>
      <c r="F8">
        <v>11</v>
      </c>
      <c r="G8">
        <v>15.2</v>
      </c>
      <c r="H8">
        <v>16.7</v>
      </c>
      <c r="I8">
        <v>16.7</v>
      </c>
      <c r="J8">
        <v>14.1</v>
      </c>
      <c r="K8">
        <v>5.8</v>
      </c>
      <c r="L8">
        <v>2.4</v>
      </c>
      <c r="M8">
        <v>-5.0999999999999996</v>
      </c>
      <c r="P8" s="4"/>
      <c r="S8" s="3"/>
    </row>
    <row r="9" spans="1:20" x14ac:dyDescent="0.25">
      <c r="A9">
        <v>1786</v>
      </c>
      <c r="B9">
        <v>-3.8</v>
      </c>
      <c r="C9">
        <v>-5.2</v>
      </c>
      <c r="D9">
        <v>-0.4</v>
      </c>
      <c r="E9">
        <v>8.9</v>
      </c>
      <c r="F9">
        <v>10.6</v>
      </c>
      <c r="G9">
        <v>16.5</v>
      </c>
      <c r="H9">
        <v>16.5</v>
      </c>
      <c r="I9">
        <v>15.9</v>
      </c>
      <c r="J9">
        <v>11.6</v>
      </c>
      <c r="K9">
        <v>4.5</v>
      </c>
      <c r="L9">
        <v>-2.7</v>
      </c>
      <c r="M9">
        <v>-2.5</v>
      </c>
      <c r="P9" s="4"/>
      <c r="S9" s="3"/>
    </row>
    <row r="10" spans="1:20" x14ac:dyDescent="0.25">
      <c r="A10">
        <v>1787</v>
      </c>
      <c r="B10">
        <v>-5</v>
      </c>
      <c r="C10">
        <v>-0.8</v>
      </c>
      <c r="D10">
        <v>0.8</v>
      </c>
      <c r="E10">
        <v>5.9</v>
      </c>
      <c r="F10">
        <v>13.7</v>
      </c>
      <c r="G10">
        <v>18.7</v>
      </c>
      <c r="H10">
        <v>18.3</v>
      </c>
      <c r="I10">
        <v>17.100000000000001</v>
      </c>
      <c r="J10">
        <v>11.9</v>
      </c>
      <c r="K10">
        <v>9.5</v>
      </c>
      <c r="L10">
        <v>1.4</v>
      </c>
      <c r="M10">
        <v>-0.3</v>
      </c>
      <c r="P10" s="4"/>
      <c r="S10" s="3"/>
    </row>
    <row r="11" spans="1:20" x14ac:dyDescent="0.25">
      <c r="A11">
        <v>1788</v>
      </c>
      <c r="B11">
        <v>-3.1</v>
      </c>
      <c r="C11">
        <v>-5</v>
      </c>
      <c r="D11">
        <v>-1.2</v>
      </c>
      <c r="E11">
        <v>5.4</v>
      </c>
      <c r="F11">
        <v>12.9</v>
      </c>
      <c r="G11">
        <v>18.100000000000001</v>
      </c>
      <c r="H11">
        <v>21.1</v>
      </c>
      <c r="I11">
        <v>17.600000000000001</v>
      </c>
      <c r="J11">
        <v>16.100000000000001</v>
      </c>
      <c r="K11">
        <v>6.9</v>
      </c>
      <c r="L11">
        <v>0.7</v>
      </c>
      <c r="M11">
        <v>-14.8</v>
      </c>
      <c r="P11" s="4"/>
      <c r="S11" s="3"/>
    </row>
    <row r="12" spans="1:20" x14ac:dyDescent="0.25">
      <c r="A12">
        <v>1789</v>
      </c>
      <c r="B12">
        <v>-7.7</v>
      </c>
      <c r="C12">
        <v>-2.4</v>
      </c>
      <c r="D12">
        <v>-5.3</v>
      </c>
      <c r="E12">
        <v>6.3</v>
      </c>
      <c r="F12">
        <v>16.2</v>
      </c>
      <c r="G12">
        <v>16.899999999999999</v>
      </c>
      <c r="H12">
        <v>21.8</v>
      </c>
      <c r="I12">
        <v>20</v>
      </c>
      <c r="J12">
        <v>16.2</v>
      </c>
      <c r="K12">
        <v>10.7</v>
      </c>
      <c r="L12">
        <v>4.7</v>
      </c>
      <c r="M12">
        <v>0.9</v>
      </c>
      <c r="P12" s="4"/>
      <c r="S12" s="3"/>
    </row>
    <row r="13" spans="1:20" x14ac:dyDescent="0.25">
      <c r="A13">
        <v>1790</v>
      </c>
      <c r="B13">
        <v>-1.2</v>
      </c>
      <c r="C13">
        <v>1.9</v>
      </c>
      <c r="D13">
        <v>2.5</v>
      </c>
      <c r="E13">
        <v>5.0999999999999996</v>
      </c>
      <c r="F13">
        <v>12.9</v>
      </c>
      <c r="G13">
        <v>17.2</v>
      </c>
      <c r="H13">
        <v>17.399999999999999</v>
      </c>
      <c r="I13">
        <v>17.2</v>
      </c>
      <c r="J13">
        <v>12.9</v>
      </c>
      <c r="K13">
        <v>6.9</v>
      </c>
      <c r="L13">
        <v>2.5</v>
      </c>
      <c r="M13">
        <v>1.2</v>
      </c>
      <c r="P13" s="4"/>
      <c r="S13" s="3"/>
    </row>
    <row r="14" spans="1:20" x14ac:dyDescent="0.25">
      <c r="A14">
        <v>1791</v>
      </c>
      <c r="B14">
        <v>1.4</v>
      </c>
      <c r="C14">
        <v>-1</v>
      </c>
      <c r="D14">
        <v>2.7</v>
      </c>
      <c r="E14">
        <v>10.1</v>
      </c>
      <c r="F14">
        <v>12.3</v>
      </c>
      <c r="G14">
        <v>16.100000000000001</v>
      </c>
      <c r="H14">
        <v>19</v>
      </c>
      <c r="I14">
        <v>19.899999999999999</v>
      </c>
      <c r="J14">
        <v>13.2</v>
      </c>
      <c r="K14">
        <v>7.8</v>
      </c>
      <c r="L14">
        <v>2.2000000000000002</v>
      </c>
      <c r="M14">
        <v>-0.2</v>
      </c>
      <c r="P14" s="4"/>
      <c r="S14" s="3"/>
    </row>
    <row r="15" spans="1:20" x14ac:dyDescent="0.25">
      <c r="A15">
        <v>1792</v>
      </c>
      <c r="B15">
        <v>-2.8</v>
      </c>
      <c r="C15">
        <v>-4</v>
      </c>
      <c r="D15">
        <v>0.9</v>
      </c>
      <c r="E15">
        <v>8</v>
      </c>
      <c r="F15">
        <v>12.1</v>
      </c>
      <c r="G15">
        <v>17.5</v>
      </c>
      <c r="H15">
        <v>20.399999999999999</v>
      </c>
      <c r="I15">
        <v>18.3</v>
      </c>
      <c r="J15">
        <v>14.7</v>
      </c>
      <c r="K15">
        <v>6.2</v>
      </c>
      <c r="L15">
        <v>1.4</v>
      </c>
      <c r="M15">
        <v>-1.5</v>
      </c>
      <c r="P15" s="4"/>
      <c r="S15" s="3"/>
    </row>
    <row r="16" spans="1:20" x14ac:dyDescent="0.25">
      <c r="A16">
        <v>1793</v>
      </c>
      <c r="B16">
        <v>-5.8</v>
      </c>
      <c r="C16">
        <v>0</v>
      </c>
      <c r="D16">
        <v>-0.7</v>
      </c>
      <c r="E16">
        <v>5.3</v>
      </c>
      <c r="F16">
        <v>13.4</v>
      </c>
      <c r="G16">
        <v>15</v>
      </c>
      <c r="H16">
        <v>20.399999999999999</v>
      </c>
      <c r="I16">
        <v>18.7</v>
      </c>
      <c r="J16">
        <v>12.3</v>
      </c>
      <c r="K16">
        <v>9.5</v>
      </c>
      <c r="L16">
        <v>3.2</v>
      </c>
      <c r="M16">
        <v>-1.2</v>
      </c>
      <c r="P16" s="4"/>
      <c r="S16" s="3"/>
    </row>
    <row r="17" spans="1:19" x14ac:dyDescent="0.25">
      <c r="A17">
        <v>1794</v>
      </c>
      <c r="B17">
        <v>-2</v>
      </c>
      <c r="C17">
        <v>-0.3</v>
      </c>
      <c r="D17">
        <v>3.6</v>
      </c>
      <c r="E17">
        <v>9.1999999999999993</v>
      </c>
      <c r="F17">
        <v>15.8</v>
      </c>
      <c r="G17">
        <v>18.8</v>
      </c>
      <c r="H17">
        <v>20.399999999999999</v>
      </c>
      <c r="I17">
        <v>17</v>
      </c>
      <c r="J17">
        <v>11.2</v>
      </c>
      <c r="K17">
        <v>8.1999999999999993</v>
      </c>
      <c r="L17">
        <v>2.8</v>
      </c>
      <c r="M17">
        <v>-6.1</v>
      </c>
      <c r="P17" s="4"/>
      <c r="S17" s="3"/>
    </row>
    <row r="18" spans="1:19" x14ac:dyDescent="0.25">
      <c r="A18">
        <v>1795</v>
      </c>
      <c r="B18">
        <v>-10.6</v>
      </c>
      <c r="C18">
        <v>-2.8</v>
      </c>
      <c r="D18">
        <v>1.2</v>
      </c>
      <c r="E18">
        <v>10</v>
      </c>
      <c r="F18">
        <v>13.8</v>
      </c>
      <c r="G18">
        <v>18.8</v>
      </c>
      <c r="H18">
        <v>17.3</v>
      </c>
      <c r="I18">
        <v>17.399999999999999</v>
      </c>
      <c r="J18">
        <v>13.2</v>
      </c>
      <c r="K18">
        <v>10.1</v>
      </c>
      <c r="L18">
        <v>0.7</v>
      </c>
      <c r="M18">
        <v>1</v>
      </c>
      <c r="P18" s="4"/>
      <c r="S18" s="3"/>
    </row>
    <row r="19" spans="1:19" x14ac:dyDescent="0.25">
      <c r="A19">
        <v>1796</v>
      </c>
      <c r="B19">
        <v>3.5</v>
      </c>
      <c r="C19">
        <v>-2.2000000000000002</v>
      </c>
      <c r="D19">
        <v>-3.8</v>
      </c>
      <c r="E19">
        <v>4.9000000000000004</v>
      </c>
      <c r="F19">
        <v>13.5</v>
      </c>
      <c r="G19">
        <v>17.8</v>
      </c>
      <c r="H19">
        <v>19.5</v>
      </c>
      <c r="I19">
        <v>20.100000000000001</v>
      </c>
      <c r="J19">
        <v>14.7</v>
      </c>
      <c r="K19">
        <v>7.8</v>
      </c>
      <c r="L19">
        <v>1.2</v>
      </c>
      <c r="M19">
        <v>-2.7</v>
      </c>
      <c r="P19" s="4"/>
      <c r="S19" s="3"/>
    </row>
    <row r="20" spans="1:19" x14ac:dyDescent="0.25">
      <c r="A20">
        <v>1797</v>
      </c>
      <c r="B20">
        <v>-1</v>
      </c>
      <c r="C20">
        <v>1.3</v>
      </c>
      <c r="D20">
        <v>0.8</v>
      </c>
      <c r="E20">
        <v>9.4</v>
      </c>
      <c r="F20">
        <v>17.600000000000001</v>
      </c>
      <c r="G20">
        <v>18.7</v>
      </c>
      <c r="H20">
        <v>21.2</v>
      </c>
      <c r="I20">
        <v>19.8</v>
      </c>
      <c r="J20">
        <v>16</v>
      </c>
      <c r="K20">
        <v>9.6</v>
      </c>
      <c r="L20">
        <v>1.6</v>
      </c>
      <c r="M20">
        <v>-0.3</v>
      </c>
      <c r="P20" s="4"/>
    </row>
    <row r="21" spans="1:19" x14ac:dyDescent="0.25">
      <c r="A21">
        <v>1798</v>
      </c>
      <c r="B21">
        <v>-2.4</v>
      </c>
      <c r="C21">
        <v>0.3</v>
      </c>
      <c r="D21">
        <v>3.2</v>
      </c>
      <c r="E21">
        <v>10</v>
      </c>
      <c r="F21">
        <v>15.6</v>
      </c>
      <c r="G21">
        <v>17.899999999999999</v>
      </c>
      <c r="H21">
        <v>20.5</v>
      </c>
      <c r="I21">
        <v>19.899999999999999</v>
      </c>
      <c r="J21">
        <v>15</v>
      </c>
      <c r="K21">
        <v>7</v>
      </c>
      <c r="L21">
        <v>0.5</v>
      </c>
      <c r="M21">
        <v>-7.8</v>
      </c>
      <c r="P21" s="4"/>
    </row>
    <row r="22" spans="1:19" x14ac:dyDescent="0.25">
      <c r="A22">
        <v>1799</v>
      </c>
      <c r="B22">
        <v>-8.4</v>
      </c>
      <c r="C22">
        <v>-9.6</v>
      </c>
      <c r="D22">
        <v>-3.1</v>
      </c>
      <c r="E22">
        <v>6.6</v>
      </c>
      <c r="F22">
        <v>12.1</v>
      </c>
      <c r="G22">
        <v>15.4</v>
      </c>
      <c r="H22">
        <v>17.600000000000001</v>
      </c>
      <c r="I22">
        <v>17.7</v>
      </c>
      <c r="J22">
        <v>12</v>
      </c>
      <c r="K22">
        <v>7.5</v>
      </c>
      <c r="L22">
        <v>3.1</v>
      </c>
      <c r="M22">
        <v>-8.4</v>
      </c>
      <c r="P22" s="4"/>
    </row>
    <row r="23" spans="1:19" x14ac:dyDescent="0.25">
      <c r="A23">
        <v>1800</v>
      </c>
      <c r="B23">
        <v>-4.9000000000000004</v>
      </c>
      <c r="C23">
        <v>-3.6</v>
      </c>
      <c r="D23">
        <v>-2.6</v>
      </c>
      <c r="E23">
        <v>12.3</v>
      </c>
      <c r="F23">
        <v>14.7</v>
      </c>
      <c r="G23">
        <v>15.3</v>
      </c>
      <c r="H23">
        <v>16.8</v>
      </c>
      <c r="I23">
        <v>17.600000000000001</v>
      </c>
      <c r="J23">
        <v>12.2</v>
      </c>
      <c r="K23">
        <v>7.5</v>
      </c>
      <c r="L23">
        <v>4.0999999999999996</v>
      </c>
      <c r="M23">
        <v>-2.1</v>
      </c>
    </row>
    <row r="24" spans="1:19" x14ac:dyDescent="0.25">
      <c r="A24">
        <v>1801</v>
      </c>
      <c r="B24">
        <v>-2.6</v>
      </c>
      <c r="C24">
        <v>-3.3</v>
      </c>
      <c r="D24">
        <v>4.0999999999999996</v>
      </c>
      <c r="E24">
        <v>7.5</v>
      </c>
      <c r="F24">
        <v>17.100000000000001</v>
      </c>
      <c r="G24">
        <v>15.2</v>
      </c>
      <c r="H24">
        <v>19.100000000000001</v>
      </c>
      <c r="I24">
        <v>15.9</v>
      </c>
      <c r="J24">
        <v>14.7</v>
      </c>
      <c r="K24">
        <v>9.1</v>
      </c>
      <c r="L24">
        <v>4.5999999999999996</v>
      </c>
      <c r="M24">
        <v>-0.6</v>
      </c>
    </row>
    <row r="25" spans="1:19" x14ac:dyDescent="0.25">
      <c r="A25">
        <v>1802</v>
      </c>
      <c r="B25">
        <v>-4.4000000000000004</v>
      </c>
      <c r="C25">
        <v>-2.2999999999999998</v>
      </c>
      <c r="D25">
        <v>3.5</v>
      </c>
      <c r="E25">
        <v>9.3000000000000007</v>
      </c>
      <c r="F25">
        <v>12</v>
      </c>
      <c r="G25">
        <v>16.399999999999999</v>
      </c>
      <c r="H25">
        <v>19.3</v>
      </c>
      <c r="I25">
        <v>19.5</v>
      </c>
      <c r="J25">
        <v>12.7</v>
      </c>
      <c r="K25">
        <v>10.5</v>
      </c>
      <c r="L25">
        <v>2.2999999999999998</v>
      </c>
      <c r="M25">
        <v>-0.5</v>
      </c>
    </row>
    <row r="26" spans="1:19" x14ac:dyDescent="0.25">
      <c r="A26">
        <v>1803</v>
      </c>
      <c r="B26">
        <v>-13.2</v>
      </c>
      <c r="C26">
        <v>-7.1</v>
      </c>
      <c r="D26">
        <v>0.7</v>
      </c>
      <c r="E26">
        <v>9.9</v>
      </c>
      <c r="F26">
        <v>11.5</v>
      </c>
      <c r="G26">
        <v>15.6</v>
      </c>
      <c r="H26">
        <v>19</v>
      </c>
      <c r="I26">
        <v>18.5</v>
      </c>
      <c r="J26">
        <v>11.4</v>
      </c>
      <c r="K26">
        <v>6.2</v>
      </c>
      <c r="L26">
        <v>1.6</v>
      </c>
      <c r="M26">
        <v>-5.0999999999999996</v>
      </c>
    </row>
    <row r="27" spans="1:19" x14ac:dyDescent="0.25">
      <c r="A27">
        <v>1804</v>
      </c>
      <c r="B27">
        <v>-0.2</v>
      </c>
      <c r="C27">
        <v>-4.3</v>
      </c>
      <c r="D27">
        <v>-3.1</v>
      </c>
      <c r="E27">
        <v>7.2</v>
      </c>
      <c r="F27">
        <v>13.2</v>
      </c>
      <c r="G27">
        <v>17.100000000000001</v>
      </c>
      <c r="H27">
        <v>18.899999999999999</v>
      </c>
      <c r="I27">
        <v>16.5</v>
      </c>
      <c r="J27">
        <v>14.9</v>
      </c>
      <c r="K27">
        <v>7.5</v>
      </c>
      <c r="L27">
        <v>-2.2000000000000002</v>
      </c>
      <c r="M27">
        <v>-7.7</v>
      </c>
    </row>
    <row r="28" spans="1:19" x14ac:dyDescent="0.25">
      <c r="A28">
        <v>1805</v>
      </c>
      <c r="B28">
        <v>-9</v>
      </c>
      <c r="C28">
        <v>-5</v>
      </c>
      <c r="D28">
        <v>-0.4</v>
      </c>
      <c r="E28">
        <v>4.5</v>
      </c>
      <c r="F28">
        <v>12</v>
      </c>
      <c r="G28">
        <v>15.1</v>
      </c>
      <c r="H28">
        <v>17.399999999999999</v>
      </c>
      <c r="I28">
        <v>16.399999999999999</v>
      </c>
      <c r="J28">
        <v>14.8</v>
      </c>
      <c r="K28">
        <v>1.8</v>
      </c>
      <c r="L28">
        <v>-2.5</v>
      </c>
      <c r="M28">
        <v>-1.3</v>
      </c>
    </row>
    <row r="29" spans="1:19" x14ac:dyDescent="0.25">
      <c r="A29">
        <v>1806</v>
      </c>
      <c r="B29">
        <v>-0.2</v>
      </c>
      <c r="C29">
        <v>-1</v>
      </c>
      <c r="D29">
        <v>0.2</v>
      </c>
      <c r="E29">
        <v>6.4</v>
      </c>
      <c r="F29">
        <v>14.9</v>
      </c>
      <c r="G29">
        <v>14.5</v>
      </c>
      <c r="H29">
        <v>17</v>
      </c>
      <c r="I29">
        <v>18.3</v>
      </c>
      <c r="J29">
        <v>16.600000000000001</v>
      </c>
      <c r="K29">
        <v>8</v>
      </c>
      <c r="L29">
        <v>2.7</v>
      </c>
      <c r="M29">
        <v>2</v>
      </c>
    </row>
    <row r="30" spans="1:19" x14ac:dyDescent="0.25">
      <c r="A30">
        <v>1807</v>
      </c>
      <c r="B30">
        <v>-3.5</v>
      </c>
      <c r="C30">
        <v>-1.3</v>
      </c>
      <c r="D30">
        <v>-1.3</v>
      </c>
      <c r="E30">
        <v>5.7</v>
      </c>
      <c r="F30">
        <v>13.4</v>
      </c>
      <c r="G30">
        <v>16.3</v>
      </c>
      <c r="H30">
        <v>19.5</v>
      </c>
      <c r="I30">
        <v>23.8</v>
      </c>
      <c r="J30">
        <v>13</v>
      </c>
      <c r="K30">
        <v>8.4</v>
      </c>
      <c r="L30">
        <v>4</v>
      </c>
      <c r="M30">
        <v>-0.3</v>
      </c>
    </row>
    <row r="31" spans="1:19" x14ac:dyDescent="0.25">
      <c r="A31">
        <v>1808</v>
      </c>
      <c r="B31">
        <v>-2</v>
      </c>
      <c r="C31">
        <v>-4</v>
      </c>
      <c r="D31">
        <v>-5.9</v>
      </c>
      <c r="E31">
        <v>4.7</v>
      </c>
      <c r="F31">
        <v>13</v>
      </c>
      <c r="G31">
        <v>17.100000000000001</v>
      </c>
      <c r="H31">
        <v>19.600000000000001</v>
      </c>
      <c r="I31">
        <v>20.5</v>
      </c>
      <c r="J31">
        <v>15.1</v>
      </c>
      <c r="K31">
        <v>8.5</v>
      </c>
      <c r="L31">
        <v>0.6</v>
      </c>
      <c r="M31">
        <v>-6.8</v>
      </c>
    </row>
    <row r="32" spans="1:19" x14ac:dyDescent="0.25">
      <c r="A32">
        <v>1809</v>
      </c>
      <c r="B32">
        <v>-9.3000000000000007</v>
      </c>
      <c r="C32">
        <v>0</v>
      </c>
      <c r="D32">
        <v>-1.5</v>
      </c>
      <c r="E32">
        <v>4.9000000000000004</v>
      </c>
      <c r="F32">
        <v>14.4</v>
      </c>
      <c r="G32">
        <v>16.600000000000001</v>
      </c>
      <c r="H32">
        <v>18</v>
      </c>
      <c r="I32">
        <v>19.7</v>
      </c>
      <c r="J32">
        <v>13.4</v>
      </c>
      <c r="K32">
        <v>6.7</v>
      </c>
      <c r="L32">
        <v>1.3</v>
      </c>
      <c r="M32">
        <v>1</v>
      </c>
    </row>
    <row r="33" spans="1:13" x14ac:dyDescent="0.25">
      <c r="A33">
        <v>1810</v>
      </c>
      <c r="B33">
        <v>-3.3</v>
      </c>
      <c r="C33">
        <v>-2.5</v>
      </c>
      <c r="D33">
        <v>1</v>
      </c>
      <c r="E33">
        <v>3.9</v>
      </c>
      <c r="F33">
        <v>11.2</v>
      </c>
      <c r="G33">
        <v>14.2</v>
      </c>
      <c r="H33">
        <v>18.100000000000001</v>
      </c>
      <c r="I33">
        <v>17.5</v>
      </c>
      <c r="J33">
        <v>14.6</v>
      </c>
      <c r="K33">
        <v>6.5</v>
      </c>
      <c r="L33">
        <v>2.7</v>
      </c>
      <c r="M33">
        <v>-0.6</v>
      </c>
    </row>
    <row r="34" spans="1:13" x14ac:dyDescent="0.25">
      <c r="A34">
        <v>1811</v>
      </c>
      <c r="B34">
        <v>-8</v>
      </c>
      <c r="C34">
        <v>-4.5</v>
      </c>
      <c r="D34">
        <v>3.4</v>
      </c>
      <c r="E34">
        <v>6.5</v>
      </c>
      <c r="F34">
        <v>16.7</v>
      </c>
      <c r="G34">
        <v>22.4</v>
      </c>
      <c r="H34">
        <v>22.5</v>
      </c>
      <c r="I34">
        <v>19.899999999999999</v>
      </c>
      <c r="J34">
        <v>12.5</v>
      </c>
      <c r="K34">
        <v>10.6</v>
      </c>
      <c r="L34">
        <v>2.8</v>
      </c>
      <c r="M34">
        <v>-0.4</v>
      </c>
    </row>
    <row r="35" spans="1:13" x14ac:dyDescent="0.25">
      <c r="A35">
        <v>1812</v>
      </c>
      <c r="B35">
        <v>-7.8</v>
      </c>
      <c r="C35">
        <v>-3.8</v>
      </c>
      <c r="D35">
        <v>1.1000000000000001</v>
      </c>
      <c r="E35">
        <v>3.5</v>
      </c>
      <c r="F35">
        <v>12.4</v>
      </c>
      <c r="G35">
        <v>17.5</v>
      </c>
      <c r="H35">
        <v>18.5</v>
      </c>
      <c r="I35">
        <v>17.7</v>
      </c>
      <c r="J35">
        <v>11.3</v>
      </c>
      <c r="K35">
        <v>10.199999999999999</v>
      </c>
      <c r="L35">
        <v>0.2</v>
      </c>
      <c r="M35">
        <v>-10.9</v>
      </c>
    </row>
    <row r="36" spans="1:13" x14ac:dyDescent="0.25">
      <c r="A36">
        <v>1813</v>
      </c>
      <c r="B36">
        <v>-6.2</v>
      </c>
      <c r="C36">
        <v>0.4</v>
      </c>
      <c r="D36">
        <v>0</v>
      </c>
      <c r="E36">
        <v>9</v>
      </c>
      <c r="F36">
        <v>12.4</v>
      </c>
      <c r="G36">
        <v>15.4</v>
      </c>
      <c r="H36">
        <v>18.5</v>
      </c>
      <c r="I36">
        <v>16.7</v>
      </c>
      <c r="J36">
        <v>12.6</v>
      </c>
      <c r="K36">
        <v>5.4</v>
      </c>
      <c r="L36">
        <v>2.9</v>
      </c>
      <c r="M36">
        <v>-0.9</v>
      </c>
    </row>
    <row r="37" spans="1:13" x14ac:dyDescent="0.25">
      <c r="A37">
        <v>1814</v>
      </c>
      <c r="B37">
        <v>-5</v>
      </c>
      <c r="C37">
        <v>-9.6</v>
      </c>
      <c r="D37">
        <v>0.5</v>
      </c>
      <c r="E37">
        <v>8.6999999999999993</v>
      </c>
      <c r="F37">
        <v>9.9</v>
      </c>
      <c r="G37">
        <v>15.4</v>
      </c>
      <c r="H37">
        <v>20.100000000000001</v>
      </c>
      <c r="I37">
        <v>17.7</v>
      </c>
      <c r="J37">
        <v>11.6</v>
      </c>
      <c r="K37">
        <v>6.2</v>
      </c>
      <c r="L37">
        <v>2.1</v>
      </c>
      <c r="M37">
        <v>-0.9</v>
      </c>
    </row>
    <row r="38" spans="1:13" x14ac:dyDescent="0.25">
      <c r="A38">
        <v>1815</v>
      </c>
      <c r="B38">
        <v>-9.4</v>
      </c>
      <c r="C38">
        <v>-2.7</v>
      </c>
      <c r="D38">
        <v>2</v>
      </c>
      <c r="E38">
        <v>6.8</v>
      </c>
      <c r="F38">
        <v>13.1</v>
      </c>
      <c r="G38">
        <v>17.3</v>
      </c>
      <c r="H38">
        <v>16.7</v>
      </c>
      <c r="I38">
        <v>17</v>
      </c>
      <c r="J38">
        <v>11.8</v>
      </c>
      <c r="K38">
        <v>7.8</v>
      </c>
      <c r="L38">
        <v>1.2</v>
      </c>
      <c r="M38">
        <v>-7.2</v>
      </c>
    </row>
    <row r="39" spans="1:13" x14ac:dyDescent="0.25">
      <c r="A39">
        <v>1816</v>
      </c>
      <c r="B39">
        <v>-3.2</v>
      </c>
      <c r="C39">
        <v>-5.4</v>
      </c>
      <c r="D39">
        <v>0.5</v>
      </c>
      <c r="E39">
        <v>6.4</v>
      </c>
      <c r="F39">
        <v>12.2</v>
      </c>
      <c r="G39">
        <v>16.8</v>
      </c>
      <c r="H39">
        <v>18</v>
      </c>
      <c r="I39">
        <v>16.2</v>
      </c>
      <c r="J39">
        <v>12.7</v>
      </c>
      <c r="K39">
        <v>6.6</v>
      </c>
      <c r="L39">
        <v>2.2999999999999998</v>
      </c>
      <c r="M39">
        <v>-3.5</v>
      </c>
    </row>
    <row r="40" spans="1:13" x14ac:dyDescent="0.25">
      <c r="A40">
        <v>1817</v>
      </c>
      <c r="B40">
        <v>-0.5</v>
      </c>
      <c r="C40">
        <v>1.1000000000000001</v>
      </c>
      <c r="D40">
        <v>1.4</v>
      </c>
      <c r="E40">
        <v>2.4</v>
      </c>
      <c r="F40">
        <v>13.4</v>
      </c>
      <c r="G40">
        <v>18.600000000000001</v>
      </c>
      <c r="H40">
        <v>18.7</v>
      </c>
      <c r="I40">
        <v>18</v>
      </c>
      <c r="J40">
        <v>12.6</v>
      </c>
      <c r="K40">
        <v>4.5</v>
      </c>
      <c r="L40">
        <v>2.7</v>
      </c>
      <c r="M40">
        <v>-2.7</v>
      </c>
    </row>
    <row r="41" spans="1:13" x14ac:dyDescent="0.25">
      <c r="A41">
        <v>1818</v>
      </c>
      <c r="B41">
        <v>-2.8</v>
      </c>
      <c r="C41">
        <v>-1</v>
      </c>
      <c r="D41">
        <v>2.9</v>
      </c>
      <c r="E41">
        <v>7.4</v>
      </c>
      <c r="F41">
        <v>12.2</v>
      </c>
      <c r="G41">
        <v>16.7</v>
      </c>
      <c r="H41">
        <v>19.2</v>
      </c>
      <c r="I41">
        <v>16.399999999999999</v>
      </c>
      <c r="J41">
        <v>12.8</v>
      </c>
      <c r="K41">
        <v>7.1</v>
      </c>
      <c r="L41">
        <v>2</v>
      </c>
      <c r="M41">
        <v>-4.4000000000000004</v>
      </c>
    </row>
    <row r="42" spans="1:13" x14ac:dyDescent="0.25">
      <c r="A42">
        <v>1819</v>
      </c>
      <c r="B42">
        <v>-2</v>
      </c>
      <c r="C42">
        <v>-0.5</v>
      </c>
      <c r="D42">
        <v>1.9</v>
      </c>
      <c r="E42">
        <v>6.8</v>
      </c>
      <c r="F42">
        <v>13.4</v>
      </c>
      <c r="G42">
        <v>18.100000000000001</v>
      </c>
      <c r="H42">
        <v>19</v>
      </c>
      <c r="I42">
        <v>18.7</v>
      </c>
      <c r="J42">
        <v>14.3</v>
      </c>
      <c r="K42">
        <v>7.8</v>
      </c>
      <c r="L42">
        <v>1.6</v>
      </c>
      <c r="M42">
        <v>-8</v>
      </c>
    </row>
    <row r="43" spans="1:13" x14ac:dyDescent="0.25">
      <c r="A43">
        <v>1820</v>
      </c>
      <c r="B43">
        <v>-9.6999999999999993</v>
      </c>
      <c r="C43">
        <v>-3</v>
      </c>
      <c r="D43">
        <v>0.5</v>
      </c>
      <c r="E43">
        <v>8.5</v>
      </c>
      <c r="F43">
        <v>15.3</v>
      </c>
      <c r="G43">
        <v>16.2</v>
      </c>
      <c r="H43">
        <v>16.899999999999999</v>
      </c>
      <c r="I43">
        <v>18.8</v>
      </c>
      <c r="J43">
        <v>12.9</v>
      </c>
      <c r="K43">
        <v>8.6</v>
      </c>
      <c r="L43">
        <v>1.9</v>
      </c>
      <c r="M43">
        <v>-5.5</v>
      </c>
    </row>
    <row r="44" spans="1:13" x14ac:dyDescent="0.25">
      <c r="A44">
        <v>1821</v>
      </c>
      <c r="B44">
        <v>-2.5</v>
      </c>
      <c r="C44">
        <v>-5</v>
      </c>
      <c r="D44">
        <v>-1.7</v>
      </c>
      <c r="E44">
        <v>10.6</v>
      </c>
      <c r="F44">
        <v>13.4</v>
      </c>
      <c r="G44">
        <v>14.5</v>
      </c>
      <c r="H44">
        <v>17</v>
      </c>
      <c r="I44">
        <v>16.5</v>
      </c>
      <c r="J44">
        <v>13.9</v>
      </c>
      <c r="K44">
        <v>8.5</v>
      </c>
      <c r="L44">
        <v>4.9000000000000004</v>
      </c>
      <c r="M44">
        <v>-0.4</v>
      </c>
    </row>
    <row r="45" spans="1:13" x14ac:dyDescent="0.25">
      <c r="A45">
        <v>1822</v>
      </c>
      <c r="B45">
        <v>-2.7</v>
      </c>
      <c r="C45">
        <v>-0.2</v>
      </c>
      <c r="D45">
        <v>5</v>
      </c>
      <c r="E45">
        <v>9</v>
      </c>
      <c r="F45">
        <v>13.9</v>
      </c>
      <c r="G45">
        <v>17.8</v>
      </c>
      <c r="H45">
        <v>20.8</v>
      </c>
      <c r="I45">
        <v>17.600000000000001</v>
      </c>
      <c r="J45">
        <v>12.2</v>
      </c>
      <c r="K45">
        <v>10.9</v>
      </c>
      <c r="L45">
        <v>3.2</v>
      </c>
      <c r="M45">
        <v>-5.2</v>
      </c>
    </row>
    <row r="46" spans="1:13" x14ac:dyDescent="0.25">
      <c r="A46">
        <v>1823</v>
      </c>
      <c r="B46">
        <v>-13</v>
      </c>
      <c r="C46">
        <v>-2.5</v>
      </c>
      <c r="D46">
        <v>2.5</v>
      </c>
      <c r="E46">
        <v>6</v>
      </c>
      <c r="F46">
        <v>12.5</v>
      </c>
      <c r="G46">
        <v>18.5</v>
      </c>
      <c r="H46">
        <v>19.5</v>
      </c>
      <c r="I46">
        <v>20.399999999999999</v>
      </c>
      <c r="J46">
        <v>13.6</v>
      </c>
      <c r="K46">
        <v>10.5</v>
      </c>
      <c r="L46">
        <v>2.9</v>
      </c>
      <c r="M46">
        <v>-2.2999999999999998</v>
      </c>
    </row>
    <row r="47" spans="1:13" x14ac:dyDescent="0.25">
      <c r="A47">
        <v>1824</v>
      </c>
      <c r="B47">
        <v>-2.2999999999999998</v>
      </c>
      <c r="C47">
        <v>-1.1000000000000001</v>
      </c>
      <c r="D47">
        <v>2.5</v>
      </c>
      <c r="E47">
        <v>7</v>
      </c>
      <c r="F47">
        <v>10.8</v>
      </c>
      <c r="G47">
        <v>15.7</v>
      </c>
      <c r="H47">
        <v>18.100000000000001</v>
      </c>
      <c r="I47">
        <v>18.3</v>
      </c>
      <c r="J47">
        <v>16.5</v>
      </c>
      <c r="K47">
        <v>8.9</v>
      </c>
      <c r="L47">
        <v>3.8</v>
      </c>
      <c r="M47">
        <v>2.4</v>
      </c>
    </row>
    <row r="48" spans="1:13" x14ac:dyDescent="0.25">
      <c r="A48">
        <v>1825</v>
      </c>
      <c r="B48">
        <v>-1.6</v>
      </c>
      <c r="C48">
        <v>-3.1</v>
      </c>
      <c r="D48">
        <v>-2.2999999999999998</v>
      </c>
      <c r="E48">
        <v>6.9</v>
      </c>
      <c r="F48">
        <v>13</v>
      </c>
      <c r="G48">
        <v>17.399999999999999</v>
      </c>
      <c r="H48">
        <v>18.7</v>
      </c>
      <c r="I48">
        <v>18.3</v>
      </c>
      <c r="J48">
        <v>13.8</v>
      </c>
      <c r="K48">
        <v>8.8000000000000007</v>
      </c>
      <c r="L48">
        <v>5.7</v>
      </c>
      <c r="M48">
        <v>2.5</v>
      </c>
    </row>
    <row r="49" spans="1:13" x14ac:dyDescent="0.25">
      <c r="A49">
        <v>1826</v>
      </c>
      <c r="B49">
        <v>-8.6</v>
      </c>
      <c r="C49">
        <v>-1.6</v>
      </c>
      <c r="D49">
        <v>1.5</v>
      </c>
      <c r="E49">
        <v>6.2</v>
      </c>
      <c r="F49">
        <v>12.6</v>
      </c>
      <c r="G49">
        <v>17.100000000000001</v>
      </c>
      <c r="H49">
        <v>21.4</v>
      </c>
      <c r="I49">
        <v>19.600000000000001</v>
      </c>
      <c r="J49">
        <v>13.6</v>
      </c>
      <c r="K49">
        <v>9.6999999999999993</v>
      </c>
      <c r="L49">
        <v>2.2999999999999998</v>
      </c>
      <c r="M49">
        <v>-0.6</v>
      </c>
    </row>
    <row r="50" spans="1:13" x14ac:dyDescent="0.25">
      <c r="A50">
        <v>1827</v>
      </c>
      <c r="B50">
        <v>-2.5</v>
      </c>
      <c r="C50">
        <v>-7.5</v>
      </c>
      <c r="D50">
        <v>2.7</v>
      </c>
      <c r="E50">
        <v>10.4</v>
      </c>
      <c r="F50">
        <v>14.9</v>
      </c>
      <c r="G50">
        <v>19.600000000000001</v>
      </c>
      <c r="H50">
        <v>18.600000000000001</v>
      </c>
      <c r="I50">
        <v>17</v>
      </c>
      <c r="J50">
        <v>14</v>
      </c>
      <c r="K50">
        <v>9.1</v>
      </c>
      <c r="L50">
        <v>-0.4</v>
      </c>
      <c r="M50">
        <v>1</v>
      </c>
    </row>
    <row r="51" spans="1:13" x14ac:dyDescent="0.25">
      <c r="A51">
        <v>1828</v>
      </c>
      <c r="B51">
        <v>-7.4</v>
      </c>
      <c r="C51">
        <v>-4.7</v>
      </c>
      <c r="D51">
        <v>2</v>
      </c>
      <c r="E51">
        <v>9.1999999999999993</v>
      </c>
      <c r="F51">
        <v>12.3</v>
      </c>
      <c r="G51">
        <v>16.8</v>
      </c>
      <c r="H51">
        <v>19.399999999999999</v>
      </c>
      <c r="I51">
        <v>16.600000000000001</v>
      </c>
      <c r="J51">
        <v>12.7</v>
      </c>
      <c r="K51">
        <v>7.5</v>
      </c>
      <c r="L51">
        <v>2.5</v>
      </c>
      <c r="M51">
        <v>-2.1</v>
      </c>
    </row>
    <row r="52" spans="1:13" x14ac:dyDescent="0.25">
      <c r="A52">
        <v>1829</v>
      </c>
      <c r="B52">
        <v>-8.5</v>
      </c>
      <c r="C52">
        <v>-6.9</v>
      </c>
      <c r="D52">
        <v>-1.7</v>
      </c>
      <c r="E52">
        <v>6.6</v>
      </c>
      <c r="F52">
        <v>11.4</v>
      </c>
      <c r="G52">
        <v>15.5</v>
      </c>
      <c r="H52">
        <v>18</v>
      </c>
      <c r="I52">
        <v>16.399999999999999</v>
      </c>
      <c r="J52">
        <v>14.3</v>
      </c>
      <c r="K52">
        <v>5.3</v>
      </c>
      <c r="L52">
        <v>-2.2999999999999998</v>
      </c>
      <c r="M52">
        <v>-11.2</v>
      </c>
    </row>
    <row r="53" spans="1:13" x14ac:dyDescent="0.25">
      <c r="A53">
        <v>1830</v>
      </c>
      <c r="B53">
        <v>-10</v>
      </c>
      <c r="C53">
        <v>-6.4</v>
      </c>
      <c r="D53">
        <v>0.9</v>
      </c>
      <c r="E53">
        <v>8</v>
      </c>
      <c r="F53">
        <v>11.9</v>
      </c>
      <c r="G53">
        <v>17.399999999999999</v>
      </c>
      <c r="H53">
        <v>17.100000000000001</v>
      </c>
      <c r="I53">
        <v>17.899999999999999</v>
      </c>
      <c r="J53">
        <v>12.5</v>
      </c>
      <c r="K53">
        <v>6.8</v>
      </c>
      <c r="L53">
        <v>3.8</v>
      </c>
      <c r="M53">
        <v>-0.2</v>
      </c>
    </row>
    <row r="54" spans="1:13" x14ac:dyDescent="0.25">
      <c r="A54">
        <v>1831</v>
      </c>
      <c r="B54">
        <v>-7.2</v>
      </c>
      <c r="C54">
        <v>-1.3</v>
      </c>
      <c r="D54">
        <v>0.4</v>
      </c>
      <c r="E54">
        <v>10.4</v>
      </c>
      <c r="F54">
        <v>13</v>
      </c>
      <c r="G54">
        <v>16.100000000000001</v>
      </c>
      <c r="H54">
        <v>18.7</v>
      </c>
      <c r="I54">
        <v>16.899999999999999</v>
      </c>
      <c r="J54">
        <v>12</v>
      </c>
      <c r="K54">
        <v>9.5</v>
      </c>
      <c r="L54">
        <v>1.6</v>
      </c>
      <c r="M54">
        <v>-1.8</v>
      </c>
    </row>
    <row r="55" spans="1:13" x14ac:dyDescent="0.25">
      <c r="A55">
        <v>1832</v>
      </c>
      <c r="B55">
        <v>-3.5</v>
      </c>
      <c r="C55">
        <v>-1.7</v>
      </c>
      <c r="D55">
        <v>0.4</v>
      </c>
      <c r="E55">
        <v>5.7</v>
      </c>
      <c r="F55">
        <v>10.7</v>
      </c>
      <c r="G55">
        <v>15.2</v>
      </c>
      <c r="H55">
        <v>14.6</v>
      </c>
      <c r="I55">
        <v>16.899999999999999</v>
      </c>
      <c r="J55">
        <v>10.9</v>
      </c>
      <c r="K55">
        <v>7.6</v>
      </c>
      <c r="L55">
        <v>0.4</v>
      </c>
      <c r="M55">
        <v>-3.6</v>
      </c>
    </row>
    <row r="56" spans="1:13" x14ac:dyDescent="0.25">
      <c r="A56">
        <v>1833</v>
      </c>
      <c r="B56">
        <v>-4.7</v>
      </c>
      <c r="C56">
        <v>1.3</v>
      </c>
      <c r="D56">
        <v>2</v>
      </c>
      <c r="E56">
        <v>6</v>
      </c>
      <c r="F56">
        <v>15.3</v>
      </c>
      <c r="G56">
        <v>18.3</v>
      </c>
      <c r="H56">
        <v>17.5</v>
      </c>
      <c r="I56">
        <v>14</v>
      </c>
      <c r="J56">
        <v>13.3</v>
      </c>
      <c r="K56">
        <v>6.8</v>
      </c>
      <c r="L56">
        <v>2.5</v>
      </c>
      <c r="M56">
        <v>2.1</v>
      </c>
    </row>
    <row r="57" spans="1:13" x14ac:dyDescent="0.25">
      <c r="A57">
        <v>1834</v>
      </c>
      <c r="B57">
        <v>-0.4</v>
      </c>
      <c r="C57">
        <v>-1.4</v>
      </c>
      <c r="D57">
        <v>1.3</v>
      </c>
      <c r="E57">
        <v>6.4</v>
      </c>
      <c r="F57">
        <v>15.3</v>
      </c>
      <c r="G57">
        <v>17.100000000000001</v>
      </c>
      <c r="H57">
        <v>21.2</v>
      </c>
      <c r="I57">
        <v>20.3</v>
      </c>
      <c r="J57">
        <v>14.3</v>
      </c>
      <c r="K57">
        <v>7.6</v>
      </c>
      <c r="L57">
        <v>2.5</v>
      </c>
      <c r="M57">
        <v>0.2</v>
      </c>
    </row>
    <row r="58" spans="1:13" x14ac:dyDescent="0.25">
      <c r="A58">
        <v>1835</v>
      </c>
      <c r="B58">
        <v>-1.1000000000000001</v>
      </c>
      <c r="C58">
        <v>1.2</v>
      </c>
      <c r="D58">
        <v>2.2999999999999998</v>
      </c>
      <c r="E58">
        <v>6.1</v>
      </c>
      <c r="F58">
        <v>12.5</v>
      </c>
      <c r="G58">
        <v>17.2</v>
      </c>
      <c r="H58">
        <v>18.8</v>
      </c>
      <c r="I58">
        <v>15.2</v>
      </c>
      <c r="J58">
        <v>13.4</v>
      </c>
      <c r="K58">
        <v>7.4</v>
      </c>
      <c r="L58">
        <v>-1.5</v>
      </c>
      <c r="M58">
        <v>-4.5999999999999996</v>
      </c>
    </row>
    <row r="59" spans="1:13" x14ac:dyDescent="0.25">
      <c r="A59">
        <v>1836</v>
      </c>
      <c r="B59">
        <v>-5.2</v>
      </c>
      <c r="C59">
        <v>-0.7</v>
      </c>
      <c r="D59">
        <v>7.4</v>
      </c>
      <c r="E59">
        <v>8.8000000000000007</v>
      </c>
      <c r="F59">
        <v>10</v>
      </c>
      <c r="G59">
        <v>17.399999999999999</v>
      </c>
      <c r="H59">
        <v>16.7</v>
      </c>
      <c r="I59">
        <v>15.9</v>
      </c>
      <c r="J59">
        <v>13.9</v>
      </c>
      <c r="K59">
        <v>11</v>
      </c>
      <c r="L59">
        <v>-0.6</v>
      </c>
      <c r="M59">
        <v>-0.6</v>
      </c>
    </row>
    <row r="60" spans="1:13" x14ac:dyDescent="0.25">
      <c r="A60">
        <v>1837</v>
      </c>
      <c r="B60">
        <v>-4</v>
      </c>
      <c r="C60">
        <v>-3.7</v>
      </c>
      <c r="D60">
        <v>-0.7</v>
      </c>
      <c r="E60">
        <v>7.7</v>
      </c>
      <c r="F60">
        <v>12.7</v>
      </c>
      <c r="G60">
        <v>16.399999999999999</v>
      </c>
      <c r="H60">
        <v>16.7</v>
      </c>
      <c r="I60">
        <v>18.899999999999999</v>
      </c>
      <c r="J60">
        <v>12.6</v>
      </c>
      <c r="K60">
        <v>7.8</v>
      </c>
      <c r="L60">
        <v>3.6</v>
      </c>
      <c r="M60">
        <v>-4.9000000000000004</v>
      </c>
    </row>
    <row r="61" spans="1:13" x14ac:dyDescent="0.25">
      <c r="A61">
        <v>1838</v>
      </c>
      <c r="B61">
        <v>-13.5</v>
      </c>
      <c r="C61">
        <v>-7.3</v>
      </c>
      <c r="D61">
        <v>0.6</v>
      </c>
      <c r="E61">
        <v>5.8</v>
      </c>
      <c r="F61">
        <v>14.2</v>
      </c>
      <c r="G61">
        <v>16.7</v>
      </c>
      <c r="H61">
        <v>17.399999999999999</v>
      </c>
      <c r="I61">
        <v>15.5</v>
      </c>
      <c r="J61">
        <v>15.8</v>
      </c>
      <c r="K61">
        <v>6.1</v>
      </c>
      <c r="L61">
        <v>0.4</v>
      </c>
      <c r="M61">
        <v>-2.7</v>
      </c>
    </row>
    <row r="62" spans="1:13" x14ac:dyDescent="0.25">
      <c r="A62">
        <v>1839</v>
      </c>
      <c r="B62">
        <v>-4.4000000000000004</v>
      </c>
      <c r="C62">
        <v>-2.2999999999999998</v>
      </c>
      <c r="D62">
        <v>-3.4</v>
      </c>
      <c r="E62">
        <v>3.7</v>
      </c>
      <c r="F62">
        <v>15.3</v>
      </c>
      <c r="G62">
        <v>18.399999999999999</v>
      </c>
      <c r="H62">
        <v>20.7</v>
      </c>
      <c r="I62">
        <v>18</v>
      </c>
      <c r="J62">
        <v>16.2</v>
      </c>
      <c r="K62">
        <v>8.3000000000000007</v>
      </c>
      <c r="L62">
        <v>2.2000000000000002</v>
      </c>
      <c r="M62">
        <v>-5.6</v>
      </c>
    </row>
    <row r="63" spans="1:13" x14ac:dyDescent="0.25">
      <c r="A63">
        <v>1840</v>
      </c>
      <c r="B63">
        <v>-4.2</v>
      </c>
      <c r="C63">
        <v>-3.5</v>
      </c>
      <c r="D63">
        <v>-3</v>
      </c>
      <c r="E63">
        <v>6.5</v>
      </c>
      <c r="F63">
        <v>11.1</v>
      </c>
      <c r="G63">
        <v>16.5</v>
      </c>
      <c r="H63">
        <v>19</v>
      </c>
      <c r="I63">
        <v>16.7</v>
      </c>
      <c r="J63">
        <v>14.8</v>
      </c>
      <c r="K63">
        <v>5.7</v>
      </c>
      <c r="L63">
        <v>3.5</v>
      </c>
      <c r="M63">
        <v>-8.9</v>
      </c>
    </row>
    <row r="64" spans="1:13" x14ac:dyDescent="0.25">
      <c r="A64">
        <v>1841</v>
      </c>
      <c r="B64">
        <v>-3.9</v>
      </c>
      <c r="C64">
        <v>-9.5</v>
      </c>
      <c r="D64">
        <v>1.2</v>
      </c>
      <c r="E64">
        <v>9.4</v>
      </c>
      <c r="F64">
        <v>16.8</v>
      </c>
      <c r="G64">
        <v>17.8</v>
      </c>
      <c r="H64">
        <v>18.3</v>
      </c>
      <c r="I64">
        <v>19.3</v>
      </c>
      <c r="J64">
        <v>14.6</v>
      </c>
      <c r="K64">
        <v>11.2</v>
      </c>
      <c r="L64">
        <v>3.1</v>
      </c>
      <c r="M64">
        <v>2</v>
      </c>
    </row>
    <row r="65" spans="1:13" x14ac:dyDescent="0.25">
      <c r="A65">
        <v>1842</v>
      </c>
      <c r="B65">
        <v>-7.3</v>
      </c>
      <c r="C65">
        <v>-3.5</v>
      </c>
      <c r="D65">
        <v>1.7</v>
      </c>
      <c r="E65">
        <v>4</v>
      </c>
      <c r="F65">
        <v>14.4</v>
      </c>
      <c r="G65">
        <v>16</v>
      </c>
      <c r="H65">
        <v>16.5</v>
      </c>
      <c r="I65">
        <v>20.5</v>
      </c>
      <c r="J65">
        <v>13.7</v>
      </c>
      <c r="K65">
        <v>5.7</v>
      </c>
      <c r="L65">
        <v>-1.3</v>
      </c>
      <c r="M65">
        <v>1.6</v>
      </c>
    </row>
    <row r="66" spans="1:13" x14ac:dyDescent="0.25">
      <c r="A66">
        <v>1843</v>
      </c>
      <c r="B66">
        <v>-1</v>
      </c>
      <c r="C66">
        <v>3.6</v>
      </c>
      <c r="D66">
        <v>0.1</v>
      </c>
      <c r="E66">
        <v>7.3</v>
      </c>
      <c r="F66">
        <v>10.5</v>
      </c>
      <c r="G66">
        <v>17.100000000000001</v>
      </c>
      <c r="H66">
        <v>18.600000000000001</v>
      </c>
      <c r="I66">
        <v>19.399999999999999</v>
      </c>
      <c r="J66">
        <v>12</v>
      </c>
      <c r="K66">
        <v>7.6</v>
      </c>
      <c r="L66">
        <v>1.9</v>
      </c>
      <c r="M66">
        <v>2.2999999999999998</v>
      </c>
    </row>
    <row r="67" spans="1:13" x14ac:dyDescent="0.25">
      <c r="A67">
        <v>1844</v>
      </c>
      <c r="B67">
        <v>-4</v>
      </c>
      <c r="C67">
        <v>-4.8</v>
      </c>
      <c r="D67">
        <v>-1.3</v>
      </c>
      <c r="E67">
        <v>6.6</v>
      </c>
      <c r="F67">
        <v>14.8</v>
      </c>
      <c r="G67">
        <v>15.7</v>
      </c>
      <c r="H67">
        <v>15.4</v>
      </c>
      <c r="I67">
        <v>16</v>
      </c>
      <c r="J67">
        <v>14</v>
      </c>
      <c r="K67">
        <v>8.5</v>
      </c>
      <c r="L67">
        <v>2.2999999999999998</v>
      </c>
      <c r="M67">
        <v>-6.2</v>
      </c>
    </row>
    <row r="68" spans="1:13" x14ac:dyDescent="0.25">
      <c r="A68">
        <v>1845</v>
      </c>
      <c r="B68">
        <v>-2.2000000000000002</v>
      </c>
      <c r="C68">
        <v>-10.3</v>
      </c>
      <c r="D68">
        <v>-6.9</v>
      </c>
      <c r="E68">
        <v>7.4</v>
      </c>
      <c r="F68">
        <v>12.2</v>
      </c>
      <c r="G68">
        <v>18.2</v>
      </c>
      <c r="H68">
        <v>20.5</v>
      </c>
      <c r="I68">
        <v>17.100000000000001</v>
      </c>
      <c r="J68">
        <v>12.2</v>
      </c>
      <c r="K68">
        <v>7.7</v>
      </c>
      <c r="L68">
        <v>3.9</v>
      </c>
      <c r="M68">
        <v>-0.2</v>
      </c>
    </row>
    <row r="69" spans="1:13" x14ac:dyDescent="0.25">
      <c r="A69">
        <v>1846</v>
      </c>
      <c r="B69">
        <v>-2.8</v>
      </c>
      <c r="C69">
        <v>-1.6</v>
      </c>
      <c r="D69">
        <v>4.8</v>
      </c>
      <c r="E69">
        <v>9.1</v>
      </c>
      <c r="F69">
        <v>11.2</v>
      </c>
      <c r="G69">
        <v>16.3</v>
      </c>
      <c r="H69">
        <v>19.899999999999999</v>
      </c>
      <c r="I69">
        <v>21.4</v>
      </c>
      <c r="J69">
        <v>14.2</v>
      </c>
      <c r="K69">
        <v>11.2</v>
      </c>
      <c r="L69">
        <v>-0.2</v>
      </c>
      <c r="M69">
        <v>-4.0999999999999996</v>
      </c>
    </row>
    <row r="70" spans="1:13" x14ac:dyDescent="0.25">
      <c r="A70">
        <v>1847</v>
      </c>
      <c r="B70">
        <v>-7.4</v>
      </c>
      <c r="C70">
        <v>-2.7</v>
      </c>
      <c r="D70">
        <v>0.8</v>
      </c>
      <c r="E70">
        <v>5.7</v>
      </c>
      <c r="F70">
        <v>14.2</v>
      </c>
      <c r="G70">
        <v>16.100000000000001</v>
      </c>
      <c r="H70">
        <v>17.100000000000001</v>
      </c>
      <c r="I70">
        <v>19.399999999999999</v>
      </c>
      <c r="J70">
        <v>12</v>
      </c>
      <c r="K70">
        <v>6.5</v>
      </c>
      <c r="L70">
        <v>2.1</v>
      </c>
      <c r="M70">
        <v>-3.3</v>
      </c>
    </row>
    <row r="71" spans="1:13" x14ac:dyDescent="0.25">
      <c r="A71">
        <v>1848</v>
      </c>
      <c r="B71">
        <v>-13</v>
      </c>
      <c r="C71">
        <v>-0.1</v>
      </c>
      <c r="D71">
        <v>3.8</v>
      </c>
      <c r="E71">
        <v>11.1</v>
      </c>
      <c r="F71">
        <v>13.8</v>
      </c>
      <c r="G71">
        <v>19.600000000000001</v>
      </c>
      <c r="H71">
        <v>19</v>
      </c>
      <c r="I71">
        <v>17.399999999999999</v>
      </c>
      <c r="J71">
        <v>12.5</v>
      </c>
      <c r="K71">
        <v>9.3000000000000007</v>
      </c>
      <c r="L71">
        <v>2</v>
      </c>
      <c r="M71">
        <v>0.3</v>
      </c>
    </row>
    <row r="72" spans="1:13" x14ac:dyDescent="0.25">
      <c r="A72">
        <v>1849</v>
      </c>
      <c r="B72">
        <v>-5.3</v>
      </c>
      <c r="C72">
        <v>-0.4</v>
      </c>
      <c r="D72">
        <v>-0.6</v>
      </c>
      <c r="E72">
        <v>5.9</v>
      </c>
      <c r="F72">
        <v>14.5</v>
      </c>
      <c r="G72">
        <v>16.2</v>
      </c>
      <c r="H72">
        <v>16.8</v>
      </c>
      <c r="I72">
        <v>16.100000000000001</v>
      </c>
      <c r="J72">
        <v>12.1</v>
      </c>
      <c r="K72">
        <v>7.2</v>
      </c>
      <c r="L72">
        <v>2</v>
      </c>
      <c r="M72">
        <v>-6.3</v>
      </c>
    </row>
    <row r="73" spans="1:13" x14ac:dyDescent="0.25">
      <c r="A73">
        <v>1850</v>
      </c>
      <c r="B73">
        <v>-11.7</v>
      </c>
      <c r="C73">
        <v>-0.4</v>
      </c>
      <c r="D73">
        <v>-1.6</v>
      </c>
      <c r="E73">
        <v>7.2</v>
      </c>
      <c r="F73">
        <v>14.9</v>
      </c>
      <c r="G73">
        <v>18.8</v>
      </c>
      <c r="H73">
        <v>18.8</v>
      </c>
      <c r="I73">
        <v>18.899999999999999</v>
      </c>
      <c r="J73">
        <v>11.6</v>
      </c>
      <c r="K73">
        <v>7.3</v>
      </c>
      <c r="L73">
        <v>2.5</v>
      </c>
      <c r="M73">
        <v>-0.3</v>
      </c>
    </row>
    <row r="74" spans="1:13" x14ac:dyDescent="0.25">
      <c r="A74">
        <v>1851</v>
      </c>
      <c r="B74">
        <v>-5.0999999999999996</v>
      </c>
      <c r="C74">
        <v>-2.2999999999999998</v>
      </c>
      <c r="D74">
        <v>1.2</v>
      </c>
      <c r="E74">
        <v>9.5</v>
      </c>
      <c r="F74">
        <v>10.6</v>
      </c>
      <c r="G74">
        <v>15.9</v>
      </c>
      <c r="H74">
        <v>17.7</v>
      </c>
      <c r="I74">
        <v>17.7</v>
      </c>
      <c r="J74">
        <v>13.1</v>
      </c>
      <c r="K74">
        <v>10.4</v>
      </c>
      <c r="L74">
        <v>3.2</v>
      </c>
      <c r="M74">
        <v>-0.4</v>
      </c>
    </row>
    <row r="75" spans="1:13" x14ac:dyDescent="0.25">
      <c r="A75">
        <v>1852</v>
      </c>
      <c r="B75">
        <v>-0.3</v>
      </c>
      <c r="C75">
        <v>-2.2000000000000002</v>
      </c>
      <c r="D75">
        <v>-1.1000000000000001</v>
      </c>
      <c r="E75">
        <v>3.3</v>
      </c>
      <c r="F75">
        <v>13.3</v>
      </c>
      <c r="G75">
        <v>18.600000000000001</v>
      </c>
      <c r="H75">
        <v>19.2</v>
      </c>
      <c r="I75">
        <v>18.399999999999999</v>
      </c>
      <c r="J75">
        <v>13.8</v>
      </c>
      <c r="K75">
        <v>6.8</v>
      </c>
      <c r="L75">
        <v>3.1</v>
      </c>
      <c r="M75">
        <v>2</v>
      </c>
    </row>
    <row r="76" spans="1:13" x14ac:dyDescent="0.25">
      <c r="A76">
        <v>1853</v>
      </c>
      <c r="B76">
        <v>-1.1000000000000001</v>
      </c>
      <c r="C76">
        <v>-3.2</v>
      </c>
      <c r="D76">
        <v>-3.5</v>
      </c>
      <c r="E76">
        <v>3.6</v>
      </c>
      <c r="F76">
        <v>12.8</v>
      </c>
      <c r="G76">
        <v>18.399999999999999</v>
      </c>
      <c r="H76">
        <v>18.899999999999999</v>
      </c>
      <c r="I76">
        <v>17.399999999999999</v>
      </c>
      <c r="J76">
        <v>13</v>
      </c>
      <c r="K76">
        <v>8.8000000000000007</v>
      </c>
      <c r="L76">
        <v>0</v>
      </c>
      <c r="M76">
        <v>-5.3</v>
      </c>
    </row>
    <row r="77" spans="1:13" x14ac:dyDescent="0.25">
      <c r="A77">
        <v>1854</v>
      </c>
      <c r="B77">
        <v>-3.2</v>
      </c>
      <c r="C77">
        <v>-2.8</v>
      </c>
      <c r="D77">
        <v>0.8</v>
      </c>
      <c r="E77">
        <v>6.2</v>
      </c>
      <c r="F77">
        <v>15.1</v>
      </c>
      <c r="G77">
        <v>15.9</v>
      </c>
      <c r="H77">
        <v>19.8</v>
      </c>
      <c r="I77">
        <v>17.5</v>
      </c>
      <c r="J77">
        <v>12</v>
      </c>
      <c r="K77">
        <v>8.8000000000000007</v>
      </c>
      <c r="L77">
        <v>-0.2</v>
      </c>
      <c r="M77">
        <v>-0.1</v>
      </c>
    </row>
    <row r="78" spans="1:13" x14ac:dyDescent="0.25">
      <c r="A78">
        <v>1855</v>
      </c>
      <c r="B78">
        <v>-6.6</v>
      </c>
      <c r="C78">
        <v>-11.4</v>
      </c>
      <c r="D78">
        <v>0.3</v>
      </c>
      <c r="E78">
        <v>5.5</v>
      </c>
      <c r="F78">
        <v>12.6</v>
      </c>
      <c r="G78">
        <v>18.899999999999999</v>
      </c>
      <c r="H78">
        <v>19.100000000000001</v>
      </c>
      <c r="I78">
        <v>17.8</v>
      </c>
      <c r="J78">
        <v>11.8</v>
      </c>
      <c r="K78">
        <v>10.3</v>
      </c>
      <c r="L78">
        <v>0.5</v>
      </c>
      <c r="M78">
        <v>-9.3000000000000007</v>
      </c>
    </row>
    <row r="79" spans="1:13" x14ac:dyDescent="0.25">
      <c r="A79">
        <v>1856</v>
      </c>
      <c r="B79">
        <v>-1.4</v>
      </c>
      <c r="C79">
        <v>-2</v>
      </c>
      <c r="D79">
        <v>-1.9</v>
      </c>
      <c r="E79">
        <v>8.8000000000000007</v>
      </c>
      <c r="F79">
        <v>12.4</v>
      </c>
      <c r="G79">
        <v>17.8</v>
      </c>
      <c r="H79">
        <v>17.100000000000001</v>
      </c>
      <c r="I79">
        <v>15.9</v>
      </c>
      <c r="J79">
        <v>12.8</v>
      </c>
      <c r="K79">
        <v>8.6999999999999993</v>
      </c>
      <c r="L79">
        <v>-1.7</v>
      </c>
      <c r="M79">
        <v>-0.7</v>
      </c>
    </row>
    <row r="80" spans="1:13" x14ac:dyDescent="0.25">
      <c r="A80">
        <v>1857</v>
      </c>
      <c r="B80">
        <v>-3.6</v>
      </c>
      <c r="C80">
        <v>-4.9000000000000004</v>
      </c>
      <c r="D80">
        <v>0.4</v>
      </c>
      <c r="E80">
        <v>7.5</v>
      </c>
      <c r="F80">
        <v>11.9</v>
      </c>
      <c r="G80">
        <v>17.3</v>
      </c>
      <c r="H80">
        <v>18.3</v>
      </c>
      <c r="I80">
        <v>18.5</v>
      </c>
      <c r="J80">
        <v>13.5</v>
      </c>
      <c r="K80">
        <v>10.3</v>
      </c>
      <c r="L80">
        <v>0.5</v>
      </c>
      <c r="M80">
        <v>1.3</v>
      </c>
    </row>
    <row r="81" spans="1:13" x14ac:dyDescent="0.25">
      <c r="A81">
        <v>1858</v>
      </c>
      <c r="B81">
        <v>-5.3</v>
      </c>
      <c r="C81">
        <v>-8.1</v>
      </c>
      <c r="D81">
        <v>-1.2</v>
      </c>
      <c r="E81">
        <v>5.3</v>
      </c>
      <c r="F81">
        <v>13.3</v>
      </c>
      <c r="G81">
        <v>18.399999999999999</v>
      </c>
      <c r="H81">
        <v>20</v>
      </c>
      <c r="I81">
        <v>18.8</v>
      </c>
      <c r="J81">
        <v>13.7</v>
      </c>
      <c r="K81">
        <v>9.8000000000000007</v>
      </c>
      <c r="L81">
        <v>-2.6</v>
      </c>
      <c r="M81">
        <v>-3.3</v>
      </c>
    </row>
    <row r="82" spans="1:13" x14ac:dyDescent="0.25">
      <c r="A82">
        <v>1859</v>
      </c>
      <c r="B82">
        <v>-1.1000000000000001</v>
      </c>
      <c r="C82">
        <v>0.8</v>
      </c>
      <c r="D82">
        <v>3.7</v>
      </c>
      <c r="E82">
        <v>7.1</v>
      </c>
      <c r="F82">
        <v>14.2</v>
      </c>
      <c r="G82">
        <v>18.100000000000001</v>
      </c>
      <c r="H82">
        <v>20.5</v>
      </c>
      <c r="I82">
        <v>20.399999999999999</v>
      </c>
      <c r="J82">
        <v>11.9</v>
      </c>
      <c r="K82">
        <v>8.5</v>
      </c>
      <c r="L82">
        <v>2.1</v>
      </c>
      <c r="M82">
        <v>-4.3</v>
      </c>
    </row>
    <row r="83" spans="1:13" x14ac:dyDescent="0.25">
      <c r="A83">
        <v>1860</v>
      </c>
      <c r="B83">
        <v>-1.3</v>
      </c>
      <c r="C83">
        <v>-3.6</v>
      </c>
      <c r="D83">
        <v>-1.2</v>
      </c>
      <c r="E83">
        <v>7.8</v>
      </c>
      <c r="F83">
        <v>14.1</v>
      </c>
      <c r="G83">
        <v>18</v>
      </c>
      <c r="H83">
        <v>17.600000000000001</v>
      </c>
      <c r="I83">
        <v>17.5</v>
      </c>
      <c r="J83">
        <v>14.2</v>
      </c>
      <c r="K83">
        <v>5.9</v>
      </c>
      <c r="L83">
        <v>0.6</v>
      </c>
      <c r="M83">
        <v>-4.3</v>
      </c>
    </row>
    <row r="84" spans="1:13" x14ac:dyDescent="0.25">
      <c r="A84">
        <v>1861</v>
      </c>
      <c r="B84">
        <v>-9.3000000000000007</v>
      </c>
      <c r="C84">
        <v>1.2</v>
      </c>
      <c r="D84">
        <v>3.7</v>
      </c>
      <c r="E84">
        <v>4.7</v>
      </c>
      <c r="F84">
        <v>10.6</v>
      </c>
      <c r="G84">
        <v>19.899999999999999</v>
      </c>
      <c r="H84">
        <v>20.9</v>
      </c>
      <c r="I84">
        <v>18</v>
      </c>
      <c r="J84">
        <v>12.9</v>
      </c>
      <c r="K84">
        <v>7.6</v>
      </c>
      <c r="L84">
        <v>3.4</v>
      </c>
      <c r="M84">
        <v>-1.8</v>
      </c>
    </row>
    <row r="85" spans="1:13" x14ac:dyDescent="0.25">
      <c r="A85">
        <v>1862</v>
      </c>
      <c r="B85">
        <v>-6.8</v>
      </c>
      <c r="C85">
        <v>-5.5</v>
      </c>
      <c r="D85">
        <v>3.1</v>
      </c>
      <c r="E85">
        <v>7.6</v>
      </c>
      <c r="F85">
        <v>15</v>
      </c>
      <c r="G85">
        <v>17.100000000000001</v>
      </c>
      <c r="H85">
        <v>18.3</v>
      </c>
      <c r="I85">
        <v>17.8</v>
      </c>
      <c r="J85">
        <v>14</v>
      </c>
      <c r="K85">
        <v>9.1999999999999993</v>
      </c>
      <c r="L85">
        <v>-0.6</v>
      </c>
      <c r="M85">
        <v>-6.8</v>
      </c>
    </row>
    <row r="86" spans="1:13" x14ac:dyDescent="0.25">
      <c r="A86">
        <v>1863</v>
      </c>
      <c r="B86">
        <v>1.4</v>
      </c>
      <c r="C86">
        <v>1.2</v>
      </c>
      <c r="D86">
        <v>3.2</v>
      </c>
      <c r="E86">
        <v>6.6</v>
      </c>
      <c r="F86">
        <v>13.9</v>
      </c>
      <c r="G86">
        <v>17.7</v>
      </c>
      <c r="H86">
        <v>17</v>
      </c>
      <c r="I86">
        <v>18.7</v>
      </c>
      <c r="J86">
        <v>14.9</v>
      </c>
      <c r="K86">
        <v>9.8000000000000007</v>
      </c>
      <c r="L86">
        <v>3.7</v>
      </c>
      <c r="M86">
        <v>-0.4</v>
      </c>
    </row>
    <row r="87" spans="1:13" x14ac:dyDescent="0.25">
      <c r="A87">
        <v>1864</v>
      </c>
      <c r="B87">
        <v>-6.1</v>
      </c>
      <c r="C87">
        <v>-1.5</v>
      </c>
      <c r="D87">
        <v>3.6</v>
      </c>
      <c r="E87">
        <v>5.0999999999999996</v>
      </c>
      <c r="F87">
        <v>7.9</v>
      </c>
      <c r="G87">
        <v>17.8</v>
      </c>
      <c r="H87">
        <v>16.399999999999999</v>
      </c>
      <c r="I87">
        <v>15.3</v>
      </c>
      <c r="J87">
        <v>12.9</v>
      </c>
      <c r="K87">
        <v>6.6</v>
      </c>
      <c r="L87">
        <v>-0.3</v>
      </c>
      <c r="M87">
        <v>-6.4</v>
      </c>
    </row>
    <row r="88" spans="1:13" x14ac:dyDescent="0.25">
      <c r="A88">
        <v>1865</v>
      </c>
      <c r="B88">
        <v>-2.2999999999999998</v>
      </c>
      <c r="C88">
        <v>-9.1</v>
      </c>
      <c r="D88">
        <v>-1.6</v>
      </c>
      <c r="E88">
        <v>7.1</v>
      </c>
      <c r="F88">
        <v>16.399999999999999</v>
      </c>
      <c r="G88">
        <v>13.6</v>
      </c>
      <c r="H88">
        <v>21.6</v>
      </c>
      <c r="I88">
        <v>16.600000000000001</v>
      </c>
      <c r="J88">
        <v>12.8</v>
      </c>
      <c r="K88">
        <v>7.7</v>
      </c>
      <c r="L88">
        <v>3.6</v>
      </c>
      <c r="M88">
        <v>-0.4</v>
      </c>
    </row>
    <row r="89" spans="1:13" x14ac:dyDescent="0.25">
      <c r="A89">
        <v>1866</v>
      </c>
      <c r="B89">
        <v>1</v>
      </c>
      <c r="C89">
        <v>-0.3</v>
      </c>
      <c r="D89">
        <v>1.6</v>
      </c>
      <c r="E89">
        <v>9</v>
      </c>
      <c r="F89">
        <v>11</v>
      </c>
      <c r="G89">
        <v>20.6</v>
      </c>
      <c r="H89">
        <v>17</v>
      </c>
      <c r="I89">
        <v>16.7</v>
      </c>
      <c r="J89">
        <v>16.5</v>
      </c>
      <c r="K89">
        <v>5.6</v>
      </c>
      <c r="L89">
        <v>1.7</v>
      </c>
      <c r="M89">
        <v>-1.2</v>
      </c>
    </row>
    <row r="90" spans="1:13" x14ac:dyDescent="0.25">
      <c r="A90">
        <v>1867</v>
      </c>
      <c r="B90">
        <v>-2.7</v>
      </c>
      <c r="C90">
        <v>1</v>
      </c>
      <c r="D90">
        <v>-2.2000000000000002</v>
      </c>
      <c r="E90">
        <v>6.3</v>
      </c>
      <c r="F90">
        <v>10.7</v>
      </c>
      <c r="G90">
        <v>15.8</v>
      </c>
      <c r="H90">
        <v>17.3</v>
      </c>
      <c r="I90">
        <v>17.399999999999999</v>
      </c>
      <c r="J90">
        <v>12.7</v>
      </c>
      <c r="K90">
        <v>8.1999999999999993</v>
      </c>
      <c r="L90">
        <v>0.2</v>
      </c>
      <c r="M90">
        <v>-4.2</v>
      </c>
    </row>
    <row r="91" spans="1:13" x14ac:dyDescent="0.25">
      <c r="A91">
        <v>1868</v>
      </c>
      <c r="B91">
        <v>-4.5999999999999996</v>
      </c>
      <c r="C91">
        <v>0.2</v>
      </c>
      <c r="D91">
        <v>1.9</v>
      </c>
      <c r="E91">
        <v>7.8</v>
      </c>
      <c r="F91">
        <v>15.4</v>
      </c>
      <c r="G91">
        <v>18.7</v>
      </c>
      <c r="H91">
        <v>20.5</v>
      </c>
      <c r="I91">
        <v>19.8</v>
      </c>
      <c r="J91">
        <v>15.1</v>
      </c>
      <c r="K91">
        <v>8.6999999999999993</v>
      </c>
      <c r="L91">
        <v>0.6</v>
      </c>
      <c r="M91">
        <v>1.1000000000000001</v>
      </c>
    </row>
    <row r="92" spans="1:13" x14ac:dyDescent="0.25">
      <c r="A92">
        <v>1869</v>
      </c>
      <c r="B92">
        <v>-4.0999999999999996</v>
      </c>
      <c r="C92">
        <v>2.2999999999999998</v>
      </c>
      <c r="D92">
        <v>1.2</v>
      </c>
      <c r="E92">
        <v>9.5</v>
      </c>
      <c r="F92">
        <v>15</v>
      </c>
      <c r="G92">
        <v>15</v>
      </c>
      <c r="H92">
        <v>18.600000000000001</v>
      </c>
      <c r="I92">
        <v>17.399999999999999</v>
      </c>
      <c r="J92">
        <v>14</v>
      </c>
      <c r="K92">
        <v>7</v>
      </c>
      <c r="L92">
        <v>1.6</v>
      </c>
      <c r="M92">
        <v>-0.8</v>
      </c>
    </row>
    <row r="93" spans="1:13" x14ac:dyDescent="0.25">
      <c r="A93">
        <v>1870</v>
      </c>
      <c r="B93">
        <v>-3.9</v>
      </c>
      <c r="C93">
        <v>-11.3</v>
      </c>
      <c r="D93">
        <v>-1.4</v>
      </c>
      <c r="E93">
        <v>6.8</v>
      </c>
      <c r="F93">
        <v>13</v>
      </c>
      <c r="G93">
        <v>15.6</v>
      </c>
      <c r="H93">
        <v>19.100000000000001</v>
      </c>
      <c r="I93">
        <v>17.100000000000001</v>
      </c>
      <c r="J93">
        <v>11.9</v>
      </c>
      <c r="K93">
        <v>7</v>
      </c>
      <c r="L93">
        <v>3.8</v>
      </c>
      <c r="M93">
        <v>-7.9</v>
      </c>
    </row>
    <row r="94" spans="1:13" x14ac:dyDescent="0.25">
      <c r="A94">
        <v>1871</v>
      </c>
      <c r="B94">
        <v>-9.3000000000000007</v>
      </c>
      <c r="C94">
        <v>-7.2</v>
      </c>
      <c r="D94">
        <v>2.5</v>
      </c>
      <c r="E94">
        <v>5.2</v>
      </c>
      <c r="F94">
        <v>9.1999999999999993</v>
      </c>
      <c r="G94">
        <v>15.8</v>
      </c>
      <c r="H94">
        <v>19.3</v>
      </c>
      <c r="I94">
        <v>17.5</v>
      </c>
      <c r="J94">
        <v>11.8</v>
      </c>
      <c r="K94">
        <v>3.8</v>
      </c>
      <c r="L94">
        <v>1.5</v>
      </c>
      <c r="M94">
        <v>-5.7</v>
      </c>
    </row>
    <row r="95" spans="1:13" x14ac:dyDescent="0.25">
      <c r="A95">
        <v>1872</v>
      </c>
      <c r="B95">
        <v>-1.9</v>
      </c>
      <c r="C95">
        <v>-3.3</v>
      </c>
      <c r="D95">
        <v>2.5</v>
      </c>
      <c r="E95">
        <v>10.3</v>
      </c>
      <c r="F95">
        <v>17.7</v>
      </c>
      <c r="G95">
        <v>17.3</v>
      </c>
      <c r="H95">
        <v>19.100000000000001</v>
      </c>
      <c r="I95">
        <v>16.600000000000001</v>
      </c>
      <c r="J95">
        <v>14.5</v>
      </c>
      <c r="K95">
        <v>10.7</v>
      </c>
      <c r="L95">
        <v>6.1</v>
      </c>
      <c r="M95">
        <v>-0.5</v>
      </c>
    </row>
    <row r="96" spans="1:13" x14ac:dyDescent="0.25">
      <c r="A96">
        <v>1873</v>
      </c>
      <c r="B96">
        <v>0.7</v>
      </c>
      <c r="C96">
        <v>-2.7</v>
      </c>
      <c r="D96">
        <v>3.3</v>
      </c>
      <c r="E96">
        <v>5.4</v>
      </c>
      <c r="F96">
        <v>10.6</v>
      </c>
      <c r="G96">
        <v>17.399999999999999</v>
      </c>
      <c r="H96">
        <v>19.8</v>
      </c>
      <c r="I96">
        <v>18.600000000000001</v>
      </c>
      <c r="J96">
        <v>12.9</v>
      </c>
      <c r="K96">
        <v>8.5</v>
      </c>
      <c r="L96">
        <v>3.7</v>
      </c>
      <c r="M96">
        <v>0.8</v>
      </c>
    </row>
    <row r="97" spans="1:13" x14ac:dyDescent="0.25">
      <c r="A97">
        <v>1874</v>
      </c>
      <c r="B97">
        <v>-1.2</v>
      </c>
      <c r="C97">
        <v>-1.5</v>
      </c>
      <c r="D97">
        <v>0.6</v>
      </c>
      <c r="E97">
        <v>8</v>
      </c>
      <c r="F97">
        <v>9.1999999999999993</v>
      </c>
      <c r="G97">
        <v>17</v>
      </c>
      <c r="H97">
        <v>20.399999999999999</v>
      </c>
      <c r="I97">
        <v>16.899999999999999</v>
      </c>
      <c r="J97">
        <v>15.5</v>
      </c>
      <c r="K97">
        <v>9.3000000000000007</v>
      </c>
      <c r="L97">
        <v>0.1</v>
      </c>
      <c r="M97">
        <v>-1.6</v>
      </c>
    </row>
    <row r="98" spans="1:13" x14ac:dyDescent="0.25">
      <c r="A98">
        <v>1875</v>
      </c>
      <c r="B98">
        <v>-3.5</v>
      </c>
      <c r="C98">
        <v>-6.9</v>
      </c>
      <c r="D98">
        <v>-2.2999999999999998</v>
      </c>
      <c r="E98">
        <v>4.9000000000000004</v>
      </c>
      <c r="F98">
        <v>13.1</v>
      </c>
      <c r="G98">
        <v>20.6</v>
      </c>
      <c r="H98">
        <v>19.2</v>
      </c>
      <c r="I98">
        <v>18.8</v>
      </c>
      <c r="J98">
        <v>12.3</v>
      </c>
      <c r="K98">
        <v>4.5999999999999996</v>
      </c>
      <c r="L98">
        <v>-0.6</v>
      </c>
      <c r="M98">
        <v>-6.1</v>
      </c>
    </row>
    <row r="99" spans="1:13" x14ac:dyDescent="0.25">
      <c r="A99">
        <v>1876</v>
      </c>
      <c r="B99">
        <v>-6.6</v>
      </c>
      <c r="C99">
        <v>-0.5</v>
      </c>
      <c r="D99">
        <v>3.3</v>
      </c>
      <c r="E99">
        <v>9.4</v>
      </c>
      <c r="F99">
        <v>9.3000000000000007</v>
      </c>
      <c r="G99">
        <v>18.600000000000001</v>
      </c>
      <c r="H99">
        <v>18.8</v>
      </c>
      <c r="I99">
        <v>18.2</v>
      </c>
      <c r="J99">
        <v>12.7</v>
      </c>
      <c r="K99">
        <v>7.9</v>
      </c>
      <c r="L99">
        <v>-2.1</v>
      </c>
      <c r="M99">
        <v>-5.0999999999999996</v>
      </c>
    </row>
    <row r="100" spans="1:13" x14ac:dyDescent="0.25">
      <c r="A100">
        <v>1877</v>
      </c>
      <c r="B100">
        <v>-1.5</v>
      </c>
      <c r="C100">
        <v>-1.1000000000000001</v>
      </c>
      <c r="D100">
        <v>-0.2</v>
      </c>
      <c r="E100">
        <v>5.2</v>
      </c>
      <c r="F100">
        <v>11.4</v>
      </c>
      <c r="G100">
        <v>18.399999999999999</v>
      </c>
      <c r="H100">
        <v>18.7</v>
      </c>
      <c r="I100">
        <v>18.100000000000001</v>
      </c>
      <c r="J100">
        <v>10.1</v>
      </c>
      <c r="K100">
        <v>6.3</v>
      </c>
      <c r="L100">
        <v>4.0999999999999996</v>
      </c>
      <c r="M100">
        <v>-2.4</v>
      </c>
    </row>
    <row r="101" spans="1:13" x14ac:dyDescent="0.25">
      <c r="A101">
        <v>1878</v>
      </c>
      <c r="B101">
        <v>-3.2</v>
      </c>
      <c r="C101">
        <v>-0.4</v>
      </c>
      <c r="D101">
        <v>1.2</v>
      </c>
      <c r="E101">
        <v>9.3000000000000007</v>
      </c>
      <c r="F101">
        <v>12.6</v>
      </c>
      <c r="G101">
        <v>17</v>
      </c>
      <c r="H101">
        <v>16.3</v>
      </c>
      <c r="I101">
        <v>18.2</v>
      </c>
      <c r="J101">
        <v>15.1</v>
      </c>
      <c r="K101">
        <v>9.6999999999999993</v>
      </c>
      <c r="L101">
        <v>3.6</v>
      </c>
      <c r="M101">
        <v>-1.6</v>
      </c>
    </row>
    <row r="102" spans="1:13" x14ac:dyDescent="0.25">
      <c r="A102">
        <v>1879</v>
      </c>
      <c r="B102">
        <v>-4.4000000000000004</v>
      </c>
      <c r="C102">
        <v>-0.8</v>
      </c>
      <c r="D102">
        <v>-1.3</v>
      </c>
      <c r="E102">
        <v>6.3</v>
      </c>
      <c r="F102">
        <v>12.7</v>
      </c>
      <c r="G102">
        <v>18.2</v>
      </c>
      <c r="H102">
        <v>16.8</v>
      </c>
      <c r="I102">
        <v>17.2</v>
      </c>
      <c r="J102">
        <v>14.8</v>
      </c>
      <c r="K102">
        <v>7.1</v>
      </c>
      <c r="L102">
        <v>0.2</v>
      </c>
      <c r="M102">
        <v>-8.3000000000000007</v>
      </c>
    </row>
    <row r="103" spans="1:13" x14ac:dyDescent="0.25">
      <c r="A103">
        <v>1880</v>
      </c>
      <c r="B103">
        <v>-4.2</v>
      </c>
      <c r="C103">
        <v>-3</v>
      </c>
      <c r="D103">
        <v>0.3</v>
      </c>
      <c r="E103">
        <v>9.6</v>
      </c>
      <c r="F103">
        <v>11.8</v>
      </c>
      <c r="G103">
        <v>17.5</v>
      </c>
      <c r="H103">
        <v>20.100000000000001</v>
      </c>
      <c r="I103">
        <v>17.8</v>
      </c>
      <c r="J103">
        <v>14.1</v>
      </c>
      <c r="K103">
        <v>6.2</v>
      </c>
      <c r="L103">
        <v>2.8</v>
      </c>
      <c r="M103">
        <v>-0.4</v>
      </c>
    </row>
    <row r="104" spans="1:13" x14ac:dyDescent="0.25">
      <c r="A104">
        <v>1881</v>
      </c>
      <c r="B104">
        <v>-7.7</v>
      </c>
      <c r="C104">
        <v>-3.3</v>
      </c>
      <c r="D104">
        <v>-0.4</v>
      </c>
      <c r="E104">
        <v>4.4000000000000004</v>
      </c>
      <c r="F104">
        <v>13.6</v>
      </c>
      <c r="G104">
        <v>16.399999999999999</v>
      </c>
      <c r="H104">
        <v>19.2</v>
      </c>
      <c r="I104">
        <v>16.5</v>
      </c>
      <c r="J104">
        <v>12</v>
      </c>
      <c r="K104">
        <v>4.5</v>
      </c>
      <c r="L104">
        <v>3.1</v>
      </c>
      <c r="M104">
        <v>-1.3</v>
      </c>
    </row>
    <row r="105" spans="1:13" x14ac:dyDescent="0.25">
      <c r="A105">
        <v>1882</v>
      </c>
      <c r="B105">
        <v>0.1</v>
      </c>
      <c r="C105">
        <v>0.3</v>
      </c>
      <c r="D105">
        <v>6.2</v>
      </c>
      <c r="E105">
        <v>8.8000000000000007</v>
      </c>
      <c r="F105">
        <v>13.5</v>
      </c>
      <c r="G105">
        <v>15.8</v>
      </c>
      <c r="H105">
        <v>20.3</v>
      </c>
      <c r="I105">
        <v>16.7</v>
      </c>
      <c r="J105">
        <v>15</v>
      </c>
      <c r="K105">
        <v>6.4</v>
      </c>
      <c r="L105">
        <v>1.7</v>
      </c>
      <c r="M105">
        <v>-2.1</v>
      </c>
    </row>
    <row r="106" spans="1:13" x14ac:dyDescent="0.25">
      <c r="A106">
        <v>1883</v>
      </c>
      <c r="B106">
        <v>-4.0999999999999996</v>
      </c>
      <c r="C106">
        <v>-1.9</v>
      </c>
      <c r="D106">
        <v>-3</v>
      </c>
      <c r="E106">
        <v>5.3</v>
      </c>
      <c r="F106">
        <v>12.5</v>
      </c>
      <c r="G106">
        <v>18.100000000000001</v>
      </c>
      <c r="H106">
        <v>19</v>
      </c>
      <c r="I106">
        <v>16.600000000000001</v>
      </c>
      <c r="J106">
        <v>13.5</v>
      </c>
      <c r="K106">
        <v>8.1</v>
      </c>
      <c r="L106">
        <v>3.3</v>
      </c>
      <c r="M106">
        <v>-0.8</v>
      </c>
    </row>
    <row r="107" spans="1:13" x14ac:dyDescent="0.25">
      <c r="A107">
        <v>1884</v>
      </c>
      <c r="B107">
        <v>0</v>
      </c>
      <c r="C107">
        <v>1.7</v>
      </c>
      <c r="D107">
        <v>2.2000000000000002</v>
      </c>
      <c r="E107">
        <v>4.9000000000000004</v>
      </c>
      <c r="F107">
        <v>12.8</v>
      </c>
      <c r="G107">
        <v>15.8</v>
      </c>
      <c r="H107">
        <v>19.7</v>
      </c>
      <c r="I107">
        <v>16.3</v>
      </c>
      <c r="J107">
        <v>14.5</v>
      </c>
      <c r="K107">
        <v>7.1</v>
      </c>
      <c r="L107">
        <v>-0.1</v>
      </c>
      <c r="M107">
        <v>1.4</v>
      </c>
    </row>
    <row r="108" spans="1:13" x14ac:dyDescent="0.25">
      <c r="A108">
        <v>1885</v>
      </c>
      <c r="B108">
        <v>-4</v>
      </c>
      <c r="C108">
        <v>-0.2</v>
      </c>
      <c r="D108">
        <v>2.2000000000000002</v>
      </c>
      <c r="E108">
        <v>9</v>
      </c>
      <c r="F108">
        <v>11.6</v>
      </c>
      <c r="G108">
        <v>18.399999999999999</v>
      </c>
      <c r="H108">
        <v>19.7</v>
      </c>
      <c r="I108">
        <v>15.3</v>
      </c>
      <c r="J108">
        <v>13.4</v>
      </c>
      <c r="K108">
        <v>8.4</v>
      </c>
      <c r="L108">
        <v>0.4</v>
      </c>
      <c r="M108">
        <v>-2</v>
      </c>
    </row>
    <row r="109" spans="1:13" x14ac:dyDescent="0.25">
      <c r="A109">
        <v>1886</v>
      </c>
      <c r="B109">
        <v>-2.1</v>
      </c>
      <c r="C109">
        <v>-5.7</v>
      </c>
      <c r="D109">
        <v>-2.4</v>
      </c>
      <c r="E109">
        <v>10.9</v>
      </c>
      <c r="F109">
        <v>14</v>
      </c>
      <c r="G109">
        <v>16.2</v>
      </c>
      <c r="H109">
        <v>17.399999999999999</v>
      </c>
      <c r="I109">
        <v>17.600000000000001</v>
      </c>
      <c r="J109">
        <v>15.8</v>
      </c>
      <c r="K109">
        <v>7.6</v>
      </c>
      <c r="L109">
        <v>4.9000000000000004</v>
      </c>
      <c r="M109">
        <v>0.9</v>
      </c>
    </row>
    <row r="110" spans="1:13" x14ac:dyDescent="0.25">
      <c r="A110">
        <v>1887</v>
      </c>
      <c r="B110">
        <v>-2.5</v>
      </c>
      <c r="C110">
        <v>-2.7</v>
      </c>
      <c r="D110">
        <v>0.2</v>
      </c>
      <c r="E110">
        <v>9.1</v>
      </c>
      <c r="F110">
        <v>12.2</v>
      </c>
      <c r="G110">
        <v>15</v>
      </c>
      <c r="H110">
        <v>19.3</v>
      </c>
      <c r="I110">
        <v>16.3</v>
      </c>
      <c r="J110">
        <v>14.7</v>
      </c>
      <c r="K110">
        <v>6.9</v>
      </c>
      <c r="L110">
        <v>3.7</v>
      </c>
      <c r="M110">
        <v>-2.2999999999999998</v>
      </c>
    </row>
    <row r="111" spans="1:13" x14ac:dyDescent="0.25">
      <c r="A111">
        <v>1888</v>
      </c>
      <c r="B111">
        <v>-6.1</v>
      </c>
      <c r="C111">
        <v>-5.4</v>
      </c>
      <c r="D111">
        <v>-1.4</v>
      </c>
      <c r="E111">
        <v>7.3</v>
      </c>
      <c r="F111">
        <v>13.4</v>
      </c>
      <c r="G111">
        <v>15.8</v>
      </c>
      <c r="H111">
        <v>16.899999999999999</v>
      </c>
      <c r="I111">
        <v>16.3</v>
      </c>
      <c r="J111">
        <v>13.3</v>
      </c>
      <c r="K111">
        <v>8.3000000000000007</v>
      </c>
      <c r="L111">
        <v>1.3</v>
      </c>
      <c r="M111">
        <v>-1.2</v>
      </c>
    </row>
    <row r="112" spans="1:13" x14ac:dyDescent="0.25">
      <c r="A112">
        <v>1889</v>
      </c>
      <c r="B112">
        <v>-5.7</v>
      </c>
      <c r="C112">
        <v>-3.3</v>
      </c>
      <c r="D112">
        <v>-2.6</v>
      </c>
      <c r="E112">
        <v>8.3000000000000007</v>
      </c>
      <c r="F112">
        <v>17.7</v>
      </c>
      <c r="G112">
        <v>19.7</v>
      </c>
      <c r="H112">
        <v>18</v>
      </c>
      <c r="I112">
        <v>17</v>
      </c>
      <c r="J112">
        <v>10.8</v>
      </c>
      <c r="K112">
        <v>10.3</v>
      </c>
      <c r="L112">
        <v>3.6</v>
      </c>
      <c r="M112">
        <v>-5.3</v>
      </c>
    </row>
    <row r="113" spans="1:13" x14ac:dyDescent="0.25">
      <c r="A113">
        <v>1890</v>
      </c>
      <c r="B113">
        <v>0.6</v>
      </c>
      <c r="C113">
        <v>-3.6</v>
      </c>
      <c r="D113">
        <v>4.4000000000000004</v>
      </c>
      <c r="E113">
        <v>11.2</v>
      </c>
      <c r="F113">
        <v>15.2</v>
      </c>
      <c r="G113">
        <v>15.5</v>
      </c>
      <c r="H113">
        <v>18.600000000000001</v>
      </c>
      <c r="I113">
        <v>20.2</v>
      </c>
      <c r="J113">
        <v>13.4</v>
      </c>
      <c r="K113">
        <v>7.1</v>
      </c>
      <c r="L113">
        <v>3.3</v>
      </c>
      <c r="M113">
        <v>-8.5</v>
      </c>
    </row>
    <row r="114" spans="1:13" x14ac:dyDescent="0.25">
      <c r="A114">
        <v>1891</v>
      </c>
      <c r="B114">
        <v>-4.3</v>
      </c>
      <c r="C114">
        <v>-3.6</v>
      </c>
      <c r="D114">
        <v>2.5</v>
      </c>
      <c r="E114">
        <v>6.2</v>
      </c>
      <c r="F114">
        <v>14.5</v>
      </c>
      <c r="G114">
        <v>15.5</v>
      </c>
      <c r="H114">
        <v>17.7</v>
      </c>
      <c r="I114">
        <v>17.2</v>
      </c>
      <c r="J114">
        <v>14</v>
      </c>
      <c r="K114">
        <v>10.8</v>
      </c>
      <c r="L114">
        <v>1.3</v>
      </c>
      <c r="M114">
        <v>-0.2</v>
      </c>
    </row>
    <row r="115" spans="1:13" x14ac:dyDescent="0.25">
      <c r="A115">
        <v>1892</v>
      </c>
      <c r="B115">
        <v>-4.0999999999999996</v>
      </c>
      <c r="C115">
        <v>-1.5</v>
      </c>
      <c r="D115">
        <v>1.2</v>
      </c>
      <c r="E115">
        <v>7.5</v>
      </c>
      <c r="F115">
        <v>13.5</v>
      </c>
      <c r="G115">
        <v>17.3</v>
      </c>
      <c r="H115">
        <v>16.7</v>
      </c>
      <c r="I115">
        <v>19.8</v>
      </c>
      <c r="J115">
        <v>16.5</v>
      </c>
      <c r="K115">
        <v>8.3000000000000007</v>
      </c>
      <c r="L115">
        <v>0.6</v>
      </c>
      <c r="M115">
        <v>-3.1</v>
      </c>
    </row>
    <row r="116" spans="1:13" x14ac:dyDescent="0.25">
      <c r="A116">
        <v>1893</v>
      </c>
      <c r="B116">
        <v>-12</v>
      </c>
      <c r="C116">
        <v>-1.1000000000000001</v>
      </c>
      <c r="D116">
        <v>2.7</v>
      </c>
      <c r="E116">
        <v>6.3</v>
      </c>
      <c r="F116">
        <v>12.4</v>
      </c>
      <c r="G116">
        <v>16.3</v>
      </c>
      <c r="H116">
        <v>18.2</v>
      </c>
      <c r="I116">
        <v>17.100000000000001</v>
      </c>
      <c r="J116">
        <v>12.8</v>
      </c>
      <c r="K116">
        <v>11.2</v>
      </c>
      <c r="L116">
        <v>1.7</v>
      </c>
      <c r="M116">
        <v>-0.5</v>
      </c>
    </row>
    <row r="117" spans="1:13" x14ac:dyDescent="0.25">
      <c r="A117">
        <v>1894</v>
      </c>
      <c r="B117">
        <v>-4.5999999999999996</v>
      </c>
      <c r="C117">
        <v>0</v>
      </c>
      <c r="D117">
        <v>4.9000000000000004</v>
      </c>
      <c r="E117">
        <v>10.199999999999999</v>
      </c>
      <c r="F117">
        <v>13.8</v>
      </c>
      <c r="G117">
        <v>15</v>
      </c>
      <c r="H117">
        <v>19.399999999999999</v>
      </c>
      <c r="I117">
        <v>17.3</v>
      </c>
      <c r="J117">
        <v>11</v>
      </c>
      <c r="K117">
        <v>7.9</v>
      </c>
      <c r="L117">
        <v>3.8</v>
      </c>
      <c r="M117">
        <v>-1.7</v>
      </c>
    </row>
    <row r="118" spans="1:13" x14ac:dyDescent="0.25">
      <c r="A118">
        <v>1895</v>
      </c>
      <c r="B118">
        <v>-2.2000000000000002</v>
      </c>
      <c r="C118">
        <v>-6.4</v>
      </c>
      <c r="D118">
        <v>0.4</v>
      </c>
      <c r="E118">
        <v>9.1999999999999993</v>
      </c>
      <c r="F118">
        <v>14.6</v>
      </c>
      <c r="G118">
        <v>17</v>
      </c>
      <c r="H118">
        <v>19</v>
      </c>
      <c r="I118">
        <v>17.600000000000001</v>
      </c>
      <c r="J118">
        <v>14.6</v>
      </c>
      <c r="K118">
        <v>8.9</v>
      </c>
      <c r="L118">
        <v>2.9</v>
      </c>
      <c r="M118">
        <v>-3.1</v>
      </c>
    </row>
    <row r="119" spans="1:13" x14ac:dyDescent="0.25">
      <c r="A119">
        <v>1896</v>
      </c>
      <c r="B119">
        <v>-3.5</v>
      </c>
      <c r="C119">
        <v>-1.1000000000000001</v>
      </c>
      <c r="D119">
        <v>4.9000000000000004</v>
      </c>
      <c r="E119">
        <v>6.6</v>
      </c>
      <c r="F119">
        <v>12.3</v>
      </c>
      <c r="G119">
        <v>18.899999999999999</v>
      </c>
      <c r="H119">
        <v>20</v>
      </c>
      <c r="I119">
        <v>16.3</v>
      </c>
      <c r="J119">
        <v>13.3</v>
      </c>
      <c r="K119">
        <v>12.1</v>
      </c>
      <c r="L119">
        <v>0</v>
      </c>
      <c r="M119">
        <v>-1.9</v>
      </c>
    </row>
    <row r="120" spans="1:13" x14ac:dyDescent="0.25">
      <c r="A120">
        <v>1897</v>
      </c>
      <c r="B120">
        <v>-5</v>
      </c>
      <c r="C120">
        <v>-2.1</v>
      </c>
      <c r="D120">
        <v>4</v>
      </c>
      <c r="E120">
        <v>8.5</v>
      </c>
      <c r="F120">
        <v>13.9</v>
      </c>
      <c r="G120">
        <v>17.2</v>
      </c>
      <c r="H120">
        <v>18.2</v>
      </c>
      <c r="I120">
        <v>18.5</v>
      </c>
      <c r="J120">
        <v>13.3</v>
      </c>
      <c r="K120">
        <v>7.5</v>
      </c>
      <c r="L120">
        <v>1.5</v>
      </c>
      <c r="M120">
        <v>-1.3</v>
      </c>
    </row>
    <row r="121" spans="1:13" x14ac:dyDescent="0.25">
      <c r="A121">
        <v>1898</v>
      </c>
      <c r="B121">
        <v>0</v>
      </c>
      <c r="C121">
        <v>-0.2</v>
      </c>
      <c r="D121">
        <v>2.5</v>
      </c>
      <c r="E121">
        <v>7.1</v>
      </c>
      <c r="F121">
        <v>14.3</v>
      </c>
      <c r="G121">
        <v>16</v>
      </c>
      <c r="H121">
        <v>16.2</v>
      </c>
      <c r="I121">
        <v>18</v>
      </c>
      <c r="J121">
        <v>13.1</v>
      </c>
      <c r="K121">
        <v>6.7</v>
      </c>
      <c r="L121">
        <v>5.3</v>
      </c>
      <c r="M121">
        <v>2.4</v>
      </c>
    </row>
    <row r="122" spans="1:13" x14ac:dyDescent="0.25">
      <c r="A122">
        <v>1899</v>
      </c>
      <c r="B122">
        <v>0.3</v>
      </c>
      <c r="C122">
        <v>0.2</v>
      </c>
      <c r="D122">
        <v>2.4</v>
      </c>
      <c r="E122">
        <v>8.5</v>
      </c>
      <c r="F122">
        <v>12.5</v>
      </c>
      <c r="G122">
        <v>14.4</v>
      </c>
      <c r="H122">
        <v>18.600000000000001</v>
      </c>
      <c r="I122">
        <v>15.7</v>
      </c>
      <c r="J122">
        <v>13.7</v>
      </c>
      <c r="K122">
        <v>7.8</v>
      </c>
      <c r="L122">
        <v>5.7</v>
      </c>
      <c r="M122">
        <v>-3.8</v>
      </c>
    </row>
    <row r="123" spans="1:13" x14ac:dyDescent="0.25">
      <c r="A123">
        <v>1900</v>
      </c>
      <c r="B123">
        <v>-2.4</v>
      </c>
      <c r="C123">
        <v>0.1</v>
      </c>
      <c r="D123">
        <v>-0.6</v>
      </c>
      <c r="E123">
        <v>7.1</v>
      </c>
      <c r="F123">
        <v>12.2</v>
      </c>
      <c r="G123">
        <v>16.8</v>
      </c>
      <c r="H123">
        <v>19.7</v>
      </c>
      <c r="I123">
        <v>17.5</v>
      </c>
      <c r="J123">
        <v>13.9</v>
      </c>
      <c r="K123">
        <v>9.6999999999999993</v>
      </c>
      <c r="L123">
        <v>4.7</v>
      </c>
      <c r="M123">
        <v>1.3</v>
      </c>
    </row>
    <row r="124" spans="1:13" x14ac:dyDescent="0.25">
      <c r="A124">
        <v>1901</v>
      </c>
      <c r="B124">
        <v>-5.5</v>
      </c>
      <c r="C124">
        <v>-5</v>
      </c>
      <c r="D124">
        <v>1.4</v>
      </c>
      <c r="E124">
        <v>8.1</v>
      </c>
      <c r="F124">
        <v>14.2</v>
      </c>
      <c r="G124">
        <v>17.5</v>
      </c>
      <c r="H124">
        <v>19.100000000000001</v>
      </c>
      <c r="I124">
        <v>17.100000000000001</v>
      </c>
      <c r="J124">
        <v>12.4</v>
      </c>
      <c r="K124">
        <v>9.9</v>
      </c>
      <c r="L124">
        <v>3</v>
      </c>
      <c r="M124">
        <v>1.4</v>
      </c>
    </row>
    <row r="125" spans="1:13" x14ac:dyDescent="0.25">
      <c r="A125">
        <v>1902</v>
      </c>
      <c r="B125">
        <v>1.4</v>
      </c>
      <c r="C125">
        <v>-1.7</v>
      </c>
      <c r="D125">
        <v>2.1</v>
      </c>
      <c r="E125">
        <v>5.0999999999999996</v>
      </c>
      <c r="F125">
        <v>9.8000000000000007</v>
      </c>
      <c r="G125">
        <v>15.5</v>
      </c>
      <c r="H125">
        <v>16.5</v>
      </c>
      <c r="I125">
        <v>16</v>
      </c>
      <c r="J125">
        <v>12.3</v>
      </c>
      <c r="K125">
        <v>6.3</v>
      </c>
      <c r="L125">
        <v>-0.9</v>
      </c>
      <c r="M125">
        <v>-5.5</v>
      </c>
    </row>
    <row r="126" spans="1:13" x14ac:dyDescent="0.25">
      <c r="A126">
        <v>1903</v>
      </c>
      <c r="B126">
        <v>-2.1</v>
      </c>
      <c r="C126">
        <v>2.5</v>
      </c>
      <c r="D126">
        <v>6.1</v>
      </c>
      <c r="E126">
        <v>6</v>
      </c>
      <c r="F126">
        <v>13.8</v>
      </c>
      <c r="G126">
        <v>15.4</v>
      </c>
      <c r="H126">
        <v>17.100000000000001</v>
      </c>
      <c r="I126">
        <v>16.8</v>
      </c>
      <c r="J126">
        <v>14.1</v>
      </c>
      <c r="K126">
        <v>8.6</v>
      </c>
      <c r="L126">
        <v>3.4</v>
      </c>
      <c r="M126">
        <v>-1.5</v>
      </c>
    </row>
    <row r="127" spans="1:13" x14ac:dyDescent="0.25">
      <c r="A127">
        <v>1904</v>
      </c>
      <c r="B127">
        <v>-3.6</v>
      </c>
      <c r="C127">
        <v>0.1</v>
      </c>
      <c r="D127">
        <v>0.3</v>
      </c>
      <c r="E127">
        <v>6.6</v>
      </c>
      <c r="F127">
        <v>10</v>
      </c>
      <c r="G127">
        <v>15.3</v>
      </c>
      <c r="H127">
        <v>19.100000000000001</v>
      </c>
      <c r="I127">
        <v>17.399999999999999</v>
      </c>
      <c r="J127">
        <v>11.9</v>
      </c>
      <c r="K127">
        <v>8</v>
      </c>
      <c r="L127">
        <v>1.6</v>
      </c>
      <c r="M127">
        <v>0.5</v>
      </c>
    </row>
    <row r="128" spans="1:13" x14ac:dyDescent="0.25">
      <c r="A128">
        <v>1905</v>
      </c>
      <c r="B128">
        <v>-5.7</v>
      </c>
      <c r="C128">
        <v>0.8</v>
      </c>
      <c r="D128">
        <v>2.6</v>
      </c>
      <c r="E128">
        <v>6</v>
      </c>
      <c r="F128">
        <v>13.8</v>
      </c>
      <c r="G128">
        <v>18</v>
      </c>
      <c r="H128">
        <v>19.2</v>
      </c>
      <c r="I128">
        <v>18</v>
      </c>
      <c r="J128">
        <v>13.2</v>
      </c>
      <c r="K128">
        <v>4.5999999999999996</v>
      </c>
      <c r="L128">
        <v>3.8</v>
      </c>
      <c r="M128">
        <v>-0.6</v>
      </c>
    </row>
    <row r="129" spans="1:13" x14ac:dyDescent="0.25">
      <c r="A129">
        <v>1906</v>
      </c>
      <c r="B129">
        <v>-1.3</v>
      </c>
      <c r="C129">
        <v>-0.6</v>
      </c>
      <c r="D129">
        <v>2.2000000000000002</v>
      </c>
      <c r="E129">
        <v>9.1999999999999993</v>
      </c>
      <c r="F129">
        <v>15.5</v>
      </c>
      <c r="G129">
        <v>15.6</v>
      </c>
      <c r="H129">
        <v>19.7</v>
      </c>
      <c r="I129">
        <v>16.5</v>
      </c>
      <c r="J129">
        <v>12</v>
      </c>
      <c r="K129">
        <v>7.7</v>
      </c>
      <c r="L129">
        <v>6</v>
      </c>
      <c r="M129">
        <v>-4.0999999999999996</v>
      </c>
    </row>
    <row r="130" spans="1:13" x14ac:dyDescent="0.25">
      <c r="A130">
        <v>1907</v>
      </c>
      <c r="B130">
        <v>-4.9000000000000004</v>
      </c>
      <c r="C130">
        <v>-5.0999999999999996</v>
      </c>
      <c r="D130">
        <v>0.6</v>
      </c>
      <c r="E130">
        <v>5.7</v>
      </c>
      <c r="F130">
        <v>14.8</v>
      </c>
      <c r="G130">
        <v>15.8</v>
      </c>
      <c r="H130">
        <v>16</v>
      </c>
      <c r="I130">
        <v>15.5</v>
      </c>
      <c r="J130">
        <v>12.7</v>
      </c>
      <c r="K130">
        <v>12.6</v>
      </c>
      <c r="L130">
        <v>1.3</v>
      </c>
      <c r="M130">
        <v>-2.5</v>
      </c>
    </row>
    <row r="131" spans="1:13" x14ac:dyDescent="0.25">
      <c r="A131">
        <v>1908</v>
      </c>
      <c r="B131">
        <v>-2.1</v>
      </c>
      <c r="C131">
        <v>0.3</v>
      </c>
      <c r="D131">
        <v>2</v>
      </c>
      <c r="E131">
        <v>6.4</v>
      </c>
      <c r="F131">
        <v>13.7</v>
      </c>
      <c r="G131">
        <v>17.399999999999999</v>
      </c>
      <c r="H131">
        <v>18.5</v>
      </c>
      <c r="I131">
        <v>16.5</v>
      </c>
      <c r="J131">
        <v>11.6</v>
      </c>
      <c r="K131">
        <v>6.5</v>
      </c>
      <c r="L131">
        <v>-0.5</v>
      </c>
      <c r="M131">
        <v>-2.9</v>
      </c>
    </row>
    <row r="132" spans="1:13" x14ac:dyDescent="0.25">
      <c r="A132">
        <v>1909</v>
      </c>
      <c r="B132">
        <v>-3.3</v>
      </c>
      <c r="C132">
        <v>-6</v>
      </c>
      <c r="D132">
        <v>1.5</v>
      </c>
      <c r="E132">
        <v>6.4</v>
      </c>
      <c r="F132">
        <v>11.2</v>
      </c>
      <c r="G132">
        <v>16.3</v>
      </c>
      <c r="H132">
        <v>17.399999999999999</v>
      </c>
      <c r="I132">
        <v>17.3</v>
      </c>
      <c r="J132">
        <v>14.3</v>
      </c>
      <c r="K132">
        <v>10.6</v>
      </c>
      <c r="L132">
        <v>1.6</v>
      </c>
      <c r="M132">
        <v>1.1000000000000001</v>
      </c>
    </row>
    <row r="133" spans="1:13" x14ac:dyDescent="0.25">
      <c r="A133">
        <v>1910</v>
      </c>
      <c r="B133">
        <v>0.5</v>
      </c>
      <c r="C133">
        <v>2.7</v>
      </c>
      <c r="D133">
        <v>3.4</v>
      </c>
      <c r="E133">
        <v>8.5</v>
      </c>
      <c r="F133">
        <v>13.8</v>
      </c>
      <c r="G133">
        <v>17.899999999999999</v>
      </c>
      <c r="H133">
        <v>17.600000000000001</v>
      </c>
      <c r="I133">
        <v>16.600000000000001</v>
      </c>
      <c r="J133">
        <v>12.1</v>
      </c>
      <c r="K133">
        <v>7.3</v>
      </c>
      <c r="L133">
        <v>2.2000000000000002</v>
      </c>
      <c r="M133">
        <v>2.4</v>
      </c>
    </row>
    <row r="134" spans="1:13" x14ac:dyDescent="0.25">
      <c r="A134">
        <v>1911</v>
      </c>
      <c r="B134">
        <v>-0.5</v>
      </c>
      <c r="C134">
        <v>-3</v>
      </c>
      <c r="D134">
        <v>3.4</v>
      </c>
      <c r="E134">
        <v>7.7</v>
      </c>
      <c r="F134">
        <v>13.8</v>
      </c>
      <c r="G134">
        <v>16</v>
      </c>
      <c r="H134">
        <v>18.8</v>
      </c>
      <c r="I134">
        <v>18.7</v>
      </c>
      <c r="J134">
        <v>14</v>
      </c>
      <c r="K134">
        <v>8.5</v>
      </c>
      <c r="L134">
        <v>4.7</v>
      </c>
      <c r="M134">
        <v>0.7</v>
      </c>
    </row>
    <row r="135" spans="1:13" x14ac:dyDescent="0.25">
      <c r="A135">
        <v>1912</v>
      </c>
      <c r="B135">
        <v>-7</v>
      </c>
      <c r="C135">
        <v>-1.3</v>
      </c>
      <c r="D135">
        <v>5.3</v>
      </c>
      <c r="E135">
        <v>5.7</v>
      </c>
      <c r="F135">
        <v>11.3</v>
      </c>
      <c r="G135">
        <v>17.5</v>
      </c>
      <c r="H135">
        <v>18.8</v>
      </c>
      <c r="I135">
        <v>15.9</v>
      </c>
      <c r="J135">
        <v>9.1</v>
      </c>
      <c r="K135">
        <v>5.4</v>
      </c>
      <c r="L135">
        <v>1</v>
      </c>
      <c r="M135">
        <v>2.2999999999999998</v>
      </c>
    </row>
    <row r="136" spans="1:13" x14ac:dyDescent="0.25">
      <c r="A136">
        <v>1913</v>
      </c>
      <c r="B136">
        <v>-3.2</v>
      </c>
      <c r="C136">
        <v>-1</v>
      </c>
      <c r="D136">
        <v>5.3</v>
      </c>
      <c r="E136">
        <v>8</v>
      </c>
      <c r="F136">
        <v>12.3</v>
      </c>
      <c r="G136">
        <v>15</v>
      </c>
      <c r="H136">
        <v>16</v>
      </c>
      <c r="I136">
        <v>15.4</v>
      </c>
      <c r="J136">
        <v>13</v>
      </c>
      <c r="K136">
        <v>8.9</v>
      </c>
      <c r="L136">
        <v>4.9000000000000004</v>
      </c>
      <c r="M136">
        <v>1.8</v>
      </c>
    </row>
    <row r="137" spans="1:13" x14ac:dyDescent="0.25">
      <c r="A137">
        <v>1914</v>
      </c>
      <c r="B137">
        <v>-5</v>
      </c>
      <c r="C137">
        <v>1.2</v>
      </c>
      <c r="D137">
        <v>4.2</v>
      </c>
      <c r="E137">
        <v>9.4</v>
      </c>
      <c r="F137">
        <v>13.4</v>
      </c>
      <c r="G137">
        <v>16</v>
      </c>
      <c r="H137">
        <v>19</v>
      </c>
      <c r="I137">
        <v>17.3</v>
      </c>
      <c r="J137">
        <v>12.2</v>
      </c>
      <c r="K137">
        <v>6.7</v>
      </c>
      <c r="L137">
        <v>0.9</v>
      </c>
      <c r="M137">
        <v>2.8</v>
      </c>
    </row>
    <row r="138" spans="1:13" x14ac:dyDescent="0.25">
      <c r="A138">
        <v>1915</v>
      </c>
      <c r="B138">
        <v>-1.4</v>
      </c>
      <c r="C138">
        <v>-0.4</v>
      </c>
      <c r="D138">
        <v>-0.8</v>
      </c>
      <c r="E138">
        <v>8.3000000000000007</v>
      </c>
      <c r="F138">
        <v>13.5</v>
      </c>
      <c r="G138">
        <v>18</v>
      </c>
      <c r="H138">
        <v>17.899999999999999</v>
      </c>
      <c r="I138">
        <v>16.7</v>
      </c>
      <c r="J138">
        <v>12.1</v>
      </c>
      <c r="K138">
        <v>6.6</v>
      </c>
      <c r="L138">
        <v>1.3</v>
      </c>
      <c r="M138">
        <v>1</v>
      </c>
    </row>
    <row r="139" spans="1:13" x14ac:dyDescent="0.25">
      <c r="A139">
        <v>1916</v>
      </c>
      <c r="B139">
        <v>1.4</v>
      </c>
      <c r="C139">
        <v>-0.4</v>
      </c>
      <c r="D139">
        <v>3.5</v>
      </c>
      <c r="E139">
        <v>8.8000000000000007</v>
      </c>
      <c r="F139">
        <v>12.9</v>
      </c>
      <c r="G139">
        <v>15.7</v>
      </c>
      <c r="H139">
        <v>17.899999999999999</v>
      </c>
      <c r="I139">
        <v>16.2</v>
      </c>
      <c r="J139">
        <v>12.1</v>
      </c>
      <c r="K139">
        <v>7</v>
      </c>
      <c r="L139">
        <v>4.3</v>
      </c>
      <c r="M139">
        <v>0.6</v>
      </c>
    </row>
    <row r="140" spans="1:13" x14ac:dyDescent="0.25">
      <c r="A140">
        <v>1917</v>
      </c>
      <c r="B140">
        <v>-4.7</v>
      </c>
      <c r="C140">
        <v>-6.5</v>
      </c>
      <c r="D140">
        <v>-3</v>
      </c>
      <c r="E140">
        <v>5.0999999999999996</v>
      </c>
      <c r="F140">
        <v>14</v>
      </c>
      <c r="G140">
        <v>20.5</v>
      </c>
      <c r="H140">
        <v>18.3</v>
      </c>
      <c r="I140">
        <v>19.899999999999999</v>
      </c>
      <c r="J140">
        <v>14.7</v>
      </c>
      <c r="K140">
        <v>9.6</v>
      </c>
      <c r="L140">
        <v>5</v>
      </c>
      <c r="M140">
        <v>-2.2000000000000002</v>
      </c>
    </row>
    <row r="141" spans="1:13" x14ac:dyDescent="0.25">
      <c r="A141">
        <v>1918</v>
      </c>
      <c r="B141">
        <v>-1.1000000000000001</v>
      </c>
      <c r="C141">
        <v>-1.2</v>
      </c>
      <c r="D141">
        <v>1.9</v>
      </c>
      <c r="E141">
        <v>13.2</v>
      </c>
      <c r="F141">
        <v>13.5</v>
      </c>
      <c r="G141">
        <v>14.1</v>
      </c>
      <c r="H141">
        <v>18.399999999999999</v>
      </c>
      <c r="I141">
        <v>16.7</v>
      </c>
      <c r="J141">
        <v>14</v>
      </c>
      <c r="K141">
        <v>10</v>
      </c>
      <c r="L141">
        <v>2.2000000000000002</v>
      </c>
      <c r="M141">
        <v>-1.1000000000000001</v>
      </c>
    </row>
    <row r="142" spans="1:13" x14ac:dyDescent="0.25">
      <c r="A142">
        <v>1919</v>
      </c>
      <c r="B142">
        <v>-1.4</v>
      </c>
      <c r="C142">
        <v>-1.6</v>
      </c>
      <c r="D142">
        <v>1.5</v>
      </c>
      <c r="E142">
        <v>7.2</v>
      </c>
      <c r="F142">
        <v>10.7</v>
      </c>
      <c r="G142">
        <v>15.9</v>
      </c>
      <c r="H142">
        <v>16.7</v>
      </c>
      <c r="I142">
        <v>15.5</v>
      </c>
      <c r="J142">
        <v>15.6</v>
      </c>
      <c r="K142">
        <v>6.8</v>
      </c>
      <c r="L142">
        <v>-3.4</v>
      </c>
      <c r="M142">
        <v>-1.9</v>
      </c>
    </row>
    <row r="143" spans="1:13" x14ac:dyDescent="0.25">
      <c r="A143">
        <v>1920</v>
      </c>
      <c r="B143">
        <v>-1.8</v>
      </c>
      <c r="C143">
        <v>0.7</v>
      </c>
      <c r="D143">
        <v>4.9000000000000004</v>
      </c>
      <c r="E143">
        <v>12.5</v>
      </c>
      <c r="F143">
        <v>15.5</v>
      </c>
      <c r="G143">
        <v>15.4</v>
      </c>
      <c r="H143">
        <v>20.399999999999999</v>
      </c>
      <c r="I143">
        <v>17.2</v>
      </c>
      <c r="J143">
        <v>13.5</v>
      </c>
      <c r="K143">
        <v>4.0999999999999996</v>
      </c>
      <c r="L143">
        <v>0.1</v>
      </c>
      <c r="M143">
        <v>-2.8</v>
      </c>
    </row>
    <row r="144" spans="1:13" x14ac:dyDescent="0.25">
      <c r="A144">
        <v>1921</v>
      </c>
      <c r="B144">
        <v>2.6</v>
      </c>
      <c r="C144">
        <v>-2.5</v>
      </c>
      <c r="D144">
        <v>6.3</v>
      </c>
      <c r="E144">
        <v>9.1999999999999993</v>
      </c>
      <c r="F144">
        <v>16.5</v>
      </c>
      <c r="G144">
        <v>16.399999999999999</v>
      </c>
      <c r="H144">
        <v>20.2</v>
      </c>
      <c r="I144">
        <v>19.3</v>
      </c>
      <c r="J144">
        <v>13.3</v>
      </c>
      <c r="K144">
        <v>9.6</v>
      </c>
      <c r="L144">
        <v>-1.2</v>
      </c>
      <c r="M144">
        <v>-2.6</v>
      </c>
    </row>
    <row r="145" spans="1:13" x14ac:dyDescent="0.25">
      <c r="A145">
        <v>1922</v>
      </c>
      <c r="B145">
        <v>-5.9</v>
      </c>
      <c r="C145">
        <v>-3.8</v>
      </c>
      <c r="D145">
        <v>3</v>
      </c>
      <c r="E145">
        <v>7</v>
      </c>
      <c r="F145">
        <v>14.3</v>
      </c>
      <c r="G145">
        <v>17.600000000000001</v>
      </c>
      <c r="H145">
        <v>18.7</v>
      </c>
      <c r="I145">
        <v>17</v>
      </c>
      <c r="J145">
        <v>11.8</v>
      </c>
      <c r="K145">
        <v>4.9000000000000004</v>
      </c>
      <c r="L145">
        <v>0.8</v>
      </c>
      <c r="M145">
        <v>0.8</v>
      </c>
    </row>
    <row r="146" spans="1:13" x14ac:dyDescent="0.25">
      <c r="A146">
        <v>1923</v>
      </c>
      <c r="B146">
        <v>0.3</v>
      </c>
      <c r="C146">
        <v>-3.1</v>
      </c>
      <c r="D146">
        <v>3.2</v>
      </c>
      <c r="E146">
        <v>6.3</v>
      </c>
      <c r="F146">
        <v>13.7</v>
      </c>
      <c r="G146">
        <v>13</v>
      </c>
      <c r="H146">
        <v>18.7</v>
      </c>
      <c r="I146">
        <v>15</v>
      </c>
      <c r="J146">
        <v>14.4</v>
      </c>
      <c r="K146">
        <v>10.3</v>
      </c>
      <c r="L146">
        <v>3.5</v>
      </c>
      <c r="M146">
        <v>-1.6</v>
      </c>
    </row>
    <row r="147" spans="1:13" x14ac:dyDescent="0.25">
      <c r="A147">
        <v>1924</v>
      </c>
      <c r="B147">
        <v>-6.8</v>
      </c>
      <c r="C147">
        <v>-5.6</v>
      </c>
      <c r="D147">
        <v>-1</v>
      </c>
      <c r="E147">
        <v>5.7</v>
      </c>
      <c r="F147">
        <v>15.4</v>
      </c>
      <c r="G147">
        <v>17.600000000000001</v>
      </c>
      <c r="H147">
        <v>17.5</v>
      </c>
      <c r="I147">
        <v>17</v>
      </c>
      <c r="J147">
        <v>14.9</v>
      </c>
      <c r="K147">
        <v>8.6</v>
      </c>
      <c r="L147">
        <v>2</v>
      </c>
      <c r="M147">
        <v>-1.8</v>
      </c>
    </row>
    <row r="148" spans="1:13" x14ac:dyDescent="0.25">
      <c r="A148">
        <v>1925</v>
      </c>
      <c r="B148">
        <v>1.3</v>
      </c>
      <c r="C148">
        <v>3.4</v>
      </c>
      <c r="D148">
        <v>1.2</v>
      </c>
      <c r="E148">
        <v>8.9</v>
      </c>
      <c r="F148">
        <v>16.3</v>
      </c>
      <c r="G148">
        <v>14.6</v>
      </c>
      <c r="H148">
        <v>18.8</v>
      </c>
      <c r="I148">
        <v>17.2</v>
      </c>
      <c r="J148">
        <v>12.1</v>
      </c>
      <c r="K148">
        <v>7</v>
      </c>
      <c r="L148">
        <v>2.5</v>
      </c>
      <c r="M148">
        <v>-1.2</v>
      </c>
    </row>
    <row r="149" spans="1:13" x14ac:dyDescent="0.25">
      <c r="A149">
        <v>1926</v>
      </c>
      <c r="B149">
        <v>-2.4</v>
      </c>
      <c r="C149">
        <v>0.4</v>
      </c>
      <c r="D149">
        <v>1.8</v>
      </c>
      <c r="E149">
        <v>9.6</v>
      </c>
      <c r="F149">
        <v>13.2</v>
      </c>
      <c r="G149">
        <v>16.399999999999999</v>
      </c>
      <c r="H149">
        <v>19.7</v>
      </c>
      <c r="I149">
        <v>15.8</v>
      </c>
      <c r="J149">
        <v>13.8</v>
      </c>
      <c r="K149">
        <v>7.1</v>
      </c>
      <c r="L149">
        <v>7.6</v>
      </c>
      <c r="M149">
        <v>-1.9</v>
      </c>
    </row>
    <row r="150" spans="1:13" x14ac:dyDescent="0.25">
      <c r="A150">
        <v>1927</v>
      </c>
      <c r="B150">
        <v>-2.2999999999999998</v>
      </c>
      <c r="C150">
        <v>-2.5</v>
      </c>
      <c r="D150">
        <v>5.5</v>
      </c>
      <c r="E150">
        <v>6.7</v>
      </c>
      <c r="F150">
        <v>10.5</v>
      </c>
      <c r="G150">
        <v>16.5</v>
      </c>
      <c r="H150">
        <v>20</v>
      </c>
      <c r="I150">
        <v>18.399999999999999</v>
      </c>
      <c r="J150">
        <v>14.3</v>
      </c>
      <c r="K150">
        <v>8.4</v>
      </c>
      <c r="L150">
        <v>1.4</v>
      </c>
      <c r="M150">
        <v>-6.1</v>
      </c>
    </row>
    <row r="151" spans="1:13" x14ac:dyDescent="0.25">
      <c r="A151">
        <v>1928</v>
      </c>
      <c r="B151">
        <v>-0.9</v>
      </c>
      <c r="C151">
        <v>-1.4</v>
      </c>
      <c r="D151">
        <v>0</v>
      </c>
      <c r="E151">
        <v>7.6</v>
      </c>
      <c r="F151">
        <v>12</v>
      </c>
      <c r="G151">
        <v>14.6</v>
      </c>
      <c r="H151">
        <v>19.3</v>
      </c>
      <c r="I151">
        <v>16.399999999999999</v>
      </c>
      <c r="J151">
        <v>13.6</v>
      </c>
      <c r="K151">
        <v>8.6</v>
      </c>
      <c r="L151">
        <v>6.3</v>
      </c>
      <c r="M151">
        <v>-2.4</v>
      </c>
    </row>
    <row r="152" spans="1:13" x14ac:dyDescent="0.25">
      <c r="A152">
        <v>1929</v>
      </c>
      <c r="B152">
        <v>-6.9</v>
      </c>
      <c r="C152">
        <v>-13.7</v>
      </c>
      <c r="D152">
        <v>-1.5</v>
      </c>
      <c r="E152">
        <v>2.9</v>
      </c>
      <c r="F152">
        <v>16</v>
      </c>
      <c r="G152">
        <v>15.2</v>
      </c>
      <c r="H152">
        <v>18.3</v>
      </c>
      <c r="I152">
        <v>18.600000000000001</v>
      </c>
      <c r="J152">
        <v>13.7</v>
      </c>
      <c r="K152">
        <v>10.9</v>
      </c>
      <c r="L152">
        <v>4.5</v>
      </c>
      <c r="M152">
        <v>1.6</v>
      </c>
    </row>
    <row r="153" spans="1:13" x14ac:dyDescent="0.25">
      <c r="A153">
        <v>1930</v>
      </c>
      <c r="B153">
        <v>0.3</v>
      </c>
      <c r="C153">
        <v>-0.6</v>
      </c>
      <c r="D153">
        <v>3</v>
      </c>
      <c r="E153">
        <v>9.6</v>
      </c>
      <c r="F153">
        <v>13.7</v>
      </c>
      <c r="G153">
        <v>19.3</v>
      </c>
      <c r="H153">
        <v>18</v>
      </c>
      <c r="I153">
        <v>16.7</v>
      </c>
      <c r="J153">
        <v>13.1</v>
      </c>
      <c r="K153">
        <v>9.1</v>
      </c>
      <c r="L153">
        <v>4.9000000000000004</v>
      </c>
      <c r="M153">
        <v>-2.8</v>
      </c>
    </row>
    <row r="154" spans="1:13" x14ac:dyDescent="0.25">
      <c r="A154">
        <v>1931</v>
      </c>
      <c r="B154">
        <v>-1.8</v>
      </c>
      <c r="C154">
        <v>-3.3</v>
      </c>
      <c r="D154">
        <v>-0.7</v>
      </c>
      <c r="E154">
        <v>5.5</v>
      </c>
      <c r="F154">
        <v>17.8</v>
      </c>
      <c r="G154">
        <v>17</v>
      </c>
      <c r="H154">
        <v>19</v>
      </c>
      <c r="I154">
        <v>17.399999999999999</v>
      </c>
      <c r="J154">
        <v>11.1</v>
      </c>
      <c r="K154">
        <v>7</v>
      </c>
      <c r="L154">
        <v>2</v>
      </c>
      <c r="M154">
        <v>-0.5</v>
      </c>
    </row>
    <row r="155" spans="1:13" x14ac:dyDescent="0.25">
      <c r="A155">
        <v>1932</v>
      </c>
      <c r="B155">
        <v>-0.6</v>
      </c>
      <c r="C155">
        <v>-5.6</v>
      </c>
      <c r="D155">
        <v>-2</v>
      </c>
      <c r="E155">
        <v>8.1999999999999993</v>
      </c>
      <c r="F155">
        <v>15.8</v>
      </c>
      <c r="G155">
        <v>15.7</v>
      </c>
      <c r="H155">
        <v>21.4</v>
      </c>
      <c r="I155">
        <v>19.3</v>
      </c>
      <c r="J155">
        <v>16.100000000000001</v>
      </c>
      <c r="K155">
        <v>9.4</v>
      </c>
      <c r="L155">
        <v>3.3</v>
      </c>
      <c r="M155">
        <v>0.4</v>
      </c>
    </row>
    <row r="156" spans="1:13" x14ac:dyDescent="0.25">
      <c r="A156">
        <v>1933</v>
      </c>
      <c r="B156">
        <v>-7.3</v>
      </c>
      <c r="C156">
        <v>-2</v>
      </c>
      <c r="D156">
        <v>2.9</v>
      </c>
      <c r="E156">
        <v>5.0999999999999996</v>
      </c>
      <c r="F156">
        <v>11.9</v>
      </c>
      <c r="G156">
        <v>15.4</v>
      </c>
      <c r="H156">
        <v>19.7</v>
      </c>
      <c r="I156">
        <v>17</v>
      </c>
      <c r="J156">
        <v>13.2</v>
      </c>
      <c r="K156">
        <v>8.5</v>
      </c>
      <c r="L156">
        <v>1.5</v>
      </c>
      <c r="M156">
        <v>-6.5</v>
      </c>
    </row>
    <row r="157" spans="1:13" x14ac:dyDescent="0.25">
      <c r="A157">
        <v>1934</v>
      </c>
      <c r="B157">
        <v>-2.2999999999999998</v>
      </c>
      <c r="C157">
        <v>0.2</v>
      </c>
      <c r="D157">
        <v>4.5</v>
      </c>
      <c r="E157">
        <v>11.1</v>
      </c>
      <c r="F157">
        <v>15.4</v>
      </c>
      <c r="G157">
        <v>17.3</v>
      </c>
      <c r="H157">
        <v>18.2</v>
      </c>
      <c r="I157">
        <v>18.399999999999999</v>
      </c>
      <c r="J157">
        <v>15.6</v>
      </c>
      <c r="K157">
        <v>10.1</v>
      </c>
      <c r="L157">
        <v>5.6</v>
      </c>
      <c r="M157">
        <v>-0.6</v>
      </c>
    </row>
    <row r="158" spans="1:13" x14ac:dyDescent="0.25">
      <c r="A158">
        <v>1935</v>
      </c>
      <c r="B158">
        <v>-5.4</v>
      </c>
      <c r="C158">
        <v>-0.6</v>
      </c>
      <c r="D158">
        <v>1.1000000000000001</v>
      </c>
      <c r="E158">
        <v>8.1</v>
      </c>
      <c r="F158">
        <v>11.3</v>
      </c>
      <c r="G158">
        <v>18.899999999999999</v>
      </c>
      <c r="H158">
        <v>17.100000000000001</v>
      </c>
      <c r="I158">
        <v>17.600000000000001</v>
      </c>
      <c r="J158">
        <v>14</v>
      </c>
      <c r="K158">
        <v>9.8000000000000007</v>
      </c>
      <c r="L158">
        <v>3.2</v>
      </c>
      <c r="M158">
        <v>0.1</v>
      </c>
    </row>
    <row r="159" spans="1:13" x14ac:dyDescent="0.25">
      <c r="A159">
        <v>1936</v>
      </c>
      <c r="B159">
        <v>2</v>
      </c>
      <c r="C159">
        <v>-3.1</v>
      </c>
      <c r="D159">
        <v>4.5999999999999996</v>
      </c>
      <c r="E159">
        <v>8</v>
      </c>
      <c r="F159">
        <v>16.100000000000001</v>
      </c>
      <c r="G159">
        <v>17.899999999999999</v>
      </c>
      <c r="H159">
        <v>20.7</v>
      </c>
      <c r="I159">
        <v>16.600000000000001</v>
      </c>
      <c r="J159">
        <v>12.8</v>
      </c>
      <c r="K159">
        <v>5.3</v>
      </c>
      <c r="L159">
        <v>2.8</v>
      </c>
      <c r="M159">
        <v>0.8</v>
      </c>
    </row>
    <row r="160" spans="1:13" x14ac:dyDescent="0.25">
      <c r="A160">
        <v>1937</v>
      </c>
      <c r="B160">
        <v>-6.6</v>
      </c>
      <c r="C160">
        <v>-0.9</v>
      </c>
      <c r="D160">
        <v>2.8</v>
      </c>
      <c r="E160">
        <v>8.6</v>
      </c>
      <c r="F160">
        <v>18.2</v>
      </c>
      <c r="G160">
        <v>18.8</v>
      </c>
      <c r="H160">
        <v>18.899999999999999</v>
      </c>
      <c r="I160">
        <v>19.3</v>
      </c>
      <c r="J160">
        <v>15.6</v>
      </c>
      <c r="K160">
        <v>9.1</v>
      </c>
      <c r="L160">
        <v>3.3</v>
      </c>
      <c r="M160">
        <v>-1.7</v>
      </c>
    </row>
    <row r="161" spans="1:13" x14ac:dyDescent="0.25">
      <c r="A161">
        <v>1938</v>
      </c>
      <c r="B161">
        <v>-1.9</v>
      </c>
      <c r="C161">
        <v>-0.2</v>
      </c>
      <c r="D161">
        <v>6.3</v>
      </c>
      <c r="E161">
        <v>5.3</v>
      </c>
      <c r="F161">
        <v>12.9</v>
      </c>
      <c r="G161">
        <v>17.899999999999999</v>
      </c>
      <c r="H161">
        <v>19.5</v>
      </c>
      <c r="I161">
        <v>20</v>
      </c>
      <c r="J161">
        <v>14.1</v>
      </c>
      <c r="K161">
        <v>9.6999999999999993</v>
      </c>
      <c r="L161">
        <v>5.7</v>
      </c>
      <c r="M161">
        <v>-4.4000000000000004</v>
      </c>
    </row>
    <row r="162" spans="1:13" x14ac:dyDescent="0.25">
      <c r="A162">
        <v>1939</v>
      </c>
      <c r="B162">
        <v>0.7</v>
      </c>
      <c r="C162">
        <v>2.2000000000000002</v>
      </c>
      <c r="D162">
        <v>1.3</v>
      </c>
      <c r="E162">
        <v>10.4</v>
      </c>
      <c r="F162">
        <v>12.6</v>
      </c>
      <c r="G162">
        <v>19.100000000000001</v>
      </c>
      <c r="H162">
        <v>21</v>
      </c>
      <c r="I162">
        <v>21.7</v>
      </c>
      <c r="J162">
        <v>14.1</v>
      </c>
      <c r="K162">
        <v>6</v>
      </c>
      <c r="L162">
        <v>3.8</v>
      </c>
      <c r="M162">
        <v>-3</v>
      </c>
    </row>
    <row r="163" spans="1:13" x14ac:dyDescent="0.25">
      <c r="A163">
        <v>1940</v>
      </c>
      <c r="B163">
        <v>-12.1</v>
      </c>
      <c r="C163">
        <v>-11.4</v>
      </c>
      <c r="D163">
        <v>-1.3</v>
      </c>
      <c r="E163">
        <v>7.6</v>
      </c>
      <c r="F163">
        <v>13.9</v>
      </c>
      <c r="G163">
        <v>20</v>
      </c>
      <c r="H163">
        <v>18.899999999999999</v>
      </c>
      <c r="I163">
        <v>15.8</v>
      </c>
      <c r="J163">
        <v>12.9</v>
      </c>
      <c r="K163">
        <v>6.2</v>
      </c>
      <c r="L163">
        <v>5.2</v>
      </c>
      <c r="M163">
        <v>-4.7</v>
      </c>
    </row>
    <row r="164" spans="1:13" x14ac:dyDescent="0.25">
      <c r="A164">
        <v>1941</v>
      </c>
      <c r="B164">
        <v>-9.1999999999999993</v>
      </c>
      <c r="C164">
        <v>-1.7</v>
      </c>
      <c r="D164">
        <v>1.4</v>
      </c>
      <c r="E164">
        <v>5.4</v>
      </c>
      <c r="F164">
        <v>10.7</v>
      </c>
      <c r="G164">
        <v>17.3</v>
      </c>
      <c r="H164">
        <v>20.100000000000001</v>
      </c>
      <c r="I164">
        <v>17.100000000000001</v>
      </c>
      <c r="J164">
        <v>11.6</v>
      </c>
      <c r="K164">
        <v>6.2</v>
      </c>
      <c r="L164">
        <v>-1.8</v>
      </c>
      <c r="M164">
        <v>-0.1</v>
      </c>
    </row>
    <row r="165" spans="1:13" x14ac:dyDescent="0.25">
      <c r="A165">
        <v>1942</v>
      </c>
      <c r="B165">
        <v>-10.9</v>
      </c>
      <c r="C165">
        <v>-6.2</v>
      </c>
      <c r="D165">
        <v>-3.7</v>
      </c>
      <c r="E165">
        <v>7.1</v>
      </c>
      <c r="F165">
        <v>13.2</v>
      </c>
      <c r="G165">
        <v>16.2</v>
      </c>
      <c r="H165">
        <v>18</v>
      </c>
      <c r="I165">
        <v>20.5</v>
      </c>
      <c r="J165">
        <v>16.8</v>
      </c>
      <c r="K165">
        <v>9.8000000000000007</v>
      </c>
      <c r="L165">
        <v>1.6</v>
      </c>
      <c r="M165">
        <v>1.3</v>
      </c>
    </row>
    <row r="166" spans="1:13" x14ac:dyDescent="0.25">
      <c r="A166">
        <v>1943</v>
      </c>
      <c r="B166">
        <v>-6</v>
      </c>
      <c r="C166">
        <v>2</v>
      </c>
      <c r="D166">
        <v>3.9</v>
      </c>
      <c r="E166">
        <v>9.6999999999999993</v>
      </c>
      <c r="F166">
        <v>13</v>
      </c>
      <c r="G166">
        <v>16.600000000000001</v>
      </c>
      <c r="H166">
        <v>18.2</v>
      </c>
      <c r="I166">
        <v>19.5</v>
      </c>
      <c r="J166">
        <v>14.8</v>
      </c>
      <c r="K166">
        <v>9.3000000000000007</v>
      </c>
      <c r="L166">
        <v>2.8</v>
      </c>
      <c r="M166">
        <v>-1.2</v>
      </c>
    </row>
    <row r="167" spans="1:13" x14ac:dyDescent="0.25">
      <c r="A167">
        <v>1944</v>
      </c>
      <c r="B167">
        <v>1.5</v>
      </c>
      <c r="C167">
        <v>-1</v>
      </c>
      <c r="D167">
        <v>0.5</v>
      </c>
      <c r="E167">
        <v>6.9</v>
      </c>
      <c r="F167">
        <v>13.1</v>
      </c>
      <c r="G167">
        <v>16.2</v>
      </c>
      <c r="H167">
        <v>20.2</v>
      </c>
      <c r="I167">
        <v>19.399999999999999</v>
      </c>
      <c r="J167">
        <v>13.3</v>
      </c>
      <c r="K167">
        <v>9.9</v>
      </c>
      <c r="L167">
        <v>2.4</v>
      </c>
      <c r="M167">
        <v>-1.8</v>
      </c>
    </row>
    <row r="168" spans="1:13" x14ac:dyDescent="0.25">
      <c r="A168">
        <v>1945</v>
      </c>
      <c r="B168">
        <v>-4.9000000000000004</v>
      </c>
      <c r="C168">
        <v>0.3</v>
      </c>
      <c r="D168">
        <v>2.8</v>
      </c>
      <c r="E168">
        <v>7.8</v>
      </c>
      <c r="F168">
        <v>12.9</v>
      </c>
      <c r="G168">
        <v>16.3</v>
      </c>
      <c r="H168">
        <v>18.5</v>
      </c>
      <c r="I168">
        <v>18</v>
      </c>
      <c r="J168">
        <v>13.9</v>
      </c>
      <c r="K168">
        <v>8.1999999999999993</v>
      </c>
      <c r="L168">
        <v>2.7</v>
      </c>
      <c r="M168">
        <v>-1.3</v>
      </c>
    </row>
    <row r="169" spans="1:13" x14ac:dyDescent="0.25">
      <c r="A169">
        <v>1946</v>
      </c>
      <c r="B169">
        <v>-2.8</v>
      </c>
      <c r="C169">
        <v>-0.7</v>
      </c>
      <c r="D169">
        <v>2.4</v>
      </c>
      <c r="E169">
        <v>9.8000000000000007</v>
      </c>
      <c r="F169">
        <v>16.100000000000001</v>
      </c>
      <c r="G169">
        <v>17.8</v>
      </c>
      <c r="H169">
        <v>20.5</v>
      </c>
      <c r="I169">
        <v>18.100000000000001</v>
      </c>
      <c r="J169">
        <v>14.2</v>
      </c>
      <c r="K169">
        <v>4.8</v>
      </c>
      <c r="L169">
        <v>0.8</v>
      </c>
      <c r="M169">
        <v>-3.9</v>
      </c>
    </row>
    <row r="170" spans="1:13" x14ac:dyDescent="0.25">
      <c r="A170">
        <v>1947</v>
      </c>
      <c r="B170">
        <v>-7.8</v>
      </c>
      <c r="C170">
        <v>-10.8</v>
      </c>
      <c r="D170">
        <v>0.2</v>
      </c>
      <c r="E170">
        <v>8.9</v>
      </c>
      <c r="F170">
        <v>15.9</v>
      </c>
      <c r="G170">
        <v>19.100000000000001</v>
      </c>
      <c r="H170">
        <v>20.2</v>
      </c>
      <c r="I170">
        <v>16.8</v>
      </c>
      <c r="J170">
        <v>15.9</v>
      </c>
      <c r="K170">
        <v>6.3</v>
      </c>
      <c r="L170">
        <v>4.2</v>
      </c>
      <c r="M170">
        <v>0.9</v>
      </c>
    </row>
    <row r="171" spans="1:13" x14ac:dyDescent="0.25">
      <c r="A171">
        <v>1948</v>
      </c>
      <c r="B171">
        <v>1.1000000000000001</v>
      </c>
      <c r="C171">
        <v>-2.6</v>
      </c>
      <c r="D171">
        <v>2.9</v>
      </c>
      <c r="E171">
        <v>10.5</v>
      </c>
      <c r="F171">
        <v>15.2</v>
      </c>
      <c r="G171">
        <v>16.5</v>
      </c>
      <c r="H171">
        <v>17.899999999999999</v>
      </c>
      <c r="I171">
        <v>17.8</v>
      </c>
      <c r="J171">
        <v>14.9</v>
      </c>
      <c r="K171">
        <v>8.1999999999999993</v>
      </c>
      <c r="L171">
        <v>3</v>
      </c>
      <c r="M171">
        <v>-0.7</v>
      </c>
    </row>
    <row r="172" spans="1:13" x14ac:dyDescent="0.25">
      <c r="A172">
        <v>1949</v>
      </c>
      <c r="B172">
        <v>-0.1</v>
      </c>
      <c r="C172">
        <v>0.1</v>
      </c>
      <c r="D172">
        <v>-0.4</v>
      </c>
      <c r="E172">
        <v>9.6999999999999993</v>
      </c>
      <c r="F172">
        <v>15.8</v>
      </c>
      <c r="G172">
        <v>15.8</v>
      </c>
      <c r="H172">
        <v>18.600000000000001</v>
      </c>
      <c r="I172">
        <v>16.899999999999999</v>
      </c>
      <c r="J172">
        <v>15.3</v>
      </c>
      <c r="K172">
        <v>9</v>
      </c>
      <c r="L172">
        <v>4.4000000000000004</v>
      </c>
      <c r="M172">
        <v>2.5</v>
      </c>
    </row>
    <row r="173" spans="1:13" x14ac:dyDescent="0.25">
      <c r="A173">
        <v>1950</v>
      </c>
      <c r="B173">
        <v>-6.8</v>
      </c>
      <c r="C173">
        <v>1.2</v>
      </c>
      <c r="D173">
        <v>3.1</v>
      </c>
      <c r="E173">
        <v>9.9</v>
      </c>
      <c r="F173">
        <v>16.100000000000001</v>
      </c>
      <c r="G173">
        <v>17.899999999999999</v>
      </c>
      <c r="H173">
        <v>18.5</v>
      </c>
      <c r="I173">
        <v>18.3</v>
      </c>
      <c r="J173">
        <v>13.6</v>
      </c>
      <c r="K173">
        <v>7.5</v>
      </c>
      <c r="L173">
        <v>3.8</v>
      </c>
      <c r="M173">
        <v>0.4</v>
      </c>
    </row>
    <row r="174" spans="1:13" x14ac:dyDescent="0.25">
      <c r="A174">
        <v>1951</v>
      </c>
      <c r="B174">
        <v>-1.8</v>
      </c>
      <c r="C174">
        <v>-0.7</v>
      </c>
      <c r="D174">
        <v>0.6</v>
      </c>
      <c r="E174">
        <v>9.3000000000000007</v>
      </c>
      <c r="F174">
        <v>12.6</v>
      </c>
      <c r="G174">
        <v>18.3</v>
      </c>
      <c r="H174">
        <v>19</v>
      </c>
      <c r="I174">
        <v>20.399999999999999</v>
      </c>
      <c r="J174">
        <v>15.8</v>
      </c>
      <c r="K174">
        <v>6.7</v>
      </c>
      <c r="L174">
        <v>5.7</v>
      </c>
      <c r="M174">
        <v>2.1</v>
      </c>
    </row>
    <row r="175" spans="1:13" x14ac:dyDescent="0.25">
      <c r="A175">
        <v>1952</v>
      </c>
      <c r="B175">
        <v>-0.1</v>
      </c>
      <c r="C175">
        <v>-1.8</v>
      </c>
      <c r="D175">
        <v>-2.9</v>
      </c>
      <c r="E175">
        <v>11</v>
      </c>
      <c r="F175">
        <v>12.1</v>
      </c>
      <c r="G175">
        <v>16.2</v>
      </c>
      <c r="H175">
        <v>19.5</v>
      </c>
      <c r="I175">
        <v>19.2</v>
      </c>
      <c r="J175">
        <v>11.8</v>
      </c>
      <c r="K175">
        <v>7.2</v>
      </c>
      <c r="L175">
        <v>1.8</v>
      </c>
      <c r="M175">
        <v>-1.3</v>
      </c>
    </row>
    <row r="176" spans="1:13" x14ac:dyDescent="0.25">
      <c r="A176">
        <v>1953</v>
      </c>
      <c r="B176">
        <v>-1.8</v>
      </c>
      <c r="C176">
        <v>-2.2000000000000002</v>
      </c>
      <c r="D176">
        <v>2.9</v>
      </c>
      <c r="E176">
        <v>9.3000000000000007</v>
      </c>
      <c r="F176">
        <v>14</v>
      </c>
      <c r="G176">
        <v>18.8</v>
      </c>
      <c r="H176">
        <v>20.6</v>
      </c>
      <c r="I176">
        <v>17.600000000000001</v>
      </c>
      <c r="J176">
        <v>13.7</v>
      </c>
      <c r="K176">
        <v>9.5</v>
      </c>
      <c r="L176">
        <v>2.6</v>
      </c>
      <c r="M176">
        <v>-0.8</v>
      </c>
    </row>
    <row r="177" spans="1:13" x14ac:dyDescent="0.25">
      <c r="A177">
        <v>1954</v>
      </c>
      <c r="B177">
        <v>-7.5</v>
      </c>
      <c r="C177">
        <v>-9.5</v>
      </c>
      <c r="D177">
        <v>2.2999999999999998</v>
      </c>
      <c r="E177">
        <v>5.5</v>
      </c>
      <c r="F177">
        <v>14.6</v>
      </c>
      <c r="G177">
        <v>19.399999999999999</v>
      </c>
      <c r="H177">
        <v>17.399999999999999</v>
      </c>
      <c r="I177">
        <v>18</v>
      </c>
      <c r="J177">
        <v>14.8</v>
      </c>
      <c r="K177">
        <v>8.6999999999999993</v>
      </c>
      <c r="L177">
        <v>2.4</v>
      </c>
      <c r="M177">
        <v>2.6</v>
      </c>
    </row>
    <row r="178" spans="1:13" x14ac:dyDescent="0.25">
      <c r="A178">
        <v>1955</v>
      </c>
      <c r="B178">
        <v>-3</v>
      </c>
      <c r="C178">
        <v>-2.2999999999999998</v>
      </c>
      <c r="D178">
        <v>-0.6</v>
      </c>
      <c r="E178">
        <v>4.9000000000000004</v>
      </c>
      <c r="F178">
        <v>11.8</v>
      </c>
      <c r="G178">
        <v>16.3</v>
      </c>
      <c r="H178">
        <v>19.5</v>
      </c>
      <c r="I178">
        <v>19.600000000000001</v>
      </c>
      <c r="J178">
        <v>15.1</v>
      </c>
      <c r="K178">
        <v>8.6</v>
      </c>
      <c r="L178">
        <v>3.4</v>
      </c>
      <c r="M178">
        <v>0.6</v>
      </c>
    </row>
    <row r="179" spans="1:13" x14ac:dyDescent="0.25">
      <c r="A179">
        <v>1956</v>
      </c>
      <c r="B179">
        <v>-1.4</v>
      </c>
      <c r="C179">
        <v>-11.7</v>
      </c>
      <c r="D179">
        <v>-1.3</v>
      </c>
      <c r="E179">
        <v>6</v>
      </c>
      <c r="F179">
        <v>13.3</v>
      </c>
      <c r="G179">
        <v>17.899999999999999</v>
      </c>
      <c r="H179">
        <v>17.600000000000001</v>
      </c>
      <c r="I179">
        <v>15.8</v>
      </c>
      <c r="J179">
        <v>12.7</v>
      </c>
      <c r="K179">
        <v>8.4</v>
      </c>
      <c r="L179">
        <v>-0.6</v>
      </c>
      <c r="M179">
        <v>-0.3</v>
      </c>
    </row>
    <row r="180" spans="1:13" x14ac:dyDescent="0.25">
      <c r="A180">
        <v>1957</v>
      </c>
      <c r="B180">
        <v>-1.1000000000000001</v>
      </c>
      <c r="C180">
        <v>2.7</v>
      </c>
      <c r="D180">
        <v>2.7</v>
      </c>
      <c r="E180">
        <v>9.1</v>
      </c>
      <c r="F180">
        <v>11.1</v>
      </c>
      <c r="G180">
        <v>18.3</v>
      </c>
      <c r="H180">
        <v>19.2</v>
      </c>
      <c r="I180">
        <v>16.5</v>
      </c>
      <c r="J180">
        <v>11.9</v>
      </c>
      <c r="K180">
        <v>9</v>
      </c>
      <c r="L180">
        <v>4.3</v>
      </c>
      <c r="M180">
        <v>-1.3</v>
      </c>
    </row>
    <row r="181" spans="1:13" x14ac:dyDescent="0.25">
      <c r="A181">
        <v>1958</v>
      </c>
      <c r="B181">
        <v>-2.4</v>
      </c>
      <c r="C181">
        <v>0</v>
      </c>
      <c r="D181">
        <v>-2.5</v>
      </c>
      <c r="E181">
        <v>4.5999999999999996</v>
      </c>
      <c r="F181">
        <v>15.5</v>
      </c>
      <c r="G181">
        <v>16</v>
      </c>
      <c r="H181">
        <v>19.3</v>
      </c>
      <c r="I181">
        <v>17.8</v>
      </c>
      <c r="J181">
        <v>13.5</v>
      </c>
      <c r="K181">
        <v>9.9</v>
      </c>
      <c r="L181">
        <v>3.8</v>
      </c>
      <c r="M181">
        <v>1.3</v>
      </c>
    </row>
    <row r="182" spans="1:13" x14ac:dyDescent="0.25">
      <c r="A182">
        <v>1959</v>
      </c>
      <c r="B182">
        <v>-0.6</v>
      </c>
      <c r="C182">
        <v>-1.5</v>
      </c>
      <c r="D182">
        <v>4.5999999999999996</v>
      </c>
      <c r="E182">
        <v>8.9</v>
      </c>
      <c r="F182">
        <v>13.8</v>
      </c>
      <c r="G182">
        <v>17.3</v>
      </c>
      <c r="H182">
        <v>21.5</v>
      </c>
      <c r="I182">
        <v>19.3</v>
      </c>
      <c r="J182">
        <v>12.7</v>
      </c>
      <c r="K182">
        <v>8.1</v>
      </c>
      <c r="L182">
        <v>2.2999999999999998</v>
      </c>
      <c r="M182">
        <v>-1.4</v>
      </c>
    </row>
    <row r="183" spans="1:13" x14ac:dyDescent="0.25">
      <c r="A183">
        <v>1960</v>
      </c>
      <c r="B183">
        <v>-2.8</v>
      </c>
      <c r="C183">
        <v>-3.1</v>
      </c>
      <c r="D183">
        <v>1.8</v>
      </c>
      <c r="E183">
        <v>7.3</v>
      </c>
      <c r="F183">
        <v>13.6</v>
      </c>
      <c r="G183">
        <v>17.8</v>
      </c>
      <c r="H183">
        <v>17.3</v>
      </c>
      <c r="I183">
        <v>17</v>
      </c>
      <c r="J183">
        <v>12.3</v>
      </c>
      <c r="K183">
        <v>8.9</v>
      </c>
      <c r="L183">
        <v>5.2</v>
      </c>
      <c r="M183">
        <v>2.9</v>
      </c>
    </row>
    <row r="184" spans="1:13" x14ac:dyDescent="0.25">
      <c r="A184">
        <v>1961</v>
      </c>
      <c r="B184">
        <v>-2.8</v>
      </c>
      <c r="C184">
        <v>1.7</v>
      </c>
      <c r="D184">
        <v>5.5</v>
      </c>
      <c r="E184">
        <v>10.5</v>
      </c>
      <c r="F184">
        <v>12.6</v>
      </c>
      <c r="G184">
        <v>18.600000000000001</v>
      </c>
      <c r="H184">
        <v>16.8</v>
      </c>
      <c r="I184">
        <v>16.8</v>
      </c>
      <c r="J184">
        <v>14.8</v>
      </c>
      <c r="K184">
        <v>10.7</v>
      </c>
      <c r="L184">
        <v>3.8</v>
      </c>
      <c r="M184">
        <v>-3.1</v>
      </c>
    </row>
    <row r="185" spans="1:13" x14ac:dyDescent="0.25">
      <c r="A185">
        <v>1962</v>
      </c>
      <c r="B185">
        <v>0</v>
      </c>
      <c r="C185">
        <v>-2.1</v>
      </c>
      <c r="D185">
        <v>-1.4</v>
      </c>
      <c r="E185">
        <v>11.2</v>
      </c>
      <c r="F185">
        <v>11.5</v>
      </c>
      <c r="G185">
        <v>15.3</v>
      </c>
      <c r="H185">
        <v>16.8</v>
      </c>
      <c r="I185">
        <v>17.100000000000001</v>
      </c>
      <c r="J185">
        <v>12.7</v>
      </c>
      <c r="K185">
        <v>8.5</v>
      </c>
      <c r="L185">
        <v>4.2</v>
      </c>
      <c r="M185">
        <v>-4.2</v>
      </c>
    </row>
    <row r="186" spans="1:13" x14ac:dyDescent="0.25">
      <c r="A186">
        <v>1963</v>
      </c>
      <c r="B186">
        <v>-11.6</v>
      </c>
      <c r="C186">
        <v>-7.2</v>
      </c>
      <c r="D186">
        <v>-1.2</v>
      </c>
      <c r="E186">
        <v>8.8000000000000007</v>
      </c>
      <c r="F186">
        <v>16.3</v>
      </c>
      <c r="G186">
        <v>17.3</v>
      </c>
      <c r="H186">
        <v>21.1</v>
      </c>
      <c r="I186">
        <v>19.8</v>
      </c>
      <c r="J186">
        <v>15.4</v>
      </c>
      <c r="K186">
        <v>8.6999999999999993</v>
      </c>
      <c r="L186">
        <v>6.6</v>
      </c>
      <c r="M186">
        <v>-4.5</v>
      </c>
    </row>
    <row r="187" spans="1:13" x14ac:dyDescent="0.25">
      <c r="A187">
        <v>1964</v>
      </c>
      <c r="B187">
        <v>-2.9</v>
      </c>
      <c r="C187">
        <v>-3.9</v>
      </c>
      <c r="D187">
        <v>-2.4</v>
      </c>
      <c r="E187">
        <v>8.8000000000000007</v>
      </c>
      <c r="F187">
        <v>14.1</v>
      </c>
      <c r="G187">
        <v>20.399999999999999</v>
      </c>
      <c r="H187">
        <v>19.3</v>
      </c>
      <c r="I187">
        <v>16.8</v>
      </c>
      <c r="J187">
        <v>14.1</v>
      </c>
      <c r="K187">
        <v>8.1999999999999993</v>
      </c>
      <c r="L187">
        <v>3.9</v>
      </c>
      <c r="M187">
        <v>0</v>
      </c>
    </row>
    <row r="188" spans="1:13" x14ac:dyDescent="0.25">
      <c r="A188">
        <v>1965</v>
      </c>
      <c r="B188">
        <v>-0.8</v>
      </c>
      <c r="C188">
        <v>-4.8</v>
      </c>
      <c r="D188">
        <v>1.3</v>
      </c>
      <c r="E188">
        <v>6.8</v>
      </c>
      <c r="F188">
        <v>10.8</v>
      </c>
      <c r="G188">
        <v>16.7</v>
      </c>
      <c r="H188">
        <v>17.100000000000001</v>
      </c>
      <c r="I188">
        <v>16.3</v>
      </c>
      <c r="J188">
        <v>15.2</v>
      </c>
      <c r="K188">
        <v>8.1999999999999993</v>
      </c>
      <c r="L188">
        <v>-0.6</v>
      </c>
      <c r="M188">
        <v>0.7</v>
      </c>
    </row>
    <row r="189" spans="1:13" x14ac:dyDescent="0.25">
      <c r="A189">
        <v>1966</v>
      </c>
      <c r="B189">
        <v>-4.5</v>
      </c>
      <c r="C189">
        <v>-0.3</v>
      </c>
      <c r="D189">
        <v>2.9</v>
      </c>
      <c r="E189">
        <v>9</v>
      </c>
      <c r="F189">
        <v>14.1</v>
      </c>
      <c r="G189">
        <v>18</v>
      </c>
      <c r="H189">
        <v>19.2</v>
      </c>
      <c r="I189">
        <v>17.5</v>
      </c>
      <c r="J189">
        <v>12.8</v>
      </c>
      <c r="K189">
        <v>11.1</v>
      </c>
      <c r="L189">
        <v>2.8</v>
      </c>
      <c r="M189">
        <v>0</v>
      </c>
    </row>
    <row r="190" spans="1:13" x14ac:dyDescent="0.25">
      <c r="A190">
        <v>1967</v>
      </c>
      <c r="B190">
        <v>-4.8</v>
      </c>
      <c r="C190">
        <v>0.7</v>
      </c>
      <c r="D190">
        <v>5.3</v>
      </c>
      <c r="E190">
        <v>8.1</v>
      </c>
      <c r="F190">
        <v>14.8</v>
      </c>
      <c r="G190">
        <v>17.2</v>
      </c>
      <c r="H190">
        <v>20.100000000000001</v>
      </c>
      <c r="I190">
        <v>18</v>
      </c>
      <c r="J190">
        <v>16.600000000000001</v>
      </c>
      <c r="K190">
        <v>11.7</v>
      </c>
      <c r="L190">
        <v>4.0999999999999996</v>
      </c>
      <c r="M190">
        <v>-1</v>
      </c>
    </row>
    <row r="191" spans="1:13" x14ac:dyDescent="0.25">
      <c r="A191">
        <v>1968</v>
      </c>
      <c r="B191">
        <v>-3.3</v>
      </c>
      <c r="C191">
        <v>-0.4</v>
      </c>
      <c r="D191">
        <v>3.6</v>
      </c>
      <c r="E191">
        <v>10.199999999999999</v>
      </c>
      <c r="F191">
        <v>12.2</v>
      </c>
      <c r="G191">
        <v>18.7</v>
      </c>
      <c r="H191">
        <v>17.399999999999999</v>
      </c>
      <c r="I191">
        <v>18.399999999999999</v>
      </c>
      <c r="J191">
        <v>13.8</v>
      </c>
      <c r="K191">
        <v>8.6999999999999993</v>
      </c>
      <c r="L191">
        <v>3.8</v>
      </c>
      <c r="M191">
        <v>-3.5</v>
      </c>
    </row>
    <row r="192" spans="1:13" x14ac:dyDescent="0.25">
      <c r="A192">
        <v>1969</v>
      </c>
      <c r="B192">
        <v>-6</v>
      </c>
      <c r="C192">
        <v>-4.2</v>
      </c>
      <c r="D192">
        <v>-1.7</v>
      </c>
      <c r="E192">
        <v>7.2</v>
      </c>
      <c r="F192">
        <v>15.5</v>
      </c>
      <c r="G192">
        <v>17.7</v>
      </c>
      <c r="H192">
        <v>19.600000000000001</v>
      </c>
      <c r="I192">
        <v>17.399999999999999</v>
      </c>
      <c r="J192">
        <v>14</v>
      </c>
      <c r="K192">
        <v>8.9</v>
      </c>
      <c r="L192">
        <v>5.7</v>
      </c>
      <c r="M192">
        <v>-8.1</v>
      </c>
    </row>
    <row r="193" spans="1:13" x14ac:dyDescent="0.25">
      <c r="A193">
        <v>1970</v>
      </c>
      <c r="B193">
        <v>-5.7</v>
      </c>
      <c r="C193">
        <v>-4.9000000000000004</v>
      </c>
      <c r="D193">
        <v>0.7</v>
      </c>
      <c r="E193">
        <v>7.4</v>
      </c>
      <c r="F193">
        <v>13.3</v>
      </c>
      <c r="G193">
        <v>17.600000000000001</v>
      </c>
      <c r="H193">
        <v>17.600000000000001</v>
      </c>
      <c r="I193">
        <v>17.7</v>
      </c>
      <c r="J193">
        <v>12.8</v>
      </c>
      <c r="K193">
        <v>8</v>
      </c>
      <c r="L193">
        <v>4.9000000000000004</v>
      </c>
      <c r="M193">
        <v>0.9</v>
      </c>
    </row>
    <row r="194" spans="1:13" x14ac:dyDescent="0.25">
      <c r="A194">
        <v>1971</v>
      </c>
      <c r="B194">
        <v>-3.2</v>
      </c>
      <c r="C194">
        <v>0.2</v>
      </c>
      <c r="D194">
        <v>0.3</v>
      </c>
      <c r="E194">
        <v>8.1</v>
      </c>
      <c r="F194">
        <v>17.2</v>
      </c>
      <c r="G194">
        <v>16.3</v>
      </c>
      <c r="H194">
        <v>19.2</v>
      </c>
      <c r="I194">
        <v>19.7</v>
      </c>
      <c r="J194">
        <v>11.3</v>
      </c>
      <c r="K194">
        <v>8.6999999999999993</v>
      </c>
      <c r="L194">
        <v>2.5</v>
      </c>
      <c r="M194">
        <v>3.2</v>
      </c>
    </row>
    <row r="195" spans="1:13" x14ac:dyDescent="0.25">
      <c r="A195">
        <v>1972</v>
      </c>
      <c r="B195">
        <v>-7.2</v>
      </c>
      <c r="C195">
        <v>-0.6</v>
      </c>
      <c r="D195">
        <v>4</v>
      </c>
      <c r="E195">
        <v>8.3000000000000007</v>
      </c>
      <c r="F195">
        <v>14.2</v>
      </c>
      <c r="G195">
        <v>17.7</v>
      </c>
      <c r="H195">
        <v>20.9</v>
      </c>
      <c r="I195">
        <v>17.3</v>
      </c>
      <c r="J195">
        <v>12.2</v>
      </c>
      <c r="K195">
        <v>6.6</v>
      </c>
      <c r="L195">
        <v>4.5</v>
      </c>
      <c r="M195">
        <v>0.1</v>
      </c>
    </row>
    <row r="196" spans="1:13" x14ac:dyDescent="0.25">
      <c r="A196">
        <v>1973</v>
      </c>
      <c r="B196">
        <v>-2.4</v>
      </c>
      <c r="C196">
        <v>1.6</v>
      </c>
      <c r="D196">
        <v>4.4000000000000004</v>
      </c>
      <c r="E196">
        <v>7.6</v>
      </c>
      <c r="F196">
        <v>13.5</v>
      </c>
      <c r="G196">
        <v>17</v>
      </c>
      <c r="H196">
        <v>18.7</v>
      </c>
      <c r="I196">
        <v>18.7</v>
      </c>
      <c r="J196">
        <v>13.4</v>
      </c>
      <c r="K196">
        <v>6.7</v>
      </c>
      <c r="L196">
        <v>1.9</v>
      </c>
      <c r="M196">
        <v>-0.6</v>
      </c>
    </row>
    <row r="197" spans="1:13" x14ac:dyDescent="0.25">
      <c r="A197">
        <v>1974</v>
      </c>
      <c r="B197">
        <v>-1</v>
      </c>
      <c r="C197">
        <v>2.2999999999999998</v>
      </c>
      <c r="D197">
        <v>4.8</v>
      </c>
      <c r="E197">
        <v>7.8</v>
      </c>
      <c r="F197">
        <v>11.6</v>
      </c>
      <c r="G197">
        <v>15.1</v>
      </c>
      <c r="H197">
        <v>16.3</v>
      </c>
      <c r="I197">
        <v>18.399999999999999</v>
      </c>
      <c r="J197">
        <v>13.9</v>
      </c>
      <c r="K197">
        <v>6.6</v>
      </c>
      <c r="L197">
        <v>3.7</v>
      </c>
      <c r="M197">
        <v>2.6</v>
      </c>
    </row>
    <row r="198" spans="1:13" x14ac:dyDescent="0.25">
      <c r="A198">
        <v>1975</v>
      </c>
      <c r="B198">
        <v>2.7</v>
      </c>
      <c r="C198">
        <v>-0.2</v>
      </c>
      <c r="D198">
        <v>4.8</v>
      </c>
      <c r="E198">
        <v>7.4</v>
      </c>
      <c r="F198">
        <v>15.4</v>
      </c>
      <c r="G198">
        <v>17</v>
      </c>
      <c r="H198">
        <v>20.2</v>
      </c>
      <c r="I198">
        <v>19.3</v>
      </c>
      <c r="J198">
        <v>16.100000000000001</v>
      </c>
      <c r="K198">
        <v>8.1999999999999993</v>
      </c>
      <c r="L198">
        <v>1.7</v>
      </c>
      <c r="M198">
        <v>1.2</v>
      </c>
    </row>
    <row r="199" spans="1:13" x14ac:dyDescent="0.25">
      <c r="A199">
        <v>1976</v>
      </c>
      <c r="B199">
        <v>-2.2999999999999998</v>
      </c>
      <c r="C199">
        <v>-4</v>
      </c>
      <c r="D199">
        <v>-0.6</v>
      </c>
      <c r="E199">
        <v>8.4</v>
      </c>
      <c r="F199">
        <v>13.1</v>
      </c>
      <c r="G199">
        <v>16.100000000000001</v>
      </c>
      <c r="H199">
        <v>19.600000000000001</v>
      </c>
      <c r="I199">
        <v>16.600000000000001</v>
      </c>
      <c r="J199">
        <v>13.4</v>
      </c>
      <c r="K199">
        <v>6.8</v>
      </c>
      <c r="L199">
        <v>4.5999999999999996</v>
      </c>
      <c r="M199">
        <v>-1</v>
      </c>
    </row>
    <row r="200" spans="1:13" x14ac:dyDescent="0.25">
      <c r="A200">
        <v>1977</v>
      </c>
      <c r="B200">
        <v>-1.7</v>
      </c>
      <c r="C200">
        <v>0.4</v>
      </c>
      <c r="D200">
        <v>5.7</v>
      </c>
      <c r="E200">
        <v>6.8</v>
      </c>
      <c r="F200">
        <v>13.3</v>
      </c>
      <c r="G200">
        <v>17.8</v>
      </c>
      <c r="H200">
        <v>16.899999999999999</v>
      </c>
      <c r="I200">
        <v>16</v>
      </c>
      <c r="J200">
        <v>11.2</v>
      </c>
      <c r="K200">
        <v>9.3000000000000007</v>
      </c>
      <c r="L200">
        <v>5.4</v>
      </c>
      <c r="M200">
        <v>-0.6</v>
      </c>
    </row>
    <row r="201" spans="1:13" x14ac:dyDescent="0.25">
      <c r="A201">
        <v>1978</v>
      </c>
      <c r="B201">
        <v>-1.2</v>
      </c>
      <c r="C201">
        <v>-2.9</v>
      </c>
      <c r="D201">
        <v>3.3</v>
      </c>
      <c r="E201">
        <v>6.8</v>
      </c>
      <c r="F201">
        <v>12.6</v>
      </c>
      <c r="G201">
        <v>16</v>
      </c>
      <c r="H201">
        <v>17.100000000000001</v>
      </c>
      <c r="I201">
        <v>16.3</v>
      </c>
      <c r="J201">
        <v>11.3</v>
      </c>
      <c r="K201">
        <v>8.6999999999999993</v>
      </c>
      <c r="L201">
        <v>5.4</v>
      </c>
      <c r="M201">
        <v>-4</v>
      </c>
    </row>
    <row r="202" spans="1:13" x14ac:dyDescent="0.25">
      <c r="A202">
        <v>1979</v>
      </c>
      <c r="B202">
        <v>-5.7</v>
      </c>
      <c r="C202">
        <v>-5.3</v>
      </c>
      <c r="D202">
        <v>1.9</v>
      </c>
      <c r="E202">
        <v>7.1</v>
      </c>
      <c r="F202">
        <v>15.5</v>
      </c>
      <c r="G202">
        <v>20.5</v>
      </c>
      <c r="H202">
        <v>15.6</v>
      </c>
      <c r="I202">
        <v>17</v>
      </c>
      <c r="J202">
        <v>14.2</v>
      </c>
      <c r="K202">
        <v>6.1</v>
      </c>
      <c r="L202">
        <v>3</v>
      </c>
      <c r="M202">
        <v>1.7</v>
      </c>
    </row>
    <row r="203" spans="1:13" x14ac:dyDescent="0.25">
      <c r="A203">
        <v>1980</v>
      </c>
      <c r="B203">
        <v>-5.6</v>
      </c>
      <c r="C203">
        <v>-1.5</v>
      </c>
      <c r="D203">
        <v>-0.5</v>
      </c>
      <c r="E203">
        <v>7.3</v>
      </c>
      <c r="F203">
        <v>10.4</v>
      </c>
      <c r="G203">
        <v>16.100000000000001</v>
      </c>
      <c r="H203">
        <v>16.899999999999999</v>
      </c>
      <c r="I203">
        <v>16.8</v>
      </c>
      <c r="J203">
        <v>12.9</v>
      </c>
      <c r="K203">
        <v>8.4</v>
      </c>
      <c r="L203">
        <v>2</v>
      </c>
      <c r="M203">
        <v>-0.5</v>
      </c>
    </row>
    <row r="204" spans="1:13" x14ac:dyDescent="0.25">
      <c r="A204">
        <v>1981</v>
      </c>
      <c r="B204">
        <v>-2.8</v>
      </c>
      <c r="C204">
        <v>-0.8</v>
      </c>
      <c r="D204">
        <v>4</v>
      </c>
      <c r="E204">
        <v>6.5</v>
      </c>
      <c r="F204">
        <v>14.4</v>
      </c>
      <c r="G204">
        <v>17.3</v>
      </c>
      <c r="H204">
        <v>18.3</v>
      </c>
      <c r="I204">
        <v>16.8</v>
      </c>
      <c r="J204">
        <v>14.2</v>
      </c>
      <c r="K204">
        <v>8.8000000000000007</v>
      </c>
      <c r="L204">
        <v>3.5</v>
      </c>
      <c r="M204">
        <v>-3.3</v>
      </c>
    </row>
    <row r="205" spans="1:13" x14ac:dyDescent="0.25">
      <c r="A205">
        <v>1982</v>
      </c>
      <c r="B205">
        <v>-3.3</v>
      </c>
      <c r="C205">
        <v>-1.8</v>
      </c>
      <c r="D205">
        <v>3.9</v>
      </c>
      <c r="E205">
        <v>6.2</v>
      </c>
      <c r="F205">
        <v>14.9</v>
      </c>
      <c r="G205">
        <v>16.3</v>
      </c>
      <c r="H205">
        <v>19.600000000000001</v>
      </c>
      <c r="I205">
        <v>19.600000000000001</v>
      </c>
      <c r="J205">
        <v>15.6</v>
      </c>
      <c r="K205">
        <v>9</v>
      </c>
      <c r="L205">
        <v>5.0999999999999996</v>
      </c>
      <c r="M205">
        <v>1.5</v>
      </c>
    </row>
    <row r="206" spans="1:13" x14ac:dyDescent="0.25">
      <c r="A206">
        <v>1983</v>
      </c>
      <c r="B206">
        <v>3.4</v>
      </c>
      <c r="C206">
        <v>-1.9</v>
      </c>
      <c r="D206">
        <v>4.4000000000000004</v>
      </c>
      <c r="E206">
        <v>10.3</v>
      </c>
      <c r="F206">
        <v>16.100000000000001</v>
      </c>
      <c r="G206">
        <v>17.600000000000001</v>
      </c>
      <c r="H206">
        <v>19.899999999999999</v>
      </c>
      <c r="I206">
        <v>19</v>
      </c>
      <c r="J206">
        <v>15</v>
      </c>
      <c r="K206">
        <v>9.1999999999999993</v>
      </c>
      <c r="L206">
        <v>2.7</v>
      </c>
      <c r="M206">
        <v>-0.3</v>
      </c>
    </row>
    <row r="207" spans="1:13" x14ac:dyDescent="0.25">
      <c r="A207">
        <v>1984</v>
      </c>
      <c r="B207">
        <v>0.4</v>
      </c>
      <c r="C207">
        <v>-1.6</v>
      </c>
      <c r="D207">
        <v>1.3</v>
      </c>
      <c r="E207">
        <v>9.6</v>
      </c>
      <c r="F207">
        <v>14</v>
      </c>
      <c r="G207">
        <v>15</v>
      </c>
      <c r="H207">
        <v>16.100000000000001</v>
      </c>
      <c r="I207">
        <v>18.5</v>
      </c>
      <c r="J207">
        <v>13.3</v>
      </c>
      <c r="K207">
        <v>10.5</v>
      </c>
      <c r="L207">
        <v>2.4</v>
      </c>
      <c r="M207">
        <v>-1</v>
      </c>
    </row>
    <row r="208" spans="1:13" x14ac:dyDescent="0.25">
      <c r="A208">
        <v>1985</v>
      </c>
      <c r="B208">
        <v>-7.8</v>
      </c>
      <c r="C208">
        <v>-8.5</v>
      </c>
      <c r="D208">
        <v>2.1</v>
      </c>
      <c r="E208">
        <v>9</v>
      </c>
      <c r="F208">
        <v>15.6</v>
      </c>
      <c r="G208">
        <v>15.3</v>
      </c>
      <c r="H208">
        <v>18</v>
      </c>
      <c r="I208">
        <v>18.399999999999999</v>
      </c>
      <c r="J208">
        <v>12.7</v>
      </c>
      <c r="K208">
        <v>8.6</v>
      </c>
      <c r="L208">
        <v>1.1000000000000001</v>
      </c>
      <c r="M208">
        <v>1.9</v>
      </c>
    </row>
    <row r="209" spans="1:13" x14ac:dyDescent="0.25">
      <c r="A209">
        <v>1986</v>
      </c>
      <c r="B209">
        <v>-1.2</v>
      </c>
      <c r="C209">
        <v>-9</v>
      </c>
      <c r="D209">
        <v>2.2999999999999998</v>
      </c>
      <c r="E209">
        <v>9.1999999999999993</v>
      </c>
      <c r="F209">
        <v>15.3</v>
      </c>
      <c r="G209">
        <v>17.3</v>
      </c>
      <c r="H209">
        <v>18.600000000000001</v>
      </c>
      <c r="I209">
        <v>17.7</v>
      </c>
      <c r="J209">
        <v>11.4</v>
      </c>
      <c r="K209">
        <v>8.5</v>
      </c>
      <c r="L209">
        <v>5.5</v>
      </c>
      <c r="M209">
        <v>0.1</v>
      </c>
    </row>
    <row r="210" spans="1:13" x14ac:dyDescent="0.25">
      <c r="A210">
        <v>1987</v>
      </c>
      <c r="B210">
        <v>-12</v>
      </c>
      <c r="C210">
        <v>-0.7</v>
      </c>
      <c r="D210">
        <v>-2</v>
      </c>
      <c r="E210">
        <v>7.6</v>
      </c>
      <c r="F210">
        <v>12.8</v>
      </c>
      <c r="G210">
        <v>16.2</v>
      </c>
      <c r="H210">
        <v>18.600000000000001</v>
      </c>
      <c r="I210">
        <v>15.6</v>
      </c>
      <c r="J210">
        <v>13.1</v>
      </c>
      <c r="K210">
        <v>8.5</v>
      </c>
      <c r="L210">
        <v>4.0999999999999996</v>
      </c>
      <c r="M210">
        <v>0.9</v>
      </c>
    </row>
    <row r="211" spans="1:13" x14ac:dyDescent="0.25">
      <c r="A211">
        <v>1988</v>
      </c>
      <c r="B211">
        <v>0.7</v>
      </c>
      <c r="C211">
        <v>0.6</v>
      </c>
      <c r="D211">
        <v>1.2</v>
      </c>
      <c r="E211">
        <v>7.7</v>
      </c>
      <c r="F211">
        <v>15.5</v>
      </c>
      <c r="G211">
        <v>17.100000000000001</v>
      </c>
      <c r="H211">
        <v>19.899999999999999</v>
      </c>
      <c r="I211">
        <v>17.7</v>
      </c>
      <c r="J211">
        <v>13.7</v>
      </c>
      <c r="K211">
        <v>7.8</v>
      </c>
      <c r="L211">
        <v>0.3</v>
      </c>
      <c r="M211">
        <v>0.9</v>
      </c>
    </row>
    <row r="212" spans="1:13" x14ac:dyDescent="0.25">
      <c r="A212">
        <v>1989</v>
      </c>
      <c r="B212">
        <v>2.2000000000000002</v>
      </c>
      <c r="C212">
        <v>4.0999999999999996</v>
      </c>
      <c r="D212">
        <v>5.8</v>
      </c>
      <c r="E212">
        <v>9.3000000000000007</v>
      </c>
      <c r="F212">
        <v>14.9</v>
      </c>
      <c r="G212">
        <v>16.3</v>
      </c>
      <c r="H212">
        <v>19</v>
      </c>
      <c r="I212">
        <v>18.399999999999999</v>
      </c>
      <c r="J212">
        <v>14.7</v>
      </c>
      <c r="K212">
        <v>10.5</v>
      </c>
      <c r="L212">
        <v>1.5</v>
      </c>
      <c r="M212">
        <v>1.1000000000000001</v>
      </c>
    </row>
    <row r="213" spans="1:13" x14ac:dyDescent="0.25">
      <c r="A213">
        <v>1990</v>
      </c>
      <c r="B213">
        <v>1.9</v>
      </c>
      <c r="C213">
        <v>5.0999999999999996</v>
      </c>
      <c r="D213">
        <v>6.7</v>
      </c>
      <c r="E213">
        <v>9.3000000000000007</v>
      </c>
      <c r="F213">
        <v>14.6</v>
      </c>
      <c r="G213">
        <v>17.5</v>
      </c>
      <c r="H213">
        <v>17.5</v>
      </c>
      <c r="I213">
        <v>18</v>
      </c>
      <c r="J213">
        <v>11.5</v>
      </c>
      <c r="K213">
        <v>9.5</v>
      </c>
      <c r="L213">
        <v>4.9000000000000004</v>
      </c>
      <c r="M213">
        <v>0.1</v>
      </c>
    </row>
    <row r="214" spans="1:13" x14ac:dyDescent="0.25">
      <c r="A214">
        <v>1991</v>
      </c>
      <c r="B214">
        <v>0.3</v>
      </c>
      <c r="C214">
        <v>-3.5</v>
      </c>
      <c r="D214">
        <v>4.2</v>
      </c>
      <c r="E214">
        <v>8.3000000000000007</v>
      </c>
      <c r="F214">
        <v>11.5</v>
      </c>
      <c r="G214">
        <v>16.399999999999999</v>
      </c>
      <c r="H214">
        <v>19.899999999999999</v>
      </c>
      <c r="I214">
        <v>18.899999999999999</v>
      </c>
      <c r="J214">
        <v>15.2</v>
      </c>
      <c r="K214">
        <v>8.1999999999999993</v>
      </c>
      <c r="L214">
        <v>4.4000000000000004</v>
      </c>
      <c r="M214">
        <v>-0.8</v>
      </c>
    </row>
    <row r="215" spans="1:13" x14ac:dyDescent="0.25">
      <c r="A215">
        <v>1992</v>
      </c>
      <c r="B215">
        <v>-0.5</v>
      </c>
      <c r="C215">
        <v>1.5</v>
      </c>
      <c r="D215">
        <v>3.8</v>
      </c>
      <c r="E215">
        <v>8</v>
      </c>
      <c r="F215">
        <v>14.4</v>
      </c>
      <c r="G215">
        <v>19</v>
      </c>
      <c r="H215">
        <v>20.8</v>
      </c>
      <c r="I215">
        <v>22</v>
      </c>
      <c r="J215">
        <v>13</v>
      </c>
      <c r="K215">
        <v>6.2</v>
      </c>
      <c r="L215">
        <v>4.0999999999999996</v>
      </c>
      <c r="M215">
        <v>0</v>
      </c>
    </row>
    <row r="216" spans="1:13" x14ac:dyDescent="0.25">
      <c r="A216">
        <v>1993</v>
      </c>
      <c r="B216">
        <v>0.6</v>
      </c>
      <c r="C216">
        <v>-0.9</v>
      </c>
      <c r="D216">
        <v>1.5</v>
      </c>
      <c r="E216">
        <v>9.5</v>
      </c>
      <c r="F216">
        <v>16.899999999999999</v>
      </c>
      <c r="G216">
        <v>16.399999999999999</v>
      </c>
      <c r="H216">
        <v>17.600000000000001</v>
      </c>
      <c r="I216">
        <v>17.399999999999999</v>
      </c>
      <c r="J216">
        <v>12.4</v>
      </c>
      <c r="K216">
        <v>8.3000000000000007</v>
      </c>
      <c r="L216">
        <v>-2.2999999999999998</v>
      </c>
      <c r="M216">
        <v>2.2000000000000002</v>
      </c>
    </row>
    <row r="217" spans="1:13" x14ac:dyDescent="0.25">
      <c r="A217">
        <v>1994</v>
      </c>
      <c r="B217">
        <v>2.2999999999999998</v>
      </c>
      <c r="C217">
        <v>-2.4</v>
      </c>
      <c r="D217">
        <v>4</v>
      </c>
      <c r="E217">
        <v>9.6</v>
      </c>
      <c r="F217">
        <v>13.1</v>
      </c>
      <c r="G217">
        <v>16.8</v>
      </c>
      <c r="H217">
        <v>22.3</v>
      </c>
      <c r="I217">
        <v>18.899999999999999</v>
      </c>
      <c r="J217">
        <v>15.1</v>
      </c>
      <c r="K217">
        <v>7.1</v>
      </c>
      <c r="L217">
        <v>3.9</v>
      </c>
      <c r="M217">
        <v>0.9</v>
      </c>
    </row>
    <row r="218" spans="1:13" x14ac:dyDescent="0.25">
      <c r="A218">
        <v>1995</v>
      </c>
      <c r="B218">
        <v>-1.3</v>
      </c>
      <c r="C218">
        <v>3.5</v>
      </c>
      <c r="D218">
        <v>3.3</v>
      </c>
      <c r="E218">
        <v>8.3000000000000007</v>
      </c>
      <c r="F218">
        <v>13.2</v>
      </c>
      <c r="G218">
        <v>17.899999999999999</v>
      </c>
      <c r="H218">
        <v>20.9</v>
      </c>
      <c r="I218">
        <v>19.2</v>
      </c>
      <c r="J218">
        <v>13.5</v>
      </c>
      <c r="K218">
        <v>10.5</v>
      </c>
      <c r="L218">
        <v>0.3</v>
      </c>
      <c r="M218">
        <v>-4.8</v>
      </c>
    </row>
    <row r="219" spans="1:13" x14ac:dyDescent="0.25">
      <c r="A219">
        <v>1996</v>
      </c>
      <c r="B219">
        <v>-5.7</v>
      </c>
      <c r="C219">
        <v>-5.3</v>
      </c>
      <c r="D219">
        <v>-1.1000000000000001</v>
      </c>
      <c r="E219">
        <v>8.8000000000000007</v>
      </c>
      <c r="F219">
        <v>16.2</v>
      </c>
      <c r="G219">
        <v>18.100000000000001</v>
      </c>
      <c r="H219">
        <v>17.5</v>
      </c>
      <c r="I219">
        <v>19.2</v>
      </c>
      <c r="J219">
        <v>11.1</v>
      </c>
      <c r="K219">
        <v>9.8000000000000007</v>
      </c>
      <c r="L219">
        <v>6.5</v>
      </c>
      <c r="M219">
        <v>-4.5999999999999996</v>
      </c>
    </row>
    <row r="220" spans="1:13" x14ac:dyDescent="0.25">
      <c r="A220">
        <v>1997</v>
      </c>
      <c r="B220">
        <v>-3.7</v>
      </c>
      <c r="C220">
        <v>2.5</v>
      </c>
      <c r="D220">
        <v>3.6</v>
      </c>
      <c r="E220">
        <v>6</v>
      </c>
      <c r="F220">
        <v>14.7</v>
      </c>
      <c r="G220">
        <v>17.7</v>
      </c>
      <c r="H220">
        <v>18.5</v>
      </c>
      <c r="I220">
        <v>19.7</v>
      </c>
      <c r="J220">
        <v>13.8</v>
      </c>
      <c r="K220">
        <v>6.9</v>
      </c>
      <c r="L220">
        <v>3.3</v>
      </c>
      <c r="M220">
        <v>0.3</v>
      </c>
    </row>
    <row r="221" spans="1:13" x14ac:dyDescent="0.25">
      <c r="A221">
        <v>1998</v>
      </c>
      <c r="B221">
        <v>1.1000000000000001</v>
      </c>
      <c r="C221">
        <v>3.6</v>
      </c>
      <c r="D221">
        <v>2.2999999999999998</v>
      </c>
      <c r="E221">
        <v>10.7</v>
      </c>
      <c r="F221">
        <v>15.2</v>
      </c>
      <c r="G221">
        <v>18.600000000000001</v>
      </c>
      <c r="H221">
        <v>18.5</v>
      </c>
      <c r="I221">
        <v>17.2</v>
      </c>
      <c r="J221">
        <v>13.4</v>
      </c>
      <c r="K221">
        <v>8.1999999999999993</v>
      </c>
      <c r="L221">
        <v>-1.4</v>
      </c>
      <c r="M221">
        <v>-1.8</v>
      </c>
    </row>
    <row r="222" spans="1:13" x14ac:dyDescent="0.25">
      <c r="A222">
        <v>1999</v>
      </c>
      <c r="B222">
        <v>-0.2</v>
      </c>
      <c r="C222">
        <v>-1.3</v>
      </c>
      <c r="D222">
        <v>4.5999999999999996</v>
      </c>
      <c r="E222">
        <v>10</v>
      </c>
      <c r="F222">
        <v>12.6</v>
      </c>
      <c r="G222">
        <v>18</v>
      </c>
      <c r="H222">
        <v>20.6</v>
      </c>
      <c r="I222">
        <v>17.899999999999999</v>
      </c>
      <c r="J222">
        <v>15.8</v>
      </c>
      <c r="K222">
        <v>8.3000000000000007</v>
      </c>
      <c r="L222">
        <v>3</v>
      </c>
      <c r="M222">
        <v>0.7</v>
      </c>
    </row>
    <row r="223" spans="1:13" x14ac:dyDescent="0.25">
      <c r="A223">
        <v>2000</v>
      </c>
      <c r="B223">
        <v>-1.4</v>
      </c>
      <c r="C223">
        <v>2.5</v>
      </c>
      <c r="D223">
        <v>3.4</v>
      </c>
      <c r="E223">
        <v>12.4</v>
      </c>
      <c r="F223">
        <v>15.3</v>
      </c>
      <c r="G223">
        <v>17.8</v>
      </c>
      <c r="H223">
        <v>16.600000000000001</v>
      </c>
      <c r="I223">
        <v>18.100000000000001</v>
      </c>
      <c r="J223">
        <v>12</v>
      </c>
      <c r="K223">
        <v>11.6</v>
      </c>
      <c r="L223">
        <v>5.9</v>
      </c>
      <c r="M223">
        <v>1.1000000000000001</v>
      </c>
    </row>
    <row r="224" spans="1:13" x14ac:dyDescent="0.25">
      <c r="A224">
        <v>2001</v>
      </c>
      <c r="B224">
        <v>-0.5</v>
      </c>
      <c r="C224">
        <v>-0.8</v>
      </c>
      <c r="D224">
        <v>2.2000000000000002</v>
      </c>
      <c r="E224">
        <v>8</v>
      </c>
      <c r="F224">
        <v>14.7</v>
      </c>
      <c r="G224">
        <v>15.2</v>
      </c>
      <c r="H224">
        <v>20.7</v>
      </c>
      <c r="I224">
        <v>19.3</v>
      </c>
      <c r="J224">
        <v>12.1</v>
      </c>
      <c r="K224">
        <v>10.9</v>
      </c>
      <c r="L224">
        <v>2.4</v>
      </c>
      <c r="M224">
        <v>-4.2</v>
      </c>
    </row>
    <row r="225" spans="1:13" x14ac:dyDescent="0.25">
      <c r="A225">
        <v>2002</v>
      </c>
      <c r="B225">
        <v>-0.7</v>
      </c>
      <c r="C225">
        <v>3.6</v>
      </c>
      <c r="D225">
        <v>4.5</v>
      </c>
      <c r="E225">
        <v>9</v>
      </c>
      <c r="F225">
        <v>17.399999999999999</v>
      </c>
      <c r="G225">
        <v>17.600000000000001</v>
      </c>
      <c r="H225">
        <v>21.1</v>
      </c>
      <c r="I225">
        <v>20.7</v>
      </c>
      <c r="J225">
        <v>13.7</v>
      </c>
      <c r="K225">
        <v>7.2</v>
      </c>
      <c r="L225">
        <v>4.0999999999999996</v>
      </c>
      <c r="M225">
        <v>-6.6</v>
      </c>
    </row>
    <row r="226" spans="1:13" x14ac:dyDescent="0.25">
      <c r="A226">
        <v>2003</v>
      </c>
      <c r="B226">
        <v>-3</v>
      </c>
      <c r="C226">
        <v>-4.9000000000000004</v>
      </c>
      <c r="D226">
        <v>2</v>
      </c>
      <c r="E226">
        <v>7.3</v>
      </c>
      <c r="F226">
        <v>15.7</v>
      </c>
      <c r="G226">
        <v>17.899999999999999</v>
      </c>
      <c r="H226">
        <v>20.2</v>
      </c>
      <c r="I226">
        <v>18.7</v>
      </c>
      <c r="J226">
        <v>13.8</v>
      </c>
      <c r="K226">
        <v>5.4</v>
      </c>
      <c r="L226">
        <v>4.9000000000000004</v>
      </c>
      <c r="M226">
        <v>0.9</v>
      </c>
    </row>
    <row r="227" spans="1:13" x14ac:dyDescent="0.25">
      <c r="A227">
        <v>2004</v>
      </c>
      <c r="B227">
        <v>-5.0999999999999996</v>
      </c>
      <c r="C227">
        <v>0</v>
      </c>
      <c r="D227">
        <v>3.5</v>
      </c>
      <c r="E227">
        <v>8.6999999999999993</v>
      </c>
      <c r="F227">
        <v>12</v>
      </c>
      <c r="G227">
        <v>15.8</v>
      </c>
      <c r="H227">
        <v>17.899999999999999</v>
      </c>
      <c r="I227">
        <v>19</v>
      </c>
      <c r="J227">
        <v>13.5</v>
      </c>
      <c r="K227">
        <v>10</v>
      </c>
      <c r="L227">
        <v>3.7</v>
      </c>
      <c r="M227">
        <v>1.8</v>
      </c>
    </row>
    <row r="228" spans="1:13" x14ac:dyDescent="0.25">
      <c r="A228">
        <v>2005</v>
      </c>
      <c r="B228">
        <v>0.9</v>
      </c>
      <c r="C228">
        <v>-3.1</v>
      </c>
      <c r="D228">
        <v>0</v>
      </c>
      <c r="E228">
        <v>8.9</v>
      </c>
      <c r="F228">
        <v>13.7</v>
      </c>
      <c r="G228">
        <v>16</v>
      </c>
      <c r="H228">
        <v>20.5</v>
      </c>
      <c r="I228">
        <v>17.7</v>
      </c>
      <c r="J228">
        <v>15.9</v>
      </c>
      <c r="K228">
        <v>9.4</v>
      </c>
      <c r="L228">
        <v>3.2</v>
      </c>
      <c r="M228">
        <v>-0.3</v>
      </c>
    </row>
    <row r="229" spans="1:13" x14ac:dyDescent="0.25">
      <c r="A229">
        <v>2006</v>
      </c>
      <c r="B229">
        <v>-8.3000000000000007</v>
      </c>
      <c r="C229">
        <v>-3.2</v>
      </c>
      <c r="D229">
        <v>-0.6</v>
      </c>
      <c r="E229">
        <v>9.1</v>
      </c>
      <c r="F229">
        <v>14.2</v>
      </c>
      <c r="G229">
        <v>18.3</v>
      </c>
      <c r="H229">
        <v>23.5</v>
      </c>
      <c r="I229">
        <v>17.899999999999999</v>
      </c>
      <c r="J229">
        <v>16.100000000000001</v>
      </c>
      <c r="K229">
        <v>10.7</v>
      </c>
      <c r="L229">
        <v>5.9</v>
      </c>
      <c r="M229">
        <v>3.9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DF55-D699-4B9F-AAC2-C9A51593F9F0}">
  <dimension ref="A1:AA229"/>
  <sheetViews>
    <sheetView workbookViewId="0">
      <selection activeCell="AB10" sqref="AB10"/>
    </sheetView>
  </sheetViews>
  <sheetFormatPr defaultRowHeight="15" x14ac:dyDescent="0.25"/>
  <cols>
    <col min="1" max="1" width="7" bestFit="1" customWidth="1"/>
    <col min="2" max="2" width="9.85546875" bestFit="1" customWidth="1"/>
    <col min="3" max="3" width="6.7109375" bestFit="1" customWidth="1"/>
    <col min="4" max="4" width="9.5703125" bestFit="1" customWidth="1"/>
    <col min="5" max="5" width="11.28515625" bestFit="1" customWidth="1"/>
    <col min="6" max="6" width="6.5703125" bestFit="1" customWidth="1"/>
    <col min="7" max="7" width="11" bestFit="1" customWidth="1"/>
    <col min="8" max="8" width="8.140625" bestFit="1" customWidth="1"/>
    <col min="9" max="9" width="10.5703125" bestFit="1" customWidth="1"/>
    <col min="10" max="10" width="11.28515625" bestFit="1" customWidth="1"/>
    <col min="11" max="11" width="13.42578125" bestFit="1" customWidth="1"/>
    <col min="12" max="12" width="10.42578125" bestFit="1" customWidth="1"/>
    <col min="13" max="13" width="11" bestFit="1" customWidth="1"/>
    <col min="14" max="15" width="11" customWidth="1"/>
    <col min="16" max="16" width="7.5703125" bestFit="1" customWidth="1"/>
    <col min="17" max="17" width="4.42578125" bestFit="1" customWidth="1"/>
    <col min="18" max="18" width="7.28515625" bestFit="1" customWidth="1"/>
    <col min="19" max="19" width="9" bestFit="1" customWidth="1"/>
    <col min="20" max="20" width="4.28515625" bestFit="1" customWidth="1"/>
    <col min="21" max="21" width="8.7109375" bestFit="1" customWidth="1"/>
    <col min="22" max="22" width="5.85546875" bestFit="1" customWidth="1"/>
    <col min="23" max="23" width="8.28515625" bestFit="1" customWidth="1"/>
    <col min="24" max="24" width="9" bestFit="1" customWidth="1"/>
    <col min="25" max="25" width="11.140625" bestFit="1" customWidth="1"/>
    <col min="26" max="26" width="8.140625" bestFit="1" customWidth="1"/>
    <col min="27" max="27" width="8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5"/>
      <c r="P1" s="5" t="s">
        <v>1</v>
      </c>
      <c r="Q1" s="5" t="s">
        <v>2</v>
      </c>
      <c r="R1" s="5" t="s">
        <v>3</v>
      </c>
      <c r="S1" s="5" t="s">
        <v>4</v>
      </c>
      <c r="T1" s="5" t="s">
        <v>5</v>
      </c>
      <c r="U1" s="5" t="s">
        <v>6</v>
      </c>
      <c r="V1" s="5" t="s">
        <v>7</v>
      </c>
      <c r="W1" s="5" t="s">
        <v>8</v>
      </c>
      <c r="X1" s="5" t="s">
        <v>9</v>
      </c>
      <c r="Y1" s="5" t="s">
        <v>10</v>
      </c>
      <c r="Z1" s="5" t="s">
        <v>11</v>
      </c>
      <c r="AA1" s="5" t="s">
        <v>12</v>
      </c>
    </row>
    <row r="2" spans="1:27" x14ac:dyDescent="0.25">
      <c r="A2">
        <v>1779</v>
      </c>
      <c r="B2">
        <v>-4.9000000000000004</v>
      </c>
      <c r="C2">
        <v>2.2000000000000002</v>
      </c>
      <c r="D2">
        <v>3.8</v>
      </c>
      <c r="E2">
        <v>9.5</v>
      </c>
      <c r="F2">
        <v>15.4</v>
      </c>
      <c r="G2">
        <v>16.399999999999999</v>
      </c>
      <c r="H2">
        <v>17.899999999999999</v>
      </c>
      <c r="I2">
        <v>19.5</v>
      </c>
      <c r="J2">
        <v>14.7</v>
      </c>
      <c r="K2">
        <v>9.3000000000000007</v>
      </c>
      <c r="L2">
        <v>4.0999999999999996</v>
      </c>
      <c r="M2">
        <v>1.4</v>
      </c>
      <c r="O2" s="5" t="s">
        <v>18</v>
      </c>
      <c r="P2" s="5">
        <f>MIN(temp357[styczeń])</f>
        <v>-13.5</v>
      </c>
      <c r="Q2" s="5">
        <f>MIN(temp357[luty])</f>
        <v>-13.7</v>
      </c>
      <c r="R2" s="5">
        <f>MIN(temp357[marzec])</f>
        <v>-6.9</v>
      </c>
      <c r="S2" s="5">
        <f>MIN(temp357[kwiecień])</f>
        <v>2.4</v>
      </c>
      <c r="T2" s="5">
        <f>MIN(temp357[maj])</f>
        <v>7.9</v>
      </c>
      <c r="U2" s="5">
        <f>MIN(temp357[czerwiec])</f>
        <v>13</v>
      </c>
      <c r="V2" s="5">
        <f>MIN(temp357[lipiec])</f>
        <v>14.6</v>
      </c>
      <c r="W2" s="5">
        <f>MIN(temp357[sierpień])</f>
        <v>14</v>
      </c>
      <c r="X2" s="5">
        <f>MIN(temp357[wrzesień])</f>
        <v>9.1</v>
      </c>
      <c r="Y2" s="5">
        <f>MIN(temp357[październik])</f>
        <v>1.8</v>
      </c>
      <c r="Z2" s="5">
        <f>MIN(temp357[listopad])</f>
        <v>-3.4</v>
      </c>
      <c r="AA2" s="5">
        <f>MIN(temp357[luty])</f>
        <v>-13.7</v>
      </c>
    </row>
    <row r="3" spans="1:27" x14ac:dyDescent="0.25">
      <c r="A3">
        <v>1780</v>
      </c>
      <c r="B3">
        <v>-5.0999999999999996</v>
      </c>
      <c r="C3">
        <v>-4.3</v>
      </c>
      <c r="D3">
        <v>4.4000000000000004</v>
      </c>
      <c r="E3">
        <v>5.9</v>
      </c>
      <c r="F3">
        <v>14.2</v>
      </c>
      <c r="G3">
        <v>17.2</v>
      </c>
      <c r="H3">
        <v>19.399999999999999</v>
      </c>
      <c r="I3">
        <v>17.899999999999999</v>
      </c>
      <c r="J3">
        <v>13.1</v>
      </c>
      <c r="K3">
        <v>9.4</v>
      </c>
      <c r="L3">
        <v>2.8</v>
      </c>
      <c r="M3">
        <v>-4.5999999999999996</v>
      </c>
      <c r="O3" s="5" t="s">
        <v>19</v>
      </c>
      <c r="P3" s="5">
        <f>MAX(temp357[styczeń])</f>
        <v>3.5</v>
      </c>
      <c r="Q3" s="5">
        <f>MAX(temp357[luty])</f>
        <v>5.0999999999999996</v>
      </c>
      <c r="R3" s="5">
        <f>MAX(temp357[marzec])</f>
        <v>7.4</v>
      </c>
      <c r="S3" s="5">
        <f>MAX(temp357[kwiecień])</f>
        <v>13.2</v>
      </c>
      <c r="T3" s="5">
        <f>MAX(temp357[maj])</f>
        <v>18.2</v>
      </c>
      <c r="U3" s="5">
        <f>MAX(temp357[czerwiec])</f>
        <v>22.4</v>
      </c>
      <c r="V3" s="5">
        <f>MAX(temp357[lipiec])</f>
        <v>23.5</v>
      </c>
      <c r="W3" s="5">
        <f>MAX(temp357[sierpień])</f>
        <v>23.8</v>
      </c>
      <c r="X3" s="5">
        <f>MAX(temp357[wrzesień])</f>
        <v>16.8</v>
      </c>
      <c r="Y3" s="5">
        <f>MAX(temp357[październik])</f>
        <v>12.6</v>
      </c>
      <c r="Z3" s="5">
        <f>MAX(temp357[listopad])</f>
        <v>7.6</v>
      </c>
      <c r="AA3" s="5">
        <f>MAX(temp357[grudzień])</f>
        <v>3.9</v>
      </c>
    </row>
    <row r="4" spans="1:27" x14ac:dyDescent="0.25">
      <c r="A4">
        <v>1781</v>
      </c>
      <c r="B4">
        <v>-4</v>
      </c>
      <c r="C4">
        <v>-1.9</v>
      </c>
      <c r="D4">
        <v>1.5</v>
      </c>
      <c r="E4">
        <v>9.1</v>
      </c>
      <c r="F4">
        <v>13.8</v>
      </c>
      <c r="G4">
        <v>19.2</v>
      </c>
      <c r="H4">
        <v>20.100000000000001</v>
      </c>
      <c r="I4">
        <v>22.8</v>
      </c>
      <c r="J4">
        <v>16.2</v>
      </c>
      <c r="K4">
        <v>6</v>
      </c>
      <c r="L4">
        <v>4</v>
      </c>
      <c r="M4">
        <v>-3.6</v>
      </c>
      <c r="R4" s="3"/>
    </row>
    <row r="5" spans="1:27" x14ac:dyDescent="0.25">
      <c r="A5">
        <v>1782</v>
      </c>
      <c r="B5">
        <v>-1.6</v>
      </c>
      <c r="C5">
        <v>-6.2</v>
      </c>
      <c r="D5">
        <v>0.9</v>
      </c>
      <c r="E5">
        <v>7.3</v>
      </c>
      <c r="F5">
        <v>14.1</v>
      </c>
      <c r="G5">
        <v>17.8</v>
      </c>
      <c r="H5">
        <v>20.3</v>
      </c>
      <c r="I5">
        <v>18.3</v>
      </c>
      <c r="J5">
        <v>13.4</v>
      </c>
      <c r="K5">
        <v>6.4</v>
      </c>
      <c r="L5">
        <v>0.3</v>
      </c>
      <c r="M5">
        <v>-3.1</v>
      </c>
      <c r="R5" s="3"/>
    </row>
    <row r="6" spans="1:27" x14ac:dyDescent="0.25">
      <c r="A6">
        <v>1783</v>
      </c>
      <c r="B6">
        <v>-2.9</v>
      </c>
      <c r="C6">
        <v>1.9</v>
      </c>
      <c r="D6">
        <v>0.6</v>
      </c>
      <c r="E6">
        <v>7.1</v>
      </c>
      <c r="F6">
        <v>15.8</v>
      </c>
      <c r="G6">
        <v>20</v>
      </c>
      <c r="H6">
        <v>19.8</v>
      </c>
      <c r="I6">
        <v>20.2</v>
      </c>
      <c r="J6">
        <v>15.5</v>
      </c>
      <c r="K6">
        <v>8.4</v>
      </c>
      <c r="L6">
        <v>0.9</v>
      </c>
      <c r="M6">
        <v>-4.5999999999999996</v>
      </c>
      <c r="R6" s="3"/>
    </row>
    <row r="7" spans="1:27" x14ac:dyDescent="0.25">
      <c r="A7">
        <v>1784</v>
      </c>
      <c r="B7">
        <v>-7.1</v>
      </c>
      <c r="C7">
        <v>-4.3</v>
      </c>
      <c r="D7">
        <v>-0.4</v>
      </c>
      <c r="E7">
        <v>7</v>
      </c>
      <c r="F7">
        <v>14.1</v>
      </c>
      <c r="G7">
        <v>18.399999999999999</v>
      </c>
      <c r="H7">
        <v>19.7</v>
      </c>
      <c r="I7">
        <v>22.5</v>
      </c>
      <c r="J7">
        <v>15.3</v>
      </c>
      <c r="K7">
        <v>6</v>
      </c>
      <c r="L7">
        <v>3.1</v>
      </c>
      <c r="M7">
        <v>-0.8</v>
      </c>
      <c r="R7" s="3"/>
    </row>
    <row r="8" spans="1:27" x14ac:dyDescent="0.25">
      <c r="A8">
        <v>1785</v>
      </c>
      <c r="B8">
        <v>-5.3</v>
      </c>
      <c r="C8">
        <v>-4.8</v>
      </c>
      <c r="D8">
        <v>-6.4</v>
      </c>
      <c r="E8">
        <v>3.1</v>
      </c>
      <c r="F8">
        <v>11</v>
      </c>
      <c r="G8">
        <v>15.2</v>
      </c>
      <c r="H8">
        <v>16.7</v>
      </c>
      <c r="I8">
        <v>16.7</v>
      </c>
      <c r="J8">
        <v>14.1</v>
      </c>
      <c r="K8">
        <v>5.8</v>
      </c>
      <c r="L8">
        <v>2.4</v>
      </c>
      <c r="M8">
        <v>-5.0999999999999996</v>
      </c>
      <c r="R8" s="3"/>
    </row>
    <row r="9" spans="1:27" x14ac:dyDescent="0.25">
      <c r="A9">
        <v>1786</v>
      </c>
      <c r="B9">
        <v>-3.8</v>
      </c>
      <c r="C9">
        <v>-5.2</v>
      </c>
      <c r="D9">
        <v>-0.4</v>
      </c>
      <c r="E9">
        <v>8.9</v>
      </c>
      <c r="F9">
        <v>10.6</v>
      </c>
      <c r="G9">
        <v>16.5</v>
      </c>
      <c r="H9">
        <v>16.5</v>
      </c>
      <c r="I9">
        <v>15.9</v>
      </c>
      <c r="J9">
        <v>11.6</v>
      </c>
      <c r="K9">
        <v>4.5</v>
      </c>
      <c r="L9">
        <v>-2.7</v>
      </c>
      <c r="M9">
        <v>-2.5</v>
      </c>
      <c r="R9" s="3"/>
    </row>
    <row r="10" spans="1:27" x14ac:dyDescent="0.25">
      <c r="A10">
        <v>1787</v>
      </c>
      <c r="B10">
        <v>-5</v>
      </c>
      <c r="C10">
        <v>-0.8</v>
      </c>
      <c r="D10">
        <v>0.8</v>
      </c>
      <c r="E10">
        <v>5.9</v>
      </c>
      <c r="F10">
        <v>13.7</v>
      </c>
      <c r="G10">
        <v>18.7</v>
      </c>
      <c r="H10">
        <v>18.3</v>
      </c>
      <c r="I10">
        <v>17.100000000000001</v>
      </c>
      <c r="J10">
        <v>11.9</v>
      </c>
      <c r="K10">
        <v>9.5</v>
      </c>
      <c r="L10">
        <v>1.4</v>
      </c>
      <c r="M10">
        <v>-0.3</v>
      </c>
      <c r="R10" s="3"/>
    </row>
    <row r="11" spans="1:27" x14ac:dyDescent="0.25">
      <c r="A11">
        <v>1788</v>
      </c>
      <c r="B11">
        <v>-3.1</v>
      </c>
      <c r="C11">
        <v>-5</v>
      </c>
      <c r="D11">
        <v>-1.2</v>
      </c>
      <c r="E11">
        <v>5.4</v>
      </c>
      <c r="F11">
        <v>12.9</v>
      </c>
      <c r="G11">
        <v>18.100000000000001</v>
      </c>
      <c r="H11">
        <v>21.1</v>
      </c>
      <c r="I11">
        <v>17.600000000000001</v>
      </c>
      <c r="J11">
        <v>16.100000000000001</v>
      </c>
      <c r="K11">
        <v>6.9</v>
      </c>
      <c r="L11">
        <v>0.7</v>
      </c>
      <c r="M11">
        <v>-14.8</v>
      </c>
      <c r="R11" s="3"/>
    </row>
    <row r="12" spans="1:27" x14ac:dyDescent="0.25">
      <c r="A12">
        <v>1789</v>
      </c>
      <c r="B12">
        <v>-7.7</v>
      </c>
      <c r="C12">
        <v>-2.4</v>
      </c>
      <c r="D12">
        <v>-5.3</v>
      </c>
      <c r="E12">
        <v>6.3</v>
      </c>
      <c r="F12">
        <v>16.2</v>
      </c>
      <c r="G12">
        <v>16.899999999999999</v>
      </c>
      <c r="H12">
        <v>21.8</v>
      </c>
      <c r="I12">
        <v>20</v>
      </c>
      <c r="J12">
        <v>16.2</v>
      </c>
      <c r="K12">
        <v>10.7</v>
      </c>
      <c r="L12">
        <v>4.7</v>
      </c>
      <c r="M12">
        <v>0.9</v>
      </c>
      <c r="R12" s="3"/>
    </row>
    <row r="13" spans="1:27" x14ac:dyDescent="0.25">
      <c r="A13">
        <v>1790</v>
      </c>
      <c r="B13">
        <v>-1.2</v>
      </c>
      <c r="C13">
        <v>1.9</v>
      </c>
      <c r="D13">
        <v>2.5</v>
      </c>
      <c r="E13">
        <v>5.0999999999999996</v>
      </c>
      <c r="F13">
        <v>12.9</v>
      </c>
      <c r="G13">
        <v>17.2</v>
      </c>
      <c r="H13">
        <v>17.399999999999999</v>
      </c>
      <c r="I13">
        <v>17.2</v>
      </c>
      <c r="J13">
        <v>12.9</v>
      </c>
      <c r="K13">
        <v>6.9</v>
      </c>
      <c r="L13">
        <v>2.5</v>
      </c>
      <c r="M13">
        <v>1.2</v>
      </c>
      <c r="R13" s="3"/>
    </row>
    <row r="14" spans="1:27" x14ac:dyDescent="0.25">
      <c r="A14">
        <v>1791</v>
      </c>
      <c r="B14">
        <v>1.4</v>
      </c>
      <c r="C14">
        <v>-1</v>
      </c>
      <c r="D14">
        <v>2.7</v>
      </c>
      <c r="E14">
        <v>10.1</v>
      </c>
      <c r="F14">
        <v>12.3</v>
      </c>
      <c r="G14">
        <v>16.100000000000001</v>
      </c>
      <c r="H14">
        <v>19</v>
      </c>
      <c r="I14">
        <v>19.899999999999999</v>
      </c>
      <c r="J14">
        <v>13.2</v>
      </c>
      <c r="K14">
        <v>7.8</v>
      </c>
      <c r="L14">
        <v>2.2000000000000002</v>
      </c>
      <c r="M14">
        <v>-0.2</v>
      </c>
      <c r="R14" s="3"/>
    </row>
    <row r="15" spans="1:27" x14ac:dyDescent="0.25">
      <c r="A15">
        <v>1792</v>
      </c>
      <c r="B15">
        <v>-2.8</v>
      </c>
      <c r="C15">
        <v>-4</v>
      </c>
      <c r="D15">
        <v>0.9</v>
      </c>
      <c r="E15">
        <v>8</v>
      </c>
      <c r="F15">
        <v>12.1</v>
      </c>
      <c r="G15">
        <v>17.5</v>
      </c>
      <c r="H15">
        <v>20.399999999999999</v>
      </c>
      <c r="I15">
        <v>18.3</v>
      </c>
      <c r="J15">
        <v>14.7</v>
      </c>
      <c r="K15">
        <v>6.2</v>
      </c>
      <c r="L15">
        <v>1.4</v>
      </c>
      <c r="M15">
        <v>-1.5</v>
      </c>
      <c r="R15" s="3"/>
    </row>
    <row r="16" spans="1:27" x14ac:dyDescent="0.25">
      <c r="A16">
        <v>1793</v>
      </c>
      <c r="B16">
        <v>-5.8</v>
      </c>
      <c r="C16">
        <v>0</v>
      </c>
      <c r="D16">
        <v>-0.7</v>
      </c>
      <c r="E16">
        <v>5.3</v>
      </c>
      <c r="F16">
        <v>13.4</v>
      </c>
      <c r="G16">
        <v>15</v>
      </c>
      <c r="H16">
        <v>20.399999999999999</v>
      </c>
      <c r="I16">
        <v>18.7</v>
      </c>
      <c r="J16">
        <v>12.3</v>
      </c>
      <c r="K16">
        <v>9.5</v>
      </c>
      <c r="L16">
        <v>3.2</v>
      </c>
      <c r="M16">
        <v>-1.2</v>
      </c>
      <c r="R16" s="3"/>
    </row>
    <row r="17" spans="1:18" x14ac:dyDescent="0.25">
      <c r="A17">
        <v>1794</v>
      </c>
      <c r="B17">
        <v>-2</v>
      </c>
      <c r="C17">
        <v>-0.3</v>
      </c>
      <c r="D17">
        <v>3.6</v>
      </c>
      <c r="E17">
        <v>9.1999999999999993</v>
      </c>
      <c r="F17">
        <v>15.8</v>
      </c>
      <c r="G17">
        <v>18.8</v>
      </c>
      <c r="H17">
        <v>20.399999999999999</v>
      </c>
      <c r="I17">
        <v>17</v>
      </c>
      <c r="J17">
        <v>11.2</v>
      </c>
      <c r="K17">
        <v>8.1999999999999993</v>
      </c>
      <c r="L17">
        <v>2.8</v>
      </c>
      <c r="M17">
        <v>-6.1</v>
      </c>
      <c r="R17" s="3"/>
    </row>
    <row r="18" spans="1:18" x14ac:dyDescent="0.25">
      <c r="A18">
        <v>1795</v>
      </c>
      <c r="B18">
        <v>-10.6</v>
      </c>
      <c r="C18">
        <v>-2.8</v>
      </c>
      <c r="D18">
        <v>1.2</v>
      </c>
      <c r="E18">
        <v>10</v>
      </c>
      <c r="F18">
        <v>13.8</v>
      </c>
      <c r="G18">
        <v>18.8</v>
      </c>
      <c r="H18">
        <v>17.3</v>
      </c>
      <c r="I18">
        <v>17.399999999999999</v>
      </c>
      <c r="J18">
        <v>13.2</v>
      </c>
      <c r="K18">
        <v>10.1</v>
      </c>
      <c r="L18">
        <v>0.7</v>
      </c>
      <c r="M18">
        <v>1</v>
      </c>
      <c r="R18" s="3"/>
    </row>
    <row r="19" spans="1:18" x14ac:dyDescent="0.25">
      <c r="A19">
        <v>1796</v>
      </c>
      <c r="B19">
        <v>3.5</v>
      </c>
      <c r="C19">
        <v>-2.2000000000000002</v>
      </c>
      <c r="D19">
        <v>-3.8</v>
      </c>
      <c r="E19">
        <v>4.9000000000000004</v>
      </c>
      <c r="F19">
        <v>13.5</v>
      </c>
      <c r="G19">
        <v>17.8</v>
      </c>
      <c r="H19">
        <v>19.5</v>
      </c>
      <c r="I19">
        <v>20.100000000000001</v>
      </c>
      <c r="J19">
        <v>14.7</v>
      </c>
      <c r="K19">
        <v>7.8</v>
      </c>
      <c r="L19">
        <v>1.2</v>
      </c>
      <c r="M19">
        <v>-2.7</v>
      </c>
      <c r="R19" s="3"/>
    </row>
    <row r="20" spans="1:18" x14ac:dyDescent="0.25">
      <c r="A20">
        <v>1797</v>
      </c>
      <c r="B20">
        <v>-1</v>
      </c>
      <c r="C20">
        <v>1.3</v>
      </c>
      <c r="D20">
        <v>0.8</v>
      </c>
      <c r="E20">
        <v>9.4</v>
      </c>
      <c r="F20">
        <v>17.600000000000001</v>
      </c>
      <c r="G20">
        <v>18.7</v>
      </c>
      <c r="H20">
        <v>21.2</v>
      </c>
      <c r="I20">
        <v>19.8</v>
      </c>
      <c r="J20">
        <v>16</v>
      </c>
      <c r="K20">
        <v>9.6</v>
      </c>
      <c r="L20">
        <v>1.6</v>
      </c>
      <c r="M20">
        <v>-0.3</v>
      </c>
    </row>
    <row r="21" spans="1:18" x14ac:dyDescent="0.25">
      <c r="A21">
        <v>1798</v>
      </c>
      <c r="B21">
        <v>-2.4</v>
      </c>
      <c r="C21">
        <v>0.3</v>
      </c>
      <c r="D21">
        <v>3.2</v>
      </c>
      <c r="E21">
        <v>10</v>
      </c>
      <c r="F21">
        <v>15.6</v>
      </c>
      <c r="G21">
        <v>17.899999999999999</v>
      </c>
      <c r="H21">
        <v>20.5</v>
      </c>
      <c r="I21">
        <v>19.899999999999999</v>
      </c>
      <c r="J21">
        <v>15</v>
      </c>
      <c r="K21">
        <v>7</v>
      </c>
      <c r="L21">
        <v>0.5</v>
      </c>
      <c r="M21">
        <v>-7.8</v>
      </c>
    </row>
    <row r="22" spans="1:18" x14ac:dyDescent="0.25">
      <c r="A22">
        <v>1799</v>
      </c>
      <c r="B22">
        <v>-8.4</v>
      </c>
      <c r="C22">
        <v>-9.6</v>
      </c>
      <c r="D22">
        <v>-3.1</v>
      </c>
      <c r="E22">
        <v>6.6</v>
      </c>
      <c r="F22">
        <v>12.1</v>
      </c>
      <c r="G22">
        <v>15.4</v>
      </c>
      <c r="H22">
        <v>17.600000000000001</v>
      </c>
      <c r="I22">
        <v>17.7</v>
      </c>
      <c r="J22">
        <v>12</v>
      </c>
      <c r="K22">
        <v>7.5</v>
      </c>
      <c r="L22">
        <v>3.1</v>
      </c>
      <c r="M22">
        <v>-8.4</v>
      </c>
    </row>
    <row r="23" spans="1:18" x14ac:dyDescent="0.25">
      <c r="A23">
        <v>1800</v>
      </c>
      <c r="B23">
        <v>-4.9000000000000004</v>
      </c>
      <c r="C23">
        <v>-3.6</v>
      </c>
      <c r="D23">
        <v>-2.6</v>
      </c>
      <c r="E23">
        <v>12.3</v>
      </c>
      <c r="F23">
        <v>14.7</v>
      </c>
      <c r="G23">
        <v>15.3</v>
      </c>
      <c r="H23">
        <v>16.8</v>
      </c>
      <c r="I23">
        <v>17.600000000000001</v>
      </c>
      <c r="J23">
        <v>12.2</v>
      </c>
      <c r="K23">
        <v>7.5</v>
      </c>
      <c r="L23">
        <v>4.0999999999999996</v>
      </c>
      <c r="M23">
        <v>-2.1</v>
      </c>
    </row>
    <row r="24" spans="1:18" x14ac:dyDescent="0.25">
      <c r="A24">
        <v>1801</v>
      </c>
      <c r="B24">
        <v>-2.6</v>
      </c>
      <c r="C24">
        <v>-3.3</v>
      </c>
      <c r="D24">
        <v>4.0999999999999996</v>
      </c>
      <c r="E24">
        <v>7.5</v>
      </c>
      <c r="F24">
        <v>17.100000000000001</v>
      </c>
      <c r="G24">
        <v>15.2</v>
      </c>
      <c r="H24">
        <v>19.100000000000001</v>
      </c>
      <c r="I24">
        <v>15.9</v>
      </c>
      <c r="J24">
        <v>14.7</v>
      </c>
      <c r="K24">
        <v>9.1</v>
      </c>
      <c r="L24">
        <v>4.5999999999999996</v>
      </c>
      <c r="M24">
        <v>-0.6</v>
      </c>
    </row>
    <row r="25" spans="1:18" x14ac:dyDescent="0.25">
      <c r="A25">
        <v>1802</v>
      </c>
      <c r="B25">
        <v>-4.4000000000000004</v>
      </c>
      <c r="C25">
        <v>-2.2999999999999998</v>
      </c>
      <c r="D25">
        <v>3.5</v>
      </c>
      <c r="E25">
        <v>9.3000000000000007</v>
      </c>
      <c r="F25">
        <v>12</v>
      </c>
      <c r="G25">
        <v>16.399999999999999</v>
      </c>
      <c r="H25">
        <v>19.3</v>
      </c>
      <c r="I25">
        <v>19.5</v>
      </c>
      <c r="J25">
        <v>12.7</v>
      </c>
      <c r="K25">
        <v>10.5</v>
      </c>
      <c r="L25">
        <v>2.2999999999999998</v>
      </c>
      <c r="M25">
        <v>-0.5</v>
      </c>
    </row>
    <row r="26" spans="1:18" x14ac:dyDescent="0.25">
      <c r="A26">
        <v>1803</v>
      </c>
      <c r="B26">
        <v>-13.2</v>
      </c>
      <c r="C26">
        <v>-7.1</v>
      </c>
      <c r="D26">
        <v>0.7</v>
      </c>
      <c r="E26">
        <v>9.9</v>
      </c>
      <c r="F26">
        <v>11.5</v>
      </c>
      <c r="G26">
        <v>15.6</v>
      </c>
      <c r="H26">
        <v>19</v>
      </c>
      <c r="I26">
        <v>18.5</v>
      </c>
      <c r="J26">
        <v>11.4</v>
      </c>
      <c r="K26">
        <v>6.2</v>
      </c>
      <c r="L26">
        <v>1.6</v>
      </c>
      <c r="M26">
        <v>-5.0999999999999996</v>
      </c>
    </row>
    <row r="27" spans="1:18" x14ac:dyDescent="0.25">
      <c r="A27">
        <v>1804</v>
      </c>
      <c r="B27">
        <v>-0.2</v>
      </c>
      <c r="C27">
        <v>-4.3</v>
      </c>
      <c r="D27">
        <v>-3.1</v>
      </c>
      <c r="E27">
        <v>7.2</v>
      </c>
      <c r="F27">
        <v>13.2</v>
      </c>
      <c r="G27">
        <v>17.100000000000001</v>
      </c>
      <c r="H27">
        <v>18.899999999999999</v>
      </c>
      <c r="I27">
        <v>16.5</v>
      </c>
      <c r="J27">
        <v>14.9</v>
      </c>
      <c r="K27">
        <v>7.5</v>
      </c>
      <c r="L27">
        <v>-2.2000000000000002</v>
      </c>
      <c r="M27">
        <v>-7.7</v>
      </c>
    </row>
    <row r="28" spans="1:18" x14ac:dyDescent="0.25">
      <c r="A28">
        <v>1805</v>
      </c>
      <c r="B28">
        <v>-9</v>
      </c>
      <c r="C28">
        <v>-5</v>
      </c>
      <c r="D28">
        <v>-0.4</v>
      </c>
      <c r="E28">
        <v>4.5</v>
      </c>
      <c r="F28">
        <v>12</v>
      </c>
      <c r="G28">
        <v>15.1</v>
      </c>
      <c r="H28">
        <v>17.399999999999999</v>
      </c>
      <c r="I28">
        <v>16.399999999999999</v>
      </c>
      <c r="J28">
        <v>14.8</v>
      </c>
      <c r="K28">
        <v>1.8</v>
      </c>
      <c r="L28">
        <v>-2.5</v>
      </c>
      <c r="M28">
        <v>-1.3</v>
      </c>
    </row>
    <row r="29" spans="1:18" x14ac:dyDescent="0.25">
      <c r="A29">
        <v>1806</v>
      </c>
      <c r="B29">
        <v>-0.2</v>
      </c>
      <c r="C29">
        <v>-1</v>
      </c>
      <c r="D29">
        <v>0.2</v>
      </c>
      <c r="E29">
        <v>6.4</v>
      </c>
      <c r="F29">
        <v>14.9</v>
      </c>
      <c r="G29">
        <v>14.5</v>
      </c>
      <c r="H29">
        <v>17</v>
      </c>
      <c r="I29">
        <v>18.3</v>
      </c>
      <c r="J29">
        <v>16.600000000000001</v>
      </c>
      <c r="K29">
        <v>8</v>
      </c>
      <c r="L29">
        <v>2.7</v>
      </c>
      <c r="M29">
        <v>2</v>
      </c>
    </row>
    <row r="30" spans="1:18" x14ac:dyDescent="0.25">
      <c r="A30">
        <v>1807</v>
      </c>
      <c r="B30">
        <v>-3.5</v>
      </c>
      <c r="C30">
        <v>-1.3</v>
      </c>
      <c r="D30">
        <v>-1.3</v>
      </c>
      <c r="E30">
        <v>5.7</v>
      </c>
      <c r="F30">
        <v>13.4</v>
      </c>
      <c r="G30">
        <v>16.3</v>
      </c>
      <c r="H30">
        <v>19.5</v>
      </c>
      <c r="I30">
        <v>23.8</v>
      </c>
      <c r="J30">
        <v>13</v>
      </c>
      <c r="K30">
        <v>8.4</v>
      </c>
      <c r="L30">
        <v>4</v>
      </c>
      <c r="M30">
        <v>-0.3</v>
      </c>
    </row>
    <row r="31" spans="1:18" x14ac:dyDescent="0.25">
      <c r="A31">
        <v>1808</v>
      </c>
      <c r="B31">
        <v>-2</v>
      </c>
      <c r="C31">
        <v>-4</v>
      </c>
      <c r="D31">
        <v>-5.9</v>
      </c>
      <c r="E31">
        <v>4.7</v>
      </c>
      <c r="F31">
        <v>13</v>
      </c>
      <c r="G31">
        <v>17.100000000000001</v>
      </c>
      <c r="H31">
        <v>19.600000000000001</v>
      </c>
      <c r="I31">
        <v>20.5</v>
      </c>
      <c r="J31">
        <v>15.1</v>
      </c>
      <c r="K31">
        <v>8.5</v>
      </c>
      <c r="L31">
        <v>0.6</v>
      </c>
      <c r="M31">
        <v>-6.8</v>
      </c>
    </row>
    <row r="32" spans="1:18" x14ac:dyDescent="0.25">
      <c r="A32">
        <v>1809</v>
      </c>
      <c r="B32">
        <v>-9.3000000000000007</v>
      </c>
      <c r="C32">
        <v>0</v>
      </c>
      <c r="D32">
        <v>-1.5</v>
      </c>
      <c r="E32">
        <v>4.9000000000000004</v>
      </c>
      <c r="F32">
        <v>14.4</v>
      </c>
      <c r="G32">
        <v>16.600000000000001</v>
      </c>
      <c r="H32">
        <v>18</v>
      </c>
      <c r="I32">
        <v>19.7</v>
      </c>
      <c r="J32">
        <v>13.4</v>
      </c>
      <c r="K32">
        <v>6.7</v>
      </c>
      <c r="L32">
        <v>1.3</v>
      </c>
      <c r="M32">
        <v>1</v>
      </c>
    </row>
    <row r="33" spans="1:13" x14ac:dyDescent="0.25">
      <c r="A33">
        <v>1810</v>
      </c>
      <c r="B33">
        <v>-3.3</v>
      </c>
      <c r="C33">
        <v>-2.5</v>
      </c>
      <c r="D33">
        <v>1</v>
      </c>
      <c r="E33">
        <v>3.9</v>
      </c>
      <c r="F33">
        <v>11.2</v>
      </c>
      <c r="G33">
        <v>14.2</v>
      </c>
      <c r="H33">
        <v>18.100000000000001</v>
      </c>
      <c r="I33">
        <v>17.5</v>
      </c>
      <c r="J33">
        <v>14.6</v>
      </c>
      <c r="K33">
        <v>6.5</v>
      </c>
      <c r="L33">
        <v>2.7</v>
      </c>
      <c r="M33">
        <v>-0.6</v>
      </c>
    </row>
    <row r="34" spans="1:13" x14ac:dyDescent="0.25">
      <c r="A34">
        <v>1811</v>
      </c>
      <c r="B34">
        <v>-8</v>
      </c>
      <c r="C34">
        <v>-4.5</v>
      </c>
      <c r="D34">
        <v>3.4</v>
      </c>
      <c r="E34">
        <v>6.5</v>
      </c>
      <c r="F34">
        <v>16.7</v>
      </c>
      <c r="G34">
        <v>22.4</v>
      </c>
      <c r="H34">
        <v>22.5</v>
      </c>
      <c r="I34">
        <v>19.899999999999999</v>
      </c>
      <c r="J34">
        <v>12.5</v>
      </c>
      <c r="K34">
        <v>10.6</v>
      </c>
      <c r="L34">
        <v>2.8</v>
      </c>
      <c r="M34">
        <v>-0.4</v>
      </c>
    </row>
    <row r="35" spans="1:13" x14ac:dyDescent="0.25">
      <c r="A35">
        <v>1812</v>
      </c>
      <c r="B35">
        <v>-7.8</v>
      </c>
      <c r="C35">
        <v>-3.8</v>
      </c>
      <c r="D35">
        <v>1.1000000000000001</v>
      </c>
      <c r="E35">
        <v>3.5</v>
      </c>
      <c r="F35">
        <v>12.4</v>
      </c>
      <c r="G35">
        <v>17.5</v>
      </c>
      <c r="H35">
        <v>18.5</v>
      </c>
      <c r="I35">
        <v>17.7</v>
      </c>
      <c r="J35">
        <v>11.3</v>
      </c>
      <c r="K35">
        <v>10.199999999999999</v>
      </c>
      <c r="L35">
        <v>0.2</v>
      </c>
      <c r="M35">
        <v>-10.9</v>
      </c>
    </row>
    <row r="36" spans="1:13" x14ac:dyDescent="0.25">
      <c r="A36">
        <v>1813</v>
      </c>
      <c r="B36">
        <v>-6.2</v>
      </c>
      <c r="C36">
        <v>0.4</v>
      </c>
      <c r="D36">
        <v>0</v>
      </c>
      <c r="E36">
        <v>9</v>
      </c>
      <c r="F36">
        <v>12.4</v>
      </c>
      <c r="G36">
        <v>15.4</v>
      </c>
      <c r="H36">
        <v>18.5</v>
      </c>
      <c r="I36">
        <v>16.7</v>
      </c>
      <c r="J36">
        <v>12.6</v>
      </c>
      <c r="K36">
        <v>5.4</v>
      </c>
      <c r="L36">
        <v>2.9</v>
      </c>
      <c r="M36">
        <v>-0.9</v>
      </c>
    </row>
    <row r="37" spans="1:13" x14ac:dyDescent="0.25">
      <c r="A37">
        <v>1814</v>
      </c>
      <c r="B37">
        <v>-5</v>
      </c>
      <c r="C37">
        <v>-9.6</v>
      </c>
      <c r="D37">
        <v>0.5</v>
      </c>
      <c r="E37">
        <v>8.6999999999999993</v>
      </c>
      <c r="F37">
        <v>9.9</v>
      </c>
      <c r="G37">
        <v>15.4</v>
      </c>
      <c r="H37">
        <v>20.100000000000001</v>
      </c>
      <c r="I37">
        <v>17.7</v>
      </c>
      <c r="J37">
        <v>11.6</v>
      </c>
      <c r="K37">
        <v>6.2</v>
      </c>
      <c r="L37">
        <v>2.1</v>
      </c>
      <c r="M37">
        <v>-0.9</v>
      </c>
    </row>
    <row r="38" spans="1:13" x14ac:dyDescent="0.25">
      <c r="A38">
        <v>1815</v>
      </c>
      <c r="B38">
        <v>-9.4</v>
      </c>
      <c r="C38">
        <v>-2.7</v>
      </c>
      <c r="D38">
        <v>2</v>
      </c>
      <c r="E38">
        <v>6.8</v>
      </c>
      <c r="F38">
        <v>13.1</v>
      </c>
      <c r="G38">
        <v>17.3</v>
      </c>
      <c r="H38">
        <v>16.7</v>
      </c>
      <c r="I38">
        <v>17</v>
      </c>
      <c r="J38">
        <v>11.8</v>
      </c>
      <c r="K38">
        <v>7.8</v>
      </c>
      <c r="L38">
        <v>1.2</v>
      </c>
      <c r="M38">
        <v>-7.2</v>
      </c>
    </row>
    <row r="39" spans="1:13" x14ac:dyDescent="0.25">
      <c r="A39">
        <v>1816</v>
      </c>
      <c r="B39">
        <v>-3.2</v>
      </c>
      <c r="C39">
        <v>-5.4</v>
      </c>
      <c r="D39">
        <v>0.5</v>
      </c>
      <c r="E39">
        <v>6.4</v>
      </c>
      <c r="F39">
        <v>12.2</v>
      </c>
      <c r="G39">
        <v>16.8</v>
      </c>
      <c r="H39">
        <v>18</v>
      </c>
      <c r="I39">
        <v>16.2</v>
      </c>
      <c r="J39">
        <v>12.7</v>
      </c>
      <c r="K39">
        <v>6.6</v>
      </c>
      <c r="L39">
        <v>2.2999999999999998</v>
      </c>
      <c r="M39">
        <v>-3.5</v>
      </c>
    </row>
    <row r="40" spans="1:13" x14ac:dyDescent="0.25">
      <c r="A40">
        <v>1817</v>
      </c>
      <c r="B40">
        <v>-0.5</v>
      </c>
      <c r="C40">
        <v>1.1000000000000001</v>
      </c>
      <c r="D40">
        <v>1.4</v>
      </c>
      <c r="E40">
        <v>2.4</v>
      </c>
      <c r="F40">
        <v>13.4</v>
      </c>
      <c r="G40">
        <v>18.600000000000001</v>
      </c>
      <c r="H40">
        <v>18.7</v>
      </c>
      <c r="I40">
        <v>18</v>
      </c>
      <c r="J40">
        <v>12.6</v>
      </c>
      <c r="K40">
        <v>4.5</v>
      </c>
      <c r="L40">
        <v>2.7</v>
      </c>
      <c r="M40">
        <v>-2.7</v>
      </c>
    </row>
    <row r="41" spans="1:13" x14ac:dyDescent="0.25">
      <c r="A41">
        <v>1818</v>
      </c>
      <c r="B41">
        <v>-2.8</v>
      </c>
      <c r="C41">
        <v>-1</v>
      </c>
      <c r="D41">
        <v>2.9</v>
      </c>
      <c r="E41">
        <v>7.4</v>
      </c>
      <c r="F41">
        <v>12.2</v>
      </c>
      <c r="G41">
        <v>16.7</v>
      </c>
      <c r="H41">
        <v>19.2</v>
      </c>
      <c r="I41">
        <v>16.399999999999999</v>
      </c>
      <c r="J41">
        <v>12.8</v>
      </c>
      <c r="K41">
        <v>7.1</v>
      </c>
      <c r="L41">
        <v>2</v>
      </c>
      <c r="M41">
        <v>-4.4000000000000004</v>
      </c>
    </row>
    <row r="42" spans="1:13" x14ac:dyDescent="0.25">
      <c r="A42">
        <v>1819</v>
      </c>
      <c r="B42">
        <v>-2</v>
      </c>
      <c r="C42">
        <v>-0.5</v>
      </c>
      <c r="D42">
        <v>1.9</v>
      </c>
      <c r="E42">
        <v>6.8</v>
      </c>
      <c r="F42">
        <v>13.4</v>
      </c>
      <c r="G42">
        <v>18.100000000000001</v>
      </c>
      <c r="H42">
        <v>19</v>
      </c>
      <c r="I42">
        <v>18.7</v>
      </c>
      <c r="J42">
        <v>14.3</v>
      </c>
      <c r="K42">
        <v>7.8</v>
      </c>
      <c r="L42">
        <v>1.6</v>
      </c>
      <c r="M42">
        <v>-8</v>
      </c>
    </row>
    <row r="43" spans="1:13" x14ac:dyDescent="0.25">
      <c r="A43">
        <v>1820</v>
      </c>
      <c r="B43">
        <v>-9.6999999999999993</v>
      </c>
      <c r="C43">
        <v>-3</v>
      </c>
      <c r="D43">
        <v>0.5</v>
      </c>
      <c r="E43">
        <v>8.5</v>
      </c>
      <c r="F43">
        <v>15.3</v>
      </c>
      <c r="G43">
        <v>16.2</v>
      </c>
      <c r="H43">
        <v>16.899999999999999</v>
      </c>
      <c r="I43">
        <v>18.8</v>
      </c>
      <c r="J43">
        <v>12.9</v>
      </c>
      <c r="K43">
        <v>8.6</v>
      </c>
      <c r="L43">
        <v>1.9</v>
      </c>
      <c r="M43">
        <v>-5.5</v>
      </c>
    </row>
    <row r="44" spans="1:13" x14ac:dyDescent="0.25">
      <c r="A44">
        <v>1821</v>
      </c>
      <c r="B44">
        <v>-2.5</v>
      </c>
      <c r="C44">
        <v>-5</v>
      </c>
      <c r="D44">
        <v>-1.7</v>
      </c>
      <c r="E44">
        <v>10.6</v>
      </c>
      <c r="F44">
        <v>13.4</v>
      </c>
      <c r="G44">
        <v>14.5</v>
      </c>
      <c r="H44">
        <v>17</v>
      </c>
      <c r="I44">
        <v>16.5</v>
      </c>
      <c r="J44">
        <v>13.9</v>
      </c>
      <c r="K44">
        <v>8.5</v>
      </c>
      <c r="L44">
        <v>4.9000000000000004</v>
      </c>
      <c r="M44">
        <v>-0.4</v>
      </c>
    </row>
    <row r="45" spans="1:13" x14ac:dyDescent="0.25">
      <c r="A45">
        <v>1822</v>
      </c>
      <c r="B45">
        <v>-2.7</v>
      </c>
      <c r="C45">
        <v>-0.2</v>
      </c>
      <c r="D45">
        <v>5</v>
      </c>
      <c r="E45">
        <v>9</v>
      </c>
      <c r="F45">
        <v>13.9</v>
      </c>
      <c r="G45">
        <v>17.8</v>
      </c>
      <c r="H45">
        <v>20.8</v>
      </c>
      <c r="I45">
        <v>17.600000000000001</v>
      </c>
      <c r="J45">
        <v>12.2</v>
      </c>
      <c r="K45">
        <v>10.9</v>
      </c>
      <c r="L45">
        <v>3.2</v>
      </c>
      <c r="M45">
        <v>-5.2</v>
      </c>
    </row>
    <row r="46" spans="1:13" x14ac:dyDescent="0.25">
      <c r="A46">
        <v>1823</v>
      </c>
      <c r="B46">
        <v>-13</v>
      </c>
      <c r="C46">
        <v>-2.5</v>
      </c>
      <c r="D46">
        <v>2.5</v>
      </c>
      <c r="E46">
        <v>6</v>
      </c>
      <c r="F46">
        <v>12.5</v>
      </c>
      <c r="G46">
        <v>18.5</v>
      </c>
      <c r="H46">
        <v>19.5</v>
      </c>
      <c r="I46">
        <v>20.399999999999999</v>
      </c>
      <c r="J46">
        <v>13.6</v>
      </c>
      <c r="K46">
        <v>10.5</v>
      </c>
      <c r="L46">
        <v>2.9</v>
      </c>
      <c r="M46">
        <v>-2.2999999999999998</v>
      </c>
    </row>
    <row r="47" spans="1:13" x14ac:dyDescent="0.25">
      <c r="A47">
        <v>1824</v>
      </c>
      <c r="B47">
        <v>-2.2999999999999998</v>
      </c>
      <c r="C47">
        <v>-1.1000000000000001</v>
      </c>
      <c r="D47">
        <v>2.5</v>
      </c>
      <c r="E47">
        <v>7</v>
      </c>
      <c r="F47">
        <v>10.8</v>
      </c>
      <c r="G47">
        <v>15.7</v>
      </c>
      <c r="H47">
        <v>18.100000000000001</v>
      </c>
      <c r="I47">
        <v>18.3</v>
      </c>
      <c r="J47">
        <v>16.5</v>
      </c>
      <c r="K47">
        <v>8.9</v>
      </c>
      <c r="L47">
        <v>3.8</v>
      </c>
      <c r="M47">
        <v>2.4</v>
      </c>
    </row>
    <row r="48" spans="1:13" x14ac:dyDescent="0.25">
      <c r="A48">
        <v>1825</v>
      </c>
      <c r="B48">
        <v>-1.6</v>
      </c>
      <c r="C48">
        <v>-3.1</v>
      </c>
      <c r="D48">
        <v>-2.2999999999999998</v>
      </c>
      <c r="E48">
        <v>6.9</v>
      </c>
      <c r="F48">
        <v>13</v>
      </c>
      <c r="G48">
        <v>17.399999999999999</v>
      </c>
      <c r="H48">
        <v>18.7</v>
      </c>
      <c r="I48">
        <v>18.3</v>
      </c>
      <c r="J48">
        <v>13.8</v>
      </c>
      <c r="K48">
        <v>8.8000000000000007</v>
      </c>
      <c r="L48">
        <v>5.7</v>
      </c>
      <c r="M48">
        <v>2.5</v>
      </c>
    </row>
    <row r="49" spans="1:13" x14ac:dyDescent="0.25">
      <c r="A49">
        <v>1826</v>
      </c>
      <c r="B49">
        <v>-8.6</v>
      </c>
      <c r="C49">
        <v>-1.6</v>
      </c>
      <c r="D49">
        <v>1.5</v>
      </c>
      <c r="E49">
        <v>6.2</v>
      </c>
      <c r="F49">
        <v>12.6</v>
      </c>
      <c r="G49">
        <v>17.100000000000001</v>
      </c>
      <c r="H49">
        <v>21.4</v>
      </c>
      <c r="I49">
        <v>19.600000000000001</v>
      </c>
      <c r="J49">
        <v>13.6</v>
      </c>
      <c r="K49">
        <v>9.6999999999999993</v>
      </c>
      <c r="L49">
        <v>2.2999999999999998</v>
      </c>
      <c r="M49">
        <v>-0.6</v>
      </c>
    </row>
    <row r="50" spans="1:13" x14ac:dyDescent="0.25">
      <c r="A50">
        <v>1827</v>
      </c>
      <c r="B50">
        <v>-2.5</v>
      </c>
      <c r="C50">
        <v>-7.5</v>
      </c>
      <c r="D50">
        <v>2.7</v>
      </c>
      <c r="E50">
        <v>10.4</v>
      </c>
      <c r="F50">
        <v>14.9</v>
      </c>
      <c r="G50">
        <v>19.600000000000001</v>
      </c>
      <c r="H50">
        <v>18.600000000000001</v>
      </c>
      <c r="I50">
        <v>17</v>
      </c>
      <c r="J50">
        <v>14</v>
      </c>
      <c r="K50">
        <v>9.1</v>
      </c>
      <c r="L50">
        <v>-0.4</v>
      </c>
      <c r="M50">
        <v>1</v>
      </c>
    </row>
    <row r="51" spans="1:13" x14ac:dyDescent="0.25">
      <c r="A51">
        <v>1828</v>
      </c>
      <c r="B51">
        <v>-7.4</v>
      </c>
      <c r="C51">
        <v>-4.7</v>
      </c>
      <c r="D51">
        <v>2</v>
      </c>
      <c r="E51">
        <v>9.1999999999999993</v>
      </c>
      <c r="F51">
        <v>12.3</v>
      </c>
      <c r="G51">
        <v>16.8</v>
      </c>
      <c r="H51">
        <v>19.399999999999999</v>
      </c>
      <c r="I51">
        <v>16.600000000000001</v>
      </c>
      <c r="J51">
        <v>12.7</v>
      </c>
      <c r="K51">
        <v>7.5</v>
      </c>
      <c r="L51">
        <v>2.5</v>
      </c>
      <c r="M51">
        <v>-2.1</v>
      </c>
    </row>
    <row r="52" spans="1:13" x14ac:dyDescent="0.25">
      <c r="A52">
        <v>1829</v>
      </c>
      <c r="B52">
        <v>-8.5</v>
      </c>
      <c r="C52">
        <v>-6.9</v>
      </c>
      <c r="D52">
        <v>-1.7</v>
      </c>
      <c r="E52">
        <v>6.6</v>
      </c>
      <c r="F52">
        <v>11.4</v>
      </c>
      <c r="G52">
        <v>15.5</v>
      </c>
      <c r="H52">
        <v>18</v>
      </c>
      <c r="I52">
        <v>16.399999999999999</v>
      </c>
      <c r="J52">
        <v>14.3</v>
      </c>
      <c r="K52">
        <v>5.3</v>
      </c>
      <c r="L52">
        <v>-2.2999999999999998</v>
      </c>
      <c r="M52">
        <v>-11.2</v>
      </c>
    </row>
    <row r="53" spans="1:13" x14ac:dyDescent="0.25">
      <c r="A53">
        <v>1830</v>
      </c>
      <c r="B53">
        <v>-10</v>
      </c>
      <c r="C53">
        <v>-6.4</v>
      </c>
      <c r="D53">
        <v>0.9</v>
      </c>
      <c r="E53">
        <v>8</v>
      </c>
      <c r="F53">
        <v>11.9</v>
      </c>
      <c r="G53">
        <v>17.399999999999999</v>
      </c>
      <c r="H53">
        <v>17.100000000000001</v>
      </c>
      <c r="I53">
        <v>17.899999999999999</v>
      </c>
      <c r="J53">
        <v>12.5</v>
      </c>
      <c r="K53">
        <v>6.8</v>
      </c>
      <c r="L53">
        <v>3.8</v>
      </c>
      <c r="M53">
        <v>-0.2</v>
      </c>
    </row>
    <row r="54" spans="1:13" x14ac:dyDescent="0.25">
      <c r="A54">
        <v>1831</v>
      </c>
      <c r="B54">
        <v>-7.2</v>
      </c>
      <c r="C54">
        <v>-1.3</v>
      </c>
      <c r="D54">
        <v>0.4</v>
      </c>
      <c r="E54">
        <v>10.4</v>
      </c>
      <c r="F54">
        <v>13</v>
      </c>
      <c r="G54">
        <v>16.100000000000001</v>
      </c>
      <c r="H54">
        <v>18.7</v>
      </c>
      <c r="I54">
        <v>16.899999999999999</v>
      </c>
      <c r="J54">
        <v>12</v>
      </c>
      <c r="K54">
        <v>9.5</v>
      </c>
      <c r="L54">
        <v>1.6</v>
      </c>
      <c r="M54">
        <v>-1.8</v>
      </c>
    </row>
    <row r="55" spans="1:13" x14ac:dyDescent="0.25">
      <c r="A55">
        <v>1832</v>
      </c>
      <c r="B55">
        <v>-3.5</v>
      </c>
      <c r="C55">
        <v>-1.7</v>
      </c>
      <c r="D55">
        <v>0.4</v>
      </c>
      <c r="E55">
        <v>5.7</v>
      </c>
      <c r="F55">
        <v>10.7</v>
      </c>
      <c r="G55">
        <v>15.2</v>
      </c>
      <c r="H55">
        <v>14.6</v>
      </c>
      <c r="I55">
        <v>16.899999999999999</v>
      </c>
      <c r="J55">
        <v>10.9</v>
      </c>
      <c r="K55">
        <v>7.6</v>
      </c>
      <c r="L55">
        <v>0.4</v>
      </c>
      <c r="M55">
        <v>-3.6</v>
      </c>
    </row>
    <row r="56" spans="1:13" x14ac:dyDescent="0.25">
      <c r="A56">
        <v>1833</v>
      </c>
      <c r="B56">
        <v>-4.7</v>
      </c>
      <c r="C56">
        <v>1.3</v>
      </c>
      <c r="D56">
        <v>2</v>
      </c>
      <c r="E56">
        <v>6</v>
      </c>
      <c r="F56">
        <v>15.3</v>
      </c>
      <c r="G56">
        <v>18.3</v>
      </c>
      <c r="H56">
        <v>17.5</v>
      </c>
      <c r="I56">
        <v>14</v>
      </c>
      <c r="J56">
        <v>13.3</v>
      </c>
      <c r="K56">
        <v>6.8</v>
      </c>
      <c r="L56">
        <v>2.5</v>
      </c>
      <c r="M56">
        <v>2.1</v>
      </c>
    </row>
    <row r="57" spans="1:13" x14ac:dyDescent="0.25">
      <c r="A57">
        <v>1834</v>
      </c>
      <c r="B57">
        <v>-0.4</v>
      </c>
      <c r="C57">
        <v>-1.4</v>
      </c>
      <c r="D57">
        <v>1.3</v>
      </c>
      <c r="E57">
        <v>6.4</v>
      </c>
      <c r="F57">
        <v>15.3</v>
      </c>
      <c r="G57">
        <v>17.100000000000001</v>
      </c>
      <c r="H57">
        <v>21.2</v>
      </c>
      <c r="I57">
        <v>20.3</v>
      </c>
      <c r="J57">
        <v>14.3</v>
      </c>
      <c r="K57">
        <v>7.6</v>
      </c>
      <c r="L57">
        <v>2.5</v>
      </c>
      <c r="M57">
        <v>0.2</v>
      </c>
    </row>
    <row r="58" spans="1:13" x14ac:dyDescent="0.25">
      <c r="A58">
        <v>1835</v>
      </c>
      <c r="B58">
        <v>-1.1000000000000001</v>
      </c>
      <c r="C58">
        <v>1.2</v>
      </c>
      <c r="D58">
        <v>2.2999999999999998</v>
      </c>
      <c r="E58">
        <v>6.1</v>
      </c>
      <c r="F58">
        <v>12.5</v>
      </c>
      <c r="G58">
        <v>17.2</v>
      </c>
      <c r="H58">
        <v>18.8</v>
      </c>
      <c r="I58">
        <v>15.2</v>
      </c>
      <c r="J58">
        <v>13.4</v>
      </c>
      <c r="K58">
        <v>7.4</v>
      </c>
      <c r="L58">
        <v>-1.5</v>
      </c>
      <c r="M58">
        <v>-4.5999999999999996</v>
      </c>
    </row>
    <row r="59" spans="1:13" x14ac:dyDescent="0.25">
      <c r="A59">
        <v>1836</v>
      </c>
      <c r="B59">
        <v>-5.2</v>
      </c>
      <c r="C59">
        <v>-0.7</v>
      </c>
      <c r="D59">
        <v>7.4</v>
      </c>
      <c r="E59">
        <v>8.8000000000000007</v>
      </c>
      <c r="F59">
        <v>10</v>
      </c>
      <c r="G59">
        <v>17.399999999999999</v>
      </c>
      <c r="H59">
        <v>16.7</v>
      </c>
      <c r="I59">
        <v>15.9</v>
      </c>
      <c r="J59">
        <v>13.9</v>
      </c>
      <c r="K59">
        <v>11</v>
      </c>
      <c r="L59">
        <v>-0.6</v>
      </c>
      <c r="M59">
        <v>-0.6</v>
      </c>
    </row>
    <row r="60" spans="1:13" x14ac:dyDescent="0.25">
      <c r="A60">
        <v>1837</v>
      </c>
      <c r="B60">
        <v>-4</v>
      </c>
      <c r="C60">
        <v>-3.7</v>
      </c>
      <c r="D60">
        <v>-0.7</v>
      </c>
      <c r="E60">
        <v>7.7</v>
      </c>
      <c r="F60">
        <v>12.7</v>
      </c>
      <c r="G60">
        <v>16.399999999999999</v>
      </c>
      <c r="H60">
        <v>16.7</v>
      </c>
      <c r="I60">
        <v>18.899999999999999</v>
      </c>
      <c r="J60">
        <v>12.6</v>
      </c>
      <c r="K60">
        <v>7.8</v>
      </c>
      <c r="L60">
        <v>3.6</v>
      </c>
      <c r="M60">
        <v>-4.9000000000000004</v>
      </c>
    </row>
    <row r="61" spans="1:13" x14ac:dyDescent="0.25">
      <c r="A61">
        <v>1838</v>
      </c>
      <c r="B61">
        <v>-13.5</v>
      </c>
      <c r="C61">
        <v>-7.3</v>
      </c>
      <c r="D61">
        <v>0.6</v>
      </c>
      <c r="E61">
        <v>5.8</v>
      </c>
      <c r="F61">
        <v>14.2</v>
      </c>
      <c r="G61">
        <v>16.7</v>
      </c>
      <c r="H61">
        <v>17.399999999999999</v>
      </c>
      <c r="I61">
        <v>15.5</v>
      </c>
      <c r="J61">
        <v>15.8</v>
      </c>
      <c r="K61">
        <v>6.1</v>
      </c>
      <c r="L61">
        <v>0.4</v>
      </c>
      <c r="M61">
        <v>-2.7</v>
      </c>
    </row>
    <row r="62" spans="1:13" x14ac:dyDescent="0.25">
      <c r="A62">
        <v>1839</v>
      </c>
      <c r="B62">
        <v>-4.4000000000000004</v>
      </c>
      <c r="C62">
        <v>-2.2999999999999998</v>
      </c>
      <c r="D62">
        <v>-3.4</v>
      </c>
      <c r="E62">
        <v>3.7</v>
      </c>
      <c r="F62">
        <v>15.3</v>
      </c>
      <c r="G62">
        <v>18.399999999999999</v>
      </c>
      <c r="H62">
        <v>20.7</v>
      </c>
      <c r="I62">
        <v>18</v>
      </c>
      <c r="J62">
        <v>16.2</v>
      </c>
      <c r="K62">
        <v>8.3000000000000007</v>
      </c>
      <c r="L62">
        <v>2.2000000000000002</v>
      </c>
      <c r="M62">
        <v>-5.6</v>
      </c>
    </row>
    <row r="63" spans="1:13" x14ac:dyDescent="0.25">
      <c r="A63">
        <v>1840</v>
      </c>
      <c r="B63">
        <v>-4.2</v>
      </c>
      <c r="C63">
        <v>-3.5</v>
      </c>
      <c r="D63">
        <v>-3</v>
      </c>
      <c r="E63">
        <v>6.5</v>
      </c>
      <c r="F63">
        <v>11.1</v>
      </c>
      <c r="G63">
        <v>16.5</v>
      </c>
      <c r="H63">
        <v>19</v>
      </c>
      <c r="I63">
        <v>16.7</v>
      </c>
      <c r="J63">
        <v>14.8</v>
      </c>
      <c r="K63">
        <v>5.7</v>
      </c>
      <c r="L63">
        <v>3.5</v>
      </c>
      <c r="M63">
        <v>-8.9</v>
      </c>
    </row>
    <row r="64" spans="1:13" x14ac:dyDescent="0.25">
      <c r="A64">
        <v>1841</v>
      </c>
      <c r="B64">
        <v>-3.9</v>
      </c>
      <c r="C64">
        <v>-9.5</v>
      </c>
      <c r="D64">
        <v>1.2</v>
      </c>
      <c r="E64">
        <v>9.4</v>
      </c>
      <c r="F64">
        <v>16.8</v>
      </c>
      <c r="G64">
        <v>17.8</v>
      </c>
      <c r="H64">
        <v>18.3</v>
      </c>
      <c r="I64">
        <v>19.3</v>
      </c>
      <c r="J64">
        <v>14.6</v>
      </c>
      <c r="K64">
        <v>11.2</v>
      </c>
      <c r="L64">
        <v>3.1</v>
      </c>
      <c r="M64">
        <v>2</v>
      </c>
    </row>
    <row r="65" spans="1:13" x14ac:dyDescent="0.25">
      <c r="A65">
        <v>1842</v>
      </c>
      <c r="B65">
        <v>-7.3</v>
      </c>
      <c r="C65">
        <v>-3.5</v>
      </c>
      <c r="D65">
        <v>1.7</v>
      </c>
      <c r="E65">
        <v>4</v>
      </c>
      <c r="F65">
        <v>14.4</v>
      </c>
      <c r="G65">
        <v>16</v>
      </c>
      <c r="H65">
        <v>16.5</v>
      </c>
      <c r="I65">
        <v>20.5</v>
      </c>
      <c r="J65">
        <v>13.7</v>
      </c>
      <c r="K65">
        <v>5.7</v>
      </c>
      <c r="L65">
        <v>-1.3</v>
      </c>
      <c r="M65">
        <v>1.6</v>
      </c>
    </row>
    <row r="66" spans="1:13" x14ac:dyDescent="0.25">
      <c r="A66">
        <v>1843</v>
      </c>
      <c r="B66">
        <v>-1</v>
      </c>
      <c r="C66">
        <v>3.6</v>
      </c>
      <c r="D66">
        <v>0.1</v>
      </c>
      <c r="E66">
        <v>7.3</v>
      </c>
      <c r="F66">
        <v>10.5</v>
      </c>
      <c r="G66">
        <v>17.100000000000001</v>
      </c>
      <c r="H66">
        <v>18.600000000000001</v>
      </c>
      <c r="I66">
        <v>19.399999999999999</v>
      </c>
      <c r="J66">
        <v>12</v>
      </c>
      <c r="K66">
        <v>7.6</v>
      </c>
      <c r="L66">
        <v>1.9</v>
      </c>
      <c r="M66">
        <v>2.2999999999999998</v>
      </c>
    </row>
    <row r="67" spans="1:13" x14ac:dyDescent="0.25">
      <c r="A67">
        <v>1844</v>
      </c>
      <c r="B67">
        <v>-4</v>
      </c>
      <c r="C67">
        <v>-4.8</v>
      </c>
      <c r="D67">
        <v>-1.3</v>
      </c>
      <c r="E67">
        <v>6.6</v>
      </c>
      <c r="F67">
        <v>14.8</v>
      </c>
      <c r="G67">
        <v>15.7</v>
      </c>
      <c r="H67">
        <v>15.4</v>
      </c>
      <c r="I67">
        <v>16</v>
      </c>
      <c r="J67">
        <v>14</v>
      </c>
      <c r="K67">
        <v>8.5</v>
      </c>
      <c r="L67">
        <v>2.2999999999999998</v>
      </c>
      <c r="M67">
        <v>-6.2</v>
      </c>
    </row>
    <row r="68" spans="1:13" x14ac:dyDescent="0.25">
      <c r="A68">
        <v>1845</v>
      </c>
      <c r="B68">
        <v>-2.2000000000000002</v>
      </c>
      <c r="C68">
        <v>-10.3</v>
      </c>
      <c r="D68">
        <v>-6.9</v>
      </c>
      <c r="E68">
        <v>7.4</v>
      </c>
      <c r="F68">
        <v>12.2</v>
      </c>
      <c r="G68">
        <v>18.2</v>
      </c>
      <c r="H68">
        <v>20.5</v>
      </c>
      <c r="I68">
        <v>17.100000000000001</v>
      </c>
      <c r="J68">
        <v>12.2</v>
      </c>
      <c r="K68">
        <v>7.7</v>
      </c>
      <c r="L68">
        <v>3.9</v>
      </c>
      <c r="M68">
        <v>-0.2</v>
      </c>
    </row>
    <row r="69" spans="1:13" x14ac:dyDescent="0.25">
      <c r="A69">
        <v>1846</v>
      </c>
      <c r="B69">
        <v>-2.8</v>
      </c>
      <c r="C69">
        <v>-1.6</v>
      </c>
      <c r="D69">
        <v>4.8</v>
      </c>
      <c r="E69">
        <v>9.1</v>
      </c>
      <c r="F69">
        <v>11.2</v>
      </c>
      <c r="G69">
        <v>16.3</v>
      </c>
      <c r="H69">
        <v>19.899999999999999</v>
      </c>
      <c r="I69">
        <v>21.4</v>
      </c>
      <c r="J69">
        <v>14.2</v>
      </c>
      <c r="K69">
        <v>11.2</v>
      </c>
      <c r="L69">
        <v>-0.2</v>
      </c>
      <c r="M69">
        <v>-4.0999999999999996</v>
      </c>
    </row>
    <row r="70" spans="1:13" x14ac:dyDescent="0.25">
      <c r="A70">
        <v>1847</v>
      </c>
      <c r="B70">
        <v>-7.4</v>
      </c>
      <c r="C70">
        <v>-2.7</v>
      </c>
      <c r="D70">
        <v>0.8</v>
      </c>
      <c r="E70">
        <v>5.7</v>
      </c>
      <c r="F70">
        <v>14.2</v>
      </c>
      <c r="G70">
        <v>16.100000000000001</v>
      </c>
      <c r="H70">
        <v>17.100000000000001</v>
      </c>
      <c r="I70">
        <v>19.399999999999999</v>
      </c>
      <c r="J70">
        <v>12</v>
      </c>
      <c r="K70">
        <v>6.5</v>
      </c>
      <c r="L70">
        <v>2.1</v>
      </c>
      <c r="M70">
        <v>-3.3</v>
      </c>
    </row>
    <row r="71" spans="1:13" x14ac:dyDescent="0.25">
      <c r="A71">
        <v>1848</v>
      </c>
      <c r="B71">
        <v>-13</v>
      </c>
      <c r="C71">
        <v>-0.1</v>
      </c>
      <c r="D71">
        <v>3.8</v>
      </c>
      <c r="E71">
        <v>11.1</v>
      </c>
      <c r="F71">
        <v>13.8</v>
      </c>
      <c r="G71">
        <v>19.600000000000001</v>
      </c>
      <c r="H71">
        <v>19</v>
      </c>
      <c r="I71">
        <v>17.399999999999999</v>
      </c>
      <c r="J71">
        <v>12.5</v>
      </c>
      <c r="K71">
        <v>9.3000000000000007</v>
      </c>
      <c r="L71">
        <v>2</v>
      </c>
      <c r="M71">
        <v>0.3</v>
      </c>
    </row>
    <row r="72" spans="1:13" x14ac:dyDescent="0.25">
      <c r="A72">
        <v>1849</v>
      </c>
      <c r="B72">
        <v>-5.3</v>
      </c>
      <c r="C72">
        <v>-0.4</v>
      </c>
      <c r="D72">
        <v>-0.6</v>
      </c>
      <c r="E72">
        <v>5.9</v>
      </c>
      <c r="F72">
        <v>14.5</v>
      </c>
      <c r="G72">
        <v>16.2</v>
      </c>
      <c r="H72">
        <v>16.8</v>
      </c>
      <c r="I72">
        <v>16.100000000000001</v>
      </c>
      <c r="J72">
        <v>12.1</v>
      </c>
      <c r="K72">
        <v>7.2</v>
      </c>
      <c r="L72">
        <v>2</v>
      </c>
      <c r="M72">
        <v>-6.3</v>
      </c>
    </row>
    <row r="73" spans="1:13" x14ac:dyDescent="0.25">
      <c r="A73">
        <v>1850</v>
      </c>
      <c r="B73">
        <v>-11.7</v>
      </c>
      <c r="C73">
        <v>-0.4</v>
      </c>
      <c r="D73">
        <v>-1.6</v>
      </c>
      <c r="E73">
        <v>7.2</v>
      </c>
      <c r="F73">
        <v>14.9</v>
      </c>
      <c r="G73">
        <v>18.8</v>
      </c>
      <c r="H73">
        <v>18.8</v>
      </c>
      <c r="I73">
        <v>18.899999999999999</v>
      </c>
      <c r="J73">
        <v>11.6</v>
      </c>
      <c r="K73">
        <v>7.3</v>
      </c>
      <c r="L73">
        <v>2.5</v>
      </c>
      <c r="M73">
        <v>-0.3</v>
      </c>
    </row>
    <row r="74" spans="1:13" x14ac:dyDescent="0.25">
      <c r="A74">
        <v>1851</v>
      </c>
      <c r="B74">
        <v>-5.0999999999999996</v>
      </c>
      <c r="C74">
        <v>-2.2999999999999998</v>
      </c>
      <c r="D74">
        <v>1.2</v>
      </c>
      <c r="E74">
        <v>9.5</v>
      </c>
      <c r="F74">
        <v>10.6</v>
      </c>
      <c r="G74">
        <v>15.9</v>
      </c>
      <c r="H74">
        <v>17.7</v>
      </c>
      <c r="I74">
        <v>17.7</v>
      </c>
      <c r="J74">
        <v>13.1</v>
      </c>
      <c r="K74">
        <v>10.4</v>
      </c>
      <c r="L74">
        <v>3.2</v>
      </c>
      <c r="M74">
        <v>-0.4</v>
      </c>
    </row>
    <row r="75" spans="1:13" x14ac:dyDescent="0.25">
      <c r="A75">
        <v>1852</v>
      </c>
      <c r="B75">
        <v>-0.3</v>
      </c>
      <c r="C75">
        <v>-2.2000000000000002</v>
      </c>
      <c r="D75">
        <v>-1.1000000000000001</v>
      </c>
      <c r="E75">
        <v>3.3</v>
      </c>
      <c r="F75">
        <v>13.3</v>
      </c>
      <c r="G75">
        <v>18.600000000000001</v>
      </c>
      <c r="H75">
        <v>19.2</v>
      </c>
      <c r="I75">
        <v>18.399999999999999</v>
      </c>
      <c r="J75">
        <v>13.8</v>
      </c>
      <c r="K75">
        <v>6.8</v>
      </c>
      <c r="L75">
        <v>3.1</v>
      </c>
      <c r="M75">
        <v>2</v>
      </c>
    </row>
    <row r="76" spans="1:13" x14ac:dyDescent="0.25">
      <c r="A76">
        <v>1853</v>
      </c>
      <c r="B76">
        <v>-1.1000000000000001</v>
      </c>
      <c r="C76">
        <v>-3.2</v>
      </c>
      <c r="D76">
        <v>-3.5</v>
      </c>
      <c r="E76">
        <v>3.6</v>
      </c>
      <c r="F76">
        <v>12.8</v>
      </c>
      <c r="G76">
        <v>18.399999999999999</v>
      </c>
      <c r="H76">
        <v>18.899999999999999</v>
      </c>
      <c r="I76">
        <v>17.399999999999999</v>
      </c>
      <c r="J76">
        <v>13</v>
      </c>
      <c r="K76">
        <v>8.8000000000000007</v>
      </c>
      <c r="L76">
        <v>0</v>
      </c>
      <c r="M76">
        <v>-5.3</v>
      </c>
    </row>
    <row r="77" spans="1:13" x14ac:dyDescent="0.25">
      <c r="A77">
        <v>1854</v>
      </c>
      <c r="B77">
        <v>-3.2</v>
      </c>
      <c r="C77">
        <v>-2.8</v>
      </c>
      <c r="D77">
        <v>0.8</v>
      </c>
      <c r="E77">
        <v>6.2</v>
      </c>
      <c r="F77">
        <v>15.1</v>
      </c>
      <c r="G77">
        <v>15.9</v>
      </c>
      <c r="H77">
        <v>19.8</v>
      </c>
      <c r="I77">
        <v>17.5</v>
      </c>
      <c r="J77">
        <v>12</v>
      </c>
      <c r="K77">
        <v>8.8000000000000007</v>
      </c>
      <c r="L77">
        <v>-0.2</v>
      </c>
      <c r="M77">
        <v>-0.1</v>
      </c>
    </row>
    <row r="78" spans="1:13" x14ac:dyDescent="0.25">
      <c r="A78">
        <v>1855</v>
      </c>
      <c r="B78">
        <v>-6.6</v>
      </c>
      <c r="C78">
        <v>-11.4</v>
      </c>
      <c r="D78">
        <v>0.3</v>
      </c>
      <c r="E78">
        <v>5.5</v>
      </c>
      <c r="F78">
        <v>12.6</v>
      </c>
      <c r="G78">
        <v>18.899999999999999</v>
      </c>
      <c r="H78">
        <v>19.100000000000001</v>
      </c>
      <c r="I78">
        <v>17.8</v>
      </c>
      <c r="J78">
        <v>11.8</v>
      </c>
      <c r="K78">
        <v>10.3</v>
      </c>
      <c r="L78">
        <v>0.5</v>
      </c>
      <c r="M78">
        <v>-9.3000000000000007</v>
      </c>
    </row>
    <row r="79" spans="1:13" x14ac:dyDescent="0.25">
      <c r="A79">
        <v>1856</v>
      </c>
      <c r="B79">
        <v>-1.4</v>
      </c>
      <c r="C79">
        <v>-2</v>
      </c>
      <c r="D79">
        <v>-1.9</v>
      </c>
      <c r="E79">
        <v>8.8000000000000007</v>
      </c>
      <c r="F79">
        <v>12.4</v>
      </c>
      <c r="G79">
        <v>17.8</v>
      </c>
      <c r="H79">
        <v>17.100000000000001</v>
      </c>
      <c r="I79">
        <v>15.9</v>
      </c>
      <c r="J79">
        <v>12.8</v>
      </c>
      <c r="K79">
        <v>8.6999999999999993</v>
      </c>
      <c r="L79">
        <v>-1.7</v>
      </c>
      <c r="M79">
        <v>-0.7</v>
      </c>
    </row>
    <row r="80" spans="1:13" x14ac:dyDescent="0.25">
      <c r="A80">
        <v>1857</v>
      </c>
      <c r="B80">
        <v>-3.6</v>
      </c>
      <c r="C80">
        <v>-4.9000000000000004</v>
      </c>
      <c r="D80">
        <v>0.4</v>
      </c>
      <c r="E80">
        <v>7.5</v>
      </c>
      <c r="F80">
        <v>11.9</v>
      </c>
      <c r="G80">
        <v>17.3</v>
      </c>
      <c r="H80">
        <v>18.3</v>
      </c>
      <c r="I80">
        <v>18.5</v>
      </c>
      <c r="J80">
        <v>13.5</v>
      </c>
      <c r="K80">
        <v>10.3</v>
      </c>
      <c r="L80">
        <v>0.5</v>
      </c>
      <c r="M80">
        <v>1.3</v>
      </c>
    </row>
    <row r="81" spans="1:13" x14ac:dyDescent="0.25">
      <c r="A81">
        <v>1858</v>
      </c>
      <c r="B81">
        <v>-5.3</v>
      </c>
      <c r="C81">
        <v>-8.1</v>
      </c>
      <c r="D81">
        <v>-1.2</v>
      </c>
      <c r="E81">
        <v>5.3</v>
      </c>
      <c r="F81">
        <v>13.3</v>
      </c>
      <c r="G81">
        <v>18.399999999999999</v>
      </c>
      <c r="H81">
        <v>20</v>
      </c>
      <c r="I81">
        <v>18.8</v>
      </c>
      <c r="J81">
        <v>13.7</v>
      </c>
      <c r="K81">
        <v>9.8000000000000007</v>
      </c>
      <c r="L81">
        <v>-2.6</v>
      </c>
      <c r="M81">
        <v>-3.3</v>
      </c>
    </row>
    <row r="82" spans="1:13" x14ac:dyDescent="0.25">
      <c r="A82">
        <v>1859</v>
      </c>
      <c r="B82">
        <v>-1.1000000000000001</v>
      </c>
      <c r="C82">
        <v>0.8</v>
      </c>
      <c r="D82">
        <v>3.7</v>
      </c>
      <c r="E82">
        <v>7.1</v>
      </c>
      <c r="F82">
        <v>14.2</v>
      </c>
      <c r="G82">
        <v>18.100000000000001</v>
      </c>
      <c r="H82">
        <v>20.5</v>
      </c>
      <c r="I82">
        <v>20.399999999999999</v>
      </c>
      <c r="J82">
        <v>11.9</v>
      </c>
      <c r="K82">
        <v>8.5</v>
      </c>
      <c r="L82">
        <v>2.1</v>
      </c>
      <c r="M82">
        <v>-4.3</v>
      </c>
    </row>
    <row r="83" spans="1:13" x14ac:dyDescent="0.25">
      <c r="A83">
        <v>1860</v>
      </c>
      <c r="B83">
        <v>-1.3</v>
      </c>
      <c r="C83">
        <v>-3.6</v>
      </c>
      <c r="D83">
        <v>-1.2</v>
      </c>
      <c r="E83">
        <v>7.8</v>
      </c>
      <c r="F83">
        <v>14.1</v>
      </c>
      <c r="G83">
        <v>18</v>
      </c>
      <c r="H83">
        <v>17.600000000000001</v>
      </c>
      <c r="I83">
        <v>17.5</v>
      </c>
      <c r="J83">
        <v>14.2</v>
      </c>
      <c r="K83">
        <v>5.9</v>
      </c>
      <c r="L83">
        <v>0.6</v>
      </c>
      <c r="M83">
        <v>-4.3</v>
      </c>
    </row>
    <row r="84" spans="1:13" x14ac:dyDescent="0.25">
      <c r="A84">
        <v>1861</v>
      </c>
      <c r="B84">
        <v>-9.3000000000000007</v>
      </c>
      <c r="C84">
        <v>1.2</v>
      </c>
      <c r="D84">
        <v>3.7</v>
      </c>
      <c r="E84">
        <v>4.7</v>
      </c>
      <c r="F84">
        <v>10.6</v>
      </c>
      <c r="G84">
        <v>19.899999999999999</v>
      </c>
      <c r="H84">
        <v>20.9</v>
      </c>
      <c r="I84">
        <v>18</v>
      </c>
      <c r="J84">
        <v>12.9</v>
      </c>
      <c r="K84">
        <v>7.6</v>
      </c>
      <c r="L84">
        <v>3.4</v>
      </c>
      <c r="M84">
        <v>-1.8</v>
      </c>
    </row>
    <row r="85" spans="1:13" x14ac:dyDescent="0.25">
      <c r="A85">
        <v>1862</v>
      </c>
      <c r="B85">
        <v>-6.8</v>
      </c>
      <c r="C85">
        <v>-5.5</v>
      </c>
      <c r="D85">
        <v>3.1</v>
      </c>
      <c r="E85">
        <v>7.6</v>
      </c>
      <c r="F85">
        <v>15</v>
      </c>
      <c r="G85">
        <v>17.100000000000001</v>
      </c>
      <c r="H85">
        <v>18.3</v>
      </c>
      <c r="I85">
        <v>17.8</v>
      </c>
      <c r="J85">
        <v>14</v>
      </c>
      <c r="K85">
        <v>9.1999999999999993</v>
      </c>
      <c r="L85">
        <v>-0.6</v>
      </c>
      <c r="M85">
        <v>-6.8</v>
      </c>
    </row>
    <row r="86" spans="1:13" x14ac:dyDescent="0.25">
      <c r="A86">
        <v>1863</v>
      </c>
      <c r="B86">
        <v>1.4</v>
      </c>
      <c r="C86">
        <v>1.2</v>
      </c>
      <c r="D86">
        <v>3.2</v>
      </c>
      <c r="E86">
        <v>6.6</v>
      </c>
      <c r="F86">
        <v>13.9</v>
      </c>
      <c r="G86">
        <v>17.7</v>
      </c>
      <c r="H86">
        <v>17</v>
      </c>
      <c r="I86">
        <v>18.7</v>
      </c>
      <c r="J86">
        <v>14.9</v>
      </c>
      <c r="K86">
        <v>9.8000000000000007</v>
      </c>
      <c r="L86">
        <v>3.7</v>
      </c>
      <c r="M86">
        <v>-0.4</v>
      </c>
    </row>
    <row r="87" spans="1:13" x14ac:dyDescent="0.25">
      <c r="A87">
        <v>1864</v>
      </c>
      <c r="B87">
        <v>-6.1</v>
      </c>
      <c r="C87">
        <v>-1.5</v>
      </c>
      <c r="D87">
        <v>3.6</v>
      </c>
      <c r="E87">
        <v>5.0999999999999996</v>
      </c>
      <c r="F87">
        <v>7.9</v>
      </c>
      <c r="G87">
        <v>17.8</v>
      </c>
      <c r="H87">
        <v>16.399999999999999</v>
      </c>
      <c r="I87">
        <v>15.3</v>
      </c>
      <c r="J87">
        <v>12.9</v>
      </c>
      <c r="K87">
        <v>6.6</v>
      </c>
      <c r="L87">
        <v>-0.3</v>
      </c>
      <c r="M87">
        <v>-6.4</v>
      </c>
    </row>
    <row r="88" spans="1:13" x14ac:dyDescent="0.25">
      <c r="A88">
        <v>1865</v>
      </c>
      <c r="B88">
        <v>-2.2999999999999998</v>
      </c>
      <c r="C88">
        <v>-9.1</v>
      </c>
      <c r="D88">
        <v>-1.6</v>
      </c>
      <c r="E88">
        <v>7.1</v>
      </c>
      <c r="F88">
        <v>16.399999999999999</v>
      </c>
      <c r="G88">
        <v>13.6</v>
      </c>
      <c r="H88">
        <v>21.6</v>
      </c>
      <c r="I88">
        <v>16.600000000000001</v>
      </c>
      <c r="J88">
        <v>12.8</v>
      </c>
      <c r="K88">
        <v>7.7</v>
      </c>
      <c r="L88">
        <v>3.6</v>
      </c>
      <c r="M88">
        <v>-0.4</v>
      </c>
    </row>
    <row r="89" spans="1:13" x14ac:dyDescent="0.25">
      <c r="A89">
        <v>1866</v>
      </c>
      <c r="B89">
        <v>1</v>
      </c>
      <c r="C89">
        <v>-0.3</v>
      </c>
      <c r="D89">
        <v>1.6</v>
      </c>
      <c r="E89">
        <v>9</v>
      </c>
      <c r="F89">
        <v>11</v>
      </c>
      <c r="G89">
        <v>20.6</v>
      </c>
      <c r="H89">
        <v>17</v>
      </c>
      <c r="I89">
        <v>16.7</v>
      </c>
      <c r="J89">
        <v>16.5</v>
      </c>
      <c r="K89">
        <v>5.6</v>
      </c>
      <c r="L89">
        <v>1.7</v>
      </c>
      <c r="M89">
        <v>-1.2</v>
      </c>
    </row>
    <row r="90" spans="1:13" x14ac:dyDescent="0.25">
      <c r="A90">
        <v>1867</v>
      </c>
      <c r="B90">
        <v>-2.7</v>
      </c>
      <c r="C90">
        <v>1</v>
      </c>
      <c r="D90">
        <v>-2.2000000000000002</v>
      </c>
      <c r="E90">
        <v>6.3</v>
      </c>
      <c r="F90">
        <v>10.7</v>
      </c>
      <c r="G90">
        <v>15.8</v>
      </c>
      <c r="H90">
        <v>17.3</v>
      </c>
      <c r="I90">
        <v>17.399999999999999</v>
      </c>
      <c r="J90">
        <v>12.7</v>
      </c>
      <c r="K90">
        <v>8.1999999999999993</v>
      </c>
      <c r="L90">
        <v>0.2</v>
      </c>
      <c r="M90">
        <v>-4.2</v>
      </c>
    </row>
    <row r="91" spans="1:13" x14ac:dyDescent="0.25">
      <c r="A91">
        <v>1868</v>
      </c>
      <c r="B91">
        <v>-4.5999999999999996</v>
      </c>
      <c r="C91">
        <v>0.2</v>
      </c>
      <c r="D91">
        <v>1.9</v>
      </c>
      <c r="E91">
        <v>7.8</v>
      </c>
      <c r="F91">
        <v>15.4</v>
      </c>
      <c r="G91">
        <v>18.7</v>
      </c>
      <c r="H91">
        <v>20.5</v>
      </c>
      <c r="I91">
        <v>19.8</v>
      </c>
      <c r="J91">
        <v>15.1</v>
      </c>
      <c r="K91">
        <v>8.6999999999999993</v>
      </c>
      <c r="L91">
        <v>0.6</v>
      </c>
      <c r="M91">
        <v>1.1000000000000001</v>
      </c>
    </row>
    <row r="92" spans="1:13" x14ac:dyDescent="0.25">
      <c r="A92">
        <v>1869</v>
      </c>
      <c r="B92">
        <v>-4.0999999999999996</v>
      </c>
      <c r="C92">
        <v>2.2999999999999998</v>
      </c>
      <c r="D92">
        <v>1.2</v>
      </c>
      <c r="E92">
        <v>9.5</v>
      </c>
      <c r="F92">
        <v>15</v>
      </c>
      <c r="G92">
        <v>15</v>
      </c>
      <c r="H92">
        <v>18.600000000000001</v>
      </c>
      <c r="I92">
        <v>17.399999999999999</v>
      </c>
      <c r="J92">
        <v>14</v>
      </c>
      <c r="K92">
        <v>7</v>
      </c>
      <c r="L92">
        <v>1.6</v>
      </c>
      <c r="M92">
        <v>-0.8</v>
      </c>
    </row>
    <row r="93" spans="1:13" x14ac:dyDescent="0.25">
      <c r="A93">
        <v>1870</v>
      </c>
      <c r="B93">
        <v>-3.9</v>
      </c>
      <c r="C93">
        <v>-11.3</v>
      </c>
      <c r="D93">
        <v>-1.4</v>
      </c>
      <c r="E93">
        <v>6.8</v>
      </c>
      <c r="F93">
        <v>13</v>
      </c>
      <c r="G93">
        <v>15.6</v>
      </c>
      <c r="H93">
        <v>19.100000000000001</v>
      </c>
      <c r="I93">
        <v>17.100000000000001</v>
      </c>
      <c r="J93">
        <v>11.9</v>
      </c>
      <c r="K93">
        <v>7</v>
      </c>
      <c r="L93">
        <v>3.8</v>
      </c>
      <c r="M93">
        <v>-7.9</v>
      </c>
    </row>
    <row r="94" spans="1:13" x14ac:dyDescent="0.25">
      <c r="A94">
        <v>1871</v>
      </c>
      <c r="B94">
        <v>-9.3000000000000007</v>
      </c>
      <c r="C94">
        <v>-7.2</v>
      </c>
      <c r="D94">
        <v>2.5</v>
      </c>
      <c r="E94">
        <v>5.2</v>
      </c>
      <c r="F94">
        <v>9.1999999999999993</v>
      </c>
      <c r="G94">
        <v>15.8</v>
      </c>
      <c r="H94">
        <v>19.3</v>
      </c>
      <c r="I94">
        <v>17.5</v>
      </c>
      <c r="J94">
        <v>11.8</v>
      </c>
      <c r="K94">
        <v>3.8</v>
      </c>
      <c r="L94">
        <v>1.5</v>
      </c>
      <c r="M94">
        <v>-5.7</v>
      </c>
    </row>
    <row r="95" spans="1:13" x14ac:dyDescent="0.25">
      <c r="A95">
        <v>1872</v>
      </c>
      <c r="B95">
        <v>-1.9</v>
      </c>
      <c r="C95">
        <v>-3.3</v>
      </c>
      <c r="D95">
        <v>2.5</v>
      </c>
      <c r="E95">
        <v>10.3</v>
      </c>
      <c r="F95">
        <v>17.7</v>
      </c>
      <c r="G95">
        <v>17.3</v>
      </c>
      <c r="H95">
        <v>19.100000000000001</v>
      </c>
      <c r="I95">
        <v>16.600000000000001</v>
      </c>
      <c r="J95">
        <v>14.5</v>
      </c>
      <c r="K95">
        <v>10.7</v>
      </c>
      <c r="L95">
        <v>6.1</v>
      </c>
      <c r="M95">
        <v>-0.5</v>
      </c>
    </row>
    <row r="96" spans="1:13" x14ac:dyDescent="0.25">
      <c r="A96">
        <v>1873</v>
      </c>
      <c r="B96">
        <v>0.7</v>
      </c>
      <c r="C96">
        <v>-2.7</v>
      </c>
      <c r="D96">
        <v>3.3</v>
      </c>
      <c r="E96">
        <v>5.4</v>
      </c>
      <c r="F96">
        <v>10.6</v>
      </c>
      <c r="G96">
        <v>17.399999999999999</v>
      </c>
      <c r="H96">
        <v>19.8</v>
      </c>
      <c r="I96">
        <v>18.600000000000001</v>
      </c>
      <c r="J96">
        <v>12.9</v>
      </c>
      <c r="K96">
        <v>8.5</v>
      </c>
      <c r="L96">
        <v>3.7</v>
      </c>
      <c r="M96">
        <v>0.8</v>
      </c>
    </row>
    <row r="97" spans="1:13" x14ac:dyDescent="0.25">
      <c r="A97">
        <v>1874</v>
      </c>
      <c r="B97">
        <v>-1.2</v>
      </c>
      <c r="C97">
        <v>-1.5</v>
      </c>
      <c r="D97">
        <v>0.6</v>
      </c>
      <c r="E97">
        <v>8</v>
      </c>
      <c r="F97">
        <v>9.1999999999999993</v>
      </c>
      <c r="G97">
        <v>17</v>
      </c>
      <c r="H97">
        <v>20.399999999999999</v>
      </c>
      <c r="I97">
        <v>16.899999999999999</v>
      </c>
      <c r="J97">
        <v>15.5</v>
      </c>
      <c r="K97">
        <v>9.3000000000000007</v>
      </c>
      <c r="L97">
        <v>0.1</v>
      </c>
      <c r="M97">
        <v>-1.6</v>
      </c>
    </row>
    <row r="98" spans="1:13" x14ac:dyDescent="0.25">
      <c r="A98">
        <v>1875</v>
      </c>
      <c r="B98">
        <v>-3.5</v>
      </c>
      <c r="C98">
        <v>-6.9</v>
      </c>
      <c r="D98">
        <v>-2.2999999999999998</v>
      </c>
      <c r="E98">
        <v>4.9000000000000004</v>
      </c>
      <c r="F98">
        <v>13.1</v>
      </c>
      <c r="G98">
        <v>20.6</v>
      </c>
      <c r="H98">
        <v>19.2</v>
      </c>
      <c r="I98">
        <v>18.8</v>
      </c>
      <c r="J98">
        <v>12.3</v>
      </c>
      <c r="K98">
        <v>4.5999999999999996</v>
      </c>
      <c r="L98">
        <v>-0.6</v>
      </c>
      <c r="M98">
        <v>-6.1</v>
      </c>
    </row>
    <row r="99" spans="1:13" x14ac:dyDescent="0.25">
      <c r="A99">
        <v>1876</v>
      </c>
      <c r="B99">
        <v>-6.6</v>
      </c>
      <c r="C99">
        <v>-0.5</v>
      </c>
      <c r="D99">
        <v>3.3</v>
      </c>
      <c r="E99">
        <v>9.4</v>
      </c>
      <c r="F99">
        <v>9.3000000000000007</v>
      </c>
      <c r="G99">
        <v>18.600000000000001</v>
      </c>
      <c r="H99">
        <v>18.8</v>
      </c>
      <c r="I99">
        <v>18.2</v>
      </c>
      <c r="J99">
        <v>12.7</v>
      </c>
      <c r="K99">
        <v>7.9</v>
      </c>
      <c r="L99">
        <v>-2.1</v>
      </c>
      <c r="M99">
        <v>-5.0999999999999996</v>
      </c>
    </row>
    <row r="100" spans="1:13" x14ac:dyDescent="0.25">
      <c r="A100">
        <v>1877</v>
      </c>
      <c r="B100">
        <v>-1.5</v>
      </c>
      <c r="C100">
        <v>-1.1000000000000001</v>
      </c>
      <c r="D100">
        <v>-0.2</v>
      </c>
      <c r="E100">
        <v>5.2</v>
      </c>
      <c r="F100">
        <v>11.4</v>
      </c>
      <c r="G100">
        <v>18.399999999999999</v>
      </c>
      <c r="H100">
        <v>18.7</v>
      </c>
      <c r="I100">
        <v>18.100000000000001</v>
      </c>
      <c r="J100">
        <v>10.1</v>
      </c>
      <c r="K100">
        <v>6.3</v>
      </c>
      <c r="L100">
        <v>4.0999999999999996</v>
      </c>
      <c r="M100">
        <v>-2.4</v>
      </c>
    </row>
    <row r="101" spans="1:13" x14ac:dyDescent="0.25">
      <c r="A101">
        <v>1878</v>
      </c>
      <c r="B101">
        <v>-3.2</v>
      </c>
      <c r="C101">
        <v>-0.4</v>
      </c>
      <c r="D101">
        <v>1.2</v>
      </c>
      <c r="E101">
        <v>9.3000000000000007</v>
      </c>
      <c r="F101">
        <v>12.6</v>
      </c>
      <c r="G101">
        <v>17</v>
      </c>
      <c r="H101">
        <v>16.3</v>
      </c>
      <c r="I101">
        <v>18.2</v>
      </c>
      <c r="J101">
        <v>15.1</v>
      </c>
      <c r="K101">
        <v>9.6999999999999993</v>
      </c>
      <c r="L101">
        <v>3.6</v>
      </c>
      <c r="M101">
        <v>-1.6</v>
      </c>
    </row>
    <row r="102" spans="1:13" x14ac:dyDescent="0.25">
      <c r="A102">
        <v>1879</v>
      </c>
      <c r="B102">
        <v>-4.4000000000000004</v>
      </c>
      <c r="C102">
        <v>-0.8</v>
      </c>
      <c r="D102">
        <v>-1.3</v>
      </c>
      <c r="E102">
        <v>6.3</v>
      </c>
      <c r="F102">
        <v>12.7</v>
      </c>
      <c r="G102">
        <v>18.2</v>
      </c>
      <c r="H102">
        <v>16.8</v>
      </c>
      <c r="I102">
        <v>17.2</v>
      </c>
      <c r="J102">
        <v>14.8</v>
      </c>
      <c r="K102">
        <v>7.1</v>
      </c>
      <c r="L102">
        <v>0.2</v>
      </c>
      <c r="M102">
        <v>-8.3000000000000007</v>
      </c>
    </row>
    <row r="103" spans="1:13" x14ac:dyDescent="0.25">
      <c r="A103">
        <v>1880</v>
      </c>
      <c r="B103">
        <v>-4.2</v>
      </c>
      <c r="C103">
        <v>-3</v>
      </c>
      <c r="D103">
        <v>0.3</v>
      </c>
      <c r="E103">
        <v>9.6</v>
      </c>
      <c r="F103">
        <v>11.8</v>
      </c>
      <c r="G103">
        <v>17.5</v>
      </c>
      <c r="H103">
        <v>20.100000000000001</v>
      </c>
      <c r="I103">
        <v>17.8</v>
      </c>
      <c r="J103">
        <v>14.1</v>
      </c>
      <c r="K103">
        <v>6.2</v>
      </c>
      <c r="L103">
        <v>2.8</v>
      </c>
      <c r="M103">
        <v>-0.4</v>
      </c>
    </row>
    <row r="104" spans="1:13" x14ac:dyDescent="0.25">
      <c r="A104">
        <v>1881</v>
      </c>
      <c r="B104">
        <v>-7.7</v>
      </c>
      <c r="C104">
        <v>-3.3</v>
      </c>
      <c r="D104">
        <v>-0.4</v>
      </c>
      <c r="E104">
        <v>4.4000000000000004</v>
      </c>
      <c r="F104">
        <v>13.6</v>
      </c>
      <c r="G104">
        <v>16.399999999999999</v>
      </c>
      <c r="H104">
        <v>19.2</v>
      </c>
      <c r="I104">
        <v>16.5</v>
      </c>
      <c r="J104">
        <v>12</v>
      </c>
      <c r="K104">
        <v>4.5</v>
      </c>
      <c r="L104">
        <v>3.1</v>
      </c>
      <c r="M104">
        <v>-1.3</v>
      </c>
    </row>
    <row r="105" spans="1:13" x14ac:dyDescent="0.25">
      <c r="A105">
        <v>1882</v>
      </c>
      <c r="B105">
        <v>0.1</v>
      </c>
      <c r="C105">
        <v>0.3</v>
      </c>
      <c r="D105">
        <v>6.2</v>
      </c>
      <c r="E105">
        <v>8.8000000000000007</v>
      </c>
      <c r="F105">
        <v>13.5</v>
      </c>
      <c r="G105">
        <v>15.8</v>
      </c>
      <c r="H105">
        <v>20.3</v>
      </c>
      <c r="I105">
        <v>16.7</v>
      </c>
      <c r="J105">
        <v>15</v>
      </c>
      <c r="K105">
        <v>6.4</v>
      </c>
      <c r="L105">
        <v>1.7</v>
      </c>
      <c r="M105">
        <v>-2.1</v>
      </c>
    </row>
    <row r="106" spans="1:13" x14ac:dyDescent="0.25">
      <c r="A106">
        <v>1883</v>
      </c>
      <c r="B106">
        <v>-4.0999999999999996</v>
      </c>
      <c r="C106">
        <v>-1.9</v>
      </c>
      <c r="D106">
        <v>-3</v>
      </c>
      <c r="E106">
        <v>5.3</v>
      </c>
      <c r="F106">
        <v>12.5</v>
      </c>
      <c r="G106">
        <v>18.100000000000001</v>
      </c>
      <c r="H106">
        <v>19</v>
      </c>
      <c r="I106">
        <v>16.600000000000001</v>
      </c>
      <c r="J106">
        <v>13.5</v>
      </c>
      <c r="K106">
        <v>8.1</v>
      </c>
      <c r="L106">
        <v>3.3</v>
      </c>
      <c r="M106">
        <v>-0.8</v>
      </c>
    </row>
    <row r="107" spans="1:13" x14ac:dyDescent="0.25">
      <c r="A107">
        <v>1884</v>
      </c>
      <c r="B107">
        <v>0</v>
      </c>
      <c r="C107">
        <v>1.7</v>
      </c>
      <c r="D107">
        <v>2.2000000000000002</v>
      </c>
      <c r="E107">
        <v>4.9000000000000004</v>
      </c>
      <c r="F107">
        <v>12.8</v>
      </c>
      <c r="G107">
        <v>15.8</v>
      </c>
      <c r="H107">
        <v>19.7</v>
      </c>
      <c r="I107">
        <v>16.3</v>
      </c>
      <c r="J107">
        <v>14.5</v>
      </c>
      <c r="K107">
        <v>7.1</v>
      </c>
      <c r="L107">
        <v>-0.1</v>
      </c>
      <c r="M107">
        <v>1.4</v>
      </c>
    </row>
    <row r="108" spans="1:13" x14ac:dyDescent="0.25">
      <c r="A108">
        <v>1885</v>
      </c>
      <c r="B108">
        <v>-4</v>
      </c>
      <c r="C108">
        <v>-0.2</v>
      </c>
      <c r="D108">
        <v>2.2000000000000002</v>
      </c>
      <c r="E108">
        <v>9</v>
      </c>
      <c r="F108">
        <v>11.6</v>
      </c>
      <c r="G108">
        <v>18.399999999999999</v>
      </c>
      <c r="H108">
        <v>19.7</v>
      </c>
      <c r="I108">
        <v>15.3</v>
      </c>
      <c r="J108">
        <v>13.4</v>
      </c>
      <c r="K108">
        <v>8.4</v>
      </c>
      <c r="L108">
        <v>0.4</v>
      </c>
      <c r="M108">
        <v>-2</v>
      </c>
    </row>
    <row r="109" spans="1:13" x14ac:dyDescent="0.25">
      <c r="A109">
        <v>1886</v>
      </c>
      <c r="B109">
        <v>-2.1</v>
      </c>
      <c r="C109">
        <v>-5.7</v>
      </c>
      <c r="D109">
        <v>-2.4</v>
      </c>
      <c r="E109">
        <v>10.9</v>
      </c>
      <c r="F109">
        <v>14</v>
      </c>
      <c r="G109">
        <v>16.2</v>
      </c>
      <c r="H109">
        <v>17.399999999999999</v>
      </c>
      <c r="I109">
        <v>17.600000000000001</v>
      </c>
      <c r="J109">
        <v>15.8</v>
      </c>
      <c r="K109">
        <v>7.6</v>
      </c>
      <c r="L109">
        <v>4.9000000000000004</v>
      </c>
      <c r="M109">
        <v>0.9</v>
      </c>
    </row>
    <row r="110" spans="1:13" x14ac:dyDescent="0.25">
      <c r="A110">
        <v>1887</v>
      </c>
      <c r="B110">
        <v>-2.5</v>
      </c>
      <c r="C110">
        <v>-2.7</v>
      </c>
      <c r="D110">
        <v>0.2</v>
      </c>
      <c r="E110">
        <v>9.1</v>
      </c>
      <c r="F110">
        <v>12.2</v>
      </c>
      <c r="G110">
        <v>15</v>
      </c>
      <c r="H110">
        <v>19.3</v>
      </c>
      <c r="I110">
        <v>16.3</v>
      </c>
      <c r="J110">
        <v>14.7</v>
      </c>
      <c r="K110">
        <v>6.9</v>
      </c>
      <c r="L110">
        <v>3.7</v>
      </c>
      <c r="M110">
        <v>-2.2999999999999998</v>
      </c>
    </row>
    <row r="111" spans="1:13" x14ac:dyDescent="0.25">
      <c r="A111">
        <v>1888</v>
      </c>
      <c r="B111">
        <v>-6.1</v>
      </c>
      <c r="C111">
        <v>-5.4</v>
      </c>
      <c r="D111">
        <v>-1.4</v>
      </c>
      <c r="E111">
        <v>7.3</v>
      </c>
      <c r="F111">
        <v>13.4</v>
      </c>
      <c r="G111">
        <v>15.8</v>
      </c>
      <c r="H111">
        <v>16.899999999999999</v>
      </c>
      <c r="I111">
        <v>16.3</v>
      </c>
      <c r="J111">
        <v>13.3</v>
      </c>
      <c r="K111">
        <v>8.3000000000000007</v>
      </c>
      <c r="L111">
        <v>1.3</v>
      </c>
      <c r="M111">
        <v>-1.2</v>
      </c>
    </row>
    <row r="112" spans="1:13" x14ac:dyDescent="0.25">
      <c r="A112">
        <v>1889</v>
      </c>
      <c r="B112">
        <v>-5.7</v>
      </c>
      <c r="C112">
        <v>-3.3</v>
      </c>
      <c r="D112">
        <v>-2.6</v>
      </c>
      <c r="E112">
        <v>8.3000000000000007</v>
      </c>
      <c r="F112">
        <v>17.7</v>
      </c>
      <c r="G112">
        <v>19.7</v>
      </c>
      <c r="H112">
        <v>18</v>
      </c>
      <c r="I112">
        <v>17</v>
      </c>
      <c r="J112">
        <v>10.8</v>
      </c>
      <c r="K112">
        <v>10.3</v>
      </c>
      <c r="L112">
        <v>3.6</v>
      </c>
      <c r="M112">
        <v>-5.3</v>
      </c>
    </row>
    <row r="113" spans="1:13" x14ac:dyDescent="0.25">
      <c r="A113">
        <v>1890</v>
      </c>
      <c r="B113">
        <v>0.6</v>
      </c>
      <c r="C113">
        <v>-3.6</v>
      </c>
      <c r="D113">
        <v>4.4000000000000004</v>
      </c>
      <c r="E113">
        <v>11.2</v>
      </c>
      <c r="F113">
        <v>15.2</v>
      </c>
      <c r="G113">
        <v>15.5</v>
      </c>
      <c r="H113">
        <v>18.600000000000001</v>
      </c>
      <c r="I113">
        <v>20.2</v>
      </c>
      <c r="J113">
        <v>13.4</v>
      </c>
      <c r="K113">
        <v>7.1</v>
      </c>
      <c r="L113">
        <v>3.3</v>
      </c>
      <c r="M113">
        <v>-8.5</v>
      </c>
    </row>
    <row r="114" spans="1:13" x14ac:dyDescent="0.25">
      <c r="A114">
        <v>1891</v>
      </c>
      <c r="B114">
        <v>-4.3</v>
      </c>
      <c r="C114">
        <v>-3.6</v>
      </c>
      <c r="D114">
        <v>2.5</v>
      </c>
      <c r="E114">
        <v>6.2</v>
      </c>
      <c r="F114">
        <v>14.5</v>
      </c>
      <c r="G114">
        <v>15.5</v>
      </c>
      <c r="H114">
        <v>17.7</v>
      </c>
      <c r="I114">
        <v>17.2</v>
      </c>
      <c r="J114">
        <v>14</v>
      </c>
      <c r="K114">
        <v>10.8</v>
      </c>
      <c r="L114">
        <v>1.3</v>
      </c>
      <c r="M114">
        <v>-0.2</v>
      </c>
    </row>
    <row r="115" spans="1:13" x14ac:dyDescent="0.25">
      <c r="A115">
        <v>1892</v>
      </c>
      <c r="B115">
        <v>-4.0999999999999996</v>
      </c>
      <c r="C115">
        <v>-1.5</v>
      </c>
      <c r="D115">
        <v>1.2</v>
      </c>
      <c r="E115">
        <v>7.5</v>
      </c>
      <c r="F115">
        <v>13.5</v>
      </c>
      <c r="G115">
        <v>17.3</v>
      </c>
      <c r="H115">
        <v>16.7</v>
      </c>
      <c r="I115">
        <v>19.8</v>
      </c>
      <c r="J115">
        <v>16.5</v>
      </c>
      <c r="K115">
        <v>8.3000000000000007</v>
      </c>
      <c r="L115">
        <v>0.6</v>
      </c>
      <c r="M115">
        <v>-3.1</v>
      </c>
    </row>
    <row r="116" spans="1:13" x14ac:dyDescent="0.25">
      <c r="A116">
        <v>1893</v>
      </c>
      <c r="B116">
        <v>-12</v>
      </c>
      <c r="C116">
        <v>-1.1000000000000001</v>
      </c>
      <c r="D116">
        <v>2.7</v>
      </c>
      <c r="E116">
        <v>6.3</v>
      </c>
      <c r="F116">
        <v>12.4</v>
      </c>
      <c r="G116">
        <v>16.3</v>
      </c>
      <c r="H116">
        <v>18.2</v>
      </c>
      <c r="I116">
        <v>17.100000000000001</v>
      </c>
      <c r="J116">
        <v>12.8</v>
      </c>
      <c r="K116">
        <v>11.2</v>
      </c>
      <c r="L116">
        <v>1.7</v>
      </c>
      <c r="M116">
        <v>-0.5</v>
      </c>
    </row>
    <row r="117" spans="1:13" x14ac:dyDescent="0.25">
      <c r="A117">
        <v>1894</v>
      </c>
      <c r="B117">
        <v>-4.5999999999999996</v>
      </c>
      <c r="C117">
        <v>0</v>
      </c>
      <c r="D117">
        <v>4.9000000000000004</v>
      </c>
      <c r="E117">
        <v>10.199999999999999</v>
      </c>
      <c r="F117">
        <v>13.8</v>
      </c>
      <c r="G117">
        <v>15</v>
      </c>
      <c r="H117">
        <v>19.399999999999999</v>
      </c>
      <c r="I117">
        <v>17.3</v>
      </c>
      <c r="J117">
        <v>11</v>
      </c>
      <c r="K117">
        <v>7.9</v>
      </c>
      <c r="L117">
        <v>3.8</v>
      </c>
      <c r="M117">
        <v>-1.7</v>
      </c>
    </row>
    <row r="118" spans="1:13" x14ac:dyDescent="0.25">
      <c r="A118">
        <v>1895</v>
      </c>
      <c r="B118">
        <v>-2.2000000000000002</v>
      </c>
      <c r="C118">
        <v>-6.4</v>
      </c>
      <c r="D118">
        <v>0.4</v>
      </c>
      <c r="E118">
        <v>9.1999999999999993</v>
      </c>
      <c r="F118">
        <v>14.6</v>
      </c>
      <c r="G118">
        <v>17</v>
      </c>
      <c r="H118">
        <v>19</v>
      </c>
      <c r="I118">
        <v>17.600000000000001</v>
      </c>
      <c r="J118">
        <v>14.6</v>
      </c>
      <c r="K118">
        <v>8.9</v>
      </c>
      <c r="L118">
        <v>2.9</v>
      </c>
      <c r="M118">
        <v>-3.1</v>
      </c>
    </row>
    <row r="119" spans="1:13" x14ac:dyDescent="0.25">
      <c r="A119">
        <v>1896</v>
      </c>
      <c r="B119">
        <v>-3.5</v>
      </c>
      <c r="C119">
        <v>-1.1000000000000001</v>
      </c>
      <c r="D119">
        <v>4.9000000000000004</v>
      </c>
      <c r="E119">
        <v>6.6</v>
      </c>
      <c r="F119">
        <v>12.3</v>
      </c>
      <c r="G119">
        <v>18.899999999999999</v>
      </c>
      <c r="H119">
        <v>20</v>
      </c>
      <c r="I119">
        <v>16.3</v>
      </c>
      <c r="J119">
        <v>13.3</v>
      </c>
      <c r="K119">
        <v>12.1</v>
      </c>
      <c r="L119">
        <v>0</v>
      </c>
      <c r="M119">
        <v>-1.9</v>
      </c>
    </row>
    <row r="120" spans="1:13" x14ac:dyDescent="0.25">
      <c r="A120">
        <v>1897</v>
      </c>
      <c r="B120">
        <v>-5</v>
      </c>
      <c r="C120">
        <v>-2.1</v>
      </c>
      <c r="D120">
        <v>4</v>
      </c>
      <c r="E120">
        <v>8.5</v>
      </c>
      <c r="F120">
        <v>13.9</v>
      </c>
      <c r="G120">
        <v>17.2</v>
      </c>
      <c r="H120">
        <v>18.2</v>
      </c>
      <c r="I120">
        <v>18.5</v>
      </c>
      <c r="J120">
        <v>13.3</v>
      </c>
      <c r="K120">
        <v>7.5</v>
      </c>
      <c r="L120">
        <v>1.5</v>
      </c>
      <c r="M120">
        <v>-1.3</v>
      </c>
    </row>
    <row r="121" spans="1:13" x14ac:dyDescent="0.25">
      <c r="A121">
        <v>1898</v>
      </c>
      <c r="B121">
        <v>0</v>
      </c>
      <c r="C121">
        <v>-0.2</v>
      </c>
      <c r="D121">
        <v>2.5</v>
      </c>
      <c r="E121">
        <v>7.1</v>
      </c>
      <c r="F121">
        <v>14.3</v>
      </c>
      <c r="G121">
        <v>16</v>
      </c>
      <c r="H121">
        <v>16.2</v>
      </c>
      <c r="I121">
        <v>18</v>
      </c>
      <c r="J121">
        <v>13.1</v>
      </c>
      <c r="K121">
        <v>6.7</v>
      </c>
      <c r="L121">
        <v>5.3</v>
      </c>
      <c r="M121">
        <v>2.4</v>
      </c>
    </row>
    <row r="122" spans="1:13" x14ac:dyDescent="0.25">
      <c r="A122">
        <v>1899</v>
      </c>
      <c r="B122">
        <v>0.3</v>
      </c>
      <c r="C122">
        <v>0.2</v>
      </c>
      <c r="D122">
        <v>2.4</v>
      </c>
      <c r="E122">
        <v>8.5</v>
      </c>
      <c r="F122">
        <v>12.5</v>
      </c>
      <c r="G122">
        <v>14.4</v>
      </c>
      <c r="H122">
        <v>18.600000000000001</v>
      </c>
      <c r="I122">
        <v>15.7</v>
      </c>
      <c r="J122">
        <v>13.7</v>
      </c>
      <c r="K122">
        <v>7.8</v>
      </c>
      <c r="L122">
        <v>5.7</v>
      </c>
      <c r="M122">
        <v>-3.8</v>
      </c>
    </row>
    <row r="123" spans="1:13" x14ac:dyDescent="0.25">
      <c r="A123">
        <v>1900</v>
      </c>
      <c r="B123">
        <v>-2.4</v>
      </c>
      <c r="C123">
        <v>0.1</v>
      </c>
      <c r="D123">
        <v>-0.6</v>
      </c>
      <c r="E123">
        <v>7.1</v>
      </c>
      <c r="F123">
        <v>12.2</v>
      </c>
      <c r="G123">
        <v>16.8</v>
      </c>
      <c r="H123">
        <v>19.7</v>
      </c>
      <c r="I123">
        <v>17.5</v>
      </c>
      <c r="J123">
        <v>13.9</v>
      </c>
      <c r="K123">
        <v>9.6999999999999993</v>
      </c>
      <c r="L123">
        <v>4.7</v>
      </c>
      <c r="M123">
        <v>1.3</v>
      </c>
    </row>
    <row r="124" spans="1:13" x14ac:dyDescent="0.25">
      <c r="A124">
        <v>1901</v>
      </c>
      <c r="B124">
        <v>-5.5</v>
      </c>
      <c r="C124">
        <v>-5</v>
      </c>
      <c r="D124">
        <v>1.4</v>
      </c>
      <c r="E124">
        <v>8.1</v>
      </c>
      <c r="F124">
        <v>14.2</v>
      </c>
      <c r="G124">
        <v>17.5</v>
      </c>
      <c r="H124">
        <v>19.100000000000001</v>
      </c>
      <c r="I124">
        <v>17.100000000000001</v>
      </c>
      <c r="J124">
        <v>12.4</v>
      </c>
      <c r="K124">
        <v>9.9</v>
      </c>
      <c r="L124">
        <v>3</v>
      </c>
      <c r="M124">
        <v>1.4</v>
      </c>
    </row>
    <row r="125" spans="1:13" x14ac:dyDescent="0.25">
      <c r="A125">
        <v>1902</v>
      </c>
      <c r="B125">
        <v>1.4</v>
      </c>
      <c r="C125">
        <v>-1.7</v>
      </c>
      <c r="D125">
        <v>2.1</v>
      </c>
      <c r="E125">
        <v>5.0999999999999996</v>
      </c>
      <c r="F125">
        <v>9.8000000000000007</v>
      </c>
      <c r="G125">
        <v>15.5</v>
      </c>
      <c r="H125">
        <v>16.5</v>
      </c>
      <c r="I125">
        <v>16</v>
      </c>
      <c r="J125">
        <v>12.3</v>
      </c>
      <c r="K125">
        <v>6.3</v>
      </c>
      <c r="L125">
        <v>-0.9</v>
      </c>
      <c r="M125">
        <v>-5.5</v>
      </c>
    </row>
    <row r="126" spans="1:13" x14ac:dyDescent="0.25">
      <c r="A126">
        <v>1903</v>
      </c>
      <c r="B126">
        <v>-2.1</v>
      </c>
      <c r="C126">
        <v>2.5</v>
      </c>
      <c r="D126">
        <v>6.1</v>
      </c>
      <c r="E126">
        <v>6</v>
      </c>
      <c r="F126">
        <v>13.8</v>
      </c>
      <c r="G126">
        <v>15.4</v>
      </c>
      <c r="H126">
        <v>17.100000000000001</v>
      </c>
      <c r="I126">
        <v>16.8</v>
      </c>
      <c r="J126">
        <v>14.1</v>
      </c>
      <c r="K126">
        <v>8.6</v>
      </c>
      <c r="L126">
        <v>3.4</v>
      </c>
      <c r="M126">
        <v>-1.5</v>
      </c>
    </row>
    <row r="127" spans="1:13" x14ac:dyDescent="0.25">
      <c r="A127">
        <v>1904</v>
      </c>
      <c r="B127">
        <v>-3.6</v>
      </c>
      <c r="C127">
        <v>0.1</v>
      </c>
      <c r="D127">
        <v>0.3</v>
      </c>
      <c r="E127">
        <v>6.6</v>
      </c>
      <c r="F127">
        <v>10</v>
      </c>
      <c r="G127">
        <v>15.3</v>
      </c>
      <c r="H127">
        <v>19.100000000000001</v>
      </c>
      <c r="I127">
        <v>17.399999999999999</v>
      </c>
      <c r="J127">
        <v>11.9</v>
      </c>
      <c r="K127">
        <v>8</v>
      </c>
      <c r="L127">
        <v>1.6</v>
      </c>
      <c r="M127">
        <v>0.5</v>
      </c>
    </row>
    <row r="128" spans="1:13" x14ac:dyDescent="0.25">
      <c r="A128">
        <v>1905</v>
      </c>
      <c r="B128">
        <v>-5.7</v>
      </c>
      <c r="C128">
        <v>0.8</v>
      </c>
      <c r="D128">
        <v>2.6</v>
      </c>
      <c r="E128">
        <v>6</v>
      </c>
      <c r="F128">
        <v>13.8</v>
      </c>
      <c r="G128">
        <v>18</v>
      </c>
      <c r="H128">
        <v>19.2</v>
      </c>
      <c r="I128">
        <v>18</v>
      </c>
      <c r="J128">
        <v>13.2</v>
      </c>
      <c r="K128">
        <v>4.5999999999999996</v>
      </c>
      <c r="L128">
        <v>3.8</v>
      </c>
      <c r="M128">
        <v>-0.6</v>
      </c>
    </row>
    <row r="129" spans="1:13" x14ac:dyDescent="0.25">
      <c r="A129">
        <v>1906</v>
      </c>
      <c r="B129">
        <v>-1.3</v>
      </c>
      <c r="C129">
        <v>-0.6</v>
      </c>
      <c r="D129">
        <v>2.2000000000000002</v>
      </c>
      <c r="E129">
        <v>9.1999999999999993</v>
      </c>
      <c r="F129">
        <v>15.5</v>
      </c>
      <c r="G129">
        <v>15.6</v>
      </c>
      <c r="H129">
        <v>19.7</v>
      </c>
      <c r="I129">
        <v>16.5</v>
      </c>
      <c r="J129">
        <v>12</v>
      </c>
      <c r="K129">
        <v>7.7</v>
      </c>
      <c r="L129">
        <v>6</v>
      </c>
      <c r="M129">
        <v>-4.0999999999999996</v>
      </c>
    </row>
    <row r="130" spans="1:13" x14ac:dyDescent="0.25">
      <c r="A130">
        <v>1907</v>
      </c>
      <c r="B130">
        <v>-4.9000000000000004</v>
      </c>
      <c r="C130">
        <v>-5.0999999999999996</v>
      </c>
      <c r="D130">
        <v>0.6</v>
      </c>
      <c r="E130">
        <v>5.7</v>
      </c>
      <c r="F130">
        <v>14.8</v>
      </c>
      <c r="G130">
        <v>15.8</v>
      </c>
      <c r="H130">
        <v>16</v>
      </c>
      <c r="I130">
        <v>15.5</v>
      </c>
      <c r="J130">
        <v>12.7</v>
      </c>
      <c r="K130">
        <v>12.6</v>
      </c>
      <c r="L130">
        <v>1.3</v>
      </c>
      <c r="M130">
        <v>-2.5</v>
      </c>
    </row>
    <row r="131" spans="1:13" x14ac:dyDescent="0.25">
      <c r="A131">
        <v>1908</v>
      </c>
      <c r="B131">
        <v>-2.1</v>
      </c>
      <c r="C131">
        <v>0.3</v>
      </c>
      <c r="D131">
        <v>2</v>
      </c>
      <c r="E131">
        <v>6.4</v>
      </c>
      <c r="F131">
        <v>13.7</v>
      </c>
      <c r="G131">
        <v>17.399999999999999</v>
      </c>
      <c r="H131">
        <v>18.5</v>
      </c>
      <c r="I131">
        <v>16.5</v>
      </c>
      <c r="J131">
        <v>11.6</v>
      </c>
      <c r="K131">
        <v>6.5</v>
      </c>
      <c r="L131">
        <v>-0.5</v>
      </c>
      <c r="M131">
        <v>-2.9</v>
      </c>
    </row>
    <row r="132" spans="1:13" x14ac:dyDescent="0.25">
      <c r="A132">
        <v>1909</v>
      </c>
      <c r="B132">
        <v>-3.3</v>
      </c>
      <c r="C132">
        <v>-6</v>
      </c>
      <c r="D132">
        <v>1.5</v>
      </c>
      <c r="E132">
        <v>6.4</v>
      </c>
      <c r="F132">
        <v>11.2</v>
      </c>
      <c r="G132">
        <v>16.3</v>
      </c>
      <c r="H132">
        <v>17.399999999999999</v>
      </c>
      <c r="I132">
        <v>17.3</v>
      </c>
      <c r="J132">
        <v>14.3</v>
      </c>
      <c r="K132">
        <v>10.6</v>
      </c>
      <c r="L132">
        <v>1.6</v>
      </c>
      <c r="M132">
        <v>1.1000000000000001</v>
      </c>
    </row>
    <row r="133" spans="1:13" x14ac:dyDescent="0.25">
      <c r="A133">
        <v>1910</v>
      </c>
      <c r="B133">
        <v>0.5</v>
      </c>
      <c r="C133">
        <v>2.7</v>
      </c>
      <c r="D133">
        <v>3.4</v>
      </c>
      <c r="E133">
        <v>8.5</v>
      </c>
      <c r="F133">
        <v>13.8</v>
      </c>
      <c r="G133">
        <v>17.899999999999999</v>
      </c>
      <c r="H133">
        <v>17.600000000000001</v>
      </c>
      <c r="I133">
        <v>16.600000000000001</v>
      </c>
      <c r="J133">
        <v>12.1</v>
      </c>
      <c r="K133">
        <v>7.3</v>
      </c>
      <c r="L133">
        <v>2.2000000000000002</v>
      </c>
      <c r="M133">
        <v>2.4</v>
      </c>
    </row>
    <row r="134" spans="1:13" x14ac:dyDescent="0.25">
      <c r="A134">
        <v>1911</v>
      </c>
      <c r="B134">
        <v>-0.5</v>
      </c>
      <c r="C134">
        <v>-3</v>
      </c>
      <c r="D134">
        <v>3.4</v>
      </c>
      <c r="E134">
        <v>7.7</v>
      </c>
      <c r="F134">
        <v>13.8</v>
      </c>
      <c r="G134">
        <v>16</v>
      </c>
      <c r="H134">
        <v>18.8</v>
      </c>
      <c r="I134">
        <v>18.7</v>
      </c>
      <c r="J134">
        <v>14</v>
      </c>
      <c r="K134">
        <v>8.5</v>
      </c>
      <c r="L134">
        <v>4.7</v>
      </c>
      <c r="M134">
        <v>0.7</v>
      </c>
    </row>
    <row r="135" spans="1:13" x14ac:dyDescent="0.25">
      <c r="A135">
        <v>1912</v>
      </c>
      <c r="B135">
        <v>-7</v>
      </c>
      <c r="C135">
        <v>-1.3</v>
      </c>
      <c r="D135">
        <v>5.3</v>
      </c>
      <c r="E135">
        <v>5.7</v>
      </c>
      <c r="F135">
        <v>11.3</v>
      </c>
      <c r="G135">
        <v>17.5</v>
      </c>
      <c r="H135">
        <v>18.8</v>
      </c>
      <c r="I135">
        <v>15.9</v>
      </c>
      <c r="J135">
        <v>9.1</v>
      </c>
      <c r="K135">
        <v>5.4</v>
      </c>
      <c r="L135">
        <v>1</v>
      </c>
      <c r="M135">
        <v>2.2999999999999998</v>
      </c>
    </row>
    <row r="136" spans="1:13" x14ac:dyDescent="0.25">
      <c r="A136">
        <v>1913</v>
      </c>
      <c r="B136">
        <v>-3.2</v>
      </c>
      <c r="C136">
        <v>-1</v>
      </c>
      <c r="D136">
        <v>5.3</v>
      </c>
      <c r="E136">
        <v>8</v>
      </c>
      <c r="F136">
        <v>12.3</v>
      </c>
      <c r="G136">
        <v>15</v>
      </c>
      <c r="H136">
        <v>16</v>
      </c>
      <c r="I136">
        <v>15.4</v>
      </c>
      <c r="J136">
        <v>13</v>
      </c>
      <c r="K136">
        <v>8.9</v>
      </c>
      <c r="L136">
        <v>4.9000000000000004</v>
      </c>
      <c r="M136">
        <v>1.8</v>
      </c>
    </row>
    <row r="137" spans="1:13" x14ac:dyDescent="0.25">
      <c r="A137">
        <v>1914</v>
      </c>
      <c r="B137">
        <v>-5</v>
      </c>
      <c r="C137">
        <v>1.2</v>
      </c>
      <c r="D137">
        <v>4.2</v>
      </c>
      <c r="E137">
        <v>9.4</v>
      </c>
      <c r="F137">
        <v>13.4</v>
      </c>
      <c r="G137">
        <v>16</v>
      </c>
      <c r="H137">
        <v>19</v>
      </c>
      <c r="I137">
        <v>17.3</v>
      </c>
      <c r="J137">
        <v>12.2</v>
      </c>
      <c r="K137">
        <v>6.7</v>
      </c>
      <c r="L137">
        <v>0.9</v>
      </c>
      <c r="M137">
        <v>2.8</v>
      </c>
    </row>
    <row r="138" spans="1:13" x14ac:dyDescent="0.25">
      <c r="A138">
        <v>1915</v>
      </c>
      <c r="B138">
        <v>-1.4</v>
      </c>
      <c r="C138">
        <v>-0.4</v>
      </c>
      <c r="D138">
        <v>-0.8</v>
      </c>
      <c r="E138">
        <v>8.3000000000000007</v>
      </c>
      <c r="F138">
        <v>13.5</v>
      </c>
      <c r="G138">
        <v>18</v>
      </c>
      <c r="H138">
        <v>17.899999999999999</v>
      </c>
      <c r="I138">
        <v>16.7</v>
      </c>
      <c r="J138">
        <v>12.1</v>
      </c>
      <c r="K138">
        <v>6.6</v>
      </c>
      <c r="L138">
        <v>1.3</v>
      </c>
      <c r="M138">
        <v>1</v>
      </c>
    </row>
    <row r="139" spans="1:13" x14ac:dyDescent="0.25">
      <c r="A139">
        <v>1916</v>
      </c>
      <c r="B139">
        <v>1.4</v>
      </c>
      <c r="C139">
        <v>-0.4</v>
      </c>
      <c r="D139">
        <v>3.5</v>
      </c>
      <c r="E139">
        <v>8.8000000000000007</v>
      </c>
      <c r="F139">
        <v>12.9</v>
      </c>
      <c r="G139">
        <v>15.7</v>
      </c>
      <c r="H139">
        <v>17.899999999999999</v>
      </c>
      <c r="I139">
        <v>16.2</v>
      </c>
      <c r="J139">
        <v>12.1</v>
      </c>
      <c r="K139">
        <v>7</v>
      </c>
      <c r="L139">
        <v>4.3</v>
      </c>
      <c r="M139">
        <v>0.6</v>
      </c>
    </row>
    <row r="140" spans="1:13" x14ac:dyDescent="0.25">
      <c r="A140">
        <v>1917</v>
      </c>
      <c r="B140">
        <v>-4.7</v>
      </c>
      <c r="C140">
        <v>-6.5</v>
      </c>
      <c r="D140">
        <v>-3</v>
      </c>
      <c r="E140">
        <v>5.0999999999999996</v>
      </c>
      <c r="F140">
        <v>14</v>
      </c>
      <c r="G140">
        <v>20.5</v>
      </c>
      <c r="H140">
        <v>18.3</v>
      </c>
      <c r="I140">
        <v>19.899999999999999</v>
      </c>
      <c r="J140">
        <v>14.7</v>
      </c>
      <c r="K140">
        <v>9.6</v>
      </c>
      <c r="L140">
        <v>5</v>
      </c>
      <c r="M140">
        <v>-2.2000000000000002</v>
      </c>
    </row>
    <row r="141" spans="1:13" x14ac:dyDescent="0.25">
      <c r="A141">
        <v>1918</v>
      </c>
      <c r="B141">
        <v>-1.1000000000000001</v>
      </c>
      <c r="C141">
        <v>-1.2</v>
      </c>
      <c r="D141">
        <v>1.9</v>
      </c>
      <c r="E141">
        <v>13.2</v>
      </c>
      <c r="F141">
        <v>13.5</v>
      </c>
      <c r="G141">
        <v>14.1</v>
      </c>
      <c r="H141">
        <v>18.399999999999999</v>
      </c>
      <c r="I141">
        <v>16.7</v>
      </c>
      <c r="J141">
        <v>14</v>
      </c>
      <c r="K141">
        <v>10</v>
      </c>
      <c r="L141">
        <v>2.2000000000000002</v>
      </c>
      <c r="M141">
        <v>-1.1000000000000001</v>
      </c>
    </row>
    <row r="142" spans="1:13" x14ac:dyDescent="0.25">
      <c r="A142">
        <v>1919</v>
      </c>
      <c r="B142">
        <v>-1.4</v>
      </c>
      <c r="C142">
        <v>-1.6</v>
      </c>
      <c r="D142">
        <v>1.5</v>
      </c>
      <c r="E142">
        <v>7.2</v>
      </c>
      <c r="F142">
        <v>10.7</v>
      </c>
      <c r="G142">
        <v>15.9</v>
      </c>
      <c r="H142">
        <v>16.7</v>
      </c>
      <c r="I142">
        <v>15.5</v>
      </c>
      <c r="J142">
        <v>15.6</v>
      </c>
      <c r="K142">
        <v>6.8</v>
      </c>
      <c r="L142">
        <v>-3.4</v>
      </c>
      <c r="M142">
        <v>-1.9</v>
      </c>
    </row>
    <row r="143" spans="1:13" x14ac:dyDescent="0.25">
      <c r="A143">
        <v>1920</v>
      </c>
      <c r="B143">
        <v>-1.8</v>
      </c>
      <c r="C143">
        <v>0.7</v>
      </c>
      <c r="D143">
        <v>4.9000000000000004</v>
      </c>
      <c r="E143">
        <v>12.5</v>
      </c>
      <c r="F143">
        <v>15.5</v>
      </c>
      <c r="G143">
        <v>15.4</v>
      </c>
      <c r="H143">
        <v>20.399999999999999</v>
      </c>
      <c r="I143">
        <v>17.2</v>
      </c>
      <c r="J143">
        <v>13.5</v>
      </c>
      <c r="K143">
        <v>4.0999999999999996</v>
      </c>
      <c r="L143">
        <v>0.1</v>
      </c>
      <c r="M143">
        <v>-2.8</v>
      </c>
    </row>
    <row r="144" spans="1:13" x14ac:dyDescent="0.25">
      <c r="A144">
        <v>1921</v>
      </c>
      <c r="B144">
        <v>2.6</v>
      </c>
      <c r="C144">
        <v>-2.5</v>
      </c>
      <c r="D144">
        <v>6.3</v>
      </c>
      <c r="E144">
        <v>9.1999999999999993</v>
      </c>
      <c r="F144">
        <v>16.5</v>
      </c>
      <c r="G144">
        <v>16.399999999999999</v>
      </c>
      <c r="H144">
        <v>20.2</v>
      </c>
      <c r="I144">
        <v>19.3</v>
      </c>
      <c r="J144">
        <v>13.3</v>
      </c>
      <c r="K144">
        <v>9.6</v>
      </c>
      <c r="L144">
        <v>-1.2</v>
      </c>
      <c r="M144">
        <v>-2.6</v>
      </c>
    </row>
    <row r="145" spans="1:13" x14ac:dyDescent="0.25">
      <c r="A145">
        <v>1922</v>
      </c>
      <c r="B145">
        <v>-5.9</v>
      </c>
      <c r="C145">
        <v>-3.8</v>
      </c>
      <c r="D145">
        <v>3</v>
      </c>
      <c r="E145">
        <v>7</v>
      </c>
      <c r="F145">
        <v>14.3</v>
      </c>
      <c r="G145">
        <v>17.600000000000001</v>
      </c>
      <c r="H145">
        <v>18.7</v>
      </c>
      <c r="I145">
        <v>17</v>
      </c>
      <c r="J145">
        <v>11.8</v>
      </c>
      <c r="K145">
        <v>4.9000000000000004</v>
      </c>
      <c r="L145">
        <v>0.8</v>
      </c>
      <c r="M145">
        <v>0.8</v>
      </c>
    </row>
    <row r="146" spans="1:13" x14ac:dyDescent="0.25">
      <c r="A146">
        <v>1923</v>
      </c>
      <c r="B146">
        <v>0.3</v>
      </c>
      <c r="C146">
        <v>-3.1</v>
      </c>
      <c r="D146">
        <v>3.2</v>
      </c>
      <c r="E146">
        <v>6.3</v>
      </c>
      <c r="F146">
        <v>13.7</v>
      </c>
      <c r="G146">
        <v>13</v>
      </c>
      <c r="H146">
        <v>18.7</v>
      </c>
      <c r="I146">
        <v>15</v>
      </c>
      <c r="J146">
        <v>14.4</v>
      </c>
      <c r="K146">
        <v>10.3</v>
      </c>
      <c r="L146">
        <v>3.5</v>
      </c>
      <c r="M146">
        <v>-1.6</v>
      </c>
    </row>
    <row r="147" spans="1:13" x14ac:dyDescent="0.25">
      <c r="A147">
        <v>1924</v>
      </c>
      <c r="B147">
        <v>-6.8</v>
      </c>
      <c r="C147">
        <v>-5.6</v>
      </c>
      <c r="D147">
        <v>-1</v>
      </c>
      <c r="E147">
        <v>5.7</v>
      </c>
      <c r="F147">
        <v>15.4</v>
      </c>
      <c r="G147">
        <v>17.600000000000001</v>
      </c>
      <c r="H147">
        <v>17.5</v>
      </c>
      <c r="I147">
        <v>17</v>
      </c>
      <c r="J147">
        <v>14.9</v>
      </c>
      <c r="K147">
        <v>8.6</v>
      </c>
      <c r="L147">
        <v>2</v>
      </c>
      <c r="M147">
        <v>-1.8</v>
      </c>
    </row>
    <row r="148" spans="1:13" x14ac:dyDescent="0.25">
      <c r="A148">
        <v>1925</v>
      </c>
      <c r="B148">
        <v>1.3</v>
      </c>
      <c r="C148">
        <v>3.4</v>
      </c>
      <c r="D148">
        <v>1.2</v>
      </c>
      <c r="E148">
        <v>8.9</v>
      </c>
      <c r="F148">
        <v>16.3</v>
      </c>
      <c r="G148">
        <v>14.6</v>
      </c>
      <c r="H148">
        <v>18.8</v>
      </c>
      <c r="I148">
        <v>17.2</v>
      </c>
      <c r="J148">
        <v>12.1</v>
      </c>
      <c r="K148">
        <v>7</v>
      </c>
      <c r="L148">
        <v>2.5</v>
      </c>
      <c r="M148">
        <v>-1.2</v>
      </c>
    </row>
    <row r="149" spans="1:13" x14ac:dyDescent="0.25">
      <c r="A149">
        <v>1926</v>
      </c>
      <c r="B149">
        <v>-2.4</v>
      </c>
      <c r="C149">
        <v>0.4</v>
      </c>
      <c r="D149">
        <v>1.8</v>
      </c>
      <c r="E149">
        <v>9.6</v>
      </c>
      <c r="F149">
        <v>13.2</v>
      </c>
      <c r="G149">
        <v>16.399999999999999</v>
      </c>
      <c r="H149">
        <v>19.7</v>
      </c>
      <c r="I149">
        <v>15.8</v>
      </c>
      <c r="J149">
        <v>13.8</v>
      </c>
      <c r="K149">
        <v>7.1</v>
      </c>
      <c r="L149">
        <v>7.6</v>
      </c>
      <c r="M149">
        <v>-1.9</v>
      </c>
    </row>
    <row r="150" spans="1:13" x14ac:dyDescent="0.25">
      <c r="A150">
        <v>1927</v>
      </c>
      <c r="B150">
        <v>-2.2999999999999998</v>
      </c>
      <c r="C150">
        <v>-2.5</v>
      </c>
      <c r="D150">
        <v>5.5</v>
      </c>
      <c r="E150">
        <v>6.7</v>
      </c>
      <c r="F150">
        <v>10.5</v>
      </c>
      <c r="G150">
        <v>16.5</v>
      </c>
      <c r="H150">
        <v>20</v>
      </c>
      <c r="I150">
        <v>18.399999999999999</v>
      </c>
      <c r="J150">
        <v>14.3</v>
      </c>
      <c r="K150">
        <v>8.4</v>
      </c>
      <c r="L150">
        <v>1.4</v>
      </c>
      <c r="M150">
        <v>-6.1</v>
      </c>
    </row>
    <row r="151" spans="1:13" x14ac:dyDescent="0.25">
      <c r="A151">
        <v>1928</v>
      </c>
      <c r="B151">
        <v>-0.9</v>
      </c>
      <c r="C151">
        <v>-1.4</v>
      </c>
      <c r="D151">
        <v>0</v>
      </c>
      <c r="E151">
        <v>7.6</v>
      </c>
      <c r="F151">
        <v>12</v>
      </c>
      <c r="G151">
        <v>14.6</v>
      </c>
      <c r="H151">
        <v>19.3</v>
      </c>
      <c r="I151">
        <v>16.399999999999999</v>
      </c>
      <c r="J151">
        <v>13.6</v>
      </c>
      <c r="K151">
        <v>8.6</v>
      </c>
      <c r="L151">
        <v>6.3</v>
      </c>
      <c r="M151">
        <v>-2.4</v>
      </c>
    </row>
    <row r="152" spans="1:13" x14ac:dyDescent="0.25">
      <c r="A152">
        <v>1929</v>
      </c>
      <c r="B152">
        <v>-6.9</v>
      </c>
      <c r="C152">
        <v>-13.7</v>
      </c>
      <c r="D152">
        <v>-1.5</v>
      </c>
      <c r="E152">
        <v>2.9</v>
      </c>
      <c r="F152">
        <v>16</v>
      </c>
      <c r="G152">
        <v>15.2</v>
      </c>
      <c r="H152">
        <v>18.3</v>
      </c>
      <c r="I152">
        <v>18.600000000000001</v>
      </c>
      <c r="J152">
        <v>13.7</v>
      </c>
      <c r="K152">
        <v>10.9</v>
      </c>
      <c r="L152">
        <v>4.5</v>
      </c>
      <c r="M152">
        <v>1.6</v>
      </c>
    </row>
    <row r="153" spans="1:13" x14ac:dyDescent="0.25">
      <c r="A153">
        <v>1930</v>
      </c>
      <c r="B153">
        <v>0.3</v>
      </c>
      <c r="C153">
        <v>-0.6</v>
      </c>
      <c r="D153">
        <v>3</v>
      </c>
      <c r="E153">
        <v>9.6</v>
      </c>
      <c r="F153">
        <v>13.7</v>
      </c>
      <c r="G153">
        <v>19.3</v>
      </c>
      <c r="H153">
        <v>18</v>
      </c>
      <c r="I153">
        <v>16.7</v>
      </c>
      <c r="J153">
        <v>13.1</v>
      </c>
      <c r="K153">
        <v>9.1</v>
      </c>
      <c r="L153">
        <v>4.9000000000000004</v>
      </c>
      <c r="M153">
        <v>-2.8</v>
      </c>
    </row>
    <row r="154" spans="1:13" x14ac:dyDescent="0.25">
      <c r="A154">
        <v>1931</v>
      </c>
      <c r="B154">
        <v>-1.8</v>
      </c>
      <c r="C154">
        <v>-3.3</v>
      </c>
      <c r="D154">
        <v>-0.7</v>
      </c>
      <c r="E154">
        <v>5.5</v>
      </c>
      <c r="F154">
        <v>17.8</v>
      </c>
      <c r="G154">
        <v>17</v>
      </c>
      <c r="H154">
        <v>19</v>
      </c>
      <c r="I154">
        <v>17.399999999999999</v>
      </c>
      <c r="J154">
        <v>11.1</v>
      </c>
      <c r="K154">
        <v>7</v>
      </c>
      <c r="L154">
        <v>2</v>
      </c>
      <c r="M154">
        <v>-0.5</v>
      </c>
    </row>
    <row r="155" spans="1:13" x14ac:dyDescent="0.25">
      <c r="A155">
        <v>1932</v>
      </c>
      <c r="B155">
        <v>-0.6</v>
      </c>
      <c r="C155">
        <v>-5.6</v>
      </c>
      <c r="D155">
        <v>-2</v>
      </c>
      <c r="E155">
        <v>8.1999999999999993</v>
      </c>
      <c r="F155">
        <v>15.8</v>
      </c>
      <c r="G155">
        <v>15.7</v>
      </c>
      <c r="H155">
        <v>21.4</v>
      </c>
      <c r="I155">
        <v>19.3</v>
      </c>
      <c r="J155">
        <v>16.100000000000001</v>
      </c>
      <c r="K155">
        <v>9.4</v>
      </c>
      <c r="L155">
        <v>3.3</v>
      </c>
      <c r="M155">
        <v>0.4</v>
      </c>
    </row>
    <row r="156" spans="1:13" x14ac:dyDescent="0.25">
      <c r="A156">
        <v>1933</v>
      </c>
      <c r="B156">
        <v>-7.3</v>
      </c>
      <c r="C156">
        <v>-2</v>
      </c>
      <c r="D156">
        <v>2.9</v>
      </c>
      <c r="E156">
        <v>5.0999999999999996</v>
      </c>
      <c r="F156">
        <v>11.9</v>
      </c>
      <c r="G156">
        <v>15.4</v>
      </c>
      <c r="H156">
        <v>19.7</v>
      </c>
      <c r="I156">
        <v>17</v>
      </c>
      <c r="J156">
        <v>13.2</v>
      </c>
      <c r="K156">
        <v>8.5</v>
      </c>
      <c r="L156">
        <v>1.5</v>
      </c>
      <c r="M156">
        <v>-6.5</v>
      </c>
    </row>
    <row r="157" spans="1:13" x14ac:dyDescent="0.25">
      <c r="A157">
        <v>1934</v>
      </c>
      <c r="B157">
        <v>-2.2999999999999998</v>
      </c>
      <c r="C157">
        <v>0.2</v>
      </c>
      <c r="D157">
        <v>4.5</v>
      </c>
      <c r="E157">
        <v>11.1</v>
      </c>
      <c r="F157">
        <v>15.4</v>
      </c>
      <c r="G157">
        <v>17.3</v>
      </c>
      <c r="H157">
        <v>18.2</v>
      </c>
      <c r="I157">
        <v>18.399999999999999</v>
      </c>
      <c r="J157">
        <v>15.6</v>
      </c>
      <c r="K157">
        <v>10.1</v>
      </c>
      <c r="L157">
        <v>5.6</v>
      </c>
      <c r="M157">
        <v>-0.6</v>
      </c>
    </row>
    <row r="158" spans="1:13" x14ac:dyDescent="0.25">
      <c r="A158">
        <v>1935</v>
      </c>
      <c r="B158">
        <v>-5.4</v>
      </c>
      <c r="C158">
        <v>-0.6</v>
      </c>
      <c r="D158">
        <v>1.1000000000000001</v>
      </c>
      <c r="E158">
        <v>8.1</v>
      </c>
      <c r="F158">
        <v>11.3</v>
      </c>
      <c r="G158">
        <v>18.899999999999999</v>
      </c>
      <c r="H158">
        <v>17.100000000000001</v>
      </c>
      <c r="I158">
        <v>17.600000000000001</v>
      </c>
      <c r="J158">
        <v>14</v>
      </c>
      <c r="K158">
        <v>9.8000000000000007</v>
      </c>
      <c r="L158">
        <v>3.2</v>
      </c>
      <c r="M158">
        <v>0.1</v>
      </c>
    </row>
    <row r="159" spans="1:13" x14ac:dyDescent="0.25">
      <c r="A159">
        <v>1936</v>
      </c>
      <c r="B159">
        <v>2</v>
      </c>
      <c r="C159">
        <v>-3.1</v>
      </c>
      <c r="D159">
        <v>4.5999999999999996</v>
      </c>
      <c r="E159">
        <v>8</v>
      </c>
      <c r="F159">
        <v>16.100000000000001</v>
      </c>
      <c r="G159">
        <v>17.899999999999999</v>
      </c>
      <c r="H159">
        <v>20.7</v>
      </c>
      <c r="I159">
        <v>16.600000000000001</v>
      </c>
      <c r="J159">
        <v>12.8</v>
      </c>
      <c r="K159">
        <v>5.3</v>
      </c>
      <c r="L159">
        <v>2.8</v>
      </c>
      <c r="M159">
        <v>0.8</v>
      </c>
    </row>
    <row r="160" spans="1:13" x14ac:dyDescent="0.25">
      <c r="A160">
        <v>1937</v>
      </c>
      <c r="B160">
        <v>-6.6</v>
      </c>
      <c r="C160">
        <v>-0.9</v>
      </c>
      <c r="D160">
        <v>2.8</v>
      </c>
      <c r="E160">
        <v>8.6</v>
      </c>
      <c r="F160">
        <v>18.2</v>
      </c>
      <c r="G160">
        <v>18.8</v>
      </c>
      <c r="H160">
        <v>18.899999999999999</v>
      </c>
      <c r="I160">
        <v>19.3</v>
      </c>
      <c r="J160">
        <v>15.6</v>
      </c>
      <c r="K160">
        <v>9.1</v>
      </c>
      <c r="L160">
        <v>3.3</v>
      </c>
      <c r="M160">
        <v>-1.7</v>
      </c>
    </row>
    <row r="161" spans="1:13" x14ac:dyDescent="0.25">
      <c r="A161">
        <v>1938</v>
      </c>
      <c r="B161">
        <v>-1.9</v>
      </c>
      <c r="C161">
        <v>-0.2</v>
      </c>
      <c r="D161">
        <v>6.3</v>
      </c>
      <c r="E161">
        <v>5.3</v>
      </c>
      <c r="F161">
        <v>12.9</v>
      </c>
      <c r="G161">
        <v>17.899999999999999</v>
      </c>
      <c r="H161">
        <v>19.5</v>
      </c>
      <c r="I161">
        <v>20</v>
      </c>
      <c r="J161">
        <v>14.1</v>
      </c>
      <c r="K161">
        <v>9.6999999999999993</v>
      </c>
      <c r="L161">
        <v>5.7</v>
      </c>
      <c r="M161">
        <v>-4.4000000000000004</v>
      </c>
    </row>
    <row r="162" spans="1:13" x14ac:dyDescent="0.25">
      <c r="A162">
        <v>1939</v>
      </c>
      <c r="B162">
        <v>0.7</v>
      </c>
      <c r="C162">
        <v>2.2000000000000002</v>
      </c>
      <c r="D162">
        <v>1.3</v>
      </c>
      <c r="E162">
        <v>10.4</v>
      </c>
      <c r="F162">
        <v>12.6</v>
      </c>
      <c r="G162">
        <v>19.100000000000001</v>
      </c>
      <c r="H162">
        <v>21</v>
      </c>
      <c r="I162">
        <v>21.7</v>
      </c>
      <c r="J162">
        <v>14.1</v>
      </c>
      <c r="K162">
        <v>6</v>
      </c>
      <c r="L162">
        <v>3.8</v>
      </c>
      <c r="M162">
        <v>-3</v>
      </c>
    </row>
    <row r="163" spans="1:13" x14ac:dyDescent="0.25">
      <c r="A163">
        <v>1940</v>
      </c>
      <c r="B163">
        <v>-12.1</v>
      </c>
      <c r="C163">
        <v>-11.4</v>
      </c>
      <c r="D163">
        <v>-1.3</v>
      </c>
      <c r="E163">
        <v>7.6</v>
      </c>
      <c r="F163">
        <v>13.9</v>
      </c>
      <c r="G163">
        <v>20</v>
      </c>
      <c r="H163">
        <v>18.899999999999999</v>
      </c>
      <c r="I163">
        <v>15.8</v>
      </c>
      <c r="J163">
        <v>12.9</v>
      </c>
      <c r="K163">
        <v>6.2</v>
      </c>
      <c r="L163">
        <v>5.2</v>
      </c>
      <c r="M163">
        <v>-4.7</v>
      </c>
    </row>
    <row r="164" spans="1:13" x14ac:dyDescent="0.25">
      <c r="A164">
        <v>1941</v>
      </c>
      <c r="B164">
        <v>-9.1999999999999993</v>
      </c>
      <c r="C164">
        <v>-1.7</v>
      </c>
      <c r="D164">
        <v>1.4</v>
      </c>
      <c r="E164">
        <v>5.4</v>
      </c>
      <c r="F164">
        <v>10.7</v>
      </c>
      <c r="G164">
        <v>17.3</v>
      </c>
      <c r="H164">
        <v>20.100000000000001</v>
      </c>
      <c r="I164">
        <v>17.100000000000001</v>
      </c>
      <c r="J164">
        <v>11.6</v>
      </c>
      <c r="K164">
        <v>6.2</v>
      </c>
      <c r="L164">
        <v>-1.8</v>
      </c>
      <c r="M164">
        <v>-0.1</v>
      </c>
    </row>
    <row r="165" spans="1:13" x14ac:dyDescent="0.25">
      <c r="A165">
        <v>1942</v>
      </c>
      <c r="B165">
        <v>-10.9</v>
      </c>
      <c r="C165">
        <v>-6.2</v>
      </c>
      <c r="D165">
        <v>-3.7</v>
      </c>
      <c r="E165">
        <v>7.1</v>
      </c>
      <c r="F165">
        <v>13.2</v>
      </c>
      <c r="G165">
        <v>16.2</v>
      </c>
      <c r="H165">
        <v>18</v>
      </c>
      <c r="I165">
        <v>20.5</v>
      </c>
      <c r="J165">
        <v>16.8</v>
      </c>
      <c r="K165">
        <v>9.8000000000000007</v>
      </c>
      <c r="L165">
        <v>1.6</v>
      </c>
      <c r="M165">
        <v>1.3</v>
      </c>
    </row>
    <row r="166" spans="1:13" x14ac:dyDescent="0.25">
      <c r="A166">
        <v>1943</v>
      </c>
      <c r="B166">
        <v>-6</v>
      </c>
      <c r="C166">
        <v>2</v>
      </c>
      <c r="D166">
        <v>3.9</v>
      </c>
      <c r="E166">
        <v>9.6999999999999993</v>
      </c>
      <c r="F166">
        <v>13</v>
      </c>
      <c r="G166">
        <v>16.600000000000001</v>
      </c>
      <c r="H166">
        <v>18.2</v>
      </c>
      <c r="I166">
        <v>19.5</v>
      </c>
      <c r="J166">
        <v>14.8</v>
      </c>
      <c r="K166">
        <v>9.3000000000000007</v>
      </c>
      <c r="L166">
        <v>2.8</v>
      </c>
      <c r="M166">
        <v>-1.2</v>
      </c>
    </row>
    <row r="167" spans="1:13" x14ac:dyDescent="0.25">
      <c r="A167">
        <v>1944</v>
      </c>
      <c r="B167">
        <v>1.5</v>
      </c>
      <c r="C167">
        <v>-1</v>
      </c>
      <c r="D167">
        <v>0.5</v>
      </c>
      <c r="E167">
        <v>6.9</v>
      </c>
      <c r="F167">
        <v>13.1</v>
      </c>
      <c r="G167">
        <v>16.2</v>
      </c>
      <c r="H167">
        <v>20.2</v>
      </c>
      <c r="I167">
        <v>19.399999999999999</v>
      </c>
      <c r="J167">
        <v>13.3</v>
      </c>
      <c r="K167">
        <v>9.9</v>
      </c>
      <c r="L167">
        <v>2.4</v>
      </c>
      <c r="M167">
        <v>-1.8</v>
      </c>
    </row>
    <row r="168" spans="1:13" x14ac:dyDescent="0.25">
      <c r="A168">
        <v>1945</v>
      </c>
      <c r="B168">
        <v>-4.9000000000000004</v>
      </c>
      <c r="C168">
        <v>0.3</v>
      </c>
      <c r="D168">
        <v>2.8</v>
      </c>
      <c r="E168">
        <v>7.8</v>
      </c>
      <c r="F168">
        <v>12.9</v>
      </c>
      <c r="G168">
        <v>16.3</v>
      </c>
      <c r="H168">
        <v>18.5</v>
      </c>
      <c r="I168">
        <v>18</v>
      </c>
      <c r="J168">
        <v>13.9</v>
      </c>
      <c r="K168">
        <v>8.1999999999999993</v>
      </c>
      <c r="L168">
        <v>2.7</v>
      </c>
      <c r="M168">
        <v>-1.3</v>
      </c>
    </row>
    <row r="169" spans="1:13" x14ac:dyDescent="0.25">
      <c r="A169">
        <v>1946</v>
      </c>
      <c r="B169">
        <v>-2.8</v>
      </c>
      <c r="C169">
        <v>-0.7</v>
      </c>
      <c r="D169">
        <v>2.4</v>
      </c>
      <c r="E169">
        <v>9.8000000000000007</v>
      </c>
      <c r="F169">
        <v>16.100000000000001</v>
      </c>
      <c r="G169">
        <v>17.8</v>
      </c>
      <c r="H169">
        <v>20.5</v>
      </c>
      <c r="I169">
        <v>18.100000000000001</v>
      </c>
      <c r="J169">
        <v>14.2</v>
      </c>
      <c r="K169">
        <v>4.8</v>
      </c>
      <c r="L169">
        <v>0.8</v>
      </c>
      <c r="M169">
        <v>-3.9</v>
      </c>
    </row>
    <row r="170" spans="1:13" x14ac:dyDescent="0.25">
      <c r="A170">
        <v>1947</v>
      </c>
      <c r="B170">
        <v>-7.8</v>
      </c>
      <c r="C170">
        <v>-10.8</v>
      </c>
      <c r="D170">
        <v>0.2</v>
      </c>
      <c r="E170">
        <v>8.9</v>
      </c>
      <c r="F170">
        <v>15.9</v>
      </c>
      <c r="G170">
        <v>19.100000000000001</v>
      </c>
      <c r="H170">
        <v>20.2</v>
      </c>
      <c r="I170">
        <v>16.8</v>
      </c>
      <c r="J170">
        <v>15.9</v>
      </c>
      <c r="K170">
        <v>6.3</v>
      </c>
      <c r="L170">
        <v>4.2</v>
      </c>
      <c r="M170">
        <v>0.9</v>
      </c>
    </row>
    <row r="171" spans="1:13" x14ac:dyDescent="0.25">
      <c r="A171">
        <v>1948</v>
      </c>
      <c r="B171">
        <v>1.1000000000000001</v>
      </c>
      <c r="C171">
        <v>-2.6</v>
      </c>
      <c r="D171">
        <v>2.9</v>
      </c>
      <c r="E171">
        <v>10.5</v>
      </c>
      <c r="F171">
        <v>15.2</v>
      </c>
      <c r="G171">
        <v>16.5</v>
      </c>
      <c r="H171">
        <v>17.899999999999999</v>
      </c>
      <c r="I171">
        <v>17.8</v>
      </c>
      <c r="J171">
        <v>14.9</v>
      </c>
      <c r="K171">
        <v>8.1999999999999993</v>
      </c>
      <c r="L171">
        <v>3</v>
      </c>
      <c r="M171">
        <v>-0.7</v>
      </c>
    </row>
    <row r="172" spans="1:13" x14ac:dyDescent="0.25">
      <c r="A172">
        <v>1949</v>
      </c>
      <c r="B172">
        <v>-0.1</v>
      </c>
      <c r="C172">
        <v>0.1</v>
      </c>
      <c r="D172">
        <v>-0.4</v>
      </c>
      <c r="E172">
        <v>9.6999999999999993</v>
      </c>
      <c r="F172">
        <v>15.8</v>
      </c>
      <c r="G172">
        <v>15.8</v>
      </c>
      <c r="H172">
        <v>18.600000000000001</v>
      </c>
      <c r="I172">
        <v>16.899999999999999</v>
      </c>
      <c r="J172">
        <v>15.3</v>
      </c>
      <c r="K172">
        <v>9</v>
      </c>
      <c r="L172">
        <v>4.4000000000000004</v>
      </c>
      <c r="M172">
        <v>2.5</v>
      </c>
    </row>
    <row r="173" spans="1:13" x14ac:dyDescent="0.25">
      <c r="A173">
        <v>1950</v>
      </c>
      <c r="B173">
        <v>-6.8</v>
      </c>
      <c r="C173">
        <v>1.2</v>
      </c>
      <c r="D173">
        <v>3.1</v>
      </c>
      <c r="E173">
        <v>9.9</v>
      </c>
      <c r="F173">
        <v>16.100000000000001</v>
      </c>
      <c r="G173">
        <v>17.899999999999999</v>
      </c>
      <c r="H173">
        <v>18.5</v>
      </c>
      <c r="I173">
        <v>18.3</v>
      </c>
      <c r="J173">
        <v>13.6</v>
      </c>
      <c r="K173">
        <v>7.5</v>
      </c>
      <c r="L173">
        <v>3.8</v>
      </c>
      <c r="M173">
        <v>0.4</v>
      </c>
    </row>
    <row r="174" spans="1:13" x14ac:dyDescent="0.25">
      <c r="A174">
        <v>1951</v>
      </c>
      <c r="B174">
        <v>-1.8</v>
      </c>
      <c r="C174">
        <v>-0.7</v>
      </c>
      <c r="D174">
        <v>0.6</v>
      </c>
      <c r="E174">
        <v>9.3000000000000007</v>
      </c>
      <c r="F174">
        <v>12.6</v>
      </c>
      <c r="G174">
        <v>18.3</v>
      </c>
      <c r="H174">
        <v>19</v>
      </c>
      <c r="I174">
        <v>20.399999999999999</v>
      </c>
      <c r="J174">
        <v>15.8</v>
      </c>
      <c r="K174">
        <v>6.7</v>
      </c>
      <c r="L174">
        <v>5.7</v>
      </c>
      <c r="M174">
        <v>2.1</v>
      </c>
    </row>
    <row r="175" spans="1:13" x14ac:dyDescent="0.25">
      <c r="A175">
        <v>1952</v>
      </c>
      <c r="B175">
        <v>-0.1</v>
      </c>
      <c r="C175">
        <v>-1.8</v>
      </c>
      <c r="D175">
        <v>-2.9</v>
      </c>
      <c r="E175">
        <v>11</v>
      </c>
      <c r="F175">
        <v>12.1</v>
      </c>
      <c r="G175">
        <v>16.2</v>
      </c>
      <c r="H175">
        <v>19.5</v>
      </c>
      <c r="I175">
        <v>19.2</v>
      </c>
      <c r="J175">
        <v>11.8</v>
      </c>
      <c r="K175">
        <v>7.2</v>
      </c>
      <c r="L175">
        <v>1.8</v>
      </c>
      <c r="M175">
        <v>-1.3</v>
      </c>
    </row>
    <row r="176" spans="1:13" x14ac:dyDescent="0.25">
      <c r="A176">
        <v>1953</v>
      </c>
      <c r="B176">
        <v>-1.8</v>
      </c>
      <c r="C176">
        <v>-2.2000000000000002</v>
      </c>
      <c r="D176">
        <v>2.9</v>
      </c>
      <c r="E176">
        <v>9.3000000000000007</v>
      </c>
      <c r="F176">
        <v>14</v>
      </c>
      <c r="G176">
        <v>18.8</v>
      </c>
      <c r="H176">
        <v>20.6</v>
      </c>
      <c r="I176">
        <v>17.600000000000001</v>
      </c>
      <c r="J176">
        <v>13.7</v>
      </c>
      <c r="K176">
        <v>9.5</v>
      </c>
      <c r="L176">
        <v>2.6</v>
      </c>
      <c r="M176">
        <v>-0.8</v>
      </c>
    </row>
    <row r="177" spans="1:13" x14ac:dyDescent="0.25">
      <c r="A177">
        <v>1954</v>
      </c>
      <c r="B177">
        <v>-7.5</v>
      </c>
      <c r="C177">
        <v>-9.5</v>
      </c>
      <c r="D177">
        <v>2.2999999999999998</v>
      </c>
      <c r="E177">
        <v>5.5</v>
      </c>
      <c r="F177">
        <v>14.6</v>
      </c>
      <c r="G177">
        <v>19.399999999999999</v>
      </c>
      <c r="H177">
        <v>17.399999999999999</v>
      </c>
      <c r="I177">
        <v>18</v>
      </c>
      <c r="J177">
        <v>14.8</v>
      </c>
      <c r="K177">
        <v>8.6999999999999993</v>
      </c>
      <c r="L177">
        <v>2.4</v>
      </c>
      <c r="M177">
        <v>2.6</v>
      </c>
    </row>
    <row r="178" spans="1:13" x14ac:dyDescent="0.25">
      <c r="A178">
        <v>1955</v>
      </c>
      <c r="B178">
        <v>-3</v>
      </c>
      <c r="C178">
        <v>-2.2999999999999998</v>
      </c>
      <c r="D178">
        <v>-0.6</v>
      </c>
      <c r="E178">
        <v>4.9000000000000004</v>
      </c>
      <c r="F178">
        <v>11.8</v>
      </c>
      <c r="G178">
        <v>16.3</v>
      </c>
      <c r="H178">
        <v>19.5</v>
      </c>
      <c r="I178">
        <v>19.600000000000001</v>
      </c>
      <c r="J178">
        <v>15.1</v>
      </c>
      <c r="K178">
        <v>8.6</v>
      </c>
      <c r="L178">
        <v>3.4</v>
      </c>
      <c r="M178">
        <v>0.6</v>
      </c>
    </row>
    <row r="179" spans="1:13" x14ac:dyDescent="0.25">
      <c r="A179">
        <v>1956</v>
      </c>
      <c r="B179">
        <v>-1.4</v>
      </c>
      <c r="C179">
        <v>-11.7</v>
      </c>
      <c r="D179">
        <v>-1.3</v>
      </c>
      <c r="E179">
        <v>6</v>
      </c>
      <c r="F179">
        <v>13.3</v>
      </c>
      <c r="G179">
        <v>17.899999999999999</v>
      </c>
      <c r="H179">
        <v>17.600000000000001</v>
      </c>
      <c r="I179">
        <v>15.8</v>
      </c>
      <c r="J179">
        <v>12.7</v>
      </c>
      <c r="K179">
        <v>8.4</v>
      </c>
      <c r="L179">
        <v>-0.6</v>
      </c>
      <c r="M179">
        <v>-0.3</v>
      </c>
    </row>
    <row r="180" spans="1:13" x14ac:dyDescent="0.25">
      <c r="A180">
        <v>1957</v>
      </c>
      <c r="B180">
        <v>-1.1000000000000001</v>
      </c>
      <c r="C180">
        <v>2.7</v>
      </c>
      <c r="D180">
        <v>2.7</v>
      </c>
      <c r="E180">
        <v>9.1</v>
      </c>
      <c r="F180">
        <v>11.1</v>
      </c>
      <c r="G180">
        <v>18.3</v>
      </c>
      <c r="H180">
        <v>19.2</v>
      </c>
      <c r="I180">
        <v>16.5</v>
      </c>
      <c r="J180">
        <v>11.9</v>
      </c>
      <c r="K180">
        <v>9</v>
      </c>
      <c r="L180">
        <v>4.3</v>
      </c>
      <c r="M180">
        <v>-1.3</v>
      </c>
    </row>
    <row r="181" spans="1:13" x14ac:dyDescent="0.25">
      <c r="A181">
        <v>1958</v>
      </c>
      <c r="B181">
        <v>-2.4</v>
      </c>
      <c r="C181">
        <v>0</v>
      </c>
      <c r="D181">
        <v>-2.5</v>
      </c>
      <c r="E181">
        <v>4.5999999999999996</v>
      </c>
      <c r="F181">
        <v>15.5</v>
      </c>
      <c r="G181">
        <v>16</v>
      </c>
      <c r="H181">
        <v>19.3</v>
      </c>
      <c r="I181">
        <v>17.8</v>
      </c>
      <c r="J181">
        <v>13.5</v>
      </c>
      <c r="K181">
        <v>9.9</v>
      </c>
      <c r="L181">
        <v>3.8</v>
      </c>
      <c r="M181">
        <v>1.3</v>
      </c>
    </row>
    <row r="182" spans="1:13" x14ac:dyDescent="0.25">
      <c r="A182">
        <v>1959</v>
      </c>
      <c r="B182">
        <v>-0.6</v>
      </c>
      <c r="C182">
        <v>-1.5</v>
      </c>
      <c r="D182">
        <v>4.5999999999999996</v>
      </c>
      <c r="E182">
        <v>8.9</v>
      </c>
      <c r="F182">
        <v>13.8</v>
      </c>
      <c r="G182">
        <v>17.3</v>
      </c>
      <c r="H182">
        <v>21.5</v>
      </c>
      <c r="I182">
        <v>19.3</v>
      </c>
      <c r="J182">
        <v>12.7</v>
      </c>
      <c r="K182">
        <v>8.1</v>
      </c>
      <c r="L182">
        <v>2.2999999999999998</v>
      </c>
      <c r="M182">
        <v>-1.4</v>
      </c>
    </row>
    <row r="183" spans="1:13" x14ac:dyDescent="0.25">
      <c r="A183">
        <v>1960</v>
      </c>
      <c r="B183">
        <v>-2.8</v>
      </c>
      <c r="C183">
        <v>-3.1</v>
      </c>
      <c r="D183">
        <v>1.8</v>
      </c>
      <c r="E183">
        <v>7.3</v>
      </c>
      <c r="F183">
        <v>13.6</v>
      </c>
      <c r="G183">
        <v>17.8</v>
      </c>
      <c r="H183">
        <v>17.3</v>
      </c>
      <c r="I183">
        <v>17</v>
      </c>
      <c r="J183">
        <v>12.3</v>
      </c>
      <c r="K183">
        <v>8.9</v>
      </c>
      <c r="L183">
        <v>5.2</v>
      </c>
      <c r="M183">
        <v>2.9</v>
      </c>
    </row>
    <row r="184" spans="1:13" x14ac:dyDescent="0.25">
      <c r="A184">
        <v>1961</v>
      </c>
      <c r="B184">
        <v>-2.8</v>
      </c>
      <c r="C184">
        <v>1.7</v>
      </c>
      <c r="D184">
        <v>5.5</v>
      </c>
      <c r="E184">
        <v>10.5</v>
      </c>
      <c r="F184">
        <v>12.6</v>
      </c>
      <c r="G184">
        <v>18.600000000000001</v>
      </c>
      <c r="H184">
        <v>16.8</v>
      </c>
      <c r="I184">
        <v>16.8</v>
      </c>
      <c r="J184">
        <v>14.8</v>
      </c>
      <c r="K184">
        <v>10.7</v>
      </c>
      <c r="L184">
        <v>3.8</v>
      </c>
      <c r="M184">
        <v>-3.1</v>
      </c>
    </row>
    <row r="185" spans="1:13" x14ac:dyDescent="0.25">
      <c r="A185">
        <v>1962</v>
      </c>
      <c r="B185">
        <v>0</v>
      </c>
      <c r="C185">
        <v>-2.1</v>
      </c>
      <c r="D185">
        <v>-1.4</v>
      </c>
      <c r="E185">
        <v>11.2</v>
      </c>
      <c r="F185">
        <v>11.5</v>
      </c>
      <c r="G185">
        <v>15.3</v>
      </c>
      <c r="H185">
        <v>16.8</v>
      </c>
      <c r="I185">
        <v>17.100000000000001</v>
      </c>
      <c r="J185">
        <v>12.7</v>
      </c>
      <c r="K185">
        <v>8.5</v>
      </c>
      <c r="L185">
        <v>4.2</v>
      </c>
      <c r="M185">
        <v>-4.2</v>
      </c>
    </row>
    <row r="186" spans="1:13" x14ac:dyDescent="0.25">
      <c r="A186">
        <v>1963</v>
      </c>
      <c r="B186">
        <v>-11.6</v>
      </c>
      <c r="C186">
        <v>-7.2</v>
      </c>
      <c r="D186">
        <v>-1.2</v>
      </c>
      <c r="E186">
        <v>8.8000000000000007</v>
      </c>
      <c r="F186">
        <v>16.3</v>
      </c>
      <c r="G186">
        <v>17.3</v>
      </c>
      <c r="H186">
        <v>21.1</v>
      </c>
      <c r="I186">
        <v>19.8</v>
      </c>
      <c r="J186">
        <v>15.4</v>
      </c>
      <c r="K186">
        <v>8.6999999999999993</v>
      </c>
      <c r="L186">
        <v>6.6</v>
      </c>
      <c r="M186">
        <v>-4.5</v>
      </c>
    </row>
    <row r="187" spans="1:13" x14ac:dyDescent="0.25">
      <c r="A187">
        <v>1964</v>
      </c>
      <c r="B187">
        <v>-2.9</v>
      </c>
      <c r="C187">
        <v>-3.9</v>
      </c>
      <c r="D187">
        <v>-2.4</v>
      </c>
      <c r="E187">
        <v>8.8000000000000007</v>
      </c>
      <c r="F187">
        <v>14.1</v>
      </c>
      <c r="G187">
        <v>20.399999999999999</v>
      </c>
      <c r="H187">
        <v>19.3</v>
      </c>
      <c r="I187">
        <v>16.8</v>
      </c>
      <c r="J187">
        <v>14.1</v>
      </c>
      <c r="K187">
        <v>8.1999999999999993</v>
      </c>
      <c r="L187">
        <v>3.9</v>
      </c>
      <c r="M187">
        <v>0</v>
      </c>
    </row>
    <row r="188" spans="1:13" x14ac:dyDescent="0.25">
      <c r="A188">
        <v>1965</v>
      </c>
      <c r="B188">
        <v>-0.8</v>
      </c>
      <c r="C188">
        <v>-4.8</v>
      </c>
      <c r="D188">
        <v>1.3</v>
      </c>
      <c r="E188">
        <v>6.8</v>
      </c>
      <c r="F188">
        <v>10.8</v>
      </c>
      <c r="G188">
        <v>16.7</v>
      </c>
      <c r="H188">
        <v>17.100000000000001</v>
      </c>
      <c r="I188">
        <v>16.3</v>
      </c>
      <c r="J188">
        <v>15.2</v>
      </c>
      <c r="K188">
        <v>8.1999999999999993</v>
      </c>
      <c r="L188">
        <v>-0.6</v>
      </c>
      <c r="M188">
        <v>0.7</v>
      </c>
    </row>
    <row r="189" spans="1:13" x14ac:dyDescent="0.25">
      <c r="A189">
        <v>1966</v>
      </c>
      <c r="B189">
        <v>-4.5</v>
      </c>
      <c r="C189">
        <v>-0.3</v>
      </c>
      <c r="D189">
        <v>2.9</v>
      </c>
      <c r="E189">
        <v>9</v>
      </c>
      <c r="F189">
        <v>14.1</v>
      </c>
      <c r="G189">
        <v>18</v>
      </c>
      <c r="H189">
        <v>19.2</v>
      </c>
      <c r="I189">
        <v>17.5</v>
      </c>
      <c r="J189">
        <v>12.8</v>
      </c>
      <c r="K189">
        <v>11.1</v>
      </c>
      <c r="L189">
        <v>2.8</v>
      </c>
      <c r="M189">
        <v>0</v>
      </c>
    </row>
    <row r="190" spans="1:13" x14ac:dyDescent="0.25">
      <c r="A190">
        <v>1967</v>
      </c>
      <c r="B190">
        <v>-4.8</v>
      </c>
      <c r="C190">
        <v>0.7</v>
      </c>
      <c r="D190">
        <v>5.3</v>
      </c>
      <c r="E190">
        <v>8.1</v>
      </c>
      <c r="F190">
        <v>14.8</v>
      </c>
      <c r="G190">
        <v>17.2</v>
      </c>
      <c r="H190">
        <v>20.100000000000001</v>
      </c>
      <c r="I190">
        <v>18</v>
      </c>
      <c r="J190">
        <v>16.600000000000001</v>
      </c>
      <c r="K190">
        <v>11.7</v>
      </c>
      <c r="L190">
        <v>4.0999999999999996</v>
      </c>
      <c r="M190">
        <v>-1</v>
      </c>
    </row>
    <row r="191" spans="1:13" x14ac:dyDescent="0.25">
      <c r="A191">
        <v>1968</v>
      </c>
      <c r="B191">
        <v>-3.3</v>
      </c>
      <c r="C191">
        <v>-0.4</v>
      </c>
      <c r="D191">
        <v>3.6</v>
      </c>
      <c r="E191">
        <v>10.199999999999999</v>
      </c>
      <c r="F191">
        <v>12.2</v>
      </c>
      <c r="G191">
        <v>18.7</v>
      </c>
      <c r="H191">
        <v>17.399999999999999</v>
      </c>
      <c r="I191">
        <v>18.399999999999999</v>
      </c>
      <c r="J191">
        <v>13.8</v>
      </c>
      <c r="K191">
        <v>8.6999999999999993</v>
      </c>
      <c r="L191">
        <v>3.8</v>
      </c>
      <c r="M191">
        <v>-3.5</v>
      </c>
    </row>
    <row r="192" spans="1:13" x14ac:dyDescent="0.25">
      <c r="A192">
        <v>1969</v>
      </c>
      <c r="B192">
        <v>-6</v>
      </c>
      <c r="C192">
        <v>-4.2</v>
      </c>
      <c r="D192">
        <v>-1.7</v>
      </c>
      <c r="E192">
        <v>7.2</v>
      </c>
      <c r="F192">
        <v>15.5</v>
      </c>
      <c r="G192">
        <v>17.7</v>
      </c>
      <c r="H192">
        <v>19.600000000000001</v>
      </c>
      <c r="I192">
        <v>17.399999999999999</v>
      </c>
      <c r="J192">
        <v>14</v>
      </c>
      <c r="K192">
        <v>8.9</v>
      </c>
      <c r="L192">
        <v>5.7</v>
      </c>
      <c r="M192">
        <v>-8.1</v>
      </c>
    </row>
    <row r="193" spans="1:13" x14ac:dyDescent="0.25">
      <c r="A193">
        <v>1970</v>
      </c>
      <c r="B193">
        <v>-5.7</v>
      </c>
      <c r="C193">
        <v>-4.9000000000000004</v>
      </c>
      <c r="D193">
        <v>0.7</v>
      </c>
      <c r="E193">
        <v>7.4</v>
      </c>
      <c r="F193">
        <v>13.3</v>
      </c>
      <c r="G193">
        <v>17.600000000000001</v>
      </c>
      <c r="H193">
        <v>17.600000000000001</v>
      </c>
      <c r="I193">
        <v>17.7</v>
      </c>
      <c r="J193">
        <v>12.8</v>
      </c>
      <c r="K193">
        <v>8</v>
      </c>
      <c r="L193">
        <v>4.9000000000000004</v>
      </c>
      <c r="M193">
        <v>0.9</v>
      </c>
    </row>
    <row r="194" spans="1:13" x14ac:dyDescent="0.25">
      <c r="A194">
        <v>1971</v>
      </c>
      <c r="B194">
        <v>-3.2</v>
      </c>
      <c r="C194">
        <v>0.2</v>
      </c>
      <c r="D194">
        <v>0.3</v>
      </c>
      <c r="E194">
        <v>8.1</v>
      </c>
      <c r="F194">
        <v>17.2</v>
      </c>
      <c r="G194">
        <v>16.3</v>
      </c>
      <c r="H194">
        <v>19.2</v>
      </c>
      <c r="I194">
        <v>19.7</v>
      </c>
      <c r="J194">
        <v>11.3</v>
      </c>
      <c r="K194">
        <v>8.6999999999999993</v>
      </c>
      <c r="L194">
        <v>2.5</v>
      </c>
      <c r="M194">
        <v>3.2</v>
      </c>
    </row>
    <row r="195" spans="1:13" x14ac:dyDescent="0.25">
      <c r="A195">
        <v>1972</v>
      </c>
      <c r="B195">
        <v>-7.2</v>
      </c>
      <c r="C195">
        <v>-0.6</v>
      </c>
      <c r="D195">
        <v>4</v>
      </c>
      <c r="E195">
        <v>8.3000000000000007</v>
      </c>
      <c r="F195">
        <v>14.2</v>
      </c>
      <c r="G195">
        <v>17.7</v>
      </c>
      <c r="H195">
        <v>20.9</v>
      </c>
      <c r="I195">
        <v>17.3</v>
      </c>
      <c r="J195">
        <v>12.2</v>
      </c>
      <c r="K195">
        <v>6.6</v>
      </c>
      <c r="L195">
        <v>4.5</v>
      </c>
      <c r="M195">
        <v>0.1</v>
      </c>
    </row>
    <row r="196" spans="1:13" x14ac:dyDescent="0.25">
      <c r="A196">
        <v>1973</v>
      </c>
      <c r="B196">
        <v>-2.4</v>
      </c>
      <c r="C196">
        <v>1.6</v>
      </c>
      <c r="D196">
        <v>4.4000000000000004</v>
      </c>
      <c r="E196">
        <v>7.6</v>
      </c>
      <c r="F196">
        <v>13.5</v>
      </c>
      <c r="G196">
        <v>17</v>
      </c>
      <c r="H196">
        <v>18.7</v>
      </c>
      <c r="I196">
        <v>18.7</v>
      </c>
      <c r="J196">
        <v>13.4</v>
      </c>
      <c r="K196">
        <v>6.7</v>
      </c>
      <c r="L196">
        <v>1.9</v>
      </c>
      <c r="M196">
        <v>-0.6</v>
      </c>
    </row>
    <row r="197" spans="1:13" x14ac:dyDescent="0.25">
      <c r="A197">
        <v>1974</v>
      </c>
      <c r="B197">
        <v>-1</v>
      </c>
      <c r="C197">
        <v>2.2999999999999998</v>
      </c>
      <c r="D197">
        <v>4.8</v>
      </c>
      <c r="E197">
        <v>7.8</v>
      </c>
      <c r="F197">
        <v>11.6</v>
      </c>
      <c r="G197">
        <v>15.1</v>
      </c>
      <c r="H197">
        <v>16.3</v>
      </c>
      <c r="I197">
        <v>18.399999999999999</v>
      </c>
      <c r="J197">
        <v>13.9</v>
      </c>
      <c r="K197">
        <v>6.6</v>
      </c>
      <c r="L197">
        <v>3.7</v>
      </c>
      <c r="M197">
        <v>2.6</v>
      </c>
    </row>
    <row r="198" spans="1:13" x14ac:dyDescent="0.25">
      <c r="A198">
        <v>1975</v>
      </c>
      <c r="B198">
        <v>2.7</v>
      </c>
      <c r="C198">
        <v>-0.2</v>
      </c>
      <c r="D198">
        <v>4.8</v>
      </c>
      <c r="E198">
        <v>7.4</v>
      </c>
      <c r="F198">
        <v>15.4</v>
      </c>
      <c r="G198">
        <v>17</v>
      </c>
      <c r="H198">
        <v>20.2</v>
      </c>
      <c r="I198">
        <v>19.3</v>
      </c>
      <c r="J198">
        <v>16.100000000000001</v>
      </c>
      <c r="K198">
        <v>8.1999999999999993</v>
      </c>
      <c r="L198">
        <v>1.7</v>
      </c>
      <c r="M198">
        <v>1.2</v>
      </c>
    </row>
    <row r="199" spans="1:13" x14ac:dyDescent="0.25">
      <c r="A199">
        <v>1976</v>
      </c>
      <c r="B199">
        <v>-2.2999999999999998</v>
      </c>
      <c r="C199">
        <v>-4</v>
      </c>
      <c r="D199">
        <v>-0.6</v>
      </c>
      <c r="E199">
        <v>8.4</v>
      </c>
      <c r="F199">
        <v>13.1</v>
      </c>
      <c r="G199">
        <v>16.100000000000001</v>
      </c>
      <c r="H199">
        <v>19.600000000000001</v>
      </c>
      <c r="I199">
        <v>16.600000000000001</v>
      </c>
      <c r="J199">
        <v>13.4</v>
      </c>
      <c r="K199">
        <v>6.8</v>
      </c>
      <c r="L199">
        <v>4.5999999999999996</v>
      </c>
      <c r="M199">
        <v>-1</v>
      </c>
    </row>
    <row r="200" spans="1:13" x14ac:dyDescent="0.25">
      <c r="A200">
        <v>1977</v>
      </c>
      <c r="B200">
        <v>-1.7</v>
      </c>
      <c r="C200">
        <v>0.4</v>
      </c>
      <c r="D200">
        <v>5.7</v>
      </c>
      <c r="E200">
        <v>6.8</v>
      </c>
      <c r="F200">
        <v>13.3</v>
      </c>
      <c r="G200">
        <v>17.8</v>
      </c>
      <c r="H200">
        <v>16.899999999999999</v>
      </c>
      <c r="I200">
        <v>16</v>
      </c>
      <c r="J200">
        <v>11.2</v>
      </c>
      <c r="K200">
        <v>9.3000000000000007</v>
      </c>
      <c r="L200">
        <v>5.4</v>
      </c>
      <c r="M200">
        <v>-0.6</v>
      </c>
    </row>
    <row r="201" spans="1:13" x14ac:dyDescent="0.25">
      <c r="A201">
        <v>1978</v>
      </c>
      <c r="B201">
        <v>-1.2</v>
      </c>
      <c r="C201">
        <v>-2.9</v>
      </c>
      <c r="D201">
        <v>3.3</v>
      </c>
      <c r="E201">
        <v>6.8</v>
      </c>
      <c r="F201">
        <v>12.6</v>
      </c>
      <c r="G201">
        <v>16</v>
      </c>
      <c r="H201">
        <v>17.100000000000001</v>
      </c>
      <c r="I201">
        <v>16.3</v>
      </c>
      <c r="J201">
        <v>11.3</v>
      </c>
      <c r="K201">
        <v>8.6999999999999993</v>
      </c>
      <c r="L201">
        <v>5.4</v>
      </c>
      <c r="M201">
        <v>-4</v>
      </c>
    </row>
    <row r="202" spans="1:13" x14ac:dyDescent="0.25">
      <c r="A202">
        <v>1979</v>
      </c>
      <c r="B202">
        <v>-5.7</v>
      </c>
      <c r="C202">
        <v>-5.3</v>
      </c>
      <c r="D202">
        <v>1.9</v>
      </c>
      <c r="E202">
        <v>7.1</v>
      </c>
      <c r="F202">
        <v>15.5</v>
      </c>
      <c r="G202">
        <v>20.5</v>
      </c>
      <c r="H202">
        <v>15.6</v>
      </c>
      <c r="I202">
        <v>17</v>
      </c>
      <c r="J202">
        <v>14.2</v>
      </c>
      <c r="K202">
        <v>6.1</v>
      </c>
      <c r="L202">
        <v>3</v>
      </c>
      <c r="M202">
        <v>1.7</v>
      </c>
    </row>
    <row r="203" spans="1:13" x14ac:dyDescent="0.25">
      <c r="A203">
        <v>1980</v>
      </c>
      <c r="B203">
        <v>-5.6</v>
      </c>
      <c r="C203">
        <v>-1.5</v>
      </c>
      <c r="D203">
        <v>-0.5</v>
      </c>
      <c r="E203">
        <v>7.3</v>
      </c>
      <c r="F203">
        <v>10.4</v>
      </c>
      <c r="G203">
        <v>16.100000000000001</v>
      </c>
      <c r="H203">
        <v>16.899999999999999</v>
      </c>
      <c r="I203">
        <v>16.8</v>
      </c>
      <c r="J203">
        <v>12.9</v>
      </c>
      <c r="K203">
        <v>8.4</v>
      </c>
      <c r="L203">
        <v>2</v>
      </c>
      <c r="M203">
        <v>-0.5</v>
      </c>
    </row>
    <row r="204" spans="1:13" x14ac:dyDescent="0.25">
      <c r="A204">
        <v>1981</v>
      </c>
      <c r="B204">
        <v>-2.8</v>
      </c>
      <c r="C204">
        <v>-0.8</v>
      </c>
      <c r="D204">
        <v>4</v>
      </c>
      <c r="E204">
        <v>6.5</v>
      </c>
      <c r="F204">
        <v>14.4</v>
      </c>
      <c r="G204">
        <v>17.3</v>
      </c>
      <c r="H204">
        <v>18.3</v>
      </c>
      <c r="I204">
        <v>16.8</v>
      </c>
      <c r="J204">
        <v>14.2</v>
      </c>
      <c r="K204">
        <v>8.8000000000000007</v>
      </c>
      <c r="L204">
        <v>3.5</v>
      </c>
      <c r="M204">
        <v>-3.3</v>
      </c>
    </row>
    <row r="205" spans="1:13" x14ac:dyDescent="0.25">
      <c r="A205">
        <v>1982</v>
      </c>
      <c r="B205">
        <v>-3.3</v>
      </c>
      <c r="C205">
        <v>-1.8</v>
      </c>
      <c r="D205">
        <v>3.9</v>
      </c>
      <c r="E205">
        <v>6.2</v>
      </c>
      <c r="F205">
        <v>14.9</v>
      </c>
      <c r="G205">
        <v>16.3</v>
      </c>
      <c r="H205">
        <v>19.600000000000001</v>
      </c>
      <c r="I205">
        <v>19.600000000000001</v>
      </c>
      <c r="J205">
        <v>15.6</v>
      </c>
      <c r="K205">
        <v>9</v>
      </c>
      <c r="L205">
        <v>5.0999999999999996</v>
      </c>
      <c r="M205">
        <v>1.5</v>
      </c>
    </row>
    <row r="206" spans="1:13" x14ac:dyDescent="0.25">
      <c r="A206">
        <v>1983</v>
      </c>
      <c r="B206">
        <v>3.4</v>
      </c>
      <c r="C206">
        <v>-1.9</v>
      </c>
      <c r="D206">
        <v>4.4000000000000004</v>
      </c>
      <c r="E206">
        <v>10.3</v>
      </c>
      <c r="F206">
        <v>16.100000000000001</v>
      </c>
      <c r="G206">
        <v>17.600000000000001</v>
      </c>
      <c r="H206">
        <v>19.899999999999999</v>
      </c>
      <c r="I206">
        <v>19</v>
      </c>
      <c r="J206">
        <v>15</v>
      </c>
      <c r="K206">
        <v>9.1999999999999993</v>
      </c>
      <c r="L206">
        <v>2.7</v>
      </c>
      <c r="M206">
        <v>-0.3</v>
      </c>
    </row>
    <row r="207" spans="1:13" x14ac:dyDescent="0.25">
      <c r="A207">
        <v>1984</v>
      </c>
      <c r="B207">
        <v>0.4</v>
      </c>
      <c r="C207">
        <v>-1.6</v>
      </c>
      <c r="D207">
        <v>1.3</v>
      </c>
      <c r="E207">
        <v>9.6</v>
      </c>
      <c r="F207">
        <v>14</v>
      </c>
      <c r="G207">
        <v>15</v>
      </c>
      <c r="H207">
        <v>16.100000000000001</v>
      </c>
      <c r="I207">
        <v>18.5</v>
      </c>
      <c r="J207">
        <v>13.3</v>
      </c>
      <c r="K207">
        <v>10.5</v>
      </c>
      <c r="L207">
        <v>2.4</v>
      </c>
      <c r="M207">
        <v>-1</v>
      </c>
    </row>
    <row r="208" spans="1:13" x14ac:dyDescent="0.25">
      <c r="A208">
        <v>1985</v>
      </c>
      <c r="B208">
        <v>-7.8</v>
      </c>
      <c r="C208">
        <v>-8.5</v>
      </c>
      <c r="D208">
        <v>2.1</v>
      </c>
      <c r="E208">
        <v>9</v>
      </c>
      <c r="F208">
        <v>15.6</v>
      </c>
      <c r="G208">
        <v>15.3</v>
      </c>
      <c r="H208">
        <v>18</v>
      </c>
      <c r="I208">
        <v>18.399999999999999</v>
      </c>
      <c r="J208">
        <v>12.7</v>
      </c>
      <c r="K208">
        <v>8.6</v>
      </c>
      <c r="L208">
        <v>1.1000000000000001</v>
      </c>
      <c r="M208">
        <v>1.9</v>
      </c>
    </row>
    <row r="209" spans="1:13" x14ac:dyDescent="0.25">
      <c r="A209">
        <v>1986</v>
      </c>
      <c r="B209">
        <v>-1.2</v>
      </c>
      <c r="C209">
        <v>-9</v>
      </c>
      <c r="D209">
        <v>2.2999999999999998</v>
      </c>
      <c r="E209">
        <v>9.1999999999999993</v>
      </c>
      <c r="F209">
        <v>15.3</v>
      </c>
      <c r="G209">
        <v>17.3</v>
      </c>
      <c r="H209">
        <v>18.600000000000001</v>
      </c>
      <c r="I209">
        <v>17.7</v>
      </c>
      <c r="J209">
        <v>11.4</v>
      </c>
      <c r="K209">
        <v>8.5</v>
      </c>
      <c r="L209">
        <v>5.5</v>
      </c>
      <c r="M209">
        <v>0.1</v>
      </c>
    </row>
    <row r="210" spans="1:13" x14ac:dyDescent="0.25">
      <c r="A210">
        <v>1987</v>
      </c>
      <c r="B210">
        <v>-12</v>
      </c>
      <c r="C210">
        <v>-0.7</v>
      </c>
      <c r="D210">
        <v>-2</v>
      </c>
      <c r="E210">
        <v>7.6</v>
      </c>
      <c r="F210">
        <v>12.8</v>
      </c>
      <c r="G210">
        <v>16.2</v>
      </c>
      <c r="H210">
        <v>18.600000000000001</v>
      </c>
      <c r="I210">
        <v>15.6</v>
      </c>
      <c r="J210">
        <v>13.1</v>
      </c>
      <c r="K210">
        <v>8.5</v>
      </c>
      <c r="L210">
        <v>4.0999999999999996</v>
      </c>
      <c r="M210">
        <v>0.9</v>
      </c>
    </row>
    <row r="211" spans="1:13" x14ac:dyDescent="0.25">
      <c r="A211">
        <v>1988</v>
      </c>
      <c r="B211">
        <v>0.7</v>
      </c>
      <c r="C211">
        <v>0.6</v>
      </c>
      <c r="D211">
        <v>1.2</v>
      </c>
      <c r="E211">
        <v>7.7</v>
      </c>
      <c r="F211">
        <v>15.5</v>
      </c>
      <c r="G211">
        <v>17.100000000000001</v>
      </c>
      <c r="H211">
        <v>19.899999999999999</v>
      </c>
      <c r="I211">
        <v>17.7</v>
      </c>
      <c r="J211">
        <v>13.7</v>
      </c>
      <c r="K211">
        <v>7.8</v>
      </c>
      <c r="L211">
        <v>0.3</v>
      </c>
      <c r="M211">
        <v>0.9</v>
      </c>
    </row>
    <row r="212" spans="1:13" x14ac:dyDescent="0.25">
      <c r="A212">
        <v>1989</v>
      </c>
      <c r="B212">
        <v>2.2000000000000002</v>
      </c>
      <c r="C212">
        <v>4.0999999999999996</v>
      </c>
      <c r="D212">
        <v>5.8</v>
      </c>
      <c r="E212">
        <v>9.3000000000000007</v>
      </c>
      <c r="F212">
        <v>14.9</v>
      </c>
      <c r="G212">
        <v>16.3</v>
      </c>
      <c r="H212">
        <v>19</v>
      </c>
      <c r="I212">
        <v>18.399999999999999</v>
      </c>
      <c r="J212">
        <v>14.7</v>
      </c>
      <c r="K212">
        <v>10.5</v>
      </c>
      <c r="L212">
        <v>1.5</v>
      </c>
      <c r="M212">
        <v>1.1000000000000001</v>
      </c>
    </row>
    <row r="213" spans="1:13" x14ac:dyDescent="0.25">
      <c r="A213">
        <v>1990</v>
      </c>
      <c r="B213">
        <v>1.9</v>
      </c>
      <c r="C213">
        <v>5.0999999999999996</v>
      </c>
      <c r="D213">
        <v>6.7</v>
      </c>
      <c r="E213">
        <v>9.3000000000000007</v>
      </c>
      <c r="F213">
        <v>14.6</v>
      </c>
      <c r="G213">
        <v>17.5</v>
      </c>
      <c r="H213">
        <v>17.5</v>
      </c>
      <c r="I213">
        <v>18</v>
      </c>
      <c r="J213">
        <v>11.5</v>
      </c>
      <c r="K213">
        <v>9.5</v>
      </c>
      <c r="L213">
        <v>4.9000000000000004</v>
      </c>
      <c r="M213">
        <v>0.1</v>
      </c>
    </row>
    <row r="214" spans="1:13" x14ac:dyDescent="0.25">
      <c r="A214">
        <v>1991</v>
      </c>
      <c r="B214">
        <v>0.3</v>
      </c>
      <c r="C214">
        <v>-3.5</v>
      </c>
      <c r="D214">
        <v>4.2</v>
      </c>
      <c r="E214">
        <v>8.3000000000000007</v>
      </c>
      <c r="F214">
        <v>11.5</v>
      </c>
      <c r="G214">
        <v>16.399999999999999</v>
      </c>
      <c r="H214">
        <v>19.899999999999999</v>
      </c>
      <c r="I214">
        <v>18.899999999999999</v>
      </c>
      <c r="J214">
        <v>15.2</v>
      </c>
      <c r="K214">
        <v>8.1999999999999993</v>
      </c>
      <c r="L214">
        <v>4.4000000000000004</v>
      </c>
      <c r="M214">
        <v>-0.8</v>
      </c>
    </row>
    <row r="215" spans="1:13" x14ac:dyDescent="0.25">
      <c r="A215">
        <v>1992</v>
      </c>
      <c r="B215">
        <v>-0.5</v>
      </c>
      <c r="C215">
        <v>1.5</v>
      </c>
      <c r="D215">
        <v>3.8</v>
      </c>
      <c r="E215">
        <v>8</v>
      </c>
      <c r="F215">
        <v>14.4</v>
      </c>
      <c r="G215">
        <v>19</v>
      </c>
      <c r="H215">
        <v>20.8</v>
      </c>
      <c r="I215">
        <v>22</v>
      </c>
      <c r="J215">
        <v>13</v>
      </c>
      <c r="K215">
        <v>6.2</v>
      </c>
      <c r="L215">
        <v>4.0999999999999996</v>
      </c>
      <c r="M215">
        <v>0</v>
      </c>
    </row>
    <row r="216" spans="1:13" x14ac:dyDescent="0.25">
      <c r="A216">
        <v>1993</v>
      </c>
      <c r="B216">
        <v>0.6</v>
      </c>
      <c r="C216">
        <v>-0.9</v>
      </c>
      <c r="D216">
        <v>1.5</v>
      </c>
      <c r="E216">
        <v>9.5</v>
      </c>
      <c r="F216">
        <v>16.899999999999999</v>
      </c>
      <c r="G216">
        <v>16.399999999999999</v>
      </c>
      <c r="H216">
        <v>17.600000000000001</v>
      </c>
      <c r="I216">
        <v>17.399999999999999</v>
      </c>
      <c r="J216">
        <v>12.4</v>
      </c>
      <c r="K216">
        <v>8.3000000000000007</v>
      </c>
      <c r="L216">
        <v>-2.2999999999999998</v>
      </c>
      <c r="M216">
        <v>2.2000000000000002</v>
      </c>
    </row>
    <row r="217" spans="1:13" x14ac:dyDescent="0.25">
      <c r="A217">
        <v>1994</v>
      </c>
      <c r="B217">
        <v>2.2999999999999998</v>
      </c>
      <c r="C217">
        <v>-2.4</v>
      </c>
      <c r="D217">
        <v>4</v>
      </c>
      <c r="E217">
        <v>9.6</v>
      </c>
      <c r="F217">
        <v>13.1</v>
      </c>
      <c r="G217">
        <v>16.8</v>
      </c>
      <c r="H217">
        <v>22.3</v>
      </c>
      <c r="I217">
        <v>18.899999999999999</v>
      </c>
      <c r="J217">
        <v>15.1</v>
      </c>
      <c r="K217">
        <v>7.1</v>
      </c>
      <c r="L217">
        <v>3.9</v>
      </c>
      <c r="M217">
        <v>0.9</v>
      </c>
    </row>
    <row r="218" spans="1:13" x14ac:dyDescent="0.25">
      <c r="A218">
        <v>1995</v>
      </c>
      <c r="B218">
        <v>-1.3</v>
      </c>
      <c r="C218">
        <v>3.5</v>
      </c>
      <c r="D218">
        <v>3.3</v>
      </c>
      <c r="E218">
        <v>8.3000000000000007</v>
      </c>
      <c r="F218">
        <v>13.2</v>
      </c>
      <c r="G218">
        <v>17.899999999999999</v>
      </c>
      <c r="H218">
        <v>20.9</v>
      </c>
      <c r="I218">
        <v>19.2</v>
      </c>
      <c r="J218">
        <v>13.5</v>
      </c>
      <c r="K218">
        <v>10.5</v>
      </c>
      <c r="L218">
        <v>0.3</v>
      </c>
      <c r="M218">
        <v>-4.8</v>
      </c>
    </row>
    <row r="219" spans="1:13" x14ac:dyDescent="0.25">
      <c r="A219">
        <v>1996</v>
      </c>
      <c r="B219">
        <v>-5.7</v>
      </c>
      <c r="C219">
        <v>-5.3</v>
      </c>
      <c r="D219">
        <v>-1.1000000000000001</v>
      </c>
      <c r="E219">
        <v>8.8000000000000007</v>
      </c>
      <c r="F219">
        <v>16.2</v>
      </c>
      <c r="G219">
        <v>18.100000000000001</v>
      </c>
      <c r="H219">
        <v>17.5</v>
      </c>
      <c r="I219">
        <v>19.2</v>
      </c>
      <c r="J219">
        <v>11.1</v>
      </c>
      <c r="K219">
        <v>9.8000000000000007</v>
      </c>
      <c r="L219">
        <v>6.5</v>
      </c>
      <c r="M219">
        <v>-4.5999999999999996</v>
      </c>
    </row>
    <row r="220" spans="1:13" x14ac:dyDescent="0.25">
      <c r="A220">
        <v>1997</v>
      </c>
      <c r="B220">
        <v>-3.7</v>
      </c>
      <c r="C220">
        <v>2.5</v>
      </c>
      <c r="D220">
        <v>3.6</v>
      </c>
      <c r="E220">
        <v>6</v>
      </c>
      <c r="F220">
        <v>14.7</v>
      </c>
      <c r="G220">
        <v>17.7</v>
      </c>
      <c r="H220">
        <v>18.5</v>
      </c>
      <c r="I220">
        <v>19.7</v>
      </c>
      <c r="J220">
        <v>13.8</v>
      </c>
      <c r="K220">
        <v>6.9</v>
      </c>
      <c r="L220">
        <v>3.3</v>
      </c>
      <c r="M220">
        <v>0.3</v>
      </c>
    </row>
    <row r="221" spans="1:13" x14ac:dyDescent="0.25">
      <c r="A221">
        <v>1998</v>
      </c>
      <c r="B221">
        <v>1.1000000000000001</v>
      </c>
      <c r="C221">
        <v>3.6</v>
      </c>
      <c r="D221">
        <v>2.2999999999999998</v>
      </c>
      <c r="E221">
        <v>10.7</v>
      </c>
      <c r="F221">
        <v>15.2</v>
      </c>
      <c r="G221">
        <v>18.600000000000001</v>
      </c>
      <c r="H221">
        <v>18.5</v>
      </c>
      <c r="I221">
        <v>17.2</v>
      </c>
      <c r="J221">
        <v>13.4</v>
      </c>
      <c r="K221">
        <v>8.1999999999999993</v>
      </c>
      <c r="L221">
        <v>-1.4</v>
      </c>
      <c r="M221">
        <v>-1.8</v>
      </c>
    </row>
    <row r="222" spans="1:13" x14ac:dyDescent="0.25">
      <c r="A222">
        <v>1999</v>
      </c>
      <c r="B222">
        <v>-0.2</v>
      </c>
      <c r="C222">
        <v>-1.3</v>
      </c>
      <c r="D222">
        <v>4.5999999999999996</v>
      </c>
      <c r="E222">
        <v>10</v>
      </c>
      <c r="F222">
        <v>12.6</v>
      </c>
      <c r="G222">
        <v>18</v>
      </c>
      <c r="H222">
        <v>20.6</v>
      </c>
      <c r="I222">
        <v>17.899999999999999</v>
      </c>
      <c r="J222">
        <v>15.8</v>
      </c>
      <c r="K222">
        <v>8.3000000000000007</v>
      </c>
      <c r="L222">
        <v>3</v>
      </c>
      <c r="M222">
        <v>0.7</v>
      </c>
    </row>
    <row r="223" spans="1:13" x14ac:dyDescent="0.25">
      <c r="A223">
        <v>2000</v>
      </c>
      <c r="B223">
        <v>-1.4</v>
      </c>
      <c r="C223">
        <v>2.5</v>
      </c>
      <c r="D223">
        <v>3.4</v>
      </c>
      <c r="E223">
        <v>12.4</v>
      </c>
      <c r="F223">
        <v>15.3</v>
      </c>
      <c r="G223">
        <v>17.8</v>
      </c>
      <c r="H223">
        <v>16.600000000000001</v>
      </c>
      <c r="I223">
        <v>18.100000000000001</v>
      </c>
      <c r="J223">
        <v>12</v>
      </c>
      <c r="K223">
        <v>11.6</v>
      </c>
      <c r="L223">
        <v>5.9</v>
      </c>
      <c r="M223">
        <v>1.1000000000000001</v>
      </c>
    </row>
    <row r="224" spans="1:13" x14ac:dyDescent="0.25">
      <c r="A224">
        <v>2001</v>
      </c>
      <c r="B224">
        <v>-0.5</v>
      </c>
      <c r="C224">
        <v>-0.8</v>
      </c>
      <c r="D224">
        <v>2.2000000000000002</v>
      </c>
      <c r="E224">
        <v>8</v>
      </c>
      <c r="F224">
        <v>14.7</v>
      </c>
      <c r="G224">
        <v>15.2</v>
      </c>
      <c r="H224">
        <v>20.7</v>
      </c>
      <c r="I224">
        <v>19.3</v>
      </c>
      <c r="J224">
        <v>12.1</v>
      </c>
      <c r="K224">
        <v>10.9</v>
      </c>
      <c r="L224">
        <v>2.4</v>
      </c>
      <c r="M224">
        <v>-4.2</v>
      </c>
    </row>
    <row r="225" spans="1:13" x14ac:dyDescent="0.25">
      <c r="A225">
        <v>2002</v>
      </c>
      <c r="B225">
        <v>-0.7</v>
      </c>
      <c r="C225">
        <v>3.6</v>
      </c>
      <c r="D225">
        <v>4.5</v>
      </c>
      <c r="E225">
        <v>9</v>
      </c>
      <c r="F225">
        <v>17.399999999999999</v>
      </c>
      <c r="G225">
        <v>17.600000000000001</v>
      </c>
      <c r="H225">
        <v>21.1</v>
      </c>
      <c r="I225">
        <v>20.7</v>
      </c>
      <c r="J225">
        <v>13.7</v>
      </c>
      <c r="K225">
        <v>7.2</v>
      </c>
      <c r="L225">
        <v>4.0999999999999996</v>
      </c>
      <c r="M225">
        <v>-6.6</v>
      </c>
    </row>
    <row r="226" spans="1:13" x14ac:dyDescent="0.25">
      <c r="A226">
        <v>2003</v>
      </c>
      <c r="B226">
        <v>-3</v>
      </c>
      <c r="C226">
        <v>-4.9000000000000004</v>
      </c>
      <c r="D226">
        <v>2</v>
      </c>
      <c r="E226">
        <v>7.3</v>
      </c>
      <c r="F226">
        <v>15.7</v>
      </c>
      <c r="G226">
        <v>17.899999999999999</v>
      </c>
      <c r="H226">
        <v>20.2</v>
      </c>
      <c r="I226">
        <v>18.7</v>
      </c>
      <c r="J226">
        <v>13.8</v>
      </c>
      <c r="K226">
        <v>5.4</v>
      </c>
      <c r="L226">
        <v>4.9000000000000004</v>
      </c>
      <c r="M226">
        <v>0.9</v>
      </c>
    </row>
    <row r="227" spans="1:13" x14ac:dyDescent="0.25">
      <c r="A227">
        <v>2004</v>
      </c>
      <c r="B227">
        <v>-5.0999999999999996</v>
      </c>
      <c r="C227">
        <v>0</v>
      </c>
      <c r="D227">
        <v>3.5</v>
      </c>
      <c r="E227">
        <v>8.6999999999999993</v>
      </c>
      <c r="F227">
        <v>12</v>
      </c>
      <c r="G227">
        <v>15.8</v>
      </c>
      <c r="H227">
        <v>17.899999999999999</v>
      </c>
      <c r="I227">
        <v>19</v>
      </c>
      <c r="J227">
        <v>13.5</v>
      </c>
      <c r="K227">
        <v>10</v>
      </c>
      <c r="L227">
        <v>3.7</v>
      </c>
      <c r="M227">
        <v>1.8</v>
      </c>
    </row>
    <row r="228" spans="1:13" x14ac:dyDescent="0.25">
      <c r="A228">
        <v>2005</v>
      </c>
      <c r="B228">
        <v>0.9</v>
      </c>
      <c r="C228">
        <v>-3.1</v>
      </c>
      <c r="D228">
        <v>0</v>
      </c>
      <c r="E228">
        <v>8.9</v>
      </c>
      <c r="F228">
        <v>13.7</v>
      </c>
      <c r="G228">
        <v>16</v>
      </c>
      <c r="H228">
        <v>20.5</v>
      </c>
      <c r="I228">
        <v>17.7</v>
      </c>
      <c r="J228">
        <v>15.9</v>
      </c>
      <c r="K228">
        <v>9.4</v>
      </c>
      <c r="L228">
        <v>3.2</v>
      </c>
      <c r="M228">
        <v>-0.3</v>
      </c>
    </row>
    <row r="229" spans="1:13" x14ac:dyDescent="0.25">
      <c r="A229">
        <v>2006</v>
      </c>
      <c r="B229">
        <v>-8.3000000000000007</v>
      </c>
      <c r="C229">
        <v>-3.2</v>
      </c>
      <c r="D229">
        <v>-0.6</v>
      </c>
      <c r="E229">
        <v>9.1</v>
      </c>
      <c r="F229">
        <v>14.2</v>
      </c>
      <c r="G229">
        <v>18.3</v>
      </c>
      <c r="H229">
        <v>23.5</v>
      </c>
      <c r="I229">
        <v>17.899999999999999</v>
      </c>
      <c r="J229">
        <v>16.100000000000001</v>
      </c>
      <c r="K229">
        <v>10.7</v>
      </c>
      <c r="L229">
        <v>5.9</v>
      </c>
      <c r="M229">
        <v>3.9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E086-B87F-4B9C-AAEA-0E8066BD778D}">
  <dimension ref="A1:T229"/>
  <sheetViews>
    <sheetView topLeftCell="F1" workbookViewId="0">
      <selection activeCell="R4" sqref="R4"/>
    </sheetView>
  </sheetViews>
  <sheetFormatPr defaultRowHeight="15" x14ac:dyDescent="0.25"/>
  <cols>
    <col min="1" max="9" width="11.140625" bestFit="1" customWidth="1"/>
    <col min="10" max="13" width="12.140625" bestFit="1" customWidth="1"/>
    <col min="15" max="15" width="22.28515625" bestFit="1" customWidth="1"/>
    <col min="16" max="16" width="10.140625" bestFit="1" customWidth="1"/>
    <col min="17" max="17" width="25.140625" bestFit="1" customWidth="1"/>
    <col min="18" max="18" width="34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Q1" s="5" t="s">
        <v>17</v>
      </c>
      <c r="R1" s="5" t="s">
        <v>16</v>
      </c>
    </row>
    <row r="2" spans="1:20" x14ac:dyDescent="0.25">
      <c r="A2">
        <v>1779</v>
      </c>
      <c r="B2">
        <v>-4.9000000000000004</v>
      </c>
      <c r="C2">
        <v>2.2000000000000002</v>
      </c>
      <c r="D2">
        <v>3.8</v>
      </c>
      <c r="E2">
        <v>9.5</v>
      </c>
      <c r="F2">
        <v>15.4</v>
      </c>
      <c r="G2">
        <v>16.399999999999999</v>
      </c>
      <c r="H2">
        <v>17.899999999999999</v>
      </c>
      <c r="I2">
        <v>19.5</v>
      </c>
      <c r="J2">
        <v>14.7</v>
      </c>
      <c r="K2">
        <v>9.3000000000000007</v>
      </c>
      <c r="L2">
        <v>4.0999999999999996</v>
      </c>
      <c r="M2">
        <v>1.4</v>
      </c>
      <c r="O2">
        <f>ROUND(SUM(temp35[[#This Row],[styczeń]:[grudzień]])/12,2)</f>
        <v>9.11</v>
      </c>
      <c r="Q2" s="5">
        <f>MAX(O2:O229)</f>
        <v>9.82</v>
      </c>
      <c r="R2" s="6">
        <v>1989</v>
      </c>
    </row>
    <row r="3" spans="1:20" x14ac:dyDescent="0.25">
      <c r="A3">
        <v>1780</v>
      </c>
      <c r="B3">
        <v>-5.0999999999999996</v>
      </c>
      <c r="C3">
        <v>-4.3</v>
      </c>
      <c r="D3">
        <v>4.4000000000000004</v>
      </c>
      <c r="E3">
        <v>5.9</v>
      </c>
      <c r="F3">
        <v>14.2</v>
      </c>
      <c r="G3">
        <v>17.2</v>
      </c>
      <c r="H3">
        <v>19.399999999999999</v>
      </c>
      <c r="I3">
        <v>17.899999999999999</v>
      </c>
      <c r="J3">
        <v>13.1</v>
      </c>
      <c r="K3">
        <v>9.4</v>
      </c>
      <c r="L3">
        <v>2.8</v>
      </c>
      <c r="M3">
        <v>-4.5999999999999996</v>
      </c>
      <c r="O3">
        <f>ROUND(SUM(temp35[[#This Row],[styczeń]:[grudzień]])/12,2)</f>
        <v>7.53</v>
      </c>
      <c r="S3" s="3"/>
      <c r="T3" s="3"/>
    </row>
    <row r="4" spans="1:20" x14ac:dyDescent="0.25">
      <c r="A4">
        <v>1781</v>
      </c>
      <c r="B4">
        <v>-4</v>
      </c>
      <c r="C4">
        <v>-1.9</v>
      </c>
      <c r="D4">
        <v>1.5</v>
      </c>
      <c r="E4">
        <v>9.1</v>
      </c>
      <c r="F4">
        <v>13.8</v>
      </c>
      <c r="G4">
        <v>19.2</v>
      </c>
      <c r="H4">
        <v>20.100000000000001</v>
      </c>
      <c r="I4">
        <v>22.8</v>
      </c>
      <c r="J4">
        <v>16.2</v>
      </c>
      <c r="K4">
        <v>6</v>
      </c>
      <c r="L4">
        <v>4</v>
      </c>
      <c r="M4">
        <v>-3.6</v>
      </c>
      <c r="O4">
        <f>ROUND(SUM(temp35[[#This Row],[styczeń]:[grudzień]])/12,2)</f>
        <v>8.6</v>
      </c>
      <c r="S4" s="3"/>
    </row>
    <row r="5" spans="1:20" x14ac:dyDescent="0.25">
      <c r="A5">
        <v>1782</v>
      </c>
      <c r="B5">
        <v>-1.6</v>
      </c>
      <c r="C5">
        <v>-6.2</v>
      </c>
      <c r="D5">
        <v>0.9</v>
      </c>
      <c r="E5">
        <v>7.3</v>
      </c>
      <c r="F5">
        <v>14.1</v>
      </c>
      <c r="G5">
        <v>17.8</v>
      </c>
      <c r="H5">
        <v>20.3</v>
      </c>
      <c r="I5">
        <v>18.3</v>
      </c>
      <c r="J5">
        <v>13.4</v>
      </c>
      <c r="K5">
        <v>6.4</v>
      </c>
      <c r="L5">
        <v>0.3</v>
      </c>
      <c r="M5">
        <v>-3.1</v>
      </c>
      <c r="O5">
        <f>ROUND(SUM(temp35[[#This Row],[styczeń]:[grudzień]])/12,2)</f>
        <v>7.33</v>
      </c>
      <c r="P5" s="4"/>
      <c r="S5" s="3"/>
    </row>
    <row r="6" spans="1:20" x14ac:dyDescent="0.25">
      <c r="A6">
        <v>1783</v>
      </c>
      <c r="B6">
        <v>-2.9</v>
      </c>
      <c r="C6">
        <v>1.9</v>
      </c>
      <c r="D6">
        <v>0.6</v>
      </c>
      <c r="E6">
        <v>7.1</v>
      </c>
      <c r="F6">
        <v>15.8</v>
      </c>
      <c r="G6">
        <v>20</v>
      </c>
      <c r="H6">
        <v>19.8</v>
      </c>
      <c r="I6">
        <v>20.2</v>
      </c>
      <c r="J6">
        <v>15.5</v>
      </c>
      <c r="K6">
        <v>8.4</v>
      </c>
      <c r="L6">
        <v>0.9</v>
      </c>
      <c r="M6">
        <v>-4.5999999999999996</v>
      </c>
      <c r="O6">
        <f>ROUND(SUM(temp35[[#This Row],[styczeń]:[grudzień]])/12,2)</f>
        <v>8.56</v>
      </c>
      <c r="P6" s="4"/>
      <c r="S6" s="3"/>
    </row>
    <row r="7" spans="1:20" x14ac:dyDescent="0.25">
      <c r="A7">
        <v>1784</v>
      </c>
      <c r="B7">
        <v>-7.1</v>
      </c>
      <c r="C7">
        <v>-4.3</v>
      </c>
      <c r="D7">
        <v>-0.4</v>
      </c>
      <c r="E7">
        <v>7</v>
      </c>
      <c r="F7">
        <v>14.1</v>
      </c>
      <c r="G7">
        <v>18.399999999999999</v>
      </c>
      <c r="H7">
        <v>19.7</v>
      </c>
      <c r="I7">
        <v>22.5</v>
      </c>
      <c r="J7">
        <v>15.3</v>
      </c>
      <c r="K7">
        <v>6</v>
      </c>
      <c r="L7">
        <v>3.1</v>
      </c>
      <c r="M7">
        <v>-0.8</v>
      </c>
      <c r="O7">
        <f>ROUND(SUM(temp35[[#This Row],[styczeń]:[grudzień]])/12,2)</f>
        <v>7.79</v>
      </c>
      <c r="P7" s="4"/>
      <c r="S7" s="3"/>
    </row>
    <row r="8" spans="1:20" x14ac:dyDescent="0.25">
      <c r="A8">
        <v>1785</v>
      </c>
      <c r="B8">
        <v>-5.3</v>
      </c>
      <c r="C8">
        <v>-4.8</v>
      </c>
      <c r="D8">
        <v>-6.4</v>
      </c>
      <c r="E8">
        <v>3.1</v>
      </c>
      <c r="F8">
        <v>11</v>
      </c>
      <c r="G8">
        <v>15.2</v>
      </c>
      <c r="H8">
        <v>16.7</v>
      </c>
      <c r="I8">
        <v>16.7</v>
      </c>
      <c r="J8">
        <v>14.1</v>
      </c>
      <c r="K8">
        <v>5.8</v>
      </c>
      <c r="L8">
        <v>2.4</v>
      </c>
      <c r="M8">
        <v>-5.0999999999999996</v>
      </c>
      <c r="O8">
        <f>ROUND(SUM(temp35[[#This Row],[styczeń]:[grudzień]])/12,2)</f>
        <v>5.28</v>
      </c>
      <c r="P8" s="4"/>
      <c r="S8" s="3"/>
    </row>
    <row r="9" spans="1:20" x14ac:dyDescent="0.25">
      <c r="A9">
        <v>1786</v>
      </c>
      <c r="B9">
        <v>-3.8</v>
      </c>
      <c r="C9">
        <v>-5.2</v>
      </c>
      <c r="D9">
        <v>-0.4</v>
      </c>
      <c r="E9">
        <v>8.9</v>
      </c>
      <c r="F9">
        <v>10.6</v>
      </c>
      <c r="G9">
        <v>16.5</v>
      </c>
      <c r="H9">
        <v>16.5</v>
      </c>
      <c r="I9">
        <v>15.9</v>
      </c>
      <c r="J9">
        <v>11.6</v>
      </c>
      <c r="K9">
        <v>4.5</v>
      </c>
      <c r="L9">
        <v>-2.7</v>
      </c>
      <c r="M9">
        <v>-2.5</v>
      </c>
      <c r="O9">
        <f>ROUND(SUM(temp35[[#This Row],[styczeń]:[grudzień]])/12,2)</f>
        <v>5.83</v>
      </c>
      <c r="P9" s="4"/>
      <c r="S9" s="3"/>
    </row>
    <row r="10" spans="1:20" x14ac:dyDescent="0.25">
      <c r="A10">
        <v>1787</v>
      </c>
      <c r="B10">
        <v>-5</v>
      </c>
      <c r="C10">
        <v>-0.8</v>
      </c>
      <c r="D10">
        <v>0.8</v>
      </c>
      <c r="E10">
        <v>5.9</v>
      </c>
      <c r="F10">
        <v>13.7</v>
      </c>
      <c r="G10">
        <v>18.7</v>
      </c>
      <c r="H10">
        <v>18.3</v>
      </c>
      <c r="I10">
        <v>17.100000000000001</v>
      </c>
      <c r="J10">
        <v>11.9</v>
      </c>
      <c r="K10">
        <v>9.5</v>
      </c>
      <c r="L10">
        <v>1.4</v>
      </c>
      <c r="M10">
        <v>-0.3</v>
      </c>
      <c r="O10">
        <f>ROUND(SUM(temp35[[#This Row],[styczeń]:[grudzień]])/12,2)</f>
        <v>7.6</v>
      </c>
      <c r="P10" s="4"/>
      <c r="S10" s="3"/>
    </row>
    <row r="11" spans="1:20" x14ac:dyDescent="0.25">
      <c r="A11">
        <v>1788</v>
      </c>
      <c r="B11">
        <v>-3.1</v>
      </c>
      <c r="C11">
        <v>-5</v>
      </c>
      <c r="D11">
        <v>-1.2</v>
      </c>
      <c r="E11">
        <v>5.4</v>
      </c>
      <c r="F11">
        <v>12.9</v>
      </c>
      <c r="G11">
        <v>18.100000000000001</v>
      </c>
      <c r="H11">
        <v>21.1</v>
      </c>
      <c r="I11">
        <v>17.600000000000001</v>
      </c>
      <c r="J11">
        <v>16.100000000000001</v>
      </c>
      <c r="K11">
        <v>6.9</v>
      </c>
      <c r="L11">
        <v>0.7</v>
      </c>
      <c r="M11">
        <v>-14.8</v>
      </c>
      <c r="O11">
        <f>ROUND(SUM(temp35[[#This Row],[styczeń]:[grudzień]])/12,2)</f>
        <v>6.23</v>
      </c>
      <c r="P11" s="4"/>
      <c r="S11" s="3"/>
    </row>
    <row r="12" spans="1:20" x14ac:dyDescent="0.25">
      <c r="A12">
        <v>1789</v>
      </c>
      <c r="B12">
        <v>-7.7</v>
      </c>
      <c r="C12">
        <v>-2.4</v>
      </c>
      <c r="D12">
        <v>-5.3</v>
      </c>
      <c r="E12">
        <v>6.3</v>
      </c>
      <c r="F12">
        <v>16.2</v>
      </c>
      <c r="G12">
        <v>16.899999999999999</v>
      </c>
      <c r="H12">
        <v>21.8</v>
      </c>
      <c r="I12">
        <v>20</v>
      </c>
      <c r="J12">
        <v>16.2</v>
      </c>
      <c r="K12">
        <v>10.7</v>
      </c>
      <c r="L12">
        <v>4.7</v>
      </c>
      <c r="M12">
        <v>0.9</v>
      </c>
      <c r="O12">
        <f>ROUND(SUM(temp35[[#This Row],[styczeń]:[grudzień]])/12,2)</f>
        <v>8.19</v>
      </c>
      <c r="P12" s="4"/>
      <c r="S12" s="3"/>
    </row>
    <row r="13" spans="1:20" x14ac:dyDescent="0.25">
      <c r="A13">
        <v>1790</v>
      </c>
      <c r="B13">
        <v>-1.2</v>
      </c>
      <c r="C13">
        <v>1.9</v>
      </c>
      <c r="D13">
        <v>2.5</v>
      </c>
      <c r="E13">
        <v>5.0999999999999996</v>
      </c>
      <c r="F13">
        <v>12.9</v>
      </c>
      <c r="G13">
        <v>17.2</v>
      </c>
      <c r="H13">
        <v>17.399999999999999</v>
      </c>
      <c r="I13">
        <v>17.2</v>
      </c>
      <c r="J13">
        <v>12.9</v>
      </c>
      <c r="K13">
        <v>6.9</v>
      </c>
      <c r="L13">
        <v>2.5</v>
      </c>
      <c r="M13">
        <v>1.2</v>
      </c>
      <c r="O13">
        <f>ROUND(SUM(temp35[[#This Row],[styczeń]:[grudzień]])/12,2)</f>
        <v>8.0399999999999991</v>
      </c>
      <c r="P13" s="4"/>
      <c r="S13" s="3"/>
    </row>
    <row r="14" spans="1:20" x14ac:dyDescent="0.25">
      <c r="A14">
        <v>1791</v>
      </c>
      <c r="B14">
        <v>1.4</v>
      </c>
      <c r="C14">
        <v>-1</v>
      </c>
      <c r="D14">
        <v>2.7</v>
      </c>
      <c r="E14">
        <v>10.1</v>
      </c>
      <c r="F14">
        <v>12.3</v>
      </c>
      <c r="G14">
        <v>16.100000000000001</v>
      </c>
      <c r="H14">
        <v>19</v>
      </c>
      <c r="I14">
        <v>19.899999999999999</v>
      </c>
      <c r="J14">
        <v>13.2</v>
      </c>
      <c r="K14">
        <v>7.8</v>
      </c>
      <c r="L14">
        <v>2.2000000000000002</v>
      </c>
      <c r="M14">
        <v>-0.2</v>
      </c>
      <c r="O14">
        <f>ROUND(SUM(temp35[[#This Row],[styczeń]:[grudzień]])/12,2)</f>
        <v>8.6300000000000008</v>
      </c>
      <c r="P14" s="4"/>
      <c r="S14" s="3"/>
    </row>
    <row r="15" spans="1:20" x14ac:dyDescent="0.25">
      <c r="A15">
        <v>1792</v>
      </c>
      <c r="B15">
        <v>-2.8</v>
      </c>
      <c r="C15">
        <v>-4</v>
      </c>
      <c r="D15">
        <v>0.9</v>
      </c>
      <c r="E15">
        <v>8</v>
      </c>
      <c r="F15">
        <v>12.1</v>
      </c>
      <c r="G15">
        <v>17.5</v>
      </c>
      <c r="H15">
        <v>20.399999999999999</v>
      </c>
      <c r="I15">
        <v>18.3</v>
      </c>
      <c r="J15">
        <v>14.7</v>
      </c>
      <c r="K15">
        <v>6.2</v>
      </c>
      <c r="L15">
        <v>1.4</v>
      </c>
      <c r="M15">
        <v>-1.5</v>
      </c>
      <c r="O15">
        <f>ROUND(SUM(temp35[[#This Row],[styczeń]:[grudzień]])/12,2)</f>
        <v>7.6</v>
      </c>
      <c r="P15" s="4"/>
      <c r="S15" s="3"/>
    </row>
    <row r="16" spans="1:20" x14ac:dyDescent="0.25">
      <c r="A16">
        <v>1793</v>
      </c>
      <c r="B16">
        <v>-5.8</v>
      </c>
      <c r="C16">
        <v>0</v>
      </c>
      <c r="D16">
        <v>-0.7</v>
      </c>
      <c r="E16">
        <v>5.3</v>
      </c>
      <c r="F16">
        <v>13.4</v>
      </c>
      <c r="G16">
        <v>15</v>
      </c>
      <c r="H16">
        <v>20.399999999999999</v>
      </c>
      <c r="I16">
        <v>18.7</v>
      </c>
      <c r="J16">
        <v>12.3</v>
      </c>
      <c r="K16">
        <v>9.5</v>
      </c>
      <c r="L16">
        <v>3.2</v>
      </c>
      <c r="M16">
        <v>-1.2</v>
      </c>
      <c r="O16">
        <f>ROUND(SUM(temp35[[#This Row],[styczeń]:[grudzień]])/12,2)</f>
        <v>7.51</v>
      </c>
      <c r="P16" s="4"/>
      <c r="S16" s="3"/>
    </row>
    <row r="17" spans="1:19" x14ac:dyDescent="0.25">
      <c r="A17">
        <v>1794</v>
      </c>
      <c r="B17">
        <v>-2</v>
      </c>
      <c r="C17">
        <v>-0.3</v>
      </c>
      <c r="D17">
        <v>3.6</v>
      </c>
      <c r="E17">
        <v>9.1999999999999993</v>
      </c>
      <c r="F17">
        <v>15.8</v>
      </c>
      <c r="G17">
        <v>18.8</v>
      </c>
      <c r="H17">
        <v>20.399999999999999</v>
      </c>
      <c r="I17">
        <v>17</v>
      </c>
      <c r="J17">
        <v>11.2</v>
      </c>
      <c r="K17">
        <v>8.1999999999999993</v>
      </c>
      <c r="L17">
        <v>2.8</v>
      </c>
      <c r="M17">
        <v>-6.1</v>
      </c>
      <c r="O17">
        <f>ROUND(SUM(temp35[[#This Row],[styczeń]:[grudzień]])/12,2)</f>
        <v>8.2200000000000006</v>
      </c>
      <c r="P17" s="4"/>
      <c r="S17" s="3"/>
    </row>
    <row r="18" spans="1:19" x14ac:dyDescent="0.25">
      <c r="A18">
        <v>1795</v>
      </c>
      <c r="B18">
        <v>-10.6</v>
      </c>
      <c r="C18">
        <v>-2.8</v>
      </c>
      <c r="D18">
        <v>1.2</v>
      </c>
      <c r="E18">
        <v>10</v>
      </c>
      <c r="F18">
        <v>13.8</v>
      </c>
      <c r="G18">
        <v>18.8</v>
      </c>
      <c r="H18">
        <v>17.3</v>
      </c>
      <c r="I18">
        <v>17.399999999999999</v>
      </c>
      <c r="J18">
        <v>13.2</v>
      </c>
      <c r="K18">
        <v>10.1</v>
      </c>
      <c r="L18">
        <v>0.7</v>
      </c>
      <c r="M18">
        <v>1</v>
      </c>
      <c r="O18">
        <f>ROUND(SUM(temp35[[#This Row],[styczeń]:[grudzień]])/12,2)</f>
        <v>7.51</v>
      </c>
      <c r="P18" s="4"/>
      <c r="S18" s="3"/>
    </row>
    <row r="19" spans="1:19" x14ac:dyDescent="0.25">
      <c r="A19">
        <v>1796</v>
      </c>
      <c r="B19">
        <v>3.5</v>
      </c>
      <c r="C19">
        <v>-2.2000000000000002</v>
      </c>
      <c r="D19">
        <v>-3.8</v>
      </c>
      <c r="E19">
        <v>4.9000000000000004</v>
      </c>
      <c r="F19">
        <v>13.5</v>
      </c>
      <c r="G19">
        <v>17.8</v>
      </c>
      <c r="H19">
        <v>19.5</v>
      </c>
      <c r="I19">
        <v>20.100000000000001</v>
      </c>
      <c r="J19">
        <v>14.7</v>
      </c>
      <c r="K19">
        <v>7.8</v>
      </c>
      <c r="L19">
        <v>1.2</v>
      </c>
      <c r="M19">
        <v>-2.7</v>
      </c>
      <c r="O19">
        <f>ROUND(SUM(temp35[[#This Row],[styczeń]:[grudzień]])/12,2)</f>
        <v>7.86</v>
      </c>
      <c r="P19" s="4"/>
      <c r="S19" s="3"/>
    </row>
    <row r="20" spans="1:19" x14ac:dyDescent="0.25">
      <c r="A20">
        <v>1797</v>
      </c>
      <c r="B20">
        <v>-1</v>
      </c>
      <c r="C20">
        <v>1.3</v>
      </c>
      <c r="D20">
        <v>0.8</v>
      </c>
      <c r="E20">
        <v>9.4</v>
      </c>
      <c r="F20">
        <v>17.600000000000001</v>
      </c>
      <c r="G20">
        <v>18.7</v>
      </c>
      <c r="H20">
        <v>21.2</v>
      </c>
      <c r="I20">
        <v>19.8</v>
      </c>
      <c r="J20">
        <v>16</v>
      </c>
      <c r="K20">
        <v>9.6</v>
      </c>
      <c r="L20">
        <v>1.6</v>
      </c>
      <c r="M20">
        <v>-0.3</v>
      </c>
      <c r="O20">
        <f>ROUND(SUM(temp35[[#This Row],[styczeń]:[grudzień]])/12,2)</f>
        <v>9.56</v>
      </c>
      <c r="P20" s="4"/>
    </row>
    <row r="21" spans="1:19" x14ac:dyDescent="0.25">
      <c r="A21">
        <v>1798</v>
      </c>
      <c r="B21">
        <v>-2.4</v>
      </c>
      <c r="C21">
        <v>0.3</v>
      </c>
      <c r="D21">
        <v>3.2</v>
      </c>
      <c r="E21">
        <v>10</v>
      </c>
      <c r="F21">
        <v>15.6</v>
      </c>
      <c r="G21">
        <v>17.899999999999999</v>
      </c>
      <c r="H21">
        <v>20.5</v>
      </c>
      <c r="I21">
        <v>19.899999999999999</v>
      </c>
      <c r="J21">
        <v>15</v>
      </c>
      <c r="K21">
        <v>7</v>
      </c>
      <c r="L21">
        <v>0.5</v>
      </c>
      <c r="M21">
        <v>-7.8</v>
      </c>
      <c r="O21">
        <f>ROUND(SUM(temp35[[#This Row],[styczeń]:[grudzień]])/12,2)</f>
        <v>8.31</v>
      </c>
      <c r="P21" s="4"/>
    </row>
    <row r="22" spans="1:19" x14ac:dyDescent="0.25">
      <c r="A22">
        <v>1799</v>
      </c>
      <c r="B22">
        <v>-8.4</v>
      </c>
      <c r="C22">
        <v>-9.6</v>
      </c>
      <c r="D22">
        <v>-3.1</v>
      </c>
      <c r="E22">
        <v>6.6</v>
      </c>
      <c r="F22">
        <v>12.1</v>
      </c>
      <c r="G22">
        <v>15.4</v>
      </c>
      <c r="H22">
        <v>17.600000000000001</v>
      </c>
      <c r="I22">
        <v>17.7</v>
      </c>
      <c r="J22">
        <v>12</v>
      </c>
      <c r="K22">
        <v>7.5</v>
      </c>
      <c r="L22">
        <v>3.1</v>
      </c>
      <c r="M22">
        <v>-8.4</v>
      </c>
      <c r="O22">
        <f>ROUND(SUM(temp35[[#This Row],[styczeń]:[grudzień]])/12,2)</f>
        <v>5.21</v>
      </c>
      <c r="P22" s="4"/>
    </row>
    <row r="23" spans="1:19" x14ac:dyDescent="0.25">
      <c r="A23">
        <v>1800</v>
      </c>
      <c r="B23">
        <v>-4.9000000000000004</v>
      </c>
      <c r="C23">
        <v>-3.6</v>
      </c>
      <c r="D23">
        <v>-2.6</v>
      </c>
      <c r="E23">
        <v>12.3</v>
      </c>
      <c r="F23">
        <v>14.7</v>
      </c>
      <c r="G23">
        <v>15.3</v>
      </c>
      <c r="H23">
        <v>16.8</v>
      </c>
      <c r="I23">
        <v>17.600000000000001</v>
      </c>
      <c r="J23">
        <v>12.2</v>
      </c>
      <c r="K23">
        <v>7.5</v>
      </c>
      <c r="L23">
        <v>4.0999999999999996</v>
      </c>
      <c r="M23">
        <v>-2.1</v>
      </c>
      <c r="O23">
        <f>ROUND(SUM(temp35[[#This Row],[styczeń]:[grudzień]])/12,2)</f>
        <v>7.28</v>
      </c>
    </row>
    <row r="24" spans="1:19" x14ac:dyDescent="0.25">
      <c r="A24">
        <v>1801</v>
      </c>
      <c r="B24">
        <v>-2.6</v>
      </c>
      <c r="C24">
        <v>-3.3</v>
      </c>
      <c r="D24">
        <v>4.0999999999999996</v>
      </c>
      <c r="E24">
        <v>7.5</v>
      </c>
      <c r="F24">
        <v>17.100000000000001</v>
      </c>
      <c r="G24">
        <v>15.2</v>
      </c>
      <c r="H24">
        <v>19.100000000000001</v>
      </c>
      <c r="I24">
        <v>15.9</v>
      </c>
      <c r="J24">
        <v>14.7</v>
      </c>
      <c r="K24">
        <v>9.1</v>
      </c>
      <c r="L24">
        <v>4.5999999999999996</v>
      </c>
      <c r="M24">
        <v>-0.6</v>
      </c>
      <c r="O24">
        <f>ROUND(SUM(temp35[[#This Row],[styczeń]:[grudzień]])/12,2)</f>
        <v>8.4</v>
      </c>
    </row>
    <row r="25" spans="1:19" x14ac:dyDescent="0.25">
      <c r="A25">
        <v>1802</v>
      </c>
      <c r="B25">
        <v>-4.4000000000000004</v>
      </c>
      <c r="C25">
        <v>-2.2999999999999998</v>
      </c>
      <c r="D25">
        <v>3.5</v>
      </c>
      <c r="E25">
        <v>9.3000000000000007</v>
      </c>
      <c r="F25">
        <v>12</v>
      </c>
      <c r="G25">
        <v>16.399999999999999</v>
      </c>
      <c r="H25">
        <v>19.3</v>
      </c>
      <c r="I25">
        <v>19.5</v>
      </c>
      <c r="J25">
        <v>12.7</v>
      </c>
      <c r="K25">
        <v>10.5</v>
      </c>
      <c r="L25">
        <v>2.2999999999999998</v>
      </c>
      <c r="M25">
        <v>-0.5</v>
      </c>
      <c r="O25">
        <f>ROUND(SUM(temp35[[#This Row],[styczeń]:[grudzień]])/12,2)</f>
        <v>8.19</v>
      </c>
    </row>
    <row r="26" spans="1:19" x14ac:dyDescent="0.25">
      <c r="A26">
        <v>1803</v>
      </c>
      <c r="B26">
        <v>-13.2</v>
      </c>
      <c r="C26">
        <v>-7.1</v>
      </c>
      <c r="D26">
        <v>0.7</v>
      </c>
      <c r="E26">
        <v>9.9</v>
      </c>
      <c r="F26">
        <v>11.5</v>
      </c>
      <c r="G26">
        <v>15.6</v>
      </c>
      <c r="H26">
        <v>19</v>
      </c>
      <c r="I26">
        <v>18.5</v>
      </c>
      <c r="J26">
        <v>11.4</v>
      </c>
      <c r="K26">
        <v>6.2</v>
      </c>
      <c r="L26">
        <v>1.6</v>
      </c>
      <c r="M26">
        <v>-5.0999999999999996</v>
      </c>
      <c r="O26">
        <f>ROUND(SUM(temp35[[#This Row],[styczeń]:[grudzień]])/12,2)</f>
        <v>5.75</v>
      </c>
    </row>
    <row r="27" spans="1:19" x14ac:dyDescent="0.25">
      <c r="A27">
        <v>1804</v>
      </c>
      <c r="B27">
        <v>-0.2</v>
      </c>
      <c r="C27">
        <v>-4.3</v>
      </c>
      <c r="D27">
        <v>-3.1</v>
      </c>
      <c r="E27">
        <v>7.2</v>
      </c>
      <c r="F27">
        <v>13.2</v>
      </c>
      <c r="G27">
        <v>17.100000000000001</v>
      </c>
      <c r="H27">
        <v>18.899999999999999</v>
      </c>
      <c r="I27">
        <v>16.5</v>
      </c>
      <c r="J27">
        <v>14.9</v>
      </c>
      <c r="K27">
        <v>7.5</v>
      </c>
      <c r="L27">
        <v>-2.2000000000000002</v>
      </c>
      <c r="M27">
        <v>-7.7</v>
      </c>
      <c r="O27">
        <f>ROUND(SUM(temp35[[#This Row],[styczeń]:[grudzień]])/12,2)</f>
        <v>6.48</v>
      </c>
    </row>
    <row r="28" spans="1:19" x14ac:dyDescent="0.25">
      <c r="A28">
        <v>1805</v>
      </c>
      <c r="B28">
        <v>-9</v>
      </c>
      <c r="C28">
        <v>-5</v>
      </c>
      <c r="D28">
        <v>-0.4</v>
      </c>
      <c r="E28">
        <v>4.5</v>
      </c>
      <c r="F28">
        <v>12</v>
      </c>
      <c r="G28">
        <v>15.1</v>
      </c>
      <c r="H28">
        <v>17.399999999999999</v>
      </c>
      <c r="I28">
        <v>16.399999999999999</v>
      </c>
      <c r="J28">
        <v>14.8</v>
      </c>
      <c r="K28">
        <v>1.8</v>
      </c>
      <c r="L28">
        <v>-2.5</v>
      </c>
      <c r="M28">
        <v>-1.3</v>
      </c>
      <c r="O28">
        <f>ROUND(SUM(temp35[[#This Row],[styczeń]:[grudzień]])/12,2)</f>
        <v>5.32</v>
      </c>
    </row>
    <row r="29" spans="1:19" x14ac:dyDescent="0.25">
      <c r="A29">
        <v>1806</v>
      </c>
      <c r="B29">
        <v>-0.2</v>
      </c>
      <c r="C29">
        <v>-1</v>
      </c>
      <c r="D29">
        <v>0.2</v>
      </c>
      <c r="E29">
        <v>6.4</v>
      </c>
      <c r="F29">
        <v>14.9</v>
      </c>
      <c r="G29">
        <v>14.5</v>
      </c>
      <c r="H29">
        <v>17</v>
      </c>
      <c r="I29">
        <v>18.3</v>
      </c>
      <c r="J29">
        <v>16.600000000000001</v>
      </c>
      <c r="K29">
        <v>8</v>
      </c>
      <c r="L29">
        <v>2.7</v>
      </c>
      <c r="M29">
        <v>2</v>
      </c>
      <c r="O29">
        <f>ROUND(SUM(temp35[[#This Row],[styczeń]:[grudzień]])/12,2)</f>
        <v>8.2799999999999994</v>
      </c>
    </row>
    <row r="30" spans="1:19" x14ac:dyDescent="0.25">
      <c r="A30">
        <v>1807</v>
      </c>
      <c r="B30">
        <v>-3.5</v>
      </c>
      <c r="C30">
        <v>-1.3</v>
      </c>
      <c r="D30">
        <v>-1.3</v>
      </c>
      <c r="E30">
        <v>5.7</v>
      </c>
      <c r="F30">
        <v>13.4</v>
      </c>
      <c r="G30">
        <v>16.3</v>
      </c>
      <c r="H30">
        <v>19.5</v>
      </c>
      <c r="I30">
        <v>23.8</v>
      </c>
      <c r="J30">
        <v>13</v>
      </c>
      <c r="K30">
        <v>8.4</v>
      </c>
      <c r="L30">
        <v>4</v>
      </c>
      <c r="M30">
        <v>-0.3</v>
      </c>
      <c r="O30">
        <f>ROUND(SUM(temp35[[#This Row],[styczeń]:[grudzień]])/12,2)</f>
        <v>8.14</v>
      </c>
    </row>
    <row r="31" spans="1:19" x14ac:dyDescent="0.25">
      <c r="A31">
        <v>1808</v>
      </c>
      <c r="B31">
        <v>-2</v>
      </c>
      <c r="C31">
        <v>-4</v>
      </c>
      <c r="D31">
        <v>-5.9</v>
      </c>
      <c r="E31">
        <v>4.7</v>
      </c>
      <c r="F31">
        <v>13</v>
      </c>
      <c r="G31">
        <v>17.100000000000001</v>
      </c>
      <c r="H31">
        <v>19.600000000000001</v>
      </c>
      <c r="I31">
        <v>20.5</v>
      </c>
      <c r="J31">
        <v>15.1</v>
      </c>
      <c r="K31">
        <v>8.5</v>
      </c>
      <c r="L31">
        <v>0.6</v>
      </c>
      <c r="M31">
        <v>-6.8</v>
      </c>
      <c r="O31">
        <f>ROUND(SUM(temp35[[#This Row],[styczeń]:[grudzień]])/12,2)</f>
        <v>6.7</v>
      </c>
    </row>
    <row r="32" spans="1:19" x14ac:dyDescent="0.25">
      <c r="A32">
        <v>1809</v>
      </c>
      <c r="B32">
        <v>-9.3000000000000007</v>
      </c>
      <c r="C32">
        <v>0</v>
      </c>
      <c r="D32">
        <v>-1.5</v>
      </c>
      <c r="E32">
        <v>4.9000000000000004</v>
      </c>
      <c r="F32">
        <v>14.4</v>
      </c>
      <c r="G32">
        <v>16.600000000000001</v>
      </c>
      <c r="H32">
        <v>18</v>
      </c>
      <c r="I32">
        <v>19.7</v>
      </c>
      <c r="J32">
        <v>13.4</v>
      </c>
      <c r="K32">
        <v>6.7</v>
      </c>
      <c r="L32">
        <v>1.3</v>
      </c>
      <c r="M32">
        <v>1</v>
      </c>
      <c r="O32">
        <f>ROUND(SUM(temp35[[#This Row],[styczeń]:[grudzień]])/12,2)</f>
        <v>7.1</v>
      </c>
    </row>
    <row r="33" spans="1:15" x14ac:dyDescent="0.25">
      <c r="A33">
        <v>1810</v>
      </c>
      <c r="B33">
        <v>-3.3</v>
      </c>
      <c r="C33">
        <v>-2.5</v>
      </c>
      <c r="D33">
        <v>1</v>
      </c>
      <c r="E33">
        <v>3.9</v>
      </c>
      <c r="F33">
        <v>11.2</v>
      </c>
      <c r="G33">
        <v>14.2</v>
      </c>
      <c r="H33">
        <v>18.100000000000001</v>
      </c>
      <c r="I33">
        <v>17.5</v>
      </c>
      <c r="J33">
        <v>14.6</v>
      </c>
      <c r="K33">
        <v>6.5</v>
      </c>
      <c r="L33">
        <v>2.7</v>
      </c>
      <c r="M33">
        <v>-0.6</v>
      </c>
      <c r="O33">
        <f>ROUND(SUM(temp35[[#This Row],[styczeń]:[grudzień]])/12,2)</f>
        <v>6.94</v>
      </c>
    </row>
    <row r="34" spans="1:15" x14ac:dyDescent="0.25">
      <c r="A34">
        <v>1811</v>
      </c>
      <c r="B34">
        <v>-8</v>
      </c>
      <c r="C34">
        <v>-4.5</v>
      </c>
      <c r="D34">
        <v>3.4</v>
      </c>
      <c r="E34">
        <v>6.5</v>
      </c>
      <c r="F34">
        <v>16.7</v>
      </c>
      <c r="G34">
        <v>22.4</v>
      </c>
      <c r="H34">
        <v>22.5</v>
      </c>
      <c r="I34">
        <v>19.899999999999999</v>
      </c>
      <c r="J34">
        <v>12.5</v>
      </c>
      <c r="K34">
        <v>10.6</v>
      </c>
      <c r="L34">
        <v>2.8</v>
      </c>
      <c r="M34">
        <v>-0.4</v>
      </c>
      <c r="O34">
        <f>ROUND(SUM(temp35[[#This Row],[styczeń]:[grudzień]])/12,2)</f>
        <v>8.6999999999999993</v>
      </c>
    </row>
    <row r="35" spans="1:15" x14ac:dyDescent="0.25">
      <c r="A35">
        <v>1812</v>
      </c>
      <c r="B35">
        <v>-7.8</v>
      </c>
      <c r="C35">
        <v>-3.8</v>
      </c>
      <c r="D35">
        <v>1.1000000000000001</v>
      </c>
      <c r="E35">
        <v>3.5</v>
      </c>
      <c r="F35">
        <v>12.4</v>
      </c>
      <c r="G35">
        <v>17.5</v>
      </c>
      <c r="H35">
        <v>18.5</v>
      </c>
      <c r="I35">
        <v>17.7</v>
      </c>
      <c r="J35">
        <v>11.3</v>
      </c>
      <c r="K35">
        <v>10.199999999999999</v>
      </c>
      <c r="L35">
        <v>0.2</v>
      </c>
      <c r="M35">
        <v>-10.9</v>
      </c>
      <c r="O35">
        <f>ROUND(SUM(temp35[[#This Row],[styczeń]:[grudzień]])/12,2)</f>
        <v>5.83</v>
      </c>
    </row>
    <row r="36" spans="1:15" x14ac:dyDescent="0.25">
      <c r="A36">
        <v>1813</v>
      </c>
      <c r="B36">
        <v>-6.2</v>
      </c>
      <c r="C36">
        <v>0.4</v>
      </c>
      <c r="D36">
        <v>0</v>
      </c>
      <c r="E36">
        <v>9</v>
      </c>
      <c r="F36">
        <v>12.4</v>
      </c>
      <c r="G36">
        <v>15.4</v>
      </c>
      <c r="H36">
        <v>18.5</v>
      </c>
      <c r="I36">
        <v>16.7</v>
      </c>
      <c r="J36">
        <v>12.6</v>
      </c>
      <c r="K36">
        <v>5.4</v>
      </c>
      <c r="L36">
        <v>2.9</v>
      </c>
      <c r="M36">
        <v>-0.9</v>
      </c>
      <c r="O36">
        <f>ROUND(SUM(temp35[[#This Row],[styczeń]:[grudzień]])/12,2)</f>
        <v>7.18</v>
      </c>
    </row>
    <row r="37" spans="1:15" x14ac:dyDescent="0.25">
      <c r="A37">
        <v>1814</v>
      </c>
      <c r="B37">
        <v>-5</v>
      </c>
      <c r="C37">
        <v>-9.6</v>
      </c>
      <c r="D37">
        <v>0.5</v>
      </c>
      <c r="E37">
        <v>8.6999999999999993</v>
      </c>
      <c r="F37">
        <v>9.9</v>
      </c>
      <c r="G37">
        <v>15.4</v>
      </c>
      <c r="H37">
        <v>20.100000000000001</v>
      </c>
      <c r="I37">
        <v>17.7</v>
      </c>
      <c r="J37">
        <v>11.6</v>
      </c>
      <c r="K37">
        <v>6.2</v>
      </c>
      <c r="L37">
        <v>2.1</v>
      </c>
      <c r="M37">
        <v>-0.9</v>
      </c>
      <c r="O37">
        <f>ROUND(SUM(temp35[[#This Row],[styczeń]:[grudzień]])/12,2)</f>
        <v>6.39</v>
      </c>
    </row>
    <row r="38" spans="1:15" x14ac:dyDescent="0.25">
      <c r="A38">
        <v>1815</v>
      </c>
      <c r="B38">
        <v>-9.4</v>
      </c>
      <c r="C38">
        <v>-2.7</v>
      </c>
      <c r="D38">
        <v>2</v>
      </c>
      <c r="E38">
        <v>6.8</v>
      </c>
      <c r="F38">
        <v>13.1</v>
      </c>
      <c r="G38">
        <v>17.3</v>
      </c>
      <c r="H38">
        <v>16.7</v>
      </c>
      <c r="I38">
        <v>17</v>
      </c>
      <c r="J38">
        <v>11.8</v>
      </c>
      <c r="K38">
        <v>7.8</v>
      </c>
      <c r="L38">
        <v>1.2</v>
      </c>
      <c r="M38">
        <v>-7.2</v>
      </c>
      <c r="O38">
        <f>ROUND(SUM(temp35[[#This Row],[styczeń]:[grudzień]])/12,2)</f>
        <v>6.2</v>
      </c>
    </row>
    <row r="39" spans="1:15" x14ac:dyDescent="0.25">
      <c r="A39">
        <v>1816</v>
      </c>
      <c r="B39">
        <v>-3.2</v>
      </c>
      <c r="C39">
        <v>-5.4</v>
      </c>
      <c r="D39">
        <v>0.5</v>
      </c>
      <c r="E39">
        <v>6.4</v>
      </c>
      <c r="F39">
        <v>12.2</v>
      </c>
      <c r="G39">
        <v>16.8</v>
      </c>
      <c r="H39">
        <v>18</v>
      </c>
      <c r="I39">
        <v>16.2</v>
      </c>
      <c r="J39">
        <v>12.7</v>
      </c>
      <c r="K39">
        <v>6.6</v>
      </c>
      <c r="L39">
        <v>2.2999999999999998</v>
      </c>
      <c r="M39">
        <v>-3.5</v>
      </c>
      <c r="O39">
        <f>ROUND(SUM(temp35[[#This Row],[styczeń]:[grudzień]])/12,2)</f>
        <v>6.63</v>
      </c>
    </row>
    <row r="40" spans="1:15" x14ac:dyDescent="0.25">
      <c r="A40">
        <v>1817</v>
      </c>
      <c r="B40">
        <v>-0.5</v>
      </c>
      <c r="C40">
        <v>1.1000000000000001</v>
      </c>
      <c r="D40">
        <v>1.4</v>
      </c>
      <c r="E40">
        <v>2.4</v>
      </c>
      <c r="F40">
        <v>13.4</v>
      </c>
      <c r="G40">
        <v>18.600000000000001</v>
      </c>
      <c r="H40">
        <v>18.7</v>
      </c>
      <c r="I40">
        <v>18</v>
      </c>
      <c r="J40">
        <v>12.6</v>
      </c>
      <c r="K40">
        <v>4.5</v>
      </c>
      <c r="L40">
        <v>2.7</v>
      </c>
      <c r="M40">
        <v>-2.7</v>
      </c>
      <c r="O40">
        <f>ROUND(SUM(temp35[[#This Row],[styczeń]:[grudzień]])/12,2)</f>
        <v>7.52</v>
      </c>
    </row>
    <row r="41" spans="1:15" x14ac:dyDescent="0.25">
      <c r="A41">
        <v>1818</v>
      </c>
      <c r="B41">
        <v>-2.8</v>
      </c>
      <c r="C41">
        <v>-1</v>
      </c>
      <c r="D41">
        <v>2.9</v>
      </c>
      <c r="E41">
        <v>7.4</v>
      </c>
      <c r="F41">
        <v>12.2</v>
      </c>
      <c r="G41">
        <v>16.7</v>
      </c>
      <c r="H41">
        <v>19.2</v>
      </c>
      <c r="I41">
        <v>16.399999999999999</v>
      </c>
      <c r="J41">
        <v>12.8</v>
      </c>
      <c r="K41">
        <v>7.1</v>
      </c>
      <c r="L41">
        <v>2</v>
      </c>
      <c r="M41">
        <v>-4.4000000000000004</v>
      </c>
      <c r="O41">
        <f>ROUND(SUM(temp35[[#This Row],[styczeń]:[grudzień]])/12,2)</f>
        <v>7.38</v>
      </c>
    </row>
    <row r="42" spans="1:15" x14ac:dyDescent="0.25">
      <c r="A42">
        <v>1819</v>
      </c>
      <c r="B42">
        <v>-2</v>
      </c>
      <c r="C42">
        <v>-0.5</v>
      </c>
      <c r="D42">
        <v>1.9</v>
      </c>
      <c r="E42">
        <v>6.8</v>
      </c>
      <c r="F42">
        <v>13.4</v>
      </c>
      <c r="G42">
        <v>18.100000000000001</v>
      </c>
      <c r="H42">
        <v>19</v>
      </c>
      <c r="I42">
        <v>18.7</v>
      </c>
      <c r="J42">
        <v>14.3</v>
      </c>
      <c r="K42">
        <v>7.8</v>
      </c>
      <c r="L42">
        <v>1.6</v>
      </c>
      <c r="M42">
        <v>-8</v>
      </c>
      <c r="O42">
        <f>ROUND(SUM(temp35[[#This Row],[styczeń]:[grudzień]])/12,2)</f>
        <v>7.59</v>
      </c>
    </row>
    <row r="43" spans="1:15" x14ac:dyDescent="0.25">
      <c r="A43">
        <v>1820</v>
      </c>
      <c r="B43">
        <v>-9.6999999999999993</v>
      </c>
      <c r="C43">
        <v>-3</v>
      </c>
      <c r="D43">
        <v>0.5</v>
      </c>
      <c r="E43">
        <v>8.5</v>
      </c>
      <c r="F43">
        <v>15.3</v>
      </c>
      <c r="G43">
        <v>16.2</v>
      </c>
      <c r="H43">
        <v>16.899999999999999</v>
      </c>
      <c r="I43">
        <v>18.8</v>
      </c>
      <c r="J43">
        <v>12.9</v>
      </c>
      <c r="K43">
        <v>8.6</v>
      </c>
      <c r="L43">
        <v>1.9</v>
      </c>
      <c r="M43">
        <v>-5.5</v>
      </c>
      <c r="O43">
        <f>ROUND(SUM(temp35[[#This Row],[styczeń]:[grudzień]])/12,2)</f>
        <v>6.78</v>
      </c>
    </row>
    <row r="44" spans="1:15" x14ac:dyDescent="0.25">
      <c r="A44">
        <v>1821</v>
      </c>
      <c r="B44">
        <v>-2.5</v>
      </c>
      <c r="C44">
        <v>-5</v>
      </c>
      <c r="D44">
        <v>-1.7</v>
      </c>
      <c r="E44">
        <v>10.6</v>
      </c>
      <c r="F44">
        <v>13.4</v>
      </c>
      <c r="G44">
        <v>14.5</v>
      </c>
      <c r="H44">
        <v>17</v>
      </c>
      <c r="I44">
        <v>16.5</v>
      </c>
      <c r="J44">
        <v>13.9</v>
      </c>
      <c r="K44">
        <v>8.5</v>
      </c>
      <c r="L44">
        <v>4.9000000000000004</v>
      </c>
      <c r="M44">
        <v>-0.4</v>
      </c>
      <c r="O44">
        <f>ROUND(SUM(temp35[[#This Row],[styczeń]:[grudzień]])/12,2)</f>
        <v>7.48</v>
      </c>
    </row>
    <row r="45" spans="1:15" x14ac:dyDescent="0.25">
      <c r="A45">
        <v>1822</v>
      </c>
      <c r="B45">
        <v>-2.7</v>
      </c>
      <c r="C45">
        <v>-0.2</v>
      </c>
      <c r="D45">
        <v>5</v>
      </c>
      <c r="E45">
        <v>9</v>
      </c>
      <c r="F45">
        <v>13.9</v>
      </c>
      <c r="G45">
        <v>17.8</v>
      </c>
      <c r="H45">
        <v>20.8</v>
      </c>
      <c r="I45">
        <v>17.600000000000001</v>
      </c>
      <c r="J45">
        <v>12.2</v>
      </c>
      <c r="K45">
        <v>10.9</v>
      </c>
      <c r="L45">
        <v>3.2</v>
      </c>
      <c r="M45">
        <v>-5.2</v>
      </c>
      <c r="O45">
        <f>ROUND(SUM(temp35[[#This Row],[styczeń]:[grudzień]])/12,2)</f>
        <v>8.5299999999999994</v>
      </c>
    </row>
    <row r="46" spans="1:15" x14ac:dyDescent="0.25">
      <c r="A46">
        <v>1823</v>
      </c>
      <c r="B46">
        <v>-13</v>
      </c>
      <c r="C46">
        <v>-2.5</v>
      </c>
      <c r="D46">
        <v>2.5</v>
      </c>
      <c r="E46">
        <v>6</v>
      </c>
      <c r="F46">
        <v>12.5</v>
      </c>
      <c r="G46">
        <v>18.5</v>
      </c>
      <c r="H46">
        <v>19.5</v>
      </c>
      <c r="I46">
        <v>20.399999999999999</v>
      </c>
      <c r="J46">
        <v>13.6</v>
      </c>
      <c r="K46">
        <v>10.5</v>
      </c>
      <c r="L46">
        <v>2.9</v>
      </c>
      <c r="M46">
        <v>-2.2999999999999998</v>
      </c>
      <c r="O46">
        <f>ROUND(SUM(temp35[[#This Row],[styczeń]:[grudzień]])/12,2)</f>
        <v>7.38</v>
      </c>
    </row>
    <row r="47" spans="1:15" x14ac:dyDescent="0.25">
      <c r="A47">
        <v>1824</v>
      </c>
      <c r="B47">
        <v>-2.2999999999999998</v>
      </c>
      <c r="C47">
        <v>-1.1000000000000001</v>
      </c>
      <c r="D47">
        <v>2.5</v>
      </c>
      <c r="E47">
        <v>7</v>
      </c>
      <c r="F47">
        <v>10.8</v>
      </c>
      <c r="G47">
        <v>15.7</v>
      </c>
      <c r="H47">
        <v>18.100000000000001</v>
      </c>
      <c r="I47">
        <v>18.3</v>
      </c>
      <c r="J47">
        <v>16.5</v>
      </c>
      <c r="K47">
        <v>8.9</v>
      </c>
      <c r="L47">
        <v>3.8</v>
      </c>
      <c r="M47">
        <v>2.4</v>
      </c>
      <c r="O47">
        <f>ROUND(SUM(temp35[[#This Row],[styczeń]:[grudzień]])/12,2)</f>
        <v>8.3800000000000008</v>
      </c>
    </row>
    <row r="48" spans="1:15" x14ac:dyDescent="0.25">
      <c r="A48">
        <v>1825</v>
      </c>
      <c r="B48">
        <v>-1.6</v>
      </c>
      <c r="C48">
        <v>-3.1</v>
      </c>
      <c r="D48">
        <v>-2.2999999999999998</v>
      </c>
      <c r="E48">
        <v>6.9</v>
      </c>
      <c r="F48">
        <v>13</v>
      </c>
      <c r="G48">
        <v>17.399999999999999</v>
      </c>
      <c r="H48">
        <v>18.7</v>
      </c>
      <c r="I48">
        <v>18.3</v>
      </c>
      <c r="J48">
        <v>13.8</v>
      </c>
      <c r="K48">
        <v>8.8000000000000007</v>
      </c>
      <c r="L48">
        <v>5.7</v>
      </c>
      <c r="M48">
        <v>2.5</v>
      </c>
      <c r="O48">
        <f>ROUND(SUM(temp35[[#This Row],[styczeń]:[grudzień]])/12,2)</f>
        <v>8.18</v>
      </c>
    </row>
    <row r="49" spans="1:15" x14ac:dyDescent="0.25">
      <c r="A49">
        <v>1826</v>
      </c>
      <c r="B49">
        <v>-8.6</v>
      </c>
      <c r="C49">
        <v>-1.6</v>
      </c>
      <c r="D49">
        <v>1.5</v>
      </c>
      <c r="E49">
        <v>6.2</v>
      </c>
      <c r="F49">
        <v>12.6</v>
      </c>
      <c r="G49">
        <v>17.100000000000001</v>
      </c>
      <c r="H49">
        <v>21.4</v>
      </c>
      <c r="I49">
        <v>19.600000000000001</v>
      </c>
      <c r="J49">
        <v>13.6</v>
      </c>
      <c r="K49">
        <v>9.6999999999999993</v>
      </c>
      <c r="L49">
        <v>2.2999999999999998</v>
      </c>
      <c r="M49">
        <v>-0.6</v>
      </c>
      <c r="O49">
        <f>ROUND(SUM(temp35[[#This Row],[styczeń]:[grudzień]])/12,2)</f>
        <v>7.77</v>
      </c>
    </row>
    <row r="50" spans="1:15" x14ac:dyDescent="0.25">
      <c r="A50">
        <v>1827</v>
      </c>
      <c r="B50">
        <v>-2.5</v>
      </c>
      <c r="C50">
        <v>-7.5</v>
      </c>
      <c r="D50">
        <v>2.7</v>
      </c>
      <c r="E50">
        <v>10.4</v>
      </c>
      <c r="F50">
        <v>14.9</v>
      </c>
      <c r="G50">
        <v>19.600000000000001</v>
      </c>
      <c r="H50">
        <v>18.600000000000001</v>
      </c>
      <c r="I50">
        <v>17</v>
      </c>
      <c r="J50">
        <v>14</v>
      </c>
      <c r="K50">
        <v>9.1</v>
      </c>
      <c r="L50">
        <v>-0.4</v>
      </c>
      <c r="M50">
        <v>1</v>
      </c>
      <c r="O50">
        <f>ROUND(SUM(temp35[[#This Row],[styczeń]:[grudzień]])/12,2)</f>
        <v>8.08</v>
      </c>
    </row>
    <row r="51" spans="1:15" x14ac:dyDescent="0.25">
      <c r="A51">
        <v>1828</v>
      </c>
      <c r="B51">
        <v>-7.4</v>
      </c>
      <c r="C51">
        <v>-4.7</v>
      </c>
      <c r="D51">
        <v>2</v>
      </c>
      <c r="E51">
        <v>9.1999999999999993</v>
      </c>
      <c r="F51">
        <v>12.3</v>
      </c>
      <c r="G51">
        <v>16.8</v>
      </c>
      <c r="H51">
        <v>19.399999999999999</v>
      </c>
      <c r="I51">
        <v>16.600000000000001</v>
      </c>
      <c r="J51">
        <v>12.7</v>
      </c>
      <c r="K51">
        <v>7.5</v>
      </c>
      <c r="L51">
        <v>2.5</v>
      </c>
      <c r="M51">
        <v>-2.1</v>
      </c>
      <c r="O51">
        <f>ROUND(SUM(temp35[[#This Row],[styczeń]:[grudzień]])/12,2)</f>
        <v>7.07</v>
      </c>
    </row>
    <row r="52" spans="1:15" x14ac:dyDescent="0.25">
      <c r="A52">
        <v>1829</v>
      </c>
      <c r="B52">
        <v>-8.5</v>
      </c>
      <c r="C52">
        <v>-6.9</v>
      </c>
      <c r="D52">
        <v>-1.7</v>
      </c>
      <c r="E52">
        <v>6.6</v>
      </c>
      <c r="F52">
        <v>11.4</v>
      </c>
      <c r="G52">
        <v>15.5</v>
      </c>
      <c r="H52">
        <v>18</v>
      </c>
      <c r="I52">
        <v>16.399999999999999</v>
      </c>
      <c r="J52">
        <v>14.3</v>
      </c>
      <c r="K52">
        <v>5.3</v>
      </c>
      <c r="L52">
        <v>-2.2999999999999998</v>
      </c>
      <c r="M52">
        <v>-11.2</v>
      </c>
      <c r="O52">
        <f>ROUND(SUM(temp35[[#This Row],[styczeń]:[grudzień]])/12,2)</f>
        <v>4.74</v>
      </c>
    </row>
    <row r="53" spans="1:15" x14ac:dyDescent="0.25">
      <c r="A53">
        <v>1830</v>
      </c>
      <c r="B53">
        <v>-10</v>
      </c>
      <c r="C53">
        <v>-6.4</v>
      </c>
      <c r="D53">
        <v>0.9</v>
      </c>
      <c r="E53">
        <v>8</v>
      </c>
      <c r="F53">
        <v>11.9</v>
      </c>
      <c r="G53">
        <v>17.399999999999999</v>
      </c>
      <c r="H53">
        <v>17.100000000000001</v>
      </c>
      <c r="I53">
        <v>17.899999999999999</v>
      </c>
      <c r="J53">
        <v>12.5</v>
      </c>
      <c r="K53">
        <v>6.8</v>
      </c>
      <c r="L53">
        <v>3.8</v>
      </c>
      <c r="M53">
        <v>-0.2</v>
      </c>
      <c r="O53">
        <f>ROUND(SUM(temp35[[#This Row],[styczeń]:[grudzień]])/12,2)</f>
        <v>6.64</v>
      </c>
    </row>
    <row r="54" spans="1:15" x14ac:dyDescent="0.25">
      <c r="A54">
        <v>1831</v>
      </c>
      <c r="B54">
        <v>-7.2</v>
      </c>
      <c r="C54">
        <v>-1.3</v>
      </c>
      <c r="D54">
        <v>0.4</v>
      </c>
      <c r="E54">
        <v>10.4</v>
      </c>
      <c r="F54">
        <v>13</v>
      </c>
      <c r="G54">
        <v>16.100000000000001</v>
      </c>
      <c r="H54">
        <v>18.7</v>
      </c>
      <c r="I54">
        <v>16.899999999999999</v>
      </c>
      <c r="J54">
        <v>12</v>
      </c>
      <c r="K54">
        <v>9.5</v>
      </c>
      <c r="L54">
        <v>1.6</v>
      </c>
      <c r="M54">
        <v>-1.8</v>
      </c>
      <c r="O54">
        <f>ROUND(SUM(temp35[[#This Row],[styczeń]:[grudzień]])/12,2)</f>
        <v>7.36</v>
      </c>
    </row>
    <row r="55" spans="1:15" x14ac:dyDescent="0.25">
      <c r="A55">
        <v>1832</v>
      </c>
      <c r="B55">
        <v>-3.5</v>
      </c>
      <c r="C55">
        <v>-1.7</v>
      </c>
      <c r="D55">
        <v>0.4</v>
      </c>
      <c r="E55">
        <v>5.7</v>
      </c>
      <c r="F55">
        <v>10.7</v>
      </c>
      <c r="G55">
        <v>15.2</v>
      </c>
      <c r="H55">
        <v>14.6</v>
      </c>
      <c r="I55">
        <v>16.899999999999999</v>
      </c>
      <c r="J55">
        <v>10.9</v>
      </c>
      <c r="K55">
        <v>7.6</v>
      </c>
      <c r="L55">
        <v>0.4</v>
      </c>
      <c r="M55">
        <v>-3.6</v>
      </c>
      <c r="O55">
        <f>ROUND(SUM(temp35[[#This Row],[styczeń]:[grudzień]])/12,2)</f>
        <v>6.13</v>
      </c>
    </row>
    <row r="56" spans="1:15" x14ac:dyDescent="0.25">
      <c r="A56">
        <v>1833</v>
      </c>
      <c r="B56">
        <v>-4.7</v>
      </c>
      <c r="C56">
        <v>1.3</v>
      </c>
      <c r="D56">
        <v>2</v>
      </c>
      <c r="E56">
        <v>6</v>
      </c>
      <c r="F56">
        <v>15.3</v>
      </c>
      <c r="G56">
        <v>18.3</v>
      </c>
      <c r="H56">
        <v>17.5</v>
      </c>
      <c r="I56">
        <v>14</v>
      </c>
      <c r="J56">
        <v>13.3</v>
      </c>
      <c r="K56">
        <v>6.8</v>
      </c>
      <c r="L56">
        <v>2.5</v>
      </c>
      <c r="M56">
        <v>2.1</v>
      </c>
      <c r="O56">
        <f>ROUND(SUM(temp35[[#This Row],[styczeń]:[grudzień]])/12,2)</f>
        <v>7.87</v>
      </c>
    </row>
    <row r="57" spans="1:15" x14ac:dyDescent="0.25">
      <c r="A57">
        <v>1834</v>
      </c>
      <c r="B57">
        <v>-0.4</v>
      </c>
      <c r="C57">
        <v>-1.4</v>
      </c>
      <c r="D57">
        <v>1.3</v>
      </c>
      <c r="E57">
        <v>6.4</v>
      </c>
      <c r="F57">
        <v>15.3</v>
      </c>
      <c r="G57">
        <v>17.100000000000001</v>
      </c>
      <c r="H57">
        <v>21.2</v>
      </c>
      <c r="I57">
        <v>20.3</v>
      </c>
      <c r="J57">
        <v>14.3</v>
      </c>
      <c r="K57">
        <v>7.6</v>
      </c>
      <c r="L57">
        <v>2.5</v>
      </c>
      <c r="M57">
        <v>0.2</v>
      </c>
      <c r="O57">
        <f>ROUND(SUM(temp35[[#This Row],[styczeń]:[grudzień]])/12,2)</f>
        <v>8.6999999999999993</v>
      </c>
    </row>
    <row r="58" spans="1:15" x14ac:dyDescent="0.25">
      <c r="A58">
        <v>1835</v>
      </c>
      <c r="B58">
        <v>-1.1000000000000001</v>
      </c>
      <c r="C58">
        <v>1.2</v>
      </c>
      <c r="D58">
        <v>2.2999999999999998</v>
      </c>
      <c r="E58">
        <v>6.1</v>
      </c>
      <c r="F58">
        <v>12.5</v>
      </c>
      <c r="G58">
        <v>17.2</v>
      </c>
      <c r="H58">
        <v>18.8</v>
      </c>
      <c r="I58">
        <v>15.2</v>
      </c>
      <c r="J58">
        <v>13.4</v>
      </c>
      <c r="K58">
        <v>7.4</v>
      </c>
      <c r="L58">
        <v>-1.5</v>
      </c>
      <c r="M58">
        <v>-4.5999999999999996</v>
      </c>
      <c r="O58">
        <f>ROUND(SUM(temp35[[#This Row],[styczeń]:[grudzień]])/12,2)</f>
        <v>7.24</v>
      </c>
    </row>
    <row r="59" spans="1:15" x14ac:dyDescent="0.25">
      <c r="A59">
        <v>1836</v>
      </c>
      <c r="B59">
        <v>-5.2</v>
      </c>
      <c r="C59">
        <v>-0.7</v>
      </c>
      <c r="D59">
        <v>7.4</v>
      </c>
      <c r="E59">
        <v>8.8000000000000007</v>
      </c>
      <c r="F59">
        <v>10</v>
      </c>
      <c r="G59">
        <v>17.399999999999999</v>
      </c>
      <c r="H59">
        <v>16.7</v>
      </c>
      <c r="I59">
        <v>15.9</v>
      </c>
      <c r="J59">
        <v>13.9</v>
      </c>
      <c r="K59">
        <v>11</v>
      </c>
      <c r="L59">
        <v>-0.6</v>
      </c>
      <c r="M59">
        <v>-0.6</v>
      </c>
      <c r="O59">
        <f>ROUND(SUM(temp35[[#This Row],[styczeń]:[grudzień]])/12,2)</f>
        <v>7.83</v>
      </c>
    </row>
    <row r="60" spans="1:15" x14ac:dyDescent="0.25">
      <c r="A60">
        <v>1837</v>
      </c>
      <c r="B60">
        <v>-4</v>
      </c>
      <c r="C60">
        <v>-3.7</v>
      </c>
      <c r="D60">
        <v>-0.7</v>
      </c>
      <c r="E60">
        <v>7.7</v>
      </c>
      <c r="F60">
        <v>12.7</v>
      </c>
      <c r="G60">
        <v>16.399999999999999</v>
      </c>
      <c r="H60">
        <v>16.7</v>
      </c>
      <c r="I60">
        <v>18.899999999999999</v>
      </c>
      <c r="J60">
        <v>12.6</v>
      </c>
      <c r="K60">
        <v>7.8</v>
      </c>
      <c r="L60">
        <v>3.6</v>
      </c>
      <c r="M60">
        <v>-4.9000000000000004</v>
      </c>
      <c r="O60">
        <f>ROUND(SUM(temp35[[#This Row],[styczeń]:[grudzień]])/12,2)</f>
        <v>6.93</v>
      </c>
    </row>
    <row r="61" spans="1:15" x14ac:dyDescent="0.25">
      <c r="A61">
        <v>1838</v>
      </c>
      <c r="B61">
        <v>-13.5</v>
      </c>
      <c r="C61">
        <v>-7.3</v>
      </c>
      <c r="D61">
        <v>0.6</v>
      </c>
      <c r="E61">
        <v>5.8</v>
      </c>
      <c r="F61">
        <v>14.2</v>
      </c>
      <c r="G61">
        <v>16.7</v>
      </c>
      <c r="H61">
        <v>17.399999999999999</v>
      </c>
      <c r="I61">
        <v>15.5</v>
      </c>
      <c r="J61">
        <v>15.8</v>
      </c>
      <c r="K61">
        <v>6.1</v>
      </c>
      <c r="L61">
        <v>0.4</v>
      </c>
      <c r="M61">
        <v>-2.7</v>
      </c>
      <c r="O61">
        <f>ROUND(SUM(temp35[[#This Row],[styczeń]:[grudzień]])/12,2)</f>
        <v>5.75</v>
      </c>
    </row>
    <row r="62" spans="1:15" x14ac:dyDescent="0.25">
      <c r="A62">
        <v>1839</v>
      </c>
      <c r="B62">
        <v>-4.4000000000000004</v>
      </c>
      <c r="C62">
        <v>-2.2999999999999998</v>
      </c>
      <c r="D62">
        <v>-3.4</v>
      </c>
      <c r="E62">
        <v>3.7</v>
      </c>
      <c r="F62">
        <v>15.3</v>
      </c>
      <c r="G62">
        <v>18.399999999999999</v>
      </c>
      <c r="H62">
        <v>20.7</v>
      </c>
      <c r="I62">
        <v>18</v>
      </c>
      <c r="J62">
        <v>16.2</v>
      </c>
      <c r="K62">
        <v>8.3000000000000007</v>
      </c>
      <c r="L62">
        <v>2.2000000000000002</v>
      </c>
      <c r="M62">
        <v>-5.6</v>
      </c>
      <c r="O62">
        <f>ROUND(SUM(temp35[[#This Row],[styczeń]:[grudzień]])/12,2)</f>
        <v>7.26</v>
      </c>
    </row>
    <row r="63" spans="1:15" x14ac:dyDescent="0.25">
      <c r="A63">
        <v>1840</v>
      </c>
      <c r="B63">
        <v>-4.2</v>
      </c>
      <c r="C63">
        <v>-3.5</v>
      </c>
      <c r="D63">
        <v>-3</v>
      </c>
      <c r="E63">
        <v>6.5</v>
      </c>
      <c r="F63">
        <v>11.1</v>
      </c>
      <c r="G63">
        <v>16.5</v>
      </c>
      <c r="H63">
        <v>19</v>
      </c>
      <c r="I63">
        <v>16.7</v>
      </c>
      <c r="J63">
        <v>14.8</v>
      </c>
      <c r="K63">
        <v>5.7</v>
      </c>
      <c r="L63">
        <v>3.5</v>
      </c>
      <c r="M63">
        <v>-8.9</v>
      </c>
      <c r="O63">
        <f>ROUND(SUM(temp35[[#This Row],[styczeń]:[grudzień]])/12,2)</f>
        <v>6.18</v>
      </c>
    </row>
    <row r="64" spans="1:15" x14ac:dyDescent="0.25">
      <c r="A64">
        <v>1841</v>
      </c>
      <c r="B64">
        <v>-3.9</v>
      </c>
      <c r="C64">
        <v>-9.5</v>
      </c>
      <c r="D64">
        <v>1.2</v>
      </c>
      <c r="E64">
        <v>9.4</v>
      </c>
      <c r="F64">
        <v>16.8</v>
      </c>
      <c r="G64">
        <v>17.8</v>
      </c>
      <c r="H64">
        <v>18.3</v>
      </c>
      <c r="I64">
        <v>19.3</v>
      </c>
      <c r="J64">
        <v>14.6</v>
      </c>
      <c r="K64">
        <v>11.2</v>
      </c>
      <c r="L64">
        <v>3.1</v>
      </c>
      <c r="M64">
        <v>2</v>
      </c>
      <c r="O64">
        <f>ROUND(SUM(temp35[[#This Row],[styczeń]:[grudzień]])/12,2)</f>
        <v>8.36</v>
      </c>
    </row>
    <row r="65" spans="1:15" x14ac:dyDescent="0.25">
      <c r="A65">
        <v>1842</v>
      </c>
      <c r="B65">
        <v>-7.3</v>
      </c>
      <c r="C65">
        <v>-3.5</v>
      </c>
      <c r="D65">
        <v>1.7</v>
      </c>
      <c r="E65">
        <v>4</v>
      </c>
      <c r="F65">
        <v>14.4</v>
      </c>
      <c r="G65">
        <v>16</v>
      </c>
      <c r="H65">
        <v>16.5</v>
      </c>
      <c r="I65">
        <v>20.5</v>
      </c>
      <c r="J65">
        <v>13.7</v>
      </c>
      <c r="K65">
        <v>5.7</v>
      </c>
      <c r="L65">
        <v>-1.3</v>
      </c>
      <c r="M65">
        <v>1.6</v>
      </c>
      <c r="O65">
        <f>ROUND(SUM(temp35[[#This Row],[styczeń]:[grudzień]])/12,2)</f>
        <v>6.83</v>
      </c>
    </row>
    <row r="66" spans="1:15" x14ac:dyDescent="0.25">
      <c r="A66">
        <v>1843</v>
      </c>
      <c r="B66">
        <v>-1</v>
      </c>
      <c r="C66">
        <v>3.6</v>
      </c>
      <c r="D66">
        <v>0.1</v>
      </c>
      <c r="E66">
        <v>7.3</v>
      </c>
      <c r="F66">
        <v>10.5</v>
      </c>
      <c r="G66">
        <v>17.100000000000001</v>
      </c>
      <c r="H66">
        <v>18.600000000000001</v>
      </c>
      <c r="I66">
        <v>19.399999999999999</v>
      </c>
      <c r="J66">
        <v>12</v>
      </c>
      <c r="K66">
        <v>7.6</v>
      </c>
      <c r="L66">
        <v>1.9</v>
      </c>
      <c r="M66">
        <v>2.2999999999999998</v>
      </c>
      <c r="O66">
        <f>ROUND(SUM(temp35[[#This Row],[styczeń]:[grudzień]])/12,2)</f>
        <v>8.2799999999999994</v>
      </c>
    </row>
    <row r="67" spans="1:15" x14ac:dyDescent="0.25">
      <c r="A67">
        <v>1844</v>
      </c>
      <c r="B67">
        <v>-4</v>
      </c>
      <c r="C67">
        <v>-4.8</v>
      </c>
      <c r="D67">
        <v>-1.3</v>
      </c>
      <c r="E67">
        <v>6.6</v>
      </c>
      <c r="F67">
        <v>14.8</v>
      </c>
      <c r="G67">
        <v>15.7</v>
      </c>
      <c r="H67">
        <v>15.4</v>
      </c>
      <c r="I67">
        <v>16</v>
      </c>
      <c r="J67">
        <v>14</v>
      </c>
      <c r="K67">
        <v>8.5</v>
      </c>
      <c r="L67">
        <v>2.2999999999999998</v>
      </c>
      <c r="M67">
        <v>-6.2</v>
      </c>
      <c r="O67">
        <f>ROUND(SUM(temp35[[#This Row],[styczeń]:[grudzień]])/12,2)</f>
        <v>6.42</v>
      </c>
    </row>
    <row r="68" spans="1:15" x14ac:dyDescent="0.25">
      <c r="A68">
        <v>1845</v>
      </c>
      <c r="B68">
        <v>-2.2000000000000002</v>
      </c>
      <c r="C68">
        <v>-10.3</v>
      </c>
      <c r="D68">
        <v>-6.9</v>
      </c>
      <c r="E68">
        <v>7.4</v>
      </c>
      <c r="F68">
        <v>12.2</v>
      </c>
      <c r="G68">
        <v>18.2</v>
      </c>
      <c r="H68">
        <v>20.5</v>
      </c>
      <c r="I68">
        <v>17.100000000000001</v>
      </c>
      <c r="J68">
        <v>12.2</v>
      </c>
      <c r="K68">
        <v>7.7</v>
      </c>
      <c r="L68">
        <v>3.9</v>
      </c>
      <c r="M68">
        <v>-0.2</v>
      </c>
      <c r="O68">
        <f>ROUND(SUM(temp35[[#This Row],[styczeń]:[grudzień]])/12,2)</f>
        <v>6.63</v>
      </c>
    </row>
    <row r="69" spans="1:15" x14ac:dyDescent="0.25">
      <c r="A69">
        <v>1846</v>
      </c>
      <c r="B69">
        <v>-2.8</v>
      </c>
      <c r="C69">
        <v>-1.6</v>
      </c>
      <c r="D69">
        <v>4.8</v>
      </c>
      <c r="E69">
        <v>9.1</v>
      </c>
      <c r="F69">
        <v>11.2</v>
      </c>
      <c r="G69">
        <v>16.3</v>
      </c>
      <c r="H69">
        <v>19.899999999999999</v>
      </c>
      <c r="I69">
        <v>21.4</v>
      </c>
      <c r="J69">
        <v>14.2</v>
      </c>
      <c r="K69">
        <v>11.2</v>
      </c>
      <c r="L69">
        <v>-0.2</v>
      </c>
      <c r="M69">
        <v>-4.0999999999999996</v>
      </c>
      <c r="O69">
        <f>ROUND(SUM(temp35[[#This Row],[styczeń]:[grudzień]])/12,2)</f>
        <v>8.2799999999999994</v>
      </c>
    </row>
    <row r="70" spans="1:15" x14ac:dyDescent="0.25">
      <c r="A70">
        <v>1847</v>
      </c>
      <c r="B70">
        <v>-7.4</v>
      </c>
      <c r="C70">
        <v>-2.7</v>
      </c>
      <c r="D70">
        <v>0.8</v>
      </c>
      <c r="E70">
        <v>5.7</v>
      </c>
      <c r="F70">
        <v>14.2</v>
      </c>
      <c r="G70">
        <v>16.100000000000001</v>
      </c>
      <c r="H70">
        <v>17.100000000000001</v>
      </c>
      <c r="I70">
        <v>19.399999999999999</v>
      </c>
      <c r="J70">
        <v>12</v>
      </c>
      <c r="K70">
        <v>6.5</v>
      </c>
      <c r="L70">
        <v>2.1</v>
      </c>
      <c r="M70">
        <v>-3.3</v>
      </c>
      <c r="O70">
        <f>ROUND(SUM(temp35[[#This Row],[styczeń]:[grudzień]])/12,2)</f>
        <v>6.71</v>
      </c>
    </row>
    <row r="71" spans="1:15" x14ac:dyDescent="0.25">
      <c r="A71">
        <v>1848</v>
      </c>
      <c r="B71">
        <v>-13</v>
      </c>
      <c r="C71">
        <v>-0.1</v>
      </c>
      <c r="D71">
        <v>3.8</v>
      </c>
      <c r="E71">
        <v>11.1</v>
      </c>
      <c r="F71">
        <v>13.8</v>
      </c>
      <c r="G71">
        <v>19.600000000000001</v>
      </c>
      <c r="H71">
        <v>19</v>
      </c>
      <c r="I71">
        <v>17.399999999999999</v>
      </c>
      <c r="J71">
        <v>12.5</v>
      </c>
      <c r="K71">
        <v>9.3000000000000007</v>
      </c>
      <c r="L71">
        <v>2</v>
      </c>
      <c r="M71">
        <v>0.3</v>
      </c>
      <c r="O71">
        <f>ROUND(SUM(temp35[[#This Row],[styczeń]:[grudzień]])/12,2)</f>
        <v>7.98</v>
      </c>
    </row>
    <row r="72" spans="1:15" x14ac:dyDescent="0.25">
      <c r="A72">
        <v>1849</v>
      </c>
      <c r="B72">
        <v>-5.3</v>
      </c>
      <c r="C72">
        <v>-0.4</v>
      </c>
      <c r="D72">
        <v>-0.6</v>
      </c>
      <c r="E72">
        <v>5.9</v>
      </c>
      <c r="F72">
        <v>14.5</v>
      </c>
      <c r="G72">
        <v>16.2</v>
      </c>
      <c r="H72">
        <v>16.8</v>
      </c>
      <c r="I72">
        <v>16.100000000000001</v>
      </c>
      <c r="J72">
        <v>12.1</v>
      </c>
      <c r="K72">
        <v>7.2</v>
      </c>
      <c r="L72">
        <v>2</v>
      </c>
      <c r="M72">
        <v>-6.3</v>
      </c>
      <c r="O72">
        <f>ROUND(SUM(temp35[[#This Row],[styczeń]:[grudzień]])/12,2)</f>
        <v>6.52</v>
      </c>
    </row>
    <row r="73" spans="1:15" x14ac:dyDescent="0.25">
      <c r="A73">
        <v>1850</v>
      </c>
      <c r="B73">
        <v>-11.7</v>
      </c>
      <c r="C73">
        <v>-0.4</v>
      </c>
      <c r="D73">
        <v>-1.6</v>
      </c>
      <c r="E73">
        <v>7.2</v>
      </c>
      <c r="F73">
        <v>14.9</v>
      </c>
      <c r="G73">
        <v>18.8</v>
      </c>
      <c r="H73">
        <v>18.8</v>
      </c>
      <c r="I73">
        <v>18.899999999999999</v>
      </c>
      <c r="J73">
        <v>11.6</v>
      </c>
      <c r="K73">
        <v>7.3</v>
      </c>
      <c r="L73">
        <v>2.5</v>
      </c>
      <c r="M73">
        <v>-0.3</v>
      </c>
      <c r="O73">
        <f>ROUND(SUM(temp35[[#This Row],[styczeń]:[grudzień]])/12,2)</f>
        <v>7.17</v>
      </c>
    </row>
    <row r="74" spans="1:15" x14ac:dyDescent="0.25">
      <c r="A74">
        <v>1851</v>
      </c>
      <c r="B74">
        <v>-5.0999999999999996</v>
      </c>
      <c r="C74">
        <v>-2.2999999999999998</v>
      </c>
      <c r="D74">
        <v>1.2</v>
      </c>
      <c r="E74">
        <v>9.5</v>
      </c>
      <c r="F74">
        <v>10.6</v>
      </c>
      <c r="G74">
        <v>15.9</v>
      </c>
      <c r="H74">
        <v>17.7</v>
      </c>
      <c r="I74">
        <v>17.7</v>
      </c>
      <c r="J74">
        <v>13.1</v>
      </c>
      <c r="K74">
        <v>10.4</v>
      </c>
      <c r="L74">
        <v>3.2</v>
      </c>
      <c r="M74">
        <v>-0.4</v>
      </c>
      <c r="O74">
        <f>ROUND(SUM(temp35[[#This Row],[styczeń]:[grudzień]])/12,2)</f>
        <v>7.63</v>
      </c>
    </row>
    <row r="75" spans="1:15" x14ac:dyDescent="0.25">
      <c r="A75">
        <v>1852</v>
      </c>
      <c r="B75">
        <v>-0.3</v>
      </c>
      <c r="C75">
        <v>-2.2000000000000002</v>
      </c>
      <c r="D75">
        <v>-1.1000000000000001</v>
      </c>
      <c r="E75">
        <v>3.3</v>
      </c>
      <c r="F75">
        <v>13.3</v>
      </c>
      <c r="G75">
        <v>18.600000000000001</v>
      </c>
      <c r="H75">
        <v>19.2</v>
      </c>
      <c r="I75">
        <v>18.399999999999999</v>
      </c>
      <c r="J75">
        <v>13.8</v>
      </c>
      <c r="K75">
        <v>6.8</v>
      </c>
      <c r="L75">
        <v>3.1</v>
      </c>
      <c r="M75">
        <v>2</v>
      </c>
      <c r="O75">
        <f>ROUND(SUM(temp35[[#This Row],[styczeń]:[grudzień]])/12,2)</f>
        <v>7.91</v>
      </c>
    </row>
    <row r="76" spans="1:15" x14ac:dyDescent="0.25">
      <c r="A76">
        <v>1853</v>
      </c>
      <c r="B76">
        <v>-1.1000000000000001</v>
      </c>
      <c r="C76">
        <v>-3.2</v>
      </c>
      <c r="D76">
        <v>-3.5</v>
      </c>
      <c r="E76">
        <v>3.6</v>
      </c>
      <c r="F76">
        <v>12.8</v>
      </c>
      <c r="G76">
        <v>18.399999999999999</v>
      </c>
      <c r="H76">
        <v>18.899999999999999</v>
      </c>
      <c r="I76">
        <v>17.399999999999999</v>
      </c>
      <c r="J76">
        <v>13</v>
      </c>
      <c r="K76">
        <v>8.8000000000000007</v>
      </c>
      <c r="L76">
        <v>0</v>
      </c>
      <c r="M76">
        <v>-5.3</v>
      </c>
      <c r="O76">
        <f>ROUND(SUM(temp35[[#This Row],[styczeń]:[grudzień]])/12,2)</f>
        <v>6.65</v>
      </c>
    </row>
    <row r="77" spans="1:15" x14ac:dyDescent="0.25">
      <c r="A77">
        <v>1854</v>
      </c>
      <c r="B77">
        <v>-3.2</v>
      </c>
      <c r="C77">
        <v>-2.8</v>
      </c>
      <c r="D77">
        <v>0.8</v>
      </c>
      <c r="E77">
        <v>6.2</v>
      </c>
      <c r="F77">
        <v>15.1</v>
      </c>
      <c r="G77">
        <v>15.9</v>
      </c>
      <c r="H77">
        <v>19.8</v>
      </c>
      <c r="I77">
        <v>17.5</v>
      </c>
      <c r="J77">
        <v>12</v>
      </c>
      <c r="K77">
        <v>8.8000000000000007</v>
      </c>
      <c r="L77">
        <v>-0.2</v>
      </c>
      <c r="M77">
        <v>-0.1</v>
      </c>
      <c r="O77">
        <f>ROUND(SUM(temp35[[#This Row],[styczeń]:[grudzień]])/12,2)</f>
        <v>7.48</v>
      </c>
    </row>
    <row r="78" spans="1:15" x14ac:dyDescent="0.25">
      <c r="A78">
        <v>1855</v>
      </c>
      <c r="B78">
        <v>-6.6</v>
      </c>
      <c r="C78">
        <v>-11.4</v>
      </c>
      <c r="D78">
        <v>0.3</v>
      </c>
      <c r="E78">
        <v>5.5</v>
      </c>
      <c r="F78">
        <v>12.6</v>
      </c>
      <c r="G78">
        <v>18.899999999999999</v>
      </c>
      <c r="H78">
        <v>19.100000000000001</v>
      </c>
      <c r="I78">
        <v>17.8</v>
      </c>
      <c r="J78">
        <v>11.8</v>
      </c>
      <c r="K78">
        <v>10.3</v>
      </c>
      <c r="L78">
        <v>0.5</v>
      </c>
      <c r="M78">
        <v>-9.3000000000000007</v>
      </c>
      <c r="O78">
        <f>ROUND(SUM(temp35[[#This Row],[styczeń]:[grudzień]])/12,2)</f>
        <v>5.79</v>
      </c>
    </row>
    <row r="79" spans="1:15" x14ac:dyDescent="0.25">
      <c r="A79">
        <v>1856</v>
      </c>
      <c r="B79">
        <v>-1.4</v>
      </c>
      <c r="C79">
        <v>-2</v>
      </c>
      <c r="D79">
        <v>-1.9</v>
      </c>
      <c r="E79">
        <v>8.8000000000000007</v>
      </c>
      <c r="F79">
        <v>12.4</v>
      </c>
      <c r="G79">
        <v>17.8</v>
      </c>
      <c r="H79">
        <v>17.100000000000001</v>
      </c>
      <c r="I79">
        <v>15.9</v>
      </c>
      <c r="J79">
        <v>12.8</v>
      </c>
      <c r="K79">
        <v>8.6999999999999993</v>
      </c>
      <c r="L79">
        <v>-1.7</v>
      </c>
      <c r="M79">
        <v>-0.7</v>
      </c>
      <c r="O79">
        <f>ROUND(SUM(temp35[[#This Row],[styczeń]:[grudzień]])/12,2)</f>
        <v>7.15</v>
      </c>
    </row>
    <row r="80" spans="1:15" x14ac:dyDescent="0.25">
      <c r="A80">
        <v>1857</v>
      </c>
      <c r="B80">
        <v>-3.6</v>
      </c>
      <c r="C80">
        <v>-4.9000000000000004</v>
      </c>
      <c r="D80">
        <v>0.4</v>
      </c>
      <c r="E80">
        <v>7.5</v>
      </c>
      <c r="F80">
        <v>11.9</v>
      </c>
      <c r="G80">
        <v>17.3</v>
      </c>
      <c r="H80">
        <v>18.3</v>
      </c>
      <c r="I80">
        <v>18.5</v>
      </c>
      <c r="J80">
        <v>13.5</v>
      </c>
      <c r="K80">
        <v>10.3</v>
      </c>
      <c r="L80">
        <v>0.5</v>
      </c>
      <c r="M80">
        <v>1.3</v>
      </c>
      <c r="O80">
        <f>ROUND(SUM(temp35[[#This Row],[styczeń]:[grudzień]])/12,2)</f>
        <v>7.58</v>
      </c>
    </row>
    <row r="81" spans="1:15" x14ac:dyDescent="0.25">
      <c r="A81">
        <v>1858</v>
      </c>
      <c r="B81">
        <v>-5.3</v>
      </c>
      <c r="C81">
        <v>-8.1</v>
      </c>
      <c r="D81">
        <v>-1.2</v>
      </c>
      <c r="E81">
        <v>5.3</v>
      </c>
      <c r="F81">
        <v>13.3</v>
      </c>
      <c r="G81">
        <v>18.399999999999999</v>
      </c>
      <c r="H81">
        <v>20</v>
      </c>
      <c r="I81">
        <v>18.8</v>
      </c>
      <c r="J81">
        <v>13.7</v>
      </c>
      <c r="K81">
        <v>9.8000000000000007</v>
      </c>
      <c r="L81">
        <v>-2.6</v>
      </c>
      <c r="M81">
        <v>-3.3</v>
      </c>
      <c r="O81">
        <f>ROUND(SUM(temp35[[#This Row],[styczeń]:[grudzień]])/12,2)</f>
        <v>6.57</v>
      </c>
    </row>
    <row r="82" spans="1:15" x14ac:dyDescent="0.25">
      <c r="A82">
        <v>1859</v>
      </c>
      <c r="B82">
        <v>-1.1000000000000001</v>
      </c>
      <c r="C82">
        <v>0.8</v>
      </c>
      <c r="D82">
        <v>3.7</v>
      </c>
      <c r="E82">
        <v>7.1</v>
      </c>
      <c r="F82">
        <v>14.2</v>
      </c>
      <c r="G82">
        <v>18.100000000000001</v>
      </c>
      <c r="H82">
        <v>20.5</v>
      </c>
      <c r="I82">
        <v>20.399999999999999</v>
      </c>
      <c r="J82">
        <v>11.9</v>
      </c>
      <c r="K82">
        <v>8.5</v>
      </c>
      <c r="L82">
        <v>2.1</v>
      </c>
      <c r="M82">
        <v>-4.3</v>
      </c>
      <c r="O82">
        <f>ROUND(SUM(temp35[[#This Row],[styczeń]:[grudzień]])/12,2)</f>
        <v>8.49</v>
      </c>
    </row>
    <row r="83" spans="1:15" x14ac:dyDescent="0.25">
      <c r="A83">
        <v>1860</v>
      </c>
      <c r="B83">
        <v>-1.3</v>
      </c>
      <c r="C83">
        <v>-3.6</v>
      </c>
      <c r="D83">
        <v>-1.2</v>
      </c>
      <c r="E83">
        <v>7.8</v>
      </c>
      <c r="F83">
        <v>14.1</v>
      </c>
      <c r="G83">
        <v>18</v>
      </c>
      <c r="H83">
        <v>17.600000000000001</v>
      </c>
      <c r="I83">
        <v>17.5</v>
      </c>
      <c r="J83">
        <v>14.2</v>
      </c>
      <c r="K83">
        <v>5.9</v>
      </c>
      <c r="L83">
        <v>0.6</v>
      </c>
      <c r="M83">
        <v>-4.3</v>
      </c>
      <c r="O83">
        <f>ROUND(SUM(temp35[[#This Row],[styczeń]:[grudzień]])/12,2)</f>
        <v>7.11</v>
      </c>
    </row>
    <row r="84" spans="1:15" x14ac:dyDescent="0.25">
      <c r="A84">
        <v>1861</v>
      </c>
      <c r="B84">
        <v>-9.3000000000000007</v>
      </c>
      <c r="C84">
        <v>1.2</v>
      </c>
      <c r="D84">
        <v>3.7</v>
      </c>
      <c r="E84">
        <v>4.7</v>
      </c>
      <c r="F84">
        <v>10.6</v>
      </c>
      <c r="G84">
        <v>19.899999999999999</v>
      </c>
      <c r="H84">
        <v>20.9</v>
      </c>
      <c r="I84">
        <v>18</v>
      </c>
      <c r="J84">
        <v>12.9</v>
      </c>
      <c r="K84">
        <v>7.6</v>
      </c>
      <c r="L84">
        <v>3.4</v>
      </c>
      <c r="M84">
        <v>-1.8</v>
      </c>
      <c r="O84">
        <f>ROUND(SUM(temp35[[#This Row],[styczeń]:[grudzień]])/12,2)</f>
        <v>7.65</v>
      </c>
    </row>
    <row r="85" spans="1:15" x14ac:dyDescent="0.25">
      <c r="A85">
        <v>1862</v>
      </c>
      <c r="B85">
        <v>-6.8</v>
      </c>
      <c r="C85">
        <v>-5.5</v>
      </c>
      <c r="D85">
        <v>3.1</v>
      </c>
      <c r="E85">
        <v>7.6</v>
      </c>
      <c r="F85">
        <v>15</v>
      </c>
      <c r="G85">
        <v>17.100000000000001</v>
      </c>
      <c r="H85">
        <v>18.3</v>
      </c>
      <c r="I85">
        <v>17.8</v>
      </c>
      <c r="J85">
        <v>14</v>
      </c>
      <c r="K85">
        <v>9.1999999999999993</v>
      </c>
      <c r="L85">
        <v>-0.6</v>
      </c>
      <c r="M85">
        <v>-6.8</v>
      </c>
      <c r="O85">
        <f>ROUND(SUM(temp35[[#This Row],[styczeń]:[grudzień]])/12,2)</f>
        <v>6.87</v>
      </c>
    </row>
    <row r="86" spans="1:15" x14ac:dyDescent="0.25">
      <c r="A86">
        <v>1863</v>
      </c>
      <c r="B86">
        <v>1.4</v>
      </c>
      <c r="C86">
        <v>1.2</v>
      </c>
      <c r="D86">
        <v>3.2</v>
      </c>
      <c r="E86">
        <v>6.6</v>
      </c>
      <c r="F86">
        <v>13.9</v>
      </c>
      <c r="G86">
        <v>17.7</v>
      </c>
      <c r="H86">
        <v>17</v>
      </c>
      <c r="I86">
        <v>18.7</v>
      </c>
      <c r="J86">
        <v>14.9</v>
      </c>
      <c r="K86">
        <v>9.8000000000000007</v>
      </c>
      <c r="L86">
        <v>3.7</v>
      </c>
      <c r="M86">
        <v>-0.4</v>
      </c>
      <c r="O86">
        <f>ROUND(SUM(temp35[[#This Row],[styczeń]:[grudzień]])/12,2)</f>
        <v>8.98</v>
      </c>
    </row>
    <row r="87" spans="1:15" x14ac:dyDescent="0.25">
      <c r="A87">
        <v>1864</v>
      </c>
      <c r="B87">
        <v>-6.1</v>
      </c>
      <c r="C87">
        <v>-1.5</v>
      </c>
      <c r="D87">
        <v>3.6</v>
      </c>
      <c r="E87">
        <v>5.0999999999999996</v>
      </c>
      <c r="F87">
        <v>7.9</v>
      </c>
      <c r="G87">
        <v>17.8</v>
      </c>
      <c r="H87">
        <v>16.399999999999999</v>
      </c>
      <c r="I87">
        <v>15.3</v>
      </c>
      <c r="J87">
        <v>12.9</v>
      </c>
      <c r="K87">
        <v>6.6</v>
      </c>
      <c r="L87">
        <v>-0.3</v>
      </c>
      <c r="M87">
        <v>-6.4</v>
      </c>
      <c r="O87">
        <f>ROUND(SUM(temp35[[#This Row],[styczeń]:[grudzień]])/12,2)</f>
        <v>5.94</v>
      </c>
    </row>
    <row r="88" spans="1:15" x14ac:dyDescent="0.25">
      <c r="A88">
        <v>1865</v>
      </c>
      <c r="B88">
        <v>-2.2999999999999998</v>
      </c>
      <c r="C88">
        <v>-9.1</v>
      </c>
      <c r="D88">
        <v>-1.6</v>
      </c>
      <c r="E88">
        <v>7.1</v>
      </c>
      <c r="F88">
        <v>16.399999999999999</v>
      </c>
      <c r="G88">
        <v>13.6</v>
      </c>
      <c r="H88">
        <v>21.6</v>
      </c>
      <c r="I88">
        <v>16.600000000000001</v>
      </c>
      <c r="J88">
        <v>12.8</v>
      </c>
      <c r="K88">
        <v>7.7</v>
      </c>
      <c r="L88">
        <v>3.6</v>
      </c>
      <c r="M88">
        <v>-0.4</v>
      </c>
      <c r="O88">
        <f>ROUND(SUM(temp35[[#This Row],[styczeń]:[grudzień]])/12,2)</f>
        <v>7.17</v>
      </c>
    </row>
    <row r="89" spans="1:15" x14ac:dyDescent="0.25">
      <c r="A89">
        <v>1866</v>
      </c>
      <c r="B89">
        <v>1</v>
      </c>
      <c r="C89">
        <v>-0.3</v>
      </c>
      <c r="D89">
        <v>1.6</v>
      </c>
      <c r="E89">
        <v>9</v>
      </c>
      <c r="F89">
        <v>11</v>
      </c>
      <c r="G89">
        <v>20.6</v>
      </c>
      <c r="H89">
        <v>17</v>
      </c>
      <c r="I89">
        <v>16.7</v>
      </c>
      <c r="J89">
        <v>16.5</v>
      </c>
      <c r="K89">
        <v>5.6</v>
      </c>
      <c r="L89">
        <v>1.7</v>
      </c>
      <c r="M89">
        <v>-1.2</v>
      </c>
      <c r="O89">
        <f>ROUND(SUM(temp35[[#This Row],[styczeń]:[grudzień]])/12,2)</f>
        <v>8.27</v>
      </c>
    </row>
    <row r="90" spans="1:15" x14ac:dyDescent="0.25">
      <c r="A90">
        <v>1867</v>
      </c>
      <c r="B90">
        <v>-2.7</v>
      </c>
      <c r="C90">
        <v>1</v>
      </c>
      <c r="D90">
        <v>-2.2000000000000002</v>
      </c>
      <c r="E90">
        <v>6.3</v>
      </c>
      <c r="F90">
        <v>10.7</v>
      </c>
      <c r="G90">
        <v>15.8</v>
      </c>
      <c r="H90">
        <v>17.3</v>
      </c>
      <c r="I90">
        <v>17.399999999999999</v>
      </c>
      <c r="J90">
        <v>12.7</v>
      </c>
      <c r="K90">
        <v>8.1999999999999993</v>
      </c>
      <c r="L90">
        <v>0.2</v>
      </c>
      <c r="M90">
        <v>-4.2</v>
      </c>
      <c r="O90">
        <f>ROUND(SUM(temp35[[#This Row],[styczeń]:[grudzień]])/12,2)</f>
        <v>6.71</v>
      </c>
    </row>
    <row r="91" spans="1:15" x14ac:dyDescent="0.25">
      <c r="A91">
        <v>1868</v>
      </c>
      <c r="B91">
        <v>-4.5999999999999996</v>
      </c>
      <c r="C91">
        <v>0.2</v>
      </c>
      <c r="D91">
        <v>1.9</v>
      </c>
      <c r="E91">
        <v>7.8</v>
      </c>
      <c r="F91">
        <v>15.4</v>
      </c>
      <c r="G91">
        <v>18.7</v>
      </c>
      <c r="H91">
        <v>20.5</v>
      </c>
      <c r="I91">
        <v>19.8</v>
      </c>
      <c r="J91">
        <v>15.1</v>
      </c>
      <c r="K91">
        <v>8.6999999999999993</v>
      </c>
      <c r="L91">
        <v>0.6</v>
      </c>
      <c r="M91">
        <v>1.1000000000000001</v>
      </c>
      <c r="O91">
        <f>ROUND(SUM(temp35[[#This Row],[styczeń]:[grudzień]])/12,2)</f>
        <v>8.77</v>
      </c>
    </row>
    <row r="92" spans="1:15" x14ac:dyDescent="0.25">
      <c r="A92">
        <v>1869</v>
      </c>
      <c r="B92">
        <v>-4.0999999999999996</v>
      </c>
      <c r="C92">
        <v>2.2999999999999998</v>
      </c>
      <c r="D92">
        <v>1.2</v>
      </c>
      <c r="E92">
        <v>9.5</v>
      </c>
      <c r="F92">
        <v>15</v>
      </c>
      <c r="G92">
        <v>15</v>
      </c>
      <c r="H92">
        <v>18.600000000000001</v>
      </c>
      <c r="I92">
        <v>17.399999999999999</v>
      </c>
      <c r="J92">
        <v>14</v>
      </c>
      <c r="K92">
        <v>7</v>
      </c>
      <c r="L92">
        <v>1.6</v>
      </c>
      <c r="M92">
        <v>-0.8</v>
      </c>
      <c r="O92">
        <f>ROUND(SUM(temp35[[#This Row],[styczeń]:[grudzień]])/12,2)</f>
        <v>8.06</v>
      </c>
    </row>
    <row r="93" spans="1:15" x14ac:dyDescent="0.25">
      <c r="A93">
        <v>1870</v>
      </c>
      <c r="B93">
        <v>-3.9</v>
      </c>
      <c r="C93">
        <v>-11.3</v>
      </c>
      <c r="D93">
        <v>-1.4</v>
      </c>
      <c r="E93">
        <v>6.8</v>
      </c>
      <c r="F93">
        <v>13</v>
      </c>
      <c r="G93">
        <v>15.6</v>
      </c>
      <c r="H93">
        <v>19.100000000000001</v>
      </c>
      <c r="I93">
        <v>17.100000000000001</v>
      </c>
      <c r="J93">
        <v>11.9</v>
      </c>
      <c r="K93">
        <v>7</v>
      </c>
      <c r="L93">
        <v>3.8</v>
      </c>
      <c r="M93">
        <v>-7.9</v>
      </c>
      <c r="O93">
        <f>ROUND(SUM(temp35[[#This Row],[styczeń]:[grudzień]])/12,2)</f>
        <v>5.82</v>
      </c>
    </row>
    <row r="94" spans="1:15" x14ac:dyDescent="0.25">
      <c r="A94">
        <v>1871</v>
      </c>
      <c r="B94">
        <v>-9.3000000000000007</v>
      </c>
      <c r="C94">
        <v>-7.2</v>
      </c>
      <c r="D94">
        <v>2.5</v>
      </c>
      <c r="E94">
        <v>5.2</v>
      </c>
      <c r="F94">
        <v>9.1999999999999993</v>
      </c>
      <c r="G94">
        <v>15.8</v>
      </c>
      <c r="H94">
        <v>19.3</v>
      </c>
      <c r="I94">
        <v>17.5</v>
      </c>
      <c r="J94">
        <v>11.8</v>
      </c>
      <c r="K94">
        <v>3.8</v>
      </c>
      <c r="L94">
        <v>1.5</v>
      </c>
      <c r="M94">
        <v>-5.7</v>
      </c>
      <c r="O94">
        <f>ROUND(SUM(temp35[[#This Row],[styczeń]:[grudzień]])/12,2)</f>
        <v>5.37</v>
      </c>
    </row>
    <row r="95" spans="1:15" x14ac:dyDescent="0.25">
      <c r="A95">
        <v>1872</v>
      </c>
      <c r="B95">
        <v>-1.9</v>
      </c>
      <c r="C95">
        <v>-3.3</v>
      </c>
      <c r="D95">
        <v>2.5</v>
      </c>
      <c r="E95">
        <v>10.3</v>
      </c>
      <c r="F95">
        <v>17.7</v>
      </c>
      <c r="G95">
        <v>17.3</v>
      </c>
      <c r="H95">
        <v>19.100000000000001</v>
      </c>
      <c r="I95">
        <v>16.600000000000001</v>
      </c>
      <c r="J95">
        <v>14.5</v>
      </c>
      <c r="K95">
        <v>10.7</v>
      </c>
      <c r="L95">
        <v>6.1</v>
      </c>
      <c r="M95">
        <v>-0.5</v>
      </c>
      <c r="O95">
        <f>ROUND(SUM(temp35[[#This Row],[styczeń]:[grudzień]])/12,2)</f>
        <v>9.09</v>
      </c>
    </row>
    <row r="96" spans="1:15" x14ac:dyDescent="0.25">
      <c r="A96">
        <v>1873</v>
      </c>
      <c r="B96">
        <v>0.7</v>
      </c>
      <c r="C96">
        <v>-2.7</v>
      </c>
      <c r="D96">
        <v>3.3</v>
      </c>
      <c r="E96">
        <v>5.4</v>
      </c>
      <c r="F96">
        <v>10.6</v>
      </c>
      <c r="G96">
        <v>17.399999999999999</v>
      </c>
      <c r="H96">
        <v>19.8</v>
      </c>
      <c r="I96">
        <v>18.600000000000001</v>
      </c>
      <c r="J96">
        <v>12.9</v>
      </c>
      <c r="K96">
        <v>8.5</v>
      </c>
      <c r="L96">
        <v>3.7</v>
      </c>
      <c r="M96">
        <v>0.8</v>
      </c>
      <c r="O96">
        <f>ROUND(SUM(temp35[[#This Row],[styczeń]:[grudzień]])/12,2)</f>
        <v>8.25</v>
      </c>
    </row>
    <row r="97" spans="1:15" x14ac:dyDescent="0.25">
      <c r="A97">
        <v>1874</v>
      </c>
      <c r="B97">
        <v>-1.2</v>
      </c>
      <c r="C97">
        <v>-1.5</v>
      </c>
      <c r="D97">
        <v>0.6</v>
      </c>
      <c r="E97">
        <v>8</v>
      </c>
      <c r="F97">
        <v>9.1999999999999993</v>
      </c>
      <c r="G97">
        <v>17</v>
      </c>
      <c r="H97">
        <v>20.399999999999999</v>
      </c>
      <c r="I97">
        <v>16.899999999999999</v>
      </c>
      <c r="J97">
        <v>15.5</v>
      </c>
      <c r="K97">
        <v>9.3000000000000007</v>
      </c>
      <c r="L97">
        <v>0.1</v>
      </c>
      <c r="M97">
        <v>-1.6</v>
      </c>
      <c r="O97">
        <f>ROUND(SUM(temp35[[#This Row],[styczeń]:[grudzień]])/12,2)</f>
        <v>7.73</v>
      </c>
    </row>
    <row r="98" spans="1:15" x14ac:dyDescent="0.25">
      <c r="A98">
        <v>1875</v>
      </c>
      <c r="B98">
        <v>-3.5</v>
      </c>
      <c r="C98">
        <v>-6.9</v>
      </c>
      <c r="D98">
        <v>-2.2999999999999998</v>
      </c>
      <c r="E98">
        <v>4.9000000000000004</v>
      </c>
      <c r="F98">
        <v>13.1</v>
      </c>
      <c r="G98">
        <v>20.6</v>
      </c>
      <c r="H98">
        <v>19.2</v>
      </c>
      <c r="I98">
        <v>18.8</v>
      </c>
      <c r="J98">
        <v>12.3</v>
      </c>
      <c r="K98">
        <v>4.5999999999999996</v>
      </c>
      <c r="L98">
        <v>-0.6</v>
      </c>
      <c r="M98">
        <v>-6.1</v>
      </c>
      <c r="O98">
        <f>ROUND(SUM(temp35[[#This Row],[styczeń]:[grudzień]])/12,2)</f>
        <v>6.18</v>
      </c>
    </row>
    <row r="99" spans="1:15" x14ac:dyDescent="0.25">
      <c r="A99">
        <v>1876</v>
      </c>
      <c r="B99">
        <v>-6.6</v>
      </c>
      <c r="C99">
        <v>-0.5</v>
      </c>
      <c r="D99">
        <v>3.3</v>
      </c>
      <c r="E99">
        <v>9.4</v>
      </c>
      <c r="F99">
        <v>9.3000000000000007</v>
      </c>
      <c r="G99">
        <v>18.600000000000001</v>
      </c>
      <c r="H99">
        <v>18.8</v>
      </c>
      <c r="I99">
        <v>18.2</v>
      </c>
      <c r="J99">
        <v>12.7</v>
      </c>
      <c r="K99">
        <v>7.9</v>
      </c>
      <c r="L99">
        <v>-2.1</v>
      </c>
      <c r="M99">
        <v>-5.0999999999999996</v>
      </c>
      <c r="O99">
        <f>ROUND(SUM(temp35[[#This Row],[styczeń]:[grudzień]])/12,2)</f>
        <v>6.99</v>
      </c>
    </row>
    <row r="100" spans="1:15" x14ac:dyDescent="0.25">
      <c r="A100">
        <v>1877</v>
      </c>
      <c r="B100">
        <v>-1.5</v>
      </c>
      <c r="C100">
        <v>-1.1000000000000001</v>
      </c>
      <c r="D100">
        <v>-0.2</v>
      </c>
      <c r="E100">
        <v>5.2</v>
      </c>
      <c r="F100">
        <v>11.4</v>
      </c>
      <c r="G100">
        <v>18.399999999999999</v>
      </c>
      <c r="H100">
        <v>18.7</v>
      </c>
      <c r="I100">
        <v>18.100000000000001</v>
      </c>
      <c r="J100">
        <v>10.1</v>
      </c>
      <c r="K100">
        <v>6.3</v>
      </c>
      <c r="L100">
        <v>4.0999999999999996</v>
      </c>
      <c r="M100">
        <v>-2.4</v>
      </c>
      <c r="O100">
        <f>ROUND(SUM(temp35[[#This Row],[styczeń]:[grudzień]])/12,2)</f>
        <v>7.26</v>
      </c>
    </row>
    <row r="101" spans="1:15" x14ac:dyDescent="0.25">
      <c r="A101">
        <v>1878</v>
      </c>
      <c r="B101">
        <v>-3.2</v>
      </c>
      <c r="C101">
        <v>-0.4</v>
      </c>
      <c r="D101">
        <v>1.2</v>
      </c>
      <c r="E101">
        <v>9.3000000000000007</v>
      </c>
      <c r="F101">
        <v>12.6</v>
      </c>
      <c r="G101">
        <v>17</v>
      </c>
      <c r="H101">
        <v>16.3</v>
      </c>
      <c r="I101">
        <v>18.2</v>
      </c>
      <c r="J101">
        <v>15.1</v>
      </c>
      <c r="K101">
        <v>9.6999999999999993</v>
      </c>
      <c r="L101">
        <v>3.6</v>
      </c>
      <c r="M101">
        <v>-1.6</v>
      </c>
      <c r="O101">
        <f>ROUND(SUM(temp35[[#This Row],[styczeń]:[grudzień]])/12,2)</f>
        <v>8.15</v>
      </c>
    </row>
    <row r="102" spans="1:15" x14ac:dyDescent="0.25">
      <c r="A102">
        <v>1879</v>
      </c>
      <c r="B102">
        <v>-4.4000000000000004</v>
      </c>
      <c r="C102">
        <v>-0.8</v>
      </c>
      <c r="D102">
        <v>-1.3</v>
      </c>
      <c r="E102">
        <v>6.3</v>
      </c>
      <c r="F102">
        <v>12.7</v>
      </c>
      <c r="G102">
        <v>18.2</v>
      </c>
      <c r="H102">
        <v>16.8</v>
      </c>
      <c r="I102">
        <v>17.2</v>
      </c>
      <c r="J102">
        <v>14.8</v>
      </c>
      <c r="K102">
        <v>7.1</v>
      </c>
      <c r="L102">
        <v>0.2</v>
      </c>
      <c r="M102">
        <v>-8.3000000000000007</v>
      </c>
      <c r="O102">
        <f>ROUND(SUM(temp35[[#This Row],[styczeń]:[grudzień]])/12,2)</f>
        <v>6.54</v>
      </c>
    </row>
    <row r="103" spans="1:15" x14ac:dyDescent="0.25">
      <c r="A103">
        <v>1880</v>
      </c>
      <c r="B103">
        <v>-4.2</v>
      </c>
      <c r="C103">
        <v>-3</v>
      </c>
      <c r="D103">
        <v>0.3</v>
      </c>
      <c r="E103">
        <v>9.6</v>
      </c>
      <c r="F103">
        <v>11.8</v>
      </c>
      <c r="G103">
        <v>17.5</v>
      </c>
      <c r="H103">
        <v>20.100000000000001</v>
      </c>
      <c r="I103">
        <v>17.8</v>
      </c>
      <c r="J103">
        <v>14.1</v>
      </c>
      <c r="K103">
        <v>6.2</v>
      </c>
      <c r="L103">
        <v>2.8</v>
      </c>
      <c r="M103">
        <v>-0.4</v>
      </c>
      <c r="O103">
        <f>ROUND(SUM(temp35[[#This Row],[styczeń]:[grudzień]])/12,2)</f>
        <v>7.72</v>
      </c>
    </row>
    <row r="104" spans="1:15" x14ac:dyDescent="0.25">
      <c r="A104">
        <v>1881</v>
      </c>
      <c r="B104">
        <v>-7.7</v>
      </c>
      <c r="C104">
        <v>-3.3</v>
      </c>
      <c r="D104">
        <v>-0.4</v>
      </c>
      <c r="E104">
        <v>4.4000000000000004</v>
      </c>
      <c r="F104">
        <v>13.6</v>
      </c>
      <c r="G104">
        <v>16.399999999999999</v>
      </c>
      <c r="H104">
        <v>19.2</v>
      </c>
      <c r="I104">
        <v>16.5</v>
      </c>
      <c r="J104">
        <v>12</v>
      </c>
      <c r="K104">
        <v>4.5</v>
      </c>
      <c r="L104">
        <v>3.1</v>
      </c>
      <c r="M104">
        <v>-1.3</v>
      </c>
      <c r="O104">
        <f>ROUND(SUM(temp35[[#This Row],[styczeń]:[grudzień]])/12,2)</f>
        <v>6.42</v>
      </c>
    </row>
    <row r="105" spans="1:15" x14ac:dyDescent="0.25">
      <c r="A105">
        <v>1882</v>
      </c>
      <c r="B105">
        <v>0.1</v>
      </c>
      <c r="C105">
        <v>0.3</v>
      </c>
      <c r="D105">
        <v>6.2</v>
      </c>
      <c r="E105">
        <v>8.8000000000000007</v>
      </c>
      <c r="F105">
        <v>13.5</v>
      </c>
      <c r="G105">
        <v>15.8</v>
      </c>
      <c r="H105">
        <v>20.3</v>
      </c>
      <c r="I105">
        <v>16.7</v>
      </c>
      <c r="J105">
        <v>15</v>
      </c>
      <c r="K105">
        <v>6.4</v>
      </c>
      <c r="L105">
        <v>1.7</v>
      </c>
      <c r="M105">
        <v>-2.1</v>
      </c>
      <c r="O105">
        <f>ROUND(SUM(temp35[[#This Row],[styczeń]:[grudzień]])/12,2)</f>
        <v>8.56</v>
      </c>
    </row>
    <row r="106" spans="1:15" x14ac:dyDescent="0.25">
      <c r="A106">
        <v>1883</v>
      </c>
      <c r="B106">
        <v>-4.0999999999999996</v>
      </c>
      <c r="C106">
        <v>-1.9</v>
      </c>
      <c r="D106">
        <v>-3</v>
      </c>
      <c r="E106">
        <v>5.3</v>
      </c>
      <c r="F106">
        <v>12.5</v>
      </c>
      <c r="G106">
        <v>18.100000000000001</v>
      </c>
      <c r="H106">
        <v>19</v>
      </c>
      <c r="I106">
        <v>16.600000000000001</v>
      </c>
      <c r="J106">
        <v>13.5</v>
      </c>
      <c r="K106">
        <v>8.1</v>
      </c>
      <c r="L106">
        <v>3.3</v>
      </c>
      <c r="M106">
        <v>-0.8</v>
      </c>
      <c r="O106">
        <f>ROUND(SUM(temp35[[#This Row],[styczeń]:[grudzień]])/12,2)</f>
        <v>7.22</v>
      </c>
    </row>
    <row r="107" spans="1:15" x14ac:dyDescent="0.25">
      <c r="A107">
        <v>1884</v>
      </c>
      <c r="B107">
        <v>0</v>
      </c>
      <c r="C107">
        <v>1.7</v>
      </c>
      <c r="D107">
        <v>2.2000000000000002</v>
      </c>
      <c r="E107">
        <v>4.9000000000000004</v>
      </c>
      <c r="F107">
        <v>12.8</v>
      </c>
      <c r="G107">
        <v>15.8</v>
      </c>
      <c r="H107">
        <v>19.7</v>
      </c>
      <c r="I107">
        <v>16.3</v>
      </c>
      <c r="J107">
        <v>14.5</v>
      </c>
      <c r="K107">
        <v>7.1</v>
      </c>
      <c r="L107">
        <v>-0.1</v>
      </c>
      <c r="M107">
        <v>1.4</v>
      </c>
      <c r="O107">
        <f>ROUND(SUM(temp35[[#This Row],[styczeń]:[grudzień]])/12,2)</f>
        <v>8.0299999999999994</v>
      </c>
    </row>
    <row r="108" spans="1:15" x14ac:dyDescent="0.25">
      <c r="A108">
        <v>1885</v>
      </c>
      <c r="B108">
        <v>-4</v>
      </c>
      <c r="C108">
        <v>-0.2</v>
      </c>
      <c r="D108">
        <v>2.2000000000000002</v>
      </c>
      <c r="E108">
        <v>9</v>
      </c>
      <c r="F108">
        <v>11.6</v>
      </c>
      <c r="G108">
        <v>18.399999999999999</v>
      </c>
      <c r="H108">
        <v>19.7</v>
      </c>
      <c r="I108">
        <v>15.3</v>
      </c>
      <c r="J108">
        <v>13.4</v>
      </c>
      <c r="K108">
        <v>8.4</v>
      </c>
      <c r="L108">
        <v>0.4</v>
      </c>
      <c r="M108">
        <v>-2</v>
      </c>
      <c r="O108">
        <f>ROUND(SUM(temp35[[#This Row],[styczeń]:[grudzień]])/12,2)</f>
        <v>7.68</v>
      </c>
    </row>
    <row r="109" spans="1:15" x14ac:dyDescent="0.25">
      <c r="A109">
        <v>1886</v>
      </c>
      <c r="B109">
        <v>-2.1</v>
      </c>
      <c r="C109">
        <v>-5.7</v>
      </c>
      <c r="D109">
        <v>-2.4</v>
      </c>
      <c r="E109">
        <v>10.9</v>
      </c>
      <c r="F109">
        <v>14</v>
      </c>
      <c r="G109">
        <v>16.2</v>
      </c>
      <c r="H109">
        <v>17.399999999999999</v>
      </c>
      <c r="I109">
        <v>17.600000000000001</v>
      </c>
      <c r="J109">
        <v>15.8</v>
      </c>
      <c r="K109">
        <v>7.6</v>
      </c>
      <c r="L109">
        <v>4.9000000000000004</v>
      </c>
      <c r="M109">
        <v>0.9</v>
      </c>
      <c r="O109">
        <f>ROUND(SUM(temp35[[#This Row],[styczeń]:[grudzień]])/12,2)</f>
        <v>7.93</v>
      </c>
    </row>
    <row r="110" spans="1:15" x14ac:dyDescent="0.25">
      <c r="A110">
        <v>1887</v>
      </c>
      <c r="B110">
        <v>-2.5</v>
      </c>
      <c r="C110">
        <v>-2.7</v>
      </c>
      <c r="D110">
        <v>0.2</v>
      </c>
      <c r="E110">
        <v>9.1</v>
      </c>
      <c r="F110">
        <v>12.2</v>
      </c>
      <c r="G110">
        <v>15</v>
      </c>
      <c r="H110">
        <v>19.3</v>
      </c>
      <c r="I110">
        <v>16.3</v>
      </c>
      <c r="J110">
        <v>14.7</v>
      </c>
      <c r="K110">
        <v>6.9</v>
      </c>
      <c r="L110">
        <v>3.7</v>
      </c>
      <c r="M110">
        <v>-2.2999999999999998</v>
      </c>
      <c r="O110">
        <f>ROUND(SUM(temp35[[#This Row],[styczeń]:[grudzień]])/12,2)</f>
        <v>7.49</v>
      </c>
    </row>
    <row r="111" spans="1:15" x14ac:dyDescent="0.25">
      <c r="A111">
        <v>1888</v>
      </c>
      <c r="B111">
        <v>-6.1</v>
      </c>
      <c r="C111">
        <v>-5.4</v>
      </c>
      <c r="D111">
        <v>-1.4</v>
      </c>
      <c r="E111">
        <v>7.3</v>
      </c>
      <c r="F111">
        <v>13.4</v>
      </c>
      <c r="G111">
        <v>15.8</v>
      </c>
      <c r="H111">
        <v>16.899999999999999</v>
      </c>
      <c r="I111">
        <v>16.3</v>
      </c>
      <c r="J111">
        <v>13.3</v>
      </c>
      <c r="K111">
        <v>8.3000000000000007</v>
      </c>
      <c r="L111">
        <v>1.3</v>
      </c>
      <c r="M111">
        <v>-1.2</v>
      </c>
      <c r="O111">
        <f>ROUND(SUM(temp35[[#This Row],[styczeń]:[grudzień]])/12,2)</f>
        <v>6.54</v>
      </c>
    </row>
    <row r="112" spans="1:15" x14ac:dyDescent="0.25">
      <c r="A112">
        <v>1889</v>
      </c>
      <c r="B112">
        <v>-5.7</v>
      </c>
      <c r="C112">
        <v>-3.3</v>
      </c>
      <c r="D112">
        <v>-2.6</v>
      </c>
      <c r="E112">
        <v>8.3000000000000007</v>
      </c>
      <c r="F112">
        <v>17.7</v>
      </c>
      <c r="G112">
        <v>19.7</v>
      </c>
      <c r="H112">
        <v>18</v>
      </c>
      <c r="I112">
        <v>17</v>
      </c>
      <c r="J112">
        <v>10.8</v>
      </c>
      <c r="K112">
        <v>10.3</v>
      </c>
      <c r="L112">
        <v>3.6</v>
      </c>
      <c r="M112">
        <v>-5.3</v>
      </c>
      <c r="O112">
        <f>ROUND(SUM(temp35[[#This Row],[styczeń]:[grudzień]])/12,2)</f>
        <v>7.38</v>
      </c>
    </row>
    <row r="113" spans="1:15" x14ac:dyDescent="0.25">
      <c r="A113">
        <v>1890</v>
      </c>
      <c r="B113">
        <v>0.6</v>
      </c>
      <c r="C113">
        <v>-3.6</v>
      </c>
      <c r="D113">
        <v>4.4000000000000004</v>
      </c>
      <c r="E113">
        <v>11.2</v>
      </c>
      <c r="F113">
        <v>15.2</v>
      </c>
      <c r="G113">
        <v>15.5</v>
      </c>
      <c r="H113">
        <v>18.600000000000001</v>
      </c>
      <c r="I113">
        <v>20.2</v>
      </c>
      <c r="J113">
        <v>13.4</v>
      </c>
      <c r="K113">
        <v>7.1</v>
      </c>
      <c r="L113">
        <v>3.3</v>
      </c>
      <c r="M113">
        <v>-8.5</v>
      </c>
      <c r="O113">
        <f>ROUND(SUM(temp35[[#This Row],[styczeń]:[grudzień]])/12,2)</f>
        <v>8.1199999999999992</v>
      </c>
    </row>
    <row r="114" spans="1:15" x14ac:dyDescent="0.25">
      <c r="A114">
        <v>1891</v>
      </c>
      <c r="B114">
        <v>-4.3</v>
      </c>
      <c r="C114">
        <v>-3.6</v>
      </c>
      <c r="D114">
        <v>2.5</v>
      </c>
      <c r="E114">
        <v>6.2</v>
      </c>
      <c r="F114">
        <v>14.5</v>
      </c>
      <c r="G114">
        <v>15.5</v>
      </c>
      <c r="H114">
        <v>17.7</v>
      </c>
      <c r="I114">
        <v>17.2</v>
      </c>
      <c r="J114">
        <v>14</v>
      </c>
      <c r="K114">
        <v>10.8</v>
      </c>
      <c r="L114">
        <v>1.3</v>
      </c>
      <c r="M114">
        <v>-0.2</v>
      </c>
      <c r="O114">
        <f>ROUND(SUM(temp35[[#This Row],[styczeń]:[grudzień]])/12,2)</f>
        <v>7.63</v>
      </c>
    </row>
    <row r="115" spans="1:15" x14ac:dyDescent="0.25">
      <c r="A115">
        <v>1892</v>
      </c>
      <c r="B115">
        <v>-4.0999999999999996</v>
      </c>
      <c r="C115">
        <v>-1.5</v>
      </c>
      <c r="D115">
        <v>1.2</v>
      </c>
      <c r="E115">
        <v>7.5</v>
      </c>
      <c r="F115">
        <v>13.5</v>
      </c>
      <c r="G115">
        <v>17.3</v>
      </c>
      <c r="H115">
        <v>16.7</v>
      </c>
      <c r="I115">
        <v>19.8</v>
      </c>
      <c r="J115">
        <v>16.5</v>
      </c>
      <c r="K115">
        <v>8.3000000000000007</v>
      </c>
      <c r="L115">
        <v>0.6</v>
      </c>
      <c r="M115">
        <v>-3.1</v>
      </c>
      <c r="O115">
        <f>ROUND(SUM(temp35[[#This Row],[styczeń]:[grudzień]])/12,2)</f>
        <v>7.73</v>
      </c>
    </row>
    <row r="116" spans="1:15" x14ac:dyDescent="0.25">
      <c r="A116">
        <v>1893</v>
      </c>
      <c r="B116">
        <v>-12</v>
      </c>
      <c r="C116">
        <v>-1.1000000000000001</v>
      </c>
      <c r="D116">
        <v>2.7</v>
      </c>
      <c r="E116">
        <v>6.3</v>
      </c>
      <c r="F116">
        <v>12.4</v>
      </c>
      <c r="G116">
        <v>16.3</v>
      </c>
      <c r="H116">
        <v>18.2</v>
      </c>
      <c r="I116">
        <v>17.100000000000001</v>
      </c>
      <c r="J116">
        <v>12.8</v>
      </c>
      <c r="K116">
        <v>11.2</v>
      </c>
      <c r="L116">
        <v>1.7</v>
      </c>
      <c r="M116">
        <v>-0.5</v>
      </c>
      <c r="O116">
        <f>ROUND(SUM(temp35[[#This Row],[styczeń]:[grudzień]])/12,2)</f>
        <v>7.09</v>
      </c>
    </row>
    <row r="117" spans="1:15" x14ac:dyDescent="0.25">
      <c r="A117">
        <v>1894</v>
      </c>
      <c r="B117">
        <v>-4.5999999999999996</v>
      </c>
      <c r="C117">
        <v>0</v>
      </c>
      <c r="D117">
        <v>4.9000000000000004</v>
      </c>
      <c r="E117">
        <v>10.199999999999999</v>
      </c>
      <c r="F117">
        <v>13.8</v>
      </c>
      <c r="G117">
        <v>15</v>
      </c>
      <c r="H117">
        <v>19.399999999999999</v>
      </c>
      <c r="I117">
        <v>17.3</v>
      </c>
      <c r="J117">
        <v>11</v>
      </c>
      <c r="K117">
        <v>7.9</v>
      </c>
      <c r="L117">
        <v>3.8</v>
      </c>
      <c r="M117">
        <v>-1.7</v>
      </c>
      <c r="O117">
        <f>ROUND(SUM(temp35[[#This Row],[styczeń]:[grudzień]])/12,2)</f>
        <v>8.08</v>
      </c>
    </row>
    <row r="118" spans="1:15" x14ac:dyDescent="0.25">
      <c r="A118">
        <v>1895</v>
      </c>
      <c r="B118">
        <v>-2.2000000000000002</v>
      </c>
      <c r="C118">
        <v>-6.4</v>
      </c>
      <c r="D118">
        <v>0.4</v>
      </c>
      <c r="E118">
        <v>9.1999999999999993</v>
      </c>
      <c r="F118">
        <v>14.6</v>
      </c>
      <c r="G118">
        <v>17</v>
      </c>
      <c r="H118">
        <v>19</v>
      </c>
      <c r="I118">
        <v>17.600000000000001</v>
      </c>
      <c r="J118">
        <v>14.6</v>
      </c>
      <c r="K118">
        <v>8.9</v>
      </c>
      <c r="L118">
        <v>2.9</v>
      </c>
      <c r="M118">
        <v>-3.1</v>
      </c>
      <c r="O118">
        <f>ROUND(SUM(temp35[[#This Row],[styczeń]:[grudzień]])/12,2)</f>
        <v>7.71</v>
      </c>
    </row>
    <row r="119" spans="1:15" x14ac:dyDescent="0.25">
      <c r="A119">
        <v>1896</v>
      </c>
      <c r="B119">
        <v>-3.5</v>
      </c>
      <c r="C119">
        <v>-1.1000000000000001</v>
      </c>
      <c r="D119">
        <v>4.9000000000000004</v>
      </c>
      <c r="E119">
        <v>6.6</v>
      </c>
      <c r="F119">
        <v>12.3</v>
      </c>
      <c r="G119">
        <v>18.899999999999999</v>
      </c>
      <c r="H119">
        <v>20</v>
      </c>
      <c r="I119">
        <v>16.3</v>
      </c>
      <c r="J119">
        <v>13.3</v>
      </c>
      <c r="K119">
        <v>12.1</v>
      </c>
      <c r="L119">
        <v>0</v>
      </c>
      <c r="M119">
        <v>-1.9</v>
      </c>
      <c r="O119">
        <f>ROUND(SUM(temp35[[#This Row],[styczeń]:[grudzień]])/12,2)</f>
        <v>8.16</v>
      </c>
    </row>
    <row r="120" spans="1:15" x14ac:dyDescent="0.25">
      <c r="A120">
        <v>1897</v>
      </c>
      <c r="B120">
        <v>-5</v>
      </c>
      <c r="C120">
        <v>-2.1</v>
      </c>
      <c r="D120">
        <v>4</v>
      </c>
      <c r="E120">
        <v>8.5</v>
      </c>
      <c r="F120">
        <v>13.9</v>
      </c>
      <c r="G120">
        <v>17.2</v>
      </c>
      <c r="H120">
        <v>18.2</v>
      </c>
      <c r="I120">
        <v>18.5</v>
      </c>
      <c r="J120">
        <v>13.3</v>
      </c>
      <c r="K120">
        <v>7.5</v>
      </c>
      <c r="L120">
        <v>1.5</v>
      </c>
      <c r="M120">
        <v>-1.3</v>
      </c>
      <c r="O120">
        <f>ROUND(SUM(temp35[[#This Row],[styczeń]:[grudzień]])/12,2)</f>
        <v>7.85</v>
      </c>
    </row>
    <row r="121" spans="1:15" x14ac:dyDescent="0.25">
      <c r="A121">
        <v>1898</v>
      </c>
      <c r="B121">
        <v>0</v>
      </c>
      <c r="C121">
        <v>-0.2</v>
      </c>
      <c r="D121">
        <v>2.5</v>
      </c>
      <c r="E121">
        <v>7.1</v>
      </c>
      <c r="F121">
        <v>14.3</v>
      </c>
      <c r="G121">
        <v>16</v>
      </c>
      <c r="H121">
        <v>16.2</v>
      </c>
      <c r="I121">
        <v>18</v>
      </c>
      <c r="J121">
        <v>13.1</v>
      </c>
      <c r="K121">
        <v>6.7</v>
      </c>
      <c r="L121">
        <v>5.3</v>
      </c>
      <c r="M121">
        <v>2.4</v>
      </c>
      <c r="O121">
        <f>ROUND(SUM(temp35[[#This Row],[styczeń]:[grudzień]])/12,2)</f>
        <v>8.4499999999999993</v>
      </c>
    </row>
    <row r="122" spans="1:15" x14ac:dyDescent="0.25">
      <c r="A122">
        <v>1899</v>
      </c>
      <c r="B122">
        <v>0.3</v>
      </c>
      <c r="C122">
        <v>0.2</v>
      </c>
      <c r="D122">
        <v>2.4</v>
      </c>
      <c r="E122">
        <v>8.5</v>
      </c>
      <c r="F122">
        <v>12.5</v>
      </c>
      <c r="G122">
        <v>14.4</v>
      </c>
      <c r="H122">
        <v>18.600000000000001</v>
      </c>
      <c r="I122">
        <v>15.7</v>
      </c>
      <c r="J122">
        <v>13.7</v>
      </c>
      <c r="K122">
        <v>7.8</v>
      </c>
      <c r="L122">
        <v>5.7</v>
      </c>
      <c r="M122">
        <v>-3.8</v>
      </c>
      <c r="O122">
        <f>ROUND(SUM(temp35[[#This Row],[styczeń]:[grudzień]])/12,2)</f>
        <v>8</v>
      </c>
    </row>
    <row r="123" spans="1:15" x14ac:dyDescent="0.25">
      <c r="A123">
        <v>1900</v>
      </c>
      <c r="B123">
        <v>-2.4</v>
      </c>
      <c r="C123">
        <v>0.1</v>
      </c>
      <c r="D123">
        <v>-0.6</v>
      </c>
      <c r="E123">
        <v>7.1</v>
      </c>
      <c r="F123">
        <v>12.2</v>
      </c>
      <c r="G123">
        <v>16.8</v>
      </c>
      <c r="H123">
        <v>19.7</v>
      </c>
      <c r="I123">
        <v>17.5</v>
      </c>
      <c r="J123">
        <v>13.9</v>
      </c>
      <c r="K123">
        <v>9.6999999999999993</v>
      </c>
      <c r="L123">
        <v>4.7</v>
      </c>
      <c r="M123">
        <v>1.3</v>
      </c>
      <c r="O123">
        <f>ROUND(SUM(temp35[[#This Row],[styczeń]:[grudzień]])/12,2)</f>
        <v>8.33</v>
      </c>
    </row>
    <row r="124" spans="1:15" x14ac:dyDescent="0.25">
      <c r="A124">
        <v>1901</v>
      </c>
      <c r="B124">
        <v>-5.5</v>
      </c>
      <c r="C124">
        <v>-5</v>
      </c>
      <c r="D124">
        <v>1.4</v>
      </c>
      <c r="E124">
        <v>8.1</v>
      </c>
      <c r="F124">
        <v>14.2</v>
      </c>
      <c r="G124">
        <v>17.5</v>
      </c>
      <c r="H124">
        <v>19.100000000000001</v>
      </c>
      <c r="I124">
        <v>17.100000000000001</v>
      </c>
      <c r="J124">
        <v>12.4</v>
      </c>
      <c r="K124">
        <v>9.9</v>
      </c>
      <c r="L124">
        <v>3</v>
      </c>
      <c r="M124">
        <v>1.4</v>
      </c>
      <c r="O124">
        <f>ROUND(SUM(temp35[[#This Row],[styczeń]:[grudzień]])/12,2)</f>
        <v>7.8</v>
      </c>
    </row>
    <row r="125" spans="1:15" x14ac:dyDescent="0.25">
      <c r="A125">
        <v>1902</v>
      </c>
      <c r="B125">
        <v>1.4</v>
      </c>
      <c r="C125">
        <v>-1.7</v>
      </c>
      <c r="D125">
        <v>2.1</v>
      </c>
      <c r="E125">
        <v>5.0999999999999996</v>
      </c>
      <c r="F125">
        <v>9.8000000000000007</v>
      </c>
      <c r="G125">
        <v>15.5</v>
      </c>
      <c r="H125">
        <v>16.5</v>
      </c>
      <c r="I125">
        <v>16</v>
      </c>
      <c r="J125">
        <v>12.3</v>
      </c>
      <c r="K125">
        <v>6.3</v>
      </c>
      <c r="L125">
        <v>-0.9</v>
      </c>
      <c r="M125">
        <v>-5.5</v>
      </c>
      <c r="O125">
        <f>ROUND(SUM(temp35[[#This Row],[styczeń]:[grudzień]])/12,2)</f>
        <v>6.41</v>
      </c>
    </row>
    <row r="126" spans="1:15" x14ac:dyDescent="0.25">
      <c r="A126">
        <v>1903</v>
      </c>
      <c r="B126">
        <v>-2.1</v>
      </c>
      <c r="C126">
        <v>2.5</v>
      </c>
      <c r="D126">
        <v>6.1</v>
      </c>
      <c r="E126">
        <v>6</v>
      </c>
      <c r="F126">
        <v>13.8</v>
      </c>
      <c r="G126">
        <v>15.4</v>
      </c>
      <c r="H126">
        <v>17.100000000000001</v>
      </c>
      <c r="I126">
        <v>16.8</v>
      </c>
      <c r="J126">
        <v>14.1</v>
      </c>
      <c r="K126">
        <v>8.6</v>
      </c>
      <c r="L126">
        <v>3.4</v>
      </c>
      <c r="M126">
        <v>-1.5</v>
      </c>
      <c r="O126">
        <f>ROUND(SUM(temp35[[#This Row],[styczeń]:[grudzień]])/12,2)</f>
        <v>8.35</v>
      </c>
    </row>
    <row r="127" spans="1:15" x14ac:dyDescent="0.25">
      <c r="A127">
        <v>1904</v>
      </c>
      <c r="B127">
        <v>-3.6</v>
      </c>
      <c r="C127">
        <v>0.1</v>
      </c>
      <c r="D127">
        <v>0.3</v>
      </c>
      <c r="E127">
        <v>6.6</v>
      </c>
      <c r="F127">
        <v>10</v>
      </c>
      <c r="G127">
        <v>15.3</v>
      </c>
      <c r="H127">
        <v>19.100000000000001</v>
      </c>
      <c r="I127">
        <v>17.399999999999999</v>
      </c>
      <c r="J127">
        <v>11.9</v>
      </c>
      <c r="K127">
        <v>8</v>
      </c>
      <c r="L127">
        <v>1.6</v>
      </c>
      <c r="M127">
        <v>0.5</v>
      </c>
      <c r="O127">
        <f>ROUND(SUM(temp35[[#This Row],[styczeń]:[grudzień]])/12,2)</f>
        <v>7.27</v>
      </c>
    </row>
    <row r="128" spans="1:15" x14ac:dyDescent="0.25">
      <c r="A128">
        <v>1905</v>
      </c>
      <c r="B128">
        <v>-5.7</v>
      </c>
      <c r="C128">
        <v>0.8</v>
      </c>
      <c r="D128">
        <v>2.6</v>
      </c>
      <c r="E128">
        <v>6</v>
      </c>
      <c r="F128">
        <v>13.8</v>
      </c>
      <c r="G128">
        <v>18</v>
      </c>
      <c r="H128">
        <v>19.2</v>
      </c>
      <c r="I128">
        <v>18</v>
      </c>
      <c r="J128">
        <v>13.2</v>
      </c>
      <c r="K128">
        <v>4.5999999999999996</v>
      </c>
      <c r="L128">
        <v>3.8</v>
      </c>
      <c r="M128">
        <v>-0.6</v>
      </c>
      <c r="O128">
        <f>ROUND(SUM(temp35[[#This Row],[styczeń]:[grudzień]])/12,2)</f>
        <v>7.81</v>
      </c>
    </row>
    <row r="129" spans="1:15" x14ac:dyDescent="0.25">
      <c r="A129">
        <v>1906</v>
      </c>
      <c r="B129">
        <v>-1.3</v>
      </c>
      <c r="C129">
        <v>-0.6</v>
      </c>
      <c r="D129">
        <v>2.2000000000000002</v>
      </c>
      <c r="E129">
        <v>9.1999999999999993</v>
      </c>
      <c r="F129">
        <v>15.5</v>
      </c>
      <c r="G129">
        <v>15.6</v>
      </c>
      <c r="H129">
        <v>19.7</v>
      </c>
      <c r="I129">
        <v>16.5</v>
      </c>
      <c r="J129">
        <v>12</v>
      </c>
      <c r="K129">
        <v>7.7</v>
      </c>
      <c r="L129">
        <v>6</v>
      </c>
      <c r="M129">
        <v>-4.0999999999999996</v>
      </c>
      <c r="O129">
        <f>ROUND(SUM(temp35[[#This Row],[styczeń]:[grudzień]])/12,2)</f>
        <v>8.1999999999999993</v>
      </c>
    </row>
    <row r="130" spans="1:15" x14ac:dyDescent="0.25">
      <c r="A130">
        <v>1907</v>
      </c>
      <c r="B130">
        <v>-4.9000000000000004</v>
      </c>
      <c r="C130">
        <v>-5.0999999999999996</v>
      </c>
      <c r="D130">
        <v>0.6</v>
      </c>
      <c r="E130">
        <v>5.7</v>
      </c>
      <c r="F130">
        <v>14.8</v>
      </c>
      <c r="G130">
        <v>15.8</v>
      </c>
      <c r="H130">
        <v>16</v>
      </c>
      <c r="I130">
        <v>15.5</v>
      </c>
      <c r="J130">
        <v>12.7</v>
      </c>
      <c r="K130">
        <v>12.6</v>
      </c>
      <c r="L130">
        <v>1.3</v>
      </c>
      <c r="M130">
        <v>-2.5</v>
      </c>
      <c r="O130">
        <f>ROUND(SUM(temp35[[#This Row],[styczeń]:[grudzień]])/12,2)</f>
        <v>6.88</v>
      </c>
    </row>
    <row r="131" spans="1:15" x14ac:dyDescent="0.25">
      <c r="A131">
        <v>1908</v>
      </c>
      <c r="B131">
        <v>-2.1</v>
      </c>
      <c r="C131">
        <v>0.3</v>
      </c>
      <c r="D131">
        <v>2</v>
      </c>
      <c r="E131">
        <v>6.4</v>
      </c>
      <c r="F131">
        <v>13.7</v>
      </c>
      <c r="G131">
        <v>17.399999999999999</v>
      </c>
      <c r="H131">
        <v>18.5</v>
      </c>
      <c r="I131">
        <v>16.5</v>
      </c>
      <c r="J131">
        <v>11.6</v>
      </c>
      <c r="K131">
        <v>6.5</v>
      </c>
      <c r="L131">
        <v>-0.5</v>
      </c>
      <c r="M131">
        <v>-2.9</v>
      </c>
      <c r="O131">
        <f>ROUND(SUM(temp35[[#This Row],[styczeń]:[grudzień]])/12,2)</f>
        <v>7.28</v>
      </c>
    </row>
    <row r="132" spans="1:15" x14ac:dyDescent="0.25">
      <c r="A132">
        <v>1909</v>
      </c>
      <c r="B132">
        <v>-3.3</v>
      </c>
      <c r="C132">
        <v>-6</v>
      </c>
      <c r="D132">
        <v>1.5</v>
      </c>
      <c r="E132">
        <v>6.4</v>
      </c>
      <c r="F132">
        <v>11.2</v>
      </c>
      <c r="G132">
        <v>16.3</v>
      </c>
      <c r="H132">
        <v>17.399999999999999</v>
      </c>
      <c r="I132">
        <v>17.3</v>
      </c>
      <c r="J132">
        <v>14.3</v>
      </c>
      <c r="K132">
        <v>10.6</v>
      </c>
      <c r="L132">
        <v>1.6</v>
      </c>
      <c r="M132">
        <v>1.1000000000000001</v>
      </c>
      <c r="O132">
        <f>ROUND(SUM(temp35[[#This Row],[styczeń]:[grudzień]])/12,2)</f>
        <v>7.37</v>
      </c>
    </row>
    <row r="133" spans="1:15" x14ac:dyDescent="0.25">
      <c r="A133">
        <v>1910</v>
      </c>
      <c r="B133">
        <v>0.5</v>
      </c>
      <c r="C133">
        <v>2.7</v>
      </c>
      <c r="D133">
        <v>3.4</v>
      </c>
      <c r="E133">
        <v>8.5</v>
      </c>
      <c r="F133">
        <v>13.8</v>
      </c>
      <c r="G133">
        <v>17.899999999999999</v>
      </c>
      <c r="H133">
        <v>17.600000000000001</v>
      </c>
      <c r="I133">
        <v>16.600000000000001</v>
      </c>
      <c r="J133">
        <v>12.1</v>
      </c>
      <c r="K133">
        <v>7.3</v>
      </c>
      <c r="L133">
        <v>2.2000000000000002</v>
      </c>
      <c r="M133">
        <v>2.4</v>
      </c>
      <c r="O133">
        <f>ROUND(SUM(temp35[[#This Row],[styczeń]:[grudzień]])/12,2)</f>
        <v>8.75</v>
      </c>
    </row>
    <row r="134" spans="1:15" x14ac:dyDescent="0.25">
      <c r="A134">
        <v>1911</v>
      </c>
      <c r="B134">
        <v>-0.5</v>
      </c>
      <c r="C134">
        <v>-3</v>
      </c>
      <c r="D134">
        <v>3.4</v>
      </c>
      <c r="E134">
        <v>7.7</v>
      </c>
      <c r="F134">
        <v>13.8</v>
      </c>
      <c r="G134">
        <v>16</v>
      </c>
      <c r="H134">
        <v>18.8</v>
      </c>
      <c r="I134">
        <v>18.7</v>
      </c>
      <c r="J134">
        <v>14</v>
      </c>
      <c r="K134">
        <v>8.5</v>
      </c>
      <c r="L134">
        <v>4.7</v>
      </c>
      <c r="M134">
        <v>0.7</v>
      </c>
      <c r="O134">
        <f>ROUND(SUM(temp35[[#This Row],[styczeń]:[grudzień]])/12,2)</f>
        <v>8.57</v>
      </c>
    </row>
    <row r="135" spans="1:15" x14ac:dyDescent="0.25">
      <c r="A135">
        <v>1912</v>
      </c>
      <c r="B135">
        <v>-7</v>
      </c>
      <c r="C135">
        <v>-1.3</v>
      </c>
      <c r="D135">
        <v>5.3</v>
      </c>
      <c r="E135">
        <v>5.7</v>
      </c>
      <c r="F135">
        <v>11.3</v>
      </c>
      <c r="G135">
        <v>17.5</v>
      </c>
      <c r="H135">
        <v>18.8</v>
      </c>
      <c r="I135">
        <v>15.9</v>
      </c>
      <c r="J135">
        <v>9.1</v>
      </c>
      <c r="K135">
        <v>5.4</v>
      </c>
      <c r="L135">
        <v>1</v>
      </c>
      <c r="M135">
        <v>2.2999999999999998</v>
      </c>
      <c r="O135">
        <f>ROUND(SUM(temp35[[#This Row],[styczeń]:[grudzień]])/12,2)</f>
        <v>7</v>
      </c>
    </row>
    <row r="136" spans="1:15" x14ac:dyDescent="0.25">
      <c r="A136">
        <v>1913</v>
      </c>
      <c r="B136">
        <v>-3.2</v>
      </c>
      <c r="C136">
        <v>-1</v>
      </c>
      <c r="D136">
        <v>5.3</v>
      </c>
      <c r="E136">
        <v>8</v>
      </c>
      <c r="F136">
        <v>12.3</v>
      </c>
      <c r="G136">
        <v>15</v>
      </c>
      <c r="H136">
        <v>16</v>
      </c>
      <c r="I136">
        <v>15.4</v>
      </c>
      <c r="J136">
        <v>13</v>
      </c>
      <c r="K136">
        <v>8.9</v>
      </c>
      <c r="L136">
        <v>4.9000000000000004</v>
      </c>
      <c r="M136">
        <v>1.8</v>
      </c>
      <c r="O136">
        <f>ROUND(SUM(temp35[[#This Row],[styczeń]:[grudzień]])/12,2)</f>
        <v>8.0299999999999994</v>
      </c>
    </row>
    <row r="137" spans="1:15" x14ac:dyDescent="0.25">
      <c r="A137">
        <v>1914</v>
      </c>
      <c r="B137">
        <v>-5</v>
      </c>
      <c r="C137">
        <v>1.2</v>
      </c>
      <c r="D137">
        <v>4.2</v>
      </c>
      <c r="E137">
        <v>9.4</v>
      </c>
      <c r="F137">
        <v>13.4</v>
      </c>
      <c r="G137">
        <v>16</v>
      </c>
      <c r="H137">
        <v>19</v>
      </c>
      <c r="I137">
        <v>17.3</v>
      </c>
      <c r="J137">
        <v>12.2</v>
      </c>
      <c r="K137">
        <v>6.7</v>
      </c>
      <c r="L137">
        <v>0.9</v>
      </c>
      <c r="M137">
        <v>2.8</v>
      </c>
      <c r="O137">
        <f>ROUND(SUM(temp35[[#This Row],[styczeń]:[grudzień]])/12,2)</f>
        <v>8.18</v>
      </c>
    </row>
    <row r="138" spans="1:15" x14ac:dyDescent="0.25">
      <c r="A138">
        <v>1915</v>
      </c>
      <c r="B138">
        <v>-1.4</v>
      </c>
      <c r="C138">
        <v>-0.4</v>
      </c>
      <c r="D138">
        <v>-0.8</v>
      </c>
      <c r="E138">
        <v>8.3000000000000007</v>
      </c>
      <c r="F138">
        <v>13.5</v>
      </c>
      <c r="G138">
        <v>18</v>
      </c>
      <c r="H138">
        <v>17.899999999999999</v>
      </c>
      <c r="I138">
        <v>16.7</v>
      </c>
      <c r="J138">
        <v>12.1</v>
      </c>
      <c r="K138">
        <v>6.6</v>
      </c>
      <c r="L138">
        <v>1.3</v>
      </c>
      <c r="M138">
        <v>1</v>
      </c>
      <c r="O138">
        <f>ROUND(SUM(temp35[[#This Row],[styczeń]:[grudzień]])/12,2)</f>
        <v>7.73</v>
      </c>
    </row>
    <row r="139" spans="1:15" x14ac:dyDescent="0.25">
      <c r="A139">
        <v>1916</v>
      </c>
      <c r="B139">
        <v>1.4</v>
      </c>
      <c r="C139">
        <v>-0.4</v>
      </c>
      <c r="D139">
        <v>3.5</v>
      </c>
      <c r="E139">
        <v>8.8000000000000007</v>
      </c>
      <c r="F139">
        <v>12.9</v>
      </c>
      <c r="G139">
        <v>15.7</v>
      </c>
      <c r="H139">
        <v>17.899999999999999</v>
      </c>
      <c r="I139">
        <v>16.2</v>
      </c>
      <c r="J139">
        <v>12.1</v>
      </c>
      <c r="K139">
        <v>7</v>
      </c>
      <c r="L139">
        <v>4.3</v>
      </c>
      <c r="M139">
        <v>0.6</v>
      </c>
      <c r="O139">
        <f>ROUND(SUM(temp35[[#This Row],[styczeń]:[grudzień]])/12,2)</f>
        <v>8.33</v>
      </c>
    </row>
    <row r="140" spans="1:15" x14ac:dyDescent="0.25">
      <c r="A140">
        <v>1917</v>
      </c>
      <c r="B140">
        <v>-4.7</v>
      </c>
      <c r="C140">
        <v>-6.5</v>
      </c>
      <c r="D140">
        <v>-3</v>
      </c>
      <c r="E140">
        <v>5.0999999999999996</v>
      </c>
      <c r="F140">
        <v>14</v>
      </c>
      <c r="G140">
        <v>20.5</v>
      </c>
      <c r="H140">
        <v>18.3</v>
      </c>
      <c r="I140">
        <v>19.899999999999999</v>
      </c>
      <c r="J140">
        <v>14.7</v>
      </c>
      <c r="K140">
        <v>9.6</v>
      </c>
      <c r="L140">
        <v>5</v>
      </c>
      <c r="M140">
        <v>-2.2000000000000002</v>
      </c>
      <c r="O140">
        <f>ROUND(SUM(temp35[[#This Row],[styczeń]:[grudzień]])/12,2)</f>
        <v>7.56</v>
      </c>
    </row>
    <row r="141" spans="1:15" x14ac:dyDescent="0.25">
      <c r="A141">
        <v>1918</v>
      </c>
      <c r="B141">
        <v>-1.1000000000000001</v>
      </c>
      <c r="C141">
        <v>-1.2</v>
      </c>
      <c r="D141">
        <v>1.9</v>
      </c>
      <c r="E141">
        <v>13.2</v>
      </c>
      <c r="F141">
        <v>13.5</v>
      </c>
      <c r="G141">
        <v>14.1</v>
      </c>
      <c r="H141">
        <v>18.399999999999999</v>
      </c>
      <c r="I141">
        <v>16.7</v>
      </c>
      <c r="J141">
        <v>14</v>
      </c>
      <c r="K141">
        <v>10</v>
      </c>
      <c r="L141">
        <v>2.2000000000000002</v>
      </c>
      <c r="M141">
        <v>-1.1000000000000001</v>
      </c>
      <c r="O141">
        <f>ROUND(SUM(temp35[[#This Row],[styczeń]:[grudzień]])/12,2)</f>
        <v>8.3800000000000008</v>
      </c>
    </row>
    <row r="142" spans="1:15" x14ac:dyDescent="0.25">
      <c r="A142">
        <v>1919</v>
      </c>
      <c r="B142">
        <v>-1.4</v>
      </c>
      <c r="C142">
        <v>-1.6</v>
      </c>
      <c r="D142">
        <v>1.5</v>
      </c>
      <c r="E142">
        <v>7.2</v>
      </c>
      <c r="F142">
        <v>10.7</v>
      </c>
      <c r="G142">
        <v>15.9</v>
      </c>
      <c r="H142">
        <v>16.7</v>
      </c>
      <c r="I142">
        <v>15.5</v>
      </c>
      <c r="J142">
        <v>15.6</v>
      </c>
      <c r="K142">
        <v>6.8</v>
      </c>
      <c r="L142">
        <v>-3.4</v>
      </c>
      <c r="M142">
        <v>-1.9</v>
      </c>
      <c r="O142">
        <f>ROUND(SUM(temp35[[#This Row],[styczeń]:[grudzień]])/12,2)</f>
        <v>6.8</v>
      </c>
    </row>
    <row r="143" spans="1:15" x14ac:dyDescent="0.25">
      <c r="A143">
        <v>1920</v>
      </c>
      <c r="B143">
        <v>-1.8</v>
      </c>
      <c r="C143">
        <v>0.7</v>
      </c>
      <c r="D143">
        <v>4.9000000000000004</v>
      </c>
      <c r="E143">
        <v>12.5</v>
      </c>
      <c r="F143">
        <v>15.5</v>
      </c>
      <c r="G143">
        <v>15.4</v>
      </c>
      <c r="H143">
        <v>20.399999999999999</v>
      </c>
      <c r="I143">
        <v>17.2</v>
      </c>
      <c r="J143">
        <v>13.5</v>
      </c>
      <c r="K143">
        <v>4.0999999999999996</v>
      </c>
      <c r="L143">
        <v>0.1</v>
      </c>
      <c r="M143">
        <v>-2.8</v>
      </c>
      <c r="O143">
        <f>ROUND(SUM(temp35[[#This Row],[styczeń]:[grudzień]])/12,2)</f>
        <v>8.31</v>
      </c>
    </row>
    <row r="144" spans="1:15" x14ac:dyDescent="0.25">
      <c r="A144">
        <v>1921</v>
      </c>
      <c r="B144">
        <v>2.6</v>
      </c>
      <c r="C144">
        <v>-2.5</v>
      </c>
      <c r="D144">
        <v>6.3</v>
      </c>
      <c r="E144">
        <v>9.1999999999999993</v>
      </c>
      <c r="F144">
        <v>16.5</v>
      </c>
      <c r="G144">
        <v>16.399999999999999</v>
      </c>
      <c r="H144">
        <v>20.2</v>
      </c>
      <c r="I144">
        <v>19.3</v>
      </c>
      <c r="J144">
        <v>13.3</v>
      </c>
      <c r="K144">
        <v>9.6</v>
      </c>
      <c r="L144">
        <v>-1.2</v>
      </c>
      <c r="M144">
        <v>-2.6</v>
      </c>
      <c r="O144">
        <f>ROUND(SUM(temp35[[#This Row],[styczeń]:[grudzień]])/12,2)</f>
        <v>8.93</v>
      </c>
    </row>
    <row r="145" spans="1:15" x14ac:dyDescent="0.25">
      <c r="A145">
        <v>1922</v>
      </c>
      <c r="B145">
        <v>-5.9</v>
      </c>
      <c r="C145">
        <v>-3.8</v>
      </c>
      <c r="D145">
        <v>3</v>
      </c>
      <c r="E145">
        <v>7</v>
      </c>
      <c r="F145">
        <v>14.3</v>
      </c>
      <c r="G145">
        <v>17.600000000000001</v>
      </c>
      <c r="H145">
        <v>18.7</v>
      </c>
      <c r="I145">
        <v>17</v>
      </c>
      <c r="J145">
        <v>11.8</v>
      </c>
      <c r="K145">
        <v>4.9000000000000004</v>
      </c>
      <c r="L145">
        <v>0.8</v>
      </c>
      <c r="M145">
        <v>0.8</v>
      </c>
      <c r="O145">
        <f>ROUND(SUM(temp35[[#This Row],[styczeń]:[grudzień]])/12,2)</f>
        <v>7.18</v>
      </c>
    </row>
    <row r="146" spans="1:15" x14ac:dyDescent="0.25">
      <c r="A146">
        <v>1923</v>
      </c>
      <c r="B146">
        <v>0.3</v>
      </c>
      <c r="C146">
        <v>-3.1</v>
      </c>
      <c r="D146">
        <v>3.2</v>
      </c>
      <c r="E146">
        <v>6.3</v>
      </c>
      <c r="F146">
        <v>13.7</v>
      </c>
      <c r="G146">
        <v>13</v>
      </c>
      <c r="H146">
        <v>18.7</v>
      </c>
      <c r="I146">
        <v>15</v>
      </c>
      <c r="J146">
        <v>14.4</v>
      </c>
      <c r="K146">
        <v>10.3</v>
      </c>
      <c r="L146">
        <v>3.5</v>
      </c>
      <c r="M146">
        <v>-1.6</v>
      </c>
      <c r="O146">
        <f>ROUND(SUM(temp35[[#This Row],[styczeń]:[grudzień]])/12,2)</f>
        <v>7.81</v>
      </c>
    </row>
    <row r="147" spans="1:15" x14ac:dyDescent="0.25">
      <c r="A147">
        <v>1924</v>
      </c>
      <c r="B147">
        <v>-6.8</v>
      </c>
      <c r="C147">
        <v>-5.6</v>
      </c>
      <c r="D147">
        <v>-1</v>
      </c>
      <c r="E147">
        <v>5.7</v>
      </c>
      <c r="F147">
        <v>15.4</v>
      </c>
      <c r="G147">
        <v>17.600000000000001</v>
      </c>
      <c r="H147">
        <v>17.5</v>
      </c>
      <c r="I147">
        <v>17</v>
      </c>
      <c r="J147">
        <v>14.9</v>
      </c>
      <c r="K147">
        <v>8.6</v>
      </c>
      <c r="L147">
        <v>2</v>
      </c>
      <c r="M147">
        <v>-1.8</v>
      </c>
      <c r="O147">
        <f>ROUND(SUM(temp35[[#This Row],[styczeń]:[grudzień]])/12,2)</f>
        <v>6.96</v>
      </c>
    </row>
    <row r="148" spans="1:15" x14ac:dyDescent="0.25">
      <c r="A148">
        <v>1925</v>
      </c>
      <c r="B148">
        <v>1.3</v>
      </c>
      <c r="C148">
        <v>3.4</v>
      </c>
      <c r="D148">
        <v>1.2</v>
      </c>
      <c r="E148">
        <v>8.9</v>
      </c>
      <c r="F148">
        <v>16.3</v>
      </c>
      <c r="G148">
        <v>14.6</v>
      </c>
      <c r="H148">
        <v>18.8</v>
      </c>
      <c r="I148">
        <v>17.2</v>
      </c>
      <c r="J148">
        <v>12.1</v>
      </c>
      <c r="K148">
        <v>7</v>
      </c>
      <c r="L148">
        <v>2.5</v>
      </c>
      <c r="M148">
        <v>-1.2</v>
      </c>
      <c r="O148">
        <f>ROUND(SUM(temp35[[#This Row],[styczeń]:[grudzień]])/12,2)</f>
        <v>8.51</v>
      </c>
    </row>
    <row r="149" spans="1:15" x14ac:dyDescent="0.25">
      <c r="A149">
        <v>1926</v>
      </c>
      <c r="B149">
        <v>-2.4</v>
      </c>
      <c r="C149">
        <v>0.4</v>
      </c>
      <c r="D149">
        <v>1.8</v>
      </c>
      <c r="E149">
        <v>9.6</v>
      </c>
      <c r="F149">
        <v>13.2</v>
      </c>
      <c r="G149">
        <v>16.399999999999999</v>
      </c>
      <c r="H149">
        <v>19.7</v>
      </c>
      <c r="I149">
        <v>15.8</v>
      </c>
      <c r="J149">
        <v>13.8</v>
      </c>
      <c r="K149">
        <v>7.1</v>
      </c>
      <c r="L149">
        <v>7.6</v>
      </c>
      <c r="M149">
        <v>-1.9</v>
      </c>
      <c r="O149">
        <f>ROUND(SUM(temp35[[#This Row],[styczeń]:[grudzień]])/12,2)</f>
        <v>8.43</v>
      </c>
    </row>
    <row r="150" spans="1:15" x14ac:dyDescent="0.25">
      <c r="A150">
        <v>1927</v>
      </c>
      <c r="B150">
        <v>-2.2999999999999998</v>
      </c>
      <c r="C150">
        <v>-2.5</v>
      </c>
      <c r="D150">
        <v>5.5</v>
      </c>
      <c r="E150">
        <v>6.7</v>
      </c>
      <c r="F150">
        <v>10.5</v>
      </c>
      <c r="G150">
        <v>16.5</v>
      </c>
      <c r="H150">
        <v>20</v>
      </c>
      <c r="I150">
        <v>18.399999999999999</v>
      </c>
      <c r="J150">
        <v>14.3</v>
      </c>
      <c r="K150">
        <v>8.4</v>
      </c>
      <c r="L150">
        <v>1.4</v>
      </c>
      <c r="M150">
        <v>-6.1</v>
      </c>
      <c r="O150">
        <f>ROUND(SUM(temp35[[#This Row],[styczeń]:[grudzień]])/12,2)</f>
        <v>7.57</v>
      </c>
    </row>
    <row r="151" spans="1:15" x14ac:dyDescent="0.25">
      <c r="A151">
        <v>1928</v>
      </c>
      <c r="B151">
        <v>-0.9</v>
      </c>
      <c r="C151">
        <v>-1.4</v>
      </c>
      <c r="D151">
        <v>0</v>
      </c>
      <c r="E151">
        <v>7.6</v>
      </c>
      <c r="F151">
        <v>12</v>
      </c>
      <c r="G151">
        <v>14.6</v>
      </c>
      <c r="H151">
        <v>19.3</v>
      </c>
      <c r="I151">
        <v>16.399999999999999</v>
      </c>
      <c r="J151">
        <v>13.6</v>
      </c>
      <c r="K151">
        <v>8.6</v>
      </c>
      <c r="L151">
        <v>6.3</v>
      </c>
      <c r="M151">
        <v>-2.4</v>
      </c>
      <c r="O151">
        <f>ROUND(SUM(temp35[[#This Row],[styczeń]:[grudzień]])/12,2)</f>
        <v>7.81</v>
      </c>
    </row>
    <row r="152" spans="1:15" x14ac:dyDescent="0.25">
      <c r="A152">
        <v>1929</v>
      </c>
      <c r="B152">
        <v>-6.9</v>
      </c>
      <c r="C152">
        <v>-13.7</v>
      </c>
      <c r="D152">
        <v>-1.5</v>
      </c>
      <c r="E152">
        <v>2.9</v>
      </c>
      <c r="F152">
        <v>16</v>
      </c>
      <c r="G152">
        <v>15.2</v>
      </c>
      <c r="H152">
        <v>18.3</v>
      </c>
      <c r="I152">
        <v>18.600000000000001</v>
      </c>
      <c r="J152">
        <v>13.7</v>
      </c>
      <c r="K152">
        <v>10.9</v>
      </c>
      <c r="L152">
        <v>4.5</v>
      </c>
      <c r="M152">
        <v>1.6</v>
      </c>
      <c r="O152">
        <f>ROUND(SUM(temp35[[#This Row],[styczeń]:[grudzień]])/12,2)</f>
        <v>6.63</v>
      </c>
    </row>
    <row r="153" spans="1:15" x14ac:dyDescent="0.25">
      <c r="A153">
        <v>1930</v>
      </c>
      <c r="B153">
        <v>0.3</v>
      </c>
      <c r="C153">
        <v>-0.6</v>
      </c>
      <c r="D153">
        <v>3</v>
      </c>
      <c r="E153">
        <v>9.6</v>
      </c>
      <c r="F153">
        <v>13.7</v>
      </c>
      <c r="G153">
        <v>19.3</v>
      </c>
      <c r="H153">
        <v>18</v>
      </c>
      <c r="I153">
        <v>16.7</v>
      </c>
      <c r="J153">
        <v>13.1</v>
      </c>
      <c r="K153">
        <v>9.1</v>
      </c>
      <c r="L153">
        <v>4.9000000000000004</v>
      </c>
      <c r="M153">
        <v>-2.8</v>
      </c>
      <c r="O153">
        <f>ROUND(SUM(temp35[[#This Row],[styczeń]:[grudzień]])/12,2)</f>
        <v>8.69</v>
      </c>
    </row>
    <row r="154" spans="1:15" x14ac:dyDescent="0.25">
      <c r="A154">
        <v>1931</v>
      </c>
      <c r="B154">
        <v>-1.8</v>
      </c>
      <c r="C154">
        <v>-3.3</v>
      </c>
      <c r="D154">
        <v>-0.7</v>
      </c>
      <c r="E154">
        <v>5.5</v>
      </c>
      <c r="F154">
        <v>17.8</v>
      </c>
      <c r="G154">
        <v>17</v>
      </c>
      <c r="H154">
        <v>19</v>
      </c>
      <c r="I154">
        <v>17.399999999999999</v>
      </c>
      <c r="J154">
        <v>11.1</v>
      </c>
      <c r="K154">
        <v>7</v>
      </c>
      <c r="L154">
        <v>2</v>
      </c>
      <c r="M154">
        <v>-0.5</v>
      </c>
      <c r="O154">
        <f>ROUND(SUM(temp35[[#This Row],[styczeń]:[grudzień]])/12,2)</f>
        <v>7.54</v>
      </c>
    </row>
    <row r="155" spans="1:15" x14ac:dyDescent="0.25">
      <c r="A155">
        <v>1932</v>
      </c>
      <c r="B155">
        <v>-0.6</v>
      </c>
      <c r="C155">
        <v>-5.6</v>
      </c>
      <c r="D155">
        <v>-2</v>
      </c>
      <c r="E155">
        <v>8.1999999999999993</v>
      </c>
      <c r="F155">
        <v>15.8</v>
      </c>
      <c r="G155">
        <v>15.7</v>
      </c>
      <c r="H155">
        <v>21.4</v>
      </c>
      <c r="I155">
        <v>19.3</v>
      </c>
      <c r="J155">
        <v>16.100000000000001</v>
      </c>
      <c r="K155">
        <v>9.4</v>
      </c>
      <c r="L155">
        <v>3.3</v>
      </c>
      <c r="M155">
        <v>0.4</v>
      </c>
      <c r="O155">
        <f>ROUND(SUM(temp35[[#This Row],[styczeń]:[grudzień]])/12,2)</f>
        <v>8.4499999999999993</v>
      </c>
    </row>
    <row r="156" spans="1:15" x14ac:dyDescent="0.25">
      <c r="A156">
        <v>1933</v>
      </c>
      <c r="B156">
        <v>-7.3</v>
      </c>
      <c r="C156">
        <v>-2</v>
      </c>
      <c r="D156">
        <v>2.9</v>
      </c>
      <c r="E156">
        <v>5.0999999999999996</v>
      </c>
      <c r="F156">
        <v>11.9</v>
      </c>
      <c r="G156">
        <v>15.4</v>
      </c>
      <c r="H156">
        <v>19.7</v>
      </c>
      <c r="I156">
        <v>17</v>
      </c>
      <c r="J156">
        <v>13.2</v>
      </c>
      <c r="K156">
        <v>8.5</v>
      </c>
      <c r="L156">
        <v>1.5</v>
      </c>
      <c r="M156">
        <v>-6.5</v>
      </c>
      <c r="O156">
        <f>ROUND(SUM(temp35[[#This Row],[styczeń]:[grudzień]])/12,2)</f>
        <v>6.62</v>
      </c>
    </row>
    <row r="157" spans="1:15" x14ac:dyDescent="0.25">
      <c r="A157">
        <v>1934</v>
      </c>
      <c r="B157">
        <v>-2.2999999999999998</v>
      </c>
      <c r="C157">
        <v>0.2</v>
      </c>
      <c r="D157">
        <v>4.5</v>
      </c>
      <c r="E157">
        <v>11.1</v>
      </c>
      <c r="F157">
        <v>15.4</v>
      </c>
      <c r="G157">
        <v>17.3</v>
      </c>
      <c r="H157">
        <v>18.2</v>
      </c>
      <c r="I157">
        <v>18.399999999999999</v>
      </c>
      <c r="J157">
        <v>15.6</v>
      </c>
      <c r="K157">
        <v>10.1</v>
      </c>
      <c r="L157">
        <v>5.6</v>
      </c>
      <c r="M157">
        <v>-0.6</v>
      </c>
      <c r="O157">
        <f>ROUND(SUM(temp35[[#This Row],[styczeń]:[grudzień]])/12,2)</f>
        <v>9.4600000000000009</v>
      </c>
    </row>
    <row r="158" spans="1:15" x14ac:dyDescent="0.25">
      <c r="A158">
        <v>1935</v>
      </c>
      <c r="B158">
        <v>-5.4</v>
      </c>
      <c r="C158">
        <v>-0.6</v>
      </c>
      <c r="D158">
        <v>1.1000000000000001</v>
      </c>
      <c r="E158">
        <v>8.1</v>
      </c>
      <c r="F158">
        <v>11.3</v>
      </c>
      <c r="G158">
        <v>18.899999999999999</v>
      </c>
      <c r="H158">
        <v>17.100000000000001</v>
      </c>
      <c r="I158">
        <v>17.600000000000001</v>
      </c>
      <c r="J158">
        <v>14</v>
      </c>
      <c r="K158">
        <v>9.8000000000000007</v>
      </c>
      <c r="L158">
        <v>3.2</v>
      </c>
      <c r="M158">
        <v>0.1</v>
      </c>
      <c r="O158">
        <f>ROUND(SUM(temp35[[#This Row],[styczeń]:[grudzień]])/12,2)</f>
        <v>7.93</v>
      </c>
    </row>
    <row r="159" spans="1:15" x14ac:dyDescent="0.25">
      <c r="A159">
        <v>1936</v>
      </c>
      <c r="B159">
        <v>2</v>
      </c>
      <c r="C159">
        <v>-3.1</v>
      </c>
      <c r="D159">
        <v>4.5999999999999996</v>
      </c>
      <c r="E159">
        <v>8</v>
      </c>
      <c r="F159">
        <v>16.100000000000001</v>
      </c>
      <c r="G159">
        <v>17.899999999999999</v>
      </c>
      <c r="H159">
        <v>20.7</v>
      </c>
      <c r="I159">
        <v>16.600000000000001</v>
      </c>
      <c r="J159">
        <v>12.8</v>
      </c>
      <c r="K159">
        <v>5.3</v>
      </c>
      <c r="L159">
        <v>2.8</v>
      </c>
      <c r="M159">
        <v>0.8</v>
      </c>
      <c r="O159">
        <f>ROUND(SUM(temp35[[#This Row],[styczeń]:[grudzień]])/12,2)</f>
        <v>8.7100000000000009</v>
      </c>
    </row>
    <row r="160" spans="1:15" x14ac:dyDescent="0.25">
      <c r="A160">
        <v>1937</v>
      </c>
      <c r="B160">
        <v>-6.6</v>
      </c>
      <c r="C160">
        <v>-0.9</v>
      </c>
      <c r="D160">
        <v>2.8</v>
      </c>
      <c r="E160">
        <v>8.6</v>
      </c>
      <c r="F160">
        <v>18.2</v>
      </c>
      <c r="G160">
        <v>18.8</v>
      </c>
      <c r="H160">
        <v>18.899999999999999</v>
      </c>
      <c r="I160">
        <v>19.3</v>
      </c>
      <c r="J160">
        <v>15.6</v>
      </c>
      <c r="K160">
        <v>9.1</v>
      </c>
      <c r="L160">
        <v>3.3</v>
      </c>
      <c r="M160">
        <v>-1.7</v>
      </c>
      <c r="O160">
        <f>ROUND(SUM(temp35[[#This Row],[styczeń]:[grudzień]])/12,2)</f>
        <v>8.7799999999999994</v>
      </c>
    </row>
    <row r="161" spans="1:15" x14ac:dyDescent="0.25">
      <c r="A161">
        <v>1938</v>
      </c>
      <c r="B161">
        <v>-1.9</v>
      </c>
      <c r="C161">
        <v>-0.2</v>
      </c>
      <c r="D161">
        <v>6.3</v>
      </c>
      <c r="E161">
        <v>5.3</v>
      </c>
      <c r="F161">
        <v>12.9</v>
      </c>
      <c r="G161">
        <v>17.899999999999999</v>
      </c>
      <c r="H161">
        <v>19.5</v>
      </c>
      <c r="I161">
        <v>20</v>
      </c>
      <c r="J161">
        <v>14.1</v>
      </c>
      <c r="K161">
        <v>9.6999999999999993</v>
      </c>
      <c r="L161">
        <v>5.7</v>
      </c>
      <c r="M161">
        <v>-4.4000000000000004</v>
      </c>
      <c r="O161">
        <f>ROUND(SUM(temp35[[#This Row],[styczeń]:[grudzień]])/12,2)</f>
        <v>8.74</v>
      </c>
    </row>
    <row r="162" spans="1:15" x14ac:dyDescent="0.25">
      <c r="A162">
        <v>1939</v>
      </c>
      <c r="B162">
        <v>0.7</v>
      </c>
      <c r="C162">
        <v>2.2000000000000002</v>
      </c>
      <c r="D162">
        <v>1.3</v>
      </c>
      <c r="E162">
        <v>10.4</v>
      </c>
      <c r="F162">
        <v>12.6</v>
      </c>
      <c r="G162">
        <v>19.100000000000001</v>
      </c>
      <c r="H162">
        <v>21</v>
      </c>
      <c r="I162">
        <v>21.7</v>
      </c>
      <c r="J162">
        <v>14.1</v>
      </c>
      <c r="K162">
        <v>6</v>
      </c>
      <c r="L162">
        <v>3.8</v>
      </c>
      <c r="M162">
        <v>-3</v>
      </c>
      <c r="O162">
        <f>ROUND(SUM(temp35[[#This Row],[styczeń]:[grudzień]])/12,2)</f>
        <v>9.16</v>
      </c>
    </row>
    <row r="163" spans="1:15" x14ac:dyDescent="0.25">
      <c r="A163">
        <v>1940</v>
      </c>
      <c r="B163">
        <v>-12.1</v>
      </c>
      <c r="C163">
        <v>-11.4</v>
      </c>
      <c r="D163">
        <v>-1.3</v>
      </c>
      <c r="E163">
        <v>7.6</v>
      </c>
      <c r="F163">
        <v>13.9</v>
      </c>
      <c r="G163">
        <v>20</v>
      </c>
      <c r="H163">
        <v>18.899999999999999</v>
      </c>
      <c r="I163">
        <v>15.8</v>
      </c>
      <c r="J163">
        <v>12.9</v>
      </c>
      <c r="K163">
        <v>6.2</v>
      </c>
      <c r="L163">
        <v>5.2</v>
      </c>
      <c r="M163">
        <v>-4.7</v>
      </c>
      <c r="O163">
        <f>ROUND(SUM(temp35[[#This Row],[styczeń]:[grudzień]])/12,2)</f>
        <v>5.92</v>
      </c>
    </row>
    <row r="164" spans="1:15" x14ac:dyDescent="0.25">
      <c r="A164">
        <v>1941</v>
      </c>
      <c r="B164">
        <v>-9.1999999999999993</v>
      </c>
      <c r="C164">
        <v>-1.7</v>
      </c>
      <c r="D164">
        <v>1.4</v>
      </c>
      <c r="E164">
        <v>5.4</v>
      </c>
      <c r="F164">
        <v>10.7</v>
      </c>
      <c r="G164">
        <v>17.3</v>
      </c>
      <c r="H164">
        <v>20.100000000000001</v>
      </c>
      <c r="I164">
        <v>17.100000000000001</v>
      </c>
      <c r="J164">
        <v>11.6</v>
      </c>
      <c r="K164">
        <v>6.2</v>
      </c>
      <c r="L164">
        <v>-1.8</v>
      </c>
      <c r="M164">
        <v>-0.1</v>
      </c>
      <c r="O164">
        <f>ROUND(SUM(temp35[[#This Row],[styczeń]:[grudzień]])/12,2)</f>
        <v>6.42</v>
      </c>
    </row>
    <row r="165" spans="1:15" x14ac:dyDescent="0.25">
      <c r="A165">
        <v>1942</v>
      </c>
      <c r="B165">
        <v>-10.9</v>
      </c>
      <c r="C165">
        <v>-6.2</v>
      </c>
      <c r="D165">
        <v>-3.7</v>
      </c>
      <c r="E165">
        <v>7.1</v>
      </c>
      <c r="F165">
        <v>13.2</v>
      </c>
      <c r="G165">
        <v>16.2</v>
      </c>
      <c r="H165">
        <v>18</v>
      </c>
      <c r="I165">
        <v>20.5</v>
      </c>
      <c r="J165">
        <v>16.8</v>
      </c>
      <c r="K165">
        <v>9.8000000000000007</v>
      </c>
      <c r="L165">
        <v>1.6</v>
      </c>
      <c r="M165">
        <v>1.3</v>
      </c>
      <c r="O165">
        <f>ROUND(SUM(temp35[[#This Row],[styczeń]:[grudzień]])/12,2)</f>
        <v>6.98</v>
      </c>
    </row>
    <row r="166" spans="1:15" x14ac:dyDescent="0.25">
      <c r="A166">
        <v>1943</v>
      </c>
      <c r="B166">
        <v>-6</v>
      </c>
      <c r="C166">
        <v>2</v>
      </c>
      <c r="D166">
        <v>3.9</v>
      </c>
      <c r="E166">
        <v>9.6999999999999993</v>
      </c>
      <c r="F166">
        <v>13</v>
      </c>
      <c r="G166">
        <v>16.600000000000001</v>
      </c>
      <c r="H166">
        <v>18.2</v>
      </c>
      <c r="I166">
        <v>19.5</v>
      </c>
      <c r="J166">
        <v>14.8</v>
      </c>
      <c r="K166">
        <v>9.3000000000000007</v>
      </c>
      <c r="L166">
        <v>2.8</v>
      </c>
      <c r="M166">
        <v>-1.2</v>
      </c>
      <c r="O166">
        <f>ROUND(SUM(temp35[[#This Row],[styczeń]:[grudzień]])/12,2)</f>
        <v>8.5500000000000007</v>
      </c>
    </row>
    <row r="167" spans="1:15" x14ac:dyDescent="0.25">
      <c r="A167">
        <v>1944</v>
      </c>
      <c r="B167">
        <v>1.5</v>
      </c>
      <c r="C167">
        <v>-1</v>
      </c>
      <c r="D167">
        <v>0.5</v>
      </c>
      <c r="E167">
        <v>6.9</v>
      </c>
      <c r="F167">
        <v>13.1</v>
      </c>
      <c r="G167">
        <v>16.2</v>
      </c>
      <c r="H167">
        <v>20.2</v>
      </c>
      <c r="I167">
        <v>19.399999999999999</v>
      </c>
      <c r="J167">
        <v>13.3</v>
      </c>
      <c r="K167">
        <v>9.9</v>
      </c>
      <c r="L167">
        <v>2.4</v>
      </c>
      <c r="M167">
        <v>-1.8</v>
      </c>
      <c r="O167">
        <f>ROUND(SUM(temp35[[#This Row],[styczeń]:[grudzień]])/12,2)</f>
        <v>8.3800000000000008</v>
      </c>
    </row>
    <row r="168" spans="1:15" x14ac:dyDescent="0.25">
      <c r="A168">
        <v>1945</v>
      </c>
      <c r="B168">
        <v>-4.9000000000000004</v>
      </c>
      <c r="C168">
        <v>0.3</v>
      </c>
      <c r="D168">
        <v>2.8</v>
      </c>
      <c r="E168">
        <v>7.8</v>
      </c>
      <c r="F168">
        <v>12.9</v>
      </c>
      <c r="G168">
        <v>16.3</v>
      </c>
      <c r="H168">
        <v>18.5</v>
      </c>
      <c r="I168">
        <v>18</v>
      </c>
      <c r="J168">
        <v>13.9</v>
      </c>
      <c r="K168">
        <v>8.1999999999999993</v>
      </c>
      <c r="L168">
        <v>2.7</v>
      </c>
      <c r="M168">
        <v>-1.3</v>
      </c>
      <c r="O168">
        <f>ROUND(SUM(temp35[[#This Row],[styczeń]:[grudzień]])/12,2)</f>
        <v>7.93</v>
      </c>
    </row>
    <row r="169" spans="1:15" x14ac:dyDescent="0.25">
      <c r="A169">
        <v>1946</v>
      </c>
      <c r="B169">
        <v>-2.8</v>
      </c>
      <c r="C169">
        <v>-0.7</v>
      </c>
      <c r="D169">
        <v>2.4</v>
      </c>
      <c r="E169">
        <v>9.8000000000000007</v>
      </c>
      <c r="F169">
        <v>16.100000000000001</v>
      </c>
      <c r="G169">
        <v>17.8</v>
      </c>
      <c r="H169">
        <v>20.5</v>
      </c>
      <c r="I169">
        <v>18.100000000000001</v>
      </c>
      <c r="J169">
        <v>14.2</v>
      </c>
      <c r="K169">
        <v>4.8</v>
      </c>
      <c r="L169">
        <v>0.8</v>
      </c>
      <c r="M169">
        <v>-3.9</v>
      </c>
      <c r="O169">
        <f>ROUND(SUM(temp35[[#This Row],[styczeń]:[grudzień]])/12,2)</f>
        <v>8.09</v>
      </c>
    </row>
    <row r="170" spans="1:15" x14ac:dyDescent="0.25">
      <c r="A170">
        <v>1947</v>
      </c>
      <c r="B170">
        <v>-7.8</v>
      </c>
      <c r="C170">
        <v>-10.8</v>
      </c>
      <c r="D170">
        <v>0.2</v>
      </c>
      <c r="E170">
        <v>8.9</v>
      </c>
      <c r="F170">
        <v>15.9</v>
      </c>
      <c r="G170">
        <v>19.100000000000001</v>
      </c>
      <c r="H170">
        <v>20.2</v>
      </c>
      <c r="I170">
        <v>16.8</v>
      </c>
      <c r="J170">
        <v>15.9</v>
      </c>
      <c r="K170">
        <v>6.3</v>
      </c>
      <c r="L170">
        <v>4.2</v>
      </c>
      <c r="M170">
        <v>0.9</v>
      </c>
      <c r="O170">
        <f>ROUND(SUM(temp35[[#This Row],[styczeń]:[grudzień]])/12,2)</f>
        <v>7.48</v>
      </c>
    </row>
    <row r="171" spans="1:15" x14ac:dyDescent="0.25">
      <c r="A171">
        <v>1948</v>
      </c>
      <c r="B171">
        <v>1.1000000000000001</v>
      </c>
      <c r="C171">
        <v>-2.6</v>
      </c>
      <c r="D171">
        <v>2.9</v>
      </c>
      <c r="E171">
        <v>10.5</v>
      </c>
      <c r="F171">
        <v>15.2</v>
      </c>
      <c r="G171">
        <v>16.5</v>
      </c>
      <c r="H171">
        <v>17.899999999999999</v>
      </c>
      <c r="I171">
        <v>17.8</v>
      </c>
      <c r="J171">
        <v>14.9</v>
      </c>
      <c r="K171">
        <v>8.1999999999999993</v>
      </c>
      <c r="L171">
        <v>3</v>
      </c>
      <c r="M171">
        <v>-0.7</v>
      </c>
      <c r="O171">
        <f>ROUND(SUM(temp35[[#This Row],[styczeń]:[grudzień]])/12,2)</f>
        <v>8.73</v>
      </c>
    </row>
    <row r="172" spans="1:15" x14ac:dyDescent="0.25">
      <c r="A172">
        <v>1949</v>
      </c>
      <c r="B172">
        <v>-0.1</v>
      </c>
      <c r="C172">
        <v>0.1</v>
      </c>
      <c r="D172">
        <v>-0.4</v>
      </c>
      <c r="E172">
        <v>9.6999999999999993</v>
      </c>
      <c r="F172">
        <v>15.8</v>
      </c>
      <c r="G172">
        <v>15.8</v>
      </c>
      <c r="H172">
        <v>18.600000000000001</v>
      </c>
      <c r="I172">
        <v>16.899999999999999</v>
      </c>
      <c r="J172">
        <v>15.3</v>
      </c>
      <c r="K172">
        <v>9</v>
      </c>
      <c r="L172">
        <v>4.4000000000000004</v>
      </c>
      <c r="M172">
        <v>2.5</v>
      </c>
      <c r="O172">
        <f>ROUND(SUM(temp35[[#This Row],[styczeń]:[grudzień]])/12,2)</f>
        <v>8.9700000000000006</v>
      </c>
    </row>
    <row r="173" spans="1:15" x14ac:dyDescent="0.25">
      <c r="A173">
        <v>1950</v>
      </c>
      <c r="B173">
        <v>-6.8</v>
      </c>
      <c r="C173">
        <v>1.2</v>
      </c>
      <c r="D173">
        <v>3.1</v>
      </c>
      <c r="E173">
        <v>9.9</v>
      </c>
      <c r="F173">
        <v>16.100000000000001</v>
      </c>
      <c r="G173">
        <v>17.899999999999999</v>
      </c>
      <c r="H173">
        <v>18.5</v>
      </c>
      <c r="I173">
        <v>18.3</v>
      </c>
      <c r="J173">
        <v>13.6</v>
      </c>
      <c r="K173">
        <v>7.5</v>
      </c>
      <c r="L173">
        <v>3.8</v>
      </c>
      <c r="M173">
        <v>0.4</v>
      </c>
      <c r="O173">
        <f>ROUND(SUM(temp35[[#This Row],[styczeń]:[grudzień]])/12,2)</f>
        <v>8.6300000000000008</v>
      </c>
    </row>
    <row r="174" spans="1:15" x14ac:dyDescent="0.25">
      <c r="A174">
        <v>1951</v>
      </c>
      <c r="B174">
        <v>-1.8</v>
      </c>
      <c r="C174">
        <v>-0.7</v>
      </c>
      <c r="D174">
        <v>0.6</v>
      </c>
      <c r="E174">
        <v>9.3000000000000007</v>
      </c>
      <c r="F174">
        <v>12.6</v>
      </c>
      <c r="G174">
        <v>18.3</v>
      </c>
      <c r="H174">
        <v>19</v>
      </c>
      <c r="I174">
        <v>20.399999999999999</v>
      </c>
      <c r="J174">
        <v>15.8</v>
      </c>
      <c r="K174">
        <v>6.7</v>
      </c>
      <c r="L174">
        <v>5.7</v>
      </c>
      <c r="M174">
        <v>2.1</v>
      </c>
      <c r="O174">
        <f>ROUND(SUM(temp35[[#This Row],[styczeń]:[grudzień]])/12,2)</f>
        <v>9</v>
      </c>
    </row>
    <row r="175" spans="1:15" x14ac:dyDescent="0.25">
      <c r="A175">
        <v>1952</v>
      </c>
      <c r="B175">
        <v>-0.1</v>
      </c>
      <c r="C175">
        <v>-1.8</v>
      </c>
      <c r="D175">
        <v>-2.9</v>
      </c>
      <c r="E175">
        <v>11</v>
      </c>
      <c r="F175">
        <v>12.1</v>
      </c>
      <c r="G175">
        <v>16.2</v>
      </c>
      <c r="H175">
        <v>19.5</v>
      </c>
      <c r="I175">
        <v>19.2</v>
      </c>
      <c r="J175">
        <v>11.8</v>
      </c>
      <c r="K175">
        <v>7.2</v>
      </c>
      <c r="L175">
        <v>1.8</v>
      </c>
      <c r="M175">
        <v>-1.3</v>
      </c>
      <c r="O175">
        <f>ROUND(SUM(temp35[[#This Row],[styczeń]:[grudzień]])/12,2)</f>
        <v>7.73</v>
      </c>
    </row>
    <row r="176" spans="1:15" x14ac:dyDescent="0.25">
      <c r="A176">
        <v>1953</v>
      </c>
      <c r="B176">
        <v>-1.8</v>
      </c>
      <c r="C176">
        <v>-2.2000000000000002</v>
      </c>
      <c r="D176">
        <v>2.9</v>
      </c>
      <c r="E176">
        <v>9.3000000000000007</v>
      </c>
      <c r="F176">
        <v>14</v>
      </c>
      <c r="G176">
        <v>18.8</v>
      </c>
      <c r="H176">
        <v>20.6</v>
      </c>
      <c r="I176">
        <v>17.600000000000001</v>
      </c>
      <c r="J176">
        <v>13.7</v>
      </c>
      <c r="K176">
        <v>9.5</v>
      </c>
      <c r="L176">
        <v>2.6</v>
      </c>
      <c r="M176">
        <v>-0.8</v>
      </c>
      <c r="O176">
        <f>ROUND(SUM(temp35[[#This Row],[styczeń]:[grudzień]])/12,2)</f>
        <v>8.68</v>
      </c>
    </row>
    <row r="177" spans="1:15" x14ac:dyDescent="0.25">
      <c r="A177">
        <v>1954</v>
      </c>
      <c r="B177">
        <v>-7.5</v>
      </c>
      <c r="C177">
        <v>-9.5</v>
      </c>
      <c r="D177">
        <v>2.2999999999999998</v>
      </c>
      <c r="E177">
        <v>5.5</v>
      </c>
      <c r="F177">
        <v>14.6</v>
      </c>
      <c r="G177">
        <v>19.399999999999999</v>
      </c>
      <c r="H177">
        <v>17.399999999999999</v>
      </c>
      <c r="I177">
        <v>18</v>
      </c>
      <c r="J177">
        <v>14.8</v>
      </c>
      <c r="K177">
        <v>8.6999999999999993</v>
      </c>
      <c r="L177">
        <v>2.4</v>
      </c>
      <c r="M177">
        <v>2.6</v>
      </c>
      <c r="O177">
        <f>ROUND(SUM(temp35[[#This Row],[styczeń]:[grudzień]])/12,2)</f>
        <v>7.39</v>
      </c>
    </row>
    <row r="178" spans="1:15" x14ac:dyDescent="0.25">
      <c r="A178">
        <v>1955</v>
      </c>
      <c r="B178">
        <v>-3</v>
      </c>
      <c r="C178">
        <v>-2.2999999999999998</v>
      </c>
      <c r="D178">
        <v>-0.6</v>
      </c>
      <c r="E178">
        <v>4.9000000000000004</v>
      </c>
      <c r="F178">
        <v>11.8</v>
      </c>
      <c r="G178">
        <v>16.3</v>
      </c>
      <c r="H178">
        <v>19.5</v>
      </c>
      <c r="I178">
        <v>19.600000000000001</v>
      </c>
      <c r="J178">
        <v>15.1</v>
      </c>
      <c r="K178">
        <v>8.6</v>
      </c>
      <c r="L178">
        <v>3.4</v>
      </c>
      <c r="M178">
        <v>0.6</v>
      </c>
      <c r="O178">
        <f>ROUND(SUM(temp35[[#This Row],[styczeń]:[grudzień]])/12,2)</f>
        <v>7.83</v>
      </c>
    </row>
    <row r="179" spans="1:15" x14ac:dyDescent="0.25">
      <c r="A179">
        <v>1956</v>
      </c>
      <c r="B179">
        <v>-1.4</v>
      </c>
      <c r="C179">
        <v>-11.7</v>
      </c>
      <c r="D179">
        <v>-1.3</v>
      </c>
      <c r="E179">
        <v>6</v>
      </c>
      <c r="F179">
        <v>13.3</v>
      </c>
      <c r="G179">
        <v>17.899999999999999</v>
      </c>
      <c r="H179">
        <v>17.600000000000001</v>
      </c>
      <c r="I179">
        <v>15.8</v>
      </c>
      <c r="J179">
        <v>12.7</v>
      </c>
      <c r="K179">
        <v>8.4</v>
      </c>
      <c r="L179">
        <v>-0.6</v>
      </c>
      <c r="M179">
        <v>-0.3</v>
      </c>
      <c r="O179">
        <f>ROUND(SUM(temp35[[#This Row],[styczeń]:[grudzień]])/12,2)</f>
        <v>6.37</v>
      </c>
    </row>
    <row r="180" spans="1:15" x14ac:dyDescent="0.25">
      <c r="A180">
        <v>1957</v>
      </c>
      <c r="B180">
        <v>-1.1000000000000001</v>
      </c>
      <c r="C180">
        <v>2.7</v>
      </c>
      <c r="D180">
        <v>2.7</v>
      </c>
      <c r="E180">
        <v>9.1</v>
      </c>
      <c r="F180">
        <v>11.1</v>
      </c>
      <c r="G180">
        <v>18.3</v>
      </c>
      <c r="H180">
        <v>19.2</v>
      </c>
      <c r="I180">
        <v>16.5</v>
      </c>
      <c r="J180">
        <v>11.9</v>
      </c>
      <c r="K180">
        <v>9</v>
      </c>
      <c r="L180">
        <v>4.3</v>
      </c>
      <c r="M180">
        <v>-1.3</v>
      </c>
      <c r="O180">
        <f>ROUND(SUM(temp35[[#This Row],[styczeń]:[grudzień]])/12,2)</f>
        <v>8.5299999999999994</v>
      </c>
    </row>
    <row r="181" spans="1:15" x14ac:dyDescent="0.25">
      <c r="A181">
        <v>1958</v>
      </c>
      <c r="B181">
        <v>-2.4</v>
      </c>
      <c r="C181">
        <v>0</v>
      </c>
      <c r="D181">
        <v>-2.5</v>
      </c>
      <c r="E181">
        <v>4.5999999999999996</v>
      </c>
      <c r="F181">
        <v>15.5</v>
      </c>
      <c r="G181">
        <v>16</v>
      </c>
      <c r="H181">
        <v>19.3</v>
      </c>
      <c r="I181">
        <v>17.8</v>
      </c>
      <c r="J181">
        <v>13.5</v>
      </c>
      <c r="K181">
        <v>9.9</v>
      </c>
      <c r="L181">
        <v>3.8</v>
      </c>
      <c r="M181">
        <v>1.3</v>
      </c>
      <c r="O181">
        <f>ROUND(SUM(temp35[[#This Row],[styczeń]:[grudzień]])/12,2)</f>
        <v>8.07</v>
      </c>
    </row>
    <row r="182" spans="1:15" x14ac:dyDescent="0.25">
      <c r="A182">
        <v>1959</v>
      </c>
      <c r="B182">
        <v>-0.6</v>
      </c>
      <c r="C182">
        <v>-1.5</v>
      </c>
      <c r="D182">
        <v>4.5999999999999996</v>
      </c>
      <c r="E182">
        <v>8.9</v>
      </c>
      <c r="F182">
        <v>13.8</v>
      </c>
      <c r="G182">
        <v>17.3</v>
      </c>
      <c r="H182">
        <v>21.5</v>
      </c>
      <c r="I182">
        <v>19.3</v>
      </c>
      <c r="J182">
        <v>12.7</v>
      </c>
      <c r="K182">
        <v>8.1</v>
      </c>
      <c r="L182">
        <v>2.2999999999999998</v>
      </c>
      <c r="M182">
        <v>-1.4</v>
      </c>
      <c r="O182">
        <f>ROUND(SUM(temp35[[#This Row],[styczeń]:[grudzień]])/12,2)</f>
        <v>8.75</v>
      </c>
    </row>
    <row r="183" spans="1:15" x14ac:dyDescent="0.25">
      <c r="A183">
        <v>1960</v>
      </c>
      <c r="B183">
        <v>-2.8</v>
      </c>
      <c r="C183">
        <v>-3.1</v>
      </c>
      <c r="D183">
        <v>1.8</v>
      </c>
      <c r="E183">
        <v>7.3</v>
      </c>
      <c r="F183">
        <v>13.6</v>
      </c>
      <c r="G183">
        <v>17.8</v>
      </c>
      <c r="H183">
        <v>17.3</v>
      </c>
      <c r="I183">
        <v>17</v>
      </c>
      <c r="J183">
        <v>12.3</v>
      </c>
      <c r="K183">
        <v>8.9</v>
      </c>
      <c r="L183">
        <v>5.2</v>
      </c>
      <c r="M183">
        <v>2.9</v>
      </c>
      <c r="O183">
        <f>ROUND(SUM(temp35[[#This Row],[styczeń]:[grudzień]])/12,2)</f>
        <v>8.18</v>
      </c>
    </row>
    <row r="184" spans="1:15" x14ac:dyDescent="0.25">
      <c r="A184">
        <v>1961</v>
      </c>
      <c r="B184">
        <v>-2.8</v>
      </c>
      <c r="C184">
        <v>1.7</v>
      </c>
      <c r="D184">
        <v>5.5</v>
      </c>
      <c r="E184">
        <v>10.5</v>
      </c>
      <c r="F184">
        <v>12.6</v>
      </c>
      <c r="G184">
        <v>18.600000000000001</v>
      </c>
      <c r="H184">
        <v>16.8</v>
      </c>
      <c r="I184">
        <v>16.8</v>
      </c>
      <c r="J184">
        <v>14.8</v>
      </c>
      <c r="K184">
        <v>10.7</v>
      </c>
      <c r="L184">
        <v>3.8</v>
      </c>
      <c r="M184">
        <v>-3.1</v>
      </c>
      <c r="O184">
        <f>ROUND(SUM(temp35[[#This Row],[styczeń]:[grudzień]])/12,2)</f>
        <v>8.83</v>
      </c>
    </row>
    <row r="185" spans="1:15" x14ac:dyDescent="0.25">
      <c r="A185">
        <v>1962</v>
      </c>
      <c r="B185">
        <v>0</v>
      </c>
      <c r="C185">
        <v>-2.1</v>
      </c>
      <c r="D185">
        <v>-1.4</v>
      </c>
      <c r="E185">
        <v>11.2</v>
      </c>
      <c r="F185">
        <v>11.5</v>
      </c>
      <c r="G185">
        <v>15.3</v>
      </c>
      <c r="H185">
        <v>16.8</v>
      </c>
      <c r="I185">
        <v>17.100000000000001</v>
      </c>
      <c r="J185">
        <v>12.7</v>
      </c>
      <c r="K185">
        <v>8.5</v>
      </c>
      <c r="L185">
        <v>4.2</v>
      </c>
      <c r="M185">
        <v>-4.2</v>
      </c>
      <c r="O185">
        <f>ROUND(SUM(temp35[[#This Row],[styczeń]:[grudzień]])/12,2)</f>
        <v>7.47</v>
      </c>
    </row>
    <row r="186" spans="1:15" x14ac:dyDescent="0.25">
      <c r="A186">
        <v>1963</v>
      </c>
      <c r="B186">
        <v>-11.6</v>
      </c>
      <c r="C186">
        <v>-7.2</v>
      </c>
      <c r="D186">
        <v>-1.2</v>
      </c>
      <c r="E186">
        <v>8.8000000000000007</v>
      </c>
      <c r="F186">
        <v>16.3</v>
      </c>
      <c r="G186">
        <v>17.3</v>
      </c>
      <c r="H186">
        <v>21.1</v>
      </c>
      <c r="I186">
        <v>19.8</v>
      </c>
      <c r="J186">
        <v>15.4</v>
      </c>
      <c r="K186">
        <v>8.6999999999999993</v>
      </c>
      <c r="L186">
        <v>6.6</v>
      </c>
      <c r="M186">
        <v>-4.5</v>
      </c>
      <c r="O186">
        <f>ROUND(SUM(temp35[[#This Row],[styczeń]:[grudzień]])/12,2)</f>
        <v>7.46</v>
      </c>
    </row>
    <row r="187" spans="1:15" x14ac:dyDescent="0.25">
      <c r="A187">
        <v>1964</v>
      </c>
      <c r="B187">
        <v>-2.9</v>
      </c>
      <c r="C187">
        <v>-3.9</v>
      </c>
      <c r="D187">
        <v>-2.4</v>
      </c>
      <c r="E187">
        <v>8.8000000000000007</v>
      </c>
      <c r="F187">
        <v>14.1</v>
      </c>
      <c r="G187">
        <v>20.399999999999999</v>
      </c>
      <c r="H187">
        <v>19.3</v>
      </c>
      <c r="I187">
        <v>16.8</v>
      </c>
      <c r="J187">
        <v>14.1</v>
      </c>
      <c r="K187">
        <v>8.1999999999999993</v>
      </c>
      <c r="L187">
        <v>3.9</v>
      </c>
      <c r="M187">
        <v>0</v>
      </c>
      <c r="O187">
        <f>ROUND(SUM(temp35[[#This Row],[styczeń]:[grudzień]])/12,2)</f>
        <v>8.0299999999999994</v>
      </c>
    </row>
    <row r="188" spans="1:15" x14ac:dyDescent="0.25">
      <c r="A188">
        <v>1965</v>
      </c>
      <c r="B188">
        <v>-0.8</v>
      </c>
      <c r="C188">
        <v>-4.8</v>
      </c>
      <c r="D188">
        <v>1.3</v>
      </c>
      <c r="E188">
        <v>6.8</v>
      </c>
      <c r="F188">
        <v>10.8</v>
      </c>
      <c r="G188">
        <v>16.7</v>
      </c>
      <c r="H188">
        <v>17.100000000000001</v>
      </c>
      <c r="I188">
        <v>16.3</v>
      </c>
      <c r="J188">
        <v>15.2</v>
      </c>
      <c r="K188">
        <v>8.1999999999999993</v>
      </c>
      <c r="L188">
        <v>-0.6</v>
      </c>
      <c r="M188">
        <v>0.7</v>
      </c>
      <c r="O188">
        <f>ROUND(SUM(temp35[[#This Row],[styczeń]:[grudzień]])/12,2)</f>
        <v>7.24</v>
      </c>
    </row>
    <row r="189" spans="1:15" x14ac:dyDescent="0.25">
      <c r="A189">
        <v>1966</v>
      </c>
      <c r="B189">
        <v>-4.5</v>
      </c>
      <c r="C189">
        <v>-0.3</v>
      </c>
      <c r="D189">
        <v>2.9</v>
      </c>
      <c r="E189">
        <v>9</v>
      </c>
      <c r="F189">
        <v>14.1</v>
      </c>
      <c r="G189">
        <v>18</v>
      </c>
      <c r="H189">
        <v>19.2</v>
      </c>
      <c r="I189">
        <v>17.5</v>
      </c>
      <c r="J189">
        <v>12.8</v>
      </c>
      <c r="K189">
        <v>11.1</v>
      </c>
      <c r="L189">
        <v>2.8</v>
      </c>
      <c r="M189">
        <v>0</v>
      </c>
      <c r="O189">
        <f>ROUND(SUM(temp35[[#This Row],[styczeń]:[grudzień]])/12,2)</f>
        <v>8.5500000000000007</v>
      </c>
    </row>
    <row r="190" spans="1:15" x14ac:dyDescent="0.25">
      <c r="A190">
        <v>1967</v>
      </c>
      <c r="B190">
        <v>-4.8</v>
      </c>
      <c r="C190">
        <v>0.7</v>
      </c>
      <c r="D190">
        <v>5.3</v>
      </c>
      <c r="E190">
        <v>8.1</v>
      </c>
      <c r="F190">
        <v>14.8</v>
      </c>
      <c r="G190">
        <v>17.2</v>
      </c>
      <c r="H190">
        <v>20.100000000000001</v>
      </c>
      <c r="I190">
        <v>18</v>
      </c>
      <c r="J190">
        <v>16.600000000000001</v>
      </c>
      <c r="K190">
        <v>11.7</v>
      </c>
      <c r="L190">
        <v>4.0999999999999996</v>
      </c>
      <c r="M190">
        <v>-1</v>
      </c>
      <c r="O190">
        <f>ROUND(SUM(temp35[[#This Row],[styczeń]:[grudzień]])/12,2)</f>
        <v>9.23</v>
      </c>
    </row>
    <row r="191" spans="1:15" x14ac:dyDescent="0.25">
      <c r="A191">
        <v>1968</v>
      </c>
      <c r="B191">
        <v>-3.3</v>
      </c>
      <c r="C191">
        <v>-0.4</v>
      </c>
      <c r="D191">
        <v>3.6</v>
      </c>
      <c r="E191">
        <v>10.199999999999999</v>
      </c>
      <c r="F191">
        <v>12.2</v>
      </c>
      <c r="G191">
        <v>18.7</v>
      </c>
      <c r="H191">
        <v>17.399999999999999</v>
      </c>
      <c r="I191">
        <v>18.399999999999999</v>
      </c>
      <c r="J191">
        <v>13.8</v>
      </c>
      <c r="K191">
        <v>8.6999999999999993</v>
      </c>
      <c r="L191">
        <v>3.8</v>
      </c>
      <c r="M191">
        <v>-3.5</v>
      </c>
      <c r="O191">
        <f>ROUND(SUM(temp35[[#This Row],[styczeń]:[grudzień]])/12,2)</f>
        <v>8.3000000000000007</v>
      </c>
    </row>
    <row r="192" spans="1:15" x14ac:dyDescent="0.25">
      <c r="A192">
        <v>1969</v>
      </c>
      <c r="B192">
        <v>-6</v>
      </c>
      <c r="C192">
        <v>-4.2</v>
      </c>
      <c r="D192">
        <v>-1.7</v>
      </c>
      <c r="E192">
        <v>7.2</v>
      </c>
      <c r="F192">
        <v>15.5</v>
      </c>
      <c r="G192">
        <v>17.7</v>
      </c>
      <c r="H192">
        <v>19.600000000000001</v>
      </c>
      <c r="I192">
        <v>17.399999999999999</v>
      </c>
      <c r="J192">
        <v>14</v>
      </c>
      <c r="K192">
        <v>8.9</v>
      </c>
      <c r="L192">
        <v>5.7</v>
      </c>
      <c r="M192">
        <v>-8.1</v>
      </c>
      <c r="O192">
        <f>ROUND(SUM(temp35[[#This Row],[styczeń]:[grudzień]])/12,2)</f>
        <v>7.17</v>
      </c>
    </row>
    <row r="193" spans="1:15" x14ac:dyDescent="0.25">
      <c r="A193">
        <v>1970</v>
      </c>
      <c r="B193">
        <v>-5.7</v>
      </c>
      <c r="C193">
        <v>-4.9000000000000004</v>
      </c>
      <c r="D193">
        <v>0.7</v>
      </c>
      <c r="E193">
        <v>7.4</v>
      </c>
      <c r="F193">
        <v>13.3</v>
      </c>
      <c r="G193">
        <v>17.600000000000001</v>
      </c>
      <c r="H193">
        <v>17.600000000000001</v>
      </c>
      <c r="I193">
        <v>17.7</v>
      </c>
      <c r="J193">
        <v>12.8</v>
      </c>
      <c r="K193">
        <v>8</v>
      </c>
      <c r="L193">
        <v>4.9000000000000004</v>
      </c>
      <c r="M193">
        <v>0.9</v>
      </c>
      <c r="O193">
        <f>ROUND(SUM(temp35[[#This Row],[styczeń]:[grudzień]])/12,2)</f>
        <v>7.53</v>
      </c>
    </row>
    <row r="194" spans="1:15" x14ac:dyDescent="0.25">
      <c r="A194">
        <v>1971</v>
      </c>
      <c r="B194">
        <v>-3.2</v>
      </c>
      <c r="C194">
        <v>0.2</v>
      </c>
      <c r="D194">
        <v>0.3</v>
      </c>
      <c r="E194">
        <v>8.1</v>
      </c>
      <c r="F194">
        <v>17.2</v>
      </c>
      <c r="G194">
        <v>16.3</v>
      </c>
      <c r="H194">
        <v>19.2</v>
      </c>
      <c r="I194">
        <v>19.7</v>
      </c>
      <c r="J194">
        <v>11.3</v>
      </c>
      <c r="K194">
        <v>8.6999999999999993</v>
      </c>
      <c r="L194">
        <v>2.5</v>
      </c>
      <c r="M194">
        <v>3.2</v>
      </c>
      <c r="O194">
        <f>ROUND(SUM(temp35[[#This Row],[styczeń]:[grudzień]])/12,2)</f>
        <v>8.6300000000000008</v>
      </c>
    </row>
    <row r="195" spans="1:15" x14ac:dyDescent="0.25">
      <c r="A195">
        <v>1972</v>
      </c>
      <c r="B195">
        <v>-7.2</v>
      </c>
      <c r="C195">
        <v>-0.6</v>
      </c>
      <c r="D195">
        <v>4</v>
      </c>
      <c r="E195">
        <v>8.3000000000000007</v>
      </c>
      <c r="F195">
        <v>14.2</v>
      </c>
      <c r="G195">
        <v>17.7</v>
      </c>
      <c r="H195">
        <v>20.9</v>
      </c>
      <c r="I195">
        <v>17.3</v>
      </c>
      <c r="J195">
        <v>12.2</v>
      </c>
      <c r="K195">
        <v>6.6</v>
      </c>
      <c r="L195">
        <v>4.5</v>
      </c>
      <c r="M195">
        <v>0.1</v>
      </c>
      <c r="O195">
        <f>ROUND(SUM(temp35[[#This Row],[styczeń]:[grudzień]])/12,2)</f>
        <v>8.17</v>
      </c>
    </row>
    <row r="196" spans="1:15" x14ac:dyDescent="0.25">
      <c r="A196">
        <v>1973</v>
      </c>
      <c r="B196">
        <v>-2.4</v>
      </c>
      <c r="C196">
        <v>1.6</v>
      </c>
      <c r="D196">
        <v>4.4000000000000004</v>
      </c>
      <c r="E196">
        <v>7.6</v>
      </c>
      <c r="F196">
        <v>13.5</v>
      </c>
      <c r="G196">
        <v>17</v>
      </c>
      <c r="H196">
        <v>18.7</v>
      </c>
      <c r="I196">
        <v>18.7</v>
      </c>
      <c r="J196">
        <v>13.4</v>
      </c>
      <c r="K196">
        <v>6.7</v>
      </c>
      <c r="L196">
        <v>1.9</v>
      </c>
      <c r="M196">
        <v>-0.6</v>
      </c>
      <c r="O196">
        <f>ROUND(SUM(temp35[[#This Row],[styczeń]:[grudzień]])/12,2)</f>
        <v>8.3800000000000008</v>
      </c>
    </row>
    <row r="197" spans="1:15" x14ac:dyDescent="0.25">
      <c r="A197">
        <v>1974</v>
      </c>
      <c r="B197">
        <v>-1</v>
      </c>
      <c r="C197">
        <v>2.2999999999999998</v>
      </c>
      <c r="D197">
        <v>4.8</v>
      </c>
      <c r="E197">
        <v>7.8</v>
      </c>
      <c r="F197">
        <v>11.6</v>
      </c>
      <c r="G197">
        <v>15.1</v>
      </c>
      <c r="H197">
        <v>16.3</v>
      </c>
      <c r="I197">
        <v>18.399999999999999</v>
      </c>
      <c r="J197">
        <v>13.9</v>
      </c>
      <c r="K197">
        <v>6.6</v>
      </c>
      <c r="L197">
        <v>3.7</v>
      </c>
      <c r="M197">
        <v>2.6</v>
      </c>
      <c r="O197">
        <f>ROUND(SUM(temp35[[#This Row],[styczeń]:[grudzień]])/12,2)</f>
        <v>8.51</v>
      </c>
    </row>
    <row r="198" spans="1:15" x14ac:dyDescent="0.25">
      <c r="A198">
        <v>1975</v>
      </c>
      <c r="B198">
        <v>2.7</v>
      </c>
      <c r="C198">
        <v>-0.2</v>
      </c>
      <c r="D198">
        <v>4.8</v>
      </c>
      <c r="E198">
        <v>7.4</v>
      </c>
      <c r="F198">
        <v>15.4</v>
      </c>
      <c r="G198">
        <v>17</v>
      </c>
      <c r="H198">
        <v>20.2</v>
      </c>
      <c r="I198">
        <v>19.3</v>
      </c>
      <c r="J198">
        <v>16.100000000000001</v>
      </c>
      <c r="K198">
        <v>8.1999999999999993</v>
      </c>
      <c r="L198">
        <v>1.7</v>
      </c>
      <c r="M198">
        <v>1.2</v>
      </c>
      <c r="O198">
        <f>ROUND(SUM(temp35[[#This Row],[styczeń]:[grudzień]])/12,2)</f>
        <v>9.48</v>
      </c>
    </row>
    <row r="199" spans="1:15" x14ac:dyDescent="0.25">
      <c r="A199">
        <v>1976</v>
      </c>
      <c r="B199">
        <v>-2.2999999999999998</v>
      </c>
      <c r="C199">
        <v>-4</v>
      </c>
      <c r="D199">
        <v>-0.6</v>
      </c>
      <c r="E199">
        <v>8.4</v>
      </c>
      <c r="F199">
        <v>13.1</v>
      </c>
      <c r="G199">
        <v>16.100000000000001</v>
      </c>
      <c r="H199">
        <v>19.600000000000001</v>
      </c>
      <c r="I199">
        <v>16.600000000000001</v>
      </c>
      <c r="J199">
        <v>13.4</v>
      </c>
      <c r="K199">
        <v>6.8</v>
      </c>
      <c r="L199">
        <v>4.5999999999999996</v>
      </c>
      <c r="M199">
        <v>-1</v>
      </c>
      <c r="O199">
        <f>ROUND(SUM(temp35[[#This Row],[styczeń]:[grudzień]])/12,2)</f>
        <v>7.56</v>
      </c>
    </row>
    <row r="200" spans="1:15" x14ac:dyDescent="0.25">
      <c r="A200">
        <v>1977</v>
      </c>
      <c r="B200">
        <v>-1.7</v>
      </c>
      <c r="C200">
        <v>0.4</v>
      </c>
      <c r="D200">
        <v>5.7</v>
      </c>
      <c r="E200">
        <v>6.8</v>
      </c>
      <c r="F200">
        <v>13.3</v>
      </c>
      <c r="G200">
        <v>17.8</v>
      </c>
      <c r="H200">
        <v>16.899999999999999</v>
      </c>
      <c r="I200">
        <v>16</v>
      </c>
      <c r="J200">
        <v>11.2</v>
      </c>
      <c r="K200">
        <v>9.3000000000000007</v>
      </c>
      <c r="L200">
        <v>5.4</v>
      </c>
      <c r="M200">
        <v>-0.6</v>
      </c>
      <c r="O200">
        <f>ROUND(SUM(temp35[[#This Row],[styczeń]:[grudzień]])/12,2)</f>
        <v>8.3800000000000008</v>
      </c>
    </row>
    <row r="201" spans="1:15" x14ac:dyDescent="0.25">
      <c r="A201">
        <v>1978</v>
      </c>
      <c r="B201">
        <v>-1.2</v>
      </c>
      <c r="C201">
        <v>-2.9</v>
      </c>
      <c r="D201">
        <v>3.3</v>
      </c>
      <c r="E201">
        <v>6.8</v>
      </c>
      <c r="F201">
        <v>12.6</v>
      </c>
      <c r="G201">
        <v>16</v>
      </c>
      <c r="H201">
        <v>17.100000000000001</v>
      </c>
      <c r="I201">
        <v>16.3</v>
      </c>
      <c r="J201">
        <v>11.3</v>
      </c>
      <c r="K201">
        <v>8.6999999999999993</v>
      </c>
      <c r="L201">
        <v>5.4</v>
      </c>
      <c r="M201">
        <v>-4</v>
      </c>
      <c r="O201">
        <f>ROUND(SUM(temp35[[#This Row],[styczeń]:[grudzień]])/12,2)</f>
        <v>7.45</v>
      </c>
    </row>
    <row r="202" spans="1:15" x14ac:dyDescent="0.25">
      <c r="A202">
        <v>1979</v>
      </c>
      <c r="B202">
        <v>-5.7</v>
      </c>
      <c r="C202">
        <v>-5.3</v>
      </c>
      <c r="D202">
        <v>1.9</v>
      </c>
      <c r="E202">
        <v>7.1</v>
      </c>
      <c r="F202">
        <v>15.5</v>
      </c>
      <c r="G202">
        <v>20.5</v>
      </c>
      <c r="H202">
        <v>15.6</v>
      </c>
      <c r="I202">
        <v>17</v>
      </c>
      <c r="J202">
        <v>14.2</v>
      </c>
      <c r="K202">
        <v>6.1</v>
      </c>
      <c r="L202">
        <v>3</v>
      </c>
      <c r="M202">
        <v>1.7</v>
      </c>
      <c r="O202">
        <f>ROUND(SUM(temp35[[#This Row],[styczeń]:[grudzień]])/12,2)</f>
        <v>7.63</v>
      </c>
    </row>
    <row r="203" spans="1:15" x14ac:dyDescent="0.25">
      <c r="A203">
        <v>1980</v>
      </c>
      <c r="B203">
        <v>-5.6</v>
      </c>
      <c r="C203">
        <v>-1.5</v>
      </c>
      <c r="D203">
        <v>-0.5</v>
      </c>
      <c r="E203">
        <v>7.3</v>
      </c>
      <c r="F203">
        <v>10.4</v>
      </c>
      <c r="G203">
        <v>16.100000000000001</v>
      </c>
      <c r="H203">
        <v>16.899999999999999</v>
      </c>
      <c r="I203">
        <v>16.8</v>
      </c>
      <c r="J203">
        <v>12.9</v>
      </c>
      <c r="K203">
        <v>8.4</v>
      </c>
      <c r="L203">
        <v>2</v>
      </c>
      <c r="M203">
        <v>-0.5</v>
      </c>
      <c r="O203">
        <f>ROUND(SUM(temp35[[#This Row],[styczeń]:[grudzień]])/12,2)</f>
        <v>6.89</v>
      </c>
    </row>
    <row r="204" spans="1:15" x14ac:dyDescent="0.25">
      <c r="A204">
        <v>1981</v>
      </c>
      <c r="B204">
        <v>-2.8</v>
      </c>
      <c r="C204">
        <v>-0.8</v>
      </c>
      <c r="D204">
        <v>4</v>
      </c>
      <c r="E204">
        <v>6.5</v>
      </c>
      <c r="F204">
        <v>14.4</v>
      </c>
      <c r="G204">
        <v>17.3</v>
      </c>
      <c r="H204">
        <v>18.3</v>
      </c>
      <c r="I204">
        <v>16.8</v>
      </c>
      <c r="J204">
        <v>14.2</v>
      </c>
      <c r="K204">
        <v>8.8000000000000007</v>
      </c>
      <c r="L204">
        <v>3.5</v>
      </c>
      <c r="M204">
        <v>-3.3</v>
      </c>
      <c r="O204">
        <f>ROUND(SUM(temp35[[#This Row],[styczeń]:[grudzień]])/12,2)</f>
        <v>8.08</v>
      </c>
    </row>
    <row r="205" spans="1:15" x14ac:dyDescent="0.25">
      <c r="A205">
        <v>1982</v>
      </c>
      <c r="B205">
        <v>-3.3</v>
      </c>
      <c r="C205">
        <v>-1.8</v>
      </c>
      <c r="D205">
        <v>3.9</v>
      </c>
      <c r="E205">
        <v>6.2</v>
      </c>
      <c r="F205">
        <v>14.9</v>
      </c>
      <c r="G205">
        <v>16.3</v>
      </c>
      <c r="H205">
        <v>19.600000000000001</v>
      </c>
      <c r="I205">
        <v>19.600000000000001</v>
      </c>
      <c r="J205">
        <v>15.6</v>
      </c>
      <c r="K205">
        <v>9</v>
      </c>
      <c r="L205">
        <v>5.0999999999999996</v>
      </c>
      <c r="M205">
        <v>1.5</v>
      </c>
      <c r="O205">
        <f>ROUND(SUM(temp35[[#This Row],[styczeń]:[grudzień]])/12,2)</f>
        <v>8.8800000000000008</v>
      </c>
    </row>
    <row r="206" spans="1:15" x14ac:dyDescent="0.25">
      <c r="A206">
        <v>1983</v>
      </c>
      <c r="B206">
        <v>3.4</v>
      </c>
      <c r="C206">
        <v>-1.9</v>
      </c>
      <c r="D206">
        <v>4.4000000000000004</v>
      </c>
      <c r="E206">
        <v>10.3</v>
      </c>
      <c r="F206">
        <v>16.100000000000001</v>
      </c>
      <c r="G206">
        <v>17.600000000000001</v>
      </c>
      <c r="H206">
        <v>19.899999999999999</v>
      </c>
      <c r="I206">
        <v>19</v>
      </c>
      <c r="J206">
        <v>15</v>
      </c>
      <c r="K206">
        <v>9.1999999999999993</v>
      </c>
      <c r="L206">
        <v>2.7</v>
      </c>
      <c r="M206">
        <v>-0.3</v>
      </c>
      <c r="O206">
        <f>ROUND(SUM(temp35[[#This Row],[styczeń]:[grudzień]])/12,2)</f>
        <v>9.6199999999999992</v>
      </c>
    </row>
    <row r="207" spans="1:15" x14ac:dyDescent="0.25">
      <c r="A207">
        <v>1984</v>
      </c>
      <c r="B207">
        <v>0.4</v>
      </c>
      <c r="C207">
        <v>-1.6</v>
      </c>
      <c r="D207">
        <v>1.3</v>
      </c>
      <c r="E207">
        <v>9.6</v>
      </c>
      <c r="F207">
        <v>14</v>
      </c>
      <c r="G207">
        <v>15</v>
      </c>
      <c r="H207">
        <v>16.100000000000001</v>
      </c>
      <c r="I207">
        <v>18.5</v>
      </c>
      <c r="J207">
        <v>13.3</v>
      </c>
      <c r="K207">
        <v>10.5</v>
      </c>
      <c r="L207">
        <v>2.4</v>
      </c>
      <c r="M207">
        <v>-1</v>
      </c>
      <c r="O207">
        <f>ROUND(SUM(temp35[[#This Row],[styczeń]:[grudzień]])/12,2)</f>
        <v>8.2100000000000009</v>
      </c>
    </row>
    <row r="208" spans="1:15" x14ac:dyDescent="0.25">
      <c r="A208">
        <v>1985</v>
      </c>
      <c r="B208">
        <v>-7.8</v>
      </c>
      <c r="C208">
        <v>-8.5</v>
      </c>
      <c r="D208">
        <v>2.1</v>
      </c>
      <c r="E208">
        <v>9</v>
      </c>
      <c r="F208">
        <v>15.6</v>
      </c>
      <c r="G208">
        <v>15.3</v>
      </c>
      <c r="H208">
        <v>18</v>
      </c>
      <c r="I208">
        <v>18.399999999999999</v>
      </c>
      <c r="J208">
        <v>12.7</v>
      </c>
      <c r="K208">
        <v>8.6</v>
      </c>
      <c r="L208">
        <v>1.1000000000000001</v>
      </c>
      <c r="M208">
        <v>1.9</v>
      </c>
      <c r="O208">
        <f>ROUND(SUM(temp35[[#This Row],[styczeń]:[grudzień]])/12,2)</f>
        <v>7.2</v>
      </c>
    </row>
    <row r="209" spans="1:15" x14ac:dyDescent="0.25">
      <c r="A209">
        <v>1986</v>
      </c>
      <c r="B209">
        <v>-1.2</v>
      </c>
      <c r="C209">
        <v>-9</v>
      </c>
      <c r="D209">
        <v>2.2999999999999998</v>
      </c>
      <c r="E209">
        <v>9.1999999999999993</v>
      </c>
      <c r="F209">
        <v>15.3</v>
      </c>
      <c r="G209">
        <v>17.3</v>
      </c>
      <c r="H209">
        <v>18.600000000000001</v>
      </c>
      <c r="I209">
        <v>17.7</v>
      </c>
      <c r="J209">
        <v>11.4</v>
      </c>
      <c r="K209">
        <v>8.5</v>
      </c>
      <c r="L209">
        <v>5.5</v>
      </c>
      <c r="M209">
        <v>0.1</v>
      </c>
      <c r="O209">
        <f>ROUND(SUM(temp35[[#This Row],[styczeń]:[grudzień]])/12,2)</f>
        <v>7.98</v>
      </c>
    </row>
    <row r="210" spans="1:15" x14ac:dyDescent="0.25">
      <c r="A210">
        <v>1987</v>
      </c>
      <c r="B210">
        <v>-12</v>
      </c>
      <c r="C210">
        <v>-0.7</v>
      </c>
      <c r="D210">
        <v>-2</v>
      </c>
      <c r="E210">
        <v>7.6</v>
      </c>
      <c r="F210">
        <v>12.8</v>
      </c>
      <c r="G210">
        <v>16.2</v>
      </c>
      <c r="H210">
        <v>18.600000000000001</v>
      </c>
      <c r="I210">
        <v>15.6</v>
      </c>
      <c r="J210">
        <v>13.1</v>
      </c>
      <c r="K210">
        <v>8.5</v>
      </c>
      <c r="L210">
        <v>4.0999999999999996</v>
      </c>
      <c r="M210">
        <v>0.9</v>
      </c>
      <c r="O210">
        <f>ROUND(SUM(temp35[[#This Row],[styczeń]:[grudzień]])/12,2)</f>
        <v>6.89</v>
      </c>
    </row>
    <row r="211" spans="1:15" x14ac:dyDescent="0.25">
      <c r="A211">
        <v>1988</v>
      </c>
      <c r="B211">
        <v>0.7</v>
      </c>
      <c r="C211">
        <v>0.6</v>
      </c>
      <c r="D211">
        <v>1.2</v>
      </c>
      <c r="E211">
        <v>7.7</v>
      </c>
      <c r="F211">
        <v>15.5</v>
      </c>
      <c r="G211">
        <v>17.100000000000001</v>
      </c>
      <c r="H211">
        <v>19.899999999999999</v>
      </c>
      <c r="I211">
        <v>17.7</v>
      </c>
      <c r="J211">
        <v>13.7</v>
      </c>
      <c r="K211">
        <v>7.8</v>
      </c>
      <c r="L211">
        <v>0.3</v>
      </c>
      <c r="M211">
        <v>0.9</v>
      </c>
      <c r="O211">
        <f>ROUND(SUM(temp35[[#This Row],[styczeń]:[grudzień]])/12,2)</f>
        <v>8.59</v>
      </c>
    </row>
    <row r="212" spans="1:15" x14ac:dyDescent="0.25">
      <c r="A212">
        <v>1989</v>
      </c>
      <c r="B212">
        <v>2.2000000000000002</v>
      </c>
      <c r="C212">
        <v>4.0999999999999996</v>
      </c>
      <c r="D212">
        <v>5.8</v>
      </c>
      <c r="E212">
        <v>9.3000000000000007</v>
      </c>
      <c r="F212">
        <v>14.9</v>
      </c>
      <c r="G212">
        <v>16.3</v>
      </c>
      <c r="H212">
        <v>19</v>
      </c>
      <c r="I212">
        <v>18.399999999999999</v>
      </c>
      <c r="J212">
        <v>14.7</v>
      </c>
      <c r="K212">
        <v>10.5</v>
      </c>
      <c r="L212">
        <v>1.5</v>
      </c>
      <c r="M212">
        <v>1.1000000000000001</v>
      </c>
      <c r="O212">
        <f>ROUND(SUM(temp35[[#This Row],[styczeń]:[grudzień]])/12,2)</f>
        <v>9.82</v>
      </c>
    </row>
    <row r="213" spans="1:15" x14ac:dyDescent="0.25">
      <c r="A213">
        <v>1990</v>
      </c>
      <c r="B213">
        <v>1.9</v>
      </c>
      <c r="C213">
        <v>5.0999999999999996</v>
      </c>
      <c r="D213">
        <v>6.7</v>
      </c>
      <c r="E213">
        <v>9.3000000000000007</v>
      </c>
      <c r="F213">
        <v>14.6</v>
      </c>
      <c r="G213">
        <v>17.5</v>
      </c>
      <c r="H213">
        <v>17.5</v>
      </c>
      <c r="I213">
        <v>18</v>
      </c>
      <c r="J213">
        <v>11.5</v>
      </c>
      <c r="K213">
        <v>9.5</v>
      </c>
      <c r="L213">
        <v>4.9000000000000004</v>
      </c>
      <c r="M213">
        <v>0.1</v>
      </c>
      <c r="O213">
        <f>ROUND(SUM(temp35[[#This Row],[styczeń]:[grudzień]])/12,2)</f>
        <v>9.7200000000000006</v>
      </c>
    </row>
    <row r="214" spans="1:15" x14ac:dyDescent="0.25">
      <c r="A214">
        <v>1991</v>
      </c>
      <c r="B214">
        <v>0.3</v>
      </c>
      <c r="C214">
        <v>-3.5</v>
      </c>
      <c r="D214">
        <v>4.2</v>
      </c>
      <c r="E214">
        <v>8.3000000000000007</v>
      </c>
      <c r="F214">
        <v>11.5</v>
      </c>
      <c r="G214">
        <v>16.399999999999999</v>
      </c>
      <c r="H214">
        <v>19.899999999999999</v>
      </c>
      <c r="I214">
        <v>18.899999999999999</v>
      </c>
      <c r="J214">
        <v>15.2</v>
      </c>
      <c r="K214">
        <v>8.1999999999999993</v>
      </c>
      <c r="L214">
        <v>4.4000000000000004</v>
      </c>
      <c r="M214">
        <v>-0.8</v>
      </c>
      <c r="O214">
        <f>ROUND(SUM(temp35[[#This Row],[styczeń]:[grudzień]])/12,2)</f>
        <v>8.58</v>
      </c>
    </row>
    <row r="215" spans="1:15" x14ac:dyDescent="0.25">
      <c r="A215">
        <v>1992</v>
      </c>
      <c r="B215">
        <v>-0.5</v>
      </c>
      <c r="C215">
        <v>1.5</v>
      </c>
      <c r="D215">
        <v>3.8</v>
      </c>
      <c r="E215">
        <v>8</v>
      </c>
      <c r="F215">
        <v>14.4</v>
      </c>
      <c r="G215">
        <v>19</v>
      </c>
      <c r="H215">
        <v>20.8</v>
      </c>
      <c r="I215">
        <v>22</v>
      </c>
      <c r="J215">
        <v>13</v>
      </c>
      <c r="K215">
        <v>6.2</v>
      </c>
      <c r="L215">
        <v>4.0999999999999996</v>
      </c>
      <c r="M215">
        <v>0</v>
      </c>
      <c r="O215">
        <f>ROUND(SUM(temp35[[#This Row],[styczeń]:[grudzień]])/12,2)</f>
        <v>9.36</v>
      </c>
    </row>
    <row r="216" spans="1:15" x14ac:dyDescent="0.25">
      <c r="A216">
        <v>1993</v>
      </c>
      <c r="B216">
        <v>0.6</v>
      </c>
      <c r="C216">
        <v>-0.9</v>
      </c>
      <c r="D216">
        <v>1.5</v>
      </c>
      <c r="E216">
        <v>9.5</v>
      </c>
      <c r="F216">
        <v>16.899999999999999</v>
      </c>
      <c r="G216">
        <v>16.399999999999999</v>
      </c>
      <c r="H216">
        <v>17.600000000000001</v>
      </c>
      <c r="I216">
        <v>17.399999999999999</v>
      </c>
      <c r="J216">
        <v>12.4</v>
      </c>
      <c r="K216">
        <v>8.3000000000000007</v>
      </c>
      <c r="L216">
        <v>-2.2999999999999998</v>
      </c>
      <c r="M216">
        <v>2.2000000000000002</v>
      </c>
      <c r="O216">
        <f>ROUND(SUM(temp35[[#This Row],[styczeń]:[grudzień]])/12,2)</f>
        <v>8.3000000000000007</v>
      </c>
    </row>
    <row r="217" spans="1:15" x14ac:dyDescent="0.25">
      <c r="A217">
        <v>1994</v>
      </c>
      <c r="B217">
        <v>2.2999999999999998</v>
      </c>
      <c r="C217">
        <v>-2.4</v>
      </c>
      <c r="D217">
        <v>4</v>
      </c>
      <c r="E217">
        <v>9.6</v>
      </c>
      <c r="F217">
        <v>13.1</v>
      </c>
      <c r="G217">
        <v>16.8</v>
      </c>
      <c r="H217">
        <v>22.3</v>
      </c>
      <c r="I217">
        <v>18.899999999999999</v>
      </c>
      <c r="J217">
        <v>15.1</v>
      </c>
      <c r="K217">
        <v>7.1</v>
      </c>
      <c r="L217">
        <v>3.9</v>
      </c>
      <c r="M217">
        <v>0.9</v>
      </c>
      <c r="O217">
        <f>ROUND(SUM(temp35[[#This Row],[styczeń]:[grudzień]])/12,2)</f>
        <v>9.3000000000000007</v>
      </c>
    </row>
    <row r="218" spans="1:15" x14ac:dyDescent="0.25">
      <c r="A218">
        <v>1995</v>
      </c>
      <c r="B218">
        <v>-1.3</v>
      </c>
      <c r="C218">
        <v>3.5</v>
      </c>
      <c r="D218">
        <v>3.3</v>
      </c>
      <c r="E218">
        <v>8.3000000000000007</v>
      </c>
      <c r="F218">
        <v>13.2</v>
      </c>
      <c r="G218">
        <v>17.899999999999999</v>
      </c>
      <c r="H218">
        <v>20.9</v>
      </c>
      <c r="I218">
        <v>19.2</v>
      </c>
      <c r="J218">
        <v>13.5</v>
      </c>
      <c r="K218">
        <v>10.5</v>
      </c>
      <c r="L218">
        <v>0.3</v>
      </c>
      <c r="M218">
        <v>-4.8</v>
      </c>
      <c r="O218">
        <f>ROUND(SUM(temp35[[#This Row],[styczeń]:[grudzień]])/12,2)</f>
        <v>8.7100000000000009</v>
      </c>
    </row>
    <row r="219" spans="1:15" x14ac:dyDescent="0.25">
      <c r="A219">
        <v>1996</v>
      </c>
      <c r="B219">
        <v>-5.7</v>
      </c>
      <c r="C219">
        <v>-5.3</v>
      </c>
      <c r="D219">
        <v>-1.1000000000000001</v>
      </c>
      <c r="E219">
        <v>8.8000000000000007</v>
      </c>
      <c r="F219">
        <v>16.2</v>
      </c>
      <c r="G219">
        <v>18.100000000000001</v>
      </c>
      <c r="H219">
        <v>17.5</v>
      </c>
      <c r="I219">
        <v>19.2</v>
      </c>
      <c r="J219">
        <v>11.1</v>
      </c>
      <c r="K219">
        <v>9.8000000000000007</v>
      </c>
      <c r="L219">
        <v>6.5</v>
      </c>
      <c r="M219">
        <v>-4.5999999999999996</v>
      </c>
      <c r="O219">
        <f>ROUND(SUM(temp35[[#This Row],[styczeń]:[grudzień]])/12,2)</f>
        <v>7.54</v>
      </c>
    </row>
    <row r="220" spans="1:15" x14ac:dyDescent="0.25">
      <c r="A220">
        <v>1997</v>
      </c>
      <c r="B220">
        <v>-3.7</v>
      </c>
      <c r="C220">
        <v>2.5</v>
      </c>
      <c r="D220">
        <v>3.6</v>
      </c>
      <c r="E220">
        <v>6</v>
      </c>
      <c r="F220">
        <v>14.7</v>
      </c>
      <c r="G220">
        <v>17.7</v>
      </c>
      <c r="H220">
        <v>18.5</v>
      </c>
      <c r="I220">
        <v>19.7</v>
      </c>
      <c r="J220">
        <v>13.8</v>
      </c>
      <c r="K220">
        <v>6.9</v>
      </c>
      <c r="L220">
        <v>3.3</v>
      </c>
      <c r="M220">
        <v>0.3</v>
      </c>
      <c r="O220">
        <f>ROUND(SUM(temp35[[#This Row],[styczeń]:[grudzień]])/12,2)</f>
        <v>8.61</v>
      </c>
    </row>
    <row r="221" spans="1:15" x14ac:dyDescent="0.25">
      <c r="A221">
        <v>1998</v>
      </c>
      <c r="B221">
        <v>1.1000000000000001</v>
      </c>
      <c r="C221">
        <v>3.6</v>
      </c>
      <c r="D221">
        <v>2.2999999999999998</v>
      </c>
      <c r="E221">
        <v>10.7</v>
      </c>
      <c r="F221">
        <v>15.2</v>
      </c>
      <c r="G221">
        <v>18.600000000000001</v>
      </c>
      <c r="H221">
        <v>18.5</v>
      </c>
      <c r="I221">
        <v>17.2</v>
      </c>
      <c r="J221">
        <v>13.4</v>
      </c>
      <c r="K221">
        <v>8.1999999999999993</v>
      </c>
      <c r="L221">
        <v>-1.4</v>
      </c>
      <c r="M221">
        <v>-1.8</v>
      </c>
      <c r="O221">
        <f>ROUND(SUM(temp35[[#This Row],[styczeń]:[grudzień]])/12,2)</f>
        <v>8.8000000000000007</v>
      </c>
    </row>
    <row r="222" spans="1:15" x14ac:dyDescent="0.25">
      <c r="A222">
        <v>1999</v>
      </c>
      <c r="B222">
        <v>-0.2</v>
      </c>
      <c r="C222">
        <v>-1.3</v>
      </c>
      <c r="D222">
        <v>4.5999999999999996</v>
      </c>
      <c r="E222">
        <v>10</v>
      </c>
      <c r="F222">
        <v>12.6</v>
      </c>
      <c r="G222">
        <v>18</v>
      </c>
      <c r="H222">
        <v>20.6</v>
      </c>
      <c r="I222">
        <v>17.899999999999999</v>
      </c>
      <c r="J222">
        <v>15.8</v>
      </c>
      <c r="K222">
        <v>8.3000000000000007</v>
      </c>
      <c r="L222">
        <v>3</v>
      </c>
      <c r="M222">
        <v>0.7</v>
      </c>
      <c r="O222">
        <f>ROUND(SUM(temp35[[#This Row],[styczeń]:[grudzień]])/12,2)</f>
        <v>9.17</v>
      </c>
    </row>
    <row r="223" spans="1:15" x14ac:dyDescent="0.25">
      <c r="A223">
        <v>2000</v>
      </c>
      <c r="B223">
        <v>-1.4</v>
      </c>
      <c r="C223">
        <v>2.5</v>
      </c>
      <c r="D223">
        <v>3.4</v>
      </c>
      <c r="E223">
        <v>12.4</v>
      </c>
      <c r="F223">
        <v>15.3</v>
      </c>
      <c r="G223">
        <v>17.8</v>
      </c>
      <c r="H223">
        <v>16.600000000000001</v>
      </c>
      <c r="I223">
        <v>18.100000000000001</v>
      </c>
      <c r="J223">
        <v>12</v>
      </c>
      <c r="K223">
        <v>11.6</v>
      </c>
      <c r="L223">
        <v>5.9</v>
      </c>
      <c r="M223">
        <v>1.1000000000000001</v>
      </c>
      <c r="O223">
        <f>ROUND(SUM(temp35[[#This Row],[styczeń]:[grudzień]])/12,2)</f>
        <v>9.61</v>
      </c>
    </row>
    <row r="224" spans="1:15" x14ac:dyDescent="0.25">
      <c r="A224">
        <v>2001</v>
      </c>
      <c r="B224">
        <v>-0.5</v>
      </c>
      <c r="C224">
        <v>-0.8</v>
      </c>
      <c r="D224">
        <v>2.2000000000000002</v>
      </c>
      <c r="E224">
        <v>8</v>
      </c>
      <c r="F224">
        <v>14.7</v>
      </c>
      <c r="G224">
        <v>15.2</v>
      </c>
      <c r="H224">
        <v>20.7</v>
      </c>
      <c r="I224">
        <v>19.3</v>
      </c>
      <c r="J224">
        <v>12.1</v>
      </c>
      <c r="K224">
        <v>10.9</v>
      </c>
      <c r="L224">
        <v>2.4</v>
      </c>
      <c r="M224">
        <v>-4.2</v>
      </c>
      <c r="O224">
        <f>ROUND(SUM(temp35[[#This Row],[styczeń]:[grudzień]])/12,2)</f>
        <v>8.33</v>
      </c>
    </row>
    <row r="225" spans="1:15" x14ac:dyDescent="0.25">
      <c r="A225">
        <v>2002</v>
      </c>
      <c r="B225">
        <v>-0.7</v>
      </c>
      <c r="C225">
        <v>3.6</v>
      </c>
      <c r="D225">
        <v>4.5</v>
      </c>
      <c r="E225">
        <v>9</v>
      </c>
      <c r="F225">
        <v>17.399999999999999</v>
      </c>
      <c r="G225">
        <v>17.600000000000001</v>
      </c>
      <c r="H225">
        <v>21.1</v>
      </c>
      <c r="I225">
        <v>20.7</v>
      </c>
      <c r="J225">
        <v>13.7</v>
      </c>
      <c r="K225">
        <v>7.2</v>
      </c>
      <c r="L225">
        <v>4.0999999999999996</v>
      </c>
      <c r="M225">
        <v>-6.6</v>
      </c>
      <c r="O225">
        <f>ROUND(SUM(temp35[[#This Row],[styczeń]:[grudzień]])/12,2)</f>
        <v>9.3000000000000007</v>
      </c>
    </row>
    <row r="226" spans="1:15" x14ac:dyDescent="0.25">
      <c r="A226">
        <v>2003</v>
      </c>
      <c r="B226">
        <v>-3</v>
      </c>
      <c r="C226">
        <v>-4.9000000000000004</v>
      </c>
      <c r="D226">
        <v>2</v>
      </c>
      <c r="E226">
        <v>7.3</v>
      </c>
      <c r="F226">
        <v>15.7</v>
      </c>
      <c r="G226">
        <v>17.899999999999999</v>
      </c>
      <c r="H226">
        <v>20.2</v>
      </c>
      <c r="I226">
        <v>18.7</v>
      </c>
      <c r="J226">
        <v>13.8</v>
      </c>
      <c r="K226">
        <v>5.4</v>
      </c>
      <c r="L226">
        <v>4.9000000000000004</v>
      </c>
      <c r="M226">
        <v>0.9</v>
      </c>
      <c r="O226">
        <f>ROUND(SUM(temp35[[#This Row],[styczeń]:[grudzień]])/12,2)</f>
        <v>8.24</v>
      </c>
    </row>
    <row r="227" spans="1:15" x14ac:dyDescent="0.25">
      <c r="A227">
        <v>2004</v>
      </c>
      <c r="B227">
        <v>-5.0999999999999996</v>
      </c>
      <c r="C227">
        <v>0</v>
      </c>
      <c r="D227">
        <v>3.5</v>
      </c>
      <c r="E227">
        <v>8.6999999999999993</v>
      </c>
      <c r="F227">
        <v>12</v>
      </c>
      <c r="G227">
        <v>15.8</v>
      </c>
      <c r="H227">
        <v>17.899999999999999</v>
      </c>
      <c r="I227">
        <v>19</v>
      </c>
      <c r="J227">
        <v>13.5</v>
      </c>
      <c r="K227">
        <v>10</v>
      </c>
      <c r="L227">
        <v>3.7</v>
      </c>
      <c r="M227">
        <v>1.8</v>
      </c>
      <c r="O227">
        <f>ROUND(SUM(temp35[[#This Row],[styczeń]:[grudzień]])/12,2)</f>
        <v>8.4</v>
      </c>
    </row>
    <row r="228" spans="1:15" x14ac:dyDescent="0.25">
      <c r="A228">
        <v>2005</v>
      </c>
      <c r="B228">
        <v>0.9</v>
      </c>
      <c r="C228">
        <v>-3.1</v>
      </c>
      <c r="D228">
        <v>0</v>
      </c>
      <c r="E228">
        <v>8.9</v>
      </c>
      <c r="F228">
        <v>13.7</v>
      </c>
      <c r="G228">
        <v>16</v>
      </c>
      <c r="H228">
        <v>20.5</v>
      </c>
      <c r="I228">
        <v>17.7</v>
      </c>
      <c r="J228">
        <v>15.9</v>
      </c>
      <c r="K228">
        <v>9.4</v>
      </c>
      <c r="L228">
        <v>3.2</v>
      </c>
      <c r="M228">
        <v>-0.3</v>
      </c>
      <c r="O228">
        <f>ROUND(SUM(temp35[[#This Row],[styczeń]:[grudzień]])/12,2)</f>
        <v>8.57</v>
      </c>
    </row>
    <row r="229" spans="1:15" x14ac:dyDescent="0.25">
      <c r="A229">
        <v>2006</v>
      </c>
      <c r="B229">
        <v>-8.3000000000000007</v>
      </c>
      <c r="C229">
        <v>-3.2</v>
      </c>
      <c r="D229">
        <v>-0.6</v>
      </c>
      <c r="E229">
        <v>9.1</v>
      </c>
      <c r="F229">
        <v>14.2</v>
      </c>
      <c r="G229">
        <v>18.3</v>
      </c>
      <c r="H229">
        <v>23.5</v>
      </c>
      <c r="I229">
        <v>17.899999999999999</v>
      </c>
      <c r="J229">
        <v>16.100000000000001</v>
      </c>
      <c r="K229">
        <v>10.7</v>
      </c>
      <c r="L229">
        <v>5.9</v>
      </c>
      <c r="M229">
        <v>3.9</v>
      </c>
      <c r="O229">
        <f>ROUND(SUM(temp35[[#This Row],[styczeń]:[grudzień]])/12,2)</f>
        <v>8.9600000000000009</v>
      </c>
    </row>
  </sheetData>
  <conditionalFormatting sqref="O1:O1048576">
    <cfRule type="cellIs" dxfId="3" priority="1" operator="equal">
      <formula>$Q$2</formula>
    </cfRule>
    <cfRule type="cellIs" dxfId="2" priority="2" operator="equal">
      <formula>$Q$2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B99B-E561-47F5-8802-D6DC0B981A10}">
  <dimension ref="A1:T229"/>
  <sheetViews>
    <sheetView topLeftCell="F1" workbookViewId="0">
      <selection activeCell="Q3" sqref="Q3"/>
    </sheetView>
  </sheetViews>
  <sheetFormatPr defaultRowHeight="15" x14ac:dyDescent="0.25"/>
  <cols>
    <col min="1" max="9" width="11.140625" bestFit="1" customWidth="1"/>
    <col min="10" max="13" width="12.140625" bestFit="1" customWidth="1"/>
    <col min="15" max="15" width="22.28515625" bestFit="1" customWidth="1"/>
    <col min="16" max="16" width="10.140625" bestFit="1" customWidth="1"/>
    <col min="17" max="17" width="25.140625" bestFit="1" customWidth="1"/>
    <col min="18" max="18" width="34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Q1" s="5" t="s">
        <v>14</v>
      </c>
      <c r="R1" s="5" t="s">
        <v>15</v>
      </c>
    </row>
    <row r="2" spans="1:20" x14ac:dyDescent="0.25">
      <c r="A2">
        <v>1779</v>
      </c>
      <c r="B2">
        <v>-4.9000000000000004</v>
      </c>
      <c r="C2">
        <v>2.2000000000000002</v>
      </c>
      <c r="D2">
        <v>3.8</v>
      </c>
      <c r="E2">
        <v>9.5</v>
      </c>
      <c r="F2">
        <v>15.4</v>
      </c>
      <c r="G2">
        <v>16.399999999999999</v>
      </c>
      <c r="H2">
        <v>17.899999999999999</v>
      </c>
      <c r="I2">
        <v>19.5</v>
      </c>
      <c r="J2">
        <v>14.7</v>
      </c>
      <c r="K2">
        <v>9.3000000000000007</v>
      </c>
      <c r="L2">
        <v>4.0999999999999996</v>
      </c>
      <c r="M2">
        <v>1.4</v>
      </c>
      <c r="O2">
        <f>ROUND(SUM(temp3[[#This Row],[styczeń]:[grudzień]])/12,2)</f>
        <v>9.11</v>
      </c>
      <c r="Q2" s="5">
        <f>MIN(O2:O229)</f>
        <v>4.74</v>
      </c>
      <c r="R2" s="6">
        <v>1829</v>
      </c>
    </row>
    <row r="3" spans="1:20" x14ac:dyDescent="0.25">
      <c r="A3">
        <v>1780</v>
      </c>
      <c r="B3">
        <v>-5.0999999999999996</v>
      </c>
      <c r="C3">
        <v>-4.3</v>
      </c>
      <c r="D3">
        <v>4.4000000000000004</v>
      </c>
      <c r="E3">
        <v>5.9</v>
      </c>
      <c r="F3">
        <v>14.2</v>
      </c>
      <c r="G3">
        <v>17.2</v>
      </c>
      <c r="H3">
        <v>19.399999999999999</v>
      </c>
      <c r="I3">
        <v>17.899999999999999</v>
      </c>
      <c r="J3">
        <v>13.1</v>
      </c>
      <c r="K3">
        <v>9.4</v>
      </c>
      <c r="L3">
        <v>2.8</v>
      </c>
      <c r="M3">
        <v>-4.5999999999999996</v>
      </c>
      <c r="O3">
        <f>ROUND(SUM(temp3[[#This Row],[styczeń]:[grudzień]])/12,2)</f>
        <v>7.53</v>
      </c>
      <c r="S3" s="3"/>
      <c r="T3" s="3"/>
    </row>
    <row r="4" spans="1:20" x14ac:dyDescent="0.25">
      <c r="A4">
        <v>1781</v>
      </c>
      <c r="B4">
        <v>-4</v>
      </c>
      <c r="C4">
        <v>-1.9</v>
      </c>
      <c r="D4">
        <v>1.5</v>
      </c>
      <c r="E4">
        <v>9.1</v>
      </c>
      <c r="F4">
        <v>13.8</v>
      </c>
      <c r="G4">
        <v>19.2</v>
      </c>
      <c r="H4">
        <v>20.100000000000001</v>
      </c>
      <c r="I4">
        <v>22.8</v>
      </c>
      <c r="J4">
        <v>16.2</v>
      </c>
      <c r="K4">
        <v>6</v>
      </c>
      <c r="L4">
        <v>4</v>
      </c>
      <c r="M4">
        <v>-3.6</v>
      </c>
      <c r="O4">
        <f>ROUND(SUM(temp3[[#This Row],[styczeń]:[grudzień]])/12,2)</f>
        <v>8.6</v>
      </c>
      <c r="S4" s="3"/>
    </row>
    <row r="5" spans="1:20" x14ac:dyDescent="0.25">
      <c r="A5">
        <v>1782</v>
      </c>
      <c r="B5">
        <v>-1.6</v>
      </c>
      <c r="C5">
        <v>-6.2</v>
      </c>
      <c r="D5">
        <v>0.9</v>
      </c>
      <c r="E5">
        <v>7.3</v>
      </c>
      <c r="F5">
        <v>14.1</v>
      </c>
      <c r="G5">
        <v>17.8</v>
      </c>
      <c r="H5">
        <v>20.3</v>
      </c>
      <c r="I5">
        <v>18.3</v>
      </c>
      <c r="J5">
        <v>13.4</v>
      </c>
      <c r="K5">
        <v>6.4</v>
      </c>
      <c r="L5">
        <v>0.3</v>
      </c>
      <c r="M5">
        <v>-3.1</v>
      </c>
      <c r="O5">
        <f>ROUND(SUM(temp3[[#This Row],[styczeń]:[grudzień]])/12,2)</f>
        <v>7.33</v>
      </c>
      <c r="P5" s="4"/>
      <c r="S5" s="3"/>
    </row>
    <row r="6" spans="1:20" x14ac:dyDescent="0.25">
      <c r="A6">
        <v>1783</v>
      </c>
      <c r="B6">
        <v>-2.9</v>
      </c>
      <c r="C6">
        <v>1.9</v>
      </c>
      <c r="D6">
        <v>0.6</v>
      </c>
      <c r="E6">
        <v>7.1</v>
      </c>
      <c r="F6">
        <v>15.8</v>
      </c>
      <c r="G6">
        <v>20</v>
      </c>
      <c r="H6">
        <v>19.8</v>
      </c>
      <c r="I6">
        <v>20.2</v>
      </c>
      <c r="J6">
        <v>15.5</v>
      </c>
      <c r="K6">
        <v>8.4</v>
      </c>
      <c r="L6">
        <v>0.9</v>
      </c>
      <c r="M6">
        <v>-4.5999999999999996</v>
      </c>
      <c r="O6">
        <f>ROUND(SUM(temp3[[#This Row],[styczeń]:[grudzień]])/12,2)</f>
        <v>8.56</v>
      </c>
      <c r="P6" s="4"/>
      <c r="S6" s="3"/>
    </row>
    <row r="7" spans="1:20" x14ac:dyDescent="0.25">
      <c r="A7">
        <v>1784</v>
      </c>
      <c r="B7">
        <v>-7.1</v>
      </c>
      <c r="C7">
        <v>-4.3</v>
      </c>
      <c r="D7">
        <v>-0.4</v>
      </c>
      <c r="E7">
        <v>7</v>
      </c>
      <c r="F7">
        <v>14.1</v>
      </c>
      <c r="G7">
        <v>18.399999999999999</v>
      </c>
      <c r="H7">
        <v>19.7</v>
      </c>
      <c r="I7">
        <v>22.5</v>
      </c>
      <c r="J7">
        <v>15.3</v>
      </c>
      <c r="K7">
        <v>6</v>
      </c>
      <c r="L7">
        <v>3.1</v>
      </c>
      <c r="M7">
        <v>-0.8</v>
      </c>
      <c r="O7">
        <f>ROUND(SUM(temp3[[#This Row],[styczeń]:[grudzień]])/12,2)</f>
        <v>7.79</v>
      </c>
      <c r="P7" s="4"/>
      <c r="S7" s="3"/>
    </row>
    <row r="8" spans="1:20" x14ac:dyDescent="0.25">
      <c r="A8">
        <v>1785</v>
      </c>
      <c r="B8">
        <v>-5.3</v>
      </c>
      <c r="C8">
        <v>-4.8</v>
      </c>
      <c r="D8">
        <v>-6.4</v>
      </c>
      <c r="E8">
        <v>3.1</v>
      </c>
      <c r="F8">
        <v>11</v>
      </c>
      <c r="G8">
        <v>15.2</v>
      </c>
      <c r="H8">
        <v>16.7</v>
      </c>
      <c r="I8">
        <v>16.7</v>
      </c>
      <c r="J8">
        <v>14.1</v>
      </c>
      <c r="K8">
        <v>5.8</v>
      </c>
      <c r="L8">
        <v>2.4</v>
      </c>
      <c r="M8">
        <v>-5.0999999999999996</v>
      </c>
      <c r="O8">
        <f>ROUND(SUM(temp3[[#This Row],[styczeń]:[grudzień]])/12,2)</f>
        <v>5.28</v>
      </c>
      <c r="P8" s="4"/>
      <c r="S8" s="3"/>
    </row>
    <row r="9" spans="1:20" x14ac:dyDescent="0.25">
      <c r="A9">
        <v>1786</v>
      </c>
      <c r="B9">
        <v>-3.8</v>
      </c>
      <c r="C9">
        <v>-5.2</v>
      </c>
      <c r="D9">
        <v>-0.4</v>
      </c>
      <c r="E9">
        <v>8.9</v>
      </c>
      <c r="F9">
        <v>10.6</v>
      </c>
      <c r="G9">
        <v>16.5</v>
      </c>
      <c r="H9">
        <v>16.5</v>
      </c>
      <c r="I9">
        <v>15.9</v>
      </c>
      <c r="J9">
        <v>11.6</v>
      </c>
      <c r="K9">
        <v>4.5</v>
      </c>
      <c r="L9">
        <v>-2.7</v>
      </c>
      <c r="M9">
        <v>-2.5</v>
      </c>
      <c r="O9">
        <f>ROUND(SUM(temp3[[#This Row],[styczeń]:[grudzień]])/12,2)</f>
        <v>5.83</v>
      </c>
      <c r="P9" s="4"/>
      <c r="S9" s="3"/>
    </row>
    <row r="10" spans="1:20" x14ac:dyDescent="0.25">
      <c r="A10">
        <v>1787</v>
      </c>
      <c r="B10">
        <v>-5</v>
      </c>
      <c r="C10">
        <v>-0.8</v>
      </c>
      <c r="D10">
        <v>0.8</v>
      </c>
      <c r="E10">
        <v>5.9</v>
      </c>
      <c r="F10">
        <v>13.7</v>
      </c>
      <c r="G10">
        <v>18.7</v>
      </c>
      <c r="H10">
        <v>18.3</v>
      </c>
      <c r="I10">
        <v>17.100000000000001</v>
      </c>
      <c r="J10">
        <v>11.9</v>
      </c>
      <c r="K10">
        <v>9.5</v>
      </c>
      <c r="L10">
        <v>1.4</v>
      </c>
      <c r="M10">
        <v>-0.3</v>
      </c>
      <c r="O10">
        <f>ROUND(SUM(temp3[[#This Row],[styczeń]:[grudzień]])/12,2)</f>
        <v>7.6</v>
      </c>
      <c r="P10" s="4"/>
      <c r="S10" s="3"/>
    </row>
    <row r="11" spans="1:20" x14ac:dyDescent="0.25">
      <c r="A11">
        <v>1788</v>
      </c>
      <c r="B11">
        <v>-3.1</v>
      </c>
      <c r="C11">
        <v>-5</v>
      </c>
      <c r="D11">
        <v>-1.2</v>
      </c>
      <c r="E11">
        <v>5.4</v>
      </c>
      <c r="F11">
        <v>12.9</v>
      </c>
      <c r="G11">
        <v>18.100000000000001</v>
      </c>
      <c r="H11">
        <v>21.1</v>
      </c>
      <c r="I11">
        <v>17.600000000000001</v>
      </c>
      <c r="J11">
        <v>16.100000000000001</v>
      </c>
      <c r="K11">
        <v>6.9</v>
      </c>
      <c r="L11">
        <v>0.7</v>
      </c>
      <c r="M11">
        <v>-14.8</v>
      </c>
      <c r="O11">
        <f>ROUND(SUM(temp3[[#This Row],[styczeń]:[grudzień]])/12,2)</f>
        <v>6.23</v>
      </c>
      <c r="P11" s="4"/>
      <c r="S11" s="3"/>
    </row>
    <row r="12" spans="1:20" x14ac:dyDescent="0.25">
      <c r="A12">
        <v>1789</v>
      </c>
      <c r="B12">
        <v>-7.7</v>
      </c>
      <c r="C12">
        <v>-2.4</v>
      </c>
      <c r="D12">
        <v>-5.3</v>
      </c>
      <c r="E12">
        <v>6.3</v>
      </c>
      <c r="F12">
        <v>16.2</v>
      </c>
      <c r="G12">
        <v>16.899999999999999</v>
      </c>
      <c r="H12">
        <v>21.8</v>
      </c>
      <c r="I12">
        <v>20</v>
      </c>
      <c r="J12">
        <v>16.2</v>
      </c>
      <c r="K12">
        <v>10.7</v>
      </c>
      <c r="L12">
        <v>4.7</v>
      </c>
      <c r="M12">
        <v>0.9</v>
      </c>
      <c r="O12">
        <f>ROUND(SUM(temp3[[#This Row],[styczeń]:[grudzień]])/12,2)</f>
        <v>8.19</v>
      </c>
      <c r="P12" s="4"/>
      <c r="S12" s="3"/>
    </row>
    <row r="13" spans="1:20" x14ac:dyDescent="0.25">
      <c r="A13">
        <v>1790</v>
      </c>
      <c r="B13">
        <v>-1.2</v>
      </c>
      <c r="C13">
        <v>1.9</v>
      </c>
      <c r="D13">
        <v>2.5</v>
      </c>
      <c r="E13">
        <v>5.0999999999999996</v>
      </c>
      <c r="F13">
        <v>12.9</v>
      </c>
      <c r="G13">
        <v>17.2</v>
      </c>
      <c r="H13">
        <v>17.399999999999999</v>
      </c>
      <c r="I13">
        <v>17.2</v>
      </c>
      <c r="J13">
        <v>12.9</v>
      </c>
      <c r="K13">
        <v>6.9</v>
      </c>
      <c r="L13">
        <v>2.5</v>
      </c>
      <c r="M13">
        <v>1.2</v>
      </c>
      <c r="O13">
        <f>ROUND(SUM(temp3[[#This Row],[styczeń]:[grudzień]])/12,2)</f>
        <v>8.0399999999999991</v>
      </c>
      <c r="P13" s="4"/>
      <c r="S13" s="3"/>
    </row>
    <row r="14" spans="1:20" x14ac:dyDescent="0.25">
      <c r="A14">
        <v>1791</v>
      </c>
      <c r="B14">
        <v>1.4</v>
      </c>
      <c r="C14">
        <v>-1</v>
      </c>
      <c r="D14">
        <v>2.7</v>
      </c>
      <c r="E14">
        <v>10.1</v>
      </c>
      <c r="F14">
        <v>12.3</v>
      </c>
      <c r="G14">
        <v>16.100000000000001</v>
      </c>
      <c r="H14">
        <v>19</v>
      </c>
      <c r="I14">
        <v>19.899999999999999</v>
      </c>
      <c r="J14">
        <v>13.2</v>
      </c>
      <c r="K14">
        <v>7.8</v>
      </c>
      <c r="L14">
        <v>2.2000000000000002</v>
      </c>
      <c r="M14">
        <v>-0.2</v>
      </c>
      <c r="O14">
        <f>ROUND(SUM(temp3[[#This Row],[styczeń]:[grudzień]])/12,2)</f>
        <v>8.6300000000000008</v>
      </c>
      <c r="P14" s="4"/>
      <c r="S14" s="3"/>
    </row>
    <row r="15" spans="1:20" x14ac:dyDescent="0.25">
      <c r="A15">
        <v>1792</v>
      </c>
      <c r="B15">
        <v>-2.8</v>
      </c>
      <c r="C15">
        <v>-4</v>
      </c>
      <c r="D15">
        <v>0.9</v>
      </c>
      <c r="E15">
        <v>8</v>
      </c>
      <c r="F15">
        <v>12.1</v>
      </c>
      <c r="G15">
        <v>17.5</v>
      </c>
      <c r="H15">
        <v>20.399999999999999</v>
      </c>
      <c r="I15">
        <v>18.3</v>
      </c>
      <c r="J15">
        <v>14.7</v>
      </c>
      <c r="K15">
        <v>6.2</v>
      </c>
      <c r="L15">
        <v>1.4</v>
      </c>
      <c r="M15">
        <v>-1.5</v>
      </c>
      <c r="O15">
        <f>ROUND(SUM(temp3[[#This Row],[styczeń]:[grudzień]])/12,2)</f>
        <v>7.6</v>
      </c>
      <c r="P15" s="4"/>
      <c r="S15" s="3"/>
    </row>
    <row r="16" spans="1:20" x14ac:dyDescent="0.25">
      <c r="A16">
        <v>1793</v>
      </c>
      <c r="B16">
        <v>-5.8</v>
      </c>
      <c r="C16">
        <v>0</v>
      </c>
      <c r="D16">
        <v>-0.7</v>
      </c>
      <c r="E16">
        <v>5.3</v>
      </c>
      <c r="F16">
        <v>13.4</v>
      </c>
      <c r="G16">
        <v>15</v>
      </c>
      <c r="H16">
        <v>20.399999999999999</v>
      </c>
      <c r="I16">
        <v>18.7</v>
      </c>
      <c r="J16">
        <v>12.3</v>
      </c>
      <c r="K16">
        <v>9.5</v>
      </c>
      <c r="L16">
        <v>3.2</v>
      </c>
      <c r="M16">
        <v>-1.2</v>
      </c>
      <c r="O16">
        <f>ROUND(SUM(temp3[[#This Row],[styczeń]:[grudzień]])/12,2)</f>
        <v>7.51</v>
      </c>
      <c r="P16" s="4"/>
      <c r="S16" s="3"/>
    </row>
    <row r="17" spans="1:19" x14ac:dyDescent="0.25">
      <c r="A17">
        <v>1794</v>
      </c>
      <c r="B17">
        <v>-2</v>
      </c>
      <c r="C17">
        <v>-0.3</v>
      </c>
      <c r="D17">
        <v>3.6</v>
      </c>
      <c r="E17">
        <v>9.1999999999999993</v>
      </c>
      <c r="F17">
        <v>15.8</v>
      </c>
      <c r="G17">
        <v>18.8</v>
      </c>
      <c r="H17">
        <v>20.399999999999999</v>
      </c>
      <c r="I17">
        <v>17</v>
      </c>
      <c r="J17">
        <v>11.2</v>
      </c>
      <c r="K17">
        <v>8.1999999999999993</v>
      </c>
      <c r="L17">
        <v>2.8</v>
      </c>
      <c r="M17">
        <v>-6.1</v>
      </c>
      <c r="O17">
        <f>ROUND(SUM(temp3[[#This Row],[styczeń]:[grudzień]])/12,2)</f>
        <v>8.2200000000000006</v>
      </c>
      <c r="P17" s="4"/>
      <c r="S17" s="3"/>
    </row>
    <row r="18" spans="1:19" x14ac:dyDescent="0.25">
      <c r="A18">
        <v>1795</v>
      </c>
      <c r="B18">
        <v>-10.6</v>
      </c>
      <c r="C18">
        <v>-2.8</v>
      </c>
      <c r="D18">
        <v>1.2</v>
      </c>
      <c r="E18">
        <v>10</v>
      </c>
      <c r="F18">
        <v>13.8</v>
      </c>
      <c r="G18">
        <v>18.8</v>
      </c>
      <c r="H18">
        <v>17.3</v>
      </c>
      <c r="I18">
        <v>17.399999999999999</v>
      </c>
      <c r="J18">
        <v>13.2</v>
      </c>
      <c r="K18">
        <v>10.1</v>
      </c>
      <c r="L18">
        <v>0.7</v>
      </c>
      <c r="M18">
        <v>1</v>
      </c>
      <c r="O18">
        <f>ROUND(SUM(temp3[[#This Row],[styczeń]:[grudzień]])/12,2)</f>
        <v>7.51</v>
      </c>
      <c r="P18" s="4"/>
      <c r="S18" s="3"/>
    </row>
    <row r="19" spans="1:19" x14ac:dyDescent="0.25">
      <c r="A19">
        <v>1796</v>
      </c>
      <c r="B19">
        <v>3.5</v>
      </c>
      <c r="C19">
        <v>-2.2000000000000002</v>
      </c>
      <c r="D19">
        <v>-3.8</v>
      </c>
      <c r="E19">
        <v>4.9000000000000004</v>
      </c>
      <c r="F19">
        <v>13.5</v>
      </c>
      <c r="G19">
        <v>17.8</v>
      </c>
      <c r="H19">
        <v>19.5</v>
      </c>
      <c r="I19">
        <v>20.100000000000001</v>
      </c>
      <c r="J19">
        <v>14.7</v>
      </c>
      <c r="K19">
        <v>7.8</v>
      </c>
      <c r="L19">
        <v>1.2</v>
      </c>
      <c r="M19">
        <v>-2.7</v>
      </c>
      <c r="O19">
        <f>ROUND(SUM(temp3[[#This Row],[styczeń]:[grudzień]])/12,2)</f>
        <v>7.86</v>
      </c>
      <c r="P19" s="4"/>
      <c r="S19" s="3"/>
    </row>
    <row r="20" spans="1:19" x14ac:dyDescent="0.25">
      <c r="A20">
        <v>1797</v>
      </c>
      <c r="B20">
        <v>-1</v>
      </c>
      <c r="C20">
        <v>1.3</v>
      </c>
      <c r="D20">
        <v>0.8</v>
      </c>
      <c r="E20">
        <v>9.4</v>
      </c>
      <c r="F20">
        <v>17.600000000000001</v>
      </c>
      <c r="G20">
        <v>18.7</v>
      </c>
      <c r="H20">
        <v>21.2</v>
      </c>
      <c r="I20">
        <v>19.8</v>
      </c>
      <c r="J20">
        <v>16</v>
      </c>
      <c r="K20">
        <v>9.6</v>
      </c>
      <c r="L20">
        <v>1.6</v>
      </c>
      <c r="M20">
        <v>-0.3</v>
      </c>
      <c r="O20">
        <f>ROUND(SUM(temp3[[#This Row],[styczeń]:[grudzień]])/12,2)</f>
        <v>9.56</v>
      </c>
      <c r="P20" s="4"/>
    </row>
    <row r="21" spans="1:19" x14ac:dyDescent="0.25">
      <c r="A21">
        <v>1798</v>
      </c>
      <c r="B21">
        <v>-2.4</v>
      </c>
      <c r="C21">
        <v>0.3</v>
      </c>
      <c r="D21">
        <v>3.2</v>
      </c>
      <c r="E21">
        <v>10</v>
      </c>
      <c r="F21">
        <v>15.6</v>
      </c>
      <c r="G21">
        <v>17.899999999999999</v>
      </c>
      <c r="H21">
        <v>20.5</v>
      </c>
      <c r="I21">
        <v>19.899999999999999</v>
      </c>
      <c r="J21">
        <v>15</v>
      </c>
      <c r="K21">
        <v>7</v>
      </c>
      <c r="L21">
        <v>0.5</v>
      </c>
      <c r="M21">
        <v>-7.8</v>
      </c>
      <c r="O21">
        <f>ROUND(SUM(temp3[[#This Row],[styczeń]:[grudzień]])/12,2)</f>
        <v>8.31</v>
      </c>
      <c r="P21" s="4"/>
    </row>
    <row r="22" spans="1:19" x14ac:dyDescent="0.25">
      <c r="A22">
        <v>1799</v>
      </c>
      <c r="B22">
        <v>-8.4</v>
      </c>
      <c r="C22">
        <v>-9.6</v>
      </c>
      <c r="D22">
        <v>-3.1</v>
      </c>
      <c r="E22">
        <v>6.6</v>
      </c>
      <c r="F22">
        <v>12.1</v>
      </c>
      <c r="G22">
        <v>15.4</v>
      </c>
      <c r="H22">
        <v>17.600000000000001</v>
      </c>
      <c r="I22">
        <v>17.7</v>
      </c>
      <c r="J22">
        <v>12</v>
      </c>
      <c r="K22">
        <v>7.5</v>
      </c>
      <c r="L22">
        <v>3.1</v>
      </c>
      <c r="M22">
        <v>-8.4</v>
      </c>
      <c r="O22">
        <f>ROUND(SUM(temp3[[#This Row],[styczeń]:[grudzień]])/12,2)</f>
        <v>5.21</v>
      </c>
      <c r="P22" s="4"/>
    </row>
    <row r="23" spans="1:19" x14ac:dyDescent="0.25">
      <c r="A23">
        <v>1800</v>
      </c>
      <c r="B23">
        <v>-4.9000000000000004</v>
      </c>
      <c r="C23">
        <v>-3.6</v>
      </c>
      <c r="D23">
        <v>-2.6</v>
      </c>
      <c r="E23">
        <v>12.3</v>
      </c>
      <c r="F23">
        <v>14.7</v>
      </c>
      <c r="G23">
        <v>15.3</v>
      </c>
      <c r="H23">
        <v>16.8</v>
      </c>
      <c r="I23">
        <v>17.600000000000001</v>
      </c>
      <c r="J23">
        <v>12.2</v>
      </c>
      <c r="K23">
        <v>7.5</v>
      </c>
      <c r="L23">
        <v>4.0999999999999996</v>
      </c>
      <c r="M23">
        <v>-2.1</v>
      </c>
      <c r="O23">
        <f>ROUND(SUM(temp3[[#This Row],[styczeń]:[grudzień]])/12,2)</f>
        <v>7.28</v>
      </c>
    </row>
    <row r="24" spans="1:19" x14ac:dyDescent="0.25">
      <c r="A24">
        <v>1801</v>
      </c>
      <c r="B24">
        <v>-2.6</v>
      </c>
      <c r="C24">
        <v>-3.3</v>
      </c>
      <c r="D24">
        <v>4.0999999999999996</v>
      </c>
      <c r="E24">
        <v>7.5</v>
      </c>
      <c r="F24">
        <v>17.100000000000001</v>
      </c>
      <c r="G24">
        <v>15.2</v>
      </c>
      <c r="H24">
        <v>19.100000000000001</v>
      </c>
      <c r="I24">
        <v>15.9</v>
      </c>
      <c r="J24">
        <v>14.7</v>
      </c>
      <c r="K24">
        <v>9.1</v>
      </c>
      <c r="L24">
        <v>4.5999999999999996</v>
      </c>
      <c r="M24">
        <v>-0.6</v>
      </c>
      <c r="O24">
        <f>ROUND(SUM(temp3[[#This Row],[styczeń]:[grudzień]])/12,2)</f>
        <v>8.4</v>
      </c>
    </row>
    <row r="25" spans="1:19" x14ac:dyDescent="0.25">
      <c r="A25">
        <v>1802</v>
      </c>
      <c r="B25">
        <v>-4.4000000000000004</v>
      </c>
      <c r="C25">
        <v>-2.2999999999999998</v>
      </c>
      <c r="D25">
        <v>3.5</v>
      </c>
      <c r="E25">
        <v>9.3000000000000007</v>
      </c>
      <c r="F25">
        <v>12</v>
      </c>
      <c r="G25">
        <v>16.399999999999999</v>
      </c>
      <c r="H25">
        <v>19.3</v>
      </c>
      <c r="I25">
        <v>19.5</v>
      </c>
      <c r="J25">
        <v>12.7</v>
      </c>
      <c r="K25">
        <v>10.5</v>
      </c>
      <c r="L25">
        <v>2.2999999999999998</v>
      </c>
      <c r="M25">
        <v>-0.5</v>
      </c>
      <c r="O25">
        <f>ROUND(SUM(temp3[[#This Row],[styczeń]:[grudzień]])/12,2)</f>
        <v>8.19</v>
      </c>
    </row>
    <row r="26" spans="1:19" x14ac:dyDescent="0.25">
      <c r="A26">
        <v>1803</v>
      </c>
      <c r="B26">
        <v>-13.2</v>
      </c>
      <c r="C26">
        <v>-7.1</v>
      </c>
      <c r="D26">
        <v>0.7</v>
      </c>
      <c r="E26">
        <v>9.9</v>
      </c>
      <c r="F26">
        <v>11.5</v>
      </c>
      <c r="G26">
        <v>15.6</v>
      </c>
      <c r="H26">
        <v>19</v>
      </c>
      <c r="I26">
        <v>18.5</v>
      </c>
      <c r="J26">
        <v>11.4</v>
      </c>
      <c r="K26">
        <v>6.2</v>
      </c>
      <c r="L26">
        <v>1.6</v>
      </c>
      <c r="M26">
        <v>-5.0999999999999996</v>
      </c>
      <c r="O26">
        <f>ROUND(SUM(temp3[[#This Row],[styczeń]:[grudzień]])/12,2)</f>
        <v>5.75</v>
      </c>
    </row>
    <row r="27" spans="1:19" x14ac:dyDescent="0.25">
      <c r="A27">
        <v>1804</v>
      </c>
      <c r="B27">
        <v>-0.2</v>
      </c>
      <c r="C27">
        <v>-4.3</v>
      </c>
      <c r="D27">
        <v>-3.1</v>
      </c>
      <c r="E27">
        <v>7.2</v>
      </c>
      <c r="F27">
        <v>13.2</v>
      </c>
      <c r="G27">
        <v>17.100000000000001</v>
      </c>
      <c r="H27">
        <v>18.899999999999999</v>
      </c>
      <c r="I27">
        <v>16.5</v>
      </c>
      <c r="J27">
        <v>14.9</v>
      </c>
      <c r="K27">
        <v>7.5</v>
      </c>
      <c r="L27">
        <v>-2.2000000000000002</v>
      </c>
      <c r="M27">
        <v>-7.7</v>
      </c>
      <c r="O27">
        <f>ROUND(SUM(temp3[[#This Row],[styczeń]:[grudzień]])/12,2)</f>
        <v>6.48</v>
      </c>
    </row>
    <row r="28" spans="1:19" x14ac:dyDescent="0.25">
      <c r="A28">
        <v>1805</v>
      </c>
      <c r="B28">
        <v>-9</v>
      </c>
      <c r="C28">
        <v>-5</v>
      </c>
      <c r="D28">
        <v>-0.4</v>
      </c>
      <c r="E28">
        <v>4.5</v>
      </c>
      <c r="F28">
        <v>12</v>
      </c>
      <c r="G28">
        <v>15.1</v>
      </c>
      <c r="H28">
        <v>17.399999999999999</v>
      </c>
      <c r="I28">
        <v>16.399999999999999</v>
      </c>
      <c r="J28">
        <v>14.8</v>
      </c>
      <c r="K28">
        <v>1.8</v>
      </c>
      <c r="L28">
        <v>-2.5</v>
      </c>
      <c r="M28">
        <v>-1.3</v>
      </c>
      <c r="O28">
        <f>ROUND(SUM(temp3[[#This Row],[styczeń]:[grudzień]])/12,2)</f>
        <v>5.32</v>
      </c>
    </row>
    <row r="29" spans="1:19" x14ac:dyDescent="0.25">
      <c r="A29">
        <v>1806</v>
      </c>
      <c r="B29">
        <v>-0.2</v>
      </c>
      <c r="C29">
        <v>-1</v>
      </c>
      <c r="D29">
        <v>0.2</v>
      </c>
      <c r="E29">
        <v>6.4</v>
      </c>
      <c r="F29">
        <v>14.9</v>
      </c>
      <c r="G29">
        <v>14.5</v>
      </c>
      <c r="H29">
        <v>17</v>
      </c>
      <c r="I29">
        <v>18.3</v>
      </c>
      <c r="J29">
        <v>16.600000000000001</v>
      </c>
      <c r="K29">
        <v>8</v>
      </c>
      <c r="L29">
        <v>2.7</v>
      </c>
      <c r="M29">
        <v>2</v>
      </c>
      <c r="O29">
        <f>ROUND(SUM(temp3[[#This Row],[styczeń]:[grudzień]])/12,2)</f>
        <v>8.2799999999999994</v>
      </c>
    </row>
    <row r="30" spans="1:19" x14ac:dyDescent="0.25">
      <c r="A30">
        <v>1807</v>
      </c>
      <c r="B30">
        <v>-3.5</v>
      </c>
      <c r="C30">
        <v>-1.3</v>
      </c>
      <c r="D30">
        <v>-1.3</v>
      </c>
      <c r="E30">
        <v>5.7</v>
      </c>
      <c r="F30">
        <v>13.4</v>
      </c>
      <c r="G30">
        <v>16.3</v>
      </c>
      <c r="H30">
        <v>19.5</v>
      </c>
      <c r="I30">
        <v>23.8</v>
      </c>
      <c r="J30">
        <v>13</v>
      </c>
      <c r="K30">
        <v>8.4</v>
      </c>
      <c r="L30">
        <v>4</v>
      </c>
      <c r="M30">
        <v>-0.3</v>
      </c>
      <c r="O30">
        <f>ROUND(SUM(temp3[[#This Row],[styczeń]:[grudzień]])/12,2)</f>
        <v>8.14</v>
      </c>
    </row>
    <row r="31" spans="1:19" x14ac:dyDescent="0.25">
      <c r="A31">
        <v>1808</v>
      </c>
      <c r="B31">
        <v>-2</v>
      </c>
      <c r="C31">
        <v>-4</v>
      </c>
      <c r="D31">
        <v>-5.9</v>
      </c>
      <c r="E31">
        <v>4.7</v>
      </c>
      <c r="F31">
        <v>13</v>
      </c>
      <c r="G31">
        <v>17.100000000000001</v>
      </c>
      <c r="H31">
        <v>19.600000000000001</v>
      </c>
      <c r="I31">
        <v>20.5</v>
      </c>
      <c r="J31">
        <v>15.1</v>
      </c>
      <c r="K31">
        <v>8.5</v>
      </c>
      <c r="L31">
        <v>0.6</v>
      </c>
      <c r="M31">
        <v>-6.8</v>
      </c>
      <c r="O31">
        <f>ROUND(SUM(temp3[[#This Row],[styczeń]:[grudzień]])/12,2)</f>
        <v>6.7</v>
      </c>
    </row>
    <row r="32" spans="1:19" x14ac:dyDescent="0.25">
      <c r="A32">
        <v>1809</v>
      </c>
      <c r="B32">
        <v>-9.3000000000000007</v>
      </c>
      <c r="C32">
        <v>0</v>
      </c>
      <c r="D32">
        <v>-1.5</v>
      </c>
      <c r="E32">
        <v>4.9000000000000004</v>
      </c>
      <c r="F32">
        <v>14.4</v>
      </c>
      <c r="G32">
        <v>16.600000000000001</v>
      </c>
      <c r="H32">
        <v>18</v>
      </c>
      <c r="I32">
        <v>19.7</v>
      </c>
      <c r="J32">
        <v>13.4</v>
      </c>
      <c r="K32">
        <v>6.7</v>
      </c>
      <c r="L32">
        <v>1.3</v>
      </c>
      <c r="M32">
        <v>1</v>
      </c>
      <c r="O32">
        <f>ROUND(SUM(temp3[[#This Row],[styczeń]:[grudzień]])/12,2)</f>
        <v>7.1</v>
      </c>
    </row>
    <row r="33" spans="1:15" x14ac:dyDescent="0.25">
      <c r="A33">
        <v>1810</v>
      </c>
      <c r="B33">
        <v>-3.3</v>
      </c>
      <c r="C33">
        <v>-2.5</v>
      </c>
      <c r="D33">
        <v>1</v>
      </c>
      <c r="E33">
        <v>3.9</v>
      </c>
      <c r="F33">
        <v>11.2</v>
      </c>
      <c r="G33">
        <v>14.2</v>
      </c>
      <c r="H33">
        <v>18.100000000000001</v>
      </c>
      <c r="I33">
        <v>17.5</v>
      </c>
      <c r="J33">
        <v>14.6</v>
      </c>
      <c r="K33">
        <v>6.5</v>
      </c>
      <c r="L33">
        <v>2.7</v>
      </c>
      <c r="M33">
        <v>-0.6</v>
      </c>
      <c r="O33">
        <f>ROUND(SUM(temp3[[#This Row],[styczeń]:[grudzień]])/12,2)</f>
        <v>6.94</v>
      </c>
    </row>
    <row r="34" spans="1:15" x14ac:dyDescent="0.25">
      <c r="A34">
        <v>1811</v>
      </c>
      <c r="B34">
        <v>-8</v>
      </c>
      <c r="C34">
        <v>-4.5</v>
      </c>
      <c r="D34">
        <v>3.4</v>
      </c>
      <c r="E34">
        <v>6.5</v>
      </c>
      <c r="F34">
        <v>16.7</v>
      </c>
      <c r="G34">
        <v>22.4</v>
      </c>
      <c r="H34">
        <v>22.5</v>
      </c>
      <c r="I34">
        <v>19.899999999999999</v>
      </c>
      <c r="J34">
        <v>12.5</v>
      </c>
      <c r="K34">
        <v>10.6</v>
      </c>
      <c r="L34">
        <v>2.8</v>
      </c>
      <c r="M34">
        <v>-0.4</v>
      </c>
      <c r="O34">
        <f>ROUND(SUM(temp3[[#This Row],[styczeń]:[grudzień]])/12,2)</f>
        <v>8.6999999999999993</v>
      </c>
    </row>
    <row r="35" spans="1:15" x14ac:dyDescent="0.25">
      <c r="A35">
        <v>1812</v>
      </c>
      <c r="B35">
        <v>-7.8</v>
      </c>
      <c r="C35">
        <v>-3.8</v>
      </c>
      <c r="D35">
        <v>1.1000000000000001</v>
      </c>
      <c r="E35">
        <v>3.5</v>
      </c>
      <c r="F35">
        <v>12.4</v>
      </c>
      <c r="G35">
        <v>17.5</v>
      </c>
      <c r="H35">
        <v>18.5</v>
      </c>
      <c r="I35">
        <v>17.7</v>
      </c>
      <c r="J35">
        <v>11.3</v>
      </c>
      <c r="K35">
        <v>10.199999999999999</v>
      </c>
      <c r="L35">
        <v>0.2</v>
      </c>
      <c r="M35">
        <v>-10.9</v>
      </c>
      <c r="O35">
        <f>ROUND(SUM(temp3[[#This Row],[styczeń]:[grudzień]])/12,2)</f>
        <v>5.83</v>
      </c>
    </row>
    <row r="36" spans="1:15" x14ac:dyDescent="0.25">
      <c r="A36">
        <v>1813</v>
      </c>
      <c r="B36">
        <v>-6.2</v>
      </c>
      <c r="C36">
        <v>0.4</v>
      </c>
      <c r="D36">
        <v>0</v>
      </c>
      <c r="E36">
        <v>9</v>
      </c>
      <c r="F36">
        <v>12.4</v>
      </c>
      <c r="G36">
        <v>15.4</v>
      </c>
      <c r="H36">
        <v>18.5</v>
      </c>
      <c r="I36">
        <v>16.7</v>
      </c>
      <c r="J36">
        <v>12.6</v>
      </c>
      <c r="K36">
        <v>5.4</v>
      </c>
      <c r="L36">
        <v>2.9</v>
      </c>
      <c r="M36">
        <v>-0.9</v>
      </c>
      <c r="O36">
        <f>ROUND(SUM(temp3[[#This Row],[styczeń]:[grudzień]])/12,2)</f>
        <v>7.18</v>
      </c>
    </row>
    <row r="37" spans="1:15" x14ac:dyDescent="0.25">
      <c r="A37">
        <v>1814</v>
      </c>
      <c r="B37">
        <v>-5</v>
      </c>
      <c r="C37">
        <v>-9.6</v>
      </c>
      <c r="D37">
        <v>0.5</v>
      </c>
      <c r="E37">
        <v>8.6999999999999993</v>
      </c>
      <c r="F37">
        <v>9.9</v>
      </c>
      <c r="G37">
        <v>15.4</v>
      </c>
      <c r="H37">
        <v>20.100000000000001</v>
      </c>
      <c r="I37">
        <v>17.7</v>
      </c>
      <c r="J37">
        <v>11.6</v>
      </c>
      <c r="K37">
        <v>6.2</v>
      </c>
      <c r="L37">
        <v>2.1</v>
      </c>
      <c r="M37">
        <v>-0.9</v>
      </c>
      <c r="O37">
        <f>ROUND(SUM(temp3[[#This Row],[styczeń]:[grudzień]])/12,2)</f>
        <v>6.39</v>
      </c>
    </row>
    <row r="38" spans="1:15" x14ac:dyDescent="0.25">
      <c r="A38">
        <v>1815</v>
      </c>
      <c r="B38">
        <v>-9.4</v>
      </c>
      <c r="C38">
        <v>-2.7</v>
      </c>
      <c r="D38">
        <v>2</v>
      </c>
      <c r="E38">
        <v>6.8</v>
      </c>
      <c r="F38">
        <v>13.1</v>
      </c>
      <c r="G38">
        <v>17.3</v>
      </c>
      <c r="H38">
        <v>16.7</v>
      </c>
      <c r="I38">
        <v>17</v>
      </c>
      <c r="J38">
        <v>11.8</v>
      </c>
      <c r="K38">
        <v>7.8</v>
      </c>
      <c r="L38">
        <v>1.2</v>
      </c>
      <c r="M38">
        <v>-7.2</v>
      </c>
      <c r="O38">
        <f>ROUND(SUM(temp3[[#This Row],[styczeń]:[grudzień]])/12,2)</f>
        <v>6.2</v>
      </c>
    </row>
    <row r="39" spans="1:15" x14ac:dyDescent="0.25">
      <c r="A39">
        <v>1816</v>
      </c>
      <c r="B39">
        <v>-3.2</v>
      </c>
      <c r="C39">
        <v>-5.4</v>
      </c>
      <c r="D39">
        <v>0.5</v>
      </c>
      <c r="E39">
        <v>6.4</v>
      </c>
      <c r="F39">
        <v>12.2</v>
      </c>
      <c r="G39">
        <v>16.8</v>
      </c>
      <c r="H39">
        <v>18</v>
      </c>
      <c r="I39">
        <v>16.2</v>
      </c>
      <c r="J39">
        <v>12.7</v>
      </c>
      <c r="K39">
        <v>6.6</v>
      </c>
      <c r="L39">
        <v>2.2999999999999998</v>
      </c>
      <c r="M39">
        <v>-3.5</v>
      </c>
      <c r="O39">
        <f>ROUND(SUM(temp3[[#This Row],[styczeń]:[grudzień]])/12,2)</f>
        <v>6.63</v>
      </c>
    </row>
    <row r="40" spans="1:15" x14ac:dyDescent="0.25">
      <c r="A40">
        <v>1817</v>
      </c>
      <c r="B40">
        <v>-0.5</v>
      </c>
      <c r="C40">
        <v>1.1000000000000001</v>
      </c>
      <c r="D40">
        <v>1.4</v>
      </c>
      <c r="E40">
        <v>2.4</v>
      </c>
      <c r="F40">
        <v>13.4</v>
      </c>
      <c r="G40">
        <v>18.600000000000001</v>
      </c>
      <c r="H40">
        <v>18.7</v>
      </c>
      <c r="I40">
        <v>18</v>
      </c>
      <c r="J40">
        <v>12.6</v>
      </c>
      <c r="K40">
        <v>4.5</v>
      </c>
      <c r="L40">
        <v>2.7</v>
      </c>
      <c r="M40">
        <v>-2.7</v>
      </c>
      <c r="O40">
        <f>ROUND(SUM(temp3[[#This Row],[styczeń]:[grudzień]])/12,2)</f>
        <v>7.52</v>
      </c>
    </row>
    <row r="41" spans="1:15" x14ac:dyDescent="0.25">
      <c r="A41">
        <v>1818</v>
      </c>
      <c r="B41">
        <v>-2.8</v>
      </c>
      <c r="C41">
        <v>-1</v>
      </c>
      <c r="D41">
        <v>2.9</v>
      </c>
      <c r="E41">
        <v>7.4</v>
      </c>
      <c r="F41">
        <v>12.2</v>
      </c>
      <c r="G41">
        <v>16.7</v>
      </c>
      <c r="H41">
        <v>19.2</v>
      </c>
      <c r="I41">
        <v>16.399999999999999</v>
      </c>
      <c r="J41">
        <v>12.8</v>
      </c>
      <c r="K41">
        <v>7.1</v>
      </c>
      <c r="L41">
        <v>2</v>
      </c>
      <c r="M41">
        <v>-4.4000000000000004</v>
      </c>
      <c r="O41">
        <f>ROUND(SUM(temp3[[#This Row],[styczeń]:[grudzień]])/12,2)</f>
        <v>7.38</v>
      </c>
    </row>
    <row r="42" spans="1:15" x14ac:dyDescent="0.25">
      <c r="A42">
        <v>1819</v>
      </c>
      <c r="B42">
        <v>-2</v>
      </c>
      <c r="C42">
        <v>-0.5</v>
      </c>
      <c r="D42">
        <v>1.9</v>
      </c>
      <c r="E42">
        <v>6.8</v>
      </c>
      <c r="F42">
        <v>13.4</v>
      </c>
      <c r="G42">
        <v>18.100000000000001</v>
      </c>
      <c r="H42">
        <v>19</v>
      </c>
      <c r="I42">
        <v>18.7</v>
      </c>
      <c r="J42">
        <v>14.3</v>
      </c>
      <c r="K42">
        <v>7.8</v>
      </c>
      <c r="L42">
        <v>1.6</v>
      </c>
      <c r="M42">
        <v>-8</v>
      </c>
      <c r="O42">
        <f>ROUND(SUM(temp3[[#This Row],[styczeń]:[grudzień]])/12,2)</f>
        <v>7.59</v>
      </c>
    </row>
    <row r="43" spans="1:15" x14ac:dyDescent="0.25">
      <c r="A43">
        <v>1820</v>
      </c>
      <c r="B43">
        <v>-9.6999999999999993</v>
      </c>
      <c r="C43">
        <v>-3</v>
      </c>
      <c r="D43">
        <v>0.5</v>
      </c>
      <c r="E43">
        <v>8.5</v>
      </c>
      <c r="F43">
        <v>15.3</v>
      </c>
      <c r="G43">
        <v>16.2</v>
      </c>
      <c r="H43">
        <v>16.899999999999999</v>
      </c>
      <c r="I43">
        <v>18.8</v>
      </c>
      <c r="J43">
        <v>12.9</v>
      </c>
      <c r="K43">
        <v>8.6</v>
      </c>
      <c r="L43">
        <v>1.9</v>
      </c>
      <c r="M43">
        <v>-5.5</v>
      </c>
      <c r="O43">
        <f>ROUND(SUM(temp3[[#This Row],[styczeń]:[grudzień]])/12,2)</f>
        <v>6.78</v>
      </c>
    </row>
    <row r="44" spans="1:15" x14ac:dyDescent="0.25">
      <c r="A44">
        <v>1821</v>
      </c>
      <c r="B44">
        <v>-2.5</v>
      </c>
      <c r="C44">
        <v>-5</v>
      </c>
      <c r="D44">
        <v>-1.7</v>
      </c>
      <c r="E44">
        <v>10.6</v>
      </c>
      <c r="F44">
        <v>13.4</v>
      </c>
      <c r="G44">
        <v>14.5</v>
      </c>
      <c r="H44">
        <v>17</v>
      </c>
      <c r="I44">
        <v>16.5</v>
      </c>
      <c r="J44">
        <v>13.9</v>
      </c>
      <c r="K44">
        <v>8.5</v>
      </c>
      <c r="L44">
        <v>4.9000000000000004</v>
      </c>
      <c r="M44">
        <v>-0.4</v>
      </c>
      <c r="O44">
        <f>ROUND(SUM(temp3[[#This Row],[styczeń]:[grudzień]])/12,2)</f>
        <v>7.48</v>
      </c>
    </row>
    <row r="45" spans="1:15" x14ac:dyDescent="0.25">
      <c r="A45">
        <v>1822</v>
      </c>
      <c r="B45">
        <v>-2.7</v>
      </c>
      <c r="C45">
        <v>-0.2</v>
      </c>
      <c r="D45">
        <v>5</v>
      </c>
      <c r="E45">
        <v>9</v>
      </c>
      <c r="F45">
        <v>13.9</v>
      </c>
      <c r="G45">
        <v>17.8</v>
      </c>
      <c r="H45">
        <v>20.8</v>
      </c>
      <c r="I45">
        <v>17.600000000000001</v>
      </c>
      <c r="J45">
        <v>12.2</v>
      </c>
      <c r="K45">
        <v>10.9</v>
      </c>
      <c r="L45">
        <v>3.2</v>
      </c>
      <c r="M45">
        <v>-5.2</v>
      </c>
      <c r="O45">
        <f>ROUND(SUM(temp3[[#This Row],[styczeń]:[grudzień]])/12,2)</f>
        <v>8.5299999999999994</v>
      </c>
    </row>
    <row r="46" spans="1:15" x14ac:dyDescent="0.25">
      <c r="A46">
        <v>1823</v>
      </c>
      <c r="B46">
        <v>-13</v>
      </c>
      <c r="C46">
        <v>-2.5</v>
      </c>
      <c r="D46">
        <v>2.5</v>
      </c>
      <c r="E46">
        <v>6</v>
      </c>
      <c r="F46">
        <v>12.5</v>
      </c>
      <c r="G46">
        <v>18.5</v>
      </c>
      <c r="H46">
        <v>19.5</v>
      </c>
      <c r="I46">
        <v>20.399999999999999</v>
      </c>
      <c r="J46">
        <v>13.6</v>
      </c>
      <c r="K46">
        <v>10.5</v>
      </c>
      <c r="L46">
        <v>2.9</v>
      </c>
      <c r="M46">
        <v>-2.2999999999999998</v>
      </c>
      <c r="O46">
        <f>ROUND(SUM(temp3[[#This Row],[styczeń]:[grudzień]])/12,2)</f>
        <v>7.38</v>
      </c>
    </row>
    <row r="47" spans="1:15" x14ac:dyDescent="0.25">
      <c r="A47">
        <v>1824</v>
      </c>
      <c r="B47">
        <v>-2.2999999999999998</v>
      </c>
      <c r="C47">
        <v>-1.1000000000000001</v>
      </c>
      <c r="D47">
        <v>2.5</v>
      </c>
      <c r="E47">
        <v>7</v>
      </c>
      <c r="F47">
        <v>10.8</v>
      </c>
      <c r="G47">
        <v>15.7</v>
      </c>
      <c r="H47">
        <v>18.100000000000001</v>
      </c>
      <c r="I47">
        <v>18.3</v>
      </c>
      <c r="J47">
        <v>16.5</v>
      </c>
      <c r="K47">
        <v>8.9</v>
      </c>
      <c r="L47">
        <v>3.8</v>
      </c>
      <c r="M47">
        <v>2.4</v>
      </c>
      <c r="O47">
        <f>ROUND(SUM(temp3[[#This Row],[styczeń]:[grudzień]])/12,2)</f>
        <v>8.3800000000000008</v>
      </c>
    </row>
    <row r="48" spans="1:15" x14ac:dyDescent="0.25">
      <c r="A48">
        <v>1825</v>
      </c>
      <c r="B48">
        <v>-1.6</v>
      </c>
      <c r="C48">
        <v>-3.1</v>
      </c>
      <c r="D48">
        <v>-2.2999999999999998</v>
      </c>
      <c r="E48">
        <v>6.9</v>
      </c>
      <c r="F48">
        <v>13</v>
      </c>
      <c r="G48">
        <v>17.399999999999999</v>
      </c>
      <c r="H48">
        <v>18.7</v>
      </c>
      <c r="I48">
        <v>18.3</v>
      </c>
      <c r="J48">
        <v>13.8</v>
      </c>
      <c r="K48">
        <v>8.8000000000000007</v>
      </c>
      <c r="L48">
        <v>5.7</v>
      </c>
      <c r="M48">
        <v>2.5</v>
      </c>
      <c r="O48">
        <f>ROUND(SUM(temp3[[#This Row],[styczeń]:[grudzień]])/12,2)</f>
        <v>8.18</v>
      </c>
    </row>
    <row r="49" spans="1:15" x14ac:dyDescent="0.25">
      <c r="A49">
        <v>1826</v>
      </c>
      <c r="B49">
        <v>-8.6</v>
      </c>
      <c r="C49">
        <v>-1.6</v>
      </c>
      <c r="D49">
        <v>1.5</v>
      </c>
      <c r="E49">
        <v>6.2</v>
      </c>
      <c r="F49">
        <v>12.6</v>
      </c>
      <c r="G49">
        <v>17.100000000000001</v>
      </c>
      <c r="H49">
        <v>21.4</v>
      </c>
      <c r="I49">
        <v>19.600000000000001</v>
      </c>
      <c r="J49">
        <v>13.6</v>
      </c>
      <c r="K49">
        <v>9.6999999999999993</v>
      </c>
      <c r="L49">
        <v>2.2999999999999998</v>
      </c>
      <c r="M49">
        <v>-0.6</v>
      </c>
      <c r="O49">
        <f>ROUND(SUM(temp3[[#This Row],[styczeń]:[grudzień]])/12,2)</f>
        <v>7.77</v>
      </c>
    </row>
    <row r="50" spans="1:15" x14ac:dyDescent="0.25">
      <c r="A50">
        <v>1827</v>
      </c>
      <c r="B50">
        <v>-2.5</v>
      </c>
      <c r="C50">
        <v>-7.5</v>
      </c>
      <c r="D50">
        <v>2.7</v>
      </c>
      <c r="E50">
        <v>10.4</v>
      </c>
      <c r="F50">
        <v>14.9</v>
      </c>
      <c r="G50">
        <v>19.600000000000001</v>
      </c>
      <c r="H50">
        <v>18.600000000000001</v>
      </c>
      <c r="I50">
        <v>17</v>
      </c>
      <c r="J50">
        <v>14</v>
      </c>
      <c r="K50">
        <v>9.1</v>
      </c>
      <c r="L50">
        <v>-0.4</v>
      </c>
      <c r="M50">
        <v>1</v>
      </c>
      <c r="O50">
        <f>ROUND(SUM(temp3[[#This Row],[styczeń]:[grudzień]])/12,2)</f>
        <v>8.08</v>
      </c>
    </row>
    <row r="51" spans="1:15" x14ac:dyDescent="0.25">
      <c r="A51">
        <v>1828</v>
      </c>
      <c r="B51">
        <v>-7.4</v>
      </c>
      <c r="C51">
        <v>-4.7</v>
      </c>
      <c r="D51">
        <v>2</v>
      </c>
      <c r="E51">
        <v>9.1999999999999993</v>
      </c>
      <c r="F51">
        <v>12.3</v>
      </c>
      <c r="G51">
        <v>16.8</v>
      </c>
      <c r="H51">
        <v>19.399999999999999</v>
      </c>
      <c r="I51">
        <v>16.600000000000001</v>
      </c>
      <c r="J51">
        <v>12.7</v>
      </c>
      <c r="K51">
        <v>7.5</v>
      </c>
      <c r="L51">
        <v>2.5</v>
      </c>
      <c r="M51">
        <v>-2.1</v>
      </c>
      <c r="O51">
        <f>ROUND(SUM(temp3[[#This Row],[styczeń]:[grudzień]])/12,2)</f>
        <v>7.07</v>
      </c>
    </row>
    <row r="52" spans="1:15" x14ac:dyDescent="0.25">
      <c r="A52">
        <v>1829</v>
      </c>
      <c r="B52">
        <v>-8.5</v>
      </c>
      <c r="C52">
        <v>-6.9</v>
      </c>
      <c r="D52">
        <v>-1.7</v>
      </c>
      <c r="E52">
        <v>6.6</v>
      </c>
      <c r="F52">
        <v>11.4</v>
      </c>
      <c r="G52">
        <v>15.5</v>
      </c>
      <c r="H52">
        <v>18</v>
      </c>
      <c r="I52">
        <v>16.399999999999999</v>
      </c>
      <c r="J52">
        <v>14.3</v>
      </c>
      <c r="K52">
        <v>5.3</v>
      </c>
      <c r="L52">
        <v>-2.2999999999999998</v>
      </c>
      <c r="M52">
        <v>-11.2</v>
      </c>
      <c r="O52">
        <f>ROUND(SUM(temp3[[#This Row],[styczeń]:[grudzień]])/12,2)</f>
        <v>4.74</v>
      </c>
    </row>
    <row r="53" spans="1:15" x14ac:dyDescent="0.25">
      <c r="A53">
        <v>1830</v>
      </c>
      <c r="B53">
        <v>-10</v>
      </c>
      <c r="C53">
        <v>-6.4</v>
      </c>
      <c r="D53">
        <v>0.9</v>
      </c>
      <c r="E53">
        <v>8</v>
      </c>
      <c r="F53">
        <v>11.9</v>
      </c>
      <c r="G53">
        <v>17.399999999999999</v>
      </c>
      <c r="H53">
        <v>17.100000000000001</v>
      </c>
      <c r="I53">
        <v>17.899999999999999</v>
      </c>
      <c r="J53">
        <v>12.5</v>
      </c>
      <c r="K53">
        <v>6.8</v>
      </c>
      <c r="L53">
        <v>3.8</v>
      </c>
      <c r="M53">
        <v>-0.2</v>
      </c>
      <c r="O53">
        <f>ROUND(SUM(temp3[[#This Row],[styczeń]:[grudzień]])/12,2)</f>
        <v>6.64</v>
      </c>
    </row>
    <row r="54" spans="1:15" x14ac:dyDescent="0.25">
      <c r="A54">
        <v>1831</v>
      </c>
      <c r="B54">
        <v>-7.2</v>
      </c>
      <c r="C54">
        <v>-1.3</v>
      </c>
      <c r="D54">
        <v>0.4</v>
      </c>
      <c r="E54">
        <v>10.4</v>
      </c>
      <c r="F54">
        <v>13</v>
      </c>
      <c r="G54">
        <v>16.100000000000001</v>
      </c>
      <c r="H54">
        <v>18.7</v>
      </c>
      <c r="I54">
        <v>16.899999999999999</v>
      </c>
      <c r="J54">
        <v>12</v>
      </c>
      <c r="K54">
        <v>9.5</v>
      </c>
      <c r="L54">
        <v>1.6</v>
      </c>
      <c r="M54">
        <v>-1.8</v>
      </c>
      <c r="O54">
        <f>ROUND(SUM(temp3[[#This Row],[styczeń]:[grudzień]])/12,2)</f>
        <v>7.36</v>
      </c>
    </row>
    <row r="55" spans="1:15" x14ac:dyDescent="0.25">
      <c r="A55">
        <v>1832</v>
      </c>
      <c r="B55">
        <v>-3.5</v>
      </c>
      <c r="C55">
        <v>-1.7</v>
      </c>
      <c r="D55">
        <v>0.4</v>
      </c>
      <c r="E55">
        <v>5.7</v>
      </c>
      <c r="F55">
        <v>10.7</v>
      </c>
      <c r="G55">
        <v>15.2</v>
      </c>
      <c r="H55">
        <v>14.6</v>
      </c>
      <c r="I55">
        <v>16.899999999999999</v>
      </c>
      <c r="J55">
        <v>10.9</v>
      </c>
      <c r="K55">
        <v>7.6</v>
      </c>
      <c r="L55">
        <v>0.4</v>
      </c>
      <c r="M55">
        <v>-3.6</v>
      </c>
      <c r="O55">
        <f>ROUND(SUM(temp3[[#This Row],[styczeń]:[grudzień]])/12,2)</f>
        <v>6.13</v>
      </c>
    </row>
    <row r="56" spans="1:15" x14ac:dyDescent="0.25">
      <c r="A56">
        <v>1833</v>
      </c>
      <c r="B56">
        <v>-4.7</v>
      </c>
      <c r="C56">
        <v>1.3</v>
      </c>
      <c r="D56">
        <v>2</v>
      </c>
      <c r="E56">
        <v>6</v>
      </c>
      <c r="F56">
        <v>15.3</v>
      </c>
      <c r="G56">
        <v>18.3</v>
      </c>
      <c r="H56">
        <v>17.5</v>
      </c>
      <c r="I56">
        <v>14</v>
      </c>
      <c r="J56">
        <v>13.3</v>
      </c>
      <c r="K56">
        <v>6.8</v>
      </c>
      <c r="L56">
        <v>2.5</v>
      </c>
      <c r="M56">
        <v>2.1</v>
      </c>
      <c r="O56">
        <f>ROUND(SUM(temp3[[#This Row],[styczeń]:[grudzień]])/12,2)</f>
        <v>7.87</v>
      </c>
    </row>
    <row r="57" spans="1:15" x14ac:dyDescent="0.25">
      <c r="A57">
        <v>1834</v>
      </c>
      <c r="B57">
        <v>-0.4</v>
      </c>
      <c r="C57">
        <v>-1.4</v>
      </c>
      <c r="D57">
        <v>1.3</v>
      </c>
      <c r="E57">
        <v>6.4</v>
      </c>
      <c r="F57">
        <v>15.3</v>
      </c>
      <c r="G57">
        <v>17.100000000000001</v>
      </c>
      <c r="H57">
        <v>21.2</v>
      </c>
      <c r="I57">
        <v>20.3</v>
      </c>
      <c r="J57">
        <v>14.3</v>
      </c>
      <c r="K57">
        <v>7.6</v>
      </c>
      <c r="L57">
        <v>2.5</v>
      </c>
      <c r="M57">
        <v>0.2</v>
      </c>
      <c r="O57">
        <f>ROUND(SUM(temp3[[#This Row],[styczeń]:[grudzień]])/12,2)</f>
        <v>8.6999999999999993</v>
      </c>
    </row>
    <row r="58" spans="1:15" x14ac:dyDescent="0.25">
      <c r="A58">
        <v>1835</v>
      </c>
      <c r="B58">
        <v>-1.1000000000000001</v>
      </c>
      <c r="C58">
        <v>1.2</v>
      </c>
      <c r="D58">
        <v>2.2999999999999998</v>
      </c>
      <c r="E58">
        <v>6.1</v>
      </c>
      <c r="F58">
        <v>12.5</v>
      </c>
      <c r="G58">
        <v>17.2</v>
      </c>
      <c r="H58">
        <v>18.8</v>
      </c>
      <c r="I58">
        <v>15.2</v>
      </c>
      <c r="J58">
        <v>13.4</v>
      </c>
      <c r="K58">
        <v>7.4</v>
      </c>
      <c r="L58">
        <v>-1.5</v>
      </c>
      <c r="M58">
        <v>-4.5999999999999996</v>
      </c>
      <c r="O58">
        <f>ROUND(SUM(temp3[[#This Row],[styczeń]:[grudzień]])/12,2)</f>
        <v>7.24</v>
      </c>
    </row>
    <row r="59" spans="1:15" x14ac:dyDescent="0.25">
      <c r="A59">
        <v>1836</v>
      </c>
      <c r="B59">
        <v>-5.2</v>
      </c>
      <c r="C59">
        <v>-0.7</v>
      </c>
      <c r="D59">
        <v>7.4</v>
      </c>
      <c r="E59">
        <v>8.8000000000000007</v>
      </c>
      <c r="F59">
        <v>10</v>
      </c>
      <c r="G59">
        <v>17.399999999999999</v>
      </c>
      <c r="H59">
        <v>16.7</v>
      </c>
      <c r="I59">
        <v>15.9</v>
      </c>
      <c r="J59">
        <v>13.9</v>
      </c>
      <c r="K59">
        <v>11</v>
      </c>
      <c r="L59">
        <v>-0.6</v>
      </c>
      <c r="M59">
        <v>-0.6</v>
      </c>
      <c r="O59">
        <f>ROUND(SUM(temp3[[#This Row],[styczeń]:[grudzień]])/12,2)</f>
        <v>7.83</v>
      </c>
    </row>
    <row r="60" spans="1:15" x14ac:dyDescent="0.25">
      <c r="A60">
        <v>1837</v>
      </c>
      <c r="B60">
        <v>-4</v>
      </c>
      <c r="C60">
        <v>-3.7</v>
      </c>
      <c r="D60">
        <v>-0.7</v>
      </c>
      <c r="E60">
        <v>7.7</v>
      </c>
      <c r="F60">
        <v>12.7</v>
      </c>
      <c r="G60">
        <v>16.399999999999999</v>
      </c>
      <c r="H60">
        <v>16.7</v>
      </c>
      <c r="I60">
        <v>18.899999999999999</v>
      </c>
      <c r="J60">
        <v>12.6</v>
      </c>
      <c r="K60">
        <v>7.8</v>
      </c>
      <c r="L60">
        <v>3.6</v>
      </c>
      <c r="M60">
        <v>-4.9000000000000004</v>
      </c>
      <c r="O60">
        <f>ROUND(SUM(temp3[[#This Row],[styczeń]:[grudzień]])/12,2)</f>
        <v>6.93</v>
      </c>
    </row>
    <row r="61" spans="1:15" x14ac:dyDescent="0.25">
      <c r="A61">
        <v>1838</v>
      </c>
      <c r="B61">
        <v>-13.5</v>
      </c>
      <c r="C61">
        <v>-7.3</v>
      </c>
      <c r="D61">
        <v>0.6</v>
      </c>
      <c r="E61">
        <v>5.8</v>
      </c>
      <c r="F61">
        <v>14.2</v>
      </c>
      <c r="G61">
        <v>16.7</v>
      </c>
      <c r="H61">
        <v>17.399999999999999</v>
      </c>
      <c r="I61">
        <v>15.5</v>
      </c>
      <c r="J61">
        <v>15.8</v>
      </c>
      <c r="K61">
        <v>6.1</v>
      </c>
      <c r="L61">
        <v>0.4</v>
      </c>
      <c r="M61">
        <v>-2.7</v>
      </c>
      <c r="O61">
        <f>ROUND(SUM(temp3[[#This Row],[styczeń]:[grudzień]])/12,2)</f>
        <v>5.75</v>
      </c>
    </row>
    <row r="62" spans="1:15" x14ac:dyDescent="0.25">
      <c r="A62">
        <v>1839</v>
      </c>
      <c r="B62">
        <v>-4.4000000000000004</v>
      </c>
      <c r="C62">
        <v>-2.2999999999999998</v>
      </c>
      <c r="D62">
        <v>-3.4</v>
      </c>
      <c r="E62">
        <v>3.7</v>
      </c>
      <c r="F62">
        <v>15.3</v>
      </c>
      <c r="G62">
        <v>18.399999999999999</v>
      </c>
      <c r="H62">
        <v>20.7</v>
      </c>
      <c r="I62">
        <v>18</v>
      </c>
      <c r="J62">
        <v>16.2</v>
      </c>
      <c r="K62">
        <v>8.3000000000000007</v>
      </c>
      <c r="L62">
        <v>2.2000000000000002</v>
      </c>
      <c r="M62">
        <v>-5.6</v>
      </c>
      <c r="O62">
        <f>ROUND(SUM(temp3[[#This Row],[styczeń]:[grudzień]])/12,2)</f>
        <v>7.26</v>
      </c>
    </row>
    <row r="63" spans="1:15" x14ac:dyDescent="0.25">
      <c r="A63">
        <v>1840</v>
      </c>
      <c r="B63">
        <v>-4.2</v>
      </c>
      <c r="C63">
        <v>-3.5</v>
      </c>
      <c r="D63">
        <v>-3</v>
      </c>
      <c r="E63">
        <v>6.5</v>
      </c>
      <c r="F63">
        <v>11.1</v>
      </c>
      <c r="G63">
        <v>16.5</v>
      </c>
      <c r="H63">
        <v>19</v>
      </c>
      <c r="I63">
        <v>16.7</v>
      </c>
      <c r="J63">
        <v>14.8</v>
      </c>
      <c r="K63">
        <v>5.7</v>
      </c>
      <c r="L63">
        <v>3.5</v>
      </c>
      <c r="M63">
        <v>-8.9</v>
      </c>
      <c r="O63">
        <f>ROUND(SUM(temp3[[#This Row],[styczeń]:[grudzień]])/12,2)</f>
        <v>6.18</v>
      </c>
    </row>
    <row r="64" spans="1:15" x14ac:dyDescent="0.25">
      <c r="A64">
        <v>1841</v>
      </c>
      <c r="B64">
        <v>-3.9</v>
      </c>
      <c r="C64">
        <v>-9.5</v>
      </c>
      <c r="D64">
        <v>1.2</v>
      </c>
      <c r="E64">
        <v>9.4</v>
      </c>
      <c r="F64">
        <v>16.8</v>
      </c>
      <c r="G64">
        <v>17.8</v>
      </c>
      <c r="H64">
        <v>18.3</v>
      </c>
      <c r="I64">
        <v>19.3</v>
      </c>
      <c r="J64">
        <v>14.6</v>
      </c>
      <c r="K64">
        <v>11.2</v>
      </c>
      <c r="L64">
        <v>3.1</v>
      </c>
      <c r="M64">
        <v>2</v>
      </c>
      <c r="O64">
        <f>ROUND(SUM(temp3[[#This Row],[styczeń]:[grudzień]])/12,2)</f>
        <v>8.36</v>
      </c>
    </row>
    <row r="65" spans="1:15" x14ac:dyDescent="0.25">
      <c r="A65">
        <v>1842</v>
      </c>
      <c r="B65">
        <v>-7.3</v>
      </c>
      <c r="C65">
        <v>-3.5</v>
      </c>
      <c r="D65">
        <v>1.7</v>
      </c>
      <c r="E65">
        <v>4</v>
      </c>
      <c r="F65">
        <v>14.4</v>
      </c>
      <c r="G65">
        <v>16</v>
      </c>
      <c r="H65">
        <v>16.5</v>
      </c>
      <c r="I65">
        <v>20.5</v>
      </c>
      <c r="J65">
        <v>13.7</v>
      </c>
      <c r="K65">
        <v>5.7</v>
      </c>
      <c r="L65">
        <v>-1.3</v>
      </c>
      <c r="M65">
        <v>1.6</v>
      </c>
      <c r="O65">
        <f>ROUND(SUM(temp3[[#This Row],[styczeń]:[grudzień]])/12,2)</f>
        <v>6.83</v>
      </c>
    </row>
    <row r="66" spans="1:15" x14ac:dyDescent="0.25">
      <c r="A66">
        <v>1843</v>
      </c>
      <c r="B66">
        <v>-1</v>
      </c>
      <c r="C66">
        <v>3.6</v>
      </c>
      <c r="D66">
        <v>0.1</v>
      </c>
      <c r="E66">
        <v>7.3</v>
      </c>
      <c r="F66">
        <v>10.5</v>
      </c>
      <c r="G66">
        <v>17.100000000000001</v>
      </c>
      <c r="H66">
        <v>18.600000000000001</v>
      </c>
      <c r="I66">
        <v>19.399999999999999</v>
      </c>
      <c r="J66">
        <v>12</v>
      </c>
      <c r="K66">
        <v>7.6</v>
      </c>
      <c r="L66">
        <v>1.9</v>
      </c>
      <c r="M66">
        <v>2.2999999999999998</v>
      </c>
      <c r="O66">
        <f>ROUND(SUM(temp3[[#This Row],[styczeń]:[grudzień]])/12,2)</f>
        <v>8.2799999999999994</v>
      </c>
    </row>
    <row r="67" spans="1:15" x14ac:dyDescent="0.25">
      <c r="A67">
        <v>1844</v>
      </c>
      <c r="B67">
        <v>-4</v>
      </c>
      <c r="C67">
        <v>-4.8</v>
      </c>
      <c r="D67">
        <v>-1.3</v>
      </c>
      <c r="E67">
        <v>6.6</v>
      </c>
      <c r="F67">
        <v>14.8</v>
      </c>
      <c r="G67">
        <v>15.7</v>
      </c>
      <c r="H67">
        <v>15.4</v>
      </c>
      <c r="I67">
        <v>16</v>
      </c>
      <c r="J67">
        <v>14</v>
      </c>
      <c r="K67">
        <v>8.5</v>
      </c>
      <c r="L67">
        <v>2.2999999999999998</v>
      </c>
      <c r="M67">
        <v>-6.2</v>
      </c>
      <c r="O67">
        <f>ROUND(SUM(temp3[[#This Row],[styczeń]:[grudzień]])/12,2)</f>
        <v>6.42</v>
      </c>
    </row>
    <row r="68" spans="1:15" x14ac:dyDescent="0.25">
      <c r="A68">
        <v>1845</v>
      </c>
      <c r="B68">
        <v>-2.2000000000000002</v>
      </c>
      <c r="C68">
        <v>-10.3</v>
      </c>
      <c r="D68">
        <v>-6.9</v>
      </c>
      <c r="E68">
        <v>7.4</v>
      </c>
      <c r="F68">
        <v>12.2</v>
      </c>
      <c r="G68">
        <v>18.2</v>
      </c>
      <c r="H68">
        <v>20.5</v>
      </c>
      <c r="I68">
        <v>17.100000000000001</v>
      </c>
      <c r="J68">
        <v>12.2</v>
      </c>
      <c r="K68">
        <v>7.7</v>
      </c>
      <c r="L68">
        <v>3.9</v>
      </c>
      <c r="M68">
        <v>-0.2</v>
      </c>
      <c r="O68">
        <f>ROUND(SUM(temp3[[#This Row],[styczeń]:[grudzień]])/12,2)</f>
        <v>6.63</v>
      </c>
    </row>
    <row r="69" spans="1:15" x14ac:dyDescent="0.25">
      <c r="A69">
        <v>1846</v>
      </c>
      <c r="B69">
        <v>-2.8</v>
      </c>
      <c r="C69">
        <v>-1.6</v>
      </c>
      <c r="D69">
        <v>4.8</v>
      </c>
      <c r="E69">
        <v>9.1</v>
      </c>
      <c r="F69">
        <v>11.2</v>
      </c>
      <c r="G69">
        <v>16.3</v>
      </c>
      <c r="H69">
        <v>19.899999999999999</v>
      </c>
      <c r="I69">
        <v>21.4</v>
      </c>
      <c r="J69">
        <v>14.2</v>
      </c>
      <c r="K69">
        <v>11.2</v>
      </c>
      <c r="L69">
        <v>-0.2</v>
      </c>
      <c r="M69">
        <v>-4.0999999999999996</v>
      </c>
      <c r="O69">
        <f>ROUND(SUM(temp3[[#This Row],[styczeń]:[grudzień]])/12,2)</f>
        <v>8.2799999999999994</v>
      </c>
    </row>
    <row r="70" spans="1:15" x14ac:dyDescent="0.25">
      <c r="A70">
        <v>1847</v>
      </c>
      <c r="B70">
        <v>-7.4</v>
      </c>
      <c r="C70">
        <v>-2.7</v>
      </c>
      <c r="D70">
        <v>0.8</v>
      </c>
      <c r="E70">
        <v>5.7</v>
      </c>
      <c r="F70">
        <v>14.2</v>
      </c>
      <c r="G70">
        <v>16.100000000000001</v>
      </c>
      <c r="H70">
        <v>17.100000000000001</v>
      </c>
      <c r="I70">
        <v>19.399999999999999</v>
      </c>
      <c r="J70">
        <v>12</v>
      </c>
      <c r="K70">
        <v>6.5</v>
      </c>
      <c r="L70">
        <v>2.1</v>
      </c>
      <c r="M70">
        <v>-3.3</v>
      </c>
      <c r="O70">
        <f>ROUND(SUM(temp3[[#This Row],[styczeń]:[grudzień]])/12,2)</f>
        <v>6.71</v>
      </c>
    </row>
    <row r="71" spans="1:15" x14ac:dyDescent="0.25">
      <c r="A71">
        <v>1848</v>
      </c>
      <c r="B71">
        <v>-13</v>
      </c>
      <c r="C71">
        <v>-0.1</v>
      </c>
      <c r="D71">
        <v>3.8</v>
      </c>
      <c r="E71">
        <v>11.1</v>
      </c>
      <c r="F71">
        <v>13.8</v>
      </c>
      <c r="G71">
        <v>19.600000000000001</v>
      </c>
      <c r="H71">
        <v>19</v>
      </c>
      <c r="I71">
        <v>17.399999999999999</v>
      </c>
      <c r="J71">
        <v>12.5</v>
      </c>
      <c r="K71">
        <v>9.3000000000000007</v>
      </c>
      <c r="L71">
        <v>2</v>
      </c>
      <c r="M71">
        <v>0.3</v>
      </c>
      <c r="O71">
        <f>ROUND(SUM(temp3[[#This Row],[styczeń]:[grudzień]])/12,2)</f>
        <v>7.98</v>
      </c>
    </row>
    <row r="72" spans="1:15" x14ac:dyDescent="0.25">
      <c r="A72">
        <v>1849</v>
      </c>
      <c r="B72">
        <v>-5.3</v>
      </c>
      <c r="C72">
        <v>-0.4</v>
      </c>
      <c r="D72">
        <v>-0.6</v>
      </c>
      <c r="E72">
        <v>5.9</v>
      </c>
      <c r="F72">
        <v>14.5</v>
      </c>
      <c r="G72">
        <v>16.2</v>
      </c>
      <c r="H72">
        <v>16.8</v>
      </c>
      <c r="I72">
        <v>16.100000000000001</v>
      </c>
      <c r="J72">
        <v>12.1</v>
      </c>
      <c r="K72">
        <v>7.2</v>
      </c>
      <c r="L72">
        <v>2</v>
      </c>
      <c r="M72">
        <v>-6.3</v>
      </c>
      <c r="O72">
        <f>ROUND(SUM(temp3[[#This Row],[styczeń]:[grudzień]])/12,2)</f>
        <v>6.52</v>
      </c>
    </row>
    <row r="73" spans="1:15" x14ac:dyDescent="0.25">
      <c r="A73">
        <v>1850</v>
      </c>
      <c r="B73">
        <v>-11.7</v>
      </c>
      <c r="C73">
        <v>-0.4</v>
      </c>
      <c r="D73">
        <v>-1.6</v>
      </c>
      <c r="E73">
        <v>7.2</v>
      </c>
      <c r="F73">
        <v>14.9</v>
      </c>
      <c r="G73">
        <v>18.8</v>
      </c>
      <c r="H73">
        <v>18.8</v>
      </c>
      <c r="I73">
        <v>18.899999999999999</v>
      </c>
      <c r="J73">
        <v>11.6</v>
      </c>
      <c r="K73">
        <v>7.3</v>
      </c>
      <c r="L73">
        <v>2.5</v>
      </c>
      <c r="M73">
        <v>-0.3</v>
      </c>
      <c r="O73">
        <f>ROUND(SUM(temp3[[#This Row],[styczeń]:[grudzień]])/12,2)</f>
        <v>7.17</v>
      </c>
    </row>
    <row r="74" spans="1:15" x14ac:dyDescent="0.25">
      <c r="A74">
        <v>1851</v>
      </c>
      <c r="B74">
        <v>-5.0999999999999996</v>
      </c>
      <c r="C74">
        <v>-2.2999999999999998</v>
      </c>
      <c r="D74">
        <v>1.2</v>
      </c>
      <c r="E74">
        <v>9.5</v>
      </c>
      <c r="F74">
        <v>10.6</v>
      </c>
      <c r="G74">
        <v>15.9</v>
      </c>
      <c r="H74">
        <v>17.7</v>
      </c>
      <c r="I74">
        <v>17.7</v>
      </c>
      <c r="J74">
        <v>13.1</v>
      </c>
      <c r="K74">
        <v>10.4</v>
      </c>
      <c r="L74">
        <v>3.2</v>
      </c>
      <c r="M74">
        <v>-0.4</v>
      </c>
      <c r="O74">
        <f>ROUND(SUM(temp3[[#This Row],[styczeń]:[grudzień]])/12,2)</f>
        <v>7.63</v>
      </c>
    </row>
    <row r="75" spans="1:15" x14ac:dyDescent="0.25">
      <c r="A75">
        <v>1852</v>
      </c>
      <c r="B75">
        <v>-0.3</v>
      </c>
      <c r="C75">
        <v>-2.2000000000000002</v>
      </c>
      <c r="D75">
        <v>-1.1000000000000001</v>
      </c>
      <c r="E75">
        <v>3.3</v>
      </c>
      <c r="F75">
        <v>13.3</v>
      </c>
      <c r="G75">
        <v>18.600000000000001</v>
      </c>
      <c r="H75">
        <v>19.2</v>
      </c>
      <c r="I75">
        <v>18.399999999999999</v>
      </c>
      <c r="J75">
        <v>13.8</v>
      </c>
      <c r="K75">
        <v>6.8</v>
      </c>
      <c r="L75">
        <v>3.1</v>
      </c>
      <c r="M75">
        <v>2</v>
      </c>
      <c r="O75">
        <f>ROUND(SUM(temp3[[#This Row],[styczeń]:[grudzień]])/12,2)</f>
        <v>7.91</v>
      </c>
    </row>
    <row r="76" spans="1:15" x14ac:dyDescent="0.25">
      <c r="A76">
        <v>1853</v>
      </c>
      <c r="B76">
        <v>-1.1000000000000001</v>
      </c>
      <c r="C76">
        <v>-3.2</v>
      </c>
      <c r="D76">
        <v>-3.5</v>
      </c>
      <c r="E76">
        <v>3.6</v>
      </c>
      <c r="F76">
        <v>12.8</v>
      </c>
      <c r="G76">
        <v>18.399999999999999</v>
      </c>
      <c r="H76">
        <v>18.899999999999999</v>
      </c>
      <c r="I76">
        <v>17.399999999999999</v>
      </c>
      <c r="J76">
        <v>13</v>
      </c>
      <c r="K76">
        <v>8.8000000000000007</v>
      </c>
      <c r="L76">
        <v>0</v>
      </c>
      <c r="M76">
        <v>-5.3</v>
      </c>
      <c r="O76">
        <f>ROUND(SUM(temp3[[#This Row],[styczeń]:[grudzień]])/12,2)</f>
        <v>6.65</v>
      </c>
    </row>
    <row r="77" spans="1:15" x14ac:dyDescent="0.25">
      <c r="A77">
        <v>1854</v>
      </c>
      <c r="B77">
        <v>-3.2</v>
      </c>
      <c r="C77">
        <v>-2.8</v>
      </c>
      <c r="D77">
        <v>0.8</v>
      </c>
      <c r="E77">
        <v>6.2</v>
      </c>
      <c r="F77">
        <v>15.1</v>
      </c>
      <c r="G77">
        <v>15.9</v>
      </c>
      <c r="H77">
        <v>19.8</v>
      </c>
      <c r="I77">
        <v>17.5</v>
      </c>
      <c r="J77">
        <v>12</v>
      </c>
      <c r="K77">
        <v>8.8000000000000007</v>
      </c>
      <c r="L77">
        <v>-0.2</v>
      </c>
      <c r="M77">
        <v>-0.1</v>
      </c>
      <c r="O77">
        <f>ROUND(SUM(temp3[[#This Row],[styczeń]:[grudzień]])/12,2)</f>
        <v>7.48</v>
      </c>
    </row>
    <row r="78" spans="1:15" x14ac:dyDescent="0.25">
      <c r="A78">
        <v>1855</v>
      </c>
      <c r="B78">
        <v>-6.6</v>
      </c>
      <c r="C78">
        <v>-11.4</v>
      </c>
      <c r="D78">
        <v>0.3</v>
      </c>
      <c r="E78">
        <v>5.5</v>
      </c>
      <c r="F78">
        <v>12.6</v>
      </c>
      <c r="G78">
        <v>18.899999999999999</v>
      </c>
      <c r="H78">
        <v>19.100000000000001</v>
      </c>
      <c r="I78">
        <v>17.8</v>
      </c>
      <c r="J78">
        <v>11.8</v>
      </c>
      <c r="K78">
        <v>10.3</v>
      </c>
      <c r="L78">
        <v>0.5</v>
      </c>
      <c r="M78">
        <v>-9.3000000000000007</v>
      </c>
      <c r="O78">
        <f>ROUND(SUM(temp3[[#This Row],[styczeń]:[grudzień]])/12,2)</f>
        <v>5.79</v>
      </c>
    </row>
    <row r="79" spans="1:15" x14ac:dyDescent="0.25">
      <c r="A79">
        <v>1856</v>
      </c>
      <c r="B79">
        <v>-1.4</v>
      </c>
      <c r="C79">
        <v>-2</v>
      </c>
      <c r="D79">
        <v>-1.9</v>
      </c>
      <c r="E79">
        <v>8.8000000000000007</v>
      </c>
      <c r="F79">
        <v>12.4</v>
      </c>
      <c r="G79">
        <v>17.8</v>
      </c>
      <c r="H79">
        <v>17.100000000000001</v>
      </c>
      <c r="I79">
        <v>15.9</v>
      </c>
      <c r="J79">
        <v>12.8</v>
      </c>
      <c r="K79">
        <v>8.6999999999999993</v>
      </c>
      <c r="L79">
        <v>-1.7</v>
      </c>
      <c r="M79">
        <v>-0.7</v>
      </c>
      <c r="O79">
        <f>ROUND(SUM(temp3[[#This Row],[styczeń]:[grudzień]])/12,2)</f>
        <v>7.15</v>
      </c>
    </row>
    <row r="80" spans="1:15" x14ac:dyDescent="0.25">
      <c r="A80">
        <v>1857</v>
      </c>
      <c r="B80">
        <v>-3.6</v>
      </c>
      <c r="C80">
        <v>-4.9000000000000004</v>
      </c>
      <c r="D80">
        <v>0.4</v>
      </c>
      <c r="E80">
        <v>7.5</v>
      </c>
      <c r="F80">
        <v>11.9</v>
      </c>
      <c r="G80">
        <v>17.3</v>
      </c>
      <c r="H80">
        <v>18.3</v>
      </c>
      <c r="I80">
        <v>18.5</v>
      </c>
      <c r="J80">
        <v>13.5</v>
      </c>
      <c r="K80">
        <v>10.3</v>
      </c>
      <c r="L80">
        <v>0.5</v>
      </c>
      <c r="M80">
        <v>1.3</v>
      </c>
      <c r="O80">
        <f>ROUND(SUM(temp3[[#This Row],[styczeń]:[grudzień]])/12,2)</f>
        <v>7.58</v>
      </c>
    </row>
    <row r="81" spans="1:15" x14ac:dyDescent="0.25">
      <c r="A81">
        <v>1858</v>
      </c>
      <c r="B81">
        <v>-5.3</v>
      </c>
      <c r="C81">
        <v>-8.1</v>
      </c>
      <c r="D81">
        <v>-1.2</v>
      </c>
      <c r="E81">
        <v>5.3</v>
      </c>
      <c r="F81">
        <v>13.3</v>
      </c>
      <c r="G81">
        <v>18.399999999999999</v>
      </c>
      <c r="H81">
        <v>20</v>
      </c>
      <c r="I81">
        <v>18.8</v>
      </c>
      <c r="J81">
        <v>13.7</v>
      </c>
      <c r="K81">
        <v>9.8000000000000007</v>
      </c>
      <c r="L81">
        <v>-2.6</v>
      </c>
      <c r="M81">
        <v>-3.3</v>
      </c>
      <c r="O81">
        <f>ROUND(SUM(temp3[[#This Row],[styczeń]:[grudzień]])/12,2)</f>
        <v>6.57</v>
      </c>
    </row>
    <row r="82" spans="1:15" x14ac:dyDescent="0.25">
      <c r="A82">
        <v>1859</v>
      </c>
      <c r="B82">
        <v>-1.1000000000000001</v>
      </c>
      <c r="C82">
        <v>0.8</v>
      </c>
      <c r="D82">
        <v>3.7</v>
      </c>
      <c r="E82">
        <v>7.1</v>
      </c>
      <c r="F82">
        <v>14.2</v>
      </c>
      <c r="G82">
        <v>18.100000000000001</v>
      </c>
      <c r="H82">
        <v>20.5</v>
      </c>
      <c r="I82">
        <v>20.399999999999999</v>
      </c>
      <c r="J82">
        <v>11.9</v>
      </c>
      <c r="K82">
        <v>8.5</v>
      </c>
      <c r="L82">
        <v>2.1</v>
      </c>
      <c r="M82">
        <v>-4.3</v>
      </c>
      <c r="O82">
        <f>ROUND(SUM(temp3[[#This Row],[styczeń]:[grudzień]])/12,2)</f>
        <v>8.49</v>
      </c>
    </row>
    <row r="83" spans="1:15" x14ac:dyDescent="0.25">
      <c r="A83">
        <v>1860</v>
      </c>
      <c r="B83">
        <v>-1.3</v>
      </c>
      <c r="C83">
        <v>-3.6</v>
      </c>
      <c r="D83">
        <v>-1.2</v>
      </c>
      <c r="E83">
        <v>7.8</v>
      </c>
      <c r="F83">
        <v>14.1</v>
      </c>
      <c r="G83">
        <v>18</v>
      </c>
      <c r="H83">
        <v>17.600000000000001</v>
      </c>
      <c r="I83">
        <v>17.5</v>
      </c>
      <c r="J83">
        <v>14.2</v>
      </c>
      <c r="K83">
        <v>5.9</v>
      </c>
      <c r="L83">
        <v>0.6</v>
      </c>
      <c r="M83">
        <v>-4.3</v>
      </c>
      <c r="O83">
        <f>ROUND(SUM(temp3[[#This Row],[styczeń]:[grudzień]])/12,2)</f>
        <v>7.11</v>
      </c>
    </row>
    <row r="84" spans="1:15" x14ac:dyDescent="0.25">
      <c r="A84">
        <v>1861</v>
      </c>
      <c r="B84">
        <v>-9.3000000000000007</v>
      </c>
      <c r="C84">
        <v>1.2</v>
      </c>
      <c r="D84">
        <v>3.7</v>
      </c>
      <c r="E84">
        <v>4.7</v>
      </c>
      <c r="F84">
        <v>10.6</v>
      </c>
      <c r="G84">
        <v>19.899999999999999</v>
      </c>
      <c r="H84">
        <v>20.9</v>
      </c>
      <c r="I84">
        <v>18</v>
      </c>
      <c r="J84">
        <v>12.9</v>
      </c>
      <c r="K84">
        <v>7.6</v>
      </c>
      <c r="L84">
        <v>3.4</v>
      </c>
      <c r="M84">
        <v>-1.8</v>
      </c>
      <c r="O84">
        <f>ROUND(SUM(temp3[[#This Row],[styczeń]:[grudzień]])/12,2)</f>
        <v>7.65</v>
      </c>
    </row>
    <row r="85" spans="1:15" x14ac:dyDescent="0.25">
      <c r="A85">
        <v>1862</v>
      </c>
      <c r="B85">
        <v>-6.8</v>
      </c>
      <c r="C85">
        <v>-5.5</v>
      </c>
      <c r="D85">
        <v>3.1</v>
      </c>
      <c r="E85">
        <v>7.6</v>
      </c>
      <c r="F85">
        <v>15</v>
      </c>
      <c r="G85">
        <v>17.100000000000001</v>
      </c>
      <c r="H85">
        <v>18.3</v>
      </c>
      <c r="I85">
        <v>17.8</v>
      </c>
      <c r="J85">
        <v>14</v>
      </c>
      <c r="K85">
        <v>9.1999999999999993</v>
      </c>
      <c r="L85">
        <v>-0.6</v>
      </c>
      <c r="M85">
        <v>-6.8</v>
      </c>
      <c r="O85">
        <f>ROUND(SUM(temp3[[#This Row],[styczeń]:[grudzień]])/12,2)</f>
        <v>6.87</v>
      </c>
    </row>
    <row r="86" spans="1:15" x14ac:dyDescent="0.25">
      <c r="A86">
        <v>1863</v>
      </c>
      <c r="B86">
        <v>1.4</v>
      </c>
      <c r="C86">
        <v>1.2</v>
      </c>
      <c r="D86">
        <v>3.2</v>
      </c>
      <c r="E86">
        <v>6.6</v>
      </c>
      <c r="F86">
        <v>13.9</v>
      </c>
      <c r="G86">
        <v>17.7</v>
      </c>
      <c r="H86">
        <v>17</v>
      </c>
      <c r="I86">
        <v>18.7</v>
      </c>
      <c r="J86">
        <v>14.9</v>
      </c>
      <c r="K86">
        <v>9.8000000000000007</v>
      </c>
      <c r="L86">
        <v>3.7</v>
      </c>
      <c r="M86">
        <v>-0.4</v>
      </c>
      <c r="O86">
        <f>ROUND(SUM(temp3[[#This Row],[styczeń]:[grudzień]])/12,2)</f>
        <v>8.98</v>
      </c>
    </row>
    <row r="87" spans="1:15" x14ac:dyDescent="0.25">
      <c r="A87">
        <v>1864</v>
      </c>
      <c r="B87">
        <v>-6.1</v>
      </c>
      <c r="C87">
        <v>-1.5</v>
      </c>
      <c r="D87">
        <v>3.6</v>
      </c>
      <c r="E87">
        <v>5.0999999999999996</v>
      </c>
      <c r="F87">
        <v>7.9</v>
      </c>
      <c r="G87">
        <v>17.8</v>
      </c>
      <c r="H87">
        <v>16.399999999999999</v>
      </c>
      <c r="I87">
        <v>15.3</v>
      </c>
      <c r="J87">
        <v>12.9</v>
      </c>
      <c r="K87">
        <v>6.6</v>
      </c>
      <c r="L87">
        <v>-0.3</v>
      </c>
      <c r="M87">
        <v>-6.4</v>
      </c>
      <c r="O87">
        <f>ROUND(SUM(temp3[[#This Row],[styczeń]:[grudzień]])/12,2)</f>
        <v>5.94</v>
      </c>
    </row>
    <row r="88" spans="1:15" x14ac:dyDescent="0.25">
      <c r="A88">
        <v>1865</v>
      </c>
      <c r="B88">
        <v>-2.2999999999999998</v>
      </c>
      <c r="C88">
        <v>-9.1</v>
      </c>
      <c r="D88">
        <v>-1.6</v>
      </c>
      <c r="E88">
        <v>7.1</v>
      </c>
      <c r="F88">
        <v>16.399999999999999</v>
      </c>
      <c r="G88">
        <v>13.6</v>
      </c>
      <c r="H88">
        <v>21.6</v>
      </c>
      <c r="I88">
        <v>16.600000000000001</v>
      </c>
      <c r="J88">
        <v>12.8</v>
      </c>
      <c r="K88">
        <v>7.7</v>
      </c>
      <c r="L88">
        <v>3.6</v>
      </c>
      <c r="M88">
        <v>-0.4</v>
      </c>
      <c r="O88">
        <f>ROUND(SUM(temp3[[#This Row],[styczeń]:[grudzień]])/12,2)</f>
        <v>7.17</v>
      </c>
    </row>
    <row r="89" spans="1:15" x14ac:dyDescent="0.25">
      <c r="A89">
        <v>1866</v>
      </c>
      <c r="B89">
        <v>1</v>
      </c>
      <c r="C89">
        <v>-0.3</v>
      </c>
      <c r="D89">
        <v>1.6</v>
      </c>
      <c r="E89">
        <v>9</v>
      </c>
      <c r="F89">
        <v>11</v>
      </c>
      <c r="G89">
        <v>20.6</v>
      </c>
      <c r="H89">
        <v>17</v>
      </c>
      <c r="I89">
        <v>16.7</v>
      </c>
      <c r="J89">
        <v>16.5</v>
      </c>
      <c r="K89">
        <v>5.6</v>
      </c>
      <c r="L89">
        <v>1.7</v>
      </c>
      <c r="M89">
        <v>-1.2</v>
      </c>
      <c r="O89">
        <f>ROUND(SUM(temp3[[#This Row],[styczeń]:[grudzień]])/12,2)</f>
        <v>8.27</v>
      </c>
    </row>
    <row r="90" spans="1:15" x14ac:dyDescent="0.25">
      <c r="A90">
        <v>1867</v>
      </c>
      <c r="B90">
        <v>-2.7</v>
      </c>
      <c r="C90">
        <v>1</v>
      </c>
      <c r="D90">
        <v>-2.2000000000000002</v>
      </c>
      <c r="E90">
        <v>6.3</v>
      </c>
      <c r="F90">
        <v>10.7</v>
      </c>
      <c r="G90">
        <v>15.8</v>
      </c>
      <c r="H90">
        <v>17.3</v>
      </c>
      <c r="I90">
        <v>17.399999999999999</v>
      </c>
      <c r="J90">
        <v>12.7</v>
      </c>
      <c r="K90">
        <v>8.1999999999999993</v>
      </c>
      <c r="L90">
        <v>0.2</v>
      </c>
      <c r="M90">
        <v>-4.2</v>
      </c>
      <c r="O90">
        <f>ROUND(SUM(temp3[[#This Row],[styczeń]:[grudzień]])/12,2)</f>
        <v>6.71</v>
      </c>
    </row>
    <row r="91" spans="1:15" x14ac:dyDescent="0.25">
      <c r="A91">
        <v>1868</v>
      </c>
      <c r="B91">
        <v>-4.5999999999999996</v>
      </c>
      <c r="C91">
        <v>0.2</v>
      </c>
      <c r="D91">
        <v>1.9</v>
      </c>
      <c r="E91">
        <v>7.8</v>
      </c>
      <c r="F91">
        <v>15.4</v>
      </c>
      <c r="G91">
        <v>18.7</v>
      </c>
      <c r="H91">
        <v>20.5</v>
      </c>
      <c r="I91">
        <v>19.8</v>
      </c>
      <c r="J91">
        <v>15.1</v>
      </c>
      <c r="K91">
        <v>8.6999999999999993</v>
      </c>
      <c r="L91">
        <v>0.6</v>
      </c>
      <c r="M91">
        <v>1.1000000000000001</v>
      </c>
      <c r="O91">
        <f>ROUND(SUM(temp3[[#This Row],[styczeń]:[grudzień]])/12,2)</f>
        <v>8.77</v>
      </c>
    </row>
    <row r="92" spans="1:15" x14ac:dyDescent="0.25">
      <c r="A92">
        <v>1869</v>
      </c>
      <c r="B92">
        <v>-4.0999999999999996</v>
      </c>
      <c r="C92">
        <v>2.2999999999999998</v>
      </c>
      <c r="D92">
        <v>1.2</v>
      </c>
      <c r="E92">
        <v>9.5</v>
      </c>
      <c r="F92">
        <v>15</v>
      </c>
      <c r="G92">
        <v>15</v>
      </c>
      <c r="H92">
        <v>18.600000000000001</v>
      </c>
      <c r="I92">
        <v>17.399999999999999</v>
      </c>
      <c r="J92">
        <v>14</v>
      </c>
      <c r="K92">
        <v>7</v>
      </c>
      <c r="L92">
        <v>1.6</v>
      </c>
      <c r="M92">
        <v>-0.8</v>
      </c>
      <c r="O92">
        <f>ROUND(SUM(temp3[[#This Row],[styczeń]:[grudzień]])/12,2)</f>
        <v>8.06</v>
      </c>
    </row>
    <row r="93" spans="1:15" x14ac:dyDescent="0.25">
      <c r="A93">
        <v>1870</v>
      </c>
      <c r="B93">
        <v>-3.9</v>
      </c>
      <c r="C93">
        <v>-11.3</v>
      </c>
      <c r="D93">
        <v>-1.4</v>
      </c>
      <c r="E93">
        <v>6.8</v>
      </c>
      <c r="F93">
        <v>13</v>
      </c>
      <c r="G93">
        <v>15.6</v>
      </c>
      <c r="H93">
        <v>19.100000000000001</v>
      </c>
      <c r="I93">
        <v>17.100000000000001</v>
      </c>
      <c r="J93">
        <v>11.9</v>
      </c>
      <c r="K93">
        <v>7</v>
      </c>
      <c r="L93">
        <v>3.8</v>
      </c>
      <c r="M93">
        <v>-7.9</v>
      </c>
      <c r="O93">
        <f>ROUND(SUM(temp3[[#This Row],[styczeń]:[grudzień]])/12,2)</f>
        <v>5.82</v>
      </c>
    </row>
    <row r="94" spans="1:15" x14ac:dyDescent="0.25">
      <c r="A94">
        <v>1871</v>
      </c>
      <c r="B94">
        <v>-9.3000000000000007</v>
      </c>
      <c r="C94">
        <v>-7.2</v>
      </c>
      <c r="D94">
        <v>2.5</v>
      </c>
      <c r="E94">
        <v>5.2</v>
      </c>
      <c r="F94">
        <v>9.1999999999999993</v>
      </c>
      <c r="G94">
        <v>15.8</v>
      </c>
      <c r="H94">
        <v>19.3</v>
      </c>
      <c r="I94">
        <v>17.5</v>
      </c>
      <c r="J94">
        <v>11.8</v>
      </c>
      <c r="K94">
        <v>3.8</v>
      </c>
      <c r="L94">
        <v>1.5</v>
      </c>
      <c r="M94">
        <v>-5.7</v>
      </c>
      <c r="O94">
        <f>ROUND(SUM(temp3[[#This Row],[styczeń]:[grudzień]])/12,2)</f>
        <v>5.37</v>
      </c>
    </row>
    <row r="95" spans="1:15" x14ac:dyDescent="0.25">
      <c r="A95">
        <v>1872</v>
      </c>
      <c r="B95">
        <v>-1.9</v>
      </c>
      <c r="C95">
        <v>-3.3</v>
      </c>
      <c r="D95">
        <v>2.5</v>
      </c>
      <c r="E95">
        <v>10.3</v>
      </c>
      <c r="F95">
        <v>17.7</v>
      </c>
      <c r="G95">
        <v>17.3</v>
      </c>
      <c r="H95">
        <v>19.100000000000001</v>
      </c>
      <c r="I95">
        <v>16.600000000000001</v>
      </c>
      <c r="J95">
        <v>14.5</v>
      </c>
      <c r="K95">
        <v>10.7</v>
      </c>
      <c r="L95">
        <v>6.1</v>
      </c>
      <c r="M95">
        <v>-0.5</v>
      </c>
      <c r="O95">
        <f>ROUND(SUM(temp3[[#This Row],[styczeń]:[grudzień]])/12,2)</f>
        <v>9.09</v>
      </c>
    </row>
    <row r="96" spans="1:15" x14ac:dyDescent="0.25">
      <c r="A96">
        <v>1873</v>
      </c>
      <c r="B96">
        <v>0.7</v>
      </c>
      <c r="C96">
        <v>-2.7</v>
      </c>
      <c r="D96">
        <v>3.3</v>
      </c>
      <c r="E96">
        <v>5.4</v>
      </c>
      <c r="F96">
        <v>10.6</v>
      </c>
      <c r="G96">
        <v>17.399999999999999</v>
      </c>
      <c r="H96">
        <v>19.8</v>
      </c>
      <c r="I96">
        <v>18.600000000000001</v>
      </c>
      <c r="J96">
        <v>12.9</v>
      </c>
      <c r="K96">
        <v>8.5</v>
      </c>
      <c r="L96">
        <v>3.7</v>
      </c>
      <c r="M96">
        <v>0.8</v>
      </c>
      <c r="O96">
        <f>ROUND(SUM(temp3[[#This Row],[styczeń]:[grudzień]])/12,2)</f>
        <v>8.25</v>
      </c>
    </row>
    <row r="97" spans="1:15" x14ac:dyDescent="0.25">
      <c r="A97">
        <v>1874</v>
      </c>
      <c r="B97">
        <v>-1.2</v>
      </c>
      <c r="C97">
        <v>-1.5</v>
      </c>
      <c r="D97">
        <v>0.6</v>
      </c>
      <c r="E97">
        <v>8</v>
      </c>
      <c r="F97">
        <v>9.1999999999999993</v>
      </c>
      <c r="G97">
        <v>17</v>
      </c>
      <c r="H97">
        <v>20.399999999999999</v>
      </c>
      <c r="I97">
        <v>16.899999999999999</v>
      </c>
      <c r="J97">
        <v>15.5</v>
      </c>
      <c r="K97">
        <v>9.3000000000000007</v>
      </c>
      <c r="L97">
        <v>0.1</v>
      </c>
      <c r="M97">
        <v>-1.6</v>
      </c>
      <c r="O97">
        <f>ROUND(SUM(temp3[[#This Row],[styczeń]:[grudzień]])/12,2)</f>
        <v>7.73</v>
      </c>
    </row>
    <row r="98" spans="1:15" x14ac:dyDescent="0.25">
      <c r="A98">
        <v>1875</v>
      </c>
      <c r="B98">
        <v>-3.5</v>
      </c>
      <c r="C98">
        <v>-6.9</v>
      </c>
      <c r="D98">
        <v>-2.2999999999999998</v>
      </c>
      <c r="E98">
        <v>4.9000000000000004</v>
      </c>
      <c r="F98">
        <v>13.1</v>
      </c>
      <c r="G98">
        <v>20.6</v>
      </c>
      <c r="H98">
        <v>19.2</v>
      </c>
      <c r="I98">
        <v>18.8</v>
      </c>
      <c r="J98">
        <v>12.3</v>
      </c>
      <c r="K98">
        <v>4.5999999999999996</v>
      </c>
      <c r="L98">
        <v>-0.6</v>
      </c>
      <c r="M98">
        <v>-6.1</v>
      </c>
      <c r="O98">
        <f>ROUND(SUM(temp3[[#This Row],[styczeń]:[grudzień]])/12,2)</f>
        <v>6.18</v>
      </c>
    </row>
    <row r="99" spans="1:15" x14ac:dyDescent="0.25">
      <c r="A99">
        <v>1876</v>
      </c>
      <c r="B99">
        <v>-6.6</v>
      </c>
      <c r="C99">
        <v>-0.5</v>
      </c>
      <c r="D99">
        <v>3.3</v>
      </c>
      <c r="E99">
        <v>9.4</v>
      </c>
      <c r="F99">
        <v>9.3000000000000007</v>
      </c>
      <c r="G99">
        <v>18.600000000000001</v>
      </c>
      <c r="H99">
        <v>18.8</v>
      </c>
      <c r="I99">
        <v>18.2</v>
      </c>
      <c r="J99">
        <v>12.7</v>
      </c>
      <c r="K99">
        <v>7.9</v>
      </c>
      <c r="L99">
        <v>-2.1</v>
      </c>
      <c r="M99">
        <v>-5.0999999999999996</v>
      </c>
      <c r="O99">
        <f>ROUND(SUM(temp3[[#This Row],[styczeń]:[grudzień]])/12,2)</f>
        <v>6.99</v>
      </c>
    </row>
    <row r="100" spans="1:15" x14ac:dyDescent="0.25">
      <c r="A100">
        <v>1877</v>
      </c>
      <c r="B100">
        <v>-1.5</v>
      </c>
      <c r="C100">
        <v>-1.1000000000000001</v>
      </c>
      <c r="D100">
        <v>-0.2</v>
      </c>
      <c r="E100">
        <v>5.2</v>
      </c>
      <c r="F100">
        <v>11.4</v>
      </c>
      <c r="G100">
        <v>18.399999999999999</v>
      </c>
      <c r="H100">
        <v>18.7</v>
      </c>
      <c r="I100">
        <v>18.100000000000001</v>
      </c>
      <c r="J100">
        <v>10.1</v>
      </c>
      <c r="K100">
        <v>6.3</v>
      </c>
      <c r="L100">
        <v>4.0999999999999996</v>
      </c>
      <c r="M100">
        <v>-2.4</v>
      </c>
      <c r="O100">
        <f>ROUND(SUM(temp3[[#This Row],[styczeń]:[grudzień]])/12,2)</f>
        <v>7.26</v>
      </c>
    </row>
    <row r="101" spans="1:15" x14ac:dyDescent="0.25">
      <c r="A101">
        <v>1878</v>
      </c>
      <c r="B101">
        <v>-3.2</v>
      </c>
      <c r="C101">
        <v>-0.4</v>
      </c>
      <c r="D101">
        <v>1.2</v>
      </c>
      <c r="E101">
        <v>9.3000000000000007</v>
      </c>
      <c r="F101">
        <v>12.6</v>
      </c>
      <c r="G101">
        <v>17</v>
      </c>
      <c r="H101">
        <v>16.3</v>
      </c>
      <c r="I101">
        <v>18.2</v>
      </c>
      <c r="J101">
        <v>15.1</v>
      </c>
      <c r="K101">
        <v>9.6999999999999993</v>
      </c>
      <c r="L101">
        <v>3.6</v>
      </c>
      <c r="M101">
        <v>-1.6</v>
      </c>
      <c r="O101">
        <f>ROUND(SUM(temp3[[#This Row],[styczeń]:[grudzień]])/12,2)</f>
        <v>8.15</v>
      </c>
    </row>
    <row r="102" spans="1:15" x14ac:dyDescent="0.25">
      <c r="A102">
        <v>1879</v>
      </c>
      <c r="B102">
        <v>-4.4000000000000004</v>
      </c>
      <c r="C102">
        <v>-0.8</v>
      </c>
      <c r="D102">
        <v>-1.3</v>
      </c>
      <c r="E102">
        <v>6.3</v>
      </c>
      <c r="F102">
        <v>12.7</v>
      </c>
      <c r="G102">
        <v>18.2</v>
      </c>
      <c r="H102">
        <v>16.8</v>
      </c>
      <c r="I102">
        <v>17.2</v>
      </c>
      <c r="J102">
        <v>14.8</v>
      </c>
      <c r="K102">
        <v>7.1</v>
      </c>
      <c r="L102">
        <v>0.2</v>
      </c>
      <c r="M102">
        <v>-8.3000000000000007</v>
      </c>
      <c r="O102">
        <f>ROUND(SUM(temp3[[#This Row],[styczeń]:[grudzień]])/12,2)</f>
        <v>6.54</v>
      </c>
    </row>
    <row r="103" spans="1:15" x14ac:dyDescent="0.25">
      <c r="A103">
        <v>1880</v>
      </c>
      <c r="B103">
        <v>-4.2</v>
      </c>
      <c r="C103">
        <v>-3</v>
      </c>
      <c r="D103">
        <v>0.3</v>
      </c>
      <c r="E103">
        <v>9.6</v>
      </c>
      <c r="F103">
        <v>11.8</v>
      </c>
      <c r="G103">
        <v>17.5</v>
      </c>
      <c r="H103">
        <v>20.100000000000001</v>
      </c>
      <c r="I103">
        <v>17.8</v>
      </c>
      <c r="J103">
        <v>14.1</v>
      </c>
      <c r="K103">
        <v>6.2</v>
      </c>
      <c r="L103">
        <v>2.8</v>
      </c>
      <c r="M103">
        <v>-0.4</v>
      </c>
      <c r="O103">
        <f>ROUND(SUM(temp3[[#This Row],[styczeń]:[grudzień]])/12,2)</f>
        <v>7.72</v>
      </c>
    </row>
    <row r="104" spans="1:15" x14ac:dyDescent="0.25">
      <c r="A104">
        <v>1881</v>
      </c>
      <c r="B104">
        <v>-7.7</v>
      </c>
      <c r="C104">
        <v>-3.3</v>
      </c>
      <c r="D104">
        <v>-0.4</v>
      </c>
      <c r="E104">
        <v>4.4000000000000004</v>
      </c>
      <c r="F104">
        <v>13.6</v>
      </c>
      <c r="G104">
        <v>16.399999999999999</v>
      </c>
      <c r="H104">
        <v>19.2</v>
      </c>
      <c r="I104">
        <v>16.5</v>
      </c>
      <c r="J104">
        <v>12</v>
      </c>
      <c r="K104">
        <v>4.5</v>
      </c>
      <c r="L104">
        <v>3.1</v>
      </c>
      <c r="M104">
        <v>-1.3</v>
      </c>
      <c r="O104">
        <f>ROUND(SUM(temp3[[#This Row],[styczeń]:[grudzień]])/12,2)</f>
        <v>6.42</v>
      </c>
    </row>
    <row r="105" spans="1:15" x14ac:dyDescent="0.25">
      <c r="A105">
        <v>1882</v>
      </c>
      <c r="B105">
        <v>0.1</v>
      </c>
      <c r="C105">
        <v>0.3</v>
      </c>
      <c r="D105">
        <v>6.2</v>
      </c>
      <c r="E105">
        <v>8.8000000000000007</v>
      </c>
      <c r="F105">
        <v>13.5</v>
      </c>
      <c r="G105">
        <v>15.8</v>
      </c>
      <c r="H105">
        <v>20.3</v>
      </c>
      <c r="I105">
        <v>16.7</v>
      </c>
      <c r="J105">
        <v>15</v>
      </c>
      <c r="K105">
        <v>6.4</v>
      </c>
      <c r="L105">
        <v>1.7</v>
      </c>
      <c r="M105">
        <v>-2.1</v>
      </c>
      <c r="O105">
        <f>ROUND(SUM(temp3[[#This Row],[styczeń]:[grudzień]])/12,2)</f>
        <v>8.56</v>
      </c>
    </row>
    <row r="106" spans="1:15" x14ac:dyDescent="0.25">
      <c r="A106">
        <v>1883</v>
      </c>
      <c r="B106">
        <v>-4.0999999999999996</v>
      </c>
      <c r="C106">
        <v>-1.9</v>
      </c>
      <c r="D106">
        <v>-3</v>
      </c>
      <c r="E106">
        <v>5.3</v>
      </c>
      <c r="F106">
        <v>12.5</v>
      </c>
      <c r="G106">
        <v>18.100000000000001</v>
      </c>
      <c r="H106">
        <v>19</v>
      </c>
      <c r="I106">
        <v>16.600000000000001</v>
      </c>
      <c r="J106">
        <v>13.5</v>
      </c>
      <c r="K106">
        <v>8.1</v>
      </c>
      <c r="L106">
        <v>3.3</v>
      </c>
      <c r="M106">
        <v>-0.8</v>
      </c>
      <c r="O106">
        <f>ROUND(SUM(temp3[[#This Row],[styczeń]:[grudzień]])/12,2)</f>
        <v>7.22</v>
      </c>
    </row>
    <row r="107" spans="1:15" x14ac:dyDescent="0.25">
      <c r="A107">
        <v>1884</v>
      </c>
      <c r="B107">
        <v>0</v>
      </c>
      <c r="C107">
        <v>1.7</v>
      </c>
      <c r="D107">
        <v>2.2000000000000002</v>
      </c>
      <c r="E107">
        <v>4.9000000000000004</v>
      </c>
      <c r="F107">
        <v>12.8</v>
      </c>
      <c r="G107">
        <v>15.8</v>
      </c>
      <c r="H107">
        <v>19.7</v>
      </c>
      <c r="I107">
        <v>16.3</v>
      </c>
      <c r="J107">
        <v>14.5</v>
      </c>
      <c r="K107">
        <v>7.1</v>
      </c>
      <c r="L107">
        <v>-0.1</v>
      </c>
      <c r="M107">
        <v>1.4</v>
      </c>
      <c r="O107">
        <f>ROUND(SUM(temp3[[#This Row],[styczeń]:[grudzień]])/12,2)</f>
        <v>8.0299999999999994</v>
      </c>
    </row>
    <row r="108" spans="1:15" x14ac:dyDescent="0.25">
      <c r="A108">
        <v>1885</v>
      </c>
      <c r="B108">
        <v>-4</v>
      </c>
      <c r="C108">
        <v>-0.2</v>
      </c>
      <c r="D108">
        <v>2.2000000000000002</v>
      </c>
      <c r="E108">
        <v>9</v>
      </c>
      <c r="F108">
        <v>11.6</v>
      </c>
      <c r="G108">
        <v>18.399999999999999</v>
      </c>
      <c r="H108">
        <v>19.7</v>
      </c>
      <c r="I108">
        <v>15.3</v>
      </c>
      <c r="J108">
        <v>13.4</v>
      </c>
      <c r="K108">
        <v>8.4</v>
      </c>
      <c r="L108">
        <v>0.4</v>
      </c>
      <c r="M108">
        <v>-2</v>
      </c>
      <c r="O108">
        <f>ROUND(SUM(temp3[[#This Row],[styczeń]:[grudzień]])/12,2)</f>
        <v>7.68</v>
      </c>
    </row>
    <row r="109" spans="1:15" x14ac:dyDescent="0.25">
      <c r="A109">
        <v>1886</v>
      </c>
      <c r="B109">
        <v>-2.1</v>
      </c>
      <c r="C109">
        <v>-5.7</v>
      </c>
      <c r="D109">
        <v>-2.4</v>
      </c>
      <c r="E109">
        <v>10.9</v>
      </c>
      <c r="F109">
        <v>14</v>
      </c>
      <c r="G109">
        <v>16.2</v>
      </c>
      <c r="H109">
        <v>17.399999999999999</v>
      </c>
      <c r="I109">
        <v>17.600000000000001</v>
      </c>
      <c r="J109">
        <v>15.8</v>
      </c>
      <c r="K109">
        <v>7.6</v>
      </c>
      <c r="L109">
        <v>4.9000000000000004</v>
      </c>
      <c r="M109">
        <v>0.9</v>
      </c>
      <c r="O109">
        <f>ROUND(SUM(temp3[[#This Row],[styczeń]:[grudzień]])/12,2)</f>
        <v>7.93</v>
      </c>
    </row>
    <row r="110" spans="1:15" x14ac:dyDescent="0.25">
      <c r="A110">
        <v>1887</v>
      </c>
      <c r="B110">
        <v>-2.5</v>
      </c>
      <c r="C110">
        <v>-2.7</v>
      </c>
      <c r="D110">
        <v>0.2</v>
      </c>
      <c r="E110">
        <v>9.1</v>
      </c>
      <c r="F110">
        <v>12.2</v>
      </c>
      <c r="G110">
        <v>15</v>
      </c>
      <c r="H110">
        <v>19.3</v>
      </c>
      <c r="I110">
        <v>16.3</v>
      </c>
      <c r="J110">
        <v>14.7</v>
      </c>
      <c r="K110">
        <v>6.9</v>
      </c>
      <c r="L110">
        <v>3.7</v>
      </c>
      <c r="M110">
        <v>-2.2999999999999998</v>
      </c>
      <c r="O110">
        <f>ROUND(SUM(temp3[[#This Row],[styczeń]:[grudzień]])/12,2)</f>
        <v>7.49</v>
      </c>
    </row>
    <row r="111" spans="1:15" x14ac:dyDescent="0.25">
      <c r="A111">
        <v>1888</v>
      </c>
      <c r="B111">
        <v>-6.1</v>
      </c>
      <c r="C111">
        <v>-5.4</v>
      </c>
      <c r="D111">
        <v>-1.4</v>
      </c>
      <c r="E111">
        <v>7.3</v>
      </c>
      <c r="F111">
        <v>13.4</v>
      </c>
      <c r="G111">
        <v>15.8</v>
      </c>
      <c r="H111">
        <v>16.899999999999999</v>
      </c>
      <c r="I111">
        <v>16.3</v>
      </c>
      <c r="J111">
        <v>13.3</v>
      </c>
      <c r="K111">
        <v>8.3000000000000007</v>
      </c>
      <c r="L111">
        <v>1.3</v>
      </c>
      <c r="M111">
        <v>-1.2</v>
      </c>
      <c r="O111">
        <f>ROUND(SUM(temp3[[#This Row],[styczeń]:[grudzień]])/12,2)</f>
        <v>6.54</v>
      </c>
    </row>
    <row r="112" spans="1:15" x14ac:dyDescent="0.25">
      <c r="A112">
        <v>1889</v>
      </c>
      <c r="B112">
        <v>-5.7</v>
      </c>
      <c r="C112">
        <v>-3.3</v>
      </c>
      <c r="D112">
        <v>-2.6</v>
      </c>
      <c r="E112">
        <v>8.3000000000000007</v>
      </c>
      <c r="F112">
        <v>17.7</v>
      </c>
      <c r="G112">
        <v>19.7</v>
      </c>
      <c r="H112">
        <v>18</v>
      </c>
      <c r="I112">
        <v>17</v>
      </c>
      <c r="J112">
        <v>10.8</v>
      </c>
      <c r="K112">
        <v>10.3</v>
      </c>
      <c r="L112">
        <v>3.6</v>
      </c>
      <c r="M112">
        <v>-5.3</v>
      </c>
      <c r="O112">
        <f>ROUND(SUM(temp3[[#This Row],[styczeń]:[grudzień]])/12,2)</f>
        <v>7.38</v>
      </c>
    </row>
    <row r="113" spans="1:15" x14ac:dyDescent="0.25">
      <c r="A113">
        <v>1890</v>
      </c>
      <c r="B113">
        <v>0.6</v>
      </c>
      <c r="C113">
        <v>-3.6</v>
      </c>
      <c r="D113">
        <v>4.4000000000000004</v>
      </c>
      <c r="E113">
        <v>11.2</v>
      </c>
      <c r="F113">
        <v>15.2</v>
      </c>
      <c r="G113">
        <v>15.5</v>
      </c>
      <c r="H113">
        <v>18.600000000000001</v>
      </c>
      <c r="I113">
        <v>20.2</v>
      </c>
      <c r="J113">
        <v>13.4</v>
      </c>
      <c r="K113">
        <v>7.1</v>
      </c>
      <c r="L113">
        <v>3.3</v>
      </c>
      <c r="M113">
        <v>-8.5</v>
      </c>
      <c r="O113">
        <f>ROUND(SUM(temp3[[#This Row],[styczeń]:[grudzień]])/12,2)</f>
        <v>8.1199999999999992</v>
      </c>
    </row>
    <row r="114" spans="1:15" x14ac:dyDescent="0.25">
      <c r="A114">
        <v>1891</v>
      </c>
      <c r="B114">
        <v>-4.3</v>
      </c>
      <c r="C114">
        <v>-3.6</v>
      </c>
      <c r="D114">
        <v>2.5</v>
      </c>
      <c r="E114">
        <v>6.2</v>
      </c>
      <c r="F114">
        <v>14.5</v>
      </c>
      <c r="G114">
        <v>15.5</v>
      </c>
      <c r="H114">
        <v>17.7</v>
      </c>
      <c r="I114">
        <v>17.2</v>
      </c>
      <c r="J114">
        <v>14</v>
      </c>
      <c r="K114">
        <v>10.8</v>
      </c>
      <c r="L114">
        <v>1.3</v>
      </c>
      <c r="M114">
        <v>-0.2</v>
      </c>
      <c r="O114">
        <f>ROUND(SUM(temp3[[#This Row],[styczeń]:[grudzień]])/12,2)</f>
        <v>7.63</v>
      </c>
    </row>
    <row r="115" spans="1:15" x14ac:dyDescent="0.25">
      <c r="A115">
        <v>1892</v>
      </c>
      <c r="B115">
        <v>-4.0999999999999996</v>
      </c>
      <c r="C115">
        <v>-1.5</v>
      </c>
      <c r="D115">
        <v>1.2</v>
      </c>
      <c r="E115">
        <v>7.5</v>
      </c>
      <c r="F115">
        <v>13.5</v>
      </c>
      <c r="G115">
        <v>17.3</v>
      </c>
      <c r="H115">
        <v>16.7</v>
      </c>
      <c r="I115">
        <v>19.8</v>
      </c>
      <c r="J115">
        <v>16.5</v>
      </c>
      <c r="K115">
        <v>8.3000000000000007</v>
      </c>
      <c r="L115">
        <v>0.6</v>
      </c>
      <c r="M115">
        <v>-3.1</v>
      </c>
      <c r="O115">
        <f>ROUND(SUM(temp3[[#This Row],[styczeń]:[grudzień]])/12,2)</f>
        <v>7.73</v>
      </c>
    </row>
    <row r="116" spans="1:15" x14ac:dyDescent="0.25">
      <c r="A116">
        <v>1893</v>
      </c>
      <c r="B116">
        <v>-12</v>
      </c>
      <c r="C116">
        <v>-1.1000000000000001</v>
      </c>
      <c r="D116">
        <v>2.7</v>
      </c>
      <c r="E116">
        <v>6.3</v>
      </c>
      <c r="F116">
        <v>12.4</v>
      </c>
      <c r="G116">
        <v>16.3</v>
      </c>
      <c r="H116">
        <v>18.2</v>
      </c>
      <c r="I116">
        <v>17.100000000000001</v>
      </c>
      <c r="J116">
        <v>12.8</v>
      </c>
      <c r="K116">
        <v>11.2</v>
      </c>
      <c r="L116">
        <v>1.7</v>
      </c>
      <c r="M116">
        <v>-0.5</v>
      </c>
      <c r="O116">
        <f>ROUND(SUM(temp3[[#This Row],[styczeń]:[grudzień]])/12,2)</f>
        <v>7.09</v>
      </c>
    </row>
    <row r="117" spans="1:15" x14ac:dyDescent="0.25">
      <c r="A117">
        <v>1894</v>
      </c>
      <c r="B117">
        <v>-4.5999999999999996</v>
      </c>
      <c r="C117">
        <v>0</v>
      </c>
      <c r="D117">
        <v>4.9000000000000004</v>
      </c>
      <c r="E117">
        <v>10.199999999999999</v>
      </c>
      <c r="F117">
        <v>13.8</v>
      </c>
      <c r="G117">
        <v>15</v>
      </c>
      <c r="H117">
        <v>19.399999999999999</v>
      </c>
      <c r="I117">
        <v>17.3</v>
      </c>
      <c r="J117">
        <v>11</v>
      </c>
      <c r="K117">
        <v>7.9</v>
      </c>
      <c r="L117">
        <v>3.8</v>
      </c>
      <c r="M117">
        <v>-1.7</v>
      </c>
      <c r="O117">
        <f>ROUND(SUM(temp3[[#This Row],[styczeń]:[grudzień]])/12,2)</f>
        <v>8.08</v>
      </c>
    </row>
    <row r="118" spans="1:15" x14ac:dyDescent="0.25">
      <c r="A118">
        <v>1895</v>
      </c>
      <c r="B118">
        <v>-2.2000000000000002</v>
      </c>
      <c r="C118">
        <v>-6.4</v>
      </c>
      <c r="D118">
        <v>0.4</v>
      </c>
      <c r="E118">
        <v>9.1999999999999993</v>
      </c>
      <c r="F118">
        <v>14.6</v>
      </c>
      <c r="G118">
        <v>17</v>
      </c>
      <c r="H118">
        <v>19</v>
      </c>
      <c r="I118">
        <v>17.600000000000001</v>
      </c>
      <c r="J118">
        <v>14.6</v>
      </c>
      <c r="K118">
        <v>8.9</v>
      </c>
      <c r="L118">
        <v>2.9</v>
      </c>
      <c r="M118">
        <v>-3.1</v>
      </c>
      <c r="O118">
        <f>ROUND(SUM(temp3[[#This Row],[styczeń]:[grudzień]])/12,2)</f>
        <v>7.71</v>
      </c>
    </row>
    <row r="119" spans="1:15" x14ac:dyDescent="0.25">
      <c r="A119">
        <v>1896</v>
      </c>
      <c r="B119">
        <v>-3.5</v>
      </c>
      <c r="C119">
        <v>-1.1000000000000001</v>
      </c>
      <c r="D119">
        <v>4.9000000000000004</v>
      </c>
      <c r="E119">
        <v>6.6</v>
      </c>
      <c r="F119">
        <v>12.3</v>
      </c>
      <c r="G119">
        <v>18.899999999999999</v>
      </c>
      <c r="H119">
        <v>20</v>
      </c>
      <c r="I119">
        <v>16.3</v>
      </c>
      <c r="J119">
        <v>13.3</v>
      </c>
      <c r="K119">
        <v>12.1</v>
      </c>
      <c r="L119">
        <v>0</v>
      </c>
      <c r="M119">
        <v>-1.9</v>
      </c>
      <c r="O119">
        <f>ROUND(SUM(temp3[[#This Row],[styczeń]:[grudzień]])/12,2)</f>
        <v>8.16</v>
      </c>
    </row>
    <row r="120" spans="1:15" x14ac:dyDescent="0.25">
      <c r="A120">
        <v>1897</v>
      </c>
      <c r="B120">
        <v>-5</v>
      </c>
      <c r="C120">
        <v>-2.1</v>
      </c>
      <c r="D120">
        <v>4</v>
      </c>
      <c r="E120">
        <v>8.5</v>
      </c>
      <c r="F120">
        <v>13.9</v>
      </c>
      <c r="G120">
        <v>17.2</v>
      </c>
      <c r="H120">
        <v>18.2</v>
      </c>
      <c r="I120">
        <v>18.5</v>
      </c>
      <c r="J120">
        <v>13.3</v>
      </c>
      <c r="K120">
        <v>7.5</v>
      </c>
      <c r="L120">
        <v>1.5</v>
      </c>
      <c r="M120">
        <v>-1.3</v>
      </c>
      <c r="O120">
        <f>ROUND(SUM(temp3[[#This Row],[styczeń]:[grudzień]])/12,2)</f>
        <v>7.85</v>
      </c>
    </row>
    <row r="121" spans="1:15" x14ac:dyDescent="0.25">
      <c r="A121">
        <v>1898</v>
      </c>
      <c r="B121">
        <v>0</v>
      </c>
      <c r="C121">
        <v>-0.2</v>
      </c>
      <c r="D121">
        <v>2.5</v>
      </c>
      <c r="E121">
        <v>7.1</v>
      </c>
      <c r="F121">
        <v>14.3</v>
      </c>
      <c r="G121">
        <v>16</v>
      </c>
      <c r="H121">
        <v>16.2</v>
      </c>
      <c r="I121">
        <v>18</v>
      </c>
      <c r="J121">
        <v>13.1</v>
      </c>
      <c r="K121">
        <v>6.7</v>
      </c>
      <c r="L121">
        <v>5.3</v>
      </c>
      <c r="M121">
        <v>2.4</v>
      </c>
      <c r="O121">
        <f>ROUND(SUM(temp3[[#This Row],[styczeń]:[grudzień]])/12,2)</f>
        <v>8.4499999999999993</v>
      </c>
    </row>
    <row r="122" spans="1:15" x14ac:dyDescent="0.25">
      <c r="A122">
        <v>1899</v>
      </c>
      <c r="B122">
        <v>0.3</v>
      </c>
      <c r="C122">
        <v>0.2</v>
      </c>
      <c r="D122">
        <v>2.4</v>
      </c>
      <c r="E122">
        <v>8.5</v>
      </c>
      <c r="F122">
        <v>12.5</v>
      </c>
      <c r="G122">
        <v>14.4</v>
      </c>
      <c r="H122">
        <v>18.600000000000001</v>
      </c>
      <c r="I122">
        <v>15.7</v>
      </c>
      <c r="J122">
        <v>13.7</v>
      </c>
      <c r="K122">
        <v>7.8</v>
      </c>
      <c r="L122">
        <v>5.7</v>
      </c>
      <c r="M122">
        <v>-3.8</v>
      </c>
      <c r="O122">
        <f>ROUND(SUM(temp3[[#This Row],[styczeń]:[grudzień]])/12,2)</f>
        <v>8</v>
      </c>
    </row>
    <row r="123" spans="1:15" x14ac:dyDescent="0.25">
      <c r="A123">
        <v>1900</v>
      </c>
      <c r="B123">
        <v>-2.4</v>
      </c>
      <c r="C123">
        <v>0.1</v>
      </c>
      <c r="D123">
        <v>-0.6</v>
      </c>
      <c r="E123">
        <v>7.1</v>
      </c>
      <c r="F123">
        <v>12.2</v>
      </c>
      <c r="G123">
        <v>16.8</v>
      </c>
      <c r="H123">
        <v>19.7</v>
      </c>
      <c r="I123">
        <v>17.5</v>
      </c>
      <c r="J123">
        <v>13.9</v>
      </c>
      <c r="K123">
        <v>9.6999999999999993</v>
      </c>
      <c r="L123">
        <v>4.7</v>
      </c>
      <c r="M123">
        <v>1.3</v>
      </c>
      <c r="O123">
        <f>ROUND(SUM(temp3[[#This Row],[styczeń]:[grudzień]])/12,2)</f>
        <v>8.33</v>
      </c>
    </row>
    <row r="124" spans="1:15" x14ac:dyDescent="0.25">
      <c r="A124">
        <v>1901</v>
      </c>
      <c r="B124">
        <v>-5.5</v>
      </c>
      <c r="C124">
        <v>-5</v>
      </c>
      <c r="D124">
        <v>1.4</v>
      </c>
      <c r="E124">
        <v>8.1</v>
      </c>
      <c r="F124">
        <v>14.2</v>
      </c>
      <c r="G124">
        <v>17.5</v>
      </c>
      <c r="H124">
        <v>19.100000000000001</v>
      </c>
      <c r="I124">
        <v>17.100000000000001</v>
      </c>
      <c r="J124">
        <v>12.4</v>
      </c>
      <c r="K124">
        <v>9.9</v>
      </c>
      <c r="L124">
        <v>3</v>
      </c>
      <c r="M124">
        <v>1.4</v>
      </c>
      <c r="O124">
        <f>ROUND(SUM(temp3[[#This Row],[styczeń]:[grudzień]])/12,2)</f>
        <v>7.8</v>
      </c>
    </row>
    <row r="125" spans="1:15" x14ac:dyDescent="0.25">
      <c r="A125">
        <v>1902</v>
      </c>
      <c r="B125">
        <v>1.4</v>
      </c>
      <c r="C125">
        <v>-1.7</v>
      </c>
      <c r="D125">
        <v>2.1</v>
      </c>
      <c r="E125">
        <v>5.0999999999999996</v>
      </c>
      <c r="F125">
        <v>9.8000000000000007</v>
      </c>
      <c r="G125">
        <v>15.5</v>
      </c>
      <c r="H125">
        <v>16.5</v>
      </c>
      <c r="I125">
        <v>16</v>
      </c>
      <c r="J125">
        <v>12.3</v>
      </c>
      <c r="K125">
        <v>6.3</v>
      </c>
      <c r="L125">
        <v>-0.9</v>
      </c>
      <c r="M125">
        <v>-5.5</v>
      </c>
      <c r="O125">
        <f>ROUND(SUM(temp3[[#This Row],[styczeń]:[grudzień]])/12,2)</f>
        <v>6.41</v>
      </c>
    </row>
    <row r="126" spans="1:15" x14ac:dyDescent="0.25">
      <c r="A126">
        <v>1903</v>
      </c>
      <c r="B126">
        <v>-2.1</v>
      </c>
      <c r="C126">
        <v>2.5</v>
      </c>
      <c r="D126">
        <v>6.1</v>
      </c>
      <c r="E126">
        <v>6</v>
      </c>
      <c r="F126">
        <v>13.8</v>
      </c>
      <c r="G126">
        <v>15.4</v>
      </c>
      <c r="H126">
        <v>17.100000000000001</v>
      </c>
      <c r="I126">
        <v>16.8</v>
      </c>
      <c r="J126">
        <v>14.1</v>
      </c>
      <c r="K126">
        <v>8.6</v>
      </c>
      <c r="L126">
        <v>3.4</v>
      </c>
      <c r="M126">
        <v>-1.5</v>
      </c>
      <c r="O126">
        <f>ROUND(SUM(temp3[[#This Row],[styczeń]:[grudzień]])/12,2)</f>
        <v>8.35</v>
      </c>
    </row>
    <row r="127" spans="1:15" x14ac:dyDescent="0.25">
      <c r="A127">
        <v>1904</v>
      </c>
      <c r="B127">
        <v>-3.6</v>
      </c>
      <c r="C127">
        <v>0.1</v>
      </c>
      <c r="D127">
        <v>0.3</v>
      </c>
      <c r="E127">
        <v>6.6</v>
      </c>
      <c r="F127">
        <v>10</v>
      </c>
      <c r="G127">
        <v>15.3</v>
      </c>
      <c r="H127">
        <v>19.100000000000001</v>
      </c>
      <c r="I127">
        <v>17.399999999999999</v>
      </c>
      <c r="J127">
        <v>11.9</v>
      </c>
      <c r="K127">
        <v>8</v>
      </c>
      <c r="L127">
        <v>1.6</v>
      </c>
      <c r="M127">
        <v>0.5</v>
      </c>
      <c r="O127">
        <f>ROUND(SUM(temp3[[#This Row],[styczeń]:[grudzień]])/12,2)</f>
        <v>7.27</v>
      </c>
    </row>
    <row r="128" spans="1:15" x14ac:dyDescent="0.25">
      <c r="A128">
        <v>1905</v>
      </c>
      <c r="B128">
        <v>-5.7</v>
      </c>
      <c r="C128">
        <v>0.8</v>
      </c>
      <c r="D128">
        <v>2.6</v>
      </c>
      <c r="E128">
        <v>6</v>
      </c>
      <c r="F128">
        <v>13.8</v>
      </c>
      <c r="G128">
        <v>18</v>
      </c>
      <c r="H128">
        <v>19.2</v>
      </c>
      <c r="I128">
        <v>18</v>
      </c>
      <c r="J128">
        <v>13.2</v>
      </c>
      <c r="K128">
        <v>4.5999999999999996</v>
      </c>
      <c r="L128">
        <v>3.8</v>
      </c>
      <c r="M128">
        <v>-0.6</v>
      </c>
      <c r="O128">
        <f>ROUND(SUM(temp3[[#This Row],[styczeń]:[grudzień]])/12,2)</f>
        <v>7.81</v>
      </c>
    </row>
    <row r="129" spans="1:15" x14ac:dyDescent="0.25">
      <c r="A129">
        <v>1906</v>
      </c>
      <c r="B129">
        <v>-1.3</v>
      </c>
      <c r="C129">
        <v>-0.6</v>
      </c>
      <c r="D129">
        <v>2.2000000000000002</v>
      </c>
      <c r="E129">
        <v>9.1999999999999993</v>
      </c>
      <c r="F129">
        <v>15.5</v>
      </c>
      <c r="G129">
        <v>15.6</v>
      </c>
      <c r="H129">
        <v>19.7</v>
      </c>
      <c r="I129">
        <v>16.5</v>
      </c>
      <c r="J129">
        <v>12</v>
      </c>
      <c r="K129">
        <v>7.7</v>
      </c>
      <c r="L129">
        <v>6</v>
      </c>
      <c r="M129">
        <v>-4.0999999999999996</v>
      </c>
      <c r="O129">
        <f>ROUND(SUM(temp3[[#This Row],[styczeń]:[grudzień]])/12,2)</f>
        <v>8.1999999999999993</v>
      </c>
    </row>
    <row r="130" spans="1:15" x14ac:dyDescent="0.25">
      <c r="A130">
        <v>1907</v>
      </c>
      <c r="B130">
        <v>-4.9000000000000004</v>
      </c>
      <c r="C130">
        <v>-5.0999999999999996</v>
      </c>
      <c r="D130">
        <v>0.6</v>
      </c>
      <c r="E130">
        <v>5.7</v>
      </c>
      <c r="F130">
        <v>14.8</v>
      </c>
      <c r="G130">
        <v>15.8</v>
      </c>
      <c r="H130">
        <v>16</v>
      </c>
      <c r="I130">
        <v>15.5</v>
      </c>
      <c r="J130">
        <v>12.7</v>
      </c>
      <c r="K130">
        <v>12.6</v>
      </c>
      <c r="L130">
        <v>1.3</v>
      </c>
      <c r="M130">
        <v>-2.5</v>
      </c>
      <c r="O130">
        <f>ROUND(SUM(temp3[[#This Row],[styczeń]:[grudzień]])/12,2)</f>
        <v>6.88</v>
      </c>
    </row>
    <row r="131" spans="1:15" x14ac:dyDescent="0.25">
      <c r="A131">
        <v>1908</v>
      </c>
      <c r="B131">
        <v>-2.1</v>
      </c>
      <c r="C131">
        <v>0.3</v>
      </c>
      <c r="D131">
        <v>2</v>
      </c>
      <c r="E131">
        <v>6.4</v>
      </c>
      <c r="F131">
        <v>13.7</v>
      </c>
      <c r="G131">
        <v>17.399999999999999</v>
      </c>
      <c r="H131">
        <v>18.5</v>
      </c>
      <c r="I131">
        <v>16.5</v>
      </c>
      <c r="J131">
        <v>11.6</v>
      </c>
      <c r="K131">
        <v>6.5</v>
      </c>
      <c r="L131">
        <v>-0.5</v>
      </c>
      <c r="M131">
        <v>-2.9</v>
      </c>
      <c r="O131">
        <f>ROUND(SUM(temp3[[#This Row],[styczeń]:[grudzień]])/12,2)</f>
        <v>7.28</v>
      </c>
    </row>
    <row r="132" spans="1:15" x14ac:dyDescent="0.25">
      <c r="A132">
        <v>1909</v>
      </c>
      <c r="B132">
        <v>-3.3</v>
      </c>
      <c r="C132">
        <v>-6</v>
      </c>
      <c r="D132">
        <v>1.5</v>
      </c>
      <c r="E132">
        <v>6.4</v>
      </c>
      <c r="F132">
        <v>11.2</v>
      </c>
      <c r="G132">
        <v>16.3</v>
      </c>
      <c r="H132">
        <v>17.399999999999999</v>
      </c>
      <c r="I132">
        <v>17.3</v>
      </c>
      <c r="J132">
        <v>14.3</v>
      </c>
      <c r="K132">
        <v>10.6</v>
      </c>
      <c r="L132">
        <v>1.6</v>
      </c>
      <c r="M132">
        <v>1.1000000000000001</v>
      </c>
      <c r="O132">
        <f>ROUND(SUM(temp3[[#This Row],[styczeń]:[grudzień]])/12,2)</f>
        <v>7.37</v>
      </c>
    </row>
    <row r="133" spans="1:15" x14ac:dyDescent="0.25">
      <c r="A133">
        <v>1910</v>
      </c>
      <c r="B133">
        <v>0.5</v>
      </c>
      <c r="C133">
        <v>2.7</v>
      </c>
      <c r="D133">
        <v>3.4</v>
      </c>
      <c r="E133">
        <v>8.5</v>
      </c>
      <c r="F133">
        <v>13.8</v>
      </c>
      <c r="G133">
        <v>17.899999999999999</v>
      </c>
      <c r="H133">
        <v>17.600000000000001</v>
      </c>
      <c r="I133">
        <v>16.600000000000001</v>
      </c>
      <c r="J133">
        <v>12.1</v>
      </c>
      <c r="K133">
        <v>7.3</v>
      </c>
      <c r="L133">
        <v>2.2000000000000002</v>
      </c>
      <c r="M133">
        <v>2.4</v>
      </c>
      <c r="O133">
        <f>ROUND(SUM(temp3[[#This Row],[styczeń]:[grudzień]])/12,2)</f>
        <v>8.75</v>
      </c>
    </row>
    <row r="134" spans="1:15" x14ac:dyDescent="0.25">
      <c r="A134">
        <v>1911</v>
      </c>
      <c r="B134">
        <v>-0.5</v>
      </c>
      <c r="C134">
        <v>-3</v>
      </c>
      <c r="D134">
        <v>3.4</v>
      </c>
      <c r="E134">
        <v>7.7</v>
      </c>
      <c r="F134">
        <v>13.8</v>
      </c>
      <c r="G134">
        <v>16</v>
      </c>
      <c r="H134">
        <v>18.8</v>
      </c>
      <c r="I134">
        <v>18.7</v>
      </c>
      <c r="J134">
        <v>14</v>
      </c>
      <c r="K134">
        <v>8.5</v>
      </c>
      <c r="L134">
        <v>4.7</v>
      </c>
      <c r="M134">
        <v>0.7</v>
      </c>
      <c r="O134">
        <f>ROUND(SUM(temp3[[#This Row],[styczeń]:[grudzień]])/12,2)</f>
        <v>8.57</v>
      </c>
    </row>
    <row r="135" spans="1:15" x14ac:dyDescent="0.25">
      <c r="A135">
        <v>1912</v>
      </c>
      <c r="B135">
        <v>-7</v>
      </c>
      <c r="C135">
        <v>-1.3</v>
      </c>
      <c r="D135">
        <v>5.3</v>
      </c>
      <c r="E135">
        <v>5.7</v>
      </c>
      <c r="F135">
        <v>11.3</v>
      </c>
      <c r="G135">
        <v>17.5</v>
      </c>
      <c r="H135">
        <v>18.8</v>
      </c>
      <c r="I135">
        <v>15.9</v>
      </c>
      <c r="J135">
        <v>9.1</v>
      </c>
      <c r="K135">
        <v>5.4</v>
      </c>
      <c r="L135">
        <v>1</v>
      </c>
      <c r="M135">
        <v>2.2999999999999998</v>
      </c>
      <c r="O135">
        <f>ROUND(SUM(temp3[[#This Row],[styczeń]:[grudzień]])/12,2)</f>
        <v>7</v>
      </c>
    </row>
    <row r="136" spans="1:15" x14ac:dyDescent="0.25">
      <c r="A136">
        <v>1913</v>
      </c>
      <c r="B136">
        <v>-3.2</v>
      </c>
      <c r="C136">
        <v>-1</v>
      </c>
      <c r="D136">
        <v>5.3</v>
      </c>
      <c r="E136">
        <v>8</v>
      </c>
      <c r="F136">
        <v>12.3</v>
      </c>
      <c r="G136">
        <v>15</v>
      </c>
      <c r="H136">
        <v>16</v>
      </c>
      <c r="I136">
        <v>15.4</v>
      </c>
      <c r="J136">
        <v>13</v>
      </c>
      <c r="K136">
        <v>8.9</v>
      </c>
      <c r="L136">
        <v>4.9000000000000004</v>
      </c>
      <c r="M136">
        <v>1.8</v>
      </c>
      <c r="O136">
        <f>ROUND(SUM(temp3[[#This Row],[styczeń]:[grudzień]])/12,2)</f>
        <v>8.0299999999999994</v>
      </c>
    </row>
    <row r="137" spans="1:15" x14ac:dyDescent="0.25">
      <c r="A137">
        <v>1914</v>
      </c>
      <c r="B137">
        <v>-5</v>
      </c>
      <c r="C137">
        <v>1.2</v>
      </c>
      <c r="D137">
        <v>4.2</v>
      </c>
      <c r="E137">
        <v>9.4</v>
      </c>
      <c r="F137">
        <v>13.4</v>
      </c>
      <c r="G137">
        <v>16</v>
      </c>
      <c r="H137">
        <v>19</v>
      </c>
      <c r="I137">
        <v>17.3</v>
      </c>
      <c r="J137">
        <v>12.2</v>
      </c>
      <c r="K137">
        <v>6.7</v>
      </c>
      <c r="L137">
        <v>0.9</v>
      </c>
      <c r="M137">
        <v>2.8</v>
      </c>
      <c r="O137">
        <f>ROUND(SUM(temp3[[#This Row],[styczeń]:[grudzień]])/12,2)</f>
        <v>8.18</v>
      </c>
    </row>
    <row r="138" spans="1:15" x14ac:dyDescent="0.25">
      <c r="A138">
        <v>1915</v>
      </c>
      <c r="B138">
        <v>-1.4</v>
      </c>
      <c r="C138">
        <v>-0.4</v>
      </c>
      <c r="D138">
        <v>-0.8</v>
      </c>
      <c r="E138">
        <v>8.3000000000000007</v>
      </c>
      <c r="F138">
        <v>13.5</v>
      </c>
      <c r="G138">
        <v>18</v>
      </c>
      <c r="H138">
        <v>17.899999999999999</v>
      </c>
      <c r="I138">
        <v>16.7</v>
      </c>
      <c r="J138">
        <v>12.1</v>
      </c>
      <c r="K138">
        <v>6.6</v>
      </c>
      <c r="L138">
        <v>1.3</v>
      </c>
      <c r="M138">
        <v>1</v>
      </c>
      <c r="O138">
        <f>ROUND(SUM(temp3[[#This Row],[styczeń]:[grudzień]])/12,2)</f>
        <v>7.73</v>
      </c>
    </row>
    <row r="139" spans="1:15" x14ac:dyDescent="0.25">
      <c r="A139">
        <v>1916</v>
      </c>
      <c r="B139">
        <v>1.4</v>
      </c>
      <c r="C139">
        <v>-0.4</v>
      </c>
      <c r="D139">
        <v>3.5</v>
      </c>
      <c r="E139">
        <v>8.8000000000000007</v>
      </c>
      <c r="F139">
        <v>12.9</v>
      </c>
      <c r="G139">
        <v>15.7</v>
      </c>
      <c r="H139">
        <v>17.899999999999999</v>
      </c>
      <c r="I139">
        <v>16.2</v>
      </c>
      <c r="J139">
        <v>12.1</v>
      </c>
      <c r="K139">
        <v>7</v>
      </c>
      <c r="L139">
        <v>4.3</v>
      </c>
      <c r="M139">
        <v>0.6</v>
      </c>
      <c r="O139">
        <f>ROUND(SUM(temp3[[#This Row],[styczeń]:[grudzień]])/12,2)</f>
        <v>8.33</v>
      </c>
    </row>
    <row r="140" spans="1:15" x14ac:dyDescent="0.25">
      <c r="A140">
        <v>1917</v>
      </c>
      <c r="B140">
        <v>-4.7</v>
      </c>
      <c r="C140">
        <v>-6.5</v>
      </c>
      <c r="D140">
        <v>-3</v>
      </c>
      <c r="E140">
        <v>5.0999999999999996</v>
      </c>
      <c r="F140">
        <v>14</v>
      </c>
      <c r="G140">
        <v>20.5</v>
      </c>
      <c r="H140">
        <v>18.3</v>
      </c>
      <c r="I140">
        <v>19.899999999999999</v>
      </c>
      <c r="J140">
        <v>14.7</v>
      </c>
      <c r="K140">
        <v>9.6</v>
      </c>
      <c r="L140">
        <v>5</v>
      </c>
      <c r="M140">
        <v>-2.2000000000000002</v>
      </c>
      <c r="O140">
        <f>ROUND(SUM(temp3[[#This Row],[styczeń]:[grudzień]])/12,2)</f>
        <v>7.56</v>
      </c>
    </row>
    <row r="141" spans="1:15" x14ac:dyDescent="0.25">
      <c r="A141">
        <v>1918</v>
      </c>
      <c r="B141">
        <v>-1.1000000000000001</v>
      </c>
      <c r="C141">
        <v>-1.2</v>
      </c>
      <c r="D141">
        <v>1.9</v>
      </c>
      <c r="E141">
        <v>13.2</v>
      </c>
      <c r="F141">
        <v>13.5</v>
      </c>
      <c r="G141">
        <v>14.1</v>
      </c>
      <c r="H141">
        <v>18.399999999999999</v>
      </c>
      <c r="I141">
        <v>16.7</v>
      </c>
      <c r="J141">
        <v>14</v>
      </c>
      <c r="K141">
        <v>10</v>
      </c>
      <c r="L141">
        <v>2.2000000000000002</v>
      </c>
      <c r="M141">
        <v>-1.1000000000000001</v>
      </c>
      <c r="O141">
        <f>ROUND(SUM(temp3[[#This Row],[styczeń]:[grudzień]])/12,2)</f>
        <v>8.3800000000000008</v>
      </c>
    </row>
    <row r="142" spans="1:15" x14ac:dyDescent="0.25">
      <c r="A142">
        <v>1919</v>
      </c>
      <c r="B142">
        <v>-1.4</v>
      </c>
      <c r="C142">
        <v>-1.6</v>
      </c>
      <c r="D142">
        <v>1.5</v>
      </c>
      <c r="E142">
        <v>7.2</v>
      </c>
      <c r="F142">
        <v>10.7</v>
      </c>
      <c r="G142">
        <v>15.9</v>
      </c>
      <c r="H142">
        <v>16.7</v>
      </c>
      <c r="I142">
        <v>15.5</v>
      </c>
      <c r="J142">
        <v>15.6</v>
      </c>
      <c r="K142">
        <v>6.8</v>
      </c>
      <c r="L142">
        <v>-3.4</v>
      </c>
      <c r="M142">
        <v>-1.9</v>
      </c>
      <c r="O142">
        <f>ROUND(SUM(temp3[[#This Row],[styczeń]:[grudzień]])/12,2)</f>
        <v>6.8</v>
      </c>
    </row>
    <row r="143" spans="1:15" x14ac:dyDescent="0.25">
      <c r="A143">
        <v>1920</v>
      </c>
      <c r="B143">
        <v>-1.8</v>
      </c>
      <c r="C143">
        <v>0.7</v>
      </c>
      <c r="D143">
        <v>4.9000000000000004</v>
      </c>
      <c r="E143">
        <v>12.5</v>
      </c>
      <c r="F143">
        <v>15.5</v>
      </c>
      <c r="G143">
        <v>15.4</v>
      </c>
      <c r="H143">
        <v>20.399999999999999</v>
      </c>
      <c r="I143">
        <v>17.2</v>
      </c>
      <c r="J143">
        <v>13.5</v>
      </c>
      <c r="K143">
        <v>4.0999999999999996</v>
      </c>
      <c r="L143">
        <v>0.1</v>
      </c>
      <c r="M143">
        <v>-2.8</v>
      </c>
      <c r="O143">
        <f>ROUND(SUM(temp3[[#This Row],[styczeń]:[grudzień]])/12,2)</f>
        <v>8.31</v>
      </c>
    </row>
    <row r="144" spans="1:15" x14ac:dyDescent="0.25">
      <c r="A144">
        <v>1921</v>
      </c>
      <c r="B144">
        <v>2.6</v>
      </c>
      <c r="C144">
        <v>-2.5</v>
      </c>
      <c r="D144">
        <v>6.3</v>
      </c>
      <c r="E144">
        <v>9.1999999999999993</v>
      </c>
      <c r="F144">
        <v>16.5</v>
      </c>
      <c r="G144">
        <v>16.399999999999999</v>
      </c>
      <c r="H144">
        <v>20.2</v>
      </c>
      <c r="I144">
        <v>19.3</v>
      </c>
      <c r="J144">
        <v>13.3</v>
      </c>
      <c r="K144">
        <v>9.6</v>
      </c>
      <c r="L144">
        <v>-1.2</v>
      </c>
      <c r="M144">
        <v>-2.6</v>
      </c>
      <c r="O144">
        <f>ROUND(SUM(temp3[[#This Row],[styczeń]:[grudzień]])/12,2)</f>
        <v>8.93</v>
      </c>
    </row>
    <row r="145" spans="1:15" x14ac:dyDescent="0.25">
      <c r="A145">
        <v>1922</v>
      </c>
      <c r="B145">
        <v>-5.9</v>
      </c>
      <c r="C145">
        <v>-3.8</v>
      </c>
      <c r="D145">
        <v>3</v>
      </c>
      <c r="E145">
        <v>7</v>
      </c>
      <c r="F145">
        <v>14.3</v>
      </c>
      <c r="G145">
        <v>17.600000000000001</v>
      </c>
      <c r="H145">
        <v>18.7</v>
      </c>
      <c r="I145">
        <v>17</v>
      </c>
      <c r="J145">
        <v>11.8</v>
      </c>
      <c r="K145">
        <v>4.9000000000000004</v>
      </c>
      <c r="L145">
        <v>0.8</v>
      </c>
      <c r="M145">
        <v>0.8</v>
      </c>
      <c r="O145">
        <f>ROUND(SUM(temp3[[#This Row],[styczeń]:[grudzień]])/12,2)</f>
        <v>7.18</v>
      </c>
    </row>
    <row r="146" spans="1:15" x14ac:dyDescent="0.25">
      <c r="A146">
        <v>1923</v>
      </c>
      <c r="B146">
        <v>0.3</v>
      </c>
      <c r="C146">
        <v>-3.1</v>
      </c>
      <c r="D146">
        <v>3.2</v>
      </c>
      <c r="E146">
        <v>6.3</v>
      </c>
      <c r="F146">
        <v>13.7</v>
      </c>
      <c r="G146">
        <v>13</v>
      </c>
      <c r="H146">
        <v>18.7</v>
      </c>
      <c r="I146">
        <v>15</v>
      </c>
      <c r="J146">
        <v>14.4</v>
      </c>
      <c r="K146">
        <v>10.3</v>
      </c>
      <c r="L146">
        <v>3.5</v>
      </c>
      <c r="M146">
        <v>-1.6</v>
      </c>
      <c r="O146">
        <f>ROUND(SUM(temp3[[#This Row],[styczeń]:[grudzień]])/12,2)</f>
        <v>7.81</v>
      </c>
    </row>
    <row r="147" spans="1:15" x14ac:dyDescent="0.25">
      <c r="A147">
        <v>1924</v>
      </c>
      <c r="B147">
        <v>-6.8</v>
      </c>
      <c r="C147">
        <v>-5.6</v>
      </c>
      <c r="D147">
        <v>-1</v>
      </c>
      <c r="E147">
        <v>5.7</v>
      </c>
      <c r="F147">
        <v>15.4</v>
      </c>
      <c r="G147">
        <v>17.600000000000001</v>
      </c>
      <c r="H147">
        <v>17.5</v>
      </c>
      <c r="I147">
        <v>17</v>
      </c>
      <c r="J147">
        <v>14.9</v>
      </c>
      <c r="K147">
        <v>8.6</v>
      </c>
      <c r="L147">
        <v>2</v>
      </c>
      <c r="M147">
        <v>-1.8</v>
      </c>
      <c r="O147">
        <f>ROUND(SUM(temp3[[#This Row],[styczeń]:[grudzień]])/12,2)</f>
        <v>6.96</v>
      </c>
    </row>
    <row r="148" spans="1:15" x14ac:dyDescent="0.25">
      <c r="A148">
        <v>1925</v>
      </c>
      <c r="B148">
        <v>1.3</v>
      </c>
      <c r="C148">
        <v>3.4</v>
      </c>
      <c r="D148">
        <v>1.2</v>
      </c>
      <c r="E148">
        <v>8.9</v>
      </c>
      <c r="F148">
        <v>16.3</v>
      </c>
      <c r="G148">
        <v>14.6</v>
      </c>
      <c r="H148">
        <v>18.8</v>
      </c>
      <c r="I148">
        <v>17.2</v>
      </c>
      <c r="J148">
        <v>12.1</v>
      </c>
      <c r="K148">
        <v>7</v>
      </c>
      <c r="L148">
        <v>2.5</v>
      </c>
      <c r="M148">
        <v>-1.2</v>
      </c>
      <c r="O148">
        <f>ROUND(SUM(temp3[[#This Row],[styczeń]:[grudzień]])/12,2)</f>
        <v>8.51</v>
      </c>
    </row>
    <row r="149" spans="1:15" x14ac:dyDescent="0.25">
      <c r="A149">
        <v>1926</v>
      </c>
      <c r="B149">
        <v>-2.4</v>
      </c>
      <c r="C149">
        <v>0.4</v>
      </c>
      <c r="D149">
        <v>1.8</v>
      </c>
      <c r="E149">
        <v>9.6</v>
      </c>
      <c r="F149">
        <v>13.2</v>
      </c>
      <c r="G149">
        <v>16.399999999999999</v>
      </c>
      <c r="H149">
        <v>19.7</v>
      </c>
      <c r="I149">
        <v>15.8</v>
      </c>
      <c r="J149">
        <v>13.8</v>
      </c>
      <c r="K149">
        <v>7.1</v>
      </c>
      <c r="L149">
        <v>7.6</v>
      </c>
      <c r="M149">
        <v>-1.9</v>
      </c>
      <c r="O149">
        <f>ROUND(SUM(temp3[[#This Row],[styczeń]:[grudzień]])/12,2)</f>
        <v>8.43</v>
      </c>
    </row>
    <row r="150" spans="1:15" x14ac:dyDescent="0.25">
      <c r="A150">
        <v>1927</v>
      </c>
      <c r="B150">
        <v>-2.2999999999999998</v>
      </c>
      <c r="C150">
        <v>-2.5</v>
      </c>
      <c r="D150">
        <v>5.5</v>
      </c>
      <c r="E150">
        <v>6.7</v>
      </c>
      <c r="F150">
        <v>10.5</v>
      </c>
      <c r="G150">
        <v>16.5</v>
      </c>
      <c r="H150">
        <v>20</v>
      </c>
      <c r="I150">
        <v>18.399999999999999</v>
      </c>
      <c r="J150">
        <v>14.3</v>
      </c>
      <c r="K150">
        <v>8.4</v>
      </c>
      <c r="L150">
        <v>1.4</v>
      </c>
      <c r="M150">
        <v>-6.1</v>
      </c>
      <c r="O150">
        <f>ROUND(SUM(temp3[[#This Row],[styczeń]:[grudzień]])/12,2)</f>
        <v>7.57</v>
      </c>
    </row>
    <row r="151" spans="1:15" x14ac:dyDescent="0.25">
      <c r="A151">
        <v>1928</v>
      </c>
      <c r="B151">
        <v>-0.9</v>
      </c>
      <c r="C151">
        <v>-1.4</v>
      </c>
      <c r="D151">
        <v>0</v>
      </c>
      <c r="E151">
        <v>7.6</v>
      </c>
      <c r="F151">
        <v>12</v>
      </c>
      <c r="G151">
        <v>14.6</v>
      </c>
      <c r="H151">
        <v>19.3</v>
      </c>
      <c r="I151">
        <v>16.399999999999999</v>
      </c>
      <c r="J151">
        <v>13.6</v>
      </c>
      <c r="K151">
        <v>8.6</v>
      </c>
      <c r="L151">
        <v>6.3</v>
      </c>
      <c r="M151">
        <v>-2.4</v>
      </c>
      <c r="O151">
        <f>ROUND(SUM(temp3[[#This Row],[styczeń]:[grudzień]])/12,2)</f>
        <v>7.81</v>
      </c>
    </row>
    <row r="152" spans="1:15" x14ac:dyDescent="0.25">
      <c r="A152">
        <v>1929</v>
      </c>
      <c r="B152">
        <v>-6.9</v>
      </c>
      <c r="C152">
        <v>-13.7</v>
      </c>
      <c r="D152">
        <v>-1.5</v>
      </c>
      <c r="E152">
        <v>2.9</v>
      </c>
      <c r="F152">
        <v>16</v>
      </c>
      <c r="G152">
        <v>15.2</v>
      </c>
      <c r="H152">
        <v>18.3</v>
      </c>
      <c r="I152">
        <v>18.600000000000001</v>
      </c>
      <c r="J152">
        <v>13.7</v>
      </c>
      <c r="K152">
        <v>10.9</v>
      </c>
      <c r="L152">
        <v>4.5</v>
      </c>
      <c r="M152">
        <v>1.6</v>
      </c>
      <c r="O152">
        <f>ROUND(SUM(temp3[[#This Row],[styczeń]:[grudzień]])/12,2)</f>
        <v>6.63</v>
      </c>
    </row>
    <row r="153" spans="1:15" x14ac:dyDescent="0.25">
      <c r="A153">
        <v>1930</v>
      </c>
      <c r="B153">
        <v>0.3</v>
      </c>
      <c r="C153">
        <v>-0.6</v>
      </c>
      <c r="D153">
        <v>3</v>
      </c>
      <c r="E153">
        <v>9.6</v>
      </c>
      <c r="F153">
        <v>13.7</v>
      </c>
      <c r="G153">
        <v>19.3</v>
      </c>
      <c r="H153">
        <v>18</v>
      </c>
      <c r="I153">
        <v>16.7</v>
      </c>
      <c r="J153">
        <v>13.1</v>
      </c>
      <c r="K153">
        <v>9.1</v>
      </c>
      <c r="L153">
        <v>4.9000000000000004</v>
      </c>
      <c r="M153">
        <v>-2.8</v>
      </c>
      <c r="O153">
        <f>ROUND(SUM(temp3[[#This Row],[styczeń]:[grudzień]])/12,2)</f>
        <v>8.69</v>
      </c>
    </row>
    <row r="154" spans="1:15" x14ac:dyDescent="0.25">
      <c r="A154">
        <v>1931</v>
      </c>
      <c r="B154">
        <v>-1.8</v>
      </c>
      <c r="C154">
        <v>-3.3</v>
      </c>
      <c r="D154">
        <v>-0.7</v>
      </c>
      <c r="E154">
        <v>5.5</v>
      </c>
      <c r="F154">
        <v>17.8</v>
      </c>
      <c r="G154">
        <v>17</v>
      </c>
      <c r="H154">
        <v>19</v>
      </c>
      <c r="I154">
        <v>17.399999999999999</v>
      </c>
      <c r="J154">
        <v>11.1</v>
      </c>
      <c r="K154">
        <v>7</v>
      </c>
      <c r="L154">
        <v>2</v>
      </c>
      <c r="M154">
        <v>-0.5</v>
      </c>
      <c r="O154">
        <f>ROUND(SUM(temp3[[#This Row],[styczeń]:[grudzień]])/12,2)</f>
        <v>7.54</v>
      </c>
    </row>
    <row r="155" spans="1:15" x14ac:dyDescent="0.25">
      <c r="A155">
        <v>1932</v>
      </c>
      <c r="B155">
        <v>-0.6</v>
      </c>
      <c r="C155">
        <v>-5.6</v>
      </c>
      <c r="D155">
        <v>-2</v>
      </c>
      <c r="E155">
        <v>8.1999999999999993</v>
      </c>
      <c r="F155">
        <v>15.8</v>
      </c>
      <c r="G155">
        <v>15.7</v>
      </c>
      <c r="H155">
        <v>21.4</v>
      </c>
      <c r="I155">
        <v>19.3</v>
      </c>
      <c r="J155">
        <v>16.100000000000001</v>
      </c>
      <c r="K155">
        <v>9.4</v>
      </c>
      <c r="L155">
        <v>3.3</v>
      </c>
      <c r="M155">
        <v>0.4</v>
      </c>
      <c r="O155">
        <f>ROUND(SUM(temp3[[#This Row],[styczeń]:[grudzień]])/12,2)</f>
        <v>8.4499999999999993</v>
      </c>
    </row>
    <row r="156" spans="1:15" x14ac:dyDescent="0.25">
      <c r="A156">
        <v>1933</v>
      </c>
      <c r="B156">
        <v>-7.3</v>
      </c>
      <c r="C156">
        <v>-2</v>
      </c>
      <c r="D156">
        <v>2.9</v>
      </c>
      <c r="E156">
        <v>5.0999999999999996</v>
      </c>
      <c r="F156">
        <v>11.9</v>
      </c>
      <c r="G156">
        <v>15.4</v>
      </c>
      <c r="H156">
        <v>19.7</v>
      </c>
      <c r="I156">
        <v>17</v>
      </c>
      <c r="J156">
        <v>13.2</v>
      </c>
      <c r="K156">
        <v>8.5</v>
      </c>
      <c r="L156">
        <v>1.5</v>
      </c>
      <c r="M156">
        <v>-6.5</v>
      </c>
      <c r="O156">
        <f>ROUND(SUM(temp3[[#This Row],[styczeń]:[grudzień]])/12,2)</f>
        <v>6.62</v>
      </c>
    </row>
    <row r="157" spans="1:15" x14ac:dyDescent="0.25">
      <c r="A157">
        <v>1934</v>
      </c>
      <c r="B157">
        <v>-2.2999999999999998</v>
      </c>
      <c r="C157">
        <v>0.2</v>
      </c>
      <c r="D157">
        <v>4.5</v>
      </c>
      <c r="E157">
        <v>11.1</v>
      </c>
      <c r="F157">
        <v>15.4</v>
      </c>
      <c r="G157">
        <v>17.3</v>
      </c>
      <c r="H157">
        <v>18.2</v>
      </c>
      <c r="I157">
        <v>18.399999999999999</v>
      </c>
      <c r="J157">
        <v>15.6</v>
      </c>
      <c r="K157">
        <v>10.1</v>
      </c>
      <c r="L157">
        <v>5.6</v>
      </c>
      <c r="M157">
        <v>-0.6</v>
      </c>
      <c r="O157">
        <f>ROUND(SUM(temp3[[#This Row],[styczeń]:[grudzień]])/12,2)</f>
        <v>9.4600000000000009</v>
      </c>
    </row>
    <row r="158" spans="1:15" x14ac:dyDescent="0.25">
      <c r="A158">
        <v>1935</v>
      </c>
      <c r="B158">
        <v>-5.4</v>
      </c>
      <c r="C158">
        <v>-0.6</v>
      </c>
      <c r="D158">
        <v>1.1000000000000001</v>
      </c>
      <c r="E158">
        <v>8.1</v>
      </c>
      <c r="F158">
        <v>11.3</v>
      </c>
      <c r="G158">
        <v>18.899999999999999</v>
      </c>
      <c r="H158">
        <v>17.100000000000001</v>
      </c>
      <c r="I158">
        <v>17.600000000000001</v>
      </c>
      <c r="J158">
        <v>14</v>
      </c>
      <c r="K158">
        <v>9.8000000000000007</v>
      </c>
      <c r="L158">
        <v>3.2</v>
      </c>
      <c r="M158">
        <v>0.1</v>
      </c>
      <c r="O158">
        <f>ROUND(SUM(temp3[[#This Row],[styczeń]:[grudzień]])/12,2)</f>
        <v>7.93</v>
      </c>
    </row>
    <row r="159" spans="1:15" x14ac:dyDescent="0.25">
      <c r="A159">
        <v>1936</v>
      </c>
      <c r="B159">
        <v>2</v>
      </c>
      <c r="C159">
        <v>-3.1</v>
      </c>
      <c r="D159">
        <v>4.5999999999999996</v>
      </c>
      <c r="E159">
        <v>8</v>
      </c>
      <c r="F159">
        <v>16.100000000000001</v>
      </c>
      <c r="G159">
        <v>17.899999999999999</v>
      </c>
      <c r="H159">
        <v>20.7</v>
      </c>
      <c r="I159">
        <v>16.600000000000001</v>
      </c>
      <c r="J159">
        <v>12.8</v>
      </c>
      <c r="K159">
        <v>5.3</v>
      </c>
      <c r="L159">
        <v>2.8</v>
      </c>
      <c r="M159">
        <v>0.8</v>
      </c>
      <c r="O159">
        <f>ROUND(SUM(temp3[[#This Row],[styczeń]:[grudzień]])/12,2)</f>
        <v>8.7100000000000009</v>
      </c>
    </row>
    <row r="160" spans="1:15" x14ac:dyDescent="0.25">
      <c r="A160">
        <v>1937</v>
      </c>
      <c r="B160">
        <v>-6.6</v>
      </c>
      <c r="C160">
        <v>-0.9</v>
      </c>
      <c r="D160">
        <v>2.8</v>
      </c>
      <c r="E160">
        <v>8.6</v>
      </c>
      <c r="F160">
        <v>18.2</v>
      </c>
      <c r="G160">
        <v>18.8</v>
      </c>
      <c r="H160">
        <v>18.899999999999999</v>
      </c>
      <c r="I160">
        <v>19.3</v>
      </c>
      <c r="J160">
        <v>15.6</v>
      </c>
      <c r="K160">
        <v>9.1</v>
      </c>
      <c r="L160">
        <v>3.3</v>
      </c>
      <c r="M160">
        <v>-1.7</v>
      </c>
      <c r="O160">
        <f>ROUND(SUM(temp3[[#This Row],[styczeń]:[grudzień]])/12,2)</f>
        <v>8.7799999999999994</v>
      </c>
    </row>
    <row r="161" spans="1:15" x14ac:dyDescent="0.25">
      <c r="A161">
        <v>1938</v>
      </c>
      <c r="B161">
        <v>-1.9</v>
      </c>
      <c r="C161">
        <v>-0.2</v>
      </c>
      <c r="D161">
        <v>6.3</v>
      </c>
      <c r="E161">
        <v>5.3</v>
      </c>
      <c r="F161">
        <v>12.9</v>
      </c>
      <c r="G161">
        <v>17.899999999999999</v>
      </c>
      <c r="H161">
        <v>19.5</v>
      </c>
      <c r="I161">
        <v>20</v>
      </c>
      <c r="J161">
        <v>14.1</v>
      </c>
      <c r="K161">
        <v>9.6999999999999993</v>
      </c>
      <c r="L161">
        <v>5.7</v>
      </c>
      <c r="M161">
        <v>-4.4000000000000004</v>
      </c>
      <c r="O161">
        <f>ROUND(SUM(temp3[[#This Row],[styczeń]:[grudzień]])/12,2)</f>
        <v>8.74</v>
      </c>
    </row>
    <row r="162" spans="1:15" x14ac:dyDescent="0.25">
      <c r="A162">
        <v>1939</v>
      </c>
      <c r="B162">
        <v>0.7</v>
      </c>
      <c r="C162">
        <v>2.2000000000000002</v>
      </c>
      <c r="D162">
        <v>1.3</v>
      </c>
      <c r="E162">
        <v>10.4</v>
      </c>
      <c r="F162">
        <v>12.6</v>
      </c>
      <c r="G162">
        <v>19.100000000000001</v>
      </c>
      <c r="H162">
        <v>21</v>
      </c>
      <c r="I162">
        <v>21.7</v>
      </c>
      <c r="J162">
        <v>14.1</v>
      </c>
      <c r="K162">
        <v>6</v>
      </c>
      <c r="L162">
        <v>3.8</v>
      </c>
      <c r="M162">
        <v>-3</v>
      </c>
      <c r="O162">
        <f>ROUND(SUM(temp3[[#This Row],[styczeń]:[grudzień]])/12,2)</f>
        <v>9.16</v>
      </c>
    </row>
    <row r="163" spans="1:15" x14ac:dyDescent="0.25">
      <c r="A163">
        <v>1940</v>
      </c>
      <c r="B163">
        <v>-12.1</v>
      </c>
      <c r="C163">
        <v>-11.4</v>
      </c>
      <c r="D163">
        <v>-1.3</v>
      </c>
      <c r="E163">
        <v>7.6</v>
      </c>
      <c r="F163">
        <v>13.9</v>
      </c>
      <c r="G163">
        <v>20</v>
      </c>
      <c r="H163">
        <v>18.899999999999999</v>
      </c>
      <c r="I163">
        <v>15.8</v>
      </c>
      <c r="J163">
        <v>12.9</v>
      </c>
      <c r="K163">
        <v>6.2</v>
      </c>
      <c r="L163">
        <v>5.2</v>
      </c>
      <c r="M163">
        <v>-4.7</v>
      </c>
      <c r="O163">
        <f>ROUND(SUM(temp3[[#This Row],[styczeń]:[grudzień]])/12,2)</f>
        <v>5.92</v>
      </c>
    </row>
    <row r="164" spans="1:15" x14ac:dyDescent="0.25">
      <c r="A164">
        <v>1941</v>
      </c>
      <c r="B164">
        <v>-9.1999999999999993</v>
      </c>
      <c r="C164">
        <v>-1.7</v>
      </c>
      <c r="D164">
        <v>1.4</v>
      </c>
      <c r="E164">
        <v>5.4</v>
      </c>
      <c r="F164">
        <v>10.7</v>
      </c>
      <c r="G164">
        <v>17.3</v>
      </c>
      <c r="H164">
        <v>20.100000000000001</v>
      </c>
      <c r="I164">
        <v>17.100000000000001</v>
      </c>
      <c r="J164">
        <v>11.6</v>
      </c>
      <c r="K164">
        <v>6.2</v>
      </c>
      <c r="L164">
        <v>-1.8</v>
      </c>
      <c r="M164">
        <v>-0.1</v>
      </c>
      <c r="O164">
        <f>ROUND(SUM(temp3[[#This Row],[styczeń]:[grudzień]])/12,2)</f>
        <v>6.42</v>
      </c>
    </row>
    <row r="165" spans="1:15" x14ac:dyDescent="0.25">
      <c r="A165">
        <v>1942</v>
      </c>
      <c r="B165">
        <v>-10.9</v>
      </c>
      <c r="C165">
        <v>-6.2</v>
      </c>
      <c r="D165">
        <v>-3.7</v>
      </c>
      <c r="E165">
        <v>7.1</v>
      </c>
      <c r="F165">
        <v>13.2</v>
      </c>
      <c r="G165">
        <v>16.2</v>
      </c>
      <c r="H165">
        <v>18</v>
      </c>
      <c r="I165">
        <v>20.5</v>
      </c>
      <c r="J165">
        <v>16.8</v>
      </c>
      <c r="K165">
        <v>9.8000000000000007</v>
      </c>
      <c r="L165">
        <v>1.6</v>
      </c>
      <c r="M165">
        <v>1.3</v>
      </c>
      <c r="O165">
        <f>ROUND(SUM(temp3[[#This Row],[styczeń]:[grudzień]])/12,2)</f>
        <v>6.98</v>
      </c>
    </row>
    <row r="166" spans="1:15" x14ac:dyDescent="0.25">
      <c r="A166">
        <v>1943</v>
      </c>
      <c r="B166">
        <v>-6</v>
      </c>
      <c r="C166">
        <v>2</v>
      </c>
      <c r="D166">
        <v>3.9</v>
      </c>
      <c r="E166">
        <v>9.6999999999999993</v>
      </c>
      <c r="F166">
        <v>13</v>
      </c>
      <c r="G166">
        <v>16.600000000000001</v>
      </c>
      <c r="H166">
        <v>18.2</v>
      </c>
      <c r="I166">
        <v>19.5</v>
      </c>
      <c r="J166">
        <v>14.8</v>
      </c>
      <c r="K166">
        <v>9.3000000000000007</v>
      </c>
      <c r="L166">
        <v>2.8</v>
      </c>
      <c r="M166">
        <v>-1.2</v>
      </c>
      <c r="O166">
        <f>ROUND(SUM(temp3[[#This Row],[styczeń]:[grudzień]])/12,2)</f>
        <v>8.5500000000000007</v>
      </c>
    </row>
    <row r="167" spans="1:15" x14ac:dyDescent="0.25">
      <c r="A167">
        <v>1944</v>
      </c>
      <c r="B167">
        <v>1.5</v>
      </c>
      <c r="C167">
        <v>-1</v>
      </c>
      <c r="D167">
        <v>0.5</v>
      </c>
      <c r="E167">
        <v>6.9</v>
      </c>
      <c r="F167">
        <v>13.1</v>
      </c>
      <c r="G167">
        <v>16.2</v>
      </c>
      <c r="H167">
        <v>20.2</v>
      </c>
      <c r="I167">
        <v>19.399999999999999</v>
      </c>
      <c r="J167">
        <v>13.3</v>
      </c>
      <c r="K167">
        <v>9.9</v>
      </c>
      <c r="L167">
        <v>2.4</v>
      </c>
      <c r="M167">
        <v>-1.8</v>
      </c>
      <c r="O167">
        <f>ROUND(SUM(temp3[[#This Row],[styczeń]:[grudzień]])/12,2)</f>
        <v>8.3800000000000008</v>
      </c>
    </row>
    <row r="168" spans="1:15" x14ac:dyDescent="0.25">
      <c r="A168">
        <v>1945</v>
      </c>
      <c r="B168">
        <v>-4.9000000000000004</v>
      </c>
      <c r="C168">
        <v>0.3</v>
      </c>
      <c r="D168">
        <v>2.8</v>
      </c>
      <c r="E168">
        <v>7.8</v>
      </c>
      <c r="F168">
        <v>12.9</v>
      </c>
      <c r="G168">
        <v>16.3</v>
      </c>
      <c r="H168">
        <v>18.5</v>
      </c>
      <c r="I168">
        <v>18</v>
      </c>
      <c r="J168">
        <v>13.9</v>
      </c>
      <c r="K168">
        <v>8.1999999999999993</v>
      </c>
      <c r="L168">
        <v>2.7</v>
      </c>
      <c r="M168">
        <v>-1.3</v>
      </c>
      <c r="O168">
        <f>ROUND(SUM(temp3[[#This Row],[styczeń]:[grudzień]])/12,2)</f>
        <v>7.93</v>
      </c>
    </row>
    <row r="169" spans="1:15" x14ac:dyDescent="0.25">
      <c r="A169">
        <v>1946</v>
      </c>
      <c r="B169">
        <v>-2.8</v>
      </c>
      <c r="C169">
        <v>-0.7</v>
      </c>
      <c r="D169">
        <v>2.4</v>
      </c>
      <c r="E169">
        <v>9.8000000000000007</v>
      </c>
      <c r="F169">
        <v>16.100000000000001</v>
      </c>
      <c r="G169">
        <v>17.8</v>
      </c>
      <c r="H169">
        <v>20.5</v>
      </c>
      <c r="I169">
        <v>18.100000000000001</v>
      </c>
      <c r="J169">
        <v>14.2</v>
      </c>
      <c r="K169">
        <v>4.8</v>
      </c>
      <c r="L169">
        <v>0.8</v>
      </c>
      <c r="M169">
        <v>-3.9</v>
      </c>
      <c r="O169">
        <f>ROUND(SUM(temp3[[#This Row],[styczeń]:[grudzień]])/12,2)</f>
        <v>8.09</v>
      </c>
    </row>
    <row r="170" spans="1:15" x14ac:dyDescent="0.25">
      <c r="A170">
        <v>1947</v>
      </c>
      <c r="B170">
        <v>-7.8</v>
      </c>
      <c r="C170">
        <v>-10.8</v>
      </c>
      <c r="D170">
        <v>0.2</v>
      </c>
      <c r="E170">
        <v>8.9</v>
      </c>
      <c r="F170">
        <v>15.9</v>
      </c>
      <c r="G170">
        <v>19.100000000000001</v>
      </c>
      <c r="H170">
        <v>20.2</v>
      </c>
      <c r="I170">
        <v>16.8</v>
      </c>
      <c r="J170">
        <v>15.9</v>
      </c>
      <c r="K170">
        <v>6.3</v>
      </c>
      <c r="L170">
        <v>4.2</v>
      </c>
      <c r="M170">
        <v>0.9</v>
      </c>
      <c r="O170">
        <f>ROUND(SUM(temp3[[#This Row],[styczeń]:[grudzień]])/12,2)</f>
        <v>7.48</v>
      </c>
    </row>
    <row r="171" spans="1:15" x14ac:dyDescent="0.25">
      <c r="A171">
        <v>1948</v>
      </c>
      <c r="B171">
        <v>1.1000000000000001</v>
      </c>
      <c r="C171">
        <v>-2.6</v>
      </c>
      <c r="D171">
        <v>2.9</v>
      </c>
      <c r="E171">
        <v>10.5</v>
      </c>
      <c r="F171">
        <v>15.2</v>
      </c>
      <c r="G171">
        <v>16.5</v>
      </c>
      <c r="H171">
        <v>17.899999999999999</v>
      </c>
      <c r="I171">
        <v>17.8</v>
      </c>
      <c r="J171">
        <v>14.9</v>
      </c>
      <c r="K171">
        <v>8.1999999999999993</v>
      </c>
      <c r="L171">
        <v>3</v>
      </c>
      <c r="M171">
        <v>-0.7</v>
      </c>
      <c r="O171">
        <f>ROUND(SUM(temp3[[#This Row],[styczeń]:[grudzień]])/12,2)</f>
        <v>8.73</v>
      </c>
    </row>
    <row r="172" spans="1:15" x14ac:dyDescent="0.25">
      <c r="A172">
        <v>1949</v>
      </c>
      <c r="B172">
        <v>-0.1</v>
      </c>
      <c r="C172">
        <v>0.1</v>
      </c>
      <c r="D172">
        <v>-0.4</v>
      </c>
      <c r="E172">
        <v>9.6999999999999993</v>
      </c>
      <c r="F172">
        <v>15.8</v>
      </c>
      <c r="G172">
        <v>15.8</v>
      </c>
      <c r="H172">
        <v>18.600000000000001</v>
      </c>
      <c r="I172">
        <v>16.899999999999999</v>
      </c>
      <c r="J172">
        <v>15.3</v>
      </c>
      <c r="K172">
        <v>9</v>
      </c>
      <c r="L172">
        <v>4.4000000000000004</v>
      </c>
      <c r="M172">
        <v>2.5</v>
      </c>
      <c r="O172">
        <f>ROUND(SUM(temp3[[#This Row],[styczeń]:[grudzień]])/12,2)</f>
        <v>8.9700000000000006</v>
      </c>
    </row>
    <row r="173" spans="1:15" x14ac:dyDescent="0.25">
      <c r="A173">
        <v>1950</v>
      </c>
      <c r="B173">
        <v>-6.8</v>
      </c>
      <c r="C173">
        <v>1.2</v>
      </c>
      <c r="D173">
        <v>3.1</v>
      </c>
      <c r="E173">
        <v>9.9</v>
      </c>
      <c r="F173">
        <v>16.100000000000001</v>
      </c>
      <c r="G173">
        <v>17.899999999999999</v>
      </c>
      <c r="H173">
        <v>18.5</v>
      </c>
      <c r="I173">
        <v>18.3</v>
      </c>
      <c r="J173">
        <v>13.6</v>
      </c>
      <c r="K173">
        <v>7.5</v>
      </c>
      <c r="L173">
        <v>3.8</v>
      </c>
      <c r="M173">
        <v>0.4</v>
      </c>
      <c r="O173">
        <f>ROUND(SUM(temp3[[#This Row],[styczeń]:[grudzień]])/12,2)</f>
        <v>8.6300000000000008</v>
      </c>
    </row>
    <row r="174" spans="1:15" x14ac:dyDescent="0.25">
      <c r="A174">
        <v>1951</v>
      </c>
      <c r="B174">
        <v>-1.8</v>
      </c>
      <c r="C174">
        <v>-0.7</v>
      </c>
      <c r="D174">
        <v>0.6</v>
      </c>
      <c r="E174">
        <v>9.3000000000000007</v>
      </c>
      <c r="F174">
        <v>12.6</v>
      </c>
      <c r="G174">
        <v>18.3</v>
      </c>
      <c r="H174">
        <v>19</v>
      </c>
      <c r="I174">
        <v>20.399999999999999</v>
      </c>
      <c r="J174">
        <v>15.8</v>
      </c>
      <c r="K174">
        <v>6.7</v>
      </c>
      <c r="L174">
        <v>5.7</v>
      </c>
      <c r="M174">
        <v>2.1</v>
      </c>
      <c r="O174">
        <f>ROUND(SUM(temp3[[#This Row],[styczeń]:[grudzień]])/12,2)</f>
        <v>9</v>
      </c>
    </row>
    <row r="175" spans="1:15" x14ac:dyDescent="0.25">
      <c r="A175">
        <v>1952</v>
      </c>
      <c r="B175">
        <v>-0.1</v>
      </c>
      <c r="C175">
        <v>-1.8</v>
      </c>
      <c r="D175">
        <v>-2.9</v>
      </c>
      <c r="E175">
        <v>11</v>
      </c>
      <c r="F175">
        <v>12.1</v>
      </c>
      <c r="G175">
        <v>16.2</v>
      </c>
      <c r="H175">
        <v>19.5</v>
      </c>
      <c r="I175">
        <v>19.2</v>
      </c>
      <c r="J175">
        <v>11.8</v>
      </c>
      <c r="K175">
        <v>7.2</v>
      </c>
      <c r="L175">
        <v>1.8</v>
      </c>
      <c r="M175">
        <v>-1.3</v>
      </c>
      <c r="O175">
        <f>ROUND(SUM(temp3[[#This Row],[styczeń]:[grudzień]])/12,2)</f>
        <v>7.73</v>
      </c>
    </row>
    <row r="176" spans="1:15" x14ac:dyDescent="0.25">
      <c r="A176">
        <v>1953</v>
      </c>
      <c r="B176">
        <v>-1.8</v>
      </c>
      <c r="C176">
        <v>-2.2000000000000002</v>
      </c>
      <c r="D176">
        <v>2.9</v>
      </c>
      <c r="E176">
        <v>9.3000000000000007</v>
      </c>
      <c r="F176">
        <v>14</v>
      </c>
      <c r="G176">
        <v>18.8</v>
      </c>
      <c r="H176">
        <v>20.6</v>
      </c>
      <c r="I176">
        <v>17.600000000000001</v>
      </c>
      <c r="J176">
        <v>13.7</v>
      </c>
      <c r="K176">
        <v>9.5</v>
      </c>
      <c r="L176">
        <v>2.6</v>
      </c>
      <c r="M176">
        <v>-0.8</v>
      </c>
      <c r="O176">
        <f>ROUND(SUM(temp3[[#This Row],[styczeń]:[grudzień]])/12,2)</f>
        <v>8.68</v>
      </c>
    </row>
    <row r="177" spans="1:15" x14ac:dyDescent="0.25">
      <c r="A177">
        <v>1954</v>
      </c>
      <c r="B177">
        <v>-7.5</v>
      </c>
      <c r="C177">
        <v>-9.5</v>
      </c>
      <c r="D177">
        <v>2.2999999999999998</v>
      </c>
      <c r="E177">
        <v>5.5</v>
      </c>
      <c r="F177">
        <v>14.6</v>
      </c>
      <c r="G177">
        <v>19.399999999999999</v>
      </c>
      <c r="H177">
        <v>17.399999999999999</v>
      </c>
      <c r="I177">
        <v>18</v>
      </c>
      <c r="J177">
        <v>14.8</v>
      </c>
      <c r="K177">
        <v>8.6999999999999993</v>
      </c>
      <c r="L177">
        <v>2.4</v>
      </c>
      <c r="M177">
        <v>2.6</v>
      </c>
      <c r="O177">
        <f>ROUND(SUM(temp3[[#This Row],[styczeń]:[grudzień]])/12,2)</f>
        <v>7.39</v>
      </c>
    </row>
    <row r="178" spans="1:15" x14ac:dyDescent="0.25">
      <c r="A178">
        <v>1955</v>
      </c>
      <c r="B178">
        <v>-3</v>
      </c>
      <c r="C178">
        <v>-2.2999999999999998</v>
      </c>
      <c r="D178">
        <v>-0.6</v>
      </c>
      <c r="E178">
        <v>4.9000000000000004</v>
      </c>
      <c r="F178">
        <v>11.8</v>
      </c>
      <c r="G178">
        <v>16.3</v>
      </c>
      <c r="H178">
        <v>19.5</v>
      </c>
      <c r="I178">
        <v>19.600000000000001</v>
      </c>
      <c r="J178">
        <v>15.1</v>
      </c>
      <c r="K178">
        <v>8.6</v>
      </c>
      <c r="L178">
        <v>3.4</v>
      </c>
      <c r="M178">
        <v>0.6</v>
      </c>
      <c r="O178">
        <f>ROUND(SUM(temp3[[#This Row],[styczeń]:[grudzień]])/12,2)</f>
        <v>7.83</v>
      </c>
    </row>
    <row r="179" spans="1:15" x14ac:dyDescent="0.25">
      <c r="A179">
        <v>1956</v>
      </c>
      <c r="B179">
        <v>-1.4</v>
      </c>
      <c r="C179">
        <v>-11.7</v>
      </c>
      <c r="D179">
        <v>-1.3</v>
      </c>
      <c r="E179">
        <v>6</v>
      </c>
      <c r="F179">
        <v>13.3</v>
      </c>
      <c r="G179">
        <v>17.899999999999999</v>
      </c>
      <c r="H179">
        <v>17.600000000000001</v>
      </c>
      <c r="I179">
        <v>15.8</v>
      </c>
      <c r="J179">
        <v>12.7</v>
      </c>
      <c r="K179">
        <v>8.4</v>
      </c>
      <c r="L179">
        <v>-0.6</v>
      </c>
      <c r="M179">
        <v>-0.3</v>
      </c>
      <c r="O179">
        <f>ROUND(SUM(temp3[[#This Row],[styczeń]:[grudzień]])/12,2)</f>
        <v>6.37</v>
      </c>
    </row>
    <row r="180" spans="1:15" x14ac:dyDescent="0.25">
      <c r="A180">
        <v>1957</v>
      </c>
      <c r="B180">
        <v>-1.1000000000000001</v>
      </c>
      <c r="C180">
        <v>2.7</v>
      </c>
      <c r="D180">
        <v>2.7</v>
      </c>
      <c r="E180">
        <v>9.1</v>
      </c>
      <c r="F180">
        <v>11.1</v>
      </c>
      <c r="G180">
        <v>18.3</v>
      </c>
      <c r="H180">
        <v>19.2</v>
      </c>
      <c r="I180">
        <v>16.5</v>
      </c>
      <c r="J180">
        <v>11.9</v>
      </c>
      <c r="K180">
        <v>9</v>
      </c>
      <c r="L180">
        <v>4.3</v>
      </c>
      <c r="M180">
        <v>-1.3</v>
      </c>
      <c r="O180">
        <f>ROUND(SUM(temp3[[#This Row],[styczeń]:[grudzień]])/12,2)</f>
        <v>8.5299999999999994</v>
      </c>
    </row>
    <row r="181" spans="1:15" x14ac:dyDescent="0.25">
      <c r="A181">
        <v>1958</v>
      </c>
      <c r="B181">
        <v>-2.4</v>
      </c>
      <c r="C181">
        <v>0</v>
      </c>
      <c r="D181">
        <v>-2.5</v>
      </c>
      <c r="E181">
        <v>4.5999999999999996</v>
      </c>
      <c r="F181">
        <v>15.5</v>
      </c>
      <c r="G181">
        <v>16</v>
      </c>
      <c r="H181">
        <v>19.3</v>
      </c>
      <c r="I181">
        <v>17.8</v>
      </c>
      <c r="J181">
        <v>13.5</v>
      </c>
      <c r="K181">
        <v>9.9</v>
      </c>
      <c r="L181">
        <v>3.8</v>
      </c>
      <c r="M181">
        <v>1.3</v>
      </c>
      <c r="O181">
        <f>ROUND(SUM(temp3[[#This Row],[styczeń]:[grudzień]])/12,2)</f>
        <v>8.07</v>
      </c>
    </row>
    <row r="182" spans="1:15" x14ac:dyDescent="0.25">
      <c r="A182">
        <v>1959</v>
      </c>
      <c r="B182">
        <v>-0.6</v>
      </c>
      <c r="C182">
        <v>-1.5</v>
      </c>
      <c r="D182">
        <v>4.5999999999999996</v>
      </c>
      <c r="E182">
        <v>8.9</v>
      </c>
      <c r="F182">
        <v>13.8</v>
      </c>
      <c r="G182">
        <v>17.3</v>
      </c>
      <c r="H182">
        <v>21.5</v>
      </c>
      <c r="I182">
        <v>19.3</v>
      </c>
      <c r="J182">
        <v>12.7</v>
      </c>
      <c r="K182">
        <v>8.1</v>
      </c>
      <c r="L182">
        <v>2.2999999999999998</v>
      </c>
      <c r="M182">
        <v>-1.4</v>
      </c>
      <c r="O182">
        <f>ROUND(SUM(temp3[[#This Row],[styczeń]:[grudzień]])/12,2)</f>
        <v>8.75</v>
      </c>
    </row>
    <row r="183" spans="1:15" x14ac:dyDescent="0.25">
      <c r="A183">
        <v>1960</v>
      </c>
      <c r="B183">
        <v>-2.8</v>
      </c>
      <c r="C183">
        <v>-3.1</v>
      </c>
      <c r="D183">
        <v>1.8</v>
      </c>
      <c r="E183">
        <v>7.3</v>
      </c>
      <c r="F183">
        <v>13.6</v>
      </c>
      <c r="G183">
        <v>17.8</v>
      </c>
      <c r="H183">
        <v>17.3</v>
      </c>
      <c r="I183">
        <v>17</v>
      </c>
      <c r="J183">
        <v>12.3</v>
      </c>
      <c r="K183">
        <v>8.9</v>
      </c>
      <c r="L183">
        <v>5.2</v>
      </c>
      <c r="M183">
        <v>2.9</v>
      </c>
      <c r="O183">
        <f>ROUND(SUM(temp3[[#This Row],[styczeń]:[grudzień]])/12,2)</f>
        <v>8.18</v>
      </c>
    </row>
    <row r="184" spans="1:15" x14ac:dyDescent="0.25">
      <c r="A184">
        <v>1961</v>
      </c>
      <c r="B184">
        <v>-2.8</v>
      </c>
      <c r="C184">
        <v>1.7</v>
      </c>
      <c r="D184">
        <v>5.5</v>
      </c>
      <c r="E184">
        <v>10.5</v>
      </c>
      <c r="F184">
        <v>12.6</v>
      </c>
      <c r="G184">
        <v>18.600000000000001</v>
      </c>
      <c r="H184">
        <v>16.8</v>
      </c>
      <c r="I184">
        <v>16.8</v>
      </c>
      <c r="J184">
        <v>14.8</v>
      </c>
      <c r="K184">
        <v>10.7</v>
      </c>
      <c r="L184">
        <v>3.8</v>
      </c>
      <c r="M184">
        <v>-3.1</v>
      </c>
      <c r="O184">
        <f>ROUND(SUM(temp3[[#This Row],[styczeń]:[grudzień]])/12,2)</f>
        <v>8.83</v>
      </c>
    </row>
    <row r="185" spans="1:15" x14ac:dyDescent="0.25">
      <c r="A185">
        <v>1962</v>
      </c>
      <c r="B185">
        <v>0</v>
      </c>
      <c r="C185">
        <v>-2.1</v>
      </c>
      <c r="D185">
        <v>-1.4</v>
      </c>
      <c r="E185">
        <v>11.2</v>
      </c>
      <c r="F185">
        <v>11.5</v>
      </c>
      <c r="G185">
        <v>15.3</v>
      </c>
      <c r="H185">
        <v>16.8</v>
      </c>
      <c r="I185">
        <v>17.100000000000001</v>
      </c>
      <c r="J185">
        <v>12.7</v>
      </c>
      <c r="K185">
        <v>8.5</v>
      </c>
      <c r="L185">
        <v>4.2</v>
      </c>
      <c r="M185">
        <v>-4.2</v>
      </c>
      <c r="O185">
        <f>ROUND(SUM(temp3[[#This Row],[styczeń]:[grudzień]])/12,2)</f>
        <v>7.47</v>
      </c>
    </row>
    <row r="186" spans="1:15" x14ac:dyDescent="0.25">
      <c r="A186">
        <v>1963</v>
      </c>
      <c r="B186">
        <v>-11.6</v>
      </c>
      <c r="C186">
        <v>-7.2</v>
      </c>
      <c r="D186">
        <v>-1.2</v>
      </c>
      <c r="E186">
        <v>8.8000000000000007</v>
      </c>
      <c r="F186">
        <v>16.3</v>
      </c>
      <c r="G186">
        <v>17.3</v>
      </c>
      <c r="H186">
        <v>21.1</v>
      </c>
      <c r="I186">
        <v>19.8</v>
      </c>
      <c r="J186">
        <v>15.4</v>
      </c>
      <c r="K186">
        <v>8.6999999999999993</v>
      </c>
      <c r="L186">
        <v>6.6</v>
      </c>
      <c r="M186">
        <v>-4.5</v>
      </c>
      <c r="O186">
        <f>ROUND(SUM(temp3[[#This Row],[styczeń]:[grudzień]])/12,2)</f>
        <v>7.46</v>
      </c>
    </row>
    <row r="187" spans="1:15" x14ac:dyDescent="0.25">
      <c r="A187">
        <v>1964</v>
      </c>
      <c r="B187">
        <v>-2.9</v>
      </c>
      <c r="C187">
        <v>-3.9</v>
      </c>
      <c r="D187">
        <v>-2.4</v>
      </c>
      <c r="E187">
        <v>8.8000000000000007</v>
      </c>
      <c r="F187">
        <v>14.1</v>
      </c>
      <c r="G187">
        <v>20.399999999999999</v>
      </c>
      <c r="H187">
        <v>19.3</v>
      </c>
      <c r="I187">
        <v>16.8</v>
      </c>
      <c r="J187">
        <v>14.1</v>
      </c>
      <c r="K187">
        <v>8.1999999999999993</v>
      </c>
      <c r="L187">
        <v>3.9</v>
      </c>
      <c r="M187">
        <v>0</v>
      </c>
      <c r="O187">
        <f>ROUND(SUM(temp3[[#This Row],[styczeń]:[grudzień]])/12,2)</f>
        <v>8.0299999999999994</v>
      </c>
    </row>
    <row r="188" spans="1:15" x14ac:dyDescent="0.25">
      <c r="A188">
        <v>1965</v>
      </c>
      <c r="B188">
        <v>-0.8</v>
      </c>
      <c r="C188">
        <v>-4.8</v>
      </c>
      <c r="D188">
        <v>1.3</v>
      </c>
      <c r="E188">
        <v>6.8</v>
      </c>
      <c r="F188">
        <v>10.8</v>
      </c>
      <c r="G188">
        <v>16.7</v>
      </c>
      <c r="H188">
        <v>17.100000000000001</v>
      </c>
      <c r="I188">
        <v>16.3</v>
      </c>
      <c r="J188">
        <v>15.2</v>
      </c>
      <c r="K188">
        <v>8.1999999999999993</v>
      </c>
      <c r="L188">
        <v>-0.6</v>
      </c>
      <c r="M188">
        <v>0.7</v>
      </c>
      <c r="O188">
        <f>ROUND(SUM(temp3[[#This Row],[styczeń]:[grudzień]])/12,2)</f>
        <v>7.24</v>
      </c>
    </row>
    <row r="189" spans="1:15" x14ac:dyDescent="0.25">
      <c r="A189">
        <v>1966</v>
      </c>
      <c r="B189">
        <v>-4.5</v>
      </c>
      <c r="C189">
        <v>-0.3</v>
      </c>
      <c r="D189">
        <v>2.9</v>
      </c>
      <c r="E189">
        <v>9</v>
      </c>
      <c r="F189">
        <v>14.1</v>
      </c>
      <c r="G189">
        <v>18</v>
      </c>
      <c r="H189">
        <v>19.2</v>
      </c>
      <c r="I189">
        <v>17.5</v>
      </c>
      <c r="J189">
        <v>12.8</v>
      </c>
      <c r="K189">
        <v>11.1</v>
      </c>
      <c r="L189">
        <v>2.8</v>
      </c>
      <c r="M189">
        <v>0</v>
      </c>
      <c r="O189">
        <f>ROUND(SUM(temp3[[#This Row],[styczeń]:[grudzień]])/12,2)</f>
        <v>8.5500000000000007</v>
      </c>
    </row>
    <row r="190" spans="1:15" x14ac:dyDescent="0.25">
      <c r="A190">
        <v>1967</v>
      </c>
      <c r="B190">
        <v>-4.8</v>
      </c>
      <c r="C190">
        <v>0.7</v>
      </c>
      <c r="D190">
        <v>5.3</v>
      </c>
      <c r="E190">
        <v>8.1</v>
      </c>
      <c r="F190">
        <v>14.8</v>
      </c>
      <c r="G190">
        <v>17.2</v>
      </c>
      <c r="H190">
        <v>20.100000000000001</v>
      </c>
      <c r="I190">
        <v>18</v>
      </c>
      <c r="J190">
        <v>16.600000000000001</v>
      </c>
      <c r="K190">
        <v>11.7</v>
      </c>
      <c r="L190">
        <v>4.0999999999999996</v>
      </c>
      <c r="M190">
        <v>-1</v>
      </c>
      <c r="O190">
        <f>ROUND(SUM(temp3[[#This Row],[styczeń]:[grudzień]])/12,2)</f>
        <v>9.23</v>
      </c>
    </row>
    <row r="191" spans="1:15" x14ac:dyDescent="0.25">
      <c r="A191">
        <v>1968</v>
      </c>
      <c r="B191">
        <v>-3.3</v>
      </c>
      <c r="C191">
        <v>-0.4</v>
      </c>
      <c r="D191">
        <v>3.6</v>
      </c>
      <c r="E191">
        <v>10.199999999999999</v>
      </c>
      <c r="F191">
        <v>12.2</v>
      </c>
      <c r="G191">
        <v>18.7</v>
      </c>
      <c r="H191">
        <v>17.399999999999999</v>
      </c>
      <c r="I191">
        <v>18.399999999999999</v>
      </c>
      <c r="J191">
        <v>13.8</v>
      </c>
      <c r="K191">
        <v>8.6999999999999993</v>
      </c>
      <c r="L191">
        <v>3.8</v>
      </c>
      <c r="M191">
        <v>-3.5</v>
      </c>
      <c r="O191">
        <f>ROUND(SUM(temp3[[#This Row],[styczeń]:[grudzień]])/12,2)</f>
        <v>8.3000000000000007</v>
      </c>
    </row>
    <row r="192" spans="1:15" x14ac:dyDescent="0.25">
      <c r="A192">
        <v>1969</v>
      </c>
      <c r="B192">
        <v>-6</v>
      </c>
      <c r="C192">
        <v>-4.2</v>
      </c>
      <c r="D192">
        <v>-1.7</v>
      </c>
      <c r="E192">
        <v>7.2</v>
      </c>
      <c r="F192">
        <v>15.5</v>
      </c>
      <c r="G192">
        <v>17.7</v>
      </c>
      <c r="H192">
        <v>19.600000000000001</v>
      </c>
      <c r="I192">
        <v>17.399999999999999</v>
      </c>
      <c r="J192">
        <v>14</v>
      </c>
      <c r="K192">
        <v>8.9</v>
      </c>
      <c r="L192">
        <v>5.7</v>
      </c>
      <c r="M192">
        <v>-8.1</v>
      </c>
      <c r="O192">
        <f>ROUND(SUM(temp3[[#This Row],[styczeń]:[grudzień]])/12,2)</f>
        <v>7.17</v>
      </c>
    </row>
    <row r="193" spans="1:15" x14ac:dyDescent="0.25">
      <c r="A193">
        <v>1970</v>
      </c>
      <c r="B193">
        <v>-5.7</v>
      </c>
      <c r="C193">
        <v>-4.9000000000000004</v>
      </c>
      <c r="D193">
        <v>0.7</v>
      </c>
      <c r="E193">
        <v>7.4</v>
      </c>
      <c r="F193">
        <v>13.3</v>
      </c>
      <c r="G193">
        <v>17.600000000000001</v>
      </c>
      <c r="H193">
        <v>17.600000000000001</v>
      </c>
      <c r="I193">
        <v>17.7</v>
      </c>
      <c r="J193">
        <v>12.8</v>
      </c>
      <c r="K193">
        <v>8</v>
      </c>
      <c r="L193">
        <v>4.9000000000000004</v>
      </c>
      <c r="M193">
        <v>0.9</v>
      </c>
      <c r="O193">
        <f>ROUND(SUM(temp3[[#This Row],[styczeń]:[grudzień]])/12,2)</f>
        <v>7.53</v>
      </c>
    </row>
    <row r="194" spans="1:15" x14ac:dyDescent="0.25">
      <c r="A194">
        <v>1971</v>
      </c>
      <c r="B194">
        <v>-3.2</v>
      </c>
      <c r="C194">
        <v>0.2</v>
      </c>
      <c r="D194">
        <v>0.3</v>
      </c>
      <c r="E194">
        <v>8.1</v>
      </c>
      <c r="F194">
        <v>17.2</v>
      </c>
      <c r="G194">
        <v>16.3</v>
      </c>
      <c r="H194">
        <v>19.2</v>
      </c>
      <c r="I194">
        <v>19.7</v>
      </c>
      <c r="J194">
        <v>11.3</v>
      </c>
      <c r="K194">
        <v>8.6999999999999993</v>
      </c>
      <c r="L194">
        <v>2.5</v>
      </c>
      <c r="M194">
        <v>3.2</v>
      </c>
      <c r="O194">
        <f>ROUND(SUM(temp3[[#This Row],[styczeń]:[grudzień]])/12,2)</f>
        <v>8.6300000000000008</v>
      </c>
    </row>
    <row r="195" spans="1:15" x14ac:dyDescent="0.25">
      <c r="A195">
        <v>1972</v>
      </c>
      <c r="B195">
        <v>-7.2</v>
      </c>
      <c r="C195">
        <v>-0.6</v>
      </c>
      <c r="D195">
        <v>4</v>
      </c>
      <c r="E195">
        <v>8.3000000000000007</v>
      </c>
      <c r="F195">
        <v>14.2</v>
      </c>
      <c r="G195">
        <v>17.7</v>
      </c>
      <c r="H195">
        <v>20.9</v>
      </c>
      <c r="I195">
        <v>17.3</v>
      </c>
      <c r="J195">
        <v>12.2</v>
      </c>
      <c r="K195">
        <v>6.6</v>
      </c>
      <c r="L195">
        <v>4.5</v>
      </c>
      <c r="M195">
        <v>0.1</v>
      </c>
      <c r="O195">
        <f>ROUND(SUM(temp3[[#This Row],[styczeń]:[grudzień]])/12,2)</f>
        <v>8.17</v>
      </c>
    </row>
    <row r="196" spans="1:15" x14ac:dyDescent="0.25">
      <c r="A196">
        <v>1973</v>
      </c>
      <c r="B196">
        <v>-2.4</v>
      </c>
      <c r="C196">
        <v>1.6</v>
      </c>
      <c r="D196">
        <v>4.4000000000000004</v>
      </c>
      <c r="E196">
        <v>7.6</v>
      </c>
      <c r="F196">
        <v>13.5</v>
      </c>
      <c r="G196">
        <v>17</v>
      </c>
      <c r="H196">
        <v>18.7</v>
      </c>
      <c r="I196">
        <v>18.7</v>
      </c>
      <c r="J196">
        <v>13.4</v>
      </c>
      <c r="K196">
        <v>6.7</v>
      </c>
      <c r="L196">
        <v>1.9</v>
      </c>
      <c r="M196">
        <v>-0.6</v>
      </c>
      <c r="O196">
        <f>ROUND(SUM(temp3[[#This Row],[styczeń]:[grudzień]])/12,2)</f>
        <v>8.3800000000000008</v>
      </c>
    </row>
    <row r="197" spans="1:15" x14ac:dyDescent="0.25">
      <c r="A197">
        <v>1974</v>
      </c>
      <c r="B197">
        <v>-1</v>
      </c>
      <c r="C197">
        <v>2.2999999999999998</v>
      </c>
      <c r="D197">
        <v>4.8</v>
      </c>
      <c r="E197">
        <v>7.8</v>
      </c>
      <c r="F197">
        <v>11.6</v>
      </c>
      <c r="G197">
        <v>15.1</v>
      </c>
      <c r="H197">
        <v>16.3</v>
      </c>
      <c r="I197">
        <v>18.399999999999999</v>
      </c>
      <c r="J197">
        <v>13.9</v>
      </c>
      <c r="K197">
        <v>6.6</v>
      </c>
      <c r="L197">
        <v>3.7</v>
      </c>
      <c r="M197">
        <v>2.6</v>
      </c>
      <c r="O197">
        <f>ROUND(SUM(temp3[[#This Row],[styczeń]:[grudzień]])/12,2)</f>
        <v>8.51</v>
      </c>
    </row>
    <row r="198" spans="1:15" x14ac:dyDescent="0.25">
      <c r="A198">
        <v>1975</v>
      </c>
      <c r="B198">
        <v>2.7</v>
      </c>
      <c r="C198">
        <v>-0.2</v>
      </c>
      <c r="D198">
        <v>4.8</v>
      </c>
      <c r="E198">
        <v>7.4</v>
      </c>
      <c r="F198">
        <v>15.4</v>
      </c>
      <c r="G198">
        <v>17</v>
      </c>
      <c r="H198">
        <v>20.2</v>
      </c>
      <c r="I198">
        <v>19.3</v>
      </c>
      <c r="J198">
        <v>16.100000000000001</v>
      </c>
      <c r="K198">
        <v>8.1999999999999993</v>
      </c>
      <c r="L198">
        <v>1.7</v>
      </c>
      <c r="M198">
        <v>1.2</v>
      </c>
      <c r="O198">
        <f>ROUND(SUM(temp3[[#This Row],[styczeń]:[grudzień]])/12,2)</f>
        <v>9.48</v>
      </c>
    </row>
    <row r="199" spans="1:15" x14ac:dyDescent="0.25">
      <c r="A199">
        <v>1976</v>
      </c>
      <c r="B199">
        <v>-2.2999999999999998</v>
      </c>
      <c r="C199">
        <v>-4</v>
      </c>
      <c r="D199">
        <v>-0.6</v>
      </c>
      <c r="E199">
        <v>8.4</v>
      </c>
      <c r="F199">
        <v>13.1</v>
      </c>
      <c r="G199">
        <v>16.100000000000001</v>
      </c>
      <c r="H199">
        <v>19.600000000000001</v>
      </c>
      <c r="I199">
        <v>16.600000000000001</v>
      </c>
      <c r="J199">
        <v>13.4</v>
      </c>
      <c r="K199">
        <v>6.8</v>
      </c>
      <c r="L199">
        <v>4.5999999999999996</v>
      </c>
      <c r="M199">
        <v>-1</v>
      </c>
      <c r="O199">
        <f>ROUND(SUM(temp3[[#This Row],[styczeń]:[grudzień]])/12,2)</f>
        <v>7.56</v>
      </c>
    </row>
    <row r="200" spans="1:15" x14ac:dyDescent="0.25">
      <c r="A200">
        <v>1977</v>
      </c>
      <c r="B200">
        <v>-1.7</v>
      </c>
      <c r="C200">
        <v>0.4</v>
      </c>
      <c r="D200">
        <v>5.7</v>
      </c>
      <c r="E200">
        <v>6.8</v>
      </c>
      <c r="F200">
        <v>13.3</v>
      </c>
      <c r="G200">
        <v>17.8</v>
      </c>
      <c r="H200">
        <v>16.899999999999999</v>
      </c>
      <c r="I200">
        <v>16</v>
      </c>
      <c r="J200">
        <v>11.2</v>
      </c>
      <c r="K200">
        <v>9.3000000000000007</v>
      </c>
      <c r="L200">
        <v>5.4</v>
      </c>
      <c r="M200">
        <v>-0.6</v>
      </c>
      <c r="O200">
        <f>ROUND(SUM(temp3[[#This Row],[styczeń]:[grudzień]])/12,2)</f>
        <v>8.3800000000000008</v>
      </c>
    </row>
    <row r="201" spans="1:15" x14ac:dyDescent="0.25">
      <c r="A201">
        <v>1978</v>
      </c>
      <c r="B201">
        <v>-1.2</v>
      </c>
      <c r="C201">
        <v>-2.9</v>
      </c>
      <c r="D201">
        <v>3.3</v>
      </c>
      <c r="E201">
        <v>6.8</v>
      </c>
      <c r="F201">
        <v>12.6</v>
      </c>
      <c r="G201">
        <v>16</v>
      </c>
      <c r="H201">
        <v>17.100000000000001</v>
      </c>
      <c r="I201">
        <v>16.3</v>
      </c>
      <c r="J201">
        <v>11.3</v>
      </c>
      <c r="K201">
        <v>8.6999999999999993</v>
      </c>
      <c r="L201">
        <v>5.4</v>
      </c>
      <c r="M201">
        <v>-4</v>
      </c>
      <c r="O201">
        <f>ROUND(SUM(temp3[[#This Row],[styczeń]:[grudzień]])/12,2)</f>
        <v>7.45</v>
      </c>
    </row>
    <row r="202" spans="1:15" x14ac:dyDescent="0.25">
      <c r="A202">
        <v>1979</v>
      </c>
      <c r="B202">
        <v>-5.7</v>
      </c>
      <c r="C202">
        <v>-5.3</v>
      </c>
      <c r="D202">
        <v>1.9</v>
      </c>
      <c r="E202">
        <v>7.1</v>
      </c>
      <c r="F202">
        <v>15.5</v>
      </c>
      <c r="G202">
        <v>20.5</v>
      </c>
      <c r="H202">
        <v>15.6</v>
      </c>
      <c r="I202">
        <v>17</v>
      </c>
      <c r="J202">
        <v>14.2</v>
      </c>
      <c r="K202">
        <v>6.1</v>
      </c>
      <c r="L202">
        <v>3</v>
      </c>
      <c r="M202">
        <v>1.7</v>
      </c>
      <c r="O202">
        <f>ROUND(SUM(temp3[[#This Row],[styczeń]:[grudzień]])/12,2)</f>
        <v>7.63</v>
      </c>
    </row>
    <row r="203" spans="1:15" x14ac:dyDescent="0.25">
      <c r="A203">
        <v>1980</v>
      </c>
      <c r="B203">
        <v>-5.6</v>
      </c>
      <c r="C203">
        <v>-1.5</v>
      </c>
      <c r="D203">
        <v>-0.5</v>
      </c>
      <c r="E203">
        <v>7.3</v>
      </c>
      <c r="F203">
        <v>10.4</v>
      </c>
      <c r="G203">
        <v>16.100000000000001</v>
      </c>
      <c r="H203">
        <v>16.899999999999999</v>
      </c>
      <c r="I203">
        <v>16.8</v>
      </c>
      <c r="J203">
        <v>12.9</v>
      </c>
      <c r="K203">
        <v>8.4</v>
      </c>
      <c r="L203">
        <v>2</v>
      </c>
      <c r="M203">
        <v>-0.5</v>
      </c>
      <c r="O203">
        <f>ROUND(SUM(temp3[[#This Row],[styczeń]:[grudzień]])/12,2)</f>
        <v>6.89</v>
      </c>
    </row>
    <row r="204" spans="1:15" x14ac:dyDescent="0.25">
      <c r="A204">
        <v>1981</v>
      </c>
      <c r="B204">
        <v>-2.8</v>
      </c>
      <c r="C204">
        <v>-0.8</v>
      </c>
      <c r="D204">
        <v>4</v>
      </c>
      <c r="E204">
        <v>6.5</v>
      </c>
      <c r="F204">
        <v>14.4</v>
      </c>
      <c r="G204">
        <v>17.3</v>
      </c>
      <c r="H204">
        <v>18.3</v>
      </c>
      <c r="I204">
        <v>16.8</v>
      </c>
      <c r="J204">
        <v>14.2</v>
      </c>
      <c r="K204">
        <v>8.8000000000000007</v>
      </c>
      <c r="L204">
        <v>3.5</v>
      </c>
      <c r="M204">
        <v>-3.3</v>
      </c>
      <c r="O204">
        <f>ROUND(SUM(temp3[[#This Row],[styczeń]:[grudzień]])/12,2)</f>
        <v>8.08</v>
      </c>
    </row>
    <row r="205" spans="1:15" x14ac:dyDescent="0.25">
      <c r="A205">
        <v>1982</v>
      </c>
      <c r="B205">
        <v>-3.3</v>
      </c>
      <c r="C205">
        <v>-1.8</v>
      </c>
      <c r="D205">
        <v>3.9</v>
      </c>
      <c r="E205">
        <v>6.2</v>
      </c>
      <c r="F205">
        <v>14.9</v>
      </c>
      <c r="G205">
        <v>16.3</v>
      </c>
      <c r="H205">
        <v>19.600000000000001</v>
      </c>
      <c r="I205">
        <v>19.600000000000001</v>
      </c>
      <c r="J205">
        <v>15.6</v>
      </c>
      <c r="K205">
        <v>9</v>
      </c>
      <c r="L205">
        <v>5.0999999999999996</v>
      </c>
      <c r="M205">
        <v>1.5</v>
      </c>
      <c r="O205">
        <f>ROUND(SUM(temp3[[#This Row],[styczeń]:[grudzień]])/12,2)</f>
        <v>8.8800000000000008</v>
      </c>
    </row>
    <row r="206" spans="1:15" x14ac:dyDescent="0.25">
      <c r="A206">
        <v>1983</v>
      </c>
      <c r="B206">
        <v>3.4</v>
      </c>
      <c r="C206">
        <v>-1.9</v>
      </c>
      <c r="D206">
        <v>4.4000000000000004</v>
      </c>
      <c r="E206">
        <v>10.3</v>
      </c>
      <c r="F206">
        <v>16.100000000000001</v>
      </c>
      <c r="G206">
        <v>17.600000000000001</v>
      </c>
      <c r="H206">
        <v>19.899999999999999</v>
      </c>
      <c r="I206">
        <v>19</v>
      </c>
      <c r="J206">
        <v>15</v>
      </c>
      <c r="K206">
        <v>9.1999999999999993</v>
      </c>
      <c r="L206">
        <v>2.7</v>
      </c>
      <c r="M206">
        <v>-0.3</v>
      </c>
      <c r="O206">
        <f>ROUND(SUM(temp3[[#This Row],[styczeń]:[grudzień]])/12,2)</f>
        <v>9.6199999999999992</v>
      </c>
    </row>
    <row r="207" spans="1:15" x14ac:dyDescent="0.25">
      <c r="A207">
        <v>1984</v>
      </c>
      <c r="B207">
        <v>0.4</v>
      </c>
      <c r="C207">
        <v>-1.6</v>
      </c>
      <c r="D207">
        <v>1.3</v>
      </c>
      <c r="E207">
        <v>9.6</v>
      </c>
      <c r="F207">
        <v>14</v>
      </c>
      <c r="G207">
        <v>15</v>
      </c>
      <c r="H207">
        <v>16.100000000000001</v>
      </c>
      <c r="I207">
        <v>18.5</v>
      </c>
      <c r="J207">
        <v>13.3</v>
      </c>
      <c r="K207">
        <v>10.5</v>
      </c>
      <c r="L207">
        <v>2.4</v>
      </c>
      <c r="M207">
        <v>-1</v>
      </c>
      <c r="O207">
        <f>ROUND(SUM(temp3[[#This Row],[styczeń]:[grudzień]])/12,2)</f>
        <v>8.2100000000000009</v>
      </c>
    </row>
    <row r="208" spans="1:15" x14ac:dyDescent="0.25">
      <c r="A208">
        <v>1985</v>
      </c>
      <c r="B208">
        <v>-7.8</v>
      </c>
      <c r="C208">
        <v>-8.5</v>
      </c>
      <c r="D208">
        <v>2.1</v>
      </c>
      <c r="E208">
        <v>9</v>
      </c>
      <c r="F208">
        <v>15.6</v>
      </c>
      <c r="G208">
        <v>15.3</v>
      </c>
      <c r="H208">
        <v>18</v>
      </c>
      <c r="I208">
        <v>18.399999999999999</v>
      </c>
      <c r="J208">
        <v>12.7</v>
      </c>
      <c r="K208">
        <v>8.6</v>
      </c>
      <c r="L208">
        <v>1.1000000000000001</v>
      </c>
      <c r="M208">
        <v>1.9</v>
      </c>
      <c r="O208">
        <f>ROUND(SUM(temp3[[#This Row],[styczeń]:[grudzień]])/12,2)</f>
        <v>7.2</v>
      </c>
    </row>
    <row r="209" spans="1:15" x14ac:dyDescent="0.25">
      <c r="A209">
        <v>1986</v>
      </c>
      <c r="B209">
        <v>-1.2</v>
      </c>
      <c r="C209">
        <v>-9</v>
      </c>
      <c r="D209">
        <v>2.2999999999999998</v>
      </c>
      <c r="E209">
        <v>9.1999999999999993</v>
      </c>
      <c r="F209">
        <v>15.3</v>
      </c>
      <c r="G209">
        <v>17.3</v>
      </c>
      <c r="H209">
        <v>18.600000000000001</v>
      </c>
      <c r="I209">
        <v>17.7</v>
      </c>
      <c r="J209">
        <v>11.4</v>
      </c>
      <c r="K209">
        <v>8.5</v>
      </c>
      <c r="L209">
        <v>5.5</v>
      </c>
      <c r="M209">
        <v>0.1</v>
      </c>
      <c r="O209">
        <f>ROUND(SUM(temp3[[#This Row],[styczeń]:[grudzień]])/12,2)</f>
        <v>7.98</v>
      </c>
    </row>
    <row r="210" spans="1:15" x14ac:dyDescent="0.25">
      <c r="A210">
        <v>1987</v>
      </c>
      <c r="B210">
        <v>-12</v>
      </c>
      <c r="C210">
        <v>-0.7</v>
      </c>
      <c r="D210">
        <v>-2</v>
      </c>
      <c r="E210">
        <v>7.6</v>
      </c>
      <c r="F210">
        <v>12.8</v>
      </c>
      <c r="G210">
        <v>16.2</v>
      </c>
      <c r="H210">
        <v>18.600000000000001</v>
      </c>
      <c r="I210">
        <v>15.6</v>
      </c>
      <c r="J210">
        <v>13.1</v>
      </c>
      <c r="K210">
        <v>8.5</v>
      </c>
      <c r="L210">
        <v>4.0999999999999996</v>
      </c>
      <c r="M210">
        <v>0.9</v>
      </c>
      <c r="O210">
        <f>ROUND(SUM(temp3[[#This Row],[styczeń]:[grudzień]])/12,2)</f>
        <v>6.89</v>
      </c>
    </row>
    <row r="211" spans="1:15" x14ac:dyDescent="0.25">
      <c r="A211">
        <v>1988</v>
      </c>
      <c r="B211">
        <v>0.7</v>
      </c>
      <c r="C211">
        <v>0.6</v>
      </c>
      <c r="D211">
        <v>1.2</v>
      </c>
      <c r="E211">
        <v>7.7</v>
      </c>
      <c r="F211">
        <v>15.5</v>
      </c>
      <c r="G211">
        <v>17.100000000000001</v>
      </c>
      <c r="H211">
        <v>19.899999999999999</v>
      </c>
      <c r="I211">
        <v>17.7</v>
      </c>
      <c r="J211">
        <v>13.7</v>
      </c>
      <c r="K211">
        <v>7.8</v>
      </c>
      <c r="L211">
        <v>0.3</v>
      </c>
      <c r="M211">
        <v>0.9</v>
      </c>
      <c r="O211">
        <f>ROUND(SUM(temp3[[#This Row],[styczeń]:[grudzień]])/12,2)</f>
        <v>8.59</v>
      </c>
    </row>
    <row r="212" spans="1:15" x14ac:dyDescent="0.25">
      <c r="A212">
        <v>1989</v>
      </c>
      <c r="B212">
        <v>2.2000000000000002</v>
      </c>
      <c r="C212">
        <v>4.0999999999999996</v>
      </c>
      <c r="D212">
        <v>5.8</v>
      </c>
      <c r="E212">
        <v>9.3000000000000007</v>
      </c>
      <c r="F212">
        <v>14.9</v>
      </c>
      <c r="G212">
        <v>16.3</v>
      </c>
      <c r="H212">
        <v>19</v>
      </c>
      <c r="I212">
        <v>18.399999999999999</v>
      </c>
      <c r="J212">
        <v>14.7</v>
      </c>
      <c r="K212">
        <v>10.5</v>
      </c>
      <c r="L212">
        <v>1.5</v>
      </c>
      <c r="M212">
        <v>1.1000000000000001</v>
      </c>
      <c r="O212">
        <f>ROUND(SUM(temp3[[#This Row],[styczeń]:[grudzień]])/12,2)</f>
        <v>9.82</v>
      </c>
    </row>
    <row r="213" spans="1:15" x14ac:dyDescent="0.25">
      <c r="A213">
        <v>1990</v>
      </c>
      <c r="B213">
        <v>1.9</v>
      </c>
      <c r="C213">
        <v>5.0999999999999996</v>
      </c>
      <c r="D213">
        <v>6.7</v>
      </c>
      <c r="E213">
        <v>9.3000000000000007</v>
      </c>
      <c r="F213">
        <v>14.6</v>
      </c>
      <c r="G213">
        <v>17.5</v>
      </c>
      <c r="H213">
        <v>17.5</v>
      </c>
      <c r="I213">
        <v>18</v>
      </c>
      <c r="J213">
        <v>11.5</v>
      </c>
      <c r="K213">
        <v>9.5</v>
      </c>
      <c r="L213">
        <v>4.9000000000000004</v>
      </c>
      <c r="M213">
        <v>0.1</v>
      </c>
      <c r="O213">
        <f>ROUND(SUM(temp3[[#This Row],[styczeń]:[grudzień]])/12,2)</f>
        <v>9.7200000000000006</v>
      </c>
    </row>
    <row r="214" spans="1:15" x14ac:dyDescent="0.25">
      <c r="A214">
        <v>1991</v>
      </c>
      <c r="B214">
        <v>0.3</v>
      </c>
      <c r="C214">
        <v>-3.5</v>
      </c>
      <c r="D214">
        <v>4.2</v>
      </c>
      <c r="E214">
        <v>8.3000000000000007</v>
      </c>
      <c r="F214">
        <v>11.5</v>
      </c>
      <c r="G214">
        <v>16.399999999999999</v>
      </c>
      <c r="H214">
        <v>19.899999999999999</v>
      </c>
      <c r="I214">
        <v>18.899999999999999</v>
      </c>
      <c r="J214">
        <v>15.2</v>
      </c>
      <c r="K214">
        <v>8.1999999999999993</v>
      </c>
      <c r="L214">
        <v>4.4000000000000004</v>
      </c>
      <c r="M214">
        <v>-0.8</v>
      </c>
      <c r="O214">
        <f>ROUND(SUM(temp3[[#This Row],[styczeń]:[grudzień]])/12,2)</f>
        <v>8.58</v>
      </c>
    </row>
    <row r="215" spans="1:15" x14ac:dyDescent="0.25">
      <c r="A215">
        <v>1992</v>
      </c>
      <c r="B215">
        <v>-0.5</v>
      </c>
      <c r="C215">
        <v>1.5</v>
      </c>
      <c r="D215">
        <v>3.8</v>
      </c>
      <c r="E215">
        <v>8</v>
      </c>
      <c r="F215">
        <v>14.4</v>
      </c>
      <c r="G215">
        <v>19</v>
      </c>
      <c r="H215">
        <v>20.8</v>
      </c>
      <c r="I215">
        <v>22</v>
      </c>
      <c r="J215">
        <v>13</v>
      </c>
      <c r="K215">
        <v>6.2</v>
      </c>
      <c r="L215">
        <v>4.0999999999999996</v>
      </c>
      <c r="M215">
        <v>0</v>
      </c>
      <c r="O215">
        <f>ROUND(SUM(temp3[[#This Row],[styczeń]:[grudzień]])/12,2)</f>
        <v>9.36</v>
      </c>
    </row>
    <row r="216" spans="1:15" x14ac:dyDescent="0.25">
      <c r="A216">
        <v>1993</v>
      </c>
      <c r="B216">
        <v>0.6</v>
      </c>
      <c r="C216">
        <v>-0.9</v>
      </c>
      <c r="D216">
        <v>1.5</v>
      </c>
      <c r="E216">
        <v>9.5</v>
      </c>
      <c r="F216">
        <v>16.899999999999999</v>
      </c>
      <c r="G216">
        <v>16.399999999999999</v>
      </c>
      <c r="H216">
        <v>17.600000000000001</v>
      </c>
      <c r="I216">
        <v>17.399999999999999</v>
      </c>
      <c r="J216">
        <v>12.4</v>
      </c>
      <c r="K216">
        <v>8.3000000000000007</v>
      </c>
      <c r="L216">
        <v>-2.2999999999999998</v>
      </c>
      <c r="M216">
        <v>2.2000000000000002</v>
      </c>
      <c r="O216">
        <f>ROUND(SUM(temp3[[#This Row],[styczeń]:[grudzień]])/12,2)</f>
        <v>8.3000000000000007</v>
      </c>
    </row>
    <row r="217" spans="1:15" x14ac:dyDescent="0.25">
      <c r="A217">
        <v>1994</v>
      </c>
      <c r="B217">
        <v>2.2999999999999998</v>
      </c>
      <c r="C217">
        <v>-2.4</v>
      </c>
      <c r="D217">
        <v>4</v>
      </c>
      <c r="E217">
        <v>9.6</v>
      </c>
      <c r="F217">
        <v>13.1</v>
      </c>
      <c r="G217">
        <v>16.8</v>
      </c>
      <c r="H217">
        <v>22.3</v>
      </c>
      <c r="I217">
        <v>18.899999999999999</v>
      </c>
      <c r="J217">
        <v>15.1</v>
      </c>
      <c r="K217">
        <v>7.1</v>
      </c>
      <c r="L217">
        <v>3.9</v>
      </c>
      <c r="M217">
        <v>0.9</v>
      </c>
      <c r="O217">
        <f>ROUND(SUM(temp3[[#This Row],[styczeń]:[grudzień]])/12,2)</f>
        <v>9.3000000000000007</v>
      </c>
    </row>
    <row r="218" spans="1:15" x14ac:dyDescent="0.25">
      <c r="A218">
        <v>1995</v>
      </c>
      <c r="B218">
        <v>-1.3</v>
      </c>
      <c r="C218">
        <v>3.5</v>
      </c>
      <c r="D218">
        <v>3.3</v>
      </c>
      <c r="E218">
        <v>8.3000000000000007</v>
      </c>
      <c r="F218">
        <v>13.2</v>
      </c>
      <c r="G218">
        <v>17.899999999999999</v>
      </c>
      <c r="H218">
        <v>20.9</v>
      </c>
      <c r="I218">
        <v>19.2</v>
      </c>
      <c r="J218">
        <v>13.5</v>
      </c>
      <c r="K218">
        <v>10.5</v>
      </c>
      <c r="L218">
        <v>0.3</v>
      </c>
      <c r="M218">
        <v>-4.8</v>
      </c>
      <c r="O218">
        <f>ROUND(SUM(temp3[[#This Row],[styczeń]:[grudzień]])/12,2)</f>
        <v>8.7100000000000009</v>
      </c>
    </row>
    <row r="219" spans="1:15" x14ac:dyDescent="0.25">
      <c r="A219">
        <v>1996</v>
      </c>
      <c r="B219">
        <v>-5.7</v>
      </c>
      <c r="C219">
        <v>-5.3</v>
      </c>
      <c r="D219">
        <v>-1.1000000000000001</v>
      </c>
      <c r="E219">
        <v>8.8000000000000007</v>
      </c>
      <c r="F219">
        <v>16.2</v>
      </c>
      <c r="G219">
        <v>18.100000000000001</v>
      </c>
      <c r="H219">
        <v>17.5</v>
      </c>
      <c r="I219">
        <v>19.2</v>
      </c>
      <c r="J219">
        <v>11.1</v>
      </c>
      <c r="K219">
        <v>9.8000000000000007</v>
      </c>
      <c r="L219">
        <v>6.5</v>
      </c>
      <c r="M219">
        <v>-4.5999999999999996</v>
      </c>
      <c r="O219">
        <f>ROUND(SUM(temp3[[#This Row],[styczeń]:[grudzień]])/12,2)</f>
        <v>7.54</v>
      </c>
    </row>
    <row r="220" spans="1:15" x14ac:dyDescent="0.25">
      <c r="A220">
        <v>1997</v>
      </c>
      <c r="B220">
        <v>-3.7</v>
      </c>
      <c r="C220">
        <v>2.5</v>
      </c>
      <c r="D220">
        <v>3.6</v>
      </c>
      <c r="E220">
        <v>6</v>
      </c>
      <c r="F220">
        <v>14.7</v>
      </c>
      <c r="G220">
        <v>17.7</v>
      </c>
      <c r="H220">
        <v>18.5</v>
      </c>
      <c r="I220">
        <v>19.7</v>
      </c>
      <c r="J220">
        <v>13.8</v>
      </c>
      <c r="K220">
        <v>6.9</v>
      </c>
      <c r="L220">
        <v>3.3</v>
      </c>
      <c r="M220">
        <v>0.3</v>
      </c>
      <c r="O220">
        <f>ROUND(SUM(temp3[[#This Row],[styczeń]:[grudzień]])/12,2)</f>
        <v>8.61</v>
      </c>
    </row>
    <row r="221" spans="1:15" x14ac:dyDescent="0.25">
      <c r="A221">
        <v>1998</v>
      </c>
      <c r="B221">
        <v>1.1000000000000001</v>
      </c>
      <c r="C221">
        <v>3.6</v>
      </c>
      <c r="D221">
        <v>2.2999999999999998</v>
      </c>
      <c r="E221">
        <v>10.7</v>
      </c>
      <c r="F221">
        <v>15.2</v>
      </c>
      <c r="G221">
        <v>18.600000000000001</v>
      </c>
      <c r="H221">
        <v>18.5</v>
      </c>
      <c r="I221">
        <v>17.2</v>
      </c>
      <c r="J221">
        <v>13.4</v>
      </c>
      <c r="K221">
        <v>8.1999999999999993</v>
      </c>
      <c r="L221">
        <v>-1.4</v>
      </c>
      <c r="M221">
        <v>-1.8</v>
      </c>
      <c r="O221">
        <f>ROUND(SUM(temp3[[#This Row],[styczeń]:[grudzień]])/12,2)</f>
        <v>8.8000000000000007</v>
      </c>
    </row>
    <row r="222" spans="1:15" x14ac:dyDescent="0.25">
      <c r="A222">
        <v>1999</v>
      </c>
      <c r="B222">
        <v>-0.2</v>
      </c>
      <c r="C222">
        <v>-1.3</v>
      </c>
      <c r="D222">
        <v>4.5999999999999996</v>
      </c>
      <c r="E222">
        <v>10</v>
      </c>
      <c r="F222">
        <v>12.6</v>
      </c>
      <c r="G222">
        <v>18</v>
      </c>
      <c r="H222">
        <v>20.6</v>
      </c>
      <c r="I222">
        <v>17.899999999999999</v>
      </c>
      <c r="J222">
        <v>15.8</v>
      </c>
      <c r="K222">
        <v>8.3000000000000007</v>
      </c>
      <c r="L222">
        <v>3</v>
      </c>
      <c r="M222">
        <v>0.7</v>
      </c>
      <c r="O222">
        <f>ROUND(SUM(temp3[[#This Row],[styczeń]:[grudzień]])/12,2)</f>
        <v>9.17</v>
      </c>
    </row>
    <row r="223" spans="1:15" x14ac:dyDescent="0.25">
      <c r="A223">
        <v>2000</v>
      </c>
      <c r="B223">
        <v>-1.4</v>
      </c>
      <c r="C223">
        <v>2.5</v>
      </c>
      <c r="D223">
        <v>3.4</v>
      </c>
      <c r="E223">
        <v>12.4</v>
      </c>
      <c r="F223">
        <v>15.3</v>
      </c>
      <c r="G223">
        <v>17.8</v>
      </c>
      <c r="H223">
        <v>16.600000000000001</v>
      </c>
      <c r="I223">
        <v>18.100000000000001</v>
      </c>
      <c r="J223">
        <v>12</v>
      </c>
      <c r="K223">
        <v>11.6</v>
      </c>
      <c r="L223">
        <v>5.9</v>
      </c>
      <c r="M223">
        <v>1.1000000000000001</v>
      </c>
      <c r="O223">
        <f>ROUND(SUM(temp3[[#This Row],[styczeń]:[grudzień]])/12,2)</f>
        <v>9.61</v>
      </c>
    </row>
    <row r="224" spans="1:15" x14ac:dyDescent="0.25">
      <c r="A224">
        <v>2001</v>
      </c>
      <c r="B224">
        <v>-0.5</v>
      </c>
      <c r="C224">
        <v>-0.8</v>
      </c>
      <c r="D224">
        <v>2.2000000000000002</v>
      </c>
      <c r="E224">
        <v>8</v>
      </c>
      <c r="F224">
        <v>14.7</v>
      </c>
      <c r="G224">
        <v>15.2</v>
      </c>
      <c r="H224">
        <v>20.7</v>
      </c>
      <c r="I224">
        <v>19.3</v>
      </c>
      <c r="J224">
        <v>12.1</v>
      </c>
      <c r="K224">
        <v>10.9</v>
      </c>
      <c r="L224">
        <v>2.4</v>
      </c>
      <c r="M224">
        <v>-4.2</v>
      </c>
      <c r="O224">
        <f>ROUND(SUM(temp3[[#This Row],[styczeń]:[grudzień]])/12,2)</f>
        <v>8.33</v>
      </c>
    </row>
    <row r="225" spans="1:15" x14ac:dyDescent="0.25">
      <c r="A225">
        <v>2002</v>
      </c>
      <c r="B225">
        <v>-0.7</v>
      </c>
      <c r="C225">
        <v>3.6</v>
      </c>
      <c r="D225">
        <v>4.5</v>
      </c>
      <c r="E225">
        <v>9</v>
      </c>
      <c r="F225">
        <v>17.399999999999999</v>
      </c>
      <c r="G225">
        <v>17.600000000000001</v>
      </c>
      <c r="H225">
        <v>21.1</v>
      </c>
      <c r="I225">
        <v>20.7</v>
      </c>
      <c r="J225">
        <v>13.7</v>
      </c>
      <c r="K225">
        <v>7.2</v>
      </c>
      <c r="L225">
        <v>4.0999999999999996</v>
      </c>
      <c r="M225">
        <v>-6.6</v>
      </c>
      <c r="O225">
        <f>ROUND(SUM(temp3[[#This Row],[styczeń]:[grudzień]])/12,2)</f>
        <v>9.3000000000000007</v>
      </c>
    </row>
    <row r="226" spans="1:15" x14ac:dyDescent="0.25">
      <c r="A226">
        <v>2003</v>
      </c>
      <c r="B226">
        <v>-3</v>
      </c>
      <c r="C226">
        <v>-4.9000000000000004</v>
      </c>
      <c r="D226">
        <v>2</v>
      </c>
      <c r="E226">
        <v>7.3</v>
      </c>
      <c r="F226">
        <v>15.7</v>
      </c>
      <c r="G226">
        <v>17.899999999999999</v>
      </c>
      <c r="H226">
        <v>20.2</v>
      </c>
      <c r="I226">
        <v>18.7</v>
      </c>
      <c r="J226">
        <v>13.8</v>
      </c>
      <c r="K226">
        <v>5.4</v>
      </c>
      <c r="L226">
        <v>4.9000000000000004</v>
      </c>
      <c r="M226">
        <v>0.9</v>
      </c>
      <c r="O226">
        <f>ROUND(SUM(temp3[[#This Row],[styczeń]:[grudzień]])/12,2)</f>
        <v>8.24</v>
      </c>
    </row>
    <row r="227" spans="1:15" x14ac:dyDescent="0.25">
      <c r="A227">
        <v>2004</v>
      </c>
      <c r="B227">
        <v>-5.0999999999999996</v>
      </c>
      <c r="C227">
        <v>0</v>
      </c>
      <c r="D227">
        <v>3.5</v>
      </c>
      <c r="E227">
        <v>8.6999999999999993</v>
      </c>
      <c r="F227">
        <v>12</v>
      </c>
      <c r="G227">
        <v>15.8</v>
      </c>
      <c r="H227">
        <v>17.899999999999999</v>
      </c>
      <c r="I227">
        <v>19</v>
      </c>
      <c r="J227">
        <v>13.5</v>
      </c>
      <c r="K227">
        <v>10</v>
      </c>
      <c r="L227">
        <v>3.7</v>
      </c>
      <c r="M227">
        <v>1.8</v>
      </c>
      <c r="O227">
        <f>ROUND(SUM(temp3[[#This Row],[styczeń]:[grudzień]])/12,2)</f>
        <v>8.4</v>
      </c>
    </row>
    <row r="228" spans="1:15" x14ac:dyDescent="0.25">
      <c r="A228">
        <v>2005</v>
      </c>
      <c r="B228">
        <v>0.9</v>
      </c>
      <c r="C228">
        <v>-3.1</v>
      </c>
      <c r="D228">
        <v>0</v>
      </c>
      <c r="E228">
        <v>8.9</v>
      </c>
      <c r="F228">
        <v>13.7</v>
      </c>
      <c r="G228">
        <v>16</v>
      </c>
      <c r="H228">
        <v>20.5</v>
      </c>
      <c r="I228">
        <v>17.7</v>
      </c>
      <c r="J228">
        <v>15.9</v>
      </c>
      <c r="K228">
        <v>9.4</v>
      </c>
      <c r="L228">
        <v>3.2</v>
      </c>
      <c r="M228">
        <v>-0.3</v>
      </c>
      <c r="O228">
        <f>ROUND(SUM(temp3[[#This Row],[styczeń]:[grudzień]])/12,2)</f>
        <v>8.57</v>
      </c>
    </row>
    <row r="229" spans="1:15" x14ac:dyDescent="0.25">
      <c r="A229">
        <v>2006</v>
      </c>
      <c r="B229">
        <v>-8.3000000000000007</v>
      </c>
      <c r="C229">
        <v>-3.2</v>
      </c>
      <c r="D229">
        <v>-0.6</v>
      </c>
      <c r="E229">
        <v>9.1</v>
      </c>
      <c r="F229">
        <v>14.2</v>
      </c>
      <c r="G229">
        <v>18.3</v>
      </c>
      <c r="H229">
        <v>23.5</v>
      </c>
      <c r="I229">
        <v>17.899999999999999</v>
      </c>
      <c r="J229">
        <v>16.100000000000001</v>
      </c>
      <c r="K229">
        <v>10.7</v>
      </c>
      <c r="L229">
        <v>5.9</v>
      </c>
      <c r="M229">
        <v>3.9</v>
      </c>
      <c r="O229">
        <f>ROUND(SUM(temp3[[#This Row],[styczeń]:[grudzień]])/12,2)</f>
        <v>8.9600000000000009</v>
      </c>
    </row>
  </sheetData>
  <conditionalFormatting sqref="O1:O1048576">
    <cfRule type="cellIs" dxfId="1" priority="1" operator="equal">
      <formula>$Q$2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29812A-BB67-40B3-911F-7F36F6645F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</vt:lpstr>
      <vt:lpstr>dane</vt:lpstr>
      <vt:lpstr>C</vt:lpstr>
      <vt:lpstr>B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Zając</dc:creator>
  <cp:lastModifiedBy>Robert Zając</cp:lastModifiedBy>
  <dcterms:created xsi:type="dcterms:W3CDTF">2025-10-15T12:45:31Z</dcterms:created>
  <dcterms:modified xsi:type="dcterms:W3CDTF">2025-10-15T13:10:56Z</dcterms:modified>
</cp:coreProperties>
</file>