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6PRczerwiec\4\"/>
    </mc:Choice>
  </mc:AlternateContent>
  <xr:revisionPtr revIDLastSave="0" documentId="13_ncr:1_{920DF1EA-5847-4B74-8946-901FEF4FA2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4.1" sheetId="3" r:id="rId1"/>
    <sheet name="4.2" sheetId="4" r:id="rId2"/>
    <sheet name="4.4" sheetId="7" r:id="rId3"/>
    <sheet name="4.3" sheetId="5" r:id="rId4"/>
    <sheet name="dane" sheetId="2" r:id="rId5"/>
  </sheets>
  <definedNames>
    <definedName name="ExternalData_1" localSheetId="0" hidden="1">'4.1'!$A$1:$D$332</definedName>
    <definedName name="ExternalData_1" localSheetId="1" hidden="1">'4.2'!$A$1:$D$332</definedName>
    <definedName name="ExternalData_1" localSheetId="3" hidden="1">'4.3'!$A$1:$D$332</definedName>
    <definedName name="ExternalData_1" localSheetId="2" hidden="1">'4.4'!$A$1:$D$332</definedName>
    <definedName name="ExternalData_1" localSheetId="4" hidden="1">dane!$A$1:$D$332</definedName>
  </definedNames>
  <calcPr calcId="191029"/>
  <pivotCaches>
    <pivotCache cacheId="14" r:id="rId6"/>
    <pivotCache cacheId="18" r:id="rId7"/>
    <pivotCache cacheId="22" r:id="rId8"/>
    <pivotCache cacheId="3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G5" i="7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" i="7"/>
  <c r="F47" i="7"/>
  <c r="F49" i="7"/>
  <c r="F95" i="7"/>
  <c r="F97" i="7"/>
  <c r="F143" i="7"/>
  <c r="F145" i="7"/>
  <c r="F191" i="7"/>
  <c r="F193" i="7"/>
  <c r="F239" i="7"/>
  <c r="F241" i="7"/>
  <c r="F287" i="7"/>
  <c r="F288" i="7"/>
  <c r="F289" i="7"/>
  <c r="F324" i="7"/>
  <c r="F325" i="7"/>
  <c r="E332" i="7"/>
  <c r="F332" i="7" s="1"/>
  <c r="E331" i="7"/>
  <c r="F331" i="7" s="1"/>
  <c r="E330" i="7"/>
  <c r="F330" i="7" s="1"/>
  <c r="E329" i="7"/>
  <c r="F329" i="7" s="1"/>
  <c r="E328" i="7"/>
  <c r="F328" i="7" s="1"/>
  <c r="E327" i="7"/>
  <c r="F327" i="7" s="1"/>
  <c r="E326" i="7"/>
  <c r="F326" i="7" s="1"/>
  <c r="E325" i="7"/>
  <c r="E324" i="7"/>
  <c r="E323" i="7"/>
  <c r="F323" i="7" s="1"/>
  <c r="E322" i="7"/>
  <c r="F322" i="7" s="1"/>
  <c r="E321" i="7"/>
  <c r="F321" i="7" s="1"/>
  <c r="E320" i="7"/>
  <c r="F320" i="7" s="1"/>
  <c r="E319" i="7"/>
  <c r="F319" i="7" s="1"/>
  <c r="E318" i="7"/>
  <c r="F318" i="7" s="1"/>
  <c r="E317" i="7"/>
  <c r="F317" i="7" s="1"/>
  <c r="E316" i="7"/>
  <c r="F316" i="7" s="1"/>
  <c r="E315" i="7"/>
  <c r="F315" i="7" s="1"/>
  <c r="E314" i="7"/>
  <c r="F314" i="7" s="1"/>
  <c r="E313" i="7"/>
  <c r="F313" i="7" s="1"/>
  <c r="E312" i="7"/>
  <c r="F312" i="7" s="1"/>
  <c r="E311" i="7"/>
  <c r="F311" i="7" s="1"/>
  <c r="E310" i="7"/>
  <c r="F310" i="7" s="1"/>
  <c r="E309" i="7"/>
  <c r="F309" i="7" s="1"/>
  <c r="E308" i="7"/>
  <c r="F308" i="7" s="1"/>
  <c r="E307" i="7"/>
  <c r="F307" i="7" s="1"/>
  <c r="E306" i="7"/>
  <c r="F306" i="7" s="1"/>
  <c r="E305" i="7"/>
  <c r="F305" i="7" s="1"/>
  <c r="E304" i="7"/>
  <c r="F304" i="7" s="1"/>
  <c r="E303" i="7"/>
  <c r="F303" i="7" s="1"/>
  <c r="E302" i="7"/>
  <c r="F302" i="7" s="1"/>
  <c r="E301" i="7"/>
  <c r="F301" i="7" s="1"/>
  <c r="E300" i="7"/>
  <c r="F300" i="7" s="1"/>
  <c r="E299" i="7"/>
  <c r="F299" i="7" s="1"/>
  <c r="E298" i="7"/>
  <c r="F298" i="7" s="1"/>
  <c r="E297" i="7"/>
  <c r="F297" i="7" s="1"/>
  <c r="E296" i="7"/>
  <c r="F296" i="7" s="1"/>
  <c r="E295" i="7"/>
  <c r="F295" i="7" s="1"/>
  <c r="E294" i="7"/>
  <c r="F294" i="7" s="1"/>
  <c r="E293" i="7"/>
  <c r="F293" i="7" s="1"/>
  <c r="E292" i="7"/>
  <c r="F292" i="7" s="1"/>
  <c r="E291" i="7"/>
  <c r="F291" i="7" s="1"/>
  <c r="E290" i="7"/>
  <c r="F290" i="7" s="1"/>
  <c r="E289" i="7"/>
  <c r="E288" i="7"/>
  <c r="E287" i="7"/>
  <c r="E286" i="7"/>
  <c r="F286" i="7" s="1"/>
  <c r="E285" i="7"/>
  <c r="F285" i="7" s="1"/>
  <c r="E284" i="7"/>
  <c r="F284" i="7" s="1"/>
  <c r="E283" i="7"/>
  <c r="F283" i="7" s="1"/>
  <c r="E282" i="7"/>
  <c r="F282" i="7" s="1"/>
  <c r="E281" i="7"/>
  <c r="F281" i="7" s="1"/>
  <c r="E280" i="7"/>
  <c r="F280" i="7" s="1"/>
  <c r="E279" i="7"/>
  <c r="F279" i="7" s="1"/>
  <c r="E278" i="7"/>
  <c r="F278" i="7" s="1"/>
  <c r="E277" i="7"/>
  <c r="F277" i="7" s="1"/>
  <c r="E276" i="7"/>
  <c r="F276" i="7" s="1"/>
  <c r="E275" i="7"/>
  <c r="F275" i="7" s="1"/>
  <c r="E274" i="7"/>
  <c r="F274" i="7" s="1"/>
  <c r="E273" i="7"/>
  <c r="F273" i="7" s="1"/>
  <c r="E272" i="7"/>
  <c r="F272" i="7" s="1"/>
  <c r="E271" i="7"/>
  <c r="F271" i="7" s="1"/>
  <c r="E270" i="7"/>
  <c r="F270" i="7" s="1"/>
  <c r="E269" i="7"/>
  <c r="F269" i="7" s="1"/>
  <c r="E268" i="7"/>
  <c r="F268" i="7" s="1"/>
  <c r="E267" i="7"/>
  <c r="F267" i="7" s="1"/>
  <c r="E266" i="7"/>
  <c r="F266" i="7" s="1"/>
  <c r="E265" i="7"/>
  <c r="F265" i="7" s="1"/>
  <c r="E264" i="7"/>
  <c r="F264" i="7" s="1"/>
  <c r="E263" i="7"/>
  <c r="F263" i="7" s="1"/>
  <c r="E262" i="7"/>
  <c r="F262" i="7" s="1"/>
  <c r="E261" i="7"/>
  <c r="F261" i="7" s="1"/>
  <c r="E260" i="7"/>
  <c r="F260" i="7" s="1"/>
  <c r="E259" i="7"/>
  <c r="F259" i="7" s="1"/>
  <c r="E258" i="7"/>
  <c r="F258" i="7" s="1"/>
  <c r="E257" i="7"/>
  <c r="F257" i="7" s="1"/>
  <c r="E256" i="7"/>
  <c r="F256" i="7" s="1"/>
  <c r="E255" i="7"/>
  <c r="F255" i="7" s="1"/>
  <c r="E254" i="7"/>
  <c r="F254" i="7" s="1"/>
  <c r="E253" i="7"/>
  <c r="F253" i="7" s="1"/>
  <c r="E252" i="7"/>
  <c r="F252" i="7" s="1"/>
  <c r="E251" i="7"/>
  <c r="F251" i="7" s="1"/>
  <c r="E250" i="7"/>
  <c r="F250" i="7" s="1"/>
  <c r="E249" i="7"/>
  <c r="F249" i="7" s="1"/>
  <c r="E248" i="7"/>
  <c r="F248" i="7" s="1"/>
  <c r="E247" i="7"/>
  <c r="F247" i="7" s="1"/>
  <c r="E246" i="7"/>
  <c r="F246" i="7" s="1"/>
  <c r="E245" i="7"/>
  <c r="F245" i="7" s="1"/>
  <c r="E244" i="7"/>
  <c r="F244" i="7" s="1"/>
  <c r="E243" i="7"/>
  <c r="F243" i="7" s="1"/>
  <c r="E242" i="7"/>
  <c r="F242" i="7" s="1"/>
  <c r="E241" i="7"/>
  <c r="E240" i="7"/>
  <c r="F240" i="7" s="1"/>
  <c r="E239" i="7"/>
  <c r="E238" i="7"/>
  <c r="F238" i="7" s="1"/>
  <c r="E237" i="7"/>
  <c r="F237" i="7" s="1"/>
  <c r="E236" i="7"/>
  <c r="F236" i="7" s="1"/>
  <c r="E235" i="7"/>
  <c r="F235" i="7" s="1"/>
  <c r="E234" i="7"/>
  <c r="F234" i="7" s="1"/>
  <c r="E233" i="7"/>
  <c r="F233" i="7" s="1"/>
  <c r="E232" i="7"/>
  <c r="F232" i="7" s="1"/>
  <c r="E231" i="7"/>
  <c r="F231" i="7" s="1"/>
  <c r="E230" i="7"/>
  <c r="F230" i="7" s="1"/>
  <c r="E229" i="7"/>
  <c r="F229" i="7" s="1"/>
  <c r="E228" i="7"/>
  <c r="F228" i="7" s="1"/>
  <c r="E227" i="7"/>
  <c r="F227" i="7" s="1"/>
  <c r="E226" i="7"/>
  <c r="F226" i="7" s="1"/>
  <c r="E225" i="7"/>
  <c r="F225" i="7" s="1"/>
  <c r="E224" i="7"/>
  <c r="F224" i="7" s="1"/>
  <c r="E223" i="7"/>
  <c r="F223" i="7" s="1"/>
  <c r="E222" i="7"/>
  <c r="F222" i="7" s="1"/>
  <c r="E221" i="7"/>
  <c r="F221" i="7" s="1"/>
  <c r="E220" i="7"/>
  <c r="F220" i="7" s="1"/>
  <c r="E219" i="7"/>
  <c r="F219" i="7" s="1"/>
  <c r="E218" i="7"/>
  <c r="F218" i="7" s="1"/>
  <c r="E217" i="7"/>
  <c r="F217" i="7" s="1"/>
  <c r="E216" i="7"/>
  <c r="F216" i="7" s="1"/>
  <c r="E215" i="7"/>
  <c r="F215" i="7" s="1"/>
  <c r="E214" i="7"/>
  <c r="F214" i="7" s="1"/>
  <c r="E213" i="7"/>
  <c r="F213" i="7" s="1"/>
  <c r="E212" i="7"/>
  <c r="F212" i="7" s="1"/>
  <c r="E211" i="7"/>
  <c r="F211" i="7" s="1"/>
  <c r="E210" i="7"/>
  <c r="F210" i="7" s="1"/>
  <c r="E209" i="7"/>
  <c r="F209" i="7" s="1"/>
  <c r="E208" i="7"/>
  <c r="F208" i="7" s="1"/>
  <c r="E207" i="7"/>
  <c r="F207" i="7" s="1"/>
  <c r="E206" i="7"/>
  <c r="F206" i="7" s="1"/>
  <c r="E205" i="7"/>
  <c r="F205" i="7" s="1"/>
  <c r="E204" i="7"/>
  <c r="F204" i="7" s="1"/>
  <c r="E203" i="7"/>
  <c r="F203" i="7" s="1"/>
  <c r="E202" i="7"/>
  <c r="F202" i="7" s="1"/>
  <c r="E201" i="7"/>
  <c r="F201" i="7" s="1"/>
  <c r="E200" i="7"/>
  <c r="F200" i="7" s="1"/>
  <c r="E199" i="7"/>
  <c r="F199" i="7" s="1"/>
  <c r="E198" i="7"/>
  <c r="F198" i="7" s="1"/>
  <c r="E197" i="7"/>
  <c r="F197" i="7" s="1"/>
  <c r="E196" i="7"/>
  <c r="F196" i="7" s="1"/>
  <c r="E195" i="7"/>
  <c r="F195" i="7" s="1"/>
  <c r="E194" i="7"/>
  <c r="F194" i="7" s="1"/>
  <c r="E193" i="7"/>
  <c r="E192" i="7"/>
  <c r="F192" i="7" s="1"/>
  <c r="E191" i="7"/>
  <c r="E190" i="7"/>
  <c r="F190" i="7" s="1"/>
  <c r="E189" i="7"/>
  <c r="F189" i="7" s="1"/>
  <c r="E188" i="7"/>
  <c r="F188" i="7" s="1"/>
  <c r="E187" i="7"/>
  <c r="F187" i="7" s="1"/>
  <c r="E186" i="7"/>
  <c r="F186" i="7" s="1"/>
  <c r="E185" i="7"/>
  <c r="F185" i="7" s="1"/>
  <c r="E184" i="7"/>
  <c r="F184" i="7" s="1"/>
  <c r="E183" i="7"/>
  <c r="F183" i="7" s="1"/>
  <c r="E182" i="7"/>
  <c r="F182" i="7" s="1"/>
  <c r="E181" i="7"/>
  <c r="F181" i="7" s="1"/>
  <c r="E180" i="7"/>
  <c r="F180" i="7" s="1"/>
  <c r="E179" i="7"/>
  <c r="F179" i="7" s="1"/>
  <c r="E178" i="7"/>
  <c r="F178" i="7" s="1"/>
  <c r="E177" i="7"/>
  <c r="F177" i="7" s="1"/>
  <c r="E176" i="7"/>
  <c r="F176" i="7" s="1"/>
  <c r="E175" i="7"/>
  <c r="F175" i="7" s="1"/>
  <c r="E174" i="7"/>
  <c r="F174" i="7" s="1"/>
  <c r="E173" i="7"/>
  <c r="F173" i="7" s="1"/>
  <c r="E172" i="7"/>
  <c r="F172" i="7" s="1"/>
  <c r="E171" i="7"/>
  <c r="F171" i="7" s="1"/>
  <c r="E170" i="7"/>
  <c r="F170" i="7" s="1"/>
  <c r="E169" i="7"/>
  <c r="F169" i="7" s="1"/>
  <c r="E168" i="7"/>
  <c r="F168" i="7" s="1"/>
  <c r="E167" i="7"/>
  <c r="F167" i="7" s="1"/>
  <c r="E166" i="7"/>
  <c r="F166" i="7" s="1"/>
  <c r="E165" i="7"/>
  <c r="F165" i="7" s="1"/>
  <c r="E164" i="7"/>
  <c r="F164" i="7" s="1"/>
  <c r="E163" i="7"/>
  <c r="F163" i="7" s="1"/>
  <c r="E162" i="7"/>
  <c r="F162" i="7" s="1"/>
  <c r="E161" i="7"/>
  <c r="F161" i="7" s="1"/>
  <c r="E160" i="7"/>
  <c r="F160" i="7" s="1"/>
  <c r="E159" i="7"/>
  <c r="F159" i="7" s="1"/>
  <c r="E158" i="7"/>
  <c r="F158" i="7" s="1"/>
  <c r="E157" i="7"/>
  <c r="F157" i="7" s="1"/>
  <c r="E156" i="7"/>
  <c r="F156" i="7" s="1"/>
  <c r="E155" i="7"/>
  <c r="F155" i="7" s="1"/>
  <c r="E154" i="7"/>
  <c r="F154" i="7" s="1"/>
  <c r="E153" i="7"/>
  <c r="F153" i="7" s="1"/>
  <c r="E152" i="7"/>
  <c r="F152" i="7" s="1"/>
  <c r="E151" i="7"/>
  <c r="F151" i="7" s="1"/>
  <c r="E150" i="7"/>
  <c r="F150" i="7" s="1"/>
  <c r="E149" i="7"/>
  <c r="F149" i="7" s="1"/>
  <c r="E148" i="7"/>
  <c r="F148" i="7" s="1"/>
  <c r="E147" i="7"/>
  <c r="F147" i="7" s="1"/>
  <c r="E146" i="7"/>
  <c r="F146" i="7" s="1"/>
  <c r="E145" i="7"/>
  <c r="E144" i="7"/>
  <c r="F144" i="7" s="1"/>
  <c r="E143" i="7"/>
  <c r="E142" i="7"/>
  <c r="F142" i="7" s="1"/>
  <c r="E141" i="7"/>
  <c r="F141" i="7" s="1"/>
  <c r="E140" i="7"/>
  <c r="F140" i="7" s="1"/>
  <c r="E139" i="7"/>
  <c r="F139" i="7" s="1"/>
  <c r="E138" i="7"/>
  <c r="F138" i="7" s="1"/>
  <c r="E137" i="7"/>
  <c r="F137" i="7" s="1"/>
  <c r="E136" i="7"/>
  <c r="F136" i="7" s="1"/>
  <c r="E135" i="7"/>
  <c r="F135" i="7" s="1"/>
  <c r="E134" i="7"/>
  <c r="F134" i="7" s="1"/>
  <c r="E133" i="7"/>
  <c r="F133" i="7" s="1"/>
  <c r="E132" i="7"/>
  <c r="F132" i="7" s="1"/>
  <c r="E131" i="7"/>
  <c r="F131" i="7" s="1"/>
  <c r="E130" i="7"/>
  <c r="F130" i="7" s="1"/>
  <c r="E129" i="7"/>
  <c r="F129" i="7" s="1"/>
  <c r="E128" i="7"/>
  <c r="F128" i="7" s="1"/>
  <c r="E127" i="7"/>
  <c r="F127" i="7" s="1"/>
  <c r="E126" i="7"/>
  <c r="F126" i="7" s="1"/>
  <c r="E125" i="7"/>
  <c r="F125" i="7" s="1"/>
  <c r="E124" i="7"/>
  <c r="F124" i="7" s="1"/>
  <c r="E123" i="7"/>
  <c r="F123" i="7" s="1"/>
  <c r="E122" i="7"/>
  <c r="F122" i="7" s="1"/>
  <c r="E121" i="7"/>
  <c r="F121" i="7" s="1"/>
  <c r="E120" i="7"/>
  <c r="F120" i="7" s="1"/>
  <c r="E119" i="7"/>
  <c r="F119" i="7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E112" i="7"/>
  <c r="F112" i="7" s="1"/>
  <c r="E111" i="7"/>
  <c r="F111" i="7" s="1"/>
  <c r="E110" i="7"/>
  <c r="F110" i="7" s="1"/>
  <c r="E109" i="7"/>
  <c r="F109" i="7" s="1"/>
  <c r="E108" i="7"/>
  <c r="F108" i="7" s="1"/>
  <c r="E107" i="7"/>
  <c r="F107" i="7" s="1"/>
  <c r="E106" i="7"/>
  <c r="F106" i="7" s="1"/>
  <c r="E105" i="7"/>
  <c r="F105" i="7" s="1"/>
  <c r="E104" i="7"/>
  <c r="F104" i="7" s="1"/>
  <c r="E103" i="7"/>
  <c r="F103" i="7" s="1"/>
  <c r="E102" i="7"/>
  <c r="F102" i="7" s="1"/>
  <c r="E101" i="7"/>
  <c r="F101" i="7" s="1"/>
  <c r="E100" i="7"/>
  <c r="F100" i="7" s="1"/>
  <c r="E99" i="7"/>
  <c r="F99" i="7" s="1"/>
  <c r="E98" i="7"/>
  <c r="F98" i="7" s="1"/>
  <c r="E97" i="7"/>
  <c r="E96" i="7"/>
  <c r="F96" i="7" s="1"/>
  <c r="E95" i="7"/>
  <c r="E94" i="7"/>
  <c r="F94" i="7" s="1"/>
  <c r="E93" i="7"/>
  <c r="F93" i="7" s="1"/>
  <c r="E92" i="7"/>
  <c r="F92" i="7" s="1"/>
  <c r="E91" i="7"/>
  <c r="F91" i="7" s="1"/>
  <c r="E90" i="7"/>
  <c r="F90" i="7" s="1"/>
  <c r="E89" i="7"/>
  <c r="F89" i="7" s="1"/>
  <c r="E88" i="7"/>
  <c r="F88" i="7" s="1"/>
  <c r="E87" i="7"/>
  <c r="F87" i="7" s="1"/>
  <c r="E86" i="7"/>
  <c r="F86" i="7" s="1"/>
  <c r="E85" i="7"/>
  <c r="F85" i="7" s="1"/>
  <c r="E84" i="7"/>
  <c r="F84" i="7" s="1"/>
  <c r="E83" i="7"/>
  <c r="F83" i="7" s="1"/>
  <c r="E82" i="7"/>
  <c r="F82" i="7" s="1"/>
  <c r="E81" i="7"/>
  <c r="F81" i="7" s="1"/>
  <c r="E80" i="7"/>
  <c r="F80" i="7" s="1"/>
  <c r="E79" i="7"/>
  <c r="F79" i="7" s="1"/>
  <c r="E78" i="7"/>
  <c r="F78" i="7" s="1"/>
  <c r="E77" i="7"/>
  <c r="F77" i="7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E48" i="7"/>
  <c r="F48" i="7" s="1"/>
  <c r="E47" i="7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G3" i="5" a="1"/>
  <c r="G3" i="5" s="1"/>
  <c r="G4" i="5" a="1"/>
  <c r="G4" i="5" s="1"/>
  <c r="G5" i="5" a="1"/>
  <c r="G5" i="5" s="1"/>
  <c r="G6" i="5" a="1"/>
  <c r="G6" i="5" s="1"/>
  <c r="G7" i="5" a="1"/>
  <c r="G7" i="5"/>
  <c r="G8" i="5" a="1"/>
  <c r="G8" i="5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32" i="5" a="1"/>
  <c r="G32" i="5"/>
  <c r="G33" i="5" a="1"/>
  <c r="G33" i="5" s="1"/>
  <c r="G34" i="5" a="1"/>
  <c r="G34" i="5" s="1"/>
  <c r="G35" i="5" a="1"/>
  <c r="G35" i="5" s="1"/>
  <c r="G36" i="5" a="1"/>
  <c r="G36" i="5" s="1"/>
  <c r="G37" i="5" a="1"/>
  <c r="G37" i="5" s="1"/>
  <c r="G38" i="5" a="1"/>
  <c r="G38" i="5"/>
  <c r="G39" i="5" a="1"/>
  <c r="G39" i="5" s="1"/>
  <c r="G40" i="5" a="1"/>
  <c r="G40" i="5" s="1"/>
  <c r="G41" i="5" a="1"/>
  <c r="G41" i="5" s="1"/>
  <c r="G42" i="5" a="1"/>
  <c r="G42" i="5" s="1"/>
  <c r="G43" i="5" a="1"/>
  <c r="G43" i="5" s="1"/>
  <c r="G44" i="5" a="1"/>
  <c r="G44" i="5"/>
  <c r="G45" i="5" a="1"/>
  <c r="G45" i="5" s="1"/>
  <c r="G46" i="5" a="1"/>
  <c r="G46" i="5" s="1"/>
  <c r="G47" i="5" a="1"/>
  <c r="G47" i="5" s="1"/>
  <c r="G48" i="5" a="1"/>
  <c r="G48" i="5" s="1"/>
  <c r="G49" i="5" a="1"/>
  <c r="G49" i="5" s="1"/>
  <c r="G50" i="5" a="1"/>
  <c r="G50" i="5"/>
  <c r="G51" i="5" a="1"/>
  <c r="G51" i="5" s="1"/>
  <c r="G52" i="5" a="1"/>
  <c r="G52" i="5" s="1"/>
  <c r="G53" i="5" a="1"/>
  <c r="G53" i="5" s="1"/>
  <c r="G54" i="5" a="1"/>
  <c r="G54" i="5" s="1"/>
  <c r="G55" i="5" a="1"/>
  <c r="G55" i="5" s="1"/>
  <c r="G56" i="5" a="1"/>
  <c r="G56" i="5"/>
  <c r="G57" i="5" a="1"/>
  <c r="G57" i="5" s="1"/>
  <c r="G58" i="5" a="1"/>
  <c r="G58" i="5" s="1"/>
  <c r="G59" i="5" a="1"/>
  <c r="G59" i="5" s="1"/>
  <c r="G60" i="5" a="1"/>
  <c r="G60" i="5" s="1"/>
  <c r="G61" i="5" a="1"/>
  <c r="G61" i="5" s="1"/>
  <c r="G62" i="5" a="1"/>
  <c r="G62" i="5"/>
  <c r="G63" i="5" a="1"/>
  <c r="G63" i="5" s="1"/>
  <c r="G64" i="5" a="1"/>
  <c r="G64" i="5" s="1"/>
  <c r="G65" i="5" a="1"/>
  <c r="G65" i="5" s="1"/>
  <c r="G66" i="5" a="1"/>
  <c r="G66" i="5" s="1"/>
  <c r="G67" i="5" a="1"/>
  <c r="G67" i="5" s="1"/>
  <c r="G68" i="5" a="1"/>
  <c r="G68" i="5"/>
  <c r="G69" i="5" a="1"/>
  <c r="G69" i="5" s="1"/>
  <c r="G70" i="5" a="1"/>
  <c r="G70" i="5" s="1"/>
  <c r="G71" i="5" a="1"/>
  <c r="G71" i="5" s="1"/>
  <c r="G72" i="5" a="1"/>
  <c r="G72" i="5" s="1"/>
  <c r="G73" i="5" a="1"/>
  <c r="G73" i="5" s="1"/>
  <c r="G74" i="5" a="1"/>
  <c r="G74" i="5"/>
  <c r="G75" i="5" a="1"/>
  <c r="G75" i="5" s="1"/>
  <c r="G76" i="5" a="1"/>
  <c r="G76" i="5" s="1"/>
  <c r="G77" i="5" a="1"/>
  <c r="G77" i="5" s="1"/>
  <c r="G78" i="5" a="1"/>
  <c r="G78" i="5" s="1"/>
  <c r="G79" i="5" a="1"/>
  <c r="G79" i="5" s="1"/>
  <c r="G80" i="5" a="1"/>
  <c r="G80" i="5"/>
  <c r="G81" i="5" a="1"/>
  <c r="G81" i="5" s="1"/>
  <c r="G82" i="5" a="1"/>
  <c r="G82" i="5" s="1"/>
  <c r="G83" i="5" a="1"/>
  <c r="G83" i="5" s="1"/>
  <c r="G84" i="5" a="1"/>
  <c r="G84" i="5" s="1"/>
  <c r="G85" i="5" a="1"/>
  <c r="G85" i="5" s="1"/>
  <c r="G86" i="5" a="1"/>
  <c r="G86" i="5"/>
  <c r="G87" i="5" a="1"/>
  <c r="G87" i="5" s="1"/>
  <c r="G88" i="5" a="1"/>
  <c r="G88" i="5" s="1"/>
  <c r="G89" i="5" a="1"/>
  <c r="G89" i="5" s="1"/>
  <c r="G90" i="5" a="1"/>
  <c r="G90" i="5" s="1"/>
  <c r="G91" i="5" a="1"/>
  <c r="G91" i="5" s="1"/>
  <c r="G92" i="5" a="1"/>
  <c r="G92" i="5"/>
  <c r="G93" i="5" a="1"/>
  <c r="G93" i="5" s="1"/>
  <c r="G94" i="5" a="1"/>
  <c r="G94" i="5" s="1"/>
  <c r="G95" i="5" a="1"/>
  <c r="G95" i="5" s="1"/>
  <c r="G96" i="5" a="1"/>
  <c r="G96" i="5" s="1"/>
  <c r="G97" i="5" a="1"/>
  <c r="G97" i="5" s="1"/>
  <c r="G98" i="5" a="1"/>
  <c r="G98" i="5"/>
  <c r="G99" i="5" a="1"/>
  <c r="G99" i="5" s="1"/>
  <c r="G100" i="5" a="1"/>
  <c r="G100" i="5" s="1"/>
  <c r="G101" i="5" a="1"/>
  <c r="G101" i="5" s="1"/>
  <c r="G102" i="5" a="1"/>
  <c r="G102" i="5" s="1"/>
  <c r="G103" i="5" a="1"/>
  <c r="G103" i="5" s="1"/>
  <c r="G104" i="5" a="1"/>
  <c r="G104" i="5"/>
  <c r="G105" i="5" a="1"/>
  <c r="G105" i="5" s="1"/>
  <c r="G106" i="5" a="1"/>
  <c r="G106" i="5" s="1"/>
  <c r="G107" i="5" a="1"/>
  <c r="G107" i="5" s="1"/>
  <c r="G108" i="5" a="1"/>
  <c r="G108" i="5" s="1"/>
  <c r="G109" i="5" a="1"/>
  <c r="G109" i="5" s="1"/>
  <c r="G110" i="5" a="1"/>
  <c r="G110" i="5"/>
  <c r="G111" i="5" a="1"/>
  <c r="G111" i="5" s="1"/>
  <c r="G112" i="5" a="1"/>
  <c r="G112" i="5" s="1"/>
  <c r="G113" i="5" a="1"/>
  <c r="G113" i="5" s="1"/>
  <c r="G114" i="5" a="1"/>
  <c r="G114" i="5" s="1"/>
  <c r="G115" i="5" a="1"/>
  <c r="G115" i="5" s="1"/>
  <c r="G116" i="5" a="1"/>
  <c r="G116" i="5"/>
  <c r="G117" i="5" a="1"/>
  <c r="G117" i="5" s="1"/>
  <c r="G118" i="5" a="1"/>
  <c r="G118" i="5" s="1"/>
  <c r="G119" i="5" a="1"/>
  <c r="G119" i="5" s="1"/>
  <c r="G120" i="5" a="1"/>
  <c r="G120" i="5" s="1"/>
  <c r="G121" i="5" a="1"/>
  <c r="G121" i="5" s="1"/>
  <c r="G122" i="5" a="1"/>
  <c r="G122" i="5"/>
  <c r="G123" i="5" a="1"/>
  <c r="G123" i="5" s="1"/>
  <c r="G124" i="5" a="1"/>
  <c r="G124" i="5" s="1"/>
  <c r="G125" i="5" a="1"/>
  <c r="G125" i="5" s="1"/>
  <c r="G126" i="5" a="1"/>
  <c r="G126" i="5" s="1"/>
  <c r="G127" i="5" a="1"/>
  <c r="G127" i="5" s="1"/>
  <c r="G128" i="5" a="1"/>
  <c r="G128" i="5"/>
  <c r="G129" i="5" a="1"/>
  <c r="G129" i="5" s="1"/>
  <c r="G130" i="5" a="1"/>
  <c r="G130" i="5" s="1"/>
  <c r="G131" i="5" a="1"/>
  <c r="G131" i="5" s="1"/>
  <c r="G132" i="5" a="1"/>
  <c r="G132" i="5" s="1"/>
  <c r="G133" i="5" a="1"/>
  <c r="G133" i="5" s="1"/>
  <c r="G134" i="5" a="1"/>
  <c r="G134" i="5"/>
  <c r="G135" i="5" a="1"/>
  <c r="G135" i="5" s="1"/>
  <c r="G136" i="5" a="1"/>
  <c r="G136" i="5" s="1"/>
  <c r="G137" i="5" a="1"/>
  <c r="G137" i="5" s="1"/>
  <c r="G138" i="5" a="1"/>
  <c r="G138" i="5" s="1"/>
  <c r="G139" i="5" a="1"/>
  <c r="G139" i="5" s="1"/>
  <c r="G140" i="5" a="1"/>
  <c r="G140" i="5"/>
  <c r="G141" i="5" a="1"/>
  <c r="G141" i="5" s="1"/>
  <c r="G142" i="5" a="1"/>
  <c r="G142" i="5" s="1"/>
  <c r="G143" i="5" a="1"/>
  <c r="G143" i="5" s="1"/>
  <c r="G144" i="5" a="1"/>
  <c r="G144" i="5" s="1"/>
  <c r="G145" i="5" a="1"/>
  <c r="G145" i="5" s="1"/>
  <c r="G146" i="5" a="1"/>
  <c r="G146" i="5"/>
  <c r="G147" i="5" a="1"/>
  <c r="G147" i="5" s="1"/>
  <c r="G148" i="5" a="1"/>
  <c r="G148" i="5" s="1"/>
  <c r="G149" i="5" a="1"/>
  <c r="G149" i="5" s="1"/>
  <c r="G150" i="5" a="1"/>
  <c r="G150" i="5" s="1"/>
  <c r="G151" i="5" a="1"/>
  <c r="G151" i="5" s="1"/>
  <c r="G152" i="5" a="1"/>
  <c r="G152" i="5"/>
  <c r="G153" i="5" a="1"/>
  <c r="G153" i="5" s="1"/>
  <c r="G154" i="5" a="1"/>
  <c r="G154" i="5" s="1"/>
  <c r="G155" i="5" a="1"/>
  <c r="G155" i="5" s="1"/>
  <c r="G156" i="5" a="1"/>
  <c r="G156" i="5" s="1"/>
  <c r="G157" i="5" a="1"/>
  <c r="G157" i="5" s="1"/>
  <c r="G158" i="5" a="1"/>
  <c r="G158" i="5"/>
  <c r="G159" i="5" a="1"/>
  <c r="G159" i="5" s="1"/>
  <c r="G160" i="5" a="1"/>
  <c r="G160" i="5" s="1"/>
  <c r="G161" i="5" a="1"/>
  <c r="G161" i="5" s="1"/>
  <c r="G162" i="5" a="1"/>
  <c r="G162" i="5" s="1"/>
  <c r="G163" i="5" a="1"/>
  <c r="G163" i="5" s="1"/>
  <c r="G164" i="5" a="1"/>
  <c r="G164" i="5"/>
  <c r="G165" i="5" a="1"/>
  <c r="G165" i="5" s="1"/>
  <c r="G166" i="5" a="1"/>
  <c r="G166" i="5" s="1"/>
  <c r="G167" i="5" a="1"/>
  <c r="G167" i="5" s="1"/>
  <c r="G168" i="5" a="1"/>
  <c r="G168" i="5" s="1"/>
  <c r="G169" i="5" a="1"/>
  <c r="G169" i="5" s="1"/>
  <c r="G170" i="5" a="1"/>
  <c r="G170" i="5"/>
  <c r="G171" i="5" a="1"/>
  <c r="G171" i="5" s="1"/>
  <c r="G172" i="5" a="1"/>
  <c r="G172" i="5" s="1"/>
  <c r="G173" i="5" a="1"/>
  <c r="G173" i="5" s="1"/>
  <c r="G174" i="5" a="1"/>
  <c r="G174" i="5" s="1"/>
  <c r="G175" i="5" a="1"/>
  <c r="G175" i="5" s="1"/>
  <c r="G176" i="5" a="1"/>
  <c r="G176" i="5"/>
  <c r="G177" i="5" a="1"/>
  <c r="G177" i="5" s="1"/>
  <c r="G178" i="5" a="1"/>
  <c r="G178" i="5" s="1"/>
  <c r="G179" i="5" a="1"/>
  <c r="G179" i="5" s="1"/>
  <c r="G180" i="5" a="1"/>
  <c r="G180" i="5" s="1"/>
  <c r="G181" i="5" a="1"/>
  <c r="G181" i="5" s="1"/>
  <c r="G182" i="5" a="1"/>
  <c r="G182" i="5"/>
  <c r="G183" i="5" a="1"/>
  <c r="G183" i="5" s="1"/>
  <c r="G184" i="5" a="1"/>
  <c r="G184" i="5" s="1"/>
  <c r="G185" i="5" a="1"/>
  <c r="G185" i="5" s="1"/>
  <c r="G186" i="5" a="1"/>
  <c r="G186" i="5" s="1"/>
  <c r="G187" i="5" a="1"/>
  <c r="G187" i="5" s="1"/>
  <c r="G188" i="5" a="1"/>
  <c r="G188" i="5"/>
  <c r="G189" i="5" a="1"/>
  <c r="G189" i="5" s="1"/>
  <c r="G190" i="5" a="1"/>
  <c r="G190" i="5" s="1"/>
  <c r="G191" i="5" a="1"/>
  <c r="G191" i="5" s="1"/>
  <c r="G192" i="5" a="1"/>
  <c r="G192" i="5" s="1"/>
  <c r="G193" i="5" a="1"/>
  <c r="G193" i="5" s="1"/>
  <c r="G194" i="5" a="1"/>
  <c r="G194" i="5"/>
  <c r="G195" i="5" a="1"/>
  <c r="G195" i="5" s="1"/>
  <c r="G196" i="5" a="1"/>
  <c r="G196" i="5" s="1"/>
  <c r="G197" i="5" a="1"/>
  <c r="G197" i="5" s="1"/>
  <c r="G198" i="5" a="1"/>
  <c r="G198" i="5" s="1"/>
  <c r="G199" i="5" a="1"/>
  <c r="G199" i="5" s="1"/>
  <c r="G200" i="5" a="1"/>
  <c r="G200" i="5"/>
  <c r="G201" i="5" a="1"/>
  <c r="G201" i="5" s="1"/>
  <c r="G202" i="5" a="1"/>
  <c r="G202" i="5" s="1"/>
  <c r="G203" i="5" a="1"/>
  <c r="G203" i="5" s="1"/>
  <c r="G204" i="5" a="1"/>
  <c r="G204" i="5" s="1"/>
  <c r="G205" i="5" a="1"/>
  <c r="G205" i="5" s="1"/>
  <c r="G206" i="5" a="1"/>
  <c r="G206" i="5"/>
  <c r="G207" i="5" a="1"/>
  <c r="G207" i="5" s="1"/>
  <c r="G208" i="5" a="1"/>
  <c r="G208" i="5" s="1"/>
  <c r="G209" i="5" a="1"/>
  <c r="G209" i="5" s="1"/>
  <c r="G210" i="5" a="1"/>
  <c r="G210" i="5" s="1"/>
  <c r="G211" i="5" a="1"/>
  <c r="G211" i="5" s="1"/>
  <c r="G212" i="5" a="1"/>
  <c r="G212" i="5"/>
  <c r="G213" i="5" a="1"/>
  <c r="G213" i="5" s="1"/>
  <c r="G214" i="5" a="1"/>
  <c r="G214" i="5" s="1"/>
  <c r="G215" i="5" a="1"/>
  <c r="G215" i="5" s="1"/>
  <c r="G216" i="5" a="1"/>
  <c r="G216" i="5" s="1"/>
  <c r="G217" i="5" a="1"/>
  <c r="G217" i="5" s="1"/>
  <c r="G218" i="5" a="1"/>
  <c r="G218" i="5"/>
  <c r="G219" i="5" a="1"/>
  <c r="G219" i="5" s="1"/>
  <c r="G220" i="5" a="1"/>
  <c r="G220" i="5" s="1"/>
  <c r="G221" i="5" a="1"/>
  <c r="G221" i="5" s="1"/>
  <c r="G222" i="5" a="1"/>
  <c r="G222" i="5" s="1"/>
  <c r="G223" i="5" a="1"/>
  <c r="G223" i="5" s="1"/>
  <c r="G224" i="5" a="1"/>
  <c r="G224" i="5"/>
  <c r="G225" i="5" a="1"/>
  <c r="G225" i="5" s="1"/>
  <c r="G226" i="5" a="1"/>
  <c r="G226" i="5" s="1"/>
  <c r="G227" i="5" a="1"/>
  <c r="G227" i="5" s="1"/>
  <c r="G228" i="5" a="1"/>
  <c r="G228" i="5" s="1"/>
  <c r="G229" i="5" a="1"/>
  <c r="G229" i="5" s="1"/>
  <c r="G230" i="5" a="1"/>
  <c r="G230" i="5"/>
  <c r="G231" i="5" a="1"/>
  <c r="G231" i="5" s="1"/>
  <c r="G232" i="5" a="1"/>
  <c r="G232" i="5" s="1"/>
  <c r="G233" i="5" a="1"/>
  <c r="G233" i="5" s="1"/>
  <c r="G234" i="5" a="1"/>
  <c r="G234" i="5" s="1"/>
  <c r="G235" i="5" a="1"/>
  <c r="G235" i="5" s="1"/>
  <c r="G236" i="5" a="1"/>
  <c r="G236" i="5"/>
  <c r="G237" i="5" a="1"/>
  <c r="G237" i="5" s="1"/>
  <c r="G238" i="5" a="1"/>
  <c r="G238" i="5" s="1"/>
  <c r="G239" i="5" a="1"/>
  <c r="G239" i="5" s="1"/>
  <c r="G240" i="5" a="1"/>
  <c r="G240" i="5" s="1"/>
  <c r="G241" i="5" a="1"/>
  <c r="G241" i="5" s="1"/>
  <c r="G242" i="5" a="1"/>
  <c r="G242" i="5"/>
  <c r="G243" i="5" a="1"/>
  <c r="G243" i="5" s="1"/>
  <c r="G244" i="5" a="1"/>
  <c r="G244" i="5" s="1"/>
  <c r="G245" i="5" a="1"/>
  <c r="G245" i="5" s="1"/>
  <c r="G246" i="5" a="1"/>
  <c r="G246" i="5" s="1"/>
  <c r="G247" i="5" a="1"/>
  <c r="G247" i="5" s="1"/>
  <c r="G248" i="5" a="1"/>
  <c r="G248" i="5"/>
  <c r="G249" i="5" a="1"/>
  <c r="G249" i="5" s="1"/>
  <c r="G250" i="5" a="1"/>
  <c r="G250" i="5" s="1"/>
  <c r="G251" i="5" a="1"/>
  <c r="G251" i="5" s="1"/>
  <c r="G252" i="5" a="1"/>
  <c r="G252" i="5" s="1"/>
  <c r="G253" i="5" a="1"/>
  <c r="G253" i="5" s="1"/>
  <c r="G254" i="5" a="1"/>
  <c r="G254" i="5"/>
  <c r="G255" i="5" a="1"/>
  <c r="G255" i="5" s="1"/>
  <c r="G256" i="5" a="1"/>
  <c r="G256" i="5" s="1"/>
  <c r="G257" i="5" a="1"/>
  <c r="G257" i="5" s="1"/>
  <c r="G258" i="5" a="1"/>
  <c r="G258" i="5" s="1"/>
  <c r="G259" i="5" a="1"/>
  <c r="G259" i="5" s="1"/>
  <c r="G260" i="5" a="1"/>
  <c r="G260" i="5"/>
  <c r="G261" i="5" a="1"/>
  <c r="G261" i="5" s="1"/>
  <c r="G262" i="5" a="1"/>
  <c r="G262" i="5" s="1"/>
  <c r="G263" i="5" a="1"/>
  <c r="G263" i="5" s="1"/>
  <c r="G264" i="5" a="1"/>
  <c r="G264" i="5" s="1"/>
  <c r="G265" i="5" a="1"/>
  <c r="G265" i="5" s="1"/>
  <c r="G266" i="5" a="1"/>
  <c r="G266" i="5"/>
  <c r="G267" i="5" a="1"/>
  <c r="G267" i="5" s="1"/>
  <c r="G268" i="5" a="1"/>
  <c r="G268" i="5" s="1"/>
  <c r="G269" i="5" a="1"/>
  <c r="G269" i="5" s="1"/>
  <c r="G270" i="5" a="1"/>
  <c r="G270" i="5" s="1"/>
  <c r="G271" i="5" a="1"/>
  <c r="G271" i="5" s="1"/>
  <c r="G272" i="5" a="1"/>
  <c r="G272" i="5"/>
  <c r="G273" i="5" a="1"/>
  <c r="G273" i="5" s="1"/>
  <c r="G274" i="5" a="1"/>
  <c r="G274" i="5" s="1"/>
  <c r="G275" i="5" a="1"/>
  <c r="G275" i="5" s="1"/>
  <c r="G276" i="5" a="1"/>
  <c r="G276" i="5" s="1"/>
  <c r="G277" i="5" a="1"/>
  <c r="G277" i="5" s="1"/>
  <c r="G278" i="5" a="1"/>
  <c r="G278" i="5"/>
  <c r="G279" i="5" a="1"/>
  <c r="G279" i="5" s="1"/>
  <c r="G280" i="5" a="1"/>
  <c r="G280" i="5" s="1"/>
  <c r="G281" i="5" a="1"/>
  <c r="G281" i="5" s="1"/>
  <c r="G282" i="5" a="1"/>
  <c r="G282" i="5" s="1"/>
  <c r="G283" i="5" a="1"/>
  <c r="G283" i="5" s="1"/>
  <c r="G284" i="5" a="1"/>
  <c r="G284" i="5"/>
  <c r="G285" i="5" a="1"/>
  <c r="G285" i="5" s="1"/>
  <c r="G286" i="5" a="1"/>
  <c r="G286" i="5" s="1"/>
  <c r="G287" i="5" a="1"/>
  <c r="G287" i="5" s="1"/>
  <c r="G288" i="5" a="1"/>
  <c r="G288" i="5" s="1"/>
  <c r="G289" i="5" a="1"/>
  <c r="G289" i="5" s="1"/>
  <c r="G290" i="5" a="1"/>
  <c r="G290" i="5"/>
  <c r="G291" i="5" a="1"/>
  <c r="G291" i="5" s="1"/>
  <c r="G292" i="5" a="1"/>
  <c r="G292" i="5" s="1"/>
  <c r="G293" i="5" a="1"/>
  <c r="G293" i="5" s="1"/>
  <c r="G294" i="5" a="1"/>
  <c r="G294" i="5" s="1"/>
  <c r="G295" i="5" a="1"/>
  <c r="G295" i="5" s="1"/>
  <c r="G296" i="5" a="1"/>
  <c r="G296" i="5"/>
  <c r="G297" i="5" a="1"/>
  <c r="G297" i="5" s="1"/>
  <c r="G298" i="5" a="1"/>
  <c r="G298" i="5" s="1"/>
  <c r="G299" i="5" a="1"/>
  <c r="G299" i="5" s="1"/>
  <c r="G300" i="5" a="1"/>
  <c r="G300" i="5" s="1"/>
  <c r="G301" i="5" a="1"/>
  <c r="G301" i="5" s="1"/>
  <c r="G302" i="5" a="1"/>
  <c r="G302" i="5"/>
  <c r="G303" i="5" a="1"/>
  <c r="G303" i="5" s="1"/>
  <c r="G304" i="5" a="1"/>
  <c r="G304" i="5" s="1"/>
  <c r="G305" i="5" a="1"/>
  <c r="G305" i="5" s="1"/>
  <c r="G306" i="5" a="1"/>
  <c r="G306" i="5" s="1"/>
  <c r="G307" i="5" a="1"/>
  <c r="G307" i="5" s="1"/>
  <c r="G308" i="5" a="1"/>
  <c r="G308" i="5"/>
  <c r="G309" i="5" a="1"/>
  <c r="G309" i="5" s="1"/>
  <c r="G310" i="5" a="1"/>
  <c r="G310" i="5" s="1"/>
  <c r="G311" i="5" a="1"/>
  <c r="G311" i="5" s="1"/>
  <c r="G312" i="5" a="1"/>
  <c r="G312" i="5" s="1"/>
  <c r="G313" i="5" a="1"/>
  <c r="G313" i="5" s="1"/>
  <c r="G314" i="5" a="1"/>
  <c r="G314" i="5"/>
  <c r="G315" i="5" a="1"/>
  <c r="G315" i="5" s="1"/>
  <c r="G316" i="5" a="1"/>
  <c r="G316" i="5" s="1"/>
  <c r="G317" i="5" a="1"/>
  <c r="G317" i="5" s="1"/>
  <c r="G318" i="5" a="1"/>
  <c r="G318" i="5" s="1"/>
  <c r="G319" i="5" a="1"/>
  <c r="G319" i="5" s="1"/>
  <c r="G320" i="5" a="1"/>
  <c r="G320" i="5"/>
  <c r="G321" i="5" a="1"/>
  <c r="G321" i="5" s="1"/>
  <c r="G322" i="5" a="1"/>
  <c r="G322" i="5" s="1"/>
  <c r="G323" i="5" a="1"/>
  <c r="G323" i="5" s="1"/>
  <c r="G324" i="5" a="1"/>
  <c r="G324" i="5" s="1"/>
  <c r="G325" i="5" a="1"/>
  <c r="G325" i="5" s="1"/>
  <c r="G326" i="5" a="1"/>
  <c r="G326" i="5"/>
  <c r="G327" i="5" a="1"/>
  <c r="G327" i="5" s="1"/>
  <c r="G328" i="5" a="1"/>
  <c r="G328" i="5" s="1"/>
  <c r="G329" i="5" a="1"/>
  <c r="G329" i="5" s="1"/>
  <c r="G330" i="5" a="1"/>
  <c r="G330" i="5" s="1"/>
  <c r="G331" i="5" a="1"/>
  <c r="G331" i="5" s="1"/>
  <c r="G332" i="5" a="1"/>
  <c r="G332" i="5"/>
  <c r="G2" i="5" a="1"/>
  <c r="G2" i="5" s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2" i="3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L13" i="5"/>
  <c r="L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7C14F8-0407-4969-83A0-D56D10FC5D19}" keepAlive="1" name="Zapytanie — ubezpieczenia" description="Połączenie z zapytaniem „ubezpieczenia” w skoroszycie." type="5" refreshedVersion="8" background="1" saveData="1">
    <dbPr connection="Provider=Microsoft.Mashup.OleDb.1;Data Source=$Workbook$;Location=ubezpieczenia;Extended Properties=&quot;&quot;" command="SELECT * FROM [ubezpieczenia]"/>
  </connection>
  <connection id="2" xr16:uid="{95C560CD-4EEB-4FAE-A000-1F6CC91F2A96}" keepAlive="1" name="Zapytanie — ubezpieczenia (2)" description="Połączenie z zapytaniem „ubezpieczenia (2)” w skoroszycie." type="5" refreshedVersion="8" background="1" saveData="1">
    <dbPr connection="Provider=Microsoft.Mashup.OleDb.1;Data Source=$Workbook$;Location=&quot;ubezpieczenia (2)&quot;;Extended Properties=&quot;&quot;" command="SELECT * FROM [ubezpieczenia (2)]"/>
  </connection>
  <connection id="3" xr16:uid="{3EC87F26-F722-4865-AD4B-B4E158E30F9A}" keepAlive="1" name="Zapytanie — ubezpieczenia (3)" description="Połączenie z zapytaniem „ubezpieczenia (3)” w skoroszycie." type="5" refreshedVersion="8" background="1" saveData="1">
    <dbPr connection="Provider=Microsoft.Mashup.OleDb.1;Data Source=$Workbook$;Location=&quot;ubezpieczenia (3)&quot;;Extended Properties=&quot;&quot;" command="SELECT * FROM [ubezpieczenia (3)]"/>
  </connection>
  <connection id="4" xr16:uid="{EF2910B5-5661-49C4-A598-DECED4B05744}" keepAlive="1" name="Zapytanie — ubezpieczenia (4)" description="Połączenie z zapytaniem „ubezpieczenia (4)” w skoroszycie." type="5" refreshedVersion="8" background="1" saveData="1">
    <dbPr connection="Provider=Microsoft.Mashup.OleDb.1;Data Source=$Workbook$;Location=&quot;ubezpieczenia (4)&quot;;Extended Properties=&quot;&quot;" command="SELECT * FROM [ubezpieczenia (4)]"/>
  </connection>
  <connection id="5" xr16:uid="{CC553336-4009-4DA8-B5B7-8829A340DC85}" keepAlive="1" name="Zapytanie — ubezpieczenia (5)" description="Połączenie z zapytaniem „ubezpieczenia (5)” w skoroszycie." type="5" refreshedVersion="8" background="1" saveData="1">
    <dbPr connection="Provider=Microsoft.Mashup.OleDb.1;Data Source=$Workbook$;Location=&quot;ubezpieczenia (5)&quot;;Extended Properties=&quot;&quot;" command="SELECT * FROM [ubezpieczenia (5)]"/>
  </connection>
  <connection id="6" xr16:uid="{87332684-5429-4781-A808-8B2F38CDD976}" keepAlive="1" name="Zapytanie — ubezpieczenia (6)" description="Połączenie z zapytaniem „ubezpieczenia (6)” w skoroszycie." type="5" refreshedVersion="8" background="1" saveData="1">
    <dbPr connection="Provider=Microsoft.Mashup.OleDb.1;Data Source=$Workbook$;Location=&quot;ubezpieczenia (6)&quot;;Extended Properties=&quot;&quot;" command="SELECT * FROM [ubezpieczenia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<sst xmlns="http://schemas.openxmlformats.org/spreadsheetml/2006/main" count="5020" uniqueCount="457">
  <si>
    <t>Nazwisko</t>
  </si>
  <si>
    <t>Imie</t>
  </si>
  <si>
    <t>Data_urodz</t>
  </si>
  <si>
    <t>Miejsce_zamieszkania</t>
  </si>
  <si>
    <t>Czarnecka</t>
  </si>
  <si>
    <t>Ewelina</t>
  </si>
  <si>
    <t>srednie miasto</t>
  </si>
  <si>
    <t>Nesterowicz</t>
  </si>
  <si>
    <t>Piotr</t>
  </si>
  <si>
    <t>wies</t>
  </si>
  <si>
    <t>Adamus</t>
  </si>
  <si>
    <t>Magdalena</t>
  </si>
  <si>
    <t>duze miasto</t>
  </si>
  <si>
    <t>Kowalski</t>
  </si>
  <si>
    <t>Hubert</t>
  </si>
  <si>
    <t>Zamojska</t>
  </si>
  <si>
    <t>Maria</t>
  </si>
  <si>
    <t>Matecki</t>
  </si>
  <si>
    <t>Adam</t>
  </si>
  <si>
    <t>Potocki</t>
  </si>
  <si>
    <t>Anna</t>
  </si>
  <si>
    <t>Przybylska</t>
  </si>
  <si>
    <t>Laura</t>
  </si>
  <si>
    <t>Monachijski</t>
  </si>
  <si>
    <t>Cender</t>
  </si>
  <si>
    <t>Urszula</t>
  </si>
  <si>
    <t>Badowski</t>
  </si>
  <si>
    <t>Bogdan</t>
  </si>
  <si>
    <t>Mazurowski</t>
  </si>
  <si>
    <t>Janusz</t>
  </si>
  <si>
    <t>Lasota</t>
  </si>
  <si>
    <t>Olczak</t>
  </si>
  <si>
    <t>Damian</t>
  </si>
  <si>
    <t>Kolesinski</t>
  </si>
  <si>
    <t>Konstanty</t>
  </si>
  <si>
    <t>Pakulski</t>
  </si>
  <si>
    <t>Banasiak</t>
  </si>
  <si>
    <t>Paulina</t>
  </si>
  <si>
    <t>Bajdek</t>
  </si>
  <si>
    <t>Katarzyna</t>
  </si>
  <si>
    <t>male miasto</t>
  </si>
  <si>
    <t>Chojnacka</t>
  </si>
  <si>
    <t>Monika</t>
  </si>
  <si>
    <t>Karpowicz</t>
  </si>
  <si>
    <t>Korcela</t>
  </si>
  <si>
    <t>Marta</t>
  </si>
  <si>
    <t>Deska</t>
  </si>
  <si>
    <t>Ewa</t>
  </si>
  <si>
    <t>Krencik</t>
  </si>
  <si>
    <t>Maciej</t>
  </si>
  <si>
    <t>Nawrot</t>
  </si>
  <si>
    <t>Legnicka</t>
  </si>
  <si>
    <t>Karolina</t>
  </si>
  <si>
    <t>Wenecka</t>
  </si>
  <si>
    <t>Justyna</t>
  </si>
  <si>
    <t>Kaleta</t>
  </si>
  <si>
    <t>Natalia</t>
  </si>
  <si>
    <t>Samarskyi</t>
  </si>
  <si>
    <t>Kostiantyn</t>
  </si>
  <si>
    <t>Tkacz</t>
  </si>
  <si>
    <t>Borsuk</t>
  </si>
  <si>
    <t>Anusz</t>
  </si>
  <si>
    <t>Trzebnicka</t>
  </si>
  <si>
    <t>Bardzio</t>
  </si>
  <si>
    <t>Celina</t>
  </si>
  <si>
    <t>Firlej</t>
  </si>
  <si>
    <t>Sadcza</t>
  </si>
  <si>
    <t>Romuald</t>
  </si>
  <si>
    <t>Uniejewski</t>
  </si>
  <si>
    <t>Tobiasz</t>
  </si>
  <si>
    <t>Iwaszko</t>
  </si>
  <si>
    <t>Rutkowski</t>
  </si>
  <si>
    <t>Sebastian</t>
  </si>
  <si>
    <t>Kubiak</t>
  </si>
  <si>
    <t>Aleksandra</t>
  </si>
  <si>
    <t>Krakowska</t>
  </si>
  <si>
    <t>Uss</t>
  </si>
  <si>
    <t>Adrian</t>
  </si>
  <si>
    <t>Zasada</t>
  </si>
  <si>
    <t>Joanna</t>
  </si>
  <si>
    <t>Majka</t>
  </si>
  <si>
    <t>Danuta</t>
  </si>
  <si>
    <t>Kaczmar</t>
  </si>
  <si>
    <t>Adamczyk</t>
  </si>
  <si>
    <t>Irena</t>
  </si>
  <si>
    <t>Jasiak</t>
  </si>
  <si>
    <t>Sosnowski</t>
  </si>
  <si>
    <t>Arkadiusz</t>
  </si>
  <si>
    <t>Bydgoska</t>
  </si>
  <si>
    <t>Szulgo</t>
  </si>
  <si>
    <t>Marek</t>
  </si>
  <si>
    <t>Szczygielski</t>
  </si>
  <si>
    <t>Tadeusz</t>
  </si>
  <si>
    <t>Magierowicz</t>
  </si>
  <si>
    <t>Patryk</t>
  </si>
  <si>
    <t>Biegaj</t>
  </si>
  <si>
    <t>Boss</t>
  </si>
  <si>
    <t>Rusu</t>
  </si>
  <si>
    <t>Siergiu</t>
  </si>
  <si>
    <t>Lipski</t>
  </si>
  <si>
    <t>Milcarz</t>
  </si>
  <si>
    <t>Czarnoleska</t>
  </si>
  <si>
    <t>Patrycja</t>
  </si>
  <si>
    <t>Rejkowicz</t>
  </si>
  <si>
    <t>Rybicka</t>
  </si>
  <si>
    <t>Martyna</t>
  </si>
  <si>
    <t>Gajak</t>
  </si>
  <si>
    <t>Agnieszka</t>
  </si>
  <si>
    <t>Zakowicz</t>
  </si>
  <si>
    <t>Kacper</t>
  </si>
  <si>
    <t>Chorzowska</t>
  </si>
  <si>
    <t>Belgracka</t>
  </si>
  <si>
    <t>Paszewski</t>
  </si>
  <si>
    <t>Wielogorski</t>
  </si>
  <si>
    <t>Karol</t>
  </si>
  <si>
    <t>Kowalczyk</t>
  </si>
  <si>
    <t>Marzec</t>
  </si>
  <si>
    <t>Kaczan</t>
  </si>
  <si>
    <t>Cichocka</t>
  </si>
  <si>
    <t>Wichrowa</t>
  </si>
  <si>
    <t>Wpawska</t>
  </si>
  <si>
    <t>Barbara</t>
  </si>
  <si>
    <t>Bugajska</t>
  </si>
  <si>
    <t>Julia</t>
  </si>
  <si>
    <t>Adaszek</t>
  </si>
  <si>
    <t>Mielecka</t>
  </si>
  <si>
    <t>Radu</t>
  </si>
  <si>
    <t>Daniel</t>
  </si>
  <si>
    <t>Szymenderski</t>
  </si>
  <si>
    <t>Olaf</t>
  </si>
  <si>
    <t>Banasik</t>
  </si>
  <si>
    <t>Zofia</t>
  </si>
  <si>
    <t>Kostrzewa</t>
  </si>
  <si>
    <t>Gazda</t>
  </si>
  <si>
    <t>Alicja</t>
  </si>
  <si>
    <t>Lubelska</t>
  </si>
  <si>
    <t>Grabowska</t>
  </si>
  <si>
    <t>Klaudia</t>
  </si>
  <si>
    <t>Talaska</t>
  </si>
  <si>
    <t>Marcin</t>
  </si>
  <si>
    <t>Lewandowski</t>
  </si>
  <si>
    <t>Bartosz</t>
  </si>
  <si>
    <t>Durka</t>
  </si>
  <si>
    <t>Kornelia</t>
  </si>
  <si>
    <t>Krynicka</t>
  </si>
  <si>
    <t>Baran</t>
  </si>
  <si>
    <t>Leon</t>
  </si>
  <si>
    <t>Pleszewska</t>
  </si>
  <si>
    <t>Kika</t>
  </si>
  <si>
    <t>Marcelina</t>
  </si>
  <si>
    <t>Maryla</t>
  </si>
  <si>
    <t>Kijowski</t>
  </si>
  <si>
    <t>Wojciech</t>
  </si>
  <si>
    <t>Antczak</t>
  </si>
  <si>
    <t>Teresa</t>
  </si>
  <si>
    <t>Suwalska</t>
  </si>
  <si>
    <t>Karwatowska</t>
  </si>
  <si>
    <t>Marzena</t>
  </si>
  <si>
    <t>Sofijska</t>
  </si>
  <si>
    <t>Sadecki</t>
  </si>
  <si>
    <t>Andrzej</t>
  </si>
  <si>
    <t>Podlaska</t>
  </si>
  <si>
    <t>Augustowska</t>
  </si>
  <si>
    <t>Piotrkowska</t>
  </si>
  <si>
    <t>Sopocka</t>
  </si>
  <si>
    <t>Beata</t>
  </si>
  <si>
    <t>Kalinowski</t>
  </si>
  <si>
    <t>Szymon</t>
  </si>
  <si>
    <t>Rzymski</t>
  </si>
  <si>
    <t>Robert</t>
  </si>
  <si>
    <t>Kowalik</t>
  </si>
  <si>
    <t>Malgorzata</t>
  </si>
  <si>
    <t>Bajda</t>
  </si>
  <si>
    <t>Kapala</t>
  </si>
  <si>
    <t>Szklarska</t>
  </si>
  <si>
    <t>Jagos</t>
  </si>
  <si>
    <t>Wioletta</t>
  </si>
  <si>
    <t>Dominika</t>
  </si>
  <si>
    <t>Bolkowski</t>
  </si>
  <si>
    <t>Jan</t>
  </si>
  <si>
    <t>Barszcz</t>
  </si>
  <si>
    <t>Kot</t>
  </si>
  <si>
    <t>Junak</t>
  </si>
  <si>
    <t>Roxana</t>
  </si>
  <si>
    <t>Setniewska</t>
  </si>
  <si>
    <t>Wiktoria</t>
  </si>
  <si>
    <t>Hajkiewicz</t>
  </si>
  <si>
    <t>Balcerzak</t>
  </si>
  <si>
    <t>Ilona</t>
  </si>
  <si>
    <t>Litewka</t>
  </si>
  <si>
    <t>Kotala</t>
  </si>
  <si>
    <t>Aronowska</t>
  </si>
  <si>
    <t>Halina</t>
  </si>
  <si>
    <t>Katowicka</t>
  </si>
  <si>
    <t>Dorota</t>
  </si>
  <si>
    <t>Bitner</t>
  </si>
  <si>
    <t>Sochacki</t>
  </si>
  <si>
    <t>Skrok</t>
  </si>
  <si>
    <t>Bartosiak</t>
  </si>
  <si>
    <t>Kazimiera</t>
  </si>
  <si>
    <t>Siedlecka</t>
  </si>
  <si>
    <t>Rozalia</t>
  </si>
  <si>
    <t>Muchewicz</t>
  </si>
  <si>
    <t>Pilipczuk</t>
  </si>
  <si>
    <t>Mariusz</t>
  </si>
  <si>
    <t>Bielun</t>
  </si>
  <si>
    <t>Grzeskowiak</t>
  </si>
  <si>
    <t>Karpek</t>
  </si>
  <si>
    <t>Kowal</t>
  </si>
  <si>
    <t>Augustyn</t>
  </si>
  <si>
    <t>Filipczuk</t>
  </si>
  <si>
    <t>Miklas</t>
  </si>
  <si>
    <t>Vasina</t>
  </si>
  <si>
    <t>Inga</t>
  </si>
  <si>
    <t>Banasiewicz</t>
  </si>
  <si>
    <t>Fryziel</t>
  </si>
  <si>
    <t>Daria</t>
  </si>
  <si>
    <t>Bedka</t>
  </si>
  <si>
    <t>Banaszczyk</t>
  </si>
  <si>
    <t>Ptaszek</t>
  </si>
  <si>
    <t>Rey</t>
  </si>
  <si>
    <t>Zeller</t>
  </si>
  <si>
    <t>Majcherczyk</t>
  </si>
  <si>
    <t>Grabicka</t>
  </si>
  <si>
    <t>Grazyna</t>
  </si>
  <si>
    <t>Praska</t>
  </si>
  <si>
    <t>Jakus</t>
  </si>
  <si>
    <t>Grdulska</t>
  </si>
  <si>
    <t>Majkut</t>
  </si>
  <si>
    <t>Cabaj</t>
  </si>
  <si>
    <t>Malecka</t>
  </si>
  <si>
    <t>Stefania</t>
  </si>
  <si>
    <t>Gagatek</t>
  </si>
  <si>
    <t>Stefan</t>
  </si>
  <si>
    <t>Otwocka</t>
  </si>
  <si>
    <t>Ewelia</t>
  </si>
  <si>
    <t>Krystyna</t>
  </si>
  <si>
    <t>Sabatowicz</t>
  </si>
  <si>
    <t>Magiera</t>
  </si>
  <si>
    <t>Klekotko</t>
  </si>
  <si>
    <t>Nowak</t>
  </si>
  <si>
    <t>Doszko</t>
  </si>
  <si>
    <t>Rozwalka</t>
  </si>
  <si>
    <t>Aleksandrowicz</t>
  </si>
  <si>
    <t>Kilarski</t>
  </si>
  <si>
    <t>Rykowski</t>
  </si>
  <si>
    <t>Roman</t>
  </si>
  <si>
    <t>Skierniewicka</t>
  </si>
  <si>
    <t>Malwina</t>
  </si>
  <si>
    <t>Wronka</t>
  </si>
  <si>
    <t>Cezary</t>
  </si>
  <si>
    <t>Wroniszewski</t>
  </si>
  <si>
    <t>Mieszko</t>
  </si>
  <si>
    <t>Andrzejewska</t>
  </si>
  <si>
    <t>Klimaszewski</t>
  </si>
  <si>
    <t>Krzysztof</t>
  </si>
  <si>
    <t>Pachnowski</t>
  </si>
  <si>
    <t>Jacek</t>
  </si>
  <si>
    <t>Klimaszewska</t>
  </si>
  <si>
    <t>Malik</t>
  </si>
  <si>
    <t>Jakub</t>
  </si>
  <si>
    <t>Lwowska</t>
  </si>
  <si>
    <t>Adamowicz</t>
  </si>
  <si>
    <t>Jolanta</t>
  </si>
  <si>
    <t>Pastuszka</t>
  </si>
  <si>
    <t>Kalitowski</t>
  </si>
  <si>
    <t>Miller</t>
  </si>
  <si>
    <t>Zbigniew</t>
  </si>
  <si>
    <t>Bartkiewicz</t>
  </si>
  <si>
    <t>Elwira</t>
  </si>
  <si>
    <t>Dmochowska</t>
  </si>
  <si>
    <t>Szostek</t>
  </si>
  <si>
    <t>Paprocki</t>
  </si>
  <si>
    <t>Konrad</t>
  </si>
  <si>
    <t>Holmes</t>
  </si>
  <si>
    <t>Kozar</t>
  </si>
  <si>
    <t>Bednarska</t>
  </si>
  <si>
    <t>Zuzanna</t>
  </si>
  <si>
    <t>Antos</t>
  </si>
  <si>
    <t>Kumur</t>
  </si>
  <si>
    <t>Genowefa</t>
  </si>
  <si>
    <t>Wilczko</t>
  </si>
  <si>
    <t>Bugajski</t>
  </si>
  <si>
    <t>Florczuk</t>
  </si>
  <si>
    <t>Bielec</t>
  </si>
  <si>
    <t>Busz</t>
  </si>
  <si>
    <t>Balicka</t>
  </si>
  <si>
    <t>Badowska</t>
  </si>
  <si>
    <t>Labryga</t>
  </si>
  <si>
    <t>Barcik</t>
  </si>
  <si>
    <t>Ksel</t>
  </si>
  <si>
    <t>Skrzypek</t>
  </si>
  <si>
    <t>Konstantinova</t>
  </si>
  <si>
    <t>Alexandra</t>
  </si>
  <si>
    <t>Kowalska</t>
  </si>
  <si>
    <t>Wojtkowiak</t>
  </si>
  <si>
    <t>Jurecka</t>
  </si>
  <si>
    <t>Kinga</t>
  </si>
  <si>
    <t>Popowski</t>
  </si>
  <si>
    <t>Pietrzyk</t>
  </si>
  <si>
    <t>Anita</t>
  </si>
  <si>
    <t>Sieduszewski</t>
  </si>
  <si>
    <t>Pryk</t>
  </si>
  <si>
    <t>Tymon</t>
  </si>
  <si>
    <t>Maj</t>
  </si>
  <si>
    <t>Marciszewski</t>
  </si>
  <si>
    <t>Adamski</t>
  </si>
  <si>
    <t>Jerzy</t>
  </si>
  <si>
    <t>Albert</t>
  </si>
  <si>
    <t>Polkowicka</t>
  </si>
  <si>
    <t>Cieplik</t>
  </si>
  <si>
    <t>Parczewska</t>
  </si>
  <si>
    <t>Pisarska</t>
  </si>
  <si>
    <t>Basiak</t>
  </si>
  <si>
    <t>Janicka</t>
  </si>
  <si>
    <t>Engel</t>
  </si>
  <si>
    <t>Plichta</t>
  </si>
  <si>
    <t>Barszczewska</t>
  </si>
  <si>
    <t>Cecylia</t>
  </si>
  <si>
    <t>Tekla</t>
  </si>
  <si>
    <t>Kuc</t>
  </si>
  <si>
    <t>Kogut</t>
  </si>
  <si>
    <t>Olivia</t>
  </si>
  <si>
    <t>Berezowska</t>
  </si>
  <si>
    <t>Walczak</t>
  </si>
  <si>
    <t>Guzik</t>
  </si>
  <si>
    <t>Modzelewski</t>
  </si>
  <si>
    <t>Mateusz</t>
  </si>
  <si>
    <t>Dudek</t>
  </si>
  <si>
    <t>Banach</t>
  </si>
  <si>
    <t>Klasz</t>
  </si>
  <si>
    <t>Kisiel</t>
  </si>
  <si>
    <t>Dawid</t>
  </si>
  <si>
    <t>Geldner</t>
  </si>
  <si>
    <t>Rygielski</t>
  </si>
  <si>
    <t>Ossowski</t>
  </si>
  <si>
    <t>Kisielewska</t>
  </si>
  <si>
    <t>Greta</t>
  </si>
  <si>
    <t>Nyski</t>
  </si>
  <si>
    <t>Kopec</t>
  </si>
  <si>
    <t>Sznyrowska</t>
  </si>
  <si>
    <t>Tichoniuk</t>
  </si>
  <si>
    <t>Dul</t>
  </si>
  <si>
    <t>Grzegorczyk</t>
  </si>
  <si>
    <t>Grzywacz</t>
  </si>
  <si>
    <t>Wanda</t>
  </si>
  <si>
    <t>Karina</t>
  </si>
  <si>
    <t>Barabasz</t>
  </si>
  <si>
    <t>Borowska</t>
  </si>
  <si>
    <t>Cedro</t>
  </si>
  <si>
    <t>Sieradzki</t>
  </si>
  <si>
    <t>Sar</t>
  </si>
  <si>
    <t>Kordaszewska</t>
  </si>
  <si>
    <t>Bauer</t>
  </si>
  <si>
    <t>Jagoda</t>
  </si>
  <si>
    <t>Brychcy</t>
  </si>
  <si>
    <t>Agata</t>
  </si>
  <si>
    <t>Grzegorz</t>
  </si>
  <si>
    <t>Kordaszewski</t>
  </si>
  <si>
    <t>Wiatrowski</t>
  </si>
  <si>
    <t>Balcer</t>
  </si>
  <si>
    <t>Iwona</t>
  </si>
  <si>
    <t>Irma</t>
  </si>
  <si>
    <t>Jackowska</t>
  </si>
  <si>
    <t>Sosnowiecka</t>
  </si>
  <si>
    <t>Henrykowski</t>
  </si>
  <si>
    <t>Kornel</t>
  </si>
  <si>
    <t>Podczasiak</t>
  </si>
  <si>
    <t>Jadwiga</t>
  </si>
  <si>
    <t>Skrzydlowski</t>
  </si>
  <si>
    <t>Genewski</t>
  </si>
  <si>
    <t>Bienias</t>
  </si>
  <si>
    <t>Alina</t>
  </si>
  <si>
    <t>Madrycki</t>
  </si>
  <si>
    <t>Opolska</t>
  </si>
  <si>
    <t>Barwicka</t>
  </si>
  <si>
    <t>Leniak</t>
  </si>
  <si>
    <t>Kapanowska</t>
  </si>
  <si>
    <t>Lech</t>
  </si>
  <si>
    <t>Kaczocha</t>
  </si>
  <si>
    <t>Artur</t>
  </si>
  <si>
    <t>Bartoszek</t>
  </si>
  <si>
    <t>Gawlowska</t>
  </si>
  <si>
    <t>Enrika</t>
  </si>
  <si>
    <t>Balcerowska</t>
  </si>
  <si>
    <t>Nagaj</t>
  </si>
  <si>
    <t>Jakubczyk</t>
  </si>
  <si>
    <t>Aleksander</t>
  </si>
  <si>
    <t>Wiek</t>
  </si>
  <si>
    <t>Suchocki</t>
  </si>
  <si>
    <t>Michalik</t>
  </si>
  <si>
    <t>Bandera</t>
  </si>
  <si>
    <t>Rybicki</t>
  </si>
  <si>
    <t>Lysiak</t>
  </si>
  <si>
    <t>Helena</t>
  </si>
  <si>
    <t>Balcerek</t>
  </si>
  <si>
    <t>Blacharz</t>
  </si>
  <si>
    <t>Kaczorowska</t>
  </si>
  <si>
    <t>Kisielewski</t>
  </si>
  <si>
    <t>Krystian</t>
  </si>
  <si>
    <t>Sikora</t>
  </si>
  <si>
    <t>Norbert</t>
  </si>
  <si>
    <t>Warszawska</t>
  </si>
  <si>
    <t>Rita</t>
  </si>
  <si>
    <t>Moskiewski</t>
  </si>
  <si>
    <t>Pogrebniak</t>
  </si>
  <si>
    <t>Jegor</t>
  </si>
  <si>
    <t>Gates</t>
  </si>
  <si>
    <t>Zaprawa</t>
  </si>
  <si>
    <t>Mazgaj</t>
  </si>
  <si>
    <t>Samborski</t>
  </si>
  <si>
    <t>Barcikowska</t>
  </si>
  <si>
    <t>Zyta</t>
  </si>
  <si>
    <t>Radziejowski</t>
  </si>
  <si>
    <t>Baranek</t>
  </si>
  <si>
    <t>Wosiak</t>
  </si>
  <si>
    <t>Cichawa</t>
  </si>
  <si>
    <t>Smutnicki</t>
  </si>
  <si>
    <t>Tomasz</t>
  </si>
  <si>
    <t>Dominik</t>
  </si>
  <si>
    <t>Gralewicz</t>
  </si>
  <si>
    <t>Matczak</t>
  </si>
  <si>
    <t>Grzybek</t>
  </si>
  <si>
    <t>Bartel</t>
  </si>
  <si>
    <t>Kosaty</t>
  </si>
  <si>
    <t>Pietkiewicz</t>
  </si>
  <si>
    <t>Alot</t>
  </si>
  <si>
    <t>Glazik</t>
  </si>
  <si>
    <t>Barczuk</t>
  </si>
  <si>
    <t>Maja</t>
  </si>
  <si>
    <t>Szkutnik</t>
  </si>
  <si>
    <t>Podstawa</t>
  </si>
  <si>
    <t>miesiac_urodzenia</t>
  </si>
  <si>
    <t>id</t>
  </si>
  <si>
    <t>Etykiety wierszy</t>
  </si>
  <si>
    <t>Suma końcowa</t>
  </si>
  <si>
    <t>numer_miesiaca</t>
  </si>
  <si>
    <t>liczba_urodzin</t>
  </si>
  <si>
    <t>czy_kobieta</t>
  </si>
  <si>
    <t>miejsce_zamieszkania</t>
  </si>
  <si>
    <t>ile_kobiet</t>
  </si>
  <si>
    <t>wiek</t>
  </si>
  <si>
    <t>typ_płci</t>
  </si>
  <si>
    <t>ubezpieczenie</t>
  </si>
  <si>
    <t>składka_mies</t>
  </si>
  <si>
    <t>Suma z składka_mies</t>
  </si>
  <si>
    <t>mezczyźni</t>
  </si>
  <si>
    <t>kobiety</t>
  </si>
  <si>
    <t>przedzial</t>
  </si>
  <si>
    <t>ID</t>
  </si>
  <si>
    <t>Liczba z ID</t>
  </si>
  <si>
    <t>20-29</t>
  </si>
  <si>
    <t>30-39</t>
  </si>
  <si>
    <t>40-49</t>
  </si>
  <si>
    <t>50-59</t>
  </si>
  <si>
    <t>60-69</t>
  </si>
  <si>
    <t>70-79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</si>
</sst>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164" fontId="0" fillId="2" borderId="0" xfId="0" applyNumberFormat="1" applyFill="1"/>
  </cellXfs>
  <cellStyles count="1">
    <cellStyle name="Normalny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osób których wiek należy do poszczególnych</a:t>
            </a:r>
            <a:r>
              <a:rPr lang="pl-PL" baseline="0"/>
              <a:t> przedziałów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'4.4'!$I$11:$I$16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</c:strCache>
            </c:strRef>
          </c:cat>
          <c:val>
            <c:numRef>
              <c:f>'4.4'!$J$11:$J$16</c:f>
              <c:numCache>
                <c:formatCode>General</c:formatCode>
                <c:ptCount val="6"/>
                <c:pt idx="0">
                  <c:v>62</c:v>
                </c:pt>
                <c:pt idx="1">
                  <c:v>56</c:v>
                </c:pt>
                <c:pt idx="2">
                  <c:v>64</c:v>
                </c:pt>
                <c:pt idx="3">
                  <c:v>56</c:v>
                </c:pt>
                <c:pt idx="4">
                  <c:v>71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4-4F99-8AF0-4A229967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010368"/>
        <c:axId val="493032176"/>
      </c:barChart>
      <c:catAx>
        <c:axId val="168201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przedziały</a:t>
                </a:r>
                <a:r>
                  <a:rPr lang="pl-PL" baseline="0"/>
                  <a:t> wiekowe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3032176"/>
        <c:crosses val="autoZero"/>
        <c:auto val="1"/>
        <c:lblAlgn val="ctr"/>
        <c:lblOffset val="100"/>
        <c:noMultiLvlLbl val="0"/>
      </c:catAx>
      <c:valAx>
        <c:axId val="49303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20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16566</xdr:colOff>
      <xdr:row>17</xdr:row>
      <xdr:rowOff>19877</xdr:rowOff>
    </xdr:from>
    <xdr:to>
      <xdr:col>17</xdr:col>
      <xdr:colOff>173935</xdr:colOff>
      <xdr:row>37</xdr:row>
      <xdr:rowOff>149086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A98000E-1C07-2538-6E21-91B4BEA12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68399189817" createdVersion="8" refreshedVersion="8" minRefreshableVersion="3" recordCount="331" xr:uid="{5F5039E9-1089-4A22-8F71-C3C9EA25148C}">
  <cacheSource type="worksheet">
    <worksheetSource name="ubezpieczenia3"/>
  </cacheSource>
  <cacheFields count="6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/>
    </cacheField>
    <cacheField name="miesiac_urodzenia" numFmtId="0">
      <sharedItems containsSemiMixedTypes="0" containsString="0" containsNumber="1" containsInteger="1" minValue="1" maxValue="12" count="12">
        <n v="10"/>
        <n v="9"/>
        <n v="5"/>
        <n v="11"/>
        <n v="2"/>
        <n v="3"/>
        <n v="6"/>
        <n v="12"/>
        <n v="8"/>
        <n v="1"/>
        <n v="7"/>
        <n v="4"/>
      </sharedItems>
    </cacheField>
    <cacheField name="id" numFmtId="0">
      <sharedItems containsSemiMixedTypes="0" containsString="0" containsNumber="1" containsInteger="1" minValue="1" maxValue="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6933553241" createdVersion="8" refreshedVersion="8" minRefreshableVersion="3" recordCount="331" xr:uid="{2B0CD0C6-5CBA-4C48-A509-A630BEB01E63}">
  <cacheSource type="worksheet">
    <worksheetSource name="ubezpieczenia4"/>
  </cacheSource>
  <cacheFields count="5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 count="4">
        <s v="srednie miasto"/>
        <s v="wies"/>
        <s v="duze miasto"/>
        <s v="male miasto"/>
      </sharedItems>
    </cacheField>
    <cacheField name="czy_kobiet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77537962962" createdVersion="8" refreshedVersion="8" minRefreshableVersion="3" recordCount="331" xr:uid="{699581F7-C9CC-4CAC-B79E-FAE8648C9FC0}">
  <cacheSource type="worksheet">
    <worksheetSource name="ubezpieczenia5"/>
  </cacheSource>
  <cacheFields count="7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/>
    </cacheField>
    <cacheField name="czy_kobieta" numFmtId="0">
      <sharedItems containsSemiMixedTypes="0" containsString="0" containsNumber="1" containsInteger="1" minValue="0" maxValue="1" count="2">
        <n v="1"/>
        <n v="0"/>
      </sharedItems>
    </cacheField>
    <cacheField name="wiek" numFmtId="0">
      <sharedItems containsSemiMixedTypes="0" containsString="0" containsNumber="1" containsInteger="1" minValue="21" maxValue="73"/>
    </cacheField>
    <cacheField name="składka_mies" numFmtId="0">
      <sharedItems containsSemiMixedTypes="0" containsString="0" containsNumber="1" minValue="25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81212731484" createdVersion="8" refreshedVersion="8" minRefreshableVersion="3" recordCount="331" xr:uid="{447356EC-F102-4E17-84E3-25952921D70D}">
  <cacheSource type="worksheet">
    <worksheetSource name="ubezpieczenia57"/>
  </cacheSource>
  <cacheFields count="7">
    <cacheField name="Nazwisko" numFmtId="0">
      <sharedItems/>
    </cacheField>
    <cacheField name="Imie" numFmtId="0">
      <sharedItems/>
    </cacheField>
    <cacheField name="Data_urodz" numFmtId="14">
      <sharedItems containsSemiMixedTypes="0" containsNonDate="0" containsDate="1" containsString="0" minDate="1943-11-18T00:00:00" maxDate="1995-09-04T00:00:00"/>
    </cacheField>
    <cacheField name="Miejsce_zamieszkania" numFmtId="0">
      <sharedItems/>
    </cacheField>
    <cacheField name="wiek" numFmtId="0">
      <sharedItems containsSemiMixedTypes="0" containsString="0" containsNumber="1" containsInteger="1" minValue="21" maxValue="73"/>
    </cacheField>
    <cacheField name="przedzial" numFmtId="0">
      <sharedItems containsSemiMixedTypes="0" containsString="0" containsNumber="1" containsInteger="1" minValue="2" maxValue="7" count="6">
        <n v="5"/>
        <n v="3"/>
        <n v="4"/>
        <n v="2"/>
        <n v="6"/>
        <n v="7"/>
      </sharedItems>
    </cacheField>
    <cacheField name="ID" numFmtId="0">
      <sharedItems containsSemiMixedTypes="0" containsString="0" containsNumber="1" containsInteger="1" minValue="1" maxValue="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s v="srednie miasto"/>
    <x v="0"/>
    <n v="1"/>
  </r>
  <r>
    <s v="Nesterowicz"/>
    <s v="Piotr"/>
    <d v="1984-09-27T00:00:00"/>
    <s v="wies"/>
    <x v="1"/>
    <n v="2"/>
  </r>
  <r>
    <s v="Adamus"/>
    <s v="Magdalena"/>
    <d v="1967-10-08T00:00:00"/>
    <s v="duze miasto"/>
    <x v="0"/>
    <n v="3"/>
  </r>
  <r>
    <s v="Kowalski"/>
    <s v="Hubert"/>
    <d v="1986-05-12T00:00:00"/>
    <s v="wies"/>
    <x v="2"/>
    <n v="4"/>
  </r>
  <r>
    <s v="Zamojska"/>
    <s v="Maria"/>
    <d v="1962-05-14T00:00:00"/>
    <s v="wies"/>
    <x v="2"/>
    <n v="5"/>
  </r>
  <r>
    <s v="Matecki"/>
    <s v="Adam"/>
    <d v="1986-10-09T00:00:00"/>
    <s v="duze miasto"/>
    <x v="0"/>
    <n v="6"/>
  </r>
  <r>
    <s v="Potocki"/>
    <s v="Anna"/>
    <d v="1991-11-27T00:00:00"/>
    <s v="srednie miasto"/>
    <x v="3"/>
    <n v="7"/>
  </r>
  <r>
    <s v="Przybylska"/>
    <s v="Laura"/>
    <d v="1983-02-25T00:00:00"/>
    <s v="srednie miasto"/>
    <x v="4"/>
    <n v="8"/>
  </r>
  <r>
    <s v="Monachijski"/>
    <s v="Piotr"/>
    <d v="1991-11-26T00:00:00"/>
    <s v="srednie miasto"/>
    <x v="3"/>
    <n v="9"/>
  </r>
  <r>
    <s v="Cender"/>
    <s v="Urszula"/>
    <d v="1985-03-05T00:00:00"/>
    <s v="srednie miasto"/>
    <x v="5"/>
    <n v="10"/>
  </r>
  <r>
    <s v="Badowski"/>
    <s v="Bogdan"/>
    <d v="1947-06-29T00:00:00"/>
    <s v="srednie miasto"/>
    <x v="6"/>
    <n v="11"/>
  </r>
  <r>
    <s v="Mazurowski"/>
    <s v="Janusz"/>
    <d v="1991-03-24T00:00:00"/>
    <s v="duze miasto"/>
    <x v="5"/>
    <n v="12"/>
  </r>
  <r>
    <s v="Lasota"/>
    <s v="Piotr"/>
    <d v="1971-06-09T00:00:00"/>
    <s v="duze miasto"/>
    <x v="6"/>
    <n v="13"/>
  </r>
  <r>
    <s v="Olczak"/>
    <s v="Damian"/>
    <d v="1946-12-08T00:00:00"/>
    <s v="duze miasto"/>
    <x v="7"/>
    <n v="14"/>
  </r>
  <r>
    <s v="Kolesinski"/>
    <s v="Konstanty"/>
    <d v="1971-03-27T00:00:00"/>
    <s v="duze miasto"/>
    <x v="5"/>
    <n v="15"/>
  </r>
  <r>
    <s v="Pakulski"/>
    <s v="Bogdan"/>
    <d v="1982-08-30T00:00:00"/>
    <s v="srednie miasto"/>
    <x v="8"/>
    <n v="16"/>
  </r>
  <r>
    <s v="Banasiak"/>
    <s v="Paulina"/>
    <d v="1981-03-23T00:00:00"/>
    <s v="wies"/>
    <x v="5"/>
    <n v="17"/>
  </r>
  <r>
    <s v="Bajdek"/>
    <s v="Katarzyna"/>
    <d v="1995-09-03T00:00:00"/>
    <s v="male miasto"/>
    <x v="1"/>
    <n v="18"/>
  </r>
  <r>
    <s v="Chojnacka"/>
    <s v="Monika"/>
    <d v="1963-10-25T00:00:00"/>
    <s v="wies"/>
    <x v="0"/>
    <n v="19"/>
  </r>
  <r>
    <s v="Karpowicz"/>
    <s v="Anna"/>
    <d v="1945-03-02T00:00:00"/>
    <s v="srednie miasto"/>
    <x v="5"/>
    <n v="20"/>
  </r>
  <r>
    <s v="Korcela"/>
    <s v="Marta"/>
    <d v="1954-05-28T00:00:00"/>
    <s v="duze miasto"/>
    <x v="2"/>
    <n v="21"/>
  </r>
  <r>
    <s v="Deska"/>
    <s v="Ewa"/>
    <d v="1971-03-26T00:00:00"/>
    <s v="srednie miasto"/>
    <x v="5"/>
    <n v="22"/>
  </r>
  <r>
    <s v="Krencik"/>
    <s v="Maciej"/>
    <d v="1968-09-29T00:00:00"/>
    <s v="male miasto"/>
    <x v="1"/>
    <n v="23"/>
  </r>
  <r>
    <s v="Nawrot"/>
    <s v="Janusz"/>
    <d v="1991-06-22T00:00:00"/>
    <s v="wies"/>
    <x v="6"/>
    <n v="24"/>
  </r>
  <r>
    <s v="Legnicka"/>
    <s v="Karolina"/>
    <d v="1984-10-14T00:00:00"/>
    <s v="duze miasto"/>
    <x v="0"/>
    <n v="25"/>
  </r>
  <r>
    <s v="Wenecka"/>
    <s v="Justyna"/>
    <d v="1953-01-09T00:00:00"/>
    <s v="duze miasto"/>
    <x v="9"/>
    <n v="26"/>
  </r>
  <r>
    <s v="Kaleta"/>
    <s v="Natalia"/>
    <d v="1964-10-18T00:00:00"/>
    <s v="male miasto"/>
    <x v="0"/>
    <n v="27"/>
  </r>
  <r>
    <s v="Samarskyi"/>
    <s v="Kostiantyn"/>
    <d v="1954-05-07T00:00:00"/>
    <s v="duze miasto"/>
    <x v="2"/>
    <n v="28"/>
  </r>
  <r>
    <s v="Tkacz"/>
    <s v="Adam"/>
    <d v="1948-12-29T00:00:00"/>
    <s v="wies"/>
    <x v="7"/>
    <n v="29"/>
  </r>
  <r>
    <s v="Borsuk"/>
    <s v="Magdalena"/>
    <d v="1968-07-26T00:00:00"/>
    <s v="duze miasto"/>
    <x v="10"/>
    <n v="30"/>
  </r>
  <r>
    <s v="Anusz"/>
    <s v="Anna"/>
    <d v="1950-04-14T00:00:00"/>
    <s v="duze miasto"/>
    <x v="11"/>
    <n v="31"/>
  </r>
  <r>
    <s v="Trzebnicka"/>
    <s v="Anna"/>
    <d v="1959-03-21T00:00:00"/>
    <s v="srednie miasto"/>
    <x v="5"/>
    <n v="32"/>
  </r>
  <r>
    <s v="Bardzio"/>
    <s v="Celina"/>
    <d v="1944-01-04T00:00:00"/>
    <s v="male miasto"/>
    <x v="9"/>
    <n v="33"/>
  </r>
  <r>
    <s v="Firlej"/>
    <s v="Anna"/>
    <d v="1983-11-20T00:00:00"/>
    <s v="srednie miasto"/>
    <x v="3"/>
    <n v="34"/>
  </r>
  <r>
    <s v="Sadcza"/>
    <s v="Romuald"/>
    <d v="1959-03-24T00:00:00"/>
    <s v="duze miasto"/>
    <x v="5"/>
    <n v="35"/>
  </r>
  <r>
    <s v="Uniejewski"/>
    <s v="Tobiasz"/>
    <d v="1962-07-16T00:00:00"/>
    <s v="srednie miasto"/>
    <x v="10"/>
    <n v="36"/>
  </r>
  <r>
    <s v="Iwaszko"/>
    <s v="Katarzyna"/>
    <d v="1962-10-25T00:00:00"/>
    <s v="duze miasto"/>
    <x v="0"/>
    <n v="37"/>
  </r>
  <r>
    <s v="Rutkowski"/>
    <s v="Sebastian"/>
    <d v="1979-01-01T00:00:00"/>
    <s v="srednie miasto"/>
    <x v="9"/>
    <n v="38"/>
  </r>
  <r>
    <s v="Kubiak"/>
    <s v="Aleksandra"/>
    <d v="1975-04-26T00:00:00"/>
    <s v="wies"/>
    <x v="11"/>
    <n v="39"/>
  </r>
  <r>
    <s v="Krakowska"/>
    <s v="Karolina"/>
    <d v="1967-09-29T00:00:00"/>
    <s v="duze miasto"/>
    <x v="1"/>
    <n v="40"/>
  </r>
  <r>
    <s v="Uss"/>
    <s v="Adrian"/>
    <d v="1973-02-08T00:00:00"/>
    <s v="male miasto"/>
    <x v="4"/>
    <n v="41"/>
  </r>
  <r>
    <s v="Zasada"/>
    <s v="Joanna"/>
    <d v="1951-08-07T00:00:00"/>
    <s v="srednie miasto"/>
    <x v="8"/>
    <n v="42"/>
  </r>
  <r>
    <s v="Majka"/>
    <s v="Danuta"/>
    <d v="1992-10-22T00:00:00"/>
    <s v="duze miasto"/>
    <x v="0"/>
    <n v="43"/>
  </r>
  <r>
    <s v="Kaczmar"/>
    <s v="Monika"/>
    <d v="1995-03-15T00:00:00"/>
    <s v="duze miasto"/>
    <x v="5"/>
    <n v="44"/>
  </r>
  <r>
    <s v="Adamczyk"/>
    <s v="Irena"/>
    <d v="1979-03-15T00:00:00"/>
    <s v="srednie miasto"/>
    <x v="5"/>
    <n v="45"/>
  </r>
  <r>
    <s v="Jasiak"/>
    <s v="Monika"/>
    <d v="1948-03-20T00:00:00"/>
    <s v="male miasto"/>
    <x v="5"/>
    <n v="46"/>
  </r>
  <r>
    <s v="Sosnowski"/>
    <s v="Arkadiusz"/>
    <d v="1971-03-10T00:00:00"/>
    <s v="duze miasto"/>
    <x v="5"/>
    <n v="47"/>
  </r>
  <r>
    <s v="Bydgoska"/>
    <s v="Karolina"/>
    <d v="1946-09-05T00:00:00"/>
    <s v="duze miasto"/>
    <x v="1"/>
    <n v="48"/>
  </r>
  <r>
    <s v="Szulgo"/>
    <s v="Marek"/>
    <d v="1948-08-12T00:00:00"/>
    <s v="srednie miasto"/>
    <x v="8"/>
    <n v="49"/>
  </r>
  <r>
    <s v="Szczygielski"/>
    <s v="Tadeusz"/>
    <d v="1982-07-23T00:00:00"/>
    <s v="srednie miasto"/>
    <x v="10"/>
    <n v="50"/>
  </r>
  <r>
    <s v="Magierowicz"/>
    <s v="Patryk"/>
    <d v="1962-04-22T00:00:00"/>
    <s v="male miasto"/>
    <x v="11"/>
    <n v="51"/>
  </r>
  <r>
    <s v="Biegaj"/>
    <s v="Karolina"/>
    <d v="1948-10-24T00:00:00"/>
    <s v="srednie miasto"/>
    <x v="0"/>
    <n v="52"/>
  </r>
  <r>
    <s v="Boss"/>
    <s v="Anna"/>
    <d v="1944-04-06T00:00:00"/>
    <s v="srednie miasto"/>
    <x v="11"/>
    <n v="53"/>
  </r>
  <r>
    <s v="Rusu"/>
    <s v="Siergiu"/>
    <d v="1987-12-07T00:00:00"/>
    <s v="srednie miasto"/>
    <x v="7"/>
    <n v="54"/>
  </r>
  <r>
    <s v="Lipski"/>
    <s v="Adam"/>
    <d v="1955-08-31T00:00:00"/>
    <s v="duze miasto"/>
    <x v="8"/>
    <n v="55"/>
  </r>
  <r>
    <s v="Milcarz"/>
    <s v="Maciej"/>
    <d v="1953-01-16T00:00:00"/>
    <s v="srednie miasto"/>
    <x v="9"/>
    <n v="56"/>
  </r>
  <r>
    <s v="Czarnoleska"/>
    <s v="Patrycja"/>
    <d v="1995-04-29T00:00:00"/>
    <s v="duze miasto"/>
    <x v="11"/>
    <n v="57"/>
  </r>
  <r>
    <s v="Rejkowicz"/>
    <s v="Maria"/>
    <d v="1965-02-02T00:00:00"/>
    <s v="wies"/>
    <x v="4"/>
    <n v="58"/>
  </r>
  <r>
    <s v="Rybicka"/>
    <s v="Martyna"/>
    <d v="1980-05-30T00:00:00"/>
    <s v="duze miasto"/>
    <x v="2"/>
    <n v="59"/>
  </r>
  <r>
    <s v="Gajak"/>
    <s v="Agnieszka"/>
    <d v="1974-12-07T00:00:00"/>
    <s v="duze miasto"/>
    <x v="7"/>
    <n v="60"/>
  </r>
  <r>
    <s v="Zakowicz"/>
    <s v="Kacper"/>
    <d v="1952-02-08T00:00:00"/>
    <s v="srednie miasto"/>
    <x v="4"/>
    <n v="61"/>
  </r>
  <r>
    <s v="Chorzowska"/>
    <s v="Paulina"/>
    <d v="1975-03-22T00:00:00"/>
    <s v="duze miasto"/>
    <x v="5"/>
    <n v="62"/>
  </r>
  <r>
    <s v="Belgracka"/>
    <s v="Karolina"/>
    <d v="1956-09-21T00:00:00"/>
    <s v="srednie miasto"/>
    <x v="1"/>
    <n v="63"/>
  </r>
  <r>
    <s v="Paszewski"/>
    <s v="Piotr"/>
    <d v="1960-10-17T00:00:00"/>
    <s v="male miasto"/>
    <x v="0"/>
    <n v="64"/>
  </r>
  <r>
    <s v="Wielogorski"/>
    <s v="Karol"/>
    <d v="1947-07-28T00:00:00"/>
    <s v="duze miasto"/>
    <x v="10"/>
    <n v="65"/>
  </r>
  <r>
    <s v="Kowalczyk"/>
    <s v="Karol"/>
    <d v="1993-11-07T00:00:00"/>
    <s v="male miasto"/>
    <x v="3"/>
    <n v="66"/>
  </r>
  <r>
    <s v="Marzec"/>
    <s v="Maciej"/>
    <d v="1970-09-10T00:00:00"/>
    <s v="male miasto"/>
    <x v="1"/>
    <n v="67"/>
  </r>
  <r>
    <s v="Kaczan"/>
    <s v="Ewa"/>
    <d v="1955-06-02T00:00:00"/>
    <s v="male miasto"/>
    <x v="6"/>
    <n v="68"/>
  </r>
  <r>
    <s v="Cichocka"/>
    <s v="Anna"/>
    <d v="1969-07-31T00:00:00"/>
    <s v="duze miasto"/>
    <x v="10"/>
    <n v="69"/>
  </r>
  <r>
    <s v="Wichrowa"/>
    <s v="Ewa"/>
    <d v="1952-02-24T00:00:00"/>
    <s v="wies"/>
    <x v="4"/>
    <n v="70"/>
  </r>
  <r>
    <s v="Wpawska"/>
    <s v="Barbara"/>
    <d v="1951-07-02T00:00:00"/>
    <s v="duze miasto"/>
    <x v="10"/>
    <n v="71"/>
  </r>
  <r>
    <s v="Bugajska"/>
    <s v="Julia"/>
    <d v="1946-09-27T00:00:00"/>
    <s v="male miasto"/>
    <x v="1"/>
    <n v="72"/>
  </r>
  <r>
    <s v="Adaszek"/>
    <s v="Barbara"/>
    <d v="1991-02-08T00:00:00"/>
    <s v="srednie miasto"/>
    <x v="4"/>
    <n v="73"/>
  </r>
  <r>
    <s v="Mielecka"/>
    <s v="Joanna"/>
    <d v="1946-07-04T00:00:00"/>
    <s v="srednie miasto"/>
    <x v="10"/>
    <n v="74"/>
  </r>
  <r>
    <s v="Radu"/>
    <s v="Daniel"/>
    <d v="1991-06-19T00:00:00"/>
    <s v="male miasto"/>
    <x v="6"/>
    <n v="75"/>
  </r>
  <r>
    <s v="Chorzowska"/>
    <s v="Joanna"/>
    <d v="1968-08-20T00:00:00"/>
    <s v="srednie miasto"/>
    <x v="8"/>
    <n v="76"/>
  </r>
  <r>
    <s v="Szymenderski"/>
    <s v="Olaf"/>
    <d v="1993-05-11T00:00:00"/>
    <s v="male miasto"/>
    <x v="2"/>
    <n v="77"/>
  </r>
  <r>
    <s v="Adamczyk"/>
    <s v="Karolina"/>
    <d v="1953-06-12T00:00:00"/>
    <s v="wies"/>
    <x v="6"/>
    <n v="78"/>
  </r>
  <r>
    <s v="Banasik"/>
    <s v="Zofia"/>
    <d v="1974-09-12T00:00:00"/>
    <s v="wies"/>
    <x v="1"/>
    <n v="79"/>
  </r>
  <r>
    <s v="Kostrzewa"/>
    <s v="Piotr"/>
    <d v="1974-11-14T00:00:00"/>
    <s v="duze miasto"/>
    <x v="3"/>
    <n v="80"/>
  </r>
  <r>
    <s v="Gazda"/>
    <s v="Alicja"/>
    <d v="1956-06-12T00:00:00"/>
    <s v="duze miasto"/>
    <x v="6"/>
    <n v="81"/>
  </r>
  <r>
    <s v="Lubelska"/>
    <s v="Justyna"/>
    <d v="1952-09-19T00:00:00"/>
    <s v="duze miasto"/>
    <x v="1"/>
    <n v="82"/>
  </r>
  <r>
    <s v="Grabowska"/>
    <s v="Klaudia"/>
    <d v="1959-12-14T00:00:00"/>
    <s v="duze miasto"/>
    <x v="7"/>
    <n v="83"/>
  </r>
  <r>
    <s v="Talaska"/>
    <s v="Marcin"/>
    <d v="1946-03-12T00:00:00"/>
    <s v="duze miasto"/>
    <x v="5"/>
    <n v="84"/>
  </r>
  <r>
    <s v="Lewandowski"/>
    <s v="Bartosz"/>
    <d v="1995-07-13T00:00:00"/>
    <s v="srednie miasto"/>
    <x v="10"/>
    <n v="85"/>
  </r>
  <r>
    <s v="Durka"/>
    <s v="Kornelia"/>
    <d v="1943-11-18T00:00:00"/>
    <s v="duze miasto"/>
    <x v="3"/>
    <n v="86"/>
  </r>
  <r>
    <s v="Krynicka"/>
    <s v="Justyna"/>
    <d v="1991-07-27T00:00:00"/>
    <s v="srednie miasto"/>
    <x v="10"/>
    <n v="87"/>
  </r>
  <r>
    <s v="Baran"/>
    <s v="Leon"/>
    <d v="1951-09-21T00:00:00"/>
    <s v="srednie miasto"/>
    <x v="1"/>
    <n v="88"/>
  </r>
  <r>
    <s v="Pleszewska"/>
    <s v="Patrycja"/>
    <d v="1988-03-17T00:00:00"/>
    <s v="duze miasto"/>
    <x v="5"/>
    <n v="89"/>
  </r>
  <r>
    <s v="Kika"/>
    <s v="Marcelina"/>
    <d v="1986-12-25T00:00:00"/>
    <s v="wies"/>
    <x v="7"/>
    <n v="90"/>
  </r>
  <r>
    <s v="Legnicka"/>
    <s v="Maryla"/>
    <d v="1983-11-13T00:00:00"/>
    <s v="male miasto"/>
    <x v="3"/>
    <n v="91"/>
  </r>
  <r>
    <s v="Kijowski"/>
    <s v="Wojciech"/>
    <d v="1993-07-27T00:00:00"/>
    <s v="male miasto"/>
    <x v="10"/>
    <n v="92"/>
  </r>
  <r>
    <s v="Antczak"/>
    <s v="Klaudia"/>
    <d v="1991-02-12T00:00:00"/>
    <s v="duze miasto"/>
    <x v="4"/>
    <n v="93"/>
  </r>
  <r>
    <s v="Krakowska"/>
    <s v="Teresa"/>
    <d v="1959-12-13T00:00:00"/>
    <s v="duze miasto"/>
    <x v="7"/>
    <n v="94"/>
  </r>
  <r>
    <s v="Suwalska"/>
    <s v="Paulina"/>
    <d v="1950-12-07T00:00:00"/>
    <s v="male miasto"/>
    <x v="7"/>
    <n v="95"/>
  </r>
  <r>
    <s v="Karwatowska"/>
    <s v="Marzena"/>
    <d v="1951-10-09T00:00:00"/>
    <s v="duze miasto"/>
    <x v="0"/>
    <n v="96"/>
  </r>
  <r>
    <s v="Sofijska"/>
    <s v="Ewa"/>
    <d v="1946-09-11T00:00:00"/>
    <s v="wies"/>
    <x v="1"/>
    <n v="97"/>
  </r>
  <r>
    <s v="Sadecki"/>
    <s v="Andrzej"/>
    <d v="1961-12-04T00:00:00"/>
    <s v="wies"/>
    <x v="7"/>
    <n v="98"/>
  </r>
  <r>
    <s v="Podlaska"/>
    <s v="Paulina"/>
    <d v="1954-01-16T00:00:00"/>
    <s v="duze miasto"/>
    <x v="9"/>
    <n v="99"/>
  </r>
  <r>
    <s v="Augustowska"/>
    <s v="Zofia"/>
    <d v="1966-04-25T00:00:00"/>
    <s v="srednie miasto"/>
    <x v="11"/>
    <n v="100"/>
  </r>
  <r>
    <s v="Piotrkowska"/>
    <s v="Paulina"/>
    <d v="1947-01-29T00:00:00"/>
    <s v="male miasto"/>
    <x v="9"/>
    <n v="101"/>
  </r>
  <r>
    <s v="Sopocka"/>
    <s v="Karolina"/>
    <d v="1987-08-24T00:00:00"/>
    <s v="duze miasto"/>
    <x v="8"/>
    <n v="102"/>
  </r>
  <r>
    <s v="Piotrkowska"/>
    <s v="Katarzyna"/>
    <d v="1964-10-29T00:00:00"/>
    <s v="duze miasto"/>
    <x v="0"/>
    <n v="103"/>
  </r>
  <r>
    <s v="Krakowska"/>
    <s v="Beata"/>
    <d v="1971-11-02T00:00:00"/>
    <s v="duze miasto"/>
    <x v="3"/>
    <n v="104"/>
  </r>
  <r>
    <s v="Kalinowski"/>
    <s v="Szymon"/>
    <d v="1984-04-02T00:00:00"/>
    <s v="srednie miasto"/>
    <x v="11"/>
    <n v="105"/>
  </r>
  <r>
    <s v="Rzymski"/>
    <s v="Robert"/>
    <d v="1970-09-07T00:00:00"/>
    <s v="srednie miasto"/>
    <x v="1"/>
    <n v="106"/>
  </r>
  <r>
    <s v="Kowalik"/>
    <s v="Malgorzata"/>
    <d v="1945-04-02T00:00:00"/>
    <s v="male miasto"/>
    <x v="11"/>
    <n v="107"/>
  </r>
  <r>
    <s v="Bajda"/>
    <s v="Ewelina"/>
    <d v="1983-08-02T00:00:00"/>
    <s v="male miasto"/>
    <x v="8"/>
    <n v="108"/>
  </r>
  <r>
    <s v="Kapala"/>
    <s v="Adrian"/>
    <d v="1986-07-08T00:00:00"/>
    <s v="duze miasto"/>
    <x v="10"/>
    <n v="109"/>
  </r>
  <r>
    <s v="Szklarska"/>
    <s v="Marzena"/>
    <d v="1977-10-29T00:00:00"/>
    <s v="duze miasto"/>
    <x v="0"/>
    <n v="110"/>
  </r>
  <r>
    <s v="Jagos"/>
    <s v="Wioletta"/>
    <d v="1963-05-08T00:00:00"/>
    <s v="duze miasto"/>
    <x v="2"/>
    <n v="111"/>
  </r>
  <r>
    <s v="Szklarska"/>
    <s v="Dominika"/>
    <d v="1981-10-02T00:00:00"/>
    <s v="duze miasto"/>
    <x v="0"/>
    <n v="112"/>
  </r>
  <r>
    <s v="Bolkowski"/>
    <s v="Jan"/>
    <d v="1989-02-06T00:00:00"/>
    <s v="male miasto"/>
    <x v="4"/>
    <n v="113"/>
  </r>
  <r>
    <s v="Barszcz"/>
    <s v="Patryk"/>
    <d v="1980-05-20T00:00:00"/>
    <s v="duze miasto"/>
    <x v="2"/>
    <n v="114"/>
  </r>
  <r>
    <s v="Kot"/>
    <s v="Maciej"/>
    <d v="1948-08-27T00:00:00"/>
    <s v="male miasto"/>
    <x v="8"/>
    <n v="115"/>
  </r>
  <r>
    <s v="Junak"/>
    <s v="Roxana"/>
    <d v="1978-03-31T00:00:00"/>
    <s v="srednie miasto"/>
    <x v="5"/>
    <n v="116"/>
  </r>
  <r>
    <s v="Setniewska"/>
    <s v="Wiktoria"/>
    <d v="1957-11-30T00:00:00"/>
    <s v="male miasto"/>
    <x v="3"/>
    <n v="117"/>
  </r>
  <r>
    <s v="Hajkiewicz"/>
    <s v="Justyna"/>
    <d v="1949-10-12T00:00:00"/>
    <s v="duze miasto"/>
    <x v="0"/>
    <n v="118"/>
  </r>
  <r>
    <s v="Balcerzak"/>
    <s v="Ilona"/>
    <d v="1956-06-24T00:00:00"/>
    <s v="srednie miasto"/>
    <x v="6"/>
    <n v="119"/>
  </r>
  <r>
    <s v="Litewka"/>
    <s v="Maciej"/>
    <d v="1994-01-30T00:00:00"/>
    <s v="duze miasto"/>
    <x v="9"/>
    <n v="120"/>
  </r>
  <r>
    <s v="Kotala"/>
    <s v="Anna"/>
    <d v="1970-01-14T00:00:00"/>
    <s v="srednie miasto"/>
    <x v="9"/>
    <n v="121"/>
  </r>
  <r>
    <s v="Aronowska"/>
    <s v="Halina"/>
    <d v="1980-05-09T00:00:00"/>
    <s v="duze miasto"/>
    <x v="2"/>
    <n v="122"/>
  </r>
  <r>
    <s v="Katowicka"/>
    <s v="Dorota"/>
    <d v="1959-06-03T00:00:00"/>
    <s v="srednie miasto"/>
    <x v="6"/>
    <n v="123"/>
  </r>
  <r>
    <s v="Bitner"/>
    <s v="Halina"/>
    <d v="1955-12-13T00:00:00"/>
    <s v="duze miasto"/>
    <x v="7"/>
    <n v="124"/>
  </r>
  <r>
    <s v="Sochacki"/>
    <s v="Marcin"/>
    <d v="1967-01-03T00:00:00"/>
    <s v="duze miasto"/>
    <x v="9"/>
    <n v="125"/>
  </r>
  <r>
    <s v="Skrok"/>
    <s v="Arkadiusz"/>
    <d v="1973-04-19T00:00:00"/>
    <s v="srednie miasto"/>
    <x v="11"/>
    <n v="126"/>
  </r>
  <r>
    <s v="Bartosiak"/>
    <s v="Kazimiera"/>
    <d v="1948-05-15T00:00:00"/>
    <s v="duze miasto"/>
    <x v="2"/>
    <n v="127"/>
  </r>
  <r>
    <s v="Siedlecka"/>
    <s v="Rozalia"/>
    <d v="1947-08-03T00:00:00"/>
    <s v="duze miasto"/>
    <x v="8"/>
    <n v="128"/>
  </r>
  <r>
    <s v="Muchewicz"/>
    <s v="Piotr"/>
    <d v="1946-06-23T00:00:00"/>
    <s v="srednie miasto"/>
    <x v="6"/>
    <n v="129"/>
  </r>
  <r>
    <s v="Pilipczuk"/>
    <s v="Mariusz"/>
    <d v="1992-06-24T00:00:00"/>
    <s v="male miasto"/>
    <x v="6"/>
    <n v="130"/>
  </r>
  <r>
    <s v="Krakowska"/>
    <s v="Paulina"/>
    <d v="1992-10-08T00:00:00"/>
    <s v="srednie miasto"/>
    <x v="0"/>
    <n v="131"/>
  </r>
  <r>
    <s v="Bielun"/>
    <s v="Urszula"/>
    <d v="1983-07-01T00:00:00"/>
    <s v="wies"/>
    <x v="10"/>
    <n v="132"/>
  </r>
  <r>
    <s v="Grzeskowiak"/>
    <s v="Szymon"/>
    <d v="1960-06-23T00:00:00"/>
    <s v="wies"/>
    <x v="6"/>
    <n v="133"/>
  </r>
  <r>
    <s v="Karpek"/>
    <s v="Paulina"/>
    <d v="1976-06-27T00:00:00"/>
    <s v="srednie miasto"/>
    <x v="6"/>
    <n v="134"/>
  </r>
  <r>
    <s v="Kowal"/>
    <s v="Ewa"/>
    <d v="1965-01-20T00:00:00"/>
    <s v="duze miasto"/>
    <x v="9"/>
    <n v="135"/>
  </r>
  <r>
    <s v="Augustyn"/>
    <s v="Zofia"/>
    <d v="1968-11-16T00:00:00"/>
    <s v="srednie miasto"/>
    <x v="3"/>
    <n v="136"/>
  </r>
  <r>
    <s v="Filipczuk"/>
    <s v="Paulina"/>
    <d v="1967-12-18T00:00:00"/>
    <s v="duze miasto"/>
    <x v="7"/>
    <n v="137"/>
  </r>
  <r>
    <s v="Miklas"/>
    <s v="Maciej"/>
    <d v="1991-06-09T00:00:00"/>
    <s v="wies"/>
    <x v="6"/>
    <n v="138"/>
  </r>
  <r>
    <s v="Vasina"/>
    <s v="Adam"/>
    <d v="1995-04-06T00:00:00"/>
    <s v="wies"/>
    <x v="11"/>
    <n v="139"/>
  </r>
  <r>
    <s v="Bydgoska"/>
    <s v="Inga"/>
    <d v="1955-10-12T00:00:00"/>
    <s v="duze miasto"/>
    <x v="0"/>
    <n v="140"/>
  </r>
  <r>
    <s v="Banasiewicz"/>
    <s v="Beata"/>
    <d v="1969-08-01T00:00:00"/>
    <s v="duze miasto"/>
    <x v="8"/>
    <n v="141"/>
  </r>
  <r>
    <s v="Fryziel"/>
    <s v="Daria"/>
    <d v="1958-12-29T00:00:00"/>
    <s v="duze miasto"/>
    <x v="7"/>
    <n v="142"/>
  </r>
  <r>
    <s v="Bedka"/>
    <s v="Justyna"/>
    <d v="1985-07-04T00:00:00"/>
    <s v="wies"/>
    <x v="10"/>
    <n v="143"/>
  </r>
  <r>
    <s v="Banaszczyk"/>
    <s v="Barbara"/>
    <d v="1977-12-13T00:00:00"/>
    <s v="duze miasto"/>
    <x v="7"/>
    <n v="144"/>
  </r>
  <r>
    <s v="Ptaszek"/>
    <s v="Janusz"/>
    <d v="1993-11-14T00:00:00"/>
    <s v="duze miasto"/>
    <x v="3"/>
    <n v="145"/>
  </r>
  <r>
    <s v="Rey"/>
    <s v="Tadeusz"/>
    <d v="1968-05-14T00:00:00"/>
    <s v="srednie miasto"/>
    <x v="2"/>
    <n v="146"/>
  </r>
  <r>
    <s v="Zeller"/>
    <s v="Teresa"/>
    <d v="1951-06-08T00:00:00"/>
    <s v="wies"/>
    <x v="6"/>
    <n v="147"/>
  </r>
  <r>
    <s v="Majcherczyk"/>
    <s v="Maciej"/>
    <d v="1975-08-05T00:00:00"/>
    <s v="wies"/>
    <x v="8"/>
    <n v="148"/>
  </r>
  <r>
    <s v="Grabicka"/>
    <s v="Grazyna"/>
    <d v="1971-05-18T00:00:00"/>
    <s v="duze miasto"/>
    <x v="2"/>
    <n v="149"/>
  </r>
  <r>
    <s v="Praska"/>
    <s v="Anna"/>
    <d v="1950-01-22T00:00:00"/>
    <s v="srednie miasto"/>
    <x v="9"/>
    <n v="150"/>
  </r>
  <r>
    <s v="Jakus"/>
    <s v="Piotr"/>
    <d v="1992-04-02T00:00:00"/>
    <s v="duze miasto"/>
    <x v="11"/>
    <n v="151"/>
  </r>
  <r>
    <s v="Grdulska"/>
    <s v="Danuta"/>
    <d v="1969-07-20T00:00:00"/>
    <s v="duze miasto"/>
    <x v="10"/>
    <n v="152"/>
  </r>
  <r>
    <s v="Badowski"/>
    <s v="Karol"/>
    <d v="1959-08-07T00:00:00"/>
    <s v="srednie miasto"/>
    <x v="8"/>
    <n v="153"/>
  </r>
  <r>
    <s v="Majkut"/>
    <s v="Maciej"/>
    <d v="1972-07-10T00:00:00"/>
    <s v="srednie miasto"/>
    <x v="10"/>
    <n v="154"/>
  </r>
  <r>
    <s v="Cabaj"/>
    <s v="Martyna"/>
    <d v="1979-02-11T00:00:00"/>
    <s v="wies"/>
    <x v="4"/>
    <n v="155"/>
  </r>
  <r>
    <s v="Malecka"/>
    <s v="Stefania"/>
    <d v="1991-08-04T00:00:00"/>
    <s v="duze miasto"/>
    <x v="8"/>
    <n v="156"/>
  </r>
  <r>
    <s v="Gagatek"/>
    <s v="Stefan"/>
    <d v="1967-03-08T00:00:00"/>
    <s v="duze miasto"/>
    <x v="5"/>
    <n v="157"/>
  </r>
  <r>
    <s v="Otwocka"/>
    <s v="Ewelia"/>
    <d v="1976-08-20T00:00:00"/>
    <s v="srednie miasto"/>
    <x v="8"/>
    <n v="158"/>
  </r>
  <r>
    <s v="Pleszewska"/>
    <s v="Krystyna"/>
    <d v="1972-02-06T00:00:00"/>
    <s v="male miasto"/>
    <x v="4"/>
    <n v="159"/>
  </r>
  <r>
    <s v="Sabatowicz"/>
    <s v="Szymon"/>
    <d v="1985-02-17T00:00:00"/>
    <s v="duze miasto"/>
    <x v="4"/>
    <n v="160"/>
  </r>
  <r>
    <s v="Magiera"/>
    <s v="Robert"/>
    <d v="1971-06-28T00:00:00"/>
    <s v="male miasto"/>
    <x v="6"/>
    <n v="161"/>
  </r>
  <r>
    <s v="Klekotko"/>
    <s v="Justyna"/>
    <d v="1963-09-18T00:00:00"/>
    <s v="srednie miasto"/>
    <x v="1"/>
    <n v="162"/>
  </r>
  <r>
    <s v="Nowak"/>
    <s v="Damian"/>
    <d v="1990-03-20T00:00:00"/>
    <s v="male miasto"/>
    <x v="5"/>
    <n v="163"/>
  </r>
  <r>
    <s v="Doszko"/>
    <s v="Katarzyna"/>
    <d v="1954-02-04T00:00:00"/>
    <s v="wies"/>
    <x v="4"/>
    <n v="164"/>
  </r>
  <r>
    <s v="Rozwalka"/>
    <s v="Wojciech"/>
    <d v="1974-10-22T00:00:00"/>
    <s v="wies"/>
    <x v="0"/>
    <n v="165"/>
  </r>
  <r>
    <s v="Aleksandrowicz"/>
    <s v="Krystyna"/>
    <d v="1959-10-15T00:00:00"/>
    <s v="srednie miasto"/>
    <x v="0"/>
    <n v="166"/>
  </r>
  <r>
    <s v="Kilarski"/>
    <s v="Ewa"/>
    <d v="1957-08-19T00:00:00"/>
    <s v="male miasto"/>
    <x v="8"/>
    <n v="167"/>
  </r>
  <r>
    <s v="Rykowski"/>
    <s v="Roman"/>
    <d v="1985-09-02T00:00:00"/>
    <s v="male miasto"/>
    <x v="1"/>
    <n v="168"/>
  </r>
  <r>
    <s v="Skierniewicka"/>
    <s v="Malwina"/>
    <d v="1947-01-12T00:00:00"/>
    <s v="duze miasto"/>
    <x v="9"/>
    <n v="169"/>
  </r>
  <r>
    <s v="Wronka"/>
    <s v="Cezary"/>
    <d v="1988-06-11T00:00:00"/>
    <s v="srednie miasto"/>
    <x v="6"/>
    <n v="170"/>
  </r>
  <r>
    <s v="Wroniszewski"/>
    <s v="Mieszko"/>
    <d v="1987-10-31T00:00:00"/>
    <s v="duze miasto"/>
    <x v="0"/>
    <n v="171"/>
  </r>
  <r>
    <s v="Andrzejewska"/>
    <s v="Barbara"/>
    <d v="1986-12-03T00:00:00"/>
    <s v="srednie miasto"/>
    <x v="7"/>
    <n v="172"/>
  </r>
  <r>
    <s v="Klimaszewski"/>
    <s v="Krzysztof"/>
    <d v="1951-01-20T00:00:00"/>
    <s v="male miasto"/>
    <x v="9"/>
    <n v="173"/>
  </r>
  <r>
    <s v="Pachnowski"/>
    <s v="Jacek"/>
    <d v="1945-10-24T00:00:00"/>
    <s v="srednie miasto"/>
    <x v="0"/>
    <n v="174"/>
  </r>
  <r>
    <s v="Klimaszewska"/>
    <s v="Ewa"/>
    <d v="1968-07-17T00:00:00"/>
    <s v="duze miasto"/>
    <x v="10"/>
    <n v="175"/>
  </r>
  <r>
    <s v="Malik"/>
    <s v="Jakub"/>
    <d v="1947-06-24T00:00:00"/>
    <s v="srednie miasto"/>
    <x v="6"/>
    <n v="176"/>
  </r>
  <r>
    <s v="Grzeskowiak"/>
    <s v="Szymon"/>
    <d v="1963-05-26T00:00:00"/>
    <s v="wies"/>
    <x v="2"/>
    <n v="177"/>
  </r>
  <r>
    <s v="Lwowska"/>
    <s v="Paulina"/>
    <d v="1946-12-30T00:00:00"/>
    <s v="duze miasto"/>
    <x v="7"/>
    <n v="178"/>
  </r>
  <r>
    <s v="Adamowicz"/>
    <s v="Jolanta"/>
    <d v="1966-12-30T00:00:00"/>
    <s v="duze miasto"/>
    <x v="7"/>
    <n v="179"/>
  </r>
  <r>
    <s v="Pastuszka"/>
    <s v="Marzena"/>
    <d v="1994-07-08T00:00:00"/>
    <s v="srednie miasto"/>
    <x v="10"/>
    <n v="180"/>
  </r>
  <r>
    <s v="Kalitowski"/>
    <s v="Marcin"/>
    <d v="1950-04-01T00:00:00"/>
    <s v="srednie miasto"/>
    <x v="11"/>
    <n v="181"/>
  </r>
  <r>
    <s v="Miller"/>
    <s v="Zbigniew"/>
    <d v="1993-04-10T00:00:00"/>
    <s v="duze miasto"/>
    <x v="11"/>
    <n v="182"/>
  </r>
  <r>
    <s v="Bartkiewicz"/>
    <s v="Elwira"/>
    <d v="1947-06-13T00:00:00"/>
    <s v="duze miasto"/>
    <x v="6"/>
    <n v="183"/>
  </r>
  <r>
    <s v="Dmochowska"/>
    <s v="Katarzyna"/>
    <d v="1991-11-08T00:00:00"/>
    <s v="male miasto"/>
    <x v="3"/>
    <n v="184"/>
  </r>
  <r>
    <s v="Szostek"/>
    <s v="Krzysztof"/>
    <d v="1966-11-15T00:00:00"/>
    <s v="srednie miasto"/>
    <x v="3"/>
    <n v="185"/>
  </r>
  <r>
    <s v="Paprocki"/>
    <s v="Konrad"/>
    <d v="1952-11-09T00:00:00"/>
    <s v="male miasto"/>
    <x v="3"/>
    <n v="186"/>
  </r>
  <r>
    <s v="Holmes"/>
    <s v="Barbara"/>
    <d v="1972-11-23T00:00:00"/>
    <s v="duze miasto"/>
    <x v="3"/>
    <n v="187"/>
  </r>
  <r>
    <s v="Kozar"/>
    <s v="Robert"/>
    <d v="1959-12-13T00:00:00"/>
    <s v="duze miasto"/>
    <x v="7"/>
    <n v="188"/>
  </r>
  <r>
    <s v="Bednarska"/>
    <s v="Karolina"/>
    <d v="1995-06-15T00:00:00"/>
    <s v="duze miasto"/>
    <x v="6"/>
    <n v="189"/>
  </r>
  <r>
    <s v="Piotrkowska"/>
    <s v="Zuzanna"/>
    <d v="1953-12-19T00:00:00"/>
    <s v="duze miasto"/>
    <x v="7"/>
    <n v="190"/>
  </r>
  <r>
    <s v="Antos"/>
    <s v="Karolina"/>
    <d v="1976-05-13T00:00:00"/>
    <s v="srednie miasto"/>
    <x v="2"/>
    <n v="191"/>
  </r>
  <r>
    <s v="Kumur"/>
    <s v="Genowefa"/>
    <d v="1977-04-11T00:00:00"/>
    <s v="duze miasto"/>
    <x v="11"/>
    <n v="192"/>
  </r>
  <r>
    <s v="Wilczko"/>
    <s v="Adrian"/>
    <d v="1982-01-03T00:00:00"/>
    <s v="wies"/>
    <x v="9"/>
    <n v="193"/>
  </r>
  <r>
    <s v="Bugajski"/>
    <s v="Jan"/>
    <d v="1963-04-10T00:00:00"/>
    <s v="duze miasto"/>
    <x v="11"/>
    <n v="194"/>
  </r>
  <r>
    <s v="Florczuk"/>
    <s v="Katarzyna"/>
    <d v="1967-12-02T00:00:00"/>
    <s v="duze miasto"/>
    <x v="7"/>
    <n v="195"/>
  </r>
  <r>
    <s v="Bielec"/>
    <s v="Maria"/>
    <d v="1948-03-09T00:00:00"/>
    <s v="male miasto"/>
    <x v="5"/>
    <n v="196"/>
  </r>
  <r>
    <s v="Busz"/>
    <s v="Jan"/>
    <d v="1958-01-14T00:00:00"/>
    <s v="wies"/>
    <x v="9"/>
    <n v="197"/>
  </r>
  <r>
    <s v="Balicka"/>
    <s v="Anna"/>
    <d v="1981-10-20T00:00:00"/>
    <s v="duze miasto"/>
    <x v="0"/>
    <n v="198"/>
  </r>
  <r>
    <s v="Badowska"/>
    <s v="Danuta"/>
    <d v="1953-10-27T00:00:00"/>
    <s v="srednie miasto"/>
    <x v="0"/>
    <n v="199"/>
  </r>
  <r>
    <s v="Labryga"/>
    <s v="Piotr"/>
    <d v="1961-08-21T00:00:00"/>
    <s v="duze miasto"/>
    <x v="8"/>
    <n v="200"/>
  </r>
  <r>
    <s v="Barcik"/>
    <s v="Barbara"/>
    <d v="1969-05-09T00:00:00"/>
    <s v="duze miasto"/>
    <x v="2"/>
    <n v="201"/>
  </r>
  <r>
    <s v="Ksel"/>
    <s v="Krzysztof"/>
    <d v="1955-04-02T00:00:00"/>
    <s v="male miasto"/>
    <x v="11"/>
    <n v="202"/>
  </r>
  <r>
    <s v="Skrzypek"/>
    <s v="Bartosz"/>
    <d v="1952-05-27T00:00:00"/>
    <s v="duze miasto"/>
    <x v="2"/>
    <n v="203"/>
  </r>
  <r>
    <s v="Konstantinova"/>
    <s v="Alexandra"/>
    <d v="1949-09-06T00:00:00"/>
    <s v="duze miasto"/>
    <x v="1"/>
    <n v="204"/>
  </r>
  <r>
    <s v="Kowalska"/>
    <s v="Karolina"/>
    <d v="1971-08-01T00:00:00"/>
    <s v="srednie miasto"/>
    <x v="8"/>
    <n v="205"/>
  </r>
  <r>
    <s v="Wojtkowiak"/>
    <s v="Marcin"/>
    <d v="1984-04-26T00:00:00"/>
    <s v="male miasto"/>
    <x v="11"/>
    <n v="206"/>
  </r>
  <r>
    <s v="Jurecka"/>
    <s v="Kinga"/>
    <d v="1967-05-31T00:00:00"/>
    <s v="duze miasto"/>
    <x v="2"/>
    <n v="207"/>
  </r>
  <r>
    <s v="Popowski"/>
    <s v="Adam"/>
    <d v="1987-02-10T00:00:00"/>
    <s v="srednie miasto"/>
    <x v="4"/>
    <n v="208"/>
  </r>
  <r>
    <s v="Pietrzyk"/>
    <s v="Anita"/>
    <d v="1993-08-20T00:00:00"/>
    <s v="duze miasto"/>
    <x v="8"/>
    <n v="209"/>
  </r>
  <r>
    <s v="Sieduszewski"/>
    <s v="Piotr"/>
    <d v="1974-02-19T00:00:00"/>
    <s v="wies"/>
    <x v="4"/>
    <n v="210"/>
  </r>
  <r>
    <s v="Pryk"/>
    <s v="Tymon"/>
    <d v="1949-06-04T00:00:00"/>
    <s v="wies"/>
    <x v="6"/>
    <n v="211"/>
  </r>
  <r>
    <s v="Maj"/>
    <s v="Maciej"/>
    <d v="1974-01-30T00:00:00"/>
    <s v="duze miasto"/>
    <x v="9"/>
    <n v="212"/>
  </r>
  <r>
    <s v="Marciszewski"/>
    <s v="Roman"/>
    <d v="1984-12-23T00:00:00"/>
    <s v="srednie miasto"/>
    <x v="7"/>
    <n v="213"/>
  </r>
  <r>
    <s v="Adamski"/>
    <s v="Jerzy"/>
    <d v="1995-07-13T00:00:00"/>
    <s v="duze miasto"/>
    <x v="10"/>
    <n v="214"/>
  </r>
  <r>
    <s v="Albert"/>
    <s v="Jerzy"/>
    <d v="1960-07-04T00:00:00"/>
    <s v="srednie miasto"/>
    <x v="10"/>
    <n v="215"/>
  </r>
  <r>
    <s v="Polkowicka"/>
    <s v="Dominika"/>
    <d v="1944-07-14T00:00:00"/>
    <s v="duze miasto"/>
    <x v="10"/>
    <n v="216"/>
  </r>
  <r>
    <s v="Cieplik"/>
    <s v="Marta"/>
    <d v="1987-11-22T00:00:00"/>
    <s v="duze miasto"/>
    <x v="3"/>
    <n v="217"/>
  </r>
  <r>
    <s v="Parczewska"/>
    <s v="Malwina"/>
    <d v="1971-03-04T00:00:00"/>
    <s v="wies"/>
    <x v="5"/>
    <n v="218"/>
  </r>
  <r>
    <s v="Pisarska"/>
    <s v="Alicja"/>
    <d v="1990-06-16T00:00:00"/>
    <s v="duze miasto"/>
    <x v="6"/>
    <n v="219"/>
  </r>
  <r>
    <s v="Basiak"/>
    <s v="Anna"/>
    <d v="1983-12-21T00:00:00"/>
    <s v="wies"/>
    <x v="7"/>
    <n v="220"/>
  </r>
  <r>
    <s v="Janicka"/>
    <s v="Paulina"/>
    <d v="1969-02-09T00:00:00"/>
    <s v="duze miasto"/>
    <x v="4"/>
    <n v="221"/>
  </r>
  <r>
    <s v="Engel"/>
    <s v="Anna"/>
    <d v="1975-09-02T00:00:00"/>
    <s v="duze miasto"/>
    <x v="1"/>
    <n v="222"/>
  </r>
  <r>
    <s v="Plichta"/>
    <s v="Robert"/>
    <d v="1970-03-17T00:00:00"/>
    <s v="duze miasto"/>
    <x v="5"/>
    <n v="223"/>
  </r>
  <r>
    <s v="Barszczewska"/>
    <s v="Cecylia"/>
    <d v="1975-10-16T00:00:00"/>
    <s v="srednie miasto"/>
    <x v="0"/>
    <n v="224"/>
  </r>
  <r>
    <s v="Szklarska"/>
    <s v="Tekla"/>
    <d v="1989-09-14T00:00:00"/>
    <s v="wies"/>
    <x v="1"/>
    <n v="225"/>
  </r>
  <r>
    <s v="Aleksandrowicz"/>
    <s v="Barbara"/>
    <d v="1972-03-22T00:00:00"/>
    <s v="wies"/>
    <x v="5"/>
    <n v="226"/>
  </r>
  <r>
    <s v="Kuc"/>
    <s v="Danuta"/>
    <d v="1958-11-19T00:00:00"/>
    <s v="srednie miasto"/>
    <x v="3"/>
    <n v="227"/>
  </r>
  <r>
    <s v="Kogut"/>
    <s v="Magdalena"/>
    <d v="1989-10-09T00:00:00"/>
    <s v="srednie miasto"/>
    <x v="0"/>
    <n v="228"/>
  </r>
  <r>
    <s v="Sopocka"/>
    <s v="Olivia"/>
    <d v="1966-07-15T00:00:00"/>
    <s v="srednie miasto"/>
    <x v="10"/>
    <n v="229"/>
  </r>
  <r>
    <s v="Berezowska"/>
    <s v="Anita"/>
    <d v="1984-03-06T00:00:00"/>
    <s v="wies"/>
    <x v="5"/>
    <n v="230"/>
  </r>
  <r>
    <s v="Walczak"/>
    <s v="Maciej"/>
    <d v="1954-05-09T00:00:00"/>
    <s v="duze miasto"/>
    <x v="2"/>
    <n v="231"/>
  </r>
  <r>
    <s v="Guzik"/>
    <s v="Anna"/>
    <d v="1988-01-05T00:00:00"/>
    <s v="duze miasto"/>
    <x v="9"/>
    <n v="232"/>
  </r>
  <r>
    <s v="Modzelewski"/>
    <s v="Mateusz"/>
    <d v="1949-01-06T00:00:00"/>
    <s v="duze miasto"/>
    <x v="9"/>
    <n v="233"/>
  </r>
  <r>
    <s v="Dudek"/>
    <s v="Marzena"/>
    <d v="1954-11-29T00:00:00"/>
    <s v="duze miasto"/>
    <x v="3"/>
    <n v="234"/>
  </r>
  <r>
    <s v="Banach"/>
    <s v="Leon"/>
    <d v="1984-06-30T00:00:00"/>
    <s v="wies"/>
    <x v="6"/>
    <n v="235"/>
  </r>
  <r>
    <s v="Klasz"/>
    <s v="Marcin"/>
    <d v="1961-06-03T00:00:00"/>
    <s v="srednie miasto"/>
    <x v="6"/>
    <n v="236"/>
  </r>
  <r>
    <s v="Banasik"/>
    <s v="Irena"/>
    <d v="1946-09-03T00:00:00"/>
    <s v="duze miasto"/>
    <x v="1"/>
    <n v="237"/>
  </r>
  <r>
    <s v="Kisiel"/>
    <s v="Dawid"/>
    <d v="1967-09-17T00:00:00"/>
    <s v="srednie miasto"/>
    <x v="1"/>
    <n v="238"/>
  </r>
  <r>
    <s v="Geldner"/>
    <s v="Magdalena"/>
    <d v="1950-11-22T00:00:00"/>
    <s v="srednie miasto"/>
    <x v="3"/>
    <n v="239"/>
  </r>
  <r>
    <s v="Rygielski"/>
    <s v="Maciej"/>
    <d v="1956-09-29T00:00:00"/>
    <s v="duze miasto"/>
    <x v="1"/>
    <n v="240"/>
  </r>
  <r>
    <s v="Ossowski"/>
    <s v="Karol"/>
    <d v="1964-01-25T00:00:00"/>
    <s v="srednie miasto"/>
    <x v="9"/>
    <n v="241"/>
  </r>
  <r>
    <s v="Kisielewska"/>
    <s v="Greta"/>
    <d v="1946-10-09T00:00:00"/>
    <s v="srednie miasto"/>
    <x v="0"/>
    <n v="242"/>
  </r>
  <r>
    <s v="Nyski"/>
    <s v="Piotr"/>
    <d v="1983-06-14T00:00:00"/>
    <s v="duze miasto"/>
    <x v="6"/>
    <n v="243"/>
  </r>
  <r>
    <s v="Kopec"/>
    <s v="Anna"/>
    <d v="1956-07-15T00:00:00"/>
    <s v="duze miasto"/>
    <x v="10"/>
    <n v="244"/>
  </r>
  <r>
    <s v="Sznyrowska"/>
    <s v="Wiktoria"/>
    <d v="1989-03-13T00:00:00"/>
    <s v="duze miasto"/>
    <x v="5"/>
    <n v="245"/>
  </r>
  <r>
    <s v="Tichoniuk"/>
    <s v="Marcin"/>
    <d v="1949-12-01T00:00:00"/>
    <s v="duze miasto"/>
    <x v="7"/>
    <n v="246"/>
  </r>
  <r>
    <s v="Dul"/>
    <s v="Dominika"/>
    <d v="1966-04-28T00:00:00"/>
    <s v="srednie miasto"/>
    <x v="11"/>
    <n v="247"/>
  </r>
  <r>
    <s v="Grzegorczyk"/>
    <s v="Marta"/>
    <d v="1974-09-27T00:00:00"/>
    <s v="srednie miasto"/>
    <x v="1"/>
    <n v="248"/>
  </r>
  <r>
    <s v="Grzywacz"/>
    <s v="Wanda"/>
    <d v="1950-05-15T00:00:00"/>
    <s v="duze miasto"/>
    <x v="2"/>
    <n v="249"/>
  </r>
  <r>
    <s v="Banach"/>
    <s v="Dorota"/>
    <d v="1994-03-07T00:00:00"/>
    <s v="duze miasto"/>
    <x v="5"/>
    <n v="250"/>
  </r>
  <r>
    <s v="Legnicka"/>
    <s v="Karina"/>
    <d v="1958-11-24T00:00:00"/>
    <s v="duze miasto"/>
    <x v="3"/>
    <n v="251"/>
  </r>
  <r>
    <s v="Barabasz"/>
    <s v="Krystyna"/>
    <d v="1986-12-03T00:00:00"/>
    <s v="srednie miasto"/>
    <x v="7"/>
    <n v="252"/>
  </r>
  <r>
    <s v="Borowska"/>
    <s v="Ewelina"/>
    <d v="1993-09-23T00:00:00"/>
    <s v="srednie miasto"/>
    <x v="1"/>
    <n v="253"/>
  </r>
  <r>
    <s v="Cedro"/>
    <s v="Zofia"/>
    <d v="1952-07-08T00:00:00"/>
    <s v="wies"/>
    <x v="10"/>
    <n v="254"/>
  </r>
  <r>
    <s v="Sieradzki"/>
    <s v="Piotr"/>
    <d v="1975-01-30T00:00:00"/>
    <s v="duze miasto"/>
    <x v="9"/>
    <n v="255"/>
  </r>
  <r>
    <s v="Sar"/>
    <s v="Wojciech"/>
    <d v="1964-10-15T00:00:00"/>
    <s v="duze miasto"/>
    <x v="0"/>
    <n v="256"/>
  </r>
  <r>
    <s v="Kordaszewska"/>
    <s v="Magdalena"/>
    <d v="1948-04-26T00:00:00"/>
    <s v="srednie miasto"/>
    <x v="11"/>
    <n v="257"/>
  </r>
  <r>
    <s v="Bauer"/>
    <s v="Jagoda"/>
    <d v="1969-11-23T00:00:00"/>
    <s v="srednie miasto"/>
    <x v="3"/>
    <n v="258"/>
  </r>
  <r>
    <s v="Brychcy"/>
    <s v="Agata"/>
    <d v="1995-02-28T00:00:00"/>
    <s v="wies"/>
    <x v="4"/>
    <n v="259"/>
  </r>
  <r>
    <s v="Potocki"/>
    <s v="Grzegorz"/>
    <d v="1947-12-30T00:00:00"/>
    <s v="duze miasto"/>
    <x v="7"/>
    <n v="260"/>
  </r>
  <r>
    <s v="Kordaszewski"/>
    <s v="Piotr"/>
    <d v="1988-12-05T00:00:00"/>
    <s v="srednie miasto"/>
    <x v="7"/>
    <n v="261"/>
  </r>
  <r>
    <s v="Wiatrowski"/>
    <s v="Roman"/>
    <d v="1994-07-18T00:00:00"/>
    <s v="duze miasto"/>
    <x v="10"/>
    <n v="262"/>
  </r>
  <r>
    <s v="Albert"/>
    <s v="Joanna"/>
    <d v="1978-01-01T00:00:00"/>
    <s v="duze miasto"/>
    <x v="9"/>
    <n v="263"/>
  </r>
  <r>
    <s v="Balcer"/>
    <s v="Iwona"/>
    <d v="1989-06-30T00:00:00"/>
    <s v="wies"/>
    <x v="6"/>
    <n v="264"/>
  </r>
  <r>
    <s v="Augustowska"/>
    <s v="Irma"/>
    <d v="1974-03-24T00:00:00"/>
    <s v="srednie miasto"/>
    <x v="5"/>
    <n v="265"/>
  </r>
  <r>
    <s v="Jackowska"/>
    <s v="Maria"/>
    <d v="1980-02-08T00:00:00"/>
    <s v="duze miasto"/>
    <x v="4"/>
    <n v="266"/>
  </r>
  <r>
    <s v="Adamczyk"/>
    <s v="Julia"/>
    <d v="1950-06-23T00:00:00"/>
    <s v="srednie miasto"/>
    <x v="6"/>
    <n v="267"/>
  </r>
  <r>
    <s v="Sosnowiecka"/>
    <s v="Dorota"/>
    <d v="1994-03-13T00:00:00"/>
    <s v="duze miasto"/>
    <x v="5"/>
    <n v="268"/>
  </r>
  <r>
    <s v="Henrykowski"/>
    <s v="Kornel"/>
    <d v="1973-01-25T00:00:00"/>
    <s v="duze miasto"/>
    <x v="9"/>
    <n v="269"/>
  </r>
  <r>
    <s v="Szklarska"/>
    <s v="Karolina"/>
    <d v="1966-10-11T00:00:00"/>
    <s v="srednie miasto"/>
    <x v="0"/>
    <n v="270"/>
  </r>
  <r>
    <s v="Podczasiak"/>
    <s v="Jadwiga"/>
    <d v="1960-04-04T00:00:00"/>
    <s v="duze miasto"/>
    <x v="11"/>
    <n v="271"/>
  </r>
  <r>
    <s v="Skrzydlowski"/>
    <s v="Dawid"/>
    <d v="1947-02-09T00:00:00"/>
    <s v="wies"/>
    <x v="4"/>
    <n v="272"/>
  </r>
  <r>
    <s v="Genewski"/>
    <s v="Andrzej"/>
    <d v="1961-09-23T00:00:00"/>
    <s v="srednie miasto"/>
    <x v="1"/>
    <n v="273"/>
  </r>
  <r>
    <s v="Bienias"/>
    <s v="Alina"/>
    <d v="1956-09-24T00:00:00"/>
    <s v="duze miasto"/>
    <x v="1"/>
    <n v="274"/>
  </r>
  <r>
    <s v="Madrycki"/>
    <s v="Janusz"/>
    <d v="1968-03-03T00:00:00"/>
    <s v="duze miasto"/>
    <x v="5"/>
    <n v="275"/>
  </r>
  <r>
    <s v="Opolska"/>
    <s v="Paulina"/>
    <d v="1956-12-19T00:00:00"/>
    <s v="duze miasto"/>
    <x v="7"/>
    <n v="276"/>
  </r>
  <r>
    <s v="Barwicka"/>
    <s v="Zofia"/>
    <d v="1982-10-11T00:00:00"/>
    <s v="duze miasto"/>
    <x v="0"/>
    <n v="277"/>
  </r>
  <r>
    <s v="Leniak"/>
    <s v="Jacek"/>
    <d v="1958-02-05T00:00:00"/>
    <s v="wies"/>
    <x v="4"/>
    <n v="278"/>
  </r>
  <r>
    <s v="Kapanowska"/>
    <s v="Marta"/>
    <d v="1955-04-14T00:00:00"/>
    <s v="srednie miasto"/>
    <x v="11"/>
    <n v="279"/>
  </r>
  <r>
    <s v="Lech"/>
    <s v="Bartosz"/>
    <d v="1946-12-01T00:00:00"/>
    <s v="srednie miasto"/>
    <x v="7"/>
    <n v="280"/>
  </r>
  <r>
    <s v="Kaczocha"/>
    <s v="Maciej"/>
    <d v="1989-10-21T00:00:00"/>
    <s v="srednie miasto"/>
    <x v="0"/>
    <n v="281"/>
  </r>
  <r>
    <s v="Nowak"/>
    <s v="Anna"/>
    <d v="1970-09-28T00:00:00"/>
    <s v="duze miasto"/>
    <x v="1"/>
    <n v="282"/>
  </r>
  <r>
    <s v="Kozar"/>
    <s v="Artur"/>
    <d v="1987-09-08T00:00:00"/>
    <s v="duze miasto"/>
    <x v="1"/>
    <n v="283"/>
  </r>
  <r>
    <s v="Barszczewska"/>
    <s v="Halina"/>
    <d v="1986-05-24T00:00:00"/>
    <s v="srednie miasto"/>
    <x v="2"/>
    <n v="284"/>
  </r>
  <r>
    <s v="Bartoszek"/>
    <s v="Justyna"/>
    <d v="1952-06-08T00:00:00"/>
    <s v="srednie miasto"/>
    <x v="6"/>
    <n v="285"/>
  </r>
  <r>
    <s v="Gawlowska"/>
    <s v="Enrika"/>
    <d v="1960-01-19T00:00:00"/>
    <s v="srednie miasto"/>
    <x v="9"/>
    <n v="286"/>
  </r>
  <r>
    <s v="Balcerowska"/>
    <s v="Iwona"/>
    <d v="1977-03-03T00:00:00"/>
    <s v="duze miasto"/>
    <x v="5"/>
    <n v="287"/>
  </r>
  <r>
    <s v="Nagaj"/>
    <s v="Mieszko"/>
    <d v="1993-11-18T00:00:00"/>
    <s v="duze miasto"/>
    <x v="3"/>
    <n v="288"/>
  </r>
  <r>
    <s v="Jakubczyk"/>
    <s v="Agnieszka"/>
    <d v="1967-06-29T00:00:00"/>
    <s v="srednie miasto"/>
    <x v="6"/>
    <n v="289"/>
  </r>
  <r>
    <s v="Aleksander"/>
    <s v="Barbara"/>
    <d v="1949-04-22T00:00:00"/>
    <s v="srednie miasto"/>
    <x v="11"/>
    <n v="290"/>
  </r>
  <r>
    <s v="Wiek"/>
    <s v="Jadwiga"/>
    <d v="1972-07-26T00:00:00"/>
    <s v="male miasto"/>
    <x v="10"/>
    <n v="291"/>
  </r>
  <r>
    <s v="Suchocki"/>
    <s v="Andrzej"/>
    <d v="1983-02-21T00:00:00"/>
    <s v="male miasto"/>
    <x v="4"/>
    <n v="292"/>
  </r>
  <r>
    <s v="Augustowska"/>
    <s v="Justyna"/>
    <d v="1946-07-08T00:00:00"/>
    <s v="duze miasto"/>
    <x v="10"/>
    <n v="293"/>
  </r>
  <r>
    <s v="Michalik"/>
    <s v="Wojciech"/>
    <d v="1965-07-27T00:00:00"/>
    <s v="duze miasto"/>
    <x v="10"/>
    <n v="294"/>
  </r>
  <r>
    <s v="Bandera"/>
    <s v="Ewa"/>
    <d v="1973-07-26T00:00:00"/>
    <s v="duze miasto"/>
    <x v="10"/>
    <n v="295"/>
  </r>
  <r>
    <s v="Rybicki"/>
    <s v="Jakub"/>
    <d v="1947-04-11T00:00:00"/>
    <s v="male miasto"/>
    <x v="11"/>
    <n v="296"/>
  </r>
  <r>
    <s v="Lysiak"/>
    <s v="Helena"/>
    <d v="1986-07-19T00:00:00"/>
    <s v="srednie miasto"/>
    <x v="10"/>
    <n v="297"/>
  </r>
  <r>
    <s v="Balcerek"/>
    <s v="Zofia"/>
    <d v="1958-03-20T00:00:00"/>
    <s v="duze miasto"/>
    <x v="5"/>
    <n v="298"/>
  </r>
  <r>
    <s v="Blacharz"/>
    <s v="Krystyna"/>
    <d v="1981-02-05T00:00:00"/>
    <s v="male miasto"/>
    <x v="4"/>
    <n v="299"/>
  </r>
  <r>
    <s v="Augustowska"/>
    <s v="Anna"/>
    <d v="1984-07-12T00:00:00"/>
    <s v="srednie miasto"/>
    <x v="10"/>
    <n v="300"/>
  </r>
  <r>
    <s v="Kaczorowska"/>
    <s v="Agnieszka"/>
    <d v="1987-05-27T00:00:00"/>
    <s v="duze miasto"/>
    <x v="2"/>
    <n v="301"/>
  </r>
  <r>
    <s v="Kisielewski"/>
    <s v="Krystian"/>
    <d v="1964-01-08T00:00:00"/>
    <s v="duze miasto"/>
    <x v="9"/>
    <n v="302"/>
  </r>
  <r>
    <s v="Sikora"/>
    <s v="Norbert"/>
    <d v="1987-11-16T00:00:00"/>
    <s v="srednie miasto"/>
    <x v="3"/>
    <n v="303"/>
  </r>
  <r>
    <s v="Warszawska"/>
    <s v="Rita"/>
    <d v="1961-10-01T00:00:00"/>
    <s v="male miasto"/>
    <x v="0"/>
    <n v="304"/>
  </r>
  <r>
    <s v="Barszczewska"/>
    <s v="Anna"/>
    <d v="1961-08-15T00:00:00"/>
    <s v="duze miasto"/>
    <x v="8"/>
    <n v="305"/>
  </r>
  <r>
    <s v="Moskiewski"/>
    <s v="Sebastian"/>
    <d v="1980-10-16T00:00:00"/>
    <s v="srednie miasto"/>
    <x v="0"/>
    <n v="306"/>
  </r>
  <r>
    <s v="Pogrebniak"/>
    <s v="Jegor"/>
    <d v="1961-04-27T00:00:00"/>
    <s v="duze miasto"/>
    <x v="11"/>
    <n v="307"/>
  </r>
  <r>
    <s v="Gates"/>
    <s v="Anna"/>
    <d v="1977-09-26T00:00:00"/>
    <s v="wies"/>
    <x v="1"/>
    <n v="308"/>
  </r>
  <r>
    <s v="Zaprawa"/>
    <s v="Marcin"/>
    <d v="1944-06-21T00:00:00"/>
    <s v="srednie miasto"/>
    <x v="6"/>
    <n v="309"/>
  </r>
  <r>
    <s v="Mazgaj"/>
    <s v="Szymon"/>
    <d v="1989-11-24T00:00:00"/>
    <s v="duze miasto"/>
    <x v="3"/>
    <n v="310"/>
  </r>
  <r>
    <s v="Samborski"/>
    <s v="Bartosz"/>
    <d v="1964-05-31T00:00:00"/>
    <s v="srednie miasto"/>
    <x v="2"/>
    <n v="311"/>
  </r>
  <r>
    <s v="Barcikowska"/>
    <s v="Zyta"/>
    <d v="1977-12-30T00:00:00"/>
    <s v="duze miasto"/>
    <x v="7"/>
    <n v="312"/>
  </r>
  <r>
    <s v="Radziejowski"/>
    <s v="Krystian"/>
    <d v="1957-04-10T00:00:00"/>
    <s v="duze miasto"/>
    <x v="11"/>
    <n v="313"/>
  </r>
  <r>
    <s v="Baranek"/>
    <s v="Magdalena"/>
    <d v="1993-07-14T00:00:00"/>
    <s v="srednie miasto"/>
    <x v="10"/>
    <n v="314"/>
  </r>
  <r>
    <s v="Wosiak"/>
    <s v="Roman"/>
    <d v="1988-07-17T00:00:00"/>
    <s v="srednie miasto"/>
    <x v="10"/>
    <n v="315"/>
  </r>
  <r>
    <s v="Cichawa"/>
    <s v="Dorota"/>
    <d v="1945-07-22T00:00:00"/>
    <s v="duze miasto"/>
    <x v="10"/>
    <n v="316"/>
  </r>
  <r>
    <s v="Smutnicki"/>
    <s v="Tomasz"/>
    <d v="1977-04-02T00:00:00"/>
    <s v="duze miasto"/>
    <x v="11"/>
    <n v="317"/>
  </r>
  <r>
    <s v="Kotala"/>
    <s v="Dominik"/>
    <d v="1989-05-18T00:00:00"/>
    <s v="male miasto"/>
    <x v="2"/>
    <n v="318"/>
  </r>
  <r>
    <s v="Gralewicz"/>
    <s v="Ewelina"/>
    <d v="1978-05-26T00:00:00"/>
    <s v="male miasto"/>
    <x v="2"/>
    <n v="319"/>
  </r>
  <r>
    <s v="Matczak"/>
    <s v="Piotr"/>
    <d v="1983-04-12T00:00:00"/>
    <s v="duze miasto"/>
    <x v="11"/>
    <n v="320"/>
  </r>
  <r>
    <s v="Chorzowska"/>
    <s v="Jadwiga"/>
    <d v="1993-01-02T00:00:00"/>
    <s v="duze miasto"/>
    <x v="9"/>
    <n v="321"/>
  </r>
  <r>
    <s v="Grzybek"/>
    <s v="Karolina"/>
    <d v="1973-11-06T00:00:00"/>
    <s v="duze miasto"/>
    <x v="3"/>
    <n v="322"/>
  </r>
  <r>
    <s v="Bartel"/>
    <s v="Ewa"/>
    <d v="1958-06-03T00:00:00"/>
    <s v="duze miasto"/>
    <x v="6"/>
    <n v="323"/>
  </r>
  <r>
    <s v="Kosaty"/>
    <s v="Marek"/>
    <d v="1968-11-08T00:00:00"/>
    <s v="srednie miasto"/>
    <x v="3"/>
    <n v="324"/>
  </r>
  <r>
    <s v="Pietkiewicz"/>
    <s v="Piotr"/>
    <d v="1955-09-08T00:00:00"/>
    <s v="duze miasto"/>
    <x v="1"/>
    <n v="325"/>
  </r>
  <r>
    <s v="Alot"/>
    <s v="Zofia"/>
    <d v="1943-12-05T00:00:00"/>
    <s v="srednie miasto"/>
    <x v="7"/>
    <n v="326"/>
  </r>
  <r>
    <s v="Glazik"/>
    <s v="Paulina"/>
    <d v="1950-11-01T00:00:00"/>
    <s v="duze miasto"/>
    <x v="3"/>
    <n v="327"/>
  </r>
  <r>
    <s v="Parczewska"/>
    <s v="Kazimiera"/>
    <d v="1993-01-07T00:00:00"/>
    <s v="duze miasto"/>
    <x v="9"/>
    <n v="328"/>
  </r>
  <r>
    <s v="Barczuk"/>
    <s v="Maja"/>
    <d v="1984-02-08T00:00:00"/>
    <s v="duze miasto"/>
    <x v="4"/>
    <n v="329"/>
  </r>
  <r>
    <s v="Szkutnik"/>
    <s v="Bartosz"/>
    <d v="1961-11-19T00:00:00"/>
    <s v="wies"/>
    <x v="3"/>
    <n v="330"/>
  </r>
  <r>
    <s v="Podstawa"/>
    <s v="Jadwiga"/>
    <d v="1952-05-09T00:00:00"/>
    <s v="duze miasto"/>
    <x v="2"/>
    <n v="3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x v="0"/>
    <n v="1"/>
  </r>
  <r>
    <s v="Nesterowicz"/>
    <s v="Piotr"/>
    <d v="1984-09-27T00:00:00"/>
    <x v="1"/>
    <n v="0"/>
  </r>
  <r>
    <s v="Adamus"/>
    <s v="Magdalena"/>
    <d v="1967-10-08T00:00:00"/>
    <x v="2"/>
    <n v="1"/>
  </r>
  <r>
    <s v="Kowalski"/>
    <s v="Hubert"/>
    <d v="1986-05-12T00:00:00"/>
    <x v="1"/>
    <n v="0"/>
  </r>
  <r>
    <s v="Zamojska"/>
    <s v="Maria"/>
    <d v="1962-05-14T00:00:00"/>
    <x v="1"/>
    <n v="1"/>
  </r>
  <r>
    <s v="Matecki"/>
    <s v="Adam"/>
    <d v="1986-10-09T00:00:00"/>
    <x v="2"/>
    <n v="0"/>
  </r>
  <r>
    <s v="Potocki"/>
    <s v="Anna"/>
    <d v="1991-11-27T00:00:00"/>
    <x v="0"/>
    <n v="1"/>
  </r>
  <r>
    <s v="Przybylska"/>
    <s v="Laura"/>
    <d v="1983-02-25T00:00:00"/>
    <x v="0"/>
    <n v="1"/>
  </r>
  <r>
    <s v="Monachijski"/>
    <s v="Piotr"/>
    <d v="1991-11-26T00:00:00"/>
    <x v="0"/>
    <n v="0"/>
  </r>
  <r>
    <s v="Cender"/>
    <s v="Urszula"/>
    <d v="1985-03-05T00:00:00"/>
    <x v="0"/>
    <n v="1"/>
  </r>
  <r>
    <s v="Badowski"/>
    <s v="Bogdan"/>
    <d v="1947-06-29T00:00:00"/>
    <x v="0"/>
    <n v="0"/>
  </r>
  <r>
    <s v="Mazurowski"/>
    <s v="Janusz"/>
    <d v="1991-03-24T00:00:00"/>
    <x v="2"/>
    <n v="0"/>
  </r>
  <r>
    <s v="Lasota"/>
    <s v="Piotr"/>
    <d v="1971-06-09T00:00:00"/>
    <x v="2"/>
    <n v="0"/>
  </r>
  <r>
    <s v="Olczak"/>
    <s v="Damian"/>
    <d v="1946-12-08T00:00:00"/>
    <x v="2"/>
    <n v="0"/>
  </r>
  <r>
    <s v="Kolesinski"/>
    <s v="Konstanty"/>
    <d v="1971-03-27T00:00:00"/>
    <x v="2"/>
    <n v="0"/>
  </r>
  <r>
    <s v="Pakulski"/>
    <s v="Bogdan"/>
    <d v="1982-08-30T00:00:00"/>
    <x v="0"/>
    <n v="0"/>
  </r>
  <r>
    <s v="Banasiak"/>
    <s v="Paulina"/>
    <d v="1981-03-23T00:00:00"/>
    <x v="1"/>
    <n v="1"/>
  </r>
  <r>
    <s v="Bajdek"/>
    <s v="Katarzyna"/>
    <d v="1995-09-03T00:00:00"/>
    <x v="3"/>
    <n v="1"/>
  </r>
  <r>
    <s v="Chojnacka"/>
    <s v="Monika"/>
    <d v="1963-10-25T00:00:00"/>
    <x v="1"/>
    <n v="1"/>
  </r>
  <r>
    <s v="Karpowicz"/>
    <s v="Anna"/>
    <d v="1945-03-02T00:00:00"/>
    <x v="0"/>
    <n v="1"/>
  </r>
  <r>
    <s v="Korcela"/>
    <s v="Marta"/>
    <d v="1954-05-28T00:00:00"/>
    <x v="2"/>
    <n v="1"/>
  </r>
  <r>
    <s v="Deska"/>
    <s v="Ewa"/>
    <d v="1971-03-26T00:00:00"/>
    <x v="0"/>
    <n v="1"/>
  </r>
  <r>
    <s v="Krencik"/>
    <s v="Maciej"/>
    <d v="1968-09-29T00:00:00"/>
    <x v="3"/>
    <n v="0"/>
  </r>
  <r>
    <s v="Nawrot"/>
    <s v="Janusz"/>
    <d v="1991-06-22T00:00:00"/>
    <x v="1"/>
    <n v="0"/>
  </r>
  <r>
    <s v="Legnicka"/>
    <s v="Karolina"/>
    <d v="1984-10-14T00:00:00"/>
    <x v="2"/>
    <n v="1"/>
  </r>
  <r>
    <s v="Wenecka"/>
    <s v="Justyna"/>
    <d v="1953-01-09T00:00:00"/>
    <x v="2"/>
    <n v="1"/>
  </r>
  <r>
    <s v="Kaleta"/>
    <s v="Natalia"/>
    <d v="1964-10-18T00:00:00"/>
    <x v="3"/>
    <n v="1"/>
  </r>
  <r>
    <s v="Samarskyi"/>
    <s v="Kostiantyn"/>
    <d v="1954-05-07T00:00:00"/>
    <x v="2"/>
    <n v="0"/>
  </r>
  <r>
    <s v="Tkacz"/>
    <s v="Adam"/>
    <d v="1948-12-29T00:00:00"/>
    <x v="1"/>
    <n v="0"/>
  </r>
  <r>
    <s v="Borsuk"/>
    <s v="Magdalena"/>
    <d v="1968-07-26T00:00:00"/>
    <x v="2"/>
    <n v="1"/>
  </r>
  <r>
    <s v="Anusz"/>
    <s v="Anna"/>
    <d v="1950-04-14T00:00:00"/>
    <x v="2"/>
    <n v="1"/>
  </r>
  <r>
    <s v="Trzebnicka"/>
    <s v="Anna"/>
    <d v="1959-03-21T00:00:00"/>
    <x v="0"/>
    <n v="1"/>
  </r>
  <r>
    <s v="Bardzio"/>
    <s v="Celina"/>
    <d v="1944-01-04T00:00:00"/>
    <x v="3"/>
    <n v="1"/>
  </r>
  <r>
    <s v="Firlej"/>
    <s v="Anna"/>
    <d v="1983-11-20T00:00:00"/>
    <x v="0"/>
    <n v="1"/>
  </r>
  <r>
    <s v="Sadcza"/>
    <s v="Romuald"/>
    <d v="1959-03-24T00:00:00"/>
    <x v="2"/>
    <n v="0"/>
  </r>
  <r>
    <s v="Uniejewski"/>
    <s v="Tobiasz"/>
    <d v="1962-07-16T00:00:00"/>
    <x v="0"/>
    <n v="0"/>
  </r>
  <r>
    <s v="Iwaszko"/>
    <s v="Katarzyna"/>
    <d v="1962-10-25T00:00:00"/>
    <x v="2"/>
    <n v="1"/>
  </r>
  <r>
    <s v="Rutkowski"/>
    <s v="Sebastian"/>
    <d v="1979-01-01T00:00:00"/>
    <x v="0"/>
    <n v="0"/>
  </r>
  <r>
    <s v="Kubiak"/>
    <s v="Aleksandra"/>
    <d v="1975-04-26T00:00:00"/>
    <x v="1"/>
    <n v="1"/>
  </r>
  <r>
    <s v="Krakowska"/>
    <s v="Karolina"/>
    <d v="1967-09-29T00:00:00"/>
    <x v="2"/>
    <n v="1"/>
  </r>
  <r>
    <s v="Uss"/>
    <s v="Adrian"/>
    <d v="1973-02-08T00:00:00"/>
    <x v="3"/>
    <n v="0"/>
  </r>
  <r>
    <s v="Zasada"/>
    <s v="Joanna"/>
    <d v="1951-08-07T00:00:00"/>
    <x v="0"/>
    <n v="1"/>
  </r>
  <r>
    <s v="Majka"/>
    <s v="Danuta"/>
    <d v="1992-10-22T00:00:00"/>
    <x v="2"/>
    <n v="1"/>
  </r>
  <r>
    <s v="Kaczmar"/>
    <s v="Monika"/>
    <d v="1995-03-15T00:00:00"/>
    <x v="2"/>
    <n v="1"/>
  </r>
  <r>
    <s v="Adamczyk"/>
    <s v="Irena"/>
    <d v="1979-03-15T00:00:00"/>
    <x v="0"/>
    <n v="1"/>
  </r>
  <r>
    <s v="Jasiak"/>
    <s v="Monika"/>
    <d v="1948-03-20T00:00:00"/>
    <x v="3"/>
    <n v="1"/>
  </r>
  <r>
    <s v="Sosnowski"/>
    <s v="Arkadiusz"/>
    <d v="1971-03-10T00:00:00"/>
    <x v="2"/>
    <n v="0"/>
  </r>
  <r>
    <s v="Bydgoska"/>
    <s v="Karolina"/>
    <d v="1946-09-05T00:00:00"/>
    <x v="2"/>
    <n v="1"/>
  </r>
  <r>
    <s v="Szulgo"/>
    <s v="Marek"/>
    <d v="1948-08-12T00:00:00"/>
    <x v="0"/>
    <n v="0"/>
  </r>
  <r>
    <s v="Szczygielski"/>
    <s v="Tadeusz"/>
    <d v="1982-07-23T00:00:00"/>
    <x v="0"/>
    <n v="0"/>
  </r>
  <r>
    <s v="Magierowicz"/>
    <s v="Patryk"/>
    <d v="1962-04-22T00:00:00"/>
    <x v="3"/>
    <n v="0"/>
  </r>
  <r>
    <s v="Biegaj"/>
    <s v="Karolina"/>
    <d v="1948-10-24T00:00:00"/>
    <x v="0"/>
    <n v="1"/>
  </r>
  <r>
    <s v="Boss"/>
    <s v="Anna"/>
    <d v="1944-04-06T00:00:00"/>
    <x v="0"/>
    <n v="1"/>
  </r>
  <r>
    <s v="Rusu"/>
    <s v="Siergiu"/>
    <d v="1987-12-07T00:00:00"/>
    <x v="0"/>
    <n v="0"/>
  </r>
  <r>
    <s v="Lipski"/>
    <s v="Adam"/>
    <d v="1955-08-31T00:00:00"/>
    <x v="2"/>
    <n v="0"/>
  </r>
  <r>
    <s v="Milcarz"/>
    <s v="Maciej"/>
    <d v="1953-01-16T00:00:00"/>
    <x v="0"/>
    <n v="0"/>
  </r>
  <r>
    <s v="Czarnoleska"/>
    <s v="Patrycja"/>
    <d v="1995-04-29T00:00:00"/>
    <x v="2"/>
    <n v="1"/>
  </r>
  <r>
    <s v="Rejkowicz"/>
    <s v="Maria"/>
    <d v="1965-02-02T00:00:00"/>
    <x v="1"/>
    <n v="1"/>
  </r>
  <r>
    <s v="Rybicka"/>
    <s v="Martyna"/>
    <d v="1980-05-30T00:00:00"/>
    <x v="2"/>
    <n v="1"/>
  </r>
  <r>
    <s v="Gajak"/>
    <s v="Agnieszka"/>
    <d v="1974-12-07T00:00:00"/>
    <x v="2"/>
    <n v="1"/>
  </r>
  <r>
    <s v="Zakowicz"/>
    <s v="Kacper"/>
    <d v="1952-02-08T00:00:00"/>
    <x v="0"/>
    <n v="0"/>
  </r>
  <r>
    <s v="Chorzowska"/>
    <s v="Paulina"/>
    <d v="1975-03-22T00:00:00"/>
    <x v="2"/>
    <n v="1"/>
  </r>
  <r>
    <s v="Belgracka"/>
    <s v="Karolina"/>
    <d v="1956-09-21T00:00:00"/>
    <x v="0"/>
    <n v="1"/>
  </r>
  <r>
    <s v="Paszewski"/>
    <s v="Piotr"/>
    <d v="1960-10-17T00:00:00"/>
    <x v="3"/>
    <n v="0"/>
  </r>
  <r>
    <s v="Wielogorski"/>
    <s v="Karol"/>
    <d v="1947-07-28T00:00:00"/>
    <x v="2"/>
    <n v="0"/>
  </r>
  <r>
    <s v="Kowalczyk"/>
    <s v="Karol"/>
    <d v="1993-11-07T00:00:00"/>
    <x v="3"/>
    <n v="0"/>
  </r>
  <r>
    <s v="Marzec"/>
    <s v="Maciej"/>
    <d v="1970-09-10T00:00:00"/>
    <x v="3"/>
    <n v="0"/>
  </r>
  <r>
    <s v="Kaczan"/>
    <s v="Ewa"/>
    <d v="1955-06-02T00:00:00"/>
    <x v="3"/>
    <n v="1"/>
  </r>
  <r>
    <s v="Cichocka"/>
    <s v="Anna"/>
    <d v="1969-07-31T00:00:00"/>
    <x v="2"/>
    <n v="1"/>
  </r>
  <r>
    <s v="Wichrowa"/>
    <s v="Ewa"/>
    <d v="1952-02-24T00:00:00"/>
    <x v="1"/>
    <n v="1"/>
  </r>
  <r>
    <s v="Wpawska"/>
    <s v="Barbara"/>
    <d v="1951-07-02T00:00:00"/>
    <x v="2"/>
    <n v="1"/>
  </r>
  <r>
    <s v="Bugajska"/>
    <s v="Julia"/>
    <d v="1946-09-27T00:00:00"/>
    <x v="3"/>
    <n v="1"/>
  </r>
  <r>
    <s v="Adaszek"/>
    <s v="Barbara"/>
    <d v="1991-02-08T00:00:00"/>
    <x v="0"/>
    <n v="1"/>
  </r>
  <r>
    <s v="Mielecka"/>
    <s v="Joanna"/>
    <d v="1946-07-04T00:00:00"/>
    <x v="0"/>
    <n v="1"/>
  </r>
  <r>
    <s v="Radu"/>
    <s v="Daniel"/>
    <d v="1991-06-19T00:00:00"/>
    <x v="3"/>
    <n v="0"/>
  </r>
  <r>
    <s v="Chorzowska"/>
    <s v="Joanna"/>
    <d v="1968-08-20T00:00:00"/>
    <x v="0"/>
    <n v="1"/>
  </r>
  <r>
    <s v="Szymenderski"/>
    <s v="Olaf"/>
    <d v="1993-05-11T00:00:00"/>
    <x v="3"/>
    <n v="0"/>
  </r>
  <r>
    <s v="Adamczyk"/>
    <s v="Karolina"/>
    <d v="1953-06-12T00:00:00"/>
    <x v="1"/>
    <n v="1"/>
  </r>
  <r>
    <s v="Banasik"/>
    <s v="Zofia"/>
    <d v="1974-09-12T00:00:00"/>
    <x v="1"/>
    <n v="1"/>
  </r>
  <r>
    <s v="Kostrzewa"/>
    <s v="Piotr"/>
    <d v="1974-11-14T00:00:00"/>
    <x v="2"/>
    <n v="0"/>
  </r>
  <r>
    <s v="Gazda"/>
    <s v="Alicja"/>
    <d v="1956-06-12T00:00:00"/>
    <x v="2"/>
    <n v="1"/>
  </r>
  <r>
    <s v="Lubelska"/>
    <s v="Justyna"/>
    <d v="1952-09-19T00:00:00"/>
    <x v="2"/>
    <n v="1"/>
  </r>
  <r>
    <s v="Grabowska"/>
    <s v="Klaudia"/>
    <d v="1959-12-14T00:00:00"/>
    <x v="2"/>
    <n v="1"/>
  </r>
  <r>
    <s v="Talaska"/>
    <s v="Marcin"/>
    <d v="1946-03-12T00:00:00"/>
    <x v="2"/>
    <n v="0"/>
  </r>
  <r>
    <s v="Lewandowski"/>
    <s v="Bartosz"/>
    <d v="1995-07-13T00:00:00"/>
    <x v="0"/>
    <n v="0"/>
  </r>
  <r>
    <s v="Durka"/>
    <s v="Kornelia"/>
    <d v="1943-11-18T00:00:00"/>
    <x v="2"/>
    <n v="1"/>
  </r>
  <r>
    <s v="Krynicka"/>
    <s v="Justyna"/>
    <d v="1991-07-27T00:00:00"/>
    <x v="0"/>
    <n v="1"/>
  </r>
  <r>
    <s v="Baran"/>
    <s v="Leon"/>
    <d v="1951-09-21T00:00:00"/>
    <x v="0"/>
    <n v="0"/>
  </r>
  <r>
    <s v="Pleszewska"/>
    <s v="Patrycja"/>
    <d v="1988-03-17T00:00:00"/>
    <x v="2"/>
    <n v="1"/>
  </r>
  <r>
    <s v="Kika"/>
    <s v="Marcelina"/>
    <d v="1986-12-25T00:00:00"/>
    <x v="1"/>
    <n v="1"/>
  </r>
  <r>
    <s v="Legnicka"/>
    <s v="Maryla"/>
    <d v="1983-11-13T00:00:00"/>
    <x v="3"/>
    <n v="1"/>
  </r>
  <r>
    <s v="Kijowski"/>
    <s v="Wojciech"/>
    <d v="1993-07-27T00:00:00"/>
    <x v="3"/>
    <n v="0"/>
  </r>
  <r>
    <s v="Antczak"/>
    <s v="Klaudia"/>
    <d v="1991-02-12T00:00:00"/>
    <x v="2"/>
    <n v="1"/>
  </r>
  <r>
    <s v="Krakowska"/>
    <s v="Teresa"/>
    <d v="1959-12-13T00:00:00"/>
    <x v="2"/>
    <n v="1"/>
  </r>
  <r>
    <s v="Suwalska"/>
    <s v="Paulina"/>
    <d v="1950-12-07T00:00:00"/>
    <x v="3"/>
    <n v="1"/>
  </r>
  <r>
    <s v="Karwatowska"/>
    <s v="Marzena"/>
    <d v="1951-10-09T00:00:00"/>
    <x v="2"/>
    <n v="1"/>
  </r>
  <r>
    <s v="Sofijska"/>
    <s v="Ewa"/>
    <d v="1946-09-11T00:00:00"/>
    <x v="1"/>
    <n v="1"/>
  </r>
  <r>
    <s v="Sadecki"/>
    <s v="Andrzej"/>
    <d v="1961-12-04T00:00:00"/>
    <x v="1"/>
    <n v="0"/>
  </r>
  <r>
    <s v="Podlaska"/>
    <s v="Paulina"/>
    <d v="1954-01-16T00:00:00"/>
    <x v="2"/>
    <n v="1"/>
  </r>
  <r>
    <s v="Augustowska"/>
    <s v="Zofia"/>
    <d v="1966-04-25T00:00:00"/>
    <x v="0"/>
    <n v="1"/>
  </r>
  <r>
    <s v="Piotrkowska"/>
    <s v="Paulina"/>
    <d v="1947-01-29T00:00:00"/>
    <x v="3"/>
    <n v="1"/>
  </r>
  <r>
    <s v="Sopocka"/>
    <s v="Karolina"/>
    <d v="1987-08-24T00:00:00"/>
    <x v="2"/>
    <n v="1"/>
  </r>
  <r>
    <s v="Piotrkowska"/>
    <s v="Katarzyna"/>
    <d v="1964-10-29T00:00:00"/>
    <x v="2"/>
    <n v="1"/>
  </r>
  <r>
    <s v="Krakowska"/>
    <s v="Beata"/>
    <d v="1971-11-02T00:00:00"/>
    <x v="2"/>
    <n v="1"/>
  </r>
  <r>
    <s v="Kalinowski"/>
    <s v="Szymon"/>
    <d v="1984-04-02T00:00:00"/>
    <x v="0"/>
    <n v="0"/>
  </r>
  <r>
    <s v="Rzymski"/>
    <s v="Robert"/>
    <d v="1970-09-07T00:00:00"/>
    <x v="0"/>
    <n v="0"/>
  </r>
  <r>
    <s v="Kowalik"/>
    <s v="Malgorzata"/>
    <d v="1945-04-02T00:00:00"/>
    <x v="3"/>
    <n v="1"/>
  </r>
  <r>
    <s v="Bajda"/>
    <s v="Ewelina"/>
    <d v="1983-08-02T00:00:00"/>
    <x v="3"/>
    <n v="1"/>
  </r>
  <r>
    <s v="Kapala"/>
    <s v="Adrian"/>
    <d v="1986-07-08T00:00:00"/>
    <x v="2"/>
    <n v="0"/>
  </r>
  <r>
    <s v="Szklarska"/>
    <s v="Marzena"/>
    <d v="1977-10-29T00:00:00"/>
    <x v="2"/>
    <n v="1"/>
  </r>
  <r>
    <s v="Jagos"/>
    <s v="Wioletta"/>
    <d v="1963-05-08T00:00:00"/>
    <x v="2"/>
    <n v="1"/>
  </r>
  <r>
    <s v="Szklarska"/>
    <s v="Dominika"/>
    <d v="1981-10-02T00:00:00"/>
    <x v="2"/>
    <n v="1"/>
  </r>
  <r>
    <s v="Bolkowski"/>
    <s v="Jan"/>
    <d v="1989-02-06T00:00:00"/>
    <x v="3"/>
    <n v="0"/>
  </r>
  <r>
    <s v="Barszcz"/>
    <s v="Patryk"/>
    <d v="1980-05-20T00:00:00"/>
    <x v="2"/>
    <n v="0"/>
  </r>
  <r>
    <s v="Kot"/>
    <s v="Maciej"/>
    <d v="1948-08-27T00:00:00"/>
    <x v="3"/>
    <n v="0"/>
  </r>
  <r>
    <s v="Junak"/>
    <s v="Roxana"/>
    <d v="1978-03-31T00:00:00"/>
    <x v="0"/>
    <n v="1"/>
  </r>
  <r>
    <s v="Setniewska"/>
    <s v="Wiktoria"/>
    <d v="1957-11-30T00:00:00"/>
    <x v="3"/>
    <n v="1"/>
  </r>
  <r>
    <s v="Hajkiewicz"/>
    <s v="Justyna"/>
    <d v="1949-10-12T00:00:00"/>
    <x v="2"/>
    <n v="1"/>
  </r>
  <r>
    <s v="Balcerzak"/>
    <s v="Ilona"/>
    <d v="1956-06-24T00:00:00"/>
    <x v="0"/>
    <n v="1"/>
  </r>
  <r>
    <s v="Litewka"/>
    <s v="Maciej"/>
    <d v="1994-01-30T00:00:00"/>
    <x v="2"/>
    <n v="0"/>
  </r>
  <r>
    <s v="Kotala"/>
    <s v="Anna"/>
    <d v="1970-01-14T00:00:00"/>
    <x v="0"/>
    <n v="1"/>
  </r>
  <r>
    <s v="Aronowska"/>
    <s v="Halina"/>
    <d v="1980-05-09T00:00:00"/>
    <x v="2"/>
    <n v="1"/>
  </r>
  <r>
    <s v="Katowicka"/>
    <s v="Dorota"/>
    <d v="1959-06-03T00:00:00"/>
    <x v="0"/>
    <n v="1"/>
  </r>
  <r>
    <s v="Bitner"/>
    <s v="Halina"/>
    <d v="1955-12-13T00:00:00"/>
    <x v="2"/>
    <n v="1"/>
  </r>
  <r>
    <s v="Sochacki"/>
    <s v="Marcin"/>
    <d v="1967-01-03T00:00:00"/>
    <x v="2"/>
    <n v="0"/>
  </r>
  <r>
    <s v="Skrok"/>
    <s v="Arkadiusz"/>
    <d v="1973-04-19T00:00:00"/>
    <x v="0"/>
    <n v="0"/>
  </r>
  <r>
    <s v="Bartosiak"/>
    <s v="Kazimiera"/>
    <d v="1948-05-15T00:00:00"/>
    <x v="2"/>
    <n v="1"/>
  </r>
  <r>
    <s v="Siedlecka"/>
    <s v="Rozalia"/>
    <d v="1947-08-03T00:00:00"/>
    <x v="2"/>
    <n v="1"/>
  </r>
  <r>
    <s v="Muchewicz"/>
    <s v="Piotr"/>
    <d v="1946-06-23T00:00:00"/>
    <x v="0"/>
    <n v="0"/>
  </r>
  <r>
    <s v="Pilipczuk"/>
    <s v="Mariusz"/>
    <d v="1992-06-24T00:00:00"/>
    <x v="3"/>
    <n v="0"/>
  </r>
  <r>
    <s v="Krakowska"/>
    <s v="Paulina"/>
    <d v="1992-10-08T00:00:00"/>
    <x v="0"/>
    <n v="1"/>
  </r>
  <r>
    <s v="Bielun"/>
    <s v="Urszula"/>
    <d v="1983-07-01T00:00:00"/>
    <x v="1"/>
    <n v="1"/>
  </r>
  <r>
    <s v="Grzeskowiak"/>
    <s v="Szymon"/>
    <d v="1960-06-23T00:00:00"/>
    <x v="1"/>
    <n v="0"/>
  </r>
  <r>
    <s v="Karpek"/>
    <s v="Paulina"/>
    <d v="1976-06-27T00:00:00"/>
    <x v="0"/>
    <n v="1"/>
  </r>
  <r>
    <s v="Kowal"/>
    <s v="Ewa"/>
    <d v="1965-01-20T00:00:00"/>
    <x v="2"/>
    <n v="1"/>
  </r>
  <r>
    <s v="Augustyn"/>
    <s v="Zofia"/>
    <d v="1968-11-16T00:00:00"/>
    <x v="0"/>
    <n v="1"/>
  </r>
  <r>
    <s v="Filipczuk"/>
    <s v="Paulina"/>
    <d v="1967-12-18T00:00:00"/>
    <x v="2"/>
    <n v="1"/>
  </r>
  <r>
    <s v="Miklas"/>
    <s v="Maciej"/>
    <d v="1991-06-09T00:00:00"/>
    <x v="1"/>
    <n v="0"/>
  </r>
  <r>
    <s v="Vasina"/>
    <s v="Adam"/>
    <d v="1995-04-06T00:00:00"/>
    <x v="1"/>
    <n v="0"/>
  </r>
  <r>
    <s v="Bydgoska"/>
    <s v="Inga"/>
    <d v="1955-10-12T00:00:00"/>
    <x v="2"/>
    <n v="1"/>
  </r>
  <r>
    <s v="Banasiewicz"/>
    <s v="Beata"/>
    <d v="1969-08-01T00:00:00"/>
    <x v="2"/>
    <n v="1"/>
  </r>
  <r>
    <s v="Fryziel"/>
    <s v="Daria"/>
    <d v="1958-12-29T00:00:00"/>
    <x v="2"/>
    <n v="1"/>
  </r>
  <r>
    <s v="Bedka"/>
    <s v="Justyna"/>
    <d v="1985-07-04T00:00:00"/>
    <x v="1"/>
    <n v="1"/>
  </r>
  <r>
    <s v="Banaszczyk"/>
    <s v="Barbara"/>
    <d v="1977-12-13T00:00:00"/>
    <x v="2"/>
    <n v="1"/>
  </r>
  <r>
    <s v="Ptaszek"/>
    <s v="Janusz"/>
    <d v="1993-11-14T00:00:00"/>
    <x v="2"/>
    <n v="0"/>
  </r>
  <r>
    <s v="Rey"/>
    <s v="Tadeusz"/>
    <d v="1968-05-14T00:00:00"/>
    <x v="0"/>
    <n v="0"/>
  </r>
  <r>
    <s v="Zeller"/>
    <s v="Teresa"/>
    <d v="1951-06-08T00:00:00"/>
    <x v="1"/>
    <n v="1"/>
  </r>
  <r>
    <s v="Majcherczyk"/>
    <s v="Maciej"/>
    <d v="1975-08-05T00:00:00"/>
    <x v="1"/>
    <n v="0"/>
  </r>
  <r>
    <s v="Grabicka"/>
    <s v="Grazyna"/>
    <d v="1971-05-18T00:00:00"/>
    <x v="2"/>
    <n v="1"/>
  </r>
  <r>
    <s v="Praska"/>
    <s v="Anna"/>
    <d v="1950-01-22T00:00:00"/>
    <x v="0"/>
    <n v="1"/>
  </r>
  <r>
    <s v="Jakus"/>
    <s v="Piotr"/>
    <d v="1992-04-02T00:00:00"/>
    <x v="2"/>
    <n v="0"/>
  </r>
  <r>
    <s v="Grdulska"/>
    <s v="Danuta"/>
    <d v="1969-07-20T00:00:00"/>
    <x v="2"/>
    <n v="1"/>
  </r>
  <r>
    <s v="Badowski"/>
    <s v="Karol"/>
    <d v="1959-08-07T00:00:00"/>
    <x v="0"/>
    <n v="0"/>
  </r>
  <r>
    <s v="Majkut"/>
    <s v="Maciej"/>
    <d v="1972-07-10T00:00:00"/>
    <x v="0"/>
    <n v="0"/>
  </r>
  <r>
    <s v="Cabaj"/>
    <s v="Martyna"/>
    <d v="1979-02-11T00:00:00"/>
    <x v="1"/>
    <n v="1"/>
  </r>
  <r>
    <s v="Malecka"/>
    <s v="Stefania"/>
    <d v="1991-08-04T00:00:00"/>
    <x v="2"/>
    <n v="1"/>
  </r>
  <r>
    <s v="Gagatek"/>
    <s v="Stefan"/>
    <d v="1967-03-08T00:00:00"/>
    <x v="2"/>
    <n v="0"/>
  </r>
  <r>
    <s v="Otwocka"/>
    <s v="Ewelia"/>
    <d v="1976-08-20T00:00:00"/>
    <x v="0"/>
    <n v="1"/>
  </r>
  <r>
    <s v="Pleszewska"/>
    <s v="Krystyna"/>
    <d v="1972-02-06T00:00:00"/>
    <x v="3"/>
    <n v="1"/>
  </r>
  <r>
    <s v="Sabatowicz"/>
    <s v="Szymon"/>
    <d v="1985-02-17T00:00:00"/>
    <x v="2"/>
    <n v="0"/>
  </r>
  <r>
    <s v="Magiera"/>
    <s v="Robert"/>
    <d v="1971-06-28T00:00:00"/>
    <x v="3"/>
    <n v="0"/>
  </r>
  <r>
    <s v="Klekotko"/>
    <s v="Justyna"/>
    <d v="1963-09-18T00:00:00"/>
    <x v="0"/>
    <n v="1"/>
  </r>
  <r>
    <s v="Nowak"/>
    <s v="Damian"/>
    <d v="1990-03-20T00:00:00"/>
    <x v="3"/>
    <n v="0"/>
  </r>
  <r>
    <s v="Doszko"/>
    <s v="Katarzyna"/>
    <d v="1954-02-04T00:00:00"/>
    <x v="1"/>
    <n v="1"/>
  </r>
  <r>
    <s v="Rozwalka"/>
    <s v="Wojciech"/>
    <d v="1974-10-22T00:00:00"/>
    <x v="1"/>
    <n v="0"/>
  </r>
  <r>
    <s v="Aleksandrowicz"/>
    <s v="Krystyna"/>
    <d v="1959-10-15T00:00:00"/>
    <x v="0"/>
    <n v="1"/>
  </r>
  <r>
    <s v="Kilarski"/>
    <s v="Ewa"/>
    <d v="1957-08-19T00:00:00"/>
    <x v="3"/>
    <n v="1"/>
  </r>
  <r>
    <s v="Rykowski"/>
    <s v="Roman"/>
    <d v="1985-09-02T00:00:00"/>
    <x v="3"/>
    <n v="0"/>
  </r>
  <r>
    <s v="Skierniewicka"/>
    <s v="Malwina"/>
    <d v="1947-01-12T00:00:00"/>
    <x v="2"/>
    <n v="1"/>
  </r>
  <r>
    <s v="Wronka"/>
    <s v="Cezary"/>
    <d v="1988-06-11T00:00:00"/>
    <x v="0"/>
    <n v="0"/>
  </r>
  <r>
    <s v="Wroniszewski"/>
    <s v="Mieszko"/>
    <d v="1987-10-31T00:00:00"/>
    <x v="2"/>
    <n v="0"/>
  </r>
  <r>
    <s v="Andrzejewska"/>
    <s v="Barbara"/>
    <d v="1986-12-03T00:00:00"/>
    <x v="0"/>
    <n v="1"/>
  </r>
  <r>
    <s v="Klimaszewski"/>
    <s v="Krzysztof"/>
    <d v="1951-01-20T00:00:00"/>
    <x v="3"/>
    <n v="0"/>
  </r>
  <r>
    <s v="Pachnowski"/>
    <s v="Jacek"/>
    <d v="1945-10-24T00:00:00"/>
    <x v="0"/>
    <n v="0"/>
  </r>
  <r>
    <s v="Klimaszewska"/>
    <s v="Ewa"/>
    <d v="1968-07-17T00:00:00"/>
    <x v="2"/>
    <n v="1"/>
  </r>
  <r>
    <s v="Malik"/>
    <s v="Jakub"/>
    <d v="1947-06-24T00:00:00"/>
    <x v="0"/>
    <n v="0"/>
  </r>
  <r>
    <s v="Grzeskowiak"/>
    <s v="Szymon"/>
    <d v="1963-05-26T00:00:00"/>
    <x v="1"/>
    <n v="0"/>
  </r>
  <r>
    <s v="Lwowska"/>
    <s v="Paulina"/>
    <d v="1946-12-30T00:00:00"/>
    <x v="2"/>
    <n v="1"/>
  </r>
  <r>
    <s v="Adamowicz"/>
    <s v="Jolanta"/>
    <d v="1966-12-30T00:00:00"/>
    <x v="2"/>
    <n v="1"/>
  </r>
  <r>
    <s v="Pastuszka"/>
    <s v="Marzena"/>
    <d v="1994-07-08T00:00:00"/>
    <x v="0"/>
    <n v="1"/>
  </r>
  <r>
    <s v="Kalitowski"/>
    <s v="Marcin"/>
    <d v="1950-04-01T00:00:00"/>
    <x v="0"/>
    <n v="0"/>
  </r>
  <r>
    <s v="Miller"/>
    <s v="Zbigniew"/>
    <d v="1993-04-10T00:00:00"/>
    <x v="2"/>
    <n v="0"/>
  </r>
  <r>
    <s v="Bartkiewicz"/>
    <s v="Elwira"/>
    <d v="1947-06-13T00:00:00"/>
    <x v="2"/>
    <n v="1"/>
  </r>
  <r>
    <s v="Dmochowska"/>
    <s v="Katarzyna"/>
    <d v="1991-11-08T00:00:00"/>
    <x v="3"/>
    <n v="1"/>
  </r>
  <r>
    <s v="Szostek"/>
    <s v="Krzysztof"/>
    <d v="1966-11-15T00:00:00"/>
    <x v="0"/>
    <n v="0"/>
  </r>
  <r>
    <s v="Paprocki"/>
    <s v="Konrad"/>
    <d v="1952-11-09T00:00:00"/>
    <x v="3"/>
    <n v="0"/>
  </r>
  <r>
    <s v="Holmes"/>
    <s v="Barbara"/>
    <d v="1972-11-23T00:00:00"/>
    <x v="2"/>
    <n v="1"/>
  </r>
  <r>
    <s v="Kozar"/>
    <s v="Robert"/>
    <d v="1959-12-13T00:00:00"/>
    <x v="2"/>
    <n v="0"/>
  </r>
  <r>
    <s v="Bednarska"/>
    <s v="Karolina"/>
    <d v="1995-06-15T00:00:00"/>
    <x v="2"/>
    <n v="1"/>
  </r>
  <r>
    <s v="Piotrkowska"/>
    <s v="Zuzanna"/>
    <d v="1953-12-19T00:00:00"/>
    <x v="2"/>
    <n v="1"/>
  </r>
  <r>
    <s v="Antos"/>
    <s v="Karolina"/>
    <d v="1976-05-13T00:00:00"/>
    <x v="0"/>
    <n v="1"/>
  </r>
  <r>
    <s v="Kumur"/>
    <s v="Genowefa"/>
    <d v="1977-04-11T00:00:00"/>
    <x v="2"/>
    <n v="1"/>
  </r>
  <r>
    <s v="Wilczko"/>
    <s v="Adrian"/>
    <d v="1982-01-03T00:00:00"/>
    <x v="1"/>
    <n v="0"/>
  </r>
  <r>
    <s v="Bugajski"/>
    <s v="Jan"/>
    <d v="1963-04-10T00:00:00"/>
    <x v="2"/>
    <n v="0"/>
  </r>
  <r>
    <s v="Florczuk"/>
    <s v="Katarzyna"/>
    <d v="1967-12-02T00:00:00"/>
    <x v="2"/>
    <n v="1"/>
  </r>
  <r>
    <s v="Bielec"/>
    <s v="Maria"/>
    <d v="1948-03-09T00:00:00"/>
    <x v="3"/>
    <n v="1"/>
  </r>
  <r>
    <s v="Busz"/>
    <s v="Jan"/>
    <d v="1958-01-14T00:00:00"/>
    <x v="1"/>
    <n v="0"/>
  </r>
  <r>
    <s v="Balicka"/>
    <s v="Anna"/>
    <d v="1981-10-20T00:00:00"/>
    <x v="2"/>
    <n v="1"/>
  </r>
  <r>
    <s v="Badowska"/>
    <s v="Danuta"/>
    <d v="1953-10-27T00:00:00"/>
    <x v="0"/>
    <n v="1"/>
  </r>
  <r>
    <s v="Labryga"/>
    <s v="Piotr"/>
    <d v="1961-08-21T00:00:00"/>
    <x v="2"/>
    <n v="0"/>
  </r>
  <r>
    <s v="Barcik"/>
    <s v="Barbara"/>
    <d v="1969-05-09T00:00:00"/>
    <x v="2"/>
    <n v="1"/>
  </r>
  <r>
    <s v="Ksel"/>
    <s v="Krzysztof"/>
    <d v="1955-04-02T00:00:00"/>
    <x v="3"/>
    <n v="0"/>
  </r>
  <r>
    <s v="Skrzypek"/>
    <s v="Bartosz"/>
    <d v="1952-05-27T00:00:00"/>
    <x v="2"/>
    <n v="0"/>
  </r>
  <r>
    <s v="Konstantinova"/>
    <s v="Alexandra"/>
    <d v="1949-09-06T00:00:00"/>
    <x v="2"/>
    <n v="1"/>
  </r>
  <r>
    <s v="Kowalska"/>
    <s v="Karolina"/>
    <d v="1971-08-01T00:00:00"/>
    <x v="0"/>
    <n v="1"/>
  </r>
  <r>
    <s v="Wojtkowiak"/>
    <s v="Marcin"/>
    <d v="1984-04-26T00:00:00"/>
    <x v="3"/>
    <n v="0"/>
  </r>
  <r>
    <s v="Jurecka"/>
    <s v="Kinga"/>
    <d v="1967-05-31T00:00:00"/>
    <x v="2"/>
    <n v="1"/>
  </r>
  <r>
    <s v="Popowski"/>
    <s v="Adam"/>
    <d v="1987-02-10T00:00:00"/>
    <x v="0"/>
    <n v="0"/>
  </r>
  <r>
    <s v="Pietrzyk"/>
    <s v="Anita"/>
    <d v="1993-08-20T00:00:00"/>
    <x v="2"/>
    <n v="1"/>
  </r>
  <r>
    <s v="Sieduszewski"/>
    <s v="Piotr"/>
    <d v="1974-02-19T00:00:00"/>
    <x v="1"/>
    <n v="0"/>
  </r>
  <r>
    <s v="Pryk"/>
    <s v="Tymon"/>
    <d v="1949-06-04T00:00:00"/>
    <x v="1"/>
    <n v="0"/>
  </r>
  <r>
    <s v="Maj"/>
    <s v="Maciej"/>
    <d v="1974-01-30T00:00:00"/>
    <x v="2"/>
    <n v="0"/>
  </r>
  <r>
    <s v="Marciszewski"/>
    <s v="Roman"/>
    <d v="1984-12-23T00:00:00"/>
    <x v="0"/>
    <n v="0"/>
  </r>
  <r>
    <s v="Adamski"/>
    <s v="Jerzy"/>
    <d v="1995-07-13T00:00:00"/>
    <x v="2"/>
    <n v="0"/>
  </r>
  <r>
    <s v="Albert"/>
    <s v="Jerzy"/>
    <d v="1960-07-04T00:00:00"/>
    <x v="0"/>
    <n v="0"/>
  </r>
  <r>
    <s v="Polkowicka"/>
    <s v="Dominika"/>
    <d v="1944-07-14T00:00:00"/>
    <x v="2"/>
    <n v="1"/>
  </r>
  <r>
    <s v="Cieplik"/>
    <s v="Marta"/>
    <d v="1987-11-22T00:00:00"/>
    <x v="2"/>
    <n v="1"/>
  </r>
  <r>
    <s v="Parczewska"/>
    <s v="Malwina"/>
    <d v="1971-03-04T00:00:00"/>
    <x v="1"/>
    <n v="1"/>
  </r>
  <r>
    <s v="Pisarska"/>
    <s v="Alicja"/>
    <d v="1990-06-16T00:00:00"/>
    <x v="2"/>
    <n v="1"/>
  </r>
  <r>
    <s v="Basiak"/>
    <s v="Anna"/>
    <d v="1983-12-21T00:00:00"/>
    <x v="1"/>
    <n v="1"/>
  </r>
  <r>
    <s v="Janicka"/>
    <s v="Paulina"/>
    <d v="1969-02-09T00:00:00"/>
    <x v="2"/>
    <n v="1"/>
  </r>
  <r>
    <s v="Engel"/>
    <s v="Anna"/>
    <d v="1975-09-02T00:00:00"/>
    <x v="2"/>
    <n v="1"/>
  </r>
  <r>
    <s v="Plichta"/>
    <s v="Robert"/>
    <d v="1970-03-17T00:00:00"/>
    <x v="2"/>
    <n v="0"/>
  </r>
  <r>
    <s v="Barszczewska"/>
    <s v="Cecylia"/>
    <d v="1975-10-16T00:00:00"/>
    <x v="0"/>
    <n v="1"/>
  </r>
  <r>
    <s v="Szklarska"/>
    <s v="Tekla"/>
    <d v="1989-09-14T00:00:00"/>
    <x v="1"/>
    <n v="1"/>
  </r>
  <r>
    <s v="Aleksandrowicz"/>
    <s v="Barbara"/>
    <d v="1972-03-22T00:00:00"/>
    <x v="1"/>
    <n v="1"/>
  </r>
  <r>
    <s v="Kuc"/>
    <s v="Danuta"/>
    <d v="1958-11-19T00:00:00"/>
    <x v="0"/>
    <n v="1"/>
  </r>
  <r>
    <s v="Kogut"/>
    <s v="Magdalena"/>
    <d v="1989-10-09T00:00:00"/>
    <x v="0"/>
    <n v="1"/>
  </r>
  <r>
    <s v="Sopocka"/>
    <s v="Olivia"/>
    <d v="1966-07-15T00:00:00"/>
    <x v="0"/>
    <n v="1"/>
  </r>
  <r>
    <s v="Berezowska"/>
    <s v="Anita"/>
    <d v="1984-03-06T00:00:00"/>
    <x v="1"/>
    <n v="1"/>
  </r>
  <r>
    <s v="Walczak"/>
    <s v="Maciej"/>
    <d v="1954-05-09T00:00:00"/>
    <x v="2"/>
    <n v="0"/>
  </r>
  <r>
    <s v="Guzik"/>
    <s v="Anna"/>
    <d v="1988-01-05T00:00:00"/>
    <x v="2"/>
    <n v="1"/>
  </r>
  <r>
    <s v="Modzelewski"/>
    <s v="Mateusz"/>
    <d v="1949-01-06T00:00:00"/>
    <x v="2"/>
    <n v="0"/>
  </r>
  <r>
    <s v="Dudek"/>
    <s v="Marzena"/>
    <d v="1954-11-29T00:00:00"/>
    <x v="2"/>
    <n v="1"/>
  </r>
  <r>
    <s v="Banach"/>
    <s v="Leon"/>
    <d v="1984-06-30T00:00:00"/>
    <x v="1"/>
    <n v="0"/>
  </r>
  <r>
    <s v="Klasz"/>
    <s v="Marcin"/>
    <d v="1961-06-03T00:00:00"/>
    <x v="0"/>
    <n v="0"/>
  </r>
  <r>
    <s v="Banasik"/>
    <s v="Irena"/>
    <d v="1946-09-03T00:00:00"/>
    <x v="2"/>
    <n v="1"/>
  </r>
  <r>
    <s v="Kisiel"/>
    <s v="Dawid"/>
    <d v="1967-09-17T00:00:00"/>
    <x v="0"/>
    <n v="0"/>
  </r>
  <r>
    <s v="Geldner"/>
    <s v="Magdalena"/>
    <d v="1950-11-22T00:00:00"/>
    <x v="0"/>
    <n v="1"/>
  </r>
  <r>
    <s v="Rygielski"/>
    <s v="Maciej"/>
    <d v="1956-09-29T00:00:00"/>
    <x v="2"/>
    <n v="0"/>
  </r>
  <r>
    <s v="Ossowski"/>
    <s v="Karol"/>
    <d v="1964-01-25T00:00:00"/>
    <x v="0"/>
    <n v="0"/>
  </r>
  <r>
    <s v="Kisielewska"/>
    <s v="Greta"/>
    <d v="1946-10-09T00:00:00"/>
    <x v="0"/>
    <n v="1"/>
  </r>
  <r>
    <s v="Nyski"/>
    <s v="Piotr"/>
    <d v="1983-06-14T00:00:00"/>
    <x v="2"/>
    <n v="0"/>
  </r>
  <r>
    <s v="Kopec"/>
    <s v="Anna"/>
    <d v="1956-07-15T00:00:00"/>
    <x v="2"/>
    <n v="1"/>
  </r>
  <r>
    <s v="Sznyrowska"/>
    <s v="Wiktoria"/>
    <d v="1989-03-13T00:00:00"/>
    <x v="2"/>
    <n v="1"/>
  </r>
  <r>
    <s v="Tichoniuk"/>
    <s v="Marcin"/>
    <d v="1949-12-01T00:00:00"/>
    <x v="2"/>
    <n v="0"/>
  </r>
  <r>
    <s v="Dul"/>
    <s v="Dominika"/>
    <d v="1966-04-28T00:00:00"/>
    <x v="0"/>
    <n v="1"/>
  </r>
  <r>
    <s v="Grzegorczyk"/>
    <s v="Marta"/>
    <d v="1974-09-27T00:00:00"/>
    <x v="0"/>
    <n v="1"/>
  </r>
  <r>
    <s v="Grzywacz"/>
    <s v="Wanda"/>
    <d v="1950-05-15T00:00:00"/>
    <x v="2"/>
    <n v="1"/>
  </r>
  <r>
    <s v="Banach"/>
    <s v="Dorota"/>
    <d v="1994-03-07T00:00:00"/>
    <x v="2"/>
    <n v="1"/>
  </r>
  <r>
    <s v="Legnicka"/>
    <s v="Karina"/>
    <d v="1958-11-24T00:00:00"/>
    <x v="2"/>
    <n v="1"/>
  </r>
  <r>
    <s v="Barabasz"/>
    <s v="Krystyna"/>
    <d v="1986-12-03T00:00:00"/>
    <x v="0"/>
    <n v="1"/>
  </r>
  <r>
    <s v="Borowska"/>
    <s v="Ewelina"/>
    <d v="1993-09-23T00:00:00"/>
    <x v="0"/>
    <n v="1"/>
  </r>
  <r>
    <s v="Cedro"/>
    <s v="Zofia"/>
    <d v="1952-07-08T00:00:00"/>
    <x v="1"/>
    <n v="1"/>
  </r>
  <r>
    <s v="Sieradzki"/>
    <s v="Piotr"/>
    <d v="1975-01-30T00:00:00"/>
    <x v="2"/>
    <n v="0"/>
  </r>
  <r>
    <s v="Sar"/>
    <s v="Wojciech"/>
    <d v="1964-10-15T00:00:00"/>
    <x v="2"/>
    <n v="0"/>
  </r>
  <r>
    <s v="Kordaszewska"/>
    <s v="Magdalena"/>
    <d v="1948-04-26T00:00:00"/>
    <x v="0"/>
    <n v="1"/>
  </r>
  <r>
    <s v="Bauer"/>
    <s v="Jagoda"/>
    <d v="1969-11-23T00:00:00"/>
    <x v="0"/>
    <n v="1"/>
  </r>
  <r>
    <s v="Brychcy"/>
    <s v="Agata"/>
    <d v="1995-02-28T00:00:00"/>
    <x v="1"/>
    <n v="1"/>
  </r>
  <r>
    <s v="Potocki"/>
    <s v="Grzegorz"/>
    <d v="1947-12-30T00:00:00"/>
    <x v="2"/>
    <n v="0"/>
  </r>
  <r>
    <s v="Kordaszewski"/>
    <s v="Piotr"/>
    <d v="1988-12-05T00:00:00"/>
    <x v="0"/>
    <n v="0"/>
  </r>
  <r>
    <s v="Wiatrowski"/>
    <s v="Roman"/>
    <d v="1994-07-18T00:00:00"/>
    <x v="2"/>
    <n v="0"/>
  </r>
  <r>
    <s v="Albert"/>
    <s v="Joanna"/>
    <d v="1978-01-01T00:00:00"/>
    <x v="2"/>
    <n v="1"/>
  </r>
  <r>
    <s v="Balcer"/>
    <s v="Iwona"/>
    <d v="1989-06-30T00:00:00"/>
    <x v="1"/>
    <n v="1"/>
  </r>
  <r>
    <s v="Augustowska"/>
    <s v="Irma"/>
    <d v="1974-03-24T00:00:00"/>
    <x v="0"/>
    <n v="1"/>
  </r>
  <r>
    <s v="Jackowska"/>
    <s v="Maria"/>
    <d v="1980-02-08T00:00:00"/>
    <x v="2"/>
    <n v="1"/>
  </r>
  <r>
    <s v="Adamczyk"/>
    <s v="Julia"/>
    <d v="1950-06-23T00:00:00"/>
    <x v="0"/>
    <n v="1"/>
  </r>
  <r>
    <s v="Sosnowiecka"/>
    <s v="Dorota"/>
    <d v="1994-03-13T00:00:00"/>
    <x v="2"/>
    <n v="1"/>
  </r>
  <r>
    <s v="Henrykowski"/>
    <s v="Kornel"/>
    <d v="1973-01-25T00:00:00"/>
    <x v="2"/>
    <n v="0"/>
  </r>
  <r>
    <s v="Szklarska"/>
    <s v="Karolina"/>
    <d v="1966-10-11T00:00:00"/>
    <x v="0"/>
    <n v="1"/>
  </r>
  <r>
    <s v="Podczasiak"/>
    <s v="Jadwiga"/>
    <d v="1960-04-04T00:00:00"/>
    <x v="2"/>
    <n v="1"/>
  </r>
  <r>
    <s v="Skrzydlowski"/>
    <s v="Dawid"/>
    <d v="1947-02-09T00:00:00"/>
    <x v="1"/>
    <n v="0"/>
  </r>
  <r>
    <s v="Genewski"/>
    <s v="Andrzej"/>
    <d v="1961-09-23T00:00:00"/>
    <x v="0"/>
    <n v="0"/>
  </r>
  <r>
    <s v="Bienias"/>
    <s v="Alina"/>
    <d v="1956-09-24T00:00:00"/>
    <x v="2"/>
    <n v="1"/>
  </r>
  <r>
    <s v="Madrycki"/>
    <s v="Janusz"/>
    <d v="1968-03-03T00:00:00"/>
    <x v="2"/>
    <n v="0"/>
  </r>
  <r>
    <s v="Opolska"/>
    <s v="Paulina"/>
    <d v="1956-12-19T00:00:00"/>
    <x v="2"/>
    <n v="1"/>
  </r>
  <r>
    <s v="Barwicka"/>
    <s v="Zofia"/>
    <d v="1982-10-11T00:00:00"/>
    <x v="2"/>
    <n v="1"/>
  </r>
  <r>
    <s v="Leniak"/>
    <s v="Jacek"/>
    <d v="1958-02-05T00:00:00"/>
    <x v="1"/>
    <n v="0"/>
  </r>
  <r>
    <s v="Kapanowska"/>
    <s v="Marta"/>
    <d v="1955-04-14T00:00:00"/>
    <x v="0"/>
    <n v="1"/>
  </r>
  <r>
    <s v="Lech"/>
    <s v="Bartosz"/>
    <d v="1946-12-01T00:00:00"/>
    <x v="0"/>
    <n v="0"/>
  </r>
  <r>
    <s v="Kaczocha"/>
    <s v="Maciej"/>
    <d v="1989-10-21T00:00:00"/>
    <x v="0"/>
    <n v="0"/>
  </r>
  <r>
    <s v="Nowak"/>
    <s v="Anna"/>
    <d v="1970-09-28T00:00:00"/>
    <x v="2"/>
    <n v="1"/>
  </r>
  <r>
    <s v="Kozar"/>
    <s v="Artur"/>
    <d v="1987-09-08T00:00:00"/>
    <x v="2"/>
    <n v="0"/>
  </r>
  <r>
    <s v="Barszczewska"/>
    <s v="Halina"/>
    <d v="1986-05-24T00:00:00"/>
    <x v="0"/>
    <n v="1"/>
  </r>
  <r>
    <s v="Bartoszek"/>
    <s v="Justyna"/>
    <d v="1952-06-08T00:00:00"/>
    <x v="0"/>
    <n v="1"/>
  </r>
  <r>
    <s v="Gawlowska"/>
    <s v="Enrika"/>
    <d v="1960-01-19T00:00:00"/>
    <x v="0"/>
    <n v="1"/>
  </r>
  <r>
    <s v="Balcerowska"/>
    <s v="Iwona"/>
    <d v="1977-03-03T00:00:00"/>
    <x v="2"/>
    <n v="1"/>
  </r>
  <r>
    <s v="Nagaj"/>
    <s v="Mieszko"/>
    <d v="1993-11-18T00:00:00"/>
    <x v="2"/>
    <n v="0"/>
  </r>
  <r>
    <s v="Jakubczyk"/>
    <s v="Agnieszka"/>
    <d v="1967-06-29T00:00:00"/>
    <x v="0"/>
    <n v="1"/>
  </r>
  <r>
    <s v="Aleksander"/>
    <s v="Barbara"/>
    <d v="1949-04-22T00:00:00"/>
    <x v="0"/>
    <n v="1"/>
  </r>
  <r>
    <s v="Wiek"/>
    <s v="Jadwiga"/>
    <d v="1972-07-26T00:00:00"/>
    <x v="3"/>
    <n v="1"/>
  </r>
  <r>
    <s v="Suchocki"/>
    <s v="Andrzej"/>
    <d v="1983-02-21T00:00:00"/>
    <x v="3"/>
    <n v="0"/>
  </r>
  <r>
    <s v="Augustowska"/>
    <s v="Justyna"/>
    <d v="1946-07-08T00:00:00"/>
    <x v="2"/>
    <n v="1"/>
  </r>
  <r>
    <s v="Michalik"/>
    <s v="Wojciech"/>
    <d v="1965-07-27T00:00:00"/>
    <x v="2"/>
    <n v="0"/>
  </r>
  <r>
    <s v="Bandera"/>
    <s v="Ewa"/>
    <d v="1973-07-26T00:00:00"/>
    <x v="2"/>
    <n v="1"/>
  </r>
  <r>
    <s v="Rybicki"/>
    <s v="Jakub"/>
    <d v="1947-04-11T00:00:00"/>
    <x v="3"/>
    <n v="0"/>
  </r>
  <r>
    <s v="Lysiak"/>
    <s v="Helena"/>
    <d v="1986-07-19T00:00:00"/>
    <x v="0"/>
    <n v="1"/>
  </r>
  <r>
    <s v="Balcerek"/>
    <s v="Zofia"/>
    <d v="1958-03-20T00:00:00"/>
    <x v="2"/>
    <n v="1"/>
  </r>
  <r>
    <s v="Blacharz"/>
    <s v="Krystyna"/>
    <d v="1981-02-05T00:00:00"/>
    <x v="3"/>
    <n v="1"/>
  </r>
  <r>
    <s v="Augustowska"/>
    <s v="Anna"/>
    <d v="1984-07-12T00:00:00"/>
    <x v="0"/>
    <n v="1"/>
  </r>
  <r>
    <s v="Kaczorowska"/>
    <s v="Agnieszka"/>
    <d v="1987-05-27T00:00:00"/>
    <x v="2"/>
    <n v="1"/>
  </r>
  <r>
    <s v="Kisielewski"/>
    <s v="Krystian"/>
    <d v="1964-01-08T00:00:00"/>
    <x v="2"/>
    <n v="0"/>
  </r>
  <r>
    <s v="Sikora"/>
    <s v="Norbert"/>
    <d v="1987-11-16T00:00:00"/>
    <x v="0"/>
    <n v="0"/>
  </r>
  <r>
    <s v="Warszawska"/>
    <s v="Rita"/>
    <d v="1961-10-01T00:00:00"/>
    <x v="3"/>
    <n v="1"/>
  </r>
  <r>
    <s v="Barszczewska"/>
    <s v="Anna"/>
    <d v="1961-08-15T00:00:00"/>
    <x v="2"/>
    <n v="1"/>
  </r>
  <r>
    <s v="Moskiewski"/>
    <s v="Sebastian"/>
    <d v="1980-10-16T00:00:00"/>
    <x v="0"/>
    <n v="0"/>
  </r>
  <r>
    <s v="Pogrebniak"/>
    <s v="Jegor"/>
    <d v="1961-04-27T00:00:00"/>
    <x v="2"/>
    <n v="0"/>
  </r>
  <r>
    <s v="Gates"/>
    <s v="Anna"/>
    <d v="1977-09-26T00:00:00"/>
    <x v="1"/>
    <n v="1"/>
  </r>
  <r>
    <s v="Zaprawa"/>
    <s v="Marcin"/>
    <d v="1944-06-21T00:00:00"/>
    <x v="0"/>
    <n v="0"/>
  </r>
  <r>
    <s v="Mazgaj"/>
    <s v="Szymon"/>
    <d v="1989-11-24T00:00:00"/>
    <x v="2"/>
    <n v="0"/>
  </r>
  <r>
    <s v="Samborski"/>
    <s v="Bartosz"/>
    <d v="1964-05-31T00:00:00"/>
    <x v="0"/>
    <n v="0"/>
  </r>
  <r>
    <s v="Barcikowska"/>
    <s v="Zyta"/>
    <d v="1977-12-30T00:00:00"/>
    <x v="2"/>
    <n v="1"/>
  </r>
  <r>
    <s v="Radziejowski"/>
    <s v="Krystian"/>
    <d v="1957-04-10T00:00:00"/>
    <x v="2"/>
    <n v="0"/>
  </r>
  <r>
    <s v="Baranek"/>
    <s v="Magdalena"/>
    <d v="1993-07-14T00:00:00"/>
    <x v="0"/>
    <n v="1"/>
  </r>
  <r>
    <s v="Wosiak"/>
    <s v="Roman"/>
    <d v="1988-07-17T00:00:00"/>
    <x v="0"/>
    <n v="0"/>
  </r>
  <r>
    <s v="Cichawa"/>
    <s v="Dorota"/>
    <d v="1945-07-22T00:00:00"/>
    <x v="2"/>
    <n v="1"/>
  </r>
  <r>
    <s v="Smutnicki"/>
    <s v="Tomasz"/>
    <d v="1977-04-02T00:00:00"/>
    <x v="2"/>
    <n v="0"/>
  </r>
  <r>
    <s v="Kotala"/>
    <s v="Dominik"/>
    <d v="1989-05-18T00:00:00"/>
    <x v="3"/>
    <n v="0"/>
  </r>
  <r>
    <s v="Gralewicz"/>
    <s v="Ewelina"/>
    <d v="1978-05-26T00:00:00"/>
    <x v="3"/>
    <n v="1"/>
  </r>
  <r>
    <s v="Matczak"/>
    <s v="Piotr"/>
    <d v="1983-04-12T00:00:00"/>
    <x v="2"/>
    <n v="0"/>
  </r>
  <r>
    <s v="Chorzowska"/>
    <s v="Jadwiga"/>
    <d v="1993-01-02T00:00:00"/>
    <x v="2"/>
    <n v="1"/>
  </r>
  <r>
    <s v="Grzybek"/>
    <s v="Karolina"/>
    <d v="1973-11-06T00:00:00"/>
    <x v="2"/>
    <n v="1"/>
  </r>
  <r>
    <s v="Bartel"/>
    <s v="Ewa"/>
    <d v="1958-06-03T00:00:00"/>
    <x v="2"/>
    <n v="1"/>
  </r>
  <r>
    <s v="Kosaty"/>
    <s v="Marek"/>
    <d v="1968-11-08T00:00:00"/>
    <x v="0"/>
    <n v="0"/>
  </r>
  <r>
    <s v="Pietkiewicz"/>
    <s v="Piotr"/>
    <d v="1955-09-08T00:00:00"/>
    <x v="2"/>
    <n v="0"/>
  </r>
  <r>
    <s v="Alot"/>
    <s v="Zofia"/>
    <d v="1943-12-05T00:00:00"/>
    <x v="0"/>
    <n v="1"/>
  </r>
  <r>
    <s v="Glazik"/>
    <s v="Paulina"/>
    <d v="1950-11-01T00:00:00"/>
    <x v="2"/>
    <n v="1"/>
  </r>
  <r>
    <s v="Parczewska"/>
    <s v="Kazimiera"/>
    <d v="1993-01-07T00:00:00"/>
    <x v="2"/>
    <n v="1"/>
  </r>
  <r>
    <s v="Barczuk"/>
    <s v="Maja"/>
    <d v="1984-02-08T00:00:00"/>
    <x v="2"/>
    <n v="1"/>
  </r>
  <r>
    <s v="Szkutnik"/>
    <s v="Bartosz"/>
    <d v="1961-11-19T00:00:00"/>
    <x v="1"/>
    <n v="0"/>
  </r>
  <r>
    <s v="Podstawa"/>
    <s v="Jadwiga"/>
    <d v="1952-05-09T00:00:00"/>
    <x v="2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s v="srednie miasto"/>
    <x v="0"/>
    <n v="56"/>
    <n v="29.999999999999996"/>
  </r>
  <r>
    <s v="Nesterowicz"/>
    <s v="Piotr"/>
    <d v="1984-09-27T00:00:00"/>
    <s v="wies"/>
    <x v="1"/>
    <n v="32"/>
    <n v="45"/>
  </r>
  <r>
    <s v="Adamus"/>
    <s v="Magdalena"/>
    <d v="1967-10-08T00:00:00"/>
    <s v="duze miasto"/>
    <x v="0"/>
    <n v="49"/>
    <n v="29.999999999999996"/>
  </r>
  <r>
    <s v="Kowalski"/>
    <s v="Hubert"/>
    <d v="1986-05-12T00:00:00"/>
    <s v="wies"/>
    <x v="1"/>
    <n v="30"/>
    <n v="30"/>
  </r>
  <r>
    <s v="Zamojska"/>
    <s v="Maria"/>
    <d v="1962-05-14T00:00:00"/>
    <s v="wies"/>
    <x v="0"/>
    <n v="54"/>
    <n v="29.999999999999996"/>
  </r>
  <r>
    <s v="Matecki"/>
    <s v="Adam"/>
    <d v="1986-10-09T00:00:00"/>
    <s v="duze miasto"/>
    <x v="1"/>
    <n v="30"/>
    <n v="30"/>
  </r>
  <r>
    <s v="Potocki"/>
    <s v="Anna"/>
    <d v="1991-11-27T00:00:00"/>
    <s v="srednie miasto"/>
    <x v="0"/>
    <n v="25"/>
    <n v="25"/>
  </r>
  <r>
    <s v="Przybylska"/>
    <s v="Laura"/>
    <d v="1983-02-25T00:00:00"/>
    <s v="srednie miasto"/>
    <x v="0"/>
    <n v="33"/>
    <n v="37.5"/>
  </r>
  <r>
    <s v="Monachijski"/>
    <s v="Piotr"/>
    <d v="1991-11-26T00:00:00"/>
    <s v="srednie miasto"/>
    <x v="1"/>
    <n v="25"/>
    <n v="30"/>
  </r>
  <r>
    <s v="Cender"/>
    <s v="Urszula"/>
    <d v="1985-03-05T00:00:00"/>
    <s v="srednie miasto"/>
    <x v="0"/>
    <n v="31"/>
    <n v="37.5"/>
  </r>
  <r>
    <s v="Badowski"/>
    <s v="Bogdan"/>
    <d v="1947-06-29T00:00:00"/>
    <s v="srednie miasto"/>
    <x v="1"/>
    <n v="69"/>
    <n v="85"/>
  </r>
  <r>
    <s v="Mazurowski"/>
    <s v="Janusz"/>
    <d v="1991-03-24T00:00:00"/>
    <s v="duze miasto"/>
    <x v="1"/>
    <n v="25"/>
    <n v="30"/>
  </r>
  <r>
    <s v="Lasota"/>
    <s v="Piotr"/>
    <d v="1971-06-09T00:00:00"/>
    <s v="duze miasto"/>
    <x v="1"/>
    <n v="45"/>
    <n v="45"/>
  </r>
  <r>
    <s v="Olczak"/>
    <s v="Damian"/>
    <d v="1946-12-08T00:00:00"/>
    <s v="duze miasto"/>
    <x v="1"/>
    <n v="70"/>
    <n v="85"/>
  </r>
  <r>
    <s v="Kolesinski"/>
    <s v="Konstanty"/>
    <d v="1971-03-27T00:00:00"/>
    <s v="duze miasto"/>
    <x v="1"/>
    <n v="45"/>
    <n v="45"/>
  </r>
  <r>
    <s v="Pakulski"/>
    <s v="Bogdan"/>
    <d v="1982-08-30T00:00:00"/>
    <s v="srednie miasto"/>
    <x v="1"/>
    <n v="34"/>
    <n v="45"/>
  </r>
  <r>
    <s v="Banasiak"/>
    <s v="Paulina"/>
    <d v="1981-03-23T00:00:00"/>
    <s v="wies"/>
    <x v="0"/>
    <n v="35"/>
    <n v="37.5"/>
  </r>
  <r>
    <s v="Bajdek"/>
    <s v="Katarzyna"/>
    <d v="1995-09-03T00:00:00"/>
    <s v="male miasto"/>
    <x v="0"/>
    <n v="21"/>
    <n v="25"/>
  </r>
  <r>
    <s v="Chojnacka"/>
    <s v="Monika"/>
    <d v="1963-10-25T00:00:00"/>
    <s v="wies"/>
    <x v="0"/>
    <n v="53"/>
    <n v="29.999999999999996"/>
  </r>
  <r>
    <s v="Karpowicz"/>
    <s v="Anna"/>
    <d v="1945-03-02T00:00:00"/>
    <s v="srednie miasto"/>
    <x v="0"/>
    <n v="71"/>
    <n v="79"/>
  </r>
  <r>
    <s v="Korcela"/>
    <s v="Marta"/>
    <d v="1954-05-28T00:00:00"/>
    <s v="duze miasto"/>
    <x v="0"/>
    <n v="62"/>
    <n v="79"/>
  </r>
  <r>
    <s v="Deska"/>
    <s v="Ewa"/>
    <d v="1971-03-26T00:00:00"/>
    <s v="srednie miasto"/>
    <x v="0"/>
    <n v="45"/>
    <n v="37.5"/>
  </r>
  <r>
    <s v="Krencik"/>
    <s v="Maciej"/>
    <d v="1968-09-29T00:00:00"/>
    <s v="male miasto"/>
    <x v="1"/>
    <n v="48"/>
    <n v="36"/>
  </r>
  <r>
    <s v="Nawrot"/>
    <s v="Janusz"/>
    <d v="1991-06-22T00:00:00"/>
    <s v="wies"/>
    <x v="1"/>
    <n v="25"/>
    <n v="30"/>
  </r>
  <r>
    <s v="Legnicka"/>
    <s v="Karolina"/>
    <d v="1984-10-14T00:00:00"/>
    <s v="duze miasto"/>
    <x v="0"/>
    <n v="32"/>
    <n v="37.5"/>
  </r>
  <r>
    <s v="Wenecka"/>
    <s v="Justyna"/>
    <d v="1953-01-09T00:00:00"/>
    <s v="duze miasto"/>
    <x v="0"/>
    <n v="63"/>
    <n v="79"/>
  </r>
  <r>
    <s v="Kaleta"/>
    <s v="Natalia"/>
    <d v="1964-10-18T00:00:00"/>
    <s v="male miasto"/>
    <x v="0"/>
    <n v="52"/>
    <n v="29.999999999999996"/>
  </r>
  <r>
    <s v="Samarskyi"/>
    <s v="Kostiantyn"/>
    <d v="1954-05-07T00:00:00"/>
    <s v="duze miasto"/>
    <x v="1"/>
    <n v="62"/>
    <n v="85"/>
  </r>
  <r>
    <s v="Tkacz"/>
    <s v="Adam"/>
    <d v="1948-12-29T00:00:00"/>
    <s v="wies"/>
    <x v="1"/>
    <n v="68"/>
    <n v="85"/>
  </r>
  <r>
    <s v="Borsuk"/>
    <s v="Magdalena"/>
    <d v="1968-07-26T00:00:00"/>
    <s v="duze miasto"/>
    <x v="0"/>
    <n v="48"/>
    <n v="29.999999999999996"/>
  </r>
  <r>
    <s v="Anusz"/>
    <s v="Anna"/>
    <d v="1950-04-14T00:00:00"/>
    <s v="duze miasto"/>
    <x v="0"/>
    <n v="66"/>
    <n v="79"/>
  </r>
  <r>
    <s v="Trzebnicka"/>
    <s v="Anna"/>
    <d v="1959-03-21T00:00:00"/>
    <s v="srednie miasto"/>
    <x v="0"/>
    <n v="57"/>
    <n v="29.999999999999996"/>
  </r>
  <r>
    <s v="Bardzio"/>
    <s v="Celina"/>
    <d v="1944-01-04T00:00:00"/>
    <s v="male miasto"/>
    <x v="0"/>
    <n v="72"/>
    <n v="79"/>
  </r>
  <r>
    <s v="Firlej"/>
    <s v="Anna"/>
    <d v="1983-11-20T00:00:00"/>
    <s v="srednie miasto"/>
    <x v="0"/>
    <n v="33"/>
    <n v="37.5"/>
  </r>
  <r>
    <s v="Sadcza"/>
    <s v="Romuald"/>
    <d v="1959-03-24T00:00:00"/>
    <s v="duze miasto"/>
    <x v="1"/>
    <n v="57"/>
    <n v="36"/>
  </r>
  <r>
    <s v="Uniejewski"/>
    <s v="Tobiasz"/>
    <d v="1962-07-16T00:00:00"/>
    <s v="srednie miasto"/>
    <x v="1"/>
    <n v="54"/>
    <n v="36"/>
  </r>
  <r>
    <s v="Iwaszko"/>
    <s v="Katarzyna"/>
    <d v="1962-10-25T00:00:00"/>
    <s v="duze miasto"/>
    <x v="0"/>
    <n v="54"/>
    <n v="29.999999999999996"/>
  </r>
  <r>
    <s v="Rutkowski"/>
    <s v="Sebastian"/>
    <d v="1979-01-01T00:00:00"/>
    <s v="srednie miasto"/>
    <x v="1"/>
    <n v="37"/>
    <n v="45"/>
  </r>
  <r>
    <s v="Kubiak"/>
    <s v="Aleksandra"/>
    <d v="1975-04-26T00:00:00"/>
    <s v="wies"/>
    <x v="0"/>
    <n v="41"/>
    <n v="37.5"/>
  </r>
  <r>
    <s v="Krakowska"/>
    <s v="Karolina"/>
    <d v="1967-09-29T00:00:00"/>
    <s v="duze miasto"/>
    <x v="0"/>
    <n v="49"/>
    <n v="29.999999999999996"/>
  </r>
  <r>
    <s v="Uss"/>
    <s v="Adrian"/>
    <d v="1973-02-08T00:00:00"/>
    <s v="male miasto"/>
    <x v="1"/>
    <n v="43"/>
    <n v="45"/>
  </r>
  <r>
    <s v="Zasada"/>
    <s v="Joanna"/>
    <d v="1951-08-07T00:00:00"/>
    <s v="srednie miasto"/>
    <x v="0"/>
    <n v="65"/>
    <n v="79"/>
  </r>
  <r>
    <s v="Majka"/>
    <s v="Danuta"/>
    <d v="1992-10-22T00:00:00"/>
    <s v="duze miasto"/>
    <x v="0"/>
    <n v="24"/>
    <n v="25"/>
  </r>
  <r>
    <s v="Kaczmar"/>
    <s v="Monika"/>
    <d v="1995-03-15T00:00:00"/>
    <s v="duze miasto"/>
    <x v="0"/>
    <n v="21"/>
    <n v="25"/>
  </r>
  <r>
    <s v="Adamczyk"/>
    <s v="Irena"/>
    <d v="1979-03-15T00:00:00"/>
    <s v="srednie miasto"/>
    <x v="0"/>
    <n v="37"/>
    <n v="37.5"/>
  </r>
  <r>
    <s v="Jasiak"/>
    <s v="Monika"/>
    <d v="1948-03-20T00:00:00"/>
    <s v="male miasto"/>
    <x v="0"/>
    <n v="68"/>
    <n v="79"/>
  </r>
  <r>
    <s v="Sosnowski"/>
    <s v="Arkadiusz"/>
    <d v="1971-03-10T00:00:00"/>
    <s v="duze miasto"/>
    <x v="1"/>
    <n v="45"/>
    <n v="45"/>
  </r>
  <r>
    <s v="Bydgoska"/>
    <s v="Karolina"/>
    <d v="1946-09-05T00:00:00"/>
    <s v="duze miasto"/>
    <x v="0"/>
    <n v="70"/>
    <n v="79"/>
  </r>
  <r>
    <s v="Szulgo"/>
    <s v="Marek"/>
    <d v="1948-08-12T00:00:00"/>
    <s v="srednie miasto"/>
    <x v="1"/>
    <n v="68"/>
    <n v="85"/>
  </r>
  <r>
    <s v="Szczygielski"/>
    <s v="Tadeusz"/>
    <d v="1982-07-23T00:00:00"/>
    <s v="srednie miasto"/>
    <x v="1"/>
    <n v="34"/>
    <n v="45"/>
  </r>
  <r>
    <s v="Magierowicz"/>
    <s v="Patryk"/>
    <d v="1962-04-22T00:00:00"/>
    <s v="male miasto"/>
    <x v="1"/>
    <n v="54"/>
    <n v="36"/>
  </r>
  <r>
    <s v="Biegaj"/>
    <s v="Karolina"/>
    <d v="1948-10-24T00:00:00"/>
    <s v="srednie miasto"/>
    <x v="0"/>
    <n v="68"/>
    <n v="79"/>
  </r>
  <r>
    <s v="Boss"/>
    <s v="Anna"/>
    <d v="1944-04-06T00:00:00"/>
    <s v="srednie miasto"/>
    <x v="0"/>
    <n v="72"/>
    <n v="79"/>
  </r>
  <r>
    <s v="Rusu"/>
    <s v="Siergiu"/>
    <d v="1987-12-07T00:00:00"/>
    <s v="srednie miasto"/>
    <x v="1"/>
    <n v="29"/>
    <n v="30"/>
  </r>
  <r>
    <s v="Lipski"/>
    <s v="Adam"/>
    <d v="1955-08-31T00:00:00"/>
    <s v="duze miasto"/>
    <x v="1"/>
    <n v="61"/>
    <n v="85"/>
  </r>
  <r>
    <s v="Milcarz"/>
    <s v="Maciej"/>
    <d v="1953-01-16T00:00:00"/>
    <s v="srednie miasto"/>
    <x v="1"/>
    <n v="63"/>
    <n v="85"/>
  </r>
  <r>
    <s v="Czarnoleska"/>
    <s v="Patrycja"/>
    <d v="1995-04-29T00:00:00"/>
    <s v="duze miasto"/>
    <x v="0"/>
    <n v="21"/>
    <n v="25"/>
  </r>
  <r>
    <s v="Rejkowicz"/>
    <s v="Maria"/>
    <d v="1965-02-02T00:00:00"/>
    <s v="wies"/>
    <x v="0"/>
    <n v="51"/>
    <n v="29.999999999999996"/>
  </r>
  <r>
    <s v="Rybicka"/>
    <s v="Martyna"/>
    <d v="1980-05-30T00:00:00"/>
    <s v="duze miasto"/>
    <x v="0"/>
    <n v="36"/>
    <n v="37.5"/>
  </r>
  <r>
    <s v="Gajak"/>
    <s v="Agnieszka"/>
    <d v="1974-12-07T00:00:00"/>
    <s v="duze miasto"/>
    <x v="0"/>
    <n v="42"/>
    <n v="37.5"/>
  </r>
  <r>
    <s v="Zakowicz"/>
    <s v="Kacper"/>
    <d v="1952-02-08T00:00:00"/>
    <s v="srednie miasto"/>
    <x v="1"/>
    <n v="64"/>
    <n v="85"/>
  </r>
  <r>
    <s v="Chorzowska"/>
    <s v="Paulina"/>
    <d v="1975-03-22T00:00:00"/>
    <s v="duze miasto"/>
    <x v="0"/>
    <n v="41"/>
    <n v="37.5"/>
  </r>
  <r>
    <s v="Belgracka"/>
    <s v="Karolina"/>
    <d v="1956-09-21T00:00:00"/>
    <s v="srednie miasto"/>
    <x v="0"/>
    <n v="60"/>
    <n v="29.999999999999996"/>
  </r>
  <r>
    <s v="Paszewski"/>
    <s v="Piotr"/>
    <d v="1960-10-17T00:00:00"/>
    <s v="male miasto"/>
    <x v="1"/>
    <n v="56"/>
    <n v="36"/>
  </r>
  <r>
    <s v="Wielogorski"/>
    <s v="Karol"/>
    <d v="1947-07-28T00:00:00"/>
    <s v="duze miasto"/>
    <x v="1"/>
    <n v="69"/>
    <n v="85"/>
  </r>
  <r>
    <s v="Kowalczyk"/>
    <s v="Karol"/>
    <d v="1993-11-07T00:00:00"/>
    <s v="male miasto"/>
    <x v="1"/>
    <n v="23"/>
    <n v="30"/>
  </r>
  <r>
    <s v="Marzec"/>
    <s v="Maciej"/>
    <d v="1970-09-10T00:00:00"/>
    <s v="male miasto"/>
    <x v="1"/>
    <n v="46"/>
    <n v="36"/>
  </r>
  <r>
    <s v="Kaczan"/>
    <s v="Ewa"/>
    <d v="1955-06-02T00:00:00"/>
    <s v="male miasto"/>
    <x v="0"/>
    <n v="61"/>
    <n v="79"/>
  </r>
  <r>
    <s v="Cichocka"/>
    <s v="Anna"/>
    <d v="1969-07-31T00:00:00"/>
    <s v="duze miasto"/>
    <x v="0"/>
    <n v="47"/>
    <n v="29.999999999999996"/>
  </r>
  <r>
    <s v="Wichrowa"/>
    <s v="Ewa"/>
    <d v="1952-02-24T00:00:00"/>
    <s v="wies"/>
    <x v="0"/>
    <n v="64"/>
    <n v="79"/>
  </r>
  <r>
    <s v="Wpawska"/>
    <s v="Barbara"/>
    <d v="1951-07-02T00:00:00"/>
    <s v="duze miasto"/>
    <x v="0"/>
    <n v="65"/>
    <n v="79"/>
  </r>
  <r>
    <s v="Bugajska"/>
    <s v="Julia"/>
    <d v="1946-09-27T00:00:00"/>
    <s v="male miasto"/>
    <x v="0"/>
    <n v="70"/>
    <n v="79"/>
  </r>
  <r>
    <s v="Adaszek"/>
    <s v="Barbara"/>
    <d v="1991-02-08T00:00:00"/>
    <s v="srednie miasto"/>
    <x v="0"/>
    <n v="25"/>
    <n v="25"/>
  </r>
  <r>
    <s v="Mielecka"/>
    <s v="Joanna"/>
    <d v="1946-07-04T00:00:00"/>
    <s v="srednie miasto"/>
    <x v="0"/>
    <n v="70"/>
    <n v="79"/>
  </r>
  <r>
    <s v="Radu"/>
    <s v="Daniel"/>
    <d v="1991-06-19T00:00:00"/>
    <s v="male miasto"/>
    <x v="1"/>
    <n v="25"/>
    <n v="30"/>
  </r>
  <r>
    <s v="Chorzowska"/>
    <s v="Joanna"/>
    <d v="1968-08-20T00:00:00"/>
    <s v="srednie miasto"/>
    <x v="0"/>
    <n v="48"/>
    <n v="29.999999999999996"/>
  </r>
  <r>
    <s v="Szymenderski"/>
    <s v="Olaf"/>
    <d v="1993-05-11T00:00:00"/>
    <s v="male miasto"/>
    <x v="1"/>
    <n v="23"/>
    <n v="30"/>
  </r>
  <r>
    <s v="Adamczyk"/>
    <s v="Karolina"/>
    <d v="1953-06-12T00:00:00"/>
    <s v="wies"/>
    <x v="0"/>
    <n v="63"/>
    <n v="79"/>
  </r>
  <r>
    <s v="Banasik"/>
    <s v="Zofia"/>
    <d v="1974-09-12T00:00:00"/>
    <s v="wies"/>
    <x v="0"/>
    <n v="42"/>
    <n v="37.5"/>
  </r>
  <r>
    <s v="Kostrzewa"/>
    <s v="Piotr"/>
    <d v="1974-11-14T00:00:00"/>
    <s v="duze miasto"/>
    <x v="1"/>
    <n v="42"/>
    <n v="45"/>
  </r>
  <r>
    <s v="Gazda"/>
    <s v="Alicja"/>
    <d v="1956-06-12T00:00:00"/>
    <s v="duze miasto"/>
    <x v="0"/>
    <n v="60"/>
    <n v="29.999999999999996"/>
  </r>
  <r>
    <s v="Lubelska"/>
    <s v="Justyna"/>
    <d v="1952-09-19T00:00:00"/>
    <s v="duze miasto"/>
    <x v="0"/>
    <n v="64"/>
    <n v="79"/>
  </r>
  <r>
    <s v="Grabowska"/>
    <s v="Klaudia"/>
    <d v="1959-12-14T00:00:00"/>
    <s v="duze miasto"/>
    <x v="0"/>
    <n v="57"/>
    <n v="29.999999999999996"/>
  </r>
  <r>
    <s v="Talaska"/>
    <s v="Marcin"/>
    <d v="1946-03-12T00:00:00"/>
    <s v="duze miasto"/>
    <x v="1"/>
    <n v="70"/>
    <n v="85"/>
  </r>
  <r>
    <s v="Lewandowski"/>
    <s v="Bartosz"/>
    <d v="1995-07-13T00:00:00"/>
    <s v="srednie miasto"/>
    <x v="1"/>
    <n v="21"/>
    <n v="30"/>
  </r>
  <r>
    <s v="Durka"/>
    <s v="Kornelia"/>
    <d v="1943-11-18T00:00:00"/>
    <s v="duze miasto"/>
    <x v="0"/>
    <n v="73"/>
    <n v="79"/>
  </r>
  <r>
    <s v="Krynicka"/>
    <s v="Justyna"/>
    <d v="1991-07-27T00:00:00"/>
    <s v="srednie miasto"/>
    <x v="0"/>
    <n v="25"/>
    <n v="25"/>
  </r>
  <r>
    <s v="Baran"/>
    <s v="Leon"/>
    <d v="1951-09-21T00:00:00"/>
    <s v="srednie miasto"/>
    <x v="1"/>
    <n v="65"/>
    <n v="85"/>
  </r>
  <r>
    <s v="Pleszewska"/>
    <s v="Patrycja"/>
    <d v="1988-03-17T00:00:00"/>
    <s v="duze miasto"/>
    <x v="0"/>
    <n v="28"/>
    <n v="25"/>
  </r>
  <r>
    <s v="Kika"/>
    <s v="Marcelina"/>
    <d v="1986-12-25T00:00:00"/>
    <s v="wies"/>
    <x v="0"/>
    <n v="30"/>
    <n v="25"/>
  </r>
  <r>
    <s v="Legnicka"/>
    <s v="Maryla"/>
    <d v="1983-11-13T00:00:00"/>
    <s v="male miasto"/>
    <x v="0"/>
    <n v="33"/>
    <n v="37.5"/>
  </r>
  <r>
    <s v="Kijowski"/>
    <s v="Wojciech"/>
    <d v="1993-07-27T00:00:00"/>
    <s v="male miasto"/>
    <x v="1"/>
    <n v="23"/>
    <n v="30"/>
  </r>
  <r>
    <s v="Antczak"/>
    <s v="Klaudia"/>
    <d v="1991-02-12T00:00:00"/>
    <s v="duze miasto"/>
    <x v="0"/>
    <n v="25"/>
    <n v="25"/>
  </r>
  <r>
    <s v="Krakowska"/>
    <s v="Teresa"/>
    <d v="1959-12-13T00:00:00"/>
    <s v="duze miasto"/>
    <x v="0"/>
    <n v="57"/>
    <n v="29.999999999999996"/>
  </r>
  <r>
    <s v="Suwalska"/>
    <s v="Paulina"/>
    <d v="1950-12-07T00:00:00"/>
    <s v="male miasto"/>
    <x v="0"/>
    <n v="66"/>
    <n v="79"/>
  </r>
  <r>
    <s v="Karwatowska"/>
    <s v="Marzena"/>
    <d v="1951-10-09T00:00:00"/>
    <s v="duze miasto"/>
    <x v="0"/>
    <n v="65"/>
    <n v="79"/>
  </r>
  <r>
    <s v="Sofijska"/>
    <s v="Ewa"/>
    <d v="1946-09-11T00:00:00"/>
    <s v="wies"/>
    <x v="0"/>
    <n v="70"/>
    <n v="79"/>
  </r>
  <r>
    <s v="Sadecki"/>
    <s v="Andrzej"/>
    <d v="1961-12-04T00:00:00"/>
    <s v="wies"/>
    <x v="1"/>
    <n v="55"/>
    <n v="36"/>
  </r>
  <r>
    <s v="Podlaska"/>
    <s v="Paulina"/>
    <d v="1954-01-16T00:00:00"/>
    <s v="duze miasto"/>
    <x v="0"/>
    <n v="62"/>
    <n v="79"/>
  </r>
  <r>
    <s v="Augustowska"/>
    <s v="Zofia"/>
    <d v="1966-04-25T00:00:00"/>
    <s v="srednie miasto"/>
    <x v="0"/>
    <n v="50"/>
    <n v="29.999999999999996"/>
  </r>
  <r>
    <s v="Piotrkowska"/>
    <s v="Paulina"/>
    <d v="1947-01-29T00:00:00"/>
    <s v="male miasto"/>
    <x v="0"/>
    <n v="69"/>
    <n v="79"/>
  </r>
  <r>
    <s v="Sopocka"/>
    <s v="Karolina"/>
    <d v="1987-08-24T00:00:00"/>
    <s v="duze miasto"/>
    <x v="0"/>
    <n v="29"/>
    <n v="25"/>
  </r>
  <r>
    <s v="Piotrkowska"/>
    <s v="Katarzyna"/>
    <d v="1964-10-29T00:00:00"/>
    <s v="duze miasto"/>
    <x v="0"/>
    <n v="52"/>
    <n v="29.999999999999996"/>
  </r>
  <r>
    <s v="Krakowska"/>
    <s v="Beata"/>
    <d v="1971-11-02T00:00:00"/>
    <s v="duze miasto"/>
    <x v="0"/>
    <n v="45"/>
    <n v="37.5"/>
  </r>
  <r>
    <s v="Kalinowski"/>
    <s v="Szymon"/>
    <d v="1984-04-02T00:00:00"/>
    <s v="srednie miasto"/>
    <x v="1"/>
    <n v="32"/>
    <n v="45"/>
  </r>
  <r>
    <s v="Rzymski"/>
    <s v="Robert"/>
    <d v="1970-09-07T00:00:00"/>
    <s v="srednie miasto"/>
    <x v="1"/>
    <n v="46"/>
    <n v="36"/>
  </r>
  <r>
    <s v="Kowalik"/>
    <s v="Malgorzata"/>
    <d v="1945-04-02T00:00:00"/>
    <s v="male miasto"/>
    <x v="0"/>
    <n v="71"/>
    <n v="79"/>
  </r>
  <r>
    <s v="Bajda"/>
    <s v="Ewelina"/>
    <d v="1983-08-02T00:00:00"/>
    <s v="male miasto"/>
    <x v="0"/>
    <n v="33"/>
    <n v="37.5"/>
  </r>
  <r>
    <s v="Kapala"/>
    <s v="Adrian"/>
    <d v="1986-07-08T00:00:00"/>
    <s v="duze miasto"/>
    <x v="1"/>
    <n v="30"/>
    <n v="30"/>
  </r>
  <r>
    <s v="Szklarska"/>
    <s v="Marzena"/>
    <d v="1977-10-29T00:00:00"/>
    <s v="duze miasto"/>
    <x v="0"/>
    <n v="39"/>
    <n v="37.5"/>
  </r>
  <r>
    <s v="Jagos"/>
    <s v="Wioletta"/>
    <d v="1963-05-08T00:00:00"/>
    <s v="duze miasto"/>
    <x v="0"/>
    <n v="53"/>
    <n v="29.999999999999996"/>
  </r>
  <r>
    <s v="Szklarska"/>
    <s v="Dominika"/>
    <d v="1981-10-02T00:00:00"/>
    <s v="duze miasto"/>
    <x v="0"/>
    <n v="35"/>
    <n v="37.5"/>
  </r>
  <r>
    <s v="Bolkowski"/>
    <s v="Jan"/>
    <d v="1989-02-06T00:00:00"/>
    <s v="male miasto"/>
    <x v="1"/>
    <n v="27"/>
    <n v="30"/>
  </r>
  <r>
    <s v="Barszcz"/>
    <s v="Patryk"/>
    <d v="1980-05-20T00:00:00"/>
    <s v="duze miasto"/>
    <x v="1"/>
    <n v="36"/>
    <n v="45"/>
  </r>
  <r>
    <s v="Kot"/>
    <s v="Maciej"/>
    <d v="1948-08-27T00:00:00"/>
    <s v="male miasto"/>
    <x v="1"/>
    <n v="68"/>
    <n v="85"/>
  </r>
  <r>
    <s v="Junak"/>
    <s v="Roxana"/>
    <d v="1978-03-31T00:00:00"/>
    <s v="srednie miasto"/>
    <x v="0"/>
    <n v="38"/>
    <n v="37.5"/>
  </r>
  <r>
    <s v="Setniewska"/>
    <s v="Wiktoria"/>
    <d v="1957-11-30T00:00:00"/>
    <s v="male miasto"/>
    <x v="0"/>
    <n v="59"/>
    <n v="29.999999999999996"/>
  </r>
  <r>
    <s v="Hajkiewicz"/>
    <s v="Justyna"/>
    <d v="1949-10-12T00:00:00"/>
    <s v="duze miasto"/>
    <x v="0"/>
    <n v="67"/>
    <n v="79"/>
  </r>
  <r>
    <s v="Balcerzak"/>
    <s v="Ilona"/>
    <d v="1956-06-24T00:00:00"/>
    <s v="srednie miasto"/>
    <x v="0"/>
    <n v="60"/>
    <n v="29.999999999999996"/>
  </r>
  <r>
    <s v="Litewka"/>
    <s v="Maciej"/>
    <d v="1994-01-30T00:00:00"/>
    <s v="duze miasto"/>
    <x v="1"/>
    <n v="22"/>
    <n v="30"/>
  </r>
  <r>
    <s v="Kotala"/>
    <s v="Anna"/>
    <d v="1970-01-14T00:00:00"/>
    <s v="srednie miasto"/>
    <x v="0"/>
    <n v="46"/>
    <n v="29.999999999999996"/>
  </r>
  <r>
    <s v="Aronowska"/>
    <s v="Halina"/>
    <d v="1980-05-09T00:00:00"/>
    <s v="duze miasto"/>
    <x v="0"/>
    <n v="36"/>
    <n v="37.5"/>
  </r>
  <r>
    <s v="Katowicka"/>
    <s v="Dorota"/>
    <d v="1959-06-03T00:00:00"/>
    <s v="srednie miasto"/>
    <x v="0"/>
    <n v="57"/>
    <n v="29.999999999999996"/>
  </r>
  <r>
    <s v="Bitner"/>
    <s v="Halina"/>
    <d v="1955-12-13T00:00:00"/>
    <s v="duze miasto"/>
    <x v="0"/>
    <n v="61"/>
    <n v="79"/>
  </r>
  <r>
    <s v="Sochacki"/>
    <s v="Marcin"/>
    <d v="1967-01-03T00:00:00"/>
    <s v="duze miasto"/>
    <x v="1"/>
    <n v="49"/>
    <n v="36"/>
  </r>
  <r>
    <s v="Skrok"/>
    <s v="Arkadiusz"/>
    <d v="1973-04-19T00:00:00"/>
    <s v="srednie miasto"/>
    <x v="1"/>
    <n v="43"/>
    <n v="45"/>
  </r>
  <r>
    <s v="Bartosiak"/>
    <s v="Kazimiera"/>
    <d v="1948-05-15T00:00:00"/>
    <s v="duze miasto"/>
    <x v="0"/>
    <n v="68"/>
    <n v="79"/>
  </r>
  <r>
    <s v="Siedlecka"/>
    <s v="Rozalia"/>
    <d v="1947-08-03T00:00:00"/>
    <s v="duze miasto"/>
    <x v="0"/>
    <n v="69"/>
    <n v="79"/>
  </r>
  <r>
    <s v="Muchewicz"/>
    <s v="Piotr"/>
    <d v="1946-06-23T00:00:00"/>
    <s v="srednie miasto"/>
    <x v="1"/>
    <n v="70"/>
    <n v="85"/>
  </r>
  <r>
    <s v="Pilipczuk"/>
    <s v="Mariusz"/>
    <d v="1992-06-24T00:00:00"/>
    <s v="male miasto"/>
    <x v="1"/>
    <n v="24"/>
    <n v="30"/>
  </r>
  <r>
    <s v="Krakowska"/>
    <s v="Paulina"/>
    <d v="1992-10-08T00:00:00"/>
    <s v="srednie miasto"/>
    <x v="0"/>
    <n v="24"/>
    <n v="25"/>
  </r>
  <r>
    <s v="Bielun"/>
    <s v="Urszula"/>
    <d v="1983-07-01T00:00:00"/>
    <s v="wies"/>
    <x v="0"/>
    <n v="33"/>
    <n v="37.5"/>
  </r>
  <r>
    <s v="Grzeskowiak"/>
    <s v="Szymon"/>
    <d v="1960-06-23T00:00:00"/>
    <s v="wies"/>
    <x v="1"/>
    <n v="56"/>
    <n v="36"/>
  </r>
  <r>
    <s v="Karpek"/>
    <s v="Paulina"/>
    <d v="1976-06-27T00:00:00"/>
    <s v="srednie miasto"/>
    <x v="0"/>
    <n v="40"/>
    <n v="37.5"/>
  </r>
  <r>
    <s v="Kowal"/>
    <s v="Ewa"/>
    <d v="1965-01-20T00:00:00"/>
    <s v="duze miasto"/>
    <x v="0"/>
    <n v="51"/>
    <n v="29.999999999999996"/>
  </r>
  <r>
    <s v="Augustyn"/>
    <s v="Zofia"/>
    <d v="1968-11-16T00:00:00"/>
    <s v="srednie miasto"/>
    <x v="0"/>
    <n v="48"/>
    <n v="29.999999999999996"/>
  </r>
  <r>
    <s v="Filipczuk"/>
    <s v="Paulina"/>
    <d v="1967-12-18T00:00:00"/>
    <s v="duze miasto"/>
    <x v="0"/>
    <n v="49"/>
    <n v="29.999999999999996"/>
  </r>
  <r>
    <s v="Miklas"/>
    <s v="Maciej"/>
    <d v="1991-06-09T00:00:00"/>
    <s v="wies"/>
    <x v="1"/>
    <n v="25"/>
    <n v="30"/>
  </r>
  <r>
    <s v="Vasina"/>
    <s v="Adam"/>
    <d v="1995-04-06T00:00:00"/>
    <s v="wies"/>
    <x v="1"/>
    <n v="21"/>
    <n v="30"/>
  </r>
  <r>
    <s v="Bydgoska"/>
    <s v="Inga"/>
    <d v="1955-10-12T00:00:00"/>
    <s v="duze miasto"/>
    <x v="0"/>
    <n v="61"/>
    <n v="79"/>
  </r>
  <r>
    <s v="Banasiewicz"/>
    <s v="Beata"/>
    <d v="1969-08-01T00:00:00"/>
    <s v="duze miasto"/>
    <x v="0"/>
    <n v="47"/>
    <n v="29.999999999999996"/>
  </r>
  <r>
    <s v="Fryziel"/>
    <s v="Daria"/>
    <d v="1958-12-29T00:00:00"/>
    <s v="duze miasto"/>
    <x v="0"/>
    <n v="58"/>
    <n v="29.999999999999996"/>
  </r>
  <r>
    <s v="Bedka"/>
    <s v="Justyna"/>
    <d v="1985-07-04T00:00:00"/>
    <s v="wies"/>
    <x v="0"/>
    <n v="31"/>
    <n v="37.5"/>
  </r>
  <r>
    <s v="Banaszczyk"/>
    <s v="Barbara"/>
    <d v="1977-12-13T00:00:00"/>
    <s v="duze miasto"/>
    <x v="0"/>
    <n v="39"/>
    <n v="37.5"/>
  </r>
  <r>
    <s v="Ptaszek"/>
    <s v="Janusz"/>
    <d v="1993-11-14T00:00:00"/>
    <s v="duze miasto"/>
    <x v="1"/>
    <n v="23"/>
    <n v="30"/>
  </r>
  <r>
    <s v="Rey"/>
    <s v="Tadeusz"/>
    <d v="1968-05-14T00:00:00"/>
    <s v="srednie miasto"/>
    <x v="1"/>
    <n v="48"/>
    <n v="36"/>
  </r>
  <r>
    <s v="Zeller"/>
    <s v="Teresa"/>
    <d v="1951-06-08T00:00:00"/>
    <s v="wies"/>
    <x v="0"/>
    <n v="65"/>
    <n v="79"/>
  </r>
  <r>
    <s v="Majcherczyk"/>
    <s v="Maciej"/>
    <d v="1975-08-05T00:00:00"/>
    <s v="wies"/>
    <x v="1"/>
    <n v="41"/>
    <n v="45"/>
  </r>
  <r>
    <s v="Grabicka"/>
    <s v="Grazyna"/>
    <d v="1971-05-18T00:00:00"/>
    <s v="duze miasto"/>
    <x v="0"/>
    <n v="45"/>
    <n v="37.5"/>
  </r>
  <r>
    <s v="Praska"/>
    <s v="Anna"/>
    <d v="1950-01-22T00:00:00"/>
    <s v="srednie miasto"/>
    <x v="0"/>
    <n v="66"/>
    <n v="79"/>
  </r>
  <r>
    <s v="Jakus"/>
    <s v="Piotr"/>
    <d v="1992-04-02T00:00:00"/>
    <s v="duze miasto"/>
    <x v="1"/>
    <n v="24"/>
    <n v="30"/>
  </r>
  <r>
    <s v="Grdulska"/>
    <s v="Danuta"/>
    <d v="1969-07-20T00:00:00"/>
    <s v="duze miasto"/>
    <x v="0"/>
    <n v="47"/>
    <n v="29.999999999999996"/>
  </r>
  <r>
    <s v="Badowski"/>
    <s v="Karol"/>
    <d v="1959-08-07T00:00:00"/>
    <s v="srednie miasto"/>
    <x v="1"/>
    <n v="57"/>
    <n v="36"/>
  </r>
  <r>
    <s v="Majkut"/>
    <s v="Maciej"/>
    <d v="1972-07-10T00:00:00"/>
    <s v="srednie miasto"/>
    <x v="1"/>
    <n v="44"/>
    <n v="45"/>
  </r>
  <r>
    <s v="Cabaj"/>
    <s v="Martyna"/>
    <d v="1979-02-11T00:00:00"/>
    <s v="wies"/>
    <x v="0"/>
    <n v="37"/>
    <n v="37.5"/>
  </r>
  <r>
    <s v="Malecka"/>
    <s v="Stefania"/>
    <d v="1991-08-04T00:00:00"/>
    <s v="duze miasto"/>
    <x v="0"/>
    <n v="25"/>
    <n v="25"/>
  </r>
  <r>
    <s v="Gagatek"/>
    <s v="Stefan"/>
    <d v="1967-03-08T00:00:00"/>
    <s v="duze miasto"/>
    <x v="1"/>
    <n v="49"/>
    <n v="36"/>
  </r>
  <r>
    <s v="Otwocka"/>
    <s v="Ewelia"/>
    <d v="1976-08-20T00:00:00"/>
    <s v="srednie miasto"/>
    <x v="0"/>
    <n v="40"/>
    <n v="37.5"/>
  </r>
  <r>
    <s v="Pleszewska"/>
    <s v="Krystyna"/>
    <d v="1972-02-06T00:00:00"/>
    <s v="male miasto"/>
    <x v="0"/>
    <n v="44"/>
    <n v="37.5"/>
  </r>
  <r>
    <s v="Sabatowicz"/>
    <s v="Szymon"/>
    <d v="1985-02-17T00:00:00"/>
    <s v="duze miasto"/>
    <x v="1"/>
    <n v="31"/>
    <n v="45"/>
  </r>
  <r>
    <s v="Magiera"/>
    <s v="Robert"/>
    <d v="1971-06-28T00:00:00"/>
    <s v="male miasto"/>
    <x v="1"/>
    <n v="45"/>
    <n v="45"/>
  </r>
  <r>
    <s v="Klekotko"/>
    <s v="Justyna"/>
    <d v="1963-09-18T00:00:00"/>
    <s v="srednie miasto"/>
    <x v="0"/>
    <n v="53"/>
    <n v="29.999999999999996"/>
  </r>
  <r>
    <s v="Nowak"/>
    <s v="Damian"/>
    <d v="1990-03-20T00:00:00"/>
    <s v="male miasto"/>
    <x v="1"/>
    <n v="26"/>
    <n v="30"/>
  </r>
  <r>
    <s v="Doszko"/>
    <s v="Katarzyna"/>
    <d v="1954-02-04T00:00:00"/>
    <s v="wies"/>
    <x v="0"/>
    <n v="62"/>
    <n v="79"/>
  </r>
  <r>
    <s v="Rozwalka"/>
    <s v="Wojciech"/>
    <d v="1974-10-22T00:00:00"/>
    <s v="wies"/>
    <x v="1"/>
    <n v="42"/>
    <n v="45"/>
  </r>
  <r>
    <s v="Aleksandrowicz"/>
    <s v="Krystyna"/>
    <d v="1959-10-15T00:00:00"/>
    <s v="srednie miasto"/>
    <x v="0"/>
    <n v="57"/>
    <n v="29.999999999999996"/>
  </r>
  <r>
    <s v="Kilarski"/>
    <s v="Ewa"/>
    <d v="1957-08-19T00:00:00"/>
    <s v="male miasto"/>
    <x v="0"/>
    <n v="59"/>
    <n v="29.999999999999996"/>
  </r>
  <r>
    <s v="Rykowski"/>
    <s v="Roman"/>
    <d v="1985-09-02T00:00:00"/>
    <s v="male miasto"/>
    <x v="1"/>
    <n v="31"/>
    <n v="45"/>
  </r>
  <r>
    <s v="Skierniewicka"/>
    <s v="Malwina"/>
    <d v="1947-01-12T00:00:00"/>
    <s v="duze miasto"/>
    <x v="0"/>
    <n v="69"/>
    <n v="79"/>
  </r>
  <r>
    <s v="Wronka"/>
    <s v="Cezary"/>
    <d v="1988-06-11T00:00:00"/>
    <s v="srednie miasto"/>
    <x v="1"/>
    <n v="28"/>
    <n v="30"/>
  </r>
  <r>
    <s v="Wroniszewski"/>
    <s v="Mieszko"/>
    <d v="1987-10-31T00:00:00"/>
    <s v="duze miasto"/>
    <x v="1"/>
    <n v="29"/>
    <n v="30"/>
  </r>
  <r>
    <s v="Andrzejewska"/>
    <s v="Barbara"/>
    <d v="1986-12-03T00:00:00"/>
    <s v="srednie miasto"/>
    <x v="0"/>
    <n v="30"/>
    <n v="25"/>
  </r>
  <r>
    <s v="Klimaszewski"/>
    <s v="Krzysztof"/>
    <d v="1951-01-20T00:00:00"/>
    <s v="male miasto"/>
    <x v="1"/>
    <n v="65"/>
    <n v="85"/>
  </r>
  <r>
    <s v="Pachnowski"/>
    <s v="Jacek"/>
    <d v="1945-10-24T00:00:00"/>
    <s v="srednie miasto"/>
    <x v="1"/>
    <n v="71"/>
    <n v="85"/>
  </r>
  <r>
    <s v="Klimaszewska"/>
    <s v="Ewa"/>
    <d v="1968-07-17T00:00:00"/>
    <s v="duze miasto"/>
    <x v="0"/>
    <n v="48"/>
    <n v="29.999999999999996"/>
  </r>
  <r>
    <s v="Malik"/>
    <s v="Jakub"/>
    <d v="1947-06-24T00:00:00"/>
    <s v="srednie miasto"/>
    <x v="1"/>
    <n v="69"/>
    <n v="85"/>
  </r>
  <r>
    <s v="Grzeskowiak"/>
    <s v="Szymon"/>
    <d v="1963-05-26T00:00:00"/>
    <s v="wies"/>
    <x v="1"/>
    <n v="53"/>
    <n v="36"/>
  </r>
  <r>
    <s v="Lwowska"/>
    <s v="Paulina"/>
    <d v="1946-12-30T00:00:00"/>
    <s v="duze miasto"/>
    <x v="0"/>
    <n v="70"/>
    <n v="79"/>
  </r>
  <r>
    <s v="Adamowicz"/>
    <s v="Jolanta"/>
    <d v="1966-12-30T00:00:00"/>
    <s v="duze miasto"/>
    <x v="0"/>
    <n v="50"/>
    <n v="29.999999999999996"/>
  </r>
  <r>
    <s v="Pastuszka"/>
    <s v="Marzena"/>
    <d v="1994-07-08T00:00:00"/>
    <s v="srednie miasto"/>
    <x v="0"/>
    <n v="22"/>
    <n v="25"/>
  </r>
  <r>
    <s v="Kalitowski"/>
    <s v="Marcin"/>
    <d v="1950-04-01T00:00:00"/>
    <s v="srednie miasto"/>
    <x v="1"/>
    <n v="66"/>
    <n v="85"/>
  </r>
  <r>
    <s v="Miller"/>
    <s v="Zbigniew"/>
    <d v="1993-04-10T00:00:00"/>
    <s v="duze miasto"/>
    <x v="1"/>
    <n v="23"/>
    <n v="30"/>
  </r>
  <r>
    <s v="Bartkiewicz"/>
    <s v="Elwira"/>
    <d v="1947-06-13T00:00:00"/>
    <s v="duze miasto"/>
    <x v="0"/>
    <n v="69"/>
    <n v="79"/>
  </r>
  <r>
    <s v="Dmochowska"/>
    <s v="Katarzyna"/>
    <d v="1991-11-08T00:00:00"/>
    <s v="male miasto"/>
    <x v="0"/>
    <n v="25"/>
    <n v="25"/>
  </r>
  <r>
    <s v="Szostek"/>
    <s v="Krzysztof"/>
    <d v="1966-11-15T00:00:00"/>
    <s v="srednie miasto"/>
    <x v="1"/>
    <n v="50"/>
    <n v="36"/>
  </r>
  <r>
    <s v="Paprocki"/>
    <s v="Konrad"/>
    <d v="1952-11-09T00:00:00"/>
    <s v="male miasto"/>
    <x v="1"/>
    <n v="64"/>
    <n v="85"/>
  </r>
  <r>
    <s v="Holmes"/>
    <s v="Barbara"/>
    <d v="1972-11-23T00:00:00"/>
    <s v="duze miasto"/>
    <x v="0"/>
    <n v="44"/>
    <n v="37.5"/>
  </r>
  <r>
    <s v="Kozar"/>
    <s v="Robert"/>
    <d v="1959-12-13T00:00:00"/>
    <s v="duze miasto"/>
    <x v="1"/>
    <n v="57"/>
    <n v="36"/>
  </r>
  <r>
    <s v="Bednarska"/>
    <s v="Karolina"/>
    <d v="1995-06-15T00:00:00"/>
    <s v="duze miasto"/>
    <x v="0"/>
    <n v="21"/>
    <n v="25"/>
  </r>
  <r>
    <s v="Piotrkowska"/>
    <s v="Zuzanna"/>
    <d v="1953-12-19T00:00:00"/>
    <s v="duze miasto"/>
    <x v="0"/>
    <n v="63"/>
    <n v="79"/>
  </r>
  <r>
    <s v="Antos"/>
    <s v="Karolina"/>
    <d v="1976-05-13T00:00:00"/>
    <s v="srednie miasto"/>
    <x v="0"/>
    <n v="40"/>
    <n v="37.5"/>
  </r>
  <r>
    <s v="Kumur"/>
    <s v="Genowefa"/>
    <d v="1977-04-11T00:00:00"/>
    <s v="duze miasto"/>
    <x v="0"/>
    <n v="39"/>
    <n v="37.5"/>
  </r>
  <r>
    <s v="Wilczko"/>
    <s v="Adrian"/>
    <d v="1982-01-03T00:00:00"/>
    <s v="wies"/>
    <x v="1"/>
    <n v="34"/>
    <n v="45"/>
  </r>
  <r>
    <s v="Bugajski"/>
    <s v="Jan"/>
    <d v="1963-04-10T00:00:00"/>
    <s v="duze miasto"/>
    <x v="1"/>
    <n v="53"/>
    <n v="36"/>
  </r>
  <r>
    <s v="Florczuk"/>
    <s v="Katarzyna"/>
    <d v="1967-12-02T00:00:00"/>
    <s v="duze miasto"/>
    <x v="0"/>
    <n v="49"/>
    <n v="29.999999999999996"/>
  </r>
  <r>
    <s v="Bielec"/>
    <s v="Maria"/>
    <d v="1948-03-09T00:00:00"/>
    <s v="male miasto"/>
    <x v="0"/>
    <n v="68"/>
    <n v="79"/>
  </r>
  <r>
    <s v="Busz"/>
    <s v="Jan"/>
    <d v="1958-01-14T00:00:00"/>
    <s v="wies"/>
    <x v="1"/>
    <n v="58"/>
    <n v="36"/>
  </r>
  <r>
    <s v="Balicka"/>
    <s v="Anna"/>
    <d v="1981-10-20T00:00:00"/>
    <s v="duze miasto"/>
    <x v="0"/>
    <n v="35"/>
    <n v="37.5"/>
  </r>
  <r>
    <s v="Badowska"/>
    <s v="Danuta"/>
    <d v="1953-10-27T00:00:00"/>
    <s v="srednie miasto"/>
    <x v="0"/>
    <n v="63"/>
    <n v="79"/>
  </r>
  <r>
    <s v="Labryga"/>
    <s v="Piotr"/>
    <d v="1961-08-21T00:00:00"/>
    <s v="duze miasto"/>
    <x v="1"/>
    <n v="55"/>
    <n v="36"/>
  </r>
  <r>
    <s v="Barcik"/>
    <s v="Barbara"/>
    <d v="1969-05-09T00:00:00"/>
    <s v="duze miasto"/>
    <x v="0"/>
    <n v="47"/>
    <n v="29.999999999999996"/>
  </r>
  <r>
    <s v="Ksel"/>
    <s v="Krzysztof"/>
    <d v="1955-04-02T00:00:00"/>
    <s v="male miasto"/>
    <x v="1"/>
    <n v="61"/>
    <n v="85"/>
  </r>
  <r>
    <s v="Skrzypek"/>
    <s v="Bartosz"/>
    <d v="1952-05-27T00:00:00"/>
    <s v="duze miasto"/>
    <x v="1"/>
    <n v="64"/>
    <n v="85"/>
  </r>
  <r>
    <s v="Konstantinova"/>
    <s v="Alexandra"/>
    <d v="1949-09-06T00:00:00"/>
    <s v="duze miasto"/>
    <x v="0"/>
    <n v="67"/>
    <n v="79"/>
  </r>
  <r>
    <s v="Kowalska"/>
    <s v="Karolina"/>
    <d v="1971-08-01T00:00:00"/>
    <s v="srednie miasto"/>
    <x v="0"/>
    <n v="45"/>
    <n v="37.5"/>
  </r>
  <r>
    <s v="Wojtkowiak"/>
    <s v="Marcin"/>
    <d v="1984-04-26T00:00:00"/>
    <s v="male miasto"/>
    <x v="1"/>
    <n v="32"/>
    <n v="45"/>
  </r>
  <r>
    <s v="Jurecka"/>
    <s v="Kinga"/>
    <d v="1967-05-31T00:00:00"/>
    <s v="duze miasto"/>
    <x v="0"/>
    <n v="49"/>
    <n v="29.999999999999996"/>
  </r>
  <r>
    <s v="Popowski"/>
    <s v="Adam"/>
    <d v="1987-02-10T00:00:00"/>
    <s v="srednie miasto"/>
    <x v="1"/>
    <n v="29"/>
    <n v="30"/>
  </r>
  <r>
    <s v="Pietrzyk"/>
    <s v="Anita"/>
    <d v="1993-08-20T00:00:00"/>
    <s v="duze miasto"/>
    <x v="0"/>
    <n v="23"/>
    <n v="25"/>
  </r>
  <r>
    <s v="Sieduszewski"/>
    <s v="Piotr"/>
    <d v="1974-02-19T00:00:00"/>
    <s v="wies"/>
    <x v="1"/>
    <n v="42"/>
    <n v="45"/>
  </r>
  <r>
    <s v="Pryk"/>
    <s v="Tymon"/>
    <d v="1949-06-04T00:00:00"/>
    <s v="wies"/>
    <x v="1"/>
    <n v="67"/>
    <n v="85"/>
  </r>
  <r>
    <s v="Maj"/>
    <s v="Maciej"/>
    <d v="1974-01-30T00:00:00"/>
    <s v="duze miasto"/>
    <x v="1"/>
    <n v="42"/>
    <n v="45"/>
  </r>
  <r>
    <s v="Marciszewski"/>
    <s v="Roman"/>
    <d v="1984-12-23T00:00:00"/>
    <s v="srednie miasto"/>
    <x v="1"/>
    <n v="32"/>
    <n v="45"/>
  </r>
  <r>
    <s v="Adamski"/>
    <s v="Jerzy"/>
    <d v="1995-07-13T00:00:00"/>
    <s v="duze miasto"/>
    <x v="1"/>
    <n v="21"/>
    <n v="30"/>
  </r>
  <r>
    <s v="Albert"/>
    <s v="Jerzy"/>
    <d v="1960-07-04T00:00:00"/>
    <s v="srednie miasto"/>
    <x v="1"/>
    <n v="56"/>
    <n v="36"/>
  </r>
  <r>
    <s v="Polkowicka"/>
    <s v="Dominika"/>
    <d v="1944-07-14T00:00:00"/>
    <s v="duze miasto"/>
    <x v="0"/>
    <n v="72"/>
    <n v="79"/>
  </r>
  <r>
    <s v="Cieplik"/>
    <s v="Marta"/>
    <d v="1987-11-22T00:00:00"/>
    <s v="duze miasto"/>
    <x v="0"/>
    <n v="29"/>
    <n v="25"/>
  </r>
  <r>
    <s v="Parczewska"/>
    <s v="Malwina"/>
    <d v="1971-03-04T00:00:00"/>
    <s v="wies"/>
    <x v="0"/>
    <n v="45"/>
    <n v="37.5"/>
  </r>
  <r>
    <s v="Pisarska"/>
    <s v="Alicja"/>
    <d v="1990-06-16T00:00:00"/>
    <s v="duze miasto"/>
    <x v="0"/>
    <n v="26"/>
    <n v="25"/>
  </r>
  <r>
    <s v="Basiak"/>
    <s v="Anna"/>
    <d v="1983-12-21T00:00:00"/>
    <s v="wies"/>
    <x v="0"/>
    <n v="33"/>
    <n v="37.5"/>
  </r>
  <r>
    <s v="Janicka"/>
    <s v="Paulina"/>
    <d v="1969-02-09T00:00:00"/>
    <s v="duze miasto"/>
    <x v="0"/>
    <n v="47"/>
    <n v="29.999999999999996"/>
  </r>
  <r>
    <s v="Engel"/>
    <s v="Anna"/>
    <d v="1975-09-02T00:00:00"/>
    <s v="duze miasto"/>
    <x v="0"/>
    <n v="41"/>
    <n v="37.5"/>
  </r>
  <r>
    <s v="Plichta"/>
    <s v="Robert"/>
    <d v="1970-03-17T00:00:00"/>
    <s v="duze miasto"/>
    <x v="1"/>
    <n v="46"/>
    <n v="36"/>
  </r>
  <r>
    <s v="Barszczewska"/>
    <s v="Cecylia"/>
    <d v="1975-10-16T00:00:00"/>
    <s v="srednie miasto"/>
    <x v="0"/>
    <n v="41"/>
    <n v="37.5"/>
  </r>
  <r>
    <s v="Szklarska"/>
    <s v="Tekla"/>
    <d v="1989-09-14T00:00:00"/>
    <s v="wies"/>
    <x v="0"/>
    <n v="27"/>
    <n v="25"/>
  </r>
  <r>
    <s v="Aleksandrowicz"/>
    <s v="Barbara"/>
    <d v="1972-03-22T00:00:00"/>
    <s v="wies"/>
    <x v="0"/>
    <n v="44"/>
    <n v="37.5"/>
  </r>
  <r>
    <s v="Kuc"/>
    <s v="Danuta"/>
    <d v="1958-11-19T00:00:00"/>
    <s v="srednie miasto"/>
    <x v="0"/>
    <n v="58"/>
    <n v="29.999999999999996"/>
  </r>
  <r>
    <s v="Kogut"/>
    <s v="Magdalena"/>
    <d v="1989-10-09T00:00:00"/>
    <s v="srednie miasto"/>
    <x v="0"/>
    <n v="27"/>
    <n v="25"/>
  </r>
  <r>
    <s v="Sopocka"/>
    <s v="Olivia"/>
    <d v="1966-07-15T00:00:00"/>
    <s v="srednie miasto"/>
    <x v="0"/>
    <n v="50"/>
    <n v="29.999999999999996"/>
  </r>
  <r>
    <s v="Berezowska"/>
    <s v="Anita"/>
    <d v="1984-03-06T00:00:00"/>
    <s v="wies"/>
    <x v="0"/>
    <n v="32"/>
    <n v="37.5"/>
  </r>
  <r>
    <s v="Walczak"/>
    <s v="Maciej"/>
    <d v="1954-05-09T00:00:00"/>
    <s v="duze miasto"/>
    <x v="1"/>
    <n v="62"/>
    <n v="85"/>
  </r>
  <r>
    <s v="Guzik"/>
    <s v="Anna"/>
    <d v="1988-01-05T00:00:00"/>
    <s v="duze miasto"/>
    <x v="0"/>
    <n v="28"/>
    <n v="25"/>
  </r>
  <r>
    <s v="Modzelewski"/>
    <s v="Mateusz"/>
    <d v="1949-01-06T00:00:00"/>
    <s v="duze miasto"/>
    <x v="1"/>
    <n v="67"/>
    <n v="85"/>
  </r>
  <r>
    <s v="Dudek"/>
    <s v="Marzena"/>
    <d v="1954-11-29T00:00:00"/>
    <s v="duze miasto"/>
    <x v="0"/>
    <n v="62"/>
    <n v="79"/>
  </r>
  <r>
    <s v="Banach"/>
    <s v="Leon"/>
    <d v="1984-06-30T00:00:00"/>
    <s v="wies"/>
    <x v="1"/>
    <n v="32"/>
    <n v="45"/>
  </r>
  <r>
    <s v="Klasz"/>
    <s v="Marcin"/>
    <d v="1961-06-03T00:00:00"/>
    <s v="srednie miasto"/>
    <x v="1"/>
    <n v="55"/>
    <n v="36"/>
  </r>
  <r>
    <s v="Banasik"/>
    <s v="Irena"/>
    <d v="1946-09-03T00:00:00"/>
    <s v="duze miasto"/>
    <x v="0"/>
    <n v="70"/>
    <n v="79"/>
  </r>
  <r>
    <s v="Kisiel"/>
    <s v="Dawid"/>
    <d v="1967-09-17T00:00:00"/>
    <s v="srednie miasto"/>
    <x v="1"/>
    <n v="49"/>
    <n v="36"/>
  </r>
  <r>
    <s v="Geldner"/>
    <s v="Magdalena"/>
    <d v="1950-11-22T00:00:00"/>
    <s v="srednie miasto"/>
    <x v="0"/>
    <n v="66"/>
    <n v="79"/>
  </r>
  <r>
    <s v="Rygielski"/>
    <s v="Maciej"/>
    <d v="1956-09-29T00:00:00"/>
    <s v="duze miasto"/>
    <x v="1"/>
    <n v="60"/>
    <n v="36"/>
  </r>
  <r>
    <s v="Ossowski"/>
    <s v="Karol"/>
    <d v="1964-01-25T00:00:00"/>
    <s v="srednie miasto"/>
    <x v="1"/>
    <n v="52"/>
    <n v="36"/>
  </r>
  <r>
    <s v="Kisielewska"/>
    <s v="Greta"/>
    <d v="1946-10-09T00:00:00"/>
    <s v="srednie miasto"/>
    <x v="0"/>
    <n v="70"/>
    <n v="79"/>
  </r>
  <r>
    <s v="Nyski"/>
    <s v="Piotr"/>
    <d v="1983-06-14T00:00:00"/>
    <s v="duze miasto"/>
    <x v="1"/>
    <n v="33"/>
    <n v="45"/>
  </r>
  <r>
    <s v="Kopec"/>
    <s v="Anna"/>
    <d v="1956-07-15T00:00:00"/>
    <s v="duze miasto"/>
    <x v="0"/>
    <n v="60"/>
    <n v="29.999999999999996"/>
  </r>
  <r>
    <s v="Sznyrowska"/>
    <s v="Wiktoria"/>
    <d v="1989-03-13T00:00:00"/>
    <s v="duze miasto"/>
    <x v="0"/>
    <n v="27"/>
    <n v="25"/>
  </r>
  <r>
    <s v="Tichoniuk"/>
    <s v="Marcin"/>
    <d v="1949-12-01T00:00:00"/>
    <s v="duze miasto"/>
    <x v="1"/>
    <n v="67"/>
    <n v="85"/>
  </r>
  <r>
    <s v="Dul"/>
    <s v="Dominika"/>
    <d v="1966-04-28T00:00:00"/>
    <s v="srednie miasto"/>
    <x v="0"/>
    <n v="50"/>
    <n v="29.999999999999996"/>
  </r>
  <r>
    <s v="Grzegorczyk"/>
    <s v="Marta"/>
    <d v="1974-09-27T00:00:00"/>
    <s v="srednie miasto"/>
    <x v="0"/>
    <n v="42"/>
    <n v="37.5"/>
  </r>
  <r>
    <s v="Grzywacz"/>
    <s v="Wanda"/>
    <d v="1950-05-15T00:00:00"/>
    <s v="duze miasto"/>
    <x v="0"/>
    <n v="66"/>
    <n v="79"/>
  </r>
  <r>
    <s v="Banach"/>
    <s v="Dorota"/>
    <d v="1994-03-07T00:00:00"/>
    <s v="duze miasto"/>
    <x v="0"/>
    <n v="22"/>
    <n v="25"/>
  </r>
  <r>
    <s v="Legnicka"/>
    <s v="Karina"/>
    <d v="1958-11-24T00:00:00"/>
    <s v="duze miasto"/>
    <x v="0"/>
    <n v="58"/>
    <n v="29.999999999999996"/>
  </r>
  <r>
    <s v="Barabasz"/>
    <s v="Krystyna"/>
    <d v="1986-12-03T00:00:00"/>
    <s v="srednie miasto"/>
    <x v="0"/>
    <n v="30"/>
    <n v="25"/>
  </r>
  <r>
    <s v="Borowska"/>
    <s v="Ewelina"/>
    <d v="1993-09-23T00:00:00"/>
    <s v="srednie miasto"/>
    <x v="0"/>
    <n v="23"/>
    <n v="25"/>
  </r>
  <r>
    <s v="Cedro"/>
    <s v="Zofia"/>
    <d v="1952-07-08T00:00:00"/>
    <s v="wies"/>
    <x v="0"/>
    <n v="64"/>
    <n v="79"/>
  </r>
  <r>
    <s v="Sieradzki"/>
    <s v="Piotr"/>
    <d v="1975-01-30T00:00:00"/>
    <s v="duze miasto"/>
    <x v="1"/>
    <n v="41"/>
    <n v="45"/>
  </r>
  <r>
    <s v="Sar"/>
    <s v="Wojciech"/>
    <d v="1964-10-15T00:00:00"/>
    <s v="duze miasto"/>
    <x v="1"/>
    <n v="52"/>
    <n v="36"/>
  </r>
  <r>
    <s v="Kordaszewska"/>
    <s v="Magdalena"/>
    <d v="1948-04-26T00:00:00"/>
    <s v="srednie miasto"/>
    <x v="0"/>
    <n v="68"/>
    <n v="79"/>
  </r>
  <r>
    <s v="Bauer"/>
    <s v="Jagoda"/>
    <d v="1969-11-23T00:00:00"/>
    <s v="srednie miasto"/>
    <x v="0"/>
    <n v="47"/>
    <n v="29.999999999999996"/>
  </r>
  <r>
    <s v="Brychcy"/>
    <s v="Agata"/>
    <d v="1995-02-28T00:00:00"/>
    <s v="wies"/>
    <x v="0"/>
    <n v="21"/>
    <n v="25"/>
  </r>
  <r>
    <s v="Potocki"/>
    <s v="Grzegorz"/>
    <d v="1947-12-30T00:00:00"/>
    <s v="duze miasto"/>
    <x v="1"/>
    <n v="69"/>
    <n v="85"/>
  </r>
  <r>
    <s v="Kordaszewski"/>
    <s v="Piotr"/>
    <d v="1988-12-05T00:00:00"/>
    <s v="srednie miasto"/>
    <x v="1"/>
    <n v="28"/>
    <n v="30"/>
  </r>
  <r>
    <s v="Wiatrowski"/>
    <s v="Roman"/>
    <d v="1994-07-18T00:00:00"/>
    <s v="duze miasto"/>
    <x v="1"/>
    <n v="22"/>
    <n v="30"/>
  </r>
  <r>
    <s v="Albert"/>
    <s v="Joanna"/>
    <d v="1978-01-01T00:00:00"/>
    <s v="duze miasto"/>
    <x v="0"/>
    <n v="38"/>
    <n v="37.5"/>
  </r>
  <r>
    <s v="Balcer"/>
    <s v="Iwona"/>
    <d v="1989-06-30T00:00:00"/>
    <s v="wies"/>
    <x v="0"/>
    <n v="27"/>
    <n v="25"/>
  </r>
  <r>
    <s v="Augustowska"/>
    <s v="Irma"/>
    <d v="1974-03-24T00:00:00"/>
    <s v="srednie miasto"/>
    <x v="0"/>
    <n v="42"/>
    <n v="37.5"/>
  </r>
  <r>
    <s v="Jackowska"/>
    <s v="Maria"/>
    <d v="1980-02-08T00:00:00"/>
    <s v="duze miasto"/>
    <x v="0"/>
    <n v="36"/>
    <n v="37.5"/>
  </r>
  <r>
    <s v="Adamczyk"/>
    <s v="Julia"/>
    <d v="1950-06-23T00:00:00"/>
    <s v="srednie miasto"/>
    <x v="0"/>
    <n v="66"/>
    <n v="79"/>
  </r>
  <r>
    <s v="Sosnowiecka"/>
    <s v="Dorota"/>
    <d v="1994-03-13T00:00:00"/>
    <s v="duze miasto"/>
    <x v="0"/>
    <n v="22"/>
    <n v="25"/>
  </r>
  <r>
    <s v="Henrykowski"/>
    <s v="Kornel"/>
    <d v="1973-01-25T00:00:00"/>
    <s v="duze miasto"/>
    <x v="1"/>
    <n v="43"/>
    <n v="45"/>
  </r>
  <r>
    <s v="Szklarska"/>
    <s v="Karolina"/>
    <d v="1966-10-11T00:00:00"/>
    <s v="srednie miasto"/>
    <x v="0"/>
    <n v="50"/>
    <n v="29.999999999999996"/>
  </r>
  <r>
    <s v="Podczasiak"/>
    <s v="Jadwiga"/>
    <d v="1960-04-04T00:00:00"/>
    <s v="duze miasto"/>
    <x v="0"/>
    <n v="56"/>
    <n v="29.999999999999996"/>
  </r>
  <r>
    <s v="Skrzydlowski"/>
    <s v="Dawid"/>
    <d v="1947-02-09T00:00:00"/>
    <s v="wies"/>
    <x v="1"/>
    <n v="69"/>
    <n v="85"/>
  </r>
  <r>
    <s v="Genewski"/>
    <s v="Andrzej"/>
    <d v="1961-09-23T00:00:00"/>
    <s v="srednie miasto"/>
    <x v="1"/>
    <n v="55"/>
    <n v="36"/>
  </r>
  <r>
    <s v="Bienias"/>
    <s v="Alina"/>
    <d v="1956-09-24T00:00:00"/>
    <s v="duze miasto"/>
    <x v="0"/>
    <n v="60"/>
    <n v="29.999999999999996"/>
  </r>
  <r>
    <s v="Madrycki"/>
    <s v="Janusz"/>
    <d v="1968-03-03T00:00:00"/>
    <s v="duze miasto"/>
    <x v="1"/>
    <n v="48"/>
    <n v="36"/>
  </r>
  <r>
    <s v="Opolska"/>
    <s v="Paulina"/>
    <d v="1956-12-19T00:00:00"/>
    <s v="duze miasto"/>
    <x v="0"/>
    <n v="60"/>
    <n v="29.999999999999996"/>
  </r>
  <r>
    <s v="Barwicka"/>
    <s v="Zofia"/>
    <d v="1982-10-11T00:00:00"/>
    <s v="duze miasto"/>
    <x v="0"/>
    <n v="34"/>
    <n v="37.5"/>
  </r>
  <r>
    <s v="Leniak"/>
    <s v="Jacek"/>
    <d v="1958-02-05T00:00:00"/>
    <s v="wies"/>
    <x v="1"/>
    <n v="58"/>
    <n v="36"/>
  </r>
  <r>
    <s v="Kapanowska"/>
    <s v="Marta"/>
    <d v="1955-04-14T00:00:00"/>
    <s v="srednie miasto"/>
    <x v="0"/>
    <n v="61"/>
    <n v="79"/>
  </r>
  <r>
    <s v="Lech"/>
    <s v="Bartosz"/>
    <d v="1946-12-01T00:00:00"/>
    <s v="srednie miasto"/>
    <x v="1"/>
    <n v="70"/>
    <n v="85"/>
  </r>
  <r>
    <s v="Kaczocha"/>
    <s v="Maciej"/>
    <d v="1989-10-21T00:00:00"/>
    <s v="srednie miasto"/>
    <x v="1"/>
    <n v="27"/>
    <n v="30"/>
  </r>
  <r>
    <s v="Nowak"/>
    <s v="Anna"/>
    <d v="1970-09-28T00:00:00"/>
    <s v="duze miasto"/>
    <x v="0"/>
    <n v="46"/>
    <n v="29.999999999999996"/>
  </r>
  <r>
    <s v="Kozar"/>
    <s v="Artur"/>
    <d v="1987-09-08T00:00:00"/>
    <s v="duze miasto"/>
    <x v="1"/>
    <n v="29"/>
    <n v="30"/>
  </r>
  <r>
    <s v="Barszczewska"/>
    <s v="Halina"/>
    <d v="1986-05-24T00:00:00"/>
    <s v="srednie miasto"/>
    <x v="0"/>
    <n v="30"/>
    <n v="25"/>
  </r>
  <r>
    <s v="Bartoszek"/>
    <s v="Justyna"/>
    <d v="1952-06-08T00:00:00"/>
    <s v="srednie miasto"/>
    <x v="0"/>
    <n v="64"/>
    <n v="79"/>
  </r>
  <r>
    <s v="Gawlowska"/>
    <s v="Enrika"/>
    <d v="1960-01-19T00:00:00"/>
    <s v="srednie miasto"/>
    <x v="0"/>
    <n v="56"/>
    <n v="29.999999999999996"/>
  </r>
  <r>
    <s v="Balcerowska"/>
    <s v="Iwona"/>
    <d v="1977-03-03T00:00:00"/>
    <s v="duze miasto"/>
    <x v="0"/>
    <n v="39"/>
    <n v="37.5"/>
  </r>
  <r>
    <s v="Nagaj"/>
    <s v="Mieszko"/>
    <d v="1993-11-18T00:00:00"/>
    <s v="duze miasto"/>
    <x v="1"/>
    <n v="23"/>
    <n v="30"/>
  </r>
  <r>
    <s v="Jakubczyk"/>
    <s v="Agnieszka"/>
    <d v="1967-06-29T00:00:00"/>
    <s v="srednie miasto"/>
    <x v="0"/>
    <n v="49"/>
    <n v="29.999999999999996"/>
  </r>
  <r>
    <s v="Aleksander"/>
    <s v="Barbara"/>
    <d v="1949-04-22T00:00:00"/>
    <s v="srednie miasto"/>
    <x v="0"/>
    <n v="67"/>
    <n v="79"/>
  </r>
  <r>
    <s v="Wiek"/>
    <s v="Jadwiga"/>
    <d v="1972-07-26T00:00:00"/>
    <s v="male miasto"/>
    <x v="0"/>
    <n v="44"/>
    <n v="37.5"/>
  </r>
  <r>
    <s v="Suchocki"/>
    <s v="Andrzej"/>
    <d v="1983-02-21T00:00:00"/>
    <s v="male miasto"/>
    <x v="1"/>
    <n v="33"/>
    <n v="45"/>
  </r>
  <r>
    <s v="Augustowska"/>
    <s v="Justyna"/>
    <d v="1946-07-08T00:00:00"/>
    <s v="duze miasto"/>
    <x v="0"/>
    <n v="70"/>
    <n v="79"/>
  </r>
  <r>
    <s v="Michalik"/>
    <s v="Wojciech"/>
    <d v="1965-07-27T00:00:00"/>
    <s v="duze miasto"/>
    <x v="1"/>
    <n v="51"/>
    <n v="36"/>
  </r>
  <r>
    <s v="Bandera"/>
    <s v="Ewa"/>
    <d v="1973-07-26T00:00:00"/>
    <s v="duze miasto"/>
    <x v="0"/>
    <n v="43"/>
    <n v="37.5"/>
  </r>
  <r>
    <s v="Rybicki"/>
    <s v="Jakub"/>
    <d v="1947-04-11T00:00:00"/>
    <s v="male miasto"/>
    <x v="1"/>
    <n v="69"/>
    <n v="85"/>
  </r>
  <r>
    <s v="Lysiak"/>
    <s v="Helena"/>
    <d v="1986-07-19T00:00:00"/>
    <s v="srednie miasto"/>
    <x v="0"/>
    <n v="30"/>
    <n v="25"/>
  </r>
  <r>
    <s v="Balcerek"/>
    <s v="Zofia"/>
    <d v="1958-03-20T00:00:00"/>
    <s v="duze miasto"/>
    <x v="0"/>
    <n v="58"/>
    <n v="29.999999999999996"/>
  </r>
  <r>
    <s v="Blacharz"/>
    <s v="Krystyna"/>
    <d v="1981-02-05T00:00:00"/>
    <s v="male miasto"/>
    <x v="0"/>
    <n v="35"/>
    <n v="37.5"/>
  </r>
  <r>
    <s v="Augustowska"/>
    <s v="Anna"/>
    <d v="1984-07-12T00:00:00"/>
    <s v="srednie miasto"/>
    <x v="0"/>
    <n v="32"/>
    <n v="37.5"/>
  </r>
  <r>
    <s v="Kaczorowska"/>
    <s v="Agnieszka"/>
    <d v="1987-05-27T00:00:00"/>
    <s v="duze miasto"/>
    <x v="0"/>
    <n v="29"/>
    <n v="25"/>
  </r>
  <r>
    <s v="Kisielewski"/>
    <s v="Krystian"/>
    <d v="1964-01-08T00:00:00"/>
    <s v="duze miasto"/>
    <x v="1"/>
    <n v="52"/>
    <n v="36"/>
  </r>
  <r>
    <s v="Sikora"/>
    <s v="Norbert"/>
    <d v="1987-11-16T00:00:00"/>
    <s v="srednie miasto"/>
    <x v="1"/>
    <n v="29"/>
    <n v="30"/>
  </r>
  <r>
    <s v="Warszawska"/>
    <s v="Rita"/>
    <d v="1961-10-01T00:00:00"/>
    <s v="male miasto"/>
    <x v="0"/>
    <n v="55"/>
    <n v="29.999999999999996"/>
  </r>
  <r>
    <s v="Barszczewska"/>
    <s v="Anna"/>
    <d v="1961-08-15T00:00:00"/>
    <s v="duze miasto"/>
    <x v="0"/>
    <n v="55"/>
    <n v="29.999999999999996"/>
  </r>
  <r>
    <s v="Moskiewski"/>
    <s v="Sebastian"/>
    <d v="1980-10-16T00:00:00"/>
    <s v="srednie miasto"/>
    <x v="1"/>
    <n v="36"/>
    <n v="45"/>
  </r>
  <r>
    <s v="Pogrebniak"/>
    <s v="Jegor"/>
    <d v="1961-04-27T00:00:00"/>
    <s v="duze miasto"/>
    <x v="1"/>
    <n v="55"/>
    <n v="36"/>
  </r>
  <r>
    <s v="Gates"/>
    <s v="Anna"/>
    <d v="1977-09-26T00:00:00"/>
    <s v="wies"/>
    <x v="0"/>
    <n v="39"/>
    <n v="37.5"/>
  </r>
  <r>
    <s v="Zaprawa"/>
    <s v="Marcin"/>
    <d v="1944-06-21T00:00:00"/>
    <s v="srednie miasto"/>
    <x v="1"/>
    <n v="72"/>
    <n v="85"/>
  </r>
  <r>
    <s v="Mazgaj"/>
    <s v="Szymon"/>
    <d v="1989-11-24T00:00:00"/>
    <s v="duze miasto"/>
    <x v="1"/>
    <n v="27"/>
    <n v="30"/>
  </r>
  <r>
    <s v="Samborski"/>
    <s v="Bartosz"/>
    <d v="1964-05-31T00:00:00"/>
    <s v="srednie miasto"/>
    <x v="1"/>
    <n v="52"/>
    <n v="36"/>
  </r>
  <r>
    <s v="Barcikowska"/>
    <s v="Zyta"/>
    <d v="1977-12-30T00:00:00"/>
    <s v="duze miasto"/>
    <x v="0"/>
    <n v="39"/>
    <n v="37.5"/>
  </r>
  <r>
    <s v="Radziejowski"/>
    <s v="Krystian"/>
    <d v="1957-04-10T00:00:00"/>
    <s v="duze miasto"/>
    <x v="1"/>
    <n v="59"/>
    <n v="36"/>
  </r>
  <r>
    <s v="Baranek"/>
    <s v="Magdalena"/>
    <d v="1993-07-14T00:00:00"/>
    <s v="srednie miasto"/>
    <x v="0"/>
    <n v="23"/>
    <n v="25"/>
  </r>
  <r>
    <s v="Wosiak"/>
    <s v="Roman"/>
    <d v="1988-07-17T00:00:00"/>
    <s v="srednie miasto"/>
    <x v="1"/>
    <n v="28"/>
    <n v="30"/>
  </r>
  <r>
    <s v="Cichawa"/>
    <s v="Dorota"/>
    <d v="1945-07-22T00:00:00"/>
    <s v="duze miasto"/>
    <x v="0"/>
    <n v="71"/>
    <n v="79"/>
  </r>
  <r>
    <s v="Smutnicki"/>
    <s v="Tomasz"/>
    <d v="1977-04-02T00:00:00"/>
    <s v="duze miasto"/>
    <x v="1"/>
    <n v="39"/>
    <n v="45"/>
  </r>
  <r>
    <s v="Kotala"/>
    <s v="Dominik"/>
    <d v="1989-05-18T00:00:00"/>
    <s v="male miasto"/>
    <x v="1"/>
    <n v="27"/>
    <n v="30"/>
  </r>
  <r>
    <s v="Gralewicz"/>
    <s v="Ewelina"/>
    <d v="1978-05-26T00:00:00"/>
    <s v="male miasto"/>
    <x v="0"/>
    <n v="38"/>
    <n v="37.5"/>
  </r>
  <r>
    <s v="Matczak"/>
    <s v="Piotr"/>
    <d v="1983-04-12T00:00:00"/>
    <s v="duze miasto"/>
    <x v="1"/>
    <n v="33"/>
    <n v="45"/>
  </r>
  <r>
    <s v="Chorzowska"/>
    <s v="Jadwiga"/>
    <d v="1993-01-02T00:00:00"/>
    <s v="duze miasto"/>
    <x v="0"/>
    <n v="23"/>
    <n v="25"/>
  </r>
  <r>
    <s v="Grzybek"/>
    <s v="Karolina"/>
    <d v="1973-11-06T00:00:00"/>
    <s v="duze miasto"/>
    <x v="0"/>
    <n v="43"/>
    <n v="37.5"/>
  </r>
  <r>
    <s v="Bartel"/>
    <s v="Ewa"/>
    <d v="1958-06-03T00:00:00"/>
    <s v="duze miasto"/>
    <x v="0"/>
    <n v="58"/>
    <n v="29.999999999999996"/>
  </r>
  <r>
    <s v="Kosaty"/>
    <s v="Marek"/>
    <d v="1968-11-08T00:00:00"/>
    <s v="srednie miasto"/>
    <x v="1"/>
    <n v="48"/>
    <n v="36"/>
  </r>
  <r>
    <s v="Pietkiewicz"/>
    <s v="Piotr"/>
    <d v="1955-09-08T00:00:00"/>
    <s v="duze miasto"/>
    <x v="1"/>
    <n v="61"/>
    <n v="85"/>
  </r>
  <r>
    <s v="Alot"/>
    <s v="Zofia"/>
    <d v="1943-12-05T00:00:00"/>
    <s v="srednie miasto"/>
    <x v="0"/>
    <n v="73"/>
    <n v="79"/>
  </r>
  <r>
    <s v="Glazik"/>
    <s v="Paulina"/>
    <d v="1950-11-01T00:00:00"/>
    <s v="duze miasto"/>
    <x v="0"/>
    <n v="66"/>
    <n v="79"/>
  </r>
  <r>
    <s v="Parczewska"/>
    <s v="Kazimiera"/>
    <d v="1993-01-07T00:00:00"/>
    <s v="duze miasto"/>
    <x v="0"/>
    <n v="23"/>
    <n v="25"/>
  </r>
  <r>
    <s v="Barczuk"/>
    <s v="Maja"/>
    <d v="1984-02-08T00:00:00"/>
    <s v="duze miasto"/>
    <x v="0"/>
    <n v="32"/>
    <n v="37.5"/>
  </r>
  <r>
    <s v="Szkutnik"/>
    <s v="Bartosz"/>
    <d v="1961-11-19T00:00:00"/>
    <s v="wies"/>
    <x v="1"/>
    <n v="55"/>
    <n v="36"/>
  </r>
  <r>
    <s v="Podstawa"/>
    <s v="Jadwiga"/>
    <d v="1952-05-09T00:00:00"/>
    <s v="duze miasto"/>
    <x v="0"/>
    <n v="64"/>
    <n v="7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Czarnecka"/>
    <s v="Ewelina"/>
    <d v="1960-10-01T00:00:00"/>
    <s v="srednie miasto"/>
    <n v="56"/>
    <x v="0"/>
    <n v="1"/>
  </r>
  <r>
    <s v="Nesterowicz"/>
    <s v="Piotr"/>
    <d v="1984-09-27T00:00:00"/>
    <s v="wies"/>
    <n v="32"/>
    <x v="1"/>
    <n v="2"/>
  </r>
  <r>
    <s v="Adamus"/>
    <s v="Magdalena"/>
    <d v="1967-10-08T00:00:00"/>
    <s v="duze miasto"/>
    <n v="49"/>
    <x v="2"/>
    <n v="3"/>
  </r>
  <r>
    <s v="Kowalski"/>
    <s v="Hubert"/>
    <d v="1986-05-12T00:00:00"/>
    <s v="wies"/>
    <n v="30"/>
    <x v="1"/>
    <n v="4"/>
  </r>
  <r>
    <s v="Zamojska"/>
    <s v="Maria"/>
    <d v="1962-05-14T00:00:00"/>
    <s v="wies"/>
    <n v="54"/>
    <x v="0"/>
    <n v="5"/>
  </r>
  <r>
    <s v="Matecki"/>
    <s v="Adam"/>
    <d v="1986-10-09T00:00:00"/>
    <s v="duze miasto"/>
    <n v="30"/>
    <x v="1"/>
    <n v="6"/>
  </r>
  <r>
    <s v="Potocki"/>
    <s v="Anna"/>
    <d v="1991-11-27T00:00:00"/>
    <s v="srednie miasto"/>
    <n v="25"/>
    <x v="3"/>
    <n v="7"/>
  </r>
  <r>
    <s v="Przybylska"/>
    <s v="Laura"/>
    <d v="1983-02-25T00:00:00"/>
    <s v="srednie miasto"/>
    <n v="33"/>
    <x v="1"/>
    <n v="8"/>
  </r>
  <r>
    <s v="Monachijski"/>
    <s v="Piotr"/>
    <d v="1991-11-26T00:00:00"/>
    <s v="srednie miasto"/>
    <n v="25"/>
    <x v="3"/>
    <n v="9"/>
  </r>
  <r>
    <s v="Cender"/>
    <s v="Urszula"/>
    <d v="1985-03-05T00:00:00"/>
    <s v="srednie miasto"/>
    <n v="31"/>
    <x v="1"/>
    <n v="10"/>
  </r>
  <r>
    <s v="Badowski"/>
    <s v="Bogdan"/>
    <d v="1947-06-29T00:00:00"/>
    <s v="srednie miasto"/>
    <n v="69"/>
    <x v="4"/>
    <n v="11"/>
  </r>
  <r>
    <s v="Mazurowski"/>
    <s v="Janusz"/>
    <d v="1991-03-24T00:00:00"/>
    <s v="duze miasto"/>
    <n v="25"/>
    <x v="3"/>
    <n v="12"/>
  </r>
  <r>
    <s v="Lasota"/>
    <s v="Piotr"/>
    <d v="1971-06-09T00:00:00"/>
    <s v="duze miasto"/>
    <n v="45"/>
    <x v="2"/>
    <n v="13"/>
  </r>
  <r>
    <s v="Olczak"/>
    <s v="Damian"/>
    <d v="1946-12-08T00:00:00"/>
    <s v="duze miasto"/>
    <n v="70"/>
    <x v="5"/>
    <n v="14"/>
  </r>
  <r>
    <s v="Kolesinski"/>
    <s v="Konstanty"/>
    <d v="1971-03-27T00:00:00"/>
    <s v="duze miasto"/>
    <n v="45"/>
    <x v="2"/>
    <n v="15"/>
  </r>
  <r>
    <s v="Pakulski"/>
    <s v="Bogdan"/>
    <d v="1982-08-30T00:00:00"/>
    <s v="srednie miasto"/>
    <n v="34"/>
    <x v="1"/>
    <n v="16"/>
  </r>
  <r>
    <s v="Banasiak"/>
    <s v="Paulina"/>
    <d v="1981-03-23T00:00:00"/>
    <s v="wies"/>
    <n v="35"/>
    <x v="1"/>
    <n v="17"/>
  </r>
  <r>
    <s v="Bajdek"/>
    <s v="Katarzyna"/>
    <d v="1995-09-03T00:00:00"/>
    <s v="male miasto"/>
    <n v="21"/>
    <x v="3"/>
    <n v="18"/>
  </r>
  <r>
    <s v="Chojnacka"/>
    <s v="Monika"/>
    <d v="1963-10-25T00:00:00"/>
    <s v="wies"/>
    <n v="53"/>
    <x v="0"/>
    <n v="19"/>
  </r>
  <r>
    <s v="Karpowicz"/>
    <s v="Anna"/>
    <d v="1945-03-02T00:00:00"/>
    <s v="srednie miasto"/>
    <n v="71"/>
    <x v="5"/>
    <n v="20"/>
  </r>
  <r>
    <s v="Korcela"/>
    <s v="Marta"/>
    <d v="1954-05-28T00:00:00"/>
    <s v="duze miasto"/>
    <n v="62"/>
    <x v="4"/>
    <n v="21"/>
  </r>
  <r>
    <s v="Deska"/>
    <s v="Ewa"/>
    <d v="1971-03-26T00:00:00"/>
    <s v="srednie miasto"/>
    <n v="45"/>
    <x v="2"/>
    <n v="22"/>
  </r>
  <r>
    <s v="Krencik"/>
    <s v="Maciej"/>
    <d v="1968-09-29T00:00:00"/>
    <s v="male miasto"/>
    <n v="48"/>
    <x v="2"/>
    <n v="23"/>
  </r>
  <r>
    <s v="Nawrot"/>
    <s v="Janusz"/>
    <d v="1991-06-22T00:00:00"/>
    <s v="wies"/>
    <n v="25"/>
    <x v="3"/>
    <n v="24"/>
  </r>
  <r>
    <s v="Legnicka"/>
    <s v="Karolina"/>
    <d v="1984-10-14T00:00:00"/>
    <s v="duze miasto"/>
    <n v="32"/>
    <x v="1"/>
    <n v="25"/>
  </r>
  <r>
    <s v="Wenecka"/>
    <s v="Justyna"/>
    <d v="1953-01-09T00:00:00"/>
    <s v="duze miasto"/>
    <n v="63"/>
    <x v="4"/>
    <n v="26"/>
  </r>
  <r>
    <s v="Kaleta"/>
    <s v="Natalia"/>
    <d v="1964-10-18T00:00:00"/>
    <s v="male miasto"/>
    <n v="52"/>
    <x v="0"/>
    <n v="27"/>
  </r>
  <r>
    <s v="Samarskyi"/>
    <s v="Kostiantyn"/>
    <d v="1954-05-07T00:00:00"/>
    <s v="duze miasto"/>
    <n v="62"/>
    <x v="4"/>
    <n v="28"/>
  </r>
  <r>
    <s v="Tkacz"/>
    <s v="Adam"/>
    <d v="1948-12-29T00:00:00"/>
    <s v="wies"/>
    <n v="68"/>
    <x v="4"/>
    <n v="29"/>
  </r>
  <r>
    <s v="Borsuk"/>
    <s v="Magdalena"/>
    <d v="1968-07-26T00:00:00"/>
    <s v="duze miasto"/>
    <n v="48"/>
    <x v="2"/>
    <n v="30"/>
  </r>
  <r>
    <s v="Anusz"/>
    <s v="Anna"/>
    <d v="1950-04-14T00:00:00"/>
    <s v="duze miasto"/>
    <n v="66"/>
    <x v="4"/>
    <n v="31"/>
  </r>
  <r>
    <s v="Trzebnicka"/>
    <s v="Anna"/>
    <d v="1959-03-21T00:00:00"/>
    <s v="srednie miasto"/>
    <n v="57"/>
    <x v="0"/>
    <n v="32"/>
  </r>
  <r>
    <s v="Bardzio"/>
    <s v="Celina"/>
    <d v="1944-01-04T00:00:00"/>
    <s v="male miasto"/>
    <n v="72"/>
    <x v="5"/>
    <n v="33"/>
  </r>
  <r>
    <s v="Firlej"/>
    <s v="Anna"/>
    <d v="1983-11-20T00:00:00"/>
    <s v="srednie miasto"/>
    <n v="33"/>
    <x v="1"/>
    <n v="34"/>
  </r>
  <r>
    <s v="Sadcza"/>
    <s v="Romuald"/>
    <d v="1959-03-24T00:00:00"/>
    <s v="duze miasto"/>
    <n v="57"/>
    <x v="0"/>
    <n v="35"/>
  </r>
  <r>
    <s v="Uniejewski"/>
    <s v="Tobiasz"/>
    <d v="1962-07-16T00:00:00"/>
    <s v="srednie miasto"/>
    <n v="54"/>
    <x v="0"/>
    <n v="36"/>
  </r>
  <r>
    <s v="Iwaszko"/>
    <s v="Katarzyna"/>
    <d v="1962-10-25T00:00:00"/>
    <s v="duze miasto"/>
    <n v="54"/>
    <x v="0"/>
    <n v="37"/>
  </r>
  <r>
    <s v="Rutkowski"/>
    <s v="Sebastian"/>
    <d v="1979-01-01T00:00:00"/>
    <s v="srednie miasto"/>
    <n v="37"/>
    <x v="1"/>
    <n v="38"/>
  </r>
  <r>
    <s v="Kubiak"/>
    <s v="Aleksandra"/>
    <d v="1975-04-26T00:00:00"/>
    <s v="wies"/>
    <n v="41"/>
    <x v="2"/>
    <n v="39"/>
  </r>
  <r>
    <s v="Krakowska"/>
    <s v="Karolina"/>
    <d v="1967-09-29T00:00:00"/>
    <s v="duze miasto"/>
    <n v="49"/>
    <x v="2"/>
    <n v="40"/>
  </r>
  <r>
    <s v="Uss"/>
    <s v="Adrian"/>
    <d v="1973-02-08T00:00:00"/>
    <s v="male miasto"/>
    <n v="43"/>
    <x v="2"/>
    <n v="41"/>
  </r>
  <r>
    <s v="Zasada"/>
    <s v="Joanna"/>
    <d v="1951-08-07T00:00:00"/>
    <s v="srednie miasto"/>
    <n v="65"/>
    <x v="4"/>
    <n v="42"/>
  </r>
  <r>
    <s v="Majka"/>
    <s v="Danuta"/>
    <d v="1992-10-22T00:00:00"/>
    <s v="duze miasto"/>
    <n v="24"/>
    <x v="3"/>
    <n v="43"/>
  </r>
  <r>
    <s v="Kaczmar"/>
    <s v="Monika"/>
    <d v="1995-03-15T00:00:00"/>
    <s v="duze miasto"/>
    <n v="21"/>
    <x v="3"/>
    <n v="44"/>
  </r>
  <r>
    <s v="Adamczyk"/>
    <s v="Irena"/>
    <d v="1979-03-15T00:00:00"/>
    <s v="srednie miasto"/>
    <n v="37"/>
    <x v="1"/>
    <n v="45"/>
  </r>
  <r>
    <s v="Jasiak"/>
    <s v="Monika"/>
    <d v="1948-03-20T00:00:00"/>
    <s v="male miasto"/>
    <n v="68"/>
    <x v="4"/>
    <n v="46"/>
  </r>
  <r>
    <s v="Sosnowski"/>
    <s v="Arkadiusz"/>
    <d v="1971-03-10T00:00:00"/>
    <s v="duze miasto"/>
    <n v="45"/>
    <x v="2"/>
    <n v="47"/>
  </r>
  <r>
    <s v="Bydgoska"/>
    <s v="Karolina"/>
    <d v="1946-09-05T00:00:00"/>
    <s v="duze miasto"/>
    <n v="70"/>
    <x v="5"/>
    <n v="48"/>
  </r>
  <r>
    <s v="Szulgo"/>
    <s v="Marek"/>
    <d v="1948-08-12T00:00:00"/>
    <s v="srednie miasto"/>
    <n v="68"/>
    <x v="4"/>
    <n v="49"/>
  </r>
  <r>
    <s v="Szczygielski"/>
    <s v="Tadeusz"/>
    <d v="1982-07-23T00:00:00"/>
    <s v="srednie miasto"/>
    <n v="34"/>
    <x v="1"/>
    <n v="50"/>
  </r>
  <r>
    <s v="Magierowicz"/>
    <s v="Patryk"/>
    <d v="1962-04-22T00:00:00"/>
    <s v="male miasto"/>
    <n v="54"/>
    <x v="0"/>
    <n v="51"/>
  </r>
  <r>
    <s v="Biegaj"/>
    <s v="Karolina"/>
    <d v="1948-10-24T00:00:00"/>
    <s v="srednie miasto"/>
    <n v="68"/>
    <x v="4"/>
    <n v="52"/>
  </r>
  <r>
    <s v="Boss"/>
    <s v="Anna"/>
    <d v="1944-04-06T00:00:00"/>
    <s v="srednie miasto"/>
    <n v="72"/>
    <x v="5"/>
    <n v="53"/>
  </r>
  <r>
    <s v="Rusu"/>
    <s v="Siergiu"/>
    <d v="1987-12-07T00:00:00"/>
    <s v="srednie miasto"/>
    <n v="29"/>
    <x v="3"/>
    <n v="54"/>
  </r>
  <r>
    <s v="Lipski"/>
    <s v="Adam"/>
    <d v="1955-08-31T00:00:00"/>
    <s v="duze miasto"/>
    <n v="61"/>
    <x v="4"/>
    <n v="55"/>
  </r>
  <r>
    <s v="Milcarz"/>
    <s v="Maciej"/>
    <d v="1953-01-16T00:00:00"/>
    <s v="srednie miasto"/>
    <n v="63"/>
    <x v="4"/>
    <n v="56"/>
  </r>
  <r>
    <s v="Czarnoleska"/>
    <s v="Patrycja"/>
    <d v="1995-04-29T00:00:00"/>
    <s v="duze miasto"/>
    <n v="21"/>
    <x v="3"/>
    <n v="57"/>
  </r>
  <r>
    <s v="Rejkowicz"/>
    <s v="Maria"/>
    <d v="1965-02-02T00:00:00"/>
    <s v="wies"/>
    <n v="51"/>
    <x v="0"/>
    <n v="58"/>
  </r>
  <r>
    <s v="Rybicka"/>
    <s v="Martyna"/>
    <d v="1980-05-30T00:00:00"/>
    <s v="duze miasto"/>
    <n v="36"/>
    <x v="1"/>
    <n v="59"/>
  </r>
  <r>
    <s v="Gajak"/>
    <s v="Agnieszka"/>
    <d v="1974-12-07T00:00:00"/>
    <s v="duze miasto"/>
    <n v="42"/>
    <x v="2"/>
    <n v="60"/>
  </r>
  <r>
    <s v="Zakowicz"/>
    <s v="Kacper"/>
    <d v="1952-02-08T00:00:00"/>
    <s v="srednie miasto"/>
    <n v="64"/>
    <x v="4"/>
    <n v="61"/>
  </r>
  <r>
    <s v="Chorzowska"/>
    <s v="Paulina"/>
    <d v="1975-03-22T00:00:00"/>
    <s v="duze miasto"/>
    <n v="41"/>
    <x v="2"/>
    <n v="62"/>
  </r>
  <r>
    <s v="Belgracka"/>
    <s v="Karolina"/>
    <d v="1956-09-21T00:00:00"/>
    <s v="srednie miasto"/>
    <n v="60"/>
    <x v="4"/>
    <n v="63"/>
  </r>
  <r>
    <s v="Paszewski"/>
    <s v="Piotr"/>
    <d v="1960-10-17T00:00:00"/>
    <s v="male miasto"/>
    <n v="56"/>
    <x v="0"/>
    <n v="64"/>
  </r>
  <r>
    <s v="Wielogorski"/>
    <s v="Karol"/>
    <d v="1947-07-28T00:00:00"/>
    <s v="duze miasto"/>
    <n v="69"/>
    <x v="4"/>
    <n v="65"/>
  </r>
  <r>
    <s v="Kowalczyk"/>
    <s v="Karol"/>
    <d v="1993-11-07T00:00:00"/>
    <s v="male miasto"/>
    <n v="23"/>
    <x v="3"/>
    <n v="66"/>
  </r>
  <r>
    <s v="Marzec"/>
    <s v="Maciej"/>
    <d v="1970-09-10T00:00:00"/>
    <s v="male miasto"/>
    <n v="46"/>
    <x v="2"/>
    <n v="67"/>
  </r>
  <r>
    <s v="Kaczan"/>
    <s v="Ewa"/>
    <d v="1955-06-02T00:00:00"/>
    <s v="male miasto"/>
    <n v="61"/>
    <x v="4"/>
    <n v="68"/>
  </r>
  <r>
    <s v="Cichocka"/>
    <s v="Anna"/>
    <d v="1969-07-31T00:00:00"/>
    <s v="duze miasto"/>
    <n v="47"/>
    <x v="2"/>
    <n v="69"/>
  </r>
  <r>
    <s v="Wichrowa"/>
    <s v="Ewa"/>
    <d v="1952-02-24T00:00:00"/>
    <s v="wies"/>
    <n v="64"/>
    <x v="4"/>
    <n v="70"/>
  </r>
  <r>
    <s v="Wpawska"/>
    <s v="Barbara"/>
    <d v="1951-07-02T00:00:00"/>
    <s v="duze miasto"/>
    <n v="65"/>
    <x v="4"/>
    <n v="71"/>
  </r>
  <r>
    <s v="Bugajska"/>
    <s v="Julia"/>
    <d v="1946-09-27T00:00:00"/>
    <s v="male miasto"/>
    <n v="70"/>
    <x v="5"/>
    <n v="72"/>
  </r>
  <r>
    <s v="Adaszek"/>
    <s v="Barbara"/>
    <d v="1991-02-08T00:00:00"/>
    <s v="srednie miasto"/>
    <n v="25"/>
    <x v="3"/>
    <n v="73"/>
  </r>
  <r>
    <s v="Mielecka"/>
    <s v="Joanna"/>
    <d v="1946-07-04T00:00:00"/>
    <s v="srednie miasto"/>
    <n v="70"/>
    <x v="5"/>
    <n v="74"/>
  </r>
  <r>
    <s v="Radu"/>
    <s v="Daniel"/>
    <d v="1991-06-19T00:00:00"/>
    <s v="male miasto"/>
    <n v="25"/>
    <x v="3"/>
    <n v="75"/>
  </r>
  <r>
    <s v="Chorzowska"/>
    <s v="Joanna"/>
    <d v="1968-08-20T00:00:00"/>
    <s v="srednie miasto"/>
    <n v="48"/>
    <x v="2"/>
    <n v="76"/>
  </r>
  <r>
    <s v="Szymenderski"/>
    <s v="Olaf"/>
    <d v="1993-05-11T00:00:00"/>
    <s v="male miasto"/>
    <n v="23"/>
    <x v="3"/>
    <n v="77"/>
  </r>
  <r>
    <s v="Adamczyk"/>
    <s v="Karolina"/>
    <d v="1953-06-12T00:00:00"/>
    <s v="wies"/>
    <n v="63"/>
    <x v="4"/>
    <n v="78"/>
  </r>
  <r>
    <s v="Banasik"/>
    <s v="Zofia"/>
    <d v="1974-09-12T00:00:00"/>
    <s v="wies"/>
    <n v="42"/>
    <x v="2"/>
    <n v="79"/>
  </r>
  <r>
    <s v="Kostrzewa"/>
    <s v="Piotr"/>
    <d v="1974-11-14T00:00:00"/>
    <s v="duze miasto"/>
    <n v="42"/>
    <x v="2"/>
    <n v="80"/>
  </r>
  <r>
    <s v="Gazda"/>
    <s v="Alicja"/>
    <d v="1956-06-12T00:00:00"/>
    <s v="duze miasto"/>
    <n v="60"/>
    <x v="4"/>
    <n v="81"/>
  </r>
  <r>
    <s v="Lubelska"/>
    <s v="Justyna"/>
    <d v="1952-09-19T00:00:00"/>
    <s v="duze miasto"/>
    <n v="64"/>
    <x v="4"/>
    <n v="82"/>
  </r>
  <r>
    <s v="Grabowska"/>
    <s v="Klaudia"/>
    <d v="1959-12-14T00:00:00"/>
    <s v="duze miasto"/>
    <n v="57"/>
    <x v="0"/>
    <n v="83"/>
  </r>
  <r>
    <s v="Talaska"/>
    <s v="Marcin"/>
    <d v="1946-03-12T00:00:00"/>
    <s v="duze miasto"/>
    <n v="70"/>
    <x v="5"/>
    <n v="84"/>
  </r>
  <r>
    <s v="Lewandowski"/>
    <s v="Bartosz"/>
    <d v="1995-07-13T00:00:00"/>
    <s v="srednie miasto"/>
    <n v="21"/>
    <x v="3"/>
    <n v="85"/>
  </r>
  <r>
    <s v="Durka"/>
    <s v="Kornelia"/>
    <d v="1943-11-18T00:00:00"/>
    <s v="duze miasto"/>
    <n v="73"/>
    <x v="5"/>
    <n v="86"/>
  </r>
  <r>
    <s v="Krynicka"/>
    <s v="Justyna"/>
    <d v="1991-07-27T00:00:00"/>
    <s v="srednie miasto"/>
    <n v="25"/>
    <x v="3"/>
    <n v="87"/>
  </r>
  <r>
    <s v="Baran"/>
    <s v="Leon"/>
    <d v="1951-09-21T00:00:00"/>
    <s v="srednie miasto"/>
    <n v="65"/>
    <x v="4"/>
    <n v="88"/>
  </r>
  <r>
    <s v="Pleszewska"/>
    <s v="Patrycja"/>
    <d v="1988-03-17T00:00:00"/>
    <s v="duze miasto"/>
    <n v="28"/>
    <x v="3"/>
    <n v="89"/>
  </r>
  <r>
    <s v="Kika"/>
    <s v="Marcelina"/>
    <d v="1986-12-25T00:00:00"/>
    <s v="wies"/>
    <n v="30"/>
    <x v="1"/>
    <n v="90"/>
  </r>
  <r>
    <s v="Legnicka"/>
    <s v="Maryla"/>
    <d v="1983-11-13T00:00:00"/>
    <s v="male miasto"/>
    <n v="33"/>
    <x v="1"/>
    <n v="91"/>
  </r>
  <r>
    <s v="Kijowski"/>
    <s v="Wojciech"/>
    <d v="1993-07-27T00:00:00"/>
    <s v="male miasto"/>
    <n v="23"/>
    <x v="3"/>
    <n v="92"/>
  </r>
  <r>
    <s v="Antczak"/>
    <s v="Klaudia"/>
    <d v="1991-02-12T00:00:00"/>
    <s v="duze miasto"/>
    <n v="25"/>
    <x v="3"/>
    <n v="93"/>
  </r>
  <r>
    <s v="Krakowska"/>
    <s v="Teresa"/>
    <d v="1959-12-13T00:00:00"/>
    <s v="duze miasto"/>
    <n v="57"/>
    <x v="0"/>
    <n v="94"/>
  </r>
  <r>
    <s v="Suwalska"/>
    <s v="Paulina"/>
    <d v="1950-12-07T00:00:00"/>
    <s v="male miasto"/>
    <n v="66"/>
    <x v="4"/>
    <n v="95"/>
  </r>
  <r>
    <s v="Karwatowska"/>
    <s v="Marzena"/>
    <d v="1951-10-09T00:00:00"/>
    <s v="duze miasto"/>
    <n v="65"/>
    <x v="4"/>
    <n v="96"/>
  </r>
  <r>
    <s v="Sofijska"/>
    <s v="Ewa"/>
    <d v="1946-09-11T00:00:00"/>
    <s v="wies"/>
    <n v="70"/>
    <x v="5"/>
    <n v="97"/>
  </r>
  <r>
    <s v="Sadecki"/>
    <s v="Andrzej"/>
    <d v="1961-12-04T00:00:00"/>
    <s v="wies"/>
    <n v="55"/>
    <x v="0"/>
    <n v="98"/>
  </r>
  <r>
    <s v="Podlaska"/>
    <s v="Paulina"/>
    <d v="1954-01-16T00:00:00"/>
    <s v="duze miasto"/>
    <n v="62"/>
    <x v="4"/>
    <n v="99"/>
  </r>
  <r>
    <s v="Augustowska"/>
    <s v="Zofia"/>
    <d v="1966-04-25T00:00:00"/>
    <s v="srednie miasto"/>
    <n v="50"/>
    <x v="0"/>
    <n v="100"/>
  </r>
  <r>
    <s v="Piotrkowska"/>
    <s v="Paulina"/>
    <d v="1947-01-29T00:00:00"/>
    <s v="male miasto"/>
    <n v="69"/>
    <x v="4"/>
    <n v="101"/>
  </r>
  <r>
    <s v="Sopocka"/>
    <s v="Karolina"/>
    <d v="1987-08-24T00:00:00"/>
    <s v="duze miasto"/>
    <n v="29"/>
    <x v="3"/>
    <n v="102"/>
  </r>
  <r>
    <s v="Piotrkowska"/>
    <s v="Katarzyna"/>
    <d v="1964-10-29T00:00:00"/>
    <s v="duze miasto"/>
    <n v="52"/>
    <x v="0"/>
    <n v="103"/>
  </r>
  <r>
    <s v="Krakowska"/>
    <s v="Beata"/>
    <d v="1971-11-02T00:00:00"/>
    <s v="duze miasto"/>
    <n v="45"/>
    <x v="2"/>
    <n v="104"/>
  </r>
  <r>
    <s v="Kalinowski"/>
    <s v="Szymon"/>
    <d v="1984-04-02T00:00:00"/>
    <s v="srednie miasto"/>
    <n v="32"/>
    <x v="1"/>
    <n v="105"/>
  </r>
  <r>
    <s v="Rzymski"/>
    <s v="Robert"/>
    <d v="1970-09-07T00:00:00"/>
    <s v="srednie miasto"/>
    <n v="46"/>
    <x v="2"/>
    <n v="106"/>
  </r>
  <r>
    <s v="Kowalik"/>
    <s v="Malgorzata"/>
    <d v="1945-04-02T00:00:00"/>
    <s v="male miasto"/>
    <n v="71"/>
    <x v="5"/>
    <n v="107"/>
  </r>
  <r>
    <s v="Bajda"/>
    <s v="Ewelina"/>
    <d v="1983-08-02T00:00:00"/>
    <s v="male miasto"/>
    <n v="33"/>
    <x v="1"/>
    <n v="108"/>
  </r>
  <r>
    <s v="Kapala"/>
    <s v="Adrian"/>
    <d v="1986-07-08T00:00:00"/>
    <s v="duze miasto"/>
    <n v="30"/>
    <x v="1"/>
    <n v="109"/>
  </r>
  <r>
    <s v="Szklarska"/>
    <s v="Marzena"/>
    <d v="1977-10-29T00:00:00"/>
    <s v="duze miasto"/>
    <n v="39"/>
    <x v="1"/>
    <n v="110"/>
  </r>
  <r>
    <s v="Jagos"/>
    <s v="Wioletta"/>
    <d v="1963-05-08T00:00:00"/>
    <s v="duze miasto"/>
    <n v="53"/>
    <x v="0"/>
    <n v="111"/>
  </r>
  <r>
    <s v="Szklarska"/>
    <s v="Dominika"/>
    <d v="1981-10-02T00:00:00"/>
    <s v="duze miasto"/>
    <n v="35"/>
    <x v="1"/>
    <n v="112"/>
  </r>
  <r>
    <s v="Bolkowski"/>
    <s v="Jan"/>
    <d v="1989-02-06T00:00:00"/>
    <s v="male miasto"/>
    <n v="27"/>
    <x v="3"/>
    <n v="113"/>
  </r>
  <r>
    <s v="Barszcz"/>
    <s v="Patryk"/>
    <d v="1980-05-20T00:00:00"/>
    <s v="duze miasto"/>
    <n v="36"/>
    <x v="1"/>
    <n v="114"/>
  </r>
  <r>
    <s v="Kot"/>
    <s v="Maciej"/>
    <d v="1948-08-27T00:00:00"/>
    <s v="male miasto"/>
    <n v="68"/>
    <x v="4"/>
    <n v="115"/>
  </r>
  <r>
    <s v="Junak"/>
    <s v="Roxana"/>
    <d v="1978-03-31T00:00:00"/>
    <s v="srednie miasto"/>
    <n v="38"/>
    <x v="1"/>
    <n v="116"/>
  </r>
  <r>
    <s v="Setniewska"/>
    <s v="Wiktoria"/>
    <d v="1957-11-30T00:00:00"/>
    <s v="male miasto"/>
    <n v="59"/>
    <x v="0"/>
    <n v="117"/>
  </r>
  <r>
    <s v="Hajkiewicz"/>
    <s v="Justyna"/>
    <d v="1949-10-12T00:00:00"/>
    <s v="duze miasto"/>
    <n v="67"/>
    <x v="4"/>
    <n v="118"/>
  </r>
  <r>
    <s v="Balcerzak"/>
    <s v="Ilona"/>
    <d v="1956-06-24T00:00:00"/>
    <s v="srednie miasto"/>
    <n v="60"/>
    <x v="4"/>
    <n v="119"/>
  </r>
  <r>
    <s v="Litewka"/>
    <s v="Maciej"/>
    <d v="1994-01-30T00:00:00"/>
    <s v="duze miasto"/>
    <n v="22"/>
    <x v="3"/>
    <n v="120"/>
  </r>
  <r>
    <s v="Kotala"/>
    <s v="Anna"/>
    <d v="1970-01-14T00:00:00"/>
    <s v="srednie miasto"/>
    <n v="46"/>
    <x v="2"/>
    <n v="121"/>
  </r>
  <r>
    <s v="Aronowska"/>
    <s v="Halina"/>
    <d v="1980-05-09T00:00:00"/>
    <s v="duze miasto"/>
    <n v="36"/>
    <x v="1"/>
    <n v="122"/>
  </r>
  <r>
    <s v="Katowicka"/>
    <s v="Dorota"/>
    <d v="1959-06-03T00:00:00"/>
    <s v="srednie miasto"/>
    <n v="57"/>
    <x v="0"/>
    <n v="123"/>
  </r>
  <r>
    <s v="Bitner"/>
    <s v="Halina"/>
    <d v="1955-12-13T00:00:00"/>
    <s v="duze miasto"/>
    <n v="61"/>
    <x v="4"/>
    <n v="124"/>
  </r>
  <r>
    <s v="Sochacki"/>
    <s v="Marcin"/>
    <d v="1967-01-03T00:00:00"/>
    <s v="duze miasto"/>
    <n v="49"/>
    <x v="2"/>
    <n v="125"/>
  </r>
  <r>
    <s v="Skrok"/>
    <s v="Arkadiusz"/>
    <d v="1973-04-19T00:00:00"/>
    <s v="srednie miasto"/>
    <n v="43"/>
    <x v="2"/>
    <n v="126"/>
  </r>
  <r>
    <s v="Bartosiak"/>
    <s v="Kazimiera"/>
    <d v="1948-05-15T00:00:00"/>
    <s v="duze miasto"/>
    <n v="68"/>
    <x v="4"/>
    <n v="127"/>
  </r>
  <r>
    <s v="Siedlecka"/>
    <s v="Rozalia"/>
    <d v="1947-08-03T00:00:00"/>
    <s v="duze miasto"/>
    <n v="69"/>
    <x v="4"/>
    <n v="128"/>
  </r>
  <r>
    <s v="Muchewicz"/>
    <s v="Piotr"/>
    <d v="1946-06-23T00:00:00"/>
    <s v="srednie miasto"/>
    <n v="70"/>
    <x v="5"/>
    <n v="129"/>
  </r>
  <r>
    <s v="Pilipczuk"/>
    <s v="Mariusz"/>
    <d v="1992-06-24T00:00:00"/>
    <s v="male miasto"/>
    <n v="24"/>
    <x v="3"/>
    <n v="130"/>
  </r>
  <r>
    <s v="Krakowska"/>
    <s v="Paulina"/>
    <d v="1992-10-08T00:00:00"/>
    <s v="srednie miasto"/>
    <n v="24"/>
    <x v="3"/>
    <n v="131"/>
  </r>
  <r>
    <s v="Bielun"/>
    <s v="Urszula"/>
    <d v="1983-07-01T00:00:00"/>
    <s v="wies"/>
    <n v="33"/>
    <x v="1"/>
    <n v="132"/>
  </r>
  <r>
    <s v="Grzeskowiak"/>
    <s v="Szymon"/>
    <d v="1960-06-23T00:00:00"/>
    <s v="wies"/>
    <n v="56"/>
    <x v="0"/>
    <n v="133"/>
  </r>
  <r>
    <s v="Karpek"/>
    <s v="Paulina"/>
    <d v="1976-06-27T00:00:00"/>
    <s v="srednie miasto"/>
    <n v="40"/>
    <x v="2"/>
    <n v="134"/>
  </r>
  <r>
    <s v="Kowal"/>
    <s v="Ewa"/>
    <d v="1965-01-20T00:00:00"/>
    <s v="duze miasto"/>
    <n v="51"/>
    <x v="0"/>
    <n v="135"/>
  </r>
  <r>
    <s v="Augustyn"/>
    <s v="Zofia"/>
    <d v="1968-11-16T00:00:00"/>
    <s v="srednie miasto"/>
    <n v="48"/>
    <x v="2"/>
    <n v="136"/>
  </r>
  <r>
    <s v="Filipczuk"/>
    <s v="Paulina"/>
    <d v="1967-12-18T00:00:00"/>
    <s v="duze miasto"/>
    <n v="49"/>
    <x v="2"/>
    <n v="137"/>
  </r>
  <r>
    <s v="Miklas"/>
    <s v="Maciej"/>
    <d v="1991-06-09T00:00:00"/>
    <s v="wies"/>
    <n v="25"/>
    <x v="3"/>
    <n v="138"/>
  </r>
  <r>
    <s v="Vasina"/>
    <s v="Adam"/>
    <d v="1995-04-06T00:00:00"/>
    <s v="wies"/>
    <n v="21"/>
    <x v="3"/>
    <n v="139"/>
  </r>
  <r>
    <s v="Bydgoska"/>
    <s v="Inga"/>
    <d v="1955-10-12T00:00:00"/>
    <s v="duze miasto"/>
    <n v="61"/>
    <x v="4"/>
    <n v="140"/>
  </r>
  <r>
    <s v="Banasiewicz"/>
    <s v="Beata"/>
    <d v="1969-08-01T00:00:00"/>
    <s v="duze miasto"/>
    <n v="47"/>
    <x v="2"/>
    <n v="141"/>
  </r>
  <r>
    <s v="Fryziel"/>
    <s v="Daria"/>
    <d v="1958-12-29T00:00:00"/>
    <s v="duze miasto"/>
    <n v="58"/>
    <x v="0"/>
    <n v="142"/>
  </r>
  <r>
    <s v="Bedka"/>
    <s v="Justyna"/>
    <d v="1985-07-04T00:00:00"/>
    <s v="wies"/>
    <n v="31"/>
    <x v="1"/>
    <n v="143"/>
  </r>
  <r>
    <s v="Banaszczyk"/>
    <s v="Barbara"/>
    <d v="1977-12-13T00:00:00"/>
    <s v="duze miasto"/>
    <n v="39"/>
    <x v="1"/>
    <n v="144"/>
  </r>
  <r>
    <s v="Ptaszek"/>
    <s v="Janusz"/>
    <d v="1993-11-14T00:00:00"/>
    <s v="duze miasto"/>
    <n v="23"/>
    <x v="3"/>
    <n v="145"/>
  </r>
  <r>
    <s v="Rey"/>
    <s v="Tadeusz"/>
    <d v="1968-05-14T00:00:00"/>
    <s v="srednie miasto"/>
    <n v="48"/>
    <x v="2"/>
    <n v="146"/>
  </r>
  <r>
    <s v="Zeller"/>
    <s v="Teresa"/>
    <d v="1951-06-08T00:00:00"/>
    <s v="wies"/>
    <n v="65"/>
    <x v="4"/>
    <n v="147"/>
  </r>
  <r>
    <s v="Majcherczyk"/>
    <s v="Maciej"/>
    <d v="1975-08-05T00:00:00"/>
    <s v="wies"/>
    <n v="41"/>
    <x v="2"/>
    <n v="148"/>
  </r>
  <r>
    <s v="Grabicka"/>
    <s v="Grazyna"/>
    <d v="1971-05-18T00:00:00"/>
    <s v="duze miasto"/>
    <n v="45"/>
    <x v="2"/>
    <n v="149"/>
  </r>
  <r>
    <s v="Praska"/>
    <s v="Anna"/>
    <d v="1950-01-22T00:00:00"/>
    <s v="srednie miasto"/>
    <n v="66"/>
    <x v="4"/>
    <n v="150"/>
  </r>
  <r>
    <s v="Jakus"/>
    <s v="Piotr"/>
    <d v="1992-04-02T00:00:00"/>
    <s v="duze miasto"/>
    <n v="24"/>
    <x v="3"/>
    <n v="151"/>
  </r>
  <r>
    <s v="Grdulska"/>
    <s v="Danuta"/>
    <d v="1969-07-20T00:00:00"/>
    <s v="duze miasto"/>
    <n v="47"/>
    <x v="2"/>
    <n v="152"/>
  </r>
  <r>
    <s v="Badowski"/>
    <s v="Karol"/>
    <d v="1959-08-07T00:00:00"/>
    <s v="srednie miasto"/>
    <n v="57"/>
    <x v="0"/>
    <n v="153"/>
  </r>
  <r>
    <s v="Majkut"/>
    <s v="Maciej"/>
    <d v="1972-07-10T00:00:00"/>
    <s v="srednie miasto"/>
    <n v="44"/>
    <x v="2"/>
    <n v="154"/>
  </r>
  <r>
    <s v="Cabaj"/>
    <s v="Martyna"/>
    <d v="1979-02-11T00:00:00"/>
    <s v="wies"/>
    <n v="37"/>
    <x v="1"/>
    <n v="155"/>
  </r>
  <r>
    <s v="Malecka"/>
    <s v="Stefania"/>
    <d v="1991-08-04T00:00:00"/>
    <s v="duze miasto"/>
    <n v="25"/>
    <x v="3"/>
    <n v="156"/>
  </r>
  <r>
    <s v="Gagatek"/>
    <s v="Stefan"/>
    <d v="1967-03-08T00:00:00"/>
    <s v="duze miasto"/>
    <n v="49"/>
    <x v="2"/>
    <n v="157"/>
  </r>
  <r>
    <s v="Otwocka"/>
    <s v="Ewelia"/>
    <d v="1976-08-20T00:00:00"/>
    <s v="srednie miasto"/>
    <n v="40"/>
    <x v="2"/>
    <n v="158"/>
  </r>
  <r>
    <s v="Pleszewska"/>
    <s v="Krystyna"/>
    <d v="1972-02-06T00:00:00"/>
    <s v="male miasto"/>
    <n v="44"/>
    <x v="2"/>
    <n v="159"/>
  </r>
  <r>
    <s v="Sabatowicz"/>
    <s v="Szymon"/>
    <d v="1985-02-17T00:00:00"/>
    <s v="duze miasto"/>
    <n v="31"/>
    <x v="1"/>
    <n v="160"/>
  </r>
  <r>
    <s v="Magiera"/>
    <s v="Robert"/>
    <d v="1971-06-28T00:00:00"/>
    <s v="male miasto"/>
    <n v="45"/>
    <x v="2"/>
    <n v="161"/>
  </r>
  <r>
    <s v="Klekotko"/>
    <s v="Justyna"/>
    <d v="1963-09-18T00:00:00"/>
    <s v="srednie miasto"/>
    <n v="53"/>
    <x v="0"/>
    <n v="162"/>
  </r>
  <r>
    <s v="Nowak"/>
    <s v="Damian"/>
    <d v="1990-03-20T00:00:00"/>
    <s v="male miasto"/>
    <n v="26"/>
    <x v="3"/>
    <n v="163"/>
  </r>
  <r>
    <s v="Doszko"/>
    <s v="Katarzyna"/>
    <d v="1954-02-04T00:00:00"/>
    <s v="wies"/>
    <n v="62"/>
    <x v="4"/>
    <n v="164"/>
  </r>
  <r>
    <s v="Rozwalka"/>
    <s v="Wojciech"/>
    <d v="1974-10-22T00:00:00"/>
    <s v="wies"/>
    <n v="42"/>
    <x v="2"/>
    <n v="165"/>
  </r>
  <r>
    <s v="Aleksandrowicz"/>
    <s v="Krystyna"/>
    <d v="1959-10-15T00:00:00"/>
    <s v="srednie miasto"/>
    <n v="57"/>
    <x v="0"/>
    <n v="166"/>
  </r>
  <r>
    <s v="Kilarski"/>
    <s v="Ewa"/>
    <d v="1957-08-19T00:00:00"/>
    <s v="male miasto"/>
    <n v="59"/>
    <x v="0"/>
    <n v="167"/>
  </r>
  <r>
    <s v="Rykowski"/>
    <s v="Roman"/>
    <d v="1985-09-02T00:00:00"/>
    <s v="male miasto"/>
    <n v="31"/>
    <x v="1"/>
    <n v="168"/>
  </r>
  <r>
    <s v="Skierniewicka"/>
    <s v="Malwina"/>
    <d v="1947-01-12T00:00:00"/>
    <s v="duze miasto"/>
    <n v="69"/>
    <x v="4"/>
    <n v="169"/>
  </r>
  <r>
    <s v="Wronka"/>
    <s v="Cezary"/>
    <d v="1988-06-11T00:00:00"/>
    <s v="srednie miasto"/>
    <n v="28"/>
    <x v="3"/>
    <n v="170"/>
  </r>
  <r>
    <s v="Wroniszewski"/>
    <s v="Mieszko"/>
    <d v="1987-10-31T00:00:00"/>
    <s v="duze miasto"/>
    <n v="29"/>
    <x v="3"/>
    <n v="171"/>
  </r>
  <r>
    <s v="Andrzejewska"/>
    <s v="Barbara"/>
    <d v="1986-12-03T00:00:00"/>
    <s v="srednie miasto"/>
    <n v="30"/>
    <x v="1"/>
    <n v="172"/>
  </r>
  <r>
    <s v="Klimaszewski"/>
    <s v="Krzysztof"/>
    <d v="1951-01-20T00:00:00"/>
    <s v="male miasto"/>
    <n v="65"/>
    <x v="4"/>
    <n v="173"/>
  </r>
  <r>
    <s v="Pachnowski"/>
    <s v="Jacek"/>
    <d v="1945-10-24T00:00:00"/>
    <s v="srednie miasto"/>
    <n v="71"/>
    <x v="5"/>
    <n v="174"/>
  </r>
  <r>
    <s v="Klimaszewska"/>
    <s v="Ewa"/>
    <d v="1968-07-17T00:00:00"/>
    <s v="duze miasto"/>
    <n v="48"/>
    <x v="2"/>
    <n v="175"/>
  </r>
  <r>
    <s v="Malik"/>
    <s v="Jakub"/>
    <d v="1947-06-24T00:00:00"/>
    <s v="srednie miasto"/>
    <n v="69"/>
    <x v="4"/>
    <n v="176"/>
  </r>
  <r>
    <s v="Grzeskowiak"/>
    <s v="Szymon"/>
    <d v="1963-05-26T00:00:00"/>
    <s v="wies"/>
    <n v="53"/>
    <x v="0"/>
    <n v="177"/>
  </r>
  <r>
    <s v="Lwowska"/>
    <s v="Paulina"/>
    <d v="1946-12-30T00:00:00"/>
    <s v="duze miasto"/>
    <n v="70"/>
    <x v="5"/>
    <n v="178"/>
  </r>
  <r>
    <s v="Adamowicz"/>
    <s v="Jolanta"/>
    <d v="1966-12-30T00:00:00"/>
    <s v="duze miasto"/>
    <n v="50"/>
    <x v="0"/>
    <n v="179"/>
  </r>
  <r>
    <s v="Pastuszka"/>
    <s v="Marzena"/>
    <d v="1994-07-08T00:00:00"/>
    <s v="srednie miasto"/>
    <n v="22"/>
    <x v="3"/>
    <n v="180"/>
  </r>
  <r>
    <s v="Kalitowski"/>
    <s v="Marcin"/>
    <d v="1950-04-01T00:00:00"/>
    <s v="srednie miasto"/>
    <n v="66"/>
    <x v="4"/>
    <n v="181"/>
  </r>
  <r>
    <s v="Miller"/>
    <s v="Zbigniew"/>
    <d v="1993-04-10T00:00:00"/>
    <s v="duze miasto"/>
    <n v="23"/>
    <x v="3"/>
    <n v="182"/>
  </r>
  <r>
    <s v="Bartkiewicz"/>
    <s v="Elwira"/>
    <d v="1947-06-13T00:00:00"/>
    <s v="duze miasto"/>
    <n v="69"/>
    <x v="4"/>
    <n v="183"/>
  </r>
  <r>
    <s v="Dmochowska"/>
    <s v="Katarzyna"/>
    <d v="1991-11-08T00:00:00"/>
    <s v="male miasto"/>
    <n v="25"/>
    <x v="3"/>
    <n v="184"/>
  </r>
  <r>
    <s v="Szostek"/>
    <s v="Krzysztof"/>
    <d v="1966-11-15T00:00:00"/>
    <s v="srednie miasto"/>
    <n v="50"/>
    <x v="0"/>
    <n v="185"/>
  </r>
  <r>
    <s v="Paprocki"/>
    <s v="Konrad"/>
    <d v="1952-11-09T00:00:00"/>
    <s v="male miasto"/>
    <n v="64"/>
    <x v="4"/>
    <n v="186"/>
  </r>
  <r>
    <s v="Holmes"/>
    <s v="Barbara"/>
    <d v="1972-11-23T00:00:00"/>
    <s v="duze miasto"/>
    <n v="44"/>
    <x v="2"/>
    <n v="187"/>
  </r>
  <r>
    <s v="Kozar"/>
    <s v="Robert"/>
    <d v="1959-12-13T00:00:00"/>
    <s v="duze miasto"/>
    <n v="57"/>
    <x v="0"/>
    <n v="188"/>
  </r>
  <r>
    <s v="Bednarska"/>
    <s v="Karolina"/>
    <d v="1995-06-15T00:00:00"/>
    <s v="duze miasto"/>
    <n v="21"/>
    <x v="3"/>
    <n v="189"/>
  </r>
  <r>
    <s v="Piotrkowska"/>
    <s v="Zuzanna"/>
    <d v="1953-12-19T00:00:00"/>
    <s v="duze miasto"/>
    <n v="63"/>
    <x v="4"/>
    <n v="190"/>
  </r>
  <r>
    <s v="Antos"/>
    <s v="Karolina"/>
    <d v="1976-05-13T00:00:00"/>
    <s v="srednie miasto"/>
    <n v="40"/>
    <x v="2"/>
    <n v="191"/>
  </r>
  <r>
    <s v="Kumur"/>
    <s v="Genowefa"/>
    <d v="1977-04-11T00:00:00"/>
    <s v="duze miasto"/>
    <n v="39"/>
    <x v="1"/>
    <n v="192"/>
  </r>
  <r>
    <s v="Wilczko"/>
    <s v="Adrian"/>
    <d v="1982-01-03T00:00:00"/>
    <s v="wies"/>
    <n v="34"/>
    <x v="1"/>
    <n v="193"/>
  </r>
  <r>
    <s v="Bugajski"/>
    <s v="Jan"/>
    <d v="1963-04-10T00:00:00"/>
    <s v="duze miasto"/>
    <n v="53"/>
    <x v="0"/>
    <n v="194"/>
  </r>
  <r>
    <s v="Florczuk"/>
    <s v="Katarzyna"/>
    <d v="1967-12-02T00:00:00"/>
    <s v="duze miasto"/>
    <n v="49"/>
    <x v="2"/>
    <n v="195"/>
  </r>
  <r>
    <s v="Bielec"/>
    <s v="Maria"/>
    <d v="1948-03-09T00:00:00"/>
    <s v="male miasto"/>
    <n v="68"/>
    <x v="4"/>
    <n v="196"/>
  </r>
  <r>
    <s v="Busz"/>
    <s v="Jan"/>
    <d v="1958-01-14T00:00:00"/>
    <s v="wies"/>
    <n v="58"/>
    <x v="0"/>
    <n v="197"/>
  </r>
  <r>
    <s v="Balicka"/>
    <s v="Anna"/>
    <d v="1981-10-20T00:00:00"/>
    <s v="duze miasto"/>
    <n v="35"/>
    <x v="1"/>
    <n v="198"/>
  </r>
  <r>
    <s v="Badowska"/>
    <s v="Danuta"/>
    <d v="1953-10-27T00:00:00"/>
    <s v="srednie miasto"/>
    <n v="63"/>
    <x v="4"/>
    <n v="199"/>
  </r>
  <r>
    <s v="Labryga"/>
    <s v="Piotr"/>
    <d v="1961-08-21T00:00:00"/>
    <s v="duze miasto"/>
    <n v="55"/>
    <x v="0"/>
    <n v="200"/>
  </r>
  <r>
    <s v="Barcik"/>
    <s v="Barbara"/>
    <d v="1969-05-09T00:00:00"/>
    <s v="duze miasto"/>
    <n v="47"/>
    <x v="2"/>
    <n v="201"/>
  </r>
  <r>
    <s v="Ksel"/>
    <s v="Krzysztof"/>
    <d v="1955-04-02T00:00:00"/>
    <s v="male miasto"/>
    <n v="61"/>
    <x v="4"/>
    <n v="202"/>
  </r>
  <r>
    <s v="Skrzypek"/>
    <s v="Bartosz"/>
    <d v="1952-05-27T00:00:00"/>
    <s v="duze miasto"/>
    <n v="64"/>
    <x v="4"/>
    <n v="203"/>
  </r>
  <r>
    <s v="Konstantinova"/>
    <s v="Alexandra"/>
    <d v="1949-09-06T00:00:00"/>
    <s v="duze miasto"/>
    <n v="67"/>
    <x v="4"/>
    <n v="204"/>
  </r>
  <r>
    <s v="Kowalska"/>
    <s v="Karolina"/>
    <d v="1971-08-01T00:00:00"/>
    <s v="srednie miasto"/>
    <n v="45"/>
    <x v="2"/>
    <n v="205"/>
  </r>
  <r>
    <s v="Wojtkowiak"/>
    <s v="Marcin"/>
    <d v="1984-04-26T00:00:00"/>
    <s v="male miasto"/>
    <n v="32"/>
    <x v="1"/>
    <n v="206"/>
  </r>
  <r>
    <s v="Jurecka"/>
    <s v="Kinga"/>
    <d v="1967-05-31T00:00:00"/>
    <s v="duze miasto"/>
    <n v="49"/>
    <x v="2"/>
    <n v="207"/>
  </r>
  <r>
    <s v="Popowski"/>
    <s v="Adam"/>
    <d v="1987-02-10T00:00:00"/>
    <s v="srednie miasto"/>
    <n v="29"/>
    <x v="3"/>
    <n v="208"/>
  </r>
  <r>
    <s v="Pietrzyk"/>
    <s v="Anita"/>
    <d v="1993-08-20T00:00:00"/>
    <s v="duze miasto"/>
    <n v="23"/>
    <x v="3"/>
    <n v="209"/>
  </r>
  <r>
    <s v="Sieduszewski"/>
    <s v="Piotr"/>
    <d v="1974-02-19T00:00:00"/>
    <s v="wies"/>
    <n v="42"/>
    <x v="2"/>
    <n v="210"/>
  </r>
  <r>
    <s v="Pryk"/>
    <s v="Tymon"/>
    <d v="1949-06-04T00:00:00"/>
    <s v="wies"/>
    <n v="67"/>
    <x v="4"/>
    <n v="211"/>
  </r>
  <r>
    <s v="Maj"/>
    <s v="Maciej"/>
    <d v="1974-01-30T00:00:00"/>
    <s v="duze miasto"/>
    <n v="42"/>
    <x v="2"/>
    <n v="212"/>
  </r>
  <r>
    <s v="Marciszewski"/>
    <s v="Roman"/>
    <d v="1984-12-23T00:00:00"/>
    <s v="srednie miasto"/>
    <n v="32"/>
    <x v="1"/>
    <n v="213"/>
  </r>
  <r>
    <s v="Adamski"/>
    <s v="Jerzy"/>
    <d v="1995-07-13T00:00:00"/>
    <s v="duze miasto"/>
    <n v="21"/>
    <x v="3"/>
    <n v="214"/>
  </r>
  <r>
    <s v="Albert"/>
    <s v="Jerzy"/>
    <d v="1960-07-04T00:00:00"/>
    <s v="srednie miasto"/>
    <n v="56"/>
    <x v="0"/>
    <n v="215"/>
  </r>
  <r>
    <s v="Polkowicka"/>
    <s v="Dominika"/>
    <d v="1944-07-14T00:00:00"/>
    <s v="duze miasto"/>
    <n v="72"/>
    <x v="5"/>
    <n v="216"/>
  </r>
  <r>
    <s v="Cieplik"/>
    <s v="Marta"/>
    <d v="1987-11-22T00:00:00"/>
    <s v="duze miasto"/>
    <n v="29"/>
    <x v="3"/>
    <n v="217"/>
  </r>
  <r>
    <s v="Parczewska"/>
    <s v="Malwina"/>
    <d v="1971-03-04T00:00:00"/>
    <s v="wies"/>
    <n v="45"/>
    <x v="2"/>
    <n v="218"/>
  </r>
  <r>
    <s v="Pisarska"/>
    <s v="Alicja"/>
    <d v="1990-06-16T00:00:00"/>
    <s v="duze miasto"/>
    <n v="26"/>
    <x v="3"/>
    <n v="219"/>
  </r>
  <r>
    <s v="Basiak"/>
    <s v="Anna"/>
    <d v="1983-12-21T00:00:00"/>
    <s v="wies"/>
    <n v="33"/>
    <x v="1"/>
    <n v="220"/>
  </r>
  <r>
    <s v="Janicka"/>
    <s v="Paulina"/>
    <d v="1969-02-09T00:00:00"/>
    <s v="duze miasto"/>
    <n v="47"/>
    <x v="2"/>
    <n v="221"/>
  </r>
  <r>
    <s v="Engel"/>
    <s v="Anna"/>
    <d v="1975-09-02T00:00:00"/>
    <s v="duze miasto"/>
    <n v="41"/>
    <x v="2"/>
    <n v="222"/>
  </r>
  <r>
    <s v="Plichta"/>
    <s v="Robert"/>
    <d v="1970-03-17T00:00:00"/>
    <s v="duze miasto"/>
    <n v="46"/>
    <x v="2"/>
    <n v="223"/>
  </r>
  <r>
    <s v="Barszczewska"/>
    <s v="Cecylia"/>
    <d v="1975-10-16T00:00:00"/>
    <s v="srednie miasto"/>
    <n v="41"/>
    <x v="2"/>
    <n v="224"/>
  </r>
  <r>
    <s v="Szklarska"/>
    <s v="Tekla"/>
    <d v="1989-09-14T00:00:00"/>
    <s v="wies"/>
    <n v="27"/>
    <x v="3"/>
    <n v="225"/>
  </r>
  <r>
    <s v="Aleksandrowicz"/>
    <s v="Barbara"/>
    <d v="1972-03-22T00:00:00"/>
    <s v="wies"/>
    <n v="44"/>
    <x v="2"/>
    <n v="226"/>
  </r>
  <r>
    <s v="Kuc"/>
    <s v="Danuta"/>
    <d v="1958-11-19T00:00:00"/>
    <s v="srednie miasto"/>
    <n v="58"/>
    <x v="0"/>
    <n v="227"/>
  </r>
  <r>
    <s v="Kogut"/>
    <s v="Magdalena"/>
    <d v="1989-10-09T00:00:00"/>
    <s v="srednie miasto"/>
    <n v="27"/>
    <x v="3"/>
    <n v="228"/>
  </r>
  <r>
    <s v="Sopocka"/>
    <s v="Olivia"/>
    <d v="1966-07-15T00:00:00"/>
    <s v="srednie miasto"/>
    <n v="50"/>
    <x v="0"/>
    <n v="229"/>
  </r>
  <r>
    <s v="Berezowska"/>
    <s v="Anita"/>
    <d v="1984-03-06T00:00:00"/>
    <s v="wies"/>
    <n v="32"/>
    <x v="1"/>
    <n v="230"/>
  </r>
  <r>
    <s v="Walczak"/>
    <s v="Maciej"/>
    <d v="1954-05-09T00:00:00"/>
    <s v="duze miasto"/>
    <n v="62"/>
    <x v="4"/>
    <n v="231"/>
  </r>
  <r>
    <s v="Guzik"/>
    <s v="Anna"/>
    <d v="1988-01-05T00:00:00"/>
    <s v="duze miasto"/>
    <n v="28"/>
    <x v="3"/>
    <n v="232"/>
  </r>
  <r>
    <s v="Modzelewski"/>
    <s v="Mateusz"/>
    <d v="1949-01-06T00:00:00"/>
    <s v="duze miasto"/>
    <n v="67"/>
    <x v="4"/>
    <n v="233"/>
  </r>
  <r>
    <s v="Dudek"/>
    <s v="Marzena"/>
    <d v="1954-11-29T00:00:00"/>
    <s v="duze miasto"/>
    <n v="62"/>
    <x v="4"/>
    <n v="234"/>
  </r>
  <r>
    <s v="Banach"/>
    <s v="Leon"/>
    <d v="1984-06-30T00:00:00"/>
    <s v="wies"/>
    <n v="32"/>
    <x v="1"/>
    <n v="235"/>
  </r>
  <r>
    <s v="Klasz"/>
    <s v="Marcin"/>
    <d v="1961-06-03T00:00:00"/>
    <s v="srednie miasto"/>
    <n v="55"/>
    <x v="0"/>
    <n v="236"/>
  </r>
  <r>
    <s v="Banasik"/>
    <s v="Irena"/>
    <d v="1946-09-03T00:00:00"/>
    <s v="duze miasto"/>
    <n v="70"/>
    <x v="5"/>
    <n v="237"/>
  </r>
  <r>
    <s v="Kisiel"/>
    <s v="Dawid"/>
    <d v="1967-09-17T00:00:00"/>
    <s v="srednie miasto"/>
    <n v="49"/>
    <x v="2"/>
    <n v="238"/>
  </r>
  <r>
    <s v="Geldner"/>
    <s v="Magdalena"/>
    <d v="1950-11-22T00:00:00"/>
    <s v="srednie miasto"/>
    <n v="66"/>
    <x v="4"/>
    <n v="239"/>
  </r>
  <r>
    <s v="Rygielski"/>
    <s v="Maciej"/>
    <d v="1956-09-29T00:00:00"/>
    <s v="duze miasto"/>
    <n v="60"/>
    <x v="4"/>
    <n v="240"/>
  </r>
  <r>
    <s v="Ossowski"/>
    <s v="Karol"/>
    <d v="1964-01-25T00:00:00"/>
    <s v="srednie miasto"/>
    <n v="52"/>
    <x v="0"/>
    <n v="241"/>
  </r>
  <r>
    <s v="Kisielewska"/>
    <s v="Greta"/>
    <d v="1946-10-09T00:00:00"/>
    <s v="srednie miasto"/>
    <n v="70"/>
    <x v="5"/>
    <n v="242"/>
  </r>
  <r>
    <s v="Nyski"/>
    <s v="Piotr"/>
    <d v="1983-06-14T00:00:00"/>
    <s v="duze miasto"/>
    <n v="33"/>
    <x v="1"/>
    <n v="243"/>
  </r>
  <r>
    <s v="Kopec"/>
    <s v="Anna"/>
    <d v="1956-07-15T00:00:00"/>
    <s v="duze miasto"/>
    <n v="60"/>
    <x v="4"/>
    <n v="244"/>
  </r>
  <r>
    <s v="Sznyrowska"/>
    <s v="Wiktoria"/>
    <d v="1989-03-13T00:00:00"/>
    <s v="duze miasto"/>
    <n v="27"/>
    <x v="3"/>
    <n v="245"/>
  </r>
  <r>
    <s v="Tichoniuk"/>
    <s v="Marcin"/>
    <d v="1949-12-01T00:00:00"/>
    <s v="duze miasto"/>
    <n v="67"/>
    <x v="4"/>
    <n v="246"/>
  </r>
  <r>
    <s v="Dul"/>
    <s v="Dominika"/>
    <d v="1966-04-28T00:00:00"/>
    <s v="srednie miasto"/>
    <n v="50"/>
    <x v="0"/>
    <n v="247"/>
  </r>
  <r>
    <s v="Grzegorczyk"/>
    <s v="Marta"/>
    <d v="1974-09-27T00:00:00"/>
    <s v="srednie miasto"/>
    <n v="42"/>
    <x v="2"/>
    <n v="248"/>
  </r>
  <r>
    <s v="Grzywacz"/>
    <s v="Wanda"/>
    <d v="1950-05-15T00:00:00"/>
    <s v="duze miasto"/>
    <n v="66"/>
    <x v="4"/>
    <n v="249"/>
  </r>
  <r>
    <s v="Banach"/>
    <s v="Dorota"/>
    <d v="1994-03-07T00:00:00"/>
    <s v="duze miasto"/>
    <n v="22"/>
    <x v="3"/>
    <n v="250"/>
  </r>
  <r>
    <s v="Legnicka"/>
    <s v="Karina"/>
    <d v="1958-11-24T00:00:00"/>
    <s v="duze miasto"/>
    <n v="58"/>
    <x v="0"/>
    <n v="251"/>
  </r>
  <r>
    <s v="Barabasz"/>
    <s v="Krystyna"/>
    <d v="1986-12-03T00:00:00"/>
    <s v="srednie miasto"/>
    <n v="30"/>
    <x v="1"/>
    <n v="252"/>
  </r>
  <r>
    <s v="Borowska"/>
    <s v="Ewelina"/>
    <d v="1993-09-23T00:00:00"/>
    <s v="srednie miasto"/>
    <n v="23"/>
    <x v="3"/>
    <n v="253"/>
  </r>
  <r>
    <s v="Cedro"/>
    <s v="Zofia"/>
    <d v="1952-07-08T00:00:00"/>
    <s v="wies"/>
    <n v="64"/>
    <x v="4"/>
    <n v="254"/>
  </r>
  <r>
    <s v="Sieradzki"/>
    <s v="Piotr"/>
    <d v="1975-01-30T00:00:00"/>
    <s v="duze miasto"/>
    <n v="41"/>
    <x v="2"/>
    <n v="255"/>
  </r>
  <r>
    <s v="Sar"/>
    <s v="Wojciech"/>
    <d v="1964-10-15T00:00:00"/>
    <s v="duze miasto"/>
    <n v="52"/>
    <x v="0"/>
    <n v="256"/>
  </r>
  <r>
    <s v="Kordaszewska"/>
    <s v="Magdalena"/>
    <d v="1948-04-26T00:00:00"/>
    <s v="srednie miasto"/>
    <n v="68"/>
    <x v="4"/>
    <n v="257"/>
  </r>
  <r>
    <s v="Bauer"/>
    <s v="Jagoda"/>
    <d v="1969-11-23T00:00:00"/>
    <s v="srednie miasto"/>
    <n v="47"/>
    <x v="2"/>
    <n v="258"/>
  </r>
  <r>
    <s v="Brychcy"/>
    <s v="Agata"/>
    <d v="1995-02-28T00:00:00"/>
    <s v="wies"/>
    <n v="21"/>
    <x v="3"/>
    <n v="259"/>
  </r>
  <r>
    <s v="Potocki"/>
    <s v="Grzegorz"/>
    <d v="1947-12-30T00:00:00"/>
    <s v="duze miasto"/>
    <n v="69"/>
    <x v="4"/>
    <n v="260"/>
  </r>
  <r>
    <s v="Kordaszewski"/>
    <s v="Piotr"/>
    <d v="1988-12-05T00:00:00"/>
    <s v="srednie miasto"/>
    <n v="28"/>
    <x v="3"/>
    <n v="261"/>
  </r>
  <r>
    <s v="Wiatrowski"/>
    <s v="Roman"/>
    <d v="1994-07-18T00:00:00"/>
    <s v="duze miasto"/>
    <n v="22"/>
    <x v="3"/>
    <n v="262"/>
  </r>
  <r>
    <s v="Albert"/>
    <s v="Joanna"/>
    <d v="1978-01-01T00:00:00"/>
    <s v="duze miasto"/>
    <n v="38"/>
    <x v="1"/>
    <n v="263"/>
  </r>
  <r>
    <s v="Balcer"/>
    <s v="Iwona"/>
    <d v="1989-06-30T00:00:00"/>
    <s v="wies"/>
    <n v="27"/>
    <x v="3"/>
    <n v="264"/>
  </r>
  <r>
    <s v="Augustowska"/>
    <s v="Irma"/>
    <d v="1974-03-24T00:00:00"/>
    <s v="srednie miasto"/>
    <n v="42"/>
    <x v="2"/>
    <n v="265"/>
  </r>
  <r>
    <s v="Jackowska"/>
    <s v="Maria"/>
    <d v="1980-02-08T00:00:00"/>
    <s v="duze miasto"/>
    <n v="36"/>
    <x v="1"/>
    <n v="266"/>
  </r>
  <r>
    <s v="Adamczyk"/>
    <s v="Julia"/>
    <d v="1950-06-23T00:00:00"/>
    <s v="srednie miasto"/>
    <n v="66"/>
    <x v="4"/>
    <n v="267"/>
  </r>
  <r>
    <s v="Sosnowiecka"/>
    <s v="Dorota"/>
    <d v="1994-03-13T00:00:00"/>
    <s v="duze miasto"/>
    <n v="22"/>
    <x v="3"/>
    <n v="268"/>
  </r>
  <r>
    <s v="Henrykowski"/>
    <s v="Kornel"/>
    <d v="1973-01-25T00:00:00"/>
    <s v="duze miasto"/>
    <n v="43"/>
    <x v="2"/>
    <n v="269"/>
  </r>
  <r>
    <s v="Szklarska"/>
    <s v="Karolina"/>
    <d v="1966-10-11T00:00:00"/>
    <s v="srednie miasto"/>
    <n v="50"/>
    <x v="0"/>
    <n v="270"/>
  </r>
  <r>
    <s v="Podczasiak"/>
    <s v="Jadwiga"/>
    <d v="1960-04-04T00:00:00"/>
    <s v="duze miasto"/>
    <n v="56"/>
    <x v="0"/>
    <n v="271"/>
  </r>
  <r>
    <s v="Skrzydlowski"/>
    <s v="Dawid"/>
    <d v="1947-02-09T00:00:00"/>
    <s v="wies"/>
    <n v="69"/>
    <x v="4"/>
    <n v="272"/>
  </r>
  <r>
    <s v="Genewski"/>
    <s v="Andrzej"/>
    <d v="1961-09-23T00:00:00"/>
    <s v="srednie miasto"/>
    <n v="55"/>
    <x v="0"/>
    <n v="273"/>
  </r>
  <r>
    <s v="Bienias"/>
    <s v="Alina"/>
    <d v="1956-09-24T00:00:00"/>
    <s v="duze miasto"/>
    <n v="60"/>
    <x v="4"/>
    <n v="274"/>
  </r>
  <r>
    <s v="Madrycki"/>
    <s v="Janusz"/>
    <d v="1968-03-03T00:00:00"/>
    <s v="duze miasto"/>
    <n v="48"/>
    <x v="2"/>
    <n v="275"/>
  </r>
  <r>
    <s v="Opolska"/>
    <s v="Paulina"/>
    <d v="1956-12-19T00:00:00"/>
    <s v="duze miasto"/>
    <n v="60"/>
    <x v="4"/>
    <n v="276"/>
  </r>
  <r>
    <s v="Barwicka"/>
    <s v="Zofia"/>
    <d v="1982-10-11T00:00:00"/>
    <s v="duze miasto"/>
    <n v="34"/>
    <x v="1"/>
    <n v="277"/>
  </r>
  <r>
    <s v="Leniak"/>
    <s v="Jacek"/>
    <d v="1958-02-05T00:00:00"/>
    <s v="wies"/>
    <n v="58"/>
    <x v="0"/>
    <n v="278"/>
  </r>
  <r>
    <s v="Kapanowska"/>
    <s v="Marta"/>
    <d v="1955-04-14T00:00:00"/>
    <s v="srednie miasto"/>
    <n v="61"/>
    <x v="4"/>
    <n v="279"/>
  </r>
  <r>
    <s v="Lech"/>
    <s v="Bartosz"/>
    <d v="1946-12-01T00:00:00"/>
    <s v="srednie miasto"/>
    <n v="70"/>
    <x v="5"/>
    <n v="280"/>
  </r>
  <r>
    <s v="Kaczocha"/>
    <s v="Maciej"/>
    <d v="1989-10-21T00:00:00"/>
    <s v="srednie miasto"/>
    <n v="27"/>
    <x v="3"/>
    <n v="281"/>
  </r>
  <r>
    <s v="Nowak"/>
    <s v="Anna"/>
    <d v="1970-09-28T00:00:00"/>
    <s v="duze miasto"/>
    <n v="46"/>
    <x v="2"/>
    <n v="282"/>
  </r>
  <r>
    <s v="Kozar"/>
    <s v="Artur"/>
    <d v="1987-09-08T00:00:00"/>
    <s v="duze miasto"/>
    <n v="29"/>
    <x v="3"/>
    <n v="283"/>
  </r>
  <r>
    <s v="Barszczewska"/>
    <s v="Halina"/>
    <d v="1986-05-24T00:00:00"/>
    <s v="srednie miasto"/>
    <n v="30"/>
    <x v="1"/>
    <n v="284"/>
  </r>
  <r>
    <s v="Bartoszek"/>
    <s v="Justyna"/>
    <d v="1952-06-08T00:00:00"/>
    <s v="srednie miasto"/>
    <n v="64"/>
    <x v="4"/>
    <n v="285"/>
  </r>
  <r>
    <s v="Gawlowska"/>
    <s v="Enrika"/>
    <d v="1960-01-19T00:00:00"/>
    <s v="srednie miasto"/>
    <n v="56"/>
    <x v="0"/>
    <n v="286"/>
  </r>
  <r>
    <s v="Balcerowska"/>
    <s v="Iwona"/>
    <d v="1977-03-03T00:00:00"/>
    <s v="duze miasto"/>
    <n v="39"/>
    <x v="1"/>
    <n v="287"/>
  </r>
  <r>
    <s v="Nagaj"/>
    <s v="Mieszko"/>
    <d v="1993-11-18T00:00:00"/>
    <s v="duze miasto"/>
    <n v="23"/>
    <x v="3"/>
    <n v="288"/>
  </r>
  <r>
    <s v="Jakubczyk"/>
    <s v="Agnieszka"/>
    <d v="1967-06-29T00:00:00"/>
    <s v="srednie miasto"/>
    <n v="49"/>
    <x v="2"/>
    <n v="289"/>
  </r>
  <r>
    <s v="Aleksander"/>
    <s v="Barbara"/>
    <d v="1949-04-22T00:00:00"/>
    <s v="srednie miasto"/>
    <n v="67"/>
    <x v="4"/>
    <n v="290"/>
  </r>
  <r>
    <s v="Wiek"/>
    <s v="Jadwiga"/>
    <d v="1972-07-26T00:00:00"/>
    <s v="male miasto"/>
    <n v="44"/>
    <x v="2"/>
    <n v="291"/>
  </r>
  <r>
    <s v="Suchocki"/>
    <s v="Andrzej"/>
    <d v="1983-02-21T00:00:00"/>
    <s v="male miasto"/>
    <n v="33"/>
    <x v="1"/>
    <n v="292"/>
  </r>
  <r>
    <s v="Augustowska"/>
    <s v="Justyna"/>
    <d v="1946-07-08T00:00:00"/>
    <s v="duze miasto"/>
    <n v="70"/>
    <x v="5"/>
    <n v="293"/>
  </r>
  <r>
    <s v="Michalik"/>
    <s v="Wojciech"/>
    <d v="1965-07-27T00:00:00"/>
    <s v="duze miasto"/>
    <n v="51"/>
    <x v="0"/>
    <n v="294"/>
  </r>
  <r>
    <s v="Bandera"/>
    <s v="Ewa"/>
    <d v="1973-07-26T00:00:00"/>
    <s v="duze miasto"/>
    <n v="43"/>
    <x v="2"/>
    <n v="295"/>
  </r>
  <r>
    <s v="Rybicki"/>
    <s v="Jakub"/>
    <d v="1947-04-11T00:00:00"/>
    <s v="male miasto"/>
    <n v="69"/>
    <x v="4"/>
    <n v="296"/>
  </r>
  <r>
    <s v="Lysiak"/>
    <s v="Helena"/>
    <d v="1986-07-19T00:00:00"/>
    <s v="srednie miasto"/>
    <n v="30"/>
    <x v="1"/>
    <n v="297"/>
  </r>
  <r>
    <s v="Balcerek"/>
    <s v="Zofia"/>
    <d v="1958-03-20T00:00:00"/>
    <s v="duze miasto"/>
    <n v="58"/>
    <x v="0"/>
    <n v="298"/>
  </r>
  <r>
    <s v="Blacharz"/>
    <s v="Krystyna"/>
    <d v="1981-02-05T00:00:00"/>
    <s v="male miasto"/>
    <n v="35"/>
    <x v="1"/>
    <n v="299"/>
  </r>
  <r>
    <s v="Augustowska"/>
    <s v="Anna"/>
    <d v="1984-07-12T00:00:00"/>
    <s v="srednie miasto"/>
    <n v="32"/>
    <x v="1"/>
    <n v="300"/>
  </r>
  <r>
    <s v="Kaczorowska"/>
    <s v="Agnieszka"/>
    <d v="1987-05-27T00:00:00"/>
    <s v="duze miasto"/>
    <n v="29"/>
    <x v="3"/>
    <n v="301"/>
  </r>
  <r>
    <s v="Kisielewski"/>
    <s v="Krystian"/>
    <d v="1964-01-08T00:00:00"/>
    <s v="duze miasto"/>
    <n v="52"/>
    <x v="0"/>
    <n v="302"/>
  </r>
  <r>
    <s v="Sikora"/>
    <s v="Norbert"/>
    <d v="1987-11-16T00:00:00"/>
    <s v="srednie miasto"/>
    <n v="29"/>
    <x v="3"/>
    <n v="303"/>
  </r>
  <r>
    <s v="Warszawska"/>
    <s v="Rita"/>
    <d v="1961-10-01T00:00:00"/>
    <s v="male miasto"/>
    <n v="55"/>
    <x v="0"/>
    <n v="304"/>
  </r>
  <r>
    <s v="Barszczewska"/>
    <s v="Anna"/>
    <d v="1961-08-15T00:00:00"/>
    <s v="duze miasto"/>
    <n v="55"/>
    <x v="0"/>
    <n v="305"/>
  </r>
  <r>
    <s v="Moskiewski"/>
    <s v="Sebastian"/>
    <d v="1980-10-16T00:00:00"/>
    <s v="srednie miasto"/>
    <n v="36"/>
    <x v="1"/>
    <n v="306"/>
  </r>
  <r>
    <s v="Pogrebniak"/>
    <s v="Jegor"/>
    <d v="1961-04-27T00:00:00"/>
    <s v="duze miasto"/>
    <n v="55"/>
    <x v="0"/>
    <n v="307"/>
  </r>
  <r>
    <s v="Gates"/>
    <s v="Anna"/>
    <d v="1977-09-26T00:00:00"/>
    <s v="wies"/>
    <n v="39"/>
    <x v="1"/>
    <n v="308"/>
  </r>
  <r>
    <s v="Zaprawa"/>
    <s v="Marcin"/>
    <d v="1944-06-21T00:00:00"/>
    <s v="srednie miasto"/>
    <n v="72"/>
    <x v="5"/>
    <n v="309"/>
  </r>
  <r>
    <s v="Mazgaj"/>
    <s v="Szymon"/>
    <d v="1989-11-24T00:00:00"/>
    <s v="duze miasto"/>
    <n v="27"/>
    <x v="3"/>
    <n v="310"/>
  </r>
  <r>
    <s v="Samborski"/>
    <s v="Bartosz"/>
    <d v="1964-05-31T00:00:00"/>
    <s v="srednie miasto"/>
    <n v="52"/>
    <x v="0"/>
    <n v="311"/>
  </r>
  <r>
    <s v="Barcikowska"/>
    <s v="Zyta"/>
    <d v="1977-12-30T00:00:00"/>
    <s v="duze miasto"/>
    <n v="39"/>
    <x v="1"/>
    <n v="312"/>
  </r>
  <r>
    <s v="Radziejowski"/>
    <s v="Krystian"/>
    <d v="1957-04-10T00:00:00"/>
    <s v="duze miasto"/>
    <n v="59"/>
    <x v="0"/>
    <n v="313"/>
  </r>
  <r>
    <s v="Baranek"/>
    <s v="Magdalena"/>
    <d v="1993-07-14T00:00:00"/>
    <s v="srednie miasto"/>
    <n v="23"/>
    <x v="3"/>
    <n v="314"/>
  </r>
  <r>
    <s v="Wosiak"/>
    <s v="Roman"/>
    <d v="1988-07-17T00:00:00"/>
    <s v="srednie miasto"/>
    <n v="28"/>
    <x v="3"/>
    <n v="315"/>
  </r>
  <r>
    <s v="Cichawa"/>
    <s v="Dorota"/>
    <d v="1945-07-22T00:00:00"/>
    <s v="duze miasto"/>
    <n v="71"/>
    <x v="5"/>
    <n v="316"/>
  </r>
  <r>
    <s v="Smutnicki"/>
    <s v="Tomasz"/>
    <d v="1977-04-02T00:00:00"/>
    <s v="duze miasto"/>
    <n v="39"/>
    <x v="1"/>
    <n v="317"/>
  </r>
  <r>
    <s v="Kotala"/>
    <s v="Dominik"/>
    <d v="1989-05-18T00:00:00"/>
    <s v="male miasto"/>
    <n v="27"/>
    <x v="3"/>
    <n v="318"/>
  </r>
  <r>
    <s v="Gralewicz"/>
    <s v="Ewelina"/>
    <d v="1978-05-26T00:00:00"/>
    <s v="male miasto"/>
    <n v="38"/>
    <x v="1"/>
    <n v="319"/>
  </r>
  <r>
    <s v="Matczak"/>
    <s v="Piotr"/>
    <d v="1983-04-12T00:00:00"/>
    <s v="duze miasto"/>
    <n v="33"/>
    <x v="1"/>
    <n v="320"/>
  </r>
  <r>
    <s v="Chorzowska"/>
    <s v="Jadwiga"/>
    <d v="1993-01-02T00:00:00"/>
    <s v="duze miasto"/>
    <n v="23"/>
    <x v="3"/>
    <n v="321"/>
  </r>
  <r>
    <s v="Grzybek"/>
    <s v="Karolina"/>
    <d v="1973-11-06T00:00:00"/>
    <s v="duze miasto"/>
    <n v="43"/>
    <x v="2"/>
    <n v="322"/>
  </r>
  <r>
    <s v="Bartel"/>
    <s v="Ewa"/>
    <d v="1958-06-03T00:00:00"/>
    <s v="duze miasto"/>
    <n v="58"/>
    <x v="0"/>
    <n v="323"/>
  </r>
  <r>
    <s v="Kosaty"/>
    <s v="Marek"/>
    <d v="1968-11-08T00:00:00"/>
    <s v="srednie miasto"/>
    <n v="48"/>
    <x v="2"/>
    <n v="324"/>
  </r>
  <r>
    <s v="Pietkiewicz"/>
    <s v="Piotr"/>
    <d v="1955-09-08T00:00:00"/>
    <s v="duze miasto"/>
    <n v="61"/>
    <x v="4"/>
    <n v="325"/>
  </r>
  <r>
    <s v="Alot"/>
    <s v="Zofia"/>
    <d v="1943-12-05T00:00:00"/>
    <s v="srednie miasto"/>
    <n v="73"/>
    <x v="5"/>
    <n v="326"/>
  </r>
  <r>
    <s v="Glazik"/>
    <s v="Paulina"/>
    <d v="1950-11-01T00:00:00"/>
    <s v="duze miasto"/>
    <n v="66"/>
    <x v="4"/>
    <n v="327"/>
  </r>
  <r>
    <s v="Parczewska"/>
    <s v="Kazimiera"/>
    <d v="1993-01-07T00:00:00"/>
    <s v="duze miasto"/>
    <n v="23"/>
    <x v="3"/>
    <n v="328"/>
  </r>
  <r>
    <s v="Barczuk"/>
    <s v="Maja"/>
    <d v="1984-02-08T00:00:00"/>
    <s v="duze miasto"/>
    <n v="32"/>
    <x v="1"/>
    <n v="329"/>
  </r>
  <r>
    <s v="Szkutnik"/>
    <s v="Bartosz"/>
    <d v="1961-11-19T00:00:00"/>
    <s v="wies"/>
    <n v="55"/>
    <x v="0"/>
    <n v="330"/>
  </r>
  <r>
    <s v="Podstawa"/>
    <s v="Jadwiga"/>
    <d v="1952-05-09T00:00:00"/>
    <s v="duze miasto"/>
    <n v="64"/>
    <x v="4"/>
    <n v="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7CBA4-AE50-4785-BF21-0D5EFCBFAE17}" name="Tabela przestawna8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_miesiaca">
  <location ref="I1:J14" firstHeaderRow="1" firstDataRow="1" firstDataCol="1"/>
  <pivotFields count="6">
    <pivotField showAll="0"/>
    <pivotField showAll="0"/>
    <pivotField numFmtId="14" showAll="0"/>
    <pivotField showAll="0"/>
    <pivotField axis="axisRow" showAll="0">
      <items count="13">
        <item x="9"/>
        <item x="4"/>
        <item x="5"/>
        <item x="11"/>
        <item x="2"/>
        <item x="6"/>
        <item x="10"/>
        <item x="8"/>
        <item x="1"/>
        <item x="0"/>
        <item x="3"/>
        <item x="7"/>
        <item t="default"/>
      </items>
    </pivotField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liczba_urodzin" fld="5" subtotal="count" baseField="4" baseItem="0"/>
  </dataFields>
  <formats count="4">
    <format dxfId="26">
      <pivotArea collapsedLevelsAreSubtotals="1" fieldPosition="0">
        <references count="1">
          <reference field="4" count="0"/>
        </references>
      </pivotArea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27A23-6CF1-49D1-B044-6E1FF46E6F7F}" name="Tabela przestawna9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jsce_zamieszkania">
  <location ref="H1:I6" firstHeaderRow="1" firstDataRow="1" firstDataCol="1"/>
  <pivotFields count="5">
    <pivotField showAll="0"/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ile_kobiet" fld="4" baseField="3" baseItem="0"/>
  </dataFields>
  <formats count="4">
    <format dxfId="17">
      <pivotArea collapsedLevelsAreSubtotals="1" fieldPosition="0">
        <references count="1">
          <reference field="3" count="0"/>
        </references>
      </pivotArea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072FD-1806-4ADF-A153-C1DEDB23FADC}" name="Tabela przestawna12" cacheId="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1:J8" firstHeaderRow="1" firstDataRow="1" firstDataCol="1"/>
  <pivotFields count="7">
    <pivotField showAll="0"/>
    <pivotField showAll="0"/>
    <pivotField numFmtId="14" showAll="0"/>
    <pivotField showAll="0"/>
    <pivotField showAll="0"/>
    <pivotField axis="axisRow" showAll="0">
      <items count="7">
        <item x="3"/>
        <item x="1"/>
        <item x="2"/>
        <item x="0"/>
        <item x="4"/>
        <item x="5"/>
        <item t="default"/>
      </items>
    </pivotField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ID" fld="6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511C4-4F97-4750-8285-2E91F13876D6}" name="Tabela przestawna10" cacheId="2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7:L10" firstHeaderRow="1" firstDataRow="1" firstDataCol="1"/>
  <pivotFields count="7">
    <pivotField showAll="0"/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a z składka_mi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4E6995-C133-4E0F-8A74-9EEFD2774A5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Nazwisko" tableColumnId="1"/>
      <queryTableField id="2" name="Imie" tableColumnId="2"/>
      <queryTableField id="3" name="Data_urodz" tableColumnId="3"/>
      <queryTableField id="4" name="Miejsce_zamieszkania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AE663A-40FC-40A2-9309-1B7FCBCEC222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azwisko" tableColumnId="1"/>
      <queryTableField id="2" name="Imie" tableColumnId="2"/>
      <queryTableField id="3" name="Data_urodz" tableColumnId="3"/>
      <queryTableField id="4" name="Miejsce_zamieszkania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BE5D22D-9C31-4B13-894D-EC885648E08B}" autoFormatId="16" applyNumberFormats="0" applyBorderFormats="0" applyFontFormats="0" applyPatternFormats="0" applyAlignmentFormats="0" applyWidthHeightFormats="0">
  <queryTableRefresh nextId="10" unboundColumnsRight="3">
    <queryTableFields count="7">
      <queryTableField id="1" name="Nazwisko" tableColumnId="1"/>
      <queryTableField id="2" name="Imie" tableColumnId="2"/>
      <queryTableField id="3" name="Data_urodz" tableColumnId="3"/>
      <queryTableField id="4" name="Miejsce_zamieszkania" tableColumnId="4"/>
      <queryTableField id="6" dataBound="0" tableColumnId="6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B1F92FE-2BA4-4142-B270-67CA4092C0C7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Nazwisko" tableColumnId="1"/>
      <queryTableField id="2" name="Imie" tableColumnId="2"/>
      <queryTableField id="3" name="Data_urodz" tableColumnId="3"/>
      <queryTableField id="4" name="Miejsce_zamieszkania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A06A27-8CCA-46E0-B619-D43A12635A5F}" autoFormatId="16" applyNumberFormats="0" applyBorderFormats="0" applyFontFormats="0" applyPatternFormats="0" applyAlignmentFormats="0" applyWidthHeightFormats="0">
  <queryTableRefresh nextId="5">
    <queryTableFields count="4">
      <queryTableField id="1" name="Nazwisko" tableColumnId="1"/>
      <queryTableField id="2" name="Imie" tableColumnId="2"/>
      <queryTableField id="3" name="Data_urodz" tableColumnId="3"/>
      <queryTableField id="4" name="Miejsce_zamieszkani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B49DD-3535-43AB-B9A7-49212C898932}" name="ubezpieczenia3" displayName="ubezpieczenia3" ref="A1:F332" tableType="queryTable" totalsRowShown="0">
  <autoFilter ref="A1:F332" xr:uid="{01558149-577C-4C61-8CDE-33D11F37F190}"/>
  <tableColumns count="6">
    <tableColumn id="1" xr3:uid="{377B48CB-7263-42C4-BCBE-2C682C8F018C}" uniqueName="1" name="Nazwisko" queryTableFieldId="1" dataDxfId="32"/>
    <tableColumn id="2" xr3:uid="{992DC16D-FA0A-42C1-8E5C-A7E8179C8DFA}" uniqueName="2" name="Imie" queryTableFieldId="2" dataDxfId="31"/>
    <tableColumn id="3" xr3:uid="{BFF49A9B-F4EF-4765-8E2A-362EBC09BC45}" uniqueName="3" name="Data_urodz" queryTableFieldId="3" dataDxfId="30"/>
    <tableColumn id="4" xr3:uid="{1565CD1D-1EAD-41BB-BD20-3B4010442418}" uniqueName="4" name="Miejsce_zamieszkania" queryTableFieldId="4" dataDxfId="29"/>
    <tableColumn id="5" xr3:uid="{42FB183D-8FA6-4685-9FE6-892124F775D2}" uniqueName="5" name="miesiac_urodzenia" queryTableFieldId="5" dataDxfId="28">
      <calculatedColumnFormula>MONTH(ubezpieczenia3[[#This Row],[Data_urodz]])</calculatedColumnFormula>
    </tableColumn>
    <tableColumn id="6" xr3:uid="{50EAF800-DEFE-4BC9-AAD2-007696CDD6AB}" uniqueName="6" name="id" queryTableFieldId="6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C7298B-FFF6-49BA-94AD-93B2DE2793A3}" name="ubezpieczenia4" displayName="ubezpieczenia4" ref="A1:E332" tableType="queryTable" totalsRowShown="0">
  <autoFilter ref="A1:E332" xr:uid="{01558149-577C-4C61-8CDE-33D11F37F190}"/>
  <tableColumns count="5">
    <tableColumn id="1" xr3:uid="{24B5B8B3-4987-4C77-B155-895D0FDB84A0}" uniqueName="1" name="Nazwisko" queryTableFieldId="1" dataDxfId="22"/>
    <tableColumn id="2" xr3:uid="{84468968-FFC1-453E-909E-A95B2F396B21}" uniqueName="2" name="Imie" queryTableFieldId="2" dataDxfId="21"/>
    <tableColumn id="3" xr3:uid="{BEF63724-AA6D-4CC5-94AB-B48019A63477}" uniqueName="3" name="Data_urodz" queryTableFieldId="3" dataDxfId="20"/>
    <tableColumn id="4" xr3:uid="{7654B9C4-2BC7-4968-A2FC-C8A3147A5CE7}" uniqueName="4" name="Miejsce_zamieszkania" queryTableFieldId="4" dataDxfId="19"/>
    <tableColumn id="5" xr3:uid="{B713B626-6D30-4788-95A7-CD7F0454605D}" uniqueName="5" name="czy_kobieta" queryTableFieldId="5" dataDxfId="18">
      <calculatedColumnFormula>IF(RIGHT(ubezpieczenia4[[#This Row],[Imie]],1)="a",1,0)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143E5E-4ABD-4A63-907C-E31EA056E879}" name="ubezpieczenia57" displayName="ubezpieczenia57" ref="A1:G332" tableType="queryTable" totalsRowShown="0">
  <autoFilter ref="A1:G332" xr:uid="{01558149-577C-4C61-8CDE-33D11F37F190}"/>
  <tableColumns count="7">
    <tableColumn id="1" xr3:uid="{8481D622-E589-4F60-88D6-5524BDCDED17}" uniqueName="1" name="Nazwisko" queryTableFieldId="1" dataDxfId="6"/>
    <tableColumn id="2" xr3:uid="{8F5C5EB5-426B-4272-B16E-3672DCB6254A}" uniqueName="2" name="Imie" queryTableFieldId="2" dataDxfId="5"/>
    <tableColumn id="3" xr3:uid="{7E4B10AE-8E78-42DE-8E55-836A8E7582A3}" uniqueName="3" name="Data_urodz" queryTableFieldId="3" dataDxfId="4"/>
    <tableColumn id="4" xr3:uid="{8B54A1A6-9636-4148-8C75-6C8DFB2DA412}" uniqueName="4" name="Miejsce_zamieszkania" queryTableFieldId="4" dataDxfId="3"/>
    <tableColumn id="6" xr3:uid="{70B6EF58-D6DB-4DD0-A688-0CBB2A0B5E79}" uniqueName="6" name="wiek" queryTableFieldId="6" dataDxfId="2">
      <calculatedColumnFormula>2016-YEAR(ubezpieczenia57[[#This Row],[Data_urodz]])</calculatedColumnFormula>
    </tableColumn>
    <tableColumn id="8" xr3:uid="{E7D524A6-887C-490E-B3A0-B1ABB9F3A7D7}" uniqueName="8" name="przedzial" queryTableFieldId="8" dataDxfId="1">
      <calculatedColumnFormula>ROUNDDOWN(ubezpieczenia57[[#This Row],[wiek]]/10,0)</calculatedColumnFormula>
    </tableColumn>
    <tableColumn id="9" xr3:uid="{50EB745A-AFA4-49FE-816D-3F415E6F3899}" uniqueName="9" name="ID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A1067F-D9EB-4C1F-B019-D8767174853B}" name="ubezpieczenia5" displayName="ubezpieczenia5" ref="A1:G332" tableType="queryTable" totalsRowShown="0">
  <autoFilter ref="A1:G332" xr:uid="{01558149-577C-4C61-8CDE-33D11F37F190}"/>
  <tableColumns count="7">
    <tableColumn id="1" xr3:uid="{AE56A216-F6E2-466F-92E6-CB772F9C0F71}" uniqueName="1" name="Nazwisko" queryTableFieldId="1" dataDxfId="13"/>
    <tableColumn id="2" xr3:uid="{DB3DEBF8-713B-4E47-B5E2-01D2A33908FB}" uniqueName="2" name="Imie" queryTableFieldId="2" dataDxfId="12"/>
    <tableColumn id="3" xr3:uid="{C0D57771-9870-4850-BFEE-F71921223AAF}" uniqueName="3" name="Data_urodz" queryTableFieldId="3" dataDxfId="11"/>
    <tableColumn id="4" xr3:uid="{FFD3FB7E-2916-4081-8CF8-EDB92C831126}" uniqueName="4" name="Miejsce_zamieszkania" queryTableFieldId="4" dataDxfId="10"/>
    <tableColumn id="5" xr3:uid="{81BF9357-EBE9-4151-B95F-50241FA8AF8D}" uniqueName="5" name="czy_kobieta" queryTableFieldId="5" dataDxfId="9">
      <calculatedColumnFormula>IF(RIGHT(ubezpieczenia5[[#This Row],[Imie]],1)="a",1,0)</calculatedColumnFormula>
    </tableColumn>
    <tableColumn id="6" xr3:uid="{838AC717-9E67-4526-B980-C9CB159BB185}" uniqueName="6" name="wiek" queryTableFieldId="6" dataDxfId="8">
      <calculatedColumnFormula>2016-YEAR(ubezpieczenia5[[#This Row],[Data_urodz]])</calculatedColumnFormula>
    </tableColumn>
    <tableColumn id="7" xr3:uid="{7A448FD7-CDD6-49A6-A81F-1A9A6896CE9A}" uniqueName="7" name="składka_mies" queryTableFieldId="7" dataDxfId="7">
      <calculatedColumnFormula array="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58149-577C-4C61-8CDE-33D11F37F190}" name="ubezpieczenia" displayName="ubezpieczenia" ref="A1:D332" tableType="queryTable" totalsRowShown="0">
  <autoFilter ref="A1:D332" xr:uid="{01558149-577C-4C61-8CDE-33D11F37F190}"/>
  <tableColumns count="4">
    <tableColumn id="1" xr3:uid="{32E023A0-05E0-4F70-8C69-7A99268A27EF}" uniqueName="1" name="Nazwisko" queryTableFieldId="1" dataDxfId="36"/>
    <tableColumn id="2" xr3:uid="{E7BDAD78-506A-481A-9657-6039162BB771}" uniqueName="2" name="Imie" queryTableFieldId="2" dataDxfId="35"/>
    <tableColumn id="3" xr3:uid="{3F1D7C25-73BF-453B-B293-95AE4EB50C79}" uniqueName="3" name="Data_urodz" queryTableFieldId="3" dataDxfId="34"/>
    <tableColumn id="4" xr3:uid="{34C22FB3-571E-44C6-A7D5-943363B42E82}" uniqueName="4" name="Miejsce_zamieszkania" queryTableFieldId="4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B27A-2552-44A3-B80C-4BD6072860CC}">
  <dimension ref="A1:J332"/>
  <sheetViews>
    <sheetView zoomScale="115" zoomScaleNormal="115" workbookViewId="0">
      <selection activeCell="H6" sqref="H6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3.28515625" bestFit="1" customWidth="1"/>
    <col min="4" max="4" width="23.28515625" bestFit="1" customWidth="1"/>
    <col min="5" max="5" width="20.140625" bestFit="1" customWidth="1"/>
    <col min="7" max="7" width="24.5703125" bestFit="1" customWidth="1"/>
    <col min="9" max="9" width="17.710937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432</v>
      </c>
      <c r="F1" t="s">
        <v>433</v>
      </c>
      <c r="I1" s="5" t="s">
        <v>436</v>
      </c>
      <c r="J1" s="5" t="s">
        <v>437</v>
      </c>
    </row>
    <row r="2" spans="1:10" x14ac:dyDescent="0.25">
      <c r="A2" s="1" t="s">
        <v>4</v>
      </c>
      <c r="B2" s="1" t="s">
        <v>5</v>
      </c>
      <c r="C2" s="2">
        <v>22190</v>
      </c>
      <c r="D2" s="1" t="s">
        <v>6</v>
      </c>
      <c r="E2" s="1">
        <f>MONTH(ubezpieczenia3[[#This Row],[Data_urodz]])</f>
        <v>10</v>
      </c>
      <c r="F2" s="1">
        <v>1</v>
      </c>
      <c r="I2" s="6">
        <v>1</v>
      </c>
      <c r="J2" s="7">
        <v>26</v>
      </c>
    </row>
    <row r="3" spans="1:10" x14ac:dyDescent="0.25">
      <c r="A3" s="1" t="s">
        <v>7</v>
      </c>
      <c r="B3" s="1" t="s">
        <v>8</v>
      </c>
      <c r="C3" s="2">
        <v>30952</v>
      </c>
      <c r="D3" s="1" t="s">
        <v>9</v>
      </c>
      <c r="E3" s="1">
        <f>MONTH(ubezpieczenia3[[#This Row],[Data_urodz]])</f>
        <v>9</v>
      </c>
      <c r="F3" s="1">
        <f>F2+1</f>
        <v>2</v>
      </c>
      <c r="I3" s="6">
        <v>2</v>
      </c>
      <c r="J3" s="7">
        <v>22</v>
      </c>
    </row>
    <row r="4" spans="1:10" x14ac:dyDescent="0.25">
      <c r="A4" s="1" t="s">
        <v>10</v>
      </c>
      <c r="B4" s="1" t="s">
        <v>11</v>
      </c>
      <c r="C4" s="2">
        <v>24753</v>
      </c>
      <c r="D4" s="1" t="s">
        <v>12</v>
      </c>
      <c r="E4" s="1">
        <f>MONTH(ubezpieczenia3[[#This Row],[Data_urodz]])</f>
        <v>10</v>
      </c>
      <c r="F4" s="1">
        <f t="shared" ref="F4:F67" si="0">F3+1</f>
        <v>3</v>
      </c>
      <c r="I4" s="6">
        <v>3</v>
      </c>
      <c r="J4" s="7">
        <v>30</v>
      </c>
    </row>
    <row r="5" spans="1:10" x14ac:dyDescent="0.25">
      <c r="A5" s="1" t="s">
        <v>13</v>
      </c>
      <c r="B5" s="1" t="s">
        <v>14</v>
      </c>
      <c r="C5" s="2">
        <v>31544</v>
      </c>
      <c r="D5" s="1" t="s">
        <v>9</v>
      </c>
      <c r="E5" s="1">
        <f>MONTH(ubezpieczenia3[[#This Row],[Data_urodz]])</f>
        <v>5</v>
      </c>
      <c r="F5" s="1">
        <f t="shared" si="0"/>
        <v>4</v>
      </c>
      <c r="I5" s="6">
        <v>4</v>
      </c>
      <c r="J5" s="7">
        <v>27</v>
      </c>
    </row>
    <row r="6" spans="1:10" x14ac:dyDescent="0.25">
      <c r="A6" s="1" t="s">
        <v>15</v>
      </c>
      <c r="B6" s="1" t="s">
        <v>16</v>
      </c>
      <c r="C6" s="2">
        <v>22780</v>
      </c>
      <c r="D6" s="1" t="s">
        <v>9</v>
      </c>
      <c r="E6" s="1">
        <f>MONTH(ubezpieczenia3[[#This Row],[Data_urodz]])</f>
        <v>5</v>
      </c>
      <c r="F6" s="1">
        <f t="shared" si="0"/>
        <v>5</v>
      </c>
      <c r="I6" s="6">
        <v>5</v>
      </c>
      <c r="J6" s="7">
        <v>25</v>
      </c>
    </row>
    <row r="7" spans="1:10" x14ac:dyDescent="0.25">
      <c r="A7" s="1" t="s">
        <v>17</v>
      </c>
      <c r="B7" s="1" t="s">
        <v>18</v>
      </c>
      <c r="C7" s="2">
        <v>31694</v>
      </c>
      <c r="D7" s="1" t="s">
        <v>12</v>
      </c>
      <c r="E7" s="1">
        <f>MONTH(ubezpieczenia3[[#This Row],[Data_urodz]])</f>
        <v>10</v>
      </c>
      <c r="F7" s="1">
        <f t="shared" si="0"/>
        <v>6</v>
      </c>
      <c r="I7" s="6">
        <v>6</v>
      </c>
      <c r="J7" s="7">
        <v>31</v>
      </c>
    </row>
    <row r="8" spans="1:10" x14ac:dyDescent="0.25">
      <c r="A8" s="1" t="s">
        <v>19</v>
      </c>
      <c r="B8" s="1" t="s">
        <v>20</v>
      </c>
      <c r="C8" s="2">
        <v>33569</v>
      </c>
      <c r="D8" s="1" t="s">
        <v>6</v>
      </c>
      <c r="E8" s="1">
        <f>MONTH(ubezpieczenia3[[#This Row],[Data_urodz]])</f>
        <v>11</v>
      </c>
      <c r="F8" s="1">
        <f t="shared" si="0"/>
        <v>7</v>
      </c>
      <c r="I8" s="6">
        <v>7</v>
      </c>
      <c r="J8" s="7">
        <v>33</v>
      </c>
    </row>
    <row r="9" spans="1:10" x14ac:dyDescent="0.25">
      <c r="A9" s="1" t="s">
        <v>21</v>
      </c>
      <c r="B9" s="1" t="s">
        <v>22</v>
      </c>
      <c r="C9" s="2">
        <v>30372</v>
      </c>
      <c r="D9" s="1" t="s">
        <v>6</v>
      </c>
      <c r="E9" s="1">
        <f>MONTH(ubezpieczenia3[[#This Row],[Data_urodz]])</f>
        <v>2</v>
      </c>
      <c r="F9" s="1">
        <f t="shared" si="0"/>
        <v>8</v>
      </c>
      <c r="I9" s="6">
        <v>8</v>
      </c>
      <c r="J9" s="7">
        <v>19</v>
      </c>
    </row>
    <row r="10" spans="1:10" x14ac:dyDescent="0.25">
      <c r="A10" s="1" t="s">
        <v>23</v>
      </c>
      <c r="B10" s="1" t="s">
        <v>8</v>
      </c>
      <c r="C10" s="2">
        <v>33568</v>
      </c>
      <c r="D10" s="1" t="s">
        <v>6</v>
      </c>
      <c r="E10" s="1">
        <f>MONTH(ubezpieczenia3[[#This Row],[Data_urodz]])</f>
        <v>11</v>
      </c>
      <c r="F10" s="1">
        <f t="shared" si="0"/>
        <v>9</v>
      </c>
      <c r="I10" s="6">
        <v>9</v>
      </c>
      <c r="J10" s="7">
        <v>29</v>
      </c>
    </row>
    <row r="11" spans="1:10" x14ac:dyDescent="0.25">
      <c r="A11" s="1" t="s">
        <v>24</v>
      </c>
      <c r="B11" s="1" t="s">
        <v>25</v>
      </c>
      <c r="C11" s="2">
        <v>31111</v>
      </c>
      <c r="D11" s="1" t="s">
        <v>6</v>
      </c>
      <c r="E11" s="1">
        <f>MONTH(ubezpieczenia3[[#This Row],[Data_urodz]])</f>
        <v>3</v>
      </c>
      <c r="F11" s="1">
        <f t="shared" si="0"/>
        <v>10</v>
      </c>
      <c r="I11" s="6">
        <v>10</v>
      </c>
      <c r="J11" s="7">
        <v>32</v>
      </c>
    </row>
    <row r="12" spans="1:10" x14ac:dyDescent="0.25">
      <c r="A12" s="1" t="s">
        <v>26</v>
      </c>
      <c r="B12" s="1" t="s">
        <v>27</v>
      </c>
      <c r="C12" s="2">
        <v>17347</v>
      </c>
      <c r="D12" s="1" t="s">
        <v>6</v>
      </c>
      <c r="E12" s="1">
        <f>MONTH(ubezpieczenia3[[#This Row],[Data_urodz]])</f>
        <v>6</v>
      </c>
      <c r="F12" s="1">
        <f t="shared" si="0"/>
        <v>11</v>
      </c>
      <c r="I12" s="6">
        <v>11</v>
      </c>
      <c r="J12" s="7">
        <v>28</v>
      </c>
    </row>
    <row r="13" spans="1:10" x14ac:dyDescent="0.25">
      <c r="A13" s="1" t="s">
        <v>28</v>
      </c>
      <c r="B13" s="1" t="s">
        <v>29</v>
      </c>
      <c r="C13" s="2">
        <v>33321</v>
      </c>
      <c r="D13" s="1" t="s">
        <v>12</v>
      </c>
      <c r="E13" s="1">
        <f>MONTH(ubezpieczenia3[[#This Row],[Data_urodz]])</f>
        <v>3</v>
      </c>
      <c r="F13" s="1">
        <f t="shared" si="0"/>
        <v>12</v>
      </c>
      <c r="I13" s="6">
        <v>12</v>
      </c>
      <c r="J13" s="7">
        <v>29</v>
      </c>
    </row>
    <row r="14" spans="1:10" x14ac:dyDescent="0.25">
      <c r="A14" s="1" t="s">
        <v>30</v>
      </c>
      <c r="B14" s="1" t="s">
        <v>8</v>
      </c>
      <c r="C14" s="2">
        <v>26093</v>
      </c>
      <c r="D14" s="1" t="s">
        <v>12</v>
      </c>
      <c r="E14" s="1">
        <f>MONTH(ubezpieczenia3[[#This Row],[Data_urodz]])</f>
        <v>6</v>
      </c>
      <c r="F14" s="1">
        <f t="shared" si="0"/>
        <v>13</v>
      </c>
      <c r="I14" s="4" t="s">
        <v>435</v>
      </c>
      <c r="J14" s="1">
        <v>331</v>
      </c>
    </row>
    <row r="15" spans="1:10" x14ac:dyDescent="0.25">
      <c r="A15" s="1" t="s">
        <v>31</v>
      </c>
      <c r="B15" s="1" t="s">
        <v>32</v>
      </c>
      <c r="C15" s="2">
        <v>17144</v>
      </c>
      <c r="D15" s="1" t="s">
        <v>12</v>
      </c>
      <c r="E15" s="1">
        <f>MONTH(ubezpieczenia3[[#This Row],[Data_urodz]])</f>
        <v>12</v>
      </c>
      <c r="F15" s="1">
        <f t="shared" si="0"/>
        <v>14</v>
      </c>
    </row>
    <row r="16" spans="1:10" x14ac:dyDescent="0.25">
      <c r="A16" s="1" t="s">
        <v>33</v>
      </c>
      <c r="B16" s="1" t="s">
        <v>34</v>
      </c>
      <c r="C16" s="2">
        <v>26019</v>
      </c>
      <c r="D16" s="1" t="s">
        <v>12</v>
      </c>
      <c r="E16" s="1">
        <f>MONTH(ubezpieczenia3[[#This Row],[Data_urodz]])</f>
        <v>3</v>
      </c>
      <c r="F16" s="1">
        <f t="shared" si="0"/>
        <v>15</v>
      </c>
    </row>
    <row r="17" spans="1:6" x14ac:dyDescent="0.25">
      <c r="A17" s="1" t="s">
        <v>35</v>
      </c>
      <c r="B17" s="1" t="s">
        <v>27</v>
      </c>
      <c r="C17" s="2">
        <v>30193</v>
      </c>
      <c r="D17" s="1" t="s">
        <v>6</v>
      </c>
      <c r="E17" s="1">
        <f>MONTH(ubezpieczenia3[[#This Row],[Data_urodz]])</f>
        <v>8</v>
      </c>
      <c r="F17" s="1">
        <f t="shared" si="0"/>
        <v>16</v>
      </c>
    </row>
    <row r="18" spans="1:6" x14ac:dyDescent="0.25">
      <c r="A18" s="1" t="s">
        <v>36</v>
      </c>
      <c r="B18" s="1" t="s">
        <v>37</v>
      </c>
      <c r="C18" s="2">
        <v>29668</v>
      </c>
      <c r="D18" s="1" t="s">
        <v>9</v>
      </c>
      <c r="E18" s="1">
        <f>MONTH(ubezpieczenia3[[#This Row],[Data_urodz]])</f>
        <v>3</v>
      </c>
      <c r="F18" s="1">
        <f t="shared" si="0"/>
        <v>17</v>
      </c>
    </row>
    <row r="19" spans="1:6" x14ac:dyDescent="0.25">
      <c r="A19" s="1" t="s">
        <v>38</v>
      </c>
      <c r="B19" s="1" t="s">
        <v>39</v>
      </c>
      <c r="C19" s="2">
        <v>34945</v>
      </c>
      <c r="D19" s="1" t="s">
        <v>40</v>
      </c>
      <c r="E19" s="1">
        <f>MONTH(ubezpieczenia3[[#This Row],[Data_urodz]])</f>
        <v>9</v>
      </c>
      <c r="F19" s="1">
        <f t="shared" si="0"/>
        <v>18</v>
      </c>
    </row>
    <row r="20" spans="1:6" x14ac:dyDescent="0.25">
      <c r="A20" s="1" t="s">
        <v>41</v>
      </c>
      <c r="B20" s="1" t="s">
        <v>42</v>
      </c>
      <c r="C20" s="2">
        <v>23309</v>
      </c>
      <c r="D20" s="1" t="s">
        <v>9</v>
      </c>
      <c r="E20" s="1">
        <f>MONTH(ubezpieczenia3[[#This Row],[Data_urodz]])</f>
        <v>10</v>
      </c>
      <c r="F20" s="1">
        <f t="shared" si="0"/>
        <v>19</v>
      </c>
    </row>
    <row r="21" spans="1:6" x14ac:dyDescent="0.25">
      <c r="A21" s="1" t="s">
        <v>43</v>
      </c>
      <c r="B21" s="1" t="s">
        <v>20</v>
      </c>
      <c r="C21" s="2">
        <v>16498</v>
      </c>
      <c r="D21" s="1" t="s">
        <v>6</v>
      </c>
      <c r="E21" s="1">
        <f>MONTH(ubezpieczenia3[[#This Row],[Data_urodz]])</f>
        <v>3</v>
      </c>
      <c r="F21" s="1">
        <f t="shared" si="0"/>
        <v>20</v>
      </c>
    </row>
    <row r="22" spans="1:6" x14ac:dyDescent="0.25">
      <c r="A22" s="1" t="s">
        <v>44</v>
      </c>
      <c r="B22" s="1" t="s">
        <v>45</v>
      </c>
      <c r="C22" s="2">
        <v>19872</v>
      </c>
      <c r="D22" s="1" t="s">
        <v>12</v>
      </c>
      <c r="E22" s="1">
        <f>MONTH(ubezpieczenia3[[#This Row],[Data_urodz]])</f>
        <v>5</v>
      </c>
      <c r="F22" s="1">
        <f t="shared" si="0"/>
        <v>21</v>
      </c>
    </row>
    <row r="23" spans="1:6" x14ac:dyDescent="0.25">
      <c r="A23" s="1" t="s">
        <v>46</v>
      </c>
      <c r="B23" s="1" t="s">
        <v>47</v>
      </c>
      <c r="C23" s="2">
        <v>26018</v>
      </c>
      <c r="D23" s="1" t="s">
        <v>6</v>
      </c>
      <c r="E23" s="1">
        <f>MONTH(ubezpieczenia3[[#This Row],[Data_urodz]])</f>
        <v>3</v>
      </c>
      <c r="F23" s="1">
        <f t="shared" si="0"/>
        <v>22</v>
      </c>
    </row>
    <row r="24" spans="1:6" x14ac:dyDescent="0.25">
      <c r="A24" s="1" t="s">
        <v>48</v>
      </c>
      <c r="B24" s="1" t="s">
        <v>49</v>
      </c>
      <c r="C24" s="2">
        <v>25110</v>
      </c>
      <c r="D24" s="1" t="s">
        <v>40</v>
      </c>
      <c r="E24" s="1">
        <f>MONTH(ubezpieczenia3[[#This Row],[Data_urodz]])</f>
        <v>9</v>
      </c>
      <c r="F24" s="1">
        <f t="shared" si="0"/>
        <v>23</v>
      </c>
    </row>
    <row r="25" spans="1:6" x14ac:dyDescent="0.25">
      <c r="A25" s="1" t="s">
        <v>50</v>
      </c>
      <c r="B25" s="1" t="s">
        <v>29</v>
      </c>
      <c r="C25" s="2">
        <v>33411</v>
      </c>
      <c r="D25" s="1" t="s">
        <v>9</v>
      </c>
      <c r="E25" s="1">
        <f>MONTH(ubezpieczenia3[[#This Row],[Data_urodz]])</f>
        <v>6</v>
      </c>
      <c r="F25" s="1">
        <f t="shared" si="0"/>
        <v>24</v>
      </c>
    </row>
    <row r="26" spans="1:6" x14ac:dyDescent="0.25">
      <c r="A26" s="1" t="s">
        <v>51</v>
      </c>
      <c r="B26" s="1" t="s">
        <v>52</v>
      </c>
      <c r="C26" s="2">
        <v>30969</v>
      </c>
      <c r="D26" s="1" t="s">
        <v>12</v>
      </c>
      <c r="E26" s="1">
        <f>MONTH(ubezpieczenia3[[#This Row],[Data_urodz]])</f>
        <v>10</v>
      </c>
      <c r="F26" s="1">
        <f t="shared" si="0"/>
        <v>25</v>
      </c>
    </row>
    <row r="27" spans="1:6" x14ac:dyDescent="0.25">
      <c r="A27" s="1" t="s">
        <v>53</v>
      </c>
      <c r="B27" s="1" t="s">
        <v>54</v>
      </c>
      <c r="C27" s="2">
        <v>19368</v>
      </c>
      <c r="D27" s="1" t="s">
        <v>12</v>
      </c>
      <c r="E27" s="1">
        <f>MONTH(ubezpieczenia3[[#This Row],[Data_urodz]])</f>
        <v>1</v>
      </c>
      <c r="F27" s="1">
        <f t="shared" si="0"/>
        <v>26</v>
      </c>
    </row>
    <row r="28" spans="1:6" x14ac:dyDescent="0.25">
      <c r="A28" s="1" t="s">
        <v>55</v>
      </c>
      <c r="B28" s="1" t="s">
        <v>56</v>
      </c>
      <c r="C28" s="2">
        <v>23668</v>
      </c>
      <c r="D28" s="1" t="s">
        <v>40</v>
      </c>
      <c r="E28" s="1">
        <f>MONTH(ubezpieczenia3[[#This Row],[Data_urodz]])</f>
        <v>10</v>
      </c>
      <c r="F28" s="1">
        <f t="shared" si="0"/>
        <v>27</v>
      </c>
    </row>
    <row r="29" spans="1:6" x14ac:dyDescent="0.25">
      <c r="A29" s="1" t="s">
        <v>57</v>
      </c>
      <c r="B29" s="1" t="s">
        <v>58</v>
      </c>
      <c r="C29" s="2">
        <v>19851</v>
      </c>
      <c r="D29" s="1" t="s">
        <v>12</v>
      </c>
      <c r="E29" s="1">
        <f>MONTH(ubezpieczenia3[[#This Row],[Data_urodz]])</f>
        <v>5</v>
      </c>
      <c r="F29" s="1">
        <f t="shared" si="0"/>
        <v>28</v>
      </c>
    </row>
    <row r="30" spans="1:6" x14ac:dyDescent="0.25">
      <c r="A30" s="1" t="s">
        <v>59</v>
      </c>
      <c r="B30" s="1" t="s">
        <v>18</v>
      </c>
      <c r="C30" s="2">
        <v>17896</v>
      </c>
      <c r="D30" s="1" t="s">
        <v>9</v>
      </c>
      <c r="E30" s="1">
        <f>MONTH(ubezpieczenia3[[#This Row],[Data_urodz]])</f>
        <v>12</v>
      </c>
      <c r="F30" s="1">
        <f t="shared" si="0"/>
        <v>29</v>
      </c>
    </row>
    <row r="31" spans="1:6" x14ac:dyDescent="0.25">
      <c r="A31" s="1" t="s">
        <v>60</v>
      </c>
      <c r="B31" s="1" t="s">
        <v>11</v>
      </c>
      <c r="C31" s="2">
        <v>25045</v>
      </c>
      <c r="D31" s="1" t="s">
        <v>12</v>
      </c>
      <c r="E31" s="1">
        <f>MONTH(ubezpieczenia3[[#This Row],[Data_urodz]])</f>
        <v>7</v>
      </c>
      <c r="F31" s="1">
        <f t="shared" si="0"/>
        <v>30</v>
      </c>
    </row>
    <row r="32" spans="1:6" x14ac:dyDescent="0.25">
      <c r="A32" s="1" t="s">
        <v>61</v>
      </c>
      <c r="B32" s="1" t="s">
        <v>20</v>
      </c>
      <c r="C32" s="2">
        <v>18367</v>
      </c>
      <c r="D32" s="1" t="s">
        <v>12</v>
      </c>
      <c r="E32" s="1">
        <f>MONTH(ubezpieczenia3[[#This Row],[Data_urodz]])</f>
        <v>4</v>
      </c>
      <c r="F32" s="1">
        <f t="shared" si="0"/>
        <v>31</v>
      </c>
    </row>
    <row r="33" spans="1:6" x14ac:dyDescent="0.25">
      <c r="A33" s="1" t="s">
        <v>62</v>
      </c>
      <c r="B33" s="1" t="s">
        <v>20</v>
      </c>
      <c r="C33" s="2">
        <v>21630</v>
      </c>
      <c r="D33" s="1" t="s">
        <v>6</v>
      </c>
      <c r="E33" s="1">
        <f>MONTH(ubezpieczenia3[[#This Row],[Data_urodz]])</f>
        <v>3</v>
      </c>
      <c r="F33" s="1">
        <f t="shared" si="0"/>
        <v>32</v>
      </c>
    </row>
    <row r="34" spans="1:6" x14ac:dyDescent="0.25">
      <c r="A34" s="1" t="s">
        <v>63</v>
      </c>
      <c r="B34" s="1" t="s">
        <v>64</v>
      </c>
      <c r="C34" s="2">
        <v>16075</v>
      </c>
      <c r="D34" s="1" t="s">
        <v>40</v>
      </c>
      <c r="E34" s="1">
        <f>MONTH(ubezpieczenia3[[#This Row],[Data_urodz]])</f>
        <v>1</v>
      </c>
      <c r="F34" s="1">
        <f t="shared" si="0"/>
        <v>33</v>
      </c>
    </row>
    <row r="35" spans="1:6" x14ac:dyDescent="0.25">
      <c r="A35" s="1" t="s">
        <v>65</v>
      </c>
      <c r="B35" s="1" t="s">
        <v>20</v>
      </c>
      <c r="C35" s="2">
        <v>30640</v>
      </c>
      <c r="D35" s="1" t="s">
        <v>6</v>
      </c>
      <c r="E35" s="1">
        <f>MONTH(ubezpieczenia3[[#This Row],[Data_urodz]])</f>
        <v>11</v>
      </c>
      <c r="F35" s="1">
        <f t="shared" si="0"/>
        <v>34</v>
      </c>
    </row>
    <row r="36" spans="1:6" x14ac:dyDescent="0.25">
      <c r="A36" s="1" t="s">
        <v>66</v>
      </c>
      <c r="B36" s="1" t="s">
        <v>67</v>
      </c>
      <c r="C36" s="2">
        <v>21633</v>
      </c>
      <c r="D36" s="1" t="s">
        <v>12</v>
      </c>
      <c r="E36" s="1">
        <f>MONTH(ubezpieczenia3[[#This Row],[Data_urodz]])</f>
        <v>3</v>
      </c>
      <c r="F36" s="1">
        <f t="shared" si="0"/>
        <v>35</v>
      </c>
    </row>
    <row r="37" spans="1:6" x14ac:dyDescent="0.25">
      <c r="A37" s="1" t="s">
        <v>68</v>
      </c>
      <c r="B37" s="1" t="s">
        <v>69</v>
      </c>
      <c r="C37" s="2">
        <v>22843</v>
      </c>
      <c r="D37" s="1" t="s">
        <v>6</v>
      </c>
      <c r="E37" s="1">
        <f>MONTH(ubezpieczenia3[[#This Row],[Data_urodz]])</f>
        <v>7</v>
      </c>
      <c r="F37" s="1">
        <f t="shared" si="0"/>
        <v>36</v>
      </c>
    </row>
    <row r="38" spans="1:6" x14ac:dyDescent="0.25">
      <c r="A38" s="1" t="s">
        <v>70</v>
      </c>
      <c r="B38" s="1" t="s">
        <v>39</v>
      </c>
      <c r="C38" s="2">
        <v>22944</v>
      </c>
      <c r="D38" s="1" t="s">
        <v>12</v>
      </c>
      <c r="E38" s="1">
        <f>MONTH(ubezpieczenia3[[#This Row],[Data_urodz]])</f>
        <v>10</v>
      </c>
      <c r="F38" s="1">
        <f t="shared" si="0"/>
        <v>37</v>
      </c>
    </row>
    <row r="39" spans="1:6" x14ac:dyDescent="0.25">
      <c r="A39" s="1" t="s">
        <v>71</v>
      </c>
      <c r="B39" s="1" t="s">
        <v>72</v>
      </c>
      <c r="C39" s="2">
        <v>28856</v>
      </c>
      <c r="D39" s="1" t="s">
        <v>6</v>
      </c>
      <c r="E39" s="1">
        <f>MONTH(ubezpieczenia3[[#This Row],[Data_urodz]])</f>
        <v>1</v>
      </c>
      <c r="F39" s="1">
        <f t="shared" si="0"/>
        <v>38</v>
      </c>
    </row>
    <row r="40" spans="1:6" x14ac:dyDescent="0.25">
      <c r="A40" s="1" t="s">
        <v>73</v>
      </c>
      <c r="B40" s="1" t="s">
        <v>74</v>
      </c>
      <c r="C40" s="2">
        <v>27510</v>
      </c>
      <c r="D40" s="1" t="s">
        <v>9</v>
      </c>
      <c r="E40" s="1">
        <f>MONTH(ubezpieczenia3[[#This Row],[Data_urodz]])</f>
        <v>4</v>
      </c>
      <c r="F40" s="1">
        <f t="shared" si="0"/>
        <v>39</v>
      </c>
    </row>
    <row r="41" spans="1:6" x14ac:dyDescent="0.25">
      <c r="A41" s="1" t="s">
        <v>75</v>
      </c>
      <c r="B41" s="1" t="s">
        <v>52</v>
      </c>
      <c r="C41" s="2">
        <v>24744</v>
      </c>
      <c r="D41" s="1" t="s">
        <v>12</v>
      </c>
      <c r="E41" s="1">
        <f>MONTH(ubezpieczenia3[[#This Row],[Data_urodz]])</f>
        <v>9</v>
      </c>
      <c r="F41" s="1">
        <f t="shared" si="0"/>
        <v>40</v>
      </c>
    </row>
    <row r="42" spans="1:6" x14ac:dyDescent="0.25">
      <c r="A42" s="1" t="s">
        <v>76</v>
      </c>
      <c r="B42" s="1" t="s">
        <v>77</v>
      </c>
      <c r="C42" s="2">
        <v>26703</v>
      </c>
      <c r="D42" s="1" t="s">
        <v>40</v>
      </c>
      <c r="E42" s="1">
        <f>MONTH(ubezpieczenia3[[#This Row],[Data_urodz]])</f>
        <v>2</v>
      </c>
      <c r="F42" s="1">
        <f t="shared" si="0"/>
        <v>41</v>
      </c>
    </row>
    <row r="43" spans="1:6" x14ac:dyDescent="0.25">
      <c r="A43" s="1" t="s">
        <v>78</v>
      </c>
      <c r="B43" s="1" t="s">
        <v>79</v>
      </c>
      <c r="C43" s="2">
        <v>18847</v>
      </c>
      <c r="D43" s="1" t="s">
        <v>6</v>
      </c>
      <c r="E43" s="1">
        <f>MONTH(ubezpieczenia3[[#This Row],[Data_urodz]])</f>
        <v>8</v>
      </c>
      <c r="F43" s="1">
        <f t="shared" si="0"/>
        <v>42</v>
      </c>
    </row>
    <row r="44" spans="1:6" x14ac:dyDescent="0.25">
      <c r="A44" s="1" t="s">
        <v>80</v>
      </c>
      <c r="B44" s="1" t="s">
        <v>81</v>
      </c>
      <c r="C44" s="2">
        <v>33899</v>
      </c>
      <c r="D44" s="1" t="s">
        <v>12</v>
      </c>
      <c r="E44" s="1">
        <f>MONTH(ubezpieczenia3[[#This Row],[Data_urodz]])</f>
        <v>10</v>
      </c>
      <c r="F44" s="1">
        <f t="shared" si="0"/>
        <v>43</v>
      </c>
    </row>
    <row r="45" spans="1:6" x14ac:dyDescent="0.25">
      <c r="A45" s="1" t="s">
        <v>82</v>
      </c>
      <c r="B45" s="1" t="s">
        <v>42</v>
      </c>
      <c r="C45" s="2">
        <v>34773</v>
      </c>
      <c r="D45" s="1" t="s">
        <v>12</v>
      </c>
      <c r="E45" s="1">
        <f>MONTH(ubezpieczenia3[[#This Row],[Data_urodz]])</f>
        <v>3</v>
      </c>
      <c r="F45" s="1">
        <f t="shared" si="0"/>
        <v>44</v>
      </c>
    </row>
    <row r="46" spans="1:6" x14ac:dyDescent="0.25">
      <c r="A46" s="1" t="s">
        <v>83</v>
      </c>
      <c r="B46" s="1" t="s">
        <v>84</v>
      </c>
      <c r="C46" s="2">
        <v>28929</v>
      </c>
      <c r="D46" s="1" t="s">
        <v>6</v>
      </c>
      <c r="E46" s="1">
        <f>MONTH(ubezpieczenia3[[#This Row],[Data_urodz]])</f>
        <v>3</v>
      </c>
      <c r="F46" s="1">
        <f t="shared" si="0"/>
        <v>45</v>
      </c>
    </row>
    <row r="47" spans="1:6" x14ac:dyDescent="0.25">
      <c r="A47" s="1" t="s">
        <v>85</v>
      </c>
      <c r="B47" s="1" t="s">
        <v>42</v>
      </c>
      <c r="C47" s="2">
        <v>17612</v>
      </c>
      <c r="D47" s="1" t="s">
        <v>40</v>
      </c>
      <c r="E47" s="1">
        <f>MONTH(ubezpieczenia3[[#This Row],[Data_urodz]])</f>
        <v>3</v>
      </c>
      <c r="F47" s="1">
        <f t="shared" si="0"/>
        <v>46</v>
      </c>
    </row>
    <row r="48" spans="1:6" x14ac:dyDescent="0.25">
      <c r="A48" s="1" t="s">
        <v>86</v>
      </c>
      <c r="B48" s="1" t="s">
        <v>87</v>
      </c>
      <c r="C48" s="2">
        <v>26002</v>
      </c>
      <c r="D48" s="1" t="s">
        <v>12</v>
      </c>
      <c r="E48" s="1">
        <f>MONTH(ubezpieczenia3[[#This Row],[Data_urodz]])</f>
        <v>3</v>
      </c>
      <c r="F48" s="1">
        <f t="shared" si="0"/>
        <v>47</v>
      </c>
    </row>
    <row r="49" spans="1:6" x14ac:dyDescent="0.25">
      <c r="A49" s="1" t="s">
        <v>88</v>
      </c>
      <c r="B49" s="1" t="s">
        <v>52</v>
      </c>
      <c r="C49" s="2">
        <v>17050</v>
      </c>
      <c r="D49" s="1" t="s">
        <v>12</v>
      </c>
      <c r="E49" s="1">
        <f>MONTH(ubezpieczenia3[[#This Row],[Data_urodz]])</f>
        <v>9</v>
      </c>
      <c r="F49" s="1">
        <f t="shared" si="0"/>
        <v>48</v>
      </c>
    </row>
    <row r="50" spans="1:6" x14ac:dyDescent="0.25">
      <c r="A50" s="1" t="s">
        <v>89</v>
      </c>
      <c r="B50" s="1" t="s">
        <v>90</v>
      </c>
      <c r="C50" s="2">
        <v>17757</v>
      </c>
      <c r="D50" s="1" t="s">
        <v>6</v>
      </c>
      <c r="E50" s="1">
        <f>MONTH(ubezpieczenia3[[#This Row],[Data_urodz]])</f>
        <v>8</v>
      </c>
      <c r="F50" s="1">
        <f t="shared" si="0"/>
        <v>49</v>
      </c>
    </row>
    <row r="51" spans="1:6" x14ac:dyDescent="0.25">
      <c r="A51" s="1" t="s">
        <v>91</v>
      </c>
      <c r="B51" s="1" t="s">
        <v>92</v>
      </c>
      <c r="C51" s="2">
        <v>30155</v>
      </c>
      <c r="D51" s="1" t="s">
        <v>6</v>
      </c>
      <c r="E51" s="1">
        <f>MONTH(ubezpieczenia3[[#This Row],[Data_urodz]])</f>
        <v>7</v>
      </c>
      <c r="F51" s="1">
        <f t="shared" si="0"/>
        <v>50</v>
      </c>
    </row>
    <row r="52" spans="1:6" x14ac:dyDescent="0.25">
      <c r="A52" s="1" t="s">
        <v>93</v>
      </c>
      <c r="B52" s="1" t="s">
        <v>94</v>
      </c>
      <c r="C52" s="2">
        <v>22758</v>
      </c>
      <c r="D52" s="1" t="s">
        <v>40</v>
      </c>
      <c r="E52" s="1">
        <f>MONTH(ubezpieczenia3[[#This Row],[Data_urodz]])</f>
        <v>4</v>
      </c>
      <c r="F52" s="1">
        <f t="shared" si="0"/>
        <v>51</v>
      </c>
    </row>
    <row r="53" spans="1:6" x14ac:dyDescent="0.25">
      <c r="A53" s="1" t="s">
        <v>95</v>
      </c>
      <c r="B53" s="1" t="s">
        <v>52</v>
      </c>
      <c r="C53" s="2">
        <v>17830</v>
      </c>
      <c r="D53" s="1" t="s">
        <v>6</v>
      </c>
      <c r="E53" s="1">
        <f>MONTH(ubezpieczenia3[[#This Row],[Data_urodz]])</f>
        <v>10</v>
      </c>
      <c r="F53" s="1">
        <f t="shared" si="0"/>
        <v>52</v>
      </c>
    </row>
    <row r="54" spans="1:6" x14ac:dyDescent="0.25">
      <c r="A54" s="1" t="s">
        <v>96</v>
      </c>
      <c r="B54" s="1" t="s">
        <v>20</v>
      </c>
      <c r="C54" s="2">
        <v>16168</v>
      </c>
      <c r="D54" s="1" t="s">
        <v>6</v>
      </c>
      <c r="E54" s="1">
        <f>MONTH(ubezpieczenia3[[#This Row],[Data_urodz]])</f>
        <v>4</v>
      </c>
      <c r="F54" s="1">
        <f t="shared" si="0"/>
        <v>53</v>
      </c>
    </row>
    <row r="55" spans="1:6" x14ac:dyDescent="0.25">
      <c r="A55" s="1" t="s">
        <v>97</v>
      </c>
      <c r="B55" s="1" t="s">
        <v>98</v>
      </c>
      <c r="C55" s="2">
        <v>32118</v>
      </c>
      <c r="D55" s="1" t="s">
        <v>6</v>
      </c>
      <c r="E55" s="1">
        <f>MONTH(ubezpieczenia3[[#This Row],[Data_urodz]])</f>
        <v>12</v>
      </c>
      <c r="F55" s="1">
        <f t="shared" si="0"/>
        <v>54</v>
      </c>
    </row>
    <row r="56" spans="1:6" x14ac:dyDescent="0.25">
      <c r="A56" s="1" t="s">
        <v>99</v>
      </c>
      <c r="B56" s="1" t="s">
        <v>18</v>
      </c>
      <c r="C56" s="2">
        <v>20332</v>
      </c>
      <c r="D56" s="1" t="s">
        <v>12</v>
      </c>
      <c r="E56" s="1">
        <f>MONTH(ubezpieczenia3[[#This Row],[Data_urodz]])</f>
        <v>8</v>
      </c>
      <c r="F56" s="1">
        <f t="shared" si="0"/>
        <v>55</v>
      </c>
    </row>
    <row r="57" spans="1:6" x14ac:dyDescent="0.25">
      <c r="A57" s="1" t="s">
        <v>100</v>
      </c>
      <c r="B57" s="1" t="s">
        <v>49</v>
      </c>
      <c r="C57" s="2">
        <v>19375</v>
      </c>
      <c r="D57" s="1" t="s">
        <v>6</v>
      </c>
      <c r="E57" s="1">
        <f>MONTH(ubezpieczenia3[[#This Row],[Data_urodz]])</f>
        <v>1</v>
      </c>
      <c r="F57" s="1">
        <f t="shared" si="0"/>
        <v>56</v>
      </c>
    </row>
    <row r="58" spans="1:6" x14ac:dyDescent="0.25">
      <c r="A58" s="1" t="s">
        <v>101</v>
      </c>
      <c r="B58" s="1" t="s">
        <v>102</v>
      </c>
      <c r="C58" s="2">
        <v>34818</v>
      </c>
      <c r="D58" s="1" t="s">
        <v>12</v>
      </c>
      <c r="E58" s="1">
        <f>MONTH(ubezpieczenia3[[#This Row],[Data_urodz]])</f>
        <v>4</v>
      </c>
      <c r="F58" s="1">
        <f t="shared" si="0"/>
        <v>57</v>
      </c>
    </row>
    <row r="59" spans="1:6" x14ac:dyDescent="0.25">
      <c r="A59" s="1" t="s">
        <v>103</v>
      </c>
      <c r="B59" s="1" t="s">
        <v>16</v>
      </c>
      <c r="C59" s="2">
        <v>23775</v>
      </c>
      <c r="D59" s="1" t="s">
        <v>9</v>
      </c>
      <c r="E59" s="1">
        <f>MONTH(ubezpieczenia3[[#This Row],[Data_urodz]])</f>
        <v>2</v>
      </c>
      <c r="F59" s="1">
        <f t="shared" si="0"/>
        <v>58</v>
      </c>
    </row>
    <row r="60" spans="1:6" x14ac:dyDescent="0.25">
      <c r="A60" s="1" t="s">
        <v>104</v>
      </c>
      <c r="B60" s="1" t="s">
        <v>105</v>
      </c>
      <c r="C60" s="2">
        <v>29371</v>
      </c>
      <c r="D60" s="1" t="s">
        <v>12</v>
      </c>
      <c r="E60" s="1">
        <f>MONTH(ubezpieczenia3[[#This Row],[Data_urodz]])</f>
        <v>5</v>
      </c>
      <c r="F60" s="1">
        <f t="shared" si="0"/>
        <v>59</v>
      </c>
    </row>
    <row r="61" spans="1:6" x14ac:dyDescent="0.25">
      <c r="A61" s="1" t="s">
        <v>106</v>
      </c>
      <c r="B61" s="1" t="s">
        <v>107</v>
      </c>
      <c r="C61" s="2">
        <v>27370</v>
      </c>
      <c r="D61" s="1" t="s">
        <v>12</v>
      </c>
      <c r="E61" s="1">
        <f>MONTH(ubezpieczenia3[[#This Row],[Data_urodz]])</f>
        <v>12</v>
      </c>
      <c r="F61" s="1">
        <f t="shared" si="0"/>
        <v>60</v>
      </c>
    </row>
    <row r="62" spans="1:6" x14ac:dyDescent="0.25">
      <c r="A62" s="1" t="s">
        <v>108</v>
      </c>
      <c r="B62" s="1" t="s">
        <v>109</v>
      </c>
      <c r="C62" s="2">
        <v>19032</v>
      </c>
      <c r="D62" s="1" t="s">
        <v>6</v>
      </c>
      <c r="E62" s="1">
        <f>MONTH(ubezpieczenia3[[#This Row],[Data_urodz]])</f>
        <v>2</v>
      </c>
      <c r="F62" s="1">
        <f t="shared" si="0"/>
        <v>61</v>
      </c>
    </row>
    <row r="63" spans="1:6" x14ac:dyDescent="0.25">
      <c r="A63" s="1" t="s">
        <v>110</v>
      </c>
      <c r="B63" s="1" t="s">
        <v>37</v>
      </c>
      <c r="C63" s="2">
        <v>27475</v>
      </c>
      <c r="D63" s="1" t="s">
        <v>12</v>
      </c>
      <c r="E63" s="1">
        <f>MONTH(ubezpieczenia3[[#This Row],[Data_urodz]])</f>
        <v>3</v>
      </c>
      <c r="F63" s="1">
        <f t="shared" si="0"/>
        <v>62</v>
      </c>
    </row>
    <row r="64" spans="1:6" x14ac:dyDescent="0.25">
      <c r="A64" s="1" t="s">
        <v>111</v>
      </c>
      <c r="B64" s="1" t="s">
        <v>52</v>
      </c>
      <c r="C64" s="2">
        <v>20719</v>
      </c>
      <c r="D64" s="1" t="s">
        <v>6</v>
      </c>
      <c r="E64" s="1">
        <f>MONTH(ubezpieczenia3[[#This Row],[Data_urodz]])</f>
        <v>9</v>
      </c>
      <c r="F64" s="1">
        <f t="shared" si="0"/>
        <v>63</v>
      </c>
    </row>
    <row r="65" spans="1:6" x14ac:dyDescent="0.25">
      <c r="A65" s="1" t="s">
        <v>112</v>
      </c>
      <c r="B65" s="1" t="s">
        <v>8</v>
      </c>
      <c r="C65" s="2">
        <v>22206</v>
      </c>
      <c r="D65" s="1" t="s">
        <v>40</v>
      </c>
      <c r="E65" s="1">
        <f>MONTH(ubezpieczenia3[[#This Row],[Data_urodz]])</f>
        <v>10</v>
      </c>
      <c r="F65" s="1">
        <f t="shared" si="0"/>
        <v>64</v>
      </c>
    </row>
    <row r="66" spans="1:6" x14ac:dyDescent="0.25">
      <c r="A66" s="1" t="s">
        <v>113</v>
      </c>
      <c r="B66" s="1" t="s">
        <v>114</v>
      </c>
      <c r="C66" s="2">
        <v>17376</v>
      </c>
      <c r="D66" s="1" t="s">
        <v>12</v>
      </c>
      <c r="E66" s="1">
        <f>MONTH(ubezpieczenia3[[#This Row],[Data_urodz]])</f>
        <v>7</v>
      </c>
      <c r="F66" s="1">
        <f t="shared" si="0"/>
        <v>65</v>
      </c>
    </row>
    <row r="67" spans="1:6" x14ac:dyDescent="0.25">
      <c r="A67" s="1" t="s">
        <v>115</v>
      </c>
      <c r="B67" s="1" t="s">
        <v>114</v>
      </c>
      <c r="C67" s="2">
        <v>34280</v>
      </c>
      <c r="D67" s="1" t="s">
        <v>40</v>
      </c>
      <c r="E67" s="1">
        <f>MONTH(ubezpieczenia3[[#This Row],[Data_urodz]])</f>
        <v>11</v>
      </c>
      <c r="F67" s="1">
        <f t="shared" si="0"/>
        <v>66</v>
      </c>
    </row>
    <row r="68" spans="1:6" x14ac:dyDescent="0.25">
      <c r="A68" s="1" t="s">
        <v>116</v>
      </c>
      <c r="B68" s="1" t="s">
        <v>49</v>
      </c>
      <c r="C68" s="2">
        <v>25821</v>
      </c>
      <c r="D68" s="1" t="s">
        <v>40</v>
      </c>
      <c r="E68" s="1">
        <f>MONTH(ubezpieczenia3[[#This Row],[Data_urodz]])</f>
        <v>9</v>
      </c>
      <c r="F68" s="1">
        <f t="shared" ref="F68:F131" si="1">F67+1</f>
        <v>67</v>
      </c>
    </row>
    <row r="69" spans="1:6" x14ac:dyDescent="0.25">
      <c r="A69" s="1" t="s">
        <v>117</v>
      </c>
      <c r="B69" s="1" t="s">
        <v>47</v>
      </c>
      <c r="C69" s="2">
        <v>20242</v>
      </c>
      <c r="D69" s="1" t="s">
        <v>40</v>
      </c>
      <c r="E69" s="1">
        <f>MONTH(ubezpieczenia3[[#This Row],[Data_urodz]])</f>
        <v>6</v>
      </c>
      <c r="F69" s="1">
        <f t="shared" si="1"/>
        <v>68</v>
      </c>
    </row>
    <row r="70" spans="1:6" x14ac:dyDescent="0.25">
      <c r="A70" s="1" t="s">
        <v>118</v>
      </c>
      <c r="B70" s="1" t="s">
        <v>20</v>
      </c>
      <c r="C70" s="2">
        <v>25415</v>
      </c>
      <c r="D70" s="1" t="s">
        <v>12</v>
      </c>
      <c r="E70" s="1">
        <f>MONTH(ubezpieczenia3[[#This Row],[Data_urodz]])</f>
        <v>7</v>
      </c>
      <c r="F70" s="1">
        <f t="shared" si="1"/>
        <v>69</v>
      </c>
    </row>
    <row r="71" spans="1:6" x14ac:dyDescent="0.25">
      <c r="A71" s="1" t="s">
        <v>119</v>
      </c>
      <c r="B71" s="1" t="s">
        <v>47</v>
      </c>
      <c r="C71" s="2">
        <v>19048</v>
      </c>
      <c r="D71" s="1" t="s">
        <v>9</v>
      </c>
      <c r="E71" s="1">
        <f>MONTH(ubezpieczenia3[[#This Row],[Data_urodz]])</f>
        <v>2</v>
      </c>
      <c r="F71" s="1">
        <f t="shared" si="1"/>
        <v>70</v>
      </c>
    </row>
    <row r="72" spans="1:6" x14ac:dyDescent="0.25">
      <c r="A72" s="1" t="s">
        <v>120</v>
      </c>
      <c r="B72" s="1" t="s">
        <v>121</v>
      </c>
      <c r="C72" s="2">
        <v>18811</v>
      </c>
      <c r="D72" s="1" t="s">
        <v>12</v>
      </c>
      <c r="E72" s="1">
        <f>MONTH(ubezpieczenia3[[#This Row],[Data_urodz]])</f>
        <v>7</v>
      </c>
      <c r="F72" s="1">
        <f t="shared" si="1"/>
        <v>71</v>
      </c>
    </row>
    <row r="73" spans="1:6" x14ac:dyDescent="0.25">
      <c r="A73" s="1" t="s">
        <v>122</v>
      </c>
      <c r="B73" s="1" t="s">
        <v>123</v>
      </c>
      <c r="C73" s="2">
        <v>17072</v>
      </c>
      <c r="D73" s="1" t="s">
        <v>40</v>
      </c>
      <c r="E73" s="1">
        <f>MONTH(ubezpieczenia3[[#This Row],[Data_urodz]])</f>
        <v>9</v>
      </c>
      <c r="F73" s="1">
        <f t="shared" si="1"/>
        <v>72</v>
      </c>
    </row>
    <row r="74" spans="1:6" x14ac:dyDescent="0.25">
      <c r="A74" s="1" t="s">
        <v>124</v>
      </c>
      <c r="B74" s="1" t="s">
        <v>121</v>
      </c>
      <c r="C74" s="2">
        <v>33277</v>
      </c>
      <c r="D74" s="1" t="s">
        <v>6</v>
      </c>
      <c r="E74" s="1">
        <f>MONTH(ubezpieczenia3[[#This Row],[Data_urodz]])</f>
        <v>2</v>
      </c>
      <c r="F74" s="1">
        <f t="shared" si="1"/>
        <v>73</v>
      </c>
    </row>
    <row r="75" spans="1:6" x14ac:dyDescent="0.25">
      <c r="A75" s="1" t="s">
        <v>125</v>
      </c>
      <c r="B75" s="1" t="s">
        <v>79</v>
      </c>
      <c r="C75" s="2">
        <v>16987</v>
      </c>
      <c r="D75" s="1" t="s">
        <v>6</v>
      </c>
      <c r="E75" s="1">
        <f>MONTH(ubezpieczenia3[[#This Row],[Data_urodz]])</f>
        <v>7</v>
      </c>
      <c r="F75" s="1">
        <f t="shared" si="1"/>
        <v>74</v>
      </c>
    </row>
    <row r="76" spans="1:6" x14ac:dyDescent="0.25">
      <c r="A76" s="1" t="s">
        <v>126</v>
      </c>
      <c r="B76" s="1" t="s">
        <v>127</v>
      </c>
      <c r="C76" s="2">
        <v>33408</v>
      </c>
      <c r="D76" s="1" t="s">
        <v>40</v>
      </c>
      <c r="E76" s="1">
        <f>MONTH(ubezpieczenia3[[#This Row],[Data_urodz]])</f>
        <v>6</v>
      </c>
      <c r="F76" s="1">
        <f t="shared" si="1"/>
        <v>75</v>
      </c>
    </row>
    <row r="77" spans="1:6" x14ac:dyDescent="0.25">
      <c r="A77" s="1" t="s">
        <v>110</v>
      </c>
      <c r="B77" s="1" t="s">
        <v>79</v>
      </c>
      <c r="C77" s="2">
        <v>25070</v>
      </c>
      <c r="D77" s="1" t="s">
        <v>6</v>
      </c>
      <c r="E77" s="1">
        <f>MONTH(ubezpieczenia3[[#This Row],[Data_urodz]])</f>
        <v>8</v>
      </c>
      <c r="F77" s="1">
        <f t="shared" si="1"/>
        <v>76</v>
      </c>
    </row>
    <row r="78" spans="1:6" x14ac:dyDescent="0.25">
      <c r="A78" s="1" t="s">
        <v>128</v>
      </c>
      <c r="B78" s="1" t="s">
        <v>129</v>
      </c>
      <c r="C78" s="2">
        <v>34100</v>
      </c>
      <c r="D78" s="1" t="s">
        <v>40</v>
      </c>
      <c r="E78" s="1">
        <f>MONTH(ubezpieczenia3[[#This Row],[Data_urodz]])</f>
        <v>5</v>
      </c>
      <c r="F78" s="1">
        <f t="shared" si="1"/>
        <v>77</v>
      </c>
    </row>
    <row r="79" spans="1:6" x14ac:dyDescent="0.25">
      <c r="A79" s="1" t="s">
        <v>83</v>
      </c>
      <c r="B79" s="1" t="s">
        <v>52</v>
      </c>
      <c r="C79" s="2">
        <v>19522</v>
      </c>
      <c r="D79" s="1" t="s">
        <v>9</v>
      </c>
      <c r="E79" s="1">
        <f>MONTH(ubezpieczenia3[[#This Row],[Data_urodz]])</f>
        <v>6</v>
      </c>
      <c r="F79" s="1">
        <f t="shared" si="1"/>
        <v>78</v>
      </c>
    </row>
    <row r="80" spans="1:6" x14ac:dyDescent="0.25">
      <c r="A80" s="1" t="s">
        <v>130</v>
      </c>
      <c r="B80" s="1" t="s">
        <v>131</v>
      </c>
      <c r="C80" s="2">
        <v>27284</v>
      </c>
      <c r="D80" s="1" t="s">
        <v>9</v>
      </c>
      <c r="E80" s="1">
        <f>MONTH(ubezpieczenia3[[#This Row],[Data_urodz]])</f>
        <v>9</v>
      </c>
      <c r="F80" s="1">
        <f t="shared" si="1"/>
        <v>79</v>
      </c>
    </row>
    <row r="81" spans="1:6" x14ac:dyDescent="0.25">
      <c r="A81" s="1" t="s">
        <v>132</v>
      </c>
      <c r="B81" s="1" t="s">
        <v>8</v>
      </c>
      <c r="C81" s="2">
        <v>27347</v>
      </c>
      <c r="D81" s="1" t="s">
        <v>12</v>
      </c>
      <c r="E81" s="1">
        <f>MONTH(ubezpieczenia3[[#This Row],[Data_urodz]])</f>
        <v>11</v>
      </c>
      <c r="F81" s="1">
        <f t="shared" si="1"/>
        <v>80</v>
      </c>
    </row>
    <row r="82" spans="1:6" x14ac:dyDescent="0.25">
      <c r="A82" s="1" t="s">
        <v>133</v>
      </c>
      <c r="B82" s="1" t="s">
        <v>134</v>
      </c>
      <c r="C82" s="2">
        <v>20618</v>
      </c>
      <c r="D82" s="1" t="s">
        <v>12</v>
      </c>
      <c r="E82" s="1">
        <f>MONTH(ubezpieczenia3[[#This Row],[Data_urodz]])</f>
        <v>6</v>
      </c>
      <c r="F82" s="1">
        <f t="shared" si="1"/>
        <v>81</v>
      </c>
    </row>
    <row r="83" spans="1:6" x14ac:dyDescent="0.25">
      <c r="A83" s="1" t="s">
        <v>135</v>
      </c>
      <c r="B83" s="1" t="s">
        <v>54</v>
      </c>
      <c r="C83" s="2">
        <v>19256</v>
      </c>
      <c r="D83" s="1" t="s">
        <v>12</v>
      </c>
      <c r="E83" s="1">
        <f>MONTH(ubezpieczenia3[[#This Row],[Data_urodz]])</f>
        <v>9</v>
      </c>
      <c r="F83" s="1">
        <f t="shared" si="1"/>
        <v>82</v>
      </c>
    </row>
    <row r="84" spans="1:6" x14ac:dyDescent="0.25">
      <c r="A84" s="1" t="s">
        <v>136</v>
      </c>
      <c r="B84" s="1" t="s">
        <v>137</v>
      </c>
      <c r="C84" s="2">
        <v>21898</v>
      </c>
      <c r="D84" s="1" t="s">
        <v>12</v>
      </c>
      <c r="E84" s="1">
        <f>MONTH(ubezpieczenia3[[#This Row],[Data_urodz]])</f>
        <v>12</v>
      </c>
      <c r="F84" s="1">
        <f t="shared" si="1"/>
        <v>83</v>
      </c>
    </row>
    <row r="85" spans="1:6" x14ac:dyDescent="0.25">
      <c r="A85" s="1" t="s">
        <v>138</v>
      </c>
      <c r="B85" s="1" t="s">
        <v>139</v>
      </c>
      <c r="C85" s="2">
        <v>16873</v>
      </c>
      <c r="D85" s="1" t="s">
        <v>12</v>
      </c>
      <c r="E85" s="1">
        <f>MONTH(ubezpieczenia3[[#This Row],[Data_urodz]])</f>
        <v>3</v>
      </c>
      <c r="F85" s="1">
        <f t="shared" si="1"/>
        <v>84</v>
      </c>
    </row>
    <row r="86" spans="1:6" x14ac:dyDescent="0.25">
      <c r="A86" s="1" t="s">
        <v>140</v>
      </c>
      <c r="B86" s="1" t="s">
        <v>141</v>
      </c>
      <c r="C86" s="2">
        <v>34893</v>
      </c>
      <c r="D86" s="1" t="s">
        <v>6</v>
      </c>
      <c r="E86" s="1">
        <f>MONTH(ubezpieczenia3[[#This Row],[Data_urodz]])</f>
        <v>7</v>
      </c>
      <c r="F86" s="1">
        <f t="shared" si="1"/>
        <v>85</v>
      </c>
    </row>
    <row r="87" spans="1:6" x14ac:dyDescent="0.25">
      <c r="A87" s="1" t="s">
        <v>142</v>
      </c>
      <c r="B87" s="1" t="s">
        <v>143</v>
      </c>
      <c r="C87" s="2">
        <v>16028</v>
      </c>
      <c r="D87" s="1" t="s">
        <v>12</v>
      </c>
      <c r="E87" s="1">
        <f>MONTH(ubezpieczenia3[[#This Row],[Data_urodz]])</f>
        <v>11</v>
      </c>
      <c r="F87" s="1">
        <f t="shared" si="1"/>
        <v>86</v>
      </c>
    </row>
    <row r="88" spans="1:6" x14ac:dyDescent="0.25">
      <c r="A88" s="1" t="s">
        <v>144</v>
      </c>
      <c r="B88" s="1" t="s">
        <v>54</v>
      </c>
      <c r="C88" s="2">
        <v>33446</v>
      </c>
      <c r="D88" s="1" t="s">
        <v>6</v>
      </c>
      <c r="E88" s="1">
        <f>MONTH(ubezpieczenia3[[#This Row],[Data_urodz]])</f>
        <v>7</v>
      </c>
      <c r="F88" s="1">
        <f t="shared" si="1"/>
        <v>87</v>
      </c>
    </row>
    <row r="89" spans="1:6" x14ac:dyDescent="0.25">
      <c r="A89" s="1" t="s">
        <v>145</v>
      </c>
      <c r="B89" s="1" t="s">
        <v>146</v>
      </c>
      <c r="C89" s="2">
        <v>18892</v>
      </c>
      <c r="D89" s="1" t="s">
        <v>6</v>
      </c>
      <c r="E89" s="1">
        <f>MONTH(ubezpieczenia3[[#This Row],[Data_urodz]])</f>
        <v>9</v>
      </c>
      <c r="F89" s="1">
        <f t="shared" si="1"/>
        <v>88</v>
      </c>
    </row>
    <row r="90" spans="1:6" x14ac:dyDescent="0.25">
      <c r="A90" s="1" t="s">
        <v>147</v>
      </c>
      <c r="B90" s="1" t="s">
        <v>102</v>
      </c>
      <c r="C90" s="2">
        <v>32219</v>
      </c>
      <c r="D90" s="1" t="s">
        <v>12</v>
      </c>
      <c r="E90" s="1">
        <f>MONTH(ubezpieczenia3[[#This Row],[Data_urodz]])</f>
        <v>3</v>
      </c>
      <c r="F90" s="1">
        <f t="shared" si="1"/>
        <v>89</v>
      </c>
    </row>
    <row r="91" spans="1:6" x14ac:dyDescent="0.25">
      <c r="A91" s="1" t="s">
        <v>148</v>
      </c>
      <c r="B91" s="1" t="s">
        <v>149</v>
      </c>
      <c r="C91" s="2">
        <v>31771</v>
      </c>
      <c r="D91" s="1" t="s">
        <v>9</v>
      </c>
      <c r="E91" s="1">
        <f>MONTH(ubezpieczenia3[[#This Row],[Data_urodz]])</f>
        <v>12</v>
      </c>
      <c r="F91" s="1">
        <f t="shared" si="1"/>
        <v>90</v>
      </c>
    </row>
    <row r="92" spans="1:6" x14ac:dyDescent="0.25">
      <c r="A92" s="1" t="s">
        <v>51</v>
      </c>
      <c r="B92" s="1" t="s">
        <v>150</v>
      </c>
      <c r="C92" s="2">
        <v>30633</v>
      </c>
      <c r="D92" s="1" t="s">
        <v>40</v>
      </c>
      <c r="E92" s="1">
        <f>MONTH(ubezpieczenia3[[#This Row],[Data_urodz]])</f>
        <v>11</v>
      </c>
      <c r="F92" s="1">
        <f t="shared" si="1"/>
        <v>91</v>
      </c>
    </row>
    <row r="93" spans="1:6" x14ac:dyDescent="0.25">
      <c r="A93" s="1" t="s">
        <v>151</v>
      </c>
      <c r="B93" s="1" t="s">
        <v>152</v>
      </c>
      <c r="C93" s="2">
        <v>34177</v>
      </c>
      <c r="D93" s="1" t="s">
        <v>40</v>
      </c>
      <c r="E93" s="1">
        <f>MONTH(ubezpieczenia3[[#This Row],[Data_urodz]])</f>
        <v>7</v>
      </c>
      <c r="F93" s="1">
        <f t="shared" si="1"/>
        <v>92</v>
      </c>
    </row>
    <row r="94" spans="1:6" x14ac:dyDescent="0.25">
      <c r="A94" s="1" t="s">
        <v>153</v>
      </c>
      <c r="B94" s="1" t="s">
        <v>137</v>
      </c>
      <c r="C94" s="2">
        <v>33281</v>
      </c>
      <c r="D94" s="1" t="s">
        <v>12</v>
      </c>
      <c r="E94" s="1">
        <f>MONTH(ubezpieczenia3[[#This Row],[Data_urodz]])</f>
        <v>2</v>
      </c>
      <c r="F94" s="1">
        <f t="shared" si="1"/>
        <v>93</v>
      </c>
    </row>
    <row r="95" spans="1:6" x14ac:dyDescent="0.25">
      <c r="A95" s="1" t="s">
        <v>75</v>
      </c>
      <c r="B95" s="1" t="s">
        <v>154</v>
      </c>
      <c r="C95" s="2">
        <v>21897</v>
      </c>
      <c r="D95" s="1" t="s">
        <v>12</v>
      </c>
      <c r="E95" s="1">
        <f>MONTH(ubezpieczenia3[[#This Row],[Data_urodz]])</f>
        <v>12</v>
      </c>
      <c r="F95" s="1">
        <f t="shared" si="1"/>
        <v>94</v>
      </c>
    </row>
    <row r="96" spans="1:6" x14ac:dyDescent="0.25">
      <c r="A96" s="1" t="s">
        <v>155</v>
      </c>
      <c r="B96" s="1" t="s">
        <v>37</v>
      </c>
      <c r="C96" s="2">
        <v>18604</v>
      </c>
      <c r="D96" s="1" t="s">
        <v>40</v>
      </c>
      <c r="E96" s="1">
        <f>MONTH(ubezpieczenia3[[#This Row],[Data_urodz]])</f>
        <v>12</v>
      </c>
      <c r="F96" s="1">
        <f t="shared" si="1"/>
        <v>95</v>
      </c>
    </row>
    <row r="97" spans="1:6" x14ac:dyDescent="0.25">
      <c r="A97" s="1" t="s">
        <v>156</v>
      </c>
      <c r="B97" s="1" t="s">
        <v>157</v>
      </c>
      <c r="C97" s="2">
        <v>18910</v>
      </c>
      <c r="D97" s="1" t="s">
        <v>12</v>
      </c>
      <c r="E97" s="1">
        <f>MONTH(ubezpieczenia3[[#This Row],[Data_urodz]])</f>
        <v>10</v>
      </c>
      <c r="F97" s="1">
        <f t="shared" si="1"/>
        <v>96</v>
      </c>
    </row>
    <row r="98" spans="1:6" x14ac:dyDescent="0.25">
      <c r="A98" s="1" t="s">
        <v>158</v>
      </c>
      <c r="B98" s="1" t="s">
        <v>47</v>
      </c>
      <c r="C98" s="2">
        <v>17056</v>
      </c>
      <c r="D98" s="1" t="s">
        <v>9</v>
      </c>
      <c r="E98" s="1">
        <f>MONTH(ubezpieczenia3[[#This Row],[Data_urodz]])</f>
        <v>9</v>
      </c>
      <c r="F98" s="1">
        <f t="shared" si="1"/>
        <v>97</v>
      </c>
    </row>
    <row r="99" spans="1:6" x14ac:dyDescent="0.25">
      <c r="A99" s="1" t="s">
        <v>159</v>
      </c>
      <c r="B99" s="1" t="s">
        <v>160</v>
      </c>
      <c r="C99" s="2">
        <v>22619</v>
      </c>
      <c r="D99" s="1" t="s">
        <v>9</v>
      </c>
      <c r="E99" s="1">
        <f>MONTH(ubezpieczenia3[[#This Row],[Data_urodz]])</f>
        <v>12</v>
      </c>
      <c r="F99" s="1">
        <f t="shared" si="1"/>
        <v>98</v>
      </c>
    </row>
    <row r="100" spans="1:6" x14ac:dyDescent="0.25">
      <c r="A100" s="1" t="s">
        <v>161</v>
      </c>
      <c r="B100" s="1" t="s">
        <v>37</v>
      </c>
      <c r="C100" s="2">
        <v>19740</v>
      </c>
      <c r="D100" s="1" t="s">
        <v>12</v>
      </c>
      <c r="E100" s="1">
        <f>MONTH(ubezpieczenia3[[#This Row],[Data_urodz]])</f>
        <v>1</v>
      </c>
      <c r="F100" s="1">
        <f t="shared" si="1"/>
        <v>99</v>
      </c>
    </row>
    <row r="101" spans="1:6" x14ac:dyDescent="0.25">
      <c r="A101" s="1" t="s">
        <v>162</v>
      </c>
      <c r="B101" s="1" t="s">
        <v>131</v>
      </c>
      <c r="C101" s="2">
        <v>24222</v>
      </c>
      <c r="D101" s="1" t="s">
        <v>6</v>
      </c>
      <c r="E101" s="1">
        <f>MONTH(ubezpieczenia3[[#This Row],[Data_urodz]])</f>
        <v>4</v>
      </c>
      <c r="F101" s="1">
        <f t="shared" si="1"/>
        <v>100</v>
      </c>
    </row>
    <row r="102" spans="1:6" x14ac:dyDescent="0.25">
      <c r="A102" s="1" t="s">
        <v>163</v>
      </c>
      <c r="B102" s="1" t="s">
        <v>37</v>
      </c>
      <c r="C102" s="2">
        <v>17196</v>
      </c>
      <c r="D102" s="1" t="s">
        <v>40</v>
      </c>
      <c r="E102" s="1">
        <f>MONTH(ubezpieczenia3[[#This Row],[Data_urodz]])</f>
        <v>1</v>
      </c>
      <c r="F102" s="1">
        <f t="shared" si="1"/>
        <v>101</v>
      </c>
    </row>
    <row r="103" spans="1:6" x14ac:dyDescent="0.25">
      <c r="A103" s="1" t="s">
        <v>164</v>
      </c>
      <c r="B103" s="1" t="s">
        <v>52</v>
      </c>
      <c r="C103" s="2">
        <v>32013</v>
      </c>
      <c r="D103" s="1" t="s">
        <v>12</v>
      </c>
      <c r="E103" s="1">
        <f>MONTH(ubezpieczenia3[[#This Row],[Data_urodz]])</f>
        <v>8</v>
      </c>
      <c r="F103" s="1">
        <f t="shared" si="1"/>
        <v>102</v>
      </c>
    </row>
    <row r="104" spans="1:6" x14ac:dyDescent="0.25">
      <c r="A104" s="1" t="s">
        <v>163</v>
      </c>
      <c r="B104" s="1" t="s">
        <v>39</v>
      </c>
      <c r="C104" s="2">
        <v>23679</v>
      </c>
      <c r="D104" s="1" t="s">
        <v>12</v>
      </c>
      <c r="E104" s="1">
        <f>MONTH(ubezpieczenia3[[#This Row],[Data_urodz]])</f>
        <v>10</v>
      </c>
      <c r="F104" s="1">
        <f t="shared" si="1"/>
        <v>103</v>
      </c>
    </row>
    <row r="105" spans="1:6" x14ac:dyDescent="0.25">
      <c r="A105" s="1" t="s">
        <v>75</v>
      </c>
      <c r="B105" s="1" t="s">
        <v>165</v>
      </c>
      <c r="C105" s="2">
        <v>26239</v>
      </c>
      <c r="D105" s="1" t="s">
        <v>12</v>
      </c>
      <c r="E105" s="1">
        <f>MONTH(ubezpieczenia3[[#This Row],[Data_urodz]])</f>
        <v>11</v>
      </c>
      <c r="F105" s="1">
        <f t="shared" si="1"/>
        <v>104</v>
      </c>
    </row>
    <row r="106" spans="1:6" x14ac:dyDescent="0.25">
      <c r="A106" s="1" t="s">
        <v>166</v>
      </c>
      <c r="B106" s="1" t="s">
        <v>167</v>
      </c>
      <c r="C106" s="2">
        <v>30774</v>
      </c>
      <c r="D106" s="1" t="s">
        <v>6</v>
      </c>
      <c r="E106" s="1">
        <f>MONTH(ubezpieczenia3[[#This Row],[Data_urodz]])</f>
        <v>4</v>
      </c>
      <c r="F106" s="1">
        <f t="shared" si="1"/>
        <v>105</v>
      </c>
    </row>
    <row r="107" spans="1:6" x14ac:dyDescent="0.25">
      <c r="A107" s="1" t="s">
        <v>168</v>
      </c>
      <c r="B107" s="1" t="s">
        <v>169</v>
      </c>
      <c r="C107" s="2">
        <v>25818</v>
      </c>
      <c r="D107" s="1" t="s">
        <v>6</v>
      </c>
      <c r="E107" s="1">
        <f>MONTH(ubezpieczenia3[[#This Row],[Data_urodz]])</f>
        <v>9</v>
      </c>
      <c r="F107" s="1">
        <f t="shared" si="1"/>
        <v>106</v>
      </c>
    </row>
    <row r="108" spans="1:6" x14ac:dyDescent="0.25">
      <c r="A108" s="1" t="s">
        <v>170</v>
      </c>
      <c r="B108" s="1" t="s">
        <v>171</v>
      </c>
      <c r="C108" s="2">
        <v>16529</v>
      </c>
      <c r="D108" s="1" t="s">
        <v>40</v>
      </c>
      <c r="E108" s="1">
        <f>MONTH(ubezpieczenia3[[#This Row],[Data_urodz]])</f>
        <v>4</v>
      </c>
      <c r="F108" s="1">
        <f t="shared" si="1"/>
        <v>107</v>
      </c>
    </row>
    <row r="109" spans="1:6" x14ac:dyDescent="0.25">
      <c r="A109" s="1" t="s">
        <v>172</v>
      </c>
      <c r="B109" s="1" t="s">
        <v>5</v>
      </c>
      <c r="C109" s="2">
        <v>30530</v>
      </c>
      <c r="D109" s="1" t="s">
        <v>40</v>
      </c>
      <c r="E109" s="1">
        <f>MONTH(ubezpieczenia3[[#This Row],[Data_urodz]])</f>
        <v>8</v>
      </c>
      <c r="F109" s="1">
        <f t="shared" si="1"/>
        <v>108</v>
      </c>
    </row>
    <row r="110" spans="1:6" x14ac:dyDescent="0.25">
      <c r="A110" s="1" t="s">
        <v>173</v>
      </c>
      <c r="B110" s="1" t="s">
        <v>77</v>
      </c>
      <c r="C110" s="2">
        <v>31601</v>
      </c>
      <c r="D110" s="1" t="s">
        <v>12</v>
      </c>
      <c r="E110" s="1">
        <f>MONTH(ubezpieczenia3[[#This Row],[Data_urodz]])</f>
        <v>7</v>
      </c>
      <c r="F110" s="1">
        <f t="shared" si="1"/>
        <v>109</v>
      </c>
    </row>
    <row r="111" spans="1:6" x14ac:dyDescent="0.25">
      <c r="A111" s="1" t="s">
        <v>174</v>
      </c>
      <c r="B111" s="1" t="s">
        <v>157</v>
      </c>
      <c r="C111" s="2">
        <v>28427</v>
      </c>
      <c r="D111" s="1" t="s">
        <v>12</v>
      </c>
      <c r="E111" s="1">
        <f>MONTH(ubezpieczenia3[[#This Row],[Data_urodz]])</f>
        <v>10</v>
      </c>
      <c r="F111" s="1">
        <f t="shared" si="1"/>
        <v>110</v>
      </c>
    </row>
    <row r="112" spans="1:6" x14ac:dyDescent="0.25">
      <c r="A112" s="1" t="s">
        <v>175</v>
      </c>
      <c r="B112" s="1" t="s">
        <v>176</v>
      </c>
      <c r="C112" s="2">
        <v>23139</v>
      </c>
      <c r="D112" s="1" t="s">
        <v>12</v>
      </c>
      <c r="E112" s="1">
        <f>MONTH(ubezpieczenia3[[#This Row],[Data_urodz]])</f>
        <v>5</v>
      </c>
      <c r="F112" s="1">
        <f t="shared" si="1"/>
        <v>111</v>
      </c>
    </row>
    <row r="113" spans="1:6" x14ac:dyDescent="0.25">
      <c r="A113" s="1" t="s">
        <v>174</v>
      </c>
      <c r="B113" s="1" t="s">
        <v>177</v>
      </c>
      <c r="C113" s="2">
        <v>29861</v>
      </c>
      <c r="D113" s="1" t="s">
        <v>12</v>
      </c>
      <c r="E113" s="1">
        <f>MONTH(ubezpieczenia3[[#This Row],[Data_urodz]])</f>
        <v>10</v>
      </c>
      <c r="F113" s="1">
        <f t="shared" si="1"/>
        <v>112</v>
      </c>
    </row>
    <row r="114" spans="1:6" x14ac:dyDescent="0.25">
      <c r="A114" s="1" t="s">
        <v>178</v>
      </c>
      <c r="B114" s="1" t="s">
        <v>179</v>
      </c>
      <c r="C114" s="2">
        <v>32545</v>
      </c>
      <c r="D114" s="1" t="s">
        <v>40</v>
      </c>
      <c r="E114" s="1">
        <f>MONTH(ubezpieczenia3[[#This Row],[Data_urodz]])</f>
        <v>2</v>
      </c>
      <c r="F114" s="1">
        <f t="shared" si="1"/>
        <v>113</v>
      </c>
    </row>
    <row r="115" spans="1:6" x14ac:dyDescent="0.25">
      <c r="A115" s="1" t="s">
        <v>180</v>
      </c>
      <c r="B115" s="1" t="s">
        <v>94</v>
      </c>
      <c r="C115" s="2">
        <v>29361</v>
      </c>
      <c r="D115" s="1" t="s">
        <v>12</v>
      </c>
      <c r="E115" s="1">
        <f>MONTH(ubezpieczenia3[[#This Row],[Data_urodz]])</f>
        <v>5</v>
      </c>
      <c r="F115" s="1">
        <f t="shared" si="1"/>
        <v>114</v>
      </c>
    </row>
    <row r="116" spans="1:6" x14ac:dyDescent="0.25">
      <c r="A116" s="1" t="s">
        <v>181</v>
      </c>
      <c r="B116" s="1" t="s">
        <v>49</v>
      </c>
      <c r="C116" s="2">
        <v>17772</v>
      </c>
      <c r="D116" s="1" t="s">
        <v>40</v>
      </c>
      <c r="E116" s="1">
        <f>MONTH(ubezpieczenia3[[#This Row],[Data_urodz]])</f>
        <v>8</v>
      </c>
      <c r="F116" s="1">
        <f t="shared" si="1"/>
        <v>115</v>
      </c>
    </row>
    <row r="117" spans="1:6" x14ac:dyDescent="0.25">
      <c r="A117" s="1" t="s">
        <v>182</v>
      </c>
      <c r="B117" s="1" t="s">
        <v>183</v>
      </c>
      <c r="C117" s="2">
        <v>28580</v>
      </c>
      <c r="D117" s="1" t="s">
        <v>6</v>
      </c>
      <c r="E117" s="1">
        <f>MONTH(ubezpieczenia3[[#This Row],[Data_urodz]])</f>
        <v>3</v>
      </c>
      <c r="F117" s="1">
        <f t="shared" si="1"/>
        <v>116</v>
      </c>
    </row>
    <row r="118" spans="1:6" x14ac:dyDescent="0.25">
      <c r="A118" s="1" t="s">
        <v>184</v>
      </c>
      <c r="B118" s="1" t="s">
        <v>185</v>
      </c>
      <c r="C118" s="2">
        <v>21154</v>
      </c>
      <c r="D118" s="1" t="s">
        <v>40</v>
      </c>
      <c r="E118" s="1">
        <f>MONTH(ubezpieczenia3[[#This Row],[Data_urodz]])</f>
        <v>11</v>
      </c>
      <c r="F118" s="1">
        <f t="shared" si="1"/>
        <v>117</v>
      </c>
    </row>
    <row r="119" spans="1:6" x14ac:dyDescent="0.25">
      <c r="A119" s="1" t="s">
        <v>186</v>
      </c>
      <c r="B119" s="1" t="s">
        <v>54</v>
      </c>
      <c r="C119" s="2">
        <v>18183</v>
      </c>
      <c r="D119" s="1" t="s">
        <v>12</v>
      </c>
      <c r="E119" s="1">
        <f>MONTH(ubezpieczenia3[[#This Row],[Data_urodz]])</f>
        <v>10</v>
      </c>
      <c r="F119" s="1">
        <f t="shared" si="1"/>
        <v>118</v>
      </c>
    </row>
    <row r="120" spans="1:6" x14ac:dyDescent="0.25">
      <c r="A120" s="1" t="s">
        <v>187</v>
      </c>
      <c r="B120" s="1" t="s">
        <v>188</v>
      </c>
      <c r="C120" s="2">
        <v>20630</v>
      </c>
      <c r="D120" s="1" t="s">
        <v>6</v>
      </c>
      <c r="E120" s="1">
        <f>MONTH(ubezpieczenia3[[#This Row],[Data_urodz]])</f>
        <v>6</v>
      </c>
      <c r="F120" s="1">
        <f t="shared" si="1"/>
        <v>119</v>
      </c>
    </row>
    <row r="121" spans="1:6" x14ac:dyDescent="0.25">
      <c r="A121" s="1" t="s">
        <v>189</v>
      </c>
      <c r="B121" s="1" t="s">
        <v>49</v>
      </c>
      <c r="C121" s="2">
        <v>34364</v>
      </c>
      <c r="D121" s="1" t="s">
        <v>12</v>
      </c>
      <c r="E121" s="1">
        <f>MONTH(ubezpieczenia3[[#This Row],[Data_urodz]])</f>
        <v>1</v>
      </c>
      <c r="F121" s="1">
        <f t="shared" si="1"/>
        <v>120</v>
      </c>
    </row>
    <row r="122" spans="1:6" x14ac:dyDescent="0.25">
      <c r="A122" s="1" t="s">
        <v>190</v>
      </c>
      <c r="B122" s="1" t="s">
        <v>20</v>
      </c>
      <c r="C122" s="2">
        <v>25582</v>
      </c>
      <c r="D122" s="1" t="s">
        <v>6</v>
      </c>
      <c r="E122" s="1">
        <f>MONTH(ubezpieczenia3[[#This Row],[Data_urodz]])</f>
        <v>1</v>
      </c>
      <c r="F122" s="1">
        <f t="shared" si="1"/>
        <v>121</v>
      </c>
    </row>
    <row r="123" spans="1:6" x14ac:dyDescent="0.25">
      <c r="A123" s="1" t="s">
        <v>191</v>
      </c>
      <c r="B123" s="1" t="s">
        <v>192</v>
      </c>
      <c r="C123" s="2">
        <v>29350</v>
      </c>
      <c r="D123" s="1" t="s">
        <v>12</v>
      </c>
      <c r="E123" s="1">
        <f>MONTH(ubezpieczenia3[[#This Row],[Data_urodz]])</f>
        <v>5</v>
      </c>
      <c r="F123" s="1">
        <f t="shared" si="1"/>
        <v>122</v>
      </c>
    </row>
    <row r="124" spans="1:6" x14ac:dyDescent="0.25">
      <c r="A124" s="1" t="s">
        <v>193</v>
      </c>
      <c r="B124" s="1" t="s">
        <v>194</v>
      </c>
      <c r="C124" s="2">
        <v>21704</v>
      </c>
      <c r="D124" s="1" t="s">
        <v>6</v>
      </c>
      <c r="E124" s="1">
        <f>MONTH(ubezpieczenia3[[#This Row],[Data_urodz]])</f>
        <v>6</v>
      </c>
      <c r="F124" s="1">
        <f t="shared" si="1"/>
        <v>123</v>
      </c>
    </row>
    <row r="125" spans="1:6" x14ac:dyDescent="0.25">
      <c r="A125" s="1" t="s">
        <v>195</v>
      </c>
      <c r="B125" s="1" t="s">
        <v>192</v>
      </c>
      <c r="C125" s="2">
        <v>20436</v>
      </c>
      <c r="D125" s="1" t="s">
        <v>12</v>
      </c>
      <c r="E125" s="1">
        <f>MONTH(ubezpieczenia3[[#This Row],[Data_urodz]])</f>
        <v>12</v>
      </c>
      <c r="F125" s="1">
        <f t="shared" si="1"/>
        <v>124</v>
      </c>
    </row>
    <row r="126" spans="1:6" x14ac:dyDescent="0.25">
      <c r="A126" s="1" t="s">
        <v>196</v>
      </c>
      <c r="B126" s="1" t="s">
        <v>139</v>
      </c>
      <c r="C126" s="2">
        <v>24475</v>
      </c>
      <c r="D126" s="1" t="s">
        <v>12</v>
      </c>
      <c r="E126" s="1">
        <f>MONTH(ubezpieczenia3[[#This Row],[Data_urodz]])</f>
        <v>1</v>
      </c>
      <c r="F126" s="1">
        <f t="shared" si="1"/>
        <v>125</v>
      </c>
    </row>
    <row r="127" spans="1:6" x14ac:dyDescent="0.25">
      <c r="A127" s="1" t="s">
        <v>197</v>
      </c>
      <c r="B127" s="1" t="s">
        <v>87</v>
      </c>
      <c r="C127" s="2">
        <v>26773</v>
      </c>
      <c r="D127" s="1" t="s">
        <v>6</v>
      </c>
      <c r="E127" s="1">
        <f>MONTH(ubezpieczenia3[[#This Row],[Data_urodz]])</f>
        <v>4</v>
      </c>
      <c r="F127" s="1">
        <f t="shared" si="1"/>
        <v>126</v>
      </c>
    </row>
    <row r="128" spans="1:6" x14ac:dyDescent="0.25">
      <c r="A128" s="1" t="s">
        <v>198</v>
      </c>
      <c r="B128" s="1" t="s">
        <v>199</v>
      </c>
      <c r="C128" s="2">
        <v>17668</v>
      </c>
      <c r="D128" s="1" t="s">
        <v>12</v>
      </c>
      <c r="E128" s="1">
        <f>MONTH(ubezpieczenia3[[#This Row],[Data_urodz]])</f>
        <v>5</v>
      </c>
      <c r="F128" s="1">
        <f t="shared" si="1"/>
        <v>127</v>
      </c>
    </row>
    <row r="129" spans="1:6" x14ac:dyDescent="0.25">
      <c r="A129" s="1" t="s">
        <v>200</v>
      </c>
      <c r="B129" s="1" t="s">
        <v>201</v>
      </c>
      <c r="C129" s="2">
        <v>17382</v>
      </c>
      <c r="D129" s="1" t="s">
        <v>12</v>
      </c>
      <c r="E129" s="1">
        <f>MONTH(ubezpieczenia3[[#This Row],[Data_urodz]])</f>
        <v>8</v>
      </c>
      <c r="F129" s="1">
        <f t="shared" si="1"/>
        <v>128</v>
      </c>
    </row>
    <row r="130" spans="1:6" x14ac:dyDescent="0.25">
      <c r="A130" s="1" t="s">
        <v>202</v>
      </c>
      <c r="B130" s="1" t="s">
        <v>8</v>
      </c>
      <c r="C130" s="2">
        <v>16976</v>
      </c>
      <c r="D130" s="1" t="s">
        <v>6</v>
      </c>
      <c r="E130" s="1">
        <f>MONTH(ubezpieczenia3[[#This Row],[Data_urodz]])</f>
        <v>6</v>
      </c>
      <c r="F130" s="1">
        <f t="shared" si="1"/>
        <v>129</v>
      </c>
    </row>
    <row r="131" spans="1:6" x14ac:dyDescent="0.25">
      <c r="A131" s="1" t="s">
        <v>203</v>
      </c>
      <c r="B131" s="1" t="s">
        <v>204</v>
      </c>
      <c r="C131" s="2">
        <v>33779</v>
      </c>
      <c r="D131" s="1" t="s">
        <v>40</v>
      </c>
      <c r="E131" s="1">
        <f>MONTH(ubezpieczenia3[[#This Row],[Data_urodz]])</f>
        <v>6</v>
      </c>
      <c r="F131" s="1">
        <f t="shared" si="1"/>
        <v>130</v>
      </c>
    </row>
    <row r="132" spans="1:6" x14ac:dyDescent="0.25">
      <c r="A132" s="1" t="s">
        <v>75</v>
      </c>
      <c r="B132" s="1" t="s">
        <v>37</v>
      </c>
      <c r="C132" s="2">
        <v>33885</v>
      </c>
      <c r="D132" s="1" t="s">
        <v>6</v>
      </c>
      <c r="E132" s="1">
        <f>MONTH(ubezpieczenia3[[#This Row],[Data_urodz]])</f>
        <v>10</v>
      </c>
      <c r="F132" s="1">
        <f t="shared" ref="F132:F195" si="2">F131+1</f>
        <v>131</v>
      </c>
    </row>
    <row r="133" spans="1:6" x14ac:dyDescent="0.25">
      <c r="A133" s="1" t="s">
        <v>205</v>
      </c>
      <c r="B133" s="1" t="s">
        <v>25</v>
      </c>
      <c r="C133" s="2">
        <v>30498</v>
      </c>
      <c r="D133" s="1" t="s">
        <v>9</v>
      </c>
      <c r="E133" s="1">
        <f>MONTH(ubezpieczenia3[[#This Row],[Data_urodz]])</f>
        <v>7</v>
      </c>
      <c r="F133" s="1">
        <f t="shared" si="2"/>
        <v>132</v>
      </c>
    </row>
    <row r="134" spans="1:6" x14ac:dyDescent="0.25">
      <c r="A134" s="1" t="s">
        <v>206</v>
      </c>
      <c r="B134" s="1" t="s">
        <v>167</v>
      </c>
      <c r="C134" s="2">
        <v>22090</v>
      </c>
      <c r="D134" s="1" t="s">
        <v>9</v>
      </c>
      <c r="E134" s="1">
        <f>MONTH(ubezpieczenia3[[#This Row],[Data_urodz]])</f>
        <v>6</v>
      </c>
      <c r="F134" s="1">
        <f t="shared" si="2"/>
        <v>133</v>
      </c>
    </row>
    <row r="135" spans="1:6" x14ac:dyDescent="0.25">
      <c r="A135" s="1" t="s">
        <v>207</v>
      </c>
      <c r="B135" s="1" t="s">
        <v>37</v>
      </c>
      <c r="C135" s="2">
        <v>27938</v>
      </c>
      <c r="D135" s="1" t="s">
        <v>6</v>
      </c>
      <c r="E135" s="1">
        <f>MONTH(ubezpieczenia3[[#This Row],[Data_urodz]])</f>
        <v>6</v>
      </c>
      <c r="F135" s="1">
        <f t="shared" si="2"/>
        <v>134</v>
      </c>
    </row>
    <row r="136" spans="1:6" x14ac:dyDescent="0.25">
      <c r="A136" s="1" t="s">
        <v>208</v>
      </c>
      <c r="B136" s="1" t="s">
        <v>47</v>
      </c>
      <c r="C136" s="2">
        <v>23762</v>
      </c>
      <c r="D136" s="1" t="s">
        <v>12</v>
      </c>
      <c r="E136" s="1">
        <f>MONTH(ubezpieczenia3[[#This Row],[Data_urodz]])</f>
        <v>1</v>
      </c>
      <c r="F136" s="1">
        <f t="shared" si="2"/>
        <v>135</v>
      </c>
    </row>
    <row r="137" spans="1:6" x14ac:dyDescent="0.25">
      <c r="A137" s="1" t="s">
        <v>209</v>
      </c>
      <c r="B137" s="1" t="s">
        <v>131</v>
      </c>
      <c r="C137" s="2">
        <v>25158</v>
      </c>
      <c r="D137" s="1" t="s">
        <v>6</v>
      </c>
      <c r="E137" s="1">
        <f>MONTH(ubezpieczenia3[[#This Row],[Data_urodz]])</f>
        <v>11</v>
      </c>
      <c r="F137" s="1">
        <f t="shared" si="2"/>
        <v>136</v>
      </c>
    </row>
    <row r="138" spans="1:6" x14ac:dyDescent="0.25">
      <c r="A138" s="1" t="s">
        <v>210</v>
      </c>
      <c r="B138" s="1" t="s">
        <v>37</v>
      </c>
      <c r="C138" s="2">
        <v>24824</v>
      </c>
      <c r="D138" s="1" t="s">
        <v>12</v>
      </c>
      <c r="E138" s="1">
        <f>MONTH(ubezpieczenia3[[#This Row],[Data_urodz]])</f>
        <v>12</v>
      </c>
      <c r="F138" s="1">
        <f t="shared" si="2"/>
        <v>137</v>
      </c>
    </row>
    <row r="139" spans="1:6" x14ac:dyDescent="0.25">
      <c r="A139" s="1" t="s">
        <v>211</v>
      </c>
      <c r="B139" s="1" t="s">
        <v>49</v>
      </c>
      <c r="C139" s="2">
        <v>33398</v>
      </c>
      <c r="D139" s="1" t="s">
        <v>9</v>
      </c>
      <c r="E139" s="1">
        <f>MONTH(ubezpieczenia3[[#This Row],[Data_urodz]])</f>
        <v>6</v>
      </c>
      <c r="F139" s="1">
        <f t="shared" si="2"/>
        <v>138</v>
      </c>
    </row>
    <row r="140" spans="1:6" x14ac:dyDescent="0.25">
      <c r="A140" s="1" t="s">
        <v>212</v>
      </c>
      <c r="B140" s="1" t="s">
        <v>18</v>
      </c>
      <c r="C140" s="2">
        <v>34795</v>
      </c>
      <c r="D140" s="1" t="s">
        <v>9</v>
      </c>
      <c r="E140" s="1">
        <f>MONTH(ubezpieczenia3[[#This Row],[Data_urodz]])</f>
        <v>4</v>
      </c>
      <c r="F140" s="1">
        <f t="shared" si="2"/>
        <v>139</v>
      </c>
    </row>
    <row r="141" spans="1:6" x14ac:dyDescent="0.25">
      <c r="A141" s="1" t="s">
        <v>88</v>
      </c>
      <c r="B141" s="1" t="s">
        <v>213</v>
      </c>
      <c r="C141" s="2">
        <v>20374</v>
      </c>
      <c r="D141" s="1" t="s">
        <v>12</v>
      </c>
      <c r="E141" s="1">
        <f>MONTH(ubezpieczenia3[[#This Row],[Data_urodz]])</f>
        <v>10</v>
      </c>
      <c r="F141" s="1">
        <f t="shared" si="2"/>
        <v>140</v>
      </c>
    </row>
    <row r="142" spans="1:6" x14ac:dyDescent="0.25">
      <c r="A142" s="1" t="s">
        <v>214</v>
      </c>
      <c r="B142" s="1" t="s">
        <v>165</v>
      </c>
      <c r="C142" s="2">
        <v>25416</v>
      </c>
      <c r="D142" s="1" t="s">
        <v>12</v>
      </c>
      <c r="E142" s="1">
        <f>MONTH(ubezpieczenia3[[#This Row],[Data_urodz]])</f>
        <v>8</v>
      </c>
      <c r="F142" s="1">
        <f t="shared" si="2"/>
        <v>141</v>
      </c>
    </row>
    <row r="143" spans="1:6" x14ac:dyDescent="0.25">
      <c r="A143" s="1" t="s">
        <v>215</v>
      </c>
      <c r="B143" s="1" t="s">
        <v>216</v>
      </c>
      <c r="C143" s="2">
        <v>21548</v>
      </c>
      <c r="D143" s="1" t="s">
        <v>12</v>
      </c>
      <c r="E143" s="1">
        <f>MONTH(ubezpieczenia3[[#This Row],[Data_urodz]])</f>
        <v>12</v>
      </c>
      <c r="F143" s="1">
        <f t="shared" si="2"/>
        <v>142</v>
      </c>
    </row>
    <row r="144" spans="1:6" x14ac:dyDescent="0.25">
      <c r="A144" s="1" t="s">
        <v>217</v>
      </c>
      <c r="B144" s="1" t="s">
        <v>54</v>
      </c>
      <c r="C144" s="2">
        <v>31232</v>
      </c>
      <c r="D144" s="1" t="s">
        <v>9</v>
      </c>
      <c r="E144" s="1">
        <f>MONTH(ubezpieczenia3[[#This Row],[Data_urodz]])</f>
        <v>7</v>
      </c>
      <c r="F144" s="1">
        <f t="shared" si="2"/>
        <v>143</v>
      </c>
    </row>
    <row r="145" spans="1:6" x14ac:dyDescent="0.25">
      <c r="A145" s="1" t="s">
        <v>218</v>
      </c>
      <c r="B145" s="1" t="s">
        <v>121</v>
      </c>
      <c r="C145" s="2">
        <v>28472</v>
      </c>
      <c r="D145" s="1" t="s">
        <v>12</v>
      </c>
      <c r="E145" s="1">
        <f>MONTH(ubezpieczenia3[[#This Row],[Data_urodz]])</f>
        <v>12</v>
      </c>
      <c r="F145" s="1">
        <f t="shared" si="2"/>
        <v>144</v>
      </c>
    </row>
    <row r="146" spans="1:6" x14ac:dyDescent="0.25">
      <c r="A146" s="1" t="s">
        <v>219</v>
      </c>
      <c r="B146" s="1" t="s">
        <v>29</v>
      </c>
      <c r="C146" s="2">
        <v>34287</v>
      </c>
      <c r="D146" s="1" t="s">
        <v>12</v>
      </c>
      <c r="E146" s="1">
        <f>MONTH(ubezpieczenia3[[#This Row],[Data_urodz]])</f>
        <v>11</v>
      </c>
      <c r="F146" s="1">
        <f t="shared" si="2"/>
        <v>145</v>
      </c>
    </row>
    <row r="147" spans="1:6" x14ac:dyDescent="0.25">
      <c r="A147" s="1" t="s">
        <v>220</v>
      </c>
      <c r="B147" s="1" t="s">
        <v>92</v>
      </c>
      <c r="C147" s="2">
        <v>24972</v>
      </c>
      <c r="D147" s="1" t="s">
        <v>6</v>
      </c>
      <c r="E147" s="1">
        <f>MONTH(ubezpieczenia3[[#This Row],[Data_urodz]])</f>
        <v>5</v>
      </c>
      <c r="F147" s="1">
        <f t="shared" si="2"/>
        <v>146</v>
      </c>
    </row>
    <row r="148" spans="1:6" x14ac:dyDescent="0.25">
      <c r="A148" s="1" t="s">
        <v>221</v>
      </c>
      <c r="B148" s="1" t="s">
        <v>154</v>
      </c>
      <c r="C148" s="2">
        <v>18787</v>
      </c>
      <c r="D148" s="1" t="s">
        <v>9</v>
      </c>
      <c r="E148" s="1">
        <f>MONTH(ubezpieczenia3[[#This Row],[Data_urodz]])</f>
        <v>6</v>
      </c>
      <c r="F148" s="1">
        <f t="shared" si="2"/>
        <v>147</v>
      </c>
    </row>
    <row r="149" spans="1:6" x14ac:dyDescent="0.25">
      <c r="A149" s="1" t="s">
        <v>222</v>
      </c>
      <c r="B149" s="1" t="s">
        <v>49</v>
      </c>
      <c r="C149" s="2">
        <v>27611</v>
      </c>
      <c r="D149" s="1" t="s">
        <v>9</v>
      </c>
      <c r="E149" s="1">
        <f>MONTH(ubezpieczenia3[[#This Row],[Data_urodz]])</f>
        <v>8</v>
      </c>
      <c r="F149" s="1">
        <f t="shared" si="2"/>
        <v>148</v>
      </c>
    </row>
    <row r="150" spans="1:6" x14ac:dyDescent="0.25">
      <c r="A150" s="1" t="s">
        <v>223</v>
      </c>
      <c r="B150" s="1" t="s">
        <v>224</v>
      </c>
      <c r="C150" s="2">
        <v>26071</v>
      </c>
      <c r="D150" s="1" t="s">
        <v>12</v>
      </c>
      <c r="E150" s="1">
        <f>MONTH(ubezpieczenia3[[#This Row],[Data_urodz]])</f>
        <v>5</v>
      </c>
      <c r="F150" s="1">
        <f t="shared" si="2"/>
        <v>149</v>
      </c>
    </row>
    <row r="151" spans="1:6" x14ac:dyDescent="0.25">
      <c r="A151" s="1" t="s">
        <v>225</v>
      </c>
      <c r="B151" s="1" t="s">
        <v>20</v>
      </c>
      <c r="C151" s="2">
        <v>18285</v>
      </c>
      <c r="D151" s="1" t="s">
        <v>6</v>
      </c>
      <c r="E151" s="1">
        <f>MONTH(ubezpieczenia3[[#This Row],[Data_urodz]])</f>
        <v>1</v>
      </c>
      <c r="F151" s="1">
        <f t="shared" si="2"/>
        <v>150</v>
      </c>
    </row>
    <row r="152" spans="1:6" x14ac:dyDescent="0.25">
      <c r="A152" s="1" t="s">
        <v>226</v>
      </c>
      <c r="B152" s="1" t="s">
        <v>8</v>
      </c>
      <c r="C152" s="2">
        <v>33696</v>
      </c>
      <c r="D152" s="1" t="s">
        <v>12</v>
      </c>
      <c r="E152" s="1">
        <f>MONTH(ubezpieczenia3[[#This Row],[Data_urodz]])</f>
        <v>4</v>
      </c>
      <c r="F152" s="1">
        <f t="shared" si="2"/>
        <v>151</v>
      </c>
    </row>
    <row r="153" spans="1:6" x14ac:dyDescent="0.25">
      <c r="A153" s="1" t="s">
        <v>227</v>
      </c>
      <c r="B153" s="1" t="s">
        <v>81</v>
      </c>
      <c r="C153" s="2">
        <v>25404</v>
      </c>
      <c r="D153" s="1" t="s">
        <v>12</v>
      </c>
      <c r="E153" s="1">
        <f>MONTH(ubezpieczenia3[[#This Row],[Data_urodz]])</f>
        <v>7</v>
      </c>
      <c r="F153" s="1">
        <f t="shared" si="2"/>
        <v>152</v>
      </c>
    </row>
    <row r="154" spans="1:6" x14ac:dyDescent="0.25">
      <c r="A154" s="1" t="s">
        <v>26</v>
      </c>
      <c r="B154" s="1" t="s">
        <v>114</v>
      </c>
      <c r="C154" s="2">
        <v>21769</v>
      </c>
      <c r="D154" s="1" t="s">
        <v>6</v>
      </c>
      <c r="E154" s="1">
        <f>MONTH(ubezpieczenia3[[#This Row],[Data_urodz]])</f>
        <v>8</v>
      </c>
      <c r="F154" s="1">
        <f t="shared" si="2"/>
        <v>153</v>
      </c>
    </row>
    <row r="155" spans="1:6" x14ac:dyDescent="0.25">
      <c r="A155" s="1" t="s">
        <v>228</v>
      </c>
      <c r="B155" s="1" t="s">
        <v>49</v>
      </c>
      <c r="C155" s="2">
        <v>26490</v>
      </c>
      <c r="D155" s="1" t="s">
        <v>6</v>
      </c>
      <c r="E155" s="1">
        <f>MONTH(ubezpieczenia3[[#This Row],[Data_urodz]])</f>
        <v>7</v>
      </c>
      <c r="F155" s="1">
        <f t="shared" si="2"/>
        <v>154</v>
      </c>
    </row>
    <row r="156" spans="1:6" x14ac:dyDescent="0.25">
      <c r="A156" s="1" t="s">
        <v>229</v>
      </c>
      <c r="B156" s="1" t="s">
        <v>105</v>
      </c>
      <c r="C156" s="2">
        <v>28897</v>
      </c>
      <c r="D156" s="1" t="s">
        <v>9</v>
      </c>
      <c r="E156" s="1">
        <f>MONTH(ubezpieczenia3[[#This Row],[Data_urodz]])</f>
        <v>2</v>
      </c>
      <c r="F156" s="1">
        <f t="shared" si="2"/>
        <v>155</v>
      </c>
    </row>
    <row r="157" spans="1:6" x14ac:dyDescent="0.25">
      <c r="A157" s="1" t="s">
        <v>230</v>
      </c>
      <c r="B157" s="1" t="s">
        <v>231</v>
      </c>
      <c r="C157" s="2">
        <v>33454</v>
      </c>
      <c r="D157" s="1" t="s">
        <v>12</v>
      </c>
      <c r="E157" s="1">
        <f>MONTH(ubezpieczenia3[[#This Row],[Data_urodz]])</f>
        <v>8</v>
      </c>
      <c r="F157" s="1">
        <f t="shared" si="2"/>
        <v>156</v>
      </c>
    </row>
    <row r="158" spans="1:6" x14ac:dyDescent="0.25">
      <c r="A158" s="1" t="s">
        <v>232</v>
      </c>
      <c r="B158" s="1" t="s">
        <v>233</v>
      </c>
      <c r="C158" s="2">
        <v>24539</v>
      </c>
      <c r="D158" s="1" t="s">
        <v>12</v>
      </c>
      <c r="E158" s="1">
        <f>MONTH(ubezpieczenia3[[#This Row],[Data_urodz]])</f>
        <v>3</v>
      </c>
      <c r="F158" s="1">
        <f t="shared" si="2"/>
        <v>157</v>
      </c>
    </row>
    <row r="159" spans="1:6" x14ac:dyDescent="0.25">
      <c r="A159" s="1" t="s">
        <v>234</v>
      </c>
      <c r="B159" s="1" t="s">
        <v>235</v>
      </c>
      <c r="C159" s="2">
        <v>27992</v>
      </c>
      <c r="D159" s="1" t="s">
        <v>6</v>
      </c>
      <c r="E159" s="1">
        <f>MONTH(ubezpieczenia3[[#This Row],[Data_urodz]])</f>
        <v>8</v>
      </c>
      <c r="F159" s="1">
        <f t="shared" si="2"/>
        <v>158</v>
      </c>
    </row>
    <row r="160" spans="1:6" x14ac:dyDescent="0.25">
      <c r="A160" s="1" t="s">
        <v>147</v>
      </c>
      <c r="B160" s="1" t="s">
        <v>236</v>
      </c>
      <c r="C160" s="2">
        <v>26335</v>
      </c>
      <c r="D160" s="1" t="s">
        <v>40</v>
      </c>
      <c r="E160" s="1">
        <f>MONTH(ubezpieczenia3[[#This Row],[Data_urodz]])</f>
        <v>2</v>
      </c>
      <c r="F160" s="1">
        <f t="shared" si="2"/>
        <v>159</v>
      </c>
    </row>
    <row r="161" spans="1:6" x14ac:dyDescent="0.25">
      <c r="A161" s="1" t="s">
        <v>237</v>
      </c>
      <c r="B161" s="1" t="s">
        <v>167</v>
      </c>
      <c r="C161" s="2">
        <v>31095</v>
      </c>
      <c r="D161" s="1" t="s">
        <v>12</v>
      </c>
      <c r="E161" s="1">
        <f>MONTH(ubezpieczenia3[[#This Row],[Data_urodz]])</f>
        <v>2</v>
      </c>
      <c r="F161" s="1">
        <f t="shared" si="2"/>
        <v>160</v>
      </c>
    </row>
    <row r="162" spans="1:6" x14ac:dyDescent="0.25">
      <c r="A162" s="1" t="s">
        <v>238</v>
      </c>
      <c r="B162" s="1" t="s">
        <v>169</v>
      </c>
      <c r="C162" s="2">
        <v>26112</v>
      </c>
      <c r="D162" s="1" t="s">
        <v>40</v>
      </c>
      <c r="E162" s="1">
        <f>MONTH(ubezpieczenia3[[#This Row],[Data_urodz]])</f>
        <v>6</v>
      </c>
      <c r="F162" s="1">
        <f t="shared" si="2"/>
        <v>161</v>
      </c>
    </row>
    <row r="163" spans="1:6" x14ac:dyDescent="0.25">
      <c r="A163" s="1" t="s">
        <v>239</v>
      </c>
      <c r="B163" s="1" t="s">
        <v>54</v>
      </c>
      <c r="C163" s="2">
        <v>23272</v>
      </c>
      <c r="D163" s="1" t="s">
        <v>6</v>
      </c>
      <c r="E163" s="1">
        <f>MONTH(ubezpieczenia3[[#This Row],[Data_urodz]])</f>
        <v>9</v>
      </c>
      <c r="F163" s="1">
        <f t="shared" si="2"/>
        <v>162</v>
      </c>
    </row>
    <row r="164" spans="1:6" x14ac:dyDescent="0.25">
      <c r="A164" s="1" t="s">
        <v>240</v>
      </c>
      <c r="B164" s="1" t="s">
        <v>32</v>
      </c>
      <c r="C164" s="2">
        <v>32952</v>
      </c>
      <c r="D164" s="1" t="s">
        <v>40</v>
      </c>
      <c r="E164" s="1">
        <f>MONTH(ubezpieczenia3[[#This Row],[Data_urodz]])</f>
        <v>3</v>
      </c>
      <c r="F164" s="1">
        <f t="shared" si="2"/>
        <v>163</v>
      </c>
    </row>
    <row r="165" spans="1:6" x14ac:dyDescent="0.25">
      <c r="A165" s="1" t="s">
        <v>241</v>
      </c>
      <c r="B165" s="1" t="s">
        <v>39</v>
      </c>
      <c r="C165" s="2">
        <v>19759</v>
      </c>
      <c r="D165" s="1" t="s">
        <v>9</v>
      </c>
      <c r="E165" s="1">
        <f>MONTH(ubezpieczenia3[[#This Row],[Data_urodz]])</f>
        <v>2</v>
      </c>
      <c r="F165" s="1">
        <f t="shared" si="2"/>
        <v>164</v>
      </c>
    </row>
    <row r="166" spans="1:6" x14ac:dyDescent="0.25">
      <c r="A166" s="1" t="s">
        <v>242</v>
      </c>
      <c r="B166" s="1" t="s">
        <v>152</v>
      </c>
      <c r="C166" s="2">
        <v>27324</v>
      </c>
      <c r="D166" s="1" t="s">
        <v>9</v>
      </c>
      <c r="E166" s="1">
        <f>MONTH(ubezpieczenia3[[#This Row],[Data_urodz]])</f>
        <v>10</v>
      </c>
      <c r="F166" s="1">
        <f t="shared" si="2"/>
        <v>165</v>
      </c>
    </row>
    <row r="167" spans="1:6" x14ac:dyDescent="0.25">
      <c r="A167" s="1" t="s">
        <v>243</v>
      </c>
      <c r="B167" s="1" t="s">
        <v>236</v>
      </c>
      <c r="C167" s="2">
        <v>21838</v>
      </c>
      <c r="D167" s="1" t="s">
        <v>6</v>
      </c>
      <c r="E167" s="1">
        <f>MONTH(ubezpieczenia3[[#This Row],[Data_urodz]])</f>
        <v>10</v>
      </c>
      <c r="F167" s="1">
        <f t="shared" si="2"/>
        <v>166</v>
      </c>
    </row>
    <row r="168" spans="1:6" x14ac:dyDescent="0.25">
      <c r="A168" s="1" t="s">
        <v>244</v>
      </c>
      <c r="B168" s="1" t="s">
        <v>47</v>
      </c>
      <c r="C168" s="2">
        <v>21051</v>
      </c>
      <c r="D168" s="1" t="s">
        <v>40</v>
      </c>
      <c r="E168" s="1">
        <f>MONTH(ubezpieczenia3[[#This Row],[Data_urodz]])</f>
        <v>8</v>
      </c>
      <c r="F168" s="1">
        <f t="shared" si="2"/>
        <v>167</v>
      </c>
    </row>
    <row r="169" spans="1:6" x14ac:dyDescent="0.25">
      <c r="A169" s="1" t="s">
        <v>245</v>
      </c>
      <c r="B169" s="1" t="s">
        <v>246</v>
      </c>
      <c r="C169" s="2">
        <v>31292</v>
      </c>
      <c r="D169" s="1" t="s">
        <v>40</v>
      </c>
      <c r="E169" s="1">
        <f>MONTH(ubezpieczenia3[[#This Row],[Data_urodz]])</f>
        <v>9</v>
      </c>
      <c r="F169" s="1">
        <f t="shared" si="2"/>
        <v>168</v>
      </c>
    </row>
    <row r="170" spans="1:6" x14ac:dyDescent="0.25">
      <c r="A170" s="1" t="s">
        <v>247</v>
      </c>
      <c r="B170" s="1" t="s">
        <v>248</v>
      </c>
      <c r="C170" s="2">
        <v>17179</v>
      </c>
      <c r="D170" s="1" t="s">
        <v>12</v>
      </c>
      <c r="E170" s="1">
        <f>MONTH(ubezpieczenia3[[#This Row],[Data_urodz]])</f>
        <v>1</v>
      </c>
      <c r="F170" s="1">
        <f t="shared" si="2"/>
        <v>169</v>
      </c>
    </row>
    <row r="171" spans="1:6" x14ac:dyDescent="0.25">
      <c r="A171" s="1" t="s">
        <v>249</v>
      </c>
      <c r="B171" s="1" t="s">
        <v>250</v>
      </c>
      <c r="C171" s="2">
        <v>32305</v>
      </c>
      <c r="D171" s="1" t="s">
        <v>6</v>
      </c>
      <c r="E171" s="1">
        <f>MONTH(ubezpieczenia3[[#This Row],[Data_urodz]])</f>
        <v>6</v>
      </c>
      <c r="F171" s="1">
        <f t="shared" si="2"/>
        <v>170</v>
      </c>
    </row>
    <row r="172" spans="1:6" x14ac:dyDescent="0.25">
      <c r="A172" s="1" t="s">
        <v>251</v>
      </c>
      <c r="B172" s="1" t="s">
        <v>252</v>
      </c>
      <c r="C172" s="2">
        <v>32081</v>
      </c>
      <c r="D172" s="1" t="s">
        <v>12</v>
      </c>
      <c r="E172" s="1">
        <f>MONTH(ubezpieczenia3[[#This Row],[Data_urodz]])</f>
        <v>10</v>
      </c>
      <c r="F172" s="1">
        <f t="shared" si="2"/>
        <v>171</v>
      </c>
    </row>
    <row r="173" spans="1:6" x14ac:dyDescent="0.25">
      <c r="A173" s="1" t="s">
        <v>253</v>
      </c>
      <c r="B173" s="1" t="s">
        <v>121</v>
      </c>
      <c r="C173" s="2">
        <v>31749</v>
      </c>
      <c r="D173" s="1" t="s">
        <v>6</v>
      </c>
      <c r="E173" s="1">
        <f>MONTH(ubezpieczenia3[[#This Row],[Data_urodz]])</f>
        <v>12</v>
      </c>
      <c r="F173" s="1">
        <f t="shared" si="2"/>
        <v>172</v>
      </c>
    </row>
    <row r="174" spans="1:6" x14ac:dyDescent="0.25">
      <c r="A174" s="1" t="s">
        <v>254</v>
      </c>
      <c r="B174" s="1" t="s">
        <v>255</v>
      </c>
      <c r="C174" s="2">
        <v>18648</v>
      </c>
      <c r="D174" s="1" t="s">
        <v>40</v>
      </c>
      <c r="E174" s="1">
        <f>MONTH(ubezpieczenia3[[#This Row],[Data_urodz]])</f>
        <v>1</v>
      </c>
      <c r="F174" s="1">
        <f t="shared" si="2"/>
        <v>173</v>
      </c>
    </row>
    <row r="175" spans="1:6" x14ac:dyDescent="0.25">
      <c r="A175" s="1" t="s">
        <v>256</v>
      </c>
      <c r="B175" s="1" t="s">
        <v>257</v>
      </c>
      <c r="C175" s="2">
        <v>16734</v>
      </c>
      <c r="D175" s="1" t="s">
        <v>6</v>
      </c>
      <c r="E175" s="1">
        <f>MONTH(ubezpieczenia3[[#This Row],[Data_urodz]])</f>
        <v>10</v>
      </c>
      <c r="F175" s="1">
        <f t="shared" si="2"/>
        <v>174</v>
      </c>
    </row>
    <row r="176" spans="1:6" x14ac:dyDescent="0.25">
      <c r="A176" s="1" t="s">
        <v>258</v>
      </c>
      <c r="B176" s="1" t="s">
        <v>47</v>
      </c>
      <c r="C176" s="2">
        <v>25036</v>
      </c>
      <c r="D176" s="1" t="s">
        <v>12</v>
      </c>
      <c r="E176" s="1">
        <f>MONTH(ubezpieczenia3[[#This Row],[Data_urodz]])</f>
        <v>7</v>
      </c>
      <c r="F176" s="1">
        <f t="shared" si="2"/>
        <v>175</v>
      </c>
    </row>
    <row r="177" spans="1:6" x14ac:dyDescent="0.25">
      <c r="A177" s="1" t="s">
        <v>259</v>
      </c>
      <c r="B177" s="1" t="s">
        <v>260</v>
      </c>
      <c r="C177" s="2">
        <v>17342</v>
      </c>
      <c r="D177" s="1" t="s">
        <v>6</v>
      </c>
      <c r="E177" s="1">
        <f>MONTH(ubezpieczenia3[[#This Row],[Data_urodz]])</f>
        <v>6</v>
      </c>
      <c r="F177" s="1">
        <f t="shared" si="2"/>
        <v>176</v>
      </c>
    </row>
    <row r="178" spans="1:6" x14ac:dyDescent="0.25">
      <c r="A178" s="1" t="s">
        <v>206</v>
      </c>
      <c r="B178" s="1" t="s">
        <v>167</v>
      </c>
      <c r="C178" s="2">
        <v>23157</v>
      </c>
      <c r="D178" s="1" t="s">
        <v>9</v>
      </c>
      <c r="E178" s="1">
        <f>MONTH(ubezpieczenia3[[#This Row],[Data_urodz]])</f>
        <v>5</v>
      </c>
      <c r="F178" s="1">
        <f t="shared" si="2"/>
        <v>177</v>
      </c>
    </row>
    <row r="179" spans="1:6" x14ac:dyDescent="0.25">
      <c r="A179" s="1" t="s">
        <v>261</v>
      </c>
      <c r="B179" s="1" t="s">
        <v>37</v>
      </c>
      <c r="C179" s="2">
        <v>17166</v>
      </c>
      <c r="D179" s="1" t="s">
        <v>12</v>
      </c>
      <c r="E179" s="1">
        <f>MONTH(ubezpieczenia3[[#This Row],[Data_urodz]])</f>
        <v>12</v>
      </c>
      <c r="F179" s="1">
        <f t="shared" si="2"/>
        <v>178</v>
      </c>
    </row>
    <row r="180" spans="1:6" x14ac:dyDescent="0.25">
      <c r="A180" s="1" t="s">
        <v>262</v>
      </c>
      <c r="B180" s="1" t="s">
        <v>263</v>
      </c>
      <c r="C180" s="2">
        <v>24471</v>
      </c>
      <c r="D180" s="1" t="s">
        <v>12</v>
      </c>
      <c r="E180" s="1">
        <f>MONTH(ubezpieczenia3[[#This Row],[Data_urodz]])</f>
        <v>12</v>
      </c>
      <c r="F180" s="1">
        <f t="shared" si="2"/>
        <v>179</v>
      </c>
    </row>
    <row r="181" spans="1:6" x14ac:dyDescent="0.25">
      <c r="A181" s="1" t="s">
        <v>264</v>
      </c>
      <c r="B181" s="1" t="s">
        <v>157</v>
      </c>
      <c r="C181" s="2">
        <v>34523</v>
      </c>
      <c r="D181" s="1" t="s">
        <v>6</v>
      </c>
      <c r="E181" s="1">
        <f>MONTH(ubezpieczenia3[[#This Row],[Data_urodz]])</f>
        <v>7</v>
      </c>
      <c r="F181" s="1">
        <f t="shared" si="2"/>
        <v>180</v>
      </c>
    </row>
    <row r="182" spans="1:6" x14ac:dyDescent="0.25">
      <c r="A182" s="1" t="s">
        <v>265</v>
      </c>
      <c r="B182" s="1" t="s">
        <v>139</v>
      </c>
      <c r="C182" s="2">
        <v>18354</v>
      </c>
      <c r="D182" s="1" t="s">
        <v>6</v>
      </c>
      <c r="E182" s="1">
        <f>MONTH(ubezpieczenia3[[#This Row],[Data_urodz]])</f>
        <v>4</v>
      </c>
      <c r="F182" s="1">
        <f t="shared" si="2"/>
        <v>181</v>
      </c>
    </row>
    <row r="183" spans="1:6" x14ac:dyDescent="0.25">
      <c r="A183" s="1" t="s">
        <v>266</v>
      </c>
      <c r="B183" s="1" t="s">
        <v>267</v>
      </c>
      <c r="C183" s="2">
        <v>34069</v>
      </c>
      <c r="D183" s="1" t="s">
        <v>12</v>
      </c>
      <c r="E183" s="1">
        <f>MONTH(ubezpieczenia3[[#This Row],[Data_urodz]])</f>
        <v>4</v>
      </c>
      <c r="F183" s="1">
        <f t="shared" si="2"/>
        <v>182</v>
      </c>
    </row>
    <row r="184" spans="1:6" x14ac:dyDescent="0.25">
      <c r="A184" s="1" t="s">
        <v>268</v>
      </c>
      <c r="B184" s="1" t="s">
        <v>269</v>
      </c>
      <c r="C184" s="2">
        <v>17331</v>
      </c>
      <c r="D184" s="1" t="s">
        <v>12</v>
      </c>
      <c r="E184" s="1">
        <f>MONTH(ubezpieczenia3[[#This Row],[Data_urodz]])</f>
        <v>6</v>
      </c>
      <c r="F184" s="1">
        <f t="shared" si="2"/>
        <v>183</v>
      </c>
    </row>
    <row r="185" spans="1:6" x14ac:dyDescent="0.25">
      <c r="A185" s="1" t="s">
        <v>270</v>
      </c>
      <c r="B185" s="1" t="s">
        <v>39</v>
      </c>
      <c r="C185" s="2">
        <v>33550</v>
      </c>
      <c r="D185" s="1" t="s">
        <v>40</v>
      </c>
      <c r="E185" s="1">
        <f>MONTH(ubezpieczenia3[[#This Row],[Data_urodz]])</f>
        <v>11</v>
      </c>
      <c r="F185" s="1">
        <f t="shared" si="2"/>
        <v>184</v>
      </c>
    </row>
    <row r="186" spans="1:6" x14ac:dyDescent="0.25">
      <c r="A186" s="1" t="s">
        <v>271</v>
      </c>
      <c r="B186" s="1" t="s">
        <v>255</v>
      </c>
      <c r="C186" s="2">
        <v>24426</v>
      </c>
      <c r="D186" s="1" t="s">
        <v>6</v>
      </c>
      <c r="E186" s="1">
        <f>MONTH(ubezpieczenia3[[#This Row],[Data_urodz]])</f>
        <v>11</v>
      </c>
      <c r="F186" s="1">
        <f t="shared" si="2"/>
        <v>185</v>
      </c>
    </row>
    <row r="187" spans="1:6" x14ac:dyDescent="0.25">
      <c r="A187" s="1" t="s">
        <v>272</v>
      </c>
      <c r="B187" s="1" t="s">
        <v>273</v>
      </c>
      <c r="C187" s="2">
        <v>19307</v>
      </c>
      <c r="D187" s="1" t="s">
        <v>40</v>
      </c>
      <c r="E187" s="1">
        <f>MONTH(ubezpieczenia3[[#This Row],[Data_urodz]])</f>
        <v>11</v>
      </c>
      <c r="F187" s="1">
        <f t="shared" si="2"/>
        <v>186</v>
      </c>
    </row>
    <row r="188" spans="1:6" x14ac:dyDescent="0.25">
      <c r="A188" s="1" t="s">
        <v>274</v>
      </c>
      <c r="B188" s="1" t="s">
        <v>121</v>
      </c>
      <c r="C188" s="2">
        <v>26626</v>
      </c>
      <c r="D188" s="1" t="s">
        <v>12</v>
      </c>
      <c r="E188" s="1">
        <f>MONTH(ubezpieczenia3[[#This Row],[Data_urodz]])</f>
        <v>11</v>
      </c>
      <c r="F188" s="1">
        <f t="shared" si="2"/>
        <v>187</v>
      </c>
    </row>
    <row r="189" spans="1:6" x14ac:dyDescent="0.25">
      <c r="A189" s="1" t="s">
        <v>275</v>
      </c>
      <c r="B189" s="1" t="s">
        <v>169</v>
      </c>
      <c r="C189" s="2">
        <v>21897</v>
      </c>
      <c r="D189" s="1" t="s">
        <v>12</v>
      </c>
      <c r="E189" s="1">
        <f>MONTH(ubezpieczenia3[[#This Row],[Data_urodz]])</f>
        <v>12</v>
      </c>
      <c r="F189" s="1">
        <f t="shared" si="2"/>
        <v>188</v>
      </c>
    </row>
    <row r="190" spans="1:6" x14ac:dyDescent="0.25">
      <c r="A190" s="1" t="s">
        <v>276</v>
      </c>
      <c r="B190" s="1" t="s">
        <v>52</v>
      </c>
      <c r="C190" s="2">
        <v>34865</v>
      </c>
      <c r="D190" s="1" t="s">
        <v>12</v>
      </c>
      <c r="E190" s="1">
        <f>MONTH(ubezpieczenia3[[#This Row],[Data_urodz]])</f>
        <v>6</v>
      </c>
      <c r="F190" s="1">
        <f t="shared" si="2"/>
        <v>189</v>
      </c>
    </row>
    <row r="191" spans="1:6" x14ac:dyDescent="0.25">
      <c r="A191" s="1" t="s">
        <v>163</v>
      </c>
      <c r="B191" s="1" t="s">
        <v>277</v>
      </c>
      <c r="C191" s="2">
        <v>19712</v>
      </c>
      <c r="D191" s="1" t="s">
        <v>12</v>
      </c>
      <c r="E191" s="1">
        <f>MONTH(ubezpieczenia3[[#This Row],[Data_urodz]])</f>
        <v>12</v>
      </c>
      <c r="F191" s="1">
        <f t="shared" si="2"/>
        <v>190</v>
      </c>
    </row>
    <row r="192" spans="1:6" x14ac:dyDescent="0.25">
      <c r="A192" s="1" t="s">
        <v>278</v>
      </c>
      <c r="B192" s="1" t="s">
        <v>52</v>
      </c>
      <c r="C192" s="2">
        <v>27893</v>
      </c>
      <c r="D192" s="1" t="s">
        <v>6</v>
      </c>
      <c r="E192" s="1">
        <f>MONTH(ubezpieczenia3[[#This Row],[Data_urodz]])</f>
        <v>5</v>
      </c>
      <c r="F192" s="1">
        <f t="shared" si="2"/>
        <v>191</v>
      </c>
    </row>
    <row r="193" spans="1:6" x14ac:dyDescent="0.25">
      <c r="A193" s="1" t="s">
        <v>279</v>
      </c>
      <c r="B193" s="1" t="s">
        <v>280</v>
      </c>
      <c r="C193" s="2">
        <v>28226</v>
      </c>
      <c r="D193" s="1" t="s">
        <v>12</v>
      </c>
      <c r="E193" s="1">
        <f>MONTH(ubezpieczenia3[[#This Row],[Data_urodz]])</f>
        <v>4</v>
      </c>
      <c r="F193" s="1">
        <f t="shared" si="2"/>
        <v>192</v>
      </c>
    </row>
    <row r="194" spans="1:6" x14ac:dyDescent="0.25">
      <c r="A194" s="1" t="s">
        <v>281</v>
      </c>
      <c r="B194" s="1" t="s">
        <v>77</v>
      </c>
      <c r="C194" s="2">
        <v>29954</v>
      </c>
      <c r="D194" s="1" t="s">
        <v>9</v>
      </c>
      <c r="E194" s="1">
        <f>MONTH(ubezpieczenia3[[#This Row],[Data_urodz]])</f>
        <v>1</v>
      </c>
      <c r="F194" s="1">
        <f t="shared" si="2"/>
        <v>193</v>
      </c>
    </row>
    <row r="195" spans="1:6" x14ac:dyDescent="0.25">
      <c r="A195" s="1" t="s">
        <v>282</v>
      </c>
      <c r="B195" s="1" t="s">
        <v>179</v>
      </c>
      <c r="C195" s="2">
        <v>23111</v>
      </c>
      <c r="D195" s="1" t="s">
        <v>12</v>
      </c>
      <c r="E195" s="1">
        <f>MONTH(ubezpieczenia3[[#This Row],[Data_urodz]])</f>
        <v>4</v>
      </c>
      <c r="F195" s="1">
        <f t="shared" si="2"/>
        <v>194</v>
      </c>
    </row>
    <row r="196" spans="1:6" x14ac:dyDescent="0.25">
      <c r="A196" s="1" t="s">
        <v>283</v>
      </c>
      <c r="B196" s="1" t="s">
        <v>39</v>
      </c>
      <c r="C196" s="2">
        <v>24808</v>
      </c>
      <c r="D196" s="1" t="s">
        <v>12</v>
      </c>
      <c r="E196" s="1">
        <f>MONTH(ubezpieczenia3[[#This Row],[Data_urodz]])</f>
        <v>12</v>
      </c>
      <c r="F196" s="1">
        <f t="shared" ref="F196:F259" si="3">F195+1</f>
        <v>195</v>
      </c>
    </row>
    <row r="197" spans="1:6" x14ac:dyDescent="0.25">
      <c r="A197" s="1" t="s">
        <v>284</v>
      </c>
      <c r="B197" s="1" t="s">
        <v>16</v>
      </c>
      <c r="C197" s="2">
        <v>17601</v>
      </c>
      <c r="D197" s="1" t="s">
        <v>40</v>
      </c>
      <c r="E197" s="1">
        <f>MONTH(ubezpieczenia3[[#This Row],[Data_urodz]])</f>
        <v>3</v>
      </c>
      <c r="F197" s="1">
        <f t="shared" si="3"/>
        <v>196</v>
      </c>
    </row>
    <row r="198" spans="1:6" x14ac:dyDescent="0.25">
      <c r="A198" s="1" t="s">
        <v>285</v>
      </c>
      <c r="B198" s="1" t="s">
        <v>179</v>
      </c>
      <c r="C198" s="2">
        <v>21199</v>
      </c>
      <c r="D198" s="1" t="s">
        <v>9</v>
      </c>
      <c r="E198" s="1">
        <f>MONTH(ubezpieczenia3[[#This Row],[Data_urodz]])</f>
        <v>1</v>
      </c>
      <c r="F198" s="1">
        <f t="shared" si="3"/>
        <v>197</v>
      </c>
    </row>
    <row r="199" spans="1:6" x14ac:dyDescent="0.25">
      <c r="A199" s="1" t="s">
        <v>286</v>
      </c>
      <c r="B199" s="1" t="s">
        <v>20</v>
      </c>
      <c r="C199" s="2">
        <v>29879</v>
      </c>
      <c r="D199" s="1" t="s">
        <v>12</v>
      </c>
      <c r="E199" s="1">
        <f>MONTH(ubezpieczenia3[[#This Row],[Data_urodz]])</f>
        <v>10</v>
      </c>
      <c r="F199" s="1">
        <f t="shared" si="3"/>
        <v>198</v>
      </c>
    </row>
    <row r="200" spans="1:6" x14ac:dyDescent="0.25">
      <c r="A200" s="1" t="s">
        <v>287</v>
      </c>
      <c r="B200" s="1" t="s">
        <v>81</v>
      </c>
      <c r="C200" s="2">
        <v>19659</v>
      </c>
      <c r="D200" s="1" t="s">
        <v>6</v>
      </c>
      <c r="E200" s="1">
        <f>MONTH(ubezpieczenia3[[#This Row],[Data_urodz]])</f>
        <v>10</v>
      </c>
      <c r="F200" s="1">
        <f t="shared" si="3"/>
        <v>199</v>
      </c>
    </row>
    <row r="201" spans="1:6" x14ac:dyDescent="0.25">
      <c r="A201" s="1" t="s">
        <v>288</v>
      </c>
      <c r="B201" s="1" t="s">
        <v>8</v>
      </c>
      <c r="C201" s="2">
        <v>22514</v>
      </c>
      <c r="D201" s="1" t="s">
        <v>12</v>
      </c>
      <c r="E201" s="1">
        <f>MONTH(ubezpieczenia3[[#This Row],[Data_urodz]])</f>
        <v>8</v>
      </c>
      <c r="F201" s="1">
        <f t="shared" si="3"/>
        <v>200</v>
      </c>
    </row>
    <row r="202" spans="1:6" x14ac:dyDescent="0.25">
      <c r="A202" s="1" t="s">
        <v>289</v>
      </c>
      <c r="B202" s="1" t="s">
        <v>121</v>
      </c>
      <c r="C202" s="2">
        <v>25332</v>
      </c>
      <c r="D202" s="1" t="s">
        <v>12</v>
      </c>
      <c r="E202" s="1">
        <f>MONTH(ubezpieczenia3[[#This Row],[Data_urodz]])</f>
        <v>5</v>
      </c>
      <c r="F202" s="1">
        <f t="shared" si="3"/>
        <v>201</v>
      </c>
    </row>
    <row r="203" spans="1:6" x14ac:dyDescent="0.25">
      <c r="A203" s="1" t="s">
        <v>290</v>
      </c>
      <c r="B203" s="1" t="s">
        <v>255</v>
      </c>
      <c r="C203" s="2">
        <v>20181</v>
      </c>
      <c r="D203" s="1" t="s">
        <v>40</v>
      </c>
      <c r="E203" s="1">
        <f>MONTH(ubezpieczenia3[[#This Row],[Data_urodz]])</f>
        <v>4</v>
      </c>
      <c r="F203" s="1">
        <f t="shared" si="3"/>
        <v>202</v>
      </c>
    </row>
    <row r="204" spans="1:6" x14ac:dyDescent="0.25">
      <c r="A204" s="1" t="s">
        <v>291</v>
      </c>
      <c r="B204" s="1" t="s">
        <v>141</v>
      </c>
      <c r="C204" s="2">
        <v>19141</v>
      </c>
      <c r="D204" s="1" t="s">
        <v>12</v>
      </c>
      <c r="E204" s="1">
        <f>MONTH(ubezpieczenia3[[#This Row],[Data_urodz]])</f>
        <v>5</v>
      </c>
      <c r="F204" s="1">
        <f t="shared" si="3"/>
        <v>203</v>
      </c>
    </row>
    <row r="205" spans="1:6" x14ac:dyDescent="0.25">
      <c r="A205" s="1" t="s">
        <v>292</v>
      </c>
      <c r="B205" s="1" t="s">
        <v>293</v>
      </c>
      <c r="C205" s="2">
        <v>18147</v>
      </c>
      <c r="D205" s="1" t="s">
        <v>12</v>
      </c>
      <c r="E205" s="1">
        <f>MONTH(ubezpieczenia3[[#This Row],[Data_urodz]])</f>
        <v>9</v>
      </c>
      <c r="F205" s="1">
        <f t="shared" si="3"/>
        <v>204</v>
      </c>
    </row>
    <row r="206" spans="1:6" x14ac:dyDescent="0.25">
      <c r="A206" s="1" t="s">
        <v>294</v>
      </c>
      <c r="B206" s="1" t="s">
        <v>52</v>
      </c>
      <c r="C206" s="2">
        <v>26146</v>
      </c>
      <c r="D206" s="1" t="s">
        <v>6</v>
      </c>
      <c r="E206" s="1">
        <f>MONTH(ubezpieczenia3[[#This Row],[Data_urodz]])</f>
        <v>8</v>
      </c>
      <c r="F206" s="1">
        <f t="shared" si="3"/>
        <v>205</v>
      </c>
    </row>
    <row r="207" spans="1:6" x14ac:dyDescent="0.25">
      <c r="A207" s="1" t="s">
        <v>295</v>
      </c>
      <c r="B207" s="1" t="s">
        <v>139</v>
      </c>
      <c r="C207" s="2">
        <v>30798</v>
      </c>
      <c r="D207" s="1" t="s">
        <v>40</v>
      </c>
      <c r="E207" s="1">
        <f>MONTH(ubezpieczenia3[[#This Row],[Data_urodz]])</f>
        <v>4</v>
      </c>
      <c r="F207" s="1">
        <f t="shared" si="3"/>
        <v>206</v>
      </c>
    </row>
    <row r="208" spans="1:6" x14ac:dyDescent="0.25">
      <c r="A208" s="1" t="s">
        <v>296</v>
      </c>
      <c r="B208" s="1" t="s">
        <v>297</v>
      </c>
      <c r="C208" s="2">
        <v>24623</v>
      </c>
      <c r="D208" s="1" t="s">
        <v>12</v>
      </c>
      <c r="E208" s="1">
        <f>MONTH(ubezpieczenia3[[#This Row],[Data_urodz]])</f>
        <v>5</v>
      </c>
      <c r="F208" s="1">
        <f t="shared" si="3"/>
        <v>207</v>
      </c>
    </row>
    <row r="209" spans="1:6" x14ac:dyDescent="0.25">
      <c r="A209" s="1" t="s">
        <v>298</v>
      </c>
      <c r="B209" s="1" t="s">
        <v>18</v>
      </c>
      <c r="C209" s="2">
        <v>31818</v>
      </c>
      <c r="D209" s="1" t="s">
        <v>6</v>
      </c>
      <c r="E209" s="1">
        <f>MONTH(ubezpieczenia3[[#This Row],[Data_urodz]])</f>
        <v>2</v>
      </c>
      <c r="F209" s="1">
        <f t="shared" si="3"/>
        <v>208</v>
      </c>
    </row>
    <row r="210" spans="1:6" x14ac:dyDescent="0.25">
      <c r="A210" s="1" t="s">
        <v>299</v>
      </c>
      <c r="B210" s="1" t="s">
        <v>300</v>
      </c>
      <c r="C210" s="2">
        <v>34201</v>
      </c>
      <c r="D210" s="1" t="s">
        <v>12</v>
      </c>
      <c r="E210" s="1">
        <f>MONTH(ubezpieczenia3[[#This Row],[Data_urodz]])</f>
        <v>8</v>
      </c>
      <c r="F210" s="1">
        <f t="shared" si="3"/>
        <v>209</v>
      </c>
    </row>
    <row r="211" spans="1:6" x14ac:dyDescent="0.25">
      <c r="A211" s="1" t="s">
        <v>301</v>
      </c>
      <c r="B211" s="1" t="s">
        <v>8</v>
      </c>
      <c r="C211" s="2">
        <v>27079</v>
      </c>
      <c r="D211" s="1" t="s">
        <v>9</v>
      </c>
      <c r="E211" s="1">
        <f>MONTH(ubezpieczenia3[[#This Row],[Data_urodz]])</f>
        <v>2</v>
      </c>
      <c r="F211" s="1">
        <f t="shared" si="3"/>
        <v>210</v>
      </c>
    </row>
    <row r="212" spans="1:6" x14ac:dyDescent="0.25">
      <c r="A212" s="1" t="s">
        <v>302</v>
      </c>
      <c r="B212" s="1" t="s">
        <v>303</v>
      </c>
      <c r="C212" s="2">
        <v>18053</v>
      </c>
      <c r="D212" s="1" t="s">
        <v>9</v>
      </c>
      <c r="E212" s="1">
        <f>MONTH(ubezpieczenia3[[#This Row],[Data_urodz]])</f>
        <v>6</v>
      </c>
      <c r="F212" s="1">
        <f t="shared" si="3"/>
        <v>211</v>
      </c>
    </row>
    <row r="213" spans="1:6" x14ac:dyDescent="0.25">
      <c r="A213" s="1" t="s">
        <v>304</v>
      </c>
      <c r="B213" s="1" t="s">
        <v>49</v>
      </c>
      <c r="C213" s="2">
        <v>27059</v>
      </c>
      <c r="D213" s="1" t="s">
        <v>12</v>
      </c>
      <c r="E213" s="1">
        <f>MONTH(ubezpieczenia3[[#This Row],[Data_urodz]])</f>
        <v>1</v>
      </c>
      <c r="F213" s="1">
        <f t="shared" si="3"/>
        <v>212</v>
      </c>
    </row>
    <row r="214" spans="1:6" x14ac:dyDescent="0.25">
      <c r="A214" s="1" t="s">
        <v>305</v>
      </c>
      <c r="B214" s="1" t="s">
        <v>246</v>
      </c>
      <c r="C214" s="2">
        <v>31039</v>
      </c>
      <c r="D214" s="1" t="s">
        <v>6</v>
      </c>
      <c r="E214" s="1">
        <f>MONTH(ubezpieczenia3[[#This Row],[Data_urodz]])</f>
        <v>12</v>
      </c>
      <c r="F214" s="1">
        <f t="shared" si="3"/>
        <v>213</v>
      </c>
    </row>
    <row r="215" spans="1:6" x14ac:dyDescent="0.25">
      <c r="A215" s="1" t="s">
        <v>306</v>
      </c>
      <c r="B215" s="1" t="s">
        <v>307</v>
      </c>
      <c r="C215" s="2">
        <v>34893</v>
      </c>
      <c r="D215" s="1" t="s">
        <v>12</v>
      </c>
      <c r="E215" s="1">
        <f>MONTH(ubezpieczenia3[[#This Row],[Data_urodz]])</f>
        <v>7</v>
      </c>
      <c r="F215" s="1">
        <f t="shared" si="3"/>
        <v>214</v>
      </c>
    </row>
    <row r="216" spans="1:6" x14ac:dyDescent="0.25">
      <c r="A216" s="1" t="s">
        <v>308</v>
      </c>
      <c r="B216" s="1" t="s">
        <v>307</v>
      </c>
      <c r="C216" s="2">
        <v>22101</v>
      </c>
      <c r="D216" s="1" t="s">
        <v>6</v>
      </c>
      <c r="E216" s="1">
        <f>MONTH(ubezpieczenia3[[#This Row],[Data_urodz]])</f>
        <v>7</v>
      </c>
      <c r="F216" s="1">
        <f t="shared" si="3"/>
        <v>215</v>
      </c>
    </row>
    <row r="217" spans="1:6" x14ac:dyDescent="0.25">
      <c r="A217" s="1" t="s">
        <v>309</v>
      </c>
      <c r="B217" s="1" t="s">
        <v>177</v>
      </c>
      <c r="C217" s="2">
        <v>16267</v>
      </c>
      <c r="D217" s="1" t="s">
        <v>12</v>
      </c>
      <c r="E217" s="1">
        <f>MONTH(ubezpieczenia3[[#This Row],[Data_urodz]])</f>
        <v>7</v>
      </c>
      <c r="F217" s="1">
        <f t="shared" si="3"/>
        <v>216</v>
      </c>
    </row>
    <row r="218" spans="1:6" x14ac:dyDescent="0.25">
      <c r="A218" s="1" t="s">
        <v>310</v>
      </c>
      <c r="B218" s="1" t="s">
        <v>45</v>
      </c>
      <c r="C218" s="2">
        <v>32103</v>
      </c>
      <c r="D218" s="1" t="s">
        <v>12</v>
      </c>
      <c r="E218" s="1">
        <f>MONTH(ubezpieczenia3[[#This Row],[Data_urodz]])</f>
        <v>11</v>
      </c>
      <c r="F218" s="1">
        <f t="shared" si="3"/>
        <v>217</v>
      </c>
    </row>
    <row r="219" spans="1:6" x14ac:dyDescent="0.25">
      <c r="A219" s="1" t="s">
        <v>311</v>
      </c>
      <c r="B219" s="1" t="s">
        <v>248</v>
      </c>
      <c r="C219" s="2">
        <v>25996</v>
      </c>
      <c r="D219" s="1" t="s">
        <v>9</v>
      </c>
      <c r="E219" s="1">
        <f>MONTH(ubezpieczenia3[[#This Row],[Data_urodz]])</f>
        <v>3</v>
      </c>
      <c r="F219" s="1">
        <f t="shared" si="3"/>
        <v>218</v>
      </c>
    </row>
    <row r="220" spans="1:6" x14ac:dyDescent="0.25">
      <c r="A220" s="1" t="s">
        <v>312</v>
      </c>
      <c r="B220" s="1" t="s">
        <v>134</v>
      </c>
      <c r="C220" s="2">
        <v>33040</v>
      </c>
      <c r="D220" s="1" t="s">
        <v>12</v>
      </c>
      <c r="E220" s="1">
        <f>MONTH(ubezpieczenia3[[#This Row],[Data_urodz]])</f>
        <v>6</v>
      </c>
      <c r="F220" s="1">
        <f t="shared" si="3"/>
        <v>219</v>
      </c>
    </row>
    <row r="221" spans="1:6" x14ac:dyDescent="0.25">
      <c r="A221" s="1" t="s">
        <v>313</v>
      </c>
      <c r="B221" s="1" t="s">
        <v>20</v>
      </c>
      <c r="C221" s="2">
        <v>30671</v>
      </c>
      <c r="D221" s="1" t="s">
        <v>9</v>
      </c>
      <c r="E221" s="1">
        <f>MONTH(ubezpieczenia3[[#This Row],[Data_urodz]])</f>
        <v>12</v>
      </c>
      <c r="F221" s="1">
        <f t="shared" si="3"/>
        <v>220</v>
      </c>
    </row>
    <row r="222" spans="1:6" x14ac:dyDescent="0.25">
      <c r="A222" s="1" t="s">
        <v>314</v>
      </c>
      <c r="B222" s="1" t="s">
        <v>37</v>
      </c>
      <c r="C222" s="2">
        <v>25243</v>
      </c>
      <c r="D222" s="1" t="s">
        <v>12</v>
      </c>
      <c r="E222" s="1">
        <f>MONTH(ubezpieczenia3[[#This Row],[Data_urodz]])</f>
        <v>2</v>
      </c>
      <c r="F222" s="1">
        <f t="shared" si="3"/>
        <v>221</v>
      </c>
    </row>
    <row r="223" spans="1:6" x14ac:dyDescent="0.25">
      <c r="A223" s="1" t="s">
        <v>315</v>
      </c>
      <c r="B223" s="1" t="s">
        <v>20</v>
      </c>
      <c r="C223" s="2">
        <v>27639</v>
      </c>
      <c r="D223" s="1" t="s">
        <v>12</v>
      </c>
      <c r="E223" s="1">
        <f>MONTH(ubezpieczenia3[[#This Row],[Data_urodz]])</f>
        <v>9</v>
      </c>
      <c r="F223" s="1">
        <f t="shared" si="3"/>
        <v>222</v>
      </c>
    </row>
    <row r="224" spans="1:6" x14ac:dyDescent="0.25">
      <c r="A224" s="1" t="s">
        <v>316</v>
      </c>
      <c r="B224" s="1" t="s">
        <v>169</v>
      </c>
      <c r="C224" s="2">
        <v>25644</v>
      </c>
      <c r="D224" s="1" t="s">
        <v>12</v>
      </c>
      <c r="E224" s="1">
        <f>MONTH(ubezpieczenia3[[#This Row],[Data_urodz]])</f>
        <v>3</v>
      </c>
      <c r="F224" s="1">
        <f t="shared" si="3"/>
        <v>223</v>
      </c>
    </row>
    <row r="225" spans="1:6" x14ac:dyDescent="0.25">
      <c r="A225" s="1" t="s">
        <v>317</v>
      </c>
      <c r="B225" s="1" t="s">
        <v>318</v>
      </c>
      <c r="C225" s="2">
        <v>27683</v>
      </c>
      <c r="D225" s="1" t="s">
        <v>6</v>
      </c>
      <c r="E225" s="1">
        <f>MONTH(ubezpieczenia3[[#This Row],[Data_urodz]])</f>
        <v>10</v>
      </c>
      <c r="F225" s="1">
        <f t="shared" si="3"/>
        <v>224</v>
      </c>
    </row>
    <row r="226" spans="1:6" x14ac:dyDescent="0.25">
      <c r="A226" s="1" t="s">
        <v>174</v>
      </c>
      <c r="B226" s="1" t="s">
        <v>319</v>
      </c>
      <c r="C226" s="2">
        <v>32765</v>
      </c>
      <c r="D226" s="1" t="s">
        <v>9</v>
      </c>
      <c r="E226" s="1">
        <f>MONTH(ubezpieczenia3[[#This Row],[Data_urodz]])</f>
        <v>9</v>
      </c>
      <c r="F226" s="1">
        <f t="shared" si="3"/>
        <v>225</v>
      </c>
    </row>
    <row r="227" spans="1:6" x14ac:dyDescent="0.25">
      <c r="A227" s="1" t="s">
        <v>243</v>
      </c>
      <c r="B227" s="1" t="s">
        <v>121</v>
      </c>
      <c r="C227" s="2">
        <v>26380</v>
      </c>
      <c r="D227" s="1" t="s">
        <v>9</v>
      </c>
      <c r="E227" s="1">
        <f>MONTH(ubezpieczenia3[[#This Row],[Data_urodz]])</f>
        <v>3</v>
      </c>
      <c r="F227" s="1">
        <f t="shared" si="3"/>
        <v>226</v>
      </c>
    </row>
    <row r="228" spans="1:6" x14ac:dyDescent="0.25">
      <c r="A228" s="1" t="s">
        <v>320</v>
      </c>
      <c r="B228" s="1" t="s">
        <v>81</v>
      </c>
      <c r="C228" s="2">
        <v>21508</v>
      </c>
      <c r="D228" s="1" t="s">
        <v>6</v>
      </c>
      <c r="E228" s="1">
        <f>MONTH(ubezpieczenia3[[#This Row],[Data_urodz]])</f>
        <v>11</v>
      </c>
      <c r="F228" s="1">
        <f t="shared" si="3"/>
        <v>227</v>
      </c>
    </row>
    <row r="229" spans="1:6" x14ac:dyDescent="0.25">
      <c r="A229" s="1" t="s">
        <v>321</v>
      </c>
      <c r="B229" s="1" t="s">
        <v>11</v>
      </c>
      <c r="C229" s="2">
        <v>32790</v>
      </c>
      <c r="D229" s="1" t="s">
        <v>6</v>
      </c>
      <c r="E229" s="1">
        <f>MONTH(ubezpieczenia3[[#This Row],[Data_urodz]])</f>
        <v>10</v>
      </c>
      <c r="F229" s="1">
        <f t="shared" si="3"/>
        <v>228</v>
      </c>
    </row>
    <row r="230" spans="1:6" x14ac:dyDescent="0.25">
      <c r="A230" s="1" t="s">
        <v>164</v>
      </c>
      <c r="B230" s="1" t="s">
        <v>322</v>
      </c>
      <c r="C230" s="2">
        <v>24303</v>
      </c>
      <c r="D230" s="1" t="s">
        <v>6</v>
      </c>
      <c r="E230" s="1">
        <f>MONTH(ubezpieczenia3[[#This Row],[Data_urodz]])</f>
        <v>7</v>
      </c>
      <c r="F230" s="1">
        <f t="shared" si="3"/>
        <v>229</v>
      </c>
    </row>
    <row r="231" spans="1:6" x14ac:dyDescent="0.25">
      <c r="A231" s="1" t="s">
        <v>323</v>
      </c>
      <c r="B231" s="1" t="s">
        <v>300</v>
      </c>
      <c r="C231" s="2">
        <v>30747</v>
      </c>
      <c r="D231" s="1" t="s">
        <v>9</v>
      </c>
      <c r="E231" s="1">
        <f>MONTH(ubezpieczenia3[[#This Row],[Data_urodz]])</f>
        <v>3</v>
      </c>
      <c r="F231" s="1">
        <f t="shared" si="3"/>
        <v>230</v>
      </c>
    </row>
    <row r="232" spans="1:6" x14ac:dyDescent="0.25">
      <c r="A232" s="1" t="s">
        <v>324</v>
      </c>
      <c r="B232" s="1" t="s">
        <v>49</v>
      </c>
      <c r="C232" s="2">
        <v>19853</v>
      </c>
      <c r="D232" s="1" t="s">
        <v>12</v>
      </c>
      <c r="E232" s="1">
        <f>MONTH(ubezpieczenia3[[#This Row],[Data_urodz]])</f>
        <v>5</v>
      </c>
      <c r="F232" s="1">
        <f t="shared" si="3"/>
        <v>231</v>
      </c>
    </row>
    <row r="233" spans="1:6" x14ac:dyDescent="0.25">
      <c r="A233" s="1" t="s">
        <v>325</v>
      </c>
      <c r="B233" s="1" t="s">
        <v>20</v>
      </c>
      <c r="C233" s="2">
        <v>32147</v>
      </c>
      <c r="D233" s="1" t="s">
        <v>12</v>
      </c>
      <c r="E233" s="1">
        <f>MONTH(ubezpieczenia3[[#This Row],[Data_urodz]])</f>
        <v>1</v>
      </c>
      <c r="F233" s="1">
        <f t="shared" si="3"/>
        <v>232</v>
      </c>
    </row>
    <row r="234" spans="1:6" x14ac:dyDescent="0.25">
      <c r="A234" s="1" t="s">
        <v>326</v>
      </c>
      <c r="B234" s="1" t="s">
        <v>327</v>
      </c>
      <c r="C234" s="2">
        <v>17904</v>
      </c>
      <c r="D234" s="1" t="s">
        <v>12</v>
      </c>
      <c r="E234" s="1">
        <f>MONTH(ubezpieczenia3[[#This Row],[Data_urodz]])</f>
        <v>1</v>
      </c>
      <c r="F234" s="1">
        <f t="shared" si="3"/>
        <v>233</v>
      </c>
    </row>
    <row r="235" spans="1:6" x14ac:dyDescent="0.25">
      <c r="A235" s="1" t="s">
        <v>328</v>
      </c>
      <c r="B235" s="1" t="s">
        <v>157</v>
      </c>
      <c r="C235" s="2">
        <v>20057</v>
      </c>
      <c r="D235" s="1" t="s">
        <v>12</v>
      </c>
      <c r="E235" s="1">
        <f>MONTH(ubezpieczenia3[[#This Row],[Data_urodz]])</f>
        <v>11</v>
      </c>
      <c r="F235" s="1">
        <f t="shared" si="3"/>
        <v>234</v>
      </c>
    </row>
    <row r="236" spans="1:6" x14ac:dyDescent="0.25">
      <c r="A236" s="1" t="s">
        <v>329</v>
      </c>
      <c r="B236" s="1" t="s">
        <v>146</v>
      </c>
      <c r="C236" s="2">
        <v>30863</v>
      </c>
      <c r="D236" s="1" t="s">
        <v>9</v>
      </c>
      <c r="E236" s="1">
        <f>MONTH(ubezpieczenia3[[#This Row],[Data_urodz]])</f>
        <v>6</v>
      </c>
      <c r="F236" s="1">
        <f t="shared" si="3"/>
        <v>235</v>
      </c>
    </row>
    <row r="237" spans="1:6" x14ac:dyDescent="0.25">
      <c r="A237" s="1" t="s">
        <v>330</v>
      </c>
      <c r="B237" s="1" t="s">
        <v>139</v>
      </c>
      <c r="C237" s="2">
        <v>22435</v>
      </c>
      <c r="D237" s="1" t="s">
        <v>6</v>
      </c>
      <c r="E237" s="1">
        <f>MONTH(ubezpieczenia3[[#This Row],[Data_urodz]])</f>
        <v>6</v>
      </c>
      <c r="F237" s="1">
        <f t="shared" si="3"/>
        <v>236</v>
      </c>
    </row>
    <row r="238" spans="1:6" x14ac:dyDescent="0.25">
      <c r="A238" s="1" t="s">
        <v>130</v>
      </c>
      <c r="B238" s="1" t="s">
        <v>84</v>
      </c>
      <c r="C238" s="2">
        <v>17048</v>
      </c>
      <c r="D238" s="1" t="s">
        <v>12</v>
      </c>
      <c r="E238" s="1">
        <f>MONTH(ubezpieczenia3[[#This Row],[Data_urodz]])</f>
        <v>9</v>
      </c>
      <c r="F238" s="1">
        <f t="shared" si="3"/>
        <v>237</v>
      </c>
    </row>
    <row r="239" spans="1:6" x14ac:dyDescent="0.25">
      <c r="A239" s="1" t="s">
        <v>331</v>
      </c>
      <c r="B239" s="1" t="s">
        <v>332</v>
      </c>
      <c r="C239" s="2">
        <v>24732</v>
      </c>
      <c r="D239" s="1" t="s">
        <v>6</v>
      </c>
      <c r="E239" s="1">
        <f>MONTH(ubezpieczenia3[[#This Row],[Data_urodz]])</f>
        <v>9</v>
      </c>
      <c r="F239" s="1">
        <f t="shared" si="3"/>
        <v>238</v>
      </c>
    </row>
    <row r="240" spans="1:6" x14ac:dyDescent="0.25">
      <c r="A240" s="1" t="s">
        <v>333</v>
      </c>
      <c r="B240" s="1" t="s">
        <v>11</v>
      </c>
      <c r="C240" s="2">
        <v>18589</v>
      </c>
      <c r="D240" s="1" t="s">
        <v>6</v>
      </c>
      <c r="E240" s="1">
        <f>MONTH(ubezpieczenia3[[#This Row],[Data_urodz]])</f>
        <v>11</v>
      </c>
      <c r="F240" s="1">
        <f t="shared" si="3"/>
        <v>239</v>
      </c>
    </row>
    <row r="241" spans="1:6" x14ac:dyDescent="0.25">
      <c r="A241" s="1" t="s">
        <v>334</v>
      </c>
      <c r="B241" s="1" t="s">
        <v>49</v>
      </c>
      <c r="C241" s="2">
        <v>20727</v>
      </c>
      <c r="D241" s="1" t="s">
        <v>12</v>
      </c>
      <c r="E241" s="1">
        <f>MONTH(ubezpieczenia3[[#This Row],[Data_urodz]])</f>
        <v>9</v>
      </c>
      <c r="F241" s="1">
        <f t="shared" si="3"/>
        <v>240</v>
      </c>
    </row>
    <row r="242" spans="1:6" x14ac:dyDescent="0.25">
      <c r="A242" s="1" t="s">
        <v>335</v>
      </c>
      <c r="B242" s="1" t="s">
        <v>114</v>
      </c>
      <c r="C242" s="2">
        <v>23401</v>
      </c>
      <c r="D242" s="1" t="s">
        <v>6</v>
      </c>
      <c r="E242" s="1">
        <f>MONTH(ubezpieczenia3[[#This Row],[Data_urodz]])</f>
        <v>1</v>
      </c>
      <c r="F242" s="1">
        <f t="shared" si="3"/>
        <v>241</v>
      </c>
    </row>
    <row r="243" spans="1:6" x14ac:dyDescent="0.25">
      <c r="A243" s="1" t="s">
        <v>336</v>
      </c>
      <c r="B243" s="1" t="s">
        <v>337</v>
      </c>
      <c r="C243" s="2">
        <v>17084</v>
      </c>
      <c r="D243" s="1" t="s">
        <v>6</v>
      </c>
      <c r="E243" s="1">
        <f>MONTH(ubezpieczenia3[[#This Row],[Data_urodz]])</f>
        <v>10</v>
      </c>
      <c r="F243" s="1">
        <f t="shared" si="3"/>
        <v>242</v>
      </c>
    </row>
    <row r="244" spans="1:6" x14ac:dyDescent="0.25">
      <c r="A244" s="1" t="s">
        <v>338</v>
      </c>
      <c r="B244" s="1" t="s">
        <v>8</v>
      </c>
      <c r="C244" s="2">
        <v>30481</v>
      </c>
      <c r="D244" s="1" t="s">
        <v>12</v>
      </c>
      <c r="E244" s="1">
        <f>MONTH(ubezpieczenia3[[#This Row],[Data_urodz]])</f>
        <v>6</v>
      </c>
      <c r="F244" s="1">
        <f t="shared" si="3"/>
        <v>243</v>
      </c>
    </row>
    <row r="245" spans="1:6" x14ac:dyDescent="0.25">
      <c r="A245" s="1" t="s">
        <v>339</v>
      </c>
      <c r="B245" s="1" t="s">
        <v>20</v>
      </c>
      <c r="C245" s="2">
        <v>20651</v>
      </c>
      <c r="D245" s="1" t="s">
        <v>12</v>
      </c>
      <c r="E245" s="1">
        <f>MONTH(ubezpieczenia3[[#This Row],[Data_urodz]])</f>
        <v>7</v>
      </c>
      <c r="F245" s="1">
        <f t="shared" si="3"/>
        <v>244</v>
      </c>
    </row>
    <row r="246" spans="1:6" x14ac:dyDescent="0.25">
      <c r="A246" s="1" t="s">
        <v>340</v>
      </c>
      <c r="B246" s="1" t="s">
        <v>185</v>
      </c>
      <c r="C246" s="2">
        <v>32580</v>
      </c>
      <c r="D246" s="1" t="s">
        <v>12</v>
      </c>
      <c r="E246" s="1">
        <f>MONTH(ubezpieczenia3[[#This Row],[Data_urodz]])</f>
        <v>3</v>
      </c>
      <c r="F246" s="1">
        <f t="shared" si="3"/>
        <v>245</v>
      </c>
    </row>
    <row r="247" spans="1:6" x14ac:dyDescent="0.25">
      <c r="A247" s="1" t="s">
        <v>341</v>
      </c>
      <c r="B247" s="1" t="s">
        <v>139</v>
      </c>
      <c r="C247" s="2">
        <v>18233</v>
      </c>
      <c r="D247" s="1" t="s">
        <v>12</v>
      </c>
      <c r="E247" s="1">
        <f>MONTH(ubezpieczenia3[[#This Row],[Data_urodz]])</f>
        <v>12</v>
      </c>
      <c r="F247" s="1">
        <f t="shared" si="3"/>
        <v>246</v>
      </c>
    </row>
    <row r="248" spans="1:6" x14ac:dyDescent="0.25">
      <c r="A248" s="1" t="s">
        <v>342</v>
      </c>
      <c r="B248" s="1" t="s">
        <v>177</v>
      </c>
      <c r="C248" s="2">
        <v>24225</v>
      </c>
      <c r="D248" s="1" t="s">
        <v>6</v>
      </c>
      <c r="E248" s="1">
        <f>MONTH(ubezpieczenia3[[#This Row],[Data_urodz]])</f>
        <v>4</v>
      </c>
      <c r="F248" s="1">
        <f t="shared" si="3"/>
        <v>247</v>
      </c>
    </row>
    <row r="249" spans="1:6" x14ac:dyDescent="0.25">
      <c r="A249" s="1" t="s">
        <v>343</v>
      </c>
      <c r="B249" s="1" t="s">
        <v>45</v>
      </c>
      <c r="C249" s="2">
        <v>27299</v>
      </c>
      <c r="D249" s="1" t="s">
        <v>6</v>
      </c>
      <c r="E249" s="1">
        <f>MONTH(ubezpieczenia3[[#This Row],[Data_urodz]])</f>
        <v>9</v>
      </c>
      <c r="F249" s="1">
        <f t="shared" si="3"/>
        <v>248</v>
      </c>
    </row>
    <row r="250" spans="1:6" x14ac:dyDescent="0.25">
      <c r="A250" s="1" t="s">
        <v>344</v>
      </c>
      <c r="B250" s="1" t="s">
        <v>345</v>
      </c>
      <c r="C250" s="2">
        <v>18398</v>
      </c>
      <c r="D250" s="1" t="s">
        <v>12</v>
      </c>
      <c r="E250" s="1">
        <f>MONTH(ubezpieczenia3[[#This Row],[Data_urodz]])</f>
        <v>5</v>
      </c>
      <c r="F250" s="1">
        <f t="shared" si="3"/>
        <v>249</v>
      </c>
    </row>
    <row r="251" spans="1:6" x14ac:dyDescent="0.25">
      <c r="A251" s="1" t="s">
        <v>329</v>
      </c>
      <c r="B251" s="1" t="s">
        <v>194</v>
      </c>
      <c r="C251" s="2">
        <v>34400</v>
      </c>
      <c r="D251" s="1" t="s">
        <v>12</v>
      </c>
      <c r="E251" s="1">
        <f>MONTH(ubezpieczenia3[[#This Row],[Data_urodz]])</f>
        <v>3</v>
      </c>
      <c r="F251" s="1">
        <f t="shared" si="3"/>
        <v>250</v>
      </c>
    </row>
    <row r="252" spans="1:6" x14ac:dyDescent="0.25">
      <c r="A252" s="1" t="s">
        <v>51</v>
      </c>
      <c r="B252" s="1" t="s">
        <v>346</v>
      </c>
      <c r="C252" s="2">
        <v>21513</v>
      </c>
      <c r="D252" s="1" t="s">
        <v>12</v>
      </c>
      <c r="E252" s="1">
        <f>MONTH(ubezpieczenia3[[#This Row],[Data_urodz]])</f>
        <v>11</v>
      </c>
      <c r="F252" s="1">
        <f t="shared" si="3"/>
        <v>251</v>
      </c>
    </row>
    <row r="253" spans="1:6" x14ac:dyDescent="0.25">
      <c r="A253" s="1" t="s">
        <v>347</v>
      </c>
      <c r="B253" s="1" t="s">
        <v>236</v>
      </c>
      <c r="C253" s="2">
        <v>31749</v>
      </c>
      <c r="D253" s="1" t="s">
        <v>6</v>
      </c>
      <c r="E253" s="1">
        <f>MONTH(ubezpieczenia3[[#This Row],[Data_urodz]])</f>
        <v>12</v>
      </c>
      <c r="F253" s="1">
        <f t="shared" si="3"/>
        <v>252</v>
      </c>
    </row>
    <row r="254" spans="1:6" x14ac:dyDescent="0.25">
      <c r="A254" s="1" t="s">
        <v>348</v>
      </c>
      <c r="B254" s="1" t="s">
        <v>5</v>
      </c>
      <c r="C254" s="2">
        <v>34235</v>
      </c>
      <c r="D254" s="1" t="s">
        <v>6</v>
      </c>
      <c r="E254" s="1">
        <f>MONTH(ubezpieczenia3[[#This Row],[Data_urodz]])</f>
        <v>9</v>
      </c>
      <c r="F254" s="1">
        <f t="shared" si="3"/>
        <v>253</v>
      </c>
    </row>
    <row r="255" spans="1:6" x14ac:dyDescent="0.25">
      <c r="A255" s="1" t="s">
        <v>349</v>
      </c>
      <c r="B255" s="1" t="s">
        <v>131</v>
      </c>
      <c r="C255" s="2">
        <v>19183</v>
      </c>
      <c r="D255" s="1" t="s">
        <v>9</v>
      </c>
      <c r="E255" s="1">
        <f>MONTH(ubezpieczenia3[[#This Row],[Data_urodz]])</f>
        <v>7</v>
      </c>
      <c r="F255" s="1">
        <f t="shared" si="3"/>
        <v>254</v>
      </c>
    </row>
    <row r="256" spans="1:6" x14ac:dyDescent="0.25">
      <c r="A256" s="1" t="s">
        <v>350</v>
      </c>
      <c r="B256" s="1" t="s">
        <v>8</v>
      </c>
      <c r="C256" s="2">
        <v>27424</v>
      </c>
      <c r="D256" s="1" t="s">
        <v>12</v>
      </c>
      <c r="E256" s="1">
        <f>MONTH(ubezpieczenia3[[#This Row],[Data_urodz]])</f>
        <v>1</v>
      </c>
      <c r="F256" s="1">
        <f t="shared" si="3"/>
        <v>255</v>
      </c>
    </row>
    <row r="257" spans="1:6" x14ac:dyDescent="0.25">
      <c r="A257" s="1" t="s">
        <v>351</v>
      </c>
      <c r="B257" s="1" t="s">
        <v>152</v>
      </c>
      <c r="C257" s="2">
        <v>23665</v>
      </c>
      <c r="D257" s="1" t="s">
        <v>12</v>
      </c>
      <c r="E257" s="1">
        <f>MONTH(ubezpieczenia3[[#This Row],[Data_urodz]])</f>
        <v>10</v>
      </c>
      <c r="F257" s="1">
        <f t="shared" si="3"/>
        <v>256</v>
      </c>
    </row>
    <row r="258" spans="1:6" x14ac:dyDescent="0.25">
      <c r="A258" s="1" t="s">
        <v>352</v>
      </c>
      <c r="B258" s="1" t="s">
        <v>11</v>
      </c>
      <c r="C258" s="2">
        <v>17649</v>
      </c>
      <c r="D258" s="1" t="s">
        <v>6</v>
      </c>
      <c r="E258" s="1">
        <f>MONTH(ubezpieczenia3[[#This Row],[Data_urodz]])</f>
        <v>4</v>
      </c>
      <c r="F258" s="1">
        <f t="shared" si="3"/>
        <v>257</v>
      </c>
    </row>
    <row r="259" spans="1:6" x14ac:dyDescent="0.25">
      <c r="A259" s="1" t="s">
        <v>353</v>
      </c>
      <c r="B259" s="1" t="s">
        <v>354</v>
      </c>
      <c r="C259" s="2">
        <v>25530</v>
      </c>
      <c r="D259" s="1" t="s">
        <v>6</v>
      </c>
      <c r="E259" s="1">
        <f>MONTH(ubezpieczenia3[[#This Row],[Data_urodz]])</f>
        <v>11</v>
      </c>
      <c r="F259" s="1">
        <f t="shared" si="3"/>
        <v>258</v>
      </c>
    </row>
    <row r="260" spans="1:6" x14ac:dyDescent="0.25">
      <c r="A260" s="1" t="s">
        <v>355</v>
      </c>
      <c r="B260" s="1" t="s">
        <v>356</v>
      </c>
      <c r="C260" s="2">
        <v>34758</v>
      </c>
      <c r="D260" s="1" t="s">
        <v>9</v>
      </c>
      <c r="E260" s="1">
        <f>MONTH(ubezpieczenia3[[#This Row],[Data_urodz]])</f>
        <v>2</v>
      </c>
      <c r="F260" s="1">
        <f t="shared" ref="F260:F323" si="4">F259+1</f>
        <v>259</v>
      </c>
    </row>
    <row r="261" spans="1:6" x14ac:dyDescent="0.25">
      <c r="A261" s="1" t="s">
        <v>19</v>
      </c>
      <c r="B261" s="1" t="s">
        <v>357</v>
      </c>
      <c r="C261" s="2">
        <v>17531</v>
      </c>
      <c r="D261" s="1" t="s">
        <v>12</v>
      </c>
      <c r="E261" s="1">
        <f>MONTH(ubezpieczenia3[[#This Row],[Data_urodz]])</f>
        <v>12</v>
      </c>
      <c r="F261" s="1">
        <f t="shared" si="4"/>
        <v>260</v>
      </c>
    </row>
    <row r="262" spans="1:6" x14ac:dyDescent="0.25">
      <c r="A262" s="1" t="s">
        <v>358</v>
      </c>
      <c r="B262" s="1" t="s">
        <v>8</v>
      </c>
      <c r="C262" s="2">
        <v>32482</v>
      </c>
      <c r="D262" s="1" t="s">
        <v>6</v>
      </c>
      <c r="E262" s="1">
        <f>MONTH(ubezpieczenia3[[#This Row],[Data_urodz]])</f>
        <v>12</v>
      </c>
      <c r="F262" s="1">
        <f t="shared" si="4"/>
        <v>261</v>
      </c>
    </row>
    <row r="263" spans="1:6" x14ac:dyDescent="0.25">
      <c r="A263" s="1" t="s">
        <v>359</v>
      </c>
      <c r="B263" s="1" t="s">
        <v>246</v>
      </c>
      <c r="C263" s="2">
        <v>34533</v>
      </c>
      <c r="D263" s="1" t="s">
        <v>12</v>
      </c>
      <c r="E263" s="1">
        <f>MONTH(ubezpieczenia3[[#This Row],[Data_urodz]])</f>
        <v>7</v>
      </c>
      <c r="F263" s="1">
        <f t="shared" si="4"/>
        <v>262</v>
      </c>
    </row>
    <row r="264" spans="1:6" x14ac:dyDescent="0.25">
      <c r="A264" s="1" t="s">
        <v>308</v>
      </c>
      <c r="B264" s="1" t="s">
        <v>79</v>
      </c>
      <c r="C264" s="2">
        <v>28491</v>
      </c>
      <c r="D264" s="1" t="s">
        <v>12</v>
      </c>
      <c r="E264" s="1">
        <f>MONTH(ubezpieczenia3[[#This Row],[Data_urodz]])</f>
        <v>1</v>
      </c>
      <c r="F264" s="1">
        <f t="shared" si="4"/>
        <v>263</v>
      </c>
    </row>
    <row r="265" spans="1:6" x14ac:dyDescent="0.25">
      <c r="A265" s="1" t="s">
        <v>360</v>
      </c>
      <c r="B265" s="1" t="s">
        <v>361</v>
      </c>
      <c r="C265" s="2">
        <v>32689</v>
      </c>
      <c r="D265" s="1" t="s">
        <v>9</v>
      </c>
      <c r="E265" s="1">
        <f>MONTH(ubezpieczenia3[[#This Row],[Data_urodz]])</f>
        <v>6</v>
      </c>
      <c r="F265" s="1">
        <f t="shared" si="4"/>
        <v>264</v>
      </c>
    </row>
    <row r="266" spans="1:6" x14ac:dyDescent="0.25">
      <c r="A266" s="1" t="s">
        <v>162</v>
      </c>
      <c r="B266" s="1" t="s">
        <v>362</v>
      </c>
      <c r="C266" s="2">
        <v>27112</v>
      </c>
      <c r="D266" s="1" t="s">
        <v>6</v>
      </c>
      <c r="E266" s="1">
        <f>MONTH(ubezpieczenia3[[#This Row],[Data_urodz]])</f>
        <v>3</v>
      </c>
      <c r="F266" s="1">
        <f t="shared" si="4"/>
        <v>265</v>
      </c>
    </row>
    <row r="267" spans="1:6" x14ac:dyDescent="0.25">
      <c r="A267" s="1" t="s">
        <v>363</v>
      </c>
      <c r="B267" s="1" t="s">
        <v>16</v>
      </c>
      <c r="C267" s="2">
        <v>29259</v>
      </c>
      <c r="D267" s="1" t="s">
        <v>12</v>
      </c>
      <c r="E267" s="1">
        <f>MONTH(ubezpieczenia3[[#This Row],[Data_urodz]])</f>
        <v>2</v>
      </c>
      <c r="F267" s="1">
        <f t="shared" si="4"/>
        <v>266</v>
      </c>
    </row>
    <row r="268" spans="1:6" x14ac:dyDescent="0.25">
      <c r="A268" s="1" t="s">
        <v>83</v>
      </c>
      <c r="B268" s="1" t="s">
        <v>123</v>
      </c>
      <c r="C268" s="2">
        <v>18437</v>
      </c>
      <c r="D268" s="1" t="s">
        <v>6</v>
      </c>
      <c r="E268" s="1">
        <f>MONTH(ubezpieczenia3[[#This Row],[Data_urodz]])</f>
        <v>6</v>
      </c>
      <c r="F268" s="1">
        <f t="shared" si="4"/>
        <v>267</v>
      </c>
    </row>
    <row r="269" spans="1:6" x14ac:dyDescent="0.25">
      <c r="A269" s="1" t="s">
        <v>364</v>
      </c>
      <c r="B269" s="1" t="s">
        <v>194</v>
      </c>
      <c r="C269" s="2">
        <v>34406</v>
      </c>
      <c r="D269" s="1" t="s">
        <v>12</v>
      </c>
      <c r="E269" s="1">
        <f>MONTH(ubezpieczenia3[[#This Row],[Data_urodz]])</f>
        <v>3</v>
      </c>
      <c r="F269" s="1">
        <f t="shared" si="4"/>
        <v>268</v>
      </c>
    </row>
    <row r="270" spans="1:6" x14ac:dyDescent="0.25">
      <c r="A270" s="1" t="s">
        <v>365</v>
      </c>
      <c r="B270" s="1" t="s">
        <v>366</v>
      </c>
      <c r="C270" s="2">
        <v>26689</v>
      </c>
      <c r="D270" s="1" t="s">
        <v>12</v>
      </c>
      <c r="E270" s="1">
        <f>MONTH(ubezpieczenia3[[#This Row],[Data_urodz]])</f>
        <v>1</v>
      </c>
      <c r="F270" s="1">
        <f t="shared" si="4"/>
        <v>269</v>
      </c>
    </row>
    <row r="271" spans="1:6" x14ac:dyDescent="0.25">
      <c r="A271" s="1" t="s">
        <v>174</v>
      </c>
      <c r="B271" s="1" t="s">
        <v>52</v>
      </c>
      <c r="C271" s="2">
        <v>24391</v>
      </c>
      <c r="D271" s="1" t="s">
        <v>6</v>
      </c>
      <c r="E271" s="1">
        <f>MONTH(ubezpieczenia3[[#This Row],[Data_urodz]])</f>
        <v>10</v>
      </c>
      <c r="F271" s="1">
        <f t="shared" si="4"/>
        <v>270</v>
      </c>
    </row>
    <row r="272" spans="1:6" x14ac:dyDescent="0.25">
      <c r="A272" s="1" t="s">
        <v>367</v>
      </c>
      <c r="B272" s="1" t="s">
        <v>368</v>
      </c>
      <c r="C272" s="2">
        <v>22010</v>
      </c>
      <c r="D272" s="1" t="s">
        <v>12</v>
      </c>
      <c r="E272" s="1">
        <f>MONTH(ubezpieczenia3[[#This Row],[Data_urodz]])</f>
        <v>4</v>
      </c>
      <c r="F272" s="1">
        <f t="shared" si="4"/>
        <v>271</v>
      </c>
    </row>
    <row r="273" spans="1:6" x14ac:dyDescent="0.25">
      <c r="A273" s="1" t="s">
        <v>369</v>
      </c>
      <c r="B273" s="1" t="s">
        <v>332</v>
      </c>
      <c r="C273" s="2">
        <v>17207</v>
      </c>
      <c r="D273" s="1" t="s">
        <v>9</v>
      </c>
      <c r="E273" s="1">
        <f>MONTH(ubezpieczenia3[[#This Row],[Data_urodz]])</f>
        <v>2</v>
      </c>
      <c r="F273" s="1">
        <f t="shared" si="4"/>
        <v>272</v>
      </c>
    </row>
    <row r="274" spans="1:6" x14ac:dyDescent="0.25">
      <c r="A274" s="1" t="s">
        <v>370</v>
      </c>
      <c r="B274" s="1" t="s">
        <v>160</v>
      </c>
      <c r="C274" s="2">
        <v>22547</v>
      </c>
      <c r="D274" s="1" t="s">
        <v>6</v>
      </c>
      <c r="E274" s="1">
        <f>MONTH(ubezpieczenia3[[#This Row],[Data_urodz]])</f>
        <v>9</v>
      </c>
      <c r="F274" s="1">
        <f t="shared" si="4"/>
        <v>273</v>
      </c>
    </row>
    <row r="275" spans="1:6" x14ac:dyDescent="0.25">
      <c r="A275" s="1" t="s">
        <v>371</v>
      </c>
      <c r="B275" s="1" t="s">
        <v>372</v>
      </c>
      <c r="C275" s="2">
        <v>20722</v>
      </c>
      <c r="D275" s="1" t="s">
        <v>12</v>
      </c>
      <c r="E275" s="1">
        <f>MONTH(ubezpieczenia3[[#This Row],[Data_urodz]])</f>
        <v>9</v>
      </c>
      <c r="F275" s="1">
        <f t="shared" si="4"/>
        <v>274</v>
      </c>
    </row>
    <row r="276" spans="1:6" x14ac:dyDescent="0.25">
      <c r="A276" s="1" t="s">
        <v>373</v>
      </c>
      <c r="B276" s="1" t="s">
        <v>29</v>
      </c>
      <c r="C276" s="2">
        <v>24900</v>
      </c>
      <c r="D276" s="1" t="s">
        <v>12</v>
      </c>
      <c r="E276" s="1">
        <f>MONTH(ubezpieczenia3[[#This Row],[Data_urodz]])</f>
        <v>3</v>
      </c>
      <c r="F276" s="1">
        <f t="shared" si="4"/>
        <v>275</v>
      </c>
    </row>
    <row r="277" spans="1:6" x14ac:dyDescent="0.25">
      <c r="A277" s="1" t="s">
        <v>374</v>
      </c>
      <c r="B277" s="1" t="s">
        <v>37</v>
      </c>
      <c r="C277" s="2">
        <v>20808</v>
      </c>
      <c r="D277" s="1" t="s">
        <v>12</v>
      </c>
      <c r="E277" s="1">
        <f>MONTH(ubezpieczenia3[[#This Row],[Data_urodz]])</f>
        <v>12</v>
      </c>
      <c r="F277" s="1">
        <f t="shared" si="4"/>
        <v>276</v>
      </c>
    </row>
    <row r="278" spans="1:6" x14ac:dyDescent="0.25">
      <c r="A278" s="1" t="s">
        <v>375</v>
      </c>
      <c r="B278" s="1" t="s">
        <v>131</v>
      </c>
      <c r="C278" s="2">
        <v>30235</v>
      </c>
      <c r="D278" s="1" t="s">
        <v>12</v>
      </c>
      <c r="E278" s="1">
        <f>MONTH(ubezpieczenia3[[#This Row],[Data_urodz]])</f>
        <v>10</v>
      </c>
      <c r="F278" s="1">
        <f t="shared" si="4"/>
        <v>277</v>
      </c>
    </row>
    <row r="279" spans="1:6" x14ac:dyDescent="0.25">
      <c r="A279" s="1" t="s">
        <v>376</v>
      </c>
      <c r="B279" s="1" t="s">
        <v>257</v>
      </c>
      <c r="C279" s="2">
        <v>21221</v>
      </c>
      <c r="D279" s="1" t="s">
        <v>9</v>
      </c>
      <c r="E279" s="1">
        <f>MONTH(ubezpieczenia3[[#This Row],[Data_urodz]])</f>
        <v>2</v>
      </c>
      <c r="F279" s="1">
        <f t="shared" si="4"/>
        <v>278</v>
      </c>
    </row>
    <row r="280" spans="1:6" x14ac:dyDescent="0.25">
      <c r="A280" s="1" t="s">
        <v>377</v>
      </c>
      <c r="B280" s="1" t="s">
        <v>45</v>
      </c>
      <c r="C280" s="2">
        <v>20193</v>
      </c>
      <c r="D280" s="1" t="s">
        <v>6</v>
      </c>
      <c r="E280" s="1">
        <f>MONTH(ubezpieczenia3[[#This Row],[Data_urodz]])</f>
        <v>4</v>
      </c>
      <c r="F280" s="1">
        <f t="shared" si="4"/>
        <v>279</v>
      </c>
    </row>
    <row r="281" spans="1:6" x14ac:dyDescent="0.25">
      <c r="A281" s="1" t="s">
        <v>378</v>
      </c>
      <c r="B281" s="1" t="s">
        <v>141</v>
      </c>
      <c r="C281" s="2">
        <v>17137</v>
      </c>
      <c r="D281" s="1" t="s">
        <v>6</v>
      </c>
      <c r="E281" s="1">
        <f>MONTH(ubezpieczenia3[[#This Row],[Data_urodz]])</f>
        <v>12</v>
      </c>
      <c r="F281" s="1">
        <f t="shared" si="4"/>
        <v>280</v>
      </c>
    </row>
    <row r="282" spans="1:6" x14ac:dyDescent="0.25">
      <c r="A282" s="1" t="s">
        <v>379</v>
      </c>
      <c r="B282" s="1" t="s">
        <v>49</v>
      </c>
      <c r="C282" s="2">
        <v>32802</v>
      </c>
      <c r="D282" s="1" t="s">
        <v>6</v>
      </c>
      <c r="E282" s="1">
        <f>MONTH(ubezpieczenia3[[#This Row],[Data_urodz]])</f>
        <v>10</v>
      </c>
      <c r="F282" s="1">
        <f t="shared" si="4"/>
        <v>281</v>
      </c>
    </row>
    <row r="283" spans="1:6" x14ac:dyDescent="0.25">
      <c r="A283" s="1" t="s">
        <v>240</v>
      </c>
      <c r="B283" s="1" t="s">
        <v>20</v>
      </c>
      <c r="C283" s="2">
        <v>25839</v>
      </c>
      <c r="D283" s="1" t="s">
        <v>12</v>
      </c>
      <c r="E283" s="1">
        <f>MONTH(ubezpieczenia3[[#This Row],[Data_urodz]])</f>
        <v>9</v>
      </c>
      <c r="F283" s="1">
        <f t="shared" si="4"/>
        <v>282</v>
      </c>
    </row>
    <row r="284" spans="1:6" x14ac:dyDescent="0.25">
      <c r="A284" s="1" t="s">
        <v>275</v>
      </c>
      <c r="B284" s="1" t="s">
        <v>380</v>
      </c>
      <c r="C284" s="2">
        <v>32028</v>
      </c>
      <c r="D284" s="1" t="s">
        <v>12</v>
      </c>
      <c r="E284" s="1">
        <f>MONTH(ubezpieczenia3[[#This Row],[Data_urodz]])</f>
        <v>9</v>
      </c>
      <c r="F284" s="1">
        <f t="shared" si="4"/>
        <v>283</v>
      </c>
    </row>
    <row r="285" spans="1:6" x14ac:dyDescent="0.25">
      <c r="A285" s="1" t="s">
        <v>317</v>
      </c>
      <c r="B285" s="1" t="s">
        <v>192</v>
      </c>
      <c r="C285" s="2">
        <v>31556</v>
      </c>
      <c r="D285" s="1" t="s">
        <v>6</v>
      </c>
      <c r="E285" s="1">
        <f>MONTH(ubezpieczenia3[[#This Row],[Data_urodz]])</f>
        <v>5</v>
      </c>
      <c r="F285" s="1">
        <f t="shared" si="4"/>
        <v>284</v>
      </c>
    </row>
    <row r="286" spans="1:6" x14ac:dyDescent="0.25">
      <c r="A286" s="1" t="s">
        <v>381</v>
      </c>
      <c r="B286" s="1" t="s">
        <v>54</v>
      </c>
      <c r="C286" s="2">
        <v>19153</v>
      </c>
      <c r="D286" s="1" t="s">
        <v>6</v>
      </c>
      <c r="E286" s="1">
        <f>MONTH(ubezpieczenia3[[#This Row],[Data_urodz]])</f>
        <v>6</v>
      </c>
      <c r="F286" s="1">
        <f t="shared" si="4"/>
        <v>285</v>
      </c>
    </row>
    <row r="287" spans="1:6" x14ac:dyDescent="0.25">
      <c r="A287" s="1" t="s">
        <v>382</v>
      </c>
      <c r="B287" s="1" t="s">
        <v>383</v>
      </c>
      <c r="C287" s="2">
        <v>21934</v>
      </c>
      <c r="D287" s="1" t="s">
        <v>6</v>
      </c>
      <c r="E287" s="1">
        <f>MONTH(ubezpieczenia3[[#This Row],[Data_urodz]])</f>
        <v>1</v>
      </c>
      <c r="F287" s="1">
        <f t="shared" si="4"/>
        <v>286</v>
      </c>
    </row>
    <row r="288" spans="1:6" x14ac:dyDescent="0.25">
      <c r="A288" s="1" t="s">
        <v>384</v>
      </c>
      <c r="B288" s="1" t="s">
        <v>361</v>
      </c>
      <c r="C288" s="2">
        <v>28187</v>
      </c>
      <c r="D288" s="1" t="s">
        <v>12</v>
      </c>
      <c r="E288" s="1">
        <f>MONTH(ubezpieczenia3[[#This Row],[Data_urodz]])</f>
        <v>3</v>
      </c>
      <c r="F288" s="1">
        <f t="shared" si="4"/>
        <v>287</v>
      </c>
    </row>
    <row r="289" spans="1:6" x14ac:dyDescent="0.25">
      <c r="A289" s="1" t="s">
        <v>385</v>
      </c>
      <c r="B289" s="1" t="s">
        <v>252</v>
      </c>
      <c r="C289" s="2">
        <v>34291</v>
      </c>
      <c r="D289" s="1" t="s">
        <v>12</v>
      </c>
      <c r="E289" s="1">
        <f>MONTH(ubezpieczenia3[[#This Row],[Data_urodz]])</f>
        <v>11</v>
      </c>
      <c r="F289" s="1">
        <f t="shared" si="4"/>
        <v>288</v>
      </c>
    </row>
    <row r="290" spans="1:6" x14ac:dyDescent="0.25">
      <c r="A290" s="1" t="s">
        <v>386</v>
      </c>
      <c r="B290" s="1" t="s">
        <v>107</v>
      </c>
      <c r="C290" s="2">
        <v>24652</v>
      </c>
      <c r="D290" s="1" t="s">
        <v>6</v>
      </c>
      <c r="E290" s="1">
        <f>MONTH(ubezpieczenia3[[#This Row],[Data_urodz]])</f>
        <v>6</v>
      </c>
      <c r="F290" s="1">
        <f t="shared" si="4"/>
        <v>289</v>
      </c>
    </row>
    <row r="291" spans="1:6" x14ac:dyDescent="0.25">
      <c r="A291" s="1" t="s">
        <v>387</v>
      </c>
      <c r="B291" s="1" t="s">
        <v>121</v>
      </c>
      <c r="C291" s="2">
        <v>18010</v>
      </c>
      <c r="D291" s="1" t="s">
        <v>6</v>
      </c>
      <c r="E291" s="1">
        <f>MONTH(ubezpieczenia3[[#This Row],[Data_urodz]])</f>
        <v>4</v>
      </c>
      <c r="F291" s="1">
        <f t="shared" si="4"/>
        <v>290</v>
      </c>
    </row>
    <row r="292" spans="1:6" x14ac:dyDescent="0.25">
      <c r="A292" s="1" t="s">
        <v>388</v>
      </c>
      <c r="B292" s="1" t="s">
        <v>368</v>
      </c>
      <c r="C292" s="2">
        <v>26506</v>
      </c>
      <c r="D292" s="1" t="s">
        <v>40</v>
      </c>
      <c r="E292" s="1">
        <f>MONTH(ubezpieczenia3[[#This Row],[Data_urodz]])</f>
        <v>7</v>
      </c>
      <c r="F292" s="1">
        <f t="shared" si="4"/>
        <v>291</v>
      </c>
    </row>
    <row r="293" spans="1:6" x14ac:dyDescent="0.25">
      <c r="A293" s="1" t="s">
        <v>389</v>
      </c>
      <c r="B293" s="1" t="s">
        <v>160</v>
      </c>
      <c r="C293" s="2">
        <v>30368</v>
      </c>
      <c r="D293" s="1" t="s">
        <v>40</v>
      </c>
      <c r="E293" s="1">
        <f>MONTH(ubezpieczenia3[[#This Row],[Data_urodz]])</f>
        <v>2</v>
      </c>
      <c r="F293" s="1">
        <f t="shared" si="4"/>
        <v>292</v>
      </c>
    </row>
    <row r="294" spans="1:6" x14ac:dyDescent="0.25">
      <c r="A294" s="1" t="s">
        <v>162</v>
      </c>
      <c r="B294" s="1" t="s">
        <v>54</v>
      </c>
      <c r="C294" s="2">
        <v>16991</v>
      </c>
      <c r="D294" s="1" t="s">
        <v>12</v>
      </c>
      <c r="E294" s="1">
        <f>MONTH(ubezpieczenia3[[#This Row],[Data_urodz]])</f>
        <v>7</v>
      </c>
      <c r="F294" s="1">
        <f t="shared" si="4"/>
        <v>293</v>
      </c>
    </row>
    <row r="295" spans="1:6" x14ac:dyDescent="0.25">
      <c r="A295" s="1" t="s">
        <v>390</v>
      </c>
      <c r="B295" s="1" t="s">
        <v>152</v>
      </c>
      <c r="C295" s="2">
        <v>23950</v>
      </c>
      <c r="D295" s="1" t="s">
        <v>12</v>
      </c>
      <c r="E295" s="1">
        <f>MONTH(ubezpieczenia3[[#This Row],[Data_urodz]])</f>
        <v>7</v>
      </c>
      <c r="F295" s="1">
        <f t="shared" si="4"/>
        <v>294</v>
      </c>
    </row>
    <row r="296" spans="1:6" x14ac:dyDescent="0.25">
      <c r="A296" s="1" t="s">
        <v>391</v>
      </c>
      <c r="B296" s="1" t="s">
        <v>47</v>
      </c>
      <c r="C296" s="2">
        <v>26871</v>
      </c>
      <c r="D296" s="1" t="s">
        <v>12</v>
      </c>
      <c r="E296" s="1">
        <f>MONTH(ubezpieczenia3[[#This Row],[Data_urodz]])</f>
        <v>7</v>
      </c>
      <c r="F296" s="1">
        <f t="shared" si="4"/>
        <v>295</v>
      </c>
    </row>
    <row r="297" spans="1:6" x14ac:dyDescent="0.25">
      <c r="A297" s="1" t="s">
        <v>392</v>
      </c>
      <c r="B297" s="1" t="s">
        <v>260</v>
      </c>
      <c r="C297" s="2">
        <v>17268</v>
      </c>
      <c r="D297" s="1" t="s">
        <v>40</v>
      </c>
      <c r="E297" s="1">
        <f>MONTH(ubezpieczenia3[[#This Row],[Data_urodz]])</f>
        <v>4</v>
      </c>
      <c r="F297" s="1">
        <f t="shared" si="4"/>
        <v>296</v>
      </c>
    </row>
    <row r="298" spans="1:6" x14ac:dyDescent="0.25">
      <c r="A298" s="1" t="s">
        <v>393</v>
      </c>
      <c r="B298" s="1" t="s">
        <v>394</v>
      </c>
      <c r="C298" s="2">
        <v>31612</v>
      </c>
      <c r="D298" s="1" t="s">
        <v>6</v>
      </c>
      <c r="E298" s="1">
        <f>MONTH(ubezpieczenia3[[#This Row],[Data_urodz]])</f>
        <v>7</v>
      </c>
      <c r="F298" s="1">
        <f t="shared" si="4"/>
        <v>297</v>
      </c>
    </row>
    <row r="299" spans="1:6" x14ac:dyDescent="0.25">
      <c r="A299" s="1" t="s">
        <v>395</v>
      </c>
      <c r="B299" s="1" t="s">
        <v>131</v>
      </c>
      <c r="C299" s="2">
        <v>21264</v>
      </c>
      <c r="D299" s="1" t="s">
        <v>12</v>
      </c>
      <c r="E299" s="1">
        <f>MONTH(ubezpieczenia3[[#This Row],[Data_urodz]])</f>
        <v>3</v>
      </c>
      <c r="F299" s="1">
        <f t="shared" si="4"/>
        <v>298</v>
      </c>
    </row>
    <row r="300" spans="1:6" x14ac:dyDescent="0.25">
      <c r="A300" s="1" t="s">
        <v>396</v>
      </c>
      <c r="B300" s="1" t="s">
        <v>236</v>
      </c>
      <c r="C300" s="2">
        <v>29622</v>
      </c>
      <c r="D300" s="1" t="s">
        <v>40</v>
      </c>
      <c r="E300" s="1">
        <f>MONTH(ubezpieczenia3[[#This Row],[Data_urodz]])</f>
        <v>2</v>
      </c>
      <c r="F300" s="1">
        <f t="shared" si="4"/>
        <v>299</v>
      </c>
    </row>
    <row r="301" spans="1:6" x14ac:dyDescent="0.25">
      <c r="A301" s="1" t="s">
        <v>162</v>
      </c>
      <c r="B301" s="1" t="s">
        <v>20</v>
      </c>
      <c r="C301" s="2">
        <v>30875</v>
      </c>
      <c r="D301" s="1" t="s">
        <v>6</v>
      </c>
      <c r="E301" s="1">
        <f>MONTH(ubezpieczenia3[[#This Row],[Data_urodz]])</f>
        <v>7</v>
      </c>
      <c r="F301" s="1">
        <f t="shared" si="4"/>
        <v>300</v>
      </c>
    </row>
    <row r="302" spans="1:6" x14ac:dyDescent="0.25">
      <c r="A302" s="1" t="s">
        <v>397</v>
      </c>
      <c r="B302" s="1" t="s">
        <v>107</v>
      </c>
      <c r="C302" s="2">
        <v>31924</v>
      </c>
      <c r="D302" s="1" t="s">
        <v>12</v>
      </c>
      <c r="E302" s="1">
        <f>MONTH(ubezpieczenia3[[#This Row],[Data_urodz]])</f>
        <v>5</v>
      </c>
      <c r="F302" s="1">
        <f t="shared" si="4"/>
        <v>301</v>
      </c>
    </row>
    <row r="303" spans="1:6" x14ac:dyDescent="0.25">
      <c r="A303" s="1" t="s">
        <v>398</v>
      </c>
      <c r="B303" s="1" t="s">
        <v>399</v>
      </c>
      <c r="C303" s="2">
        <v>23384</v>
      </c>
      <c r="D303" s="1" t="s">
        <v>12</v>
      </c>
      <c r="E303" s="1">
        <f>MONTH(ubezpieczenia3[[#This Row],[Data_urodz]])</f>
        <v>1</v>
      </c>
      <c r="F303" s="1">
        <f t="shared" si="4"/>
        <v>302</v>
      </c>
    </row>
    <row r="304" spans="1:6" x14ac:dyDescent="0.25">
      <c r="A304" s="1" t="s">
        <v>400</v>
      </c>
      <c r="B304" s="1" t="s">
        <v>401</v>
      </c>
      <c r="C304" s="2">
        <v>32097</v>
      </c>
      <c r="D304" s="1" t="s">
        <v>6</v>
      </c>
      <c r="E304" s="1">
        <f>MONTH(ubezpieczenia3[[#This Row],[Data_urodz]])</f>
        <v>11</v>
      </c>
      <c r="F304" s="1">
        <f t="shared" si="4"/>
        <v>303</v>
      </c>
    </row>
    <row r="305" spans="1:6" x14ac:dyDescent="0.25">
      <c r="A305" s="1" t="s">
        <v>402</v>
      </c>
      <c r="B305" s="1" t="s">
        <v>403</v>
      </c>
      <c r="C305" s="2">
        <v>22555</v>
      </c>
      <c r="D305" s="1" t="s">
        <v>40</v>
      </c>
      <c r="E305" s="1">
        <f>MONTH(ubezpieczenia3[[#This Row],[Data_urodz]])</f>
        <v>10</v>
      </c>
      <c r="F305" s="1">
        <f t="shared" si="4"/>
        <v>304</v>
      </c>
    </row>
    <row r="306" spans="1:6" x14ac:dyDescent="0.25">
      <c r="A306" s="1" t="s">
        <v>317</v>
      </c>
      <c r="B306" s="1" t="s">
        <v>20</v>
      </c>
      <c r="C306" s="2">
        <v>22508</v>
      </c>
      <c r="D306" s="1" t="s">
        <v>12</v>
      </c>
      <c r="E306" s="1">
        <f>MONTH(ubezpieczenia3[[#This Row],[Data_urodz]])</f>
        <v>8</v>
      </c>
      <c r="F306" s="1">
        <f t="shared" si="4"/>
        <v>305</v>
      </c>
    </row>
    <row r="307" spans="1:6" x14ac:dyDescent="0.25">
      <c r="A307" s="1" t="s">
        <v>404</v>
      </c>
      <c r="B307" s="1" t="s">
        <v>72</v>
      </c>
      <c r="C307" s="2">
        <v>29510</v>
      </c>
      <c r="D307" s="1" t="s">
        <v>6</v>
      </c>
      <c r="E307" s="1">
        <f>MONTH(ubezpieczenia3[[#This Row],[Data_urodz]])</f>
        <v>10</v>
      </c>
      <c r="F307" s="1">
        <f t="shared" si="4"/>
        <v>306</v>
      </c>
    </row>
    <row r="308" spans="1:6" x14ac:dyDescent="0.25">
      <c r="A308" s="1" t="s">
        <v>405</v>
      </c>
      <c r="B308" s="1" t="s">
        <v>406</v>
      </c>
      <c r="C308" s="2">
        <v>22398</v>
      </c>
      <c r="D308" s="1" t="s">
        <v>12</v>
      </c>
      <c r="E308" s="1">
        <f>MONTH(ubezpieczenia3[[#This Row],[Data_urodz]])</f>
        <v>4</v>
      </c>
      <c r="F308" s="1">
        <f t="shared" si="4"/>
        <v>307</v>
      </c>
    </row>
    <row r="309" spans="1:6" x14ac:dyDescent="0.25">
      <c r="A309" s="1" t="s">
        <v>407</v>
      </c>
      <c r="B309" s="1" t="s">
        <v>20</v>
      </c>
      <c r="C309" s="2">
        <v>28394</v>
      </c>
      <c r="D309" s="1" t="s">
        <v>9</v>
      </c>
      <c r="E309" s="1">
        <f>MONTH(ubezpieczenia3[[#This Row],[Data_urodz]])</f>
        <v>9</v>
      </c>
      <c r="F309" s="1">
        <f t="shared" si="4"/>
        <v>308</v>
      </c>
    </row>
    <row r="310" spans="1:6" x14ac:dyDescent="0.25">
      <c r="A310" s="1" t="s">
        <v>408</v>
      </c>
      <c r="B310" s="1" t="s">
        <v>139</v>
      </c>
      <c r="C310" s="2">
        <v>16244</v>
      </c>
      <c r="D310" s="1" t="s">
        <v>6</v>
      </c>
      <c r="E310" s="1">
        <f>MONTH(ubezpieczenia3[[#This Row],[Data_urodz]])</f>
        <v>6</v>
      </c>
      <c r="F310" s="1">
        <f t="shared" si="4"/>
        <v>309</v>
      </c>
    </row>
    <row r="311" spans="1:6" x14ac:dyDescent="0.25">
      <c r="A311" s="1" t="s">
        <v>409</v>
      </c>
      <c r="B311" s="1" t="s">
        <v>167</v>
      </c>
      <c r="C311" s="2">
        <v>32836</v>
      </c>
      <c r="D311" s="1" t="s">
        <v>12</v>
      </c>
      <c r="E311" s="1">
        <f>MONTH(ubezpieczenia3[[#This Row],[Data_urodz]])</f>
        <v>11</v>
      </c>
      <c r="F311" s="1">
        <f t="shared" si="4"/>
        <v>310</v>
      </c>
    </row>
    <row r="312" spans="1:6" x14ac:dyDescent="0.25">
      <c r="A312" s="1" t="s">
        <v>410</v>
      </c>
      <c r="B312" s="1" t="s">
        <v>141</v>
      </c>
      <c r="C312" s="2">
        <v>23528</v>
      </c>
      <c r="D312" s="1" t="s">
        <v>6</v>
      </c>
      <c r="E312" s="1">
        <f>MONTH(ubezpieczenia3[[#This Row],[Data_urodz]])</f>
        <v>5</v>
      </c>
      <c r="F312" s="1">
        <f t="shared" si="4"/>
        <v>311</v>
      </c>
    </row>
    <row r="313" spans="1:6" x14ac:dyDescent="0.25">
      <c r="A313" s="1" t="s">
        <v>411</v>
      </c>
      <c r="B313" s="1" t="s">
        <v>412</v>
      </c>
      <c r="C313" s="2">
        <v>28489</v>
      </c>
      <c r="D313" s="1" t="s">
        <v>12</v>
      </c>
      <c r="E313" s="1">
        <f>MONTH(ubezpieczenia3[[#This Row],[Data_urodz]])</f>
        <v>12</v>
      </c>
      <c r="F313" s="1">
        <f t="shared" si="4"/>
        <v>312</v>
      </c>
    </row>
    <row r="314" spans="1:6" x14ac:dyDescent="0.25">
      <c r="A314" s="1" t="s">
        <v>413</v>
      </c>
      <c r="B314" s="1" t="s">
        <v>399</v>
      </c>
      <c r="C314" s="2">
        <v>20920</v>
      </c>
      <c r="D314" s="1" t="s">
        <v>12</v>
      </c>
      <c r="E314" s="1">
        <f>MONTH(ubezpieczenia3[[#This Row],[Data_urodz]])</f>
        <v>4</v>
      </c>
      <c r="F314" s="1">
        <f t="shared" si="4"/>
        <v>313</v>
      </c>
    </row>
    <row r="315" spans="1:6" x14ac:dyDescent="0.25">
      <c r="A315" s="1" t="s">
        <v>414</v>
      </c>
      <c r="B315" s="1" t="s">
        <v>11</v>
      </c>
      <c r="C315" s="2">
        <v>34164</v>
      </c>
      <c r="D315" s="1" t="s">
        <v>6</v>
      </c>
      <c r="E315" s="1">
        <f>MONTH(ubezpieczenia3[[#This Row],[Data_urodz]])</f>
        <v>7</v>
      </c>
      <c r="F315" s="1">
        <f t="shared" si="4"/>
        <v>314</v>
      </c>
    </row>
    <row r="316" spans="1:6" x14ac:dyDescent="0.25">
      <c r="A316" s="1" t="s">
        <v>415</v>
      </c>
      <c r="B316" s="1" t="s">
        <v>246</v>
      </c>
      <c r="C316" s="2">
        <v>32341</v>
      </c>
      <c r="D316" s="1" t="s">
        <v>6</v>
      </c>
      <c r="E316" s="1">
        <f>MONTH(ubezpieczenia3[[#This Row],[Data_urodz]])</f>
        <v>7</v>
      </c>
      <c r="F316" s="1">
        <f t="shared" si="4"/>
        <v>315</v>
      </c>
    </row>
    <row r="317" spans="1:6" x14ac:dyDescent="0.25">
      <c r="A317" s="1" t="s">
        <v>416</v>
      </c>
      <c r="B317" s="1" t="s">
        <v>194</v>
      </c>
      <c r="C317" s="2">
        <v>16640</v>
      </c>
      <c r="D317" s="1" t="s">
        <v>12</v>
      </c>
      <c r="E317" s="1">
        <f>MONTH(ubezpieczenia3[[#This Row],[Data_urodz]])</f>
        <v>7</v>
      </c>
      <c r="F317" s="1">
        <f t="shared" si="4"/>
        <v>316</v>
      </c>
    </row>
    <row r="318" spans="1:6" x14ac:dyDescent="0.25">
      <c r="A318" s="1" t="s">
        <v>417</v>
      </c>
      <c r="B318" s="1" t="s">
        <v>418</v>
      </c>
      <c r="C318" s="2">
        <v>28217</v>
      </c>
      <c r="D318" s="1" t="s">
        <v>12</v>
      </c>
      <c r="E318" s="1">
        <f>MONTH(ubezpieczenia3[[#This Row],[Data_urodz]])</f>
        <v>4</v>
      </c>
      <c r="F318" s="1">
        <f t="shared" si="4"/>
        <v>317</v>
      </c>
    </row>
    <row r="319" spans="1:6" x14ac:dyDescent="0.25">
      <c r="A319" s="1" t="s">
        <v>190</v>
      </c>
      <c r="B319" s="1" t="s">
        <v>419</v>
      </c>
      <c r="C319" s="2">
        <v>32646</v>
      </c>
      <c r="D319" s="1" t="s">
        <v>40</v>
      </c>
      <c r="E319" s="1">
        <f>MONTH(ubezpieczenia3[[#This Row],[Data_urodz]])</f>
        <v>5</v>
      </c>
      <c r="F319" s="1">
        <f t="shared" si="4"/>
        <v>318</v>
      </c>
    </row>
    <row r="320" spans="1:6" x14ac:dyDescent="0.25">
      <c r="A320" s="1" t="s">
        <v>420</v>
      </c>
      <c r="B320" s="1" t="s">
        <v>5</v>
      </c>
      <c r="C320" s="2">
        <v>28636</v>
      </c>
      <c r="D320" s="1" t="s">
        <v>40</v>
      </c>
      <c r="E320" s="1">
        <f>MONTH(ubezpieczenia3[[#This Row],[Data_urodz]])</f>
        <v>5</v>
      </c>
      <c r="F320" s="1">
        <f t="shared" si="4"/>
        <v>319</v>
      </c>
    </row>
    <row r="321" spans="1:6" x14ac:dyDescent="0.25">
      <c r="A321" s="1" t="s">
        <v>421</v>
      </c>
      <c r="B321" s="1" t="s">
        <v>8</v>
      </c>
      <c r="C321" s="2">
        <v>30418</v>
      </c>
      <c r="D321" s="1" t="s">
        <v>12</v>
      </c>
      <c r="E321" s="1">
        <f>MONTH(ubezpieczenia3[[#This Row],[Data_urodz]])</f>
        <v>4</v>
      </c>
      <c r="F321" s="1">
        <f t="shared" si="4"/>
        <v>320</v>
      </c>
    </row>
    <row r="322" spans="1:6" x14ac:dyDescent="0.25">
      <c r="A322" s="1" t="s">
        <v>110</v>
      </c>
      <c r="B322" s="1" t="s">
        <v>368</v>
      </c>
      <c r="C322" s="2">
        <v>33971</v>
      </c>
      <c r="D322" s="1" t="s">
        <v>12</v>
      </c>
      <c r="E322" s="1">
        <f>MONTH(ubezpieczenia3[[#This Row],[Data_urodz]])</f>
        <v>1</v>
      </c>
      <c r="F322" s="1">
        <f t="shared" si="4"/>
        <v>321</v>
      </c>
    </row>
    <row r="323" spans="1:6" x14ac:dyDescent="0.25">
      <c r="A323" s="1" t="s">
        <v>422</v>
      </c>
      <c r="B323" s="1" t="s">
        <v>52</v>
      </c>
      <c r="C323" s="2">
        <v>26974</v>
      </c>
      <c r="D323" s="1" t="s">
        <v>12</v>
      </c>
      <c r="E323" s="1">
        <f>MONTH(ubezpieczenia3[[#This Row],[Data_urodz]])</f>
        <v>11</v>
      </c>
      <c r="F323" s="1">
        <f t="shared" si="4"/>
        <v>322</v>
      </c>
    </row>
    <row r="324" spans="1:6" x14ac:dyDescent="0.25">
      <c r="A324" s="1" t="s">
        <v>423</v>
      </c>
      <c r="B324" s="1" t="s">
        <v>47</v>
      </c>
      <c r="C324" s="2">
        <v>21339</v>
      </c>
      <c r="D324" s="1" t="s">
        <v>12</v>
      </c>
      <c r="E324" s="1">
        <f>MONTH(ubezpieczenia3[[#This Row],[Data_urodz]])</f>
        <v>6</v>
      </c>
      <c r="F324" s="1">
        <f t="shared" ref="F324:F332" si="5">F323+1</f>
        <v>323</v>
      </c>
    </row>
    <row r="325" spans="1:6" x14ac:dyDescent="0.25">
      <c r="A325" s="1" t="s">
        <v>424</v>
      </c>
      <c r="B325" s="1" t="s">
        <v>90</v>
      </c>
      <c r="C325" s="2">
        <v>25150</v>
      </c>
      <c r="D325" s="1" t="s">
        <v>6</v>
      </c>
      <c r="E325" s="1">
        <f>MONTH(ubezpieczenia3[[#This Row],[Data_urodz]])</f>
        <v>11</v>
      </c>
      <c r="F325" s="1">
        <f t="shared" si="5"/>
        <v>324</v>
      </c>
    </row>
    <row r="326" spans="1:6" x14ac:dyDescent="0.25">
      <c r="A326" s="1" t="s">
        <v>425</v>
      </c>
      <c r="B326" s="1" t="s">
        <v>8</v>
      </c>
      <c r="C326" s="2">
        <v>20340</v>
      </c>
      <c r="D326" s="1" t="s">
        <v>12</v>
      </c>
      <c r="E326" s="1">
        <f>MONTH(ubezpieczenia3[[#This Row],[Data_urodz]])</f>
        <v>9</v>
      </c>
      <c r="F326" s="1">
        <f t="shared" si="5"/>
        <v>325</v>
      </c>
    </row>
    <row r="327" spans="1:6" x14ac:dyDescent="0.25">
      <c r="A327" s="1" t="s">
        <v>426</v>
      </c>
      <c r="B327" s="1" t="s">
        <v>131</v>
      </c>
      <c r="C327" s="2">
        <v>16045</v>
      </c>
      <c r="D327" s="1" t="s">
        <v>6</v>
      </c>
      <c r="E327" s="1">
        <f>MONTH(ubezpieczenia3[[#This Row],[Data_urodz]])</f>
        <v>12</v>
      </c>
      <c r="F327" s="1">
        <f t="shared" si="5"/>
        <v>326</v>
      </c>
    </row>
    <row r="328" spans="1:6" x14ac:dyDescent="0.25">
      <c r="A328" s="1" t="s">
        <v>427</v>
      </c>
      <c r="B328" s="1" t="s">
        <v>37</v>
      </c>
      <c r="C328" s="2">
        <v>18568</v>
      </c>
      <c r="D328" s="1" t="s">
        <v>12</v>
      </c>
      <c r="E328" s="1">
        <f>MONTH(ubezpieczenia3[[#This Row],[Data_urodz]])</f>
        <v>11</v>
      </c>
      <c r="F328" s="1">
        <f t="shared" si="5"/>
        <v>327</v>
      </c>
    </row>
    <row r="329" spans="1:6" x14ac:dyDescent="0.25">
      <c r="A329" s="1" t="s">
        <v>311</v>
      </c>
      <c r="B329" s="1" t="s">
        <v>199</v>
      </c>
      <c r="C329" s="2">
        <v>33976</v>
      </c>
      <c r="D329" s="1" t="s">
        <v>12</v>
      </c>
      <c r="E329" s="1">
        <f>MONTH(ubezpieczenia3[[#This Row],[Data_urodz]])</f>
        <v>1</v>
      </c>
      <c r="F329" s="1">
        <f t="shared" si="5"/>
        <v>328</v>
      </c>
    </row>
    <row r="330" spans="1:6" x14ac:dyDescent="0.25">
      <c r="A330" s="1" t="s">
        <v>428</v>
      </c>
      <c r="B330" s="1" t="s">
        <v>429</v>
      </c>
      <c r="C330" s="2">
        <v>30720</v>
      </c>
      <c r="D330" s="1" t="s">
        <v>12</v>
      </c>
      <c r="E330" s="1">
        <f>MONTH(ubezpieczenia3[[#This Row],[Data_urodz]])</f>
        <v>2</v>
      </c>
      <c r="F330" s="1">
        <f t="shared" si="5"/>
        <v>329</v>
      </c>
    </row>
    <row r="331" spans="1:6" x14ac:dyDescent="0.25">
      <c r="A331" s="1" t="s">
        <v>430</v>
      </c>
      <c r="B331" s="1" t="s">
        <v>141</v>
      </c>
      <c r="C331" s="2">
        <v>22604</v>
      </c>
      <c r="D331" s="1" t="s">
        <v>9</v>
      </c>
      <c r="E331" s="1">
        <f>MONTH(ubezpieczenia3[[#This Row],[Data_urodz]])</f>
        <v>11</v>
      </c>
      <c r="F331" s="1">
        <f t="shared" si="5"/>
        <v>330</v>
      </c>
    </row>
    <row r="332" spans="1:6" x14ac:dyDescent="0.25">
      <c r="A332" s="1" t="s">
        <v>431</v>
      </c>
      <c r="B332" s="1" t="s">
        <v>368</v>
      </c>
      <c r="C332" s="2">
        <v>19123</v>
      </c>
      <c r="D332" s="1" t="s">
        <v>12</v>
      </c>
      <c r="E332" s="1">
        <f>MONTH(ubezpieczenia3[[#This Row],[Data_urodz]])</f>
        <v>5</v>
      </c>
      <c r="F332" s="1">
        <f t="shared" si="5"/>
        <v>331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AE9-6D65-4420-9B3F-CF1DA8DDB2F9}">
  <dimension ref="A1:I332"/>
  <sheetViews>
    <sheetView zoomScale="115" zoomScaleNormal="115" workbookViewId="0">
      <selection activeCell="I9" sqref="I9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3.28515625" bestFit="1" customWidth="1"/>
    <col min="4" max="4" width="23.28515625" bestFit="1" customWidth="1"/>
    <col min="8" max="8" width="17.710937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438</v>
      </c>
      <c r="H1" s="5" t="s">
        <v>439</v>
      </c>
      <c r="I1" s="5" t="s">
        <v>440</v>
      </c>
    </row>
    <row r="2" spans="1:9" x14ac:dyDescent="0.25">
      <c r="A2" s="1" t="s">
        <v>4</v>
      </c>
      <c r="B2" s="1" t="s">
        <v>5</v>
      </c>
      <c r="C2" s="2">
        <v>22190</v>
      </c>
      <c r="D2" s="1" t="s">
        <v>6</v>
      </c>
      <c r="E2" s="1">
        <f>IF(RIGHT(ubezpieczenia4[[#This Row],[Imie]],1)="a",1,0)</f>
        <v>1</v>
      </c>
      <c r="H2" s="6" t="s">
        <v>12</v>
      </c>
      <c r="I2" s="7">
        <v>97</v>
      </c>
    </row>
    <row r="3" spans="1:9" x14ac:dyDescent="0.25">
      <c r="A3" s="1" t="s">
        <v>7</v>
      </c>
      <c r="B3" s="1" t="s">
        <v>8</v>
      </c>
      <c r="C3" s="2">
        <v>30952</v>
      </c>
      <c r="D3" s="1" t="s">
        <v>9</v>
      </c>
      <c r="E3" s="1">
        <f>IF(RIGHT(ubezpieczenia4[[#This Row],[Imie]],1)="a",1,0)</f>
        <v>0</v>
      </c>
      <c r="H3" s="6" t="s">
        <v>40</v>
      </c>
      <c r="I3" s="7">
        <v>20</v>
      </c>
    </row>
    <row r="4" spans="1:9" x14ac:dyDescent="0.25">
      <c r="A4" s="1" t="s">
        <v>10</v>
      </c>
      <c r="B4" s="1" t="s">
        <v>11</v>
      </c>
      <c r="C4" s="2">
        <v>24753</v>
      </c>
      <c r="D4" s="1" t="s">
        <v>12</v>
      </c>
      <c r="E4" s="1">
        <f>IF(RIGHT(ubezpieczenia4[[#This Row],[Imie]],1)="a",1,0)</f>
        <v>1</v>
      </c>
      <c r="H4" s="6" t="s">
        <v>6</v>
      </c>
      <c r="I4" s="7">
        <v>59</v>
      </c>
    </row>
    <row r="5" spans="1:9" x14ac:dyDescent="0.25">
      <c r="A5" s="1" t="s">
        <v>13</v>
      </c>
      <c r="B5" s="1" t="s">
        <v>14</v>
      </c>
      <c r="C5" s="2">
        <v>31544</v>
      </c>
      <c r="D5" s="1" t="s">
        <v>9</v>
      </c>
      <c r="E5" s="1">
        <f>IF(RIGHT(ubezpieczenia4[[#This Row],[Imie]],1)="a",1,0)</f>
        <v>0</v>
      </c>
      <c r="H5" s="6" t="s">
        <v>9</v>
      </c>
      <c r="I5" s="7">
        <v>24</v>
      </c>
    </row>
    <row r="6" spans="1:9" x14ac:dyDescent="0.25">
      <c r="A6" s="1" t="s">
        <v>15</v>
      </c>
      <c r="B6" s="1" t="s">
        <v>16</v>
      </c>
      <c r="C6" s="2">
        <v>22780</v>
      </c>
      <c r="D6" s="1" t="s">
        <v>9</v>
      </c>
      <c r="E6" s="1">
        <f>IF(RIGHT(ubezpieczenia4[[#This Row],[Imie]],1)="a",1,0)</f>
        <v>1</v>
      </c>
      <c r="H6" s="4" t="s">
        <v>435</v>
      </c>
      <c r="I6" s="1">
        <v>200</v>
      </c>
    </row>
    <row r="7" spans="1:9" x14ac:dyDescent="0.25">
      <c r="A7" s="1" t="s">
        <v>17</v>
      </c>
      <c r="B7" s="1" t="s">
        <v>18</v>
      </c>
      <c r="C7" s="2">
        <v>31694</v>
      </c>
      <c r="D7" s="1" t="s">
        <v>12</v>
      </c>
      <c r="E7" s="1">
        <f>IF(RIGHT(ubezpieczenia4[[#This Row],[Imie]],1)="a",1,0)</f>
        <v>0</v>
      </c>
    </row>
    <row r="8" spans="1:9" x14ac:dyDescent="0.25">
      <c r="A8" s="1" t="s">
        <v>19</v>
      </c>
      <c r="B8" s="1" t="s">
        <v>20</v>
      </c>
      <c r="C8" s="2">
        <v>33569</v>
      </c>
      <c r="D8" s="1" t="s">
        <v>6</v>
      </c>
      <c r="E8" s="1">
        <f>IF(RIGHT(ubezpieczenia4[[#This Row],[Imie]],1)="a",1,0)</f>
        <v>1</v>
      </c>
    </row>
    <row r="9" spans="1:9" x14ac:dyDescent="0.25">
      <c r="A9" s="1" t="s">
        <v>21</v>
      </c>
      <c r="B9" s="1" t="s">
        <v>22</v>
      </c>
      <c r="C9" s="2">
        <v>30372</v>
      </c>
      <c r="D9" s="1" t="s">
        <v>6</v>
      </c>
      <c r="E9" s="1">
        <f>IF(RIGHT(ubezpieczenia4[[#This Row],[Imie]],1)="a",1,0)</f>
        <v>1</v>
      </c>
    </row>
    <row r="10" spans="1:9" x14ac:dyDescent="0.25">
      <c r="A10" s="1" t="s">
        <v>23</v>
      </c>
      <c r="B10" s="1" t="s">
        <v>8</v>
      </c>
      <c r="C10" s="2">
        <v>33568</v>
      </c>
      <c r="D10" s="1" t="s">
        <v>6</v>
      </c>
      <c r="E10" s="1">
        <f>IF(RIGHT(ubezpieczenia4[[#This Row],[Imie]],1)="a",1,0)</f>
        <v>0</v>
      </c>
    </row>
    <row r="11" spans="1:9" x14ac:dyDescent="0.25">
      <c r="A11" s="1" t="s">
        <v>24</v>
      </c>
      <c r="B11" s="1" t="s">
        <v>25</v>
      </c>
      <c r="C11" s="2">
        <v>31111</v>
      </c>
      <c r="D11" s="1" t="s">
        <v>6</v>
      </c>
      <c r="E11" s="1">
        <f>IF(RIGHT(ubezpieczenia4[[#This Row],[Imie]],1)="a",1,0)</f>
        <v>1</v>
      </c>
    </row>
    <row r="12" spans="1:9" x14ac:dyDescent="0.25">
      <c r="A12" s="1" t="s">
        <v>26</v>
      </c>
      <c r="B12" s="1" t="s">
        <v>27</v>
      </c>
      <c r="C12" s="2">
        <v>17347</v>
      </c>
      <c r="D12" s="1" t="s">
        <v>6</v>
      </c>
      <c r="E12" s="1">
        <f>IF(RIGHT(ubezpieczenia4[[#This Row],[Imie]],1)="a",1,0)</f>
        <v>0</v>
      </c>
    </row>
    <row r="13" spans="1:9" x14ac:dyDescent="0.25">
      <c r="A13" s="1" t="s">
        <v>28</v>
      </c>
      <c r="B13" s="1" t="s">
        <v>29</v>
      </c>
      <c r="C13" s="2">
        <v>33321</v>
      </c>
      <c r="D13" s="1" t="s">
        <v>12</v>
      </c>
      <c r="E13" s="1">
        <f>IF(RIGHT(ubezpieczenia4[[#This Row],[Imie]],1)="a",1,0)</f>
        <v>0</v>
      </c>
    </row>
    <row r="14" spans="1:9" x14ac:dyDescent="0.25">
      <c r="A14" s="1" t="s">
        <v>30</v>
      </c>
      <c r="B14" s="1" t="s">
        <v>8</v>
      </c>
      <c r="C14" s="2">
        <v>26093</v>
      </c>
      <c r="D14" s="1" t="s">
        <v>12</v>
      </c>
      <c r="E14" s="1">
        <f>IF(RIGHT(ubezpieczenia4[[#This Row],[Imie]],1)="a",1,0)</f>
        <v>0</v>
      </c>
    </row>
    <row r="15" spans="1:9" x14ac:dyDescent="0.25">
      <c r="A15" s="1" t="s">
        <v>31</v>
      </c>
      <c r="B15" s="1" t="s">
        <v>32</v>
      </c>
      <c r="C15" s="2">
        <v>17144</v>
      </c>
      <c r="D15" s="1" t="s">
        <v>12</v>
      </c>
      <c r="E15" s="1">
        <f>IF(RIGHT(ubezpieczenia4[[#This Row],[Imie]],1)="a",1,0)</f>
        <v>0</v>
      </c>
    </row>
    <row r="16" spans="1:9" x14ac:dyDescent="0.25">
      <c r="A16" s="1" t="s">
        <v>33</v>
      </c>
      <c r="B16" s="1" t="s">
        <v>34</v>
      </c>
      <c r="C16" s="2">
        <v>26019</v>
      </c>
      <c r="D16" s="1" t="s">
        <v>12</v>
      </c>
      <c r="E16" s="1">
        <f>IF(RIGHT(ubezpieczenia4[[#This Row],[Imie]],1)="a",1,0)</f>
        <v>0</v>
      </c>
    </row>
    <row r="17" spans="1:5" x14ac:dyDescent="0.25">
      <c r="A17" s="1" t="s">
        <v>35</v>
      </c>
      <c r="B17" s="1" t="s">
        <v>27</v>
      </c>
      <c r="C17" s="2">
        <v>30193</v>
      </c>
      <c r="D17" s="1" t="s">
        <v>6</v>
      </c>
      <c r="E17" s="1">
        <f>IF(RIGHT(ubezpieczenia4[[#This Row],[Imie]],1)="a",1,0)</f>
        <v>0</v>
      </c>
    </row>
    <row r="18" spans="1:5" x14ac:dyDescent="0.25">
      <c r="A18" s="1" t="s">
        <v>36</v>
      </c>
      <c r="B18" s="1" t="s">
        <v>37</v>
      </c>
      <c r="C18" s="2">
        <v>29668</v>
      </c>
      <c r="D18" s="1" t="s">
        <v>9</v>
      </c>
      <c r="E18" s="1">
        <f>IF(RIGHT(ubezpieczenia4[[#This Row],[Imie]],1)="a",1,0)</f>
        <v>1</v>
      </c>
    </row>
    <row r="19" spans="1:5" x14ac:dyDescent="0.25">
      <c r="A19" s="1" t="s">
        <v>38</v>
      </c>
      <c r="B19" s="1" t="s">
        <v>39</v>
      </c>
      <c r="C19" s="2">
        <v>34945</v>
      </c>
      <c r="D19" s="1" t="s">
        <v>40</v>
      </c>
      <c r="E19" s="1">
        <f>IF(RIGHT(ubezpieczenia4[[#This Row],[Imie]],1)="a",1,0)</f>
        <v>1</v>
      </c>
    </row>
    <row r="20" spans="1:5" x14ac:dyDescent="0.25">
      <c r="A20" s="1" t="s">
        <v>41</v>
      </c>
      <c r="B20" s="1" t="s">
        <v>42</v>
      </c>
      <c r="C20" s="2">
        <v>23309</v>
      </c>
      <c r="D20" s="1" t="s">
        <v>9</v>
      </c>
      <c r="E20" s="1">
        <f>IF(RIGHT(ubezpieczenia4[[#This Row],[Imie]],1)="a",1,0)</f>
        <v>1</v>
      </c>
    </row>
    <row r="21" spans="1:5" x14ac:dyDescent="0.25">
      <c r="A21" s="1" t="s">
        <v>43</v>
      </c>
      <c r="B21" s="1" t="s">
        <v>20</v>
      </c>
      <c r="C21" s="2">
        <v>16498</v>
      </c>
      <c r="D21" s="1" t="s">
        <v>6</v>
      </c>
      <c r="E21" s="1">
        <f>IF(RIGHT(ubezpieczenia4[[#This Row],[Imie]],1)="a",1,0)</f>
        <v>1</v>
      </c>
    </row>
    <row r="22" spans="1:5" x14ac:dyDescent="0.25">
      <c r="A22" s="1" t="s">
        <v>44</v>
      </c>
      <c r="B22" s="1" t="s">
        <v>45</v>
      </c>
      <c r="C22" s="2">
        <v>19872</v>
      </c>
      <c r="D22" s="1" t="s">
        <v>12</v>
      </c>
      <c r="E22" s="1">
        <f>IF(RIGHT(ubezpieczenia4[[#This Row],[Imie]],1)="a",1,0)</f>
        <v>1</v>
      </c>
    </row>
    <row r="23" spans="1:5" x14ac:dyDescent="0.25">
      <c r="A23" s="1" t="s">
        <v>46</v>
      </c>
      <c r="B23" s="1" t="s">
        <v>47</v>
      </c>
      <c r="C23" s="2">
        <v>26018</v>
      </c>
      <c r="D23" s="1" t="s">
        <v>6</v>
      </c>
      <c r="E23" s="1">
        <f>IF(RIGHT(ubezpieczenia4[[#This Row],[Imie]],1)="a",1,0)</f>
        <v>1</v>
      </c>
    </row>
    <row r="24" spans="1:5" x14ac:dyDescent="0.25">
      <c r="A24" s="1" t="s">
        <v>48</v>
      </c>
      <c r="B24" s="1" t="s">
        <v>49</v>
      </c>
      <c r="C24" s="2">
        <v>25110</v>
      </c>
      <c r="D24" s="1" t="s">
        <v>40</v>
      </c>
      <c r="E24" s="1">
        <f>IF(RIGHT(ubezpieczenia4[[#This Row],[Imie]],1)="a",1,0)</f>
        <v>0</v>
      </c>
    </row>
    <row r="25" spans="1:5" x14ac:dyDescent="0.25">
      <c r="A25" s="1" t="s">
        <v>50</v>
      </c>
      <c r="B25" s="1" t="s">
        <v>29</v>
      </c>
      <c r="C25" s="2">
        <v>33411</v>
      </c>
      <c r="D25" s="1" t="s">
        <v>9</v>
      </c>
      <c r="E25" s="1">
        <f>IF(RIGHT(ubezpieczenia4[[#This Row],[Imie]],1)="a",1,0)</f>
        <v>0</v>
      </c>
    </row>
    <row r="26" spans="1:5" x14ac:dyDescent="0.25">
      <c r="A26" s="1" t="s">
        <v>51</v>
      </c>
      <c r="B26" s="1" t="s">
        <v>52</v>
      </c>
      <c r="C26" s="2">
        <v>30969</v>
      </c>
      <c r="D26" s="1" t="s">
        <v>12</v>
      </c>
      <c r="E26" s="1">
        <f>IF(RIGHT(ubezpieczenia4[[#This Row],[Imie]],1)="a",1,0)</f>
        <v>1</v>
      </c>
    </row>
    <row r="27" spans="1:5" x14ac:dyDescent="0.25">
      <c r="A27" s="1" t="s">
        <v>53</v>
      </c>
      <c r="B27" s="1" t="s">
        <v>54</v>
      </c>
      <c r="C27" s="2">
        <v>19368</v>
      </c>
      <c r="D27" s="1" t="s">
        <v>12</v>
      </c>
      <c r="E27" s="1">
        <f>IF(RIGHT(ubezpieczenia4[[#This Row],[Imie]],1)="a",1,0)</f>
        <v>1</v>
      </c>
    </row>
    <row r="28" spans="1:5" x14ac:dyDescent="0.25">
      <c r="A28" s="1" t="s">
        <v>55</v>
      </c>
      <c r="B28" s="1" t="s">
        <v>56</v>
      </c>
      <c r="C28" s="2">
        <v>23668</v>
      </c>
      <c r="D28" s="1" t="s">
        <v>40</v>
      </c>
      <c r="E28" s="1">
        <f>IF(RIGHT(ubezpieczenia4[[#This Row],[Imie]],1)="a",1,0)</f>
        <v>1</v>
      </c>
    </row>
    <row r="29" spans="1:5" x14ac:dyDescent="0.25">
      <c r="A29" s="1" t="s">
        <v>57</v>
      </c>
      <c r="B29" s="1" t="s">
        <v>58</v>
      </c>
      <c r="C29" s="2">
        <v>19851</v>
      </c>
      <c r="D29" s="1" t="s">
        <v>12</v>
      </c>
      <c r="E29" s="1">
        <f>IF(RIGHT(ubezpieczenia4[[#This Row],[Imie]],1)="a",1,0)</f>
        <v>0</v>
      </c>
    </row>
    <row r="30" spans="1:5" x14ac:dyDescent="0.25">
      <c r="A30" s="1" t="s">
        <v>59</v>
      </c>
      <c r="B30" s="1" t="s">
        <v>18</v>
      </c>
      <c r="C30" s="2">
        <v>17896</v>
      </c>
      <c r="D30" s="1" t="s">
        <v>9</v>
      </c>
      <c r="E30" s="1">
        <f>IF(RIGHT(ubezpieczenia4[[#This Row],[Imie]],1)="a",1,0)</f>
        <v>0</v>
      </c>
    </row>
    <row r="31" spans="1:5" x14ac:dyDescent="0.25">
      <c r="A31" s="1" t="s">
        <v>60</v>
      </c>
      <c r="B31" s="1" t="s">
        <v>11</v>
      </c>
      <c r="C31" s="2">
        <v>25045</v>
      </c>
      <c r="D31" s="1" t="s">
        <v>12</v>
      </c>
      <c r="E31" s="1">
        <f>IF(RIGHT(ubezpieczenia4[[#This Row],[Imie]],1)="a",1,0)</f>
        <v>1</v>
      </c>
    </row>
    <row r="32" spans="1:5" x14ac:dyDescent="0.25">
      <c r="A32" s="1" t="s">
        <v>61</v>
      </c>
      <c r="B32" s="1" t="s">
        <v>20</v>
      </c>
      <c r="C32" s="2">
        <v>18367</v>
      </c>
      <c r="D32" s="1" t="s">
        <v>12</v>
      </c>
      <c r="E32" s="1">
        <f>IF(RIGHT(ubezpieczenia4[[#This Row],[Imie]],1)="a",1,0)</f>
        <v>1</v>
      </c>
    </row>
    <row r="33" spans="1:5" x14ac:dyDescent="0.25">
      <c r="A33" s="1" t="s">
        <v>62</v>
      </c>
      <c r="B33" s="1" t="s">
        <v>20</v>
      </c>
      <c r="C33" s="2">
        <v>21630</v>
      </c>
      <c r="D33" s="1" t="s">
        <v>6</v>
      </c>
      <c r="E33" s="1">
        <f>IF(RIGHT(ubezpieczenia4[[#This Row],[Imie]],1)="a",1,0)</f>
        <v>1</v>
      </c>
    </row>
    <row r="34" spans="1:5" x14ac:dyDescent="0.25">
      <c r="A34" s="1" t="s">
        <v>63</v>
      </c>
      <c r="B34" s="1" t="s">
        <v>64</v>
      </c>
      <c r="C34" s="2">
        <v>16075</v>
      </c>
      <c r="D34" s="1" t="s">
        <v>40</v>
      </c>
      <c r="E34" s="1">
        <f>IF(RIGHT(ubezpieczenia4[[#This Row],[Imie]],1)="a",1,0)</f>
        <v>1</v>
      </c>
    </row>
    <row r="35" spans="1:5" x14ac:dyDescent="0.25">
      <c r="A35" s="1" t="s">
        <v>65</v>
      </c>
      <c r="B35" s="1" t="s">
        <v>20</v>
      </c>
      <c r="C35" s="2">
        <v>30640</v>
      </c>
      <c r="D35" s="1" t="s">
        <v>6</v>
      </c>
      <c r="E35" s="1">
        <f>IF(RIGHT(ubezpieczenia4[[#This Row],[Imie]],1)="a",1,0)</f>
        <v>1</v>
      </c>
    </row>
    <row r="36" spans="1:5" x14ac:dyDescent="0.25">
      <c r="A36" s="1" t="s">
        <v>66</v>
      </c>
      <c r="B36" s="1" t="s">
        <v>67</v>
      </c>
      <c r="C36" s="2">
        <v>21633</v>
      </c>
      <c r="D36" s="1" t="s">
        <v>12</v>
      </c>
      <c r="E36" s="1">
        <f>IF(RIGHT(ubezpieczenia4[[#This Row],[Imie]],1)="a",1,0)</f>
        <v>0</v>
      </c>
    </row>
    <row r="37" spans="1:5" x14ac:dyDescent="0.25">
      <c r="A37" s="1" t="s">
        <v>68</v>
      </c>
      <c r="B37" s="1" t="s">
        <v>69</v>
      </c>
      <c r="C37" s="2">
        <v>22843</v>
      </c>
      <c r="D37" s="1" t="s">
        <v>6</v>
      </c>
      <c r="E37" s="1">
        <f>IF(RIGHT(ubezpieczenia4[[#This Row],[Imie]],1)="a",1,0)</f>
        <v>0</v>
      </c>
    </row>
    <row r="38" spans="1:5" x14ac:dyDescent="0.25">
      <c r="A38" s="1" t="s">
        <v>70</v>
      </c>
      <c r="B38" s="1" t="s">
        <v>39</v>
      </c>
      <c r="C38" s="2">
        <v>22944</v>
      </c>
      <c r="D38" s="1" t="s">
        <v>12</v>
      </c>
      <c r="E38" s="1">
        <f>IF(RIGHT(ubezpieczenia4[[#This Row],[Imie]],1)="a",1,0)</f>
        <v>1</v>
      </c>
    </row>
    <row r="39" spans="1:5" x14ac:dyDescent="0.25">
      <c r="A39" s="1" t="s">
        <v>71</v>
      </c>
      <c r="B39" s="1" t="s">
        <v>72</v>
      </c>
      <c r="C39" s="2">
        <v>28856</v>
      </c>
      <c r="D39" s="1" t="s">
        <v>6</v>
      </c>
      <c r="E39" s="1">
        <f>IF(RIGHT(ubezpieczenia4[[#This Row],[Imie]],1)="a",1,0)</f>
        <v>0</v>
      </c>
    </row>
    <row r="40" spans="1:5" x14ac:dyDescent="0.25">
      <c r="A40" s="1" t="s">
        <v>73</v>
      </c>
      <c r="B40" s="1" t="s">
        <v>74</v>
      </c>
      <c r="C40" s="2">
        <v>27510</v>
      </c>
      <c r="D40" s="1" t="s">
        <v>9</v>
      </c>
      <c r="E40" s="1">
        <f>IF(RIGHT(ubezpieczenia4[[#This Row],[Imie]],1)="a",1,0)</f>
        <v>1</v>
      </c>
    </row>
    <row r="41" spans="1:5" x14ac:dyDescent="0.25">
      <c r="A41" s="1" t="s">
        <v>75</v>
      </c>
      <c r="B41" s="1" t="s">
        <v>52</v>
      </c>
      <c r="C41" s="2">
        <v>24744</v>
      </c>
      <c r="D41" s="1" t="s">
        <v>12</v>
      </c>
      <c r="E41" s="1">
        <f>IF(RIGHT(ubezpieczenia4[[#This Row],[Imie]],1)="a",1,0)</f>
        <v>1</v>
      </c>
    </row>
    <row r="42" spans="1:5" x14ac:dyDescent="0.25">
      <c r="A42" s="1" t="s">
        <v>76</v>
      </c>
      <c r="B42" s="1" t="s">
        <v>77</v>
      </c>
      <c r="C42" s="2">
        <v>26703</v>
      </c>
      <c r="D42" s="1" t="s">
        <v>40</v>
      </c>
      <c r="E42" s="1">
        <f>IF(RIGHT(ubezpieczenia4[[#This Row],[Imie]],1)="a",1,0)</f>
        <v>0</v>
      </c>
    </row>
    <row r="43" spans="1:5" x14ac:dyDescent="0.25">
      <c r="A43" s="1" t="s">
        <v>78</v>
      </c>
      <c r="B43" s="1" t="s">
        <v>79</v>
      </c>
      <c r="C43" s="2">
        <v>18847</v>
      </c>
      <c r="D43" s="1" t="s">
        <v>6</v>
      </c>
      <c r="E43" s="1">
        <f>IF(RIGHT(ubezpieczenia4[[#This Row],[Imie]],1)="a",1,0)</f>
        <v>1</v>
      </c>
    </row>
    <row r="44" spans="1:5" x14ac:dyDescent="0.25">
      <c r="A44" s="1" t="s">
        <v>80</v>
      </c>
      <c r="B44" s="1" t="s">
        <v>81</v>
      </c>
      <c r="C44" s="2">
        <v>33899</v>
      </c>
      <c r="D44" s="1" t="s">
        <v>12</v>
      </c>
      <c r="E44" s="1">
        <f>IF(RIGHT(ubezpieczenia4[[#This Row],[Imie]],1)="a",1,0)</f>
        <v>1</v>
      </c>
    </row>
    <row r="45" spans="1:5" x14ac:dyDescent="0.25">
      <c r="A45" s="1" t="s">
        <v>82</v>
      </c>
      <c r="B45" s="1" t="s">
        <v>42</v>
      </c>
      <c r="C45" s="2">
        <v>34773</v>
      </c>
      <c r="D45" s="1" t="s">
        <v>12</v>
      </c>
      <c r="E45" s="1">
        <f>IF(RIGHT(ubezpieczenia4[[#This Row],[Imie]],1)="a",1,0)</f>
        <v>1</v>
      </c>
    </row>
    <row r="46" spans="1:5" x14ac:dyDescent="0.25">
      <c r="A46" s="1" t="s">
        <v>83</v>
      </c>
      <c r="B46" s="1" t="s">
        <v>84</v>
      </c>
      <c r="C46" s="2">
        <v>28929</v>
      </c>
      <c r="D46" s="1" t="s">
        <v>6</v>
      </c>
      <c r="E46" s="1">
        <f>IF(RIGHT(ubezpieczenia4[[#This Row],[Imie]],1)="a",1,0)</f>
        <v>1</v>
      </c>
    </row>
    <row r="47" spans="1:5" x14ac:dyDescent="0.25">
      <c r="A47" s="1" t="s">
        <v>85</v>
      </c>
      <c r="B47" s="1" t="s">
        <v>42</v>
      </c>
      <c r="C47" s="2">
        <v>17612</v>
      </c>
      <c r="D47" s="1" t="s">
        <v>40</v>
      </c>
      <c r="E47" s="1">
        <f>IF(RIGHT(ubezpieczenia4[[#This Row],[Imie]],1)="a",1,0)</f>
        <v>1</v>
      </c>
    </row>
    <row r="48" spans="1:5" x14ac:dyDescent="0.25">
      <c r="A48" s="1" t="s">
        <v>86</v>
      </c>
      <c r="B48" s="1" t="s">
        <v>87</v>
      </c>
      <c r="C48" s="2">
        <v>26002</v>
      </c>
      <c r="D48" s="1" t="s">
        <v>12</v>
      </c>
      <c r="E48" s="1">
        <f>IF(RIGHT(ubezpieczenia4[[#This Row],[Imie]],1)="a",1,0)</f>
        <v>0</v>
      </c>
    </row>
    <row r="49" spans="1:5" x14ac:dyDescent="0.25">
      <c r="A49" s="1" t="s">
        <v>88</v>
      </c>
      <c r="B49" s="1" t="s">
        <v>52</v>
      </c>
      <c r="C49" s="2">
        <v>17050</v>
      </c>
      <c r="D49" s="1" t="s">
        <v>12</v>
      </c>
      <c r="E49" s="1">
        <f>IF(RIGHT(ubezpieczenia4[[#This Row],[Imie]],1)="a",1,0)</f>
        <v>1</v>
      </c>
    </row>
    <row r="50" spans="1:5" x14ac:dyDescent="0.25">
      <c r="A50" s="1" t="s">
        <v>89</v>
      </c>
      <c r="B50" s="1" t="s">
        <v>90</v>
      </c>
      <c r="C50" s="2">
        <v>17757</v>
      </c>
      <c r="D50" s="1" t="s">
        <v>6</v>
      </c>
      <c r="E50" s="1">
        <f>IF(RIGHT(ubezpieczenia4[[#This Row],[Imie]],1)="a",1,0)</f>
        <v>0</v>
      </c>
    </row>
    <row r="51" spans="1:5" x14ac:dyDescent="0.25">
      <c r="A51" s="1" t="s">
        <v>91</v>
      </c>
      <c r="B51" s="1" t="s">
        <v>92</v>
      </c>
      <c r="C51" s="2">
        <v>30155</v>
      </c>
      <c r="D51" s="1" t="s">
        <v>6</v>
      </c>
      <c r="E51" s="1">
        <f>IF(RIGHT(ubezpieczenia4[[#This Row],[Imie]],1)="a",1,0)</f>
        <v>0</v>
      </c>
    </row>
    <row r="52" spans="1:5" x14ac:dyDescent="0.25">
      <c r="A52" s="1" t="s">
        <v>93</v>
      </c>
      <c r="B52" s="1" t="s">
        <v>94</v>
      </c>
      <c r="C52" s="2">
        <v>22758</v>
      </c>
      <c r="D52" s="1" t="s">
        <v>40</v>
      </c>
      <c r="E52" s="1">
        <f>IF(RIGHT(ubezpieczenia4[[#This Row],[Imie]],1)="a",1,0)</f>
        <v>0</v>
      </c>
    </row>
    <row r="53" spans="1:5" x14ac:dyDescent="0.25">
      <c r="A53" s="1" t="s">
        <v>95</v>
      </c>
      <c r="B53" s="1" t="s">
        <v>52</v>
      </c>
      <c r="C53" s="2">
        <v>17830</v>
      </c>
      <c r="D53" s="1" t="s">
        <v>6</v>
      </c>
      <c r="E53" s="1">
        <f>IF(RIGHT(ubezpieczenia4[[#This Row],[Imie]],1)="a",1,0)</f>
        <v>1</v>
      </c>
    </row>
    <row r="54" spans="1:5" x14ac:dyDescent="0.25">
      <c r="A54" s="1" t="s">
        <v>96</v>
      </c>
      <c r="B54" s="1" t="s">
        <v>20</v>
      </c>
      <c r="C54" s="2">
        <v>16168</v>
      </c>
      <c r="D54" s="1" t="s">
        <v>6</v>
      </c>
      <c r="E54" s="1">
        <f>IF(RIGHT(ubezpieczenia4[[#This Row],[Imie]],1)="a",1,0)</f>
        <v>1</v>
      </c>
    </row>
    <row r="55" spans="1:5" x14ac:dyDescent="0.25">
      <c r="A55" s="1" t="s">
        <v>97</v>
      </c>
      <c r="B55" s="1" t="s">
        <v>98</v>
      </c>
      <c r="C55" s="2">
        <v>32118</v>
      </c>
      <c r="D55" s="1" t="s">
        <v>6</v>
      </c>
      <c r="E55" s="1">
        <f>IF(RIGHT(ubezpieczenia4[[#This Row],[Imie]],1)="a",1,0)</f>
        <v>0</v>
      </c>
    </row>
    <row r="56" spans="1:5" x14ac:dyDescent="0.25">
      <c r="A56" s="1" t="s">
        <v>99</v>
      </c>
      <c r="B56" s="1" t="s">
        <v>18</v>
      </c>
      <c r="C56" s="2">
        <v>20332</v>
      </c>
      <c r="D56" s="1" t="s">
        <v>12</v>
      </c>
      <c r="E56" s="1">
        <f>IF(RIGHT(ubezpieczenia4[[#This Row],[Imie]],1)="a",1,0)</f>
        <v>0</v>
      </c>
    </row>
    <row r="57" spans="1:5" x14ac:dyDescent="0.25">
      <c r="A57" s="1" t="s">
        <v>100</v>
      </c>
      <c r="B57" s="1" t="s">
        <v>49</v>
      </c>
      <c r="C57" s="2">
        <v>19375</v>
      </c>
      <c r="D57" s="1" t="s">
        <v>6</v>
      </c>
      <c r="E57" s="1">
        <f>IF(RIGHT(ubezpieczenia4[[#This Row],[Imie]],1)="a",1,0)</f>
        <v>0</v>
      </c>
    </row>
    <row r="58" spans="1:5" x14ac:dyDescent="0.25">
      <c r="A58" s="1" t="s">
        <v>101</v>
      </c>
      <c r="B58" s="1" t="s">
        <v>102</v>
      </c>
      <c r="C58" s="2">
        <v>34818</v>
      </c>
      <c r="D58" s="1" t="s">
        <v>12</v>
      </c>
      <c r="E58" s="1">
        <f>IF(RIGHT(ubezpieczenia4[[#This Row],[Imie]],1)="a",1,0)</f>
        <v>1</v>
      </c>
    </row>
    <row r="59" spans="1:5" x14ac:dyDescent="0.25">
      <c r="A59" s="1" t="s">
        <v>103</v>
      </c>
      <c r="B59" s="1" t="s">
        <v>16</v>
      </c>
      <c r="C59" s="2">
        <v>23775</v>
      </c>
      <c r="D59" s="1" t="s">
        <v>9</v>
      </c>
      <c r="E59" s="1">
        <f>IF(RIGHT(ubezpieczenia4[[#This Row],[Imie]],1)="a",1,0)</f>
        <v>1</v>
      </c>
    </row>
    <row r="60" spans="1:5" x14ac:dyDescent="0.25">
      <c r="A60" s="1" t="s">
        <v>104</v>
      </c>
      <c r="B60" s="1" t="s">
        <v>105</v>
      </c>
      <c r="C60" s="2">
        <v>29371</v>
      </c>
      <c r="D60" s="1" t="s">
        <v>12</v>
      </c>
      <c r="E60" s="1">
        <f>IF(RIGHT(ubezpieczenia4[[#This Row],[Imie]],1)="a",1,0)</f>
        <v>1</v>
      </c>
    </row>
    <row r="61" spans="1:5" x14ac:dyDescent="0.25">
      <c r="A61" s="1" t="s">
        <v>106</v>
      </c>
      <c r="B61" s="1" t="s">
        <v>107</v>
      </c>
      <c r="C61" s="2">
        <v>27370</v>
      </c>
      <c r="D61" s="1" t="s">
        <v>12</v>
      </c>
      <c r="E61" s="1">
        <f>IF(RIGHT(ubezpieczenia4[[#This Row],[Imie]],1)="a",1,0)</f>
        <v>1</v>
      </c>
    </row>
    <row r="62" spans="1:5" x14ac:dyDescent="0.25">
      <c r="A62" s="1" t="s">
        <v>108</v>
      </c>
      <c r="B62" s="1" t="s">
        <v>109</v>
      </c>
      <c r="C62" s="2">
        <v>19032</v>
      </c>
      <c r="D62" s="1" t="s">
        <v>6</v>
      </c>
      <c r="E62" s="1">
        <f>IF(RIGHT(ubezpieczenia4[[#This Row],[Imie]],1)="a",1,0)</f>
        <v>0</v>
      </c>
    </row>
    <row r="63" spans="1:5" x14ac:dyDescent="0.25">
      <c r="A63" s="1" t="s">
        <v>110</v>
      </c>
      <c r="B63" s="1" t="s">
        <v>37</v>
      </c>
      <c r="C63" s="2">
        <v>27475</v>
      </c>
      <c r="D63" s="1" t="s">
        <v>12</v>
      </c>
      <c r="E63" s="1">
        <f>IF(RIGHT(ubezpieczenia4[[#This Row],[Imie]],1)="a",1,0)</f>
        <v>1</v>
      </c>
    </row>
    <row r="64" spans="1:5" x14ac:dyDescent="0.25">
      <c r="A64" s="1" t="s">
        <v>111</v>
      </c>
      <c r="B64" s="1" t="s">
        <v>52</v>
      </c>
      <c r="C64" s="2">
        <v>20719</v>
      </c>
      <c r="D64" s="1" t="s">
        <v>6</v>
      </c>
      <c r="E64" s="1">
        <f>IF(RIGHT(ubezpieczenia4[[#This Row],[Imie]],1)="a",1,0)</f>
        <v>1</v>
      </c>
    </row>
    <row r="65" spans="1:5" x14ac:dyDescent="0.25">
      <c r="A65" s="1" t="s">
        <v>112</v>
      </c>
      <c r="B65" s="1" t="s">
        <v>8</v>
      </c>
      <c r="C65" s="2">
        <v>22206</v>
      </c>
      <c r="D65" s="1" t="s">
        <v>40</v>
      </c>
      <c r="E65" s="1">
        <f>IF(RIGHT(ubezpieczenia4[[#This Row],[Imie]],1)="a",1,0)</f>
        <v>0</v>
      </c>
    </row>
    <row r="66" spans="1:5" x14ac:dyDescent="0.25">
      <c r="A66" s="1" t="s">
        <v>113</v>
      </c>
      <c r="B66" s="1" t="s">
        <v>114</v>
      </c>
      <c r="C66" s="2">
        <v>17376</v>
      </c>
      <c r="D66" s="1" t="s">
        <v>12</v>
      </c>
      <c r="E66" s="1">
        <f>IF(RIGHT(ubezpieczenia4[[#This Row],[Imie]],1)="a",1,0)</f>
        <v>0</v>
      </c>
    </row>
    <row r="67" spans="1:5" x14ac:dyDescent="0.25">
      <c r="A67" s="1" t="s">
        <v>115</v>
      </c>
      <c r="B67" s="1" t="s">
        <v>114</v>
      </c>
      <c r="C67" s="2">
        <v>34280</v>
      </c>
      <c r="D67" s="1" t="s">
        <v>40</v>
      </c>
      <c r="E67" s="1">
        <f>IF(RIGHT(ubezpieczenia4[[#This Row],[Imie]],1)="a",1,0)</f>
        <v>0</v>
      </c>
    </row>
    <row r="68" spans="1:5" x14ac:dyDescent="0.25">
      <c r="A68" s="1" t="s">
        <v>116</v>
      </c>
      <c r="B68" s="1" t="s">
        <v>49</v>
      </c>
      <c r="C68" s="2">
        <v>25821</v>
      </c>
      <c r="D68" s="1" t="s">
        <v>40</v>
      </c>
      <c r="E68" s="1">
        <f>IF(RIGHT(ubezpieczenia4[[#This Row],[Imie]],1)="a",1,0)</f>
        <v>0</v>
      </c>
    </row>
    <row r="69" spans="1:5" x14ac:dyDescent="0.25">
      <c r="A69" s="1" t="s">
        <v>117</v>
      </c>
      <c r="B69" s="1" t="s">
        <v>47</v>
      </c>
      <c r="C69" s="2">
        <v>20242</v>
      </c>
      <c r="D69" s="1" t="s">
        <v>40</v>
      </c>
      <c r="E69" s="1">
        <f>IF(RIGHT(ubezpieczenia4[[#This Row],[Imie]],1)="a",1,0)</f>
        <v>1</v>
      </c>
    </row>
    <row r="70" spans="1:5" x14ac:dyDescent="0.25">
      <c r="A70" s="1" t="s">
        <v>118</v>
      </c>
      <c r="B70" s="1" t="s">
        <v>20</v>
      </c>
      <c r="C70" s="2">
        <v>25415</v>
      </c>
      <c r="D70" s="1" t="s">
        <v>12</v>
      </c>
      <c r="E70" s="1">
        <f>IF(RIGHT(ubezpieczenia4[[#This Row],[Imie]],1)="a",1,0)</f>
        <v>1</v>
      </c>
    </row>
    <row r="71" spans="1:5" x14ac:dyDescent="0.25">
      <c r="A71" s="1" t="s">
        <v>119</v>
      </c>
      <c r="B71" s="1" t="s">
        <v>47</v>
      </c>
      <c r="C71" s="2">
        <v>19048</v>
      </c>
      <c r="D71" s="1" t="s">
        <v>9</v>
      </c>
      <c r="E71" s="1">
        <f>IF(RIGHT(ubezpieczenia4[[#This Row],[Imie]],1)="a",1,0)</f>
        <v>1</v>
      </c>
    </row>
    <row r="72" spans="1:5" x14ac:dyDescent="0.25">
      <c r="A72" s="1" t="s">
        <v>120</v>
      </c>
      <c r="B72" s="1" t="s">
        <v>121</v>
      </c>
      <c r="C72" s="2">
        <v>18811</v>
      </c>
      <c r="D72" s="1" t="s">
        <v>12</v>
      </c>
      <c r="E72" s="1">
        <f>IF(RIGHT(ubezpieczenia4[[#This Row],[Imie]],1)="a",1,0)</f>
        <v>1</v>
      </c>
    </row>
    <row r="73" spans="1:5" x14ac:dyDescent="0.25">
      <c r="A73" s="1" t="s">
        <v>122</v>
      </c>
      <c r="B73" s="1" t="s">
        <v>123</v>
      </c>
      <c r="C73" s="2">
        <v>17072</v>
      </c>
      <c r="D73" s="1" t="s">
        <v>40</v>
      </c>
      <c r="E73" s="1">
        <f>IF(RIGHT(ubezpieczenia4[[#This Row],[Imie]],1)="a",1,0)</f>
        <v>1</v>
      </c>
    </row>
    <row r="74" spans="1:5" x14ac:dyDescent="0.25">
      <c r="A74" s="1" t="s">
        <v>124</v>
      </c>
      <c r="B74" s="1" t="s">
        <v>121</v>
      </c>
      <c r="C74" s="2">
        <v>33277</v>
      </c>
      <c r="D74" s="1" t="s">
        <v>6</v>
      </c>
      <c r="E74" s="1">
        <f>IF(RIGHT(ubezpieczenia4[[#This Row],[Imie]],1)="a",1,0)</f>
        <v>1</v>
      </c>
    </row>
    <row r="75" spans="1:5" x14ac:dyDescent="0.25">
      <c r="A75" s="1" t="s">
        <v>125</v>
      </c>
      <c r="B75" s="1" t="s">
        <v>79</v>
      </c>
      <c r="C75" s="2">
        <v>16987</v>
      </c>
      <c r="D75" s="1" t="s">
        <v>6</v>
      </c>
      <c r="E75" s="1">
        <f>IF(RIGHT(ubezpieczenia4[[#This Row],[Imie]],1)="a",1,0)</f>
        <v>1</v>
      </c>
    </row>
    <row r="76" spans="1:5" x14ac:dyDescent="0.25">
      <c r="A76" s="1" t="s">
        <v>126</v>
      </c>
      <c r="B76" s="1" t="s">
        <v>127</v>
      </c>
      <c r="C76" s="2">
        <v>33408</v>
      </c>
      <c r="D76" s="1" t="s">
        <v>40</v>
      </c>
      <c r="E76" s="1">
        <f>IF(RIGHT(ubezpieczenia4[[#This Row],[Imie]],1)="a",1,0)</f>
        <v>0</v>
      </c>
    </row>
    <row r="77" spans="1:5" x14ac:dyDescent="0.25">
      <c r="A77" s="1" t="s">
        <v>110</v>
      </c>
      <c r="B77" s="1" t="s">
        <v>79</v>
      </c>
      <c r="C77" s="2">
        <v>25070</v>
      </c>
      <c r="D77" s="1" t="s">
        <v>6</v>
      </c>
      <c r="E77" s="1">
        <f>IF(RIGHT(ubezpieczenia4[[#This Row],[Imie]],1)="a",1,0)</f>
        <v>1</v>
      </c>
    </row>
    <row r="78" spans="1:5" x14ac:dyDescent="0.25">
      <c r="A78" s="1" t="s">
        <v>128</v>
      </c>
      <c r="B78" s="1" t="s">
        <v>129</v>
      </c>
      <c r="C78" s="2">
        <v>34100</v>
      </c>
      <c r="D78" s="1" t="s">
        <v>40</v>
      </c>
      <c r="E78" s="1">
        <f>IF(RIGHT(ubezpieczenia4[[#This Row],[Imie]],1)="a",1,0)</f>
        <v>0</v>
      </c>
    </row>
    <row r="79" spans="1:5" x14ac:dyDescent="0.25">
      <c r="A79" s="1" t="s">
        <v>83</v>
      </c>
      <c r="B79" s="1" t="s">
        <v>52</v>
      </c>
      <c r="C79" s="2">
        <v>19522</v>
      </c>
      <c r="D79" s="1" t="s">
        <v>9</v>
      </c>
      <c r="E79" s="1">
        <f>IF(RIGHT(ubezpieczenia4[[#This Row],[Imie]],1)="a",1,0)</f>
        <v>1</v>
      </c>
    </row>
    <row r="80" spans="1:5" x14ac:dyDescent="0.25">
      <c r="A80" s="1" t="s">
        <v>130</v>
      </c>
      <c r="B80" s="1" t="s">
        <v>131</v>
      </c>
      <c r="C80" s="2">
        <v>27284</v>
      </c>
      <c r="D80" s="1" t="s">
        <v>9</v>
      </c>
      <c r="E80" s="1">
        <f>IF(RIGHT(ubezpieczenia4[[#This Row],[Imie]],1)="a",1,0)</f>
        <v>1</v>
      </c>
    </row>
    <row r="81" spans="1:5" x14ac:dyDescent="0.25">
      <c r="A81" s="1" t="s">
        <v>132</v>
      </c>
      <c r="B81" s="1" t="s">
        <v>8</v>
      </c>
      <c r="C81" s="2">
        <v>27347</v>
      </c>
      <c r="D81" s="1" t="s">
        <v>12</v>
      </c>
      <c r="E81" s="1">
        <f>IF(RIGHT(ubezpieczenia4[[#This Row],[Imie]],1)="a",1,0)</f>
        <v>0</v>
      </c>
    </row>
    <row r="82" spans="1:5" x14ac:dyDescent="0.25">
      <c r="A82" s="1" t="s">
        <v>133</v>
      </c>
      <c r="B82" s="1" t="s">
        <v>134</v>
      </c>
      <c r="C82" s="2">
        <v>20618</v>
      </c>
      <c r="D82" s="1" t="s">
        <v>12</v>
      </c>
      <c r="E82" s="1">
        <f>IF(RIGHT(ubezpieczenia4[[#This Row],[Imie]],1)="a",1,0)</f>
        <v>1</v>
      </c>
    </row>
    <row r="83" spans="1:5" x14ac:dyDescent="0.25">
      <c r="A83" s="1" t="s">
        <v>135</v>
      </c>
      <c r="B83" s="1" t="s">
        <v>54</v>
      </c>
      <c r="C83" s="2">
        <v>19256</v>
      </c>
      <c r="D83" s="1" t="s">
        <v>12</v>
      </c>
      <c r="E83" s="1">
        <f>IF(RIGHT(ubezpieczenia4[[#This Row],[Imie]],1)="a",1,0)</f>
        <v>1</v>
      </c>
    </row>
    <row r="84" spans="1:5" x14ac:dyDescent="0.25">
      <c r="A84" s="1" t="s">
        <v>136</v>
      </c>
      <c r="B84" s="1" t="s">
        <v>137</v>
      </c>
      <c r="C84" s="2">
        <v>21898</v>
      </c>
      <c r="D84" s="1" t="s">
        <v>12</v>
      </c>
      <c r="E84" s="1">
        <f>IF(RIGHT(ubezpieczenia4[[#This Row],[Imie]],1)="a",1,0)</f>
        <v>1</v>
      </c>
    </row>
    <row r="85" spans="1:5" x14ac:dyDescent="0.25">
      <c r="A85" s="1" t="s">
        <v>138</v>
      </c>
      <c r="B85" s="1" t="s">
        <v>139</v>
      </c>
      <c r="C85" s="2">
        <v>16873</v>
      </c>
      <c r="D85" s="1" t="s">
        <v>12</v>
      </c>
      <c r="E85" s="1">
        <f>IF(RIGHT(ubezpieczenia4[[#This Row],[Imie]],1)="a",1,0)</f>
        <v>0</v>
      </c>
    </row>
    <row r="86" spans="1:5" x14ac:dyDescent="0.25">
      <c r="A86" s="1" t="s">
        <v>140</v>
      </c>
      <c r="B86" s="1" t="s">
        <v>141</v>
      </c>
      <c r="C86" s="2">
        <v>34893</v>
      </c>
      <c r="D86" s="1" t="s">
        <v>6</v>
      </c>
      <c r="E86" s="1">
        <f>IF(RIGHT(ubezpieczenia4[[#This Row],[Imie]],1)="a",1,0)</f>
        <v>0</v>
      </c>
    </row>
    <row r="87" spans="1:5" x14ac:dyDescent="0.25">
      <c r="A87" s="1" t="s">
        <v>142</v>
      </c>
      <c r="B87" s="1" t="s">
        <v>143</v>
      </c>
      <c r="C87" s="2">
        <v>16028</v>
      </c>
      <c r="D87" s="1" t="s">
        <v>12</v>
      </c>
      <c r="E87" s="1">
        <f>IF(RIGHT(ubezpieczenia4[[#This Row],[Imie]],1)="a",1,0)</f>
        <v>1</v>
      </c>
    </row>
    <row r="88" spans="1:5" x14ac:dyDescent="0.25">
      <c r="A88" s="1" t="s">
        <v>144</v>
      </c>
      <c r="B88" s="1" t="s">
        <v>54</v>
      </c>
      <c r="C88" s="2">
        <v>33446</v>
      </c>
      <c r="D88" s="1" t="s">
        <v>6</v>
      </c>
      <c r="E88" s="1">
        <f>IF(RIGHT(ubezpieczenia4[[#This Row],[Imie]],1)="a",1,0)</f>
        <v>1</v>
      </c>
    </row>
    <row r="89" spans="1:5" x14ac:dyDescent="0.25">
      <c r="A89" s="1" t="s">
        <v>145</v>
      </c>
      <c r="B89" s="1" t="s">
        <v>146</v>
      </c>
      <c r="C89" s="2">
        <v>18892</v>
      </c>
      <c r="D89" s="1" t="s">
        <v>6</v>
      </c>
      <c r="E89" s="1">
        <f>IF(RIGHT(ubezpieczenia4[[#This Row],[Imie]],1)="a",1,0)</f>
        <v>0</v>
      </c>
    </row>
    <row r="90" spans="1:5" x14ac:dyDescent="0.25">
      <c r="A90" s="1" t="s">
        <v>147</v>
      </c>
      <c r="B90" s="1" t="s">
        <v>102</v>
      </c>
      <c r="C90" s="2">
        <v>32219</v>
      </c>
      <c r="D90" s="1" t="s">
        <v>12</v>
      </c>
      <c r="E90" s="1">
        <f>IF(RIGHT(ubezpieczenia4[[#This Row],[Imie]],1)="a",1,0)</f>
        <v>1</v>
      </c>
    </row>
    <row r="91" spans="1:5" x14ac:dyDescent="0.25">
      <c r="A91" s="1" t="s">
        <v>148</v>
      </c>
      <c r="B91" s="1" t="s">
        <v>149</v>
      </c>
      <c r="C91" s="2">
        <v>31771</v>
      </c>
      <c r="D91" s="1" t="s">
        <v>9</v>
      </c>
      <c r="E91" s="1">
        <f>IF(RIGHT(ubezpieczenia4[[#This Row],[Imie]],1)="a",1,0)</f>
        <v>1</v>
      </c>
    </row>
    <row r="92" spans="1:5" x14ac:dyDescent="0.25">
      <c r="A92" s="1" t="s">
        <v>51</v>
      </c>
      <c r="B92" s="1" t="s">
        <v>150</v>
      </c>
      <c r="C92" s="2">
        <v>30633</v>
      </c>
      <c r="D92" s="1" t="s">
        <v>40</v>
      </c>
      <c r="E92" s="1">
        <f>IF(RIGHT(ubezpieczenia4[[#This Row],[Imie]],1)="a",1,0)</f>
        <v>1</v>
      </c>
    </row>
    <row r="93" spans="1:5" x14ac:dyDescent="0.25">
      <c r="A93" s="1" t="s">
        <v>151</v>
      </c>
      <c r="B93" s="1" t="s">
        <v>152</v>
      </c>
      <c r="C93" s="2">
        <v>34177</v>
      </c>
      <c r="D93" s="1" t="s">
        <v>40</v>
      </c>
      <c r="E93" s="1">
        <f>IF(RIGHT(ubezpieczenia4[[#This Row],[Imie]],1)="a",1,0)</f>
        <v>0</v>
      </c>
    </row>
    <row r="94" spans="1:5" x14ac:dyDescent="0.25">
      <c r="A94" s="1" t="s">
        <v>153</v>
      </c>
      <c r="B94" s="1" t="s">
        <v>137</v>
      </c>
      <c r="C94" s="2">
        <v>33281</v>
      </c>
      <c r="D94" s="1" t="s">
        <v>12</v>
      </c>
      <c r="E94" s="1">
        <f>IF(RIGHT(ubezpieczenia4[[#This Row],[Imie]],1)="a",1,0)</f>
        <v>1</v>
      </c>
    </row>
    <row r="95" spans="1:5" x14ac:dyDescent="0.25">
      <c r="A95" s="1" t="s">
        <v>75</v>
      </c>
      <c r="B95" s="1" t="s">
        <v>154</v>
      </c>
      <c r="C95" s="2">
        <v>21897</v>
      </c>
      <c r="D95" s="1" t="s">
        <v>12</v>
      </c>
      <c r="E95" s="1">
        <f>IF(RIGHT(ubezpieczenia4[[#This Row],[Imie]],1)="a",1,0)</f>
        <v>1</v>
      </c>
    </row>
    <row r="96" spans="1:5" x14ac:dyDescent="0.25">
      <c r="A96" s="1" t="s">
        <v>155</v>
      </c>
      <c r="B96" s="1" t="s">
        <v>37</v>
      </c>
      <c r="C96" s="2">
        <v>18604</v>
      </c>
      <c r="D96" s="1" t="s">
        <v>40</v>
      </c>
      <c r="E96" s="1">
        <f>IF(RIGHT(ubezpieczenia4[[#This Row],[Imie]],1)="a",1,0)</f>
        <v>1</v>
      </c>
    </row>
    <row r="97" spans="1:5" x14ac:dyDescent="0.25">
      <c r="A97" s="1" t="s">
        <v>156</v>
      </c>
      <c r="B97" s="1" t="s">
        <v>157</v>
      </c>
      <c r="C97" s="2">
        <v>18910</v>
      </c>
      <c r="D97" s="1" t="s">
        <v>12</v>
      </c>
      <c r="E97" s="1">
        <f>IF(RIGHT(ubezpieczenia4[[#This Row],[Imie]],1)="a",1,0)</f>
        <v>1</v>
      </c>
    </row>
    <row r="98" spans="1:5" x14ac:dyDescent="0.25">
      <c r="A98" s="1" t="s">
        <v>158</v>
      </c>
      <c r="B98" s="1" t="s">
        <v>47</v>
      </c>
      <c r="C98" s="2">
        <v>17056</v>
      </c>
      <c r="D98" s="1" t="s">
        <v>9</v>
      </c>
      <c r="E98" s="1">
        <f>IF(RIGHT(ubezpieczenia4[[#This Row],[Imie]],1)="a",1,0)</f>
        <v>1</v>
      </c>
    </row>
    <row r="99" spans="1:5" x14ac:dyDescent="0.25">
      <c r="A99" s="1" t="s">
        <v>159</v>
      </c>
      <c r="B99" s="1" t="s">
        <v>160</v>
      </c>
      <c r="C99" s="2">
        <v>22619</v>
      </c>
      <c r="D99" s="1" t="s">
        <v>9</v>
      </c>
      <c r="E99" s="1">
        <f>IF(RIGHT(ubezpieczenia4[[#This Row],[Imie]],1)="a",1,0)</f>
        <v>0</v>
      </c>
    </row>
    <row r="100" spans="1:5" x14ac:dyDescent="0.25">
      <c r="A100" s="1" t="s">
        <v>161</v>
      </c>
      <c r="B100" s="1" t="s">
        <v>37</v>
      </c>
      <c r="C100" s="2">
        <v>19740</v>
      </c>
      <c r="D100" s="1" t="s">
        <v>12</v>
      </c>
      <c r="E100" s="1">
        <f>IF(RIGHT(ubezpieczenia4[[#This Row],[Imie]],1)="a",1,0)</f>
        <v>1</v>
      </c>
    </row>
    <row r="101" spans="1:5" x14ac:dyDescent="0.25">
      <c r="A101" s="1" t="s">
        <v>162</v>
      </c>
      <c r="B101" s="1" t="s">
        <v>131</v>
      </c>
      <c r="C101" s="2">
        <v>24222</v>
      </c>
      <c r="D101" s="1" t="s">
        <v>6</v>
      </c>
      <c r="E101" s="1">
        <f>IF(RIGHT(ubezpieczenia4[[#This Row],[Imie]],1)="a",1,0)</f>
        <v>1</v>
      </c>
    </row>
    <row r="102" spans="1:5" x14ac:dyDescent="0.25">
      <c r="A102" s="1" t="s">
        <v>163</v>
      </c>
      <c r="B102" s="1" t="s">
        <v>37</v>
      </c>
      <c r="C102" s="2">
        <v>17196</v>
      </c>
      <c r="D102" s="1" t="s">
        <v>40</v>
      </c>
      <c r="E102" s="1">
        <f>IF(RIGHT(ubezpieczenia4[[#This Row],[Imie]],1)="a",1,0)</f>
        <v>1</v>
      </c>
    </row>
    <row r="103" spans="1:5" x14ac:dyDescent="0.25">
      <c r="A103" s="1" t="s">
        <v>164</v>
      </c>
      <c r="B103" s="1" t="s">
        <v>52</v>
      </c>
      <c r="C103" s="2">
        <v>32013</v>
      </c>
      <c r="D103" s="1" t="s">
        <v>12</v>
      </c>
      <c r="E103" s="1">
        <f>IF(RIGHT(ubezpieczenia4[[#This Row],[Imie]],1)="a",1,0)</f>
        <v>1</v>
      </c>
    </row>
    <row r="104" spans="1:5" x14ac:dyDescent="0.25">
      <c r="A104" s="1" t="s">
        <v>163</v>
      </c>
      <c r="B104" s="1" t="s">
        <v>39</v>
      </c>
      <c r="C104" s="2">
        <v>23679</v>
      </c>
      <c r="D104" s="1" t="s">
        <v>12</v>
      </c>
      <c r="E104" s="1">
        <f>IF(RIGHT(ubezpieczenia4[[#This Row],[Imie]],1)="a",1,0)</f>
        <v>1</v>
      </c>
    </row>
    <row r="105" spans="1:5" x14ac:dyDescent="0.25">
      <c r="A105" s="1" t="s">
        <v>75</v>
      </c>
      <c r="B105" s="1" t="s">
        <v>165</v>
      </c>
      <c r="C105" s="2">
        <v>26239</v>
      </c>
      <c r="D105" s="1" t="s">
        <v>12</v>
      </c>
      <c r="E105" s="1">
        <f>IF(RIGHT(ubezpieczenia4[[#This Row],[Imie]],1)="a",1,0)</f>
        <v>1</v>
      </c>
    </row>
    <row r="106" spans="1:5" x14ac:dyDescent="0.25">
      <c r="A106" s="1" t="s">
        <v>166</v>
      </c>
      <c r="B106" s="1" t="s">
        <v>167</v>
      </c>
      <c r="C106" s="2">
        <v>30774</v>
      </c>
      <c r="D106" s="1" t="s">
        <v>6</v>
      </c>
      <c r="E106" s="1">
        <f>IF(RIGHT(ubezpieczenia4[[#This Row],[Imie]],1)="a",1,0)</f>
        <v>0</v>
      </c>
    </row>
    <row r="107" spans="1:5" x14ac:dyDescent="0.25">
      <c r="A107" s="1" t="s">
        <v>168</v>
      </c>
      <c r="B107" s="1" t="s">
        <v>169</v>
      </c>
      <c r="C107" s="2">
        <v>25818</v>
      </c>
      <c r="D107" s="1" t="s">
        <v>6</v>
      </c>
      <c r="E107" s="1">
        <f>IF(RIGHT(ubezpieczenia4[[#This Row],[Imie]],1)="a",1,0)</f>
        <v>0</v>
      </c>
    </row>
    <row r="108" spans="1:5" x14ac:dyDescent="0.25">
      <c r="A108" s="1" t="s">
        <v>170</v>
      </c>
      <c r="B108" s="1" t="s">
        <v>171</v>
      </c>
      <c r="C108" s="2">
        <v>16529</v>
      </c>
      <c r="D108" s="1" t="s">
        <v>40</v>
      </c>
      <c r="E108" s="1">
        <f>IF(RIGHT(ubezpieczenia4[[#This Row],[Imie]],1)="a",1,0)</f>
        <v>1</v>
      </c>
    </row>
    <row r="109" spans="1:5" x14ac:dyDescent="0.25">
      <c r="A109" s="1" t="s">
        <v>172</v>
      </c>
      <c r="B109" s="1" t="s">
        <v>5</v>
      </c>
      <c r="C109" s="2">
        <v>30530</v>
      </c>
      <c r="D109" s="1" t="s">
        <v>40</v>
      </c>
      <c r="E109" s="1">
        <f>IF(RIGHT(ubezpieczenia4[[#This Row],[Imie]],1)="a",1,0)</f>
        <v>1</v>
      </c>
    </row>
    <row r="110" spans="1:5" x14ac:dyDescent="0.25">
      <c r="A110" s="1" t="s">
        <v>173</v>
      </c>
      <c r="B110" s="1" t="s">
        <v>77</v>
      </c>
      <c r="C110" s="2">
        <v>31601</v>
      </c>
      <c r="D110" s="1" t="s">
        <v>12</v>
      </c>
      <c r="E110" s="1">
        <f>IF(RIGHT(ubezpieczenia4[[#This Row],[Imie]],1)="a",1,0)</f>
        <v>0</v>
      </c>
    </row>
    <row r="111" spans="1:5" x14ac:dyDescent="0.25">
      <c r="A111" s="1" t="s">
        <v>174</v>
      </c>
      <c r="B111" s="1" t="s">
        <v>157</v>
      </c>
      <c r="C111" s="2">
        <v>28427</v>
      </c>
      <c r="D111" s="1" t="s">
        <v>12</v>
      </c>
      <c r="E111" s="1">
        <f>IF(RIGHT(ubezpieczenia4[[#This Row],[Imie]],1)="a",1,0)</f>
        <v>1</v>
      </c>
    </row>
    <row r="112" spans="1:5" x14ac:dyDescent="0.25">
      <c r="A112" s="1" t="s">
        <v>175</v>
      </c>
      <c r="B112" s="1" t="s">
        <v>176</v>
      </c>
      <c r="C112" s="2">
        <v>23139</v>
      </c>
      <c r="D112" s="1" t="s">
        <v>12</v>
      </c>
      <c r="E112" s="1">
        <f>IF(RIGHT(ubezpieczenia4[[#This Row],[Imie]],1)="a",1,0)</f>
        <v>1</v>
      </c>
    </row>
    <row r="113" spans="1:5" x14ac:dyDescent="0.25">
      <c r="A113" s="1" t="s">
        <v>174</v>
      </c>
      <c r="B113" s="1" t="s">
        <v>177</v>
      </c>
      <c r="C113" s="2">
        <v>29861</v>
      </c>
      <c r="D113" s="1" t="s">
        <v>12</v>
      </c>
      <c r="E113" s="1">
        <f>IF(RIGHT(ubezpieczenia4[[#This Row],[Imie]],1)="a",1,0)</f>
        <v>1</v>
      </c>
    </row>
    <row r="114" spans="1:5" x14ac:dyDescent="0.25">
      <c r="A114" s="1" t="s">
        <v>178</v>
      </c>
      <c r="B114" s="1" t="s">
        <v>179</v>
      </c>
      <c r="C114" s="2">
        <v>32545</v>
      </c>
      <c r="D114" s="1" t="s">
        <v>40</v>
      </c>
      <c r="E114" s="1">
        <f>IF(RIGHT(ubezpieczenia4[[#This Row],[Imie]],1)="a",1,0)</f>
        <v>0</v>
      </c>
    </row>
    <row r="115" spans="1:5" x14ac:dyDescent="0.25">
      <c r="A115" s="1" t="s">
        <v>180</v>
      </c>
      <c r="B115" s="1" t="s">
        <v>94</v>
      </c>
      <c r="C115" s="2">
        <v>29361</v>
      </c>
      <c r="D115" s="1" t="s">
        <v>12</v>
      </c>
      <c r="E115" s="1">
        <f>IF(RIGHT(ubezpieczenia4[[#This Row],[Imie]],1)="a",1,0)</f>
        <v>0</v>
      </c>
    </row>
    <row r="116" spans="1:5" x14ac:dyDescent="0.25">
      <c r="A116" s="1" t="s">
        <v>181</v>
      </c>
      <c r="B116" s="1" t="s">
        <v>49</v>
      </c>
      <c r="C116" s="2">
        <v>17772</v>
      </c>
      <c r="D116" s="1" t="s">
        <v>40</v>
      </c>
      <c r="E116" s="1">
        <f>IF(RIGHT(ubezpieczenia4[[#This Row],[Imie]],1)="a",1,0)</f>
        <v>0</v>
      </c>
    </row>
    <row r="117" spans="1:5" x14ac:dyDescent="0.25">
      <c r="A117" s="1" t="s">
        <v>182</v>
      </c>
      <c r="B117" s="1" t="s">
        <v>183</v>
      </c>
      <c r="C117" s="2">
        <v>28580</v>
      </c>
      <c r="D117" s="1" t="s">
        <v>6</v>
      </c>
      <c r="E117" s="1">
        <f>IF(RIGHT(ubezpieczenia4[[#This Row],[Imie]],1)="a",1,0)</f>
        <v>1</v>
      </c>
    </row>
    <row r="118" spans="1:5" x14ac:dyDescent="0.25">
      <c r="A118" s="1" t="s">
        <v>184</v>
      </c>
      <c r="B118" s="1" t="s">
        <v>185</v>
      </c>
      <c r="C118" s="2">
        <v>21154</v>
      </c>
      <c r="D118" s="1" t="s">
        <v>40</v>
      </c>
      <c r="E118" s="1">
        <f>IF(RIGHT(ubezpieczenia4[[#This Row],[Imie]],1)="a",1,0)</f>
        <v>1</v>
      </c>
    </row>
    <row r="119" spans="1:5" x14ac:dyDescent="0.25">
      <c r="A119" s="1" t="s">
        <v>186</v>
      </c>
      <c r="B119" s="1" t="s">
        <v>54</v>
      </c>
      <c r="C119" s="2">
        <v>18183</v>
      </c>
      <c r="D119" s="1" t="s">
        <v>12</v>
      </c>
      <c r="E119" s="1">
        <f>IF(RIGHT(ubezpieczenia4[[#This Row],[Imie]],1)="a",1,0)</f>
        <v>1</v>
      </c>
    </row>
    <row r="120" spans="1:5" x14ac:dyDescent="0.25">
      <c r="A120" s="1" t="s">
        <v>187</v>
      </c>
      <c r="B120" s="1" t="s">
        <v>188</v>
      </c>
      <c r="C120" s="2">
        <v>20630</v>
      </c>
      <c r="D120" s="1" t="s">
        <v>6</v>
      </c>
      <c r="E120" s="1">
        <f>IF(RIGHT(ubezpieczenia4[[#This Row],[Imie]],1)="a",1,0)</f>
        <v>1</v>
      </c>
    </row>
    <row r="121" spans="1:5" x14ac:dyDescent="0.25">
      <c r="A121" s="1" t="s">
        <v>189</v>
      </c>
      <c r="B121" s="1" t="s">
        <v>49</v>
      </c>
      <c r="C121" s="2">
        <v>34364</v>
      </c>
      <c r="D121" s="1" t="s">
        <v>12</v>
      </c>
      <c r="E121" s="1">
        <f>IF(RIGHT(ubezpieczenia4[[#This Row],[Imie]],1)="a",1,0)</f>
        <v>0</v>
      </c>
    </row>
    <row r="122" spans="1:5" x14ac:dyDescent="0.25">
      <c r="A122" s="1" t="s">
        <v>190</v>
      </c>
      <c r="B122" s="1" t="s">
        <v>20</v>
      </c>
      <c r="C122" s="2">
        <v>25582</v>
      </c>
      <c r="D122" s="1" t="s">
        <v>6</v>
      </c>
      <c r="E122" s="1">
        <f>IF(RIGHT(ubezpieczenia4[[#This Row],[Imie]],1)="a",1,0)</f>
        <v>1</v>
      </c>
    </row>
    <row r="123" spans="1:5" x14ac:dyDescent="0.25">
      <c r="A123" s="1" t="s">
        <v>191</v>
      </c>
      <c r="B123" s="1" t="s">
        <v>192</v>
      </c>
      <c r="C123" s="2">
        <v>29350</v>
      </c>
      <c r="D123" s="1" t="s">
        <v>12</v>
      </c>
      <c r="E123" s="1">
        <f>IF(RIGHT(ubezpieczenia4[[#This Row],[Imie]],1)="a",1,0)</f>
        <v>1</v>
      </c>
    </row>
    <row r="124" spans="1:5" x14ac:dyDescent="0.25">
      <c r="A124" s="1" t="s">
        <v>193</v>
      </c>
      <c r="B124" s="1" t="s">
        <v>194</v>
      </c>
      <c r="C124" s="2">
        <v>21704</v>
      </c>
      <c r="D124" s="1" t="s">
        <v>6</v>
      </c>
      <c r="E124" s="1">
        <f>IF(RIGHT(ubezpieczenia4[[#This Row],[Imie]],1)="a",1,0)</f>
        <v>1</v>
      </c>
    </row>
    <row r="125" spans="1:5" x14ac:dyDescent="0.25">
      <c r="A125" s="1" t="s">
        <v>195</v>
      </c>
      <c r="B125" s="1" t="s">
        <v>192</v>
      </c>
      <c r="C125" s="2">
        <v>20436</v>
      </c>
      <c r="D125" s="1" t="s">
        <v>12</v>
      </c>
      <c r="E125" s="1">
        <f>IF(RIGHT(ubezpieczenia4[[#This Row],[Imie]],1)="a",1,0)</f>
        <v>1</v>
      </c>
    </row>
    <row r="126" spans="1:5" x14ac:dyDescent="0.25">
      <c r="A126" s="1" t="s">
        <v>196</v>
      </c>
      <c r="B126" s="1" t="s">
        <v>139</v>
      </c>
      <c r="C126" s="2">
        <v>24475</v>
      </c>
      <c r="D126" s="1" t="s">
        <v>12</v>
      </c>
      <c r="E126" s="1">
        <f>IF(RIGHT(ubezpieczenia4[[#This Row],[Imie]],1)="a",1,0)</f>
        <v>0</v>
      </c>
    </row>
    <row r="127" spans="1:5" x14ac:dyDescent="0.25">
      <c r="A127" s="1" t="s">
        <v>197</v>
      </c>
      <c r="B127" s="1" t="s">
        <v>87</v>
      </c>
      <c r="C127" s="2">
        <v>26773</v>
      </c>
      <c r="D127" s="1" t="s">
        <v>6</v>
      </c>
      <c r="E127" s="1">
        <f>IF(RIGHT(ubezpieczenia4[[#This Row],[Imie]],1)="a",1,0)</f>
        <v>0</v>
      </c>
    </row>
    <row r="128" spans="1:5" x14ac:dyDescent="0.25">
      <c r="A128" s="1" t="s">
        <v>198</v>
      </c>
      <c r="B128" s="1" t="s">
        <v>199</v>
      </c>
      <c r="C128" s="2">
        <v>17668</v>
      </c>
      <c r="D128" s="1" t="s">
        <v>12</v>
      </c>
      <c r="E128" s="1">
        <f>IF(RIGHT(ubezpieczenia4[[#This Row],[Imie]],1)="a",1,0)</f>
        <v>1</v>
      </c>
    </row>
    <row r="129" spans="1:5" x14ac:dyDescent="0.25">
      <c r="A129" s="1" t="s">
        <v>200</v>
      </c>
      <c r="B129" s="1" t="s">
        <v>201</v>
      </c>
      <c r="C129" s="2">
        <v>17382</v>
      </c>
      <c r="D129" s="1" t="s">
        <v>12</v>
      </c>
      <c r="E129" s="1">
        <f>IF(RIGHT(ubezpieczenia4[[#This Row],[Imie]],1)="a",1,0)</f>
        <v>1</v>
      </c>
    </row>
    <row r="130" spans="1:5" x14ac:dyDescent="0.25">
      <c r="A130" s="1" t="s">
        <v>202</v>
      </c>
      <c r="B130" s="1" t="s">
        <v>8</v>
      </c>
      <c r="C130" s="2">
        <v>16976</v>
      </c>
      <c r="D130" s="1" t="s">
        <v>6</v>
      </c>
      <c r="E130" s="1">
        <f>IF(RIGHT(ubezpieczenia4[[#This Row],[Imie]],1)="a",1,0)</f>
        <v>0</v>
      </c>
    </row>
    <row r="131" spans="1:5" x14ac:dyDescent="0.25">
      <c r="A131" s="1" t="s">
        <v>203</v>
      </c>
      <c r="B131" s="1" t="s">
        <v>204</v>
      </c>
      <c r="C131" s="2">
        <v>33779</v>
      </c>
      <c r="D131" s="1" t="s">
        <v>40</v>
      </c>
      <c r="E131" s="1">
        <f>IF(RIGHT(ubezpieczenia4[[#This Row],[Imie]],1)="a",1,0)</f>
        <v>0</v>
      </c>
    </row>
    <row r="132" spans="1:5" x14ac:dyDescent="0.25">
      <c r="A132" s="1" t="s">
        <v>75</v>
      </c>
      <c r="B132" s="1" t="s">
        <v>37</v>
      </c>
      <c r="C132" s="2">
        <v>33885</v>
      </c>
      <c r="D132" s="1" t="s">
        <v>6</v>
      </c>
      <c r="E132" s="1">
        <f>IF(RIGHT(ubezpieczenia4[[#This Row],[Imie]],1)="a",1,0)</f>
        <v>1</v>
      </c>
    </row>
    <row r="133" spans="1:5" x14ac:dyDescent="0.25">
      <c r="A133" s="1" t="s">
        <v>205</v>
      </c>
      <c r="B133" s="1" t="s">
        <v>25</v>
      </c>
      <c r="C133" s="2">
        <v>30498</v>
      </c>
      <c r="D133" s="1" t="s">
        <v>9</v>
      </c>
      <c r="E133" s="1">
        <f>IF(RIGHT(ubezpieczenia4[[#This Row],[Imie]],1)="a",1,0)</f>
        <v>1</v>
      </c>
    </row>
    <row r="134" spans="1:5" x14ac:dyDescent="0.25">
      <c r="A134" s="1" t="s">
        <v>206</v>
      </c>
      <c r="B134" s="1" t="s">
        <v>167</v>
      </c>
      <c r="C134" s="2">
        <v>22090</v>
      </c>
      <c r="D134" s="1" t="s">
        <v>9</v>
      </c>
      <c r="E134" s="1">
        <f>IF(RIGHT(ubezpieczenia4[[#This Row],[Imie]],1)="a",1,0)</f>
        <v>0</v>
      </c>
    </row>
    <row r="135" spans="1:5" x14ac:dyDescent="0.25">
      <c r="A135" s="1" t="s">
        <v>207</v>
      </c>
      <c r="B135" s="1" t="s">
        <v>37</v>
      </c>
      <c r="C135" s="2">
        <v>27938</v>
      </c>
      <c r="D135" s="1" t="s">
        <v>6</v>
      </c>
      <c r="E135" s="1">
        <f>IF(RIGHT(ubezpieczenia4[[#This Row],[Imie]],1)="a",1,0)</f>
        <v>1</v>
      </c>
    </row>
    <row r="136" spans="1:5" x14ac:dyDescent="0.25">
      <c r="A136" s="1" t="s">
        <v>208</v>
      </c>
      <c r="B136" s="1" t="s">
        <v>47</v>
      </c>
      <c r="C136" s="2">
        <v>23762</v>
      </c>
      <c r="D136" s="1" t="s">
        <v>12</v>
      </c>
      <c r="E136" s="1">
        <f>IF(RIGHT(ubezpieczenia4[[#This Row],[Imie]],1)="a",1,0)</f>
        <v>1</v>
      </c>
    </row>
    <row r="137" spans="1:5" x14ac:dyDescent="0.25">
      <c r="A137" s="1" t="s">
        <v>209</v>
      </c>
      <c r="B137" s="1" t="s">
        <v>131</v>
      </c>
      <c r="C137" s="2">
        <v>25158</v>
      </c>
      <c r="D137" s="1" t="s">
        <v>6</v>
      </c>
      <c r="E137" s="1">
        <f>IF(RIGHT(ubezpieczenia4[[#This Row],[Imie]],1)="a",1,0)</f>
        <v>1</v>
      </c>
    </row>
    <row r="138" spans="1:5" x14ac:dyDescent="0.25">
      <c r="A138" s="1" t="s">
        <v>210</v>
      </c>
      <c r="B138" s="1" t="s">
        <v>37</v>
      </c>
      <c r="C138" s="2">
        <v>24824</v>
      </c>
      <c r="D138" s="1" t="s">
        <v>12</v>
      </c>
      <c r="E138" s="1">
        <f>IF(RIGHT(ubezpieczenia4[[#This Row],[Imie]],1)="a",1,0)</f>
        <v>1</v>
      </c>
    </row>
    <row r="139" spans="1:5" x14ac:dyDescent="0.25">
      <c r="A139" s="1" t="s">
        <v>211</v>
      </c>
      <c r="B139" s="1" t="s">
        <v>49</v>
      </c>
      <c r="C139" s="2">
        <v>33398</v>
      </c>
      <c r="D139" s="1" t="s">
        <v>9</v>
      </c>
      <c r="E139" s="1">
        <f>IF(RIGHT(ubezpieczenia4[[#This Row],[Imie]],1)="a",1,0)</f>
        <v>0</v>
      </c>
    </row>
    <row r="140" spans="1:5" x14ac:dyDescent="0.25">
      <c r="A140" s="1" t="s">
        <v>212</v>
      </c>
      <c r="B140" s="1" t="s">
        <v>18</v>
      </c>
      <c r="C140" s="2">
        <v>34795</v>
      </c>
      <c r="D140" s="1" t="s">
        <v>9</v>
      </c>
      <c r="E140" s="1">
        <f>IF(RIGHT(ubezpieczenia4[[#This Row],[Imie]],1)="a",1,0)</f>
        <v>0</v>
      </c>
    </row>
    <row r="141" spans="1:5" x14ac:dyDescent="0.25">
      <c r="A141" s="1" t="s">
        <v>88</v>
      </c>
      <c r="B141" s="1" t="s">
        <v>213</v>
      </c>
      <c r="C141" s="2">
        <v>20374</v>
      </c>
      <c r="D141" s="1" t="s">
        <v>12</v>
      </c>
      <c r="E141" s="1">
        <f>IF(RIGHT(ubezpieczenia4[[#This Row],[Imie]],1)="a",1,0)</f>
        <v>1</v>
      </c>
    </row>
    <row r="142" spans="1:5" x14ac:dyDescent="0.25">
      <c r="A142" s="1" t="s">
        <v>214</v>
      </c>
      <c r="B142" s="1" t="s">
        <v>165</v>
      </c>
      <c r="C142" s="2">
        <v>25416</v>
      </c>
      <c r="D142" s="1" t="s">
        <v>12</v>
      </c>
      <c r="E142" s="1">
        <f>IF(RIGHT(ubezpieczenia4[[#This Row],[Imie]],1)="a",1,0)</f>
        <v>1</v>
      </c>
    </row>
    <row r="143" spans="1:5" x14ac:dyDescent="0.25">
      <c r="A143" s="1" t="s">
        <v>215</v>
      </c>
      <c r="B143" s="1" t="s">
        <v>216</v>
      </c>
      <c r="C143" s="2">
        <v>21548</v>
      </c>
      <c r="D143" s="1" t="s">
        <v>12</v>
      </c>
      <c r="E143" s="1">
        <f>IF(RIGHT(ubezpieczenia4[[#This Row],[Imie]],1)="a",1,0)</f>
        <v>1</v>
      </c>
    </row>
    <row r="144" spans="1:5" x14ac:dyDescent="0.25">
      <c r="A144" s="1" t="s">
        <v>217</v>
      </c>
      <c r="B144" s="1" t="s">
        <v>54</v>
      </c>
      <c r="C144" s="2">
        <v>31232</v>
      </c>
      <c r="D144" s="1" t="s">
        <v>9</v>
      </c>
      <c r="E144" s="1">
        <f>IF(RIGHT(ubezpieczenia4[[#This Row],[Imie]],1)="a",1,0)</f>
        <v>1</v>
      </c>
    </row>
    <row r="145" spans="1:5" x14ac:dyDescent="0.25">
      <c r="A145" s="1" t="s">
        <v>218</v>
      </c>
      <c r="B145" s="1" t="s">
        <v>121</v>
      </c>
      <c r="C145" s="2">
        <v>28472</v>
      </c>
      <c r="D145" s="1" t="s">
        <v>12</v>
      </c>
      <c r="E145" s="1">
        <f>IF(RIGHT(ubezpieczenia4[[#This Row],[Imie]],1)="a",1,0)</f>
        <v>1</v>
      </c>
    </row>
    <row r="146" spans="1:5" x14ac:dyDescent="0.25">
      <c r="A146" s="1" t="s">
        <v>219</v>
      </c>
      <c r="B146" s="1" t="s">
        <v>29</v>
      </c>
      <c r="C146" s="2">
        <v>34287</v>
      </c>
      <c r="D146" s="1" t="s">
        <v>12</v>
      </c>
      <c r="E146" s="1">
        <f>IF(RIGHT(ubezpieczenia4[[#This Row],[Imie]],1)="a",1,0)</f>
        <v>0</v>
      </c>
    </row>
    <row r="147" spans="1:5" x14ac:dyDescent="0.25">
      <c r="A147" s="1" t="s">
        <v>220</v>
      </c>
      <c r="B147" s="1" t="s">
        <v>92</v>
      </c>
      <c r="C147" s="2">
        <v>24972</v>
      </c>
      <c r="D147" s="1" t="s">
        <v>6</v>
      </c>
      <c r="E147" s="1">
        <f>IF(RIGHT(ubezpieczenia4[[#This Row],[Imie]],1)="a",1,0)</f>
        <v>0</v>
      </c>
    </row>
    <row r="148" spans="1:5" x14ac:dyDescent="0.25">
      <c r="A148" s="1" t="s">
        <v>221</v>
      </c>
      <c r="B148" s="1" t="s">
        <v>154</v>
      </c>
      <c r="C148" s="2">
        <v>18787</v>
      </c>
      <c r="D148" s="1" t="s">
        <v>9</v>
      </c>
      <c r="E148" s="1">
        <f>IF(RIGHT(ubezpieczenia4[[#This Row],[Imie]],1)="a",1,0)</f>
        <v>1</v>
      </c>
    </row>
    <row r="149" spans="1:5" x14ac:dyDescent="0.25">
      <c r="A149" s="1" t="s">
        <v>222</v>
      </c>
      <c r="B149" s="1" t="s">
        <v>49</v>
      </c>
      <c r="C149" s="2">
        <v>27611</v>
      </c>
      <c r="D149" s="1" t="s">
        <v>9</v>
      </c>
      <c r="E149" s="1">
        <f>IF(RIGHT(ubezpieczenia4[[#This Row],[Imie]],1)="a",1,0)</f>
        <v>0</v>
      </c>
    </row>
    <row r="150" spans="1:5" x14ac:dyDescent="0.25">
      <c r="A150" s="1" t="s">
        <v>223</v>
      </c>
      <c r="B150" s="1" t="s">
        <v>224</v>
      </c>
      <c r="C150" s="2">
        <v>26071</v>
      </c>
      <c r="D150" s="1" t="s">
        <v>12</v>
      </c>
      <c r="E150" s="1">
        <f>IF(RIGHT(ubezpieczenia4[[#This Row],[Imie]],1)="a",1,0)</f>
        <v>1</v>
      </c>
    </row>
    <row r="151" spans="1:5" x14ac:dyDescent="0.25">
      <c r="A151" s="1" t="s">
        <v>225</v>
      </c>
      <c r="B151" s="1" t="s">
        <v>20</v>
      </c>
      <c r="C151" s="2">
        <v>18285</v>
      </c>
      <c r="D151" s="1" t="s">
        <v>6</v>
      </c>
      <c r="E151" s="1">
        <f>IF(RIGHT(ubezpieczenia4[[#This Row],[Imie]],1)="a",1,0)</f>
        <v>1</v>
      </c>
    </row>
    <row r="152" spans="1:5" x14ac:dyDescent="0.25">
      <c r="A152" s="1" t="s">
        <v>226</v>
      </c>
      <c r="B152" s="1" t="s">
        <v>8</v>
      </c>
      <c r="C152" s="2">
        <v>33696</v>
      </c>
      <c r="D152" s="1" t="s">
        <v>12</v>
      </c>
      <c r="E152" s="1">
        <f>IF(RIGHT(ubezpieczenia4[[#This Row],[Imie]],1)="a",1,0)</f>
        <v>0</v>
      </c>
    </row>
    <row r="153" spans="1:5" x14ac:dyDescent="0.25">
      <c r="A153" s="1" t="s">
        <v>227</v>
      </c>
      <c r="B153" s="1" t="s">
        <v>81</v>
      </c>
      <c r="C153" s="2">
        <v>25404</v>
      </c>
      <c r="D153" s="1" t="s">
        <v>12</v>
      </c>
      <c r="E153" s="1">
        <f>IF(RIGHT(ubezpieczenia4[[#This Row],[Imie]],1)="a",1,0)</f>
        <v>1</v>
      </c>
    </row>
    <row r="154" spans="1:5" x14ac:dyDescent="0.25">
      <c r="A154" s="1" t="s">
        <v>26</v>
      </c>
      <c r="B154" s="1" t="s">
        <v>114</v>
      </c>
      <c r="C154" s="2">
        <v>21769</v>
      </c>
      <c r="D154" s="1" t="s">
        <v>6</v>
      </c>
      <c r="E154" s="1">
        <f>IF(RIGHT(ubezpieczenia4[[#This Row],[Imie]],1)="a",1,0)</f>
        <v>0</v>
      </c>
    </row>
    <row r="155" spans="1:5" x14ac:dyDescent="0.25">
      <c r="A155" s="1" t="s">
        <v>228</v>
      </c>
      <c r="B155" s="1" t="s">
        <v>49</v>
      </c>
      <c r="C155" s="2">
        <v>26490</v>
      </c>
      <c r="D155" s="1" t="s">
        <v>6</v>
      </c>
      <c r="E155" s="1">
        <f>IF(RIGHT(ubezpieczenia4[[#This Row],[Imie]],1)="a",1,0)</f>
        <v>0</v>
      </c>
    </row>
    <row r="156" spans="1:5" x14ac:dyDescent="0.25">
      <c r="A156" s="1" t="s">
        <v>229</v>
      </c>
      <c r="B156" s="1" t="s">
        <v>105</v>
      </c>
      <c r="C156" s="2">
        <v>28897</v>
      </c>
      <c r="D156" s="1" t="s">
        <v>9</v>
      </c>
      <c r="E156" s="1">
        <f>IF(RIGHT(ubezpieczenia4[[#This Row],[Imie]],1)="a",1,0)</f>
        <v>1</v>
      </c>
    </row>
    <row r="157" spans="1:5" x14ac:dyDescent="0.25">
      <c r="A157" s="1" t="s">
        <v>230</v>
      </c>
      <c r="B157" s="1" t="s">
        <v>231</v>
      </c>
      <c r="C157" s="2">
        <v>33454</v>
      </c>
      <c r="D157" s="1" t="s">
        <v>12</v>
      </c>
      <c r="E157" s="1">
        <f>IF(RIGHT(ubezpieczenia4[[#This Row],[Imie]],1)="a",1,0)</f>
        <v>1</v>
      </c>
    </row>
    <row r="158" spans="1:5" x14ac:dyDescent="0.25">
      <c r="A158" s="1" t="s">
        <v>232</v>
      </c>
      <c r="B158" s="1" t="s">
        <v>233</v>
      </c>
      <c r="C158" s="2">
        <v>24539</v>
      </c>
      <c r="D158" s="1" t="s">
        <v>12</v>
      </c>
      <c r="E158" s="1">
        <f>IF(RIGHT(ubezpieczenia4[[#This Row],[Imie]],1)="a",1,0)</f>
        <v>0</v>
      </c>
    </row>
    <row r="159" spans="1:5" x14ac:dyDescent="0.25">
      <c r="A159" s="1" t="s">
        <v>234</v>
      </c>
      <c r="B159" s="1" t="s">
        <v>235</v>
      </c>
      <c r="C159" s="2">
        <v>27992</v>
      </c>
      <c r="D159" s="1" t="s">
        <v>6</v>
      </c>
      <c r="E159" s="1">
        <f>IF(RIGHT(ubezpieczenia4[[#This Row],[Imie]],1)="a",1,0)</f>
        <v>1</v>
      </c>
    </row>
    <row r="160" spans="1:5" x14ac:dyDescent="0.25">
      <c r="A160" s="1" t="s">
        <v>147</v>
      </c>
      <c r="B160" s="1" t="s">
        <v>236</v>
      </c>
      <c r="C160" s="2">
        <v>26335</v>
      </c>
      <c r="D160" s="1" t="s">
        <v>40</v>
      </c>
      <c r="E160" s="1">
        <f>IF(RIGHT(ubezpieczenia4[[#This Row],[Imie]],1)="a",1,0)</f>
        <v>1</v>
      </c>
    </row>
    <row r="161" spans="1:5" x14ac:dyDescent="0.25">
      <c r="A161" s="1" t="s">
        <v>237</v>
      </c>
      <c r="B161" s="1" t="s">
        <v>167</v>
      </c>
      <c r="C161" s="2">
        <v>31095</v>
      </c>
      <c r="D161" s="1" t="s">
        <v>12</v>
      </c>
      <c r="E161" s="1">
        <f>IF(RIGHT(ubezpieczenia4[[#This Row],[Imie]],1)="a",1,0)</f>
        <v>0</v>
      </c>
    </row>
    <row r="162" spans="1:5" x14ac:dyDescent="0.25">
      <c r="A162" s="1" t="s">
        <v>238</v>
      </c>
      <c r="B162" s="1" t="s">
        <v>169</v>
      </c>
      <c r="C162" s="2">
        <v>26112</v>
      </c>
      <c r="D162" s="1" t="s">
        <v>40</v>
      </c>
      <c r="E162" s="1">
        <f>IF(RIGHT(ubezpieczenia4[[#This Row],[Imie]],1)="a",1,0)</f>
        <v>0</v>
      </c>
    </row>
    <row r="163" spans="1:5" x14ac:dyDescent="0.25">
      <c r="A163" s="1" t="s">
        <v>239</v>
      </c>
      <c r="B163" s="1" t="s">
        <v>54</v>
      </c>
      <c r="C163" s="2">
        <v>23272</v>
      </c>
      <c r="D163" s="1" t="s">
        <v>6</v>
      </c>
      <c r="E163" s="1">
        <f>IF(RIGHT(ubezpieczenia4[[#This Row],[Imie]],1)="a",1,0)</f>
        <v>1</v>
      </c>
    </row>
    <row r="164" spans="1:5" x14ac:dyDescent="0.25">
      <c r="A164" s="1" t="s">
        <v>240</v>
      </c>
      <c r="B164" s="1" t="s">
        <v>32</v>
      </c>
      <c r="C164" s="2">
        <v>32952</v>
      </c>
      <c r="D164" s="1" t="s">
        <v>40</v>
      </c>
      <c r="E164" s="1">
        <f>IF(RIGHT(ubezpieczenia4[[#This Row],[Imie]],1)="a",1,0)</f>
        <v>0</v>
      </c>
    </row>
    <row r="165" spans="1:5" x14ac:dyDescent="0.25">
      <c r="A165" s="1" t="s">
        <v>241</v>
      </c>
      <c r="B165" s="1" t="s">
        <v>39</v>
      </c>
      <c r="C165" s="2">
        <v>19759</v>
      </c>
      <c r="D165" s="1" t="s">
        <v>9</v>
      </c>
      <c r="E165" s="1">
        <f>IF(RIGHT(ubezpieczenia4[[#This Row],[Imie]],1)="a",1,0)</f>
        <v>1</v>
      </c>
    </row>
    <row r="166" spans="1:5" x14ac:dyDescent="0.25">
      <c r="A166" s="1" t="s">
        <v>242</v>
      </c>
      <c r="B166" s="1" t="s">
        <v>152</v>
      </c>
      <c r="C166" s="2">
        <v>27324</v>
      </c>
      <c r="D166" s="1" t="s">
        <v>9</v>
      </c>
      <c r="E166" s="1">
        <f>IF(RIGHT(ubezpieczenia4[[#This Row],[Imie]],1)="a",1,0)</f>
        <v>0</v>
      </c>
    </row>
    <row r="167" spans="1:5" x14ac:dyDescent="0.25">
      <c r="A167" s="1" t="s">
        <v>243</v>
      </c>
      <c r="B167" s="1" t="s">
        <v>236</v>
      </c>
      <c r="C167" s="2">
        <v>21838</v>
      </c>
      <c r="D167" s="1" t="s">
        <v>6</v>
      </c>
      <c r="E167" s="1">
        <f>IF(RIGHT(ubezpieczenia4[[#This Row],[Imie]],1)="a",1,0)</f>
        <v>1</v>
      </c>
    </row>
    <row r="168" spans="1:5" x14ac:dyDescent="0.25">
      <c r="A168" s="1" t="s">
        <v>244</v>
      </c>
      <c r="B168" s="1" t="s">
        <v>47</v>
      </c>
      <c r="C168" s="2">
        <v>21051</v>
      </c>
      <c r="D168" s="1" t="s">
        <v>40</v>
      </c>
      <c r="E168" s="1">
        <f>IF(RIGHT(ubezpieczenia4[[#This Row],[Imie]],1)="a",1,0)</f>
        <v>1</v>
      </c>
    </row>
    <row r="169" spans="1:5" x14ac:dyDescent="0.25">
      <c r="A169" s="1" t="s">
        <v>245</v>
      </c>
      <c r="B169" s="1" t="s">
        <v>246</v>
      </c>
      <c r="C169" s="2">
        <v>31292</v>
      </c>
      <c r="D169" s="1" t="s">
        <v>40</v>
      </c>
      <c r="E169" s="1">
        <f>IF(RIGHT(ubezpieczenia4[[#This Row],[Imie]],1)="a",1,0)</f>
        <v>0</v>
      </c>
    </row>
    <row r="170" spans="1:5" x14ac:dyDescent="0.25">
      <c r="A170" s="1" t="s">
        <v>247</v>
      </c>
      <c r="B170" s="1" t="s">
        <v>248</v>
      </c>
      <c r="C170" s="2">
        <v>17179</v>
      </c>
      <c r="D170" s="1" t="s">
        <v>12</v>
      </c>
      <c r="E170" s="1">
        <f>IF(RIGHT(ubezpieczenia4[[#This Row],[Imie]],1)="a",1,0)</f>
        <v>1</v>
      </c>
    </row>
    <row r="171" spans="1:5" x14ac:dyDescent="0.25">
      <c r="A171" s="1" t="s">
        <v>249</v>
      </c>
      <c r="B171" s="1" t="s">
        <v>250</v>
      </c>
      <c r="C171" s="2">
        <v>32305</v>
      </c>
      <c r="D171" s="1" t="s">
        <v>6</v>
      </c>
      <c r="E171" s="1">
        <f>IF(RIGHT(ubezpieczenia4[[#This Row],[Imie]],1)="a",1,0)</f>
        <v>0</v>
      </c>
    </row>
    <row r="172" spans="1:5" x14ac:dyDescent="0.25">
      <c r="A172" s="1" t="s">
        <v>251</v>
      </c>
      <c r="B172" s="1" t="s">
        <v>252</v>
      </c>
      <c r="C172" s="2">
        <v>32081</v>
      </c>
      <c r="D172" s="1" t="s">
        <v>12</v>
      </c>
      <c r="E172" s="1">
        <f>IF(RIGHT(ubezpieczenia4[[#This Row],[Imie]],1)="a",1,0)</f>
        <v>0</v>
      </c>
    </row>
    <row r="173" spans="1:5" x14ac:dyDescent="0.25">
      <c r="A173" s="1" t="s">
        <v>253</v>
      </c>
      <c r="B173" s="1" t="s">
        <v>121</v>
      </c>
      <c r="C173" s="2">
        <v>31749</v>
      </c>
      <c r="D173" s="1" t="s">
        <v>6</v>
      </c>
      <c r="E173" s="1">
        <f>IF(RIGHT(ubezpieczenia4[[#This Row],[Imie]],1)="a",1,0)</f>
        <v>1</v>
      </c>
    </row>
    <row r="174" spans="1:5" x14ac:dyDescent="0.25">
      <c r="A174" s="1" t="s">
        <v>254</v>
      </c>
      <c r="B174" s="1" t="s">
        <v>255</v>
      </c>
      <c r="C174" s="2">
        <v>18648</v>
      </c>
      <c r="D174" s="1" t="s">
        <v>40</v>
      </c>
      <c r="E174" s="1">
        <f>IF(RIGHT(ubezpieczenia4[[#This Row],[Imie]],1)="a",1,0)</f>
        <v>0</v>
      </c>
    </row>
    <row r="175" spans="1:5" x14ac:dyDescent="0.25">
      <c r="A175" s="1" t="s">
        <v>256</v>
      </c>
      <c r="B175" s="1" t="s">
        <v>257</v>
      </c>
      <c r="C175" s="2">
        <v>16734</v>
      </c>
      <c r="D175" s="1" t="s">
        <v>6</v>
      </c>
      <c r="E175" s="1">
        <f>IF(RIGHT(ubezpieczenia4[[#This Row],[Imie]],1)="a",1,0)</f>
        <v>0</v>
      </c>
    </row>
    <row r="176" spans="1:5" x14ac:dyDescent="0.25">
      <c r="A176" s="1" t="s">
        <v>258</v>
      </c>
      <c r="B176" s="1" t="s">
        <v>47</v>
      </c>
      <c r="C176" s="2">
        <v>25036</v>
      </c>
      <c r="D176" s="1" t="s">
        <v>12</v>
      </c>
      <c r="E176" s="1">
        <f>IF(RIGHT(ubezpieczenia4[[#This Row],[Imie]],1)="a",1,0)</f>
        <v>1</v>
      </c>
    </row>
    <row r="177" spans="1:5" x14ac:dyDescent="0.25">
      <c r="A177" s="1" t="s">
        <v>259</v>
      </c>
      <c r="B177" s="1" t="s">
        <v>260</v>
      </c>
      <c r="C177" s="2">
        <v>17342</v>
      </c>
      <c r="D177" s="1" t="s">
        <v>6</v>
      </c>
      <c r="E177" s="1">
        <f>IF(RIGHT(ubezpieczenia4[[#This Row],[Imie]],1)="a",1,0)</f>
        <v>0</v>
      </c>
    </row>
    <row r="178" spans="1:5" x14ac:dyDescent="0.25">
      <c r="A178" s="1" t="s">
        <v>206</v>
      </c>
      <c r="B178" s="1" t="s">
        <v>167</v>
      </c>
      <c r="C178" s="2">
        <v>23157</v>
      </c>
      <c r="D178" s="1" t="s">
        <v>9</v>
      </c>
      <c r="E178" s="1">
        <f>IF(RIGHT(ubezpieczenia4[[#This Row],[Imie]],1)="a",1,0)</f>
        <v>0</v>
      </c>
    </row>
    <row r="179" spans="1:5" x14ac:dyDescent="0.25">
      <c r="A179" s="1" t="s">
        <v>261</v>
      </c>
      <c r="B179" s="1" t="s">
        <v>37</v>
      </c>
      <c r="C179" s="2">
        <v>17166</v>
      </c>
      <c r="D179" s="1" t="s">
        <v>12</v>
      </c>
      <c r="E179" s="1">
        <f>IF(RIGHT(ubezpieczenia4[[#This Row],[Imie]],1)="a",1,0)</f>
        <v>1</v>
      </c>
    </row>
    <row r="180" spans="1:5" x14ac:dyDescent="0.25">
      <c r="A180" s="1" t="s">
        <v>262</v>
      </c>
      <c r="B180" s="1" t="s">
        <v>263</v>
      </c>
      <c r="C180" s="2">
        <v>24471</v>
      </c>
      <c r="D180" s="1" t="s">
        <v>12</v>
      </c>
      <c r="E180" s="1">
        <f>IF(RIGHT(ubezpieczenia4[[#This Row],[Imie]],1)="a",1,0)</f>
        <v>1</v>
      </c>
    </row>
    <row r="181" spans="1:5" x14ac:dyDescent="0.25">
      <c r="A181" s="1" t="s">
        <v>264</v>
      </c>
      <c r="B181" s="1" t="s">
        <v>157</v>
      </c>
      <c r="C181" s="2">
        <v>34523</v>
      </c>
      <c r="D181" s="1" t="s">
        <v>6</v>
      </c>
      <c r="E181" s="1">
        <f>IF(RIGHT(ubezpieczenia4[[#This Row],[Imie]],1)="a",1,0)</f>
        <v>1</v>
      </c>
    </row>
    <row r="182" spans="1:5" x14ac:dyDescent="0.25">
      <c r="A182" s="1" t="s">
        <v>265</v>
      </c>
      <c r="B182" s="1" t="s">
        <v>139</v>
      </c>
      <c r="C182" s="2">
        <v>18354</v>
      </c>
      <c r="D182" s="1" t="s">
        <v>6</v>
      </c>
      <c r="E182" s="1">
        <f>IF(RIGHT(ubezpieczenia4[[#This Row],[Imie]],1)="a",1,0)</f>
        <v>0</v>
      </c>
    </row>
    <row r="183" spans="1:5" x14ac:dyDescent="0.25">
      <c r="A183" s="1" t="s">
        <v>266</v>
      </c>
      <c r="B183" s="1" t="s">
        <v>267</v>
      </c>
      <c r="C183" s="2">
        <v>34069</v>
      </c>
      <c r="D183" s="1" t="s">
        <v>12</v>
      </c>
      <c r="E183" s="1">
        <f>IF(RIGHT(ubezpieczenia4[[#This Row],[Imie]],1)="a",1,0)</f>
        <v>0</v>
      </c>
    </row>
    <row r="184" spans="1:5" x14ac:dyDescent="0.25">
      <c r="A184" s="1" t="s">
        <v>268</v>
      </c>
      <c r="B184" s="1" t="s">
        <v>269</v>
      </c>
      <c r="C184" s="2">
        <v>17331</v>
      </c>
      <c r="D184" s="1" t="s">
        <v>12</v>
      </c>
      <c r="E184" s="1">
        <f>IF(RIGHT(ubezpieczenia4[[#This Row],[Imie]],1)="a",1,0)</f>
        <v>1</v>
      </c>
    </row>
    <row r="185" spans="1:5" x14ac:dyDescent="0.25">
      <c r="A185" s="1" t="s">
        <v>270</v>
      </c>
      <c r="B185" s="1" t="s">
        <v>39</v>
      </c>
      <c r="C185" s="2">
        <v>33550</v>
      </c>
      <c r="D185" s="1" t="s">
        <v>40</v>
      </c>
      <c r="E185" s="1">
        <f>IF(RIGHT(ubezpieczenia4[[#This Row],[Imie]],1)="a",1,0)</f>
        <v>1</v>
      </c>
    </row>
    <row r="186" spans="1:5" x14ac:dyDescent="0.25">
      <c r="A186" s="1" t="s">
        <v>271</v>
      </c>
      <c r="B186" s="1" t="s">
        <v>255</v>
      </c>
      <c r="C186" s="2">
        <v>24426</v>
      </c>
      <c r="D186" s="1" t="s">
        <v>6</v>
      </c>
      <c r="E186" s="1">
        <f>IF(RIGHT(ubezpieczenia4[[#This Row],[Imie]],1)="a",1,0)</f>
        <v>0</v>
      </c>
    </row>
    <row r="187" spans="1:5" x14ac:dyDescent="0.25">
      <c r="A187" s="1" t="s">
        <v>272</v>
      </c>
      <c r="B187" s="1" t="s">
        <v>273</v>
      </c>
      <c r="C187" s="2">
        <v>19307</v>
      </c>
      <c r="D187" s="1" t="s">
        <v>40</v>
      </c>
      <c r="E187" s="1">
        <f>IF(RIGHT(ubezpieczenia4[[#This Row],[Imie]],1)="a",1,0)</f>
        <v>0</v>
      </c>
    </row>
    <row r="188" spans="1:5" x14ac:dyDescent="0.25">
      <c r="A188" s="1" t="s">
        <v>274</v>
      </c>
      <c r="B188" s="1" t="s">
        <v>121</v>
      </c>
      <c r="C188" s="2">
        <v>26626</v>
      </c>
      <c r="D188" s="1" t="s">
        <v>12</v>
      </c>
      <c r="E188" s="1">
        <f>IF(RIGHT(ubezpieczenia4[[#This Row],[Imie]],1)="a",1,0)</f>
        <v>1</v>
      </c>
    </row>
    <row r="189" spans="1:5" x14ac:dyDescent="0.25">
      <c r="A189" s="1" t="s">
        <v>275</v>
      </c>
      <c r="B189" s="1" t="s">
        <v>169</v>
      </c>
      <c r="C189" s="2">
        <v>21897</v>
      </c>
      <c r="D189" s="1" t="s">
        <v>12</v>
      </c>
      <c r="E189" s="1">
        <f>IF(RIGHT(ubezpieczenia4[[#This Row],[Imie]],1)="a",1,0)</f>
        <v>0</v>
      </c>
    </row>
    <row r="190" spans="1:5" x14ac:dyDescent="0.25">
      <c r="A190" s="1" t="s">
        <v>276</v>
      </c>
      <c r="B190" s="1" t="s">
        <v>52</v>
      </c>
      <c r="C190" s="2">
        <v>34865</v>
      </c>
      <c r="D190" s="1" t="s">
        <v>12</v>
      </c>
      <c r="E190" s="1">
        <f>IF(RIGHT(ubezpieczenia4[[#This Row],[Imie]],1)="a",1,0)</f>
        <v>1</v>
      </c>
    </row>
    <row r="191" spans="1:5" x14ac:dyDescent="0.25">
      <c r="A191" s="1" t="s">
        <v>163</v>
      </c>
      <c r="B191" s="1" t="s">
        <v>277</v>
      </c>
      <c r="C191" s="2">
        <v>19712</v>
      </c>
      <c r="D191" s="1" t="s">
        <v>12</v>
      </c>
      <c r="E191" s="1">
        <f>IF(RIGHT(ubezpieczenia4[[#This Row],[Imie]],1)="a",1,0)</f>
        <v>1</v>
      </c>
    </row>
    <row r="192" spans="1:5" x14ac:dyDescent="0.25">
      <c r="A192" s="1" t="s">
        <v>278</v>
      </c>
      <c r="B192" s="1" t="s">
        <v>52</v>
      </c>
      <c r="C192" s="2">
        <v>27893</v>
      </c>
      <c r="D192" s="1" t="s">
        <v>6</v>
      </c>
      <c r="E192" s="1">
        <f>IF(RIGHT(ubezpieczenia4[[#This Row],[Imie]],1)="a",1,0)</f>
        <v>1</v>
      </c>
    </row>
    <row r="193" spans="1:5" x14ac:dyDescent="0.25">
      <c r="A193" s="1" t="s">
        <v>279</v>
      </c>
      <c r="B193" s="1" t="s">
        <v>280</v>
      </c>
      <c r="C193" s="2">
        <v>28226</v>
      </c>
      <c r="D193" s="1" t="s">
        <v>12</v>
      </c>
      <c r="E193" s="1">
        <f>IF(RIGHT(ubezpieczenia4[[#This Row],[Imie]],1)="a",1,0)</f>
        <v>1</v>
      </c>
    </row>
    <row r="194" spans="1:5" x14ac:dyDescent="0.25">
      <c r="A194" s="1" t="s">
        <v>281</v>
      </c>
      <c r="B194" s="1" t="s">
        <v>77</v>
      </c>
      <c r="C194" s="2">
        <v>29954</v>
      </c>
      <c r="D194" s="1" t="s">
        <v>9</v>
      </c>
      <c r="E194" s="1">
        <f>IF(RIGHT(ubezpieczenia4[[#This Row],[Imie]],1)="a",1,0)</f>
        <v>0</v>
      </c>
    </row>
    <row r="195" spans="1:5" x14ac:dyDescent="0.25">
      <c r="A195" s="1" t="s">
        <v>282</v>
      </c>
      <c r="B195" s="1" t="s">
        <v>179</v>
      </c>
      <c r="C195" s="2">
        <v>23111</v>
      </c>
      <c r="D195" s="1" t="s">
        <v>12</v>
      </c>
      <c r="E195" s="1">
        <f>IF(RIGHT(ubezpieczenia4[[#This Row],[Imie]],1)="a",1,0)</f>
        <v>0</v>
      </c>
    </row>
    <row r="196" spans="1:5" x14ac:dyDescent="0.25">
      <c r="A196" s="1" t="s">
        <v>283</v>
      </c>
      <c r="B196" s="1" t="s">
        <v>39</v>
      </c>
      <c r="C196" s="2">
        <v>24808</v>
      </c>
      <c r="D196" s="1" t="s">
        <v>12</v>
      </c>
      <c r="E196" s="1">
        <f>IF(RIGHT(ubezpieczenia4[[#This Row],[Imie]],1)="a",1,0)</f>
        <v>1</v>
      </c>
    </row>
    <row r="197" spans="1:5" x14ac:dyDescent="0.25">
      <c r="A197" s="1" t="s">
        <v>284</v>
      </c>
      <c r="B197" s="1" t="s">
        <v>16</v>
      </c>
      <c r="C197" s="2">
        <v>17601</v>
      </c>
      <c r="D197" s="1" t="s">
        <v>40</v>
      </c>
      <c r="E197" s="1">
        <f>IF(RIGHT(ubezpieczenia4[[#This Row],[Imie]],1)="a",1,0)</f>
        <v>1</v>
      </c>
    </row>
    <row r="198" spans="1:5" x14ac:dyDescent="0.25">
      <c r="A198" s="1" t="s">
        <v>285</v>
      </c>
      <c r="B198" s="1" t="s">
        <v>179</v>
      </c>
      <c r="C198" s="2">
        <v>21199</v>
      </c>
      <c r="D198" s="1" t="s">
        <v>9</v>
      </c>
      <c r="E198" s="1">
        <f>IF(RIGHT(ubezpieczenia4[[#This Row],[Imie]],1)="a",1,0)</f>
        <v>0</v>
      </c>
    </row>
    <row r="199" spans="1:5" x14ac:dyDescent="0.25">
      <c r="A199" s="1" t="s">
        <v>286</v>
      </c>
      <c r="B199" s="1" t="s">
        <v>20</v>
      </c>
      <c r="C199" s="2">
        <v>29879</v>
      </c>
      <c r="D199" s="1" t="s">
        <v>12</v>
      </c>
      <c r="E199" s="1">
        <f>IF(RIGHT(ubezpieczenia4[[#This Row],[Imie]],1)="a",1,0)</f>
        <v>1</v>
      </c>
    </row>
    <row r="200" spans="1:5" x14ac:dyDescent="0.25">
      <c r="A200" s="1" t="s">
        <v>287</v>
      </c>
      <c r="B200" s="1" t="s">
        <v>81</v>
      </c>
      <c r="C200" s="2">
        <v>19659</v>
      </c>
      <c r="D200" s="1" t="s">
        <v>6</v>
      </c>
      <c r="E200" s="1">
        <f>IF(RIGHT(ubezpieczenia4[[#This Row],[Imie]],1)="a",1,0)</f>
        <v>1</v>
      </c>
    </row>
    <row r="201" spans="1:5" x14ac:dyDescent="0.25">
      <c r="A201" s="1" t="s">
        <v>288</v>
      </c>
      <c r="B201" s="1" t="s">
        <v>8</v>
      </c>
      <c r="C201" s="2">
        <v>22514</v>
      </c>
      <c r="D201" s="1" t="s">
        <v>12</v>
      </c>
      <c r="E201" s="1">
        <f>IF(RIGHT(ubezpieczenia4[[#This Row],[Imie]],1)="a",1,0)</f>
        <v>0</v>
      </c>
    </row>
    <row r="202" spans="1:5" x14ac:dyDescent="0.25">
      <c r="A202" s="1" t="s">
        <v>289</v>
      </c>
      <c r="B202" s="1" t="s">
        <v>121</v>
      </c>
      <c r="C202" s="2">
        <v>25332</v>
      </c>
      <c r="D202" s="1" t="s">
        <v>12</v>
      </c>
      <c r="E202" s="1">
        <f>IF(RIGHT(ubezpieczenia4[[#This Row],[Imie]],1)="a",1,0)</f>
        <v>1</v>
      </c>
    </row>
    <row r="203" spans="1:5" x14ac:dyDescent="0.25">
      <c r="A203" s="1" t="s">
        <v>290</v>
      </c>
      <c r="B203" s="1" t="s">
        <v>255</v>
      </c>
      <c r="C203" s="2">
        <v>20181</v>
      </c>
      <c r="D203" s="1" t="s">
        <v>40</v>
      </c>
      <c r="E203" s="1">
        <f>IF(RIGHT(ubezpieczenia4[[#This Row],[Imie]],1)="a",1,0)</f>
        <v>0</v>
      </c>
    </row>
    <row r="204" spans="1:5" x14ac:dyDescent="0.25">
      <c r="A204" s="1" t="s">
        <v>291</v>
      </c>
      <c r="B204" s="1" t="s">
        <v>141</v>
      </c>
      <c r="C204" s="2">
        <v>19141</v>
      </c>
      <c r="D204" s="1" t="s">
        <v>12</v>
      </c>
      <c r="E204" s="1">
        <f>IF(RIGHT(ubezpieczenia4[[#This Row],[Imie]],1)="a",1,0)</f>
        <v>0</v>
      </c>
    </row>
    <row r="205" spans="1:5" x14ac:dyDescent="0.25">
      <c r="A205" s="1" t="s">
        <v>292</v>
      </c>
      <c r="B205" s="1" t="s">
        <v>293</v>
      </c>
      <c r="C205" s="2">
        <v>18147</v>
      </c>
      <c r="D205" s="1" t="s">
        <v>12</v>
      </c>
      <c r="E205" s="1">
        <f>IF(RIGHT(ubezpieczenia4[[#This Row],[Imie]],1)="a",1,0)</f>
        <v>1</v>
      </c>
    </row>
    <row r="206" spans="1:5" x14ac:dyDescent="0.25">
      <c r="A206" s="1" t="s">
        <v>294</v>
      </c>
      <c r="B206" s="1" t="s">
        <v>52</v>
      </c>
      <c r="C206" s="2">
        <v>26146</v>
      </c>
      <c r="D206" s="1" t="s">
        <v>6</v>
      </c>
      <c r="E206" s="1">
        <f>IF(RIGHT(ubezpieczenia4[[#This Row],[Imie]],1)="a",1,0)</f>
        <v>1</v>
      </c>
    </row>
    <row r="207" spans="1:5" x14ac:dyDescent="0.25">
      <c r="A207" s="1" t="s">
        <v>295</v>
      </c>
      <c r="B207" s="1" t="s">
        <v>139</v>
      </c>
      <c r="C207" s="2">
        <v>30798</v>
      </c>
      <c r="D207" s="1" t="s">
        <v>40</v>
      </c>
      <c r="E207" s="1">
        <f>IF(RIGHT(ubezpieczenia4[[#This Row],[Imie]],1)="a",1,0)</f>
        <v>0</v>
      </c>
    </row>
    <row r="208" spans="1:5" x14ac:dyDescent="0.25">
      <c r="A208" s="1" t="s">
        <v>296</v>
      </c>
      <c r="B208" s="1" t="s">
        <v>297</v>
      </c>
      <c r="C208" s="2">
        <v>24623</v>
      </c>
      <c r="D208" s="1" t="s">
        <v>12</v>
      </c>
      <c r="E208" s="1">
        <f>IF(RIGHT(ubezpieczenia4[[#This Row],[Imie]],1)="a",1,0)</f>
        <v>1</v>
      </c>
    </row>
    <row r="209" spans="1:5" x14ac:dyDescent="0.25">
      <c r="A209" s="1" t="s">
        <v>298</v>
      </c>
      <c r="B209" s="1" t="s">
        <v>18</v>
      </c>
      <c r="C209" s="2">
        <v>31818</v>
      </c>
      <c r="D209" s="1" t="s">
        <v>6</v>
      </c>
      <c r="E209" s="1">
        <f>IF(RIGHT(ubezpieczenia4[[#This Row],[Imie]],1)="a",1,0)</f>
        <v>0</v>
      </c>
    </row>
    <row r="210" spans="1:5" x14ac:dyDescent="0.25">
      <c r="A210" s="1" t="s">
        <v>299</v>
      </c>
      <c r="B210" s="1" t="s">
        <v>300</v>
      </c>
      <c r="C210" s="2">
        <v>34201</v>
      </c>
      <c r="D210" s="1" t="s">
        <v>12</v>
      </c>
      <c r="E210" s="1">
        <f>IF(RIGHT(ubezpieczenia4[[#This Row],[Imie]],1)="a",1,0)</f>
        <v>1</v>
      </c>
    </row>
    <row r="211" spans="1:5" x14ac:dyDescent="0.25">
      <c r="A211" s="1" t="s">
        <v>301</v>
      </c>
      <c r="B211" s="1" t="s">
        <v>8</v>
      </c>
      <c r="C211" s="2">
        <v>27079</v>
      </c>
      <c r="D211" s="1" t="s">
        <v>9</v>
      </c>
      <c r="E211" s="1">
        <f>IF(RIGHT(ubezpieczenia4[[#This Row],[Imie]],1)="a",1,0)</f>
        <v>0</v>
      </c>
    </row>
    <row r="212" spans="1:5" x14ac:dyDescent="0.25">
      <c r="A212" s="1" t="s">
        <v>302</v>
      </c>
      <c r="B212" s="1" t="s">
        <v>303</v>
      </c>
      <c r="C212" s="2">
        <v>18053</v>
      </c>
      <c r="D212" s="1" t="s">
        <v>9</v>
      </c>
      <c r="E212" s="1">
        <f>IF(RIGHT(ubezpieczenia4[[#This Row],[Imie]],1)="a",1,0)</f>
        <v>0</v>
      </c>
    </row>
    <row r="213" spans="1:5" x14ac:dyDescent="0.25">
      <c r="A213" s="1" t="s">
        <v>304</v>
      </c>
      <c r="B213" s="1" t="s">
        <v>49</v>
      </c>
      <c r="C213" s="2">
        <v>27059</v>
      </c>
      <c r="D213" s="1" t="s">
        <v>12</v>
      </c>
      <c r="E213" s="1">
        <f>IF(RIGHT(ubezpieczenia4[[#This Row],[Imie]],1)="a",1,0)</f>
        <v>0</v>
      </c>
    </row>
    <row r="214" spans="1:5" x14ac:dyDescent="0.25">
      <c r="A214" s="1" t="s">
        <v>305</v>
      </c>
      <c r="B214" s="1" t="s">
        <v>246</v>
      </c>
      <c r="C214" s="2">
        <v>31039</v>
      </c>
      <c r="D214" s="1" t="s">
        <v>6</v>
      </c>
      <c r="E214" s="1">
        <f>IF(RIGHT(ubezpieczenia4[[#This Row],[Imie]],1)="a",1,0)</f>
        <v>0</v>
      </c>
    </row>
    <row r="215" spans="1:5" x14ac:dyDescent="0.25">
      <c r="A215" s="1" t="s">
        <v>306</v>
      </c>
      <c r="B215" s="1" t="s">
        <v>307</v>
      </c>
      <c r="C215" s="2">
        <v>34893</v>
      </c>
      <c r="D215" s="1" t="s">
        <v>12</v>
      </c>
      <c r="E215" s="1">
        <f>IF(RIGHT(ubezpieczenia4[[#This Row],[Imie]],1)="a",1,0)</f>
        <v>0</v>
      </c>
    </row>
    <row r="216" spans="1:5" x14ac:dyDescent="0.25">
      <c r="A216" s="1" t="s">
        <v>308</v>
      </c>
      <c r="B216" s="1" t="s">
        <v>307</v>
      </c>
      <c r="C216" s="2">
        <v>22101</v>
      </c>
      <c r="D216" s="1" t="s">
        <v>6</v>
      </c>
      <c r="E216" s="1">
        <f>IF(RIGHT(ubezpieczenia4[[#This Row],[Imie]],1)="a",1,0)</f>
        <v>0</v>
      </c>
    </row>
    <row r="217" spans="1:5" x14ac:dyDescent="0.25">
      <c r="A217" s="1" t="s">
        <v>309</v>
      </c>
      <c r="B217" s="1" t="s">
        <v>177</v>
      </c>
      <c r="C217" s="2">
        <v>16267</v>
      </c>
      <c r="D217" s="1" t="s">
        <v>12</v>
      </c>
      <c r="E217" s="1">
        <f>IF(RIGHT(ubezpieczenia4[[#This Row],[Imie]],1)="a",1,0)</f>
        <v>1</v>
      </c>
    </row>
    <row r="218" spans="1:5" x14ac:dyDescent="0.25">
      <c r="A218" s="1" t="s">
        <v>310</v>
      </c>
      <c r="B218" s="1" t="s">
        <v>45</v>
      </c>
      <c r="C218" s="2">
        <v>32103</v>
      </c>
      <c r="D218" s="1" t="s">
        <v>12</v>
      </c>
      <c r="E218" s="1">
        <f>IF(RIGHT(ubezpieczenia4[[#This Row],[Imie]],1)="a",1,0)</f>
        <v>1</v>
      </c>
    </row>
    <row r="219" spans="1:5" x14ac:dyDescent="0.25">
      <c r="A219" s="1" t="s">
        <v>311</v>
      </c>
      <c r="B219" s="1" t="s">
        <v>248</v>
      </c>
      <c r="C219" s="2">
        <v>25996</v>
      </c>
      <c r="D219" s="1" t="s">
        <v>9</v>
      </c>
      <c r="E219" s="1">
        <f>IF(RIGHT(ubezpieczenia4[[#This Row],[Imie]],1)="a",1,0)</f>
        <v>1</v>
      </c>
    </row>
    <row r="220" spans="1:5" x14ac:dyDescent="0.25">
      <c r="A220" s="1" t="s">
        <v>312</v>
      </c>
      <c r="B220" s="1" t="s">
        <v>134</v>
      </c>
      <c r="C220" s="2">
        <v>33040</v>
      </c>
      <c r="D220" s="1" t="s">
        <v>12</v>
      </c>
      <c r="E220" s="1">
        <f>IF(RIGHT(ubezpieczenia4[[#This Row],[Imie]],1)="a",1,0)</f>
        <v>1</v>
      </c>
    </row>
    <row r="221" spans="1:5" x14ac:dyDescent="0.25">
      <c r="A221" s="1" t="s">
        <v>313</v>
      </c>
      <c r="B221" s="1" t="s">
        <v>20</v>
      </c>
      <c r="C221" s="2">
        <v>30671</v>
      </c>
      <c r="D221" s="1" t="s">
        <v>9</v>
      </c>
      <c r="E221" s="1">
        <f>IF(RIGHT(ubezpieczenia4[[#This Row],[Imie]],1)="a",1,0)</f>
        <v>1</v>
      </c>
    </row>
    <row r="222" spans="1:5" x14ac:dyDescent="0.25">
      <c r="A222" s="1" t="s">
        <v>314</v>
      </c>
      <c r="B222" s="1" t="s">
        <v>37</v>
      </c>
      <c r="C222" s="2">
        <v>25243</v>
      </c>
      <c r="D222" s="1" t="s">
        <v>12</v>
      </c>
      <c r="E222" s="1">
        <f>IF(RIGHT(ubezpieczenia4[[#This Row],[Imie]],1)="a",1,0)</f>
        <v>1</v>
      </c>
    </row>
    <row r="223" spans="1:5" x14ac:dyDescent="0.25">
      <c r="A223" s="1" t="s">
        <v>315</v>
      </c>
      <c r="B223" s="1" t="s">
        <v>20</v>
      </c>
      <c r="C223" s="2">
        <v>27639</v>
      </c>
      <c r="D223" s="1" t="s">
        <v>12</v>
      </c>
      <c r="E223" s="1">
        <f>IF(RIGHT(ubezpieczenia4[[#This Row],[Imie]],1)="a",1,0)</f>
        <v>1</v>
      </c>
    </row>
    <row r="224" spans="1:5" x14ac:dyDescent="0.25">
      <c r="A224" s="1" t="s">
        <v>316</v>
      </c>
      <c r="B224" s="1" t="s">
        <v>169</v>
      </c>
      <c r="C224" s="2">
        <v>25644</v>
      </c>
      <c r="D224" s="1" t="s">
        <v>12</v>
      </c>
      <c r="E224" s="1">
        <f>IF(RIGHT(ubezpieczenia4[[#This Row],[Imie]],1)="a",1,0)</f>
        <v>0</v>
      </c>
    </row>
    <row r="225" spans="1:5" x14ac:dyDescent="0.25">
      <c r="A225" s="1" t="s">
        <v>317</v>
      </c>
      <c r="B225" s="1" t="s">
        <v>318</v>
      </c>
      <c r="C225" s="2">
        <v>27683</v>
      </c>
      <c r="D225" s="1" t="s">
        <v>6</v>
      </c>
      <c r="E225" s="1">
        <f>IF(RIGHT(ubezpieczenia4[[#This Row],[Imie]],1)="a",1,0)</f>
        <v>1</v>
      </c>
    </row>
    <row r="226" spans="1:5" x14ac:dyDescent="0.25">
      <c r="A226" s="1" t="s">
        <v>174</v>
      </c>
      <c r="B226" s="1" t="s">
        <v>319</v>
      </c>
      <c r="C226" s="2">
        <v>32765</v>
      </c>
      <c r="D226" s="1" t="s">
        <v>9</v>
      </c>
      <c r="E226" s="1">
        <f>IF(RIGHT(ubezpieczenia4[[#This Row],[Imie]],1)="a",1,0)</f>
        <v>1</v>
      </c>
    </row>
    <row r="227" spans="1:5" x14ac:dyDescent="0.25">
      <c r="A227" s="1" t="s">
        <v>243</v>
      </c>
      <c r="B227" s="1" t="s">
        <v>121</v>
      </c>
      <c r="C227" s="2">
        <v>26380</v>
      </c>
      <c r="D227" s="1" t="s">
        <v>9</v>
      </c>
      <c r="E227" s="1">
        <f>IF(RIGHT(ubezpieczenia4[[#This Row],[Imie]],1)="a",1,0)</f>
        <v>1</v>
      </c>
    </row>
    <row r="228" spans="1:5" x14ac:dyDescent="0.25">
      <c r="A228" s="1" t="s">
        <v>320</v>
      </c>
      <c r="B228" s="1" t="s">
        <v>81</v>
      </c>
      <c r="C228" s="2">
        <v>21508</v>
      </c>
      <c r="D228" s="1" t="s">
        <v>6</v>
      </c>
      <c r="E228" s="1">
        <f>IF(RIGHT(ubezpieczenia4[[#This Row],[Imie]],1)="a",1,0)</f>
        <v>1</v>
      </c>
    </row>
    <row r="229" spans="1:5" x14ac:dyDescent="0.25">
      <c r="A229" s="1" t="s">
        <v>321</v>
      </c>
      <c r="B229" s="1" t="s">
        <v>11</v>
      </c>
      <c r="C229" s="2">
        <v>32790</v>
      </c>
      <c r="D229" s="1" t="s">
        <v>6</v>
      </c>
      <c r="E229" s="1">
        <f>IF(RIGHT(ubezpieczenia4[[#This Row],[Imie]],1)="a",1,0)</f>
        <v>1</v>
      </c>
    </row>
    <row r="230" spans="1:5" x14ac:dyDescent="0.25">
      <c r="A230" s="1" t="s">
        <v>164</v>
      </c>
      <c r="B230" s="1" t="s">
        <v>322</v>
      </c>
      <c r="C230" s="2">
        <v>24303</v>
      </c>
      <c r="D230" s="1" t="s">
        <v>6</v>
      </c>
      <c r="E230" s="1">
        <f>IF(RIGHT(ubezpieczenia4[[#This Row],[Imie]],1)="a",1,0)</f>
        <v>1</v>
      </c>
    </row>
    <row r="231" spans="1:5" x14ac:dyDescent="0.25">
      <c r="A231" s="1" t="s">
        <v>323</v>
      </c>
      <c r="B231" s="1" t="s">
        <v>300</v>
      </c>
      <c r="C231" s="2">
        <v>30747</v>
      </c>
      <c r="D231" s="1" t="s">
        <v>9</v>
      </c>
      <c r="E231" s="1">
        <f>IF(RIGHT(ubezpieczenia4[[#This Row],[Imie]],1)="a",1,0)</f>
        <v>1</v>
      </c>
    </row>
    <row r="232" spans="1:5" x14ac:dyDescent="0.25">
      <c r="A232" s="1" t="s">
        <v>324</v>
      </c>
      <c r="B232" s="1" t="s">
        <v>49</v>
      </c>
      <c r="C232" s="2">
        <v>19853</v>
      </c>
      <c r="D232" s="1" t="s">
        <v>12</v>
      </c>
      <c r="E232" s="1">
        <f>IF(RIGHT(ubezpieczenia4[[#This Row],[Imie]],1)="a",1,0)</f>
        <v>0</v>
      </c>
    </row>
    <row r="233" spans="1:5" x14ac:dyDescent="0.25">
      <c r="A233" s="1" t="s">
        <v>325</v>
      </c>
      <c r="B233" s="1" t="s">
        <v>20</v>
      </c>
      <c r="C233" s="2">
        <v>32147</v>
      </c>
      <c r="D233" s="1" t="s">
        <v>12</v>
      </c>
      <c r="E233" s="1">
        <f>IF(RIGHT(ubezpieczenia4[[#This Row],[Imie]],1)="a",1,0)</f>
        <v>1</v>
      </c>
    </row>
    <row r="234" spans="1:5" x14ac:dyDescent="0.25">
      <c r="A234" s="1" t="s">
        <v>326</v>
      </c>
      <c r="B234" s="1" t="s">
        <v>327</v>
      </c>
      <c r="C234" s="2">
        <v>17904</v>
      </c>
      <c r="D234" s="1" t="s">
        <v>12</v>
      </c>
      <c r="E234" s="1">
        <f>IF(RIGHT(ubezpieczenia4[[#This Row],[Imie]],1)="a",1,0)</f>
        <v>0</v>
      </c>
    </row>
    <row r="235" spans="1:5" x14ac:dyDescent="0.25">
      <c r="A235" s="1" t="s">
        <v>328</v>
      </c>
      <c r="B235" s="1" t="s">
        <v>157</v>
      </c>
      <c r="C235" s="2">
        <v>20057</v>
      </c>
      <c r="D235" s="1" t="s">
        <v>12</v>
      </c>
      <c r="E235" s="1">
        <f>IF(RIGHT(ubezpieczenia4[[#This Row],[Imie]],1)="a",1,0)</f>
        <v>1</v>
      </c>
    </row>
    <row r="236" spans="1:5" x14ac:dyDescent="0.25">
      <c r="A236" s="1" t="s">
        <v>329</v>
      </c>
      <c r="B236" s="1" t="s">
        <v>146</v>
      </c>
      <c r="C236" s="2">
        <v>30863</v>
      </c>
      <c r="D236" s="1" t="s">
        <v>9</v>
      </c>
      <c r="E236" s="1">
        <f>IF(RIGHT(ubezpieczenia4[[#This Row],[Imie]],1)="a",1,0)</f>
        <v>0</v>
      </c>
    </row>
    <row r="237" spans="1:5" x14ac:dyDescent="0.25">
      <c r="A237" s="1" t="s">
        <v>330</v>
      </c>
      <c r="B237" s="1" t="s">
        <v>139</v>
      </c>
      <c r="C237" s="2">
        <v>22435</v>
      </c>
      <c r="D237" s="1" t="s">
        <v>6</v>
      </c>
      <c r="E237" s="1">
        <f>IF(RIGHT(ubezpieczenia4[[#This Row],[Imie]],1)="a",1,0)</f>
        <v>0</v>
      </c>
    </row>
    <row r="238" spans="1:5" x14ac:dyDescent="0.25">
      <c r="A238" s="1" t="s">
        <v>130</v>
      </c>
      <c r="B238" s="1" t="s">
        <v>84</v>
      </c>
      <c r="C238" s="2">
        <v>17048</v>
      </c>
      <c r="D238" s="1" t="s">
        <v>12</v>
      </c>
      <c r="E238" s="1">
        <f>IF(RIGHT(ubezpieczenia4[[#This Row],[Imie]],1)="a",1,0)</f>
        <v>1</v>
      </c>
    </row>
    <row r="239" spans="1:5" x14ac:dyDescent="0.25">
      <c r="A239" s="1" t="s">
        <v>331</v>
      </c>
      <c r="B239" s="1" t="s">
        <v>332</v>
      </c>
      <c r="C239" s="2">
        <v>24732</v>
      </c>
      <c r="D239" s="1" t="s">
        <v>6</v>
      </c>
      <c r="E239" s="1">
        <f>IF(RIGHT(ubezpieczenia4[[#This Row],[Imie]],1)="a",1,0)</f>
        <v>0</v>
      </c>
    </row>
    <row r="240" spans="1:5" x14ac:dyDescent="0.25">
      <c r="A240" s="1" t="s">
        <v>333</v>
      </c>
      <c r="B240" s="1" t="s">
        <v>11</v>
      </c>
      <c r="C240" s="2">
        <v>18589</v>
      </c>
      <c r="D240" s="1" t="s">
        <v>6</v>
      </c>
      <c r="E240" s="1">
        <f>IF(RIGHT(ubezpieczenia4[[#This Row],[Imie]],1)="a",1,0)</f>
        <v>1</v>
      </c>
    </row>
    <row r="241" spans="1:5" x14ac:dyDescent="0.25">
      <c r="A241" s="1" t="s">
        <v>334</v>
      </c>
      <c r="B241" s="1" t="s">
        <v>49</v>
      </c>
      <c r="C241" s="2">
        <v>20727</v>
      </c>
      <c r="D241" s="1" t="s">
        <v>12</v>
      </c>
      <c r="E241" s="1">
        <f>IF(RIGHT(ubezpieczenia4[[#This Row],[Imie]],1)="a",1,0)</f>
        <v>0</v>
      </c>
    </row>
    <row r="242" spans="1:5" x14ac:dyDescent="0.25">
      <c r="A242" s="1" t="s">
        <v>335</v>
      </c>
      <c r="B242" s="1" t="s">
        <v>114</v>
      </c>
      <c r="C242" s="2">
        <v>23401</v>
      </c>
      <c r="D242" s="1" t="s">
        <v>6</v>
      </c>
      <c r="E242" s="1">
        <f>IF(RIGHT(ubezpieczenia4[[#This Row],[Imie]],1)="a",1,0)</f>
        <v>0</v>
      </c>
    </row>
    <row r="243" spans="1:5" x14ac:dyDescent="0.25">
      <c r="A243" s="1" t="s">
        <v>336</v>
      </c>
      <c r="B243" s="1" t="s">
        <v>337</v>
      </c>
      <c r="C243" s="2">
        <v>17084</v>
      </c>
      <c r="D243" s="1" t="s">
        <v>6</v>
      </c>
      <c r="E243" s="1">
        <f>IF(RIGHT(ubezpieczenia4[[#This Row],[Imie]],1)="a",1,0)</f>
        <v>1</v>
      </c>
    </row>
    <row r="244" spans="1:5" x14ac:dyDescent="0.25">
      <c r="A244" s="1" t="s">
        <v>338</v>
      </c>
      <c r="B244" s="1" t="s">
        <v>8</v>
      </c>
      <c r="C244" s="2">
        <v>30481</v>
      </c>
      <c r="D244" s="1" t="s">
        <v>12</v>
      </c>
      <c r="E244" s="1">
        <f>IF(RIGHT(ubezpieczenia4[[#This Row],[Imie]],1)="a",1,0)</f>
        <v>0</v>
      </c>
    </row>
    <row r="245" spans="1:5" x14ac:dyDescent="0.25">
      <c r="A245" s="1" t="s">
        <v>339</v>
      </c>
      <c r="B245" s="1" t="s">
        <v>20</v>
      </c>
      <c r="C245" s="2">
        <v>20651</v>
      </c>
      <c r="D245" s="1" t="s">
        <v>12</v>
      </c>
      <c r="E245" s="1">
        <f>IF(RIGHT(ubezpieczenia4[[#This Row],[Imie]],1)="a",1,0)</f>
        <v>1</v>
      </c>
    </row>
    <row r="246" spans="1:5" x14ac:dyDescent="0.25">
      <c r="A246" s="1" t="s">
        <v>340</v>
      </c>
      <c r="B246" s="1" t="s">
        <v>185</v>
      </c>
      <c r="C246" s="2">
        <v>32580</v>
      </c>
      <c r="D246" s="1" t="s">
        <v>12</v>
      </c>
      <c r="E246" s="1">
        <f>IF(RIGHT(ubezpieczenia4[[#This Row],[Imie]],1)="a",1,0)</f>
        <v>1</v>
      </c>
    </row>
    <row r="247" spans="1:5" x14ac:dyDescent="0.25">
      <c r="A247" s="1" t="s">
        <v>341</v>
      </c>
      <c r="B247" s="1" t="s">
        <v>139</v>
      </c>
      <c r="C247" s="2">
        <v>18233</v>
      </c>
      <c r="D247" s="1" t="s">
        <v>12</v>
      </c>
      <c r="E247" s="1">
        <f>IF(RIGHT(ubezpieczenia4[[#This Row],[Imie]],1)="a",1,0)</f>
        <v>0</v>
      </c>
    </row>
    <row r="248" spans="1:5" x14ac:dyDescent="0.25">
      <c r="A248" s="1" t="s">
        <v>342</v>
      </c>
      <c r="B248" s="1" t="s">
        <v>177</v>
      </c>
      <c r="C248" s="2">
        <v>24225</v>
      </c>
      <c r="D248" s="1" t="s">
        <v>6</v>
      </c>
      <c r="E248" s="1">
        <f>IF(RIGHT(ubezpieczenia4[[#This Row],[Imie]],1)="a",1,0)</f>
        <v>1</v>
      </c>
    </row>
    <row r="249" spans="1:5" x14ac:dyDescent="0.25">
      <c r="A249" s="1" t="s">
        <v>343</v>
      </c>
      <c r="B249" s="1" t="s">
        <v>45</v>
      </c>
      <c r="C249" s="2">
        <v>27299</v>
      </c>
      <c r="D249" s="1" t="s">
        <v>6</v>
      </c>
      <c r="E249" s="1">
        <f>IF(RIGHT(ubezpieczenia4[[#This Row],[Imie]],1)="a",1,0)</f>
        <v>1</v>
      </c>
    </row>
    <row r="250" spans="1:5" x14ac:dyDescent="0.25">
      <c r="A250" s="1" t="s">
        <v>344</v>
      </c>
      <c r="B250" s="1" t="s">
        <v>345</v>
      </c>
      <c r="C250" s="2">
        <v>18398</v>
      </c>
      <c r="D250" s="1" t="s">
        <v>12</v>
      </c>
      <c r="E250" s="1">
        <f>IF(RIGHT(ubezpieczenia4[[#This Row],[Imie]],1)="a",1,0)</f>
        <v>1</v>
      </c>
    </row>
    <row r="251" spans="1:5" x14ac:dyDescent="0.25">
      <c r="A251" s="1" t="s">
        <v>329</v>
      </c>
      <c r="B251" s="1" t="s">
        <v>194</v>
      </c>
      <c r="C251" s="2">
        <v>34400</v>
      </c>
      <c r="D251" s="1" t="s">
        <v>12</v>
      </c>
      <c r="E251" s="1">
        <f>IF(RIGHT(ubezpieczenia4[[#This Row],[Imie]],1)="a",1,0)</f>
        <v>1</v>
      </c>
    </row>
    <row r="252" spans="1:5" x14ac:dyDescent="0.25">
      <c r="A252" s="1" t="s">
        <v>51</v>
      </c>
      <c r="B252" s="1" t="s">
        <v>346</v>
      </c>
      <c r="C252" s="2">
        <v>21513</v>
      </c>
      <c r="D252" s="1" t="s">
        <v>12</v>
      </c>
      <c r="E252" s="1">
        <f>IF(RIGHT(ubezpieczenia4[[#This Row],[Imie]],1)="a",1,0)</f>
        <v>1</v>
      </c>
    </row>
    <row r="253" spans="1:5" x14ac:dyDescent="0.25">
      <c r="A253" s="1" t="s">
        <v>347</v>
      </c>
      <c r="B253" s="1" t="s">
        <v>236</v>
      </c>
      <c r="C253" s="2">
        <v>31749</v>
      </c>
      <c r="D253" s="1" t="s">
        <v>6</v>
      </c>
      <c r="E253" s="1">
        <f>IF(RIGHT(ubezpieczenia4[[#This Row],[Imie]],1)="a",1,0)</f>
        <v>1</v>
      </c>
    </row>
    <row r="254" spans="1:5" x14ac:dyDescent="0.25">
      <c r="A254" s="1" t="s">
        <v>348</v>
      </c>
      <c r="B254" s="1" t="s">
        <v>5</v>
      </c>
      <c r="C254" s="2">
        <v>34235</v>
      </c>
      <c r="D254" s="1" t="s">
        <v>6</v>
      </c>
      <c r="E254" s="1">
        <f>IF(RIGHT(ubezpieczenia4[[#This Row],[Imie]],1)="a",1,0)</f>
        <v>1</v>
      </c>
    </row>
    <row r="255" spans="1:5" x14ac:dyDescent="0.25">
      <c r="A255" s="1" t="s">
        <v>349</v>
      </c>
      <c r="B255" s="1" t="s">
        <v>131</v>
      </c>
      <c r="C255" s="2">
        <v>19183</v>
      </c>
      <c r="D255" s="1" t="s">
        <v>9</v>
      </c>
      <c r="E255" s="1">
        <f>IF(RIGHT(ubezpieczenia4[[#This Row],[Imie]],1)="a",1,0)</f>
        <v>1</v>
      </c>
    </row>
    <row r="256" spans="1:5" x14ac:dyDescent="0.25">
      <c r="A256" s="1" t="s">
        <v>350</v>
      </c>
      <c r="B256" s="1" t="s">
        <v>8</v>
      </c>
      <c r="C256" s="2">
        <v>27424</v>
      </c>
      <c r="D256" s="1" t="s">
        <v>12</v>
      </c>
      <c r="E256" s="1">
        <f>IF(RIGHT(ubezpieczenia4[[#This Row],[Imie]],1)="a",1,0)</f>
        <v>0</v>
      </c>
    </row>
    <row r="257" spans="1:5" x14ac:dyDescent="0.25">
      <c r="A257" s="1" t="s">
        <v>351</v>
      </c>
      <c r="B257" s="1" t="s">
        <v>152</v>
      </c>
      <c r="C257" s="2">
        <v>23665</v>
      </c>
      <c r="D257" s="1" t="s">
        <v>12</v>
      </c>
      <c r="E257" s="1">
        <f>IF(RIGHT(ubezpieczenia4[[#This Row],[Imie]],1)="a",1,0)</f>
        <v>0</v>
      </c>
    </row>
    <row r="258" spans="1:5" x14ac:dyDescent="0.25">
      <c r="A258" s="1" t="s">
        <v>352</v>
      </c>
      <c r="B258" s="1" t="s">
        <v>11</v>
      </c>
      <c r="C258" s="2">
        <v>17649</v>
      </c>
      <c r="D258" s="1" t="s">
        <v>6</v>
      </c>
      <c r="E258" s="1">
        <f>IF(RIGHT(ubezpieczenia4[[#This Row],[Imie]],1)="a",1,0)</f>
        <v>1</v>
      </c>
    </row>
    <row r="259" spans="1:5" x14ac:dyDescent="0.25">
      <c r="A259" s="1" t="s">
        <v>353</v>
      </c>
      <c r="B259" s="1" t="s">
        <v>354</v>
      </c>
      <c r="C259" s="2">
        <v>25530</v>
      </c>
      <c r="D259" s="1" t="s">
        <v>6</v>
      </c>
      <c r="E259" s="1">
        <f>IF(RIGHT(ubezpieczenia4[[#This Row],[Imie]],1)="a",1,0)</f>
        <v>1</v>
      </c>
    </row>
    <row r="260" spans="1:5" x14ac:dyDescent="0.25">
      <c r="A260" s="1" t="s">
        <v>355</v>
      </c>
      <c r="B260" s="1" t="s">
        <v>356</v>
      </c>
      <c r="C260" s="2">
        <v>34758</v>
      </c>
      <c r="D260" s="1" t="s">
        <v>9</v>
      </c>
      <c r="E260" s="1">
        <f>IF(RIGHT(ubezpieczenia4[[#This Row],[Imie]],1)="a",1,0)</f>
        <v>1</v>
      </c>
    </row>
    <row r="261" spans="1:5" x14ac:dyDescent="0.25">
      <c r="A261" s="1" t="s">
        <v>19</v>
      </c>
      <c r="B261" s="1" t="s">
        <v>357</v>
      </c>
      <c r="C261" s="2">
        <v>17531</v>
      </c>
      <c r="D261" s="1" t="s">
        <v>12</v>
      </c>
      <c r="E261" s="1">
        <f>IF(RIGHT(ubezpieczenia4[[#This Row],[Imie]],1)="a",1,0)</f>
        <v>0</v>
      </c>
    </row>
    <row r="262" spans="1:5" x14ac:dyDescent="0.25">
      <c r="A262" s="1" t="s">
        <v>358</v>
      </c>
      <c r="B262" s="1" t="s">
        <v>8</v>
      </c>
      <c r="C262" s="2">
        <v>32482</v>
      </c>
      <c r="D262" s="1" t="s">
        <v>6</v>
      </c>
      <c r="E262" s="1">
        <f>IF(RIGHT(ubezpieczenia4[[#This Row],[Imie]],1)="a",1,0)</f>
        <v>0</v>
      </c>
    </row>
    <row r="263" spans="1:5" x14ac:dyDescent="0.25">
      <c r="A263" s="1" t="s">
        <v>359</v>
      </c>
      <c r="B263" s="1" t="s">
        <v>246</v>
      </c>
      <c r="C263" s="2">
        <v>34533</v>
      </c>
      <c r="D263" s="1" t="s">
        <v>12</v>
      </c>
      <c r="E263" s="1">
        <f>IF(RIGHT(ubezpieczenia4[[#This Row],[Imie]],1)="a",1,0)</f>
        <v>0</v>
      </c>
    </row>
    <row r="264" spans="1:5" x14ac:dyDescent="0.25">
      <c r="A264" s="1" t="s">
        <v>308</v>
      </c>
      <c r="B264" s="1" t="s">
        <v>79</v>
      </c>
      <c r="C264" s="2">
        <v>28491</v>
      </c>
      <c r="D264" s="1" t="s">
        <v>12</v>
      </c>
      <c r="E264" s="1">
        <f>IF(RIGHT(ubezpieczenia4[[#This Row],[Imie]],1)="a",1,0)</f>
        <v>1</v>
      </c>
    </row>
    <row r="265" spans="1:5" x14ac:dyDescent="0.25">
      <c r="A265" s="1" t="s">
        <v>360</v>
      </c>
      <c r="B265" s="1" t="s">
        <v>361</v>
      </c>
      <c r="C265" s="2">
        <v>32689</v>
      </c>
      <c r="D265" s="1" t="s">
        <v>9</v>
      </c>
      <c r="E265" s="1">
        <f>IF(RIGHT(ubezpieczenia4[[#This Row],[Imie]],1)="a",1,0)</f>
        <v>1</v>
      </c>
    </row>
    <row r="266" spans="1:5" x14ac:dyDescent="0.25">
      <c r="A266" s="1" t="s">
        <v>162</v>
      </c>
      <c r="B266" s="1" t="s">
        <v>362</v>
      </c>
      <c r="C266" s="2">
        <v>27112</v>
      </c>
      <c r="D266" s="1" t="s">
        <v>6</v>
      </c>
      <c r="E266" s="1">
        <f>IF(RIGHT(ubezpieczenia4[[#This Row],[Imie]],1)="a",1,0)</f>
        <v>1</v>
      </c>
    </row>
    <row r="267" spans="1:5" x14ac:dyDescent="0.25">
      <c r="A267" s="1" t="s">
        <v>363</v>
      </c>
      <c r="B267" s="1" t="s">
        <v>16</v>
      </c>
      <c r="C267" s="2">
        <v>29259</v>
      </c>
      <c r="D267" s="1" t="s">
        <v>12</v>
      </c>
      <c r="E267" s="1">
        <f>IF(RIGHT(ubezpieczenia4[[#This Row],[Imie]],1)="a",1,0)</f>
        <v>1</v>
      </c>
    </row>
    <row r="268" spans="1:5" x14ac:dyDescent="0.25">
      <c r="A268" s="1" t="s">
        <v>83</v>
      </c>
      <c r="B268" s="1" t="s">
        <v>123</v>
      </c>
      <c r="C268" s="2">
        <v>18437</v>
      </c>
      <c r="D268" s="1" t="s">
        <v>6</v>
      </c>
      <c r="E268" s="1">
        <f>IF(RIGHT(ubezpieczenia4[[#This Row],[Imie]],1)="a",1,0)</f>
        <v>1</v>
      </c>
    </row>
    <row r="269" spans="1:5" x14ac:dyDescent="0.25">
      <c r="A269" s="1" t="s">
        <v>364</v>
      </c>
      <c r="B269" s="1" t="s">
        <v>194</v>
      </c>
      <c r="C269" s="2">
        <v>34406</v>
      </c>
      <c r="D269" s="1" t="s">
        <v>12</v>
      </c>
      <c r="E269" s="1">
        <f>IF(RIGHT(ubezpieczenia4[[#This Row],[Imie]],1)="a",1,0)</f>
        <v>1</v>
      </c>
    </row>
    <row r="270" spans="1:5" x14ac:dyDescent="0.25">
      <c r="A270" s="1" t="s">
        <v>365</v>
      </c>
      <c r="B270" s="1" t="s">
        <v>366</v>
      </c>
      <c r="C270" s="2">
        <v>26689</v>
      </c>
      <c r="D270" s="1" t="s">
        <v>12</v>
      </c>
      <c r="E270" s="1">
        <f>IF(RIGHT(ubezpieczenia4[[#This Row],[Imie]],1)="a",1,0)</f>
        <v>0</v>
      </c>
    </row>
    <row r="271" spans="1:5" x14ac:dyDescent="0.25">
      <c r="A271" s="1" t="s">
        <v>174</v>
      </c>
      <c r="B271" s="1" t="s">
        <v>52</v>
      </c>
      <c r="C271" s="2">
        <v>24391</v>
      </c>
      <c r="D271" s="1" t="s">
        <v>6</v>
      </c>
      <c r="E271" s="1">
        <f>IF(RIGHT(ubezpieczenia4[[#This Row],[Imie]],1)="a",1,0)</f>
        <v>1</v>
      </c>
    </row>
    <row r="272" spans="1:5" x14ac:dyDescent="0.25">
      <c r="A272" s="1" t="s">
        <v>367</v>
      </c>
      <c r="B272" s="1" t="s">
        <v>368</v>
      </c>
      <c r="C272" s="2">
        <v>22010</v>
      </c>
      <c r="D272" s="1" t="s">
        <v>12</v>
      </c>
      <c r="E272" s="1">
        <f>IF(RIGHT(ubezpieczenia4[[#This Row],[Imie]],1)="a",1,0)</f>
        <v>1</v>
      </c>
    </row>
    <row r="273" spans="1:5" x14ac:dyDescent="0.25">
      <c r="A273" s="1" t="s">
        <v>369</v>
      </c>
      <c r="B273" s="1" t="s">
        <v>332</v>
      </c>
      <c r="C273" s="2">
        <v>17207</v>
      </c>
      <c r="D273" s="1" t="s">
        <v>9</v>
      </c>
      <c r="E273" s="1">
        <f>IF(RIGHT(ubezpieczenia4[[#This Row],[Imie]],1)="a",1,0)</f>
        <v>0</v>
      </c>
    </row>
    <row r="274" spans="1:5" x14ac:dyDescent="0.25">
      <c r="A274" s="1" t="s">
        <v>370</v>
      </c>
      <c r="B274" s="1" t="s">
        <v>160</v>
      </c>
      <c r="C274" s="2">
        <v>22547</v>
      </c>
      <c r="D274" s="1" t="s">
        <v>6</v>
      </c>
      <c r="E274" s="1">
        <f>IF(RIGHT(ubezpieczenia4[[#This Row],[Imie]],1)="a",1,0)</f>
        <v>0</v>
      </c>
    </row>
    <row r="275" spans="1:5" x14ac:dyDescent="0.25">
      <c r="A275" s="1" t="s">
        <v>371</v>
      </c>
      <c r="B275" s="1" t="s">
        <v>372</v>
      </c>
      <c r="C275" s="2">
        <v>20722</v>
      </c>
      <c r="D275" s="1" t="s">
        <v>12</v>
      </c>
      <c r="E275" s="1">
        <f>IF(RIGHT(ubezpieczenia4[[#This Row],[Imie]],1)="a",1,0)</f>
        <v>1</v>
      </c>
    </row>
    <row r="276" spans="1:5" x14ac:dyDescent="0.25">
      <c r="A276" s="1" t="s">
        <v>373</v>
      </c>
      <c r="B276" s="1" t="s">
        <v>29</v>
      </c>
      <c r="C276" s="2">
        <v>24900</v>
      </c>
      <c r="D276" s="1" t="s">
        <v>12</v>
      </c>
      <c r="E276" s="1">
        <f>IF(RIGHT(ubezpieczenia4[[#This Row],[Imie]],1)="a",1,0)</f>
        <v>0</v>
      </c>
    </row>
    <row r="277" spans="1:5" x14ac:dyDescent="0.25">
      <c r="A277" s="1" t="s">
        <v>374</v>
      </c>
      <c r="B277" s="1" t="s">
        <v>37</v>
      </c>
      <c r="C277" s="2">
        <v>20808</v>
      </c>
      <c r="D277" s="1" t="s">
        <v>12</v>
      </c>
      <c r="E277" s="1">
        <f>IF(RIGHT(ubezpieczenia4[[#This Row],[Imie]],1)="a",1,0)</f>
        <v>1</v>
      </c>
    </row>
    <row r="278" spans="1:5" x14ac:dyDescent="0.25">
      <c r="A278" s="1" t="s">
        <v>375</v>
      </c>
      <c r="B278" s="1" t="s">
        <v>131</v>
      </c>
      <c r="C278" s="2">
        <v>30235</v>
      </c>
      <c r="D278" s="1" t="s">
        <v>12</v>
      </c>
      <c r="E278" s="1">
        <f>IF(RIGHT(ubezpieczenia4[[#This Row],[Imie]],1)="a",1,0)</f>
        <v>1</v>
      </c>
    </row>
    <row r="279" spans="1:5" x14ac:dyDescent="0.25">
      <c r="A279" s="1" t="s">
        <v>376</v>
      </c>
      <c r="B279" s="1" t="s">
        <v>257</v>
      </c>
      <c r="C279" s="2">
        <v>21221</v>
      </c>
      <c r="D279" s="1" t="s">
        <v>9</v>
      </c>
      <c r="E279" s="1">
        <f>IF(RIGHT(ubezpieczenia4[[#This Row],[Imie]],1)="a",1,0)</f>
        <v>0</v>
      </c>
    </row>
    <row r="280" spans="1:5" x14ac:dyDescent="0.25">
      <c r="A280" s="1" t="s">
        <v>377</v>
      </c>
      <c r="B280" s="1" t="s">
        <v>45</v>
      </c>
      <c r="C280" s="2">
        <v>20193</v>
      </c>
      <c r="D280" s="1" t="s">
        <v>6</v>
      </c>
      <c r="E280" s="1">
        <f>IF(RIGHT(ubezpieczenia4[[#This Row],[Imie]],1)="a",1,0)</f>
        <v>1</v>
      </c>
    </row>
    <row r="281" spans="1:5" x14ac:dyDescent="0.25">
      <c r="A281" s="1" t="s">
        <v>378</v>
      </c>
      <c r="B281" s="1" t="s">
        <v>141</v>
      </c>
      <c r="C281" s="2">
        <v>17137</v>
      </c>
      <c r="D281" s="1" t="s">
        <v>6</v>
      </c>
      <c r="E281" s="1">
        <f>IF(RIGHT(ubezpieczenia4[[#This Row],[Imie]],1)="a",1,0)</f>
        <v>0</v>
      </c>
    </row>
    <row r="282" spans="1:5" x14ac:dyDescent="0.25">
      <c r="A282" s="1" t="s">
        <v>379</v>
      </c>
      <c r="B282" s="1" t="s">
        <v>49</v>
      </c>
      <c r="C282" s="2">
        <v>32802</v>
      </c>
      <c r="D282" s="1" t="s">
        <v>6</v>
      </c>
      <c r="E282" s="1">
        <f>IF(RIGHT(ubezpieczenia4[[#This Row],[Imie]],1)="a",1,0)</f>
        <v>0</v>
      </c>
    </row>
    <row r="283" spans="1:5" x14ac:dyDescent="0.25">
      <c r="A283" s="1" t="s">
        <v>240</v>
      </c>
      <c r="B283" s="1" t="s">
        <v>20</v>
      </c>
      <c r="C283" s="2">
        <v>25839</v>
      </c>
      <c r="D283" s="1" t="s">
        <v>12</v>
      </c>
      <c r="E283" s="1">
        <f>IF(RIGHT(ubezpieczenia4[[#This Row],[Imie]],1)="a",1,0)</f>
        <v>1</v>
      </c>
    </row>
    <row r="284" spans="1:5" x14ac:dyDescent="0.25">
      <c r="A284" s="1" t="s">
        <v>275</v>
      </c>
      <c r="B284" s="1" t="s">
        <v>380</v>
      </c>
      <c r="C284" s="2">
        <v>32028</v>
      </c>
      <c r="D284" s="1" t="s">
        <v>12</v>
      </c>
      <c r="E284" s="1">
        <f>IF(RIGHT(ubezpieczenia4[[#This Row],[Imie]],1)="a",1,0)</f>
        <v>0</v>
      </c>
    </row>
    <row r="285" spans="1:5" x14ac:dyDescent="0.25">
      <c r="A285" s="1" t="s">
        <v>317</v>
      </c>
      <c r="B285" s="1" t="s">
        <v>192</v>
      </c>
      <c r="C285" s="2">
        <v>31556</v>
      </c>
      <c r="D285" s="1" t="s">
        <v>6</v>
      </c>
      <c r="E285" s="1">
        <f>IF(RIGHT(ubezpieczenia4[[#This Row],[Imie]],1)="a",1,0)</f>
        <v>1</v>
      </c>
    </row>
    <row r="286" spans="1:5" x14ac:dyDescent="0.25">
      <c r="A286" s="1" t="s">
        <v>381</v>
      </c>
      <c r="B286" s="1" t="s">
        <v>54</v>
      </c>
      <c r="C286" s="2">
        <v>19153</v>
      </c>
      <c r="D286" s="1" t="s">
        <v>6</v>
      </c>
      <c r="E286" s="1">
        <f>IF(RIGHT(ubezpieczenia4[[#This Row],[Imie]],1)="a",1,0)</f>
        <v>1</v>
      </c>
    </row>
    <row r="287" spans="1:5" x14ac:dyDescent="0.25">
      <c r="A287" s="1" t="s">
        <v>382</v>
      </c>
      <c r="B287" s="1" t="s">
        <v>383</v>
      </c>
      <c r="C287" s="2">
        <v>21934</v>
      </c>
      <c r="D287" s="1" t="s">
        <v>6</v>
      </c>
      <c r="E287" s="1">
        <f>IF(RIGHT(ubezpieczenia4[[#This Row],[Imie]],1)="a",1,0)</f>
        <v>1</v>
      </c>
    </row>
    <row r="288" spans="1:5" x14ac:dyDescent="0.25">
      <c r="A288" s="1" t="s">
        <v>384</v>
      </c>
      <c r="B288" s="1" t="s">
        <v>361</v>
      </c>
      <c r="C288" s="2">
        <v>28187</v>
      </c>
      <c r="D288" s="1" t="s">
        <v>12</v>
      </c>
      <c r="E288" s="1">
        <f>IF(RIGHT(ubezpieczenia4[[#This Row],[Imie]],1)="a",1,0)</f>
        <v>1</v>
      </c>
    </row>
    <row r="289" spans="1:5" x14ac:dyDescent="0.25">
      <c r="A289" s="1" t="s">
        <v>385</v>
      </c>
      <c r="B289" s="1" t="s">
        <v>252</v>
      </c>
      <c r="C289" s="2">
        <v>34291</v>
      </c>
      <c r="D289" s="1" t="s">
        <v>12</v>
      </c>
      <c r="E289" s="1">
        <f>IF(RIGHT(ubezpieczenia4[[#This Row],[Imie]],1)="a",1,0)</f>
        <v>0</v>
      </c>
    </row>
    <row r="290" spans="1:5" x14ac:dyDescent="0.25">
      <c r="A290" s="1" t="s">
        <v>386</v>
      </c>
      <c r="B290" s="1" t="s">
        <v>107</v>
      </c>
      <c r="C290" s="2">
        <v>24652</v>
      </c>
      <c r="D290" s="1" t="s">
        <v>6</v>
      </c>
      <c r="E290" s="1">
        <f>IF(RIGHT(ubezpieczenia4[[#This Row],[Imie]],1)="a",1,0)</f>
        <v>1</v>
      </c>
    </row>
    <row r="291" spans="1:5" x14ac:dyDescent="0.25">
      <c r="A291" s="1" t="s">
        <v>387</v>
      </c>
      <c r="B291" s="1" t="s">
        <v>121</v>
      </c>
      <c r="C291" s="2">
        <v>18010</v>
      </c>
      <c r="D291" s="1" t="s">
        <v>6</v>
      </c>
      <c r="E291" s="1">
        <f>IF(RIGHT(ubezpieczenia4[[#This Row],[Imie]],1)="a",1,0)</f>
        <v>1</v>
      </c>
    </row>
    <row r="292" spans="1:5" x14ac:dyDescent="0.25">
      <c r="A292" s="1" t="s">
        <v>388</v>
      </c>
      <c r="B292" s="1" t="s">
        <v>368</v>
      </c>
      <c r="C292" s="2">
        <v>26506</v>
      </c>
      <c r="D292" s="1" t="s">
        <v>40</v>
      </c>
      <c r="E292" s="1">
        <f>IF(RIGHT(ubezpieczenia4[[#This Row],[Imie]],1)="a",1,0)</f>
        <v>1</v>
      </c>
    </row>
    <row r="293" spans="1:5" x14ac:dyDescent="0.25">
      <c r="A293" s="1" t="s">
        <v>389</v>
      </c>
      <c r="B293" s="1" t="s">
        <v>160</v>
      </c>
      <c r="C293" s="2">
        <v>30368</v>
      </c>
      <c r="D293" s="1" t="s">
        <v>40</v>
      </c>
      <c r="E293" s="1">
        <f>IF(RIGHT(ubezpieczenia4[[#This Row],[Imie]],1)="a",1,0)</f>
        <v>0</v>
      </c>
    </row>
    <row r="294" spans="1:5" x14ac:dyDescent="0.25">
      <c r="A294" s="1" t="s">
        <v>162</v>
      </c>
      <c r="B294" s="1" t="s">
        <v>54</v>
      </c>
      <c r="C294" s="2">
        <v>16991</v>
      </c>
      <c r="D294" s="1" t="s">
        <v>12</v>
      </c>
      <c r="E294" s="1">
        <f>IF(RIGHT(ubezpieczenia4[[#This Row],[Imie]],1)="a",1,0)</f>
        <v>1</v>
      </c>
    </row>
    <row r="295" spans="1:5" x14ac:dyDescent="0.25">
      <c r="A295" s="1" t="s">
        <v>390</v>
      </c>
      <c r="B295" s="1" t="s">
        <v>152</v>
      </c>
      <c r="C295" s="2">
        <v>23950</v>
      </c>
      <c r="D295" s="1" t="s">
        <v>12</v>
      </c>
      <c r="E295" s="1">
        <f>IF(RIGHT(ubezpieczenia4[[#This Row],[Imie]],1)="a",1,0)</f>
        <v>0</v>
      </c>
    </row>
    <row r="296" spans="1:5" x14ac:dyDescent="0.25">
      <c r="A296" s="1" t="s">
        <v>391</v>
      </c>
      <c r="B296" s="1" t="s">
        <v>47</v>
      </c>
      <c r="C296" s="2">
        <v>26871</v>
      </c>
      <c r="D296" s="1" t="s">
        <v>12</v>
      </c>
      <c r="E296" s="1">
        <f>IF(RIGHT(ubezpieczenia4[[#This Row],[Imie]],1)="a",1,0)</f>
        <v>1</v>
      </c>
    </row>
    <row r="297" spans="1:5" x14ac:dyDescent="0.25">
      <c r="A297" s="1" t="s">
        <v>392</v>
      </c>
      <c r="B297" s="1" t="s">
        <v>260</v>
      </c>
      <c r="C297" s="2">
        <v>17268</v>
      </c>
      <c r="D297" s="1" t="s">
        <v>40</v>
      </c>
      <c r="E297" s="1">
        <f>IF(RIGHT(ubezpieczenia4[[#This Row],[Imie]],1)="a",1,0)</f>
        <v>0</v>
      </c>
    </row>
    <row r="298" spans="1:5" x14ac:dyDescent="0.25">
      <c r="A298" s="1" t="s">
        <v>393</v>
      </c>
      <c r="B298" s="1" t="s">
        <v>394</v>
      </c>
      <c r="C298" s="2">
        <v>31612</v>
      </c>
      <c r="D298" s="1" t="s">
        <v>6</v>
      </c>
      <c r="E298" s="1">
        <f>IF(RIGHT(ubezpieczenia4[[#This Row],[Imie]],1)="a",1,0)</f>
        <v>1</v>
      </c>
    </row>
    <row r="299" spans="1:5" x14ac:dyDescent="0.25">
      <c r="A299" s="1" t="s">
        <v>395</v>
      </c>
      <c r="B299" s="1" t="s">
        <v>131</v>
      </c>
      <c r="C299" s="2">
        <v>21264</v>
      </c>
      <c r="D299" s="1" t="s">
        <v>12</v>
      </c>
      <c r="E299" s="1">
        <f>IF(RIGHT(ubezpieczenia4[[#This Row],[Imie]],1)="a",1,0)</f>
        <v>1</v>
      </c>
    </row>
    <row r="300" spans="1:5" x14ac:dyDescent="0.25">
      <c r="A300" s="1" t="s">
        <v>396</v>
      </c>
      <c r="B300" s="1" t="s">
        <v>236</v>
      </c>
      <c r="C300" s="2">
        <v>29622</v>
      </c>
      <c r="D300" s="1" t="s">
        <v>40</v>
      </c>
      <c r="E300" s="1">
        <f>IF(RIGHT(ubezpieczenia4[[#This Row],[Imie]],1)="a",1,0)</f>
        <v>1</v>
      </c>
    </row>
    <row r="301" spans="1:5" x14ac:dyDescent="0.25">
      <c r="A301" s="1" t="s">
        <v>162</v>
      </c>
      <c r="B301" s="1" t="s">
        <v>20</v>
      </c>
      <c r="C301" s="2">
        <v>30875</v>
      </c>
      <c r="D301" s="1" t="s">
        <v>6</v>
      </c>
      <c r="E301" s="1">
        <f>IF(RIGHT(ubezpieczenia4[[#This Row],[Imie]],1)="a",1,0)</f>
        <v>1</v>
      </c>
    </row>
    <row r="302" spans="1:5" x14ac:dyDescent="0.25">
      <c r="A302" s="1" t="s">
        <v>397</v>
      </c>
      <c r="B302" s="1" t="s">
        <v>107</v>
      </c>
      <c r="C302" s="2">
        <v>31924</v>
      </c>
      <c r="D302" s="1" t="s">
        <v>12</v>
      </c>
      <c r="E302" s="1">
        <f>IF(RIGHT(ubezpieczenia4[[#This Row],[Imie]],1)="a",1,0)</f>
        <v>1</v>
      </c>
    </row>
    <row r="303" spans="1:5" x14ac:dyDescent="0.25">
      <c r="A303" s="1" t="s">
        <v>398</v>
      </c>
      <c r="B303" s="1" t="s">
        <v>399</v>
      </c>
      <c r="C303" s="2">
        <v>23384</v>
      </c>
      <c r="D303" s="1" t="s">
        <v>12</v>
      </c>
      <c r="E303" s="1">
        <f>IF(RIGHT(ubezpieczenia4[[#This Row],[Imie]],1)="a",1,0)</f>
        <v>0</v>
      </c>
    </row>
    <row r="304" spans="1:5" x14ac:dyDescent="0.25">
      <c r="A304" s="1" t="s">
        <v>400</v>
      </c>
      <c r="B304" s="1" t="s">
        <v>401</v>
      </c>
      <c r="C304" s="2">
        <v>32097</v>
      </c>
      <c r="D304" s="1" t="s">
        <v>6</v>
      </c>
      <c r="E304" s="1">
        <f>IF(RIGHT(ubezpieczenia4[[#This Row],[Imie]],1)="a",1,0)</f>
        <v>0</v>
      </c>
    </row>
    <row r="305" spans="1:5" x14ac:dyDescent="0.25">
      <c r="A305" s="1" t="s">
        <v>402</v>
      </c>
      <c r="B305" s="1" t="s">
        <v>403</v>
      </c>
      <c r="C305" s="2">
        <v>22555</v>
      </c>
      <c r="D305" s="1" t="s">
        <v>40</v>
      </c>
      <c r="E305" s="1">
        <f>IF(RIGHT(ubezpieczenia4[[#This Row],[Imie]],1)="a",1,0)</f>
        <v>1</v>
      </c>
    </row>
    <row r="306" spans="1:5" x14ac:dyDescent="0.25">
      <c r="A306" s="1" t="s">
        <v>317</v>
      </c>
      <c r="B306" s="1" t="s">
        <v>20</v>
      </c>
      <c r="C306" s="2">
        <v>22508</v>
      </c>
      <c r="D306" s="1" t="s">
        <v>12</v>
      </c>
      <c r="E306" s="1">
        <f>IF(RIGHT(ubezpieczenia4[[#This Row],[Imie]],1)="a",1,0)</f>
        <v>1</v>
      </c>
    </row>
    <row r="307" spans="1:5" x14ac:dyDescent="0.25">
      <c r="A307" s="1" t="s">
        <v>404</v>
      </c>
      <c r="B307" s="1" t="s">
        <v>72</v>
      </c>
      <c r="C307" s="2">
        <v>29510</v>
      </c>
      <c r="D307" s="1" t="s">
        <v>6</v>
      </c>
      <c r="E307" s="1">
        <f>IF(RIGHT(ubezpieczenia4[[#This Row],[Imie]],1)="a",1,0)</f>
        <v>0</v>
      </c>
    </row>
    <row r="308" spans="1:5" x14ac:dyDescent="0.25">
      <c r="A308" s="1" t="s">
        <v>405</v>
      </c>
      <c r="B308" s="1" t="s">
        <v>406</v>
      </c>
      <c r="C308" s="2">
        <v>22398</v>
      </c>
      <c r="D308" s="1" t="s">
        <v>12</v>
      </c>
      <c r="E308" s="1">
        <f>IF(RIGHT(ubezpieczenia4[[#This Row],[Imie]],1)="a",1,0)</f>
        <v>0</v>
      </c>
    </row>
    <row r="309" spans="1:5" x14ac:dyDescent="0.25">
      <c r="A309" s="1" t="s">
        <v>407</v>
      </c>
      <c r="B309" s="1" t="s">
        <v>20</v>
      </c>
      <c r="C309" s="2">
        <v>28394</v>
      </c>
      <c r="D309" s="1" t="s">
        <v>9</v>
      </c>
      <c r="E309" s="1">
        <f>IF(RIGHT(ubezpieczenia4[[#This Row],[Imie]],1)="a",1,0)</f>
        <v>1</v>
      </c>
    </row>
    <row r="310" spans="1:5" x14ac:dyDescent="0.25">
      <c r="A310" s="1" t="s">
        <v>408</v>
      </c>
      <c r="B310" s="1" t="s">
        <v>139</v>
      </c>
      <c r="C310" s="2">
        <v>16244</v>
      </c>
      <c r="D310" s="1" t="s">
        <v>6</v>
      </c>
      <c r="E310" s="1">
        <f>IF(RIGHT(ubezpieczenia4[[#This Row],[Imie]],1)="a",1,0)</f>
        <v>0</v>
      </c>
    </row>
    <row r="311" spans="1:5" x14ac:dyDescent="0.25">
      <c r="A311" s="1" t="s">
        <v>409</v>
      </c>
      <c r="B311" s="1" t="s">
        <v>167</v>
      </c>
      <c r="C311" s="2">
        <v>32836</v>
      </c>
      <c r="D311" s="1" t="s">
        <v>12</v>
      </c>
      <c r="E311" s="1">
        <f>IF(RIGHT(ubezpieczenia4[[#This Row],[Imie]],1)="a",1,0)</f>
        <v>0</v>
      </c>
    </row>
    <row r="312" spans="1:5" x14ac:dyDescent="0.25">
      <c r="A312" s="1" t="s">
        <v>410</v>
      </c>
      <c r="B312" s="1" t="s">
        <v>141</v>
      </c>
      <c r="C312" s="2">
        <v>23528</v>
      </c>
      <c r="D312" s="1" t="s">
        <v>6</v>
      </c>
      <c r="E312" s="1">
        <f>IF(RIGHT(ubezpieczenia4[[#This Row],[Imie]],1)="a",1,0)</f>
        <v>0</v>
      </c>
    </row>
    <row r="313" spans="1:5" x14ac:dyDescent="0.25">
      <c r="A313" s="1" t="s">
        <v>411</v>
      </c>
      <c r="B313" s="1" t="s">
        <v>412</v>
      </c>
      <c r="C313" s="2">
        <v>28489</v>
      </c>
      <c r="D313" s="1" t="s">
        <v>12</v>
      </c>
      <c r="E313" s="1">
        <f>IF(RIGHT(ubezpieczenia4[[#This Row],[Imie]],1)="a",1,0)</f>
        <v>1</v>
      </c>
    </row>
    <row r="314" spans="1:5" x14ac:dyDescent="0.25">
      <c r="A314" s="1" t="s">
        <v>413</v>
      </c>
      <c r="B314" s="1" t="s">
        <v>399</v>
      </c>
      <c r="C314" s="2">
        <v>20920</v>
      </c>
      <c r="D314" s="1" t="s">
        <v>12</v>
      </c>
      <c r="E314" s="1">
        <f>IF(RIGHT(ubezpieczenia4[[#This Row],[Imie]],1)="a",1,0)</f>
        <v>0</v>
      </c>
    </row>
    <row r="315" spans="1:5" x14ac:dyDescent="0.25">
      <c r="A315" s="1" t="s">
        <v>414</v>
      </c>
      <c r="B315" s="1" t="s">
        <v>11</v>
      </c>
      <c r="C315" s="2">
        <v>34164</v>
      </c>
      <c r="D315" s="1" t="s">
        <v>6</v>
      </c>
      <c r="E315" s="1">
        <f>IF(RIGHT(ubezpieczenia4[[#This Row],[Imie]],1)="a",1,0)</f>
        <v>1</v>
      </c>
    </row>
    <row r="316" spans="1:5" x14ac:dyDescent="0.25">
      <c r="A316" s="1" t="s">
        <v>415</v>
      </c>
      <c r="B316" s="1" t="s">
        <v>246</v>
      </c>
      <c r="C316" s="2">
        <v>32341</v>
      </c>
      <c r="D316" s="1" t="s">
        <v>6</v>
      </c>
      <c r="E316" s="1">
        <f>IF(RIGHT(ubezpieczenia4[[#This Row],[Imie]],1)="a",1,0)</f>
        <v>0</v>
      </c>
    </row>
    <row r="317" spans="1:5" x14ac:dyDescent="0.25">
      <c r="A317" s="1" t="s">
        <v>416</v>
      </c>
      <c r="B317" s="1" t="s">
        <v>194</v>
      </c>
      <c r="C317" s="2">
        <v>16640</v>
      </c>
      <c r="D317" s="1" t="s">
        <v>12</v>
      </c>
      <c r="E317" s="1">
        <f>IF(RIGHT(ubezpieczenia4[[#This Row],[Imie]],1)="a",1,0)</f>
        <v>1</v>
      </c>
    </row>
    <row r="318" spans="1:5" x14ac:dyDescent="0.25">
      <c r="A318" s="1" t="s">
        <v>417</v>
      </c>
      <c r="B318" s="1" t="s">
        <v>418</v>
      </c>
      <c r="C318" s="2">
        <v>28217</v>
      </c>
      <c r="D318" s="1" t="s">
        <v>12</v>
      </c>
      <c r="E318" s="1">
        <f>IF(RIGHT(ubezpieczenia4[[#This Row],[Imie]],1)="a",1,0)</f>
        <v>0</v>
      </c>
    </row>
    <row r="319" spans="1:5" x14ac:dyDescent="0.25">
      <c r="A319" s="1" t="s">
        <v>190</v>
      </c>
      <c r="B319" s="1" t="s">
        <v>419</v>
      </c>
      <c r="C319" s="2">
        <v>32646</v>
      </c>
      <c r="D319" s="1" t="s">
        <v>40</v>
      </c>
      <c r="E319" s="1">
        <f>IF(RIGHT(ubezpieczenia4[[#This Row],[Imie]],1)="a",1,0)</f>
        <v>0</v>
      </c>
    </row>
    <row r="320" spans="1:5" x14ac:dyDescent="0.25">
      <c r="A320" s="1" t="s">
        <v>420</v>
      </c>
      <c r="B320" s="1" t="s">
        <v>5</v>
      </c>
      <c r="C320" s="2">
        <v>28636</v>
      </c>
      <c r="D320" s="1" t="s">
        <v>40</v>
      </c>
      <c r="E320" s="1">
        <f>IF(RIGHT(ubezpieczenia4[[#This Row],[Imie]],1)="a",1,0)</f>
        <v>1</v>
      </c>
    </row>
    <row r="321" spans="1:5" x14ac:dyDescent="0.25">
      <c r="A321" s="1" t="s">
        <v>421</v>
      </c>
      <c r="B321" s="1" t="s">
        <v>8</v>
      </c>
      <c r="C321" s="2">
        <v>30418</v>
      </c>
      <c r="D321" s="1" t="s">
        <v>12</v>
      </c>
      <c r="E321" s="1">
        <f>IF(RIGHT(ubezpieczenia4[[#This Row],[Imie]],1)="a",1,0)</f>
        <v>0</v>
      </c>
    </row>
    <row r="322" spans="1:5" x14ac:dyDescent="0.25">
      <c r="A322" s="1" t="s">
        <v>110</v>
      </c>
      <c r="B322" s="1" t="s">
        <v>368</v>
      </c>
      <c r="C322" s="2">
        <v>33971</v>
      </c>
      <c r="D322" s="1" t="s">
        <v>12</v>
      </c>
      <c r="E322" s="1">
        <f>IF(RIGHT(ubezpieczenia4[[#This Row],[Imie]],1)="a",1,0)</f>
        <v>1</v>
      </c>
    </row>
    <row r="323" spans="1:5" x14ac:dyDescent="0.25">
      <c r="A323" s="1" t="s">
        <v>422</v>
      </c>
      <c r="B323" s="1" t="s">
        <v>52</v>
      </c>
      <c r="C323" s="2">
        <v>26974</v>
      </c>
      <c r="D323" s="1" t="s">
        <v>12</v>
      </c>
      <c r="E323" s="1">
        <f>IF(RIGHT(ubezpieczenia4[[#This Row],[Imie]],1)="a",1,0)</f>
        <v>1</v>
      </c>
    </row>
    <row r="324" spans="1:5" x14ac:dyDescent="0.25">
      <c r="A324" s="1" t="s">
        <v>423</v>
      </c>
      <c r="B324" s="1" t="s">
        <v>47</v>
      </c>
      <c r="C324" s="2">
        <v>21339</v>
      </c>
      <c r="D324" s="1" t="s">
        <v>12</v>
      </c>
      <c r="E324" s="1">
        <f>IF(RIGHT(ubezpieczenia4[[#This Row],[Imie]],1)="a",1,0)</f>
        <v>1</v>
      </c>
    </row>
    <row r="325" spans="1:5" x14ac:dyDescent="0.25">
      <c r="A325" s="1" t="s">
        <v>424</v>
      </c>
      <c r="B325" s="1" t="s">
        <v>90</v>
      </c>
      <c r="C325" s="2">
        <v>25150</v>
      </c>
      <c r="D325" s="1" t="s">
        <v>6</v>
      </c>
      <c r="E325" s="1">
        <f>IF(RIGHT(ubezpieczenia4[[#This Row],[Imie]],1)="a",1,0)</f>
        <v>0</v>
      </c>
    </row>
    <row r="326" spans="1:5" x14ac:dyDescent="0.25">
      <c r="A326" s="1" t="s">
        <v>425</v>
      </c>
      <c r="B326" s="1" t="s">
        <v>8</v>
      </c>
      <c r="C326" s="2">
        <v>20340</v>
      </c>
      <c r="D326" s="1" t="s">
        <v>12</v>
      </c>
      <c r="E326" s="1">
        <f>IF(RIGHT(ubezpieczenia4[[#This Row],[Imie]],1)="a",1,0)</f>
        <v>0</v>
      </c>
    </row>
    <row r="327" spans="1:5" x14ac:dyDescent="0.25">
      <c r="A327" s="1" t="s">
        <v>426</v>
      </c>
      <c r="B327" s="1" t="s">
        <v>131</v>
      </c>
      <c r="C327" s="2">
        <v>16045</v>
      </c>
      <c r="D327" s="1" t="s">
        <v>6</v>
      </c>
      <c r="E327" s="1">
        <f>IF(RIGHT(ubezpieczenia4[[#This Row],[Imie]],1)="a",1,0)</f>
        <v>1</v>
      </c>
    </row>
    <row r="328" spans="1:5" x14ac:dyDescent="0.25">
      <c r="A328" s="1" t="s">
        <v>427</v>
      </c>
      <c r="B328" s="1" t="s">
        <v>37</v>
      </c>
      <c r="C328" s="2">
        <v>18568</v>
      </c>
      <c r="D328" s="1" t="s">
        <v>12</v>
      </c>
      <c r="E328" s="1">
        <f>IF(RIGHT(ubezpieczenia4[[#This Row],[Imie]],1)="a",1,0)</f>
        <v>1</v>
      </c>
    </row>
    <row r="329" spans="1:5" x14ac:dyDescent="0.25">
      <c r="A329" s="1" t="s">
        <v>311</v>
      </c>
      <c r="B329" s="1" t="s">
        <v>199</v>
      </c>
      <c r="C329" s="2">
        <v>33976</v>
      </c>
      <c r="D329" s="1" t="s">
        <v>12</v>
      </c>
      <c r="E329" s="1">
        <f>IF(RIGHT(ubezpieczenia4[[#This Row],[Imie]],1)="a",1,0)</f>
        <v>1</v>
      </c>
    </row>
    <row r="330" spans="1:5" x14ac:dyDescent="0.25">
      <c r="A330" s="1" t="s">
        <v>428</v>
      </c>
      <c r="B330" s="1" t="s">
        <v>429</v>
      </c>
      <c r="C330" s="2">
        <v>30720</v>
      </c>
      <c r="D330" s="1" t="s">
        <v>12</v>
      </c>
      <c r="E330" s="1">
        <f>IF(RIGHT(ubezpieczenia4[[#This Row],[Imie]],1)="a",1,0)</f>
        <v>1</v>
      </c>
    </row>
    <row r="331" spans="1:5" x14ac:dyDescent="0.25">
      <c r="A331" s="1" t="s">
        <v>430</v>
      </c>
      <c r="B331" s="1" t="s">
        <v>141</v>
      </c>
      <c r="C331" s="2">
        <v>22604</v>
      </c>
      <c r="D331" s="1" t="s">
        <v>9</v>
      </c>
      <c r="E331" s="1">
        <f>IF(RIGHT(ubezpieczenia4[[#This Row],[Imie]],1)="a",1,0)</f>
        <v>0</v>
      </c>
    </row>
    <row r="332" spans="1:5" x14ac:dyDescent="0.25">
      <c r="A332" s="1" t="s">
        <v>431</v>
      </c>
      <c r="B332" s="1" t="s">
        <v>368</v>
      </c>
      <c r="C332" s="2">
        <v>19123</v>
      </c>
      <c r="D332" s="1" t="s">
        <v>12</v>
      </c>
      <c r="E332" s="1">
        <f>IF(RIGHT(ubezpieczenia4[[#This Row],[Imie]],1)="a",1,0)</f>
        <v>1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F5DF-2FE0-4F50-9DFC-3189E1FB0377}">
  <dimension ref="A1:J332"/>
  <sheetViews>
    <sheetView tabSelected="1" topLeftCell="C8" zoomScaleNormal="100" workbookViewId="0">
      <selection activeCell="J41" sqref="J41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3.28515625" bestFit="1" customWidth="1"/>
    <col min="4" max="4" width="23.28515625" bestFit="1" customWidth="1"/>
    <col min="5" max="5" width="11.140625" style="1" bestFit="1" customWidth="1"/>
    <col min="8" max="9" width="17.7109375" bestFit="1" customWidth="1"/>
    <col min="10" max="10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441</v>
      </c>
      <c r="F1" t="s">
        <v>448</v>
      </c>
      <c r="G1" t="s">
        <v>449</v>
      </c>
      <c r="I1" s="3" t="s">
        <v>434</v>
      </c>
      <c r="J1" t="s">
        <v>450</v>
      </c>
    </row>
    <row r="2" spans="1:10" x14ac:dyDescent="0.25">
      <c r="A2" s="1" t="s">
        <v>4</v>
      </c>
      <c r="B2" s="1" t="s">
        <v>5</v>
      </c>
      <c r="C2" s="2">
        <v>22190</v>
      </c>
      <c r="D2" s="1" t="s">
        <v>6</v>
      </c>
      <c r="E2" s="1">
        <f>2016-YEAR(ubezpieczenia57[[#This Row],[Data_urodz]])</f>
        <v>56</v>
      </c>
      <c r="F2" s="1">
        <f>ROUNDDOWN(ubezpieczenia57[[#This Row],[wiek]]/10,0)</f>
        <v>5</v>
      </c>
      <c r="G2" s="1">
        <v>1</v>
      </c>
      <c r="I2" s="4">
        <v>2</v>
      </c>
      <c r="J2" s="1">
        <v>62</v>
      </c>
    </row>
    <row r="3" spans="1:10" x14ac:dyDescent="0.25">
      <c r="A3" s="1" t="s">
        <v>7</v>
      </c>
      <c r="B3" s="1" t="s">
        <v>8</v>
      </c>
      <c r="C3" s="2">
        <v>30952</v>
      </c>
      <c r="D3" s="1" t="s">
        <v>9</v>
      </c>
      <c r="E3" s="1">
        <f>2016-YEAR(ubezpieczenia57[[#This Row],[Data_urodz]])</f>
        <v>32</v>
      </c>
      <c r="F3" s="1">
        <f>ROUNDDOWN(ubezpieczenia57[[#This Row],[wiek]]/10,0)</f>
        <v>3</v>
      </c>
      <c r="G3" s="1">
        <f>G2+1</f>
        <v>2</v>
      </c>
      <c r="I3" s="4">
        <v>3</v>
      </c>
      <c r="J3" s="1">
        <v>56</v>
      </c>
    </row>
    <row r="4" spans="1:10" x14ac:dyDescent="0.25">
      <c r="A4" s="1" t="s">
        <v>10</v>
      </c>
      <c r="B4" s="1" t="s">
        <v>11</v>
      </c>
      <c r="C4" s="2">
        <v>24753</v>
      </c>
      <c r="D4" s="1" t="s">
        <v>12</v>
      </c>
      <c r="E4" s="1">
        <f>2016-YEAR(ubezpieczenia57[[#This Row],[Data_urodz]])</f>
        <v>49</v>
      </c>
      <c r="F4" s="1">
        <f>ROUNDDOWN(ubezpieczenia57[[#This Row],[wiek]]/10,0)</f>
        <v>4</v>
      </c>
      <c r="G4" s="1">
        <f t="shared" ref="G4:G67" si="0">G3+1</f>
        <v>3</v>
      </c>
      <c r="I4" s="4">
        <v>4</v>
      </c>
      <c r="J4" s="1">
        <v>64</v>
      </c>
    </row>
    <row r="5" spans="1:10" x14ac:dyDescent="0.25">
      <c r="A5" s="1" t="s">
        <v>13</v>
      </c>
      <c r="B5" s="1" t="s">
        <v>14</v>
      </c>
      <c r="C5" s="2">
        <v>31544</v>
      </c>
      <c r="D5" s="1" t="s">
        <v>9</v>
      </c>
      <c r="E5" s="1">
        <f>2016-YEAR(ubezpieczenia57[[#This Row],[Data_urodz]])</f>
        <v>30</v>
      </c>
      <c r="F5" s="1">
        <f>ROUNDDOWN(ubezpieczenia57[[#This Row],[wiek]]/10,0)</f>
        <v>3</v>
      </c>
      <c r="G5" s="1">
        <f t="shared" si="0"/>
        <v>4</v>
      </c>
      <c r="I5" s="4">
        <v>5</v>
      </c>
      <c r="J5" s="1">
        <v>56</v>
      </c>
    </row>
    <row r="6" spans="1:10" x14ac:dyDescent="0.25">
      <c r="A6" s="1" t="s">
        <v>15</v>
      </c>
      <c r="B6" s="1" t="s">
        <v>16</v>
      </c>
      <c r="C6" s="2">
        <v>22780</v>
      </c>
      <c r="D6" s="1" t="s">
        <v>9</v>
      </c>
      <c r="E6" s="1">
        <f>2016-YEAR(ubezpieczenia57[[#This Row],[Data_urodz]])</f>
        <v>54</v>
      </c>
      <c r="F6" s="1">
        <f>ROUNDDOWN(ubezpieczenia57[[#This Row],[wiek]]/10,0)</f>
        <v>5</v>
      </c>
      <c r="G6" s="1">
        <f t="shared" si="0"/>
        <v>5</v>
      </c>
      <c r="I6" s="4">
        <v>6</v>
      </c>
      <c r="J6" s="1">
        <v>71</v>
      </c>
    </row>
    <row r="7" spans="1:10" x14ac:dyDescent="0.25">
      <c r="A7" s="1" t="s">
        <v>17</v>
      </c>
      <c r="B7" s="1" t="s">
        <v>18</v>
      </c>
      <c r="C7" s="2">
        <v>31694</v>
      </c>
      <c r="D7" s="1" t="s">
        <v>12</v>
      </c>
      <c r="E7" s="1">
        <f>2016-YEAR(ubezpieczenia57[[#This Row],[Data_urodz]])</f>
        <v>30</v>
      </c>
      <c r="F7" s="1">
        <f>ROUNDDOWN(ubezpieczenia57[[#This Row],[wiek]]/10,0)</f>
        <v>3</v>
      </c>
      <c r="G7" s="1">
        <f t="shared" si="0"/>
        <v>6</v>
      </c>
      <c r="I7" s="4">
        <v>7</v>
      </c>
      <c r="J7" s="1">
        <v>22</v>
      </c>
    </row>
    <row r="8" spans="1:10" x14ac:dyDescent="0.25">
      <c r="A8" s="1" t="s">
        <v>19</v>
      </c>
      <c r="B8" s="1" t="s">
        <v>20</v>
      </c>
      <c r="C8" s="2">
        <v>33569</v>
      </c>
      <c r="D8" s="1" t="s">
        <v>6</v>
      </c>
      <c r="E8" s="1">
        <f>2016-YEAR(ubezpieczenia57[[#This Row],[Data_urodz]])</f>
        <v>25</v>
      </c>
      <c r="F8" s="1">
        <f>ROUNDDOWN(ubezpieczenia57[[#This Row],[wiek]]/10,0)</f>
        <v>2</v>
      </c>
      <c r="G8" s="1">
        <f t="shared" si="0"/>
        <v>7</v>
      </c>
      <c r="I8" s="4" t="s">
        <v>435</v>
      </c>
      <c r="J8" s="1">
        <v>331</v>
      </c>
    </row>
    <row r="9" spans="1:10" x14ac:dyDescent="0.25">
      <c r="A9" s="1" t="s">
        <v>21</v>
      </c>
      <c r="B9" s="1" t="s">
        <v>22</v>
      </c>
      <c r="C9" s="2">
        <v>30372</v>
      </c>
      <c r="D9" s="1" t="s">
        <v>6</v>
      </c>
      <c r="E9" s="1">
        <f>2016-YEAR(ubezpieczenia57[[#This Row],[Data_urodz]])</f>
        <v>33</v>
      </c>
      <c r="F9" s="1">
        <f>ROUNDDOWN(ubezpieczenia57[[#This Row],[wiek]]/10,0)</f>
        <v>3</v>
      </c>
      <c r="G9" s="1">
        <f t="shared" si="0"/>
        <v>8</v>
      </c>
    </row>
    <row r="10" spans="1:10" x14ac:dyDescent="0.25">
      <c r="A10" s="1" t="s">
        <v>23</v>
      </c>
      <c r="B10" s="1" t="s">
        <v>8</v>
      </c>
      <c r="C10" s="2">
        <v>33568</v>
      </c>
      <c r="D10" s="1" t="s">
        <v>6</v>
      </c>
      <c r="E10" s="1">
        <f>2016-YEAR(ubezpieczenia57[[#This Row],[Data_urodz]])</f>
        <v>25</v>
      </c>
      <c r="F10" s="1">
        <f>ROUNDDOWN(ubezpieczenia57[[#This Row],[wiek]]/10,0)</f>
        <v>2</v>
      </c>
      <c r="G10" s="1">
        <f t="shared" si="0"/>
        <v>9</v>
      </c>
    </row>
    <row r="11" spans="1:10" x14ac:dyDescent="0.25">
      <c r="A11" s="1" t="s">
        <v>24</v>
      </c>
      <c r="B11" s="1" t="s">
        <v>25</v>
      </c>
      <c r="C11" s="2">
        <v>31111</v>
      </c>
      <c r="D11" s="1" t="s">
        <v>6</v>
      </c>
      <c r="E11" s="1">
        <f>2016-YEAR(ubezpieczenia57[[#This Row],[Data_urodz]])</f>
        <v>31</v>
      </c>
      <c r="F11" s="1">
        <f>ROUNDDOWN(ubezpieczenia57[[#This Row],[wiek]]/10,0)</f>
        <v>3</v>
      </c>
      <c r="G11" s="1">
        <f t="shared" si="0"/>
        <v>10</v>
      </c>
      <c r="I11" s="6" t="s">
        <v>451</v>
      </c>
      <c r="J11" s="7">
        <v>62</v>
      </c>
    </row>
    <row r="12" spans="1:10" x14ac:dyDescent="0.25">
      <c r="A12" s="1" t="s">
        <v>26</v>
      </c>
      <c r="B12" s="1" t="s">
        <v>27</v>
      </c>
      <c r="C12" s="2">
        <v>17347</v>
      </c>
      <c r="D12" s="1" t="s">
        <v>6</v>
      </c>
      <c r="E12" s="1">
        <f>2016-YEAR(ubezpieczenia57[[#This Row],[Data_urodz]])</f>
        <v>69</v>
      </c>
      <c r="F12" s="1">
        <f>ROUNDDOWN(ubezpieczenia57[[#This Row],[wiek]]/10,0)</f>
        <v>6</v>
      </c>
      <c r="G12" s="1">
        <f t="shared" si="0"/>
        <v>11</v>
      </c>
      <c r="I12" s="6" t="s">
        <v>452</v>
      </c>
      <c r="J12" s="7">
        <v>56</v>
      </c>
    </row>
    <row r="13" spans="1:10" x14ac:dyDescent="0.25">
      <c r="A13" s="1" t="s">
        <v>28</v>
      </c>
      <c r="B13" s="1" t="s">
        <v>29</v>
      </c>
      <c r="C13" s="2">
        <v>33321</v>
      </c>
      <c r="D13" s="1" t="s">
        <v>12</v>
      </c>
      <c r="E13" s="1">
        <f>2016-YEAR(ubezpieczenia57[[#This Row],[Data_urodz]])</f>
        <v>25</v>
      </c>
      <c r="F13" s="1">
        <f>ROUNDDOWN(ubezpieczenia57[[#This Row],[wiek]]/10,0)</f>
        <v>2</v>
      </c>
      <c r="G13" s="1">
        <f t="shared" si="0"/>
        <v>12</v>
      </c>
      <c r="I13" s="6" t="s">
        <v>453</v>
      </c>
      <c r="J13" s="7">
        <v>64</v>
      </c>
    </row>
    <row r="14" spans="1:10" x14ac:dyDescent="0.25">
      <c r="A14" s="1" t="s">
        <v>30</v>
      </c>
      <c r="B14" s="1" t="s">
        <v>8</v>
      </c>
      <c r="C14" s="2">
        <v>26093</v>
      </c>
      <c r="D14" s="1" t="s">
        <v>12</v>
      </c>
      <c r="E14" s="1">
        <f>2016-YEAR(ubezpieczenia57[[#This Row],[Data_urodz]])</f>
        <v>45</v>
      </c>
      <c r="F14" s="1">
        <f>ROUNDDOWN(ubezpieczenia57[[#This Row],[wiek]]/10,0)</f>
        <v>4</v>
      </c>
      <c r="G14" s="1">
        <f t="shared" si="0"/>
        <v>13</v>
      </c>
      <c r="I14" s="6" t="s">
        <v>454</v>
      </c>
      <c r="J14" s="7">
        <v>56</v>
      </c>
    </row>
    <row r="15" spans="1:10" x14ac:dyDescent="0.25">
      <c r="A15" s="1" t="s">
        <v>31</v>
      </c>
      <c r="B15" s="1" t="s">
        <v>32</v>
      </c>
      <c r="C15" s="2">
        <v>17144</v>
      </c>
      <c r="D15" s="1" t="s">
        <v>12</v>
      </c>
      <c r="E15" s="1">
        <f>2016-YEAR(ubezpieczenia57[[#This Row],[Data_urodz]])</f>
        <v>70</v>
      </c>
      <c r="F15" s="1">
        <f>ROUNDDOWN(ubezpieczenia57[[#This Row],[wiek]]/10,0)</f>
        <v>7</v>
      </c>
      <c r="G15" s="1">
        <f t="shared" si="0"/>
        <v>14</v>
      </c>
      <c r="I15" s="6" t="s">
        <v>455</v>
      </c>
      <c r="J15" s="7">
        <v>71</v>
      </c>
    </row>
    <row r="16" spans="1:10" x14ac:dyDescent="0.25">
      <c r="A16" s="1" t="s">
        <v>33</v>
      </c>
      <c r="B16" s="1" t="s">
        <v>34</v>
      </c>
      <c r="C16" s="2">
        <v>26019</v>
      </c>
      <c r="D16" s="1" t="s">
        <v>12</v>
      </c>
      <c r="E16" s="1">
        <f>2016-YEAR(ubezpieczenia57[[#This Row],[Data_urodz]])</f>
        <v>45</v>
      </c>
      <c r="F16" s="1">
        <f>ROUNDDOWN(ubezpieczenia57[[#This Row],[wiek]]/10,0)</f>
        <v>4</v>
      </c>
      <c r="G16" s="1">
        <f t="shared" si="0"/>
        <v>15</v>
      </c>
      <c r="I16" s="6" t="s">
        <v>456</v>
      </c>
      <c r="J16" s="7">
        <v>22</v>
      </c>
    </row>
    <row r="17" spans="1:7" x14ac:dyDescent="0.25">
      <c r="A17" s="1" t="s">
        <v>35</v>
      </c>
      <c r="B17" s="1" t="s">
        <v>27</v>
      </c>
      <c r="C17" s="2">
        <v>30193</v>
      </c>
      <c r="D17" s="1" t="s">
        <v>6</v>
      </c>
      <c r="E17" s="1">
        <f>2016-YEAR(ubezpieczenia57[[#This Row],[Data_urodz]])</f>
        <v>34</v>
      </c>
      <c r="F17" s="1">
        <f>ROUNDDOWN(ubezpieczenia57[[#This Row],[wiek]]/10,0)</f>
        <v>3</v>
      </c>
      <c r="G17" s="1">
        <f t="shared" si="0"/>
        <v>16</v>
      </c>
    </row>
    <row r="18" spans="1:7" x14ac:dyDescent="0.25">
      <c r="A18" s="1" t="s">
        <v>36</v>
      </c>
      <c r="B18" s="1" t="s">
        <v>37</v>
      </c>
      <c r="C18" s="2">
        <v>29668</v>
      </c>
      <c r="D18" s="1" t="s">
        <v>9</v>
      </c>
      <c r="E18" s="1">
        <f>2016-YEAR(ubezpieczenia57[[#This Row],[Data_urodz]])</f>
        <v>35</v>
      </c>
      <c r="F18" s="1">
        <f>ROUNDDOWN(ubezpieczenia57[[#This Row],[wiek]]/10,0)</f>
        <v>3</v>
      </c>
      <c r="G18" s="1">
        <f t="shared" si="0"/>
        <v>17</v>
      </c>
    </row>
    <row r="19" spans="1:7" x14ac:dyDescent="0.25">
      <c r="A19" s="1" t="s">
        <v>38</v>
      </c>
      <c r="B19" s="1" t="s">
        <v>39</v>
      </c>
      <c r="C19" s="2">
        <v>34945</v>
      </c>
      <c r="D19" s="1" t="s">
        <v>40</v>
      </c>
      <c r="E19" s="1">
        <f>2016-YEAR(ubezpieczenia57[[#This Row],[Data_urodz]])</f>
        <v>21</v>
      </c>
      <c r="F19" s="1">
        <f>ROUNDDOWN(ubezpieczenia57[[#This Row],[wiek]]/10,0)</f>
        <v>2</v>
      </c>
      <c r="G19" s="1">
        <f t="shared" si="0"/>
        <v>18</v>
      </c>
    </row>
    <row r="20" spans="1:7" x14ac:dyDescent="0.25">
      <c r="A20" s="1" t="s">
        <v>41</v>
      </c>
      <c r="B20" s="1" t="s">
        <v>42</v>
      </c>
      <c r="C20" s="2">
        <v>23309</v>
      </c>
      <c r="D20" s="1" t="s">
        <v>9</v>
      </c>
      <c r="E20" s="1">
        <f>2016-YEAR(ubezpieczenia57[[#This Row],[Data_urodz]])</f>
        <v>53</v>
      </c>
      <c r="F20" s="1">
        <f>ROUNDDOWN(ubezpieczenia57[[#This Row],[wiek]]/10,0)</f>
        <v>5</v>
      </c>
      <c r="G20" s="1">
        <f t="shared" si="0"/>
        <v>19</v>
      </c>
    </row>
    <row r="21" spans="1:7" x14ac:dyDescent="0.25">
      <c r="A21" s="1" t="s">
        <v>43</v>
      </c>
      <c r="B21" s="1" t="s">
        <v>20</v>
      </c>
      <c r="C21" s="2">
        <v>16498</v>
      </c>
      <c r="D21" s="1" t="s">
        <v>6</v>
      </c>
      <c r="E21" s="1">
        <f>2016-YEAR(ubezpieczenia57[[#This Row],[Data_urodz]])</f>
        <v>71</v>
      </c>
      <c r="F21" s="1">
        <f>ROUNDDOWN(ubezpieczenia57[[#This Row],[wiek]]/10,0)</f>
        <v>7</v>
      </c>
      <c r="G21" s="1">
        <f t="shared" si="0"/>
        <v>20</v>
      </c>
    </row>
    <row r="22" spans="1:7" x14ac:dyDescent="0.25">
      <c r="A22" s="1" t="s">
        <v>44</v>
      </c>
      <c r="B22" s="1" t="s">
        <v>45</v>
      </c>
      <c r="C22" s="2">
        <v>19872</v>
      </c>
      <c r="D22" s="1" t="s">
        <v>12</v>
      </c>
      <c r="E22" s="1">
        <f>2016-YEAR(ubezpieczenia57[[#This Row],[Data_urodz]])</f>
        <v>62</v>
      </c>
      <c r="F22" s="1">
        <f>ROUNDDOWN(ubezpieczenia57[[#This Row],[wiek]]/10,0)</f>
        <v>6</v>
      </c>
      <c r="G22" s="1">
        <f t="shared" si="0"/>
        <v>21</v>
      </c>
    </row>
    <row r="23" spans="1:7" x14ac:dyDescent="0.25">
      <c r="A23" s="1" t="s">
        <v>46</v>
      </c>
      <c r="B23" s="1" t="s">
        <v>47</v>
      </c>
      <c r="C23" s="2">
        <v>26018</v>
      </c>
      <c r="D23" s="1" t="s">
        <v>6</v>
      </c>
      <c r="E23" s="1">
        <f>2016-YEAR(ubezpieczenia57[[#This Row],[Data_urodz]])</f>
        <v>45</v>
      </c>
      <c r="F23" s="1">
        <f>ROUNDDOWN(ubezpieczenia57[[#This Row],[wiek]]/10,0)</f>
        <v>4</v>
      </c>
      <c r="G23" s="1">
        <f t="shared" si="0"/>
        <v>22</v>
      </c>
    </row>
    <row r="24" spans="1:7" x14ac:dyDescent="0.25">
      <c r="A24" s="1" t="s">
        <v>48</v>
      </c>
      <c r="B24" s="1" t="s">
        <v>49</v>
      </c>
      <c r="C24" s="2">
        <v>25110</v>
      </c>
      <c r="D24" s="1" t="s">
        <v>40</v>
      </c>
      <c r="E24" s="1">
        <f>2016-YEAR(ubezpieczenia57[[#This Row],[Data_urodz]])</f>
        <v>48</v>
      </c>
      <c r="F24" s="1">
        <f>ROUNDDOWN(ubezpieczenia57[[#This Row],[wiek]]/10,0)</f>
        <v>4</v>
      </c>
      <c r="G24" s="1">
        <f t="shared" si="0"/>
        <v>23</v>
      </c>
    </row>
    <row r="25" spans="1:7" x14ac:dyDescent="0.25">
      <c r="A25" s="1" t="s">
        <v>50</v>
      </c>
      <c r="B25" s="1" t="s">
        <v>29</v>
      </c>
      <c r="C25" s="2">
        <v>33411</v>
      </c>
      <c r="D25" s="1" t="s">
        <v>9</v>
      </c>
      <c r="E25" s="1">
        <f>2016-YEAR(ubezpieczenia57[[#This Row],[Data_urodz]])</f>
        <v>25</v>
      </c>
      <c r="F25" s="1">
        <f>ROUNDDOWN(ubezpieczenia57[[#This Row],[wiek]]/10,0)</f>
        <v>2</v>
      </c>
      <c r="G25" s="1">
        <f t="shared" si="0"/>
        <v>24</v>
      </c>
    </row>
    <row r="26" spans="1:7" x14ac:dyDescent="0.25">
      <c r="A26" s="1" t="s">
        <v>51</v>
      </c>
      <c r="B26" s="1" t="s">
        <v>52</v>
      </c>
      <c r="C26" s="2">
        <v>30969</v>
      </c>
      <c r="D26" s="1" t="s">
        <v>12</v>
      </c>
      <c r="E26" s="1">
        <f>2016-YEAR(ubezpieczenia57[[#This Row],[Data_urodz]])</f>
        <v>32</v>
      </c>
      <c r="F26" s="1">
        <f>ROUNDDOWN(ubezpieczenia57[[#This Row],[wiek]]/10,0)</f>
        <v>3</v>
      </c>
      <c r="G26" s="1">
        <f t="shared" si="0"/>
        <v>25</v>
      </c>
    </row>
    <row r="27" spans="1:7" x14ac:dyDescent="0.25">
      <c r="A27" s="1" t="s">
        <v>53</v>
      </c>
      <c r="B27" s="1" t="s">
        <v>54</v>
      </c>
      <c r="C27" s="2">
        <v>19368</v>
      </c>
      <c r="D27" s="1" t="s">
        <v>12</v>
      </c>
      <c r="E27" s="1">
        <f>2016-YEAR(ubezpieczenia57[[#This Row],[Data_urodz]])</f>
        <v>63</v>
      </c>
      <c r="F27" s="1">
        <f>ROUNDDOWN(ubezpieczenia57[[#This Row],[wiek]]/10,0)</f>
        <v>6</v>
      </c>
      <c r="G27" s="1">
        <f t="shared" si="0"/>
        <v>26</v>
      </c>
    </row>
    <row r="28" spans="1:7" x14ac:dyDescent="0.25">
      <c r="A28" s="1" t="s">
        <v>55</v>
      </c>
      <c r="B28" s="1" t="s">
        <v>56</v>
      </c>
      <c r="C28" s="2">
        <v>23668</v>
      </c>
      <c r="D28" s="1" t="s">
        <v>40</v>
      </c>
      <c r="E28" s="1">
        <f>2016-YEAR(ubezpieczenia57[[#This Row],[Data_urodz]])</f>
        <v>52</v>
      </c>
      <c r="F28" s="1">
        <f>ROUNDDOWN(ubezpieczenia57[[#This Row],[wiek]]/10,0)</f>
        <v>5</v>
      </c>
      <c r="G28" s="1">
        <f t="shared" si="0"/>
        <v>27</v>
      </c>
    </row>
    <row r="29" spans="1:7" x14ac:dyDescent="0.25">
      <c r="A29" s="1" t="s">
        <v>57</v>
      </c>
      <c r="B29" s="1" t="s">
        <v>58</v>
      </c>
      <c r="C29" s="2">
        <v>19851</v>
      </c>
      <c r="D29" s="1" t="s">
        <v>12</v>
      </c>
      <c r="E29" s="1">
        <f>2016-YEAR(ubezpieczenia57[[#This Row],[Data_urodz]])</f>
        <v>62</v>
      </c>
      <c r="F29" s="1">
        <f>ROUNDDOWN(ubezpieczenia57[[#This Row],[wiek]]/10,0)</f>
        <v>6</v>
      </c>
      <c r="G29" s="1">
        <f t="shared" si="0"/>
        <v>28</v>
      </c>
    </row>
    <row r="30" spans="1:7" x14ac:dyDescent="0.25">
      <c r="A30" s="1" t="s">
        <v>59</v>
      </c>
      <c r="B30" s="1" t="s">
        <v>18</v>
      </c>
      <c r="C30" s="2">
        <v>17896</v>
      </c>
      <c r="D30" s="1" t="s">
        <v>9</v>
      </c>
      <c r="E30" s="1">
        <f>2016-YEAR(ubezpieczenia57[[#This Row],[Data_urodz]])</f>
        <v>68</v>
      </c>
      <c r="F30" s="1">
        <f>ROUNDDOWN(ubezpieczenia57[[#This Row],[wiek]]/10,0)</f>
        <v>6</v>
      </c>
      <c r="G30" s="1">
        <f t="shared" si="0"/>
        <v>29</v>
      </c>
    </row>
    <row r="31" spans="1:7" x14ac:dyDescent="0.25">
      <c r="A31" s="1" t="s">
        <v>60</v>
      </c>
      <c r="B31" s="1" t="s">
        <v>11</v>
      </c>
      <c r="C31" s="2">
        <v>25045</v>
      </c>
      <c r="D31" s="1" t="s">
        <v>12</v>
      </c>
      <c r="E31" s="1">
        <f>2016-YEAR(ubezpieczenia57[[#This Row],[Data_urodz]])</f>
        <v>48</v>
      </c>
      <c r="F31" s="1">
        <f>ROUNDDOWN(ubezpieczenia57[[#This Row],[wiek]]/10,0)</f>
        <v>4</v>
      </c>
      <c r="G31" s="1">
        <f t="shared" si="0"/>
        <v>30</v>
      </c>
    </row>
    <row r="32" spans="1:7" x14ac:dyDescent="0.25">
      <c r="A32" s="1" t="s">
        <v>61</v>
      </c>
      <c r="B32" s="1" t="s">
        <v>20</v>
      </c>
      <c r="C32" s="2">
        <v>18367</v>
      </c>
      <c r="D32" s="1" t="s">
        <v>12</v>
      </c>
      <c r="E32" s="1">
        <f>2016-YEAR(ubezpieczenia57[[#This Row],[Data_urodz]])</f>
        <v>66</v>
      </c>
      <c r="F32" s="1">
        <f>ROUNDDOWN(ubezpieczenia57[[#This Row],[wiek]]/10,0)</f>
        <v>6</v>
      </c>
      <c r="G32" s="1">
        <f t="shared" si="0"/>
        <v>31</v>
      </c>
    </row>
    <row r="33" spans="1:7" x14ac:dyDescent="0.25">
      <c r="A33" s="1" t="s">
        <v>62</v>
      </c>
      <c r="B33" s="1" t="s">
        <v>20</v>
      </c>
      <c r="C33" s="2">
        <v>21630</v>
      </c>
      <c r="D33" s="1" t="s">
        <v>6</v>
      </c>
      <c r="E33" s="1">
        <f>2016-YEAR(ubezpieczenia57[[#This Row],[Data_urodz]])</f>
        <v>57</v>
      </c>
      <c r="F33" s="1">
        <f>ROUNDDOWN(ubezpieczenia57[[#This Row],[wiek]]/10,0)</f>
        <v>5</v>
      </c>
      <c r="G33" s="1">
        <f t="shared" si="0"/>
        <v>32</v>
      </c>
    </row>
    <row r="34" spans="1:7" x14ac:dyDescent="0.25">
      <c r="A34" s="1" t="s">
        <v>63</v>
      </c>
      <c r="B34" s="1" t="s">
        <v>64</v>
      </c>
      <c r="C34" s="2">
        <v>16075</v>
      </c>
      <c r="D34" s="1" t="s">
        <v>40</v>
      </c>
      <c r="E34" s="1">
        <f>2016-YEAR(ubezpieczenia57[[#This Row],[Data_urodz]])</f>
        <v>72</v>
      </c>
      <c r="F34" s="1">
        <f>ROUNDDOWN(ubezpieczenia57[[#This Row],[wiek]]/10,0)</f>
        <v>7</v>
      </c>
      <c r="G34" s="1">
        <f t="shared" si="0"/>
        <v>33</v>
      </c>
    </row>
    <row r="35" spans="1:7" x14ac:dyDescent="0.25">
      <c r="A35" s="1" t="s">
        <v>65</v>
      </c>
      <c r="B35" s="1" t="s">
        <v>20</v>
      </c>
      <c r="C35" s="2">
        <v>30640</v>
      </c>
      <c r="D35" s="1" t="s">
        <v>6</v>
      </c>
      <c r="E35" s="1">
        <f>2016-YEAR(ubezpieczenia57[[#This Row],[Data_urodz]])</f>
        <v>33</v>
      </c>
      <c r="F35" s="1">
        <f>ROUNDDOWN(ubezpieczenia57[[#This Row],[wiek]]/10,0)</f>
        <v>3</v>
      </c>
      <c r="G35" s="1">
        <f t="shared" si="0"/>
        <v>34</v>
      </c>
    </row>
    <row r="36" spans="1:7" x14ac:dyDescent="0.25">
      <c r="A36" s="1" t="s">
        <v>66</v>
      </c>
      <c r="B36" s="1" t="s">
        <v>67</v>
      </c>
      <c r="C36" s="2">
        <v>21633</v>
      </c>
      <c r="D36" s="1" t="s">
        <v>12</v>
      </c>
      <c r="E36" s="1">
        <f>2016-YEAR(ubezpieczenia57[[#This Row],[Data_urodz]])</f>
        <v>57</v>
      </c>
      <c r="F36" s="1">
        <f>ROUNDDOWN(ubezpieczenia57[[#This Row],[wiek]]/10,0)</f>
        <v>5</v>
      </c>
      <c r="G36" s="1">
        <f t="shared" si="0"/>
        <v>35</v>
      </c>
    </row>
    <row r="37" spans="1:7" x14ac:dyDescent="0.25">
      <c r="A37" s="1" t="s">
        <v>68</v>
      </c>
      <c r="B37" s="1" t="s">
        <v>69</v>
      </c>
      <c r="C37" s="2">
        <v>22843</v>
      </c>
      <c r="D37" s="1" t="s">
        <v>6</v>
      </c>
      <c r="E37" s="1">
        <f>2016-YEAR(ubezpieczenia57[[#This Row],[Data_urodz]])</f>
        <v>54</v>
      </c>
      <c r="F37" s="1">
        <f>ROUNDDOWN(ubezpieczenia57[[#This Row],[wiek]]/10,0)</f>
        <v>5</v>
      </c>
      <c r="G37" s="1">
        <f t="shared" si="0"/>
        <v>36</v>
      </c>
    </row>
    <row r="38" spans="1:7" x14ac:dyDescent="0.25">
      <c r="A38" s="1" t="s">
        <v>70</v>
      </c>
      <c r="B38" s="1" t="s">
        <v>39</v>
      </c>
      <c r="C38" s="2">
        <v>22944</v>
      </c>
      <c r="D38" s="1" t="s">
        <v>12</v>
      </c>
      <c r="E38" s="1">
        <f>2016-YEAR(ubezpieczenia57[[#This Row],[Data_urodz]])</f>
        <v>54</v>
      </c>
      <c r="F38" s="1">
        <f>ROUNDDOWN(ubezpieczenia57[[#This Row],[wiek]]/10,0)</f>
        <v>5</v>
      </c>
      <c r="G38" s="1">
        <f t="shared" si="0"/>
        <v>37</v>
      </c>
    </row>
    <row r="39" spans="1:7" x14ac:dyDescent="0.25">
      <c r="A39" s="1" t="s">
        <v>71</v>
      </c>
      <c r="B39" s="1" t="s">
        <v>72</v>
      </c>
      <c r="C39" s="2">
        <v>28856</v>
      </c>
      <c r="D39" s="1" t="s">
        <v>6</v>
      </c>
      <c r="E39" s="1">
        <f>2016-YEAR(ubezpieczenia57[[#This Row],[Data_urodz]])</f>
        <v>37</v>
      </c>
      <c r="F39" s="1">
        <f>ROUNDDOWN(ubezpieczenia57[[#This Row],[wiek]]/10,0)</f>
        <v>3</v>
      </c>
      <c r="G39" s="1">
        <f t="shared" si="0"/>
        <v>38</v>
      </c>
    </row>
    <row r="40" spans="1:7" x14ac:dyDescent="0.25">
      <c r="A40" s="1" t="s">
        <v>73</v>
      </c>
      <c r="B40" s="1" t="s">
        <v>74</v>
      </c>
      <c r="C40" s="2">
        <v>27510</v>
      </c>
      <c r="D40" s="1" t="s">
        <v>9</v>
      </c>
      <c r="E40" s="1">
        <f>2016-YEAR(ubezpieczenia57[[#This Row],[Data_urodz]])</f>
        <v>41</v>
      </c>
      <c r="F40" s="1">
        <f>ROUNDDOWN(ubezpieczenia57[[#This Row],[wiek]]/10,0)</f>
        <v>4</v>
      </c>
      <c r="G40" s="1">
        <f t="shared" si="0"/>
        <v>39</v>
      </c>
    </row>
    <row r="41" spans="1:7" x14ac:dyDescent="0.25">
      <c r="A41" s="1" t="s">
        <v>75</v>
      </c>
      <c r="B41" s="1" t="s">
        <v>52</v>
      </c>
      <c r="C41" s="2">
        <v>24744</v>
      </c>
      <c r="D41" s="1" t="s">
        <v>12</v>
      </c>
      <c r="E41" s="1">
        <f>2016-YEAR(ubezpieczenia57[[#This Row],[Data_urodz]])</f>
        <v>49</v>
      </c>
      <c r="F41" s="1">
        <f>ROUNDDOWN(ubezpieczenia57[[#This Row],[wiek]]/10,0)</f>
        <v>4</v>
      </c>
      <c r="G41" s="1">
        <f t="shared" si="0"/>
        <v>40</v>
      </c>
    </row>
    <row r="42" spans="1:7" x14ac:dyDescent="0.25">
      <c r="A42" s="1" t="s">
        <v>76</v>
      </c>
      <c r="B42" s="1" t="s">
        <v>77</v>
      </c>
      <c r="C42" s="2">
        <v>26703</v>
      </c>
      <c r="D42" s="1" t="s">
        <v>40</v>
      </c>
      <c r="E42" s="1">
        <f>2016-YEAR(ubezpieczenia57[[#This Row],[Data_urodz]])</f>
        <v>43</v>
      </c>
      <c r="F42" s="1">
        <f>ROUNDDOWN(ubezpieczenia57[[#This Row],[wiek]]/10,0)</f>
        <v>4</v>
      </c>
      <c r="G42" s="1">
        <f t="shared" si="0"/>
        <v>41</v>
      </c>
    </row>
    <row r="43" spans="1:7" x14ac:dyDescent="0.25">
      <c r="A43" s="1" t="s">
        <v>78</v>
      </c>
      <c r="B43" s="1" t="s">
        <v>79</v>
      </c>
      <c r="C43" s="2">
        <v>18847</v>
      </c>
      <c r="D43" s="1" t="s">
        <v>6</v>
      </c>
      <c r="E43" s="1">
        <f>2016-YEAR(ubezpieczenia57[[#This Row],[Data_urodz]])</f>
        <v>65</v>
      </c>
      <c r="F43" s="1">
        <f>ROUNDDOWN(ubezpieczenia57[[#This Row],[wiek]]/10,0)</f>
        <v>6</v>
      </c>
      <c r="G43" s="1">
        <f t="shared" si="0"/>
        <v>42</v>
      </c>
    </row>
    <row r="44" spans="1:7" x14ac:dyDescent="0.25">
      <c r="A44" s="1" t="s">
        <v>80</v>
      </c>
      <c r="B44" s="1" t="s">
        <v>81</v>
      </c>
      <c r="C44" s="2">
        <v>33899</v>
      </c>
      <c r="D44" s="1" t="s">
        <v>12</v>
      </c>
      <c r="E44" s="1">
        <f>2016-YEAR(ubezpieczenia57[[#This Row],[Data_urodz]])</f>
        <v>24</v>
      </c>
      <c r="F44" s="1">
        <f>ROUNDDOWN(ubezpieczenia57[[#This Row],[wiek]]/10,0)</f>
        <v>2</v>
      </c>
      <c r="G44" s="1">
        <f t="shared" si="0"/>
        <v>43</v>
      </c>
    </row>
    <row r="45" spans="1:7" x14ac:dyDescent="0.25">
      <c r="A45" s="1" t="s">
        <v>82</v>
      </c>
      <c r="B45" s="1" t="s">
        <v>42</v>
      </c>
      <c r="C45" s="2">
        <v>34773</v>
      </c>
      <c r="D45" s="1" t="s">
        <v>12</v>
      </c>
      <c r="E45" s="1">
        <f>2016-YEAR(ubezpieczenia57[[#This Row],[Data_urodz]])</f>
        <v>21</v>
      </c>
      <c r="F45" s="1">
        <f>ROUNDDOWN(ubezpieczenia57[[#This Row],[wiek]]/10,0)</f>
        <v>2</v>
      </c>
      <c r="G45" s="1">
        <f t="shared" si="0"/>
        <v>44</v>
      </c>
    </row>
    <row r="46" spans="1:7" x14ac:dyDescent="0.25">
      <c r="A46" s="1" t="s">
        <v>83</v>
      </c>
      <c r="B46" s="1" t="s">
        <v>84</v>
      </c>
      <c r="C46" s="2">
        <v>28929</v>
      </c>
      <c r="D46" s="1" t="s">
        <v>6</v>
      </c>
      <c r="E46" s="1">
        <f>2016-YEAR(ubezpieczenia57[[#This Row],[Data_urodz]])</f>
        <v>37</v>
      </c>
      <c r="F46" s="1">
        <f>ROUNDDOWN(ubezpieczenia57[[#This Row],[wiek]]/10,0)</f>
        <v>3</v>
      </c>
      <c r="G46" s="1">
        <f t="shared" si="0"/>
        <v>45</v>
      </c>
    </row>
    <row r="47" spans="1:7" x14ac:dyDescent="0.25">
      <c r="A47" s="1" t="s">
        <v>85</v>
      </c>
      <c r="B47" s="1" t="s">
        <v>42</v>
      </c>
      <c r="C47" s="2">
        <v>17612</v>
      </c>
      <c r="D47" s="1" t="s">
        <v>40</v>
      </c>
      <c r="E47" s="1">
        <f>2016-YEAR(ubezpieczenia57[[#This Row],[Data_urodz]])</f>
        <v>68</v>
      </c>
      <c r="F47" s="1">
        <f>ROUNDDOWN(ubezpieczenia57[[#This Row],[wiek]]/10,0)</f>
        <v>6</v>
      </c>
      <c r="G47" s="1">
        <f t="shared" si="0"/>
        <v>46</v>
      </c>
    </row>
    <row r="48" spans="1:7" x14ac:dyDescent="0.25">
      <c r="A48" s="1" t="s">
        <v>86</v>
      </c>
      <c r="B48" s="1" t="s">
        <v>87</v>
      </c>
      <c r="C48" s="2">
        <v>26002</v>
      </c>
      <c r="D48" s="1" t="s">
        <v>12</v>
      </c>
      <c r="E48" s="1">
        <f>2016-YEAR(ubezpieczenia57[[#This Row],[Data_urodz]])</f>
        <v>45</v>
      </c>
      <c r="F48" s="1">
        <f>ROUNDDOWN(ubezpieczenia57[[#This Row],[wiek]]/10,0)</f>
        <v>4</v>
      </c>
      <c r="G48" s="1">
        <f t="shared" si="0"/>
        <v>47</v>
      </c>
    </row>
    <row r="49" spans="1:7" x14ac:dyDescent="0.25">
      <c r="A49" s="1" t="s">
        <v>88</v>
      </c>
      <c r="B49" s="1" t="s">
        <v>52</v>
      </c>
      <c r="C49" s="2">
        <v>17050</v>
      </c>
      <c r="D49" s="1" t="s">
        <v>12</v>
      </c>
      <c r="E49" s="1">
        <f>2016-YEAR(ubezpieczenia57[[#This Row],[Data_urodz]])</f>
        <v>70</v>
      </c>
      <c r="F49" s="1">
        <f>ROUNDDOWN(ubezpieczenia57[[#This Row],[wiek]]/10,0)</f>
        <v>7</v>
      </c>
      <c r="G49" s="1">
        <f t="shared" si="0"/>
        <v>48</v>
      </c>
    </row>
    <row r="50" spans="1:7" x14ac:dyDescent="0.25">
      <c r="A50" s="1" t="s">
        <v>89</v>
      </c>
      <c r="B50" s="1" t="s">
        <v>90</v>
      </c>
      <c r="C50" s="2">
        <v>17757</v>
      </c>
      <c r="D50" s="1" t="s">
        <v>6</v>
      </c>
      <c r="E50" s="1">
        <f>2016-YEAR(ubezpieczenia57[[#This Row],[Data_urodz]])</f>
        <v>68</v>
      </c>
      <c r="F50" s="1">
        <f>ROUNDDOWN(ubezpieczenia57[[#This Row],[wiek]]/10,0)</f>
        <v>6</v>
      </c>
      <c r="G50" s="1">
        <f t="shared" si="0"/>
        <v>49</v>
      </c>
    </row>
    <row r="51" spans="1:7" x14ac:dyDescent="0.25">
      <c r="A51" s="1" t="s">
        <v>91</v>
      </c>
      <c r="B51" s="1" t="s">
        <v>92</v>
      </c>
      <c r="C51" s="2">
        <v>30155</v>
      </c>
      <c r="D51" s="1" t="s">
        <v>6</v>
      </c>
      <c r="E51" s="1">
        <f>2016-YEAR(ubezpieczenia57[[#This Row],[Data_urodz]])</f>
        <v>34</v>
      </c>
      <c r="F51" s="1">
        <f>ROUNDDOWN(ubezpieczenia57[[#This Row],[wiek]]/10,0)</f>
        <v>3</v>
      </c>
      <c r="G51" s="1">
        <f t="shared" si="0"/>
        <v>50</v>
      </c>
    </row>
    <row r="52" spans="1:7" x14ac:dyDescent="0.25">
      <c r="A52" s="1" t="s">
        <v>93</v>
      </c>
      <c r="B52" s="1" t="s">
        <v>94</v>
      </c>
      <c r="C52" s="2">
        <v>22758</v>
      </c>
      <c r="D52" s="1" t="s">
        <v>40</v>
      </c>
      <c r="E52" s="1">
        <f>2016-YEAR(ubezpieczenia57[[#This Row],[Data_urodz]])</f>
        <v>54</v>
      </c>
      <c r="F52" s="1">
        <f>ROUNDDOWN(ubezpieczenia57[[#This Row],[wiek]]/10,0)</f>
        <v>5</v>
      </c>
      <c r="G52" s="1">
        <f t="shared" si="0"/>
        <v>51</v>
      </c>
    </row>
    <row r="53" spans="1:7" x14ac:dyDescent="0.25">
      <c r="A53" s="1" t="s">
        <v>95</v>
      </c>
      <c r="B53" s="1" t="s">
        <v>52</v>
      </c>
      <c r="C53" s="2">
        <v>17830</v>
      </c>
      <c r="D53" s="1" t="s">
        <v>6</v>
      </c>
      <c r="E53" s="1">
        <f>2016-YEAR(ubezpieczenia57[[#This Row],[Data_urodz]])</f>
        <v>68</v>
      </c>
      <c r="F53" s="1">
        <f>ROUNDDOWN(ubezpieczenia57[[#This Row],[wiek]]/10,0)</f>
        <v>6</v>
      </c>
      <c r="G53" s="1">
        <f t="shared" si="0"/>
        <v>52</v>
      </c>
    </row>
    <row r="54" spans="1:7" x14ac:dyDescent="0.25">
      <c r="A54" s="1" t="s">
        <v>96</v>
      </c>
      <c r="B54" s="1" t="s">
        <v>20</v>
      </c>
      <c r="C54" s="2">
        <v>16168</v>
      </c>
      <c r="D54" s="1" t="s">
        <v>6</v>
      </c>
      <c r="E54" s="1">
        <f>2016-YEAR(ubezpieczenia57[[#This Row],[Data_urodz]])</f>
        <v>72</v>
      </c>
      <c r="F54" s="1">
        <f>ROUNDDOWN(ubezpieczenia57[[#This Row],[wiek]]/10,0)</f>
        <v>7</v>
      </c>
      <c r="G54" s="1">
        <f t="shared" si="0"/>
        <v>53</v>
      </c>
    </row>
    <row r="55" spans="1:7" x14ac:dyDescent="0.25">
      <c r="A55" s="1" t="s">
        <v>97</v>
      </c>
      <c r="B55" s="1" t="s">
        <v>98</v>
      </c>
      <c r="C55" s="2">
        <v>32118</v>
      </c>
      <c r="D55" s="1" t="s">
        <v>6</v>
      </c>
      <c r="E55" s="1">
        <f>2016-YEAR(ubezpieczenia57[[#This Row],[Data_urodz]])</f>
        <v>29</v>
      </c>
      <c r="F55" s="1">
        <f>ROUNDDOWN(ubezpieczenia57[[#This Row],[wiek]]/10,0)</f>
        <v>2</v>
      </c>
      <c r="G55" s="1">
        <f t="shared" si="0"/>
        <v>54</v>
      </c>
    </row>
    <row r="56" spans="1:7" x14ac:dyDescent="0.25">
      <c r="A56" s="1" t="s">
        <v>99</v>
      </c>
      <c r="B56" s="1" t="s">
        <v>18</v>
      </c>
      <c r="C56" s="2">
        <v>20332</v>
      </c>
      <c r="D56" s="1" t="s">
        <v>12</v>
      </c>
      <c r="E56" s="1">
        <f>2016-YEAR(ubezpieczenia57[[#This Row],[Data_urodz]])</f>
        <v>61</v>
      </c>
      <c r="F56" s="1">
        <f>ROUNDDOWN(ubezpieczenia57[[#This Row],[wiek]]/10,0)</f>
        <v>6</v>
      </c>
      <c r="G56" s="1">
        <f t="shared" si="0"/>
        <v>55</v>
      </c>
    </row>
    <row r="57" spans="1:7" x14ac:dyDescent="0.25">
      <c r="A57" s="1" t="s">
        <v>100</v>
      </c>
      <c r="B57" s="1" t="s">
        <v>49</v>
      </c>
      <c r="C57" s="2">
        <v>19375</v>
      </c>
      <c r="D57" s="1" t="s">
        <v>6</v>
      </c>
      <c r="E57" s="1">
        <f>2016-YEAR(ubezpieczenia57[[#This Row],[Data_urodz]])</f>
        <v>63</v>
      </c>
      <c r="F57" s="1">
        <f>ROUNDDOWN(ubezpieczenia57[[#This Row],[wiek]]/10,0)</f>
        <v>6</v>
      </c>
      <c r="G57" s="1">
        <f t="shared" si="0"/>
        <v>56</v>
      </c>
    </row>
    <row r="58" spans="1:7" x14ac:dyDescent="0.25">
      <c r="A58" s="1" t="s">
        <v>101</v>
      </c>
      <c r="B58" s="1" t="s">
        <v>102</v>
      </c>
      <c r="C58" s="2">
        <v>34818</v>
      </c>
      <c r="D58" s="1" t="s">
        <v>12</v>
      </c>
      <c r="E58" s="1">
        <f>2016-YEAR(ubezpieczenia57[[#This Row],[Data_urodz]])</f>
        <v>21</v>
      </c>
      <c r="F58" s="1">
        <f>ROUNDDOWN(ubezpieczenia57[[#This Row],[wiek]]/10,0)</f>
        <v>2</v>
      </c>
      <c r="G58" s="1">
        <f t="shared" si="0"/>
        <v>57</v>
      </c>
    </row>
    <row r="59" spans="1:7" x14ac:dyDescent="0.25">
      <c r="A59" s="1" t="s">
        <v>103</v>
      </c>
      <c r="B59" s="1" t="s">
        <v>16</v>
      </c>
      <c r="C59" s="2">
        <v>23775</v>
      </c>
      <c r="D59" s="1" t="s">
        <v>9</v>
      </c>
      <c r="E59" s="1">
        <f>2016-YEAR(ubezpieczenia57[[#This Row],[Data_urodz]])</f>
        <v>51</v>
      </c>
      <c r="F59" s="1">
        <f>ROUNDDOWN(ubezpieczenia57[[#This Row],[wiek]]/10,0)</f>
        <v>5</v>
      </c>
      <c r="G59" s="1">
        <f t="shared" si="0"/>
        <v>58</v>
      </c>
    </row>
    <row r="60" spans="1:7" x14ac:dyDescent="0.25">
      <c r="A60" s="1" t="s">
        <v>104</v>
      </c>
      <c r="B60" s="1" t="s">
        <v>105</v>
      </c>
      <c r="C60" s="2">
        <v>29371</v>
      </c>
      <c r="D60" s="1" t="s">
        <v>12</v>
      </c>
      <c r="E60" s="1">
        <f>2016-YEAR(ubezpieczenia57[[#This Row],[Data_urodz]])</f>
        <v>36</v>
      </c>
      <c r="F60" s="1">
        <f>ROUNDDOWN(ubezpieczenia57[[#This Row],[wiek]]/10,0)</f>
        <v>3</v>
      </c>
      <c r="G60" s="1">
        <f t="shared" si="0"/>
        <v>59</v>
      </c>
    </row>
    <row r="61" spans="1:7" x14ac:dyDescent="0.25">
      <c r="A61" s="1" t="s">
        <v>106</v>
      </c>
      <c r="B61" s="1" t="s">
        <v>107</v>
      </c>
      <c r="C61" s="2">
        <v>27370</v>
      </c>
      <c r="D61" s="1" t="s">
        <v>12</v>
      </c>
      <c r="E61" s="1">
        <f>2016-YEAR(ubezpieczenia57[[#This Row],[Data_urodz]])</f>
        <v>42</v>
      </c>
      <c r="F61" s="1">
        <f>ROUNDDOWN(ubezpieczenia57[[#This Row],[wiek]]/10,0)</f>
        <v>4</v>
      </c>
      <c r="G61" s="1">
        <f t="shared" si="0"/>
        <v>60</v>
      </c>
    </row>
    <row r="62" spans="1:7" x14ac:dyDescent="0.25">
      <c r="A62" s="1" t="s">
        <v>108</v>
      </c>
      <c r="B62" s="1" t="s">
        <v>109</v>
      </c>
      <c r="C62" s="2">
        <v>19032</v>
      </c>
      <c r="D62" s="1" t="s">
        <v>6</v>
      </c>
      <c r="E62" s="1">
        <f>2016-YEAR(ubezpieczenia57[[#This Row],[Data_urodz]])</f>
        <v>64</v>
      </c>
      <c r="F62" s="1">
        <f>ROUNDDOWN(ubezpieczenia57[[#This Row],[wiek]]/10,0)</f>
        <v>6</v>
      </c>
      <c r="G62" s="1">
        <f t="shared" si="0"/>
        <v>61</v>
      </c>
    </row>
    <row r="63" spans="1:7" x14ac:dyDescent="0.25">
      <c r="A63" s="1" t="s">
        <v>110</v>
      </c>
      <c r="B63" s="1" t="s">
        <v>37</v>
      </c>
      <c r="C63" s="2">
        <v>27475</v>
      </c>
      <c r="D63" s="1" t="s">
        <v>12</v>
      </c>
      <c r="E63" s="1">
        <f>2016-YEAR(ubezpieczenia57[[#This Row],[Data_urodz]])</f>
        <v>41</v>
      </c>
      <c r="F63" s="1">
        <f>ROUNDDOWN(ubezpieczenia57[[#This Row],[wiek]]/10,0)</f>
        <v>4</v>
      </c>
      <c r="G63" s="1">
        <f t="shared" si="0"/>
        <v>62</v>
      </c>
    </row>
    <row r="64" spans="1:7" x14ac:dyDescent="0.25">
      <c r="A64" s="1" t="s">
        <v>111</v>
      </c>
      <c r="B64" s="1" t="s">
        <v>52</v>
      </c>
      <c r="C64" s="2">
        <v>20719</v>
      </c>
      <c r="D64" s="1" t="s">
        <v>6</v>
      </c>
      <c r="E64" s="1">
        <f>2016-YEAR(ubezpieczenia57[[#This Row],[Data_urodz]])</f>
        <v>60</v>
      </c>
      <c r="F64" s="1">
        <f>ROUNDDOWN(ubezpieczenia57[[#This Row],[wiek]]/10,0)</f>
        <v>6</v>
      </c>
      <c r="G64" s="1">
        <f t="shared" si="0"/>
        <v>63</v>
      </c>
    </row>
    <row r="65" spans="1:7" x14ac:dyDescent="0.25">
      <c r="A65" s="1" t="s">
        <v>112</v>
      </c>
      <c r="B65" s="1" t="s">
        <v>8</v>
      </c>
      <c r="C65" s="2">
        <v>22206</v>
      </c>
      <c r="D65" s="1" t="s">
        <v>40</v>
      </c>
      <c r="E65" s="1">
        <f>2016-YEAR(ubezpieczenia57[[#This Row],[Data_urodz]])</f>
        <v>56</v>
      </c>
      <c r="F65" s="1">
        <f>ROUNDDOWN(ubezpieczenia57[[#This Row],[wiek]]/10,0)</f>
        <v>5</v>
      </c>
      <c r="G65" s="1">
        <f t="shared" si="0"/>
        <v>64</v>
      </c>
    </row>
    <row r="66" spans="1:7" x14ac:dyDescent="0.25">
      <c r="A66" s="1" t="s">
        <v>113</v>
      </c>
      <c r="B66" s="1" t="s">
        <v>114</v>
      </c>
      <c r="C66" s="2">
        <v>17376</v>
      </c>
      <c r="D66" s="1" t="s">
        <v>12</v>
      </c>
      <c r="E66" s="1">
        <f>2016-YEAR(ubezpieczenia57[[#This Row],[Data_urodz]])</f>
        <v>69</v>
      </c>
      <c r="F66" s="1">
        <f>ROUNDDOWN(ubezpieczenia57[[#This Row],[wiek]]/10,0)</f>
        <v>6</v>
      </c>
      <c r="G66" s="1">
        <f t="shared" si="0"/>
        <v>65</v>
      </c>
    </row>
    <row r="67" spans="1:7" x14ac:dyDescent="0.25">
      <c r="A67" s="1" t="s">
        <v>115</v>
      </c>
      <c r="B67" s="1" t="s">
        <v>114</v>
      </c>
      <c r="C67" s="2">
        <v>34280</v>
      </c>
      <c r="D67" s="1" t="s">
        <v>40</v>
      </c>
      <c r="E67" s="1">
        <f>2016-YEAR(ubezpieczenia57[[#This Row],[Data_urodz]])</f>
        <v>23</v>
      </c>
      <c r="F67" s="1">
        <f>ROUNDDOWN(ubezpieczenia57[[#This Row],[wiek]]/10,0)</f>
        <v>2</v>
      </c>
      <c r="G67" s="1">
        <f t="shared" si="0"/>
        <v>66</v>
      </c>
    </row>
    <row r="68" spans="1:7" x14ac:dyDescent="0.25">
      <c r="A68" s="1" t="s">
        <v>116</v>
      </c>
      <c r="B68" s="1" t="s">
        <v>49</v>
      </c>
      <c r="C68" s="2">
        <v>25821</v>
      </c>
      <c r="D68" s="1" t="s">
        <v>40</v>
      </c>
      <c r="E68" s="1">
        <f>2016-YEAR(ubezpieczenia57[[#This Row],[Data_urodz]])</f>
        <v>46</v>
      </c>
      <c r="F68" s="1">
        <f>ROUNDDOWN(ubezpieczenia57[[#This Row],[wiek]]/10,0)</f>
        <v>4</v>
      </c>
      <c r="G68" s="1">
        <f t="shared" ref="G68:G131" si="1">G67+1</f>
        <v>67</v>
      </c>
    </row>
    <row r="69" spans="1:7" x14ac:dyDescent="0.25">
      <c r="A69" s="1" t="s">
        <v>117</v>
      </c>
      <c r="B69" s="1" t="s">
        <v>47</v>
      </c>
      <c r="C69" s="2">
        <v>20242</v>
      </c>
      <c r="D69" s="1" t="s">
        <v>40</v>
      </c>
      <c r="E69" s="1">
        <f>2016-YEAR(ubezpieczenia57[[#This Row],[Data_urodz]])</f>
        <v>61</v>
      </c>
      <c r="F69" s="1">
        <f>ROUNDDOWN(ubezpieczenia57[[#This Row],[wiek]]/10,0)</f>
        <v>6</v>
      </c>
      <c r="G69" s="1">
        <f t="shared" si="1"/>
        <v>68</v>
      </c>
    </row>
    <row r="70" spans="1:7" x14ac:dyDescent="0.25">
      <c r="A70" s="1" t="s">
        <v>118</v>
      </c>
      <c r="B70" s="1" t="s">
        <v>20</v>
      </c>
      <c r="C70" s="2">
        <v>25415</v>
      </c>
      <c r="D70" s="1" t="s">
        <v>12</v>
      </c>
      <c r="E70" s="1">
        <f>2016-YEAR(ubezpieczenia57[[#This Row],[Data_urodz]])</f>
        <v>47</v>
      </c>
      <c r="F70" s="1">
        <f>ROUNDDOWN(ubezpieczenia57[[#This Row],[wiek]]/10,0)</f>
        <v>4</v>
      </c>
      <c r="G70" s="1">
        <f t="shared" si="1"/>
        <v>69</v>
      </c>
    </row>
    <row r="71" spans="1:7" x14ac:dyDescent="0.25">
      <c r="A71" s="1" t="s">
        <v>119</v>
      </c>
      <c r="B71" s="1" t="s">
        <v>47</v>
      </c>
      <c r="C71" s="2">
        <v>19048</v>
      </c>
      <c r="D71" s="1" t="s">
        <v>9</v>
      </c>
      <c r="E71" s="1">
        <f>2016-YEAR(ubezpieczenia57[[#This Row],[Data_urodz]])</f>
        <v>64</v>
      </c>
      <c r="F71" s="1">
        <f>ROUNDDOWN(ubezpieczenia57[[#This Row],[wiek]]/10,0)</f>
        <v>6</v>
      </c>
      <c r="G71" s="1">
        <f t="shared" si="1"/>
        <v>70</v>
      </c>
    </row>
    <row r="72" spans="1:7" x14ac:dyDescent="0.25">
      <c r="A72" s="1" t="s">
        <v>120</v>
      </c>
      <c r="B72" s="1" t="s">
        <v>121</v>
      </c>
      <c r="C72" s="2">
        <v>18811</v>
      </c>
      <c r="D72" s="1" t="s">
        <v>12</v>
      </c>
      <c r="E72" s="1">
        <f>2016-YEAR(ubezpieczenia57[[#This Row],[Data_urodz]])</f>
        <v>65</v>
      </c>
      <c r="F72" s="1">
        <f>ROUNDDOWN(ubezpieczenia57[[#This Row],[wiek]]/10,0)</f>
        <v>6</v>
      </c>
      <c r="G72" s="1">
        <f t="shared" si="1"/>
        <v>71</v>
      </c>
    </row>
    <row r="73" spans="1:7" x14ac:dyDescent="0.25">
      <c r="A73" s="1" t="s">
        <v>122</v>
      </c>
      <c r="B73" s="1" t="s">
        <v>123</v>
      </c>
      <c r="C73" s="2">
        <v>17072</v>
      </c>
      <c r="D73" s="1" t="s">
        <v>40</v>
      </c>
      <c r="E73" s="1">
        <f>2016-YEAR(ubezpieczenia57[[#This Row],[Data_urodz]])</f>
        <v>70</v>
      </c>
      <c r="F73" s="1">
        <f>ROUNDDOWN(ubezpieczenia57[[#This Row],[wiek]]/10,0)</f>
        <v>7</v>
      </c>
      <c r="G73" s="1">
        <f t="shared" si="1"/>
        <v>72</v>
      </c>
    </row>
    <row r="74" spans="1:7" x14ac:dyDescent="0.25">
      <c r="A74" s="1" t="s">
        <v>124</v>
      </c>
      <c r="B74" s="1" t="s">
        <v>121</v>
      </c>
      <c r="C74" s="2">
        <v>33277</v>
      </c>
      <c r="D74" s="1" t="s">
        <v>6</v>
      </c>
      <c r="E74" s="1">
        <f>2016-YEAR(ubezpieczenia57[[#This Row],[Data_urodz]])</f>
        <v>25</v>
      </c>
      <c r="F74" s="1">
        <f>ROUNDDOWN(ubezpieczenia57[[#This Row],[wiek]]/10,0)</f>
        <v>2</v>
      </c>
      <c r="G74" s="1">
        <f t="shared" si="1"/>
        <v>73</v>
      </c>
    </row>
    <row r="75" spans="1:7" x14ac:dyDescent="0.25">
      <c r="A75" s="1" t="s">
        <v>125</v>
      </c>
      <c r="B75" s="1" t="s">
        <v>79</v>
      </c>
      <c r="C75" s="2">
        <v>16987</v>
      </c>
      <c r="D75" s="1" t="s">
        <v>6</v>
      </c>
      <c r="E75" s="1">
        <f>2016-YEAR(ubezpieczenia57[[#This Row],[Data_urodz]])</f>
        <v>70</v>
      </c>
      <c r="F75" s="1">
        <f>ROUNDDOWN(ubezpieczenia57[[#This Row],[wiek]]/10,0)</f>
        <v>7</v>
      </c>
      <c r="G75" s="1">
        <f t="shared" si="1"/>
        <v>74</v>
      </c>
    </row>
    <row r="76" spans="1:7" x14ac:dyDescent="0.25">
      <c r="A76" s="1" t="s">
        <v>126</v>
      </c>
      <c r="B76" s="1" t="s">
        <v>127</v>
      </c>
      <c r="C76" s="2">
        <v>33408</v>
      </c>
      <c r="D76" s="1" t="s">
        <v>40</v>
      </c>
      <c r="E76" s="1">
        <f>2016-YEAR(ubezpieczenia57[[#This Row],[Data_urodz]])</f>
        <v>25</v>
      </c>
      <c r="F76" s="1">
        <f>ROUNDDOWN(ubezpieczenia57[[#This Row],[wiek]]/10,0)</f>
        <v>2</v>
      </c>
      <c r="G76" s="1">
        <f t="shared" si="1"/>
        <v>75</v>
      </c>
    </row>
    <row r="77" spans="1:7" x14ac:dyDescent="0.25">
      <c r="A77" s="1" t="s">
        <v>110</v>
      </c>
      <c r="B77" s="1" t="s">
        <v>79</v>
      </c>
      <c r="C77" s="2">
        <v>25070</v>
      </c>
      <c r="D77" s="1" t="s">
        <v>6</v>
      </c>
      <c r="E77" s="1">
        <f>2016-YEAR(ubezpieczenia57[[#This Row],[Data_urodz]])</f>
        <v>48</v>
      </c>
      <c r="F77" s="1">
        <f>ROUNDDOWN(ubezpieczenia57[[#This Row],[wiek]]/10,0)</f>
        <v>4</v>
      </c>
      <c r="G77" s="1">
        <f t="shared" si="1"/>
        <v>76</v>
      </c>
    </row>
    <row r="78" spans="1:7" x14ac:dyDescent="0.25">
      <c r="A78" s="1" t="s">
        <v>128</v>
      </c>
      <c r="B78" s="1" t="s">
        <v>129</v>
      </c>
      <c r="C78" s="2">
        <v>34100</v>
      </c>
      <c r="D78" s="1" t="s">
        <v>40</v>
      </c>
      <c r="E78" s="1">
        <f>2016-YEAR(ubezpieczenia57[[#This Row],[Data_urodz]])</f>
        <v>23</v>
      </c>
      <c r="F78" s="1">
        <f>ROUNDDOWN(ubezpieczenia57[[#This Row],[wiek]]/10,0)</f>
        <v>2</v>
      </c>
      <c r="G78" s="1">
        <f t="shared" si="1"/>
        <v>77</v>
      </c>
    </row>
    <row r="79" spans="1:7" x14ac:dyDescent="0.25">
      <c r="A79" s="1" t="s">
        <v>83</v>
      </c>
      <c r="B79" s="1" t="s">
        <v>52</v>
      </c>
      <c r="C79" s="2">
        <v>19522</v>
      </c>
      <c r="D79" s="1" t="s">
        <v>9</v>
      </c>
      <c r="E79" s="1">
        <f>2016-YEAR(ubezpieczenia57[[#This Row],[Data_urodz]])</f>
        <v>63</v>
      </c>
      <c r="F79" s="1">
        <f>ROUNDDOWN(ubezpieczenia57[[#This Row],[wiek]]/10,0)</f>
        <v>6</v>
      </c>
      <c r="G79" s="1">
        <f t="shared" si="1"/>
        <v>78</v>
      </c>
    </row>
    <row r="80" spans="1:7" x14ac:dyDescent="0.25">
      <c r="A80" s="1" t="s">
        <v>130</v>
      </c>
      <c r="B80" s="1" t="s">
        <v>131</v>
      </c>
      <c r="C80" s="2">
        <v>27284</v>
      </c>
      <c r="D80" s="1" t="s">
        <v>9</v>
      </c>
      <c r="E80" s="1">
        <f>2016-YEAR(ubezpieczenia57[[#This Row],[Data_urodz]])</f>
        <v>42</v>
      </c>
      <c r="F80" s="1">
        <f>ROUNDDOWN(ubezpieczenia57[[#This Row],[wiek]]/10,0)</f>
        <v>4</v>
      </c>
      <c r="G80" s="1">
        <f t="shared" si="1"/>
        <v>79</v>
      </c>
    </row>
    <row r="81" spans="1:7" x14ac:dyDescent="0.25">
      <c r="A81" s="1" t="s">
        <v>132</v>
      </c>
      <c r="B81" s="1" t="s">
        <v>8</v>
      </c>
      <c r="C81" s="2">
        <v>27347</v>
      </c>
      <c r="D81" s="1" t="s">
        <v>12</v>
      </c>
      <c r="E81" s="1">
        <f>2016-YEAR(ubezpieczenia57[[#This Row],[Data_urodz]])</f>
        <v>42</v>
      </c>
      <c r="F81" s="1">
        <f>ROUNDDOWN(ubezpieczenia57[[#This Row],[wiek]]/10,0)</f>
        <v>4</v>
      </c>
      <c r="G81" s="1">
        <f t="shared" si="1"/>
        <v>80</v>
      </c>
    </row>
    <row r="82" spans="1:7" x14ac:dyDescent="0.25">
      <c r="A82" s="1" t="s">
        <v>133</v>
      </c>
      <c r="B82" s="1" t="s">
        <v>134</v>
      </c>
      <c r="C82" s="2">
        <v>20618</v>
      </c>
      <c r="D82" s="1" t="s">
        <v>12</v>
      </c>
      <c r="E82" s="1">
        <f>2016-YEAR(ubezpieczenia57[[#This Row],[Data_urodz]])</f>
        <v>60</v>
      </c>
      <c r="F82" s="1">
        <f>ROUNDDOWN(ubezpieczenia57[[#This Row],[wiek]]/10,0)</f>
        <v>6</v>
      </c>
      <c r="G82" s="1">
        <f t="shared" si="1"/>
        <v>81</v>
      </c>
    </row>
    <row r="83" spans="1:7" x14ac:dyDescent="0.25">
      <c r="A83" s="1" t="s">
        <v>135</v>
      </c>
      <c r="B83" s="1" t="s">
        <v>54</v>
      </c>
      <c r="C83" s="2">
        <v>19256</v>
      </c>
      <c r="D83" s="1" t="s">
        <v>12</v>
      </c>
      <c r="E83" s="1">
        <f>2016-YEAR(ubezpieczenia57[[#This Row],[Data_urodz]])</f>
        <v>64</v>
      </c>
      <c r="F83" s="1">
        <f>ROUNDDOWN(ubezpieczenia57[[#This Row],[wiek]]/10,0)</f>
        <v>6</v>
      </c>
      <c r="G83" s="1">
        <f t="shared" si="1"/>
        <v>82</v>
      </c>
    </row>
    <row r="84" spans="1:7" x14ac:dyDescent="0.25">
      <c r="A84" s="1" t="s">
        <v>136</v>
      </c>
      <c r="B84" s="1" t="s">
        <v>137</v>
      </c>
      <c r="C84" s="2">
        <v>21898</v>
      </c>
      <c r="D84" s="1" t="s">
        <v>12</v>
      </c>
      <c r="E84" s="1">
        <f>2016-YEAR(ubezpieczenia57[[#This Row],[Data_urodz]])</f>
        <v>57</v>
      </c>
      <c r="F84" s="1">
        <f>ROUNDDOWN(ubezpieczenia57[[#This Row],[wiek]]/10,0)</f>
        <v>5</v>
      </c>
      <c r="G84" s="1">
        <f t="shared" si="1"/>
        <v>83</v>
      </c>
    </row>
    <row r="85" spans="1:7" x14ac:dyDescent="0.25">
      <c r="A85" s="1" t="s">
        <v>138</v>
      </c>
      <c r="B85" s="1" t="s">
        <v>139</v>
      </c>
      <c r="C85" s="2">
        <v>16873</v>
      </c>
      <c r="D85" s="1" t="s">
        <v>12</v>
      </c>
      <c r="E85" s="1">
        <f>2016-YEAR(ubezpieczenia57[[#This Row],[Data_urodz]])</f>
        <v>70</v>
      </c>
      <c r="F85" s="1">
        <f>ROUNDDOWN(ubezpieczenia57[[#This Row],[wiek]]/10,0)</f>
        <v>7</v>
      </c>
      <c r="G85" s="1">
        <f t="shared" si="1"/>
        <v>84</v>
      </c>
    </row>
    <row r="86" spans="1:7" x14ac:dyDescent="0.25">
      <c r="A86" s="1" t="s">
        <v>140</v>
      </c>
      <c r="B86" s="1" t="s">
        <v>141</v>
      </c>
      <c r="C86" s="2">
        <v>34893</v>
      </c>
      <c r="D86" s="1" t="s">
        <v>6</v>
      </c>
      <c r="E86" s="1">
        <f>2016-YEAR(ubezpieczenia57[[#This Row],[Data_urodz]])</f>
        <v>21</v>
      </c>
      <c r="F86" s="1">
        <f>ROUNDDOWN(ubezpieczenia57[[#This Row],[wiek]]/10,0)</f>
        <v>2</v>
      </c>
      <c r="G86" s="1">
        <f t="shared" si="1"/>
        <v>85</v>
      </c>
    </row>
    <row r="87" spans="1:7" x14ac:dyDescent="0.25">
      <c r="A87" s="1" t="s">
        <v>142</v>
      </c>
      <c r="B87" s="1" t="s">
        <v>143</v>
      </c>
      <c r="C87" s="2">
        <v>16028</v>
      </c>
      <c r="D87" s="1" t="s">
        <v>12</v>
      </c>
      <c r="E87" s="1">
        <f>2016-YEAR(ubezpieczenia57[[#This Row],[Data_urodz]])</f>
        <v>73</v>
      </c>
      <c r="F87" s="1">
        <f>ROUNDDOWN(ubezpieczenia57[[#This Row],[wiek]]/10,0)</f>
        <v>7</v>
      </c>
      <c r="G87" s="1">
        <f t="shared" si="1"/>
        <v>86</v>
      </c>
    </row>
    <row r="88" spans="1:7" x14ac:dyDescent="0.25">
      <c r="A88" s="1" t="s">
        <v>144</v>
      </c>
      <c r="B88" s="1" t="s">
        <v>54</v>
      </c>
      <c r="C88" s="2">
        <v>33446</v>
      </c>
      <c r="D88" s="1" t="s">
        <v>6</v>
      </c>
      <c r="E88" s="1">
        <f>2016-YEAR(ubezpieczenia57[[#This Row],[Data_urodz]])</f>
        <v>25</v>
      </c>
      <c r="F88" s="1">
        <f>ROUNDDOWN(ubezpieczenia57[[#This Row],[wiek]]/10,0)</f>
        <v>2</v>
      </c>
      <c r="G88" s="1">
        <f t="shared" si="1"/>
        <v>87</v>
      </c>
    </row>
    <row r="89" spans="1:7" x14ac:dyDescent="0.25">
      <c r="A89" s="1" t="s">
        <v>145</v>
      </c>
      <c r="B89" s="1" t="s">
        <v>146</v>
      </c>
      <c r="C89" s="2">
        <v>18892</v>
      </c>
      <c r="D89" s="1" t="s">
        <v>6</v>
      </c>
      <c r="E89" s="1">
        <f>2016-YEAR(ubezpieczenia57[[#This Row],[Data_urodz]])</f>
        <v>65</v>
      </c>
      <c r="F89" s="1">
        <f>ROUNDDOWN(ubezpieczenia57[[#This Row],[wiek]]/10,0)</f>
        <v>6</v>
      </c>
      <c r="G89" s="1">
        <f t="shared" si="1"/>
        <v>88</v>
      </c>
    </row>
    <row r="90" spans="1:7" x14ac:dyDescent="0.25">
      <c r="A90" s="1" t="s">
        <v>147</v>
      </c>
      <c r="B90" s="1" t="s">
        <v>102</v>
      </c>
      <c r="C90" s="2">
        <v>32219</v>
      </c>
      <c r="D90" s="1" t="s">
        <v>12</v>
      </c>
      <c r="E90" s="1">
        <f>2016-YEAR(ubezpieczenia57[[#This Row],[Data_urodz]])</f>
        <v>28</v>
      </c>
      <c r="F90" s="1">
        <f>ROUNDDOWN(ubezpieczenia57[[#This Row],[wiek]]/10,0)</f>
        <v>2</v>
      </c>
      <c r="G90" s="1">
        <f t="shared" si="1"/>
        <v>89</v>
      </c>
    </row>
    <row r="91" spans="1:7" x14ac:dyDescent="0.25">
      <c r="A91" s="1" t="s">
        <v>148</v>
      </c>
      <c r="B91" s="1" t="s">
        <v>149</v>
      </c>
      <c r="C91" s="2">
        <v>31771</v>
      </c>
      <c r="D91" s="1" t="s">
        <v>9</v>
      </c>
      <c r="E91" s="1">
        <f>2016-YEAR(ubezpieczenia57[[#This Row],[Data_urodz]])</f>
        <v>30</v>
      </c>
      <c r="F91" s="1">
        <f>ROUNDDOWN(ubezpieczenia57[[#This Row],[wiek]]/10,0)</f>
        <v>3</v>
      </c>
      <c r="G91" s="1">
        <f t="shared" si="1"/>
        <v>90</v>
      </c>
    </row>
    <row r="92" spans="1:7" x14ac:dyDescent="0.25">
      <c r="A92" s="1" t="s">
        <v>51</v>
      </c>
      <c r="B92" s="1" t="s">
        <v>150</v>
      </c>
      <c r="C92" s="2">
        <v>30633</v>
      </c>
      <c r="D92" s="1" t="s">
        <v>40</v>
      </c>
      <c r="E92" s="1">
        <f>2016-YEAR(ubezpieczenia57[[#This Row],[Data_urodz]])</f>
        <v>33</v>
      </c>
      <c r="F92" s="1">
        <f>ROUNDDOWN(ubezpieczenia57[[#This Row],[wiek]]/10,0)</f>
        <v>3</v>
      </c>
      <c r="G92" s="1">
        <f t="shared" si="1"/>
        <v>91</v>
      </c>
    </row>
    <row r="93" spans="1:7" x14ac:dyDescent="0.25">
      <c r="A93" s="1" t="s">
        <v>151</v>
      </c>
      <c r="B93" s="1" t="s">
        <v>152</v>
      </c>
      <c r="C93" s="2">
        <v>34177</v>
      </c>
      <c r="D93" s="1" t="s">
        <v>40</v>
      </c>
      <c r="E93" s="1">
        <f>2016-YEAR(ubezpieczenia57[[#This Row],[Data_urodz]])</f>
        <v>23</v>
      </c>
      <c r="F93" s="1">
        <f>ROUNDDOWN(ubezpieczenia57[[#This Row],[wiek]]/10,0)</f>
        <v>2</v>
      </c>
      <c r="G93" s="1">
        <f t="shared" si="1"/>
        <v>92</v>
      </c>
    </row>
    <row r="94" spans="1:7" x14ac:dyDescent="0.25">
      <c r="A94" s="1" t="s">
        <v>153</v>
      </c>
      <c r="B94" s="1" t="s">
        <v>137</v>
      </c>
      <c r="C94" s="2">
        <v>33281</v>
      </c>
      <c r="D94" s="1" t="s">
        <v>12</v>
      </c>
      <c r="E94" s="1">
        <f>2016-YEAR(ubezpieczenia57[[#This Row],[Data_urodz]])</f>
        <v>25</v>
      </c>
      <c r="F94" s="1">
        <f>ROUNDDOWN(ubezpieczenia57[[#This Row],[wiek]]/10,0)</f>
        <v>2</v>
      </c>
      <c r="G94" s="1">
        <f t="shared" si="1"/>
        <v>93</v>
      </c>
    </row>
    <row r="95" spans="1:7" x14ac:dyDescent="0.25">
      <c r="A95" s="1" t="s">
        <v>75</v>
      </c>
      <c r="B95" s="1" t="s">
        <v>154</v>
      </c>
      <c r="C95" s="2">
        <v>21897</v>
      </c>
      <c r="D95" s="1" t="s">
        <v>12</v>
      </c>
      <c r="E95" s="1">
        <f>2016-YEAR(ubezpieczenia57[[#This Row],[Data_urodz]])</f>
        <v>57</v>
      </c>
      <c r="F95" s="1">
        <f>ROUNDDOWN(ubezpieczenia57[[#This Row],[wiek]]/10,0)</f>
        <v>5</v>
      </c>
      <c r="G95" s="1">
        <f t="shared" si="1"/>
        <v>94</v>
      </c>
    </row>
    <row r="96" spans="1:7" x14ac:dyDescent="0.25">
      <c r="A96" s="1" t="s">
        <v>155</v>
      </c>
      <c r="B96" s="1" t="s">
        <v>37</v>
      </c>
      <c r="C96" s="2">
        <v>18604</v>
      </c>
      <c r="D96" s="1" t="s">
        <v>40</v>
      </c>
      <c r="E96" s="1">
        <f>2016-YEAR(ubezpieczenia57[[#This Row],[Data_urodz]])</f>
        <v>66</v>
      </c>
      <c r="F96" s="1">
        <f>ROUNDDOWN(ubezpieczenia57[[#This Row],[wiek]]/10,0)</f>
        <v>6</v>
      </c>
      <c r="G96" s="1">
        <f t="shared" si="1"/>
        <v>95</v>
      </c>
    </row>
    <row r="97" spans="1:7" x14ac:dyDescent="0.25">
      <c r="A97" s="1" t="s">
        <v>156</v>
      </c>
      <c r="B97" s="1" t="s">
        <v>157</v>
      </c>
      <c r="C97" s="2">
        <v>18910</v>
      </c>
      <c r="D97" s="1" t="s">
        <v>12</v>
      </c>
      <c r="E97" s="1">
        <f>2016-YEAR(ubezpieczenia57[[#This Row],[Data_urodz]])</f>
        <v>65</v>
      </c>
      <c r="F97" s="1">
        <f>ROUNDDOWN(ubezpieczenia57[[#This Row],[wiek]]/10,0)</f>
        <v>6</v>
      </c>
      <c r="G97" s="1">
        <f t="shared" si="1"/>
        <v>96</v>
      </c>
    </row>
    <row r="98" spans="1:7" x14ac:dyDescent="0.25">
      <c r="A98" s="1" t="s">
        <v>158</v>
      </c>
      <c r="B98" s="1" t="s">
        <v>47</v>
      </c>
      <c r="C98" s="2">
        <v>17056</v>
      </c>
      <c r="D98" s="1" t="s">
        <v>9</v>
      </c>
      <c r="E98" s="1">
        <f>2016-YEAR(ubezpieczenia57[[#This Row],[Data_urodz]])</f>
        <v>70</v>
      </c>
      <c r="F98" s="1">
        <f>ROUNDDOWN(ubezpieczenia57[[#This Row],[wiek]]/10,0)</f>
        <v>7</v>
      </c>
      <c r="G98" s="1">
        <f t="shared" si="1"/>
        <v>97</v>
      </c>
    </row>
    <row r="99" spans="1:7" x14ac:dyDescent="0.25">
      <c r="A99" s="1" t="s">
        <v>159</v>
      </c>
      <c r="B99" s="1" t="s">
        <v>160</v>
      </c>
      <c r="C99" s="2">
        <v>22619</v>
      </c>
      <c r="D99" s="1" t="s">
        <v>9</v>
      </c>
      <c r="E99" s="1">
        <f>2016-YEAR(ubezpieczenia57[[#This Row],[Data_urodz]])</f>
        <v>55</v>
      </c>
      <c r="F99" s="1">
        <f>ROUNDDOWN(ubezpieczenia57[[#This Row],[wiek]]/10,0)</f>
        <v>5</v>
      </c>
      <c r="G99" s="1">
        <f t="shared" si="1"/>
        <v>98</v>
      </c>
    </row>
    <row r="100" spans="1:7" x14ac:dyDescent="0.25">
      <c r="A100" s="1" t="s">
        <v>161</v>
      </c>
      <c r="B100" s="1" t="s">
        <v>37</v>
      </c>
      <c r="C100" s="2">
        <v>19740</v>
      </c>
      <c r="D100" s="1" t="s">
        <v>12</v>
      </c>
      <c r="E100" s="1">
        <f>2016-YEAR(ubezpieczenia57[[#This Row],[Data_urodz]])</f>
        <v>62</v>
      </c>
      <c r="F100" s="1">
        <f>ROUNDDOWN(ubezpieczenia57[[#This Row],[wiek]]/10,0)</f>
        <v>6</v>
      </c>
      <c r="G100" s="1">
        <f t="shared" si="1"/>
        <v>99</v>
      </c>
    </row>
    <row r="101" spans="1:7" x14ac:dyDescent="0.25">
      <c r="A101" s="1" t="s">
        <v>162</v>
      </c>
      <c r="B101" s="1" t="s">
        <v>131</v>
      </c>
      <c r="C101" s="2">
        <v>24222</v>
      </c>
      <c r="D101" s="1" t="s">
        <v>6</v>
      </c>
      <c r="E101" s="1">
        <f>2016-YEAR(ubezpieczenia57[[#This Row],[Data_urodz]])</f>
        <v>50</v>
      </c>
      <c r="F101" s="1">
        <f>ROUNDDOWN(ubezpieczenia57[[#This Row],[wiek]]/10,0)</f>
        <v>5</v>
      </c>
      <c r="G101" s="1">
        <f t="shared" si="1"/>
        <v>100</v>
      </c>
    </row>
    <row r="102" spans="1:7" x14ac:dyDescent="0.25">
      <c r="A102" s="1" t="s">
        <v>163</v>
      </c>
      <c r="B102" s="1" t="s">
        <v>37</v>
      </c>
      <c r="C102" s="2">
        <v>17196</v>
      </c>
      <c r="D102" s="1" t="s">
        <v>40</v>
      </c>
      <c r="E102" s="1">
        <f>2016-YEAR(ubezpieczenia57[[#This Row],[Data_urodz]])</f>
        <v>69</v>
      </c>
      <c r="F102" s="1">
        <f>ROUNDDOWN(ubezpieczenia57[[#This Row],[wiek]]/10,0)</f>
        <v>6</v>
      </c>
      <c r="G102" s="1">
        <f t="shared" si="1"/>
        <v>101</v>
      </c>
    </row>
    <row r="103" spans="1:7" x14ac:dyDescent="0.25">
      <c r="A103" s="1" t="s">
        <v>164</v>
      </c>
      <c r="B103" s="1" t="s">
        <v>52</v>
      </c>
      <c r="C103" s="2">
        <v>32013</v>
      </c>
      <c r="D103" s="1" t="s">
        <v>12</v>
      </c>
      <c r="E103" s="1">
        <f>2016-YEAR(ubezpieczenia57[[#This Row],[Data_urodz]])</f>
        <v>29</v>
      </c>
      <c r="F103" s="1">
        <f>ROUNDDOWN(ubezpieczenia57[[#This Row],[wiek]]/10,0)</f>
        <v>2</v>
      </c>
      <c r="G103" s="1">
        <f t="shared" si="1"/>
        <v>102</v>
      </c>
    </row>
    <row r="104" spans="1:7" x14ac:dyDescent="0.25">
      <c r="A104" s="1" t="s">
        <v>163</v>
      </c>
      <c r="B104" s="1" t="s">
        <v>39</v>
      </c>
      <c r="C104" s="2">
        <v>23679</v>
      </c>
      <c r="D104" s="1" t="s">
        <v>12</v>
      </c>
      <c r="E104" s="1">
        <f>2016-YEAR(ubezpieczenia57[[#This Row],[Data_urodz]])</f>
        <v>52</v>
      </c>
      <c r="F104" s="1">
        <f>ROUNDDOWN(ubezpieczenia57[[#This Row],[wiek]]/10,0)</f>
        <v>5</v>
      </c>
      <c r="G104" s="1">
        <f t="shared" si="1"/>
        <v>103</v>
      </c>
    </row>
    <row r="105" spans="1:7" x14ac:dyDescent="0.25">
      <c r="A105" s="1" t="s">
        <v>75</v>
      </c>
      <c r="B105" s="1" t="s">
        <v>165</v>
      </c>
      <c r="C105" s="2">
        <v>26239</v>
      </c>
      <c r="D105" s="1" t="s">
        <v>12</v>
      </c>
      <c r="E105" s="1">
        <f>2016-YEAR(ubezpieczenia57[[#This Row],[Data_urodz]])</f>
        <v>45</v>
      </c>
      <c r="F105" s="1">
        <f>ROUNDDOWN(ubezpieczenia57[[#This Row],[wiek]]/10,0)</f>
        <v>4</v>
      </c>
      <c r="G105" s="1">
        <f t="shared" si="1"/>
        <v>104</v>
      </c>
    </row>
    <row r="106" spans="1:7" x14ac:dyDescent="0.25">
      <c r="A106" s="1" t="s">
        <v>166</v>
      </c>
      <c r="B106" s="1" t="s">
        <v>167</v>
      </c>
      <c r="C106" s="2">
        <v>30774</v>
      </c>
      <c r="D106" s="1" t="s">
        <v>6</v>
      </c>
      <c r="E106" s="1">
        <f>2016-YEAR(ubezpieczenia57[[#This Row],[Data_urodz]])</f>
        <v>32</v>
      </c>
      <c r="F106" s="1">
        <f>ROUNDDOWN(ubezpieczenia57[[#This Row],[wiek]]/10,0)</f>
        <v>3</v>
      </c>
      <c r="G106" s="1">
        <f t="shared" si="1"/>
        <v>105</v>
      </c>
    </row>
    <row r="107" spans="1:7" x14ac:dyDescent="0.25">
      <c r="A107" s="1" t="s">
        <v>168</v>
      </c>
      <c r="B107" s="1" t="s">
        <v>169</v>
      </c>
      <c r="C107" s="2">
        <v>25818</v>
      </c>
      <c r="D107" s="1" t="s">
        <v>6</v>
      </c>
      <c r="E107" s="1">
        <f>2016-YEAR(ubezpieczenia57[[#This Row],[Data_urodz]])</f>
        <v>46</v>
      </c>
      <c r="F107" s="1">
        <f>ROUNDDOWN(ubezpieczenia57[[#This Row],[wiek]]/10,0)</f>
        <v>4</v>
      </c>
      <c r="G107" s="1">
        <f t="shared" si="1"/>
        <v>106</v>
      </c>
    </row>
    <row r="108" spans="1:7" x14ac:dyDescent="0.25">
      <c r="A108" s="1" t="s">
        <v>170</v>
      </c>
      <c r="B108" s="1" t="s">
        <v>171</v>
      </c>
      <c r="C108" s="2">
        <v>16529</v>
      </c>
      <c r="D108" s="1" t="s">
        <v>40</v>
      </c>
      <c r="E108" s="1">
        <f>2016-YEAR(ubezpieczenia57[[#This Row],[Data_urodz]])</f>
        <v>71</v>
      </c>
      <c r="F108" s="1">
        <f>ROUNDDOWN(ubezpieczenia57[[#This Row],[wiek]]/10,0)</f>
        <v>7</v>
      </c>
      <c r="G108" s="1">
        <f t="shared" si="1"/>
        <v>107</v>
      </c>
    </row>
    <row r="109" spans="1:7" x14ac:dyDescent="0.25">
      <c r="A109" s="1" t="s">
        <v>172</v>
      </c>
      <c r="B109" s="1" t="s">
        <v>5</v>
      </c>
      <c r="C109" s="2">
        <v>30530</v>
      </c>
      <c r="D109" s="1" t="s">
        <v>40</v>
      </c>
      <c r="E109" s="1">
        <f>2016-YEAR(ubezpieczenia57[[#This Row],[Data_urodz]])</f>
        <v>33</v>
      </c>
      <c r="F109" s="1">
        <f>ROUNDDOWN(ubezpieczenia57[[#This Row],[wiek]]/10,0)</f>
        <v>3</v>
      </c>
      <c r="G109" s="1">
        <f t="shared" si="1"/>
        <v>108</v>
      </c>
    </row>
    <row r="110" spans="1:7" x14ac:dyDescent="0.25">
      <c r="A110" s="1" t="s">
        <v>173</v>
      </c>
      <c r="B110" s="1" t="s">
        <v>77</v>
      </c>
      <c r="C110" s="2">
        <v>31601</v>
      </c>
      <c r="D110" s="1" t="s">
        <v>12</v>
      </c>
      <c r="E110" s="1">
        <f>2016-YEAR(ubezpieczenia57[[#This Row],[Data_urodz]])</f>
        <v>30</v>
      </c>
      <c r="F110" s="1">
        <f>ROUNDDOWN(ubezpieczenia57[[#This Row],[wiek]]/10,0)</f>
        <v>3</v>
      </c>
      <c r="G110" s="1">
        <f t="shared" si="1"/>
        <v>109</v>
      </c>
    </row>
    <row r="111" spans="1:7" x14ac:dyDescent="0.25">
      <c r="A111" s="1" t="s">
        <v>174</v>
      </c>
      <c r="B111" s="1" t="s">
        <v>157</v>
      </c>
      <c r="C111" s="2">
        <v>28427</v>
      </c>
      <c r="D111" s="1" t="s">
        <v>12</v>
      </c>
      <c r="E111" s="1">
        <f>2016-YEAR(ubezpieczenia57[[#This Row],[Data_urodz]])</f>
        <v>39</v>
      </c>
      <c r="F111" s="1">
        <f>ROUNDDOWN(ubezpieczenia57[[#This Row],[wiek]]/10,0)</f>
        <v>3</v>
      </c>
      <c r="G111" s="1">
        <f t="shared" si="1"/>
        <v>110</v>
      </c>
    </row>
    <row r="112" spans="1:7" x14ac:dyDescent="0.25">
      <c r="A112" s="1" t="s">
        <v>175</v>
      </c>
      <c r="B112" s="1" t="s">
        <v>176</v>
      </c>
      <c r="C112" s="2">
        <v>23139</v>
      </c>
      <c r="D112" s="1" t="s">
        <v>12</v>
      </c>
      <c r="E112" s="1">
        <f>2016-YEAR(ubezpieczenia57[[#This Row],[Data_urodz]])</f>
        <v>53</v>
      </c>
      <c r="F112" s="1">
        <f>ROUNDDOWN(ubezpieczenia57[[#This Row],[wiek]]/10,0)</f>
        <v>5</v>
      </c>
      <c r="G112" s="1">
        <f t="shared" si="1"/>
        <v>111</v>
      </c>
    </row>
    <row r="113" spans="1:7" x14ac:dyDescent="0.25">
      <c r="A113" s="1" t="s">
        <v>174</v>
      </c>
      <c r="B113" s="1" t="s">
        <v>177</v>
      </c>
      <c r="C113" s="2">
        <v>29861</v>
      </c>
      <c r="D113" s="1" t="s">
        <v>12</v>
      </c>
      <c r="E113" s="1">
        <f>2016-YEAR(ubezpieczenia57[[#This Row],[Data_urodz]])</f>
        <v>35</v>
      </c>
      <c r="F113" s="1">
        <f>ROUNDDOWN(ubezpieczenia57[[#This Row],[wiek]]/10,0)</f>
        <v>3</v>
      </c>
      <c r="G113" s="1">
        <f t="shared" si="1"/>
        <v>112</v>
      </c>
    </row>
    <row r="114" spans="1:7" x14ac:dyDescent="0.25">
      <c r="A114" s="1" t="s">
        <v>178</v>
      </c>
      <c r="B114" s="1" t="s">
        <v>179</v>
      </c>
      <c r="C114" s="2">
        <v>32545</v>
      </c>
      <c r="D114" s="1" t="s">
        <v>40</v>
      </c>
      <c r="E114" s="1">
        <f>2016-YEAR(ubezpieczenia57[[#This Row],[Data_urodz]])</f>
        <v>27</v>
      </c>
      <c r="F114" s="1">
        <f>ROUNDDOWN(ubezpieczenia57[[#This Row],[wiek]]/10,0)</f>
        <v>2</v>
      </c>
      <c r="G114" s="1">
        <f t="shared" si="1"/>
        <v>113</v>
      </c>
    </row>
    <row r="115" spans="1:7" x14ac:dyDescent="0.25">
      <c r="A115" s="1" t="s">
        <v>180</v>
      </c>
      <c r="B115" s="1" t="s">
        <v>94</v>
      </c>
      <c r="C115" s="2">
        <v>29361</v>
      </c>
      <c r="D115" s="1" t="s">
        <v>12</v>
      </c>
      <c r="E115" s="1">
        <f>2016-YEAR(ubezpieczenia57[[#This Row],[Data_urodz]])</f>
        <v>36</v>
      </c>
      <c r="F115" s="1">
        <f>ROUNDDOWN(ubezpieczenia57[[#This Row],[wiek]]/10,0)</f>
        <v>3</v>
      </c>
      <c r="G115" s="1">
        <f t="shared" si="1"/>
        <v>114</v>
      </c>
    </row>
    <row r="116" spans="1:7" x14ac:dyDescent="0.25">
      <c r="A116" s="1" t="s">
        <v>181</v>
      </c>
      <c r="B116" s="1" t="s">
        <v>49</v>
      </c>
      <c r="C116" s="2">
        <v>17772</v>
      </c>
      <c r="D116" s="1" t="s">
        <v>40</v>
      </c>
      <c r="E116" s="1">
        <f>2016-YEAR(ubezpieczenia57[[#This Row],[Data_urodz]])</f>
        <v>68</v>
      </c>
      <c r="F116" s="1">
        <f>ROUNDDOWN(ubezpieczenia57[[#This Row],[wiek]]/10,0)</f>
        <v>6</v>
      </c>
      <c r="G116" s="1">
        <f t="shared" si="1"/>
        <v>115</v>
      </c>
    </row>
    <row r="117" spans="1:7" x14ac:dyDescent="0.25">
      <c r="A117" s="1" t="s">
        <v>182</v>
      </c>
      <c r="B117" s="1" t="s">
        <v>183</v>
      </c>
      <c r="C117" s="2">
        <v>28580</v>
      </c>
      <c r="D117" s="1" t="s">
        <v>6</v>
      </c>
      <c r="E117" s="1">
        <f>2016-YEAR(ubezpieczenia57[[#This Row],[Data_urodz]])</f>
        <v>38</v>
      </c>
      <c r="F117" s="1">
        <f>ROUNDDOWN(ubezpieczenia57[[#This Row],[wiek]]/10,0)</f>
        <v>3</v>
      </c>
      <c r="G117" s="1">
        <f t="shared" si="1"/>
        <v>116</v>
      </c>
    </row>
    <row r="118" spans="1:7" x14ac:dyDescent="0.25">
      <c r="A118" s="1" t="s">
        <v>184</v>
      </c>
      <c r="B118" s="1" t="s">
        <v>185</v>
      </c>
      <c r="C118" s="2">
        <v>21154</v>
      </c>
      <c r="D118" s="1" t="s">
        <v>40</v>
      </c>
      <c r="E118" s="1">
        <f>2016-YEAR(ubezpieczenia57[[#This Row],[Data_urodz]])</f>
        <v>59</v>
      </c>
      <c r="F118" s="1">
        <f>ROUNDDOWN(ubezpieczenia57[[#This Row],[wiek]]/10,0)</f>
        <v>5</v>
      </c>
      <c r="G118" s="1">
        <f t="shared" si="1"/>
        <v>117</v>
      </c>
    </row>
    <row r="119" spans="1:7" x14ac:dyDescent="0.25">
      <c r="A119" s="1" t="s">
        <v>186</v>
      </c>
      <c r="B119" s="1" t="s">
        <v>54</v>
      </c>
      <c r="C119" s="2">
        <v>18183</v>
      </c>
      <c r="D119" s="1" t="s">
        <v>12</v>
      </c>
      <c r="E119" s="1">
        <f>2016-YEAR(ubezpieczenia57[[#This Row],[Data_urodz]])</f>
        <v>67</v>
      </c>
      <c r="F119" s="1">
        <f>ROUNDDOWN(ubezpieczenia57[[#This Row],[wiek]]/10,0)</f>
        <v>6</v>
      </c>
      <c r="G119" s="1">
        <f t="shared" si="1"/>
        <v>118</v>
      </c>
    </row>
    <row r="120" spans="1:7" x14ac:dyDescent="0.25">
      <c r="A120" s="1" t="s">
        <v>187</v>
      </c>
      <c r="B120" s="1" t="s">
        <v>188</v>
      </c>
      <c r="C120" s="2">
        <v>20630</v>
      </c>
      <c r="D120" s="1" t="s">
        <v>6</v>
      </c>
      <c r="E120" s="1">
        <f>2016-YEAR(ubezpieczenia57[[#This Row],[Data_urodz]])</f>
        <v>60</v>
      </c>
      <c r="F120" s="1">
        <f>ROUNDDOWN(ubezpieczenia57[[#This Row],[wiek]]/10,0)</f>
        <v>6</v>
      </c>
      <c r="G120" s="1">
        <f t="shared" si="1"/>
        <v>119</v>
      </c>
    </row>
    <row r="121" spans="1:7" x14ac:dyDescent="0.25">
      <c r="A121" s="1" t="s">
        <v>189</v>
      </c>
      <c r="B121" s="1" t="s">
        <v>49</v>
      </c>
      <c r="C121" s="2">
        <v>34364</v>
      </c>
      <c r="D121" s="1" t="s">
        <v>12</v>
      </c>
      <c r="E121" s="1">
        <f>2016-YEAR(ubezpieczenia57[[#This Row],[Data_urodz]])</f>
        <v>22</v>
      </c>
      <c r="F121" s="1">
        <f>ROUNDDOWN(ubezpieczenia57[[#This Row],[wiek]]/10,0)</f>
        <v>2</v>
      </c>
      <c r="G121" s="1">
        <f t="shared" si="1"/>
        <v>120</v>
      </c>
    </row>
    <row r="122" spans="1:7" x14ac:dyDescent="0.25">
      <c r="A122" s="1" t="s">
        <v>190</v>
      </c>
      <c r="B122" s="1" t="s">
        <v>20</v>
      </c>
      <c r="C122" s="2">
        <v>25582</v>
      </c>
      <c r="D122" s="1" t="s">
        <v>6</v>
      </c>
      <c r="E122" s="1">
        <f>2016-YEAR(ubezpieczenia57[[#This Row],[Data_urodz]])</f>
        <v>46</v>
      </c>
      <c r="F122" s="1">
        <f>ROUNDDOWN(ubezpieczenia57[[#This Row],[wiek]]/10,0)</f>
        <v>4</v>
      </c>
      <c r="G122" s="1">
        <f t="shared" si="1"/>
        <v>121</v>
      </c>
    </row>
    <row r="123" spans="1:7" x14ac:dyDescent="0.25">
      <c r="A123" s="1" t="s">
        <v>191</v>
      </c>
      <c r="B123" s="1" t="s">
        <v>192</v>
      </c>
      <c r="C123" s="2">
        <v>29350</v>
      </c>
      <c r="D123" s="1" t="s">
        <v>12</v>
      </c>
      <c r="E123" s="1">
        <f>2016-YEAR(ubezpieczenia57[[#This Row],[Data_urodz]])</f>
        <v>36</v>
      </c>
      <c r="F123" s="1">
        <f>ROUNDDOWN(ubezpieczenia57[[#This Row],[wiek]]/10,0)</f>
        <v>3</v>
      </c>
      <c r="G123" s="1">
        <f t="shared" si="1"/>
        <v>122</v>
      </c>
    </row>
    <row r="124" spans="1:7" x14ac:dyDescent="0.25">
      <c r="A124" s="1" t="s">
        <v>193</v>
      </c>
      <c r="B124" s="1" t="s">
        <v>194</v>
      </c>
      <c r="C124" s="2">
        <v>21704</v>
      </c>
      <c r="D124" s="1" t="s">
        <v>6</v>
      </c>
      <c r="E124" s="1">
        <f>2016-YEAR(ubezpieczenia57[[#This Row],[Data_urodz]])</f>
        <v>57</v>
      </c>
      <c r="F124" s="1">
        <f>ROUNDDOWN(ubezpieczenia57[[#This Row],[wiek]]/10,0)</f>
        <v>5</v>
      </c>
      <c r="G124" s="1">
        <f t="shared" si="1"/>
        <v>123</v>
      </c>
    </row>
    <row r="125" spans="1:7" x14ac:dyDescent="0.25">
      <c r="A125" s="1" t="s">
        <v>195</v>
      </c>
      <c r="B125" s="1" t="s">
        <v>192</v>
      </c>
      <c r="C125" s="2">
        <v>20436</v>
      </c>
      <c r="D125" s="1" t="s">
        <v>12</v>
      </c>
      <c r="E125" s="1">
        <f>2016-YEAR(ubezpieczenia57[[#This Row],[Data_urodz]])</f>
        <v>61</v>
      </c>
      <c r="F125" s="1">
        <f>ROUNDDOWN(ubezpieczenia57[[#This Row],[wiek]]/10,0)</f>
        <v>6</v>
      </c>
      <c r="G125" s="1">
        <f t="shared" si="1"/>
        <v>124</v>
      </c>
    </row>
    <row r="126" spans="1:7" x14ac:dyDescent="0.25">
      <c r="A126" s="1" t="s">
        <v>196</v>
      </c>
      <c r="B126" s="1" t="s">
        <v>139</v>
      </c>
      <c r="C126" s="2">
        <v>24475</v>
      </c>
      <c r="D126" s="1" t="s">
        <v>12</v>
      </c>
      <c r="E126" s="1">
        <f>2016-YEAR(ubezpieczenia57[[#This Row],[Data_urodz]])</f>
        <v>49</v>
      </c>
      <c r="F126" s="1">
        <f>ROUNDDOWN(ubezpieczenia57[[#This Row],[wiek]]/10,0)</f>
        <v>4</v>
      </c>
      <c r="G126" s="1">
        <f t="shared" si="1"/>
        <v>125</v>
      </c>
    </row>
    <row r="127" spans="1:7" x14ac:dyDescent="0.25">
      <c r="A127" s="1" t="s">
        <v>197</v>
      </c>
      <c r="B127" s="1" t="s">
        <v>87</v>
      </c>
      <c r="C127" s="2">
        <v>26773</v>
      </c>
      <c r="D127" s="1" t="s">
        <v>6</v>
      </c>
      <c r="E127" s="1">
        <f>2016-YEAR(ubezpieczenia57[[#This Row],[Data_urodz]])</f>
        <v>43</v>
      </c>
      <c r="F127" s="1">
        <f>ROUNDDOWN(ubezpieczenia57[[#This Row],[wiek]]/10,0)</f>
        <v>4</v>
      </c>
      <c r="G127" s="1">
        <f t="shared" si="1"/>
        <v>126</v>
      </c>
    </row>
    <row r="128" spans="1:7" x14ac:dyDescent="0.25">
      <c r="A128" s="1" t="s">
        <v>198</v>
      </c>
      <c r="B128" s="1" t="s">
        <v>199</v>
      </c>
      <c r="C128" s="2">
        <v>17668</v>
      </c>
      <c r="D128" s="1" t="s">
        <v>12</v>
      </c>
      <c r="E128" s="1">
        <f>2016-YEAR(ubezpieczenia57[[#This Row],[Data_urodz]])</f>
        <v>68</v>
      </c>
      <c r="F128" s="1">
        <f>ROUNDDOWN(ubezpieczenia57[[#This Row],[wiek]]/10,0)</f>
        <v>6</v>
      </c>
      <c r="G128" s="1">
        <f t="shared" si="1"/>
        <v>127</v>
      </c>
    </row>
    <row r="129" spans="1:7" x14ac:dyDescent="0.25">
      <c r="A129" s="1" t="s">
        <v>200</v>
      </c>
      <c r="B129" s="1" t="s">
        <v>201</v>
      </c>
      <c r="C129" s="2">
        <v>17382</v>
      </c>
      <c r="D129" s="1" t="s">
        <v>12</v>
      </c>
      <c r="E129" s="1">
        <f>2016-YEAR(ubezpieczenia57[[#This Row],[Data_urodz]])</f>
        <v>69</v>
      </c>
      <c r="F129" s="1">
        <f>ROUNDDOWN(ubezpieczenia57[[#This Row],[wiek]]/10,0)</f>
        <v>6</v>
      </c>
      <c r="G129" s="1">
        <f t="shared" si="1"/>
        <v>128</v>
      </c>
    </row>
    <row r="130" spans="1:7" x14ac:dyDescent="0.25">
      <c r="A130" s="1" t="s">
        <v>202</v>
      </c>
      <c r="B130" s="1" t="s">
        <v>8</v>
      </c>
      <c r="C130" s="2">
        <v>16976</v>
      </c>
      <c r="D130" s="1" t="s">
        <v>6</v>
      </c>
      <c r="E130" s="1">
        <f>2016-YEAR(ubezpieczenia57[[#This Row],[Data_urodz]])</f>
        <v>70</v>
      </c>
      <c r="F130" s="1">
        <f>ROUNDDOWN(ubezpieczenia57[[#This Row],[wiek]]/10,0)</f>
        <v>7</v>
      </c>
      <c r="G130" s="1">
        <f t="shared" si="1"/>
        <v>129</v>
      </c>
    </row>
    <row r="131" spans="1:7" x14ac:dyDescent="0.25">
      <c r="A131" s="1" t="s">
        <v>203</v>
      </c>
      <c r="B131" s="1" t="s">
        <v>204</v>
      </c>
      <c r="C131" s="2">
        <v>33779</v>
      </c>
      <c r="D131" s="1" t="s">
        <v>40</v>
      </c>
      <c r="E131" s="1">
        <f>2016-YEAR(ubezpieczenia57[[#This Row],[Data_urodz]])</f>
        <v>24</v>
      </c>
      <c r="F131" s="1">
        <f>ROUNDDOWN(ubezpieczenia57[[#This Row],[wiek]]/10,0)</f>
        <v>2</v>
      </c>
      <c r="G131" s="1">
        <f t="shared" si="1"/>
        <v>130</v>
      </c>
    </row>
    <row r="132" spans="1:7" x14ac:dyDescent="0.25">
      <c r="A132" s="1" t="s">
        <v>75</v>
      </c>
      <c r="B132" s="1" t="s">
        <v>37</v>
      </c>
      <c r="C132" s="2">
        <v>33885</v>
      </c>
      <c r="D132" s="1" t="s">
        <v>6</v>
      </c>
      <c r="E132" s="1">
        <f>2016-YEAR(ubezpieczenia57[[#This Row],[Data_urodz]])</f>
        <v>24</v>
      </c>
      <c r="F132" s="1">
        <f>ROUNDDOWN(ubezpieczenia57[[#This Row],[wiek]]/10,0)</f>
        <v>2</v>
      </c>
      <c r="G132" s="1">
        <f t="shared" ref="G132:G195" si="2">G131+1</f>
        <v>131</v>
      </c>
    </row>
    <row r="133" spans="1:7" x14ac:dyDescent="0.25">
      <c r="A133" s="1" t="s">
        <v>205</v>
      </c>
      <c r="B133" s="1" t="s">
        <v>25</v>
      </c>
      <c r="C133" s="2">
        <v>30498</v>
      </c>
      <c r="D133" s="1" t="s">
        <v>9</v>
      </c>
      <c r="E133" s="1">
        <f>2016-YEAR(ubezpieczenia57[[#This Row],[Data_urodz]])</f>
        <v>33</v>
      </c>
      <c r="F133" s="1">
        <f>ROUNDDOWN(ubezpieczenia57[[#This Row],[wiek]]/10,0)</f>
        <v>3</v>
      </c>
      <c r="G133" s="1">
        <f t="shared" si="2"/>
        <v>132</v>
      </c>
    </row>
    <row r="134" spans="1:7" x14ac:dyDescent="0.25">
      <c r="A134" s="1" t="s">
        <v>206</v>
      </c>
      <c r="B134" s="1" t="s">
        <v>167</v>
      </c>
      <c r="C134" s="2">
        <v>22090</v>
      </c>
      <c r="D134" s="1" t="s">
        <v>9</v>
      </c>
      <c r="E134" s="1">
        <f>2016-YEAR(ubezpieczenia57[[#This Row],[Data_urodz]])</f>
        <v>56</v>
      </c>
      <c r="F134" s="1">
        <f>ROUNDDOWN(ubezpieczenia57[[#This Row],[wiek]]/10,0)</f>
        <v>5</v>
      </c>
      <c r="G134" s="1">
        <f t="shared" si="2"/>
        <v>133</v>
      </c>
    </row>
    <row r="135" spans="1:7" x14ac:dyDescent="0.25">
      <c r="A135" s="1" t="s">
        <v>207</v>
      </c>
      <c r="B135" s="1" t="s">
        <v>37</v>
      </c>
      <c r="C135" s="2">
        <v>27938</v>
      </c>
      <c r="D135" s="1" t="s">
        <v>6</v>
      </c>
      <c r="E135" s="1">
        <f>2016-YEAR(ubezpieczenia57[[#This Row],[Data_urodz]])</f>
        <v>40</v>
      </c>
      <c r="F135" s="1">
        <f>ROUNDDOWN(ubezpieczenia57[[#This Row],[wiek]]/10,0)</f>
        <v>4</v>
      </c>
      <c r="G135" s="1">
        <f t="shared" si="2"/>
        <v>134</v>
      </c>
    </row>
    <row r="136" spans="1:7" x14ac:dyDescent="0.25">
      <c r="A136" s="1" t="s">
        <v>208</v>
      </c>
      <c r="B136" s="1" t="s">
        <v>47</v>
      </c>
      <c r="C136" s="2">
        <v>23762</v>
      </c>
      <c r="D136" s="1" t="s">
        <v>12</v>
      </c>
      <c r="E136" s="1">
        <f>2016-YEAR(ubezpieczenia57[[#This Row],[Data_urodz]])</f>
        <v>51</v>
      </c>
      <c r="F136" s="1">
        <f>ROUNDDOWN(ubezpieczenia57[[#This Row],[wiek]]/10,0)</f>
        <v>5</v>
      </c>
      <c r="G136" s="1">
        <f t="shared" si="2"/>
        <v>135</v>
      </c>
    </row>
    <row r="137" spans="1:7" x14ac:dyDescent="0.25">
      <c r="A137" s="1" t="s">
        <v>209</v>
      </c>
      <c r="B137" s="1" t="s">
        <v>131</v>
      </c>
      <c r="C137" s="2">
        <v>25158</v>
      </c>
      <c r="D137" s="1" t="s">
        <v>6</v>
      </c>
      <c r="E137" s="1">
        <f>2016-YEAR(ubezpieczenia57[[#This Row],[Data_urodz]])</f>
        <v>48</v>
      </c>
      <c r="F137" s="1">
        <f>ROUNDDOWN(ubezpieczenia57[[#This Row],[wiek]]/10,0)</f>
        <v>4</v>
      </c>
      <c r="G137" s="1">
        <f t="shared" si="2"/>
        <v>136</v>
      </c>
    </row>
    <row r="138" spans="1:7" x14ac:dyDescent="0.25">
      <c r="A138" s="1" t="s">
        <v>210</v>
      </c>
      <c r="B138" s="1" t="s">
        <v>37</v>
      </c>
      <c r="C138" s="2">
        <v>24824</v>
      </c>
      <c r="D138" s="1" t="s">
        <v>12</v>
      </c>
      <c r="E138" s="1">
        <f>2016-YEAR(ubezpieczenia57[[#This Row],[Data_urodz]])</f>
        <v>49</v>
      </c>
      <c r="F138" s="1">
        <f>ROUNDDOWN(ubezpieczenia57[[#This Row],[wiek]]/10,0)</f>
        <v>4</v>
      </c>
      <c r="G138" s="1">
        <f t="shared" si="2"/>
        <v>137</v>
      </c>
    </row>
    <row r="139" spans="1:7" x14ac:dyDescent="0.25">
      <c r="A139" s="1" t="s">
        <v>211</v>
      </c>
      <c r="B139" s="1" t="s">
        <v>49</v>
      </c>
      <c r="C139" s="2">
        <v>33398</v>
      </c>
      <c r="D139" s="1" t="s">
        <v>9</v>
      </c>
      <c r="E139" s="1">
        <f>2016-YEAR(ubezpieczenia57[[#This Row],[Data_urodz]])</f>
        <v>25</v>
      </c>
      <c r="F139" s="1">
        <f>ROUNDDOWN(ubezpieczenia57[[#This Row],[wiek]]/10,0)</f>
        <v>2</v>
      </c>
      <c r="G139" s="1">
        <f t="shared" si="2"/>
        <v>138</v>
      </c>
    </row>
    <row r="140" spans="1:7" x14ac:dyDescent="0.25">
      <c r="A140" s="1" t="s">
        <v>212</v>
      </c>
      <c r="B140" s="1" t="s">
        <v>18</v>
      </c>
      <c r="C140" s="2">
        <v>34795</v>
      </c>
      <c r="D140" s="1" t="s">
        <v>9</v>
      </c>
      <c r="E140" s="1">
        <f>2016-YEAR(ubezpieczenia57[[#This Row],[Data_urodz]])</f>
        <v>21</v>
      </c>
      <c r="F140" s="1">
        <f>ROUNDDOWN(ubezpieczenia57[[#This Row],[wiek]]/10,0)</f>
        <v>2</v>
      </c>
      <c r="G140" s="1">
        <f t="shared" si="2"/>
        <v>139</v>
      </c>
    </row>
    <row r="141" spans="1:7" x14ac:dyDescent="0.25">
      <c r="A141" s="1" t="s">
        <v>88</v>
      </c>
      <c r="B141" s="1" t="s">
        <v>213</v>
      </c>
      <c r="C141" s="2">
        <v>20374</v>
      </c>
      <c r="D141" s="1" t="s">
        <v>12</v>
      </c>
      <c r="E141" s="1">
        <f>2016-YEAR(ubezpieczenia57[[#This Row],[Data_urodz]])</f>
        <v>61</v>
      </c>
      <c r="F141" s="1">
        <f>ROUNDDOWN(ubezpieczenia57[[#This Row],[wiek]]/10,0)</f>
        <v>6</v>
      </c>
      <c r="G141" s="1">
        <f t="shared" si="2"/>
        <v>140</v>
      </c>
    </row>
    <row r="142" spans="1:7" x14ac:dyDescent="0.25">
      <c r="A142" s="1" t="s">
        <v>214</v>
      </c>
      <c r="B142" s="1" t="s">
        <v>165</v>
      </c>
      <c r="C142" s="2">
        <v>25416</v>
      </c>
      <c r="D142" s="1" t="s">
        <v>12</v>
      </c>
      <c r="E142" s="1">
        <f>2016-YEAR(ubezpieczenia57[[#This Row],[Data_urodz]])</f>
        <v>47</v>
      </c>
      <c r="F142" s="1">
        <f>ROUNDDOWN(ubezpieczenia57[[#This Row],[wiek]]/10,0)</f>
        <v>4</v>
      </c>
      <c r="G142" s="1">
        <f t="shared" si="2"/>
        <v>141</v>
      </c>
    </row>
    <row r="143" spans="1:7" x14ac:dyDescent="0.25">
      <c r="A143" s="1" t="s">
        <v>215</v>
      </c>
      <c r="B143" s="1" t="s">
        <v>216</v>
      </c>
      <c r="C143" s="2">
        <v>21548</v>
      </c>
      <c r="D143" s="1" t="s">
        <v>12</v>
      </c>
      <c r="E143" s="1">
        <f>2016-YEAR(ubezpieczenia57[[#This Row],[Data_urodz]])</f>
        <v>58</v>
      </c>
      <c r="F143" s="1">
        <f>ROUNDDOWN(ubezpieczenia57[[#This Row],[wiek]]/10,0)</f>
        <v>5</v>
      </c>
      <c r="G143" s="1">
        <f t="shared" si="2"/>
        <v>142</v>
      </c>
    </row>
    <row r="144" spans="1:7" x14ac:dyDescent="0.25">
      <c r="A144" s="1" t="s">
        <v>217</v>
      </c>
      <c r="B144" s="1" t="s">
        <v>54</v>
      </c>
      <c r="C144" s="2">
        <v>31232</v>
      </c>
      <c r="D144" s="1" t="s">
        <v>9</v>
      </c>
      <c r="E144" s="1">
        <f>2016-YEAR(ubezpieczenia57[[#This Row],[Data_urodz]])</f>
        <v>31</v>
      </c>
      <c r="F144" s="1">
        <f>ROUNDDOWN(ubezpieczenia57[[#This Row],[wiek]]/10,0)</f>
        <v>3</v>
      </c>
      <c r="G144" s="1">
        <f t="shared" si="2"/>
        <v>143</v>
      </c>
    </row>
    <row r="145" spans="1:7" x14ac:dyDescent="0.25">
      <c r="A145" s="1" t="s">
        <v>218</v>
      </c>
      <c r="B145" s="1" t="s">
        <v>121</v>
      </c>
      <c r="C145" s="2">
        <v>28472</v>
      </c>
      <c r="D145" s="1" t="s">
        <v>12</v>
      </c>
      <c r="E145" s="1">
        <f>2016-YEAR(ubezpieczenia57[[#This Row],[Data_urodz]])</f>
        <v>39</v>
      </c>
      <c r="F145" s="1">
        <f>ROUNDDOWN(ubezpieczenia57[[#This Row],[wiek]]/10,0)</f>
        <v>3</v>
      </c>
      <c r="G145" s="1">
        <f t="shared" si="2"/>
        <v>144</v>
      </c>
    </row>
    <row r="146" spans="1:7" x14ac:dyDescent="0.25">
      <c r="A146" s="1" t="s">
        <v>219</v>
      </c>
      <c r="B146" s="1" t="s">
        <v>29</v>
      </c>
      <c r="C146" s="2">
        <v>34287</v>
      </c>
      <c r="D146" s="1" t="s">
        <v>12</v>
      </c>
      <c r="E146" s="1">
        <f>2016-YEAR(ubezpieczenia57[[#This Row],[Data_urodz]])</f>
        <v>23</v>
      </c>
      <c r="F146" s="1">
        <f>ROUNDDOWN(ubezpieczenia57[[#This Row],[wiek]]/10,0)</f>
        <v>2</v>
      </c>
      <c r="G146" s="1">
        <f t="shared" si="2"/>
        <v>145</v>
      </c>
    </row>
    <row r="147" spans="1:7" x14ac:dyDescent="0.25">
      <c r="A147" s="1" t="s">
        <v>220</v>
      </c>
      <c r="B147" s="1" t="s">
        <v>92</v>
      </c>
      <c r="C147" s="2">
        <v>24972</v>
      </c>
      <c r="D147" s="1" t="s">
        <v>6</v>
      </c>
      <c r="E147" s="1">
        <f>2016-YEAR(ubezpieczenia57[[#This Row],[Data_urodz]])</f>
        <v>48</v>
      </c>
      <c r="F147" s="1">
        <f>ROUNDDOWN(ubezpieczenia57[[#This Row],[wiek]]/10,0)</f>
        <v>4</v>
      </c>
      <c r="G147" s="1">
        <f t="shared" si="2"/>
        <v>146</v>
      </c>
    </row>
    <row r="148" spans="1:7" x14ac:dyDescent="0.25">
      <c r="A148" s="1" t="s">
        <v>221</v>
      </c>
      <c r="B148" s="1" t="s">
        <v>154</v>
      </c>
      <c r="C148" s="2">
        <v>18787</v>
      </c>
      <c r="D148" s="1" t="s">
        <v>9</v>
      </c>
      <c r="E148" s="1">
        <f>2016-YEAR(ubezpieczenia57[[#This Row],[Data_urodz]])</f>
        <v>65</v>
      </c>
      <c r="F148" s="1">
        <f>ROUNDDOWN(ubezpieczenia57[[#This Row],[wiek]]/10,0)</f>
        <v>6</v>
      </c>
      <c r="G148" s="1">
        <f t="shared" si="2"/>
        <v>147</v>
      </c>
    </row>
    <row r="149" spans="1:7" x14ac:dyDescent="0.25">
      <c r="A149" s="1" t="s">
        <v>222</v>
      </c>
      <c r="B149" s="1" t="s">
        <v>49</v>
      </c>
      <c r="C149" s="2">
        <v>27611</v>
      </c>
      <c r="D149" s="1" t="s">
        <v>9</v>
      </c>
      <c r="E149" s="1">
        <f>2016-YEAR(ubezpieczenia57[[#This Row],[Data_urodz]])</f>
        <v>41</v>
      </c>
      <c r="F149" s="1">
        <f>ROUNDDOWN(ubezpieczenia57[[#This Row],[wiek]]/10,0)</f>
        <v>4</v>
      </c>
      <c r="G149" s="1">
        <f t="shared" si="2"/>
        <v>148</v>
      </c>
    </row>
    <row r="150" spans="1:7" x14ac:dyDescent="0.25">
      <c r="A150" s="1" t="s">
        <v>223</v>
      </c>
      <c r="B150" s="1" t="s">
        <v>224</v>
      </c>
      <c r="C150" s="2">
        <v>26071</v>
      </c>
      <c r="D150" s="1" t="s">
        <v>12</v>
      </c>
      <c r="E150" s="1">
        <f>2016-YEAR(ubezpieczenia57[[#This Row],[Data_urodz]])</f>
        <v>45</v>
      </c>
      <c r="F150" s="1">
        <f>ROUNDDOWN(ubezpieczenia57[[#This Row],[wiek]]/10,0)</f>
        <v>4</v>
      </c>
      <c r="G150" s="1">
        <f t="shared" si="2"/>
        <v>149</v>
      </c>
    </row>
    <row r="151" spans="1:7" x14ac:dyDescent="0.25">
      <c r="A151" s="1" t="s">
        <v>225</v>
      </c>
      <c r="B151" s="1" t="s">
        <v>20</v>
      </c>
      <c r="C151" s="2">
        <v>18285</v>
      </c>
      <c r="D151" s="1" t="s">
        <v>6</v>
      </c>
      <c r="E151" s="1">
        <f>2016-YEAR(ubezpieczenia57[[#This Row],[Data_urodz]])</f>
        <v>66</v>
      </c>
      <c r="F151" s="1">
        <f>ROUNDDOWN(ubezpieczenia57[[#This Row],[wiek]]/10,0)</f>
        <v>6</v>
      </c>
      <c r="G151" s="1">
        <f t="shared" si="2"/>
        <v>150</v>
      </c>
    </row>
    <row r="152" spans="1:7" x14ac:dyDescent="0.25">
      <c r="A152" s="1" t="s">
        <v>226</v>
      </c>
      <c r="B152" s="1" t="s">
        <v>8</v>
      </c>
      <c r="C152" s="2">
        <v>33696</v>
      </c>
      <c r="D152" s="1" t="s">
        <v>12</v>
      </c>
      <c r="E152" s="1">
        <f>2016-YEAR(ubezpieczenia57[[#This Row],[Data_urodz]])</f>
        <v>24</v>
      </c>
      <c r="F152" s="1">
        <f>ROUNDDOWN(ubezpieczenia57[[#This Row],[wiek]]/10,0)</f>
        <v>2</v>
      </c>
      <c r="G152" s="1">
        <f t="shared" si="2"/>
        <v>151</v>
      </c>
    </row>
    <row r="153" spans="1:7" x14ac:dyDescent="0.25">
      <c r="A153" s="1" t="s">
        <v>227</v>
      </c>
      <c r="B153" s="1" t="s">
        <v>81</v>
      </c>
      <c r="C153" s="2">
        <v>25404</v>
      </c>
      <c r="D153" s="1" t="s">
        <v>12</v>
      </c>
      <c r="E153" s="1">
        <f>2016-YEAR(ubezpieczenia57[[#This Row],[Data_urodz]])</f>
        <v>47</v>
      </c>
      <c r="F153" s="1">
        <f>ROUNDDOWN(ubezpieczenia57[[#This Row],[wiek]]/10,0)</f>
        <v>4</v>
      </c>
      <c r="G153" s="1">
        <f t="shared" si="2"/>
        <v>152</v>
      </c>
    </row>
    <row r="154" spans="1:7" x14ac:dyDescent="0.25">
      <c r="A154" s="1" t="s">
        <v>26</v>
      </c>
      <c r="B154" s="1" t="s">
        <v>114</v>
      </c>
      <c r="C154" s="2">
        <v>21769</v>
      </c>
      <c r="D154" s="1" t="s">
        <v>6</v>
      </c>
      <c r="E154" s="1">
        <f>2016-YEAR(ubezpieczenia57[[#This Row],[Data_urodz]])</f>
        <v>57</v>
      </c>
      <c r="F154" s="1">
        <f>ROUNDDOWN(ubezpieczenia57[[#This Row],[wiek]]/10,0)</f>
        <v>5</v>
      </c>
      <c r="G154" s="1">
        <f t="shared" si="2"/>
        <v>153</v>
      </c>
    </row>
    <row r="155" spans="1:7" x14ac:dyDescent="0.25">
      <c r="A155" s="1" t="s">
        <v>228</v>
      </c>
      <c r="B155" s="1" t="s">
        <v>49</v>
      </c>
      <c r="C155" s="2">
        <v>26490</v>
      </c>
      <c r="D155" s="1" t="s">
        <v>6</v>
      </c>
      <c r="E155" s="1">
        <f>2016-YEAR(ubezpieczenia57[[#This Row],[Data_urodz]])</f>
        <v>44</v>
      </c>
      <c r="F155" s="1">
        <f>ROUNDDOWN(ubezpieczenia57[[#This Row],[wiek]]/10,0)</f>
        <v>4</v>
      </c>
      <c r="G155" s="1">
        <f t="shared" si="2"/>
        <v>154</v>
      </c>
    </row>
    <row r="156" spans="1:7" x14ac:dyDescent="0.25">
      <c r="A156" s="1" t="s">
        <v>229</v>
      </c>
      <c r="B156" s="1" t="s">
        <v>105</v>
      </c>
      <c r="C156" s="2">
        <v>28897</v>
      </c>
      <c r="D156" s="1" t="s">
        <v>9</v>
      </c>
      <c r="E156" s="1">
        <f>2016-YEAR(ubezpieczenia57[[#This Row],[Data_urodz]])</f>
        <v>37</v>
      </c>
      <c r="F156" s="1">
        <f>ROUNDDOWN(ubezpieczenia57[[#This Row],[wiek]]/10,0)</f>
        <v>3</v>
      </c>
      <c r="G156" s="1">
        <f t="shared" si="2"/>
        <v>155</v>
      </c>
    </row>
    <row r="157" spans="1:7" x14ac:dyDescent="0.25">
      <c r="A157" s="1" t="s">
        <v>230</v>
      </c>
      <c r="B157" s="1" t="s">
        <v>231</v>
      </c>
      <c r="C157" s="2">
        <v>33454</v>
      </c>
      <c r="D157" s="1" t="s">
        <v>12</v>
      </c>
      <c r="E157" s="1">
        <f>2016-YEAR(ubezpieczenia57[[#This Row],[Data_urodz]])</f>
        <v>25</v>
      </c>
      <c r="F157" s="1">
        <f>ROUNDDOWN(ubezpieczenia57[[#This Row],[wiek]]/10,0)</f>
        <v>2</v>
      </c>
      <c r="G157" s="1">
        <f t="shared" si="2"/>
        <v>156</v>
      </c>
    </row>
    <row r="158" spans="1:7" x14ac:dyDescent="0.25">
      <c r="A158" s="1" t="s">
        <v>232</v>
      </c>
      <c r="B158" s="1" t="s">
        <v>233</v>
      </c>
      <c r="C158" s="2">
        <v>24539</v>
      </c>
      <c r="D158" s="1" t="s">
        <v>12</v>
      </c>
      <c r="E158" s="1">
        <f>2016-YEAR(ubezpieczenia57[[#This Row],[Data_urodz]])</f>
        <v>49</v>
      </c>
      <c r="F158" s="1">
        <f>ROUNDDOWN(ubezpieczenia57[[#This Row],[wiek]]/10,0)</f>
        <v>4</v>
      </c>
      <c r="G158" s="1">
        <f t="shared" si="2"/>
        <v>157</v>
      </c>
    </row>
    <row r="159" spans="1:7" x14ac:dyDescent="0.25">
      <c r="A159" s="1" t="s">
        <v>234</v>
      </c>
      <c r="B159" s="1" t="s">
        <v>235</v>
      </c>
      <c r="C159" s="2">
        <v>27992</v>
      </c>
      <c r="D159" s="1" t="s">
        <v>6</v>
      </c>
      <c r="E159" s="1">
        <f>2016-YEAR(ubezpieczenia57[[#This Row],[Data_urodz]])</f>
        <v>40</v>
      </c>
      <c r="F159" s="1">
        <f>ROUNDDOWN(ubezpieczenia57[[#This Row],[wiek]]/10,0)</f>
        <v>4</v>
      </c>
      <c r="G159" s="1">
        <f t="shared" si="2"/>
        <v>158</v>
      </c>
    </row>
    <row r="160" spans="1:7" x14ac:dyDescent="0.25">
      <c r="A160" s="1" t="s">
        <v>147</v>
      </c>
      <c r="B160" s="1" t="s">
        <v>236</v>
      </c>
      <c r="C160" s="2">
        <v>26335</v>
      </c>
      <c r="D160" s="1" t="s">
        <v>40</v>
      </c>
      <c r="E160" s="1">
        <f>2016-YEAR(ubezpieczenia57[[#This Row],[Data_urodz]])</f>
        <v>44</v>
      </c>
      <c r="F160" s="1">
        <f>ROUNDDOWN(ubezpieczenia57[[#This Row],[wiek]]/10,0)</f>
        <v>4</v>
      </c>
      <c r="G160" s="1">
        <f t="shared" si="2"/>
        <v>159</v>
      </c>
    </row>
    <row r="161" spans="1:7" x14ac:dyDescent="0.25">
      <c r="A161" s="1" t="s">
        <v>237</v>
      </c>
      <c r="B161" s="1" t="s">
        <v>167</v>
      </c>
      <c r="C161" s="2">
        <v>31095</v>
      </c>
      <c r="D161" s="1" t="s">
        <v>12</v>
      </c>
      <c r="E161" s="1">
        <f>2016-YEAR(ubezpieczenia57[[#This Row],[Data_urodz]])</f>
        <v>31</v>
      </c>
      <c r="F161" s="1">
        <f>ROUNDDOWN(ubezpieczenia57[[#This Row],[wiek]]/10,0)</f>
        <v>3</v>
      </c>
      <c r="G161" s="1">
        <f t="shared" si="2"/>
        <v>160</v>
      </c>
    </row>
    <row r="162" spans="1:7" x14ac:dyDescent="0.25">
      <c r="A162" s="1" t="s">
        <v>238</v>
      </c>
      <c r="B162" s="1" t="s">
        <v>169</v>
      </c>
      <c r="C162" s="2">
        <v>26112</v>
      </c>
      <c r="D162" s="1" t="s">
        <v>40</v>
      </c>
      <c r="E162" s="1">
        <f>2016-YEAR(ubezpieczenia57[[#This Row],[Data_urodz]])</f>
        <v>45</v>
      </c>
      <c r="F162" s="1">
        <f>ROUNDDOWN(ubezpieczenia57[[#This Row],[wiek]]/10,0)</f>
        <v>4</v>
      </c>
      <c r="G162" s="1">
        <f t="shared" si="2"/>
        <v>161</v>
      </c>
    </row>
    <row r="163" spans="1:7" x14ac:dyDescent="0.25">
      <c r="A163" s="1" t="s">
        <v>239</v>
      </c>
      <c r="B163" s="1" t="s">
        <v>54</v>
      </c>
      <c r="C163" s="2">
        <v>23272</v>
      </c>
      <c r="D163" s="1" t="s">
        <v>6</v>
      </c>
      <c r="E163" s="1">
        <f>2016-YEAR(ubezpieczenia57[[#This Row],[Data_urodz]])</f>
        <v>53</v>
      </c>
      <c r="F163" s="1">
        <f>ROUNDDOWN(ubezpieczenia57[[#This Row],[wiek]]/10,0)</f>
        <v>5</v>
      </c>
      <c r="G163" s="1">
        <f t="shared" si="2"/>
        <v>162</v>
      </c>
    </row>
    <row r="164" spans="1:7" x14ac:dyDescent="0.25">
      <c r="A164" s="1" t="s">
        <v>240</v>
      </c>
      <c r="B164" s="1" t="s">
        <v>32</v>
      </c>
      <c r="C164" s="2">
        <v>32952</v>
      </c>
      <c r="D164" s="1" t="s">
        <v>40</v>
      </c>
      <c r="E164" s="1">
        <f>2016-YEAR(ubezpieczenia57[[#This Row],[Data_urodz]])</f>
        <v>26</v>
      </c>
      <c r="F164" s="1">
        <f>ROUNDDOWN(ubezpieczenia57[[#This Row],[wiek]]/10,0)</f>
        <v>2</v>
      </c>
      <c r="G164" s="1">
        <f t="shared" si="2"/>
        <v>163</v>
      </c>
    </row>
    <row r="165" spans="1:7" x14ac:dyDescent="0.25">
      <c r="A165" s="1" t="s">
        <v>241</v>
      </c>
      <c r="B165" s="1" t="s">
        <v>39</v>
      </c>
      <c r="C165" s="2">
        <v>19759</v>
      </c>
      <c r="D165" s="1" t="s">
        <v>9</v>
      </c>
      <c r="E165" s="1">
        <f>2016-YEAR(ubezpieczenia57[[#This Row],[Data_urodz]])</f>
        <v>62</v>
      </c>
      <c r="F165" s="1">
        <f>ROUNDDOWN(ubezpieczenia57[[#This Row],[wiek]]/10,0)</f>
        <v>6</v>
      </c>
      <c r="G165" s="1">
        <f t="shared" si="2"/>
        <v>164</v>
      </c>
    </row>
    <row r="166" spans="1:7" x14ac:dyDescent="0.25">
      <c r="A166" s="1" t="s">
        <v>242</v>
      </c>
      <c r="B166" s="1" t="s">
        <v>152</v>
      </c>
      <c r="C166" s="2">
        <v>27324</v>
      </c>
      <c r="D166" s="1" t="s">
        <v>9</v>
      </c>
      <c r="E166" s="1">
        <f>2016-YEAR(ubezpieczenia57[[#This Row],[Data_urodz]])</f>
        <v>42</v>
      </c>
      <c r="F166" s="1">
        <f>ROUNDDOWN(ubezpieczenia57[[#This Row],[wiek]]/10,0)</f>
        <v>4</v>
      </c>
      <c r="G166" s="1">
        <f t="shared" si="2"/>
        <v>165</v>
      </c>
    </row>
    <row r="167" spans="1:7" x14ac:dyDescent="0.25">
      <c r="A167" s="1" t="s">
        <v>243</v>
      </c>
      <c r="B167" s="1" t="s">
        <v>236</v>
      </c>
      <c r="C167" s="2">
        <v>21838</v>
      </c>
      <c r="D167" s="1" t="s">
        <v>6</v>
      </c>
      <c r="E167" s="1">
        <f>2016-YEAR(ubezpieczenia57[[#This Row],[Data_urodz]])</f>
        <v>57</v>
      </c>
      <c r="F167" s="1">
        <f>ROUNDDOWN(ubezpieczenia57[[#This Row],[wiek]]/10,0)</f>
        <v>5</v>
      </c>
      <c r="G167" s="1">
        <f t="shared" si="2"/>
        <v>166</v>
      </c>
    </row>
    <row r="168" spans="1:7" x14ac:dyDescent="0.25">
      <c r="A168" s="1" t="s">
        <v>244</v>
      </c>
      <c r="B168" s="1" t="s">
        <v>47</v>
      </c>
      <c r="C168" s="2">
        <v>21051</v>
      </c>
      <c r="D168" s="1" t="s">
        <v>40</v>
      </c>
      <c r="E168" s="1">
        <f>2016-YEAR(ubezpieczenia57[[#This Row],[Data_urodz]])</f>
        <v>59</v>
      </c>
      <c r="F168" s="1">
        <f>ROUNDDOWN(ubezpieczenia57[[#This Row],[wiek]]/10,0)</f>
        <v>5</v>
      </c>
      <c r="G168" s="1">
        <f t="shared" si="2"/>
        <v>167</v>
      </c>
    </row>
    <row r="169" spans="1:7" x14ac:dyDescent="0.25">
      <c r="A169" s="1" t="s">
        <v>245</v>
      </c>
      <c r="B169" s="1" t="s">
        <v>246</v>
      </c>
      <c r="C169" s="2">
        <v>31292</v>
      </c>
      <c r="D169" s="1" t="s">
        <v>40</v>
      </c>
      <c r="E169" s="1">
        <f>2016-YEAR(ubezpieczenia57[[#This Row],[Data_urodz]])</f>
        <v>31</v>
      </c>
      <c r="F169" s="1">
        <f>ROUNDDOWN(ubezpieczenia57[[#This Row],[wiek]]/10,0)</f>
        <v>3</v>
      </c>
      <c r="G169" s="1">
        <f t="shared" si="2"/>
        <v>168</v>
      </c>
    </row>
    <row r="170" spans="1:7" x14ac:dyDescent="0.25">
      <c r="A170" s="1" t="s">
        <v>247</v>
      </c>
      <c r="B170" s="1" t="s">
        <v>248</v>
      </c>
      <c r="C170" s="2">
        <v>17179</v>
      </c>
      <c r="D170" s="1" t="s">
        <v>12</v>
      </c>
      <c r="E170" s="1">
        <f>2016-YEAR(ubezpieczenia57[[#This Row],[Data_urodz]])</f>
        <v>69</v>
      </c>
      <c r="F170" s="1">
        <f>ROUNDDOWN(ubezpieczenia57[[#This Row],[wiek]]/10,0)</f>
        <v>6</v>
      </c>
      <c r="G170" s="1">
        <f t="shared" si="2"/>
        <v>169</v>
      </c>
    </row>
    <row r="171" spans="1:7" x14ac:dyDescent="0.25">
      <c r="A171" s="1" t="s">
        <v>249</v>
      </c>
      <c r="B171" s="1" t="s">
        <v>250</v>
      </c>
      <c r="C171" s="2">
        <v>32305</v>
      </c>
      <c r="D171" s="1" t="s">
        <v>6</v>
      </c>
      <c r="E171" s="1">
        <f>2016-YEAR(ubezpieczenia57[[#This Row],[Data_urodz]])</f>
        <v>28</v>
      </c>
      <c r="F171" s="1">
        <f>ROUNDDOWN(ubezpieczenia57[[#This Row],[wiek]]/10,0)</f>
        <v>2</v>
      </c>
      <c r="G171" s="1">
        <f t="shared" si="2"/>
        <v>170</v>
      </c>
    </row>
    <row r="172" spans="1:7" x14ac:dyDescent="0.25">
      <c r="A172" s="1" t="s">
        <v>251</v>
      </c>
      <c r="B172" s="1" t="s">
        <v>252</v>
      </c>
      <c r="C172" s="2">
        <v>32081</v>
      </c>
      <c r="D172" s="1" t="s">
        <v>12</v>
      </c>
      <c r="E172" s="1">
        <f>2016-YEAR(ubezpieczenia57[[#This Row],[Data_urodz]])</f>
        <v>29</v>
      </c>
      <c r="F172" s="1">
        <f>ROUNDDOWN(ubezpieczenia57[[#This Row],[wiek]]/10,0)</f>
        <v>2</v>
      </c>
      <c r="G172" s="1">
        <f t="shared" si="2"/>
        <v>171</v>
      </c>
    </row>
    <row r="173" spans="1:7" x14ac:dyDescent="0.25">
      <c r="A173" s="1" t="s">
        <v>253</v>
      </c>
      <c r="B173" s="1" t="s">
        <v>121</v>
      </c>
      <c r="C173" s="2">
        <v>31749</v>
      </c>
      <c r="D173" s="1" t="s">
        <v>6</v>
      </c>
      <c r="E173" s="1">
        <f>2016-YEAR(ubezpieczenia57[[#This Row],[Data_urodz]])</f>
        <v>30</v>
      </c>
      <c r="F173" s="1">
        <f>ROUNDDOWN(ubezpieczenia57[[#This Row],[wiek]]/10,0)</f>
        <v>3</v>
      </c>
      <c r="G173" s="1">
        <f t="shared" si="2"/>
        <v>172</v>
      </c>
    </row>
    <row r="174" spans="1:7" x14ac:dyDescent="0.25">
      <c r="A174" s="1" t="s">
        <v>254</v>
      </c>
      <c r="B174" s="1" t="s">
        <v>255</v>
      </c>
      <c r="C174" s="2">
        <v>18648</v>
      </c>
      <c r="D174" s="1" t="s">
        <v>40</v>
      </c>
      <c r="E174" s="1">
        <f>2016-YEAR(ubezpieczenia57[[#This Row],[Data_urodz]])</f>
        <v>65</v>
      </c>
      <c r="F174" s="1">
        <f>ROUNDDOWN(ubezpieczenia57[[#This Row],[wiek]]/10,0)</f>
        <v>6</v>
      </c>
      <c r="G174" s="1">
        <f t="shared" si="2"/>
        <v>173</v>
      </c>
    </row>
    <row r="175" spans="1:7" x14ac:dyDescent="0.25">
      <c r="A175" s="1" t="s">
        <v>256</v>
      </c>
      <c r="B175" s="1" t="s">
        <v>257</v>
      </c>
      <c r="C175" s="2">
        <v>16734</v>
      </c>
      <c r="D175" s="1" t="s">
        <v>6</v>
      </c>
      <c r="E175" s="1">
        <f>2016-YEAR(ubezpieczenia57[[#This Row],[Data_urodz]])</f>
        <v>71</v>
      </c>
      <c r="F175" s="1">
        <f>ROUNDDOWN(ubezpieczenia57[[#This Row],[wiek]]/10,0)</f>
        <v>7</v>
      </c>
      <c r="G175" s="1">
        <f t="shared" si="2"/>
        <v>174</v>
      </c>
    </row>
    <row r="176" spans="1:7" x14ac:dyDescent="0.25">
      <c r="A176" s="1" t="s">
        <v>258</v>
      </c>
      <c r="B176" s="1" t="s">
        <v>47</v>
      </c>
      <c r="C176" s="2">
        <v>25036</v>
      </c>
      <c r="D176" s="1" t="s">
        <v>12</v>
      </c>
      <c r="E176" s="1">
        <f>2016-YEAR(ubezpieczenia57[[#This Row],[Data_urodz]])</f>
        <v>48</v>
      </c>
      <c r="F176" s="1">
        <f>ROUNDDOWN(ubezpieczenia57[[#This Row],[wiek]]/10,0)</f>
        <v>4</v>
      </c>
      <c r="G176" s="1">
        <f t="shared" si="2"/>
        <v>175</v>
      </c>
    </row>
    <row r="177" spans="1:7" x14ac:dyDescent="0.25">
      <c r="A177" s="1" t="s">
        <v>259</v>
      </c>
      <c r="B177" s="1" t="s">
        <v>260</v>
      </c>
      <c r="C177" s="2">
        <v>17342</v>
      </c>
      <c r="D177" s="1" t="s">
        <v>6</v>
      </c>
      <c r="E177" s="1">
        <f>2016-YEAR(ubezpieczenia57[[#This Row],[Data_urodz]])</f>
        <v>69</v>
      </c>
      <c r="F177" s="1">
        <f>ROUNDDOWN(ubezpieczenia57[[#This Row],[wiek]]/10,0)</f>
        <v>6</v>
      </c>
      <c r="G177" s="1">
        <f t="shared" si="2"/>
        <v>176</v>
      </c>
    </row>
    <row r="178" spans="1:7" x14ac:dyDescent="0.25">
      <c r="A178" s="1" t="s">
        <v>206</v>
      </c>
      <c r="B178" s="1" t="s">
        <v>167</v>
      </c>
      <c r="C178" s="2">
        <v>23157</v>
      </c>
      <c r="D178" s="1" t="s">
        <v>9</v>
      </c>
      <c r="E178" s="1">
        <f>2016-YEAR(ubezpieczenia57[[#This Row],[Data_urodz]])</f>
        <v>53</v>
      </c>
      <c r="F178" s="1">
        <f>ROUNDDOWN(ubezpieczenia57[[#This Row],[wiek]]/10,0)</f>
        <v>5</v>
      </c>
      <c r="G178" s="1">
        <f t="shared" si="2"/>
        <v>177</v>
      </c>
    </row>
    <row r="179" spans="1:7" x14ac:dyDescent="0.25">
      <c r="A179" s="1" t="s">
        <v>261</v>
      </c>
      <c r="B179" s="1" t="s">
        <v>37</v>
      </c>
      <c r="C179" s="2">
        <v>17166</v>
      </c>
      <c r="D179" s="1" t="s">
        <v>12</v>
      </c>
      <c r="E179" s="1">
        <f>2016-YEAR(ubezpieczenia57[[#This Row],[Data_urodz]])</f>
        <v>70</v>
      </c>
      <c r="F179" s="1">
        <f>ROUNDDOWN(ubezpieczenia57[[#This Row],[wiek]]/10,0)</f>
        <v>7</v>
      </c>
      <c r="G179" s="1">
        <f t="shared" si="2"/>
        <v>178</v>
      </c>
    </row>
    <row r="180" spans="1:7" x14ac:dyDescent="0.25">
      <c r="A180" s="1" t="s">
        <v>262</v>
      </c>
      <c r="B180" s="1" t="s">
        <v>263</v>
      </c>
      <c r="C180" s="2">
        <v>24471</v>
      </c>
      <c r="D180" s="1" t="s">
        <v>12</v>
      </c>
      <c r="E180" s="1">
        <f>2016-YEAR(ubezpieczenia57[[#This Row],[Data_urodz]])</f>
        <v>50</v>
      </c>
      <c r="F180" s="1">
        <f>ROUNDDOWN(ubezpieczenia57[[#This Row],[wiek]]/10,0)</f>
        <v>5</v>
      </c>
      <c r="G180" s="1">
        <f t="shared" si="2"/>
        <v>179</v>
      </c>
    </row>
    <row r="181" spans="1:7" x14ac:dyDescent="0.25">
      <c r="A181" s="1" t="s">
        <v>264</v>
      </c>
      <c r="B181" s="1" t="s">
        <v>157</v>
      </c>
      <c r="C181" s="2">
        <v>34523</v>
      </c>
      <c r="D181" s="1" t="s">
        <v>6</v>
      </c>
      <c r="E181" s="1">
        <f>2016-YEAR(ubezpieczenia57[[#This Row],[Data_urodz]])</f>
        <v>22</v>
      </c>
      <c r="F181" s="1">
        <f>ROUNDDOWN(ubezpieczenia57[[#This Row],[wiek]]/10,0)</f>
        <v>2</v>
      </c>
      <c r="G181" s="1">
        <f t="shared" si="2"/>
        <v>180</v>
      </c>
    </row>
    <row r="182" spans="1:7" x14ac:dyDescent="0.25">
      <c r="A182" s="1" t="s">
        <v>265</v>
      </c>
      <c r="B182" s="1" t="s">
        <v>139</v>
      </c>
      <c r="C182" s="2">
        <v>18354</v>
      </c>
      <c r="D182" s="1" t="s">
        <v>6</v>
      </c>
      <c r="E182" s="1">
        <f>2016-YEAR(ubezpieczenia57[[#This Row],[Data_urodz]])</f>
        <v>66</v>
      </c>
      <c r="F182" s="1">
        <f>ROUNDDOWN(ubezpieczenia57[[#This Row],[wiek]]/10,0)</f>
        <v>6</v>
      </c>
      <c r="G182" s="1">
        <f t="shared" si="2"/>
        <v>181</v>
      </c>
    </row>
    <row r="183" spans="1:7" x14ac:dyDescent="0.25">
      <c r="A183" s="1" t="s">
        <v>266</v>
      </c>
      <c r="B183" s="1" t="s">
        <v>267</v>
      </c>
      <c r="C183" s="2">
        <v>34069</v>
      </c>
      <c r="D183" s="1" t="s">
        <v>12</v>
      </c>
      <c r="E183" s="1">
        <f>2016-YEAR(ubezpieczenia57[[#This Row],[Data_urodz]])</f>
        <v>23</v>
      </c>
      <c r="F183" s="1">
        <f>ROUNDDOWN(ubezpieczenia57[[#This Row],[wiek]]/10,0)</f>
        <v>2</v>
      </c>
      <c r="G183" s="1">
        <f t="shared" si="2"/>
        <v>182</v>
      </c>
    </row>
    <row r="184" spans="1:7" x14ac:dyDescent="0.25">
      <c r="A184" s="1" t="s">
        <v>268</v>
      </c>
      <c r="B184" s="1" t="s">
        <v>269</v>
      </c>
      <c r="C184" s="2">
        <v>17331</v>
      </c>
      <c r="D184" s="1" t="s">
        <v>12</v>
      </c>
      <c r="E184" s="1">
        <f>2016-YEAR(ubezpieczenia57[[#This Row],[Data_urodz]])</f>
        <v>69</v>
      </c>
      <c r="F184" s="1">
        <f>ROUNDDOWN(ubezpieczenia57[[#This Row],[wiek]]/10,0)</f>
        <v>6</v>
      </c>
      <c r="G184" s="1">
        <f t="shared" si="2"/>
        <v>183</v>
      </c>
    </row>
    <row r="185" spans="1:7" x14ac:dyDescent="0.25">
      <c r="A185" s="1" t="s">
        <v>270</v>
      </c>
      <c r="B185" s="1" t="s">
        <v>39</v>
      </c>
      <c r="C185" s="2">
        <v>33550</v>
      </c>
      <c r="D185" s="1" t="s">
        <v>40</v>
      </c>
      <c r="E185" s="1">
        <f>2016-YEAR(ubezpieczenia57[[#This Row],[Data_urodz]])</f>
        <v>25</v>
      </c>
      <c r="F185" s="1">
        <f>ROUNDDOWN(ubezpieczenia57[[#This Row],[wiek]]/10,0)</f>
        <v>2</v>
      </c>
      <c r="G185" s="1">
        <f t="shared" si="2"/>
        <v>184</v>
      </c>
    </row>
    <row r="186" spans="1:7" x14ac:dyDescent="0.25">
      <c r="A186" s="1" t="s">
        <v>271</v>
      </c>
      <c r="B186" s="1" t="s">
        <v>255</v>
      </c>
      <c r="C186" s="2">
        <v>24426</v>
      </c>
      <c r="D186" s="1" t="s">
        <v>6</v>
      </c>
      <c r="E186" s="1">
        <f>2016-YEAR(ubezpieczenia57[[#This Row],[Data_urodz]])</f>
        <v>50</v>
      </c>
      <c r="F186" s="1">
        <f>ROUNDDOWN(ubezpieczenia57[[#This Row],[wiek]]/10,0)</f>
        <v>5</v>
      </c>
      <c r="G186" s="1">
        <f t="shared" si="2"/>
        <v>185</v>
      </c>
    </row>
    <row r="187" spans="1:7" x14ac:dyDescent="0.25">
      <c r="A187" s="1" t="s">
        <v>272</v>
      </c>
      <c r="B187" s="1" t="s">
        <v>273</v>
      </c>
      <c r="C187" s="2">
        <v>19307</v>
      </c>
      <c r="D187" s="1" t="s">
        <v>40</v>
      </c>
      <c r="E187" s="1">
        <f>2016-YEAR(ubezpieczenia57[[#This Row],[Data_urodz]])</f>
        <v>64</v>
      </c>
      <c r="F187" s="1">
        <f>ROUNDDOWN(ubezpieczenia57[[#This Row],[wiek]]/10,0)</f>
        <v>6</v>
      </c>
      <c r="G187" s="1">
        <f t="shared" si="2"/>
        <v>186</v>
      </c>
    </row>
    <row r="188" spans="1:7" x14ac:dyDescent="0.25">
      <c r="A188" s="1" t="s">
        <v>274</v>
      </c>
      <c r="B188" s="1" t="s">
        <v>121</v>
      </c>
      <c r="C188" s="2">
        <v>26626</v>
      </c>
      <c r="D188" s="1" t="s">
        <v>12</v>
      </c>
      <c r="E188" s="1">
        <f>2016-YEAR(ubezpieczenia57[[#This Row],[Data_urodz]])</f>
        <v>44</v>
      </c>
      <c r="F188" s="1">
        <f>ROUNDDOWN(ubezpieczenia57[[#This Row],[wiek]]/10,0)</f>
        <v>4</v>
      </c>
      <c r="G188" s="1">
        <f t="shared" si="2"/>
        <v>187</v>
      </c>
    </row>
    <row r="189" spans="1:7" x14ac:dyDescent="0.25">
      <c r="A189" s="1" t="s">
        <v>275</v>
      </c>
      <c r="B189" s="1" t="s">
        <v>169</v>
      </c>
      <c r="C189" s="2">
        <v>21897</v>
      </c>
      <c r="D189" s="1" t="s">
        <v>12</v>
      </c>
      <c r="E189" s="1">
        <f>2016-YEAR(ubezpieczenia57[[#This Row],[Data_urodz]])</f>
        <v>57</v>
      </c>
      <c r="F189" s="1">
        <f>ROUNDDOWN(ubezpieczenia57[[#This Row],[wiek]]/10,0)</f>
        <v>5</v>
      </c>
      <c r="G189" s="1">
        <f t="shared" si="2"/>
        <v>188</v>
      </c>
    </row>
    <row r="190" spans="1:7" x14ac:dyDescent="0.25">
      <c r="A190" s="1" t="s">
        <v>276</v>
      </c>
      <c r="B190" s="1" t="s">
        <v>52</v>
      </c>
      <c r="C190" s="2">
        <v>34865</v>
      </c>
      <c r="D190" s="1" t="s">
        <v>12</v>
      </c>
      <c r="E190" s="1">
        <f>2016-YEAR(ubezpieczenia57[[#This Row],[Data_urodz]])</f>
        <v>21</v>
      </c>
      <c r="F190" s="1">
        <f>ROUNDDOWN(ubezpieczenia57[[#This Row],[wiek]]/10,0)</f>
        <v>2</v>
      </c>
      <c r="G190" s="1">
        <f t="shared" si="2"/>
        <v>189</v>
      </c>
    </row>
    <row r="191" spans="1:7" x14ac:dyDescent="0.25">
      <c r="A191" s="1" t="s">
        <v>163</v>
      </c>
      <c r="B191" s="1" t="s">
        <v>277</v>
      </c>
      <c r="C191" s="2">
        <v>19712</v>
      </c>
      <c r="D191" s="1" t="s">
        <v>12</v>
      </c>
      <c r="E191" s="1">
        <f>2016-YEAR(ubezpieczenia57[[#This Row],[Data_urodz]])</f>
        <v>63</v>
      </c>
      <c r="F191" s="1">
        <f>ROUNDDOWN(ubezpieczenia57[[#This Row],[wiek]]/10,0)</f>
        <v>6</v>
      </c>
      <c r="G191" s="1">
        <f t="shared" si="2"/>
        <v>190</v>
      </c>
    </row>
    <row r="192" spans="1:7" x14ac:dyDescent="0.25">
      <c r="A192" s="1" t="s">
        <v>278</v>
      </c>
      <c r="B192" s="1" t="s">
        <v>52</v>
      </c>
      <c r="C192" s="2">
        <v>27893</v>
      </c>
      <c r="D192" s="1" t="s">
        <v>6</v>
      </c>
      <c r="E192" s="1">
        <f>2016-YEAR(ubezpieczenia57[[#This Row],[Data_urodz]])</f>
        <v>40</v>
      </c>
      <c r="F192" s="1">
        <f>ROUNDDOWN(ubezpieczenia57[[#This Row],[wiek]]/10,0)</f>
        <v>4</v>
      </c>
      <c r="G192" s="1">
        <f t="shared" si="2"/>
        <v>191</v>
      </c>
    </row>
    <row r="193" spans="1:7" x14ac:dyDescent="0.25">
      <c r="A193" s="1" t="s">
        <v>279</v>
      </c>
      <c r="B193" s="1" t="s">
        <v>280</v>
      </c>
      <c r="C193" s="2">
        <v>28226</v>
      </c>
      <c r="D193" s="1" t="s">
        <v>12</v>
      </c>
      <c r="E193" s="1">
        <f>2016-YEAR(ubezpieczenia57[[#This Row],[Data_urodz]])</f>
        <v>39</v>
      </c>
      <c r="F193" s="1">
        <f>ROUNDDOWN(ubezpieczenia57[[#This Row],[wiek]]/10,0)</f>
        <v>3</v>
      </c>
      <c r="G193" s="1">
        <f t="shared" si="2"/>
        <v>192</v>
      </c>
    </row>
    <row r="194" spans="1:7" x14ac:dyDescent="0.25">
      <c r="A194" s="1" t="s">
        <v>281</v>
      </c>
      <c r="B194" s="1" t="s">
        <v>77</v>
      </c>
      <c r="C194" s="2">
        <v>29954</v>
      </c>
      <c r="D194" s="1" t="s">
        <v>9</v>
      </c>
      <c r="E194" s="1">
        <f>2016-YEAR(ubezpieczenia57[[#This Row],[Data_urodz]])</f>
        <v>34</v>
      </c>
      <c r="F194" s="1">
        <f>ROUNDDOWN(ubezpieczenia57[[#This Row],[wiek]]/10,0)</f>
        <v>3</v>
      </c>
      <c r="G194" s="1">
        <f t="shared" si="2"/>
        <v>193</v>
      </c>
    </row>
    <row r="195" spans="1:7" x14ac:dyDescent="0.25">
      <c r="A195" s="1" t="s">
        <v>282</v>
      </c>
      <c r="B195" s="1" t="s">
        <v>179</v>
      </c>
      <c r="C195" s="2">
        <v>23111</v>
      </c>
      <c r="D195" s="1" t="s">
        <v>12</v>
      </c>
      <c r="E195" s="1">
        <f>2016-YEAR(ubezpieczenia57[[#This Row],[Data_urodz]])</f>
        <v>53</v>
      </c>
      <c r="F195" s="1">
        <f>ROUNDDOWN(ubezpieczenia57[[#This Row],[wiek]]/10,0)</f>
        <v>5</v>
      </c>
      <c r="G195" s="1">
        <f t="shared" si="2"/>
        <v>194</v>
      </c>
    </row>
    <row r="196" spans="1:7" x14ac:dyDescent="0.25">
      <c r="A196" s="1" t="s">
        <v>283</v>
      </c>
      <c r="B196" s="1" t="s">
        <v>39</v>
      </c>
      <c r="C196" s="2">
        <v>24808</v>
      </c>
      <c r="D196" s="1" t="s">
        <v>12</v>
      </c>
      <c r="E196" s="1">
        <f>2016-YEAR(ubezpieczenia57[[#This Row],[Data_urodz]])</f>
        <v>49</v>
      </c>
      <c r="F196" s="1">
        <f>ROUNDDOWN(ubezpieczenia57[[#This Row],[wiek]]/10,0)</f>
        <v>4</v>
      </c>
      <c r="G196" s="1">
        <f t="shared" ref="G196:G259" si="3">G195+1</f>
        <v>195</v>
      </c>
    </row>
    <row r="197" spans="1:7" x14ac:dyDescent="0.25">
      <c r="A197" s="1" t="s">
        <v>284</v>
      </c>
      <c r="B197" s="1" t="s">
        <v>16</v>
      </c>
      <c r="C197" s="2">
        <v>17601</v>
      </c>
      <c r="D197" s="1" t="s">
        <v>40</v>
      </c>
      <c r="E197" s="1">
        <f>2016-YEAR(ubezpieczenia57[[#This Row],[Data_urodz]])</f>
        <v>68</v>
      </c>
      <c r="F197" s="1">
        <f>ROUNDDOWN(ubezpieczenia57[[#This Row],[wiek]]/10,0)</f>
        <v>6</v>
      </c>
      <c r="G197" s="1">
        <f t="shared" si="3"/>
        <v>196</v>
      </c>
    </row>
    <row r="198" spans="1:7" x14ac:dyDescent="0.25">
      <c r="A198" s="1" t="s">
        <v>285</v>
      </c>
      <c r="B198" s="1" t="s">
        <v>179</v>
      </c>
      <c r="C198" s="2">
        <v>21199</v>
      </c>
      <c r="D198" s="1" t="s">
        <v>9</v>
      </c>
      <c r="E198" s="1">
        <f>2016-YEAR(ubezpieczenia57[[#This Row],[Data_urodz]])</f>
        <v>58</v>
      </c>
      <c r="F198" s="1">
        <f>ROUNDDOWN(ubezpieczenia57[[#This Row],[wiek]]/10,0)</f>
        <v>5</v>
      </c>
      <c r="G198" s="1">
        <f t="shared" si="3"/>
        <v>197</v>
      </c>
    </row>
    <row r="199" spans="1:7" x14ac:dyDescent="0.25">
      <c r="A199" s="1" t="s">
        <v>286</v>
      </c>
      <c r="B199" s="1" t="s">
        <v>20</v>
      </c>
      <c r="C199" s="2">
        <v>29879</v>
      </c>
      <c r="D199" s="1" t="s">
        <v>12</v>
      </c>
      <c r="E199" s="1">
        <f>2016-YEAR(ubezpieczenia57[[#This Row],[Data_urodz]])</f>
        <v>35</v>
      </c>
      <c r="F199" s="1">
        <f>ROUNDDOWN(ubezpieczenia57[[#This Row],[wiek]]/10,0)</f>
        <v>3</v>
      </c>
      <c r="G199" s="1">
        <f t="shared" si="3"/>
        <v>198</v>
      </c>
    </row>
    <row r="200" spans="1:7" x14ac:dyDescent="0.25">
      <c r="A200" s="1" t="s">
        <v>287</v>
      </c>
      <c r="B200" s="1" t="s">
        <v>81</v>
      </c>
      <c r="C200" s="2">
        <v>19659</v>
      </c>
      <c r="D200" s="1" t="s">
        <v>6</v>
      </c>
      <c r="E200" s="1">
        <f>2016-YEAR(ubezpieczenia57[[#This Row],[Data_urodz]])</f>
        <v>63</v>
      </c>
      <c r="F200" s="1">
        <f>ROUNDDOWN(ubezpieczenia57[[#This Row],[wiek]]/10,0)</f>
        <v>6</v>
      </c>
      <c r="G200" s="1">
        <f t="shared" si="3"/>
        <v>199</v>
      </c>
    </row>
    <row r="201" spans="1:7" x14ac:dyDescent="0.25">
      <c r="A201" s="1" t="s">
        <v>288</v>
      </c>
      <c r="B201" s="1" t="s">
        <v>8</v>
      </c>
      <c r="C201" s="2">
        <v>22514</v>
      </c>
      <c r="D201" s="1" t="s">
        <v>12</v>
      </c>
      <c r="E201" s="1">
        <f>2016-YEAR(ubezpieczenia57[[#This Row],[Data_urodz]])</f>
        <v>55</v>
      </c>
      <c r="F201" s="1">
        <f>ROUNDDOWN(ubezpieczenia57[[#This Row],[wiek]]/10,0)</f>
        <v>5</v>
      </c>
      <c r="G201" s="1">
        <f t="shared" si="3"/>
        <v>200</v>
      </c>
    </row>
    <row r="202" spans="1:7" x14ac:dyDescent="0.25">
      <c r="A202" s="1" t="s">
        <v>289</v>
      </c>
      <c r="B202" s="1" t="s">
        <v>121</v>
      </c>
      <c r="C202" s="2">
        <v>25332</v>
      </c>
      <c r="D202" s="1" t="s">
        <v>12</v>
      </c>
      <c r="E202" s="1">
        <f>2016-YEAR(ubezpieczenia57[[#This Row],[Data_urodz]])</f>
        <v>47</v>
      </c>
      <c r="F202" s="1">
        <f>ROUNDDOWN(ubezpieczenia57[[#This Row],[wiek]]/10,0)</f>
        <v>4</v>
      </c>
      <c r="G202" s="1">
        <f t="shared" si="3"/>
        <v>201</v>
      </c>
    </row>
    <row r="203" spans="1:7" x14ac:dyDescent="0.25">
      <c r="A203" s="1" t="s">
        <v>290</v>
      </c>
      <c r="B203" s="1" t="s">
        <v>255</v>
      </c>
      <c r="C203" s="2">
        <v>20181</v>
      </c>
      <c r="D203" s="1" t="s">
        <v>40</v>
      </c>
      <c r="E203" s="1">
        <f>2016-YEAR(ubezpieczenia57[[#This Row],[Data_urodz]])</f>
        <v>61</v>
      </c>
      <c r="F203" s="1">
        <f>ROUNDDOWN(ubezpieczenia57[[#This Row],[wiek]]/10,0)</f>
        <v>6</v>
      </c>
      <c r="G203" s="1">
        <f t="shared" si="3"/>
        <v>202</v>
      </c>
    </row>
    <row r="204" spans="1:7" x14ac:dyDescent="0.25">
      <c r="A204" s="1" t="s">
        <v>291</v>
      </c>
      <c r="B204" s="1" t="s">
        <v>141</v>
      </c>
      <c r="C204" s="2">
        <v>19141</v>
      </c>
      <c r="D204" s="1" t="s">
        <v>12</v>
      </c>
      <c r="E204" s="1">
        <f>2016-YEAR(ubezpieczenia57[[#This Row],[Data_urodz]])</f>
        <v>64</v>
      </c>
      <c r="F204" s="1">
        <f>ROUNDDOWN(ubezpieczenia57[[#This Row],[wiek]]/10,0)</f>
        <v>6</v>
      </c>
      <c r="G204" s="1">
        <f t="shared" si="3"/>
        <v>203</v>
      </c>
    </row>
    <row r="205" spans="1:7" x14ac:dyDescent="0.25">
      <c r="A205" s="1" t="s">
        <v>292</v>
      </c>
      <c r="B205" s="1" t="s">
        <v>293</v>
      </c>
      <c r="C205" s="2">
        <v>18147</v>
      </c>
      <c r="D205" s="1" t="s">
        <v>12</v>
      </c>
      <c r="E205" s="1">
        <f>2016-YEAR(ubezpieczenia57[[#This Row],[Data_urodz]])</f>
        <v>67</v>
      </c>
      <c r="F205" s="1">
        <f>ROUNDDOWN(ubezpieczenia57[[#This Row],[wiek]]/10,0)</f>
        <v>6</v>
      </c>
      <c r="G205" s="1">
        <f t="shared" si="3"/>
        <v>204</v>
      </c>
    </row>
    <row r="206" spans="1:7" x14ac:dyDescent="0.25">
      <c r="A206" s="1" t="s">
        <v>294</v>
      </c>
      <c r="B206" s="1" t="s">
        <v>52</v>
      </c>
      <c r="C206" s="2">
        <v>26146</v>
      </c>
      <c r="D206" s="1" t="s">
        <v>6</v>
      </c>
      <c r="E206" s="1">
        <f>2016-YEAR(ubezpieczenia57[[#This Row],[Data_urodz]])</f>
        <v>45</v>
      </c>
      <c r="F206" s="1">
        <f>ROUNDDOWN(ubezpieczenia57[[#This Row],[wiek]]/10,0)</f>
        <v>4</v>
      </c>
      <c r="G206" s="1">
        <f t="shared" si="3"/>
        <v>205</v>
      </c>
    </row>
    <row r="207" spans="1:7" x14ac:dyDescent="0.25">
      <c r="A207" s="1" t="s">
        <v>295</v>
      </c>
      <c r="B207" s="1" t="s">
        <v>139</v>
      </c>
      <c r="C207" s="2">
        <v>30798</v>
      </c>
      <c r="D207" s="1" t="s">
        <v>40</v>
      </c>
      <c r="E207" s="1">
        <f>2016-YEAR(ubezpieczenia57[[#This Row],[Data_urodz]])</f>
        <v>32</v>
      </c>
      <c r="F207" s="1">
        <f>ROUNDDOWN(ubezpieczenia57[[#This Row],[wiek]]/10,0)</f>
        <v>3</v>
      </c>
      <c r="G207" s="1">
        <f t="shared" si="3"/>
        <v>206</v>
      </c>
    </row>
    <row r="208" spans="1:7" x14ac:dyDescent="0.25">
      <c r="A208" s="1" t="s">
        <v>296</v>
      </c>
      <c r="B208" s="1" t="s">
        <v>297</v>
      </c>
      <c r="C208" s="2">
        <v>24623</v>
      </c>
      <c r="D208" s="1" t="s">
        <v>12</v>
      </c>
      <c r="E208" s="1">
        <f>2016-YEAR(ubezpieczenia57[[#This Row],[Data_urodz]])</f>
        <v>49</v>
      </c>
      <c r="F208" s="1">
        <f>ROUNDDOWN(ubezpieczenia57[[#This Row],[wiek]]/10,0)</f>
        <v>4</v>
      </c>
      <c r="G208" s="1">
        <f t="shared" si="3"/>
        <v>207</v>
      </c>
    </row>
    <row r="209" spans="1:7" x14ac:dyDescent="0.25">
      <c r="A209" s="1" t="s">
        <v>298</v>
      </c>
      <c r="B209" s="1" t="s">
        <v>18</v>
      </c>
      <c r="C209" s="2">
        <v>31818</v>
      </c>
      <c r="D209" s="1" t="s">
        <v>6</v>
      </c>
      <c r="E209" s="1">
        <f>2016-YEAR(ubezpieczenia57[[#This Row],[Data_urodz]])</f>
        <v>29</v>
      </c>
      <c r="F209" s="1">
        <f>ROUNDDOWN(ubezpieczenia57[[#This Row],[wiek]]/10,0)</f>
        <v>2</v>
      </c>
      <c r="G209" s="1">
        <f t="shared" si="3"/>
        <v>208</v>
      </c>
    </row>
    <row r="210" spans="1:7" x14ac:dyDescent="0.25">
      <c r="A210" s="1" t="s">
        <v>299</v>
      </c>
      <c r="B210" s="1" t="s">
        <v>300</v>
      </c>
      <c r="C210" s="2">
        <v>34201</v>
      </c>
      <c r="D210" s="1" t="s">
        <v>12</v>
      </c>
      <c r="E210" s="1">
        <f>2016-YEAR(ubezpieczenia57[[#This Row],[Data_urodz]])</f>
        <v>23</v>
      </c>
      <c r="F210" s="1">
        <f>ROUNDDOWN(ubezpieczenia57[[#This Row],[wiek]]/10,0)</f>
        <v>2</v>
      </c>
      <c r="G210" s="1">
        <f t="shared" si="3"/>
        <v>209</v>
      </c>
    </row>
    <row r="211" spans="1:7" x14ac:dyDescent="0.25">
      <c r="A211" s="1" t="s">
        <v>301</v>
      </c>
      <c r="B211" s="1" t="s">
        <v>8</v>
      </c>
      <c r="C211" s="2">
        <v>27079</v>
      </c>
      <c r="D211" s="1" t="s">
        <v>9</v>
      </c>
      <c r="E211" s="1">
        <f>2016-YEAR(ubezpieczenia57[[#This Row],[Data_urodz]])</f>
        <v>42</v>
      </c>
      <c r="F211" s="1">
        <f>ROUNDDOWN(ubezpieczenia57[[#This Row],[wiek]]/10,0)</f>
        <v>4</v>
      </c>
      <c r="G211" s="1">
        <f t="shared" si="3"/>
        <v>210</v>
      </c>
    </row>
    <row r="212" spans="1:7" x14ac:dyDescent="0.25">
      <c r="A212" s="1" t="s">
        <v>302</v>
      </c>
      <c r="B212" s="1" t="s">
        <v>303</v>
      </c>
      <c r="C212" s="2">
        <v>18053</v>
      </c>
      <c r="D212" s="1" t="s">
        <v>9</v>
      </c>
      <c r="E212" s="1">
        <f>2016-YEAR(ubezpieczenia57[[#This Row],[Data_urodz]])</f>
        <v>67</v>
      </c>
      <c r="F212" s="1">
        <f>ROUNDDOWN(ubezpieczenia57[[#This Row],[wiek]]/10,0)</f>
        <v>6</v>
      </c>
      <c r="G212" s="1">
        <f t="shared" si="3"/>
        <v>211</v>
      </c>
    </row>
    <row r="213" spans="1:7" x14ac:dyDescent="0.25">
      <c r="A213" s="1" t="s">
        <v>304</v>
      </c>
      <c r="B213" s="1" t="s">
        <v>49</v>
      </c>
      <c r="C213" s="2">
        <v>27059</v>
      </c>
      <c r="D213" s="1" t="s">
        <v>12</v>
      </c>
      <c r="E213" s="1">
        <f>2016-YEAR(ubezpieczenia57[[#This Row],[Data_urodz]])</f>
        <v>42</v>
      </c>
      <c r="F213" s="1">
        <f>ROUNDDOWN(ubezpieczenia57[[#This Row],[wiek]]/10,0)</f>
        <v>4</v>
      </c>
      <c r="G213" s="1">
        <f t="shared" si="3"/>
        <v>212</v>
      </c>
    </row>
    <row r="214" spans="1:7" x14ac:dyDescent="0.25">
      <c r="A214" s="1" t="s">
        <v>305</v>
      </c>
      <c r="B214" s="1" t="s">
        <v>246</v>
      </c>
      <c r="C214" s="2">
        <v>31039</v>
      </c>
      <c r="D214" s="1" t="s">
        <v>6</v>
      </c>
      <c r="E214" s="1">
        <f>2016-YEAR(ubezpieczenia57[[#This Row],[Data_urodz]])</f>
        <v>32</v>
      </c>
      <c r="F214" s="1">
        <f>ROUNDDOWN(ubezpieczenia57[[#This Row],[wiek]]/10,0)</f>
        <v>3</v>
      </c>
      <c r="G214" s="1">
        <f t="shared" si="3"/>
        <v>213</v>
      </c>
    </row>
    <row r="215" spans="1:7" x14ac:dyDescent="0.25">
      <c r="A215" s="1" t="s">
        <v>306</v>
      </c>
      <c r="B215" s="1" t="s">
        <v>307</v>
      </c>
      <c r="C215" s="2">
        <v>34893</v>
      </c>
      <c r="D215" s="1" t="s">
        <v>12</v>
      </c>
      <c r="E215" s="1">
        <f>2016-YEAR(ubezpieczenia57[[#This Row],[Data_urodz]])</f>
        <v>21</v>
      </c>
      <c r="F215" s="1">
        <f>ROUNDDOWN(ubezpieczenia57[[#This Row],[wiek]]/10,0)</f>
        <v>2</v>
      </c>
      <c r="G215" s="1">
        <f t="shared" si="3"/>
        <v>214</v>
      </c>
    </row>
    <row r="216" spans="1:7" x14ac:dyDescent="0.25">
      <c r="A216" s="1" t="s">
        <v>308</v>
      </c>
      <c r="B216" s="1" t="s">
        <v>307</v>
      </c>
      <c r="C216" s="2">
        <v>22101</v>
      </c>
      <c r="D216" s="1" t="s">
        <v>6</v>
      </c>
      <c r="E216" s="1">
        <f>2016-YEAR(ubezpieczenia57[[#This Row],[Data_urodz]])</f>
        <v>56</v>
      </c>
      <c r="F216" s="1">
        <f>ROUNDDOWN(ubezpieczenia57[[#This Row],[wiek]]/10,0)</f>
        <v>5</v>
      </c>
      <c r="G216" s="1">
        <f t="shared" si="3"/>
        <v>215</v>
      </c>
    </row>
    <row r="217" spans="1:7" x14ac:dyDescent="0.25">
      <c r="A217" s="1" t="s">
        <v>309</v>
      </c>
      <c r="B217" s="1" t="s">
        <v>177</v>
      </c>
      <c r="C217" s="2">
        <v>16267</v>
      </c>
      <c r="D217" s="1" t="s">
        <v>12</v>
      </c>
      <c r="E217" s="1">
        <f>2016-YEAR(ubezpieczenia57[[#This Row],[Data_urodz]])</f>
        <v>72</v>
      </c>
      <c r="F217" s="1">
        <f>ROUNDDOWN(ubezpieczenia57[[#This Row],[wiek]]/10,0)</f>
        <v>7</v>
      </c>
      <c r="G217" s="1">
        <f t="shared" si="3"/>
        <v>216</v>
      </c>
    </row>
    <row r="218" spans="1:7" x14ac:dyDescent="0.25">
      <c r="A218" s="1" t="s">
        <v>310</v>
      </c>
      <c r="B218" s="1" t="s">
        <v>45</v>
      </c>
      <c r="C218" s="2">
        <v>32103</v>
      </c>
      <c r="D218" s="1" t="s">
        <v>12</v>
      </c>
      <c r="E218" s="1">
        <f>2016-YEAR(ubezpieczenia57[[#This Row],[Data_urodz]])</f>
        <v>29</v>
      </c>
      <c r="F218" s="1">
        <f>ROUNDDOWN(ubezpieczenia57[[#This Row],[wiek]]/10,0)</f>
        <v>2</v>
      </c>
      <c r="G218" s="1">
        <f t="shared" si="3"/>
        <v>217</v>
      </c>
    </row>
    <row r="219" spans="1:7" x14ac:dyDescent="0.25">
      <c r="A219" s="1" t="s">
        <v>311</v>
      </c>
      <c r="B219" s="1" t="s">
        <v>248</v>
      </c>
      <c r="C219" s="2">
        <v>25996</v>
      </c>
      <c r="D219" s="1" t="s">
        <v>9</v>
      </c>
      <c r="E219" s="1">
        <f>2016-YEAR(ubezpieczenia57[[#This Row],[Data_urodz]])</f>
        <v>45</v>
      </c>
      <c r="F219" s="1">
        <f>ROUNDDOWN(ubezpieczenia57[[#This Row],[wiek]]/10,0)</f>
        <v>4</v>
      </c>
      <c r="G219" s="1">
        <f t="shared" si="3"/>
        <v>218</v>
      </c>
    </row>
    <row r="220" spans="1:7" x14ac:dyDescent="0.25">
      <c r="A220" s="1" t="s">
        <v>312</v>
      </c>
      <c r="B220" s="1" t="s">
        <v>134</v>
      </c>
      <c r="C220" s="2">
        <v>33040</v>
      </c>
      <c r="D220" s="1" t="s">
        <v>12</v>
      </c>
      <c r="E220" s="1">
        <f>2016-YEAR(ubezpieczenia57[[#This Row],[Data_urodz]])</f>
        <v>26</v>
      </c>
      <c r="F220" s="1">
        <f>ROUNDDOWN(ubezpieczenia57[[#This Row],[wiek]]/10,0)</f>
        <v>2</v>
      </c>
      <c r="G220" s="1">
        <f t="shared" si="3"/>
        <v>219</v>
      </c>
    </row>
    <row r="221" spans="1:7" x14ac:dyDescent="0.25">
      <c r="A221" s="1" t="s">
        <v>313</v>
      </c>
      <c r="B221" s="1" t="s">
        <v>20</v>
      </c>
      <c r="C221" s="2">
        <v>30671</v>
      </c>
      <c r="D221" s="1" t="s">
        <v>9</v>
      </c>
      <c r="E221" s="1">
        <f>2016-YEAR(ubezpieczenia57[[#This Row],[Data_urodz]])</f>
        <v>33</v>
      </c>
      <c r="F221" s="1">
        <f>ROUNDDOWN(ubezpieczenia57[[#This Row],[wiek]]/10,0)</f>
        <v>3</v>
      </c>
      <c r="G221" s="1">
        <f t="shared" si="3"/>
        <v>220</v>
      </c>
    </row>
    <row r="222" spans="1:7" x14ac:dyDescent="0.25">
      <c r="A222" s="1" t="s">
        <v>314</v>
      </c>
      <c r="B222" s="1" t="s">
        <v>37</v>
      </c>
      <c r="C222" s="2">
        <v>25243</v>
      </c>
      <c r="D222" s="1" t="s">
        <v>12</v>
      </c>
      <c r="E222" s="1">
        <f>2016-YEAR(ubezpieczenia57[[#This Row],[Data_urodz]])</f>
        <v>47</v>
      </c>
      <c r="F222" s="1">
        <f>ROUNDDOWN(ubezpieczenia57[[#This Row],[wiek]]/10,0)</f>
        <v>4</v>
      </c>
      <c r="G222" s="1">
        <f t="shared" si="3"/>
        <v>221</v>
      </c>
    </row>
    <row r="223" spans="1:7" x14ac:dyDescent="0.25">
      <c r="A223" s="1" t="s">
        <v>315</v>
      </c>
      <c r="B223" s="1" t="s">
        <v>20</v>
      </c>
      <c r="C223" s="2">
        <v>27639</v>
      </c>
      <c r="D223" s="1" t="s">
        <v>12</v>
      </c>
      <c r="E223" s="1">
        <f>2016-YEAR(ubezpieczenia57[[#This Row],[Data_urodz]])</f>
        <v>41</v>
      </c>
      <c r="F223" s="1">
        <f>ROUNDDOWN(ubezpieczenia57[[#This Row],[wiek]]/10,0)</f>
        <v>4</v>
      </c>
      <c r="G223" s="1">
        <f t="shared" si="3"/>
        <v>222</v>
      </c>
    </row>
    <row r="224" spans="1:7" x14ac:dyDescent="0.25">
      <c r="A224" s="1" t="s">
        <v>316</v>
      </c>
      <c r="B224" s="1" t="s">
        <v>169</v>
      </c>
      <c r="C224" s="2">
        <v>25644</v>
      </c>
      <c r="D224" s="1" t="s">
        <v>12</v>
      </c>
      <c r="E224" s="1">
        <f>2016-YEAR(ubezpieczenia57[[#This Row],[Data_urodz]])</f>
        <v>46</v>
      </c>
      <c r="F224" s="1">
        <f>ROUNDDOWN(ubezpieczenia57[[#This Row],[wiek]]/10,0)</f>
        <v>4</v>
      </c>
      <c r="G224" s="1">
        <f t="shared" si="3"/>
        <v>223</v>
      </c>
    </row>
    <row r="225" spans="1:7" x14ac:dyDescent="0.25">
      <c r="A225" s="1" t="s">
        <v>317</v>
      </c>
      <c r="B225" s="1" t="s">
        <v>318</v>
      </c>
      <c r="C225" s="2">
        <v>27683</v>
      </c>
      <c r="D225" s="1" t="s">
        <v>6</v>
      </c>
      <c r="E225" s="1">
        <f>2016-YEAR(ubezpieczenia57[[#This Row],[Data_urodz]])</f>
        <v>41</v>
      </c>
      <c r="F225" s="1">
        <f>ROUNDDOWN(ubezpieczenia57[[#This Row],[wiek]]/10,0)</f>
        <v>4</v>
      </c>
      <c r="G225" s="1">
        <f t="shared" si="3"/>
        <v>224</v>
      </c>
    </row>
    <row r="226" spans="1:7" x14ac:dyDescent="0.25">
      <c r="A226" s="1" t="s">
        <v>174</v>
      </c>
      <c r="B226" s="1" t="s">
        <v>319</v>
      </c>
      <c r="C226" s="2">
        <v>32765</v>
      </c>
      <c r="D226" s="1" t="s">
        <v>9</v>
      </c>
      <c r="E226" s="1">
        <f>2016-YEAR(ubezpieczenia57[[#This Row],[Data_urodz]])</f>
        <v>27</v>
      </c>
      <c r="F226" s="1">
        <f>ROUNDDOWN(ubezpieczenia57[[#This Row],[wiek]]/10,0)</f>
        <v>2</v>
      </c>
      <c r="G226" s="1">
        <f t="shared" si="3"/>
        <v>225</v>
      </c>
    </row>
    <row r="227" spans="1:7" x14ac:dyDescent="0.25">
      <c r="A227" s="1" t="s">
        <v>243</v>
      </c>
      <c r="B227" s="1" t="s">
        <v>121</v>
      </c>
      <c r="C227" s="2">
        <v>26380</v>
      </c>
      <c r="D227" s="1" t="s">
        <v>9</v>
      </c>
      <c r="E227" s="1">
        <f>2016-YEAR(ubezpieczenia57[[#This Row],[Data_urodz]])</f>
        <v>44</v>
      </c>
      <c r="F227" s="1">
        <f>ROUNDDOWN(ubezpieczenia57[[#This Row],[wiek]]/10,0)</f>
        <v>4</v>
      </c>
      <c r="G227" s="1">
        <f t="shared" si="3"/>
        <v>226</v>
      </c>
    </row>
    <row r="228" spans="1:7" x14ac:dyDescent="0.25">
      <c r="A228" s="1" t="s">
        <v>320</v>
      </c>
      <c r="B228" s="1" t="s">
        <v>81</v>
      </c>
      <c r="C228" s="2">
        <v>21508</v>
      </c>
      <c r="D228" s="1" t="s">
        <v>6</v>
      </c>
      <c r="E228" s="1">
        <f>2016-YEAR(ubezpieczenia57[[#This Row],[Data_urodz]])</f>
        <v>58</v>
      </c>
      <c r="F228" s="1">
        <f>ROUNDDOWN(ubezpieczenia57[[#This Row],[wiek]]/10,0)</f>
        <v>5</v>
      </c>
      <c r="G228" s="1">
        <f t="shared" si="3"/>
        <v>227</v>
      </c>
    </row>
    <row r="229" spans="1:7" x14ac:dyDescent="0.25">
      <c r="A229" s="1" t="s">
        <v>321</v>
      </c>
      <c r="B229" s="1" t="s">
        <v>11</v>
      </c>
      <c r="C229" s="2">
        <v>32790</v>
      </c>
      <c r="D229" s="1" t="s">
        <v>6</v>
      </c>
      <c r="E229" s="1">
        <f>2016-YEAR(ubezpieczenia57[[#This Row],[Data_urodz]])</f>
        <v>27</v>
      </c>
      <c r="F229" s="1">
        <f>ROUNDDOWN(ubezpieczenia57[[#This Row],[wiek]]/10,0)</f>
        <v>2</v>
      </c>
      <c r="G229" s="1">
        <f t="shared" si="3"/>
        <v>228</v>
      </c>
    </row>
    <row r="230" spans="1:7" x14ac:dyDescent="0.25">
      <c r="A230" s="1" t="s">
        <v>164</v>
      </c>
      <c r="B230" s="1" t="s">
        <v>322</v>
      </c>
      <c r="C230" s="2">
        <v>24303</v>
      </c>
      <c r="D230" s="1" t="s">
        <v>6</v>
      </c>
      <c r="E230" s="1">
        <f>2016-YEAR(ubezpieczenia57[[#This Row],[Data_urodz]])</f>
        <v>50</v>
      </c>
      <c r="F230" s="1">
        <f>ROUNDDOWN(ubezpieczenia57[[#This Row],[wiek]]/10,0)</f>
        <v>5</v>
      </c>
      <c r="G230" s="1">
        <f t="shared" si="3"/>
        <v>229</v>
      </c>
    </row>
    <row r="231" spans="1:7" x14ac:dyDescent="0.25">
      <c r="A231" s="1" t="s">
        <v>323</v>
      </c>
      <c r="B231" s="1" t="s">
        <v>300</v>
      </c>
      <c r="C231" s="2">
        <v>30747</v>
      </c>
      <c r="D231" s="1" t="s">
        <v>9</v>
      </c>
      <c r="E231" s="1">
        <f>2016-YEAR(ubezpieczenia57[[#This Row],[Data_urodz]])</f>
        <v>32</v>
      </c>
      <c r="F231" s="1">
        <f>ROUNDDOWN(ubezpieczenia57[[#This Row],[wiek]]/10,0)</f>
        <v>3</v>
      </c>
      <c r="G231" s="1">
        <f t="shared" si="3"/>
        <v>230</v>
      </c>
    </row>
    <row r="232" spans="1:7" x14ac:dyDescent="0.25">
      <c r="A232" s="1" t="s">
        <v>324</v>
      </c>
      <c r="B232" s="1" t="s">
        <v>49</v>
      </c>
      <c r="C232" s="2">
        <v>19853</v>
      </c>
      <c r="D232" s="1" t="s">
        <v>12</v>
      </c>
      <c r="E232" s="1">
        <f>2016-YEAR(ubezpieczenia57[[#This Row],[Data_urodz]])</f>
        <v>62</v>
      </c>
      <c r="F232" s="1">
        <f>ROUNDDOWN(ubezpieczenia57[[#This Row],[wiek]]/10,0)</f>
        <v>6</v>
      </c>
      <c r="G232" s="1">
        <f t="shared" si="3"/>
        <v>231</v>
      </c>
    </row>
    <row r="233" spans="1:7" x14ac:dyDescent="0.25">
      <c r="A233" s="1" t="s">
        <v>325</v>
      </c>
      <c r="B233" s="1" t="s">
        <v>20</v>
      </c>
      <c r="C233" s="2">
        <v>32147</v>
      </c>
      <c r="D233" s="1" t="s">
        <v>12</v>
      </c>
      <c r="E233" s="1">
        <f>2016-YEAR(ubezpieczenia57[[#This Row],[Data_urodz]])</f>
        <v>28</v>
      </c>
      <c r="F233" s="1">
        <f>ROUNDDOWN(ubezpieczenia57[[#This Row],[wiek]]/10,0)</f>
        <v>2</v>
      </c>
      <c r="G233" s="1">
        <f t="shared" si="3"/>
        <v>232</v>
      </c>
    </row>
    <row r="234" spans="1:7" x14ac:dyDescent="0.25">
      <c r="A234" s="1" t="s">
        <v>326</v>
      </c>
      <c r="B234" s="1" t="s">
        <v>327</v>
      </c>
      <c r="C234" s="2">
        <v>17904</v>
      </c>
      <c r="D234" s="1" t="s">
        <v>12</v>
      </c>
      <c r="E234" s="1">
        <f>2016-YEAR(ubezpieczenia57[[#This Row],[Data_urodz]])</f>
        <v>67</v>
      </c>
      <c r="F234" s="1">
        <f>ROUNDDOWN(ubezpieczenia57[[#This Row],[wiek]]/10,0)</f>
        <v>6</v>
      </c>
      <c r="G234" s="1">
        <f t="shared" si="3"/>
        <v>233</v>
      </c>
    </row>
    <row r="235" spans="1:7" x14ac:dyDescent="0.25">
      <c r="A235" s="1" t="s">
        <v>328</v>
      </c>
      <c r="B235" s="1" t="s">
        <v>157</v>
      </c>
      <c r="C235" s="2">
        <v>20057</v>
      </c>
      <c r="D235" s="1" t="s">
        <v>12</v>
      </c>
      <c r="E235" s="1">
        <f>2016-YEAR(ubezpieczenia57[[#This Row],[Data_urodz]])</f>
        <v>62</v>
      </c>
      <c r="F235" s="1">
        <f>ROUNDDOWN(ubezpieczenia57[[#This Row],[wiek]]/10,0)</f>
        <v>6</v>
      </c>
      <c r="G235" s="1">
        <f t="shared" si="3"/>
        <v>234</v>
      </c>
    </row>
    <row r="236" spans="1:7" x14ac:dyDescent="0.25">
      <c r="A236" s="1" t="s">
        <v>329</v>
      </c>
      <c r="B236" s="1" t="s">
        <v>146</v>
      </c>
      <c r="C236" s="2">
        <v>30863</v>
      </c>
      <c r="D236" s="1" t="s">
        <v>9</v>
      </c>
      <c r="E236" s="1">
        <f>2016-YEAR(ubezpieczenia57[[#This Row],[Data_urodz]])</f>
        <v>32</v>
      </c>
      <c r="F236" s="1">
        <f>ROUNDDOWN(ubezpieczenia57[[#This Row],[wiek]]/10,0)</f>
        <v>3</v>
      </c>
      <c r="G236" s="1">
        <f t="shared" si="3"/>
        <v>235</v>
      </c>
    </row>
    <row r="237" spans="1:7" x14ac:dyDescent="0.25">
      <c r="A237" s="1" t="s">
        <v>330</v>
      </c>
      <c r="B237" s="1" t="s">
        <v>139</v>
      </c>
      <c r="C237" s="2">
        <v>22435</v>
      </c>
      <c r="D237" s="1" t="s">
        <v>6</v>
      </c>
      <c r="E237" s="1">
        <f>2016-YEAR(ubezpieczenia57[[#This Row],[Data_urodz]])</f>
        <v>55</v>
      </c>
      <c r="F237" s="1">
        <f>ROUNDDOWN(ubezpieczenia57[[#This Row],[wiek]]/10,0)</f>
        <v>5</v>
      </c>
      <c r="G237" s="1">
        <f t="shared" si="3"/>
        <v>236</v>
      </c>
    </row>
    <row r="238" spans="1:7" x14ac:dyDescent="0.25">
      <c r="A238" s="1" t="s">
        <v>130</v>
      </c>
      <c r="B238" s="1" t="s">
        <v>84</v>
      </c>
      <c r="C238" s="2">
        <v>17048</v>
      </c>
      <c r="D238" s="1" t="s">
        <v>12</v>
      </c>
      <c r="E238" s="1">
        <f>2016-YEAR(ubezpieczenia57[[#This Row],[Data_urodz]])</f>
        <v>70</v>
      </c>
      <c r="F238" s="1">
        <f>ROUNDDOWN(ubezpieczenia57[[#This Row],[wiek]]/10,0)</f>
        <v>7</v>
      </c>
      <c r="G238" s="1">
        <f t="shared" si="3"/>
        <v>237</v>
      </c>
    </row>
    <row r="239" spans="1:7" x14ac:dyDescent="0.25">
      <c r="A239" s="1" t="s">
        <v>331</v>
      </c>
      <c r="B239" s="1" t="s">
        <v>332</v>
      </c>
      <c r="C239" s="2">
        <v>24732</v>
      </c>
      <c r="D239" s="1" t="s">
        <v>6</v>
      </c>
      <c r="E239" s="1">
        <f>2016-YEAR(ubezpieczenia57[[#This Row],[Data_urodz]])</f>
        <v>49</v>
      </c>
      <c r="F239" s="1">
        <f>ROUNDDOWN(ubezpieczenia57[[#This Row],[wiek]]/10,0)</f>
        <v>4</v>
      </c>
      <c r="G239" s="1">
        <f t="shared" si="3"/>
        <v>238</v>
      </c>
    </row>
    <row r="240" spans="1:7" x14ac:dyDescent="0.25">
      <c r="A240" s="1" t="s">
        <v>333</v>
      </c>
      <c r="B240" s="1" t="s">
        <v>11</v>
      </c>
      <c r="C240" s="2">
        <v>18589</v>
      </c>
      <c r="D240" s="1" t="s">
        <v>6</v>
      </c>
      <c r="E240" s="1">
        <f>2016-YEAR(ubezpieczenia57[[#This Row],[Data_urodz]])</f>
        <v>66</v>
      </c>
      <c r="F240" s="1">
        <f>ROUNDDOWN(ubezpieczenia57[[#This Row],[wiek]]/10,0)</f>
        <v>6</v>
      </c>
      <c r="G240" s="1">
        <f t="shared" si="3"/>
        <v>239</v>
      </c>
    </row>
    <row r="241" spans="1:7" x14ac:dyDescent="0.25">
      <c r="A241" s="1" t="s">
        <v>334</v>
      </c>
      <c r="B241" s="1" t="s">
        <v>49</v>
      </c>
      <c r="C241" s="2">
        <v>20727</v>
      </c>
      <c r="D241" s="1" t="s">
        <v>12</v>
      </c>
      <c r="E241" s="1">
        <f>2016-YEAR(ubezpieczenia57[[#This Row],[Data_urodz]])</f>
        <v>60</v>
      </c>
      <c r="F241" s="1">
        <f>ROUNDDOWN(ubezpieczenia57[[#This Row],[wiek]]/10,0)</f>
        <v>6</v>
      </c>
      <c r="G241" s="1">
        <f t="shared" si="3"/>
        <v>240</v>
      </c>
    </row>
    <row r="242" spans="1:7" x14ac:dyDescent="0.25">
      <c r="A242" s="1" t="s">
        <v>335</v>
      </c>
      <c r="B242" s="1" t="s">
        <v>114</v>
      </c>
      <c r="C242" s="2">
        <v>23401</v>
      </c>
      <c r="D242" s="1" t="s">
        <v>6</v>
      </c>
      <c r="E242" s="1">
        <f>2016-YEAR(ubezpieczenia57[[#This Row],[Data_urodz]])</f>
        <v>52</v>
      </c>
      <c r="F242" s="1">
        <f>ROUNDDOWN(ubezpieczenia57[[#This Row],[wiek]]/10,0)</f>
        <v>5</v>
      </c>
      <c r="G242" s="1">
        <f t="shared" si="3"/>
        <v>241</v>
      </c>
    </row>
    <row r="243" spans="1:7" x14ac:dyDescent="0.25">
      <c r="A243" s="1" t="s">
        <v>336</v>
      </c>
      <c r="B243" s="1" t="s">
        <v>337</v>
      </c>
      <c r="C243" s="2">
        <v>17084</v>
      </c>
      <c r="D243" s="1" t="s">
        <v>6</v>
      </c>
      <c r="E243" s="1">
        <f>2016-YEAR(ubezpieczenia57[[#This Row],[Data_urodz]])</f>
        <v>70</v>
      </c>
      <c r="F243" s="1">
        <f>ROUNDDOWN(ubezpieczenia57[[#This Row],[wiek]]/10,0)</f>
        <v>7</v>
      </c>
      <c r="G243" s="1">
        <f t="shared" si="3"/>
        <v>242</v>
      </c>
    </row>
    <row r="244" spans="1:7" x14ac:dyDescent="0.25">
      <c r="A244" s="1" t="s">
        <v>338</v>
      </c>
      <c r="B244" s="1" t="s">
        <v>8</v>
      </c>
      <c r="C244" s="2">
        <v>30481</v>
      </c>
      <c r="D244" s="1" t="s">
        <v>12</v>
      </c>
      <c r="E244" s="1">
        <f>2016-YEAR(ubezpieczenia57[[#This Row],[Data_urodz]])</f>
        <v>33</v>
      </c>
      <c r="F244" s="1">
        <f>ROUNDDOWN(ubezpieczenia57[[#This Row],[wiek]]/10,0)</f>
        <v>3</v>
      </c>
      <c r="G244" s="1">
        <f t="shared" si="3"/>
        <v>243</v>
      </c>
    </row>
    <row r="245" spans="1:7" x14ac:dyDescent="0.25">
      <c r="A245" s="1" t="s">
        <v>339</v>
      </c>
      <c r="B245" s="1" t="s">
        <v>20</v>
      </c>
      <c r="C245" s="2">
        <v>20651</v>
      </c>
      <c r="D245" s="1" t="s">
        <v>12</v>
      </c>
      <c r="E245" s="1">
        <f>2016-YEAR(ubezpieczenia57[[#This Row],[Data_urodz]])</f>
        <v>60</v>
      </c>
      <c r="F245" s="1">
        <f>ROUNDDOWN(ubezpieczenia57[[#This Row],[wiek]]/10,0)</f>
        <v>6</v>
      </c>
      <c r="G245" s="1">
        <f t="shared" si="3"/>
        <v>244</v>
      </c>
    </row>
    <row r="246" spans="1:7" x14ac:dyDescent="0.25">
      <c r="A246" s="1" t="s">
        <v>340</v>
      </c>
      <c r="B246" s="1" t="s">
        <v>185</v>
      </c>
      <c r="C246" s="2">
        <v>32580</v>
      </c>
      <c r="D246" s="1" t="s">
        <v>12</v>
      </c>
      <c r="E246" s="1">
        <f>2016-YEAR(ubezpieczenia57[[#This Row],[Data_urodz]])</f>
        <v>27</v>
      </c>
      <c r="F246" s="1">
        <f>ROUNDDOWN(ubezpieczenia57[[#This Row],[wiek]]/10,0)</f>
        <v>2</v>
      </c>
      <c r="G246" s="1">
        <f t="shared" si="3"/>
        <v>245</v>
      </c>
    </row>
    <row r="247" spans="1:7" x14ac:dyDescent="0.25">
      <c r="A247" s="1" t="s">
        <v>341</v>
      </c>
      <c r="B247" s="1" t="s">
        <v>139</v>
      </c>
      <c r="C247" s="2">
        <v>18233</v>
      </c>
      <c r="D247" s="1" t="s">
        <v>12</v>
      </c>
      <c r="E247" s="1">
        <f>2016-YEAR(ubezpieczenia57[[#This Row],[Data_urodz]])</f>
        <v>67</v>
      </c>
      <c r="F247" s="1">
        <f>ROUNDDOWN(ubezpieczenia57[[#This Row],[wiek]]/10,0)</f>
        <v>6</v>
      </c>
      <c r="G247" s="1">
        <f t="shared" si="3"/>
        <v>246</v>
      </c>
    </row>
    <row r="248" spans="1:7" x14ac:dyDescent="0.25">
      <c r="A248" s="1" t="s">
        <v>342</v>
      </c>
      <c r="B248" s="1" t="s">
        <v>177</v>
      </c>
      <c r="C248" s="2">
        <v>24225</v>
      </c>
      <c r="D248" s="1" t="s">
        <v>6</v>
      </c>
      <c r="E248" s="1">
        <f>2016-YEAR(ubezpieczenia57[[#This Row],[Data_urodz]])</f>
        <v>50</v>
      </c>
      <c r="F248" s="1">
        <f>ROUNDDOWN(ubezpieczenia57[[#This Row],[wiek]]/10,0)</f>
        <v>5</v>
      </c>
      <c r="G248" s="1">
        <f t="shared" si="3"/>
        <v>247</v>
      </c>
    </row>
    <row r="249" spans="1:7" x14ac:dyDescent="0.25">
      <c r="A249" s="1" t="s">
        <v>343</v>
      </c>
      <c r="B249" s="1" t="s">
        <v>45</v>
      </c>
      <c r="C249" s="2">
        <v>27299</v>
      </c>
      <c r="D249" s="1" t="s">
        <v>6</v>
      </c>
      <c r="E249" s="1">
        <f>2016-YEAR(ubezpieczenia57[[#This Row],[Data_urodz]])</f>
        <v>42</v>
      </c>
      <c r="F249" s="1">
        <f>ROUNDDOWN(ubezpieczenia57[[#This Row],[wiek]]/10,0)</f>
        <v>4</v>
      </c>
      <c r="G249" s="1">
        <f t="shared" si="3"/>
        <v>248</v>
      </c>
    </row>
    <row r="250" spans="1:7" x14ac:dyDescent="0.25">
      <c r="A250" s="1" t="s">
        <v>344</v>
      </c>
      <c r="B250" s="1" t="s">
        <v>345</v>
      </c>
      <c r="C250" s="2">
        <v>18398</v>
      </c>
      <c r="D250" s="1" t="s">
        <v>12</v>
      </c>
      <c r="E250" s="1">
        <f>2016-YEAR(ubezpieczenia57[[#This Row],[Data_urodz]])</f>
        <v>66</v>
      </c>
      <c r="F250" s="1">
        <f>ROUNDDOWN(ubezpieczenia57[[#This Row],[wiek]]/10,0)</f>
        <v>6</v>
      </c>
      <c r="G250" s="1">
        <f t="shared" si="3"/>
        <v>249</v>
      </c>
    </row>
    <row r="251" spans="1:7" x14ac:dyDescent="0.25">
      <c r="A251" s="1" t="s">
        <v>329</v>
      </c>
      <c r="B251" s="1" t="s">
        <v>194</v>
      </c>
      <c r="C251" s="2">
        <v>34400</v>
      </c>
      <c r="D251" s="1" t="s">
        <v>12</v>
      </c>
      <c r="E251" s="1">
        <f>2016-YEAR(ubezpieczenia57[[#This Row],[Data_urodz]])</f>
        <v>22</v>
      </c>
      <c r="F251" s="1">
        <f>ROUNDDOWN(ubezpieczenia57[[#This Row],[wiek]]/10,0)</f>
        <v>2</v>
      </c>
      <c r="G251" s="1">
        <f t="shared" si="3"/>
        <v>250</v>
      </c>
    </row>
    <row r="252" spans="1:7" x14ac:dyDescent="0.25">
      <c r="A252" s="1" t="s">
        <v>51</v>
      </c>
      <c r="B252" s="1" t="s">
        <v>346</v>
      </c>
      <c r="C252" s="2">
        <v>21513</v>
      </c>
      <c r="D252" s="1" t="s">
        <v>12</v>
      </c>
      <c r="E252" s="1">
        <f>2016-YEAR(ubezpieczenia57[[#This Row],[Data_urodz]])</f>
        <v>58</v>
      </c>
      <c r="F252" s="1">
        <f>ROUNDDOWN(ubezpieczenia57[[#This Row],[wiek]]/10,0)</f>
        <v>5</v>
      </c>
      <c r="G252" s="1">
        <f t="shared" si="3"/>
        <v>251</v>
      </c>
    </row>
    <row r="253" spans="1:7" x14ac:dyDescent="0.25">
      <c r="A253" s="1" t="s">
        <v>347</v>
      </c>
      <c r="B253" s="1" t="s">
        <v>236</v>
      </c>
      <c r="C253" s="2">
        <v>31749</v>
      </c>
      <c r="D253" s="1" t="s">
        <v>6</v>
      </c>
      <c r="E253" s="1">
        <f>2016-YEAR(ubezpieczenia57[[#This Row],[Data_urodz]])</f>
        <v>30</v>
      </c>
      <c r="F253" s="1">
        <f>ROUNDDOWN(ubezpieczenia57[[#This Row],[wiek]]/10,0)</f>
        <v>3</v>
      </c>
      <c r="G253" s="1">
        <f t="shared" si="3"/>
        <v>252</v>
      </c>
    </row>
    <row r="254" spans="1:7" x14ac:dyDescent="0.25">
      <c r="A254" s="1" t="s">
        <v>348</v>
      </c>
      <c r="B254" s="1" t="s">
        <v>5</v>
      </c>
      <c r="C254" s="2">
        <v>34235</v>
      </c>
      <c r="D254" s="1" t="s">
        <v>6</v>
      </c>
      <c r="E254" s="1">
        <f>2016-YEAR(ubezpieczenia57[[#This Row],[Data_urodz]])</f>
        <v>23</v>
      </c>
      <c r="F254" s="1">
        <f>ROUNDDOWN(ubezpieczenia57[[#This Row],[wiek]]/10,0)</f>
        <v>2</v>
      </c>
      <c r="G254" s="1">
        <f t="shared" si="3"/>
        <v>253</v>
      </c>
    </row>
    <row r="255" spans="1:7" x14ac:dyDescent="0.25">
      <c r="A255" s="1" t="s">
        <v>349</v>
      </c>
      <c r="B255" s="1" t="s">
        <v>131</v>
      </c>
      <c r="C255" s="2">
        <v>19183</v>
      </c>
      <c r="D255" s="1" t="s">
        <v>9</v>
      </c>
      <c r="E255" s="1">
        <f>2016-YEAR(ubezpieczenia57[[#This Row],[Data_urodz]])</f>
        <v>64</v>
      </c>
      <c r="F255" s="1">
        <f>ROUNDDOWN(ubezpieczenia57[[#This Row],[wiek]]/10,0)</f>
        <v>6</v>
      </c>
      <c r="G255" s="1">
        <f t="shared" si="3"/>
        <v>254</v>
      </c>
    </row>
    <row r="256" spans="1:7" x14ac:dyDescent="0.25">
      <c r="A256" s="1" t="s">
        <v>350</v>
      </c>
      <c r="B256" s="1" t="s">
        <v>8</v>
      </c>
      <c r="C256" s="2">
        <v>27424</v>
      </c>
      <c r="D256" s="1" t="s">
        <v>12</v>
      </c>
      <c r="E256" s="1">
        <f>2016-YEAR(ubezpieczenia57[[#This Row],[Data_urodz]])</f>
        <v>41</v>
      </c>
      <c r="F256" s="1">
        <f>ROUNDDOWN(ubezpieczenia57[[#This Row],[wiek]]/10,0)</f>
        <v>4</v>
      </c>
      <c r="G256" s="1">
        <f t="shared" si="3"/>
        <v>255</v>
      </c>
    </row>
    <row r="257" spans="1:7" x14ac:dyDescent="0.25">
      <c r="A257" s="1" t="s">
        <v>351</v>
      </c>
      <c r="B257" s="1" t="s">
        <v>152</v>
      </c>
      <c r="C257" s="2">
        <v>23665</v>
      </c>
      <c r="D257" s="1" t="s">
        <v>12</v>
      </c>
      <c r="E257" s="1">
        <f>2016-YEAR(ubezpieczenia57[[#This Row],[Data_urodz]])</f>
        <v>52</v>
      </c>
      <c r="F257" s="1">
        <f>ROUNDDOWN(ubezpieczenia57[[#This Row],[wiek]]/10,0)</f>
        <v>5</v>
      </c>
      <c r="G257" s="1">
        <f t="shared" si="3"/>
        <v>256</v>
      </c>
    </row>
    <row r="258" spans="1:7" x14ac:dyDescent="0.25">
      <c r="A258" s="1" t="s">
        <v>352</v>
      </c>
      <c r="B258" s="1" t="s">
        <v>11</v>
      </c>
      <c r="C258" s="2">
        <v>17649</v>
      </c>
      <c r="D258" s="1" t="s">
        <v>6</v>
      </c>
      <c r="E258" s="1">
        <f>2016-YEAR(ubezpieczenia57[[#This Row],[Data_urodz]])</f>
        <v>68</v>
      </c>
      <c r="F258" s="1">
        <f>ROUNDDOWN(ubezpieczenia57[[#This Row],[wiek]]/10,0)</f>
        <v>6</v>
      </c>
      <c r="G258" s="1">
        <f t="shared" si="3"/>
        <v>257</v>
      </c>
    </row>
    <row r="259" spans="1:7" x14ac:dyDescent="0.25">
      <c r="A259" s="1" t="s">
        <v>353</v>
      </c>
      <c r="B259" s="1" t="s">
        <v>354</v>
      </c>
      <c r="C259" s="2">
        <v>25530</v>
      </c>
      <c r="D259" s="1" t="s">
        <v>6</v>
      </c>
      <c r="E259" s="1">
        <f>2016-YEAR(ubezpieczenia57[[#This Row],[Data_urodz]])</f>
        <v>47</v>
      </c>
      <c r="F259" s="1">
        <f>ROUNDDOWN(ubezpieczenia57[[#This Row],[wiek]]/10,0)</f>
        <v>4</v>
      </c>
      <c r="G259" s="1">
        <f t="shared" si="3"/>
        <v>258</v>
      </c>
    </row>
    <row r="260" spans="1:7" x14ac:dyDescent="0.25">
      <c r="A260" s="1" t="s">
        <v>355</v>
      </c>
      <c r="B260" s="1" t="s">
        <v>356</v>
      </c>
      <c r="C260" s="2">
        <v>34758</v>
      </c>
      <c r="D260" s="1" t="s">
        <v>9</v>
      </c>
      <c r="E260" s="1">
        <f>2016-YEAR(ubezpieczenia57[[#This Row],[Data_urodz]])</f>
        <v>21</v>
      </c>
      <c r="F260" s="1">
        <f>ROUNDDOWN(ubezpieczenia57[[#This Row],[wiek]]/10,0)</f>
        <v>2</v>
      </c>
      <c r="G260" s="1">
        <f t="shared" ref="G260:G323" si="4">G259+1</f>
        <v>259</v>
      </c>
    </row>
    <row r="261" spans="1:7" x14ac:dyDescent="0.25">
      <c r="A261" s="1" t="s">
        <v>19</v>
      </c>
      <c r="B261" s="1" t="s">
        <v>357</v>
      </c>
      <c r="C261" s="2">
        <v>17531</v>
      </c>
      <c r="D261" s="1" t="s">
        <v>12</v>
      </c>
      <c r="E261" s="1">
        <f>2016-YEAR(ubezpieczenia57[[#This Row],[Data_urodz]])</f>
        <v>69</v>
      </c>
      <c r="F261" s="1">
        <f>ROUNDDOWN(ubezpieczenia57[[#This Row],[wiek]]/10,0)</f>
        <v>6</v>
      </c>
      <c r="G261" s="1">
        <f t="shared" si="4"/>
        <v>260</v>
      </c>
    </row>
    <row r="262" spans="1:7" x14ac:dyDescent="0.25">
      <c r="A262" s="1" t="s">
        <v>358</v>
      </c>
      <c r="B262" s="1" t="s">
        <v>8</v>
      </c>
      <c r="C262" s="2">
        <v>32482</v>
      </c>
      <c r="D262" s="1" t="s">
        <v>6</v>
      </c>
      <c r="E262" s="1">
        <f>2016-YEAR(ubezpieczenia57[[#This Row],[Data_urodz]])</f>
        <v>28</v>
      </c>
      <c r="F262" s="1">
        <f>ROUNDDOWN(ubezpieczenia57[[#This Row],[wiek]]/10,0)</f>
        <v>2</v>
      </c>
      <c r="G262" s="1">
        <f t="shared" si="4"/>
        <v>261</v>
      </c>
    </row>
    <row r="263" spans="1:7" x14ac:dyDescent="0.25">
      <c r="A263" s="1" t="s">
        <v>359</v>
      </c>
      <c r="B263" s="1" t="s">
        <v>246</v>
      </c>
      <c r="C263" s="2">
        <v>34533</v>
      </c>
      <c r="D263" s="1" t="s">
        <v>12</v>
      </c>
      <c r="E263" s="1">
        <f>2016-YEAR(ubezpieczenia57[[#This Row],[Data_urodz]])</f>
        <v>22</v>
      </c>
      <c r="F263" s="1">
        <f>ROUNDDOWN(ubezpieczenia57[[#This Row],[wiek]]/10,0)</f>
        <v>2</v>
      </c>
      <c r="G263" s="1">
        <f t="shared" si="4"/>
        <v>262</v>
      </c>
    </row>
    <row r="264" spans="1:7" x14ac:dyDescent="0.25">
      <c r="A264" s="1" t="s">
        <v>308</v>
      </c>
      <c r="B264" s="1" t="s">
        <v>79</v>
      </c>
      <c r="C264" s="2">
        <v>28491</v>
      </c>
      <c r="D264" s="1" t="s">
        <v>12</v>
      </c>
      <c r="E264" s="1">
        <f>2016-YEAR(ubezpieczenia57[[#This Row],[Data_urodz]])</f>
        <v>38</v>
      </c>
      <c r="F264" s="1">
        <f>ROUNDDOWN(ubezpieczenia57[[#This Row],[wiek]]/10,0)</f>
        <v>3</v>
      </c>
      <c r="G264" s="1">
        <f t="shared" si="4"/>
        <v>263</v>
      </c>
    </row>
    <row r="265" spans="1:7" x14ac:dyDescent="0.25">
      <c r="A265" s="1" t="s">
        <v>360</v>
      </c>
      <c r="B265" s="1" t="s">
        <v>361</v>
      </c>
      <c r="C265" s="2">
        <v>32689</v>
      </c>
      <c r="D265" s="1" t="s">
        <v>9</v>
      </c>
      <c r="E265" s="1">
        <f>2016-YEAR(ubezpieczenia57[[#This Row],[Data_urodz]])</f>
        <v>27</v>
      </c>
      <c r="F265" s="1">
        <f>ROUNDDOWN(ubezpieczenia57[[#This Row],[wiek]]/10,0)</f>
        <v>2</v>
      </c>
      <c r="G265" s="1">
        <f t="shared" si="4"/>
        <v>264</v>
      </c>
    </row>
    <row r="266" spans="1:7" x14ac:dyDescent="0.25">
      <c r="A266" s="1" t="s">
        <v>162</v>
      </c>
      <c r="B266" s="1" t="s">
        <v>362</v>
      </c>
      <c r="C266" s="2">
        <v>27112</v>
      </c>
      <c r="D266" s="1" t="s">
        <v>6</v>
      </c>
      <c r="E266" s="1">
        <f>2016-YEAR(ubezpieczenia57[[#This Row],[Data_urodz]])</f>
        <v>42</v>
      </c>
      <c r="F266" s="1">
        <f>ROUNDDOWN(ubezpieczenia57[[#This Row],[wiek]]/10,0)</f>
        <v>4</v>
      </c>
      <c r="G266" s="1">
        <f t="shared" si="4"/>
        <v>265</v>
      </c>
    </row>
    <row r="267" spans="1:7" x14ac:dyDescent="0.25">
      <c r="A267" s="1" t="s">
        <v>363</v>
      </c>
      <c r="B267" s="1" t="s">
        <v>16</v>
      </c>
      <c r="C267" s="2">
        <v>29259</v>
      </c>
      <c r="D267" s="1" t="s">
        <v>12</v>
      </c>
      <c r="E267" s="1">
        <f>2016-YEAR(ubezpieczenia57[[#This Row],[Data_urodz]])</f>
        <v>36</v>
      </c>
      <c r="F267" s="1">
        <f>ROUNDDOWN(ubezpieczenia57[[#This Row],[wiek]]/10,0)</f>
        <v>3</v>
      </c>
      <c r="G267" s="1">
        <f t="shared" si="4"/>
        <v>266</v>
      </c>
    </row>
    <row r="268" spans="1:7" x14ac:dyDescent="0.25">
      <c r="A268" s="1" t="s">
        <v>83</v>
      </c>
      <c r="B268" s="1" t="s">
        <v>123</v>
      </c>
      <c r="C268" s="2">
        <v>18437</v>
      </c>
      <c r="D268" s="1" t="s">
        <v>6</v>
      </c>
      <c r="E268" s="1">
        <f>2016-YEAR(ubezpieczenia57[[#This Row],[Data_urodz]])</f>
        <v>66</v>
      </c>
      <c r="F268" s="1">
        <f>ROUNDDOWN(ubezpieczenia57[[#This Row],[wiek]]/10,0)</f>
        <v>6</v>
      </c>
      <c r="G268" s="1">
        <f t="shared" si="4"/>
        <v>267</v>
      </c>
    </row>
    <row r="269" spans="1:7" x14ac:dyDescent="0.25">
      <c r="A269" s="1" t="s">
        <v>364</v>
      </c>
      <c r="B269" s="1" t="s">
        <v>194</v>
      </c>
      <c r="C269" s="2">
        <v>34406</v>
      </c>
      <c r="D269" s="1" t="s">
        <v>12</v>
      </c>
      <c r="E269" s="1">
        <f>2016-YEAR(ubezpieczenia57[[#This Row],[Data_urodz]])</f>
        <v>22</v>
      </c>
      <c r="F269" s="1">
        <f>ROUNDDOWN(ubezpieczenia57[[#This Row],[wiek]]/10,0)</f>
        <v>2</v>
      </c>
      <c r="G269" s="1">
        <f t="shared" si="4"/>
        <v>268</v>
      </c>
    </row>
    <row r="270" spans="1:7" x14ac:dyDescent="0.25">
      <c r="A270" s="1" t="s">
        <v>365</v>
      </c>
      <c r="B270" s="1" t="s">
        <v>366</v>
      </c>
      <c r="C270" s="2">
        <v>26689</v>
      </c>
      <c r="D270" s="1" t="s">
        <v>12</v>
      </c>
      <c r="E270" s="1">
        <f>2016-YEAR(ubezpieczenia57[[#This Row],[Data_urodz]])</f>
        <v>43</v>
      </c>
      <c r="F270" s="1">
        <f>ROUNDDOWN(ubezpieczenia57[[#This Row],[wiek]]/10,0)</f>
        <v>4</v>
      </c>
      <c r="G270" s="1">
        <f t="shared" si="4"/>
        <v>269</v>
      </c>
    </row>
    <row r="271" spans="1:7" x14ac:dyDescent="0.25">
      <c r="A271" s="1" t="s">
        <v>174</v>
      </c>
      <c r="B271" s="1" t="s">
        <v>52</v>
      </c>
      <c r="C271" s="2">
        <v>24391</v>
      </c>
      <c r="D271" s="1" t="s">
        <v>6</v>
      </c>
      <c r="E271" s="1">
        <f>2016-YEAR(ubezpieczenia57[[#This Row],[Data_urodz]])</f>
        <v>50</v>
      </c>
      <c r="F271" s="1">
        <f>ROUNDDOWN(ubezpieczenia57[[#This Row],[wiek]]/10,0)</f>
        <v>5</v>
      </c>
      <c r="G271" s="1">
        <f t="shared" si="4"/>
        <v>270</v>
      </c>
    </row>
    <row r="272" spans="1:7" x14ac:dyDescent="0.25">
      <c r="A272" s="1" t="s">
        <v>367</v>
      </c>
      <c r="B272" s="1" t="s">
        <v>368</v>
      </c>
      <c r="C272" s="2">
        <v>22010</v>
      </c>
      <c r="D272" s="1" t="s">
        <v>12</v>
      </c>
      <c r="E272" s="1">
        <f>2016-YEAR(ubezpieczenia57[[#This Row],[Data_urodz]])</f>
        <v>56</v>
      </c>
      <c r="F272" s="1">
        <f>ROUNDDOWN(ubezpieczenia57[[#This Row],[wiek]]/10,0)</f>
        <v>5</v>
      </c>
      <c r="G272" s="1">
        <f t="shared" si="4"/>
        <v>271</v>
      </c>
    </row>
    <row r="273" spans="1:7" x14ac:dyDescent="0.25">
      <c r="A273" s="1" t="s">
        <v>369</v>
      </c>
      <c r="B273" s="1" t="s">
        <v>332</v>
      </c>
      <c r="C273" s="2">
        <v>17207</v>
      </c>
      <c r="D273" s="1" t="s">
        <v>9</v>
      </c>
      <c r="E273" s="1">
        <f>2016-YEAR(ubezpieczenia57[[#This Row],[Data_urodz]])</f>
        <v>69</v>
      </c>
      <c r="F273" s="1">
        <f>ROUNDDOWN(ubezpieczenia57[[#This Row],[wiek]]/10,0)</f>
        <v>6</v>
      </c>
      <c r="G273" s="1">
        <f t="shared" si="4"/>
        <v>272</v>
      </c>
    </row>
    <row r="274" spans="1:7" x14ac:dyDescent="0.25">
      <c r="A274" s="1" t="s">
        <v>370</v>
      </c>
      <c r="B274" s="1" t="s">
        <v>160</v>
      </c>
      <c r="C274" s="2">
        <v>22547</v>
      </c>
      <c r="D274" s="1" t="s">
        <v>6</v>
      </c>
      <c r="E274" s="1">
        <f>2016-YEAR(ubezpieczenia57[[#This Row],[Data_urodz]])</f>
        <v>55</v>
      </c>
      <c r="F274" s="1">
        <f>ROUNDDOWN(ubezpieczenia57[[#This Row],[wiek]]/10,0)</f>
        <v>5</v>
      </c>
      <c r="G274" s="1">
        <f t="shared" si="4"/>
        <v>273</v>
      </c>
    </row>
    <row r="275" spans="1:7" x14ac:dyDescent="0.25">
      <c r="A275" s="1" t="s">
        <v>371</v>
      </c>
      <c r="B275" s="1" t="s">
        <v>372</v>
      </c>
      <c r="C275" s="2">
        <v>20722</v>
      </c>
      <c r="D275" s="1" t="s">
        <v>12</v>
      </c>
      <c r="E275" s="1">
        <f>2016-YEAR(ubezpieczenia57[[#This Row],[Data_urodz]])</f>
        <v>60</v>
      </c>
      <c r="F275" s="1">
        <f>ROUNDDOWN(ubezpieczenia57[[#This Row],[wiek]]/10,0)</f>
        <v>6</v>
      </c>
      <c r="G275" s="1">
        <f t="shared" si="4"/>
        <v>274</v>
      </c>
    </row>
    <row r="276" spans="1:7" x14ac:dyDescent="0.25">
      <c r="A276" s="1" t="s">
        <v>373</v>
      </c>
      <c r="B276" s="1" t="s">
        <v>29</v>
      </c>
      <c r="C276" s="2">
        <v>24900</v>
      </c>
      <c r="D276" s="1" t="s">
        <v>12</v>
      </c>
      <c r="E276" s="1">
        <f>2016-YEAR(ubezpieczenia57[[#This Row],[Data_urodz]])</f>
        <v>48</v>
      </c>
      <c r="F276" s="1">
        <f>ROUNDDOWN(ubezpieczenia57[[#This Row],[wiek]]/10,0)</f>
        <v>4</v>
      </c>
      <c r="G276" s="1">
        <f t="shared" si="4"/>
        <v>275</v>
      </c>
    </row>
    <row r="277" spans="1:7" x14ac:dyDescent="0.25">
      <c r="A277" s="1" t="s">
        <v>374</v>
      </c>
      <c r="B277" s="1" t="s">
        <v>37</v>
      </c>
      <c r="C277" s="2">
        <v>20808</v>
      </c>
      <c r="D277" s="1" t="s">
        <v>12</v>
      </c>
      <c r="E277" s="1">
        <f>2016-YEAR(ubezpieczenia57[[#This Row],[Data_urodz]])</f>
        <v>60</v>
      </c>
      <c r="F277" s="1">
        <f>ROUNDDOWN(ubezpieczenia57[[#This Row],[wiek]]/10,0)</f>
        <v>6</v>
      </c>
      <c r="G277" s="1">
        <f t="shared" si="4"/>
        <v>276</v>
      </c>
    </row>
    <row r="278" spans="1:7" x14ac:dyDescent="0.25">
      <c r="A278" s="1" t="s">
        <v>375</v>
      </c>
      <c r="B278" s="1" t="s">
        <v>131</v>
      </c>
      <c r="C278" s="2">
        <v>30235</v>
      </c>
      <c r="D278" s="1" t="s">
        <v>12</v>
      </c>
      <c r="E278" s="1">
        <f>2016-YEAR(ubezpieczenia57[[#This Row],[Data_urodz]])</f>
        <v>34</v>
      </c>
      <c r="F278" s="1">
        <f>ROUNDDOWN(ubezpieczenia57[[#This Row],[wiek]]/10,0)</f>
        <v>3</v>
      </c>
      <c r="G278" s="1">
        <f t="shared" si="4"/>
        <v>277</v>
      </c>
    </row>
    <row r="279" spans="1:7" x14ac:dyDescent="0.25">
      <c r="A279" s="1" t="s">
        <v>376</v>
      </c>
      <c r="B279" s="1" t="s">
        <v>257</v>
      </c>
      <c r="C279" s="2">
        <v>21221</v>
      </c>
      <c r="D279" s="1" t="s">
        <v>9</v>
      </c>
      <c r="E279" s="1">
        <f>2016-YEAR(ubezpieczenia57[[#This Row],[Data_urodz]])</f>
        <v>58</v>
      </c>
      <c r="F279" s="1">
        <f>ROUNDDOWN(ubezpieczenia57[[#This Row],[wiek]]/10,0)</f>
        <v>5</v>
      </c>
      <c r="G279" s="1">
        <f t="shared" si="4"/>
        <v>278</v>
      </c>
    </row>
    <row r="280" spans="1:7" x14ac:dyDescent="0.25">
      <c r="A280" s="1" t="s">
        <v>377</v>
      </c>
      <c r="B280" s="1" t="s">
        <v>45</v>
      </c>
      <c r="C280" s="2">
        <v>20193</v>
      </c>
      <c r="D280" s="1" t="s">
        <v>6</v>
      </c>
      <c r="E280" s="1">
        <f>2016-YEAR(ubezpieczenia57[[#This Row],[Data_urodz]])</f>
        <v>61</v>
      </c>
      <c r="F280" s="1">
        <f>ROUNDDOWN(ubezpieczenia57[[#This Row],[wiek]]/10,0)</f>
        <v>6</v>
      </c>
      <c r="G280" s="1">
        <f t="shared" si="4"/>
        <v>279</v>
      </c>
    </row>
    <row r="281" spans="1:7" x14ac:dyDescent="0.25">
      <c r="A281" s="1" t="s">
        <v>378</v>
      </c>
      <c r="B281" s="1" t="s">
        <v>141</v>
      </c>
      <c r="C281" s="2">
        <v>17137</v>
      </c>
      <c r="D281" s="1" t="s">
        <v>6</v>
      </c>
      <c r="E281" s="1">
        <f>2016-YEAR(ubezpieczenia57[[#This Row],[Data_urodz]])</f>
        <v>70</v>
      </c>
      <c r="F281" s="1">
        <f>ROUNDDOWN(ubezpieczenia57[[#This Row],[wiek]]/10,0)</f>
        <v>7</v>
      </c>
      <c r="G281" s="1">
        <f t="shared" si="4"/>
        <v>280</v>
      </c>
    </row>
    <row r="282" spans="1:7" x14ac:dyDescent="0.25">
      <c r="A282" s="1" t="s">
        <v>379</v>
      </c>
      <c r="B282" s="1" t="s">
        <v>49</v>
      </c>
      <c r="C282" s="2">
        <v>32802</v>
      </c>
      <c r="D282" s="1" t="s">
        <v>6</v>
      </c>
      <c r="E282" s="1">
        <f>2016-YEAR(ubezpieczenia57[[#This Row],[Data_urodz]])</f>
        <v>27</v>
      </c>
      <c r="F282" s="1">
        <f>ROUNDDOWN(ubezpieczenia57[[#This Row],[wiek]]/10,0)</f>
        <v>2</v>
      </c>
      <c r="G282" s="1">
        <f t="shared" si="4"/>
        <v>281</v>
      </c>
    </row>
    <row r="283" spans="1:7" x14ac:dyDescent="0.25">
      <c r="A283" s="1" t="s">
        <v>240</v>
      </c>
      <c r="B283" s="1" t="s">
        <v>20</v>
      </c>
      <c r="C283" s="2">
        <v>25839</v>
      </c>
      <c r="D283" s="1" t="s">
        <v>12</v>
      </c>
      <c r="E283" s="1">
        <f>2016-YEAR(ubezpieczenia57[[#This Row],[Data_urodz]])</f>
        <v>46</v>
      </c>
      <c r="F283" s="1">
        <f>ROUNDDOWN(ubezpieczenia57[[#This Row],[wiek]]/10,0)</f>
        <v>4</v>
      </c>
      <c r="G283" s="1">
        <f t="shared" si="4"/>
        <v>282</v>
      </c>
    </row>
    <row r="284" spans="1:7" x14ac:dyDescent="0.25">
      <c r="A284" s="1" t="s">
        <v>275</v>
      </c>
      <c r="B284" s="1" t="s">
        <v>380</v>
      </c>
      <c r="C284" s="2">
        <v>32028</v>
      </c>
      <c r="D284" s="1" t="s">
        <v>12</v>
      </c>
      <c r="E284" s="1">
        <f>2016-YEAR(ubezpieczenia57[[#This Row],[Data_urodz]])</f>
        <v>29</v>
      </c>
      <c r="F284" s="1">
        <f>ROUNDDOWN(ubezpieczenia57[[#This Row],[wiek]]/10,0)</f>
        <v>2</v>
      </c>
      <c r="G284" s="1">
        <f t="shared" si="4"/>
        <v>283</v>
      </c>
    </row>
    <row r="285" spans="1:7" x14ac:dyDescent="0.25">
      <c r="A285" s="1" t="s">
        <v>317</v>
      </c>
      <c r="B285" s="1" t="s">
        <v>192</v>
      </c>
      <c r="C285" s="2">
        <v>31556</v>
      </c>
      <c r="D285" s="1" t="s">
        <v>6</v>
      </c>
      <c r="E285" s="1">
        <f>2016-YEAR(ubezpieczenia57[[#This Row],[Data_urodz]])</f>
        <v>30</v>
      </c>
      <c r="F285" s="1">
        <f>ROUNDDOWN(ubezpieczenia57[[#This Row],[wiek]]/10,0)</f>
        <v>3</v>
      </c>
      <c r="G285" s="1">
        <f t="shared" si="4"/>
        <v>284</v>
      </c>
    </row>
    <row r="286" spans="1:7" x14ac:dyDescent="0.25">
      <c r="A286" s="1" t="s">
        <v>381</v>
      </c>
      <c r="B286" s="1" t="s">
        <v>54</v>
      </c>
      <c r="C286" s="2">
        <v>19153</v>
      </c>
      <c r="D286" s="1" t="s">
        <v>6</v>
      </c>
      <c r="E286" s="1">
        <f>2016-YEAR(ubezpieczenia57[[#This Row],[Data_urodz]])</f>
        <v>64</v>
      </c>
      <c r="F286" s="1">
        <f>ROUNDDOWN(ubezpieczenia57[[#This Row],[wiek]]/10,0)</f>
        <v>6</v>
      </c>
      <c r="G286" s="1">
        <f t="shared" si="4"/>
        <v>285</v>
      </c>
    </row>
    <row r="287" spans="1:7" x14ac:dyDescent="0.25">
      <c r="A287" s="1" t="s">
        <v>382</v>
      </c>
      <c r="B287" s="1" t="s">
        <v>383</v>
      </c>
      <c r="C287" s="2">
        <v>21934</v>
      </c>
      <c r="D287" s="1" t="s">
        <v>6</v>
      </c>
      <c r="E287" s="1">
        <f>2016-YEAR(ubezpieczenia57[[#This Row],[Data_urodz]])</f>
        <v>56</v>
      </c>
      <c r="F287" s="1">
        <f>ROUNDDOWN(ubezpieczenia57[[#This Row],[wiek]]/10,0)</f>
        <v>5</v>
      </c>
      <c r="G287" s="1">
        <f t="shared" si="4"/>
        <v>286</v>
      </c>
    </row>
    <row r="288" spans="1:7" x14ac:dyDescent="0.25">
      <c r="A288" s="1" t="s">
        <v>384</v>
      </c>
      <c r="B288" s="1" t="s">
        <v>361</v>
      </c>
      <c r="C288" s="2">
        <v>28187</v>
      </c>
      <c r="D288" s="1" t="s">
        <v>12</v>
      </c>
      <c r="E288" s="1">
        <f>2016-YEAR(ubezpieczenia57[[#This Row],[Data_urodz]])</f>
        <v>39</v>
      </c>
      <c r="F288" s="1">
        <f>ROUNDDOWN(ubezpieczenia57[[#This Row],[wiek]]/10,0)</f>
        <v>3</v>
      </c>
      <c r="G288" s="1">
        <f t="shared" si="4"/>
        <v>287</v>
      </c>
    </row>
    <row r="289" spans="1:7" x14ac:dyDescent="0.25">
      <c r="A289" s="1" t="s">
        <v>385</v>
      </c>
      <c r="B289" s="1" t="s">
        <v>252</v>
      </c>
      <c r="C289" s="2">
        <v>34291</v>
      </c>
      <c r="D289" s="1" t="s">
        <v>12</v>
      </c>
      <c r="E289" s="1">
        <f>2016-YEAR(ubezpieczenia57[[#This Row],[Data_urodz]])</f>
        <v>23</v>
      </c>
      <c r="F289" s="1">
        <f>ROUNDDOWN(ubezpieczenia57[[#This Row],[wiek]]/10,0)</f>
        <v>2</v>
      </c>
      <c r="G289" s="1">
        <f t="shared" si="4"/>
        <v>288</v>
      </c>
    </row>
    <row r="290" spans="1:7" x14ac:dyDescent="0.25">
      <c r="A290" s="1" t="s">
        <v>386</v>
      </c>
      <c r="B290" s="1" t="s">
        <v>107</v>
      </c>
      <c r="C290" s="2">
        <v>24652</v>
      </c>
      <c r="D290" s="1" t="s">
        <v>6</v>
      </c>
      <c r="E290" s="1">
        <f>2016-YEAR(ubezpieczenia57[[#This Row],[Data_urodz]])</f>
        <v>49</v>
      </c>
      <c r="F290" s="1">
        <f>ROUNDDOWN(ubezpieczenia57[[#This Row],[wiek]]/10,0)</f>
        <v>4</v>
      </c>
      <c r="G290" s="1">
        <f t="shared" si="4"/>
        <v>289</v>
      </c>
    </row>
    <row r="291" spans="1:7" x14ac:dyDescent="0.25">
      <c r="A291" s="1" t="s">
        <v>387</v>
      </c>
      <c r="B291" s="1" t="s">
        <v>121</v>
      </c>
      <c r="C291" s="2">
        <v>18010</v>
      </c>
      <c r="D291" s="1" t="s">
        <v>6</v>
      </c>
      <c r="E291" s="1">
        <f>2016-YEAR(ubezpieczenia57[[#This Row],[Data_urodz]])</f>
        <v>67</v>
      </c>
      <c r="F291" s="1">
        <f>ROUNDDOWN(ubezpieczenia57[[#This Row],[wiek]]/10,0)</f>
        <v>6</v>
      </c>
      <c r="G291" s="1">
        <f t="shared" si="4"/>
        <v>290</v>
      </c>
    </row>
    <row r="292" spans="1:7" x14ac:dyDescent="0.25">
      <c r="A292" s="1" t="s">
        <v>388</v>
      </c>
      <c r="B292" s="1" t="s">
        <v>368</v>
      </c>
      <c r="C292" s="2">
        <v>26506</v>
      </c>
      <c r="D292" s="1" t="s">
        <v>40</v>
      </c>
      <c r="E292" s="1">
        <f>2016-YEAR(ubezpieczenia57[[#This Row],[Data_urodz]])</f>
        <v>44</v>
      </c>
      <c r="F292" s="1">
        <f>ROUNDDOWN(ubezpieczenia57[[#This Row],[wiek]]/10,0)</f>
        <v>4</v>
      </c>
      <c r="G292" s="1">
        <f t="shared" si="4"/>
        <v>291</v>
      </c>
    </row>
    <row r="293" spans="1:7" x14ac:dyDescent="0.25">
      <c r="A293" s="1" t="s">
        <v>389</v>
      </c>
      <c r="B293" s="1" t="s">
        <v>160</v>
      </c>
      <c r="C293" s="2">
        <v>30368</v>
      </c>
      <c r="D293" s="1" t="s">
        <v>40</v>
      </c>
      <c r="E293" s="1">
        <f>2016-YEAR(ubezpieczenia57[[#This Row],[Data_urodz]])</f>
        <v>33</v>
      </c>
      <c r="F293" s="1">
        <f>ROUNDDOWN(ubezpieczenia57[[#This Row],[wiek]]/10,0)</f>
        <v>3</v>
      </c>
      <c r="G293" s="1">
        <f t="shared" si="4"/>
        <v>292</v>
      </c>
    </row>
    <row r="294" spans="1:7" x14ac:dyDescent="0.25">
      <c r="A294" s="1" t="s">
        <v>162</v>
      </c>
      <c r="B294" s="1" t="s">
        <v>54</v>
      </c>
      <c r="C294" s="2">
        <v>16991</v>
      </c>
      <c r="D294" s="1" t="s">
        <v>12</v>
      </c>
      <c r="E294" s="1">
        <f>2016-YEAR(ubezpieczenia57[[#This Row],[Data_urodz]])</f>
        <v>70</v>
      </c>
      <c r="F294" s="1">
        <f>ROUNDDOWN(ubezpieczenia57[[#This Row],[wiek]]/10,0)</f>
        <v>7</v>
      </c>
      <c r="G294" s="1">
        <f t="shared" si="4"/>
        <v>293</v>
      </c>
    </row>
    <row r="295" spans="1:7" x14ac:dyDescent="0.25">
      <c r="A295" s="1" t="s">
        <v>390</v>
      </c>
      <c r="B295" s="1" t="s">
        <v>152</v>
      </c>
      <c r="C295" s="2">
        <v>23950</v>
      </c>
      <c r="D295" s="1" t="s">
        <v>12</v>
      </c>
      <c r="E295" s="1">
        <f>2016-YEAR(ubezpieczenia57[[#This Row],[Data_urodz]])</f>
        <v>51</v>
      </c>
      <c r="F295" s="1">
        <f>ROUNDDOWN(ubezpieczenia57[[#This Row],[wiek]]/10,0)</f>
        <v>5</v>
      </c>
      <c r="G295" s="1">
        <f t="shared" si="4"/>
        <v>294</v>
      </c>
    </row>
    <row r="296" spans="1:7" x14ac:dyDescent="0.25">
      <c r="A296" s="1" t="s">
        <v>391</v>
      </c>
      <c r="B296" s="1" t="s">
        <v>47</v>
      </c>
      <c r="C296" s="2">
        <v>26871</v>
      </c>
      <c r="D296" s="1" t="s">
        <v>12</v>
      </c>
      <c r="E296" s="1">
        <f>2016-YEAR(ubezpieczenia57[[#This Row],[Data_urodz]])</f>
        <v>43</v>
      </c>
      <c r="F296" s="1">
        <f>ROUNDDOWN(ubezpieczenia57[[#This Row],[wiek]]/10,0)</f>
        <v>4</v>
      </c>
      <c r="G296" s="1">
        <f t="shared" si="4"/>
        <v>295</v>
      </c>
    </row>
    <row r="297" spans="1:7" x14ac:dyDescent="0.25">
      <c r="A297" s="1" t="s">
        <v>392</v>
      </c>
      <c r="B297" s="1" t="s">
        <v>260</v>
      </c>
      <c r="C297" s="2">
        <v>17268</v>
      </c>
      <c r="D297" s="1" t="s">
        <v>40</v>
      </c>
      <c r="E297" s="1">
        <f>2016-YEAR(ubezpieczenia57[[#This Row],[Data_urodz]])</f>
        <v>69</v>
      </c>
      <c r="F297" s="1">
        <f>ROUNDDOWN(ubezpieczenia57[[#This Row],[wiek]]/10,0)</f>
        <v>6</v>
      </c>
      <c r="G297" s="1">
        <f t="shared" si="4"/>
        <v>296</v>
      </c>
    </row>
    <row r="298" spans="1:7" x14ac:dyDescent="0.25">
      <c r="A298" s="1" t="s">
        <v>393</v>
      </c>
      <c r="B298" s="1" t="s">
        <v>394</v>
      </c>
      <c r="C298" s="2">
        <v>31612</v>
      </c>
      <c r="D298" s="1" t="s">
        <v>6</v>
      </c>
      <c r="E298" s="1">
        <f>2016-YEAR(ubezpieczenia57[[#This Row],[Data_urodz]])</f>
        <v>30</v>
      </c>
      <c r="F298" s="1">
        <f>ROUNDDOWN(ubezpieczenia57[[#This Row],[wiek]]/10,0)</f>
        <v>3</v>
      </c>
      <c r="G298" s="1">
        <f t="shared" si="4"/>
        <v>297</v>
      </c>
    </row>
    <row r="299" spans="1:7" x14ac:dyDescent="0.25">
      <c r="A299" s="1" t="s">
        <v>395</v>
      </c>
      <c r="B299" s="1" t="s">
        <v>131</v>
      </c>
      <c r="C299" s="2">
        <v>21264</v>
      </c>
      <c r="D299" s="1" t="s">
        <v>12</v>
      </c>
      <c r="E299" s="1">
        <f>2016-YEAR(ubezpieczenia57[[#This Row],[Data_urodz]])</f>
        <v>58</v>
      </c>
      <c r="F299" s="1">
        <f>ROUNDDOWN(ubezpieczenia57[[#This Row],[wiek]]/10,0)</f>
        <v>5</v>
      </c>
      <c r="G299" s="1">
        <f t="shared" si="4"/>
        <v>298</v>
      </c>
    </row>
    <row r="300" spans="1:7" x14ac:dyDescent="0.25">
      <c r="A300" s="1" t="s">
        <v>396</v>
      </c>
      <c r="B300" s="1" t="s">
        <v>236</v>
      </c>
      <c r="C300" s="2">
        <v>29622</v>
      </c>
      <c r="D300" s="1" t="s">
        <v>40</v>
      </c>
      <c r="E300" s="1">
        <f>2016-YEAR(ubezpieczenia57[[#This Row],[Data_urodz]])</f>
        <v>35</v>
      </c>
      <c r="F300" s="1">
        <f>ROUNDDOWN(ubezpieczenia57[[#This Row],[wiek]]/10,0)</f>
        <v>3</v>
      </c>
      <c r="G300" s="1">
        <f t="shared" si="4"/>
        <v>299</v>
      </c>
    </row>
    <row r="301" spans="1:7" x14ac:dyDescent="0.25">
      <c r="A301" s="1" t="s">
        <v>162</v>
      </c>
      <c r="B301" s="1" t="s">
        <v>20</v>
      </c>
      <c r="C301" s="2">
        <v>30875</v>
      </c>
      <c r="D301" s="1" t="s">
        <v>6</v>
      </c>
      <c r="E301" s="1">
        <f>2016-YEAR(ubezpieczenia57[[#This Row],[Data_urodz]])</f>
        <v>32</v>
      </c>
      <c r="F301" s="1">
        <f>ROUNDDOWN(ubezpieczenia57[[#This Row],[wiek]]/10,0)</f>
        <v>3</v>
      </c>
      <c r="G301" s="1">
        <f t="shared" si="4"/>
        <v>300</v>
      </c>
    </row>
    <row r="302" spans="1:7" x14ac:dyDescent="0.25">
      <c r="A302" s="1" t="s">
        <v>397</v>
      </c>
      <c r="B302" s="1" t="s">
        <v>107</v>
      </c>
      <c r="C302" s="2">
        <v>31924</v>
      </c>
      <c r="D302" s="1" t="s">
        <v>12</v>
      </c>
      <c r="E302" s="1">
        <f>2016-YEAR(ubezpieczenia57[[#This Row],[Data_urodz]])</f>
        <v>29</v>
      </c>
      <c r="F302" s="1">
        <f>ROUNDDOWN(ubezpieczenia57[[#This Row],[wiek]]/10,0)</f>
        <v>2</v>
      </c>
      <c r="G302" s="1">
        <f t="shared" si="4"/>
        <v>301</v>
      </c>
    </row>
    <row r="303" spans="1:7" x14ac:dyDescent="0.25">
      <c r="A303" s="1" t="s">
        <v>398</v>
      </c>
      <c r="B303" s="1" t="s">
        <v>399</v>
      </c>
      <c r="C303" s="2">
        <v>23384</v>
      </c>
      <c r="D303" s="1" t="s">
        <v>12</v>
      </c>
      <c r="E303" s="1">
        <f>2016-YEAR(ubezpieczenia57[[#This Row],[Data_urodz]])</f>
        <v>52</v>
      </c>
      <c r="F303" s="1">
        <f>ROUNDDOWN(ubezpieczenia57[[#This Row],[wiek]]/10,0)</f>
        <v>5</v>
      </c>
      <c r="G303" s="1">
        <f t="shared" si="4"/>
        <v>302</v>
      </c>
    </row>
    <row r="304" spans="1:7" x14ac:dyDescent="0.25">
      <c r="A304" s="1" t="s">
        <v>400</v>
      </c>
      <c r="B304" s="1" t="s">
        <v>401</v>
      </c>
      <c r="C304" s="2">
        <v>32097</v>
      </c>
      <c r="D304" s="1" t="s">
        <v>6</v>
      </c>
      <c r="E304" s="1">
        <f>2016-YEAR(ubezpieczenia57[[#This Row],[Data_urodz]])</f>
        <v>29</v>
      </c>
      <c r="F304" s="1">
        <f>ROUNDDOWN(ubezpieczenia57[[#This Row],[wiek]]/10,0)</f>
        <v>2</v>
      </c>
      <c r="G304" s="1">
        <f t="shared" si="4"/>
        <v>303</v>
      </c>
    </row>
    <row r="305" spans="1:7" x14ac:dyDescent="0.25">
      <c r="A305" s="1" t="s">
        <v>402</v>
      </c>
      <c r="B305" s="1" t="s">
        <v>403</v>
      </c>
      <c r="C305" s="2">
        <v>22555</v>
      </c>
      <c r="D305" s="1" t="s">
        <v>40</v>
      </c>
      <c r="E305" s="1">
        <f>2016-YEAR(ubezpieczenia57[[#This Row],[Data_urodz]])</f>
        <v>55</v>
      </c>
      <c r="F305" s="1">
        <f>ROUNDDOWN(ubezpieczenia57[[#This Row],[wiek]]/10,0)</f>
        <v>5</v>
      </c>
      <c r="G305" s="1">
        <f t="shared" si="4"/>
        <v>304</v>
      </c>
    </row>
    <row r="306" spans="1:7" x14ac:dyDescent="0.25">
      <c r="A306" s="1" t="s">
        <v>317</v>
      </c>
      <c r="B306" s="1" t="s">
        <v>20</v>
      </c>
      <c r="C306" s="2">
        <v>22508</v>
      </c>
      <c r="D306" s="1" t="s">
        <v>12</v>
      </c>
      <c r="E306" s="1">
        <f>2016-YEAR(ubezpieczenia57[[#This Row],[Data_urodz]])</f>
        <v>55</v>
      </c>
      <c r="F306" s="1">
        <f>ROUNDDOWN(ubezpieczenia57[[#This Row],[wiek]]/10,0)</f>
        <v>5</v>
      </c>
      <c r="G306" s="1">
        <f t="shared" si="4"/>
        <v>305</v>
      </c>
    </row>
    <row r="307" spans="1:7" x14ac:dyDescent="0.25">
      <c r="A307" s="1" t="s">
        <v>404</v>
      </c>
      <c r="B307" s="1" t="s">
        <v>72</v>
      </c>
      <c r="C307" s="2">
        <v>29510</v>
      </c>
      <c r="D307" s="1" t="s">
        <v>6</v>
      </c>
      <c r="E307" s="1">
        <f>2016-YEAR(ubezpieczenia57[[#This Row],[Data_urodz]])</f>
        <v>36</v>
      </c>
      <c r="F307" s="1">
        <f>ROUNDDOWN(ubezpieczenia57[[#This Row],[wiek]]/10,0)</f>
        <v>3</v>
      </c>
      <c r="G307" s="1">
        <f t="shared" si="4"/>
        <v>306</v>
      </c>
    </row>
    <row r="308" spans="1:7" x14ac:dyDescent="0.25">
      <c r="A308" s="1" t="s">
        <v>405</v>
      </c>
      <c r="B308" s="1" t="s">
        <v>406</v>
      </c>
      <c r="C308" s="2">
        <v>22398</v>
      </c>
      <c r="D308" s="1" t="s">
        <v>12</v>
      </c>
      <c r="E308" s="1">
        <f>2016-YEAR(ubezpieczenia57[[#This Row],[Data_urodz]])</f>
        <v>55</v>
      </c>
      <c r="F308" s="1">
        <f>ROUNDDOWN(ubezpieczenia57[[#This Row],[wiek]]/10,0)</f>
        <v>5</v>
      </c>
      <c r="G308" s="1">
        <f t="shared" si="4"/>
        <v>307</v>
      </c>
    </row>
    <row r="309" spans="1:7" x14ac:dyDescent="0.25">
      <c r="A309" s="1" t="s">
        <v>407</v>
      </c>
      <c r="B309" s="1" t="s">
        <v>20</v>
      </c>
      <c r="C309" s="2">
        <v>28394</v>
      </c>
      <c r="D309" s="1" t="s">
        <v>9</v>
      </c>
      <c r="E309" s="1">
        <f>2016-YEAR(ubezpieczenia57[[#This Row],[Data_urodz]])</f>
        <v>39</v>
      </c>
      <c r="F309" s="1">
        <f>ROUNDDOWN(ubezpieczenia57[[#This Row],[wiek]]/10,0)</f>
        <v>3</v>
      </c>
      <c r="G309" s="1">
        <f t="shared" si="4"/>
        <v>308</v>
      </c>
    </row>
    <row r="310" spans="1:7" x14ac:dyDescent="0.25">
      <c r="A310" s="1" t="s">
        <v>408</v>
      </c>
      <c r="B310" s="1" t="s">
        <v>139</v>
      </c>
      <c r="C310" s="2">
        <v>16244</v>
      </c>
      <c r="D310" s="1" t="s">
        <v>6</v>
      </c>
      <c r="E310" s="1">
        <f>2016-YEAR(ubezpieczenia57[[#This Row],[Data_urodz]])</f>
        <v>72</v>
      </c>
      <c r="F310" s="1">
        <f>ROUNDDOWN(ubezpieczenia57[[#This Row],[wiek]]/10,0)</f>
        <v>7</v>
      </c>
      <c r="G310" s="1">
        <f t="shared" si="4"/>
        <v>309</v>
      </c>
    </row>
    <row r="311" spans="1:7" x14ac:dyDescent="0.25">
      <c r="A311" s="1" t="s">
        <v>409</v>
      </c>
      <c r="B311" s="1" t="s">
        <v>167</v>
      </c>
      <c r="C311" s="2">
        <v>32836</v>
      </c>
      <c r="D311" s="1" t="s">
        <v>12</v>
      </c>
      <c r="E311" s="1">
        <f>2016-YEAR(ubezpieczenia57[[#This Row],[Data_urodz]])</f>
        <v>27</v>
      </c>
      <c r="F311" s="1">
        <f>ROUNDDOWN(ubezpieczenia57[[#This Row],[wiek]]/10,0)</f>
        <v>2</v>
      </c>
      <c r="G311" s="1">
        <f t="shared" si="4"/>
        <v>310</v>
      </c>
    </row>
    <row r="312" spans="1:7" x14ac:dyDescent="0.25">
      <c r="A312" s="1" t="s">
        <v>410</v>
      </c>
      <c r="B312" s="1" t="s">
        <v>141</v>
      </c>
      <c r="C312" s="2">
        <v>23528</v>
      </c>
      <c r="D312" s="1" t="s">
        <v>6</v>
      </c>
      <c r="E312" s="1">
        <f>2016-YEAR(ubezpieczenia57[[#This Row],[Data_urodz]])</f>
        <v>52</v>
      </c>
      <c r="F312" s="1">
        <f>ROUNDDOWN(ubezpieczenia57[[#This Row],[wiek]]/10,0)</f>
        <v>5</v>
      </c>
      <c r="G312" s="1">
        <f t="shared" si="4"/>
        <v>311</v>
      </c>
    </row>
    <row r="313" spans="1:7" x14ac:dyDescent="0.25">
      <c r="A313" s="1" t="s">
        <v>411</v>
      </c>
      <c r="B313" s="1" t="s">
        <v>412</v>
      </c>
      <c r="C313" s="2">
        <v>28489</v>
      </c>
      <c r="D313" s="1" t="s">
        <v>12</v>
      </c>
      <c r="E313" s="1">
        <f>2016-YEAR(ubezpieczenia57[[#This Row],[Data_urodz]])</f>
        <v>39</v>
      </c>
      <c r="F313" s="1">
        <f>ROUNDDOWN(ubezpieczenia57[[#This Row],[wiek]]/10,0)</f>
        <v>3</v>
      </c>
      <c r="G313" s="1">
        <f t="shared" si="4"/>
        <v>312</v>
      </c>
    </row>
    <row r="314" spans="1:7" x14ac:dyDescent="0.25">
      <c r="A314" s="1" t="s">
        <v>413</v>
      </c>
      <c r="B314" s="1" t="s">
        <v>399</v>
      </c>
      <c r="C314" s="2">
        <v>20920</v>
      </c>
      <c r="D314" s="1" t="s">
        <v>12</v>
      </c>
      <c r="E314" s="1">
        <f>2016-YEAR(ubezpieczenia57[[#This Row],[Data_urodz]])</f>
        <v>59</v>
      </c>
      <c r="F314" s="1">
        <f>ROUNDDOWN(ubezpieczenia57[[#This Row],[wiek]]/10,0)</f>
        <v>5</v>
      </c>
      <c r="G314" s="1">
        <f t="shared" si="4"/>
        <v>313</v>
      </c>
    </row>
    <row r="315" spans="1:7" x14ac:dyDescent="0.25">
      <c r="A315" s="1" t="s">
        <v>414</v>
      </c>
      <c r="B315" s="1" t="s">
        <v>11</v>
      </c>
      <c r="C315" s="2">
        <v>34164</v>
      </c>
      <c r="D315" s="1" t="s">
        <v>6</v>
      </c>
      <c r="E315" s="1">
        <f>2016-YEAR(ubezpieczenia57[[#This Row],[Data_urodz]])</f>
        <v>23</v>
      </c>
      <c r="F315" s="1">
        <f>ROUNDDOWN(ubezpieczenia57[[#This Row],[wiek]]/10,0)</f>
        <v>2</v>
      </c>
      <c r="G315" s="1">
        <f t="shared" si="4"/>
        <v>314</v>
      </c>
    </row>
    <row r="316" spans="1:7" x14ac:dyDescent="0.25">
      <c r="A316" s="1" t="s">
        <v>415</v>
      </c>
      <c r="B316" s="1" t="s">
        <v>246</v>
      </c>
      <c r="C316" s="2">
        <v>32341</v>
      </c>
      <c r="D316" s="1" t="s">
        <v>6</v>
      </c>
      <c r="E316" s="1">
        <f>2016-YEAR(ubezpieczenia57[[#This Row],[Data_urodz]])</f>
        <v>28</v>
      </c>
      <c r="F316" s="1">
        <f>ROUNDDOWN(ubezpieczenia57[[#This Row],[wiek]]/10,0)</f>
        <v>2</v>
      </c>
      <c r="G316" s="1">
        <f t="shared" si="4"/>
        <v>315</v>
      </c>
    </row>
    <row r="317" spans="1:7" x14ac:dyDescent="0.25">
      <c r="A317" s="1" t="s">
        <v>416</v>
      </c>
      <c r="B317" s="1" t="s">
        <v>194</v>
      </c>
      <c r="C317" s="2">
        <v>16640</v>
      </c>
      <c r="D317" s="1" t="s">
        <v>12</v>
      </c>
      <c r="E317" s="1">
        <f>2016-YEAR(ubezpieczenia57[[#This Row],[Data_urodz]])</f>
        <v>71</v>
      </c>
      <c r="F317" s="1">
        <f>ROUNDDOWN(ubezpieczenia57[[#This Row],[wiek]]/10,0)</f>
        <v>7</v>
      </c>
      <c r="G317" s="1">
        <f t="shared" si="4"/>
        <v>316</v>
      </c>
    </row>
    <row r="318" spans="1:7" x14ac:dyDescent="0.25">
      <c r="A318" s="1" t="s">
        <v>417</v>
      </c>
      <c r="B318" s="1" t="s">
        <v>418</v>
      </c>
      <c r="C318" s="2">
        <v>28217</v>
      </c>
      <c r="D318" s="1" t="s">
        <v>12</v>
      </c>
      <c r="E318" s="1">
        <f>2016-YEAR(ubezpieczenia57[[#This Row],[Data_urodz]])</f>
        <v>39</v>
      </c>
      <c r="F318" s="1">
        <f>ROUNDDOWN(ubezpieczenia57[[#This Row],[wiek]]/10,0)</f>
        <v>3</v>
      </c>
      <c r="G318" s="1">
        <f t="shared" si="4"/>
        <v>317</v>
      </c>
    </row>
    <row r="319" spans="1:7" x14ac:dyDescent="0.25">
      <c r="A319" s="1" t="s">
        <v>190</v>
      </c>
      <c r="B319" s="1" t="s">
        <v>419</v>
      </c>
      <c r="C319" s="2">
        <v>32646</v>
      </c>
      <c r="D319" s="1" t="s">
        <v>40</v>
      </c>
      <c r="E319" s="1">
        <f>2016-YEAR(ubezpieczenia57[[#This Row],[Data_urodz]])</f>
        <v>27</v>
      </c>
      <c r="F319" s="1">
        <f>ROUNDDOWN(ubezpieczenia57[[#This Row],[wiek]]/10,0)</f>
        <v>2</v>
      </c>
      <c r="G319" s="1">
        <f t="shared" si="4"/>
        <v>318</v>
      </c>
    </row>
    <row r="320" spans="1:7" x14ac:dyDescent="0.25">
      <c r="A320" s="1" t="s">
        <v>420</v>
      </c>
      <c r="B320" s="1" t="s">
        <v>5</v>
      </c>
      <c r="C320" s="2">
        <v>28636</v>
      </c>
      <c r="D320" s="1" t="s">
        <v>40</v>
      </c>
      <c r="E320" s="1">
        <f>2016-YEAR(ubezpieczenia57[[#This Row],[Data_urodz]])</f>
        <v>38</v>
      </c>
      <c r="F320" s="1">
        <f>ROUNDDOWN(ubezpieczenia57[[#This Row],[wiek]]/10,0)</f>
        <v>3</v>
      </c>
      <c r="G320" s="1">
        <f t="shared" si="4"/>
        <v>319</v>
      </c>
    </row>
    <row r="321" spans="1:7" x14ac:dyDescent="0.25">
      <c r="A321" s="1" t="s">
        <v>421</v>
      </c>
      <c r="B321" s="1" t="s">
        <v>8</v>
      </c>
      <c r="C321" s="2">
        <v>30418</v>
      </c>
      <c r="D321" s="1" t="s">
        <v>12</v>
      </c>
      <c r="E321" s="1">
        <f>2016-YEAR(ubezpieczenia57[[#This Row],[Data_urodz]])</f>
        <v>33</v>
      </c>
      <c r="F321" s="1">
        <f>ROUNDDOWN(ubezpieczenia57[[#This Row],[wiek]]/10,0)</f>
        <v>3</v>
      </c>
      <c r="G321" s="1">
        <f t="shared" si="4"/>
        <v>320</v>
      </c>
    </row>
    <row r="322" spans="1:7" x14ac:dyDescent="0.25">
      <c r="A322" s="1" t="s">
        <v>110</v>
      </c>
      <c r="B322" s="1" t="s">
        <v>368</v>
      </c>
      <c r="C322" s="2">
        <v>33971</v>
      </c>
      <c r="D322" s="1" t="s">
        <v>12</v>
      </c>
      <c r="E322" s="1">
        <f>2016-YEAR(ubezpieczenia57[[#This Row],[Data_urodz]])</f>
        <v>23</v>
      </c>
      <c r="F322" s="1">
        <f>ROUNDDOWN(ubezpieczenia57[[#This Row],[wiek]]/10,0)</f>
        <v>2</v>
      </c>
      <c r="G322" s="1">
        <f t="shared" si="4"/>
        <v>321</v>
      </c>
    </row>
    <row r="323" spans="1:7" x14ac:dyDescent="0.25">
      <c r="A323" s="1" t="s">
        <v>422</v>
      </c>
      <c r="B323" s="1" t="s">
        <v>52</v>
      </c>
      <c r="C323" s="2">
        <v>26974</v>
      </c>
      <c r="D323" s="1" t="s">
        <v>12</v>
      </c>
      <c r="E323" s="1">
        <f>2016-YEAR(ubezpieczenia57[[#This Row],[Data_urodz]])</f>
        <v>43</v>
      </c>
      <c r="F323" s="1">
        <f>ROUNDDOWN(ubezpieczenia57[[#This Row],[wiek]]/10,0)</f>
        <v>4</v>
      </c>
      <c r="G323" s="1">
        <f t="shared" si="4"/>
        <v>322</v>
      </c>
    </row>
    <row r="324" spans="1:7" x14ac:dyDescent="0.25">
      <c r="A324" s="1" t="s">
        <v>423</v>
      </c>
      <c r="B324" s="1" t="s">
        <v>47</v>
      </c>
      <c r="C324" s="2">
        <v>21339</v>
      </c>
      <c r="D324" s="1" t="s">
        <v>12</v>
      </c>
      <c r="E324" s="1">
        <f>2016-YEAR(ubezpieczenia57[[#This Row],[Data_urodz]])</f>
        <v>58</v>
      </c>
      <c r="F324" s="1">
        <f>ROUNDDOWN(ubezpieczenia57[[#This Row],[wiek]]/10,0)</f>
        <v>5</v>
      </c>
      <c r="G324" s="1">
        <f t="shared" ref="G324:G332" si="5">G323+1</f>
        <v>323</v>
      </c>
    </row>
    <row r="325" spans="1:7" x14ac:dyDescent="0.25">
      <c r="A325" s="1" t="s">
        <v>424</v>
      </c>
      <c r="B325" s="1" t="s">
        <v>90</v>
      </c>
      <c r="C325" s="2">
        <v>25150</v>
      </c>
      <c r="D325" s="1" t="s">
        <v>6</v>
      </c>
      <c r="E325" s="1">
        <f>2016-YEAR(ubezpieczenia57[[#This Row],[Data_urodz]])</f>
        <v>48</v>
      </c>
      <c r="F325" s="1">
        <f>ROUNDDOWN(ubezpieczenia57[[#This Row],[wiek]]/10,0)</f>
        <v>4</v>
      </c>
      <c r="G325" s="1">
        <f t="shared" si="5"/>
        <v>324</v>
      </c>
    </row>
    <row r="326" spans="1:7" x14ac:dyDescent="0.25">
      <c r="A326" s="1" t="s">
        <v>425</v>
      </c>
      <c r="B326" s="1" t="s">
        <v>8</v>
      </c>
      <c r="C326" s="2">
        <v>20340</v>
      </c>
      <c r="D326" s="1" t="s">
        <v>12</v>
      </c>
      <c r="E326" s="1">
        <f>2016-YEAR(ubezpieczenia57[[#This Row],[Data_urodz]])</f>
        <v>61</v>
      </c>
      <c r="F326" s="1">
        <f>ROUNDDOWN(ubezpieczenia57[[#This Row],[wiek]]/10,0)</f>
        <v>6</v>
      </c>
      <c r="G326" s="1">
        <f t="shared" si="5"/>
        <v>325</v>
      </c>
    </row>
    <row r="327" spans="1:7" x14ac:dyDescent="0.25">
      <c r="A327" s="1" t="s">
        <v>426</v>
      </c>
      <c r="B327" s="1" t="s">
        <v>131</v>
      </c>
      <c r="C327" s="2">
        <v>16045</v>
      </c>
      <c r="D327" s="1" t="s">
        <v>6</v>
      </c>
      <c r="E327" s="1">
        <f>2016-YEAR(ubezpieczenia57[[#This Row],[Data_urodz]])</f>
        <v>73</v>
      </c>
      <c r="F327" s="1">
        <f>ROUNDDOWN(ubezpieczenia57[[#This Row],[wiek]]/10,0)</f>
        <v>7</v>
      </c>
      <c r="G327" s="1">
        <f t="shared" si="5"/>
        <v>326</v>
      </c>
    </row>
    <row r="328" spans="1:7" x14ac:dyDescent="0.25">
      <c r="A328" s="1" t="s">
        <v>427</v>
      </c>
      <c r="B328" s="1" t="s">
        <v>37</v>
      </c>
      <c r="C328" s="2">
        <v>18568</v>
      </c>
      <c r="D328" s="1" t="s">
        <v>12</v>
      </c>
      <c r="E328" s="1">
        <f>2016-YEAR(ubezpieczenia57[[#This Row],[Data_urodz]])</f>
        <v>66</v>
      </c>
      <c r="F328" s="1">
        <f>ROUNDDOWN(ubezpieczenia57[[#This Row],[wiek]]/10,0)</f>
        <v>6</v>
      </c>
      <c r="G328" s="1">
        <f t="shared" si="5"/>
        <v>327</v>
      </c>
    </row>
    <row r="329" spans="1:7" x14ac:dyDescent="0.25">
      <c r="A329" s="1" t="s">
        <v>311</v>
      </c>
      <c r="B329" s="1" t="s">
        <v>199</v>
      </c>
      <c r="C329" s="2">
        <v>33976</v>
      </c>
      <c r="D329" s="1" t="s">
        <v>12</v>
      </c>
      <c r="E329" s="1">
        <f>2016-YEAR(ubezpieczenia57[[#This Row],[Data_urodz]])</f>
        <v>23</v>
      </c>
      <c r="F329" s="1">
        <f>ROUNDDOWN(ubezpieczenia57[[#This Row],[wiek]]/10,0)</f>
        <v>2</v>
      </c>
      <c r="G329" s="1">
        <f t="shared" si="5"/>
        <v>328</v>
      </c>
    </row>
    <row r="330" spans="1:7" x14ac:dyDescent="0.25">
      <c r="A330" s="1" t="s">
        <v>428</v>
      </c>
      <c r="B330" s="1" t="s">
        <v>429</v>
      </c>
      <c r="C330" s="2">
        <v>30720</v>
      </c>
      <c r="D330" s="1" t="s">
        <v>12</v>
      </c>
      <c r="E330" s="1">
        <f>2016-YEAR(ubezpieczenia57[[#This Row],[Data_urodz]])</f>
        <v>32</v>
      </c>
      <c r="F330" s="1">
        <f>ROUNDDOWN(ubezpieczenia57[[#This Row],[wiek]]/10,0)</f>
        <v>3</v>
      </c>
      <c r="G330" s="1">
        <f t="shared" si="5"/>
        <v>329</v>
      </c>
    </row>
    <row r="331" spans="1:7" x14ac:dyDescent="0.25">
      <c r="A331" s="1" t="s">
        <v>430</v>
      </c>
      <c r="B331" s="1" t="s">
        <v>141</v>
      </c>
      <c r="C331" s="2">
        <v>22604</v>
      </c>
      <c r="D331" s="1" t="s">
        <v>9</v>
      </c>
      <c r="E331" s="1">
        <f>2016-YEAR(ubezpieczenia57[[#This Row],[Data_urodz]])</f>
        <v>55</v>
      </c>
      <c r="F331" s="1">
        <f>ROUNDDOWN(ubezpieczenia57[[#This Row],[wiek]]/10,0)</f>
        <v>5</v>
      </c>
      <c r="G331" s="1">
        <f t="shared" si="5"/>
        <v>330</v>
      </c>
    </row>
    <row r="332" spans="1:7" x14ac:dyDescent="0.25">
      <c r="A332" s="1" t="s">
        <v>431</v>
      </c>
      <c r="B332" s="1" t="s">
        <v>368</v>
      </c>
      <c r="C332" s="2">
        <v>19123</v>
      </c>
      <c r="D332" s="1" t="s">
        <v>12</v>
      </c>
      <c r="E332" s="1">
        <f>2016-YEAR(ubezpieczenia57[[#This Row],[Data_urodz]])</f>
        <v>64</v>
      </c>
      <c r="F332" s="1">
        <f>ROUNDDOWN(ubezpieczenia57[[#This Row],[wiek]]/10,0)</f>
        <v>6</v>
      </c>
      <c r="G332" s="1">
        <f t="shared" si="5"/>
        <v>331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2AFB-C290-49E4-A06B-0B356F3F7AC7}">
  <dimension ref="A1:L332"/>
  <sheetViews>
    <sheetView zoomScale="115" zoomScaleNormal="115" workbookViewId="0">
      <selection activeCell="K15" sqref="K15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3.28515625" bestFit="1" customWidth="1"/>
    <col min="4" max="4" width="23.28515625" bestFit="1" customWidth="1"/>
    <col min="6" max="6" width="11.140625" style="1" bestFit="1" customWidth="1"/>
    <col min="11" max="11" width="17.7109375" bestFit="1" customWidth="1"/>
    <col min="12" max="12" width="1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438</v>
      </c>
      <c r="F1" s="1" t="s">
        <v>441</v>
      </c>
      <c r="G1" t="s">
        <v>444</v>
      </c>
      <c r="K1" t="s">
        <v>442</v>
      </c>
      <c r="L1" t="s">
        <v>443</v>
      </c>
    </row>
    <row r="2" spans="1:12" x14ac:dyDescent="0.25">
      <c r="A2" s="1" t="s">
        <v>4</v>
      </c>
      <c r="B2" s="1" t="s">
        <v>5</v>
      </c>
      <c r="C2" s="2">
        <v>22190</v>
      </c>
      <c r="D2" s="1" t="s">
        <v>6</v>
      </c>
      <c r="E2" s="1">
        <f>IF(RIGHT(ubezpieczenia5[[#This Row],[Imie]],1)="a",1,0)</f>
        <v>1</v>
      </c>
      <c r="F2" s="1">
        <f>2016-YEAR(ubezpieczenia5[[#This Row],[Data_urodz]])</f>
        <v>56</v>
      </c>
      <c r="G2" s="1" cm="1">
        <f t="array" ref="G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  <c r="K2">
        <v>1</v>
      </c>
      <c r="L2">
        <v>25000</v>
      </c>
    </row>
    <row r="3" spans="1:12" x14ac:dyDescent="0.25">
      <c r="A3" s="1" t="s">
        <v>7</v>
      </c>
      <c r="B3" s="1" t="s">
        <v>8</v>
      </c>
      <c r="C3" s="2">
        <v>30952</v>
      </c>
      <c r="D3" s="1" t="s">
        <v>9</v>
      </c>
      <c r="E3" s="1">
        <f>IF(RIGHT(ubezpieczenia5[[#This Row],[Imie]],1)="a",1,0)</f>
        <v>0</v>
      </c>
      <c r="F3" s="1">
        <f>2016-YEAR(ubezpieczenia5[[#This Row],[Data_urodz]])</f>
        <v>32</v>
      </c>
      <c r="G3" s="1" cm="1">
        <f t="array" ref="G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  <c r="K3">
        <v>0</v>
      </c>
      <c r="L3">
        <v>30000</v>
      </c>
    </row>
    <row r="4" spans="1:12" x14ac:dyDescent="0.25">
      <c r="A4" s="1" t="s">
        <v>10</v>
      </c>
      <c r="B4" s="1" t="s">
        <v>11</v>
      </c>
      <c r="C4" s="2">
        <v>24753</v>
      </c>
      <c r="D4" s="1" t="s">
        <v>12</v>
      </c>
      <c r="E4" s="1">
        <f>IF(RIGHT(ubezpieczenia5[[#This Row],[Imie]],1)="a",1,0)</f>
        <v>1</v>
      </c>
      <c r="F4" s="1">
        <f>2016-YEAR(ubezpieczenia5[[#This Row],[Data_urodz]])</f>
        <v>49</v>
      </c>
      <c r="G4" s="1" cm="1">
        <f t="array" ref="G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5" spans="1:12" x14ac:dyDescent="0.25">
      <c r="A5" s="1" t="s">
        <v>13</v>
      </c>
      <c r="B5" s="1" t="s">
        <v>14</v>
      </c>
      <c r="C5" s="2">
        <v>31544</v>
      </c>
      <c r="D5" s="1" t="s">
        <v>9</v>
      </c>
      <c r="E5" s="1">
        <f>IF(RIGHT(ubezpieczenia5[[#This Row],[Imie]],1)="a",1,0)</f>
        <v>0</v>
      </c>
      <c r="F5" s="1">
        <f>2016-YEAR(ubezpieczenia5[[#This Row],[Data_urodz]])</f>
        <v>30</v>
      </c>
      <c r="G5" s="1" cm="1">
        <f t="array" ref="G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6" spans="1:12" x14ac:dyDescent="0.25">
      <c r="A6" s="1" t="s">
        <v>15</v>
      </c>
      <c r="B6" s="1" t="s">
        <v>16</v>
      </c>
      <c r="C6" s="2">
        <v>22780</v>
      </c>
      <c r="D6" s="1" t="s">
        <v>9</v>
      </c>
      <c r="E6" s="1">
        <f>IF(RIGHT(ubezpieczenia5[[#This Row],[Imie]],1)="a",1,0)</f>
        <v>1</v>
      </c>
      <c r="F6" s="1">
        <f>2016-YEAR(ubezpieczenia5[[#This Row],[Data_urodz]])</f>
        <v>54</v>
      </c>
      <c r="G6" s="1" cm="1">
        <f t="array" ref="G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7" spans="1:12" x14ac:dyDescent="0.25">
      <c r="A7" s="1" t="s">
        <v>17</v>
      </c>
      <c r="B7" s="1" t="s">
        <v>18</v>
      </c>
      <c r="C7" s="2">
        <v>31694</v>
      </c>
      <c r="D7" s="1" t="s">
        <v>12</v>
      </c>
      <c r="E7" s="1">
        <f>IF(RIGHT(ubezpieczenia5[[#This Row],[Imie]],1)="a",1,0)</f>
        <v>0</v>
      </c>
      <c r="F7" s="1">
        <f>2016-YEAR(ubezpieczenia5[[#This Row],[Data_urodz]])</f>
        <v>30</v>
      </c>
      <c r="G7" s="1" cm="1">
        <f t="array" ref="G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  <c r="K7" s="3" t="s">
        <v>434</v>
      </c>
      <c r="L7" t="s">
        <v>445</v>
      </c>
    </row>
    <row r="8" spans="1:12" x14ac:dyDescent="0.25">
      <c r="A8" s="1" t="s">
        <v>19</v>
      </c>
      <c r="B8" s="1" t="s">
        <v>20</v>
      </c>
      <c r="C8" s="2">
        <v>33569</v>
      </c>
      <c r="D8" s="1" t="s">
        <v>6</v>
      </c>
      <c r="E8" s="1">
        <f>IF(RIGHT(ubezpieczenia5[[#This Row],[Imie]],1)="a",1,0)</f>
        <v>1</v>
      </c>
      <c r="F8" s="1">
        <f>2016-YEAR(ubezpieczenia5[[#This Row],[Data_urodz]])</f>
        <v>25</v>
      </c>
      <c r="G8" s="1" cm="1">
        <f t="array" ref="G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  <c r="K8" s="4">
        <v>0</v>
      </c>
      <c r="L8" s="1">
        <v>6261</v>
      </c>
    </row>
    <row r="9" spans="1:12" x14ac:dyDescent="0.25">
      <c r="A9" s="1" t="s">
        <v>21</v>
      </c>
      <c r="B9" s="1" t="s">
        <v>22</v>
      </c>
      <c r="C9" s="2">
        <v>30372</v>
      </c>
      <c r="D9" s="1" t="s">
        <v>6</v>
      </c>
      <c r="E9" s="1">
        <f>IF(RIGHT(ubezpieczenia5[[#This Row],[Imie]],1)="a",1,0)</f>
        <v>1</v>
      </c>
      <c r="F9" s="1">
        <f>2016-YEAR(ubezpieczenia5[[#This Row],[Data_urodz]])</f>
        <v>33</v>
      </c>
      <c r="G9" s="1" cm="1">
        <f t="array" ref="G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  <c r="K9" s="4">
        <v>1</v>
      </c>
      <c r="L9" s="1">
        <v>8961.5</v>
      </c>
    </row>
    <row r="10" spans="1:12" x14ac:dyDescent="0.25">
      <c r="A10" s="1" t="s">
        <v>23</v>
      </c>
      <c r="B10" s="1" t="s">
        <v>8</v>
      </c>
      <c r="C10" s="2">
        <v>33568</v>
      </c>
      <c r="D10" s="1" t="s">
        <v>6</v>
      </c>
      <c r="E10" s="1">
        <f>IF(RIGHT(ubezpieczenia5[[#This Row],[Imie]],1)="a",1,0)</f>
        <v>0</v>
      </c>
      <c r="F10" s="1">
        <f>2016-YEAR(ubezpieczenia5[[#This Row],[Data_urodz]])</f>
        <v>25</v>
      </c>
      <c r="G10" s="1" cm="1">
        <f t="array" ref="G1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  <c r="K10" s="4" t="s">
        <v>435</v>
      </c>
      <c r="L10" s="1">
        <v>15222.5</v>
      </c>
    </row>
    <row r="11" spans="1:12" x14ac:dyDescent="0.25">
      <c r="A11" s="1" t="s">
        <v>24</v>
      </c>
      <c r="B11" s="1" t="s">
        <v>25</v>
      </c>
      <c r="C11" s="2">
        <v>31111</v>
      </c>
      <c r="D11" s="1" t="s">
        <v>6</v>
      </c>
      <c r="E11" s="1">
        <f>IF(RIGHT(ubezpieczenia5[[#This Row],[Imie]],1)="a",1,0)</f>
        <v>1</v>
      </c>
      <c r="F11" s="1">
        <f>2016-YEAR(ubezpieczenia5[[#This Row],[Data_urodz]])</f>
        <v>31</v>
      </c>
      <c r="G11" s="1" cm="1">
        <f t="array" ref="G1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2" spans="1:12" x14ac:dyDescent="0.25">
      <c r="A12" s="1" t="s">
        <v>26</v>
      </c>
      <c r="B12" s="1" t="s">
        <v>27</v>
      </c>
      <c r="C12" s="2">
        <v>17347</v>
      </c>
      <c r="D12" s="1" t="s">
        <v>6</v>
      </c>
      <c r="E12" s="1">
        <f>IF(RIGHT(ubezpieczenia5[[#This Row],[Imie]],1)="a",1,0)</f>
        <v>0</v>
      </c>
      <c r="F12" s="1">
        <f>2016-YEAR(ubezpieczenia5[[#This Row],[Data_urodz]])</f>
        <v>69</v>
      </c>
      <c r="G12" s="1" cm="1">
        <f t="array" ref="G1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  <c r="K12" s="5" t="s">
        <v>446</v>
      </c>
      <c r="L12" s="8">
        <f>ROUND(GETPIVOTDATA("składka_mies",$K$7,"czy_kobieta",0),2)</f>
        <v>6261</v>
      </c>
    </row>
    <row r="13" spans="1:12" x14ac:dyDescent="0.25">
      <c r="A13" s="1" t="s">
        <v>28</v>
      </c>
      <c r="B13" s="1" t="s">
        <v>29</v>
      </c>
      <c r="C13" s="2">
        <v>33321</v>
      </c>
      <c r="D13" s="1" t="s">
        <v>12</v>
      </c>
      <c r="E13" s="1">
        <f>IF(RIGHT(ubezpieczenia5[[#This Row],[Imie]],1)="a",1,0)</f>
        <v>0</v>
      </c>
      <c r="F13" s="1">
        <f>2016-YEAR(ubezpieczenia5[[#This Row],[Data_urodz]])</f>
        <v>25</v>
      </c>
      <c r="G13" s="1" cm="1">
        <f t="array" ref="G1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  <c r="K13" s="5" t="s">
        <v>447</v>
      </c>
      <c r="L13" s="8">
        <f>ROUND(GETPIVOTDATA("składka_mies",$K$7,"czy_kobieta",1),2)</f>
        <v>8961.5</v>
      </c>
    </row>
    <row r="14" spans="1:12" x14ac:dyDescent="0.25">
      <c r="A14" s="1" t="s">
        <v>30</v>
      </c>
      <c r="B14" s="1" t="s">
        <v>8</v>
      </c>
      <c r="C14" s="2">
        <v>26093</v>
      </c>
      <c r="D14" s="1" t="s">
        <v>12</v>
      </c>
      <c r="E14" s="1">
        <f>IF(RIGHT(ubezpieczenia5[[#This Row],[Imie]],1)="a",1,0)</f>
        <v>0</v>
      </c>
      <c r="F14" s="1">
        <f>2016-YEAR(ubezpieczenia5[[#This Row],[Data_urodz]])</f>
        <v>45</v>
      </c>
      <c r="G14" s="1" cm="1">
        <f t="array" ref="G1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5" spans="1:12" x14ac:dyDescent="0.25">
      <c r="A15" s="1" t="s">
        <v>31</v>
      </c>
      <c r="B15" s="1" t="s">
        <v>32</v>
      </c>
      <c r="C15" s="2">
        <v>17144</v>
      </c>
      <c r="D15" s="1" t="s">
        <v>12</v>
      </c>
      <c r="E15" s="1">
        <f>IF(RIGHT(ubezpieczenia5[[#This Row],[Imie]],1)="a",1,0)</f>
        <v>0</v>
      </c>
      <c r="F15" s="1">
        <f>2016-YEAR(ubezpieczenia5[[#This Row],[Data_urodz]])</f>
        <v>70</v>
      </c>
      <c r="G15" s="1" cm="1">
        <f t="array" ref="G1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6" spans="1:12" x14ac:dyDescent="0.25">
      <c r="A16" s="1" t="s">
        <v>33</v>
      </c>
      <c r="B16" s="1" t="s">
        <v>34</v>
      </c>
      <c r="C16" s="2">
        <v>26019</v>
      </c>
      <c r="D16" s="1" t="s">
        <v>12</v>
      </c>
      <c r="E16" s="1">
        <f>IF(RIGHT(ubezpieczenia5[[#This Row],[Imie]],1)="a",1,0)</f>
        <v>0</v>
      </c>
      <c r="F16" s="1">
        <f>2016-YEAR(ubezpieczenia5[[#This Row],[Data_urodz]])</f>
        <v>45</v>
      </c>
      <c r="G16" s="1" cm="1">
        <f t="array" ref="G1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7" spans="1:7" x14ac:dyDescent="0.25">
      <c r="A17" s="1" t="s">
        <v>35</v>
      </c>
      <c r="B17" s="1" t="s">
        <v>27</v>
      </c>
      <c r="C17" s="2">
        <v>30193</v>
      </c>
      <c r="D17" s="1" t="s">
        <v>6</v>
      </c>
      <c r="E17" s="1">
        <f>IF(RIGHT(ubezpieczenia5[[#This Row],[Imie]],1)="a",1,0)</f>
        <v>0</v>
      </c>
      <c r="F17" s="1">
        <f>2016-YEAR(ubezpieczenia5[[#This Row],[Data_urodz]])</f>
        <v>34</v>
      </c>
      <c r="G17" s="1" cm="1">
        <f t="array" ref="G1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8" spans="1:7" x14ac:dyDescent="0.25">
      <c r="A18" s="1" t="s">
        <v>36</v>
      </c>
      <c r="B18" s="1" t="s">
        <v>37</v>
      </c>
      <c r="C18" s="2">
        <v>29668</v>
      </c>
      <c r="D18" s="1" t="s">
        <v>9</v>
      </c>
      <c r="E18" s="1">
        <f>IF(RIGHT(ubezpieczenia5[[#This Row],[Imie]],1)="a",1,0)</f>
        <v>1</v>
      </c>
      <c r="F18" s="1">
        <f>2016-YEAR(ubezpieczenia5[[#This Row],[Data_urodz]])</f>
        <v>35</v>
      </c>
      <c r="G18" s="1" cm="1">
        <f t="array" ref="G1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9" spans="1:7" x14ac:dyDescent="0.25">
      <c r="A19" s="1" t="s">
        <v>38</v>
      </c>
      <c r="B19" s="1" t="s">
        <v>39</v>
      </c>
      <c r="C19" s="2">
        <v>34945</v>
      </c>
      <c r="D19" s="1" t="s">
        <v>40</v>
      </c>
      <c r="E19" s="1">
        <f>IF(RIGHT(ubezpieczenia5[[#This Row],[Imie]],1)="a",1,0)</f>
        <v>1</v>
      </c>
      <c r="F19" s="1">
        <f>2016-YEAR(ubezpieczenia5[[#This Row],[Data_urodz]])</f>
        <v>21</v>
      </c>
      <c r="G19" s="1" cm="1">
        <f t="array" ref="G1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0" spans="1:7" x14ac:dyDescent="0.25">
      <c r="A20" s="1" t="s">
        <v>41</v>
      </c>
      <c r="B20" s="1" t="s">
        <v>42</v>
      </c>
      <c r="C20" s="2">
        <v>23309</v>
      </c>
      <c r="D20" s="1" t="s">
        <v>9</v>
      </c>
      <c r="E20" s="1">
        <f>IF(RIGHT(ubezpieczenia5[[#This Row],[Imie]],1)="a",1,0)</f>
        <v>1</v>
      </c>
      <c r="F20" s="1">
        <f>2016-YEAR(ubezpieczenia5[[#This Row],[Data_urodz]])</f>
        <v>53</v>
      </c>
      <c r="G20" s="1" cm="1">
        <f t="array" ref="G2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1" spans="1:7" x14ac:dyDescent="0.25">
      <c r="A21" s="1" t="s">
        <v>43</v>
      </c>
      <c r="B21" s="1" t="s">
        <v>20</v>
      </c>
      <c r="C21" s="2">
        <v>16498</v>
      </c>
      <c r="D21" s="1" t="s">
        <v>6</v>
      </c>
      <c r="E21" s="1">
        <f>IF(RIGHT(ubezpieczenia5[[#This Row],[Imie]],1)="a",1,0)</f>
        <v>1</v>
      </c>
      <c r="F21" s="1">
        <f>2016-YEAR(ubezpieczenia5[[#This Row],[Data_urodz]])</f>
        <v>71</v>
      </c>
      <c r="G21" s="1" cm="1">
        <f t="array" ref="G2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2" spans="1:7" x14ac:dyDescent="0.25">
      <c r="A22" s="1" t="s">
        <v>44</v>
      </c>
      <c r="B22" s="1" t="s">
        <v>45</v>
      </c>
      <c r="C22" s="2">
        <v>19872</v>
      </c>
      <c r="D22" s="1" t="s">
        <v>12</v>
      </c>
      <c r="E22" s="1">
        <f>IF(RIGHT(ubezpieczenia5[[#This Row],[Imie]],1)="a",1,0)</f>
        <v>1</v>
      </c>
      <c r="F22" s="1">
        <f>2016-YEAR(ubezpieczenia5[[#This Row],[Data_urodz]])</f>
        <v>62</v>
      </c>
      <c r="G22" s="1" cm="1">
        <f t="array" ref="G2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3" spans="1:7" x14ac:dyDescent="0.25">
      <c r="A23" s="1" t="s">
        <v>46</v>
      </c>
      <c r="B23" s="1" t="s">
        <v>47</v>
      </c>
      <c r="C23" s="2">
        <v>26018</v>
      </c>
      <c r="D23" s="1" t="s">
        <v>6</v>
      </c>
      <c r="E23" s="1">
        <f>IF(RIGHT(ubezpieczenia5[[#This Row],[Imie]],1)="a",1,0)</f>
        <v>1</v>
      </c>
      <c r="F23" s="1">
        <f>2016-YEAR(ubezpieczenia5[[#This Row],[Data_urodz]])</f>
        <v>45</v>
      </c>
      <c r="G23" s="1" cm="1">
        <f t="array" ref="G2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4" spans="1:7" x14ac:dyDescent="0.25">
      <c r="A24" s="1" t="s">
        <v>48</v>
      </c>
      <c r="B24" s="1" t="s">
        <v>49</v>
      </c>
      <c r="C24" s="2">
        <v>25110</v>
      </c>
      <c r="D24" s="1" t="s">
        <v>40</v>
      </c>
      <c r="E24" s="1">
        <f>IF(RIGHT(ubezpieczenia5[[#This Row],[Imie]],1)="a",1,0)</f>
        <v>0</v>
      </c>
      <c r="F24" s="1">
        <f>2016-YEAR(ubezpieczenia5[[#This Row],[Data_urodz]])</f>
        <v>48</v>
      </c>
      <c r="G24" s="1" cm="1">
        <f t="array" ref="G2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5" spans="1:7" x14ac:dyDescent="0.25">
      <c r="A25" s="1" t="s">
        <v>50</v>
      </c>
      <c r="B25" s="1" t="s">
        <v>29</v>
      </c>
      <c r="C25" s="2">
        <v>33411</v>
      </c>
      <c r="D25" s="1" t="s">
        <v>9</v>
      </c>
      <c r="E25" s="1">
        <f>IF(RIGHT(ubezpieczenia5[[#This Row],[Imie]],1)="a",1,0)</f>
        <v>0</v>
      </c>
      <c r="F25" s="1">
        <f>2016-YEAR(ubezpieczenia5[[#This Row],[Data_urodz]])</f>
        <v>25</v>
      </c>
      <c r="G25" s="1" cm="1">
        <f t="array" ref="G2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6" spans="1:7" x14ac:dyDescent="0.25">
      <c r="A26" s="1" t="s">
        <v>51</v>
      </c>
      <c r="B26" s="1" t="s">
        <v>52</v>
      </c>
      <c r="C26" s="2">
        <v>30969</v>
      </c>
      <c r="D26" s="1" t="s">
        <v>12</v>
      </c>
      <c r="E26" s="1">
        <f>IF(RIGHT(ubezpieczenia5[[#This Row],[Imie]],1)="a",1,0)</f>
        <v>1</v>
      </c>
      <c r="F26" s="1">
        <f>2016-YEAR(ubezpieczenia5[[#This Row],[Data_urodz]])</f>
        <v>32</v>
      </c>
      <c r="G26" s="1" cm="1">
        <f t="array" ref="G2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7" spans="1:7" x14ac:dyDescent="0.25">
      <c r="A27" s="1" t="s">
        <v>53</v>
      </c>
      <c r="B27" s="1" t="s">
        <v>54</v>
      </c>
      <c r="C27" s="2">
        <v>19368</v>
      </c>
      <c r="D27" s="1" t="s">
        <v>12</v>
      </c>
      <c r="E27" s="1">
        <f>IF(RIGHT(ubezpieczenia5[[#This Row],[Imie]],1)="a",1,0)</f>
        <v>1</v>
      </c>
      <c r="F27" s="1">
        <f>2016-YEAR(ubezpieczenia5[[#This Row],[Data_urodz]])</f>
        <v>63</v>
      </c>
      <c r="G27" s="1" cm="1">
        <f t="array" ref="G2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8" spans="1:7" x14ac:dyDescent="0.25">
      <c r="A28" s="1" t="s">
        <v>55</v>
      </c>
      <c r="B28" s="1" t="s">
        <v>56</v>
      </c>
      <c r="C28" s="2">
        <v>23668</v>
      </c>
      <c r="D28" s="1" t="s">
        <v>40</v>
      </c>
      <c r="E28" s="1">
        <f>IF(RIGHT(ubezpieczenia5[[#This Row],[Imie]],1)="a",1,0)</f>
        <v>1</v>
      </c>
      <c r="F28" s="1">
        <f>2016-YEAR(ubezpieczenia5[[#This Row],[Data_urodz]])</f>
        <v>52</v>
      </c>
      <c r="G28" s="1" cm="1">
        <f t="array" ref="G2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9" spans="1:7" x14ac:dyDescent="0.25">
      <c r="A29" s="1" t="s">
        <v>57</v>
      </c>
      <c r="B29" s="1" t="s">
        <v>58</v>
      </c>
      <c r="C29" s="2">
        <v>19851</v>
      </c>
      <c r="D29" s="1" t="s">
        <v>12</v>
      </c>
      <c r="E29" s="1">
        <f>IF(RIGHT(ubezpieczenia5[[#This Row],[Imie]],1)="a",1,0)</f>
        <v>0</v>
      </c>
      <c r="F29" s="1">
        <f>2016-YEAR(ubezpieczenia5[[#This Row],[Data_urodz]])</f>
        <v>62</v>
      </c>
      <c r="G29" s="1" cm="1">
        <f t="array" ref="G2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30" spans="1:7" x14ac:dyDescent="0.25">
      <c r="A30" s="1" t="s">
        <v>59</v>
      </c>
      <c r="B30" s="1" t="s">
        <v>18</v>
      </c>
      <c r="C30" s="2">
        <v>17896</v>
      </c>
      <c r="D30" s="1" t="s">
        <v>9</v>
      </c>
      <c r="E30" s="1">
        <f>IF(RIGHT(ubezpieczenia5[[#This Row],[Imie]],1)="a",1,0)</f>
        <v>0</v>
      </c>
      <c r="F30" s="1">
        <f>2016-YEAR(ubezpieczenia5[[#This Row],[Data_urodz]])</f>
        <v>68</v>
      </c>
      <c r="G30" s="1" cm="1">
        <f t="array" ref="G3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31" spans="1:7" x14ac:dyDescent="0.25">
      <c r="A31" s="1" t="s">
        <v>60</v>
      </c>
      <c r="B31" s="1" t="s">
        <v>11</v>
      </c>
      <c r="C31" s="2">
        <v>25045</v>
      </c>
      <c r="D31" s="1" t="s">
        <v>12</v>
      </c>
      <c r="E31" s="1">
        <f>IF(RIGHT(ubezpieczenia5[[#This Row],[Imie]],1)="a",1,0)</f>
        <v>1</v>
      </c>
      <c r="F31" s="1">
        <f>2016-YEAR(ubezpieczenia5[[#This Row],[Data_urodz]])</f>
        <v>48</v>
      </c>
      <c r="G31" s="1" cm="1">
        <f t="array" ref="G3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2" spans="1:7" x14ac:dyDescent="0.25">
      <c r="A32" s="1" t="s">
        <v>61</v>
      </c>
      <c r="B32" s="1" t="s">
        <v>20</v>
      </c>
      <c r="C32" s="2">
        <v>18367</v>
      </c>
      <c r="D32" s="1" t="s">
        <v>12</v>
      </c>
      <c r="E32" s="1">
        <f>IF(RIGHT(ubezpieczenia5[[#This Row],[Imie]],1)="a",1,0)</f>
        <v>1</v>
      </c>
      <c r="F32" s="1">
        <f>2016-YEAR(ubezpieczenia5[[#This Row],[Data_urodz]])</f>
        <v>66</v>
      </c>
      <c r="G32" s="1" cm="1">
        <f t="array" ref="G3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33" spans="1:7" x14ac:dyDescent="0.25">
      <c r="A33" s="1" t="s">
        <v>62</v>
      </c>
      <c r="B33" s="1" t="s">
        <v>20</v>
      </c>
      <c r="C33" s="2">
        <v>21630</v>
      </c>
      <c r="D33" s="1" t="s">
        <v>6</v>
      </c>
      <c r="E33" s="1">
        <f>IF(RIGHT(ubezpieczenia5[[#This Row],[Imie]],1)="a",1,0)</f>
        <v>1</v>
      </c>
      <c r="F33" s="1">
        <f>2016-YEAR(ubezpieczenia5[[#This Row],[Data_urodz]])</f>
        <v>57</v>
      </c>
      <c r="G33" s="1" cm="1">
        <f t="array" ref="G3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4" spans="1:7" x14ac:dyDescent="0.25">
      <c r="A34" s="1" t="s">
        <v>63</v>
      </c>
      <c r="B34" s="1" t="s">
        <v>64</v>
      </c>
      <c r="C34" s="2">
        <v>16075</v>
      </c>
      <c r="D34" s="1" t="s">
        <v>40</v>
      </c>
      <c r="E34" s="1">
        <f>IF(RIGHT(ubezpieczenia5[[#This Row],[Imie]],1)="a",1,0)</f>
        <v>1</v>
      </c>
      <c r="F34" s="1">
        <f>2016-YEAR(ubezpieczenia5[[#This Row],[Data_urodz]])</f>
        <v>72</v>
      </c>
      <c r="G34" s="1" cm="1">
        <f t="array" ref="G3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35" spans="1:7" x14ac:dyDescent="0.25">
      <c r="A35" s="1" t="s">
        <v>65</v>
      </c>
      <c r="B35" s="1" t="s">
        <v>20</v>
      </c>
      <c r="C35" s="2">
        <v>30640</v>
      </c>
      <c r="D35" s="1" t="s">
        <v>6</v>
      </c>
      <c r="E35" s="1">
        <f>IF(RIGHT(ubezpieczenia5[[#This Row],[Imie]],1)="a",1,0)</f>
        <v>1</v>
      </c>
      <c r="F35" s="1">
        <f>2016-YEAR(ubezpieczenia5[[#This Row],[Data_urodz]])</f>
        <v>33</v>
      </c>
      <c r="G35" s="1" cm="1">
        <f t="array" ref="G3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6" spans="1:7" x14ac:dyDescent="0.25">
      <c r="A36" s="1" t="s">
        <v>66</v>
      </c>
      <c r="B36" s="1" t="s">
        <v>67</v>
      </c>
      <c r="C36" s="2">
        <v>21633</v>
      </c>
      <c r="D36" s="1" t="s">
        <v>12</v>
      </c>
      <c r="E36" s="1">
        <f>IF(RIGHT(ubezpieczenia5[[#This Row],[Imie]],1)="a",1,0)</f>
        <v>0</v>
      </c>
      <c r="F36" s="1">
        <f>2016-YEAR(ubezpieczenia5[[#This Row],[Data_urodz]])</f>
        <v>57</v>
      </c>
      <c r="G36" s="1" cm="1">
        <f t="array" ref="G3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7" spans="1:7" x14ac:dyDescent="0.25">
      <c r="A37" s="1" t="s">
        <v>68</v>
      </c>
      <c r="B37" s="1" t="s">
        <v>69</v>
      </c>
      <c r="C37" s="2">
        <v>22843</v>
      </c>
      <c r="D37" s="1" t="s">
        <v>6</v>
      </c>
      <c r="E37" s="1">
        <f>IF(RIGHT(ubezpieczenia5[[#This Row],[Imie]],1)="a",1,0)</f>
        <v>0</v>
      </c>
      <c r="F37" s="1">
        <f>2016-YEAR(ubezpieczenia5[[#This Row],[Data_urodz]])</f>
        <v>54</v>
      </c>
      <c r="G37" s="1" cm="1">
        <f t="array" ref="G3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8" spans="1:7" x14ac:dyDescent="0.25">
      <c r="A38" s="1" t="s">
        <v>70</v>
      </c>
      <c r="B38" s="1" t="s">
        <v>39</v>
      </c>
      <c r="C38" s="2">
        <v>22944</v>
      </c>
      <c r="D38" s="1" t="s">
        <v>12</v>
      </c>
      <c r="E38" s="1">
        <f>IF(RIGHT(ubezpieczenia5[[#This Row],[Imie]],1)="a",1,0)</f>
        <v>1</v>
      </c>
      <c r="F38" s="1">
        <f>2016-YEAR(ubezpieczenia5[[#This Row],[Data_urodz]])</f>
        <v>54</v>
      </c>
      <c r="G38" s="1" cm="1">
        <f t="array" ref="G3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9" spans="1:7" x14ac:dyDescent="0.25">
      <c r="A39" s="1" t="s">
        <v>71</v>
      </c>
      <c r="B39" s="1" t="s">
        <v>72</v>
      </c>
      <c r="C39" s="2">
        <v>28856</v>
      </c>
      <c r="D39" s="1" t="s">
        <v>6</v>
      </c>
      <c r="E39" s="1">
        <f>IF(RIGHT(ubezpieczenia5[[#This Row],[Imie]],1)="a",1,0)</f>
        <v>0</v>
      </c>
      <c r="F39" s="1">
        <f>2016-YEAR(ubezpieczenia5[[#This Row],[Data_urodz]])</f>
        <v>37</v>
      </c>
      <c r="G39" s="1" cm="1">
        <f t="array" ref="G3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40" spans="1:7" x14ac:dyDescent="0.25">
      <c r="A40" s="1" t="s">
        <v>73</v>
      </c>
      <c r="B40" s="1" t="s">
        <v>74</v>
      </c>
      <c r="C40" s="2">
        <v>27510</v>
      </c>
      <c r="D40" s="1" t="s">
        <v>9</v>
      </c>
      <c r="E40" s="1">
        <f>IF(RIGHT(ubezpieczenia5[[#This Row],[Imie]],1)="a",1,0)</f>
        <v>1</v>
      </c>
      <c r="F40" s="1">
        <f>2016-YEAR(ubezpieczenia5[[#This Row],[Data_urodz]])</f>
        <v>41</v>
      </c>
      <c r="G40" s="1" cm="1">
        <f t="array" ref="G4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41" spans="1:7" x14ac:dyDescent="0.25">
      <c r="A41" s="1" t="s">
        <v>75</v>
      </c>
      <c r="B41" s="1" t="s">
        <v>52</v>
      </c>
      <c r="C41" s="2">
        <v>24744</v>
      </c>
      <c r="D41" s="1" t="s">
        <v>12</v>
      </c>
      <c r="E41" s="1">
        <f>IF(RIGHT(ubezpieczenia5[[#This Row],[Imie]],1)="a",1,0)</f>
        <v>1</v>
      </c>
      <c r="F41" s="1">
        <f>2016-YEAR(ubezpieczenia5[[#This Row],[Data_urodz]])</f>
        <v>49</v>
      </c>
      <c r="G41" s="1" cm="1">
        <f t="array" ref="G4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42" spans="1:7" x14ac:dyDescent="0.25">
      <c r="A42" s="1" t="s">
        <v>76</v>
      </c>
      <c r="B42" s="1" t="s">
        <v>77</v>
      </c>
      <c r="C42" s="2">
        <v>26703</v>
      </c>
      <c r="D42" s="1" t="s">
        <v>40</v>
      </c>
      <c r="E42" s="1">
        <f>IF(RIGHT(ubezpieczenia5[[#This Row],[Imie]],1)="a",1,0)</f>
        <v>0</v>
      </c>
      <c r="F42" s="1">
        <f>2016-YEAR(ubezpieczenia5[[#This Row],[Data_urodz]])</f>
        <v>43</v>
      </c>
      <c r="G42" s="1" cm="1">
        <f t="array" ref="G4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43" spans="1:7" x14ac:dyDescent="0.25">
      <c r="A43" s="1" t="s">
        <v>78</v>
      </c>
      <c r="B43" s="1" t="s">
        <v>79</v>
      </c>
      <c r="C43" s="2">
        <v>18847</v>
      </c>
      <c r="D43" s="1" t="s">
        <v>6</v>
      </c>
      <c r="E43" s="1">
        <f>IF(RIGHT(ubezpieczenia5[[#This Row],[Imie]],1)="a",1,0)</f>
        <v>1</v>
      </c>
      <c r="F43" s="1">
        <f>2016-YEAR(ubezpieczenia5[[#This Row],[Data_urodz]])</f>
        <v>65</v>
      </c>
      <c r="G43" s="1" cm="1">
        <f t="array" ref="G4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44" spans="1:7" x14ac:dyDescent="0.25">
      <c r="A44" s="1" t="s">
        <v>80</v>
      </c>
      <c r="B44" s="1" t="s">
        <v>81</v>
      </c>
      <c r="C44" s="2">
        <v>33899</v>
      </c>
      <c r="D44" s="1" t="s">
        <v>12</v>
      </c>
      <c r="E44" s="1">
        <f>IF(RIGHT(ubezpieczenia5[[#This Row],[Imie]],1)="a",1,0)</f>
        <v>1</v>
      </c>
      <c r="F44" s="1">
        <f>2016-YEAR(ubezpieczenia5[[#This Row],[Data_urodz]])</f>
        <v>24</v>
      </c>
      <c r="G44" s="1" cm="1">
        <f t="array" ref="G4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45" spans="1:7" x14ac:dyDescent="0.25">
      <c r="A45" s="1" t="s">
        <v>82</v>
      </c>
      <c r="B45" s="1" t="s">
        <v>42</v>
      </c>
      <c r="C45" s="2">
        <v>34773</v>
      </c>
      <c r="D45" s="1" t="s">
        <v>12</v>
      </c>
      <c r="E45" s="1">
        <f>IF(RIGHT(ubezpieczenia5[[#This Row],[Imie]],1)="a",1,0)</f>
        <v>1</v>
      </c>
      <c r="F45" s="1">
        <f>2016-YEAR(ubezpieczenia5[[#This Row],[Data_urodz]])</f>
        <v>21</v>
      </c>
      <c r="G45" s="1" cm="1">
        <f t="array" ref="G4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46" spans="1:7" x14ac:dyDescent="0.25">
      <c r="A46" s="1" t="s">
        <v>83</v>
      </c>
      <c r="B46" s="1" t="s">
        <v>84</v>
      </c>
      <c r="C46" s="2">
        <v>28929</v>
      </c>
      <c r="D46" s="1" t="s">
        <v>6</v>
      </c>
      <c r="E46" s="1">
        <f>IF(RIGHT(ubezpieczenia5[[#This Row],[Imie]],1)="a",1,0)</f>
        <v>1</v>
      </c>
      <c r="F46" s="1">
        <f>2016-YEAR(ubezpieczenia5[[#This Row],[Data_urodz]])</f>
        <v>37</v>
      </c>
      <c r="G46" s="1" cm="1">
        <f t="array" ref="G4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47" spans="1:7" x14ac:dyDescent="0.25">
      <c r="A47" s="1" t="s">
        <v>85</v>
      </c>
      <c r="B47" s="1" t="s">
        <v>42</v>
      </c>
      <c r="C47" s="2">
        <v>17612</v>
      </c>
      <c r="D47" s="1" t="s">
        <v>40</v>
      </c>
      <c r="E47" s="1">
        <f>IF(RIGHT(ubezpieczenia5[[#This Row],[Imie]],1)="a",1,0)</f>
        <v>1</v>
      </c>
      <c r="F47" s="1">
        <f>2016-YEAR(ubezpieczenia5[[#This Row],[Data_urodz]])</f>
        <v>68</v>
      </c>
      <c r="G47" s="1" cm="1">
        <f t="array" ref="G4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48" spans="1:7" x14ac:dyDescent="0.25">
      <c r="A48" s="1" t="s">
        <v>86</v>
      </c>
      <c r="B48" s="1" t="s">
        <v>87</v>
      </c>
      <c r="C48" s="2">
        <v>26002</v>
      </c>
      <c r="D48" s="1" t="s">
        <v>12</v>
      </c>
      <c r="E48" s="1">
        <f>IF(RIGHT(ubezpieczenia5[[#This Row],[Imie]],1)="a",1,0)</f>
        <v>0</v>
      </c>
      <c r="F48" s="1">
        <f>2016-YEAR(ubezpieczenia5[[#This Row],[Data_urodz]])</f>
        <v>45</v>
      </c>
      <c r="G48" s="1" cm="1">
        <f t="array" ref="G4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49" spans="1:7" x14ac:dyDescent="0.25">
      <c r="A49" s="1" t="s">
        <v>88</v>
      </c>
      <c r="B49" s="1" t="s">
        <v>52</v>
      </c>
      <c r="C49" s="2">
        <v>17050</v>
      </c>
      <c r="D49" s="1" t="s">
        <v>12</v>
      </c>
      <c r="E49" s="1">
        <f>IF(RIGHT(ubezpieczenia5[[#This Row],[Imie]],1)="a",1,0)</f>
        <v>1</v>
      </c>
      <c r="F49" s="1">
        <f>2016-YEAR(ubezpieczenia5[[#This Row],[Data_urodz]])</f>
        <v>70</v>
      </c>
      <c r="G49" s="1" cm="1">
        <f t="array" ref="G4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50" spans="1:7" x14ac:dyDescent="0.25">
      <c r="A50" s="1" t="s">
        <v>89</v>
      </c>
      <c r="B50" s="1" t="s">
        <v>90</v>
      </c>
      <c r="C50" s="2">
        <v>17757</v>
      </c>
      <c r="D50" s="1" t="s">
        <v>6</v>
      </c>
      <c r="E50" s="1">
        <f>IF(RIGHT(ubezpieczenia5[[#This Row],[Imie]],1)="a",1,0)</f>
        <v>0</v>
      </c>
      <c r="F50" s="1">
        <f>2016-YEAR(ubezpieczenia5[[#This Row],[Data_urodz]])</f>
        <v>68</v>
      </c>
      <c r="G50" s="1" cm="1">
        <f t="array" ref="G5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51" spans="1:7" x14ac:dyDescent="0.25">
      <c r="A51" s="1" t="s">
        <v>91</v>
      </c>
      <c r="B51" s="1" t="s">
        <v>92</v>
      </c>
      <c r="C51" s="2">
        <v>30155</v>
      </c>
      <c r="D51" s="1" t="s">
        <v>6</v>
      </c>
      <c r="E51" s="1">
        <f>IF(RIGHT(ubezpieczenia5[[#This Row],[Imie]],1)="a",1,0)</f>
        <v>0</v>
      </c>
      <c r="F51" s="1">
        <f>2016-YEAR(ubezpieczenia5[[#This Row],[Data_urodz]])</f>
        <v>34</v>
      </c>
      <c r="G51" s="1" cm="1">
        <f t="array" ref="G5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52" spans="1:7" x14ac:dyDescent="0.25">
      <c r="A52" s="1" t="s">
        <v>93</v>
      </c>
      <c r="B52" s="1" t="s">
        <v>94</v>
      </c>
      <c r="C52" s="2">
        <v>22758</v>
      </c>
      <c r="D52" s="1" t="s">
        <v>40</v>
      </c>
      <c r="E52" s="1">
        <f>IF(RIGHT(ubezpieczenia5[[#This Row],[Imie]],1)="a",1,0)</f>
        <v>0</v>
      </c>
      <c r="F52" s="1">
        <f>2016-YEAR(ubezpieczenia5[[#This Row],[Data_urodz]])</f>
        <v>54</v>
      </c>
      <c r="G52" s="1" cm="1">
        <f t="array" ref="G5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53" spans="1:7" x14ac:dyDescent="0.25">
      <c r="A53" s="1" t="s">
        <v>95</v>
      </c>
      <c r="B53" s="1" t="s">
        <v>52</v>
      </c>
      <c r="C53" s="2">
        <v>17830</v>
      </c>
      <c r="D53" s="1" t="s">
        <v>6</v>
      </c>
      <c r="E53" s="1">
        <f>IF(RIGHT(ubezpieczenia5[[#This Row],[Imie]],1)="a",1,0)</f>
        <v>1</v>
      </c>
      <c r="F53" s="1">
        <f>2016-YEAR(ubezpieczenia5[[#This Row],[Data_urodz]])</f>
        <v>68</v>
      </c>
      <c r="G53" s="1" cm="1">
        <f t="array" ref="G5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54" spans="1:7" x14ac:dyDescent="0.25">
      <c r="A54" s="1" t="s">
        <v>96</v>
      </c>
      <c r="B54" s="1" t="s">
        <v>20</v>
      </c>
      <c r="C54" s="2">
        <v>16168</v>
      </c>
      <c r="D54" s="1" t="s">
        <v>6</v>
      </c>
      <c r="E54" s="1">
        <f>IF(RIGHT(ubezpieczenia5[[#This Row],[Imie]],1)="a",1,0)</f>
        <v>1</v>
      </c>
      <c r="F54" s="1">
        <f>2016-YEAR(ubezpieczenia5[[#This Row],[Data_urodz]])</f>
        <v>72</v>
      </c>
      <c r="G54" s="1" cm="1">
        <f t="array" ref="G5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55" spans="1:7" x14ac:dyDescent="0.25">
      <c r="A55" s="1" t="s">
        <v>97</v>
      </c>
      <c r="B55" s="1" t="s">
        <v>98</v>
      </c>
      <c r="C55" s="2">
        <v>32118</v>
      </c>
      <c r="D55" s="1" t="s">
        <v>6</v>
      </c>
      <c r="E55" s="1">
        <f>IF(RIGHT(ubezpieczenia5[[#This Row],[Imie]],1)="a",1,0)</f>
        <v>0</v>
      </c>
      <c r="F55" s="1">
        <f>2016-YEAR(ubezpieczenia5[[#This Row],[Data_urodz]])</f>
        <v>29</v>
      </c>
      <c r="G55" s="1" cm="1">
        <f t="array" ref="G5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56" spans="1:7" x14ac:dyDescent="0.25">
      <c r="A56" s="1" t="s">
        <v>99</v>
      </c>
      <c r="B56" s="1" t="s">
        <v>18</v>
      </c>
      <c r="C56" s="2">
        <v>20332</v>
      </c>
      <c r="D56" s="1" t="s">
        <v>12</v>
      </c>
      <c r="E56" s="1">
        <f>IF(RIGHT(ubezpieczenia5[[#This Row],[Imie]],1)="a",1,0)</f>
        <v>0</v>
      </c>
      <c r="F56" s="1">
        <f>2016-YEAR(ubezpieczenia5[[#This Row],[Data_urodz]])</f>
        <v>61</v>
      </c>
      <c r="G56" s="1" cm="1">
        <f t="array" ref="G5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57" spans="1:7" x14ac:dyDescent="0.25">
      <c r="A57" s="1" t="s">
        <v>100</v>
      </c>
      <c r="B57" s="1" t="s">
        <v>49</v>
      </c>
      <c r="C57" s="2">
        <v>19375</v>
      </c>
      <c r="D57" s="1" t="s">
        <v>6</v>
      </c>
      <c r="E57" s="1">
        <f>IF(RIGHT(ubezpieczenia5[[#This Row],[Imie]],1)="a",1,0)</f>
        <v>0</v>
      </c>
      <c r="F57" s="1">
        <f>2016-YEAR(ubezpieczenia5[[#This Row],[Data_urodz]])</f>
        <v>63</v>
      </c>
      <c r="G57" s="1" cm="1">
        <f t="array" ref="G5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58" spans="1:7" x14ac:dyDescent="0.25">
      <c r="A58" s="1" t="s">
        <v>101</v>
      </c>
      <c r="B58" s="1" t="s">
        <v>102</v>
      </c>
      <c r="C58" s="2">
        <v>34818</v>
      </c>
      <c r="D58" s="1" t="s">
        <v>12</v>
      </c>
      <c r="E58" s="1">
        <f>IF(RIGHT(ubezpieczenia5[[#This Row],[Imie]],1)="a",1,0)</f>
        <v>1</v>
      </c>
      <c r="F58" s="1">
        <f>2016-YEAR(ubezpieczenia5[[#This Row],[Data_urodz]])</f>
        <v>21</v>
      </c>
      <c r="G58" s="1" cm="1">
        <f t="array" ref="G5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59" spans="1:7" x14ac:dyDescent="0.25">
      <c r="A59" s="1" t="s">
        <v>103</v>
      </c>
      <c r="B59" s="1" t="s">
        <v>16</v>
      </c>
      <c r="C59" s="2">
        <v>23775</v>
      </c>
      <c r="D59" s="1" t="s">
        <v>9</v>
      </c>
      <c r="E59" s="1">
        <f>IF(RIGHT(ubezpieczenia5[[#This Row],[Imie]],1)="a",1,0)</f>
        <v>1</v>
      </c>
      <c r="F59" s="1">
        <f>2016-YEAR(ubezpieczenia5[[#This Row],[Data_urodz]])</f>
        <v>51</v>
      </c>
      <c r="G59" s="1" cm="1">
        <f t="array" ref="G5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60" spans="1:7" x14ac:dyDescent="0.25">
      <c r="A60" s="1" t="s">
        <v>104</v>
      </c>
      <c r="B60" s="1" t="s">
        <v>105</v>
      </c>
      <c r="C60" s="2">
        <v>29371</v>
      </c>
      <c r="D60" s="1" t="s">
        <v>12</v>
      </c>
      <c r="E60" s="1">
        <f>IF(RIGHT(ubezpieczenia5[[#This Row],[Imie]],1)="a",1,0)</f>
        <v>1</v>
      </c>
      <c r="F60" s="1">
        <f>2016-YEAR(ubezpieczenia5[[#This Row],[Data_urodz]])</f>
        <v>36</v>
      </c>
      <c r="G60" s="1" cm="1">
        <f t="array" ref="G6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61" spans="1:7" x14ac:dyDescent="0.25">
      <c r="A61" s="1" t="s">
        <v>106</v>
      </c>
      <c r="B61" s="1" t="s">
        <v>107</v>
      </c>
      <c r="C61" s="2">
        <v>27370</v>
      </c>
      <c r="D61" s="1" t="s">
        <v>12</v>
      </c>
      <c r="E61" s="1">
        <f>IF(RIGHT(ubezpieczenia5[[#This Row],[Imie]],1)="a",1,0)</f>
        <v>1</v>
      </c>
      <c r="F61" s="1">
        <f>2016-YEAR(ubezpieczenia5[[#This Row],[Data_urodz]])</f>
        <v>42</v>
      </c>
      <c r="G61" s="1" cm="1">
        <f t="array" ref="G6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62" spans="1:7" x14ac:dyDescent="0.25">
      <c r="A62" s="1" t="s">
        <v>108</v>
      </c>
      <c r="B62" s="1" t="s">
        <v>109</v>
      </c>
      <c r="C62" s="2">
        <v>19032</v>
      </c>
      <c r="D62" s="1" t="s">
        <v>6</v>
      </c>
      <c r="E62" s="1">
        <f>IF(RIGHT(ubezpieczenia5[[#This Row],[Imie]],1)="a",1,0)</f>
        <v>0</v>
      </c>
      <c r="F62" s="1">
        <f>2016-YEAR(ubezpieczenia5[[#This Row],[Data_urodz]])</f>
        <v>64</v>
      </c>
      <c r="G62" s="1" cm="1">
        <f t="array" ref="G6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63" spans="1:7" x14ac:dyDescent="0.25">
      <c r="A63" s="1" t="s">
        <v>110</v>
      </c>
      <c r="B63" s="1" t="s">
        <v>37</v>
      </c>
      <c r="C63" s="2">
        <v>27475</v>
      </c>
      <c r="D63" s="1" t="s">
        <v>12</v>
      </c>
      <c r="E63" s="1">
        <f>IF(RIGHT(ubezpieczenia5[[#This Row],[Imie]],1)="a",1,0)</f>
        <v>1</v>
      </c>
      <c r="F63" s="1">
        <f>2016-YEAR(ubezpieczenia5[[#This Row],[Data_urodz]])</f>
        <v>41</v>
      </c>
      <c r="G63" s="1" cm="1">
        <f t="array" ref="G6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64" spans="1:7" x14ac:dyDescent="0.25">
      <c r="A64" s="1" t="s">
        <v>111</v>
      </c>
      <c r="B64" s="1" t="s">
        <v>52</v>
      </c>
      <c r="C64" s="2">
        <v>20719</v>
      </c>
      <c r="D64" s="1" t="s">
        <v>6</v>
      </c>
      <c r="E64" s="1">
        <f>IF(RIGHT(ubezpieczenia5[[#This Row],[Imie]],1)="a",1,0)</f>
        <v>1</v>
      </c>
      <c r="F64" s="1">
        <f>2016-YEAR(ubezpieczenia5[[#This Row],[Data_urodz]])</f>
        <v>60</v>
      </c>
      <c r="G64" s="1" cm="1">
        <f t="array" ref="G6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65" spans="1:7" x14ac:dyDescent="0.25">
      <c r="A65" s="1" t="s">
        <v>112</v>
      </c>
      <c r="B65" s="1" t="s">
        <v>8</v>
      </c>
      <c r="C65" s="2">
        <v>22206</v>
      </c>
      <c r="D65" s="1" t="s">
        <v>40</v>
      </c>
      <c r="E65" s="1">
        <f>IF(RIGHT(ubezpieczenia5[[#This Row],[Imie]],1)="a",1,0)</f>
        <v>0</v>
      </c>
      <c r="F65" s="1">
        <f>2016-YEAR(ubezpieczenia5[[#This Row],[Data_urodz]])</f>
        <v>56</v>
      </c>
      <c r="G65" s="1" cm="1">
        <f t="array" ref="G6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66" spans="1:7" x14ac:dyDescent="0.25">
      <c r="A66" s="1" t="s">
        <v>113</v>
      </c>
      <c r="B66" s="1" t="s">
        <v>114</v>
      </c>
      <c r="C66" s="2">
        <v>17376</v>
      </c>
      <c r="D66" s="1" t="s">
        <v>12</v>
      </c>
      <c r="E66" s="1">
        <f>IF(RIGHT(ubezpieczenia5[[#This Row],[Imie]],1)="a",1,0)</f>
        <v>0</v>
      </c>
      <c r="F66" s="1">
        <f>2016-YEAR(ubezpieczenia5[[#This Row],[Data_urodz]])</f>
        <v>69</v>
      </c>
      <c r="G66" s="1" cm="1">
        <f t="array" ref="G6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67" spans="1:7" x14ac:dyDescent="0.25">
      <c r="A67" s="1" t="s">
        <v>115</v>
      </c>
      <c r="B67" s="1" t="s">
        <v>114</v>
      </c>
      <c r="C67" s="2">
        <v>34280</v>
      </c>
      <c r="D67" s="1" t="s">
        <v>40</v>
      </c>
      <c r="E67" s="1">
        <f>IF(RIGHT(ubezpieczenia5[[#This Row],[Imie]],1)="a",1,0)</f>
        <v>0</v>
      </c>
      <c r="F67" s="1">
        <f>2016-YEAR(ubezpieczenia5[[#This Row],[Data_urodz]])</f>
        <v>23</v>
      </c>
      <c r="G67" s="1" cm="1">
        <f t="array" ref="G6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68" spans="1:7" x14ac:dyDescent="0.25">
      <c r="A68" s="1" t="s">
        <v>116</v>
      </c>
      <c r="B68" s="1" t="s">
        <v>49</v>
      </c>
      <c r="C68" s="2">
        <v>25821</v>
      </c>
      <c r="D68" s="1" t="s">
        <v>40</v>
      </c>
      <c r="E68" s="1">
        <f>IF(RIGHT(ubezpieczenia5[[#This Row],[Imie]],1)="a",1,0)</f>
        <v>0</v>
      </c>
      <c r="F68" s="1">
        <f>2016-YEAR(ubezpieczenia5[[#This Row],[Data_urodz]])</f>
        <v>46</v>
      </c>
      <c r="G68" s="1" cm="1">
        <f t="array" ref="G6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69" spans="1:7" x14ac:dyDescent="0.25">
      <c r="A69" s="1" t="s">
        <v>117</v>
      </c>
      <c r="B69" s="1" t="s">
        <v>47</v>
      </c>
      <c r="C69" s="2">
        <v>20242</v>
      </c>
      <c r="D69" s="1" t="s">
        <v>40</v>
      </c>
      <c r="E69" s="1">
        <f>IF(RIGHT(ubezpieczenia5[[#This Row],[Imie]],1)="a",1,0)</f>
        <v>1</v>
      </c>
      <c r="F69" s="1">
        <f>2016-YEAR(ubezpieczenia5[[#This Row],[Data_urodz]])</f>
        <v>61</v>
      </c>
      <c r="G69" s="1" cm="1">
        <f t="array" ref="G6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70" spans="1:7" x14ac:dyDescent="0.25">
      <c r="A70" s="1" t="s">
        <v>118</v>
      </c>
      <c r="B70" s="1" t="s">
        <v>20</v>
      </c>
      <c r="C70" s="2">
        <v>25415</v>
      </c>
      <c r="D70" s="1" t="s">
        <v>12</v>
      </c>
      <c r="E70" s="1">
        <f>IF(RIGHT(ubezpieczenia5[[#This Row],[Imie]],1)="a",1,0)</f>
        <v>1</v>
      </c>
      <c r="F70" s="1">
        <f>2016-YEAR(ubezpieczenia5[[#This Row],[Data_urodz]])</f>
        <v>47</v>
      </c>
      <c r="G70" s="1" cm="1">
        <f t="array" ref="G7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71" spans="1:7" x14ac:dyDescent="0.25">
      <c r="A71" s="1" t="s">
        <v>119</v>
      </c>
      <c r="B71" s="1" t="s">
        <v>47</v>
      </c>
      <c r="C71" s="2">
        <v>19048</v>
      </c>
      <c r="D71" s="1" t="s">
        <v>9</v>
      </c>
      <c r="E71" s="1">
        <f>IF(RIGHT(ubezpieczenia5[[#This Row],[Imie]],1)="a",1,0)</f>
        <v>1</v>
      </c>
      <c r="F71" s="1">
        <f>2016-YEAR(ubezpieczenia5[[#This Row],[Data_urodz]])</f>
        <v>64</v>
      </c>
      <c r="G71" s="1" cm="1">
        <f t="array" ref="G7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72" spans="1:7" x14ac:dyDescent="0.25">
      <c r="A72" s="1" t="s">
        <v>120</v>
      </c>
      <c r="B72" s="1" t="s">
        <v>121</v>
      </c>
      <c r="C72" s="2">
        <v>18811</v>
      </c>
      <c r="D72" s="1" t="s">
        <v>12</v>
      </c>
      <c r="E72" s="1">
        <f>IF(RIGHT(ubezpieczenia5[[#This Row],[Imie]],1)="a",1,0)</f>
        <v>1</v>
      </c>
      <c r="F72" s="1">
        <f>2016-YEAR(ubezpieczenia5[[#This Row],[Data_urodz]])</f>
        <v>65</v>
      </c>
      <c r="G72" s="1" cm="1">
        <f t="array" ref="G7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73" spans="1:7" x14ac:dyDescent="0.25">
      <c r="A73" s="1" t="s">
        <v>122</v>
      </c>
      <c r="B73" s="1" t="s">
        <v>123</v>
      </c>
      <c r="C73" s="2">
        <v>17072</v>
      </c>
      <c r="D73" s="1" t="s">
        <v>40</v>
      </c>
      <c r="E73" s="1">
        <f>IF(RIGHT(ubezpieczenia5[[#This Row],[Imie]],1)="a",1,0)</f>
        <v>1</v>
      </c>
      <c r="F73" s="1">
        <f>2016-YEAR(ubezpieczenia5[[#This Row],[Data_urodz]])</f>
        <v>70</v>
      </c>
      <c r="G73" s="1" cm="1">
        <f t="array" ref="G7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74" spans="1:7" x14ac:dyDescent="0.25">
      <c r="A74" s="1" t="s">
        <v>124</v>
      </c>
      <c r="B74" s="1" t="s">
        <v>121</v>
      </c>
      <c r="C74" s="2">
        <v>33277</v>
      </c>
      <c r="D74" s="1" t="s">
        <v>6</v>
      </c>
      <c r="E74" s="1">
        <f>IF(RIGHT(ubezpieczenia5[[#This Row],[Imie]],1)="a",1,0)</f>
        <v>1</v>
      </c>
      <c r="F74" s="1">
        <f>2016-YEAR(ubezpieczenia5[[#This Row],[Data_urodz]])</f>
        <v>25</v>
      </c>
      <c r="G74" s="1" cm="1">
        <f t="array" ref="G7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75" spans="1:7" x14ac:dyDescent="0.25">
      <c r="A75" s="1" t="s">
        <v>125</v>
      </c>
      <c r="B75" s="1" t="s">
        <v>79</v>
      </c>
      <c r="C75" s="2">
        <v>16987</v>
      </c>
      <c r="D75" s="1" t="s">
        <v>6</v>
      </c>
      <c r="E75" s="1">
        <f>IF(RIGHT(ubezpieczenia5[[#This Row],[Imie]],1)="a",1,0)</f>
        <v>1</v>
      </c>
      <c r="F75" s="1">
        <f>2016-YEAR(ubezpieczenia5[[#This Row],[Data_urodz]])</f>
        <v>70</v>
      </c>
      <c r="G75" s="1" cm="1">
        <f t="array" ref="G7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76" spans="1:7" x14ac:dyDescent="0.25">
      <c r="A76" s="1" t="s">
        <v>126</v>
      </c>
      <c r="B76" s="1" t="s">
        <v>127</v>
      </c>
      <c r="C76" s="2">
        <v>33408</v>
      </c>
      <c r="D76" s="1" t="s">
        <v>40</v>
      </c>
      <c r="E76" s="1">
        <f>IF(RIGHT(ubezpieczenia5[[#This Row],[Imie]],1)="a",1,0)</f>
        <v>0</v>
      </c>
      <c r="F76" s="1">
        <f>2016-YEAR(ubezpieczenia5[[#This Row],[Data_urodz]])</f>
        <v>25</v>
      </c>
      <c r="G76" s="1" cm="1">
        <f t="array" ref="G7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77" spans="1:7" x14ac:dyDescent="0.25">
      <c r="A77" s="1" t="s">
        <v>110</v>
      </c>
      <c r="B77" s="1" t="s">
        <v>79</v>
      </c>
      <c r="C77" s="2">
        <v>25070</v>
      </c>
      <c r="D77" s="1" t="s">
        <v>6</v>
      </c>
      <c r="E77" s="1">
        <f>IF(RIGHT(ubezpieczenia5[[#This Row],[Imie]],1)="a",1,0)</f>
        <v>1</v>
      </c>
      <c r="F77" s="1">
        <f>2016-YEAR(ubezpieczenia5[[#This Row],[Data_urodz]])</f>
        <v>48</v>
      </c>
      <c r="G77" s="1" cm="1">
        <f t="array" ref="G7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78" spans="1:7" x14ac:dyDescent="0.25">
      <c r="A78" s="1" t="s">
        <v>128</v>
      </c>
      <c r="B78" s="1" t="s">
        <v>129</v>
      </c>
      <c r="C78" s="2">
        <v>34100</v>
      </c>
      <c r="D78" s="1" t="s">
        <v>40</v>
      </c>
      <c r="E78" s="1">
        <f>IF(RIGHT(ubezpieczenia5[[#This Row],[Imie]],1)="a",1,0)</f>
        <v>0</v>
      </c>
      <c r="F78" s="1">
        <f>2016-YEAR(ubezpieczenia5[[#This Row],[Data_urodz]])</f>
        <v>23</v>
      </c>
      <c r="G78" s="1" cm="1">
        <f t="array" ref="G7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79" spans="1:7" x14ac:dyDescent="0.25">
      <c r="A79" s="1" t="s">
        <v>83</v>
      </c>
      <c r="B79" s="1" t="s">
        <v>52</v>
      </c>
      <c r="C79" s="2">
        <v>19522</v>
      </c>
      <c r="D79" s="1" t="s">
        <v>9</v>
      </c>
      <c r="E79" s="1">
        <f>IF(RIGHT(ubezpieczenia5[[#This Row],[Imie]],1)="a",1,0)</f>
        <v>1</v>
      </c>
      <c r="F79" s="1">
        <f>2016-YEAR(ubezpieczenia5[[#This Row],[Data_urodz]])</f>
        <v>63</v>
      </c>
      <c r="G79" s="1" cm="1">
        <f t="array" ref="G7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80" spans="1:7" x14ac:dyDescent="0.25">
      <c r="A80" s="1" t="s">
        <v>130</v>
      </c>
      <c r="B80" s="1" t="s">
        <v>131</v>
      </c>
      <c r="C80" s="2">
        <v>27284</v>
      </c>
      <c r="D80" s="1" t="s">
        <v>9</v>
      </c>
      <c r="E80" s="1">
        <f>IF(RIGHT(ubezpieczenia5[[#This Row],[Imie]],1)="a",1,0)</f>
        <v>1</v>
      </c>
      <c r="F80" s="1">
        <f>2016-YEAR(ubezpieczenia5[[#This Row],[Data_urodz]])</f>
        <v>42</v>
      </c>
      <c r="G80" s="1" cm="1">
        <f t="array" ref="G8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81" spans="1:7" x14ac:dyDescent="0.25">
      <c r="A81" s="1" t="s">
        <v>132</v>
      </c>
      <c r="B81" s="1" t="s">
        <v>8</v>
      </c>
      <c r="C81" s="2">
        <v>27347</v>
      </c>
      <c r="D81" s="1" t="s">
        <v>12</v>
      </c>
      <c r="E81" s="1">
        <f>IF(RIGHT(ubezpieczenia5[[#This Row],[Imie]],1)="a",1,0)</f>
        <v>0</v>
      </c>
      <c r="F81" s="1">
        <f>2016-YEAR(ubezpieczenia5[[#This Row],[Data_urodz]])</f>
        <v>42</v>
      </c>
      <c r="G81" s="1" cm="1">
        <f t="array" ref="G8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82" spans="1:7" x14ac:dyDescent="0.25">
      <c r="A82" s="1" t="s">
        <v>133</v>
      </c>
      <c r="B82" s="1" t="s">
        <v>134</v>
      </c>
      <c r="C82" s="2">
        <v>20618</v>
      </c>
      <c r="D82" s="1" t="s">
        <v>12</v>
      </c>
      <c r="E82" s="1">
        <f>IF(RIGHT(ubezpieczenia5[[#This Row],[Imie]],1)="a",1,0)</f>
        <v>1</v>
      </c>
      <c r="F82" s="1">
        <f>2016-YEAR(ubezpieczenia5[[#This Row],[Data_urodz]])</f>
        <v>60</v>
      </c>
      <c r="G82" s="1" cm="1">
        <f t="array" ref="G8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83" spans="1:7" x14ac:dyDescent="0.25">
      <c r="A83" s="1" t="s">
        <v>135</v>
      </c>
      <c r="B83" s="1" t="s">
        <v>54</v>
      </c>
      <c r="C83" s="2">
        <v>19256</v>
      </c>
      <c r="D83" s="1" t="s">
        <v>12</v>
      </c>
      <c r="E83" s="1">
        <f>IF(RIGHT(ubezpieczenia5[[#This Row],[Imie]],1)="a",1,0)</f>
        <v>1</v>
      </c>
      <c r="F83" s="1">
        <f>2016-YEAR(ubezpieczenia5[[#This Row],[Data_urodz]])</f>
        <v>64</v>
      </c>
      <c r="G83" s="1" cm="1">
        <f t="array" ref="G8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84" spans="1:7" x14ac:dyDescent="0.25">
      <c r="A84" s="1" t="s">
        <v>136</v>
      </c>
      <c r="B84" s="1" t="s">
        <v>137</v>
      </c>
      <c r="C84" s="2">
        <v>21898</v>
      </c>
      <c r="D84" s="1" t="s">
        <v>12</v>
      </c>
      <c r="E84" s="1">
        <f>IF(RIGHT(ubezpieczenia5[[#This Row],[Imie]],1)="a",1,0)</f>
        <v>1</v>
      </c>
      <c r="F84" s="1">
        <f>2016-YEAR(ubezpieczenia5[[#This Row],[Data_urodz]])</f>
        <v>57</v>
      </c>
      <c r="G84" s="1" cm="1">
        <f t="array" ref="G8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85" spans="1:7" x14ac:dyDescent="0.25">
      <c r="A85" s="1" t="s">
        <v>138</v>
      </c>
      <c r="B85" s="1" t="s">
        <v>139</v>
      </c>
      <c r="C85" s="2">
        <v>16873</v>
      </c>
      <c r="D85" s="1" t="s">
        <v>12</v>
      </c>
      <c r="E85" s="1">
        <f>IF(RIGHT(ubezpieczenia5[[#This Row],[Imie]],1)="a",1,0)</f>
        <v>0</v>
      </c>
      <c r="F85" s="1">
        <f>2016-YEAR(ubezpieczenia5[[#This Row],[Data_urodz]])</f>
        <v>70</v>
      </c>
      <c r="G85" s="1" cm="1">
        <f t="array" ref="G8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86" spans="1:7" x14ac:dyDescent="0.25">
      <c r="A86" s="1" t="s">
        <v>140</v>
      </c>
      <c r="B86" s="1" t="s">
        <v>141</v>
      </c>
      <c r="C86" s="2">
        <v>34893</v>
      </c>
      <c r="D86" s="1" t="s">
        <v>6</v>
      </c>
      <c r="E86" s="1">
        <f>IF(RIGHT(ubezpieczenia5[[#This Row],[Imie]],1)="a",1,0)</f>
        <v>0</v>
      </c>
      <c r="F86" s="1">
        <f>2016-YEAR(ubezpieczenia5[[#This Row],[Data_urodz]])</f>
        <v>21</v>
      </c>
      <c r="G86" s="1" cm="1">
        <f t="array" ref="G8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87" spans="1:7" x14ac:dyDescent="0.25">
      <c r="A87" s="1" t="s">
        <v>142</v>
      </c>
      <c r="B87" s="1" t="s">
        <v>143</v>
      </c>
      <c r="C87" s="2">
        <v>16028</v>
      </c>
      <c r="D87" s="1" t="s">
        <v>12</v>
      </c>
      <c r="E87" s="1">
        <f>IF(RIGHT(ubezpieczenia5[[#This Row],[Imie]],1)="a",1,0)</f>
        <v>1</v>
      </c>
      <c r="F87" s="1">
        <f>2016-YEAR(ubezpieczenia5[[#This Row],[Data_urodz]])</f>
        <v>73</v>
      </c>
      <c r="G87" s="1" cm="1">
        <f t="array" ref="G8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88" spans="1:7" x14ac:dyDescent="0.25">
      <c r="A88" s="1" t="s">
        <v>144</v>
      </c>
      <c r="B88" s="1" t="s">
        <v>54</v>
      </c>
      <c r="C88" s="2">
        <v>33446</v>
      </c>
      <c r="D88" s="1" t="s">
        <v>6</v>
      </c>
      <c r="E88" s="1">
        <f>IF(RIGHT(ubezpieczenia5[[#This Row],[Imie]],1)="a",1,0)</f>
        <v>1</v>
      </c>
      <c r="F88" s="1">
        <f>2016-YEAR(ubezpieczenia5[[#This Row],[Data_urodz]])</f>
        <v>25</v>
      </c>
      <c r="G88" s="1" cm="1">
        <f t="array" ref="G8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89" spans="1:7" x14ac:dyDescent="0.25">
      <c r="A89" s="1" t="s">
        <v>145</v>
      </c>
      <c r="B89" s="1" t="s">
        <v>146</v>
      </c>
      <c r="C89" s="2">
        <v>18892</v>
      </c>
      <c r="D89" s="1" t="s">
        <v>6</v>
      </c>
      <c r="E89" s="1">
        <f>IF(RIGHT(ubezpieczenia5[[#This Row],[Imie]],1)="a",1,0)</f>
        <v>0</v>
      </c>
      <c r="F89" s="1">
        <f>2016-YEAR(ubezpieczenia5[[#This Row],[Data_urodz]])</f>
        <v>65</v>
      </c>
      <c r="G89" s="1" cm="1">
        <f t="array" ref="G8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90" spans="1:7" x14ac:dyDescent="0.25">
      <c r="A90" s="1" t="s">
        <v>147</v>
      </c>
      <c r="B90" s="1" t="s">
        <v>102</v>
      </c>
      <c r="C90" s="2">
        <v>32219</v>
      </c>
      <c r="D90" s="1" t="s">
        <v>12</v>
      </c>
      <c r="E90" s="1">
        <f>IF(RIGHT(ubezpieczenia5[[#This Row],[Imie]],1)="a",1,0)</f>
        <v>1</v>
      </c>
      <c r="F90" s="1">
        <f>2016-YEAR(ubezpieczenia5[[#This Row],[Data_urodz]])</f>
        <v>28</v>
      </c>
      <c r="G90" s="1" cm="1">
        <f t="array" ref="G9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91" spans="1:7" x14ac:dyDescent="0.25">
      <c r="A91" s="1" t="s">
        <v>148</v>
      </c>
      <c r="B91" s="1" t="s">
        <v>149</v>
      </c>
      <c r="C91" s="2">
        <v>31771</v>
      </c>
      <c r="D91" s="1" t="s">
        <v>9</v>
      </c>
      <c r="E91" s="1">
        <f>IF(RIGHT(ubezpieczenia5[[#This Row],[Imie]],1)="a",1,0)</f>
        <v>1</v>
      </c>
      <c r="F91" s="1">
        <f>2016-YEAR(ubezpieczenia5[[#This Row],[Data_urodz]])</f>
        <v>30</v>
      </c>
      <c r="G91" s="1" cm="1">
        <f t="array" ref="G9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92" spans="1:7" x14ac:dyDescent="0.25">
      <c r="A92" s="1" t="s">
        <v>51</v>
      </c>
      <c r="B92" s="1" t="s">
        <v>150</v>
      </c>
      <c r="C92" s="2">
        <v>30633</v>
      </c>
      <c r="D92" s="1" t="s">
        <v>40</v>
      </c>
      <c r="E92" s="1">
        <f>IF(RIGHT(ubezpieczenia5[[#This Row],[Imie]],1)="a",1,0)</f>
        <v>1</v>
      </c>
      <c r="F92" s="1">
        <f>2016-YEAR(ubezpieczenia5[[#This Row],[Data_urodz]])</f>
        <v>33</v>
      </c>
      <c r="G92" s="1" cm="1">
        <f t="array" ref="G9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93" spans="1:7" x14ac:dyDescent="0.25">
      <c r="A93" s="1" t="s">
        <v>151</v>
      </c>
      <c r="B93" s="1" t="s">
        <v>152</v>
      </c>
      <c r="C93" s="2">
        <v>34177</v>
      </c>
      <c r="D93" s="1" t="s">
        <v>40</v>
      </c>
      <c r="E93" s="1">
        <f>IF(RIGHT(ubezpieczenia5[[#This Row],[Imie]],1)="a",1,0)</f>
        <v>0</v>
      </c>
      <c r="F93" s="1">
        <f>2016-YEAR(ubezpieczenia5[[#This Row],[Data_urodz]])</f>
        <v>23</v>
      </c>
      <c r="G93" s="1" cm="1">
        <f t="array" ref="G9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94" spans="1:7" x14ac:dyDescent="0.25">
      <c r="A94" s="1" t="s">
        <v>153</v>
      </c>
      <c r="B94" s="1" t="s">
        <v>137</v>
      </c>
      <c r="C94" s="2">
        <v>33281</v>
      </c>
      <c r="D94" s="1" t="s">
        <v>12</v>
      </c>
      <c r="E94" s="1">
        <f>IF(RIGHT(ubezpieczenia5[[#This Row],[Imie]],1)="a",1,0)</f>
        <v>1</v>
      </c>
      <c r="F94" s="1">
        <f>2016-YEAR(ubezpieczenia5[[#This Row],[Data_urodz]])</f>
        <v>25</v>
      </c>
      <c r="G94" s="1" cm="1">
        <f t="array" ref="G9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95" spans="1:7" x14ac:dyDescent="0.25">
      <c r="A95" s="1" t="s">
        <v>75</v>
      </c>
      <c r="B95" s="1" t="s">
        <v>154</v>
      </c>
      <c r="C95" s="2">
        <v>21897</v>
      </c>
      <c r="D95" s="1" t="s">
        <v>12</v>
      </c>
      <c r="E95" s="1">
        <f>IF(RIGHT(ubezpieczenia5[[#This Row],[Imie]],1)="a",1,0)</f>
        <v>1</v>
      </c>
      <c r="F95" s="1">
        <f>2016-YEAR(ubezpieczenia5[[#This Row],[Data_urodz]])</f>
        <v>57</v>
      </c>
      <c r="G95" s="1" cm="1">
        <f t="array" ref="G9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96" spans="1:7" x14ac:dyDescent="0.25">
      <c r="A96" s="1" t="s">
        <v>155</v>
      </c>
      <c r="B96" s="1" t="s">
        <v>37</v>
      </c>
      <c r="C96" s="2">
        <v>18604</v>
      </c>
      <c r="D96" s="1" t="s">
        <v>40</v>
      </c>
      <c r="E96" s="1">
        <f>IF(RIGHT(ubezpieczenia5[[#This Row],[Imie]],1)="a",1,0)</f>
        <v>1</v>
      </c>
      <c r="F96" s="1">
        <f>2016-YEAR(ubezpieczenia5[[#This Row],[Data_urodz]])</f>
        <v>66</v>
      </c>
      <c r="G96" s="1" cm="1">
        <f t="array" ref="G9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97" spans="1:7" x14ac:dyDescent="0.25">
      <c r="A97" s="1" t="s">
        <v>156</v>
      </c>
      <c r="B97" s="1" t="s">
        <v>157</v>
      </c>
      <c r="C97" s="2">
        <v>18910</v>
      </c>
      <c r="D97" s="1" t="s">
        <v>12</v>
      </c>
      <c r="E97" s="1">
        <f>IF(RIGHT(ubezpieczenia5[[#This Row],[Imie]],1)="a",1,0)</f>
        <v>1</v>
      </c>
      <c r="F97" s="1">
        <f>2016-YEAR(ubezpieczenia5[[#This Row],[Data_urodz]])</f>
        <v>65</v>
      </c>
      <c r="G97" s="1" cm="1">
        <f t="array" ref="G9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98" spans="1:7" x14ac:dyDescent="0.25">
      <c r="A98" s="1" t="s">
        <v>158</v>
      </c>
      <c r="B98" s="1" t="s">
        <v>47</v>
      </c>
      <c r="C98" s="2">
        <v>17056</v>
      </c>
      <c r="D98" s="1" t="s">
        <v>9</v>
      </c>
      <c r="E98" s="1">
        <f>IF(RIGHT(ubezpieczenia5[[#This Row],[Imie]],1)="a",1,0)</f>
        <v>1</v>
      </c>
      <c r="F98" s="1">
        <f>2016-YEAR(ubezpieczenia5[[#This Row],[Data_urodz]])</f>
        <v>70</v>
      </c>
      <c r="G98" s="1" cm="1">
        <f t="array" ref="G9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99" spans="1:7" x14ac:dyDescent="0.25">
      <c r="A99" s="1" t="s">
        <v>159</v>
      </c>
      <c r="B99" s="1" t="s">
        <v>160</v>
      </c>
      <c r="C99" s="2">
        <v>22619</v>
      </c>
      <c r="D99" s="1" t="s">
        <v>9</v>
      </c>
      <c r="E99" s="1">
        <f>IF(RIGHT(ubezpieczenia5[[#This Row],[Imie]],1)="a",1,0)</f>
        <v>0</v>
      </c>
      <c r="F99" s="1">
        <f>2016-YEAR(ubezpieczenia5[[#This Row],[Data_urodz]])</f>
        <v>55</v>
      </c>
      <c r="G99" s="1" cm="1">
        <f t="array" ref="G9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00" spans="1:7" x14ac:dyDescent="0.25">
      <c r="A100" s="1" t="s">
        <v>161</v>
      </c>
      <c r="B100" s="1" t="s">
        <v>37</v>
      </c>
      <c r="C100" s="2">
        <v>19740</v>
      </c>
      <c r="D100" s="1" t="s">
        <v>12</v>
      </c>
      <c r="E100" s="1">
        <f>IF(RIGHT(ubezpieczenia5[[#This Row],[Imie]],1)="a",1,0)</f>
        <v>1</v>
      </c>
      <c r="F100" s="1">
        <f>2016-YEAR(ubezpieczenia5[[#This Row],[Data_urodz]])</f>
        <v>62</v>
      </c>
      <c r="G100" s="1" cm="1">
        <f t="array" ref="G10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01" spans="1:7" x14ac:dyDescent="0.25">
      <c r="A101" s="1" t="s">
        <v>162</v>
      </c>
      <c r="B101" s="1" t="s">
        <v>131</v>
      </c>
      <c r="C101" s="2">
        <v>24222</v>
      </c>
      <c r="D101" s="1" t="s">
        <v>6</v>
      </c>
      <c r="E101" s="1">
        <f>IF(RIGHT(ubezpieczenia5[[#This Row],[Imie]],1)="a",1,0)</f>
        <v>1</v>
      </c>
      <c r="F101" s="1">
        <f>2016-YEAR(ubezpieczenia5[[#This Row],[Data_urodz]])</f>
        <v>50</v>
      </c>
      <c r="G101" s="1" cm="1">
        <f t="array" ref="G10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02" spans="1:7" x14ac:dyDescent="0.25">
      <c r="A102" s="1" t="s">
        <v>163</v>
      </c>
      <c r="B102" s="1" t="s">
        <v>37</v>
      </c>
      <c r="C102" s="2">
        <v>17196</v>
      </c>
      <c r="D102" s="1" t="s">
        <v>40</v>
      </c>
      <c r="E102" s="1">
        <f>IF(RIGHT(ubezpieczenia5[[#This Row],[Imie]],1)="a",1,0)</f>
        <v>1</v>
      </c>
      <c r="F102" s="1">
        <f>2016-YEAR(ubezpieczenia5[[#This Row],[Data_urodz]])</f>
        <v>69</v>
      </c>
      <c r="G102" s="1" cm="1">
        <f t="array" ref="G10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03" spans="1:7" x14ac:dyDescent="0.25">
      <c r="A103" s="1" t="s">
        <v>164</v>
      </c>
      <c r="B103" s="1" t="s">
        <v>52</v>
      </c>
      <c r="C103" s="2">
        <v>32013</v>
      </c>
      <c r="D103" s="1" t="s">
        <v>12</v>
      </c>
      <c r="E103" s="1">
        <f>IF(RIGHT(ubezpieczenia5[[#This Row],[Imie]],1)="a",1,0)</f>
        <v>1</v>
      </c>
      <c r="F103" s="1">
        <f>2016-YEAR(ubezpieczenia5[[#This Row],[Data_urodz]])</f>
        <v>29</v>
      </c>
      <c r="G103" s="1" cm="1">
        <f t="array" ref="G10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04" spans="1:7" x14ac:dyDescent="0.25">
      <c r="A104" s="1" t="s">
        <v>163</v>
      </c>
      <c r="B104" s="1" t="s">
        <v>39</v>
      </c>
      <c r="C104" s="2">
        <v>23679</v>
      </c>
      <c r="D104" s="1" t="s">
        <v>12</v>
      </c>
      <c r="E104" s="1">
        <f>IF(RIGHT(ubezpieczenia5[[#This Row],[Imie]],1)="a",1,0)</f>
        <v>1</v>
      </c>
      <c r="F104" s="1">
        <f>2016-YEAR(ubezpieczenia5[[#This Row],[Data_urodz]])</f>
        <v>52</v>
      </c>
      <c r="G104" s="1" cm="1">
        <f t="array" ref="G10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05" spans="1:7" x14ac:dyDescent="0.25">
      <c r="A105" s="1" t="s">
        <v>75</v>
      </c>
      <c r="B105" s="1" t="s">
        <v>165</v>
      </c>
      <c r="C105" s="2">
        <v>26239</v>
      </c>
      <c r="D105" s="1" t="s">
        <v>12</v>
      </c>
      <c r="E105" s="1">
        <f>IF(RIGHT(ubezpieczenia5[[#This Row],[Imie]],1)="a",1,0)</f>
        <v>1</v>
      </c>
      <c r="F105" s="1">
        <f>2016-YEAR(ubezpieczenia5[[#This Row],[Data_urodz]])</f>
        <v>45</v>
      </c>
      <c r="G105" s="1" cm="1">
        <f t="array" ref="G10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06" spans="1:7" x14ac:dyDescent="0.25">
      <c r="A106" s="1" t="s">
        <v>166</v>
      </c>
      <c r="B106" s="1" t="s">
        <v>167</v>
      </c>
      <c r="C106" s="2">
        <v>30774</v>
      </c>
      <c r="D106" s="1" t="s">
        <v>6</v>
      </c>
      <c r="E106" s="1">
        <f>IF(RIGHT(ubezpieczenia5[[#This Row],[Imie]],1)="a",1,0)</f>
        <v>0</v>
      </c>
      <c r="F106" s="1">
        <f>2016-YEAR(ubezpieczenia5[[#This Row],[Data_urodz]])</f>
        <v>32</v>
      </c>
      <c r="G106" s="1" cm="1">
        <f t="array" ref="G10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07" spans="1:7" x14ac:dyDescent="0.25">
      <c r="A107" s="1" t="s">
        <v>168</v>
      </c>
      <c r="B107" s="1" t="s">
        <v>169</v>
      </c>
      <c r="C107" s="2">
        <v>25818</v>
      </c>
      <c r="D107" s="1" t="s">
        <v>6</v>
      </c>
      <c r="E107" s="1">
        <f>IF(RIGHT(ubezpieczenia5[[#This Row],[Imie]],1)="a",1,0)</f>
        <v>0</v>
      </c>
      <c r="F107" s="1">
        <f>2016-YEAR(ubezpieczenia5[[#This Row],[Data_urodz]])</f>
        <v>46</v>
      </c>
      <c r="G107" s="1" cm="1">
        <f t="array" ref="G10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08" spans="1:7" x14ac:dyDescent="0.25">
      <c r="A108" s="1" t="s">
        <v>170</v>
      </c>
      <c r="B108" s="1" t="s">
        <v>171</v>
      </c>
      <c r="C108" s="2">
        <v>16529</v>
      </c>
      <c r="D108" s="1" t="s">
        <v>40</v>
      </c>
      <c r="E108" s="1">
        <f>IF(RIGHT(ubezpieczenia5[[#This Row],[Imie]],1)="a",1,0)</f>
        <v>1</v>
      </c>
      <c r="F108" s="1">
        <f>2016-YEAR(ubezpieczenia5[[#This Row],[Data_urodz]])</f>
        <v>71</v>
      </c>
      <c r="G108" s="1" cm="1">
        <f t="array" ref="G10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09" spans="1:7" x14ac:dyDescent="0.25">
      <c r="A109" s="1" t="s">
        <v>172</v>
      </c>
      <c r="B109" s="1" t="s">
        <v>5</v>
      </c>
      <c r="C109" s="2">
        <v>30530</v>
      </c>
      <c r="D109" s="1" t="s">
        <v>40</v>
      </c>
      <c r="E109" s="1">
        <f>IF(RIGHT(ubezpieczenia5[[#This Row],[Imie]],1)="a",1,0)</f>
        <v>1</v>
      </c>
      <c r="F109" s="1">
        <f>2016-YEAR(ubezpieczenia5[[#This Row],[Data_urodz]])</f>
        <v>33</v>
      </c>
      <c r="G109" s="1" cm="1">
        <f t="array" ref="G10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10" spans="1:7" x14ac:dyDescent="0.25">
      <c r="A110" s="1" t="s">
        <v>173</v>
      </c>
      <c r="B110" s="1" t="s">
        <v>77</v>
      </c>
      <c r="C110" s="2">
        <v>31601</v>
      </c>
      <c r="D110" s="1" t="s">
        <v>12</v>
      </c>
      <c r="E110" s="1">
        <f>IF(RIGHT(ubezpieczenia5[[#This Row],[Imie]],1)="a",1,0)</f>
        <v>0</v>
      </c>
      <c r="F110" s="1">
        <f>2016-YEAR(ubezpieczenia5[[#This Row],[Data_urodz]])</f>
        <v>30</v>
      </c>
      <c r="G110" s="1" cm="1">
        <f t="array" ref="G11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11" spans="1:7" x14ac:dyDescent="0.25">
      <c r="A111" s="1" t="s">
        <v>174</v>
      </c>
      <c r="B111" s="1" t="s">
        <v>157</v>
      </c>
      <c r="C111" s="2">
        <v>28427</v>
      </c>
      <c r="D111" s="1" t="s">
        <v>12</v>
      </c>
      <c r="E111" s="1">
        <f>IF(RIGHT(ubezpieczenia5[[#This Row],[Imie]],1)="a",1,0)</f>
        <v>1</v>
      </c>
      <c r="F111" s="1">
        <f>2016-YEAR(ubezpieczenia5[[#This Row],[Data_urodz]])</f>
        <v>39</v>
      </c>
      <c r="G111" s="1" cm="1">
        <f t="array" ref="G11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12" spans="1:7" x14ac:dyDescent="0.25">
      <c r="A112" s="1" t="s">
        <v>175</v>
      </c>
      <c r="B112" s="1" t="s">
        <v>176</v>
      </c>
      <c r="C112" s="2">
        <v>23139</v>
      </c>
      <c r="D112" s="1" t="s">
        <v>12</v>
      </c>
      <c r="E112" s="1">
        <f>IF(RIGHT(ubezpieczenia5[[#This Row],[Imie]],1)="a",1,0)</f>
        <v>1</v>
      </c>
      <c r="F112" s="1">
        <f>2016-YEAR(ubezpieczenia5[[#This Row],[Data_urodz]])</f>
        <v>53</v>
      </c>
      <c r="G112" s="1" cm="1">
        <f t="array" ref="G11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13" spans="1:7" x14ac:dyDescent="0.25">
      <c r="A113" s="1" t="s">
        <v>174</v>
      </c>
      <c r="B113" s="1" t="s">
        <v>177</v>
      </c>
      <c r="C113" s="2">
        <v>29861</v>
      </c>
      <c r="D113" s="1" t="s">
        <v>12</v>
      </c>
      <c r="E113" s="1">
        <f>IF(RIGHT(ubezpieczenia5[[#This Row],[Imie]],1)="a",1,0)</f>
        <v>1</v>
      </c>
      <c r="F113" s="1">
        <f>2016-YEAR(ubezpieczenia5[[#This Row],[Data_urodz]])</f>
        <v>35</v>
      </c>
      <c r="G113" s="1" cm="1">
        <f t="array" ref="G11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14" spans="1:7" x14ac:dyDescent="0.25">
      <c r="A114" s="1" t="s">
        <v>178</v>
      </c>
      <c r="B114" s="1" t="s">
        <v>179</v>
      </c>
      <c r="C114" s="2">
        <v>32545</v>
      </c>
      <c r="D114" s="1" t="s">
        <v>40</v>
      </c>
      <c r="E114" s="1">
        <f>IF(RIGHT(ubezpieczenia5[[#This Row],[Imie]],1)="a",1,0)</f>
        <v>0</v>
      </c>
      <c r="F114" s="1">
        <f>2016-YEAR(ubezpieczenia5[[#This Row],[Data_urodz]])</f>
        <v>27</v>
      </c>
      <c r="G114" s="1" cm="1">
        <f t="array" ref="G11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15" spans="1:7" x14ac:dyDescent="0.25">
      <c r="A115" s="1" t="s">
        <v>180</v>
      </c>
      <c r="B115" s="1" t="s">
        <v>94</v>
      </c>
      <c r="C115" s="2">
        <v>29361</v>
      </c>
      <c r="D115" s="1" t="s">
        <v>12</v>
      </c>
      <c r="E115" s="1">
        <f>IF(RIGHT(ubezpieczenia5[[#This Row],[Imie]],1)="a",1,0)</f>
        <v>0</v>
      </c>
      <c r="F115" s="1">
        <f>2016-YEAR(ubezpieczenia5[[#This Row],[Data_urodz]])</f>
        <v>36</v>
      </c>
      <c r="G115" s="1" cm="1">
        <f t="array" ref="G11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16" spans="1:7" x14ac:dyDescent="0.25">
      <c r="A116" s="1" t="s">
        <v>181</v>
      </c>
      <c r="B116" s="1" t="s">
        <v>49</v>
      </c>
      <c r="C116" s="2">
        <v>17772</v>
      </c>
      <c r="D116" s="1" t="s">
        <v>40</v>
      </c>
      <c r="E116" s="1">
        <f>IF(RIGHT(ubezpieczenia5[[#This Row],[Imie]],1)="a",1,0)</f>
        <v>0</v>
      </c>
      <c r="F116" s="1">
        <f>2016-YEAR(ubezpieczenia5[[#This Row],[Data_urodz]])</f>
        <v>68</v>
      </c>
      <c r="G116" s="1" cm="1">
        <f t="array" ref="G11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17" spans="1:7" x14ac:dyDescent="0.25">
      <c r="A117" s="1" t="s">
        <v>182</v>
      </c>
      <c r="B117" s="1" t="s">
        <v>183</v>
      </c>
      <c r="C117" s="2">
        <v>28580</v>
      </c>
      <c r="D117" s="1" t="s">
        <v>6</v>
      </c>
      <c r="E117" s="1">
        <f>IF(RIGHT(ubezpieczenia5[[#This Row],[Imie]],1)="a",1,0)</f>
        <v>1</v>
      </c>
      <c r="F117" s="1">
        <f>2016-YEAR(ubezpieczenia5[[#This Row],[Data_urodz]])</f>
        <v>38</v>
      </c>
      <c r="G117" s="1" cm="1">
        <f t="array" ref="G11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18" spans="1:7" x14ac:dyDescent="0.25">
      <c r="A118" s="1" t="s">
        <v>184</v>
      </c>
      <c r="B118" s="1" t="s">
        <v>185</v>
      </c>
      <c r="C118" s="2">
        <v>21154</v>
      </c>
      <c r="D118" s="1" t="s">
        <v>40</v>
      </c>
      <c r="E118" s="1">
        <f>IF(RIGHT(ubezpieczenia5[[#This Row],[Imie]],1)="a",1,0)</f>
        <v>1</v>
      </c>
      <c r="F118" s="1">
        <f>2016-YEAR(ubezpieczenia5[[#This Row],[Data_urodz]])</f>
        <v>59</v>
      </c>
      <c r="G118" s="1" cm="1">
        <f t="array" ref="G11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19" spans="1:7" x14ac:dyDescent="0.25">
      <c r="A119" s="1" t="s">
        <v>186</v>
      </c>
      <c r="B119" s="1" t="s">
        <v>54</v>
      </c>
      <c r="C119" s="2">
        <v>18183</v>
      </c>
      <c r="D119" s="1" t="s">
        <v>12</v>
      </c>
      <c r="E119" s="1">
        <f>IF(RIGHT(ubezpieczenia5[[#This Row],[Imie]],1)="a",1,0)</f>
        <v>1</v>
      </c>
      <c r="F119" s="1">
        <f>2016-YEAR(ubezpieczenia5[[#This Row],[Data_urodz]])</f>
        <v>67</v>
      </c>
      <c r="G119" s="1" cm="1">
        <f t="array" ref="G11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20" spans="1:7" x14ac:dyDescent="0.25">
      <c r="A120" s="1" t="s">
        <v>187</v>
      </c>
      <c r="B120" s="1" t="s">
        <v>188</v>
      </c>
      <c r="C120" s="2">
        <v>20630</v>
      </c>
      <c r="D120" s="1" t="s">
        <v>6</v>
      </c>
      <c r="E120" s="1">
        <f>IF(RIGHT(ubezpieczenia5[[#This Row],[Imie]],1)="a",1,0)</f>
        <v>1</v>
      </c>
      <c r="F120" s="1">
        <f>2016-YEAR(ubezpieczenia5[[#This Row],[Data_urodz]])</f>
        <v>60</v>
      </c>
      <c r="G120" s="1" cm="1">
        <f t="array" ref="G12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21" spans="1:7" x14ac:dyDescent="0.25">
      <c r="A121" s="1" t="s">
        <v>189</v>
      </c>
      <c r="B121" s="1" t="s">
        <v>49</v>
      </c>
      <c r="C121" s="2">
        <v>34364</v>
      </c>
      <c r="D121" s="1" t="s">
        <v>12</v>
      </c>
      <c r="E121" s="1">
        <f>IF(RIGHT(ubezpieczenia5[[#This Row],[Imie]],1)="a",1,0)</f>
        <v>0</v>
      </c>
      <c r="F121" s="1">
        <f>2016-YEAR(ubezpieczenia5[[#This Row],[Data_urodz]])</f>
        <v>22</v>
      </c>
      <c r="G121" s="1" cm="1">
        <f t="array" ref="G12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22" spans="1:7" x14ac:dyDescent="0.25">
      <c r="A122" s="1" t="s">
        <v>190</v>
      </c>
      <c r="B122" s="1" t="s">
        <v>20</v>
      </c>
      <c r="C122" s="2">
        <v>25582</v>
      </c>
      <c r="D122" s="1" t="s">
        <v>6</v>
      </c>
      <c r="E122" s="1">
        <f>IF(RIGHT(ubezpieczenia5[[#This Row],[Imie]],1)="a",1,0)</f>
        <v>1</v>
      </c>
      <c r="F122" s="1">
        <f>2016-YEAR(ubezpieczenia5[[#This Row],[Data_urodz]])</f>
        <v>46</v>
      </c>
      <c r="G122" s="1" cm="1">
        <f t="array" ref="G12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23" spans="1:7" x14ac:dyDescent="0.25">
      <c r="A123" s="1" t="s">
        <v>191</v>
      </c>
      <c r="B123" s="1" t="s">
        <v>192</v>
      </c>
      <c r="C123" s="2">
        <v>29350</v>
      </c>
      <c r="D123" s="1" t="s">
        <v>12</v>
      </c>
      <c r="E123" s="1">
        <f>IF(RIGHT(ubezpieczenia5[[#This Row],[Imie]],1)="a",1,0)</f>
        <v>1</v>
      </c>
      <c r="F123" s="1">
        <f>2016-YEAR(ubezpieczenia5[[#This Row],[Data_urodz]])</f>
        <v>36</v>
      </c>
      <c r="G123" s="1" cm="1">
        <f t="array" ref="G12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24" spans="1:7" x14ac:dyDescent="0.25">
      <c r="A124" s="1" t="s">
        <v>193</v>
      </c>
      <c r="B124" s="1" t="s">
        <v>194</v>
      </c>
      <c r="C124" s="2">
        <v>21704</v>
      </c>
      <c r="D124" s="1" t="s">
        <v>6</v>
      </c>
      <c r="E124" s="1">
        <f>IF(RIGHT(ubezpieczenia5[[#This Row],[Imie]],1)="a",1,0)</f>
        <v>1</v>
      </c>
      <c r="F124" s="1">
        <f>2016-YEAR(ubezpieczenia5[[#This Row],[Data_urodz]])</f>
        <v>57</v>
      </c>
      <c r="G124" s="1" cm="1">
        <f t="array" ref="G12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25" spans="1:7" x14ac:dyDescent="0.25">
      <c r="A125" s="1" t="s">
        <v>195</v>
      </c>
      <c r="B125" s="1" t="s">
        <v>192</v>
      </c>
      <c r="C125" s="2">
        <v>20436</v>
      </c>
      <c r="D125" s="1" t="s">
        <v>12</v>
      </c>
      <c r="E125" s="1">
        <f>IF(RIGHT(ubezpieczenia5[[#This Row],[Imie]],1)="a",1,0)</f>
        <v>1</v>
      </c>
      <c r="F125" s="1">
        <f>2016-YEAR(ubezpieczenia5[[#This Row],[Data_urodz]])</f>
        <v>61</v>
      </c>
      <c r="G125" s="1" cm="1">
        <f t="array" ref="G12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26" spans="1:7" x14ac:dyDescent="0.25">
      <c r="A126" s="1" t="s">
        <v>196</v>
      </c>
      <c r="B126" s="1" t="s">
        <v>139</v>
      </c>
      <c r="C126" s="2">
        <v>24475</v>
      </c>
      <c r="D126" s="1" t="s">
        <v>12</v>
      </c>
      <c r="E126" s="1">
        <f>IF(RIGHT(ubezpieczenia5[[#This Row],[Imie]],1)="a",1,0)</f>
        <v>0</v>
      </c>
      <c r="F126" s="1">
        <f>2016-YEAR(ubezpieczenia5[[#This Row],[Data_urodz]])</f>
        <v>49</v>
      </c>
      <c r="G126" s="1" cm="1">
        <f t="array" ref="G12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27" spans="1:7" x14ac:dyDescent="0.25">
      <c r="A127" s="1" t="s">
        <v>197</v>
      </c>
      <c r="B127" s="1" t="s">
        <v>87</v>
      </c>
      <c r="C127" s="2">
        <v>26773</v>
      </c>
      <c r="D127" s="1" t="s">
        <v>6</v>
      </c>
      <c r="E127" s="1">
        <f>IF(RIGHT(ubezpieczenia5[[#This Row],[Imie]],1)="a",1,0)</f>
        <v>0</v>
      </c>
      <c r="F127" s="1">
        <f>2016-YEAR(ubezpieczenia5[[#This Row],[Data_urodz]])</f>
        <v>43</v>
      </c>
      <c r="G127" s="1" cm="1">
        <f t="array" ref="G12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28" spans="1:7" x14ac:dyDescent="0.25">
      <c r="A128" s="1" t="s">
        <v>198</v>
      </c>
      <c r="B128" s="1" t="s">
        <v>199</v>
      </c>
      <c r="C128" s="2">
        <v>17668</v>
      </c>
      <c r="D128" s="1" t="s">
        <v>12</v>
      </c>
      <c r="E128" s="1">
        <f>IF(RIGHT(ubezpieczenia5[[#This Row],[Imie]],1)="a",1,0)</f>
        <v>1</v>
      </c>
      <c r="F128" s="1">
        <f>2016-YEAR(ubezpieczenia5[[#This Row],[Data_urodz]])</f>
        <v>68</v>
      </c>
      <c r="G128" s="1" cm="1">
        <f t="array" ref="G12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29" spans="1:7" x14ac:dyDescent="0.25">
      <c r="A129" s="1" t="s">
        <v>200</v>
      </c>
      <c r="B129" s="1" t="s">
        <v>201</v>
      </c>
      <c r="C129" s="2">
        <v>17382</v>
      </c>
      <c r="D129" s="1" t="s">
        <v>12</v>
      </c>
      <c r="E129" s="1">
        <f>IF(RIGHT(ubezpieczenia5[[#This Row],[Imie]],1)="a",1,0)</f>
        <v>1</v>
      </c>
      <c r="F129" s="1">
        <f>2016-YEAR(ubezpieczenia5[[#This Row],[Data_urodz]])</f>
        <v>69</v>
      </c>
      <c r="G129" s="1" cm="1">
        <f t="array" ref="G12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30" spans="1:7" x14ac:dyDescent="0.25">
      <c r="A130" s="1" t="s">
        <v>202</v>
      </c>
      <c r="B130" s="1" t="s">
        <v>8</v>
      </c>
      <c r="C130" s="2">
        <v>16976</v>
      </c>
      <c r="D130" s="1" t="s">
        <v>6</v>
      </c>
      <c r="E130" s="1">
        <f>IF(RIGHT(ubezpieczenia5[[#This Row],[Imie]],1)="a",1,0)</f>
        <v>0</v>
      </c>
      <c r="F130" s="1">
        <f>2016-YEAR(ubezpieczenia5[[#This Row],[Data_urodz]])</f>
        <v>70</v>
      </c>
      <c r="G130" s="1" cm="1">
        <f t="array" ref="G13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31" spans="1:7" x14ac:dyDescent="0.25">
      <c r="A131" s="1" t="s">
        <v>203</v>
      </c>
      <c r="B131" s="1" t="s">
        <v>204</v>
      </c>
      <c r="C131" s="2">
        <v>33779</v>
      </c>
      <c r="D131" s="1" t="s">
        <v>40</v>
      </c>
      <c r="E131" s="1">
        <f>IF(RIGHT(ubezpieczenia5[[#This Row],[Imie]],1)="a",1,0)</f>
        <v>0</v>
      </c>
      <c r="F131" s="1">
        <f>2016-YEAR(ubezpieczenia5[[#This Row],[Data_urodz]])</f>
        <v>24</v>
      </c>
      <c r="G131" s="1" cm="1">
        <f t="array" ref="G13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32" spans="1:7" x14ac:dyDescent="0.25">
      <c r="A132" s="1" t="s">
        <v>75</v>
      </c>
      <c r="B132" s="1" t="s">
        <v>37</v>
      </c>
      <c r="C132" s="2">
        <v>33885</v>
      </c>
      <c r="D132" s="1" t="s">
        <v>6</v>
      </c>
      <c r="E132" s="1">
        <f>IF(RIGHT(ubezpieczenia5[[#This Row],[Imie]],1)="a",1,0)</f>
        <v>1</v>
      </c>
      <c r="F132" s="1">
        <f>2016-YEAR(ubezpieczenia5[[#This Row],[Data_urodz]])</f>
        <v>24</v>
      </c>
      <c r="G132" s="1" cm="1">
        <f t="array" ref="G13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33" spans="1:7" x14ac:dyDescent="0.25">
      <c r="A133" s="1" t="s">
        <v>205</v>
      </c>
      <c r="B133" s="1" t="s">
        <v>25</v>
      </c>
      <c r="C133" s="2">
        <v>30498</v>
      </c>
      <c r="D133" s="1" t="s">
        <v>9</v>
      </c>
      <c r="E133" s="1">
        <f>IF(RIGHT(ubezpieczenia5[[#This Row],[Imie]],1)="a",1,0)</f>
        <v>1</v>
      </c>
      <c r="F133" s="1">
        <f>2016-YEAR(ubezpieczenia5[[#This Row],[Data_urodz]])</f>
        <v>33</v>
      </c>
      <c r="G133" s="1" cm="1">
        <f t="array" ref="G13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34" spans="1:7" x14ac:dyDescent="0.25">
      <c r="A134" s="1" t="s">
        <v>206</v>
      </c>
      <c r="B134" s="1" t="s">
        <v>167</v>
      </c>
      <c r="C134" s="2">
        <v>22090</v>
      </c>
      <c r="D134" s="1" t="s">
        <v>9</v>
      </c>
      <c r="E134" s="1">
        <f>IF(RIGHT(ubezpieczenia5[[#This Row],[Imie]],1)="a",1,0)</f>
        <v>0</v>
      </c>
      <c r="F134" s="1">
        <f>2016-YEAR(ubezpieczenia5[[#This Row],[Data_urodz]])</f>
        <v>56</v>
      </c>
      <c r="G134" s="1" cm="1">
        <f t="array" ref="G13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35" spans="1:7" x14ac:dyDescent="0.25">
      <c r="A135" s="1" t="s">
        <v>207</v>
      </c>
      <c r="B135" s="1" t="s">
        <v>37</v>
      </c>
      <c r="C135" s="2">
        <v>27938</v>
      </c>
      <c r="D135" s="1" t="s">
        <v>6</v>
      </c>
      <c r="E135" s="1">
        <f>IF(RIGHT(ubezpieczenia5[[#This Row],[Imie]],1)="a",1,0)</f>
        <v>1</v>
      </c>
      <c r="F135" s="1">
        <f>2016-YEAR(ubezpieczenia5[[#This Row],[Data_urodz]])</f>
        <v>40</v>
      </c>
      <c r="G135" s="1" cm="1">
        <f t="array" ref="G13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36" spans="1:7" x14ac:dyDescent="0.25">
      <c r="A136" s="1" t="s">
        <v>208</v>
      </c>
      <c r="B136" s="1" t="s">
        <v>47</v>
      </c>
      <c r="C136" s="2">
        <v>23762</v>
      </c>
      <c r="D136" s="1" t="s">
        <v>12</v>
      </c>
      <c r="E136" s="1">
        <f>IF(RIGHT(ubezpieczenia5[[#This Row],[Imie]],1)="a",1,0)</f>
        <v>1</v>
      </c>
      <c r="F136" s="1">
        <f>2016-YEAR(ubezpieczenia5[[#This Row],[Data_urodz]])</f>
        <v>51</v>
      </c>
      <c r="G136" s="1" cm="1">
        <f t="array" ref="G13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37" spans="1:7" x14ac:dyDescent="0.25">
      <c r="A137" s="1" t="s">
        <v>209</v>
      </c>
      <c r="B137" s="1" t="s">
        <v>131</v>
      </c>
      <c r="C137" s="2">
        <v>25158</v>
      </c>
      <c r="D137" s="1" t="s">
        <v>6</v>
      </c>
      <c r="E137" s="1">
        <f>IF(RIGHT(ubezpieczenia5[[#This Row],[Imie]],1)="a",1,0)</f>
        <v>1</v>
      </c>
      <c r="F137" s="1">
        <f>2016-YEAR(ubezpieczenia5[[#This Row],[Data_urodz]])</f>
        <v>48</v>
      </c>
      <c r="G137" s="1" cm="1">
        <f t="array" ref="G13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38" spans="1:7" x14ac:dyDescent="0.25">
      <c r="A138" s="1" t="s">
        <v>210</v>
      </c>
      <c r="B138" s="1" t="s">
        <v>37</v>
      </c>
      <c r="C138" s="2">
        <v>24824</v>
      </c>
      <c r="D138" s="1" t="s">
        <v>12</v>
      </c>
      <c r="E138" s="1">
        <f>IF(RIGHT(ubezpieczenia5[[#This Row],[Imie]],1)="a",1,0)</f>
        <v>1</v>
      </c>
      <c r="F138" s="1">
        <f>2016-YEAR(ubezpieczenia5[[#This Row],[Data_urodz]])</f>
        <v>49</v>
      </c>
      <c r="G138" s="1" cm="1">
        <f t="array" ref="G13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39" spans="1:7" x14ac:dyDescent="0.25">
      <c r="A139" s="1" t="s">
        <v>211</v>
      </c>
      <c r="B139" s="1" t="s">
        <v>49</v>
      </c>
      <c r="C139" s="2">
        <v>33398</v>
      </c>
      <c r="D139" s="1" t="s">
        <v>9</v>
      </c>
      <c r="E139" s="1">
        <f>IF(RIGHT(ubezpieczenia5[[#This Row],[Imie]],1)="a",1,0)</f>
        <v>0</v>
      </c>
      <c r="F139" s="1">
        <f>2016-YEAR(ubezpieczenia5[[#This Row],[Data_urodz]])</f>
        <v>25</v>
      </c>
      <c r="G139" s="1" cm="1">
        <f t="array" ref="G13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40" spans="1:7" x14ac:dyDescent="0.25">
      <c r="A140" s="1" t="s">
        <v>212</v>
      </c>
      <c r="B140" s="1" t="s">
        <v>18</v>
      </c>
      <c r="C140" s="2">
        <v>34795</v>
      </c>
      <c r="D140" s="1" t="s">
        <v>9</v>
      </c>
      <c r="E140" s="1">
        <f>IF(RIGHT(ubezpieczenia5[[#This Row],[Imie]],1)="a",1,0)</f>
        <v>0</v>
      </c>
      <c r="F140" s="1">
        <f>2016-YEAR(ubezpieczenia5[[#This Row],[Data_urodz]])</f>
        <v>21</v>
      </c>
      <c r="G140" s="1" cm="1">
        <f t="array" ref="G14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41" spans="1:7" x14ac:dyDescent="0.25">
      <c r="A141" s="1" t="s">
        <v>88</v>
      </c>
      <c r="B141" s="1" t="s">
        <v>213</v>
      </c>
      <c r="C141" s="2">
        <v>20374</v>
      </c>
      <c r="D141" s="1" t="s">
        <v>12</v>
      </c>
      <c r="E141" s="1">
        <f>IF(RIGHT(ubezpieczenia5[[#This Row],[Imie]],1)="a",1,0)</f>
        <v>1</v>
      </c>
      <c r="F141" s="1">
        <f>2016-YEAR(ubezpieczenia5[[#This Row],[Data_urodz]])</f>
        <v>61</v>
      </c>
      <c r="G141" s="1" cm="1">
        <f t="array" ref="G14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42" spans="1:7" x14ac:dyDescent="0.25">
      <c r="A142" s="1" t="s">
        <v>214</v>
      </c>
      <c r="B142" s="1" t="s">
        <v>165</v>
      </c>
      <c r="C142" s="2">
        <v>25416</v>
      </c>
      <c r="D142" s="1" t="s">
        <v>12</v>
      </c>
      <c r="E142" s="1">
        <f>IF(RIGHT(ubezpieczenia5[[#This Row],[Imie]],1)="a",1,0)</f>
        <v>1</v>
      </c>
      <c r="F142" s="1">
        <f>2016-YEAR(ubezpieczenia5[[#This Row],[Data_urodz]])</f>
        <v>47</v>
      </c>
      <c r="G142" s="1" cm="1">
        <f t="array" ref="G14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43" spans="1:7" x14ac:dyDescent="0.25">
      <c r="A143" s="1" t="s">
        <v>215</v>
      </c>
      <c r="B143" s="1" t="s">
        <v>216</v>
      </c>
      <c r="C143" s="2">
        <v>21548</v>
      </c>
      <c r="D143" s="1" t="s">
        <v>12</v>
      </c>
      <c r="E143" s="1">
        <f>IF(RIGHT(ubezpieczenia5[[#This Row],[Imie]],1)="a",1,0)</f>
        <v>1</v>
      </c>
      <c r="F143" s="1">
        <f>2016-YEAR(ubezpieczenia5[[#This Row],[Data_urodz]])</f>
        <v>58</v>
      </c>
      <c r="G143" s="1" cm="1">
        <f t="array" ref="G14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44" spans="1:7" x14ac:dyDescent="0.25">
      <c r="A144" s="1" t="s">
        <v>217</v>
      </c>
      <c r="B144" s="1" t="s">
        <v>54</v>
      </c>
      <c r="C144" s="2">
        <v>31232</v>
      </c>
      <c r="D144" s="1" t="s">
        <v>9</v>
      </c>
      <c r="E144" s="1">
        <f>IF(RIGHT(ubezpieczenia5[[#This Row],[Imie]],1)="a",1,0)</f>
        <v>1</v>
      </c>
      <c r="F144" s="1">
        <f>2016-YEAR(ubezpieczenia5[[#This Row],[Data_urodz]])</f>
        <v>31</v>
      </c>
      <c r="G144" s="1" cm="1">
        <f t="array" ref="G14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45" spans="1:7" x14ac:dyDescent="0.25">
      <c r="A145" s="1" t="s">
        <v>218</v>
      </c>
      <c r="B145" s="1" t="s">
        <v>121</v>
      </c>
      <c r="C145" s="2">
        <v>28472</v>
      </c>
      <c r="D145" s="1" t="s">
        <v>12</v>
      </c>
      <c r="E145" s="1">
        <f>IF(RIGHT(ubezpieczenia5[[#This Row],[Imie]],1)="a",1,0)</f>
        <v>1</v>
      </c>
      <c r="F145" s="1">
        <f>2016-YEAR(ubezpieczenia5[[#This Row],[Data_urodz]])</f>
        <v>39</v>
      </c>
      <c r="G145" s="1" cm="1">
        <f t="array" ref="G14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46" spans="1:7" x14ac:dyDescent="0.25">
      <c r="A146" s="1" t="s">
        <v>219</v>
      </c>
      <c r="B146" s="1" t="s">
        <v>29</v>
      </c>
      <c r="C146" s="2">
        <v>34287</v>
      </c>
      <c r="D146" s="1" t="s">
        <v>12</v>
      </c>
      <c r="E146" s="1">
        <f>IF(RIGHT(ubezpieczenia5[[#This Row],[Imie]],1)="a",1,0)</f>
        <v>0</v>
      </c>
      <c r="F146" s="1">
        <f>2016-YEAR(ubezpieczenia5[[#This Row],[Data_urodz]])</f>
        <v>23</v>
      </c>
      <c r="G146" s="1" cm="1">
        <f t="array" ref="G14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47" spans="1:7" x14ac:dyDescent="0.25">
      <c r="A147" s="1" t="s">
        <v>220</v>
      </c>
      <c r="B147" s="1" t="s">
        <v>92</v>
      </c>
      <c r="C147" s="2">
        <v>24972</v>
      </c>
      <c r="D147" s="1" t="s">
        <v>6</v>
      </c>
      <c r="E147" s="1">
        <f>IF(RIGHT(ubezpieczenia5[[#This Row],[Imie]],1)="a",1,0)</f>
        <v>0</v>
      </c>
      <c r="F147" s="1">
        <f>2016-YEAR(ubezpieczenia5[[#This Row],[Data_urodz]])</f>
        <v>48</v>
      </c>
      <c r="G147" s="1" cm="1">
        <f t="array" ref="G14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48" spans="1:7" x14ac:dyDescent="0.25">
      <c r="A148" s="1" t="s">
        <v>221</v>
      </c>
      <c r="B148" s="1" t="s">
        <v>154</v>
      </c>
      <c r="C148" s="2">
        <v>18787</v>
      </c>
      <c r="D148" s="1" t="s">
        <v>9</v>
      </c>
      <c r="E148" s="1">
        <f>IF(RIGHT(ubezpieczenia5[[#This Row],[Imie]],1)="a",1,0)</f>
        <v>1</v>
      </c>
      <c r="F148" s="1">
        <f>2016-YEAR(ubezpieczenia5[[#This Row],[Data_urodz]])</f>
        <v>65</v>
      </c>
      <c r="G148" s="1" cm="1">
        <f t="array" ref="G14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49" spans="1:7" x14ac:dyDescent="0.25">
      <c r="A149" s="1" t="s">
        <v>222</v>
      </c>
      <c r="B149" s="1" t="s">
        <v>49</v>
      </c>
      <c r="C149" s="2">
        <v>27611</v>
      </c>
      <c r="D149" s="1" t="s">
        <v>9</v>
      </c>
      <c r="E149" s="1">
        <f>IF(RIGHT(ubezpieczenia5[[#This Row],[Imie]],1)="a",1,0)</f>
        <v>0</v>
      </c>
      <c r="F149" s="1">
        <f>2016-YEAR(ubezpieczenia5[[#This Row],[Data_urodz]])</f>
        <v>41</v>
      </c>
      <c r="G149" s="1" cm="1">
        <f t="array" ref="G14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50" spans="1:7" x14ac:dyDescent="0.25">
      <c r="A150" s="1" t="s">
        <v>223</v>
      </c>
      <c r="B150" s="1" t="s">
        <v>224</v>
      </c>
      <c r="C150" s="2">
        <v>26071</v>
      </c>
      <c r="D150" s="1" t="s">
        <v>12</v>
      </c>
      <c r="E150" s="1">
        <f>IF(RIGHT(ubezpieczenia5[[#This Row],[Imie]],1)="a",1,0)</f>
        <v>1</v>
      </c>
      <c r="F150" s="1">
        <f>2016-YEAR(ubezpieczenia5[[#This Row],[Data_urodz]])</f>
        <v>45</v>
      </c>
      <c r="G150" s="1" cm="1">
        <f t="array" ref="G15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51" spans="1:7" x14ac:dyDescent="0.25">
      <c r="A151" s="1" t="s">
        <v>225</v>
      </c>
      <c r="B151" s="1" t="s">
        <v>20</v>
      </c>
      <c r="C151" s="2">
        <v>18285</v>
      </c>
      <c r="D151" s="1" t="s">
        <v>6</v>
      </c>
      <c r="E151" s="1">
        <f>IF(RIGHT(ubezpieczenia5[[#This Row],[Imie]],1)="a",1,0)</f>
        <v>1</v>
      </c>
      <c r="F151" s="1">
        <f>2016-YEAR(ubezpieczenia5[[#This Row],[Data_urodz]])</f>
        <v>66</v>
      </c>
      <c r="G151" s="1" cm="1">
        <f t="array" ref="G15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52" spans="1:7" x14ac:dyDescent="0.25">
      <c r="A152" s="1" t="s">
        <v>226</v>
      </c>
      <c r="B152" s="1" t="s">
        <v>8</v>
      </c>
      <c r="C152" s="2">
        <v>33696</v>
      </c>
      <c r="D152" s="1" t="s">
        <v>12</v>
      </c>
      <c r="E152" s="1">
        <f>IF(RIGHT(ubezpieczenia5[[#This Row],[Imie]],1)="a",1,0)</f>
        <v>0</v>
      </c>
      <c r="F152" s="1">
        <f>2016-YEAR(ubezpieczenia5[[#This Row],[Data_urodz]])</f>
        <v>24</v>
      </c>
      <c r="G152" s="1" cm="1">
        <f t="array" ref="G15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53" spans="1:7" x14ac:dyDescent="0.25">
      <c r="A153" s="1" t="s">
        <v>227</v>
      </c>
      <c r="B153" s="1" t="s">
        <v>81</v>
      </c>
      <c r="C153" s="2">
        <v>25404</v>
      </c>
      <c r="D153" s="1" t="s">
        <v>12</v>
      </c>
      <c r="E153" s="1">
        <f>IF(RIGHT(ubezpieczenia5[[#This Row],[Imie]],1)="a",1,0)</f>
        <v>1</v>
      </c>
      <c r="F153" s="1">
        <f>2016-YEAR(ubezpieczenia5[[#This Row],[Data_urodz]])</f>
        <v>47</v>
      </c>
      <c r="G153" s="1" cm="1">
        <f t="array" ref="G15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54" spans="1:7" x14ac:dyDescent="0.25">
      <c r="A154" s="1" t="s">
        <v>26</v>
      </c>
      <c r="B154" s="1" t="s">
        <v>114</v>
      </c>
      <c r="C154" s="2">
        <v>21769</v>
      </c>
      <c r="D154" s="1" t="s">
        <v>6</v>
      </c>
      <c r="E154" s="1">
        <f>IF(RIGHT(ubezpieczenia5[[#This Row],[Imie]],1)="a",1,0)</f>
        <v>0</v>
      </c>
      <c r="F154" s="1">
        <f>2016-YEAR(ubezpieczenia5[[#This Row],[Data_urodz]])</f>
        <v>57</v>
      </c>
      <c r="G154" s="1" cm="1">
        <f t="array" ref="G15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55" spans="1:7" x14ac:dyDescent="0.25">
      <c r="A155" s="1" t="s">
        <v>228</v>
      </c>
      <c r="B155" s="1" t="s">
        <v>49</v>
      </c>
      <c r="C155" s="2">
        <v>26490</v>
      </c>
      <c r="D155" s="1" t="s">
        <v>6</v>
      </c>
      <c r="E155" s="1">
        <f>IF(RIGHT(ubezpieczenia5[[#This Row],[Imie]],1)="a",1,0)</f>
        <v>0</v>
      </c>
      <c r="F155" s="1">
        <f>2016-YEAR(ubezpieczenia5[[#This Row],[Data_urodz]])</f>
        <v>44</v>
      </c>
      <c r="G155" s="1" cm="1">
        <f t="array" ref="G15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56" spans="1:7" x14ac:dyDescent="0.25">
      <c r="A156" s="1" t="s">
        <v>229</v>
      </c>
      <c r="B156" s="1" t="s">
        <v>105</v>
      </c>
      <c r="C156" s="2">
        <v>28897</v>
      </c>
      <c r="D156" s="1" t="s">
        <v>9</v>
      </c>
      <c r="E156" s="1">
        <f>IF(RIGHT(ubezpieczenia5[[#This Row],[Imie]],1)="a",1,0)</f>
        <v>1</v>
      </c>
      <c r="F156" s="1">
        <f>2016-YEAR(ubezpieczenia5[[#This Row],[Data_urodz]])</f>
        <v>37</v>
      </c>
      <c r="G156" s="1" cm="1">
        <f t="array" ref="G15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57" spans="1:7" x14ac:dyDescent="0.25">
      <c r="A157" s="1" t="s">
        <v>230</v>
      </c>
      <c r="B157" s="1" t="s">
        <v>231</v>
      </c>
      <c r="C157" s="2">
        <v>33454</v>
      </c>
      <c r="D157" s="1" t="s">
        <v>12</v>
      </c>
      <c r="E157" s="1">
        <f>IF(RIGHT(ubezpieczenia5[[#This Row],[Imie]],1)="a",1,0)</f>
        <v>1</v>
      </c>
      <c r="F157" s="1">
        <f>2016-YEAR(ubezpieczenia5[[#This Row],[Data_urodz]])</f>
        <v>25</v>
      </c>
      <c r="G157" s="1" cm="1">
        <f t="array" ref="G15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58" spans="1:7" x14ac:dyDescent="0.25">
      <c r="A158" s="1" t="s">
        <v>232</v>
      </c>
      <c r="B158" s="1" t="s">
        <v>233</v>
      </c>
      <c r="C158" s="2">
        <v>24539</v>
      </c>
      <c r="D158" s="1" t="s">
        <v>12</v>
      </c>
      <c r="E158" s="1">
        <f>IF(RIGHT(ubezpieczenia5[[#This Row],[Imie]],1)="a",1,0)</f>
        <v>0</v>
      </c>
      <c r="F158" s="1">
        <f>2016-YEAR(ubezpieczenia5[[#This Row],[Data_urodz]])</f>
        <v>49</v>
      </c>
      <c r="G158" s="1" cm="1">
        <f t="array" ref="G15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59" spans="1:7" x14ac:dyDescent="0.25">
      <c r="A159" s="1" t="s">
        <v>234</v>
      </c>
      <c r="B159" s="1" t="s">
        <v>235</v>
      </c>
      <c r="C159" s="2">
        <v>27992</v>
      </c>
      <c r="D159" s="1" t="s">
        <v>6</v>
      </c>
      <c r="E159" s="1">
        <f>IF(RIGHT(ubezpieczenia5[[#This Row],[Imie]],1)="a",1,0)</f>
        <v>1</v>
      </c>
      <c r="F159" s="1">
        <f>2016-YEAR(ubezpieczenia5[[#This Row],[Data_urodz]])</f>
        <v>40</v>
      </c>
      <c r="G159" s="1" cm="1">
        <f t="array" ref="G15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60" spans="1:7" x14ac:dyDescent="0.25">
      <c r="A160" s="1" t="s">
        <v>147</v>
      </c>
      <c r="B160" s="1" t="s">
        <v>236</v>
      </c>
      <c r="C160" s="2">
        <v>26335</v>
      </c>
      <c r="D160" s="1" t="s">
        <v>40</v>
      </c>
      <c r="E160" s="1">
        <f>IF(RIGHT(ubezpieczenia5[[#This Row],[Imie]],1)="a",1,0)</f>
        <v>1</v>
      </c>
      <c r="F160" s="1">
        <f>2016-YEAR(ubezpieczenia5[[#This Row],[Data_urodz]])</f>
        <v>44</v>
      </c>
      <c r="G160" s="1" cm="1">
        <f t="array" ref="G16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61" spans="1:7" x14ac:dyDescent="0.25">
      <c r="A161" s="1" t="s">
        <v>237</v>
      </c>
      <c r="B161" s="1" t="s">
        <v>167</v>
      </c>
      <c r="C161" s="2">
        <v>31095</v>
      </c>
      <c r="D161" s="1" t="s">
        <v>12</v>
      </c>
      <c r="E161" s="1">
        <f>IF(RIGHT(ubezpieczenia5[[#This Row],[Imie]],1)="a",1,0)</f>
        <v>0</v>
      </c>
      <c r="F161" s="1">
        <f>2016-YEAR(ubezpieczenia5[[#This Row],[Data_urodz]])</f>
        <v>31</v>
      </c>
      <c r="G161" s="1" cm="1">
        <f t="array" ref="G16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62" spans="1:7" x14ac:dyDescent="0.25">
      <c r="A162" s="1" t="s">
        <v>238</v>
      </c>
      <c r="B162" s="1" t="s">
        <v>169</v>
      </c>
      <c r="C162" s="2">
        <v>26112</v>
      </c>
      <c r="D162" s="1" t="s">
        <v>40</v>
      </c>
      <c r="E162" s="1">
        <f>IF(RIGHT(ubezpieczenia5[[#This Row],[Imie]],1)="a",1,0)</f>
        <v>0</v>
      </c>
      <c r="F162" s="1">
        <f>2016-YEAR(ubezpieczenia5[[#This Row],[Data_urodz]])</f>
        <v>45</v>
      </c>
      <c r="G162" s="1" cm="1">
        <f t="array" ref="G16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63" spans="1:7" x14ac:dyDescent="0.25">
      <c r="A163" s="1" t="s">
        <v>239</v>
      </c>
      <c r="B163" s="1" t="s">
        <v>54</v>
      </c>
      <c r="C163" s="2">
        <v>23272</v>
      </c>
      <c r="D163" s="1" t="s">
        <v>6</v>
      </c>
      <c r="E163" s="1">
        <f>IF(RIGHT(ubezpieczenia5[[#This Row],[Imie]],1)="a",1,0)</f>
        <v>1</v>
      </c>
      <c r="F163" s="1">
        <f>2016-YEAR(ubezpieczenia5[[#This Row],[Data_urodz]])</f>
        <v>53</v>
      </c>
      <c r="G163" s="1" cm="1">
        <f t="array" ref="G16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64" spans="1:7" x14ac:dyDescent="0.25">
      <c r="A164" s="1" t="s">
        <v>240</v>
      </c>
      <c r="B164" s="1" t="s">
        <v>32</v>
      </c>
      <c r="C164" s="2">
        <v>32952</v>
      </c>
      <c r="D164" s="1" t="s">
        <v>40</v>
      </c>
      <c r="E164" s="1">
        <f>IF(RIGHT(ubezpieczenia5[[#This Row],[Imie]],1)="a",1,0)</f>
        <v>0</v>
      </c>
      <c r="F164" s="1">
        <f>2016-YEAR(ubezpieczenia5[[#This Row],[Data_urodz]])</f>
        <v>26</v>
      </c>
      <c r="G164" s="1" cm="1">
        <f t="array" ref="G16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65" spans="1:7" x14ac:dyDescent="0.25">
      <c r="A165" s="1" t="s">
        <v>241</v>
      </c>
      <c r="B165" s="1" t="s">
        <v>39</v>
      </c>
      <c r="C165" s="2">
        <v>19759</v>
      </c>
      <c r="D165" s="1" t="s">
        <v>9</v>
      </c>
      <c r="E165" s="1">
        <f>IF(RIGHT(ubezpieczenia5[[#This Row],[Imie]],1)="a",1,0)</f>
        <v>1</v>
      </c>
      <c r="F165" s="1">
        <f>2016-YEAR(ubezpieczenia5[[#This Row],[Data_urodz]])</f>
        <v>62</v>
      </c>
      <c r="G165" s="1" cm="1">
        <f t="array" ref="G16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66" spans="1:7" x14ac:dyDescent="0.25">
      <c r="A166" s="1" t="s">
        <v>242</v>
      </c>
      <c r="B166" s="1" t="s">
        <v>152</v>
      </c>
      <c r="C166" s="2">
        <v>27324</v>
      </c>
      <c r="D166" s="1" t="s">
        <v>9</v>
      </c>
      <c r="E166" s="1">
        <f>IF(RIGHT(ubezpieczenia5[[#This Row],[Imie]],1)="a",1,0)</f>
        <v>0</v>
      </c>
      <c r="F166" s="1">
        <f>2016-YEAR(ubezpieczenia5[[#This Row],[Data_urodz]])</f>
        <v>42</v>
      </c>
      <c r="G166" s="1" cm="1">
        <f t="array" ref="G16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67" spans="1:7" x14ac:dyDescent="0.25">
      <c r="A167" s="1" t="s">
        <v>243</v>
      </c>
      <c r="B167" s="1" t="s">
        <v>236</v>
      </c>
      <c r="C167" s="2">
        <v>21838</v>
      </c>
      <c r="D167" s="1" t="s">
        <v>6</v>
      </c>
      <c r="E167" s="1">
        <f>IF(RIGHT(ubezpieczenia5[[#This Row],[Imie]],1)="a",1,0)</f>
        <v>1</v>
      </c>
      <c r="F167" s="1">
        <f>2016-YEAR(ubezpieczenia5[[#This Row],[Data_urodz]])</f>
        <v>57</v>
      </c>
      <c r="G167" s="1" cm="1">
        <f t="array" ref="G16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68" spans="1:7" x14ac:dyDescent="0.25">
      <c r="A168" s="1" t="s">
        <v>244</v>
      </c>
      <c r="B168" s="1" t="s">
        <v>47</v>
      </c>
      <c r="C168" s="2">
        <v>21051</v>
      </c>
      <c r="D168" s="1" t="s">
        <v>40</v>
      </c>
      <c r="E168" s="1">
        <f>IF(RIGHT(ubezpieczenia5[[#This Row],[Imie]],1)="a",1,0)</f>
        <v>1</v>
      </c>
      <c r="F168" s="1">
        <f>2016-YEAR(ubezpieczenia5[[#This Row],[Data_urodz]])</f>
        <v>59</v>
      </c>
      <c r="G168" s="1" cm="1">
        <f t="array" ref="G16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69" spans="1:7" x14ac:dyDescent="0.25">
      <c r="A169" s="1" t="s">
        <v>245</v>
      </c>
      <c r="B169" s="1" t="s">
        <v>246</v>
      </c>
      <c r="C169" s="2">
        <v>31292</v>
      </c>
      <c r="D169" s="1" t="s">
        <v>40</v>
      </c>
      <c r="E169" s="1">
        <f>IF(RIGHT(ubezpieczenia5[[#This Row],[Imie]],1)="a",1,0)</f>
        <v>0</v>
      </c>
      <c r="F169" s="1">
        <f>2016-YEAR(ubezpieczenia5[[#This Row],[Data_urodz]])</f>
        <v>31</v>
      </c>
      <c r="G169" s="1" cm="1">
        <f t="array" ref="G16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70" spans="1:7" x14ac:dyDescent="0.25">
      <c r="A170" s="1" t="s">
        <v>247</v>
      </c>
      <c r="B170" s="1" t="s">
        <v>248</v>
      </c>
      <c r="C170" s="2">
        <v>17179</v>
      </c>
      <c r="D170" s="1" t="s">
        <v>12</v>
      </c>
      <c r="E170" s="1">
        <f>IF(RIGHT(ubezpieczenia5[[#This Row],[Imie]],1)="a",1,0)</f>
        <v>1</v>
      </c>
      <c r="F170" s="1">
        <f>2016-YEAR(ubezpieczenia5[[#This Row],[Data_urodz]])</f>
        <v>69</v>
      </c>
      <c r="G170" s="1" cm="1">
        <f t="array" ref="G17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71" spans="1:7" x14ac:dyDescent="0.25">
      <c r="A171" s="1" t="s">
        <v>249</v>
      </c>
      <c r="B171" s="1" t="s">
        <v>250</v>
      </c>
      <c r="C171" s="2">
        <v>32305</v>
      </c>
      <c r="D171" s="1" t="s">
        <v>6</v>
      </c>
      <c r="E171" s="1">
        <f>IF(RIGHT(ubezpieczenia5[[#This Row],[Imie]],1)="a",1,0)</f>
        <v>0</v>
      </c>
      <c r="F171" s="1">
        <f>2016-YEAR(ubezpieczenia5[[#This Row],[Data_urodz]])</f>
        <v>28</v>
      </c>
      <c r="G171" s="1" cm="1">
        <f t="array" ref="G17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72" spans="1:7" x14ac:dyDescent="0.25">
      <c r="A172" s="1" t="s">
        <v>251</v>
      </c>
      <c r="B172" s="1" t="s">
        <v>252</v>
      </c>
      <c r="C172" s="2">
        <v>32081</v>
      </c>
      <c r="D172" s="1" t="s">
        <v>12</v>
      </c>
      <c r="E172" s="1">
        <f>IF(RIGHT(ubezpieczenia5[[#This Row],[Imie]],1)="a",1,0)</f>
        <v>0</v>
      </c>
      <c r="F172" s="1">
        <f>2016-YEAR(ubezpieczenia5[[#This Row],[Data_urodz]])</f>
        <v>29</v>
      </c>
      <c r="G172" s="1" cm="1">
        <f t="array" ref="G17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73" spans="1:7" x14ac:dyDescent="0.25">
      <c r="A173" s="1" t="s">
        <v>253</v>
      </c>
      <c r="B173" s="1" t="s">
        <v>121</v>
      </c>
      <c r="C173" s="2">
        <v>31749</v>
      </c>
      <c r="D173" s="1" t="s">
        <v>6</v>
      </c>
      <c r="E173" s="1">
        <f>IF(RIGHT(ubezpieczenia5[[#This Row],[Imie]],1)="a",1,0)</f>
        <v>1</v>
      </c>
      <c r="F173" s="1">
        <f>2016-YEAR(ubezpieczenia5[[#This Row],[Data_urodz]])</f>
        <v>30</v>
      </c>
      <c r="G173" s="1" cm="1">
        <f t="array" ref="G17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74" spans="1:7" x14ac:dyDescent="0.25">
      <c r="A174" s="1" t="s">
        <v>254</v>
      </c>
      <c r="B174" s="1" t="s">
        <v>255</v>
      </c>
      <c r="C174" s="2">
        <v>18648</v>
      </c>
      <c r="D174" s="1" t="s">
        <v>40</v>
      </c>
      <c r="E174" s="1">
        <f>IF(RIGHT(ubezpieczenia5[[#This Row],[Imie]],1)="a",1,0)</f>
        <v>0</v>
      </c>
      <c r="F174" s="1">
        <f>2016-YEAR(ubezpieczenia5[[#This Row],[Data_urodz]])</f>
        <v>65</v>
      </c>
      <c r="G174" s="1" cm="1">
        <f t="array" ref="G17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75" spans="1:7" x14ac:dyDescent="0.25">
      <c r="A175" s="1" t="s">
        <v>256</v>
      </c>
      <c r="B175" s="1" t="s">
        <v>257</v>
      </c>
      <c r="C175" s="2">
        <v>16734</v>
      </c>
      <c r="D175" s="1" t="s">
        <v>6</v>
      </c>
      <c r="E175" s="1">
        <f>IF(RIGHT(ubezpieczenia5[[#This Row],[Imie]],1)="a",1,0)</f>
        <v>0</v>
      </c>
      <c r="F175" s="1">
        <f>2016-YEAR(ubezpieczenia5[[#This Row],[Data_urodz]])</f>
        <v>71</v>
      </c>
      <c r="G175" s="1" cm="1">
        <f t="array" ref="G17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76" spans="1:7" x14ac:dyDescent="0.25">
      <c r="A176" s="1" t="s">
        <v>258</v>
      </c>
      <c r="B176" s="1" t="s">
        <v>47</v>
      </c>
      <c r="C176" s="2">
        <v>25036</v>
      </c>
      <c r="D176" s="1" t="s">
        <v>12</v>
      </c>
      <c r="E176" s="1">
        <f>IF(RIGHT(ubezpieczenia5[[#This Row],[Imie]],1)="a",1,0)</f>
        <v>1</v>
      </c>
      <c r="F176" s="1">
        <f>2016-YEAR(ubezpieczenia5[[#This Row],[Data_urodz]])</f>
        <v>48</v>
      </c>
      <c r="G176" s="1" cm="1">
        <f t="array" ref="G17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77" spans="1:7" x14ac:dyDescent="0.25">
      <c r="A177" s="1" t="s">
        <v>259</v>
      </c>
      <c r="B177" s="1" t="s">
        <v>260</v>
      </c>
      <c r="C177" s="2">
        <v>17342</v>
      </c>
      <c r="D177" s="1" t="s">
        <v>6</v>
      </c>
      <c r="E177" s="1">
        <f>IF(RIGHT(ubezpieczenia5[[#This Row],[Imie]],1)="a",1,0)</f>
        <v>0</v>
      </c>
      <c r="F177" s="1">
        <f>2016-YEAR(ubezpieczenia5[[#This Row],[Data_urodz]])</f>
        <v>69</v>
      </c>
      <c r="G177" s="1" cm="1">
        <f t="array" ref="G17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78" spans="1:7" x14ac:dyDescent="0.25">
      <c r="A178" s="1" t="s">
        <v>206</v>
      </c>
      <c r="B178" s="1" t="s">
        <v>167</v>
      </c>
      <c r="C178" s="2">
        <v>23157</v>
      </c>
      <c r="D178" s="1" t="s">
        <v>9</v>
      </c>
      <c r="E178" s="1">
        <f>IF(RIGHT(ubezpieczenia5[[#This Row],[Imie]],1)="a",1,0)</f>
        <v>0</v>
      </c>
      <c r="F178" s="1">
        <f>2016-YEAR(ubezpieczenia5[[#This Row],[Data_urodz]])</f>
        <v>53</v>
      </c>
      <c r="G178" s="1" cm="1">
        <f t="array" ref="G17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79" spans="1:7" x14ac:dyDescent="0.25">
      <c r="A179" s="1" t="s">
        <v>261</v>
      </c>
      <c r="B179" s="1" t="s">
        <v>37</v>
      </c>
      <c r="C179" s="2">
        <v>17166</v>
      </c>
      <c r="D179" s="1" t="s">
        <v>12</v>
      </c>
      <c r="E179" s="1">
        <f>IF(RIGHT(ubezpieczenia5[[#This Row],[Imie]],1)="a",1,0)</f>
        <v>1</v>
      </c>
      <c r="F179" s="1">
        <f>2016-YEAR(ubezpieczenia5[[#This Row],[Data_urodz]])</f>
        <v>70</v>
      </c>
      <c r="G179" s="1" cm="1">
        <f t="array" ref="G17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80" spans="1:7" x14ac:dyDescent="0.25">
      <c r="A180" s="1" t="s">
        <v>262</v>
      </c>
      <c r="B180" s="1" t="s">
        <v>263</v>
      </c>
      <c r="C180" s="2">
        <v>24471</v>
      </c>
      <c r="D180" s="1" t="s">
        <v>12</v>
      </c>
      <c r="E180" s="1">
        <f>IF(RIGHT(ubezpieczenia5[[#This Row],[Imie]],1)="a",1,0)</f>
        <v>1</v>
      </c>
      <c r="F180" s="1">
        <f>2016-YEAR(ubezpieczenia5[[#This Row],[Data_urodz]])</f>
        <v>50</v>
      </c>
      <c r="G180" s="1" cm="1">
        <f t="array" ref="G18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81" spans="1:7" x14ac:dyDescent="0.25">
      <c r="A181" s="1" t="s">
        <v>264</v>
      </c>
      <c r="B181" s="1" t="s">
        <v>157</v>
      </c>
      <c r="C181" s="2">
        <v>34523</v>
      </c>
      <c r="D181" s="1" t="s">
        <v>6</v>
      </c>
      <c r="E181" s="1">
        <f>IF(RIGHT(ubezpieczenia5[[#This Row],[Imie]],1)="a",1,0)</f>
        <v>1</v>
      </c>
      <c r="F181" s="1">
        <f>2016-YEAR(ubezpieczenia5[[#This Row],[Data_urodz]])</f>
        <v>22</v>
      </c>
      <c r="G181" s="1" cm="1">
        <f t="array" ref="G18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82" spans="1:7" x14ac:dyDescent="0.25">
      <c r="A182" s="1" t="s">
        <v>265</v>
      </c>
      <c r="B182" s="1" t="s">
        <v>139</v>
      </c>
      <c r="C182" s="2">
        <v>18354</v>
      </c>
      <c r="D182" s="1" t="s">
        <v>6</v>
      </c>
      <c r="E182" s="1">
        <f>IF(RIGHT(ubezpieczenia5[[#This Row],[Imie]],1)="a",1,0)</f>
        <v>0</v>
      </c>
      <c r="F182" s="1">
        <f>2016-YEAR(ubezpieczenia5[[#This Row],[Data_urodz]])</f>
        <v>66</v>
      </c>
      <c r="G182" s="1" cm="1">
        <f t="array" ref="G18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83" spans="1:7" x14ac:dyDescent="0.25">
      <c r="A183" s="1" t="s">
        <v>266</v>
      </c>
      <c r="B183" s="1" t="s">
        <v>267</v>
      </c>
      <c r="C183" s="2">
        <v>34069</v>
      </c>
      <c r="D183" s="1" t="s">
        <v>12</v>
      </c>
      <c r="E183" s="1">
        <f>IF(RIGHT(ubezpieczenia5[[#This Row],[Imie]],1)="a",1,0)</f>
        <v>0</v>
      </c>
      <c r="F183" s="1">
        <f>2016-YEAR(ubezpieczenia5[[#This Row],[Data_urodz]])</f>
        <v>23</v>
      </c>
      <c r="G183" s="1" cm="1">
        <f t="array" ref="G18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184" spans="1:7" x14ac:dyDescent="0.25">
      <c r="A184" s="1" t="s">
        <v>268</v>
      </c>
      <c r="B184" s="1" t="s">
        <v>269</v>
      </c>
      <c r="C184" s="2">
        <v>17331</v>
      </c>
      <c r="D184" s="1" t="s">
        <v>12</v>
      </c>
      <c r="E184" s="1">
        <f>IF(RIGHT(ubezpieczenia5[[#This Row],[Imie]],1)="a",1,0)</f>
        <v>1</v>
      </c>
      <c r="F184" s="1">
        <f>2016-YEAR(ubezpieczenia5[[#This Row],[Data_urodz]])</f>
        <v>69</v>
      </c>
      <c r="G184" s="1" cm="1">
        <f t="array" ref="G18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85" spans="1:7" x14ac:dyDescent="0.25">
      <c r="A185" s="1" t="s">
        <v>270</v>
      </c>
      <c r="B185" s="1" t="s">
        <v>39</v>
      </c>
      <c r="C185" s="2">
        <v>33550</v>
      </c>
      <c r="D185" s="1" t="s">
        <v>40</v>
      </c>
      <c r="E185" s="1">
        <f>IF(RIGHT(ubezpieczenia5[[#This Row],[Imie]],1)="a",1,0)</f>
        <v>1</v>
      </c>
      <c r="F185" s="1">
        <f>2016-YEAR(ubezpieczenia5[[#This Row],[Data_urodz]])</f>
        <v>25</v>
      </c>
      <c r="G185" s="1" cm="1">
        <f t="array" ref="G18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86" spans="1:7" x14ac:dyDescent="0.25">
      <c r="A186" s="1" t="s">
        <v>271</v>
      </c>
      <c r="B186" s="1" t="s">
        <v>255</v>
      </c>
      <c r="C186" s="2">
        <v>24426</v>
      </c>
      <c r="D186" s="1" t="s">
        <v>6</v>
      </c>
      <c r="E186" s="1">
        <f>IF(RIGHT(ubezpieczenia5[[#This Row],[Imie]],1)="a",1,0)</f>
        <v>0</v>
      </c>
      <c r="F186" s="1">
        <f>2016-YEAR(ubezpieczenia5[[#This Row],[Data_urodz]])</f>
        <v>50</v>
      </c>
      <c r="G186" s="1" cm="1">
        <f t="array" ref="G18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87" spans="1:7" x14ac:dyDescent="0.25">
      <c r="A187" s="1" t="s">
        <v>272</v>
      </c>
      <c r="B187" s="1" t="s">
        <v>273</v>
      </c>
      <c r="C187" s="2">
        <v>19307</v>
      </c>
      <c r="D187" s="1" t="s">
        <v>40</v>
      </c>
      <c r="E187" s="1">
        <f>IF(RIGHT(ubezpieczenia5[[#This Row],[Imie]],1)="a",1,0)</f>
        <v>0</v>
      </c>
      <c r="F187" s="1">
        <f>2016-YEAR(ubezpieczenia5[[#This Row],[Data_urodz]])</f>
        <v>64</v>
      </c>
      <c r="G187" s="1" cm="1">
        <f t="array" ref="G18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188" spans="1:7" x14ac:dyDescent="0.25">
      <c r="A188" s="1" t="s">
        <v>274</v>
      </c>
      <c r="B188" s="1" t="s">
        <v>121</v>
      </c>
      <c r="C188" s="2">
        <v>26626</v>
      </c>
      <c r="D188" s="1" t="s">
        <v>12</v>
      </c>
      <c r="E188" s="1">
        <f>IF(RIGHT(ubezpieczenia5[[#This Row],[Imie]],1)="a",1,0)</f>
        <v>1</v>
      </c>
      <c r="F188" s="1">
        <f>2016-YEAR(ubezpieczenia5[[#This Row],[Data_urodz]])</f>
        <v>44</v>
      </c>
      <c r="G188" s="1" cm="1">
        <f t="array" ref="G18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89" spans="1:7" x14ac:dyDescent="0.25">
      <c r="A189" s="1" t="s">
        <v>275</v>
      </c>
      <c r="B189" s="1" t="s">
        <v>169</v>
      </c>
      <c r="C189" s="2">
        <v>21897</v>
      </c>
      <c r="D189" s="1" t="s">
        <v>12</v>
      </c>
      <c r="E189" s="1">
        <f>IF(RIGHT(ubezpieczenia5[[#This Row],[Imie]],1)="a",1,0)</f>
        <v>0</v>
      </c>
      <c r="F189" s="1">
        <f>2016-YEAR(ubezpieczenia5[[#This Row],[Data_urodz]])</f>
        <v>57</v>
      </c>
      <c r="G189" s="1" cm="1">
        <f t="array" ref="G18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90" spans="1:7" x14ac:dyDescent="0.25">
      <c r="A190" s="1" t="s">
        <v>276</v>
      </c>
      <c r="B190" s="1" t="s">
        <v>52</v>
      </c>
      <c r="C190" s="2">
        <v>34865</v>
      </c>
      <c r="D190" s="1" t="s">
        <v>12</v>
      </c>
      <c r="E190" s="1">
        <f>IF(RIGHT(ubezpieczenia5[[#This Row],[Imie]],1)="a",1,0)</f>
        <v>1</v>
      </c>
      <c r="F190" s="1">
        <f>2016-YEAR(ubezpieczenia5[[#This Row],[Data_urodz]])</f>
        <v>21</v>
      </c>
      <c r="G190" s="1" cm="1">
        <f t="array" ref="G19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191" spans="1:7" x14ac:dyDescent="0.25">
      <c r="A191" s="1" t="s">
        <v>163</v>
      </c>
      <c r="B191" s="1" t="s">
        <v>277</v>
      </c>
      <c r="C191" s="2">
        <v>19712</v>
      </c>
      <c r="D191" s="1" t="s">
        <v>12</v>
      </c>
      <c r="E191" s="1">
        <f>IF(RIGHT(ubezpieczenia5[[#This Row],[Imie]],1)="a",1,0)</f>
        <v>1</v>
      </c>
      <c r="F191" s="1">
        <f>2016-YEAR(ubezpieczenia5[[#This Row],[Data_urodz]])</f>
        <v>63</v>
      </c>
      <c r="G191" s="1" cm="1">
        <f t="array" ref="G19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92" spans="1:7" x14ac:dyDescent="0.25">
      <c r="A192" s="1" t="s">
        <v>278</v>
      </c>
      <c r="B192" s="1" t="s">
        <v>52</v>
      </c>
      <c r="C192" s="2">
        <v>27893</v>
      </c>
      <c r="D192" s="1" t="s">
        <v>6</v>
      </c>
      <c r="E192" s="1">
        <f>IF(RIGHT(ubezpieczenia5[[#This Row],[Imie]],1)="a",1,0)</f>
        <v>1</v>
      </c>
      <c r="F192" s="1">
        <f>2016-YEAR(ubezpieczenia5[[#This Row],[Data_urodz]])</f>
        <v>40</v>
      </c>
      <c r="G192" s="1" cm="1">
        <f t="array" ref="G19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93" spans="1:7" x14ac:dyDescent="0.25">
      <c r="A193" s="1" t="s">
        <v>279</v>
      </c>
      <c r="B193" s="1" t="s">
        <v>280</v>
      </c>
      <c r="C193" s="2">
        <v>28226</v>
      </c>
      <c r="D193" s="1" t="s">
        <v>12</v>
      </c>
      <c r="E193" s="1">
        <f>IF(RIGHT(ubezpieczenia5[[#This Row],[Imie]],1)="a",1,0)</f>
        <v>1</v>
      </c>
      <c r="F193" s="1">
        <f>2016-YEAR(ubezpieczenia5[[#This Row],[Data_urodz]])</f>
        <v>39</v>
      </c>
      <c r="G193" s="1" cm="1">
        <f t="array" ref="G19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194" spans="1:7" x14ac:dyDescent="0.25">
      <c r="A194" s="1" t="s">
        <v>281</v>
      </c>
      <c r="B194" s="1" t="s">
        <v>77</v>
      </c>
      <c r="C194" s="2">
        <v>29954</v>
      </c>
      <c r="D194" s="1" t="s">
        <v>9</v>
      </c>
      <c r="E194" s="1">
        <f>IF(RIGHT(ubezpieczenia5[[#This Row],[Imie]],1)="a",1,0)</f>
        <v>0</v>
      </c>
      <c r="F194" s="1">
        <f>2016-YEAR(ubezpieczenia5[[#This Row],[Data_urodz]])</f>
        <v>34</v>
      </c>
      <c r="G194" s="1" cm="1">
        <f t="array" ref="G19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195" spans="1:7" x14ac:dyDescent="0.25">
      <c r="A195" s="1" t="s">
        <v>282</v>
      </c>
      <c r="B195" s="1" t="s">
        <v>179</v>
      </c>
      <c r="C195" s="2">
        <v>23111</v>
      </c>
      <c r="D195" s="1" t="s">
        <v>12</v>
      </c>
      <c r="E195" s="1">
        <f>IF(RIGHT(ubezpieczenia5[[#This Row],[Imie]],1)="a",1,0)</f>
        <v>0</v>
      </c>
      <c r="F195" s="1">
        <f>2016-YEAR(ubezpieczenia5[[#This Row],[Data_urodz]])</f>
        <v>53</v>
      </c>
      <c r="G195" s="1" cm="1">
        <f t="array" ref="G19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96" spans="1:7" x14ac:dyDescent="0.25">
      <c r="A196" s="1" t="s">
        <v>283</v>
      </c>
      <c r="B196" s="1" t="s">
        <v>39</v>
      </c>
      <c r="C196" s="2">
        <v>24808</v>
      </c>
      <c r="D196" s="1" t="s">
        <v>12</v>
      </c>
      <c r="E196" s="1">
        <f>IF(RIGHT(ubezpieczenia5[[#This Row],[Imie]],1)="a",1,0)</f>
        <v>1</v>
      </c>
      <c r="F196" s="1">
        <f>2016-YEAR(ubezpieczenia5[[#This Row],[Data_urodz]])</f>
        <v>49</v>
      </c>
      <c r="G196" s="1" cm="1">
        <f t="array" ref="G19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197" spans="1:7" x14ac:dyDescent="0.25">
      <c r="A197" s="1" t="s">
        <v>284</v>
      </c>
      <c r="B197" s="1" t="s">
        <v>16</v>
      </c>
      <c r="C197" s="2">
        <v>17601</v>
      </c>
      <c r="D197" s="1" t="s">
        <v>40</v>
      </c>
      <c r="E197" s="1">
        <f>IF(RIGHT(ubezpieczenia5[[#This Row],[Imie]],1)="a",1,0)</f>
        <v>1</v>
      </c>
      <c r="F197" s="1">
        <f>2016-YEAR(ubezpieczenia5[[#This Row],[Data_urodz]])</f>
        <v>68</v>
      </c>
      <c r="G197" s="1" cm="1">
        <f t="array" ref="G19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198" spans="1:7" x14ac:dyDescent="0.25">
      <c r="A198" s="1" t="s">
        <v>285</v>
      </c>
      <c r="B198" s="1" t="s">
        <v>179</v>
      </c>
      <c r="C198" s="2">
        <v>21199</v>
      </c>
      <c r="D198" s="1" t="s">
        <v>9</v>
      </c>
      <c r="E198" s="1">
        <f>IF(RIGHT(ubezpieczenia5[[#This Row],[Imie]],1)="a",1,0)</f>
        <v>0</v>
      </c>
      <c r="F198" s="1">
        <f>2016-YEAR(ubezpieczenia5[[#This Row],[Data_urodz]])</f>
        <v>58</v>
      </c>
      <c r="G198" s="1" cm="1">
        <f t="array" ref="G19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199" spans="1:7" x14ac:dyDescent="0.25">
      <c r="A199" s="1" t="s">
        <v>286</v>
      </c>
      <c r="B199" s="1" t="s">
        <v>20</v>
      </c>
      <c r="C199" s="2">
        <v>29879</v>
      </c>
      <c r="D199" s="1" t="s">
        <v>12</v>
      </c>
      <c r="E199" s="1">
        <f>IF(RIGHT(ubezpieczenia5[[#This Row],[Imie]],1)="a",1,0)</f>
        <v>1</v>
      </c>
      <c r="F199" s="1">
        <f>2016-YEAR(ubezpieczenia5[[#This Row],[Data_urodz]])</f>
        <v>35</v>
      </c>
      <c r="G199" s="1" cm="1">
        <f t="array" ref="G19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00" spans="1:7" x14ac:dyDescent="0.25">
      <c r="A200" s="1" t="s">
        <v>287</v>
      </c>
      <c r="B200" s="1" t="s">
        <v>81</v>
      </c>
      <c r="C200" s="2">
        <v>19659</v>
      </c>
      <c r="D200" s="1" t="s">
        <v>6</v>
      </c>
      <c r="E200" s="1">
        <f>IF(RIGHT(ubezpieczenia5[[#This Row],[Imie]],1)="a",1,0)</f>
        <v>1</v>
      </c>
      <c r="F200" s="1">
        <f>2016-YEAR(ubezpieczenia5[[#This Row],[Data_urodz]])</f>
        <v>63</v>
      </c>
      <c r="G200" s="1" cm="1">
        <f t="array" ref="G20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01" spans="1:7" x14ac:dyDescent="0.25">
      <c r="A201" s="1" t="s">
        <v>288</v>
      </c>
      <c r="B201" s="1" t="s">
        <v>8</v>
      </c>
      <c r="C201" s="2">
        <v>22514</v>
      </c>
      <c r="D201" s="1" t="s">
        <v>12</v>
      </c>
      <c r="E201" s="1">
        <f>IF(RIGHT(ubezpieczenia5[[#This Row],[Imie]],1)="a",1,0)</f>
        <v>0</v>
      </c>
      <c r="F201" s="1">
        <f>2016-YEAR(ubezpieczenia5[[#This Row],[Data_urodz]])</f>
        <v>55</v>
      </c>
      <c r="G201" s="1" cm="1">
        <f t="array" ref="G20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02" spans="1:7" x14ac:dyDescent="0.25">
      <c r="A202" s="1" t="s">
        <v>289</v>
      </c>
      <c r="B202" s="1" t="s">
        <v>121</v>
      </c>
      <c r="C202" s="2">
        <v>25332</v>
      </c>
      <c r="D202" s="1" t="s">
        <v>12</v>
      </c>
      <c r="E202" s="1">
        <f>IF(RIGHT(ubezpieczenia5[[#This Row],[Imie]],1)="a",1,0)</f>
        <v>1</v>
      </c>
      <c r="F202" s="1">
        <f>2016-YEAR(ubezpieczenia5[[#This Row],[Data_urodz]])</f>
        <v>47</v>
      </c>
      <c r="G202" s="1" cm="1">
        <f t="array" ref="G20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03" spans="1:7" x14ac:dyDescent="0.25">
      <c r="A203" s="1" t="s">
        <v>290</v>
      </c>
      <c r="B203" s="1" t="s">
        <v>255</v>
      </c>
      <c r="C203" s="2">
        <v>20181</v>
      </c>
      <c r="D203" s="1" t="s">
        <v>40</v>
      </c>
      <c r="E203" s="1">
        <f>IF(RIGHT(ubezpieczenia5[[#This Row],[Imie]],1)="a",1,0)</f>
        <v>0</v>
      </c>
      <c r="F203" s="1">
        <f>2016-YEAR(ubezpieczenia5[[#This Row],[Data_urodz]])</f>
        <v>61</v>
      </c>
      <c r="G203" s="1" cm="1">
        <f t="array" ref="G20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04" spans="1:7" x14ac:dyDescent="0.25">
      <c r="A204" s="1" t="s">
        <v>291</v>
      </c>
      <c r="B204" s="1" t="s">
        <v>141</v>
      </c>
      <c r="C204" s="2">
        <v>19141</v>
      </c>
      <c r="D204" s="1" t="s">
        <v>12</v>
      </c>
      <c r="E204" s="1">
        <f>IF(RIGHT(ubezpieczenia5[[#This Row],[Imie]],1)="a",1,0)</f>
        <v>0</v>
      </c>
      <c r="F204" s="1">
        <f>2016-YEAR(ubezpieczenia5[[#This Row],[Data_urodz]])</f>
        <v>64</v>
      </c>
      <c r="G204" s="1" cm="1">
        <f t="array" ref="G20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05" spans="1:7" x14ac:dyDescent="0.25">
      <c r="A205" s="1" t="s">
        <v>292</v>
      </c>
      <c r="B205" s="1" t="s">
        <v>293</v>
      </c>
      <c r="C205" s="2">
        <v>18147</v>
      </c>
      <c r="D205" s="1" t="s">
        <v>12</v>
      </c>
      <c r="E205" s="1">
        <f>IF(RIGHT(ubezpieczenia5[[#This Row],[Imie]],1)="a",1,0)</f>
        <v>1</v>
      </c>
      <c r="F205" s="1">
        <f>2016-YEAR(ubezpieczenia5[[#This Row],[Data_urodz]])</f>
        <v>67</v>
      </c>
      <c r="G205" s="1" cm="1">
        <f t="array" ref="G20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06" spans="1:7" x14ac:dyDescent="0.25">
      <c r="A206" s="1" t="s">
        <v>294</v>
      </c>
      <c r="B206" s="1" t="s">
        <v>52</v>
      </c>
      <c r="C206" s="2">
        <v>26146</v>
      </c>
      <c r="D206" s="1" t="s">
        <v>6</v>
      </c>
      <c r="E206" s="1">
        <f>IF(RIGHT(ubezpieczenia5[[#This Row],[Imie]],1)="a",1,0)</f>
        <v>1</v>
      </c>
      <c r="F206" s="1">
        <f>2016-YEAR(ubezpieczenia5[[#This Row],[Data_urodz]])</f>
        <v>45</v>
      </c>
      <c r="G206" s="1" cm="1">
        <f t="array" ref="G20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07" spans="1:7" x14ac:dyDescent="0.25">
      <c r="A207" s="1" t="s">
        <v>295</v>
      </c>
      <c r="B207" s="1" t="s">
        <v>139</v>
      </c>
      <c r="C207" s="2">
        <v>30798</v>
      </c>
      <c r="D207" s="1" t="s">
        <v>40</v>
      </c>
      <c r="E207" s="1">
        <f>IF(RIGHT(ubezpieczenia5[[#This Row],[Imie]],1)="a",1,0)</f>
        <v>0</v>
      </c>
      <c r="F207" s="1">
        <f>2016-YEAR(ubezpieczenia5[[#This Row],[Data_urodz]])</f>
        <v>32</v>
      </c>
      <c r="G207" s="1" cm="1">
        <f t="array" ref="G20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08" spans="1:7" x14ac:dyDescent="0.25">
      <c r="A208" s="1" t="s">
        <v>296</v>
      </c>
      <c r="B208" s="1" t="s">
        <v>297</v>
      </c>
      <c r="C208" s="2">
        <v>24623</v>
      </c>
      <c r="D208" s="1" t="s">
        <v>12</v>
      </c>
      <c r="E208" s="1">
        <f>IF(RIGHT(ubezpieczenia5[[#This Row],[Imie]],1)="a",1,0)</f>
        <v>1</v>
      </c>
      <c r="F208" s="1">
        <f>2016-YEAR(ubezpieczenia5[[#This Row],[Data_urodz]])</f>
        <v>49</v>
      </c>
      <c r="G208" s="1" cm="1">
        <f t="array" ref="G20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09" spans="1:7" x14ac:dyDescent="0.25">
      <c r="A209" s="1" t="s">
        <v>298</v>
      </c>
      <c r="B209" s="1" t="s">
        <v>18</v>
      </c>
      <c r="C209" s="2">
        <v>31818</v>
      </c>
      <c r="D209" s="1" t="s">
        <v>6</v>
      </c>
      <c r="E209" s="1">
        <f>IF(RIGHT(ubezpieczenia5[[#This Row],[Imie]],1)="a",1,0)</f>
        <v>0</v>
      </c>
      <c r="F209" s="1">
        <f>2016-YEAR(ubezpieczenia5[[#This Row],[Data_urodz]])</f>
        <v>29</v>
      </c>
      <c r="G209" s="1" cm="1">
        <f t="array" ref="G20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10" spans="1:7" x14ac:dyDescent="0.25">
      <c r="A210" s="1" t="s">
        <v>299</v>
      </c>
      <c r="B210" s="1" t="s">
        <v>300</v>
      </c>
      <c r="C210" s="2">
        <v>34201</v>
      </c>
      <c r="D210" s="1" t="s">
        <v>12</v>
      </c>
      <c r="E210" s="1">
        <f>IF(RIGHT(ubezpieczenia5[[#This Row],[Imie]],1)="a",1,0)</f>
        <v>1</v>
      </c>
      <c r="F210" s="1">
        <f>2016-YEAR(ubezpieczenia5[[#This Row],[Data_urodz]])</f>
        <v>23</v>
      </c>
      <c r="G210" s="1" cm="1">
        <f t="array" ref="G21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11" spans="1:7" x14ac:dyDescent="0.25">
      <c r="A211" s="1" t="s">
        <v>301</v>
      </c>
      <c r="B211" s="1" t="s">
        <v>8</v>
      </c>
      <c r="C211" s="2">
        <v>27079</v>
      </c>
      <c r="D211" s="1" t="s">
        <v>9</v>
      </c>
      <c r="E211" s="1">
        <f>IF(RIGHT(ubezpieczenia5[[#This Row],[Imie]],1)="a",1,0)</f>
        <v>0</v>
      </c>
      <c r="F211" s="1">
        <f>2016-YEAR(ubezpieczenia5[[#This Row],[Data_urodz]])</f>
        <v>42</v>
      </c>
      <c r="G211" s="1" cm="1">
        <f t="array" ref="G21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12" spans="1:7" x14ac:dyDescent="0.25">
      <c r="A212" s="1" t="s">
        <v>302</v>
      </c>
      <c r="B212" s="1" t="s">
        <v>303</v>
      </c>
      <c r="C212" s="2">
        <v>18053</v>
      </c>
      <c r="D212" s="1" t="s">
        <v>9</v>
      </c>
      <c r="E212" s="1">
        <f>IF(RIGHT(ubezpieczenia5[[#This Row],[Imie]],1)="a",1,0)</f>
        <v>0</v>
      </c>
      <c r="F212" s="1">
        <f>2016-YEAR(ubezpieczenia5[[#This Row],[Data_urodz]])</f>
        <v>67</v>
      </c>
      <c r="G212" s="1" cm="1">
        <f t="array" ref="G21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13" spans="1:7" x14ac:dyDescent="0.25">
      <c r="A213" s="1" t="s">
        <v>304</v>
      </c>
      <c r="B213" s="1" t="s">
        <v>49</v>
      </c>
      <c r="C213" s="2">
        <v>27059</v>
      </c>
      <c r="D213" s="1" t="s">
        <v>12</v>
      </c>
      <c r="E213" s="1">
        <f>IF(RIGHT(ubezpieczenia5[[#This Row],[Imie]],1)="a",1,0)</f>
        <v>0</v>
      </c>
      <c r="F213" s="1">
        <f>2016-YEAR(ubezpieczenia5[[#This Row],[Data_urodz]])</f>
        <v>42</v>
      </c>
      <c r="G213" s="1" cm="1">
        <f t="array" ref="G21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14" spans="1:7" x14ac:dyDescent="0.25">
      <c r="A214" s="1" t="s">
        <v>305</v>
      </c>
      <c r="B214" s="1" t="s">
        <v>246</v>
      </c>
      <c r="C214" s="2">
        <v>31039</v>
      </c>
      <c r="D214" s="1" t="s">
        <v>6</v>
      </c>
      <c r="E214" s="1">
        <f>IF(RIGHT(ubezpieczenia5[[#This Row],[Imie]],1)="a",1,0)</f>
        <v>0</v>
      </c>
      <c r="F214" s="1">
        <f>2016-YEAR(ubezpieczenia5[[#This Row],[Data_urodz]])</f>
        <v>32</v>
      </c>
      <c r="G214" s="1" cm="1">
        <f t="array" ref="G21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15" spans="1:7" x14ac:dyDescent="0.25">
      <c r="A215" s="1" t="s">
        <v>306</v>
      </c>
      <c r="B215" s="1" t="s">
        <v>307</v>
      </c>
      <c r="C215" s="2">
        <v>34893</v>
      </c>
      <c r="D215" s="1" t="s">
        <v>12</v>
      </c>
      <c r="E215" s="1">
        <f>IF(RIGHT(ubezpieczenia5[[#This Row],[Imie]],1)="a",1,0)</f>
        <v>0</v>
      </c>
      <c r="F215" s="1">
        <f>2016-YEAR(ubezpieczenia5[[#This Row],[Data_urodz]])</f>
        <v>21</v>
      </c>
      <c r="G215" s="1" cm="1">
        <f t="array" ref="G21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16" spans="1:7" x14ac:dyDescent="0.25">
      <c r="A216" s="1" t="s">
        <v>308</v>
      </c>
      <c r="B216" s="1" t="s">
        <v>307</v>
      </c>
      <c r="C216" s="2">
        <v>22101</v>
      </c>
      <c r="D216" s="1" t="s">
        <v>6</v>
      </c>
      <c r="E216" s="1">
        <f>IF(RIGHT(ubezpieczenia5[[#This Row],[Imie]],1)="a",1,0)</f>
        <v>0</v>
      </c>
      <c r="F216" s="1">
        <f>2016-YEAR(ubezpieczenia5[[#This Row],[Data_urodz]])</f>
        <v>56</v>
      </c>
      <c r="G216" s="1" cm="1">
        <f t="array" ref="G21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17" spans="1:7" x14ac:dyDescent="0.25">
      <c r="A217" s="1" t="s">
        <v>309</v>
      </c>
      <c r="B217" s="1" t="s">
        <v>177</v>
      </c>
      <c r="C217" s="2">
        <v>16267</v>
      </c>
      <c r="D217" s="1" t="s">
        <v>12</v>
      </c>
      <c r="E217" s="1">
        <f>IF(RIGHT(ubezpieczenia5[[#This Row],[Imie]],1)="a",1,0)</f>
        <v>1</v>
      </c>
      <c r="F217" s="1">
        <f>2016-YEAR(ubezpieczenia5[[#This Row],[Data_urodz]])</f>
        <v>72</v>
      </c>
      <c r="G217" s="1" cm="1">
        <f t="array" ref="G21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18" spans="1:7" x14ac:dyDescent="0.25">
      <c r="A218" s="1" t="s">
        <v>310</v>
      </c>
      <c r="B218" s="1" t="s">
        <v>45</v>
      </c>
      <c r="C218" s="2">
        <v>32103</v>
      </c>
      <c r="D218" s="1" t="s">
        <v>12</v>
      </c>
      <c r="E218" s="1">
        <f>IF(RIGHT(ubezpieczenia5[[#This Row],[Imie]],1)="a",1,0)</f>
        <v>1</v>
      </c>
      <c r="F218" s="1">
        <f>2016-YEAR(ubezpieczenia5[[#This Row],[Data_urodz]])</f>
        <v>29</v>
      </c>
      <c r="G218" s="1" cm="1">
        <f t="array" ref="G21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19" spans="1:7" x14ac:dyDescent="0.25">
      <c r="A219" s="1" t="s">
        <v>311</v>
      </c>
      <c r="B219" s="1" t="s">
        <v>248</v>
      </c>
      <c r="C219" s="2">
        <v>25996</v>
      </c>
      <c r="D219" s="1" t="s">
        <v>9</v>
      </c>
      <c r="E219" s="1">
        <f>IF(RIGHT(ubezpieczenia5[[#This Row],[Imie]],1)="a",1,0)</f>
        <v>1</v>
      </c>
      <c r="F219" s="1">
        <f>2016-YEAR(ubezpieczenia5[[#This Row],[Data_urodz]])</f>
        <v>45</v>
      </c>
      <c r="G219" s="1" cm="1">
        <f t="array" ref="G21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20" spans="1:7" x14ac:dyDescent="0.25">
      <c r="A220" s="1" t="s">
        <v>312</v>
      </c>
      <c r="B220" s="1" t="s">
        <v>134</v>
      </c>
      <c r="C220" s="2">
        <v>33040</v>
      </c>
      <c r="D220" s="1" t="s">
        <v>12</v>
      </c>
      <c r="E220" s="1">
        <f>IF(RIGHT(ubezpieczenia5[[#This Row],[Imie]],1)="a",1,0)</f>
        <v>1</v>
      </c>
      <c r="F220" s="1">
        <f>2016-YEAR(ubezpieczenia5[[#This Row],[Data_urodz]])</f>
        <v>26</v>
      </c>
      <c r="G220" s="1" cm="1">
        <f t="array" ref="G22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21" spans="1:7" x14ac:dyDescent="0.25">
      <c r="A221" s="1" t="s">
        <v>313</v>
      </c>
      <c r="B221" s="1" t="s">
        <v>20</v>
      </c>
      <c r="C221" s="2">
        <v>30671</v>
      </c>
      <c r="D221" s="1" t="s">
        <v>9</v>
      </c>
      <c r="E221" s="1">
        <f>IF(RIGHT(ubezpieczenia5[[#This Row],[Imie]],1)="a",1,0)</f>
        <v>1</v>
      </c>
      <c r="F221" s="1">
        <f>2016-YEAR(ubezpieczenia5[[#This Row],[Data_urodz]])</f>
        <v>33</v>
      </c>
      <c r="G221" s="1" cm="1">
        <f t="array" ref="G22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22" spans="1:7" x14ac:dyDescent="0.25">
      <c r="A222" s="1" t="s">
        <v>314</v>
      </c>
      <c r="B222" s="1" t="s">
        <v>37</v>
      </c>
      <c r="C222" s="2">
        <v>25243</v>
      </c>
      <c r="D222" s="1" t="s">
        <v>12</v>
      </c>
      <c r="E222" s="1">
        <f>IF(RIGHT(ubezpieczenia5[[#This Row],[Imie]],1)="a",1,0)</f>
        <v>1</v>
      </c>
      <c r="F222" s="1">
        <f>2016-YEAR(ubezpieczenia5[[#This Row],[Data_urodz]])</f>
        <v>47</v>
      </c>
      <c r="G222" s="1" cm="1">
        <f t="array" ref="G22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23" spans="1:7" x14ac:dyDescent="0.25">
      <c r="A223" s="1" t="s">
        <v>315</v>
      </c>
      <c r="B223" s="1" t="s">
        <v>20</v>
      </c>
      <c r="C223" s="2">
        <v>27639</v>
      </c>
      <c r="D223" s="1" t="s">
        <v>12</v>
      </c>
      <c r="E223" s="1">
        <f>IF(RIGHT(ubezpieczenia5[[#This Row],[Imie]],1)="a",1,0)</f>
        <v>1</v>
      </c>
      <c r="F223" s="1">
        <f>2016-YEAR(ubezpieczenia5[[#This Row],[Data_urodz]])</f>
        <v>41</v>
      </c>
      <c r="G223" s="1" cm="1">
        <f t="array" ref="G22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24" spans="1:7" x14ac:dyDescent="0.25">
      <c r="A224" s="1" t="s">
        <v>316</v>
      </c>
      <c r="B224" s="1" t="s">
        <v>169</v>
      </c>
      <c r="C224" s="2">
        <v>25644</v>
      </c>
      <c r="D224" s="1" t="s">
        <v>12</v>
      </c>
      <c r="E224" s="1">
        <f>IF(RIGHT(ubezpieczenia5[[#This Row],[Imie]],1)="a",1,0)</f>
        <v>0</v>
      </c>
      <c r="F224" s="1">
        <f>2016-YEAR(ubezpieczenia5[[#This Row],[Data_urodz]])</f>
        <v>46</v>
      </c>
      <c r="G224" s="1" cm="1">
        <f t="array" ref="G22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25" spans="1:7" x14ac:dyDescent="0.25">
      <c r="A225" s="1" t="s">
        <v>317</v>
      </c>
      <c r="B225" s="1" t="s">
        <v>318</v>
      </c>
      <c r="C225" s="2">
        <v>27683</v>
      </c>
      <c r="D225" s="1" t="s">
        <v>6</v>
      </c>
      <c r="E225" s="1">
        <f>IF(RIGHT(ubezpieczenia5[[#This Row],[Imie]],1)="a",1,0)</f>
        <v>1</v>
      </c>
      <c r="F225" s="1">
        <f>2016-YEAR(ubezpieczenia5[[#This Row],[Data_urodz]])</f>
        <v>41</v>
      </c>
      <c r="G225" s="1" cm="1">
        <f t="array" ref="G22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26" spans="1:7" x14ac:dyDescent="0.25">
      <c r="A226" s="1" t="s">
        <v>174</v>
      </c>
      <c r="B226" s="1" t="s">
        <v>319</v>
      </c>
      <c r="C226" s="2">
        <v>32765</v>
      </c>
      <c r="D226" s="1" t="s">
        <v>9</v>
      </c>
      <c r="E226" s="1">
        <f>IF(RIGHT(ubezpieczenia5[[#This Row],[Imie]],1)="a",1,0)</f>
        <v>1</v>
      </c>
      <c r="F226" s="1">
        <f>2016-YEAR(ubezpieczenia5[[#This Row],[Data_urodz]])</f>
        <v>27</v>
      </c>
      <c r="G226" s="1" cm="1">
        <f t="array" ref="G22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27" spans="1:7" x14ac:dyDescent="0.25">
      <c r="A227" s="1" t="s">
        <v>243</v>
      </c>
      <c r="B227" s="1" t="s">
        <v>121</v>
      </c>
      <c r="C227" s="2">
        <v>26380</v>
      </c>
      <c r="D227" s="1" t="s">
        <v>9</v>
      </c>
      <c r="E227" s="1">
        <f>IF(RIGHT(ubezpieczenia5[[#This Row],[Imie]],1)="a",1,0)</f>
        <v>1</v>
      </c>
      <c r="F227" s="1">
        <f>2016-YEAR(ubezpieczenia5[[#This Row],[Data_urodz]])</f>
        <v>44</v>
      </c>
      <c r="G227" s="1" cm="1">
        <f t="array" ref="G22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28" spans="1:7" x14ac:dyDescent="0.25">
      <c r="A228" s="1" t="s">
        <v>320</v>
      </c>
      <c r="B228" s="1" t="s">
        <v>81</v>
      </c>
      <c r="C228" s="2">
        <v>21508</v>
      </c>
      <c r="D228" s="1" t="s">
        <v>6</v>
      </c>
      <c r="E228" s="1">
        <f>IF(RIGHT(ubezpieczenia5[[#This Row],[Imie]],1)="a",1,0)</f>
        <v>1</v>
      </c>
      <c r="F228" s="1">
        <f>2016-YEAR(ubezpieczenia5[[#This Row],[Data_urodz]])</f>
        <v>58</v>
      </c>
      <c r="G228" s="1" cm="1">
        <f t="array" ref="G22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29" spans="1:7" x14ac:dyDescent="0.25">
      <c r="A229" s="1" t="s">
        <v>321</v>
      </c>
      <c r="B229" s="1" t="s">
        <v>11</v>
      </c>
      <c r="C229" s="2">
        <v>32790</v>
      </c>
      <c r="D229" s="1" t="s">
        <v>6</v>
      </c>
      <c r="E229" s="1">
        <f>IF(RIGHT(ubezpieczenia5[[#This Row],[Imie]],1)="a",1,0)</f>
        <v>1</v>
      </c>
      <c r="F229" s="1">
        <f>2016-YEAR(ubezpieczenia5[[#This Row],[Data_urodz]])</f>
        <v>27</v>
      </c>
      <c r="G229" s="1" cm="1">
        <f t="array" ref="G22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30" spans="1:7" x14ac:dyDescent="0.25">
      <c r="A230" s="1" t="s">
        <v>164</v>
      </c>
      <c r="B230" s="1" t="s">
        <v>322</v>
      </c>
      <c r="C230" s="2">
        <v>24303</v>
      </c>
      <c r="D230" s="1" t="s">
        <v>6</v>
      </c>
      <c r="E230" s="1">
        <f>IF(RIGHT(ubezpieczenia5[[#This Row],[Imie]],1)="a",1,0)</f>
        <v>1</v>
      </c>
      <c r="F230" s="1">
        <f>2016-YEAR(ubezpieczenia5[[#This Row],[Data_urodz]])</f>
        <v>50</v>
      </c>
      <c r="G230" s="1" cm="1">
        <f t="array" ref="G23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31" spans="1:7" x14ac:dyDescent="0.25">
      <c r="A231" s="1" t="s">
        <v>323</v>
      </c>
      <c r="B231" s="1" t="s">
        <v>300</v>
      </c>
      <c r="C231" s="2">
        <v>30747</v>
      </c>
      <c r="D231" s="1" t="s">
        <v>9</v>
      </c>
      <c r="E231" s="1">
        <f>IF(RIGHT(ubezpieczenia5[[#This Row],[Imie]],1)="a",1,0)</f>
        <v>1</v>
      </c>
      <c r="F231" s="1">
        <f>2016-YEAR(ubezpieczenia5[[#This Row],[Data_urodz]])</f>
        <v>32</v>
      </c>
      <c r="G231" s="1" cm="1">
        <f t="array" ref="G23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32" spans="1:7" x14ac:dyDescent="0.25">
      <c r="A232" s="1" t="s">
        <v>324</v>
      </c>
      <c r="B232" s="1" t="s">
        <v>49</v>
      </c>
      <c r="C232" s="2">
        <v>19853</v>
      </c>
      <c r="D232" s="1" t="s">
        <v>12</v>
      </c>
      <c r="E232" s="1">
        <f>IF(RIGHT(ubezpieczenia5[[#This Row],[Imie]],1)="a",1,0)</f>
        <v>0</v>
      </c>
      <c r="F232" s="1">
        <f>2016-YEAR(ubezpieczenia5[[#This Row],[Data_urodz]])</f>
        <v>62</v>
      </c>
      <c r="G232" s="1" cm="1">
        <f t="array" ref="G23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33" spans="1:7" x14ac:dyDescent="0.25">
      <c r="A233" s="1" t="s">
        <v>325</v>
      </c>
      <c r="B233" s="1" t="s">
        <v>20</v>
      </c>
      <c r="C233" s="2">
        <v>32147</v>
      </c>
      <c r="D233" s="1" t="s">
        <v>12</v>
      </c>
      <c r="E233" s="1">
        <f>IF(RIGHT(ubezpieczenia5[[#This Row],[Imie]],1)="a",1,0)</f>
        <v>1</v>
      </c>
      <c r="F233" s="1">
        <f>2016-YEAR(ubezpieczenia5[[#This Row],[Data_urodz]])</f>
        <v>28</v>
      </c>
      <c r="G233" s="1" cm="1">
        <f t="array" ref="G23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34" spans="1:7" x14ac:dyDescent="0.25">
      <c r="A234" s="1" t="s">
        <v>326</v>
      </c>
      <c r="B234" s="1" t="s">
        <v>327</v>
      </c>
      <c r="C234" s="2">
        <v>17904</v>
      </c>
      <c r="D234" s="1" t="s">
        <v>12</v>
      </c>
      <c r="E234" s="1">
        <f>IF(RIGHT(ubezpieczenia5[[#This Row],[Imie]],1)="a",1,0)</f>
        <v>0</v>
      </c>
      <c r="F234" s="1">
        <f>2016-YEAR(ubezpieczenia5[[#This Row],[Data_urodz]])</f>
        <v>67</v>
      </c>
      <c r="G234" s="1" cm="1">
        <f t="array" ref="G23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35" spans="1:7" x14ac:dyDescent="0.25">
      <c r="A235" s="1" t="s">
        <v>328</v>
      </c>
      <c r="B235" s="1" t="s">
        <v>157</v>
      </c>
      <c r="C235" s="2">
        <v>20057</v>
      </c>
      <c r="D235" s="1" t="s">
        <v>12</v>
      </c>
      <c r="E235" s="1">
        <f>IF(RIGHT(ubezpieczenia5[[#This Row],[Imie]],1)="a",1,0)</f>
        <v>1</v>
      </c>
      <c r="F235" s="1">
        <f>2016-YEAR(ubezpieczenia5[[#This Row],[Data_urodz]])</f>
        <v>62</v>
      </c>
      <c r="G235" s="1" cm="1">
        <f t="array" ref="G23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36" spans="1:7" x14ac:dyDescent="0.25">
      <c r="A236" s="1" t="s">
        <v>329</v>
      </c>
      <c r="B236" s="1" t="s">
        <v>146</v>
      </c>
      <c r="C236" s="2">
        <v>30863</v>
      </c>
      <c r="D236" s="1" t="s">
        <v>9</v>
      </c>
      <c r="E236" s="1">
        <f>IF(RIGHT(ubezpieczenia5[[#This Row],[Imie]],1)="a",1,0)</f>
        <v>0</v>
      </c>
      <c r="F236" s="1">
        <f>2016-YEAR(ubezpieczenia5[[#This Row],[Data_urodz]])</f>
        <v>32</v>
      </c>
      <c r="G236" s="1" cm="1">
        <f t="array" ref="G23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37" spans="1:7" x14ac:dyDescent="0.25">
      <c r="A237" s="1" t="s">
        <v>330</v>
      </c>
      <c r="B237" s="1" t="s">
        <v>139</v>
      </c>
      <c r="C237" s="2">
        <v>22435</v>
      </c>
      <c r="D237" s="1" t="s">
        <v>6</v>
      </c>
      <c r="E237" s="1">
        <f>IF(RIGHT(ubezpieczenia5[[#This Row],[Imie]],1)="a",1,0)</f>
        <v>0</v>
      </c>
      <c r="F237" s="1">
        <f>2016-YEAR(ubezpieczenia5[[#This Row],[Data_urodz]])</f>
        <v>55</v>
      </c>
      <c r="G237" s="1" cm="1">
        <f t="array" ref="G23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38" spans="1:7" x14ac:dyDescent="0.25">
      <c r="A238" s="1" t="s">
        <v>130</v>
      </c>
      <c r="B238" s="1" t="s">
        <v>84</v>
      </c>
      <c r="C238" s="2">
        <v>17048</v>
      </c>
      <c r="D238" s="1" t="s">
        <v>12</v>
      </c>
      <c r="E238" s="1">
        <f>IF(RIGHT(ubezpieczenia5[[#This Row],[Imie]],1)="a",1,0)</f>
        <v>1</v>
      </c>
      <c r="F238" s="1">
        <f>2016-YEAR(ubezpieczenia5[[#This Row],[Data_urodz]])</f>
        <v>70</v>
      </c>
      <c r="G238" s="1" cm="1">
        <f t="array" ref="G23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39" spans="1:7" x14ac:dyDescent="0.25">
      <c r="A239" s="1" t="s">
        <v>331</v>
      </c>
      <c r="B239" s="1" t="s">
        <v>332</v>
      </c>
      <c r="C239" s="2">
        <v>24732</v>
      </c>
      <c r="D239" s="1" t="s">
        <v>6</v>
      </c>
      <c r="E239" s="1">
        <f>IF(RIGHT(ubezpieczenia5[[#This Row],[Imie]],1)="a",1,0)</f>
        <v>0</v>
      </c>
      <c r="F239" s="1">
        <f>2016-YEAR(ubezpieczenia5[[#This Row],[Data_urodz]])</f>
        <v>49</v>
      </c>
      <c r="G239" s="1" cm="1">
        <f t="array" ref="G23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40" spans="1:7" x14ac:dyDescent="0.25">
      <c r="A240" s="1" t="s">
        <v>333</v>
      </c>
      <c r="B240" s="1" t="s">
        <v>11</v>
      </c>
      <c r="C240" s="2">
        <v>18589</v>
      </c>
      <c r="D240" s="1" t="s">
        <v>6</v>
      </c>
      <c r="E240" s="1">
        <f>IF(RIGHT(ubezpieczenia5[[#This Row],[Imie]],1)="a",1,0)</f>
        <v>1</v>
      </c>
      <c r="F240" s="1">
        <f>2016-YEAR(ubezpieczenia5[[#This Row],[Data_urodz]])</f>
        <v>66</v>
      </c>
      <c r="G240" s="1" cm="1">
        <f t="array" ref="G24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41" spans="1:7" x14ac:dyDescent="0.25">
      <c r="A241" s="1" t="s">
        <v>334</v>
      </c>
      <c r="B241" s="1" t="s">
        <v>49</v>
      </c>
      <c r="C241" s="2">
        <v>20727</v>
      </c>
      <c r="D241" s="1" t="s">
        <v>12</v>
      </c>
      <c r="E241" s="1">
        <f>IF(RIGHT(ubezpieczenia5[[#This Row],[Imie]],1)="a",1,0)</f>
        <v>0</v>
      </c>
      <c r="F241" s="1">
        <f>2016-YEAR(ubezpieczenia5[[#This Row],[Data_urodz]])</f>
        <v>60</v>
      </c>
      <c r="G241" s="1" cm="1">
        <f t="array" ref="G24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42" spans="1:7" x14ac:dyDescent="0.25">
      <c r="A242" s="1" t="s">
        <v>335</v>
      </c>
      <c r="B242" s="1" t="s">
        <v>114</v>
      </c>
      <c r="C242" s="2">
        <v>23401</v>
      </c>
      <c r="D242" s="1" t="s">
        <v>6</v>
      </c>
      <c r="E242" s="1">
        <f>IF(RIGHT(ubezpieczenia5[[#This Row],[Imie]],1)="a",1,0)</f>
        <v>0</v>
      </c>
      <c r="F242" s="1">
        <f>2016-YEAR(ubezpieczenia5[[#This Row],[Data_urodz]])</f>
        <v>52</v>
      </c>
      <c r="G242" s="1" cm="1">
        <f t="array" ref="G24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43" spans="1:7" x14ac:dyDescent="0.25">
      <c r="A243" s="1" t="s">
        <v>336</v>
      </c>
      <c r="B243" s="1" t="s">
        <v>337</v>
      </c>
      <c r="C243" s="2">
        <v>17084</v>
      </c>
      <c r="D243" s="1" t="s">
        <v>6</v>
      </c>
      <c r="E243" s="1">
        <f>IF(RIGHT(ubezpieczenia5[[#This Row],[Imie]],1)="a",1,0)</f>
        <v>1</v>
      </c>
      <c r="F243" s="1">
        <f>2016-YEAR(ubezpieczenia5[[#This Row],[Data_urodz]])</f>
        <v>70</v>
      </c>
      <c r="G243" s="1" cm="1">
        <f t="array" ref="G24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44" spans="1:7" x14ac:dyDescent="0.25">
      <c r="A244" s="1" t="s">
        <v>338</v>
      </c>
      <c r="B244" s="1" t="s">
        <v>8</v>
      </c>
      <c r="C244" s="2">
        <v>30481</v>
      </c>
      <c r="D244" s="1" t="s">
        <v>12</v>
      </c>
      <c r="E244" s="1">
        <f>IF(RIGHT(ubezpieczenia5[[#This Row],[Imie]],1)="a",1,0)</f>
        <v>0</v>
      </c>
      <c r="F244" s="1">
        <f>2016-YEAR(ubezpieczenia5[[#This Row],[Data_urodz]])</f>
        <v>33</v>
      </c>
      <c r="G244" s="1" cm="1">
        <f t="array" ref="G24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45" spans="1:7" x14ac:dyDescent="0.25">
      <c r="A245" s="1" t="s">
        <v>339</v>
      </c>
      <c r="B245" s="1" t="s">
        <v>20</v>
      </c>
      <c r="C245" s="2">
        <v>20651</v>
      </c>
      <c r="D245" s="1" t="s">
        <v>12</v>
      </c>
      <c r="E245" s="1">
        <f>IF(RIGHT(ubezpieczenia5[[#This Row],[Imie]],1)="a",1,0)</f>
        <v>1</v>
      </c>
      <c r="F245" s="1">
        <f>2016-YEAR(ubezpieczenia5[[#This Row],[Data_urodz]])</f>
        <v>60</v>
      </c>
      <c r="G245" s="1" cm="1">
        <f t="array" ref="G24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46" spans="1:7" x14ac:dyDescent="0.25">
      <c r="A246" s="1" t="s">
        <v>340</v>
      </c>
      <c r="B246" s="1" t="s">
        <v>185</v>
      </c>
      <c r="C246" s="2">
        <v>32580</v>
      </c>
      <c r="D246" s="1" t="s">
        <v>12</v>
      </c>
      <c r="E246" s="1">
        <f>IF(RIGHT(ubezpieczenia5[[#This Row],[Imie]],1)="a",1,0)</f>
        <v>1</v>
      </c>
      <c r="F246" s="1">
        <f>2016-YEAR(ubezpieczenia5[[#This Row],[Data_urodz]])</f>
        <v>27</v>
      </c>
      <c r="G246" s="1" cm="1">
        <f t="array" ref="G24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47" spans="1:7" x14ac:dyDescent="0.25">
      <c r="A247" s="1" t="s">
        <v>341</v>
      </c>
      <c r="B247" s="1" t="s">
        <v>139</v>
      </c>
      <c r="C247" s="2">
        <v>18233</v>
      </c>
      <c r="D247" s="1" t="s">
        <v>12</v>
      </c>
      <c r="E247" s="1">
        <f>IF(RIGHT(ubezpieczenia5[[#This Row],[Imie]],1)="a",1,0)</f>
        <v>0</v>
      </c>
      <c r="F247" s="1">
        <f>2016-YEAR(ubezpieczenia5[[#This Row],[Data_urodz]])</f>
        <v>67</v>
      </c>
      <c r="G247" s="1" cm="1">
        <f t="array" ref="G24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48" spans="1:7" x14ac:dyDescent="0.25">
      <c r="A248" s="1" t="s">
        <v>342</v>
      </c>
      <c r="B248" s="1" t="s">
        <v>177</v>
      </c>
      <c r="C248" s="2">
        <v>24225</v>
      </c>
      <c r="D248" s="1" t="s">
        <v>6</v>
      </c>
      <c r="E248" s="1">
        <f>IF(RIGHT(ubezpieczenia5[[#This Row],[Imie]],1)="a",1,0)</f>
        <v>1</v>
      </c>
      <c r="F248" s="1">
        <f>2016-YEAR(ubezpieczenia5[[#This Row],[Data_urodz]])</f>
        <v>50</v>
      </c>
      <c r="G248" s="1" cm="1">
        <f t="array" ref="G24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49" spans="1:7" x14ac:dyDescent="0.25">
      <c r="A249" s="1" t="s">
        <v>343</v>
      </c>
      <c r="B249" s="1" t="s">
        <v>45</v>
      </c>
      <c r="C249" s="2">
        <v>27299</v>
      </c>
      <c r="D249" s="1" t="s">
        <v>6</v>
      </c>
      <c r="E249" s="1">
        <f>IF(RIGHT(ubezpieczenia5[[#This Row],[Imie]],1)="a",1,0)</f>
        <v>1</v>
      </c>
      <c r="F249" s="1">
        <f>2016-YEAR(ubezpieczenia5[[#This Row],[Data_urodz]])</f>
        <v>42</v>
      </c>
      <c r="G249" s="1" cm="1">
        <f t="array" ref="G24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50" spans="1:7" x14ac:dyDescent="0.25">
      <c r="A250" s="1" t="s">
        <v>344</v>
      </c>
      <c r="B250" s="1" t="s">
        <v>345</v>
      </c>
      <c r="C250" s="2">
        <v>18398</v>
      </c>
      <c r="D250" s="1" t="s">
        <v>12</v>
      </c>
      <c r="E250" s="1">
        <f>IF(RIGHT(ubezpieczenia5[[#This Row],[Imie]],1)="a",1,0)</f>
        <v>1</v>
      </c>
      <c r="F250" s="1">
        <f>2016-YEAR(ubezpieczenia5[[#This Row],[Data_urodz]])</f>
        <v>66</v>
      </c>
      <c r="G250" s="1" cm="1">
        <f t="array" ref="G25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51" spans="1:7" x14ac:dyDescent="0.25">
      <c r="A251" s="1" t="s">
        <v>329</v>
      </c>
      <c r="B251" s="1" t="s">
        <v>194</v>
      </c>
      <c r="C251" s="2">
        <v>34400</v>
      </c>
      <c r="D251" s="1" t="s">
        <v>12</v>
      </c>
      <c r="E251" s="1">
        <f>IF(RIGHT(ubezpieczenia5[[#This Row],[Imie]],1)="a",1,0)</f>
        <v>1</v>
      </c>
      <c r="F251" s="1">
        <f>2016-YEAR(ubezpieczenia5[[#This Row],[Data_urodz]])</f>
        <v>22</v>
      </c>
      <c r="G251" s="1" cm="1">
        <f t="array" ref="G25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52" spans="1:7" x14ac:dyDescent="0.25">
      <c r="A252" s="1" t="s">
        <v>51</v>
      </c>
      <c r="B252" s="1" t="s">
        <v>346</v>
      </c>
      <c r="C252" s="2">
        <v>21513</v>
      </c>
      <c r="D252" s="1" t="s">
        <v>12</v>
      </c>
      <c r="E252" s="1">
        <f>IF(RIGHT(ubezpieczenia5[[#This Row],[Imie]],1)="a",1,0)</f>
        <v>1</v>
      </c>
      <c r="F252" s="1">
        <f>2016-YEAR(ubezpieczenia5[[#This Row],[Data_urodz]])</f>
        <v>58</v>
      </c>
      <c r="G252" s="1" cm="1">
        <f t="array" ref="G25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53" spans="1:7" x14ac:dyDescent="0.25">
      <c r="A253" s="1" t="s">
        <v>347</v>
      </c>
      <c r="B253" s="1" t="s">
        <v>236</v>
      </c>
      <c r="C253" s="2">
        <v>31749</v>
      </c>
      <c r="D253" s="1" t="s">
        <v>6</v>
      </c>
      <c r="E253" s="1">
        <f>IF(RIGHT(ubezpieczenia5[[#This Row],[Imie]],1)="a",1,0)</f>
        <v>1</v>
      </c>
      <c r="F253" s="1">
        <f>2016-YEAR(ubezpieczenia5[[#This Row],[Data_urodz]])</f>
        <v>30</v>
      </c>
      <c r="G253" s="1" cm="1">
        <f t="array" ref="G25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54" spans="1:7" x14ac:dyDescent="0.25">
      <c r="A254" s="1" t="s">
        <v>348</v>
      </c>
      <c r="B254" s="1" t="s">
        <v>5</v>
      </c>
      <c r="C254" s="2">
        <v>34235</v>
      </c>
      <c r="D254" s="1" t="s">
        <v>6</v>
      </c>
      <c r="E254" s="1">
        <f>IF(RIGHT(ubezpieczenia5[[#This Row],[Imie]],1)="a",1,0)</f>
        <v>1</v>
      </c>
      <c r="F254" s="1">
        <f>2016-YEAR(ubezpieczenia5[[#This Row],[Data_urodz]])</f>
        <v>23</v>
      </c>
      <c r="G254" s="1" cm="1">
        <f t="array" ref="G25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55" spans="1:7" x14ac:dyDescent="0.25">
      <c r="A255" s="1" t="s">
        <v>349</v>
      </c>
      <c r="B255" s="1" t="s">
        <v>131</v>
      </c>
      <c r="C255" s="2">
        <v>19183</v>
      </c>
      <c r="D255" s="1" t="s">
        <v>9</v>
      </c>
      <c r="E255" s="1">
        <f>IF(RIGHT(ubezpieczenia5[[#This Row],[Imie]],1)="a",1,0)</f>
        <v>1</v>
      </c>
      <c r="F255" s="1">
        <f>2016-YEAR(ubezpieczenia5[[#This Row],[Data_urodz]])</f>
        <v>64</v>
      </c>
      <c r="G255" s="1" cm="1">
        <f t="array" ref="G25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56" spans="1:7" x14ac:dyDescent="0.25">
      <c r="A256" s="1" t="s">
        <v>350</v>
      </c>
      <c r="B256" s="1" t="s">
        <v>8</v>
      </c>
      <c r="C256" s="2">
        <v>27424</v>
      </c>
      <c r="D256" s="1" t="s">
        <v>12</v>
      </c>
      <c r="E256" s="1">
        <f>IF(RIGHT(ubezpieczenia5[[#This Row],[Imie]],1)="a",1,0)</f>
        <v>0</v>
      </c>
      <c r="F256" s="1">
        <f>2016-YEAR(ubezpieczenia5[[#This Row],[Data_urodz]])</f>
        <v>41</v>
      </c>
      <c r="G256" s="1" cm="1">
        <f t="array" ref="G25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57" spans="1:7" x14ac:dyDescent="0.25">
      <c r="A257" s="1" t="s">
        <v>351</v>
      </c>
      <c r="B257" s="1" t="s">
        <v>152</v>
      </c>
      <c r="C257" s="2">
        <v>23665</v>
      </c>
      <c r="D257" s="1" t="s">
        <v>12</v>
      </c>
      <c r="E257" s="1">
        <f>IF(RIGHT(ubezpieczenia5[[#This Row],[Imie]],1)="a",1,0)</f>
        <v>0</v>
      </c>
      <c r="F257" s="1">
        <f>2016-YEAR(ubezpieczenia5[[#This Row],[Data_urodz]])</f>
        <v>52</v>
      </c>
      <c r="G257" s="1" cm="1">
        <f t="array" ref="G25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58" spans="1:7" x14ac:dyDescent="0.25">
      <c r="A258" s="1" t="s">
        <v>352</v>
      </c>
      <c r="B258" s="1" t="s">
        <v>11</v>
      </c>
      <c r="C258" s="2">
        <v>17649</v>
      </c>
      <c r="D258" s="1" t="s">
        <v>6</v>
      </c>
      <c r="E258" s="1">
        <f>IF(RIGHT(ubezpieczenia5[[#This Row],[Imie]],1)="a",1,0)</f>
        <v>1</v>
      </c>
      <c r="F258" s="1">
        <f>2016-YEAR(ubezpieczenia5[[#This Row],[Data_urodz]])</f>
        <v>68</v>
      </c>
      <c r="G258" s="1" cm="1">
        <f t="array" ref="G25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59" spans="1:7" x14ac:dyDescent="0.25">
      <c r="A259" s="1" t="s">
        <v>353</v>
      </c>
      <c r="B259" s="1" t="s">
        <v>354</v>
      </c>
      <c r="C259" s="2">
        <v>25530</v>
      </c>
      <c r="D259" s="1" t="s">
        <v>6</v>
      </c>
      <c r="E259" s="1">
        <f>IF(RIGHT(ubezpieczenia5[[#This Row],[Imie]],1)="a",1,0)</f>
        <v>1</v>
      </c>
      <c r="F259" s="1">
        <f>2016-YEAR(ubezpieczenia5[[#This Row],[Data_urodz]])</f>
        <v>47</v>
      </c>
      <c r="G259" s="1" cm="1">
        <f t="array" ref="G25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60" spans="1:7" x14ac:dyDescent="0.25">
      <c r="A260" s="1" t="s">
        <v>355</v>
      </c>
      <c r="B260" s="1" t="s">
        <v>356</v>
      </c>
      <c r="C260" s="2">
        <v>34758</v>
      </c>
      <c r="D260" s="1" t="s">
        <v>9</v>
      </c>
      <c r="E260" s="1">
        <f>IF(RIGHT(ubezpieczenia5[[#This Row],[Imie]],1)="a",1,0)</f>
        <v>1</v>
      </c>
      <c r="F260" s="1">
        <f>2016-YEAR(ubezpieczenia5[[#This Row],[Data_urodz]])</f>
        <v>21</v>
      </c>
      <c r="G260" s="1" cm="1">
        <f t="array" ref="G26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61" spans="1:7" x14ac:dyDescent="0.25">
      <c r="A261" s="1" t="s">
        <v>19</v>
      </c>
      <c r="B261" s="1" t="s">
        <v>357</v>
      </c>
      <c r="C261" s="2">
        <v>17531</v>
      </c>
      <c r="D261" s="1" t="s">
        <v>12</v>
      </c>
      <c r="E261" s="1">
        <f>IF(RIGHT(ubezpieczenia5[[#This Row],[Imie]],1)="a",1,0)</f>
        <v>0</v>
      </c>
      <c r="F261" s="1">
        <f>2016-YEAR(ubezpieczenia5[[#This Row],[Data_urodz]])</f>
        <v>69</v>
      </c>
      <c r="G261" s="1" cm="1">
        <f t="array" ref="G26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62" spans="1:7" x14ac:dyDescent="0.25">
      <c r="A262" s="1" t="s">
        <v>358</v>
      </c>
      <c r="B262" s="1" t="s">
        <v>8</v>
      </c>
      <c r="C262" s="2">
        <v>32482</v>
      </c>
      <c r="D262" s="1" t="s">
        <v>6</v>
      </c>
      <c r="E262" s="1">
        <f>IF(RIGHT(ubezpieczenia5[[#This Row],[Imie]],1)="a",1,0)</f>
        <v>0</v>
      </c>
      <c r="F262" s="1">
        <f>2016-YEAR(ubezpieczenia5[[#This Row],[Data_urodz]])</f>
        <v>28</v>
      </c>
      <c r="G262" s="1" cm="1">
        <f t="array" ref="G26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63" spans="1:7" x14ac:dyDescent="0.25">
      <c r="A263" s="1" t="s">
        <v>359</v>
      </c>
      <c r="B263" s="1" t="s">
        <v>246</v>
      </c>
      <c r="C263" s="2">
        <v>34533</v>
      </c>
      <c r="D263" s="1" t="s">
        <v>12</v>
      </c>
      <c r="E263" s="1">
        <f>IF(RIGHT(ubezpieczenia5[[#This Row],[Imie]],1)="a",1,0)</f>
        <v>0</v>
      </c>
      <c r="F263" s="1">
        <f>2016-YEAR(ubezpieczenia5[[#This Row],[Data_urodz]])</f>
        <v>22</v>
      </c>
      <c r="G263" s="1" cm="1">
        <f t="array" ref="G26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64" spans="1:7" x14ac:dyDescent="0.25">
      <c r="A264" s="1" t="s">
        <v>308</v>
      </c>
      <c r="B264" s="1" t="s">
        <v>79</v>
      </c>
      <c r="C264" s="2">
        <v>28491</v>
      </c>
      <c r="D264" s="1" t="s">
        <v>12</v>
      </c>
      <c r="E264" s="1">
        <f>IF(RIGHT(ubezpieczenia5[[#This Row],[Imie]],1)="a",1,0)</f>
        <v>1</v>
      </c>
      <c r="F264" s="1">
        <f>2016-YEAR(ubezpieczenia5[[#This Row],[Data_urodz]])</f>
        <v>38</v>
      </c>
      <c r="G264" s="1" cm="1">
        <f t="array" ref="G26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65" spans="1:7" x14ac:dyDescent="0.25">
      <c r="A265" s="1" t="s">
        <v>360</v>
      </c>
      <c r="B265" s="1" t="s">
        <v>361</v>
      </c>
      <c r="C265" s="2">
        <v>32689</v>
      </c>
      <c r="D265" s="1" t="s">
        <v>9</v>
      </c>
      <c r="E265" s="1">
        <f>IF(RIGHT(ubezpieczenia5[[#This Row],[Imie]],1)="a",1,0)</f>
        <v>1</v>
      </c>
      <c r="F265" s="1">
        <f>2016-YEAR(ubezpieczenia5[[#This Row],[Data_urodz]])</f>
        <v>27</v>
      </c>
      <c r="G265" s="1" cm="1">
        <f t="array" ref="G26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66" spans="1:7" x14ac:dyDescent="0.25">
      <c r="A266" s="1" t="s">
        <v>162</v>
      </c>
      <c r="B266" s="1" t="s">
        <v>362</v>
      </c>
      <c r="C266" s="2">
        <v>27112</v>
      </c>
      <c r="D266" s="1" t="s">
        <v>6</v>
      </c>
      <c r="E266" s="1">
        <f>IF(RIGHT(ubezpieczenia5[[#This Row],[Imie]],1)="a",1,0)</f>
        <v>1</v>
      </c>
      <c r="F266" s="1">
        <f>2016-YEAR(ubezpieczenia5[[#This Row],[Data_urodz]])</f>
        <v>42</v>
      </c>
      <c r="G266" s="1" cm="1">
        <f t="array" ref="G26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67" spans="1:7" x14ac:dyDescent="0.25">
      <c r="A267" s="1" t="s">
        <v>363</v>
      </c>
      <c r="B267" s="1" t="s">
        <v>16</v>
      </c>
      <c r="C267" s="2">
        <v>29259</v>
      </c>
      <c r="D267" s="1" t="s">
        <v>12</v>
      </c>
      <c r="E267" s="1">
        <f>IF(RIGHT(ubezpieczenia5[[#This Row],[Imie]],1)="a",1,0)</f>
        <v>1</v>
      </c>
      <c r="F267" s="1">
        <f>2016-YEAR(ubezpieczenia5[[#This Row],[Data_urodz]])</f>
        <v>36</v>
      </c>
      <c r="G267" s="1" cm="1">
        <f t="array" ref="G26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68" spans="1:7" x14ac:dyDescent="0.25">
      <c r="A268" s="1" t="s">
        <v>83</v>
      </c>
      <c r="B268" s="1" t="s">
        <v>123</v>
      </c>
      <c r="C268" s="2">
        <v>18437</v>
      </c>
      <c r="D268" s="1" t="s">
        <v>6</v>
      </c>
      <c r="E268" s="1">
        <f>IF(RIGHT(ubezpieczenia5[[#This Row],[Imie]],1)="a",1,0)</f>
        <v>1</v>
      </c>
      <c r="F268" s="1">
        <f>2016-YEAR(ubezpieczenia5[[#This Row],[Data_urodz]])</f>
        <v>66</v>
      </c>
      <c r="G268" s="1" cm="1">
        <f t="array" ref="G26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69" spans="1:7" x14ac:dyDescent="0.25">
      <c r="A269" s="1" t="s">
        <v>364</v>
      </c>
      <c r="B269" s="1" t="s">
        <v>194</v>
      </c>
      <c r="C269" s="2">
        <v>34406</v>
      </c>
      <c r="D269" s="1" t="s">
        <v>12</v>
      </c>
      <c r="E269" s="1">
        <f>IF(RIGHT(ubezpieczenia5[[#This Row],[Imie]],1)="a",1,0)</f>
        <v>1</v>
      </c>
      <c r="F269" s="1">
        <f>2016-YEAR(ubezpieczenia5[[#This Row],[Data_urodz]])</f>
        <v>22</v>
      </c>
      <c r="G269" s="1" cm="1">
        <f t="array" ref="G26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70" spans="1:7" x14ac:dyDescent="0.25">
      <c r="A270" s="1" t="s">
        <v>365</v>
      </c>
      <c r="B270" s="1" t="s">
        <v>366</v>
      </c>
      <c r="C270" s="2">
        <v>26689</v>
      </c>
      <c r="D270" s="1" t="s">
        <v>12</v>
      </c>
      <c r="E270" s="1">
        <f>IF(RIGHT(ubezpieczenia5[[#This Row],[Imie]],1)="a",1,0)</f>
        <v>0</v>
      </c>
      <c r="F270" s="1">
        <f>2016-YEAR(ubezpieczenia5[[#This Row],[Data_urodz]])</f>
        <v>43</v>
      </c>
      <c r="G270" s="1" cm="1">
        <f t="array" ref="G27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71" spans="1:7" x14ac:dyDescent="0.25">
      <c r="A271" s="1" t="s">
        <v>174</v>
      </c>
      <c r="B271" s="1" t="s">
        <v>52</v>
      </c>
      <c r="C271" s="2">
        <v>24391</v>
      </c>
      <c r="D271" s="1" t="s">
        <v>6</v>
      </c>
      <c r="E271" s="1">
        <f>IF(RIGHT(ubezpieczenia5[[#This Row],[Imie]],1)="a",1,0)</f>
        <v>1</v>
      </c>
      <c r="F271" s="1">
        <f>2016-YEAR(ubezpieczenia5[[#This Row],[Data_urodz]])</f>
        <v>50</v>
      </c>
      <c r="G271" s="1" cm="1">
        <f t="array" ref="G27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72" spans="1:7" x14ac:dyDescent="0.25">
      <c r="A272" s="1" t="s">
        <v>367</v>
      </c>
      <c r="B272" s="1" t="s">
        <v>368</v>
      </c>
      <c r="C272" s="2">
        <v>22010</v>
      </c>
      <c r="D272" s="1" t="s">
        <v>12</v>
      </c>
      <c r="E272" s="1">
        <f>IF(RIGHT(ubezpieczenia5[[#This Row],[Imie]],1)="a",1,0)</f>
        <v>1</v>
      </c>
      <c r="F272" s="1">
        <f>2016-YEAR(ubezpieczenia5[[#This Row],[Data_urodz]])</f>
        <v>56</v>
      </c>
      <c r="G272" s="1" cm="1">
        <f t="array" ref="G27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73" spans="1:7" x14ac:dyDescent="0.25">
      <c r="A273" s="1" t="s">
        <v>369</v>
      </c>
      <c r="B273" s="1" t="s">
        <v>332</v>
      </c>
      <c r="C273" s="2">
        <v>17207</v>
      </c>
      <c r="D273" s="1" t="s">
        <v>9</v>
      </c>
      <c r="E273" s="1">
        <f>IF(RIGHT(ubezpieczenia5[[#This Row],[Imie]],1)="a",1,0)</f>
        <v>0</v>
      </c>
      <c r="F273" s="1">
        <f>2016-YEAR(ubezpieczenia5[[#This Row],[Data_urodz]])</f>
        <v>69</v>
      </c>
      <c r="G273" s="1" cm="1">
        <f t="array" ref="G27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74" spans="1:7" x14ac:dyDescent="0.25">
      <c r="A274" s="1" t="s">
        <v>370</v>
      </c>
      <c r="B274" s="1" t="s">
        <v>160</v>
      </c>
      <c r="C274" s="2">
        <v>22547</v>
      </c>
      <c r="D274" s="1" t="s">
        <v>6</v>
      </c>
      <c r="E274" s="1">
        <f>IF(RIGHT(ubezpieczenia5[[#This Row],[Imie]],1)="a",1,0)</f>
        <v>0</v>
      </c>
      <c r="F274" s="1">
        <f>2016-YEAR(ubezpieczenia5[[#This Row],[Data_urodz]])</f>
        <v>55</v>
      </c>
      <c r="G274" s="1" cm="1">
        <f t="array" ref="G27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75" spans="1:7" x14ac:dyDescent="0.25">
      <c r="A275" s="1" t="s">
        <v>371</v>
      </c>
      <c r="B275" s="1" t="s">
        <v>372</v>
      </c>
      <c r="C275" s="2">
        <v>20722</v>
      </c>
      <c r="D275" s="1" t="s">
        <v>12</v>
      </c>
      <c r="E275" s="1">
        <f>IF(RIGHT(ubezpieczenia5[[#This Row],[Imie]],1)="a",1,0)</f>
        <v>1</v>
      </c>
      <c r="F275" s="1">
        <f>2016-YEAR(ubezpieczenia5[[#This Row],[Data_urodz]])</f>
        <v>60</v>
      </c>
      <c r="G275" s="1" cm="1">
        <f t="array" ref="G27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76" spans="1:7" x14ac:dyDescent="0.25">
      <c r="A276" s="1" t="s">
        <v>373</v>
      </c>
      <c r="B276" s="1" t="s">
        <v>29</v>
      </c>
      <c r="C276" s="2">
        <v>24900</v>
      </c>
      <c r="D276" s="1" t="s">
        <v>12</v>
      </c>
      <c r="E276" s="1">
        <f>IF(RIGHT(ubezpieczenia5[[#This Row],[Imie]],1)="a",1,0)</f>
        <v>0</v>
      </c>
      <c r="F276" s="1">
        <f>2016-YEAR(ubezpieczenia5[[#This Row],[Data_urodz]])</f>
        <v>48</v>
      </c>
      <c r="G276" s="1" cm="1">
        <f t="array" ref="G27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77" spans="1:7" x14ac:dyDescent="0.25">
      <c r="A277" s="1" t="s">
        <v>374</v>
      </c>
      <c r="B277" s="1" t="s">
        <v>37</v>
      </c>
      <c r="C277" s="2">
        <v>20808</v>
      </c>
      <c r="D277" s="1" t="s">
        <v>12</v>
      </c>
      <c r="E277" s="1">
        <f>IF(RIGHT(ubezpieczenia5[[#This Row],[Imie]],1)="a",1,0)</f>
        <v>1</v>
      </c>
      <c r="F277" s="1">
        <f>2016-YEAR(ubezpieczenia5[[#This Row],[Data_urodz]])</f>
        <v>60</v>
      </c>
      <c r="G277" s="1" cm="1">
        <f t="array" ref="G27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78" spans="1:7" x14ac:dyDescent="0.25">
      <c r="A278" s="1" t="s">
        <v>375</v>
      </c>
      <c r="B278" s="1" t="s">
        <v>131</v>
      </c>
      <c r="C278" s="2">
        <v>30235</v>
      </c>
      <c r="D278" s="1" t="s">
        <v>12</v>
      </c>
      <c r="E278" s="1">
        <f>IF(RIGHT(ubezpieczenia5[[#This Row],[Imie]],1)="a",1,0)</f>
        <v>1</v>
      </c>
      <c r="F278" s="1">
        <f>2016-YEAR(ubezpieczenia5[[#This Row],[Data_urodz]])</f>
        <v>34</v>
      </c>
      <c r="G278" s="1" cm="1">
        <f t="array" ref="G27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79" spans="1:7" x14ac:dyDescent="0.25">
      <c r="A279" s="1" t="s">
        <v>376</v>
      </c>
      <c r="B279" s="1" t="s">
        <v>257</v>
      </c>
      <c r="C279" s="2">
        <v>21221</v>
      </c>
      <c r="D279" s="1" t="s">
        <v>9</v>
      </c>
      <c r="E279" s="1">
        <f>IF(RIGHT(ubezpieczenia5[[#This Row],[Imie]],1)="a",1,0)</f>
        <v>0</v>
      </c>
      <c r="F279" s="1">
        <f>2016-YEAR(ubezpieczenia5[[#This Row],[Data_urodz]])</f>
        <v>58</v>
      </c>
      <c r="G279" s="1" cm="1">
        <f t="array" ref="G27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80" spans="1:7" x14ac:dyDescent="0.25">
      <c r="A280" s="1" t="s">
        <v>377</v>
      </c>
      <c r="B280" s="1" t="s">
        <v>45</v>
      </c>
      <c r="C280" s="2">
        <v>20193</v>
      </c>
      <c r="D280" s="1" t="s">
        <v>6</v>
      </c>
      <c r="E280" s="1">
        <f>IF(RIGHT(ubezpieczenia5[[#This Row],[Imie]],1)="a",1,0)</f>
        <v>1</v>
      </c>
      <c r="F280" s="1">
        <f>2016-YEAR(ubezpieczenia5[[#This Row],[Data_urodz]])</f>
        <v>61</v>
      </c>
      <c r="G280" s="1" cm="1">
        <f t="array" ref="G28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81" spans="1:7" x14ac:dyDescent="0.25">
      <c r="A281" s="1" t="s">
        <v>378</v>
      </c>
      <c r="B281" s="1" t="s">
        <v>141</v>
      </c>
      <c r="C281" s="2">
        <v>17137</v>
      </c>
      <c r="D281" s="1" t="s">
        <v>6</v>
      </c>
      <c r="E281" s="1">
        <f>IF(RIGHT(ubezpieczenia5[[#This Row],[Imie]],1)="a",1,0)</f>
        <v>0</v>
      </c>
      <c r="F281" s="1">
        <f>2016-YEAR(ubezpieczenia5[[#This Row],[Data_urodz]])</f>
        <v>70</v>
      </c>
      <c r="G281" s="1" cm="1">
        <f t="array" ref="G28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82" spans="1:7" x14ac:dyDescent="0.25">
      <c r="A282" s="1" t="s">
        <v>379</v>
      </c>
      <c r="B282" s="1" t="s">
        <v>49</v>
      </c>
      <c r="C282" s="2">
        <v>32802</v>
      </c>
      <c r="D282" s="1" t="s">
        <v>6</v>
      </c>
      <c r="E282" s="1">
        <f>IF(RIGHT(ubezpieczenia5[[#This Row],[Imie]],1)="a",1,0)</f>
        <v>0</v>
      </c>
      <c r="F282" s="1">
        <f>2016-YEAR(ubezpieczenia5[[#This Row],[Data_urodz]])</f>
        <v>27</v>
      </c>
      <c r="G282" s="1" cm="1">
        <f t="array" ref="G28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83" spans="1:7" x14ac:dyDescent="0.25">
      <c r="A283" s="1" t="s">
        <v>240</v>
      </c>
      <c r="B283" s="1" t="s">
        <v>20</v>
      </c>
      <c r="C283" s="2">
        <v>25839</v>
      </c>
      <c r="D283" s="1" t="s">
        <v>12</v>
      </c>
      <c r="E283" s="1">
        <f>IF(RIGHT(ubezpieczenia5[[#This Row],[Imie]],1)="a",1,0)</f>
        <v>1</v>
      </c>
      <c r="F283" s="1">
        <f>2016-YEAR(ubezpieczenia5[[#This Row],[Data_urodz]])</f>
        <v>46</v>
      </c>
      <c r="G283" s="1" cm="1">
        <f t="array" ref="G28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84" spans="1:7" x14ac:dyDescent="0.25">
      <c r="A284" s="1" t="s">
        <v>275</v>
      </c>
      <c r="B284" s="1" t="s">
        <v>380</v>
      </c>
      <c r="C284" s="2">
        <v>32028</v>
      </c>
      <c r="D284" s="1" t="s">
        <v>12</v>
      </c>
      <c r="E284" s="1">
        <f>IF(RIGHT(ubezpieczenia5[[#This Row],[Imie]],1)="a",1,0)</f>
        <v>0</v>
      </c>
      <c r="F284" s="1">
        <f>2016-YEAR(ubezpieczenia5[[#This Row],[Data_urodz]])</f>
        <v>29</v>
      </c>
      <c r="G284" s="1" cm="1">
        <f t="array" ref="G28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85" spans="1:7" x14ac:dyDescent="0.25">
      <c r="A285" s="1" t="s">
        <v>317</v>
      </c>
      <c r="B285" s="1" t="s">
        <v>192</v>
      </c>
      <c r="C285" s="2">
        <v>31556</v>
      </c>
      <c r="D285" s="1" t="s">
        <v>6</v>
      </c>
      <c r="E285" s="1">
        <f>IF(RIGHT(ubezpieczenia5[[#This Row],[Imie]],1)="a",1,0)</f>
        <v>1</v>
      </c>
      <c r="F285" s="1">
        <f>2016-YEAR(ubezpieczenia5[[#This Row],[Data_urodz]])</f>
        <v>30</v>
      </c>
      <c r="G285" s="1" cm="1">
        <f t="array" ref="G28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86" spans="1:7" x14ac:dyDescent="0.25">
      <c r="A286" s="1" t="s">
        <v>381</v>
      </c>
      <c r="B286" s="1" t="s">
        <v>54</v>
      </c>
      <c r="C286" s="2">
        <v>19153</v>
      </c>
      <c r="D286" s="1" t="s">
        <v>6</v>
      </c>
      <c r="E286" s="1">
        <f>IF(RIGHT(ubezpieczenia5[[#This Row],[Imie]],1)="a",1,0)</f>
        <v>1</v>
      </c>
      <c r="F286" s="1">
        <f>2016-YEAR(ubezpieczenia5[[#This Row],[Data_urodz]])</f>
        <v>64</v>
      </c>
      <c r="G286" s="1" cm="1">
        <f t="array" ref="G28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87" spans="1:7" x14ac:dyDescent="0.25">
      <c r="A287" s="1" t="s">
        <v>382</v>
      </c>
      <c r="B287" s="1" t="s">
        <v>383</v>
      </c>
      <c r="C287" s="2">
        <v>21934</v>
      </c>
      <c r="D287" s="1" t="s">
        <v>6</v>
      </c>
      <c r="E287" s="1">
        <f>IF(RIGHT(ubezpieczenia5[[#This Row],[Imie]],1)="a",1,0)</f>
        <v>1</v>
      </c>
      <c r="F287" s="1">
        <f>2016-YEAR(ubezpieczenia5[[#This Row],[Data_urodz]])</f>
        <v>56</v>
      </c>
      <c r="G287" s="1" cm="1">
        <f t="array" ref="G28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88" spans="1:7" x14ac:dyDescent="0.25">
      <c r="A288" s="1" t="s">
        <v>384</v>
      </c>
      <c r="B288" s="1" t="s">
        <v>361</v>
      </c>
      <c r="C288" s="2">
        <v>28187</v>
      </c>
      <c r="D288" s="1" t="s">
        <v>12</v>
      </c>
      <c r="E288" s="1">
        <f>IF(RIGHT(ubezpieczenia5[[#This Row],[Imie]],1)="a",1,0)</f>
        <v>1</v>
      </c>
      <c r="F288" s="1">
        <f>2016-YEAR(ubezpieczenia5[[#This Row],[Data_urodz]])</f>
        <v>39</v>
      </c>
      <c r="G288" s="1" cm="1">
        <f t="array" ref="G28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89" spans="1:7" x14ac:dyDescent="0.25">
      <c r="A289" s="1" t="s">
        <v>385</v>
      </c>
      <c r="B289" s="1" t="s">
        <v>252</v>
      </c>
      <c r="C289" s="2">
        <v>34291</v>
      </c>
      <c r="D289" s="1" t="s">
        <v>12</v>
      </c>
      <c r="E289" s="1">
        <f>IF(RIGHT(ubezpieczenia5[[#This Row],[Imie]],1)="a",1,0)</f>
        <v>0</v>
      </c>
      <c r="F289" s="1">
        <f>2016-YEAR(ubezpieczenia5[[#This Row],[Data_urodz]])</f>
        <v>23</v>
      </c>
      <c r="G289" s="1" cm="1">
        <f t="array" ref="G28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290" spans="1:7" x14ac:dyDescent="0.25">
      <c r="A290" s="1" t="s">
        <v>386</v>
      </c>
      <c r="B290" s="1" t="s">
        <v>107</v>
      </c>
      <c r="C290" s="2">
        <v>24652</v>
      </c>
      <c r="D290" s="1" t="s">
        <v>6</v>
      </c>
      <c r="E290" s="1">
        <f>IF(RIGHT(ubezpieczenia5[[#This Row],[Imie]],1)="a",1,0)</f>
        <v>1</v>
      </c>
      <c r="F290" s="1">
        <f>2016-YEAR(ubezpieczenia5[[#This Row],[Data_urodz]])</f>
        <v>49</v>
      </c>
      <c r="G290" s="1" cm="1">
        <f t="array" ref="G29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291" spans="1:7" x14ac:dyDescent="0.25">
      <c r="A291" s="1" t="s">
        <v>387</v>
      </c>
      <c r="B291" s="1" t="s">
        <v>121</v>
      </c>
      <c r="C291" s="2">
        <v>18010</v>
      </c>
      <c r="D291" s="1" t="s">
        <v>6</v>
      </c>
      <c r="E291" s="1">
        <f>IF(RIGHT(ubezpieczenia5[[#This Row],[Imie]],1)="a",1,0)</f>
        <v>1</v>
      </c>
      <c r="F291" s="1">
        <f>2016-YEAR(ubezpieczenia5[[#This Row],[Data_urodz]])</f>
        <v>67</v>
      </c>
      <c r="G291" s="1" cm="1">
        <f t="array" ref="G29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92" spans="1:7" x14ac:dyDescent="0.25">
      <c r="A292" s="1" t="s">
        <v>388</v>
      </c>
      <c r="B292" s="1" t="s">
        <v>368</v>
      </c>
      <c r="C292" s="2">
        <v>26506</v>
      </c>
      <c r="D292" s="1" t="s">
        <v>40</v>
      </c>
      <c r="E292" s="1">
        <f>IF(RIGHT(ubezpieczenia5[[#This Row],[Imie]],1)="a",1,0)</f>
        <v>1</v>
      </c>
      <c r="F292" s="1">
        <f>2016-YEAR(ubezpieczenia5[[#This Row],[Data_urodz]])</f>
        <v>44</v>
      </c>
      <c r="G292" s="1" cm="1">
        <f t="array" ref="G29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93" spans="1:7" x14ac:dyDescent="0.25">
      <c r="A293" s="1" t="s">
        <v>389</v>
      </c>
      <c r="B293" s="1" t="s">
        <v>160</v>
      </c>
      <c r="C293" s="2">
        <v>30368</v>
      </c>
      <c r="D293" s="1" t="s">
        <v>40</v>
      </c>
      <c r="E293" s="1">
        <f>IF(RIGHT(ubezpieczenia5[[#This Row],[Imie]],1)="a",1,0)</f>
        <v>0</v>
      </c>
      <c r="F293" s="1">
        <f>2016-YEAR(ubezpieczenia5[[#This Row],[Data_urodz]])</f>
        <v>33</v>
      </c>
      <c r="G293" s="1" cm="1">
        <f t="array" ref="G29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294" spans="1:7" x14ac:dyDescent="0.25">
      <c r="A294" s="1" t="s">
        <v>162</v>
      </c>
      <c r="B294" s="1" t="s">
        <v>54</v>
      </c>
      <c r="C294" s="2">
        <v>16991</v>
      </c>
      <c r="D294" s="1" t="s">
        <v>12</v>
      </c>
      <c r="E294" s="1">
        <f>IF(RIGHT(ubezpieczenia5[[#This Row],[Imie]],1)="a",1,0)</f>
        <v>1</v>
      </c>
      <c r="F294" s="1">
        <f>2016-YEAR(ubezpieczenia5[[#This Row],[Data_urodz]])</f>
        <v>70</v>
      </c>
      <c r="G294" s="1" cm="1">
        <f t="array" ref="G29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295" spans="1:7" x14ac:dyDescent="0.25">
      <c r="A295" s="1" t="s">
        <v>390</v>
      </c>
      <c r="B295" s="1" t="s">
        <v>152</v>
      </c>
      <c r="C295" s="2">
        <v>23950</v>
      </c>
      <c r="D295" s="1" t="s">
        <v>12</v>
      </c>
      <c r="E295" s="1">
        <f>IF(RIGHT(ubezpieczenia5[[#This Row],[Imie]],1)="a",1,0)</f>
        <v>0</v>
      </c>
      <c r="F295" s="1">
        <f>2016-YEAR(ubezpieczenia5[[#This Row],[Data_urodz]])</f>
        <v>51</v>
      </c>
      <c r="G295" s="1" cm="1">
        <f t="array" ref="G29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296" spans="1:7" x14ac:dyDescent="0.25">
      <c r="A296" s="1" t="s">
        <v>391</v>
      </c>
      <c r="B296" s="1" t="s">
        <v>47</v>
      </c>
      <c r="C296" s="2">
        <v>26871</v>
      </c>
      <c r="D296" s="1" t="s">
        <v>12</v>
      </c>
      <c r="E296" s="1">
        <f>IF(RIGHT(ubezpieczenia5[[#This Row],[Imie]],1)="a",1,0)</f>
        <v>1</v>
      </c>
      <c r="F296" s="1">
        <f>2016-YEAR(ubezpieczenia5[[#This Row],[Data_urodz]])</f>
        <v>43</v>
      </c>
      <c r="G296" s="1" cm="1">
        <f t="array" ref="G29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297" spans="1:7" x14ac:dyDescent="0.25">
      <c r="A297" s="1" t="s">
        <v>392</v>
      </c>
      <c r="B297" s="1" t="s">
        <v>260</v>
      </c>
      <c r="C297" s="2">
        <v>17268</v>
      </c>
      <c r="D297" s="1" t="s">
        <v>40</v>
      </c>
      <c r="E297" s="1">
        <f>IF(RIGHT(ubezpieczenia5[[#This Row],[Imie]],1)="a",1,0)</f>
        <v>0</v>
      </c>
      <c r="F297" s="1">
        <f>2016-YEAR(ubezpieczenia5[[#This Row],[Data_urodz]])</f>
        <v>69</v>
      </c>
      <c r="G297" s="1" cm="1">
        <f t="array" ref="G29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298" spans="1:7" x14ac:dyDescent="0.25">
      <c r="A298" s="1" t="s">
        <v>393</v>
      </c>
      <c r="B298" s="1" t="s">
        <v>394</v>
      </c>
      <c r="C298" s="2">
        <v>31612</v>
      </c>
      <c r="D298" s="1" t="s">
        <v>6</v>
      </c>
      <c r="E298" s="1">
        <f>IF(RIGHT(ubezpieczenia5[[#This Row],[Imie]],1)="a",1,0)</f>
        <v>1</v>
      </c>
      <c r="F298" s="1">
        <f>2016-YEAR(ubezpieczenia5[[#This Row],[Data_urodz]])</f>
        <v>30</v>
      </c>
      <c r="G298" s="1" cm="1">
        <f t="array" ref="G29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299" spans="1:7" x14ac:dyDescent="0.25">
      <c r="A299" s="1" t="s">
        <v>395</v>
      </c>
      <c r="B299" s="1" t="s">
        <v>131</v>
      </c>
      <c r="C299" s="2">
        <v>21264</v>
      </c>
      <c r="D299" s="1" t="s">
        <v>12</v>
      </c>
      <c r="E299" s="1">
        <f>IF(RIGHT(ubezpieczenia5[[#This Row],[Imie]],1)="a",1,0)</f>
        <v>1</v>
      </c>
      <c r="F299" s="1">
        <f>2016-YEAR(ubezpieczenia5[[#This Row],[Data_urodz]])</f>
        <v>58</v>
      </c>
      <c r="G299" s="1" cm="1">
        <f t="array" ref="G29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00" spans="1:7" x14ac:dyDescent="0.25">
      <c r="A300" s="1" t="s">
        <v>396</v>
      </c>
      <c r="B300" s="1" t="s">
        <v>236</v>
      </c>
      <c r="C300" s="2">
        <v>29622</v>
      </c>
      <c r="D300" s="1" t="s">
        <v>40</v>
      </c>
      <c r="E300" s="1">
        <f>IF(RIGHT(ubezpieczenia5[[#This Row],[Imie]],1)="a",1,0)</f>
        <v>1</v>
      </c>
      <c r="F300" s="1">
        <f>2016-YEAR(ubezpieczenia5[[#This Row],[Data_urodz]])</f>
        <v>35</v>
      </c>
      <c r="G300" s="1" cm="1">
        <f t="array" ref="G30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01" spans="1:7" x14ac:dyDescent="0.25">
      <c r="A301" s="1" t="s">
        <v>162</v>
      </c>
      <c r="B301" s="1" t="s">
        <v>20</v>
      </c>
      <c r="C301" s="2">
        <v>30875</v>
      </c>
      <c r="D301" s="1" t="s">
        <v>6</v>
      </c>
      <c r="E301" s="1">
        <f>IF(RIGHT(ubezpieczenia5[[#This Row],[Imie]],1)="a",1,0)</f>
        <v>1</v>
      </c>
      <c r="F301" s="1">
        <f>2016-YEAR(ubezpieczenia5[[#This Row],[Data_urodz]])</f>
        <v>32</v>
      </c>
      <c r="G301" s="1" cm="1">
        <f t="array" ref="G30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02" spans="1:7" x14ac:dyDescent="0.25">
      <c r="A302" s="1" t="s">
        <v>397</v>
      </c>
      <c r="B302" s="1" t="s">
        <v>107</v>
      </c>
      <c r="C302" s="2">
        <v>31924</v>
      </c>
      <c r="D302" s="1" t="s">
        <v>12</v>
      </c>
      <c r="E302" s="1">
        <f>IF(RIGHT(ubezpieczenia5[[#This Row],[Imie]],1)="a",1,0)</f>
        <v>1</v>
      </c>
      <c r="F302" s="1">
        <f>2016-YEAR(ubezpieczenia5[[#This Row],[Data_urodz]])</f>
        <v>29</v>
      </c>
      <c r="G302" s="1" cm="1">
        <f t="array" ref="G30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303" spans="1:7" x14ac:dyDescent="0.25">
      <c r="A303" s="1" t="s">
        <v>398</v>
      </c>
      <c r="B303" s="1" t="s">
        <v>399</v>
      </c>
      <c r="C303" s="2">
        <v>23384</v>
      </c>
      <c r="D303" s="1" t="s">
        <v>12</v>
      </c>
      <c r="E303" s="1">
        <f>IF(RIGHT(ubezpieczenia5[[#This Row],[Imie]],1)="a",1,0)</f>
        <v>0</v>
      </c>
      <c r="F303" s="1">
        <f>2016-YEAR(ubezpieczenia5[[#This Row],[Data_urodz]])</f>
        <v>52</v>
      </c>
      <c r="G303" s="1" cm="1">
        <f t="array" ref="G30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04" spans="1:7" x14ac:dyDescent="0.25">
      <c r="A304" s="1" t="s">
        <v>400</v>
      </c>
      <c r="B304" s="1" t="s">
        <v>401</v>
      </c>
      <c r="C304" s="2">
        <v>32097</v>
      </c>
      <c r="D304" s="1" t="s">
        <v>6</v>
      </c>
      <c r="E304" s="1">
        <f>IF(RIGHT(ubezpieczenia5[[#This Row],[Imie]],1)="a",1,0)</f>
        <v>0</v>
      </c>
      <c r="F304" s="1">
        <f>2016-YEAR(ubezpieczenia5[[#This Row],[Data_urodz]])</f>
        <v>29</v>
      </c>
      <c r="G304" s="1" cm="1">
        <f t="array" ref="G30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305" spans="1:7" x14ac:dyDescent="0.25">
      <c r="A305" s="1" t="s">
        <v>402</v>
      </c>
      <c r="B305" s="1" t="s">
        <v>403</v>
      </c>
      <c r="C305" s="2">
        <v>22555</v>
      </c>
      <c r="D305" s="1" t="s">
        <v>40</v>
      </c>
      <c r="E305" s="1">
        <f>IF(RIGHT(ubezpieczenia5[[#This Row],[Imie]],1)="a",1,0)</f>
        <v>1</v>
      </c>
      <c r="F305" s="1">
        <f>2016-YEAR(ubezpieczenia5[[#This Row],[Data_urodz]])</f>
        <v>55</v>
      </c>
      <c r="G305" s="1" cm="1">
        <f t="array" ref="G30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06" spans="1:7" x14ac:dyDescent="0.25">
      <c r="A306" s="1" t="s">
        <v>317</v>
      </c>
      <c r="B306" s="1" t="s">
        <v>20</v>
      </c>
      <c r="C306" s="2">
        <v>22508</v>
      </c>
      <c r="D306" s="1" t="s">
        <v>12</v>
      </c>
      <c r="E306" s="1">
        <f>IF(RIGHT(ubezpieczenia5[[#This Row],[Imie]],1)="a",1,0)</f>
        <v>1</v>
      </c>
      <c r="F306" s="1">
        <f>2016-YEAR(ubezpieczenia5[[#This Row],[Data_urodz]])</f>
        <v>55</v>
      </c>
      <c r="G306" s="1" cm="1">
        <f t="array" ref="G30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07" spans="1:7" x14ac:dyDescent="0.25">
      <c r="A307" s="1" t="s">
        <v>404</v>
      </c>
      <c r="B307" s="1" t="s">
        <v>72</v>
      </c>
      <c r="C307" s="2">
        <v>29510</v>
      </c>
      <c r="D307" s="1" t="s">
        <v>6</v>
      </c>
      <c r="E307" s="1">
        <f>IF(RIGHT(ubezpieczenia5[[#This Row],[Imie]],1)="a",1,0)</f>
        <v>0</v>
      </c>
      <c r="F307" s="1">
        <f>2016-YEAR(ubezpieczenia5[[#This Row],[Data_urodz]])</f>
        <v>36</v>
      </c>
      <c r="G307" s="1" cm="1">
        <f t="array" ref="G30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308" spans="1:7" x14ac:dyDescent="0.25">
      <c r="A308" s="1" t="s">
        <v>405</v>
      </c>
      <c r="B308" s="1" t="s">
        <v>406</v>
      </c>
      <c r="C308" s="2">
        <v>22398</v>
      </c>
      <c r="D308" s="1" t="s">
        <v>12</v>
      </c>
      <c r="E308" s="1">
        <f>IF(RIGHT(ubezpieczenia5[[#This Row],[Imie]],1)="a",1,0)</f>
        <v>0</v>
      </c>
      <c r="F308" s="1">
        <f>2016-YEAR(ubezpieczenia5[[#This Row],[Data_urodz]])</f>
        <v>55</v>
      </c>
      <c r="G308" s="1" cm="1">
        <f t="array" ref="G30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09" spans="1:7" x14ac:dyDescent="0.25">
      <c r="A309" s="1" t="s">
        <v>407</v>
      </c>
      <c r="B309" s="1" t="s">
        <v>20</v>
      </c>
      <c r="C309" s="2">
        <v>28394</v>
      </c>
      <c r="D309" s="1" t="s">
        <v>9</v>
      </c>
      <c r="E309" s="1">
        <f>IF(RIGHT(ubezpieczenia5[[#This Row],[Imie]],1)="a",1,0)</f>
        <v>1</v>
      </c>
      <c r="F309" s="1">
        <f>2016-YEAR(ubezpieczenia5[[#This Row],[Data_urodz]])</f>
        <v>39</v>
      </c>
      <c r="G309" s="1" cm="1">
        <f t="array" ref="G30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10" spans="1:7" x14ac:dyDescent="0.25">
      <c r="A310" s="1" t="s">
        <v>408</v>
      </c>
      <c r="B310" s="1" t="s">
        <v>139</v>
      </c>
      <c r="C310" s="2">
        <v>16244</v>
      </c>
      <c r="D310" s="1" t="s">
        <v>6</v>
      </c>
      <c r="E310" s="1">
        <f>IF(RIGHT(ubezpieczenia5[[#This Row],[Imie]],1)="a",1,0)</f>
        <v>0</v>
      </c>
      <c r="F310" s="1">
        <f>2016-YEAR(ubezpieczenia5[[#This Row],[Data_urodz]])</f>
        <v>72</v>
      </c>
      <c r="G310" s="1" cm="1">
        <f t="array" ref="G31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311" spans="1:7" x14ac:dyDescent="0.25">
      <c r="A311" s="1" t="s">
        <v>409</v>
      </c>
      <c r="B311" s="1" t="s">
        <v>167</v>
      </c>
      <c r="C311" s="2">
        <v>32836</v>
      </c>
      <c r="D311" s="1" t="s">
        <v>12</v>
      </c>
      <c r="E311" s="1">
        <f>IF(RIGHT(ubezpieczenia5[[#This Row],[Imie]],1)="a",1,0)</f>
        <v>0</v>
      </c>
      <c r="F311" s="1">
        <f>2016-YEAR(ubezpieczenia5[[#This Row],[Data_urodz]])</f>
        <v>27</v>
      </c>
      <c r="G311" s="1" cm="1">
        <f t="array" ref="G31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312" spans="1:7" x14ac:dyDescent="0.25">
      <c r="A312" s="1" t="s">
        <v>410</v>
      </c>
      <c r="B312" s="1" t="s">
        <v>141</v>
      </c>
      <c r="C312" s="2">
        <v>23528</v>
      </c>
      <c r="D312" s="1" t="s">
        <v>6</v>
      </c>
      <c r="E312" s="1">
        <f>IF(RIGHT(ubezpieczenia5[[#This Row],[Imie]],1)="a",1,0)</f>
        <v>0</v>
      </c>
      <c r="F312" s="1">
        <f>2016-YEAR(ubezpieczenia5[[#This Row],[Data_urodz]])</f>
        <v>52</v>
      </c>
      <c r="G312" s="1" cm="1">
        <f t="array" ref="G31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13" spans="1:7" x14ac:dyDescent="0.25">
      <c r="A313" s="1" t="s">
        <v>411</v>
      </c>
      <c r="B313" s="1" t="s">
        <v>412</v>
      </c>
      <c r="C313" s="2">
        <v>28489</v>
      </c>
      <c r="D313" s="1" t="s">
        <v>12</v>
      </c>
      <c r="E313" s="1">
        <f>IF(RIGHT(ubezpieczenia5[[#This Row],[Imie]],1)="a",1,0)</f>
        <v>1</v>
      </c>
      <c r="F313" s="1">
        <f>2016-YEAR(ubezpieczenia5[[#This Row],[Data_urodz]])</f>
        <v>39</v>
      </c>
      <c r="G313" s="1" cm="1">
        <f t="array" ref="G31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14" spans="1:7" x14ac:dyDescent="0.25">
      <c r="A314" s="1" t="s">
        <v>413</v>
      </c>
      <c r="B314" s="1" t="s">
        <v>399</v>
      </c>
      <c r="C314" s="2">
        <v>20920</v>
      </c>
      <c r="D314" s="1" t="s">
        <v>12</v>
      </c>
      <c r="E314" s="1">
        <f>IF(RIGHT(ubezpieczenia5[[#This Row],[Imie]],1)="a",1,0)</f>
        <v>0</v>
      </c>
      <c r="F314" s="1">
        <f>2016-YEAR(ubezpieczenia5[[#This Row],[Data_urodz]])</f>
        <v>59</v>
      </c>
      <c r="G314" s="1" cm="1">
        <f t="array" ref="G31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15" spans="1:7" x14ac:dyDescent="0.25">
      <c r="A315" s="1" t="s">
        <v>414</v>
      </c>
      <c r="B315" s="1" t="s">
        <v>11</v>
      </c>
      <c r="C315" s="2">
        <v>34164</v>
      </c>
      <c r="D315" s="1" t="s">
        <v>6</v>
      </c>
      <c r="E315" s="1">
        <f>IF(RIGHT(ubezpieczenia5[[#This Row],[Imie]],1)="a",1,0)</f>
        <v>1</v>
      </c>
      <c r="F315" s="1">
        <f>2016-YEAR(ubezpieczenia5[[#This Row],[Data_urodz]])</f>
        <v>23</v>
      </c>
      <c r="G315" s="1" cm="1">
        <f t="array" ref="G31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316" spans="1:7" x14ac:dyDescent="0.25">
      <c r="A316" s="1" t="s">
        <v>415</v>
      </c>
      <c r="B316" s="1" t="s">
        <v>246</v>
      </c>
      <c r="C316" s="2">
        <v>32341</v>
      </c>
      <c r="D316" s="1" t="s">
        <v>6</v>
      </c>
      <c r="E316" s="1">
        <f>IF(RIGHT(ubezpieczenia5[[#This Row],[Imie]],1)="a",1,0)</f>
        <v>0</v>
      </c>
      <c r="F316" s="1">
        <f>2016-YEAR(ubezpieczenia5[[#This Row],[Data_urodz]])</f>
        <v>28</v>
      </c>
      <c r="G316" s="1" cm="1">
        <f t="array" ref="G31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317" spans="1:7" x14ac:dyDescent="0.25">
      <c r="A317" s="1" t="s">
        <v>416</v>
      </c>
      <c r="B317" s="1" t="s">
        <v>194</v>
      </c>
      <c r="C317" s="2">
        <v>16640</v>
      </c>
      <c r="D317" s="1" t="s">
        <v>12</v>
      </c>
      <c r="E317" s="1">
        <f>IF(RIGHT(ubezpieczenia5[[#This Row],[Imie]],1)="a",1,0)</f>
        <v>1</v>
      </c>
      <c r="F317" s="1">
        <f>2016-YEAR(ubezpieczenia5[[#This Row],[Data_urodz]])</f>
        <v>71</v>
      </c>
      <c r="G317" s="1" cm="1">
        <f t="array" ref="G31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318" spans="1:7" x14ac:dyDescent="0.25">
      <c r="A318" s="1" t="s">
        <v>417</v>
      </c>
      <c r="B318" s="1" t="s">
        <v>418</v>
      </c>
      <c r="C318" s="2">
        <v>28217</v>
      </c>
      <c r="D318" s="1" t="s">
        <v>12</v>
      </c>
      <c r="E318" s="1">
        <f>IF(RIGHT(ubezpieczenia5[[#This Row],[Imie]],1)="a",1,0)</f>
        <v>0</v>
      </c>
      <c r="F318" s="1">
        <f>2016-YEAR(ubezpieczenia5[[#This Row],[Data_urodz]])</f>
        <v>39</v>
      </c>
      <c r="G318" s="1" cm="1">
        <f t="array" ref="G31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319" spans="1:7" x14ac:dyDescent="0.25">
      <c r="A319" s="1" t="s">
        <v>190</v>
      </c>
      <c r="B319" s="1" t="s">
        <v>419</v>
      </c>
      <c r="C319" s="2">
        <v>32646</v>
      </c>
      <c r="D319" s="1" t="s">
        <v>40</v>
      </c>
      <c r="E319" s="1">
        <f>IF(RIGHT(ubezpieczenia5[[#This Row],[Imie]],1)="a",1,0)</f>
        <v>0</v>
      </c>
      <c r="F319" s="1">
        <f>2016-YEAR(ubezpieczenia5[[#This Row],[Data_urodz]])</f>
        <v>27</v>
      </c>
      <c r="G319" s="1" cm="1">
        <f t="array" ref="G31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30</v>
      </c>
    </row>
    <row r="320" spans="1:7" x14ac:dyDescent="0.25">
      <c r="A320" s="1" t="s">
        <v>420</v>
      </c>
      <c r="B320" s="1" t="s">
        <v>5</v>
      </c>
      <c r="C320" s="2">
        <v>28636</v>
      </c>
      <c r="D320" s="1" t="s">
        <v>40</v>
      </c>
      <c r="E320" s="1">
        <f>IF(RIGHT(ubezpieczenia5[[#This Row],[Imie]],1)="a",1,0)</f>
        <v>1</v>
      </c>
      <c r="F320" s="1">
        <f>2016-YEAR(ubezpieczenia5[[#This Row],[Data_urodz]])</f>
        <v>38</v>
      </c>
      <c r="G320" s="1" cm="1">
        <f t="array" ref="G32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21" spans="1:7" x14ac:dyDescent="0.25">
      <c r="A321" s="1" t="s">
        <v>421</v>
      </c>
      <c r="B321" s="1" t="s">
        <v>8</v>
      </c>
      <c r="C321" s="2">
        <v>30418</v>
      </c>
      <c r="D321" s="1" t="s">
        <v>12</v>
      </c>
      <c r="E321" s="1">
        <f>IF(RIGHT(ubezpieczenia5[[#This Row],[Imie]],1)="a",1,0)</f>
        <v>0</v>
      </c>
      <c r="F321" s="1">
        <f>2016-YEAR(ubezpieczenia5[[#This Row],[Data_urodz]])</f>
        <v>33</v>
      </c>
      <c r="G321" s="1" cm="1">
        <f t="array" ref="G32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45</v>
      </c>
    </row>
    <row r="322" spans="1:7" x14ac:dyDescent="0.25">
      <c r="A322" s="1" t="s">
        <v>110</v>
      </c>
      <c r="B322" s="1" t="s">
        <v>368</v>
      </c>
      <c r="C322" s="2">
        <v>33971</v>
      </c>
      <c r="D322" s="1" t="s">
        <v>12</v>
      </c>
      <c r="E322" s="1">
        <f>IF(RIGHT(ubezpieczenia5[[#This Row],[Imie]],1)="a",1,0)</f>
        <v>1</v>
      </c>
      <c r="F322" s="1">
        <f>2016-YEAR(ubezpieczenia5[[#This Row],[Data_urodz]])</f>
        <v>23</v>
      </c>
      <c r="G322" s="1" cm="1">
        <f t="array" ref="G32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323" spans="1:7" x14ac:dyDescent="0.25">
      <c r="A323" s="1" t="s">
        <v>422</v>
      </c>
      <c r="B323" s="1" t="s">
        <v>52</v>
      </c>
      <c r="C323" s="2">
        <v>26974</v>
      </c>
      <c r="D323" s="1" t="s">
        <v>12</v>
      </c>
      <c r="E323" s="1">
        <f>IF(RIGHT(ubezpieczenia5[[#This Row],[Imie]],1)="a",1,0)</f>
        <v>1</v>
      </c>
      <c r="F323" s="1">
        <f>2016-YEAR(ubezpieczenia5[[#This Row],[Data_urodz]])</f>
        <v>43</v>
      </c>
      <c r="G323" s="1" cm="1">
        <f t="array" ref="G323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24" spans="1:7" x14ac:dyDescent="0.25">
      <c r="A324" s="1" t="s">
        <v>423</v>
      </c>
      <c r="B324" s="1" t="s">
        <v>47</v>
      </c>
      <c r="C324" s="2">
        <v>21339</v>
      </c>
      <c r="D324" s="1" t="s">
        <v>12</v>
      </c>
      <c r="E324" s="1">
        <f>IF(RIGHT(ubezpieczenia5[[#This Row],[Imie]],1)="a",1,0)</f>
        <v>1</v>
      </c>
      <c r="F324" s="1">
        <f>2016-YEAR(ubezpieczenia5[[#This Row],[Data_urodz]])</f>
        <v>58</v>
      </c>
      <c r="G324" s="1" cm="1">
        <f t="array" ref="G324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29.999999999999996</v>
      </c>
    </row>
    <row r="325" spans="1:7" x14ac:dyDescent="0.25">
      <c r="A325" s="1" t="s">
        <v>424</v>
      </c>
      <c r="B325" s="1" t="s">
        <v>90</v>
      </c>
      <c r="C325" s="2">
        <v>25150</v>
      </c>
      <c r="D325" s="1" t="s">
        <v>6</v>
      </c>
      <c r="E325" s="1">
        <f>IF(RIGHT(ubezpieczenia5[[#This Row],[Imie]],1)="a",1,0)</f>
        <v>0</v>
      </c>
      <c r="F325" s="1">
        <f>2016-YEAR(ubezpieczenia5[[#This Row],[Data_urodz]])</f>
        <v>48</v>
      </c>
      <c r="G325" s="1" cm="1">
        <f t="array" ref="G325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26" spans="1:7" x14ac:dyDescent="0.25">
      <c r="A326" s="1" t="s">
        <v>425</v>
      </c>
      <c r="B326" s="1" t="s">
        <v>8</v>
      </c>
      <c r="C326" s="2">
        <v>20340</v>
      </c>
      <c r="D326" s="1" t="s">
        <v>12</v>
      </c>
      <c r="E326" s="1">
        <f>IF(RIGHT(ubezpieczenia5[[#This Row],[Imie]],1)="a",1,0)</f>
        <v>0</v>
      </c>
      <c r="F326" s="1">
        <f>2016-YEAR(ubezpieczenia5[[#This Row],[Data_urodz]])</f>
        <v>61</v>
      </c>
      <c r="G326" s="1" cm="1">
        <f t="array" ref="G326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85</v>
      </c>
    </row>
    <row r="327" spans="1:7" x14ac:dyDescent="0.25">
      <c r="A327" s="1" t="s">
        <v>426</v>
      </c>
      <c r="B327" s="1" t="s">
        <v>131</v>
      </c>
      <c r="C327" s="2">
        <v>16045</v>
      </c>
      <c r="D327" s="1" t="s">
        <v>6</v>
      </c>
      <c r="E327" s="1">
        <f>IF(RIGHT(ubezpieczenia5[[#This Row],[Imie]],1)="a",1,0)</f>
        <v>1</v>
      </c>
      <c r="F327" s="1">
        <f>2016-YEAR(ubezpieczenia5[[#This Row],[Data_urodz]])</f>
        <v>73</v>
      </c>
      <c r="G327" s="1" cm="1">
        <f t="array" ref="G327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328" spans="1:7" x14ac:dyDescent="0.25">
      <c r="A328" s="1" t="s">
        <v>427</v>
      </c>
      <c r="B328" s="1" t="s">
        <v>37</v>
      </c>
      <c r="C328" s="2">
        <v>18568</v>
      </c>
      <c r="D328" s="1" t="s">
        <v>12</v>
      </c>
      <c r="E328" s="1">
        <f>IF(RIGHT(ubezpieczenia5[[#This Row],[Imie]],1)="a",1,0)</f>
        <v>1</v>
      </c>
      <c r="F328" s="1">
        <f>2016-YEAR(ubezpieczenia5[[#This Row],[Data_urodz]])</f>
        <v>66</v>
      </c>
      <c r="G328" s="1" cm="1">
        <f t="array" ref="G328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  <row r="329" spans="1:7" x14ac:dyDescent="0.25">
      <c r="A329" s="1" t="s">
        <v>311</v>
      </c>
      <c r="B329" s="1" t="s">
        <v>199</v>
      </c>
      <c r="C329" s="2">
        <v>33976</v>
      </c>
      <c r="D329" s="1" t="s">
        <v>12</v>
      </c>
      <c r="E329" s="1">
        <f>IF(RIGHT(ubezpieczenia5[[#This Row],[Imie]],1)="a",1,0)</f>
        <v>1</v>
      </c>
      <c r="F329" s="1">
        <f>2016-YEAR(ubezpieczenia5[[#This Row],[Data_urodz]])</f>
        <v>23</v>
      </c>
      <c r="G329" s="1" cm="1">
        <f t="array" ref="G329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25</v>
      </c>
    </row>
    <row r="330" spans="1:7" x14ac:dyDescent="0.25">
      <c r="A330" s="1" t="s">
        <v>428</v>
      </c>
      <c r="B330" s="1" t="s">
        <v>429</v>
      </c>
      <c r="C330" s="2">
        <v>30720</v>
      </c>
      <c r="D330" s="1" t="s">
        <v>12</v>
      </c>
      <c r="E330" s="1">
        <f>IF(RIGHT(ubezpieczenia5[[#This Row],[Imie]],1)="a",1,0)</f>
        <v>1</v>
      </c>
      <c r="F330" s="1">
        <f>2016-YEAR(ubezpieczenia5[[#This Row],[Data_urodz]])</f>
        <v>32</v>
      </c>
      <c r="G330" s="1" cm="1">
        <f t="array" ref="G330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37.5</v>
      </c>
    </row>
    <row r="331" spans="1:7" x14ac:dyDescent="0.25">
      <c r="A331" s="1" t="s">
        <v>430</v>
      </c>
      <c r="B331" s="1" t="s">
        <v>141</v>
      </c>
      <c r="C331" s="2">
        <v>22604</v>
      </c>
      <c r="D331" s="1" t="s">
        <v>9</v>
      </c>
      <c r="E331" s="1">
        <f>IF(RIGHT(ubezpieczenia5[[#This Row],[Imie]],1)="a",1,0)</f>
        <v>0</v>
      </c>
      <c r="F331" s="1">
        <f>2016-YEAR(ubezpieczenia5[[#This Row],[Data_urodz]])</f>
        <v>55</v>
      </c>
      <c r="G331" s="1" cm="1">
        <f t="array" ref="G331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36</v>
      </c>
    </row>
    <row r="332" spans="1:7" x14ac:dyDescent="0.25">
      <c r="A332" s="1" t="s">
        <v>431</v>
      </c>
      <c r="B332" s="1" t="s">
        <v>368</v>
      </c>
      <c r="C332" s="2">
        <v>19123</v>
      </c>
      <c r="D332" s="1" t="s">
        <v>12</v>
      </c>
      <c r="E332" s="1">
        <f>IF(RIGHT(ubezpieczenia5[[#This Row],[Imie]],1)="a",1,0)</f>
        <v>1</v>
      </c>
      <c r="F332" s="1">
        <f>2016-YEAR(ubezpieczenia5[[#This Row],[Data_urodz]])</f>
        <v>64</v>
      </c>
      <c r="G332" s="1" cm="1">
        <f t="array" ref="G332">_xlfn.IFS(ubezpieczenia5[[#This Row],[wiek]]&lt;=30,0.1%*VLOOKUP(ubezpieczenia5[[#This Row],[czy_kobieta]],$K$1:$L$3,2,FALSE),ubezpieczenia5[[#This Row],[wiek]]&gt;60,49+(0.12%*VLOOKUP(ubezpieczenia5[[#This Row],[czy_kobieta]],$K$1:$L$3,2,FALSE)),ubezpieczenia5[[#This Row],[wiek]]&gt;=46,0.12%*VLOOKUP(ubezpieczenia5[[#This Row],[czy_kobieta]],$K$1:$L$3,2,FALSE),ubezpieczenia5[[#This Row],[wiek]]&gt;0,0.15%*VLOOKUP(ubezpieczenia5[[#This Row],[czy_kobieta]],$K$1:$L$3,2,FALSE))</f>
        <v>79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D8EB-BC95-4347-8FB8-4DAC9F5988D8}">
  <dimension ref="A1:D332"/>
  <sheetViews>
    <sheetView zoomScale="115" zoomScaleNormal="115" workbookViewId="0">
      <selection activeCell="E7" sqref="E7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3.28515625" bestFit="1" customWidth="1"/>
    <col min="4" max="4" width="2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2">
        <v>22190</v>
      </c>
      <c r="D2" s="1" t="s">
        <v>6</v>
      </c>
    </row>
    <row r="3" spans="1:4" x14ac:dyDescent="0.25">
      <c r="A3" s="1" t="s">
        <v>7</v>
      </c>
      <c r="B3" s="1" t="s">
        <v>8</v>
      </c>
      <c r="C3" s="2">
        <v>30952</v>
      </c>
      <c r="D3" s="1" t="s">
        <v>9</v>
      </c>
    </row>
    <row r="4" spans="1:4" x14ac:dyDescent="0.25">
      <c r="A4" s="1" t="s">
        <v>10</v>
      </c>
      <c r="B4" s="1" t="s">
        <v>11</v>
      </c>
      <c r="C4" s="2">
        <v>24753</v>
      </c>
      <c r="D4" s="1" t="s">
        <v>12</v>
      </c>
    </row>
    <row r="5" spans="1:4" x14ac:dyDescent="0.25">
      <c r="A5" s="1" t="s">
        <v>13</v>
      </c>
      <c r="B5" s="1" t="s">
        <v>14</v>
      </c>
      <c r="C5" s="2">
        <v>31544</v>
      </c>
      <c r="D5" s="1" t="s">
        <v>9</v>
      </c>
    </row>
    <row r="6" spans="1:4" x14ac:dyDescent="0.25">
      <c r="A6" s="1" t="s">
        <v>15</v>
      </c>
      <c r="B6" s="1" t="s">
        <v>16</v>
      </c>
      <c r="C6" s="2">
        <v>22780</v>
      </c>
      <c r="D6" s="1" t="s">
        <v>9</v>
      </c>
    </row>
    <row r="7" spans="1:4" x14ac:dyDescent="0.25">
      <c r="A7" s="1" t="s">
        <v>17</v>
      </c>
      <c r="B7" s="1" t="s">
        <v>18</v>
      </c>
      <c r="C7" s="2">
        <v>31694</v>
      </c>
      <c r="D7" s="1" t="s">
        <v>12</v>
      </c>
    </row>
    <row r="8" spans="1:4" x14ac:dyDescent="0.25">
      <c r="A8" s="1" t="s">
        <v>19</v>
      </c>
      <c r="B8" s="1" t="s">
        <v>20</v>
      </c>
      <c r="C8" s="2">
        <v>33569</v>
      </c>
      <c r="D8" s="1" t="s">
        <v>6</v>
      </c>
    </row>
    <row r="9" spans="1:4" x14ac:dyDescent="0.25">
      <c r="A9" s="1" t="s">
        <v>21</v>
      </c>
      <c r="B9" s="1" t="s">
        <v>22</v>
      </c>
      <c r="C9" s="2">
        <v>30372</v>
      </c>
      <c r="D9" s="1" t="s">
        <v>6</v>
      </c>
    </row>
    <row r="10" spans="1:4" x14ac:dyDescent="0.25">
      <c r="A10" s="1" t="s">
        <v>23</v>
      </c>
      <c r="B10" s="1" t="s">
        <v>8</v>
      </c>
      <c r="C10" s="2">
        <v>33568</v>
      </c>
      <c r="D10" s="1" t="s">
        <v>6</v>
      </c>
    </row>
    <row r="11" spans="1:4" x14ac:dyDescent="0.25">
      <c r="A11" s="1" t="s">
        <v>24</v>
      </c>
      <c r="B11" s="1" t="s">
        <v>25</v>
      </c>
      <c r="C11" s="2">
        <v>31111</v>
      </c>
      <c r="D11" s="1" t="s">
        <v>6</v>
      </c>
    </row>
    <row r="12" spans="1:4" x14ac:dyDescent="0.25">
      <c r="A12" s="1" t="s">
        <v>26</v>
      </c>
      <c r="B12" s="1" t="s">
        <v>27</v>
      </c>
      <c r="C12" s="2">
        <v>17347</v>
      </c>
      <c r="D12" s="1" t="s">
        <v>6</v>
      </c>
    </row>
    <row r="13" spans="1:4" x14ac:dyDescent="0.25">
      <c r="A13" s="1" t="s">
        <v>28</v>
      </c>
      <c r="B13" s="1" t="s">
        <v>29</v>
      </c>
      <c r="C13" s="2">
        <v>33321</v>
      </c>
      <c r="D13" s="1" t="s">
        <v>12</v>
      </c>
    </row>
    <row r="14" spans="1:4" x14ac:dyDescent="0.25">
      <c r="A14" s="1" t="s">
        <v>30</v>
      </c>
      <c r="B14" s="1" t="s">
        <v>8</v>
      </c>
      <c r="C14" s="2">
        <v>26093</v>
      </c>
      <c r="D14" s="1" t="s">
        <v>12</v>
      </c>
    </row>
    <row r="15" spans="1:4" x14ac:dyDescent="0.25">
      <c r="A15" s="1" t="s">
        <v>31</v>
      </c>
      <c r="B15" s="1" t="s">
        <v>32</v>
      </c>
      <c r="C15" s="2">
        <v>17144</v>
      </c>
      <c r="D15" s="1" t="s">
        <v>12</v>
      </c>
    </row>
    <row r="16" spans="1:4" x14ac:dyDescent="0.25">
      <c r="A16" s="1" t="s">
        <v>33</v>
      </c>
      <c r="B16" s="1" t="s">
        <v>34</v>
      </c>
      <c r="C16" s="2">
        <v>26019</v>
      </c>
      <c r="D16" s="1" t="s">
        <v>12</v>
      </c>
    </row>
    <row r="17" spans="1:4" x14ac:dyDescent="0.25">
      <c r="A17" s="1" t="s">
        <v>35</v>
      </c>
      <c r="B17" s="1" t="s">
        <v>27</v>
      </c>
      <c r="C17" s="2">
        <v>30193</v>
      </c>
      <c r="D17" s="1" t="s">
        <v>6</v>
      </c>
    </row>
    <row r="18" spans="1:4" x14ac:dyDescent="0.25">
      <c r="A18" s="1" t="s">
        <v>36</v>
      </c>
      <c r="B18" s="1" t="s">
        <v>37</v>
      </c>
      <c r="C18" s="2">
        <v>29668</v>
      </c>
      <c r="D18" s="1" t="s">
        <v>9</v>
      </c>
    </row>
    <row r="19" spans="1:4" x14ac:dyDescent="0.25">
      <c r="A19" s="1" t="s">
        <v>38</v>
      </c>
      <c r="B19" s="1" t="s">
        <v>39</v>
      </c>
      <c r="C19" s="2">
        <v>34945</v>
      </c>
      <c r="D19" s="1" t="s">
        <v>40</v>
      </c>
    </row>
    <row r="20" spans="1:4" x14ac:dyDescent="0.25">
      <c r="A20" s="1" t="s">
        <v>41</v>
      </c>
      <c r="B20" s="1" t="s">
        <v>42</v>
      </c>
      <c r="C20" s="2">
        <v>23309</v>
      </c>
      <c r="D20" s="1" t="s">
        <v>9</v>
      </c>
    </row>
    <row r="21" spans="1:4" x14ac:dyDescent="0.25">
      <c r="A21" s="1" t="s">
        <v>43</v>
      </c>
      <c r="B21" s="1" t="s">
        <v>20</v>
      </c>
      <c r="C21" s="2">
        <v>16498</v>
      </c>
      <c r="D21" s="1" t="s">
        <v>6</v>
      </c>
    </row>
    <row r="22" spans="1:4" x14ac:dyDescent="0.25">
      <c r="A22" s="1" t="s">
        <v>44</v>
      </c>
      <c r="B22" s="1" t="s">
        <v>45</v>
      </c>
      <c r="C22" s="2">
        <v>19872</v>
      </c>
      <c r="D22" s="1" t="s">
        <v>12</v>
      </c>
    </row>
    <row r="23" spans="1:4" x14ac:dyDescent="0.25">
      <c r="A23" s="1" t="s">
        <v>46</v>
      </c>
      <c r="B23" s="1" t="s">
        <v>47</v>
      </c>
      <c r="C23" s="2">
        <v>26018</v>
      </c>
      <c r="D23" s="1" t="s">
        <v>6</v>
      </c>
    </row>
    <row r="24" spans="1:4" x14ac:dyDescent="0.25">
      <c r="A24" s="1" t="s">
        <v>48</v>
      </c>
      <c r="B24" s="1" t="s">
        <v>49</v>
      </c>
      <c r="C24" s="2">
        <v>25110</v>
      </c>
      <c r="D24" s="1" t="s">
        <v>40</v>
      </c>
    </row>
    <row r="25" spans="1:4" x14ac:dyDescent="0.25">
      <c r="A25" s="1" t="s">
        <v>50</v>
      </c>
      <c r="B25" s="1" t="s">
        <v>29</v>
      </c>
      <c r="C25" s="2">
        <v>33411</v>
      </c>
      <c r="D25" s="1" t="s">
        <v>9</v>
      </c>
    </row>
    <row r="26" spans="1:4" x14ac:dyDescent="0.25">
      <c r="A26" s="1" t="s">
        <v>51</v>
      </c>
      <c r="B26" s="1" t="s">
        <v>52</v>
      </c>
      <c r="C26" s="2">
        <v>30969</v>
      </c>
      <c r="D26" s="1" t="s">
        <v>12</v>
      </c>
    </row>
    <row r="27" spans="1:4" x14ac:dyDescent="0.25">
      <c r="A27" s="1" t="s">
        <v>53</v>
      </c>
      <c r="B27" s="1" t="s">
        <v>54</v>
      </c>
      <c r="C27" s="2">
        <v>19368</v>
      </c>
      <c r="D27" s="1" t="s">
        <v>12</v>
      </c>
    </row>
    <row r="28" spans="1:4" x14ac:dyDescent="0.25">
      <c r="A28" s="1" t="s">
        <v>55</v>
      </c>
      <c r="B28" s="1" t="s">
        <v>56</v>
      </c>
      <c r="C28" s="2">
        <v>23668</v>
      </c>
      <c r="D28" s="1" t="s">
        <v>40</v>
      </c>
    </row>
    <row r="29" spans="1:4" x14ac:dyDescent="0.25">
      <c r="A29" s="1" t="s">
        <v>57</v>
      </c>
      <c r="B29" s="1" t="s">
        <v>58</v>
      </c>
      <c r="C29" s="2">
        <v>19851</v>
      </c>
      <c r="D29" s="1" t="s">
        <v>12</v>
      </c>
    </row>
    <row r="30" spans="1:4" x14ac:dyDescent="0.25">
      <c r="A30" s="1" t="s">
        <v>59</v>
      </c>
      <c r="B30" s="1" t="s">
        <v>18</v>
      </c>
      <c r="C30" s="2">
        <v>17896</v>
      </c>
      <c r="D30" s="1" t="s">
        <v>9</v>
      </c>
    </row>
    <row r="31" spans="1:4" x14ac:dyDescent="0.25">
      <c r="A31" s="1" t="s">
        <v>60</v>
      </c>
      <c r="B31" s="1" t="s">
        <v>11</v>
      </c>
      <c r="C31" s="2">
        <v>25045</v>
      </c>
      <c r="D31" s="1" t="s">
        <v>12</v>
      </c>
    </row>
    <row r="32" spans="1:4" x14ac:dyDescent="0.25">
      <c r="A32" s="1" t="s">
        <v>61</v>
      </c>
      <c r="B32" s="1" t="s">
        <v>20</v>
      </c>
      <c r="C32" s="2">
        <v>18367</v>
      </c>
      <c r="D32" s="1" t="s">
        <v>12</v>
      </c>
    </row>
    <row r="33" spans="1:4" x14ac:dyDescent="0.25">
      <c r="A33" s="1" t="s">
        <v>62</v>
      </c>
      <c r="B33" s="1" t="s">
        <v>20</v>
      </c>
      <c r="C33" s="2">
        <v>21630</v>
      </c>
      <c r="D33" s="1" t="s">
        <v>6</v>
      </c>
    </row>
    <row r="34" spans="1:4" x14ac:dyDescent="0.25">
      <c r="A34" s="1" t="s">
        <v>63</v>
      </c>
      <c r="B34" s="1" t="s">
        <v>64</v>
      </c>
      <c r="C34" s="2">
        <v>16075</v>
      </c>
      <c r="D34" s="1" t="s">
        <v>40</v>
      </c>
    </row>
    <row r="35" spans="1:4" x14ac:dyDescent="0.25">
      <c r="A35" s="1" t="s">
        <v>65</v>
      </c>
      <c r="B35" s="1" t="s">
        <v>20</v>
      </c>
      <c r="C35" s="2">
        <v>30640</v>
      </c>
      <c r="D35" s="1" t="s">
        <v>6</v>
      </c>
    </row>
    <row r="36" spans="1:4" x14ac:dyDescent="0.25">
      <c r="A36" s="1" t="s">
        <v>66</v>
      </c>
      <c r="B36" s="1" t="s">
        <v>67</v>
      </c>
      <c r="C36" s="2">
        <v>21633</v>
      </c>
      <c r="D36" s="1" t="s">
        <v>12</v>
      </c>
    </row>
    <row r="37" spans="1:4" x14ac:dyDescent="0.25">
      <c r="A37" s="1" t="s">
        <v>68</v>
      </c>
      <c r="B37" s="1" t="s">
        <v>69</v>
      </c>
      <c r="C37" s="2">
        <v>22843</v>
      </c>
      <c r="D37" s="1" t="s">
        <v>6</v>
      </c>
    </row>
    <row r="38" spans="1:4" x14ac:dyDescent="0.25">
      <c r="A38" s="1" t="s">
        <v>70</v>
      </c>
      <c r="B38" s="1" t="s">
        <v>39</v>
      </c>
      <c r="C38" s="2">
        <v>22944</v>
      </c>
      <c r="D38" s="1" t="s">
        <v>12</v>
      </c>
    </row>
    <row r="39" spans="1:4" x14ac:dyDescent="0.25">
      <c r="A39" s="1" t="s">
        <v>71</v>
      </c>
      <c r="B39" s="1" t="s">
        <v>72</v>
      </c>
      <c r="C39" s="2">
        <v>28856</v>
      </c>
      <c r="D39" s="1" t="s">
        <v>6</v>
      </c>
    </row>
    <row r="40" spans="1:4" x14ac:dyDescent="0.25">
      <c r="A40" s="1" t="s">
        <v>73</v>
      </c>
      <c r="B40" s="1" t="s">
        <v>74</v>
      </c>
      <c r="C40" s="2">
        <v>27510</v>
      </c>
      <c r="D40" s="1" t="s">
        <v>9</v>
      </c>
    </row>
    <row r="41" spans="1:4" x14ac:dyDescent="0.25">
      <c r="A41" s="1" t="s">
        <v>75</v>
      </c>
      <c r="B41" s="1" t="s">
        <v>52</v>
      </c>
      <c r="C41" s="2">
        <v>24744</v>
      </c>
      <c r="D41" s="1" t="s">
        <v>12</v>
      </c>
    </row>
    <row r="42" spans="1:4" x14ac:dyDescent="0.25">
      <c r="A42" s="1" t="s">
        <v>76</v>
      </c>
      <c r="B42" s="1" t="s">
        <v>77</v>
      </c>
      <c r="C42" s="2">
        <v>26703</v>
      </c>
      <c r="D42" s="1" t="s">
        <v>40</v>
      </c>
    </row>
    <row r="43" spans="1:4" x14ac:dyDescent="0.25">
      <c r="A43" s="1" t="s">
        <v>78</v>
      </c>
      <c r="B43" s="1" t="s">
        <v>79</v>
      </c>
      <c r="C43" s="2">
        <v>18847</v>
      </c>
      <c r="D43" s="1" t="s">
        <v>6</v>
      </c>
    </row>
    <row r="44" spans="1:4" x14ac:dyDescent="0.25">
      <c r="A44" s="1" t="s">
        <v>80</v>
      </c>
      <c r="B44" s="1" t="s">
        <v>81</v>
      </c>
      <c r="C44" s="2">
        <v>33899</v>
      </c>
      <c r="D44" s="1" t="s">
        <v>12</v>
      </c>
    </row>
    <row r="45" spans="1:4" x14ac:dyDescent="0.25">
      <c r="A45" s="1" t="s">
        <v>82</v>
      </c>
      <c r="B45" s="1" t="s">
        <v>42</v>
      </c>
      <c r="C45" s="2">
        <v>34773</v>
      </c>
      <c r="D45" s="1" t="s">
        <v>12</v>
      </c>
    </row>
    <row r="46" spans="1:4" x14ac:dyDescent="0.25">
      <c r="A46" s="1" t="s">
        <v>83</v>
      </c>
      <c r="B46" s="1" t="s">
        <v>84</v>
      </c>
      <c r="C46" s="2">
        <v>28929</v>
      </c>
      <c r="D46" s="1" t="s">
        <v>6</v>
      </c>
    </row>
    <row r="47" spans="1:4" x14ac:dyDescent="0.25">
      <c r="A47" s="1" t="s">
        <v>85</v>
      </c>
      <c r="B47" s="1" t="s">
        <v>42</v>
      </c>
      <c r="C47" s="2">
        <v>17612</v>
      </c>
      <c r="D47" s="1" t="s">
        <v>40</v>
      </c>
    </row>
    <row r="48" spans="1:4" x14ac:dyDescent="0.25">
      <c r="A48" s="1" t="s">
        <v>86</v>
      </c>
      <c r="B48" s="1" t="s">
        <v>87</v>
      </c>
      <c r="C48" s="2">
        <v>26002</v>
      </c>
      <c r="D48" s="1" t="s">
        <v>12</v>
      </c>
    </row>
    <row r="49" spans="1:4" x14ac:dyDescent="0.25">
      <c r="A49" s="1" t="s">
        <v>88</v>
      </c>
      <c r="B49" s="1" t="s">
        <v>52</v>
      </c>
      <c r="C49" s="2">
        <v>17050</v>
      </c>
      <c r="D49" s="1" t="s">
        <v>12</v>
      </c>
    </row>
    <row r="50" spans="1:4" x14ac:dyDescent="0.25">
      <c r="A50" s="1" t="s">
        <v>89</v>
      </c>
      <c r="B50" s="1" t="s">
        <v>90</v>
      </c>
      <c r="C50" s="2">
        <v>17757</v>
      </c>
      <c r="D50" s="1" t="s">
        <v>6</v>
      </c>
    </row>
    <row r="51" spans="1:4" x14ac:dyDescent="0.25">
      <c r="A51" s="1" t="s">
        <v>91</v>
      </c>
      <c r="B51" s="1" t="s">
        <v>92</v>
      </c>
      <c r="C51" s="2">
        <v>30155</v>
      </c>
      <c r="D51" s="1" t="s">
        <v>6</v>
      </c>
    </row>
    <row r="52" spans="1:4" x14ac:dyDescent="0.25">
      <c r="A52" s="1" t="s">
        <v>93</v>
      </c>
      <c r="B52" s="1" t="s">
        <v>94</v>
      </c>
      <c r="C52" s="2">
        <v>22758</v>
      </c>
      <c r="D52" s="1" t="s">
        <v>40</v>
      </c>
    </row>
    <row r="53" spans="1:4" x14ac:dyDescent="0.25">
      <c r="A53" s="1" t="s">
        <v>95</v>
      </c>
      <c r="B53" s="1" t="s">
        <v>52</v>
      </c>
      <c r="C53" s="2">
        <v>17830</v>
      </c>
      <c r="D53" s="1" t="s">
        <v>6</v>
      </c>
    </row>
    <row r="54" spans="1:4" x14ac:dyDescent="0.25">
      <c r="A54" s="1" t="s">
        <v>96</v>
      </c>
      <c r="B54" s="1" t="s">
        <v>20</v>
      </c>
      <c r="C54" s="2">
        <v>16168</v>
      </c>
      <c r="D54" s="1" t="s">
        <v>6</v>
      </c>
    </row>
    <row r="55" spans="1:4" x14ac:dyDescent="0.25">
      <c r="A55" s="1" t="s">
        <v>97</v>
      </c>
      <c r="B55" s="1" t="s">
        <v>98</v>
      </c>
      <c r="C55" s="2">
        <v>32118</v>
      </c>
      <c r="D55" s="1" t="s">
        <v>6</v>
      </c>
    </row>
    <row r="56" spans="1:4" x14ac:dyDescent="0.25">
      <c r="A56" s="1" t="s">
        <v>99</v>
      </c>
      <c r="B56" s="1" t="s">
        <v>18</v>
      </c>
      <c r="C56" s="2">
        <v>20332</v>
      </c>
      <c r="D56" s="1" t="s">
        <v>12</v>
      </c>
    </row>
    <row r="57" spans="1:4" x14ac:dyDescent="0.25">
      <c r="A57" s="1" t="s">
        <v>100</v>
      </c>
      <c r="B57" s="1" t="s">
        <v>49</v>
      </c>
      <c r="C57" s="2">
        <v>19375</v>
      </c>
      <c r="D57" s="1" t="s">
        <v>6</v>
      </c>
    </row>
    <row r="58" spans="1:4" x14ac:dyDescent="0.25">
      <c r="A58" s="1" t="s">
        <v>101</v>
      </c>
      <c r="B58" s="1" t="s">
        <v>102</v>
      </c>
      <c r="C58" s="2">
        <v>34818</v>
      </c>
      <c r="D58" s="1" t="s">
        <v>12</v>
      </c>
    </row>
    <row r="59" spans="1:4" x14ac:dyDescent="0.25">
      <c r="A59" s="1" t="s">
        <v>103</v>
      </c>
      <c r="B59" s="1" t="s">
        <v>16</v>
      </c>
      <c r="C59" s="2">
        <v>23775</v>
      </c>
      <c r="D59" s="1" t="s">
        <v>9</v>
      </c>
    </row>
    <row r="60" spans="1:4" x14ac:dyDescent="0.25">
      <c r="A60" s="1" t="s">
        <v>104</v>
      </c>
      <c r="B60" s="1" t="s">
        <v>105</v>
      </c>
      <c r="C60" s="2">
        <v>29371</v>
      </c>
      <c r="D60" s="1" t="s">
        <v>12</v>
      </c>
    </row>
    <row r="61" spans="1:4" x14ac:dyDescent="0.25">
      <c r="A61" s="1" t="s">
        <v>106</v>
      </c>
      <c r="B61" s="1" t="s">
        <v>107</v>
      </c>
      <c r="C61" s="2">
        <v>27370</v>
      </c>
      <c r="D61" s="1" t="s">
        <v>12</v>
      </c>
    </row>
    <row r="62" spans="1:4" x14ac:dyDescent="0.25">
      <c r="A62" s="1" t="s">
        <v>108</v>
      </c>
      <c r="B62" s="1" t="s">
        <v>109</v>
      </c>
      <c r="C62" s="2">
        <v>19032</v>
      </c>
      <c r="D62" s="1" t="s">
        <v>6</v>
      </c>
    </row>
    <row r="63" spans="1:4" x14ac:dyDescent="0.25">
      <c r="A63" s="1" t="s">
        <v>110</v>
      </c>
      <c r="B63" s="1" t="s">
        <v>37</v>
      </c>
      <c r="C63" s="2">
        <v>27475</v>
      </c>
      <c r="D63" s="1" t="s">
        <v>12</v>
      </c>
    </row>
    <row r="64" spans="1:4" x14ac:dyDescent="0.25">
      <c r="A64" s="1" t="s">
        <v>111</v>
      </c>
      <c r="B64" s="1" t="s">
        <v>52</v>
      </c>
      <c r="C64" s="2">
        <v>20719</v>
      </c>
      <c r="D64" s="1" t="s">
        <v>6</v>
      </c>
    </row>
    <row r="65" spans="1:4" x14ac:dyDescent="0.25">
      <c r="A65" s="1" t="s">
        <v>112</v>
      </c>
      <c r="B65" s="1" t="s">
        <v>8</v>
      </c>
      <c r="C65" s="2">
        <v>22206</v>
      </c>
      <c r="D65" s="1" t="s">
        <v>40</v>
      </c>
    </row>
    <row r="66" spans="1:4" x14ac:dyDescent="0.25">
      <c r="A66" s="1" t="s">
        <v>113</v>
      </c>
      <c r="B66" s="1" t="s">
        <v>114</v>
      </c>
      <c r="C66" s="2">
        <v>17376</v>
      </c>
      <c r="D66" s="1" t="s">
        <v>12</v>
      </c>
    </row>
    <row r="67" spans="1:4" x14ac:dyDescent="0.25">
      <c r="A67" s="1" t="s">
        <v>115</v>
      </c>
      <c r="B67" s="1" t="s">
        <v>114</v>
      </c>
      <c r="C67" s="2">
        <v>34280</v>
      </c>
      <c r="D67" s="1" t="s">
        <v>40</v>
      </c>
    </row>
    <row r="68" spans="1:4" x14ac:dyDescent="0.25">
      <c r="A68" s="1" t="s">
        <v>116</v>
      </c>
      <c r="B68" s="1" t="s">
        <v>49</v>
      </c>
      <c r="C68" s="2">
        <v>25821</v>
      </c>
      <c r="D68" s="1" t="s">
        <v>40</v>
      </c>
    </row>
    <row r="69" spans="1:4" x14ac:dyDescent="0.25">
      <c r="A69" s="1" t="s">
        <v>117</v>
      </c>
      <c r="B69" s="1" t="s">
        <v>47</v>
      </c>
      <c r="C69" s="2">
        <v>20242</v>
      </c>
      <c r="D69" s="1" t="s">
        <v>40</v>
      </c>
    </row>
    <row r="70" spans="1:4" x14ac:dyDescent="0.25">
      <c r="A70" s="1" t="s">
        <v>118</v>
      </c>
      <c r="B70" s="1" t="s">
        <v>20</v>
      </c>
      <c r="C70" s="2">
        <v>25415</v>
      </c>
      <c r="D70" s="1" t="s">
        <v>12</v>
      </c>
    </row>
    <row r="71" spans="1:4" x14ac:dyDescent="0.25">
      <c r="A71" s="1" t="s">
        <v>119</v>
      </c>
      <c r="B71" s="1" t="s">
        <v>47</v>
      </c>
      <c r="C71" s="2">
        <v>19048</v>
      </c>
      <c r="D71" s="1" t="s">
        <v>9</v>
      </c>
    </row>
    <row r="72" spans="1:4" x14ac:dyDescent="0.25">
      <c r="A72" s="1" t="s">
        <v>120</v>
      </c>
      <c r="B72" s="1" t="s">
        <v>121</v>
      </c>
      <c r="C72" s="2">
        <v>18811</v>
      </c>
      <c r="D72" s="1" t="s">
        <v>12</v>
      </c>
    </row>
    <row r="73" spans="1:4" x14ac:dyDescent="0.25">
      <c r="A73" s="1" t="s">
        <v>122</v>
      </c>
      <c r="B73" s="1" t="s">
        <v>123</v>
      </c>
      <c r="C73" s="2">
        <v>17072</v>
      </c>
      <c r="D73" s="1" t="s">
        <v>40</v>
      </c>
    </row>
    <row r="74" spans="1:4" x14ac:dyDescent="0.25">
      <c r="A74" s="1" t="s">
        <v>124</v>
      </c>
      <c r="B74" s="1" t="s">
        <v>121</v>
      </c>
      <c r="C74" s="2">
        <v>33277</v>
      </c>
      <c r="D74" s="1" t="s">
        <v>6</v>
      </c>
    </row>
    <row r="75" spans="1:4" x14ac:dyDescent="0.25">
      <c r="A75" s="1" t="s">
        <v>125</v>
      </c>
      <c r="B75" s="1" t="s">
        <v>79</v>
      </c>
      <c r="C75" s="2">
        <v>16987</v>
      </c>
      <c r="D75" s="1" t="s">
        <v>6</v>
      </c>
    </row>
    <row r="76" spans="1:4" x14ac:dyDescent="0.25">
      <c r="A76" s="1" t="s">
        <v>126</v>
      </c>
      <c r="B76" s="1" t="s">
        <v>127</v>
      </c>
      <c r="C76" s="2">
        <v>33408</v>
      </c>
      <c r="D76" s="1" t="s">
        <v>40</v>
      </c>
    </row>
    <row r="77" spans="1:4" x14ac:dyDescent="0.25">
      <c r="A77" s="1" t="s">
        <v>110</v>
      </c>
      <c r="B77" s="1" t="s">
        <v>79</v>
      </c>
      <c r="C77" s="2">
        <v>25070</v>
      </c>
      <c r="D77" s="1" t="s">
        <v>6</v>
      </c>
    </row>
    <row r="78" spans="1:4" x14ac:dyDescent="0.25">
      <c r="A78" s="1" t="s">
        <v>128</v>
      </c>
      <c r="B78" s="1" t="s">
        <v>129</v>
      </c>
      <c r="C78" s="2">
        <v>34100</v>
      </c>
      <c r="D78" s="1" t="s">
        <v>40</v>
      </c>
    </row>
    <row r="79" spans="1:4" x14ac:dyDescent="0.25">
      <c r="A79" s="1" t="s">
        <v>83</v>
      </c>
      <c r="B79" s="1" t="s">
        <v>52</v>
      </c>
      <c r="C79" s="2">
        <v>19522</v>
      </c>
      <c r="D79" s="1" t="s">
        <v>9</v>
      </c>
    </row>
    <row r="80" spans="1:4" x14ac:dyDescent="0.25">
      <c r="A80" s="1" t="s">
        <v>130</v>
      </c>
      <c r="B80" s="1" t="s">
        <v>131</v>
      </c>
      <c r="C80" s="2">
        <v>27284</v>
      </c>
      <c r="D80" s="1" t="s">
        <v>9</v>
      </c>
    </row>
    <row r="81" spans="1:4" x14ac:dyDescent="0.25">
      <c r="A81" s="1" t="s">
        <v>132</v>
      </c>
      <c r="B81" s="1" t="s">
        <v>8</v>
      </c>
      <c r="C81" s="2">
        <v>27347</v>
      </c>
      <c r="D81" s="1" t="s">
        <v>12</v>
      </c>
    </row>
    <row r="82" spans="1:4" x14ac:dyDescent="0.25">
      <c r="A82" s="1" t="s">
        <v>133</v>
      </c>
      <c r="B82" s="1" t="s">
        <v>134</v>
      </c>
      <c r="C82" s="2">
        <v>20618</v>
      </c>
      <c r="D82" s="1" t="s">
        <v>12</v>
      </c>
    </row>
    <row r="83" spans="1:4" x14ac:dyDescent="0.25">
      <c r="A83" s="1" t="s">
        <v>135</v>
      </c>
      <c r="B83" s="1" t="s">
        <v>54</v>
      </c>
      <c r="C83" s="2">
        <v>19256</v>
      </c>
      <c r="D83" s="1" t="s">
        <v>12</v>
      </c>
    </row>
    <row r="84" spans="1:4" x14ac:dyDescent="0.25">
      <c r="A84" s="1" t="s">
        <v>136</v>
      </c>
      <c r="B84" s="1" t="s">
        <v>137</v>
      </c>
      <c r="C84" s="2">
        <v>21898</v>
      </c>
      <c r="D84" s="1" t="s">
        <v>12</v>
      </c>
    </row>
    <row r="85" spans="1:4" x14ac:dyDescent="0.25">
      <c r="A85" s="1" t="s">
        <v>138</v>
      </c>
      <c r="B85" s="1" t="s">
        <v>139</v>
      </c>
      <c r="C85" s="2">
        <v>16873</v>
      </c>
      <c r="D85" s="1" t="s">
        <v>12</v>
      </c>
    </row>
    <row r="86" spans="1:4" x14ac:dyDescent="0.25">
      <c r="A86" s="1" t="s">
        <v>140</v>
      </c>
      <c r="B86" s="1" t="s">
        <v>141</v>
      </c>
      <c r="C86" s="2">
        <v>34893</v>
      </c>
      <c r="D86" s="1" t="s">
        <v>6</v>
      </c>
    </row>
    <row r="87" spans="1:4" x14ac:dyDescent="0.25">
      <c r="A87" s="1" t="s">
        <v>142</v>
      </c>
      <c r="B87" s="1" t="s">
        <v>143</v>
      </c>
      <c r="C87" s="2">
        <v>16028</v>
      </c>
      <c r="D87" s="1" t="s">
        <v>12</v>
      </c>
    </row>
    <row r="88" spans="1:4" x14ac:dyDescent="0.25">
      <c r="A88" s="1" t="s">
        <v>144</v>
      </c>
      <c r="B88" s="1" t="s">
        <v>54</v>
      </c>
      <c r="C88" s="2">
        <v>33446</v>
      </c>
      <c r="D88" s="1" t="s">
        <v>6</v>
      </c>
    </row>
    <row r="89" spans="1:4" x14ac:dyDescent="0.25">
      <c r="A89" s="1" t="s">
        <v>145</v>
      </c>
      <c r="B89" s="1" t="s">
        <v>146</v>
      </c>
      <c r="C89" s="2">
        <v>18892</v>
      </c>
      <c r="D89" s="1" t="s">
        <v>6</v>
      </c>
    </row>
    <row r="90" spans="1:4" x14ac:dyDescent="0.25">
      <c r="A90" s="1" t="s">
        <v>147</v>
      </c>
      <c r="B90" s="1" t="s">
        <v>102</v>
      </c>
      <c r="C90" s="2">
        <v>32219</v>
      </c>
      <c r="D90" s="1" t="s">
        <v>12</v>
      </c>
    </row>
    <row r="91" spans="1:4" x14ac:dyDescent="0.25">
      <c r="A91" s="1" t="s">
        <v>148</v>
      </c>
      <c r="B91" s="1" t="s">
        <v>149</v>
      </c>
      <c r="C91" s="2">
        <v>31771</v>
      </c>
      <c r="D91" s="1" t="s">
        <v>9</v>
      </c>
    </row>
    <row r="92" spans="1:4" x14ac:dyDescent="0.25">
      <c r="A92" s="1" t="s">
        <v>51</v>
      </c>
      <c r="B92" s="1" t="s">
        <v>150</v>
      </c>
      <c r="C92" s="2">
        <v>30633</v>
      </c>
      <c r="D92" s="1" t="s">
        <v>40</v>
      </c>
    </row>
    <row r="93" spans="1:4" x14ac:dyDescent="0.25">
      <c r="A93" s="1" t="s">
        <v>151</v>
      </c>
      <c r="B93" s="1" t="s">
        <v>152</v>
      </c>
      <c r="C93" s="2">
        <v>34177</v>
      </c>
      <c r="D93" s="1" t="s">
        <v>40</v>
      </c>
    </row>
    <row r="94" spans="1:4" x14ac:dyDescent="0.25">
      <c r="A94" s="1" t="s">
        <v>153</v>
      </c>
      <c r="B94" s="1" t="s">
        <v>137</v>
      </c>
      <c r="C94" s="2">
        <v>33281</v>
      </c>
      <c r="D94" s="1" t="s">
        <v>12</v>
      </c>
    </row>
    <row r="95" spans="1:4" x14ac:dyDescent="0.25">
      <c r="A95" s="1" t="s">
        <v>75</v>
      </c>
      <c r="B95" s="1" t="s">
        <v>154</v>
      </c>
      <c r="C95" s="2">
        <v>21897</v>
      </c>
      <c r="D95" s="1" t="s">
        <v>12</v>
      </c>
    </row>
    <row r="96" spans="1:4" x14ac:dyDescent="0.25">
      <c r="A96" s="1" t="s">
        <v>155</v>
      </c>
      <c r="B96" s="1" t="s">
        <v>37</v>
      </c>
      <c r="C96" s="2">
        <v>18604</v>
      </c>
      <c r="D96" s="1" t="s">
        <v>40</v>
      </c>
    </row>
    <row r="97" spans="1:4" x14ac:dyDescent="0.25">
      <c r="A97" s="1" t="s">
        <v>156</v>
      </c>
      <c r="B97" s="1" t="s">
        <v>157</v>
      </c>
      <c r="C97" s="2">
        <v>18910</v>
      </c>
      <c r="D97" s="1" t="s">
        <v>12</v>
      </c>
    </row>
    <row r="98" spans="1:4" x14ac:dyDescent="0.25">
      <c r="A98" s="1" t="s">
        <v>158</v>
      </c>
      <c r="B98" s="1" t="s">
        <v>47</v>
      </c>
      <c r="C98" s="2">
        <v>17056</v>
      </c>
      <c r="D98" s="1" t="s">
        <v>9</v>
      </c>
    </row>
    <row r="99" spans="1:4" x14ac:dyDescent="0.25">
      <c r="A99" s="1" t="s">
        <v>159</v>
      </c>
      <c r="B99" s="1" t="s">
        <v>160</v>
      </c>
      <c r="C99" s="2">
        <v>22619</v>
      </c>
      <c r="D99" s="1" t="s">
        <v>9</v>
      </c>
    </row>
    <row r="100" spans="1:4" x14ac:dyDescent="0.25">
      <c r="A100" s="1" t="s">
        <v>161</v>
      </c>
      <c r="B100" s="1" t="s">
        <v>37</v>
      </c>
      <c r="C100" s="2">
        <v>19740</v>
      </c>
      <c r="D100" s="1" t="s">
        <v>12</v>
      </c>
    </row>
    <row r="101" spans="1:4" x14ac:dyDescent="0.25">
      <c r="A101" s="1" t="s">
        <v>162</v>
      </c>
      <c r="B101" s="1" t="s">
        <v>131</v>
      </c>
      <c r="C101" s="2">
        <v>24222</v>
      </c>
      <c r="D101" s="1" t="s">
        <v>6</v>
      </c>
    </row>
    <row r="102" spans="1:4" x14ac:dyDescent="0.25">
      <c r="A102" s="1" t="s">
        <v>163</v>
      </c>
      <c r="B102" s="1" t="s">
        <v>37</v>
      </c>
      <c r="C102" s="2">
        <v>17196</v>
      </c>
      <c r="D102" s="1" t="s">
        <v>40</v>
      </c>
    </row>
    <row r="103" spans="1:4" x14ac:dyDescent="0.25">
      <c r="A103" s="1" t="s">
        <v>164</v>
      </c>
      <c r="B103" s="1" t="s">
        <v>52</v>
      </c>
      <c r="C103" s="2">
        <v>32013</v>
      </c>
      <c r="D103" s="1" t="s">
        <v>12</v>
      </c>
    </row>
    <row r="104" spans="1:4" x14ac:dyDescent="0.25">
      <c r="A104" s="1" t="s">
        <v>163</v>
      </c>
      <c r="B104" s="1" t="s">
        <v>39</v>
      </c>
      <c r="C104" s="2">
        <v>23679</v>
      </c>
      <c r="D104" s="1" t="s">
        <v>12</v>
      </c>
    </row>
    <row r="105" spans="1:4" x14ac:dyDescent="0.25">
      <c r="A105" s="1" t="s">
        <v>75</v>
      </c>
      <c r="B105" s="1" t="s">
        <v>165</v>
      </c>
      <c r="C105" s="2">
        <v>26239</v>
      </c>
      <c r="D105" s="1" t="s">
        <v>12</v>
      </c>
    </row>
    <row r="106" spans="1:4" x14ac:dyDescent="0.25">
      <c r="A106" s="1" t="s">
        <v>166</v>
      </c>
      <c r="B106" s="1" t="s">
        <v>167</v>
      </c>
      <c r="C106" s="2">
        <v>30774</v>
      </c>
      <c r="D106" s="1" t="s">
        <v>6</v>
      </c>
    </row>
    <row r="107" spans="1:4" x14ac:dyDescent="0.25">
      <c r="A107" s="1" t="s">
        <v>168</v>
      </c>
      <c r="B107" s="1" t="s">
        <v>169</v>
      </c>
      <c r="C107" s="2">
        <v>25818</v>
      </c>
      <c r="D107" s="1" t="s">
        <v>6</v>
      </c>
    </row>
    <row r="108" spans="1:4" x14ac:dyDescent="0.25">
      <c r="A108" s="1" t="s">
        <v>170</v>
      </c>
      <c r="B108" s="1" t="s">
        <v>171</v>
      </c>
      <c r="C108" s="2">
        <v>16529</v>
      </c>
      <c r="D108" s="1" t="s">
        <v>40</v>
      </c>
    </row>
    <row r="109" spans="1:4" x14ac:dyDescent="0.25">
      <c r="A109" s="1" t="s">
        <v>172</v>
      </c>
      <c r="B109" s="1" t="s">
        <v>5</v>
      </c>
      <c r="C109" s="2">
        <v>30530</v>
      </c>
      <c r="D109" s="1" t="s">
        <v>40</v>
      </c>
    </row>
    <row r="110" spans="1:4" x14ac:dyDescent="0.25">
      <c r="A110" s="1" t="s">
        <v>173</v>
      </c>
      <c r="B110" s="1" t="s">
        <v>77</v>
      </c>
      <c r="C110" s="2">
        <v>31601</v>
      </c>
      <c r="D110" s="1" t="s">
        <v>12</v>
      </c>
    </row>
    <row r="111" spans="1:4" x14ac:dyDescent="0.25">
      <c r="A111" s="1" t="s">
        <v>174</v>
      </c>
      <c r="B111" s="1" t="s">
        <v>157</v>
      </c>
      <c r="C111" s="2">
        <v>28427</v>
      </c>
      <c r="D111" s="1" t="s">
        <v>12</v>
      </c>
    </row>
    <row r="112" spans="1:4" x14ac:dyDescent="0.25">
      <c r="A112" s="1" t="s">
        <v>175</v>
      </c>
      <c r="B112" s="1" t="s">
        <v>176</v>
      </c>
      <c r="C112" s="2">
        <v>23139</v>
      </c>
      <c r="D112" s="1" t="s">
        <v>12</v>
      </c>
    </row>
    <row r="113" spans="1:4" x14ac:dyDescent="0.25">
      <c r="A113" s="1" t="s">
        <v>174</v>
      </c>
      <c r="B113" s="1" t="s">
        <v>177</v>
      </c>
      <c r="C113" s="2">
        <v>29861</v>
      </c>
      <c r="D113" s="1" t="s">
        <v>12</v>
      </c>
    </row>
    <row r="114" spans="1:4" x14ac:dyDescent="0.25">
      <c r="A114" s="1" t="s">
        <v>178</v>
      </c>
      <c r="B114" s="1" t="s">
        <v>179</v>
      </c>
      <c r="C114" s="2">
        <v>32545</v>
      </c>
      <c r="D114" s="1" t="s">
        <v>40</v>
      </c>
    </row>
    <row r="115" spans="1:4" x14ac:dyDescent="0.25">
      <c r="A115" s="1" t="s">
        <v>180</v>
      </c>
      <c r="B115" s="1" t="s">
        <v>94</v>
      </c>
      <c r="C115" s="2">
        <v>29361</v>
      </c>
      <c r="D115" s="1" t="s">
        <v>12</v>
      </c>
    </row>
    <row r="116" spans="1:4" x14ac:dyDescent="0.25">
      <c r="A116" s="1" t="s">
        <v>181</v>
      </c>
      <c r="B116" s="1" t="s">
        <v>49</v>
      </c>
      <c r="C116" s="2">
        <v>17772</v>
      </c>
      <c r="D116" s="1" t="s">
        <v>40</v>
      </c>
    </row>
    <row r="117" spans="1:4" x14ac:dyDescent="0.25">
      <c r="A117" s="1" t="s">
        <v>182</v>
      </c>
      <c r="B117" s="1" t="s">
        <v>183</v>
      </c>
      <c r="C117" s="2">
        <v>28580</v>
      </c>
      <c r="D117" s="1" t="s">
        <v>6</v>
      </c>
    </row>
    <row r="118" spans="1:4" x14ac:dyDescent="0.25">
      <c r="A118" s="1" t="s">
        <v>184</v>
      </c>
      <c r="B118" s="1" t="s">
        <v>185</v>
      </c>
      <c r="C118" s="2">
        <v>21154</v>
      </c>
      <c r="D118" s="1" t="s">
        <v>40</v>
      </c>
    </row>
    <row r="119" spans="1:4" x14ac:dyDescent="0.25">
      <c r="A119" s="1" t="s">
        <v>186</v>
      </c>
      <c r="B119" s="1" t="s">
        <v>54</v>
      </c>
      <c r="C119" s="2">
        <v>18183</v>
      </c>
      <c r="D119" s="1" t="s">
        <v>12</v>
      </c>
    </row>
    <row r="120" spans="1:4" x14ac:dyDescent="0.25">
      <c r="A120" s="1" t="s">
        <v>187</v>
      </c>
      <c r="B120" s="1" t="s">
        <v>188</v>
      </c>
      <c r="C120" s="2">
        <v>20630</v>
      </c>
      <c r="D120" s="1" t="s">
        <v>6</v>
      </c>
    </row>
    <row r="121" spans="1:4" x14ac:dyDescent="0.25">
      <c r="A121" s="1" t="s">
        <v>189</v>
      </c>
      <c r="B121" s="1" t="s">
        <v>49</v>
      </c>
      <c r="C121" s="2">
        <v>34364</v>
      </c>
      <c r="D121" s="1" t="s">
        <v>12</v>
      </c>
    </row>
    <row r="122" spans="1:4" x14ac:dyDescent="0.25">
      <c r="A122" s="1" t="s">
        <v>190</v>
      </c>
      <c r="B122" s="1" t="s">
        <v>20</v>
      </c>
      <c r="C122" s="2">
        <v>25582</v>
      </c>
      <c r="D122" s="1" t="s">
        <v>6</v>
      </c>
    </row>
    <row r="123" spans="1:4" x14ac:dyDescent="0.25">
      <c r="A123" s="1" t="s">
        <v>191</v>
      </c>
      <c r="B123" s="1" t="s">
        <v>192</v>
      </c>
      <c r="C123" s="2">
        <v>29350</v>
      </c>
      <c r="D123" s="1" t="s">
        <v>12</v>
      </c>
    </row>
    <row r="124" spans="1:4" x14ac:dyDescent="0.25">
      <c r="A124" s="1" t="s">
        <v>193</v>
      </c>
      <c r="B124" s="1" t="s">
        <v>194</v>
      </c>
      <c r="C124" s="2">
        <v>21704</v>
      </c>
      <c r="D124" s="1" t="s">
        <v>6</v>
      </c>
    </row>
    <row r="125" spans="1:4" x14ac:dyDescent="0.25">
      <c r="A125" s="1" t="s">
        <v>195</v>
      </c>
      <c r="B125" s="1" t="s">
        <v>192</v>
      </c>
      <c r="C125" s="2">
        <v>20436</v>
      </c>
      <c r="D125" s="1" t="s">
        <v>12</v>
      </c>
    </row>
    <row r="126" spans="1:4" x14ac:dyDescent="0.25">
      <c r="A126" s="1" t="s">
        <v>196</v>
      </c>
      <c r="B126" s="1" t="s">
        <v>139</v>
      </c>
      <c r="C126" s="2">
        <v>24475</v>
      </c>
      <c r="D126" s="1" t="s">
        <v>12</v>
      </c>
    </row>
    <row r="127" spans="1:4" x14ac:dyDescent="0.25">
      <c r="A127" s="1" t="s">
        <v>197</v>
      </c>
      <c r="B127" s="1" t="s">
        <v>87</v>
      </c>
      <c r="C127" s="2">
        <v>26773</v>
      </c>
      <c r="D127" s="1" t="s">
        <v>6</v>
      </c>
    </row>
    <row r="128" spans="1:4" x14ac:dyDescent="0.25">
      <c r="A128" s="1" t="s">
        <v>198</v>
      </c>
      <c r="B128" s="1" t="s">
        <v>199</v>
      </c>
      <c r="C128" s="2">
        <v>17668</v>
      </c>
      <c r="D128" s="1" t="s">
        <v>12</v>
      </c>
    </row>
    <row r="129" spans="1:4" x14ac:dyDescent="0.25">
      <c r="A129" s="1" t="s">
        <v>200</v>
      </c>
      <c r="B129" s="1" t="s">
        <v>201</v>
      </c>
      <c r="C129" s="2">
        <v>17382</v>
      </c>
      <c r="D129" s="1" t="s">
        <v>12</v>
      </c>
    </row>
    <row r="130" spans="1:4" x14ac:dyDescent="0.25">
      <c r="A130" s="1" t="s">
        <v>202</v>
      </c>
      <c r="B130" s="1" t="s">
        <v>8</v>
      </c>
      <c r="C130" s="2">
        <v>16976</v>
      </c>
      <c r="D130" s="1" t="s">
        <v>6</v>
      </c>
    </row>
    <row r="131" spans="1:4" x14ac:dyDescent="0.25">
      <c r="A131" s="1" t="s">
        <v>203</v>
      </c>
      <c r="B131" s="1" t="s">
        <v>204</v>
      </c>
      <c r="C131" s="2">
        <v>33779</v>
      </c>
      <c r="D131" s="1" t="s">
        <v>40</v>
      </c>
    </row>
    <row r="132" spans="1:4" x14ac:dyDescent="0.25">
      <c r="A132" s="1" t="s">
        <v>75</v>
      </c>
      <c r="B132" s="1" t="s">
        <v>37</v>
      </c>
      <c r="C132" s="2">
        <v>33885</v>
      </c>
      <c r="D132" s="1" t="s">
        <v>6</v>
      </c>
    </row>
    <row r="133" spans="1:4" x14ac:dyDescent="0.25">
      <c r="A133" s="1" t="s">
        <v>205</v>
      </c>
      <c r="B133" s="1" t="s">
        <v>25</v>
      </c>
      <c r="C133" s="2">
        <v>30498</v>
      </c>
      <c r="D133" s="1" t="s">
        <v>9</v>
      </c>
    </row>
    <row r="134" spans="1:4" x14ac:dyDescent="0.25">
      <c r="A134" s="1" t="s">
        <v>206</v>
      </c>
      <c r="B134" s="1" t="s">
        <v>167</v>
      </c>
      <c r="C134" s="2">
        <v>22090</v>
      </c>
      <c r="D134" s="1" t="s">
        <v>9</v>
      </c>
    </row>
    <row r="135" spans="1:4" x14ac:dyDescent="0.25">
      <c r="A135" s="1" t="s">
        <v>207</v>
      </c>
      <c r="B135" s="1" t="s">
        <v>37</v>
      </c>
      <c r="C135" s="2">
        <v>27938</v>
      </c>
      <c r="D135" s="1" t="s">
        <v>6</v>
      </c>
    </row>
    <row r="136" spans="1:4" x14ac:dyDescent="0.25">
      <c r="A136" s="1" t="s">
        <v>208</v>
      </c>
      <c r="B136" s="1" t="s">
        <v>47</v>
      </c>
      <c r="C136" s="2">
        <v>23762</v>
      </c>
      <c r="D136" s="1" t="s">
        <v>12</v>
      </c>
    </row>
    <row r="137" spans="1:4" x14ac:dyDescent="0.25">
      <c r="A137" s="1" t="s">
        <v>209</v>
      </c>
      <c r="B137" s="1" t="s">
        <v>131</v>
      </c>
      <c r="C137" s="2">
        <v>25158</v>
      </c>
      <c r="D137" s="1" t="s">
        <v>6</v>
      </c>
    </row>
    <row r="138" spans="1:4" x14ac:dyDescent="0.25">
      <c r="A138" s="1" t="s">
        <v>210</v>
      </c>
      <c r="B138" s="1" t="s">
        <v>37</v>
      </c>
      <c r="C138" s="2">
        <v>24824</v>
      </c>
      <c r="D138" s="1" t="s">
        <v>12</v>
      </c>
    </row>
    <row r="139" spans="1:4" x14ac:dyDescent="0.25">
      <c r="A139" s="1" t="s">
        <v>211</v>
      </c>
      <c r="B139" s="1" t="s">
        <v>49</v>
      </c>
      <c r="C139" s="2">
        <v>33398</v>
      </c>
      <c r="D139" s="1" t="s">
        <v>9</v>
      </c>
    </row>
    <row r="140" spans="1:4" x14ac:dyDescent="0.25">
      <c r="A140" s="1" t="s">
        <v>212</v>
      </c>
      <c r="B140" s="1" t="s">
        <v>18</v>
      </c>
      <c r="C140" s="2">
        <v>34795</v>
      </c>
      <c r="D140" s="1" t="s">
        <v>9</v>
      </c>
    </row>
    <row r="141" spans="1:4" x14ac:dyDescent="0.25">
      <c r="A141" s="1" t="s">
        <v>88</v>
      </c>
      <c r="B141" s="1" t="s">
        <v>213</v>
      </c>
      <c r="C141" s="2">
        <v>20374</v>
      </c>
      <c r="D141" s="1" t="s">
        <v>12</v>
      </c>
    </row>
    <row r="142" spans="1:4" x14ac:dyDescent="0.25">
      <c r="A142" s="1" t="s">
        <v>214</v>
      </c>
      <c r="B142" s="1" t="s">
        <v>165</v>
      </c>
      <c r="C142" s="2">
        <v>25416</v>
      </c>
      <c r="D142" s="1" t="s">
        <v>12</v>
      </c>
    </row>
    <row r="143" spans="1:4" x14ac:dyDescent="0.25">
      <c r="A143" s="1" t="s">
        <v>215</v>
      </c>
      <c r="B143" s="1" t="s">
        <v>216</v>
      </c>
      <c r="C143" s="2">
        <v>21548</v>
      </c>
      <c r="D143" s="1" t="s">
        <v>12</v>
      </c>
    </row>
    <row r="144" spans="1:4" x14ac:dyDescent="0.25">
      <c r="A144" s="1" t="s">
        <v>217</v>
      </c>
      <c r="B144" s="1" t="s">
        <v>54</v>
      </c>
      <c r="C144" s="2">
        <v>31232</v>
      </c>
      <c r="D144" s="1" t="s">
        <v>9</v>
      </c>
    </row>
    <row r="145" spans="1:4" x14ac:dyDescent="0.25">
      <c r="A145" s="1" t="s">
        <v>218</v>
      </c>
      <c r="B145" s="1" t="s">
        <v>121</v>
      </c>
      <c r="C145" s="2">
        <v>28472</v>
      </c>
      <c r="D145" s="1" t="s">
        <v>12</v>
      </c>
    </row>
    <row r="146" spans="1:4" x14ac:dyDescent="0.25">
      <c r="A146" s="1" t="s">
        <v>219</v>
      </c>
      <c r="B146" s="1" t="s">
        <v>29</v>
      </c>
      <c r="C146" s="2">
        <v>34287</v>
      </c>
      <c r="D146" s="1" t="s">
        <v>12</v>
      </c>
    </row>
    <row r="147" spans="1:4" x14ac:dyDescent="0.25">
      <c r="A147" s="1" t="s">
        <v>220</v>
      </c>
      <c r="B147" s="1" t="s">
        <v>92</v>
      </c>
      <c r="C147" s="2">
        <v>24972</v>
      </c>
      <c r="D147" s="1" t="s">
        <v>6</v>
      </c>
    </row>
    <row r="148" spans="1:4" x14ac:dyDescent="0.25">
      <c r="A148" s="1" t="s">
        <v>221</v>
      </c>
      <c r="B148" s="1" t="s">
        <v>154</v>
      </c>
      <c r="C148" s="2">
        <v>18787</v>
      </c>
      <c r="D148" s="1" t="s">
        <v>9</v>
      </c>
    </row>
    <row r="149" spans="1:4" x14ac:dyDescent="0.25">
      <c r="A149" s="1" t="s">
        <v>222</v>
      </c>
      <c r="B149" s="1" t="s">
        <v>49</v>
      </c>
      <c r="C149" s="2">
        <v>27611</v>
      </c>
      <c r="D149" s="1" t="s">
        <v>9</v>
      </c>
    </row>
    <row r="150" spans="1:4" x14ac:dyDescent="0.25">
      <c r="A150" s="1" t="s">
        <v>223</v>
      </c>
      <c r="B150" s="1" t="s">
        <v>224</v>
      </c>
      <c r="C150" s="2">
        <v>26071</v>
      </c>
      <c r="D150" s="1" t="s">
        <v>12</v>
      </c>
    </row>
    <row r="151" spans="1:4" x14ac:dyDescent="0.25">
      <c r="A151" s="1" t="s">
        <v>225</v>
      </c>
      <c r="B151" s="1" t="s">
        <v>20</v>
      </c>
      <c r="C151" s="2">
        <v>18285</v>
      </c>
      <c r="D151" s="1" t="s">
        <v>6</v>
      </c>
    </row>
    <row r="152" spans="1:4" x14ac:dyDescent="0.25">
      <c r="A152" s="1" t="s">
        <v>226</v>
      </c>
      <c r="B152" s="1" t="s">
        <v>8</v>
      </c>
      <c r="C152" s="2">
        <v>33696</v>
      </c>
      <c r="D152" s="1" t="s">
        <v>12</v>
      </c>
    </row>
    <row r="153" spans="1:4" x14ac:dyDescent="0.25">
      <c r="A153" s="1" t="s">
        <v>227</v>
      </c>
      <c r="B153" s="1" t="s">
        <v>81</v>
      </c>
      <c r="C153" s="2">
        <v>25404</v>
      </c>
      <c r="D153" s="1" t="s">
        <v>12</v>
      </c>
    </row>
    <row r="154" spans="1:4" x14ac:dyDescent="0.25">
      <c r="A154" s="1" t="s">
        <v>26</v>
      </c>
      <c r="B154" s="1" t="s">
        <v>114</v>
      </c>
      <c r="C154" s="2">
        <v>21769</v>
      </c>
      <c r="D154" s="1" t="s">
        <v>6</v>
      </c>
    </row>
    <row r="155" spans="1:4" x14ac:dyDescent="0.25">
      <c r="A155" s="1" t="s">
        <v>228</v>
      </c>
      <c r="B155" s="1" t="s">
        <v>49</v>
      </c>
      <c r="C155" s="2">
        <v>26490</v>
      </c>
      <c r="D155" s="1" t="s">
        <v>6</v>
      </c>
    </row>
    <row r="156" spans="1:4" x14ac:dyDescent="0.25">
      <c r="A156" s="1" t="s">
        <v>229</v>
      </c>
      <c r="B156" s="1" t="s">
        <v>105</v>
      </c>
      <c r="C156" s="2">
        <v>28897</v>
      </c>
      <c r="D156" s="1" t="s">
        <v>9</v>
      </c>
    </row>
    <row r="157" spans="1:4" x14ac:dyDescent="0.25">
      <c r="A157" s="1" t="s">
        <v>230</v>
      </c>
      <c r="B157" s="1" t="s">
        <v>231</v>
      </c>
      <c r="C157" s="2">
        <v>33454</v>
      </c>
      <c r="D157" s="1" t="s">
        <v>12</v>
      </c>
    </row>
    <row r="158" spans="1:4" x14ac:dyDescent="0.25">
      <c r="A158" s="1" t="s">
        <v>232</v>
      </c>
      <c r="B158" s="1" t="s">
        <v>233</v>
      </c>
      <c r="C158" s="2">
        <v>24539</v>
      </c>
      <c r="D158" s="1" t="s">
        <v>12</v>
      </c>
    </row>
    <row r="159" spans="1:4" x14ac:dyDescent="0.25">
      <c r="A159" s="1" t="s">
        <v>234</v>
      </c>
      <c r="B159" s="1" t="s">
        <v>235</v>
      </c>
      <c r="C159" s="2">
        <v>27992</v>
      </c>
      <c r="D159" s="1" t="s">
        <v>6</v>
      </c>
    </row>
    <row r="160" spans="1:4" x14ac:dyDescent="0.25">
      <c r="A160" s="1" t="s">
        <v>147</v>
      </c>
      <c r="B160" s="1" t="s">
        <v>236</v>
      </c>
      <c r="C160" s="2">
        <v>26335</v>
      </c>
      <c r="D160" s="1" t="s">
        <v>40</v>
      </c>
    </row>
    <row r="161" spans="1:4" x14ac:dyDescent="0.25">
      <c r="A161" s="1" t="s">
        <v>237</v>
      </c>
      <c r="B161" s="1" t="s">
        <v>167</v>
      </c>
      <c r="C161" s="2">
        <v>31095</v>
      </c>
      <c r="D161" s="1" t="s">
        <v>12</v>
      </c>
    </row>
    <row r="162" spans="1:4" x14ac:dyDescent="0.25">
      <c r="A162" s="1" t="s">
        <v>238</v>
      </c>
      <c r="B162" s="1" t="s">
        <v>169</v>
      </c>
      <c r="C162" s="2">
        <v>26112</v>
      </c>
      <c r="D162" s="1" t="s">
        <v>40</v>
      </c>
    </row>
    <row r="163" spans="1:4" x14ac:dyDescent="0.25">
      <c r="A163" s="1" t="s">
        <v>239</v>
      </c>
      <c r="B163" s="1" t="s">
        <v>54</v>
      </c>
      <c r="C163" s="2">
        <v>23272</v>
      </c>
      <c r="D163" s="1" t="s">
        <v>6</v>
      </c>
    </row>
    <row r="164" spans="1:4" x14ac:dyDescent="0.25">
      <c r="A164" s="1" t="s">
        <v>240</v>
      </c>
      <c r="B164" s="1" t="s">
        <v>32</v>
      </c>
      <c r="C164" s="2">
        <v>32952</v>
      </c>
      <c r="D164" s="1" t="s">
        <v>40</v>
      </c>
    </row>
    <row r="165" spans="1:4" x14ac:dyDescent="0.25">
      <c r="A165" s="1" t="s">
        <v>241</v>
      </c>
      <c r="B165" s="1" t="s">
        <v>39</v>
      </c>
      <c r="C165" s="2">
        <v>19759</v>
      </c>
      <c r="D165" s="1" t="s">
        <v>9</v>
      </c>
    </row>
    <row r="166" spans="1:4" x14ac:dyDescent="0.25">
      <c r="A166" s="1" t="s">
        <v>242</v>
      </c>
      <c r="B166" s="1" t="s">
        <v>152</v>
      </c>
      <c r="C166" s="2">
        <v>27324</v>
      </c>
      <c r="D166" s="1" t="s">
        <v>9</v>
      </c>
    </row>
    <row r="167" spans="1:4" x14ac:dyDescent="0.25">
      <c r="A167" s="1" t="s">
        <v>243</v>
      </c>
      <c r="B167" s="1" t="s">
        <v>236</v>
      </c>
      <c r="C167" s="2">
        <v>21838</v>
      </c>
      <c r="D167" s="1" t="s">
        <v>6</v>
      </c>
    </row>
    <row r="168" spans="1:4" x14ac:dyDescent="0.25">
      <c r="A168" s="1" t="s">
        <v>244</v>
      </c>
      <c r="B168" s="1" t="s">
        <v>47</v>
      </c>
      <c r="C168" s="2">
        <v>21051</v>
      </c>
      <c r="D168" s="1" t="s">
        <v>40</v>
      </c>
    </row>
    <row r="169" spans="1:4" x14ac:dyDescent="0.25">
      <c r="A169" s="1" t="s">
        <v>245</v>
      </c>
      <c r="B169" s="1" t="s">
        <v>246</v>
      </c>
      <c r="C169" s="2">
        <v>31292</v>
      </c>
      <c r="D169" s="1" t="s">
        <v>40</v>
      </c>
    </row>
    <row r="170" spans="1:4" x14ac:dyDescent="0.25">
      <c r="A170" s="1" t="s">
        <v>247</v>
      </c>
      <c r="B170" s="1" t="s">
        <v>248</v>
      </c>
      <c r="C170" s="2">
        <v>17179</v>
      </c>
      <c r="D170" s="1" t="s">
        <v>12</v>
      </c>
    </row>
    <row r="171" spans="1:4" x14ac:dyDescent="0.25">
      <c r="A171" s="1" t="s">
        <v>249</v>
      </c>
      <c r="B171" s="1" t="s">
        <v>250</v>
      </c>
      <c r="C171" s="2">
        <v>32305</v>
      </c>
      <c r="D171" s="1" t="s">
        <v>6</v>
      </c>
    </row>
    <row r="172" spans="1:4" x14ac:dyDescent="0.25">
      <c r="A172" s="1" t="s">
        <v>251</v>
      </c>
      <c r="B172" s="1" t="s">
        <v>252</v>
      </c>
      <c r="C172" s="2">
        <v>32081</v>
      </c>
      <c r="D172" s="1" t="s">
        <v>12</v>
      </c>
    </row>
    <row r="173" spans="1:4" x14ac:dyDescent="0.25">
      <c r="A173" s="1" t="s">
        <v>253</v>
      </c>
      <c r="B173" s="1" t="s">
        <v>121</v>
      </c>
      <c r="C173" s="2">
        <v>31749</v>
      </c>
      <c r="D173" s="1" t="s">
        <v>6</v>
      </c>
    </row>
    <row r="174" spans="1:4" x14ac:dyDescent="0.25">
      <c r="A174" s="1" t="s">
        <v>254</v>
      </c>
      <c r="B174" s="1" t="s">
        <v>255</v>
      </c>
      <c r="C174" s="2">
        <v>18648</v>
      </c>
      <c r="D174" s="1" t="s">
        <v>40</v>
      </c>
    </row>
    <row r="175" spans="1:4" x14ac:dyDescent="0.25">
      <c r="A175" s="1" t="s">
        <v>256</v>
      </c>
      <c r="B175" s="1" t="s">
        <v>257</v>
      </c>
      <c r="C175" s="2">
        <v>16734</v>
      </c>
      <c r="D175" s="1" t="s">
        <v>6</v>
      </c>
    </row>
    <row r="176" spans="1:4" x14ac:dyDescent="0.25">
      <c r="A176" s="1" t="s">
        <v>258</v>
      </c>
      <c r="B176" s="1" t="s">
        <v>47</v>
      </c>
      <c r="C176" s="2">
        <v>25036</v>
      </c>
      <c r="D176" s="1" t="s">
        <v>12</v>
      </c>
    </row>
    <row r="177" spans="1:4" x14ac:dyDescent="0.25">
      <c r="A177" s="1" t="s">
        <v>259</v>
      </c>
      <c r="B177" s="1" t="s">
        <v>260</v>
      </c>
      <c r="C177" s="2">
        <v>17342</v>
      </c>
      <c r="D177" s="1" t="s">
        <v>6</v>
      </c>
    </row>
    <row r="178" spans="1:4" x14ac:dyDescent="0.25">
      <c r="A178" s="1" t="s">
        <v>206</v>
      </c>
      <c r="B178" s="1" t="s">
        <v>167</v>
      </c>
      <c r="C178" s="2">
        <v>23157</v>
      </c>
      <c r="D178" s="1" t="s">
        <v>9</v>
      </c>
    </row>
    <row r="179" spans="1:4" x14ac:dyDescent="0.25">
      <c r="A179" s="1" t="s">
        <v>261</v>
      </c>
      <c r="B179" s="1" t="s">
        <v>37</v>
      </c>
      <c r="C179" s="2">
        <v>17166</v>
      </c>
      <c r="D179" s="1" t="s">
        <v>12</v>
      </c>
    </row>
    <row r="180" spans="1:4" x14ac:dyDescent="0.25">
      <c r="A180" s="1" t="s">
        <v>262</v>
      </c>
      <c r="B180" s="1" t="s">
        <v>263</v>
      </c>
      <c r="C180" s="2">
        <v>24471</v>
      </c>
      <c r="D180" s="1" t="s">
        <v>12</v>
      </c>
    </row>
    <row r="181" spans="1:4" x14ac:dyDescent="0.25">
      <c r="A181" s="1" t="s">
        <v>264</v>
      </c>
      <c r="B181" s="1" t="s">
        <v>157</v>
      </c>
      <c r="C181" s="2">
        <v>34523</v>
      </c>
      <c r="D181" s="1" t="s">
        <v>6</v>
      </c>
    </row>
    <row r="182" spans="1:4" x14ac:dyDescent="0.25">
      <c r="A182" s="1" t="s">
        <v>265</v>
      </c>
      <c r="B182" s="1" t="s">
        <v>139</v>
      </c>
      <c r="C182" s="2">
        <v>18354</v>
      </c>
      <c r="D182" s="1" t="s">
        <v>6</v>
      </c>
    </row>
    <row r="183" spans="1:4" x14ac:dyDescent="0.25">
      <c r="A183" s="1" t="s">
        <v>266</v>
      </c>
      <c r="B183" s="1" t="s">
        <v>267</v>
      </c>
      <c r="C183" s="2">
        <v>34069</v>
      </c>
      <c r="D183" s="1" t="s">
        <v>12</v>
      </c>
    </row>
    <row r="184" spans="1:4" x14ac:dyDescent="0.25">
      <c r="A184" s="1" t="s">
        <v>268</v>
      </c>
      <c r="B184" s="1" t="s">
        <v>269</v>
      </c>
      <c r="C184" s="2">
        <v>17331</v>
      </c>
      <c r="D184" s="1" t="s">
        <v>12</v>
      </c>
    </row>
    <row r="185" spans="1:4" x14ac:dyDescent="0.25">
      <c r="A185" s="1" t="s">
        <v>270</v>
      </c>
      <c r="B185" s="1" t="s">
        <v>39</v>
      </c>
      <c r="C185" s="2">
        <v>33550</v>
      </c>
      <c r="D185" s="1" t="s">
        <v>40</v>
      </c>
    </row>
    <row r="186" spans="1:4" x14ac:dyDescent="0.25">
      <c r="A186" s="1" t="s">
        <v>271</v>
      </c>
      <c r="B186" s="1" t="s">
        <v>255</v>
      </c>
      <c r="C186" s="2">
        <v>24426</v>
      </c>
      <c r="D186" s="1" t="s">
        <v>6</v>
      </c>
    </row>
    <row r="187" spans="1:4" x14ac:dyDescent="0.25">
      <c r="A187" s="1" t="s">
        <v>272</v>
      </c>
      <c r="B187" s="1" t="s">
        <v>273</v>
      </c>
      <c r="C187" s="2">
        <v>19307</v>
      </c>
      <c r="D187" s="1" t="s">
        <v>40</v>
      </c>
    </row>
    <row r="188" spans="1:4" x14ac:dyDescent="0.25">
      <c r="A188" s="1" t="s">
        <v>274</v>
      </c>
      <c r="B188" s="1" t="s">
        <v>121</v>
      </c>
      <c r="C188" s="2">
        <v>26626</v>
      </c>
      <c r="D188" s="1" t="s">
        <v>12</v>
      </c>
    </row>
    <row r="189" spans="1:4" x14ac:dyDescent="0.25">
      <c r="A189" s="1" t="s">
        <v>275</v>
      </c>
      <c r="B189" s="1" t="s">
        <v>169</v>
      </c>
      <c r="C189" s="2">
        <v>21897</v>
      </c>
      <c r="D189" s="1" t="s">
        <v>12</v>
      </c>
    </row>
    <row r="190" spans="1:4" x14ac:dyDescent="0.25">
      <c r="A190" s="1" t="s">
        <v>276</v>
      </c>
      <c r="B190" s="1" t="s">
        <v>52</v>
      </c>
      <c r="C190" s="2">
        <v>34865</v>
      </c>
      <c r="D190" s="1" t="s">
        <v>12</v>
      </c>
    </row>
    <row r="191" spans="1:4" x14ac:dyDescent="0.25">
      <c r="A191" s="1" t="s">
        <v>163</v>
      </c>
      <c r="B191" s="1" t="s">
        <v>277</v>
      </c>
      <c r="C191" s="2">
        <v>19712</v>
      </c>
      <c r="D191" s="1" t="s">
        <v>12</v>
      </c>
    </row>
    <row r="192" spans="1:4" x14ac:dyDescent="0.25">
      <c r="A192" s="1" t="s">
        <v>278</v>
      </c>
      <c r="B192" s="1" t="s">
        <v>52</v>
      </c>
      <c r="C192" s="2">
        <v>27893</v>
      </c>
      <c r="D192" s="1" t="s">
        <v>6</v>
      </c>
    </row>
    <row r="193" spans="1:4" x14ac:dyDescent="0.25">
      <c r="A193" s="1" t="s">
        <v>279</v>
      </c>
      <c r="B193" s="1" t="s">
        <v>280</v>
      </c>
      <c r="C193" s="2">
        <v>28226</v>
      </c>
      <c r="D193" s="1" t="s">
        <v>12</v>
      </c>
    </row>
    <row r="194" spans="1:4" x14ac:dyDescent="0.25">
      <c r="A194" s="1" t="s">
        <v>281</v>
      </c>
      <c r="B194" s="1" t="s">
        <v>77</v>
      </c>
      <c r="C194" s="2">
        <v>29954</v>
      </c>
      <c r="D194" s="1" t="s">
        <v>9</v>
      </c>
    </row>
    <row r="195" spans="1:4" x14ac:dyDescent="0.25">
      <c r="A195" s="1" t="s">
        <v>282</v>
      </c>
      <c r="B195" s="1" t="s">
        <v>179</v>
      </c>
      <c r="C195" s="2">
        <v>23111</v>
      </c>
      <c r="D195" s="1" t="s">
        <v>12</v>
      </c>
    </row>
    <row r="196" spans="1:4" x14ac:dyDescent="0.25">
      <c r="A196" s="1" t="s">
        <v>283</v>
      </c>
      <c r="B196" s="1" t="s">
        <v>39</v>
      </c>
      <c r="C196" s="2">
        <v>24808</v>
      </c>
      <c r="D196" s="1" t="s">
        <v>12</v>
      </c>
    </row>
    <row r="197" spans="1:4" x14ac:dyDescent="0.25">
      <c r="A197" s="1" t="s">
        <v>284</v>
      </c>
      <c r="B197" s="1" t="s">
        <v>16</v>
      </c>
      <c r="C197" s="2">
        <v>17601</v>
      </c>
      <c r="D197" s="1" t="s">
        <v>40</v>
      </c>
    </row>
    <row r="198" spans="1:4" x14ac:dyDescent="0.25">
      <c r="A198" s="1" t="s">
        <v>285</v>
      </c>
      <c r="B198" s="1" t="s">
        <v>179</v>
      </c>
      <c r="C198" s="2">
        <v>21199</v>
      </c>
      <c r="D198" s="1" t="s">
        <v>9</v>
      </c>
    </row>
    <row r="199" spans="1:4" x14ac:dyDescent="0.25">
      <c r="A199" s="1" t="s">
        <v>286</v>
      </c>
      <c r="B199" s="1" t="s">
        <v>20</v>
      </c>
      <c r="C199" s="2">
        <v>29879</v>
      </c>
      <c r="D199" s="1" t="s">
        <v>12</v>
      </c>
    </row>
    <row r="200" spans="1:4" x14ac:dyDescent="0.25">
      <c r="A200" s="1" t="s">
        <v>287</v>
      </c>
      <c r="B200" s="1" t="s">
        <v>81</v>
      </c>
      <c r="C200" s="2">
        <v>19659</v>
      </c>
      <c r="D200" s="1" t="s">
        <v>6</v>
      </c>
    </row>
    <row r="201" spans="1:4" x14ac:dyDescent="0.25">
      <c r="A201" s="1" t="s">
        <v>288</v>
      </c>
      <c r="B201" s="1" t="s">
        <v>8</v>
      </c>
      <c r="C201" s="2">
        <v>22514</v>
      </c>
      <c r="D201" s="1" t="s">
        <v>12</v>
      </c>
    </row>
    <row r="202" spans="1:4" x14ac:dyDescent="0.25">
      <c r="A202" s="1" t="s">
        <v>289</v>
      </c>
      <c r="B202" s="1" t="s">
        <v>121</v>
      </c>
      <c r="C202" s="2">
        <v>25332</v>
      </c>
      <c r="D202" s="1" t="s">
        <v>12</v>
      </c>
    </row>
    <row r="203" spans="1:4" x14ac:dyDescent="0.25">
      <c r="A203" s="1" t="s">
        <v>290</v>
      </c>
      <c r="B203" s="1" t="s">
        <v>255</v>
      </c>
      <c r="C203" s="2">
        <v>20181</v>
      </c>
      <c r="D203" s="1" t="s">
        <v>40</v>
      </c>
    </row>
    <row r="204" spans="1:4" x14ac:dyDescent="0.25">
      <c r="A204" s="1" t="s">
        <v>291</v>
      </c>
      <c r="B204" s="1" t="s">
        <v>141</v>
      </c>
      <c r="C204" s="2">
        <v>19141</v>
      </c>
      <c r="D204" s="1" t="s">
        <v>12</v>
      </c>
    </row>
    <row r="205" spans="1:4" x14ac:dyDescent="0.25">
      <c r="A205" s="1" t="s">
        <v>292</v>
      </c>
      <c r="B205" s="1" t="s">
        <v>293</v>
      </c>
      <c r="C205" s="2">
        <v>18147</v>
      </c>
      <c r="D205" s="1" t="s">
        <v>12</v>
      </c>
    </row>
    <row r="206" spans="1:4" x14ac:dyDescent="0.25">
      <c r="A206" s="1" t="s">
        <v>294</v>
      </c>
      <c r="B206" s="1" t="s">
        <v>52</v>
      </c>
      <c r="C206" s="2">
        <v>26146</v>
      </c>
      <c r="D206" s="1" t="s">
        <v>6</v>
      </c>
    </row>
    <row r="207" spans="1:4" x14ac:dyDescent="0.25">
      <c r="A207" s="1" t="s">
        <v>295</v>
      </c>
      <c r="B207" s="1" t="s">
        <v>139</v>
      </c>
      <c r="C207" s="2">
        <v>30798</v>
      </c>
      <c r="D207" s="1" t="s">
        <v>40</v>
      </c>
    </row>
    <row r="208" spans="1:4" x14ac:dyDescent="0.25">
      <c r="A208" s="1" t="s">
        <v>296</v>
      </c>
      <c r="B208" s="1" t="s">
        <v>297</v>
      </c>
      <c r="C208" s="2">
        <v>24623</v>
      </c>
      <c r="D208" s="1" t="s">
        <v>12</v>
      </c>
    </row>
    <row r="209" spans="1:4" x14ac:dyDescent="0.25">
      <c r="A209" s="1" t="s">
        <v>298</v>
      </c>
      <c r="B209" s="1" t="s">
        <v>18</v>
      </c>
      <c r="C209" s="2">
        <v>31818</v>
      </c>
      <c r="D209" s="1" t="s">
        <v>6</v>
      </c>
    </row>
    <row r="210" spans="1:4" x14ac:dyDescent="0.25">
      <c r="A210" s="1" t="s">
        <v>299</v>
      </c>
      <c r="B210" s="1" t="s">
        <v>300</v>
      </c>
      <c r="C210" s="2">
        <v>34201</v>
      </c>
      <c r="D210" s="1" t="s">
        <v>12</v>
      </c>
    </row>
    <row r="211" spans="1:4" x14ac:dyDescent="0.25">
      <c r="A211" s="1" t="s">
        <v>301</v>
      </c>
      <c r="B211" s="1" t="s">
        <v>8</v>
      </c>
      <c r="C211" s="2">
        <v>27079</v>
      </c>
      <c r="D211" s="1" t="s">
        <v>9</v>
      </c>
    </row>
    <row r="212" spans="1:4" x14ac:dyDescent="0.25">
      <c r="A212" s="1" t="s">
        <v>302</v>
      </c>
      <c r="B212" s="1" t="s">
        <v>303</v>
      </c>
      <c r="C212" s="2">
        <v>18053</v>
      </c>
      <c r="D212" s="1" t="s">
        <v>9</v>
      </c>
    </row>
    <row r="213" spans="1:4" x14ac:dyDescent="0.25">
      <c r="A213" s="1" t="s">
        <v>304</v>
      </c>
      <c r="B213" s="1" t="s">
        <v>49</v>
      </c>
      <c r="C213" s="2">
        <v>27059</v>
      </c>
      <c r="D213" s="1" t="s">
        <v>12</v>
      </c>
    </row>
    <row r="214" spans="1:4" x14ac:dyDescent="0.25">
      <c r="A214" s="1" t="s">
        <v>305</v>
      </c>
      <c r="B214" s="1" t="s">
        <v>246</v>
      </c>
      <c r="C214" s="2">
        <v>31039</v>
      </c>
      <c r="D214" s="1" t="s">
        <v>6</v>
      </c>
    </row>
    <row r="215" spans="1:4" x14ac:dyDescent="0.25">
      <c r="A215" s="1" t="s">
        <v>306</v>
      </c>
      <c r="B215" s="1" t="s">
        <v>307</v>
      </c>
      <c r="C215" s="2">
        <v>34893</v>
      </c>
      <c r="D215" s="1" t="s">
        <v>12</v>
      </c>
    </row>
    <row r="216" spans="1:4" x14ac:dyDescent="0.25">
      <c r="A216" s="1" t="s">
        <v>308</v>
      </c>
      <c r="B216" s="1" t="s">
        <v>307</v>
      </c>
      <c r="C216" s="2">
        <v>22101</v>
      </c>
      <c r="D216" s="1" t="s">
        <v>6</v>
      </c>
    </row>
    <row r="217" spans="1:4" x14ac:dyDescent="0.25">
      <c r="A217" s="1" t="s">
        <v>309</v>
      </c>
      <c r="B217" s="1" t="s">
        <v>177</v>
      </c>
      <c r="C217" s="2">
        <v>16267</v>
      </c>
      <c r="D217" s="1" t="s">
        <v>12</v>
      </c>
    </row>
    <row r="218" spans="1:4" x14ac:dyDescent="0.25">
      <c r="A218" s="1" t="s">
        <v>310</v>
      </c>
      <c r="B218" s="1" t="s">
        <v>45</v>
      </c>
      <c r="C218" s="2">
        <v>32103</v>
      </c>
      <c r="D218" s="1" t="s">
        <v>12</v>
      </c>
    </row>
    <row r="219" spans="1:4" x14ac:dyDescent="0.25">
      <c r="A219" s="1" t="s">
        <v>311</v>
      </c>
      <c r="B219" s="1" t="s">
        <v>248</v>
      </c>
      <c r="C219" s="2">
        <v>25996</v>
      </c>
      <c r="D219" s="1" t="s">
        <v>9</v>
      </c>
    </row>
    <row r="220" spans="1:4" x14ac:dyDescent="0.25">
      <c r="A220" s="1" t="s">
        <v>312</v>
      </c>
      <c r="B220" s="1" t="s">
        <v>134</v>
      </c>
      <c r="C220" s="2">
        <v>33040</v>
      </c>
      <c r="D220" s="1" t="s">
        <v>12</v>
      </c>
    </row>
    <row r="221" spans="1:4" x14ac:dyDescent="0.25">
      <c r="A221" s="1" t="s">
        <v>313</v>
      </c>
      <c r="B221" s="1" t="s">
        <v>20</v>
      </c>
      <c r="C221" s="2">
        <v>30671</v>
      </c>
      <c r="D221" s="1" t="s">
        <v>9</v>
      </c>
    </row>
    <row r="222" spans="1:4" x14ac:dyDescent="0.25">
      <c r="A222" s="1" t="s">
        <v>314</v>
      </c>
      <c r="B222" s="1" t="s">
        <v>37</v>
      </c>
      <c r="C222" s="2">
        <v>25243</v>
      </c>
      <c r="D222" s="1" t="s">
        <v>12</v>
      </c>
    </row>
    <row r="223" spans="1:4" x14ac:dyDescent="0.25">
      <c r="A223" s="1" t="s">
        <v>315</v>
      </c>
      <c r="B223" s="1" t="s">
        <v>20</v>
      </c>
      <c r="C223" s="2">
        <v>27639</v>
      </c>
      <c r="D223" s="1" t="s">
        <v>12</v>
      </c>
    </row>
    <row r="224" spans="1:4" x14ac:dyDescent="0.25">
      <c r="A224" s="1" t="s">
        <v>316</v>
      </c>
      <c r="B224" s="1" t="s">
        <v>169</v>
      </c>
      <c r="C224" s="2">
        <v>25644</v>
      </c>
      <c r="D224" s="1" t="s">
        <v>12</v>
      </c>
    </row>
    <row r="225" spans="1:4" x14ac:dyDescent="0.25">
      <c r="A225" s="1" t="s">
        <v>317</v>
      </c>
      <c r="B225" s="1" t="s">
        <v>318</v>
      </c>
      <c r="C225" s="2">
        <v>27683</v>
      </c>
      <c r="D225" s="1" t="s">
        <v>6</v>
      </c>
    </row>
    <row r="226" spans="1:4" x14ac:dyDescent="0.25">
      <c r="A226" s="1" t="s">
        <v>174</v>
      </c>
      <c r="B226" s="1" t="s">
        <v>319</v>
      </c>
      <c r="C226" s="2">
        <v>32765</v>
      </c>
      <c r="D226" s="1" t="s">
        <v>9</v>
      </c>
    </row>
    <row r="227" spans="1:4" x14ac:dyDescent="0.25">
      <c r="A227" s="1" t="s">
        <v>243</v>
      </c>
      <c r="B227" s="1" t="s">
        <v>121</v>
      </c>
      <c r="C227" s="2">
        <v>26380</v>
      </c>
      <c r="D227" s="1" t="s">
        <v>9</v>
      </c>
    </row>
    <row r="228" spans="1:4" x14ac:dyDescent="0.25">
      <c r="A228" s="1" t="s">
        <v>320</v>
      </c>
      <c r="B228" s="1" t="s">
        <v>81</v>
      </c>
      <c r="C228" s="2">
        <v>21508</v>
      </c>
      <c r="D228" s="1" t="s">
        <v>6</v>
      </c>
    </row>
    <row r="229" spans="1:4" x14ac:dyDescent="0.25">
      <c r="A229" s="1" t="s">
        <v>321</v>
      </c>
      <c r="B229" s="1" t="s">
        <v>11</v>
      </c>
      <c r="C229" s="2">
        <v>32790</v>
      </c>
      <c r="D229" s="1" t="s">
        <v>6</v>
      </c>
    </row>
    <row r="230" spans="1:4" x14ac:dyDescent="0.25">
      <c r="A230" s="1" t="s">
        <v>164</v>
      </c>
      <c r="B230" s="1" t="s">
        <v>322</v>
      </c>
      <c r="C230" s="2">
        <v>24303</v>
      </c>
      <c r="D230" s="1" t="s">
        <v>6</v>
      </c>
    </row>
    <row r="231" spans="1:4" x14ac:dyDescent="0.25">
      <c r="A231" s="1" t="s">
        <v>323</v>
      </c>
      <c r="B231" s="1" t="s">
        <v>300</v>
      </c>
      <c r="C231" s="2">
        <v>30747</v>
      </c>
      <c r="D231" s="1" t="s">
        <v>9</v>
      </c>
    </row>
    <row r="232" spans="1:4" x14ac:dyDescent="0.25">
      <c r="A232" s="1" t="s">
        <v>324</v>
      </c>
      <c r="B232" s="1" t="s">
        <v>49</v>
      </c>
      <c r="C232" s="2">
        <v>19853</v>
      </c>
      <c r="D232" s="1" t="s">
        <v>12</v>
      </c>
    </row>
    <row r="233" spans="1:4" x14ac:dyDescent="0.25">
      <c r="A233" s="1" t="s">
        <v>325</v>
      </c>
      <c r="B233" s="1" t="s">
        <v>20</v>
      </c>
      <c r="C233" s="2">
        <v>32147</v>
      </c>
      <c r="D233" s="1" t="s">
        <v>12</v>
      </c>
    </row>
    <row r="234" spans="1:4" x14ac:dyDescent="0.25">
      <c r="A234" s="1" t="s">
        <v>326</v>
      </c>
      <c r="B234" s="1" t="s">
        <v>327</v>
      </c>
      <c r="C234" s="2">
        <v>17904</v>
      </c>
      <c r="D234" s="1" t="s">
        <v>12</v>
      </c>
    </row>
    <row r="235" spans="1:4" x14ac:dyDescent="0.25">
      <c r="A235" s="1" t="s">
        <v>328</v>
      </c>
      <c r="B235" s="1" t="s">
        <v>157</v>
      </c>
      <c r="C235" s="2">
        <v>20057</v>
      </c>
      <c r="D235" s="1" t="s">
        <v>12</v>
      </c>
    </row>
    <row r="236" spans="1:4" x14ac:dyDescent="0.25">
      <c r="A236" s="1" t="s">
        <v>329</v>
      </c>
      <c r="B236" s="1" t="s">
        <v>146</v>
      </c>
      <c r="C236" s="2">
        <v>30863</v>
      </c>
      <c r="D236" s="1" t="s">
        <v>9</v>
      </c>
    </row>
    <row r="237" spans="1:4" x14ac:dyDescent="0.25">
      <c r="A237" s="1" t="s">
        <v>330</v>
      </c>
      <c r="B237" s="1" t="s">
        <v>139</v>
      </c>
      <c r="C237" s="2">
        <v>22435</v>
      </c>
      <c r="D237" s="1" t="s">
        <v>6</v>
      </c>
    </row>
    <row r="238" spans="1:4" x14ac:dyDescent="0.25">
      <c r="A238" s="1" t="s">
        <v>130</v>
      </c>
      <c r="B238" s="1" t="s">
        <v>84</v>
      </c>
      <c r="C238" s="2">
        <v>17048</v>
      </c>
      <c r="D238" s="1" t="s">
        <v>12</v>
      </c>
    </row>
    <row r="239" spans="1:4" x14ac:dyDescent="0.25">
      <c r="A239" s="1" t="s">
        <v>331</v>
      </c>
      <c r="B239" s="1" t="s">
        <v>332</v>
      </c>
      <c r="C239" s="2">
        <v>24732</v>
      </c>
      <c r="D239" s="1" t="s">
        <v>6</v>
      </c>
    </row>
    <row r="240" spans="1:4" x14ac:dyDescent="0.25">
      <c r="A240" s="1" t="s">
        <v>333</v>
      </c>
      <c r="B240" s="1" t="s">
        <v>11</v>
      </c>
      <c r="C240" s="2">
        <v>18589</v>
      </c>
      <c r="D240" s="1" t="s">
        <v>6</v>
      </c>
    </row>
    <row r="241" spans="1:4" x14ac:dyDescent="0.25">
      <c r="A241" s="1" t="s">
        <v>334</v>
      </c>
      <c r="B241" s="1" t="s">
        <v>49</v>
      </c>
      <c r="C241" s="2">
        <v>20727</v>
      </c>
      <c r="D241" s="1" t="s">
        <v>12</v>
      </c>
    </row>
    <row r="242" spans="1:4" x14ac:dyDescent="0.25">
      <c r="A242" s="1" t="s">
        <v>335</v>
      </c>
      <c r="B242" s="1" t="s">
        <v>114</v>
      </c>
      <c r="C242" s="2">
        <v>23401</v>
      </c>
      <c r="D242" s="1" t="s">
        <v>6</v>
      </c>
    </row>
    <row r="243" spans="1:4" x14ac:dyDescent="0.25">
      <c r="A243" s="1" t="s">
        <v>336</v>
      </c>
      <c r="B243" s="1" t="s">
        <v>337</v>
      </c>
      <c r="C243" s="2">
        <v>17084</v>
      </c>
      <c r="D243" s="1" t="s">
        <v>6</v>
      </c>
    </row>
    <row r="244" spans="1:4" x14ac:dyDescent="0.25">
      <c r="A244" s="1" t="s">
        <v>338</v>
      </c>
      <c r="B244" s="1" t="s">
        <v>8</v>
      </c>
      <c r="C244" s="2">
        <v>30481</v>
      </c>
      <c r="D244" s="1" t="s">
        <v>12</v>
      </c>
    </row>
    <row r="245" spans="1:4" x14ac:dyDescent="0.25">
      <c r="A245" s="1" t="s">
        <v>339</v>
      </c>
      <c r="B245" s="1" t="s">
        <v>20</v>
      </c>
      <c r="C245" s="2">
        <v>20651</v>
      </c>
      <c r="D245" s="1" t="s">
        <v>12</v>
      </c>
    </row>
    <row r="246" spans="1:4" x14ac:dyDescent="0.25">
      <c r="A246" s="1" t="s">
        <v>340</v>
      </c>
      <c r="B246" s="1" t="s">
        <v>185</v>
      </c>
      <c r="C246" s="2">
        <v>32580</v>
      </c>
      <c r="D246" s="1" t="s">
        <v>12</v>
      </c>
    </row>
    <row r="247" spans="1:4" x14ac:dyDescent="0.25">
      <c r="A247" s="1" t="s">
        <v>341</v>
      </c>
      <c r="B247" s="1" t="s">
        <v>139</v>
      </c>
      <c r="C247" s="2">
        <v>18233</v>
      </c>
      <c r="D247" s="1" t="s">
        <v>12</v>
      </c>
    </row>
    <row r="248" spans="1:4" x14ac:dyDescent="0.25">
      <c r="A248" s="1" t="s">
        <v>342</v>
      </c>
      <c r="B248" s="1" t="s">
        <v>177</v>
      </c>
      <c r="C248" s="2">
        <v>24225</v>
      </c>
      <c r="D248" s="1" t="s">
        <v>6</v>
      </c>
    </row>
    <row r="249" spans="1:4" x14ac:dyDescent="0.25">
      <c r="A249" s="1" t="s">
        <v>343</v>
      </c>
      <c r="B249" s="1" t="s">
        <v>45</v>
      </c>
      <c r="C249" s="2">
        <v>27299</v>
      </c>
      <c r="D249" s="1" t="s">
        <v>6</v>
      </c>
    </row>
    <row r="250" spans="1:4" x14ac:dyDescent="0.25">
      <c r="A250" s="1" t="s">
        <v>344</v>
      </c>
      <c r="B250" s="1" t="s">
        <v>345</v>
      </c>
      <c r="C250" s="2">
        <v>18398</v>
      </c>
      <c r="D250" s="1" t="s">
        <v>12</v>
      </c>
    </row>
    <row r="251" spans="1:4" x14ac:dyDescent="0.25">
      <c r="A251" s="1" t="s">
        <v>329</v>
      </c>
      <c r="B251" s="1" t="s">
        <v>194</v>
      </c>
      <c r="C251" s="2">
        <v>34400</v>
      </c>
      <c r="D251" s="1" t="s">
        <v>12</v>
      </c>
    </row>
    <row r="252" spans="1:4" x14ac:dyDescent="0.25">
      <c r="A252" s="1" t="s">
        <v>51</v>
      </c>
      <c r="B252" s="1" t="s">
        <v>346</v>
      </c>
      <c r="C252" s="2">
        <v>21513</v>
      </c>
      <c r="D252" s="1" t="s">
        <v>12</v>
      </c>
    </row>
    <row r="253" spans="1:4" x14ac:dyDescent="0.25">
      <c r="A253" s="1" t="s">
        <v>347</v>
      </c>
      <c r="B253" s="1" t="s">
        <v>236</v>
      </c>
      <c r="C253" s="2">
        <v>31749</v>
      </c>
      <c r="D253" s="1" t="s">
        <v>6</v>
      </c>
    </row>
    <row r="254" spans="1:4" x14ac:dyDescent="0.25">
      <c r="A254" s="1" t="s">
        <v>348</v>
      </c>
      <c r="B254" s="1" t="s">
        <v>5</v>
      </c>
      <c r="C254" s="2">
        <v>34235</v>
      </c>
      <c r="D254" s="1" t="s">
        <v>6</v>
      </c>
    </row>
    <row r="255" spans="1:4" x14ac:dyDescent="0.25">
      <c r="A255" s="1" t="s">
        <v>349</v>
      </c>
      <c r="B255" s="1" t="s">
        <v>131</v>
      </c>
      <c r="C255" s="2">
        <v>19183</v>
      </c>
      <c r="D255" s="1" t="s">
        <v>9</v>
      </c>
    </row>
    <row r="256" spans="1:4" x14ac:dyDescent="0.25">
      <c r="A256" s="1" t="s">
        <v>350</v>
      </c>
      <c r="B256" s="1" t="s">
        <v>8</v>
      </c>
      <c r="C256" s="2">
        <v>27424</v>
      </c>
      <c r="D256" s="1" t="s">
        <v>12</v>
      </c>
    </row>
    <row r="257" spans="1:4" x14ac:dyDescent="0.25">
      <c r="A257" s="1" t="s">
        <v>351</v>
      </c>
      <c r="B257" s="1" t="s">
        <v>152</v>
      </c>
      <c r="C257" s="2">
        <v>23665</v>
      </c>
      <c r="D257" s="1" t="s">
        <v>12</v>
      </c>
    </row>
    <row r="258" spans="1:4" x14ac:dyDescent="0.25">
      <c r="A258" s="1" t="s">
        <v>352</v>
      </c>
      <c r="B258" s="1" t="s">
        <v>11</v>
      </c>
      <c r="C258" s="2">
        <v>17649</v>
      </c>
      <c r="D258" s="1" t="s">
        <v>6</v>
      </c>
    </row>
    <row r="259" spans="1:4" x14ac:dyDescent="0.25">
      <c r="A259" s="1" t="s">
        <v>353</v>
      </c>
      <c r="B259" s="1" t="s">
        <v>354</v>
      </c>
      <c r="C259" s="2">
        <v>25530</v>
      </c>
      <c r="D259" s="1" t="s">
        <v>6</v>
      </c>
    </row>
    <row r="260" spans="1:4" x14ac:dyDescent="0.25">
      <c r="A260" s="1" t="s">
        <v>355</v>
      </c>
      <c r="B260" s="1" t="s">
        <v>356</v>
      </c>
      <c r="C260" s="2">
        <v>34758</v>
      </c>
      <c r="D260" s="1" t="s">
        <v>9</v>
      </c>
    </row>
    <row r="261" spans="1:4" x14ac:dyDescent="0.25">
      <c r="A261" s="1" t="s">
        <v>19</v>
      </c>
      <c r="B261" s="1" t="s">
        <v>357</v>
      </c>
      <c r="C261" s="2">
        <v>17531</v>
      </c>
      <c r="D261" s="1" t="s">
        <v>12</v>
      </c>
    </row>
    <row r="262" spans="1:4" x14ac:dyDescent="0.25">
      <c r="A262" s="1" t="s">
        <v>358</v>
      </c>
      <c r="B262" s="1" t="s">
        <v>8</v>
      </c>
      <c r="C262" s="2">
        <v>32482</v>
      </c>
      <c r="D262" s="1" t="s">
        <v>6</v>
      </c>
    </row>
    <row r="263" spans="1:4" x14ac:dyDescent="0.25">
      <c r="A263" s="1" t="s">
        <v>359</v>
      </c>
      <c r="B263" s="1" t="s">
        <v>246</v>
      </c>
      <c r="C263" s="2">
        <v>34533</v>
      </c>
      <c r="D263" s="1" t="s">
        <v>12</v>
      </c>
    </row>
    <row r="264" spans="1:4" x14ac:dyDescent="0.25">
      <c r="A264" s="1" t="s">
        <v>308</v>
      </c>
      <c r="B264" s="1" t="s">
        <v>79</v>
      </c>
      <c r="C264" s="2">
        <v>28491</v>
      </c>
      <c r="D264" s="1" t="s">
        <v>12</v>
      </c>
    </row>
    <row r="265" spans="1:4" x14ac:dyDescent="0.25">
      <c r="A265" s="1" t="s">
        <v>360</v>
      </c>
      <c r="B265" s="1" t="s">
        <v>361</v>
      </c>
      <c r="C265" s="2">
        <v>32689</v>
      </c>
      <c r="D265" s="1" t="s">
        <v>9</v>
      </c>
    </row>
    <row r="266" spans="1:4" x14ac:dyDescent="0.25">
      <c r="A266" s="1" t="s">
        <v>162</v>
      </c>
      <c r="B266" s="1" t="s">
        <v>362</v>
      </c>
      <c r="C266" s="2">
        <v>27112</v>
      </c>
      <c r="D266" s="1" t="s">
        <v>6</v>
      </c>
    </row>
    <row r="267" spans="1:4" x14ac:dyDescent="0.25">
      <c r="A267" s="1" t="s">
        <v>363</v>
      </c>
      <c r="B267" s="1" t="s">
        <v>16</v>
      </c>
      <c r="C267" s="2">
        <v>29259</v>
      </c>
      <c r="D267" s="1" t="s">
        <v>12</v>
      </c>
    </row>
    <row r="268" spans="1:4" x14ac:dyDescent="0.25">
      <c r="A268" s="1" t="s">
        <v>83</v>
      </c>
      <c r="B268" s="1" t="s">
        <v>123</v>
      </c>
      <c r="C268" s="2">
        <v>18437</v>
      </c>
      <c r="D268" s="1" t="s">
        <v>6</v>
      </c>
    </row>
    <row r="269" spans="1:4" x14ac:dyDescent="0.25">
      <c r="A269" s="1" t="s">
        <v>364</v>
      </c>
      <c r="B269" s="1" t="s">
        <v>194</v>
      </c>
      <c r="C269" s="2">
        <v>34406</v>
      </c>
      <c r="D269" s="1" t="s">
        <v>12</v>
      </c>
    </row>
    <row r="270" spans="1:4" x14ac:dyDescent="0.25">
      <c r="A270" s="1" t="s">
        <v>365</v>
      </c>
      <c r="B270" s="1" t="s">
        <v>366</v>
      </c>
      <c r="C270" s="2">
        <v>26689</v>
      </c>
      <c r="D270" s="1" t="s">
        <v>12</v>
      </c>
    </row>
    <row r="271" spans="1:4" x14ac:dyDescent="0.25">
      <c r="A271" s="1" t="s">
        <v>174</v>
      </c>
      <c r="B271" s="1" t="s">
        <v>52</v>
      </c>
      <c r="C271" s="2">
        <v>24391</v>
      </c>
      <c r="D271" s="1" t="s">
        <v>6</v>
      </c>
    </row>
    <row r="272" spans="1:4" x14ac:dyDescent="0.25">
      <c r="A272" s="1" t="s">
        <v>367</v>
      </c>
      <c r="B272" s="1" t="s">
        <v>368</v>
      </c>
      <c r="C272" s="2">
        <v>22010</v>
      </c>
      <c r="D272" s="1" t="s">
        <v>12</v>
      </c>
    </row>
    <row r="273" spans="1:4" x14ac:dyDescent="0.25">
      <c r="A273" s="1" t="s">
        <v>369</v>
      </c>
      <c r="B273" s="1" t="s">
        <v>332</v>
      </c>
      <c r="C273" s="2">
        <v>17207</v>
      </c>
      <c r="D273" s="1" t="s">
        <v>9</v>
      </c>
    </row>
    <row r="274" spans="1:4" x14ac:dyDescent="0.25">
      <c r="A274" s="1" t="s">
        <v>370</v>
      </c>
      <c r="B274" s="1" t="s">
        <v>160</v>
      </c>
      <c r="C274" s="2">
        <v>22547</v>
      </c>
      <c r="D274" s="1" t="s">
        <v>6</v>
      </c>
    </row>
    <row r="275" spans="1:4" x14ac:dyDescent="0.25">
      <c r="A275" s="1" t="s">
        <v>371</v>
      </c>
      <c r="B275" s="1" t="s">
        <v>372</v>
      </c>
      <c r="C275" s="2">
        <v>20722</v>
      </c>
      <c r="D275" s="1" t="s">
        <v>12</v>
      </c>
    </row>
    <row r="276" spans="1:4" x14ac:dyDescent="0.25">
      <c r="A276" s="1" t="s">
        <v>373</v>
      </c>
      <c r="B276" s="1" t="s">
        <v>29</v>
      </c>
      <c r="C276" s="2">
        <v>24900</v>
      </c>
      <c r="D276" s="1" t="s">
        <v>12</v>
      </c>
    </row>
    <row r="277" spans="1:4" x14ac:dyDescent="0.25">
      <c r="A277" s="1" t="s">
        <v>374</v>
      </c>
      <c r="B277" s="1" t="s">
        <v>37</v>
      </c>
      <c r="C277" s="2">
        <v>20808</v>
      </c>
      <c r="D277" s="1" t="s">
        <v>12</v>
      </c>
    </row>
    <row r="278" spans="1:4" x14ac:dyDescent="0.25">
      <c r="A278" s="1" t="s">
        <v>375</v>
      </c>
      <c r="B278" s="1" t="s">
        <v>131</v>
      </c>
      <c r="C278" s="2">
        <v>30235</v>
      </c>
      <c r="D278" s="1" t="s">
        <v>12</v>
      </c>
    </row>
    <row r="279" spans="1:4" x14ac:dyDescent="0.25">
      <c r="A279" s="1" t="s">
        <v>376</v>
      </c>
      <c r="B279" s="1" t="s">
        <v>257</v>
      </c>
      <c r="C279" s="2">
        <v>21221</v>
      </c>
      <c r="D279" s="1" t="s">
        <v>9</v>
      </c>
    </row>
    <row r="280" spans="1:4" x14ac:dyDescent="0.25">
      <c r="A280" s="1" t="s">
        <v>377</v>
      </c>
      <c r="B280" s="1" t="s">
        <v>45</v>
      </c>
      <c r="C280" s="2">
        <v>20193</v>
      </c>
      <c r="D280" s="1" t="s">
        <v>6</v>
      </c>
    </row>
    <row r="281" spans="1:4" x14ac:dyDescent="0.25">
      <c r="A281" s="1" t="s">
        <v>378</v>
      </c>
      <c r="B281" s="1" t="s">
        <v>141</v>
      </c>
      <c r="C281" s="2">
        <v>17137</v>
      </c>
      <c r="D281" s="1" t="s">
        <v>6</v>
      </c>
    </row>
    <row r="282" spans="1:4" x14ac:dyDescent="0.25">
      <c r="A282" s="1" t="s">
        <v>379</v>
      </c>
      <c r="B282" s="1" t="s">
        <v>49</v>
      </c>
      <c r="C282" s="2">
        <v>32802</v>
      </c>
      <c r="D282" s="1" t="s">
        <v>6</v>
      </c>
    </row>
    <row r="283" spans="1:4" x14ac:dyDescent="0.25">
      <c r="A283" s="1" t="s">
        <v>240</v>
      </c>
      <c r="B283" s="1" t="s">
        <v>20</v>
      </c>
      <c r="C283" s="2">
        <v>25839</v>
      </c>
      <c r="D283" s="1" t="s">
        <v>12</v>
      </c>
    </row>
    <row r="284" spans="1:4" x14ac:dyDescent="0.25">
      <c r="A284" s="1" t="s">
        <v>275</v>
      </c>
      <c r="B284" s="1" t="s">
        <v>380</v>
      </c>
      <c r="C284" s="2">
        <v>32028</v>
      </c>
      <c r="D284" s="1" t="s">
        <v>12</v>
      </c>
    </row>
    <row r="285" spans="1:4" x14ac:dyDescent="0.25">
      <c r="A285" s="1" t="s">
        <v>317</v>
      </c>
      <c r="B285" s="1" t="s">
        <v>192</v>
      </c>
      <c r="C285" s="2">
        <v>31556</v>
      </c>
      <c r="D285" s="1" t="s">
        <v>6</v>
      </c>
    </row>
    <row r="286" spans="1:4" x14ac:dyDescent="0.25">
      <c r="A286" s="1" t="s">
        <v>381</v>
      </c>
      <c r="B286" s="1" t="s">
        <v>54</v>
      </c>
      <c r="C286" s="2">
        <v>19153</v>
      </c>
      <c r="D286" s="1" t="s">
        <v>6</v>
      </c>
    </row>
    <row r="287" spans="1:4" x14ac:dyDescent="0.25">
      <c r="A287" s="1" t="s">
        <v>382</v>
      </c>
      <c r="B287" s="1" t="s">
        <v>383</v>
      </c>
      <c r="C287" s="2">
        <v>21934</v>
      </c>
      <c r="D287" s="1" t="s">
        <v>6</v>
      </c>
    </row>
    <row r="288" spans="1:4" x14ac:dyDescent="0.25">
      <c r="A288" s="1" t="s">
        <v>384</v>
      </c>
      <c r="B288" s="1" t="s">
        <v>361</v>
      </c>
      <c r="C288" s="2">
        <v>28187</v>
      </c>
      <c r="D288" s="1" t="s">
        <v>12</v>
      </c>
    </row>
    <row r="289" spans="1:4" x14ac:dyDescent="0.25">
      <c r="A289" s="1" t="s">
        <v>385</v>
      </c>
      <c r="B289" s="1" t="s">
        <v>252</v>
      </c>
      <c r="C289" s="2">
        <v>34291</v>
      </c>
      <c r="D289" s="1" t="s">
        <v>12</v>
      </c>
    </row>
    <row r="290" spans="1:4" x14ac:dyDescent="0.25">
      <c r="A290" s="1" t="s">
        <v>386</v>
      </c>
      <c r="B290" s="1" t="s">
        <v>107</v>
      </c>
      <c r="C290" s="2">
        <v>24652</v>
      </c>
      <c r="D290" s="1" t="s">
        <v>6</v>
      </c>
    </row>
    <row r="291" spans="1:4" x14ac:dyDescent="0.25">
      <c r="A291" s="1" t="s">
        <v>387</v>
      </c>
      <c r="B291" s="1" t="s">
        <v>121</v>
      </c>
      <c r="C291" s="2">
        <v>18010</v>
      </c>
      <c r="D291" s="1" t="s">
        <v>6</v>
      </c>
    </row>
    <row r="292" spans="1:4" x14ac:dyDescent="0.25">
      <c r="A292" s="1" t="s">
        <v>388</v>
      </c>
      <c r="B292" s="1" t="s">
        <v>368</v>
      </c>
      <c r="C292" s="2">
        <v>26506</v>
      </c>
      <c r="D292" s="1" t="s">
        <v>40</v>
      </c>
    </row>
    <row r="293" spans="1:4" x14ac:dyDescent="0.25">
      <c r="A293" s="1" t="s">
        <v>389</v>
      </c>
      <c r="B293" s="1" t="s">
        <v>160</v>
      </c>
      <c r="C293" s="2">
        <v>30368</v>
      </c>
      <c r="D293" s="1" t="s">
        <v>40</v>
      </c>
    </row>
    <row r="294" spans="1:4" x14ac:dyDescent="0.25">
      <c r="A294" s="1" t="s">
        <v>162</v>
      </c>
      <c r="B294" s="1" t="s">
        <v>54</v>
      </c>
      <c r="C294" s="2">
        <v>16991</v>
      </c>
      <c r="D294" s="1" t="s">
        <v>12</v>
      </c>
    </row>
    <row r="295" spans="1:4" x14ac:dyDescent="0.25">
      <c r="A295" s="1" t="s">
        <v>390</v>
      </c>
      <c r="B295" s="1" t="s">
        <v>152</v>
      </c>
      <c r="C295" s="2">
        <v>23950</v>
      </c>
      <c r="D295" s="1" t="s">
        <v>12</v>
      </c>
    </row>
    <row r="296" spans="1:4" x14ac:dyDescent="0.25">
      <c r="A296" s="1" t="s">
        <v>391</v>
      </c>
      <c r="B296" s="1" t="s">
        <v>47</v>
      </c>
      <c r="C296" s="2">
        <v>26871</v>
      </c>
      <c r="D296" s="1" t="s">
        <v>12</v>
      </c>
    </row>
    <row r="297" spans="1:4" x14ac:dyDescent="0.25">
      <c r="A297" s="1" t="s">
        <v>392</v>
      </c>
      <c r="B297" s="1" t="s">
        <v>260</v>
      </c>
      <c r="C297" s="2">
        <v>17268</v>
      </c>
      <c r="D297" s="1" t="s">
        <v>40</v>
      </c>
    </row>
    <row r="298" spans="1:4" x14ac:dyDescent="0.25">
      <c r="A298" s="1" t="s">
        <v>393</v>
      </c>
      <c r="B298" s="1" t="s">
        <v>394</v>
      </c>
      <c r="C298" s="2">
        <v>31612</v>
      </c>
      <c r="D298" s="1" t="s">
        <v>6</v>
      </c>
    </row>
    <row r="299" spans="1:4" x14ac:dyDescent="0.25">
      <c r="A299" s="1" t="s">
        <v>395</v>
      </c>
      <c r="B299" s="1" t="s">
        <v>131</v>
      </c>
      <c r="C299" s="2">
        <v>21264</v>
      </c>
      <c r="D299" s="1" t="s">
        <v>12</v>
      </c>
    </row>
    <row r="300" spans="1:4" x14ac:dyDescent="0.25">
      <c r="A300" s="1" t="s">
        <v>396</v>
      </c>
      <c r="B300" s="1" t="s">
        <v>236</v>
      </c>
      <c r="C300" s="2">
        <v>29622</v>
      </c>
      <c r="D300" s="1" t="s">
        <v>40</v>
      </c>
    </row>
    <row r="301" spans="1:4" x14ac:dyDescent="0.25">
      <c r="A301" s="1" t="s">
        <v>162</v>
      </c>
      <c r="B301" s="1" t="s">
        <v>20</v>
      </c>
      <c r="C301" s="2">
        <v>30875</v>
      </c>
      <c r="D301" s="1" t="s">
        <v>6</v>
      </c>
    </row>
    <row r="302" spans="1:4" x14ac:dyDescent="0.25">
      <c r="A302" s="1" t="s">
        <v>397</v>
      </c>
      <c r="B302" s="1" t="s">
        <v>107</v>
      </c>
      <c r="C302" s="2">
        <v>31924</v>
      </c>
      <c r="D302" s="1" t="s">
        <v>12</v>
      </c>
    </row>
    <row r="303" spans="1:4" x14ac:dyDescent="0.25">
      <c r="A303" s="1" t="s">
        <v>398</v>
      </c>
      <c r="B303" s="1" t="s">
        <v>399</v>
      </c>
      <c r="C303" s="2">
        <v>23384</v>
      </c>
      <c r="D303" s="1" t="s">
        <v>12</v>
      </c>
    </row>
    <row r="304" spans="1:4" x14ac:dyDescent="0.25">
      <c r="A304" s="1" t="s">
        <v>400</v>
      </c>
      <c r="B304" s="1" t="s">
        <v>401</v>
      </c>
      <c r="C304" s="2">
        <v>32097</v>
      </c>
      <c r="D304" s="1" t="s">
        <v>6</v>
      </c>
    </row>
    <row r="305" spans="1:4" x14ac:dyDescent="0.25">
      <c r="A305" s="1" t="s">
        <v>402</v>
      </c>
      <c r="B305" s="1" t="s">
        <v>403</v>
      </c>
      <c r="C305" s="2">
        <v>22555</v>
      </c>
      <c r="D305" s="1" t="s">
        <v>40</v>
      </c>
    </row>
    <row r="306" spans="1:4" x14ac:dyDescent="0.25">
      <c r="A306" s="1" t="s">
        <v>317</v>
      </c>
      <c r="B306" s="1" t="s">
        <v>20</v>
      </c>
      <c r="C306" s="2">
        <v>22508</v>
      </c>
      <c r="D306" s="1" t="s">
        <v>12</v>
      </c>
    </row>
    <row r="307" spans="1:4" x14ac:dyDescent="0.25">
      <c r="A307" s="1" t="s">
        <v>404</v>
      </c>
      <c r="B307" s="1" t="s">
        <v>72</v>
      </c>
      <c r="C307" s="2">
        <v>29510</v>
      </c>
      <c r="D307" s="1" t="s">
        <v>6</v>
      </c>
    </row>
    <row r="308" spans="1:4" x14ac:dyDescent="0.25">
      <c r="A308" s="1" t="s">
        <v>405</v>
      </c>
      <c r="B308" s="1" t="s">
        <v>406</v>
      </c>
      <c r="C308" s="2">
        <v>22398</v>
      </c>
      <c r="D308" s="1" t="s">
        <v>12</v>
      </c>
    </row>
    <row r="309" spans="1:4" x14ac:dyDescent="0.25">
      <c r="A309" s="1" t="s">
        <v>407</v>
      </c>
      <c r="B309" s="1" t="s">
        <v>20</v>
      </c>
      <c r="C309" s="2">
        <v>28394</v>
      </c>
      <c r="D309" s="1" t="s">
        <v>9</v>
      </c>
    </row>
    <row r="310" spans="1:4" x14ac:dyDescent="0.25">
      <c r="A310" s="1" t="s">
        <v>408</v>
      </c>
      <c r="B310" s="1" t="s">
        <v>139</v>
      </c>
      <c r="C310" s="2">
        <v>16244</v>
      </c>
      <c r="D310" s="1" t="s">
        <v>6</v>
      </c>
    </row>
    <row r="311" spans="1:4" x14ac:dyDescent="0.25">
      <c r="A311" s="1" t="s">
        <v>409</v>
      </c>
      <c r="B311" s="1" t="s">
        <v>167</v>
      </c>
      <c r="C311" s="2">
        <v>32836</v>
      </c>
      <c r="D311" s="1" t="s">
        <v>12</v>
      </c>
    </row>
    <row r="312" spans="1:4" x14ac:dyDescent="0.25">
      <c r="A312" s="1" t="s">
        <v>410</v>
      </c>
      <c r="B312" s="1" t="s">
        <v>141</v>
      </c>
      <c r="C312" s="2">
        <v>23528</v>
      </c>
      <c r="D312" s="1" t="s">
        <v>6</v>
      </c>
    </row>
    <row r="313" spans="1:4" x14ac:dyDescent="0.25">
      <c r="A313" s="1" t="s">
        <v>411</v>
      </c>
      <c r="B313" s="1" t="s">
        <v>412</v>
      </c>
      <c r="C313" s="2">
        <v>28489</v>
      </c>
      <c r="D313" s="1" t="s">
        <v>12</v>
      </c>
    </row>
    <row r="314" spans="1:4" x14ac:dyDescent="0.25">
      <c r="A314" s="1" t="s">
        <v>413</v>
      </c>
      <c r="B314" s="1" t="s">
        <v>399</v>
      </c>
      <c r="C314" s="2">
        <v>20920</v>
      </c>
      <c r="D314" s="1" t="s">
        <v>12</v>
      </c>
    </row>
    <row r="315" spans="1:4" x14ac:dyDescent="0.25">
      <c r="A315" s="1" t="s">
        <v>414</v>
      </c>
      <c r="B315" s="1" t="s">
        <v>11</v>
      </c>
      <c r="C315" s="2">
        <v>34164</v>
      </c>
      <c r="D315" s="1" t="s">
        <v>6</v>
      </c>
    </row>
    <row r="316" spans="1:4" x14ac:dyDescent="0.25">
      <c r="A316" s="1" t="s">
        <v>415</v>
      </c>
      <c r="B316" s="1" t="s">
        <v>246</v>
      </c>
      <c r="C316" s="2">
        <v>32341</v>
      </c>
      <c r="D316" s="1" t="s">
        <v>6</v>
      </c>
    </row>
    <row r="317" spans="1:4" x14ac:dyDescent="0.25">
      <c r="A317" s="1" t="s">
        <v>416</v>
      </c>
      <c r="B317" s="1" t="s">
        <v>194</v>
      </c>
      <c r="C317" s="2">
        <v>16640</v>
      </c>
      <c r="D317" s="1" t="s">
        <v>12</v>
      </c>
    </row>
    <row r="318" spans="1:4" x14ac:dyDescent="0.25">
      <c r="A318" s="1" t="s">
        <v>417</v>
      </c>
      <c r="B318" s="1" t="s">
        <v>418</v>
      </c>
      <c r="C318" s="2">
        <v>28217</v>
      </c>
      <c r="D318" s="1" t="s">
        <v>12</v>
      </c>
    </row>
    <row r="319" spans="1:4" x14ac:dyDescent="0.25">
      <c r="A319" s="1" t="s">
        <v>190</v>
      </c>
      <c r="B319" s="1" t="s">
        <v>419</v>
      </c>
      <c r="C319" s="2">
        <v>32646</v>
      </c>
      <c r="D319" s="1" t="s">
        <v>40</v>
      </c>
    </row>
    <row r="320" spans="1:4" x14ac:dyDescent="0.25">
      <c r="A320" s="1" t="s">
        <v>420</v>
      </c>
      <c r="B320" s="1" t="s">
        <v>5</v>
      </c>
      <c r="C320" s="2">
        <v>28636</v>
      </c>
      <c r="D320" s="1" t="s">
        <v>40</v>
      </c>
    </row>
    <row r="321" spans="1:4" x14ac:dyDescent="0.25">
      <c r="A321" s="1" t="s">
        <v>421</v>
      </c>
      <c r="B321" s="1" t="s">
        <v>8</v>
      </c>
      <c r="C321" s="2">
        <v>30418</v>
      </c>
      <c r="D321" s="1" t="s">
        <v>12</v>
      </c>
    </row>
    <row r="322" spans="1:4" x14ac:dyDescent="0.25">
      <c r="A322" s="1" t="s">
        <v>110</v>
      </c>
      <c r="B322" s="1" t="s">
        <v>368</v>
      </c>
      <c r="C322" s="2">
        <v>33971</v>
      </c>
      <c r="D322" s="1" t="s">
        <v>12</v>
      </c>
    </row>
    <row r="323" spans="1:4" x14ac:dyDescent="0.25">
      <c r="A323" s="1" t="s">
        <v>422</v>
      </c>
      <c r="B323" s="1" t="s">
        <v>52</v>
      </c>
      <c r="C323" s="2">
        <v>26974</v>
      </c>
      <c r="D323" s="1" t="s">
        <v>12</v>
      </c>
    </row>
    <row r="324" spans="1:4" x14ac:dyDescent="0.25">
      <c r="A324" s="1" t="s">
        <v>423</v>
      </c>
      <c r="B324" s="1" t="s">
        <v>47</v>
      </c>
      <c r="C324" s="2">
        <v>21339</v>
      </c>
      <c r="D324" s="1" t="s">
        <v>12</v>
      </c>
    </row>
    <row r="325" spans="1:4" x14ac:dyDescent="0.25">
      <c r="A325" s="1" t="s">
        <v>424</v>
      </c>
      <c r="B325" s="1" t="s">
        <v>90</v>
      </c>
      <c r="C325" s="2">
        <v>25150</v>
      </c>
      <c r="D325" s="1" t="s">
        <v>6</v>
      </c>
    </row>
    <row r="326" spans="1:4" x14ac:dyDescent="0.25">
      <c r="A326" s="1" t="s">
        <v>425</v>
      </c>
      <c r="B326" s="1" t="s">
        <v>8</v>
      </c>
      <c r="C326" s="2">
        <v>20340</v>
      </c>
      <c r="D326" s="1" t="s">
        <v>12</v>
      </c>
    </row>
    <row r="327" spans="1:4" x14ac:dyDescent="0.25">
      <c r="A327" s="1" t="s">
        <v>426</v>
      </c>
      <c r="B327" s="1" t="s">
        <v>131</v>
      </c>
      <c r="C327" s="2">
        <v>16045</v>
      </c>
      <c r="D327" s="1" t="s">
        <v>6</v>
      </c>
    </row>
    <row r="328" spans="1:4" x14ac:dyDescent="0.25">
      <c r="A328" s="1" t="s">
        <v>427</v>
      </c>
      <c r="B328" s="1" t="s">
        <v>37</v>
      </c>
      <c r="C328" s="2">
        <v>18568</v>
      </c>
      <c r="D328" s="1" t="s">
        <v>12</v>
      </c>
    </row>
    <row r="329" spans="1:4" x14ac:dyDescent="0.25">
      <c r="A329" s="1" t="s">
        <v>311</v>
      </c>
      <c r="B329" s="1" t="s">
        <v>199</v>
      </c>
      <c r="C329" s="2">
        <v>33976</v>
      </c>
      <c r="D329" s="1" t="s">
        <v>12</v>
      </c>
    </row>
    <row r="330" spans="1:4" x14ac:dyDescent="0.25">
      <c r="A330" s="1" t="s">
        <v>428</v>
      </c>
      <c r="B330" s="1" t="s">
        <v>429</v>
      </c>
      <c r="C330" s="2">
        <v>30720</v>
      </c>
      <c r="D330" s="1" t="s">
        <v>12</v>
      </c>
    </row>
    <row r="331" spans="1:4" x14ac:dyDescent="0.25">
      <c r="A331" s="1" t="s">
        <v>430</v>
      </c>
      <c r="B331" s="1" t="s">
        <v>141</v>
      </c>
      <c r="C331" s="2">
        <v>22604</v>
      </c>
      <c r="D331" s="1" t="s">
        <v>9</v>
      </c>
    </row>
    <row r="332" spans="1:4" x14ac:dyDescent="0.25">
      <c r="A332" s="1" t="s">
        <v>431</v>
      </c>
      <c r="B332" s="1" t="s">
        <v>368</v>
      </c>
      <c r="C332" s="2">
        <v>19123</v>
      </c>
      <c r="D332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BFAE4-7A33-438D-969B-1358EDB4D7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4.1</vt:lpstr>
      <vt:lpstr>4.2</vt:lpstr>
      <vt:lpstr>4.4</vt:lpstr>
      <vt:lpstr>4.3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2026-03-06T15:23:07Z</dcterms:modified>
</cp:coreProperties>
</file>