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0PR\"/>
    </mc:Choice>
  </mc:AlternateContent>
  <xr:revisionPtr revIDLastSave="0" documentId="13_ncr:1_{494EA524-F34E-4BDD-A596-3D85DCE1677A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" sheetId="2" r:id="rId1"/>
    <sheet name="b" sheetId="6" r:id="rId2"/>
    <sheet name="c" sheetId="7" r:id="rId3"/>
    <sheet name="d" sheetId="8" r:id="rId4"/>
    <sheet name="e" sheetId="9" r:id="rId5"/>
    <sheet name="dane" sheetId="5" r:id="rId6"/>
  </sheets>
  <definedNames>
    <definedName name="ExternalData_1" localSheetId="0" hidden="1">a!$A$1:$A$151</definedName>
    <definedName name="ExternalData_1" localSheetId="1" hidden="1">b!$A$1:$A$151</definedName>
    <definedName name="ExternalData_1" localSheetId="2" hidden="1">'c'!$A$1:$A$151</definedName>
    <definedName name="ExternalData_1" localSheetId="3" hidden="1">d!$A$1:$A$151</definedName>
    <definedName name="ExternalData_1" localSheetId="5" hidden="1">dane!$A$1:$A$151</definedName>
    <definedName name="ExternalData_1" localSheetId="4" hidden="1">e!$A$1:$A$151</definedName>
  </definedNames>
  <calcPr calcId="19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40" i="8"/>
  <c r="E17" i="8"/>
  <c r="E18" i="8"/>
  <c r="E19" i="8"/>
  <c r="E21" i="8"/>
  <c r="E146" i="8"/>
  <c r="E37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55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16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20" i="8"/>
  <c r="E141" i="8"/>
  <c r="E142" i="8"/>
  <c r="E143" i="8"/>
  <c r="E144" i="8"/>
  <c r="E145" i="8"/>
  <c r="E22" i="8"/>
  <c r="E147" i="8"/>
  <c r="E148" i="8"/>
  <c r="E149" i="8"/>
  <c r="E150" i="8"/>
  <c r="E151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40" i="8"/>
  <c r="F17" i="8"/>
  <c r="F18" i="8"/>
  <c r="F19" i="8"/>
  <c r="F21" i="8"/>
  <c r="F146" i="8"/>
  <c r="F3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55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16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20" i="8"/>
  <c r="F141" i="8"/>
  <c r="F142" i="8"/>
  <c r="F143" i="8"/>
  <c r="F144" i="8"/>
  <c r="F145" i="8"/>
  <c r="F22" i="8"/>
  <c r="F147" i="8"/>
  <c r="F148" i="8"/>
  <c r="F149" i="8"/>
  <c r="F150" i="8"/>
  <c r="F151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40" i="8"/>
  <c r="G17" i="8"/>
  <c r="G18" i="8"/>
  <c r="G19" i="8"/>
  <c r="G21" i="8"/>
  <c r="G146" i="8"/>
  <c r="G37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55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16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20" i="8"/>
  <c r="G141" i="8"/>
  <c r="G142" i="8"/>
  <c r="G143" i="8"/>
  <c r="G144" i="8"/>
  <c r="G145" i="8"/>
  <c r="G22" i="8"/>
  <c r="G147" i="8"/>
  <c r="G148" i="8"/>
  <c r="G149" i="8"/>
  <c r="G150" i="8"/>
  <c r="G151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40" i="8"/>
  <c r="H17" i="8"/>
  <c r="H18" i="8"/>
  <c r="H19" i="8"/>
  <c r="H21" i="8"/>
  <c r="H146" i="8"/>
  <c r="H3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55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16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20" i="8"/>
  <c r="H141" i="8"/>
  <c r="H142" i="8"/>
  <c r="H143" i="8"/>
  <c r="H144" i="8"/>
  <c r="H145" i="8"/>
  <c r="H22" i="8"/>
  <c r="H147" i="8"/>
  <c r="H148" i="8"/>
  <c r="H149" i="8"/>
  <c r="H150" i="8"/>
  <c r="H15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40" i="8"/>
  <c r="I17" i="8"/>
  <c r="I18" i="8"/>
  <c r="I19" i="8"/>
  <c r="I21" i="8"/>
  <c r="I146" i="8"/>
  <c r="I3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55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16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20" i="8"/>
  <c r="I141" i="8"/>
  <c r="I142" i="8"/>
  <c r="I143" i="8"/>
  <c r="I144" i="8"/>
  <c r="I145" i="8"/>
  <c r="I22" i="8"/>
  <c r="I147" i="8"/>
  <c r="I148" i="8"/>
  <c r="I149" i="8"/>
  <c r="I150" i="8"/>
  <c r="I15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40" i="8"/>
  <c r="J17" i="8"/>
  <c r="J18" i="8"/>
  <c r="J19" i="8"/>
  <c r="J21" i="8"/>
  <c r="J146" i="8"/>
  <c r="J37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55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16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20" i="8"/>
  <c r="J141" i="8"/>
  <c r="J142" i="8"/>
  <c r="J143" i="8"/>
  <c r="J144" i="8"/>
  <c r="J145" i="8"/>
  <c r="J22" i="8"/>
  <c r="J147" i="8"/>
  <c r="J148" i="8"/>
  <c r="J149" i="8"/>
  <c r="J150" i="8"/>
  <c r="J151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40" i="8"/>
  <c r="D17" i="8"/>
  <c r="D18" i="8"/>
  <c r="D19" i="8"/>
  <c r="D21" i="8"/>
  <c r="D146" i="8"/>
  <c r="D37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55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16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20" i="8"/>
  <c r="D141" i="8"/>
  <c r="D142" i="8"/>
  <c r="D143" i="8"/>
  <c r="D144" i="8"/>
  <c r="D145" i="8"/>
  <c r="D22" i="8"/>
  <c r="D147" i="8"/>
  <c r="D148" i="8"/>
  <c r="D149" i="8"/>
  <c r="D150" i="8"/>
  <c r="D151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40" i="8"/>
  <c r="C17" i="8"/>
  <c r="C18" i="8"/>
  <c r="C19" i="8"/>
  <c r="C21" i="8"/>
  <c r="C146" i="8"/>
  <c r="C37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55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16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20" i="8"/>
  <c r="C141" i="8"/>
  <c r="C142" i="8"/>
  <c r="C143" i="8"/>
  <c r="C144" i="8"/>
  <c r="C145" i="8"/>
  <c r="C22" i="8"/>
  <c r="C147" i="8"/>
  <c r="C148" i="8"/>
  <c r="C149" i="8"/>
  <c r="C150" i="8"/>
  <c r="C151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40" i="8"/>
  <c r="K17" i="8"/>
  <c r="K18" i="8"/>
  <c r="K19" i="8"/>
  <c r="K21" i="8"/>
  <c r="K146" i="8"/>
  <c r="K37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55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16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20" i="8"/>
  <c r="K141" i="8"/>
  <c r="K142" i="8"/>
  <c r="K143" i="8"/>
  <c r="K144" i="8"/>
  <c r="K145" i="8"/>
  <c r="K22" i="8"/>
  <c r="K147" i="8"/>
  <c r="K148" i="8"/>
  <c r="K149" i="8"/>
  <c r="K150" i="8"/>
  <c r="K151" i="8"/>
  <c r="C2" i="8"/>
  <c r="D2" i="8"/>
  <c r="E2" i="8"/>
  <c r="F2" i="8"/>
  <c r="G2" i="8"/>
  <c r="H2" i="8"/>
  <c r="I2" i="8"/>
  <c r="J2" i="8"/>
  <c r="B2" i="8"/>
  <c r="B3" i="8"/>
  <c r="B4" i="8"/>
  <c r="B5" i="8"/>
  <c r="B6" i="8"/>
  <c r="B7" i="8"/>
  <c r="L7" i="8" s="1"/>
  <c r="M7" i="8" s="1"/>
  <c r="B8" i="8"/>
  <c r="B9" i="8"/>
  <c r="B10" i="8"/>
  <c r="L10" i="8" s="1"/>
  <c r="M10" i="8" s="1"/>
  <c r="B11" i="8"/>
  <c r="B12" i="8"/>
  <c r="L12" i="8" s="1"/>
  <c r="M12" i="8" s="1"/>
  <c r="B13" i="8"/>
  <c r="B14" i="8"/>
  <c r="B15" i="8"/>
  <c r="B140" i="8"/>
  <c r="B17" i="8"/>
  <c r="B18" i="8"/>
  <c r="B19" i="8"/>
  <c r="B21" i="8"/>
  <c r="B146" i="8"/>
  <c r="B37" i="8"/>
  <c r="B23" i="8"/>
  <c r="B24" i="8"/>
  <c r="L24" i="8" s="1"/>
  <c r="M24" i="8" s="1"/>
  <c r="B25" i="8"/>
  <c r="B26" i="8"/>
  <c r="B27" i="8"/>
  <c r="B28" i="8"/>
  <c r="B29" i="8"/>
  <c r="B30" i="8"/>
  <c r="B31" i="8"/>
  <c r="B32" i="8"/>
  <c r="B33" i="8"/>
  <c r="B34" i="8"/>
  <c r="B35" i="8"/>
  <c r="B36" i="8"/>
  <c r="L36" i="8" s="1"/>
  <c r="M36" i="8" s="1"/>
  <c r="B55" i="8"/>
  <c r="B38" i="8"/>
  <c r="B39" i="8"/>
  <c r="B40" i="8"/>
  <c r="B41" i="8"/>
  <c r="B42" i="8"/>
  <c r="B43" i="8"/>
  <c r="B44" i="8"/>
  <c r="B45" i="8"/>
  <c r="B46" i="8"/>
  <c r="B47" i="8"/>
  <c r="B48" i="8"/>
  <c r="L48" i="8" s="1"/>
  <c r="M48" i="8" s="1"/>
  <c r="B49" i="8"/>
  <c r="B50" i="8"/>
  <c r="B51" i="8"/>
  <c r="B52" i="8"/>
  <c r="B53" i="8"/>
  <c r="B54" i="8"/>
  <c r="B16" i="8"/>
  <c r="B56" i="8"/>
  <c r="B57" i="8"/>
  <c r="B58" i="8"/>
  <c r="B59" i="8"/>
  <c r="B60" i="8"/>
  <c r="L60" i="8" s="1"/>
  <c r="M60" i="8" s="1"/>
  <c r="B61" i="8"/>
  <c r="B62" i="8"/>
  <c r="B63" i="8"/>
  <c r="B64" i="8"/>
  <c r="B65" i="8"/>
  <c r="B66" i="8"/>
  <c r="B67" i="8"/>
  <c r="B68" i="8"/>
  <c r="B69" i="8"/>
  <c r="B70" i="8"/>
  <c r="B71" i="8"/>
  <c r="B72" i="8"/>
  <c r="L72" i="8" s="1"/>
  <c r="M72" i="8" s="1"/>
  <c r="B73" i="8"/>
  <c r="B74" i="8"/>
  <c r="B75" i="8"/>
  <c r="B76" i="8"/>
  <c r="B77" i="8"/>
  <c r="B78" i="8"/>
  <c r="B79" i="8"/>
  <c r="B80" i="8"/>
  <c r="B81" i="8"/>
  <c r="B82" i="8"/>
  <c r="B83" i="8"/>
  <c r="B84" i="8"/>
  <c r="L84" i="8" s="1"/>
  <c r="M84" i="8" s="1"/>
  <c r="B85" i="8"/>
  <c r="B86" i="8"/>
  <c r="B87" i="8"/>
  <c r="B88" i="8"/>
  <c r="B89" i="8"/>
  <c r="B90" i="8"/>
  <c r="B91" i="8"/>
  <c r="L91" i="8" s="1"/>
  <c r="M91" i="8" s="1"/>
  <c r="B92" i="8"/>
  <c r="B93" i="8"/>
  <c r="B94" i="8"/>
  <c r="B95" i="8"/>
  <c r="B96" i="8"/>
  <c r="L96" i="8" s="1"/>
  <c r="M96" i="8" s="1"/>
  <c r="B97" i="8"/>
  <c r="B98" i="8"/>
  <c r="B99" i="8"/>
  <c r="B100" i="8"/>
  <c r="B101" i="8"/>
  <c r="B102" i="8"/>
  <c r="B103" i="8"/>
  <c r="L103" i="8" s="1"/>
  <c r="M103" i="8" s="1"/>
  <c r="B104" i="8"/>
  <c r="B105" i="8"/>
  <c r="B106" i="8"/>
  <c r="B107" i="8"/>
  <c r="B108" i="8"/>
  <c r="L108" i="8" s="1"/>
  <c r="M108" i="8" s="1"/>
  <c r="B109" i="8"/>
  <c r="B110" i="8"/>
  <c r="B111" i="8"/>
  <c r="B112" i="8"/>
  <c r="B113" i="8"/>
  <c r="B114" i="8"/>
  <c r="B115" i="8"/>
  <c r="L115" i="8" s="1"/>
  <c r="M115" i="8" s="1"/>
  <c r="B116" i="8"/>
  <c r="B117" i="8"/>
  <c r="B118" i="8"/>
  <c r="B119" i="8"/>
  <c r="B120" i="8"/>
  <c r="L120" i="8" s="1"/>
  <c r="M120" i="8" s="1"/>
  <c r="B121" i="8"/>
  <c r="B122" i="8"/>
  <c r="B123" i="8"/>
  <c r="B124" i="8"/>
  <c r="B125" i="8"/>
  <c r="B126" i="8"/>
  <c r="B127" i="8"/>
  <c r="L127" i="8" s="1"/>
  <c r="M127" i="8" s="1"/>
  <c r="B128" i="8"/>
  <c r="B129" i="8"/>
  <c r="B130" i="8"/>
  <c r="B131" i="8"/>
  <c r="B132" i="8"/>
  <c r="L132" i="8" s="1"/>
  <c r="M132" i="8" s="1"/>
  <c r="B133" i="8"/>
  <c r="B134" i="8"/>
  <c r="B135" i="8"/>
  <c r="B136" i="8"/>
  <c r="B137" i="8"/>
  <c r="B138" i="8"/>
  <c r="B139" i="8"/>
  <c r="L139" i="8" s="1"/>
  <c r="M139" i="8" s="1"/>
  <c r="B20" i="8"/>
  <c r="B141" i="8"/>
  <c r="B142" i="8"/>
  <c r="B143" i="8"/>
  <c r="B144" i="8"/>
  <c r="L144" i="8" s="1"/>
  <c r="M144" i="8" s="1"/>
  <c r="B145" i="8"/>
  <c r="B22" i="8"/>
  <c r="B147" i="8"/>
  <c r="B148" i="8"/>
  <c r="B149" i="8"/>
  <c r="B150" i="8"/>
  <c r="B151" i="8"/>
  <c r="L151" i="8" s="1"/>
  <c r="M151" i="8" s="1"/>
  <c r="B2" i="7"/>
  <c r="B3" i="7"/>
  <c r="B4" i="7"/>
  <c r="B5" i="7"/>
  <c r="B6" i="7"/>
  <c r="B7" i="7"/>
  <c r="B8" i="7"/>
  <c r="B9" i="7"/>
  <c r="B10" i="7"/>
  <c r="B11" i="7"/>
  <c r="B12" i="7"/>
  <c r="D2" i="7" s="1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L79" i="8" l="1"/>
  <c r="M79" i="8" s="1"/>
  <c r="L67" i="8"/>
  <c r="M67" i="8" s="1"/>
  <c r="L16" i="8"/>
  <c r="M16" i="8" s="1"/>
  <c r="L43" i="8"/>
  <c r="M43" i="8" s="1"/>
  <c r="L31" i="8"/>
  <c r="M31" i="8" s="1"/>
  <c r="L19" i="8"/>
  <c r="M19" i="8" s="1"/>
  <c r="L142" i="8"/>
  <c r="M142" i="8" s="1"/>
  <c r="L130" i="8"/>
  <c r="M130" i="8" s="1"/>
  <c r="L118" i="8"/>
  <c r="M118" i="8" s="1"/>
  <c r="L106" i="8"/>
  <c r="M106" i="8" s="1"/>
  <c r="L94" i="8"/>
  <c r="M94" i="8" s="1"/>
  <c r="L82" i="8"/>
  <c r="M82" i="8" s="1"/>
  <c r="L70" i="8"/>
  <c r="M70" i="8" s="1"/>
  <c r="L58" i="8"/>
  <c r="M58" i="8" s="1"/>
  <c r="L46" i="8"/>
  <c r="M46" i="8" s="1"/>
  <c r="L34" i="8"/>
  <c r="M34" i="8" s="1"/>
  <c r="L37" i="8"/>
  <c r="M37" i="8" s="1"/>
  <c r="L150" i="8"/>
  <c r="M150" i="8" s="1"/>
  <c r="L138" i="8"/>
  <c r="M138" i="8" s="1"/>
  <c r="L126" i="8"/>
  <c r="M126" i="8" s="1"/>
  <c r="L114" i="8"/>
  <c r="M114" i="8" s="1"/>
  <c r="L102" i="8"/>
  <c r="M102" i="8" s="1"/>
  <c r="L90" i="8"/>
  <c r="M90" i="8" s="1"/>
  <c r="L78" i="8"/>
  <c r="M78" i="8" s="1"/>
  <c r="L66" i="8"/>
  <c r="M66" i="8" s="1"/>
  <c r="L54" i="8"/>
  <c r="M54" i="8" s="1"/>
  <c r="L42" i="8"/>
  <c r="M42" i="8" s="1"/>
  <c r="L30" i="8"/>
  <c r="M30" i="8" s="1"/>
  <c r="L18" i="8"/>
  <c r="M18" i="8" s="1"/>
  <c r="L6" i="8"/>
  <c r="M6" i="8" s="1"/>
  <c r="L149" i="8"/>
  <c r="M149" i="8" s="1"/>
  <c r="L137" i="8"/>
  <c r="M137" i="8" s="1"/>
  <c r="L125" i="8"/>
  <c r="M125" i="8" s="1"/>
  <c r="L113" i="8"/>
  <c r="M113" i="8" s="1"/>
  <c r="L101" i="8"/>
  <c r="M101" i="8" s="1"/>
  <c r="L89" i="8"/>
  <c r="M89" i="8" s="1"/>
  <c r="L77" i="8"/>
  <c r="M77" i="8" s="1"/>
  <c r="L65" i="8"/>
  <c r="M65" i="8" s="1"/>
  <c r="L53" i="8"/>
  <c r="M53" i="8" s="1"/>
  <c r="L41" i="8"/>
  <c r="M41" i="8" s="1"/>
  <c r="L29" i="8"/>
  <c r="M29" i="8" s="1"/>
  <c r="L17" i="8"/>
  <c r="M17" i="8" s="1"/>
  <c r="L5" i="8"/>
  <c r="M5" i="8" s="1"/>
  <c r="L148" i="8"/>
  <c r="M148" i="8" s="1"/>
  <c r="L136" i="8"/>
  <c r="M136" i="8" s="1"/>
  <c r="L124" i="8"/>
  <c r="M124" i="8" s="1"/>
  <c r="L112" i="8"/>
  <c r="M112" i="8" s="1"/>
  <c r="L100" i="8"/>
  <c r="M100" i="8" s="1"/>
  <c r="L88" i="8"/>
  <c r="M88" i="8" s="1"/>
  <c r="L76" i="8"/>
  <c r="M76" i="8" s="1"/>
  <c r="L64" i="8"/>
  <c r="M64" i="8" s="1"/>
  <c r="L52" i="8"/>
  <c r="M52" i="8" s="1"/>
  <c r="L40" i="8"/>
  <c r="M40" i="8" s="1"/>
  <c r="L28" i="8"/>
  <c r="M28" i="8" s="1"/>
  <c r="L140" i="8"/>
  <c r="M140" i="8" s="1"/>
  <c r="L4" i="8"/>
  <c r="M4" i="8" s="1"/>
  <c r="L147" i="8"/>
  <c r="M147" i="8" s="1"/>
  <c r="L135" i="8"/>
  <c r="M135" i="8" s="1"/>
  <c r="L123" i="8"/>
  <c r="M123" i="8" s="1"/>
  <c r="L111" i="8"/>
  <c r="M111" i="8" s="1"/>
  <c r="L99" i="8"/>
  <c r="M99" i="8" s="1"/>
  <c r="L87" i="8"/>
  <c r="M87" i="8" s="1"/>
  <c r="L75" i="8"/>
  <c r="M75" i="8" s="1"/>
  <c r="L63" i="8"/>
  <c r="M63" i="8" s="1"/>
  <c r="L51" i="8"/>
  <c r="M51" i="8" s="1"/>
  <c r="L39" i="8"/>
  <c r="M39" i="8" s="1"/>
  <c r="L27" i="8"/>
  <c r="M27" i="8" s="1"/>
  <c r="L15" i="8"/>
  <c r="M15" i="8" s="1"/>
  <c r="L3" i="8"/>
  <c r="M3" i="8" s="1"/>
  <c r="L22" i="8"/>
  <c r="M22" i="8" s="1"/>
  <c r="L134" i="8"/>
  <c r="M134" i="8" s="1"/>
  <c r="L122" i="8"/>
  <c r="M122" i="8" s="1"/>
  <c r="L110" i="8"/>
  <c r="M110" i="8" s="1"/>
  <c r="L98" i="8"/>
  <c r="M98" i="8" s="1"/>
  <c r="L86" i="8"/>
  <c r="M86" i="8" s="1"/>
  <c r="L74" i="8"/>
  <c r="M74" i="8" s="1"/>
  <c r="L62" i="8"/>
  <c r="M62" i="8" s="1"/>
  <c r="L50" i="8"/>
  <c r="M50" i="8" s="1"/>
  <c r="L38" i="8"/>
  <c r="M38" i="8" s="1"/>
  <c r="L26" i="8"/>
  <c r="M26" i="8" s="1"/>
  <c r="L14" i="8"/>
  <c r="M14" i="8" s="1"/>
  <c r="L2" i="8"/>
  <c r="M2" i="8" s="1"/>
  <c r="L133" i="8"/>
  <c r="M133" i="8" s="1"/>
  <c r="L121" i="8"/>
  <c r="M121" i="8" s="1"/>
  <c r="L109" i="8"/>
  <c r="M109" i="8" s="1"/>
  <c r="L97" i="8"/>
  <c r="M97" i="8" s="1"/>
  <c r="L85" i="8"/>
  <c r="M85" i="8" s="1"/>
  <c r="L73" i="8"/>
  <c r="M73" i="8" s="1"/>
  <c r="L61" i="8"/>
  <c r="M61" i="8" s="1"/>
  <c r="L49" i="8"/>
  <c r="M49" i="8" s="1"/>
  <c r="L55" i="8"/>
  <c r="M55" i="8" s="1"/>
  <c r="L25" i="8"/>
  <c r="M25" i="8" s="1"/>
  <c r="L13" i="8"/>
  <c r="M13" i="8" s="1"/>
  <c r="L145" i="8"/>
  <c r="M145" i="8" s="1"/>
  <c r="L143" i="8"/>
  <c r="M143" i="8" s="1"/>
  <c r="L131" i="8"/>
  <c r="M131" i="8" s="1"/>
  <c r="L119" i="8"/>
  <c r="M119" i="8" s="1"/>
  <c r="L107" i="8"/>
  <c r="M107" i="8" s="1"/>
  <c r="L95" i="8"/>
  <c r="M95" i="8" s="1"/>
  <c r="L83" i="8"/>
  <c r="M83" i="8" s="1"/>
  <c r="L71" i="8"/>
  <c r="M71" i="8" s="1"/>
  <c r="L59" i="8"/>
  <c r="M59" i="8" s="1"/>
  <c r="L47" i="8"/>
  <c r="M47" i="8" s="1"/>
  <c r="L35" i="8"/>
  <c r="M35" i="8" s="1"/>
  <c r="L23" i="8"/>
  <c r="M23" i="8" s="1"/>
  <c r="L11" i="8"/>
  <c r="M11" i="8" s="1"/>
  <c r="L129" i="8"/>
  <c r="M129" i="8" s="1"/>
  <c r="L105" i="8"/>
  <c r="M105" i="8" s="1"/>
  <c r="L81" i="8"/>
  <c r="M81" i="8" s="1"/>
  <c r="L57" i="8"/>
  <c r="M57" i="8" s="1"/>
  <c r="L33" i="8"/>
  <c r="M33" i="8" s="1"/>
  <c r="L9" i="8"/>
  <c r="M9" i="8" s="1"/>
  <c r="L141" i="8"/>
  <c r="M141" i="8" s="1"/>
  <c r="L117" i="8"/>
  <c r="M117" i="8" s="1"/>
  <c r="L93" i="8"/>
  <c r="M93" i="8" s="1"/>
  <c r="L69" i="8"/>
  <c r="M69" i="8" s="1"/>
  <c r="L45" i="8"/>
  <c r="M45" i="8" s="1"/>
  <c r="L146" i="8"/>
  <c r="M146" i="8" s="1"/>
  <c r="L20" i="8"/>
  <c r="M20" i="8" s="1"/>
  <c r="L128" i="8"/>
  <c r="M128" i="8" s="1"/>
  <c r="L116" i="8"/>
  <c r="M116" i="8" s="1"/>
  <c r="L104" i="8"/>
  <c r="M104" i="8" s="1"/>
  <c r="L92" i="8"/>
  <c r="M92" i="8" s="1"/>
  <c r="L80" i="8"/>
  <c r="M80" i="8" s="1"/>
  <c r="L68" i="8"/>
  <c r="M68" i="8" s="1"/>
  <c r="L56" i="8"/>
  <c r="M56" i="8" s="1"/>
  <c r="L44" i="8"/>
  <c r="M44" i="8" s="1"/>
  <c r="L32" i="8"/>
  <c r="M32" i="8" s="1"/>
  <c r="L21" i="8"/>
  <c r="M21" i="8" s="1"/>
  <c r="L8" i="8"/>
  <c r="M8" i="8" s="1"/>
  <c r="B2" i="6"/>
  <c r="B3" i="6"/>
  <c r="B4" i="6"/>
  <c r="B5" i="6"/>
  <c r="B6" i="6"/>
  <c r="B7" i="6"/>
  <c r="B8" i="6"/>
  <c r="B9" i="6"/>
  <c r="B10" i="6"/>
  <c r="B11" i="6"/>
  <c r="B12" i="6"/>
  <c r="B13" i="6"/>
  <c r="D2" i="6" s="1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E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4DE03C-C224-4F51-A0B9-9D41F29DDFA3}" keepAlive="1" name="Zapytanie — pesel" description="Połączenie z zapytaniem „pesel” w skoroszycie." type="5" refreshedVersion="8" background="1" saveData="1">
    <dbPr connection="Provider=Microsoft.Mashup.OleDb.1;Data Source=$Workbook$;Location=pesel;Extended Properties=&quot;&quot;" command="SELECT * FROM [pesel]"/>
  </connection>
  <connection id="2" xr16:uid="{F8800794-2049-49D0-B113-AFE91D2DD48F}" keepAlive="1" name="Zapytanie — pesel (2)" description="Połączenie z zapytaniem „pesel (2)” w skoroszycie." type="5" refreshedVersion="8" background="1" saveData="1">
    <dbPr connection="Provider=Microsoft.Mashup.OleDb.1;Data Source=$Workbook$;Location=&quot;pesel (2)&quot;;Extended Properties=&quot;&quot;" command="SELECT * FROM [pesel (2)]"/>
  </connection>
  <connection id="3" xr16:uid="{F79AF202-4860-497A-B27E-ACD371362D7D}" keepAlive="1" name="Zapytanie — pesel (3)" description="Połączenie z zapytaniem „pesel (3)” w skoroszycie." type="5" refreshedVersion="8" background="1" saveData="1">
    <dbPr connection="Provider=Microsoft.Mashup.OleDb.1;Data Source=$Workbook$;Location=&quot;pesel (3)&quot;;Extended Properties=&quot;&quot;" command="SELECT * FROM [pesel (3)]"/>
  </connection>
  <connection id="4" xr16:uid="{810142B4-BE4C-4DE2-9CE7-AD6D39E757CB}" keepAlive="1" name="Zapytanie — pesel (4)" description="Połączenie z zapytaniem „pesel (4)” w skoroszycie." type="5" refreshedVersion="8" background="1" saveData="1">
    <dbPr connection="Provider=Microsoft.Mashup.OleDb.1;Data Source=$Workbook$;Location=&quot;pesel (4)&quot;;Extended Properties=&quot;&quot;" command="SELECT * FROM [pesel (4)]"/>
  </connection>
  <connection id="5" xr16:uid="{8293AC44-8C3C-4737-863C-9281DE49A8CD}" keepAlive="1" name="Zapytanie — pesel (5)" description="Połączenie z zapytaniem „pesel (5)” w skoroszycie." type="5" refreshedVersion="8" background="1" saveData="1">
    <dbPr connection="Provider=Microsoft.Mashup.OleDb.1;Data Source=$Workbook$;Location=&quot;pesel (5)&quot;;Extended Properties=&quot;&quot;" command="SELECT * FROM [pesel (5)]"/>
  </connection>
  <connection id="6" xr16:uid="{BBF3A9A1-FB2A-465F-B880-9E21C6CAF5DE}" keepAlive="1" name="Zapytanie — pesel (6)" description="Połączenie z zapytaniem „pesel (6)” w skoroszycie." type="5" refreshedVersion="8" background="1" saveData="1">
    <dbPr connection="Provider=Microsoft.Mashup.OleDb.1;Data Source=$Workbook$;Location=&quot;pesel (6)&quot;;Extended Properties=&quot;&quot;" command="SELECT * FROM [pesel (6)]"/>
  </connection>
</connections>
</file>

<file path=xl/sharedStrings.xml><?xml version="1.0" encoding="utf-8"?>
<sst xmlns="http://schemas.openxmlformats.org/spreadsheetml/2006/main" count="944" uniqueCount="181">
  <si>
    <t>53082806059</t>
  </si>
  <si>
    <t>89100192752</t>
  </si>
  <si>
    <t>85111779283</t>
  </si>
  <si>
    <t>86080941169</t>
  </si>
  <si>
    <t>89011129700</t>
  </si>
  <si>
    <t>62033089803</t>
  </si>
  <si>
    <t>62092569090</t>
  </si>
  <si>
    <t>64063159211</t>
  </si>
  <si>
    <t>88120262427</t>
  </si>
  <si>
    <t>75121005045</t>
  </si>
  <si>
    <t>74121108598</t>
  </si>
  <si>
    <t>67112966668</t>
  </si>
  <si>
    <t>89010737704</t>
  </si>
  <si>
    <t>52101156863</t>
  </si>
  <si>
    <t>91032272651</t>
  </si>
  <si>
    <t>75032006098</t>
  </si>
  <si>
    <t>55110906690</t>
  </si>
  <si>
    <t>67103111042</t>
  </si>
  <si>
    <t>77072919805</t>
  </si>
  <si>
    <t>92022716243</t>
  </si>
  <si>
    <t>83041812338</t>
  </si>
  <si>
    <t>86072032543</t>
  </si>
  <si>
    <t>71110410883</t>
  </si>
  <si>
    <t>73070871368</t>
  </si>
  <si>
    <t>74040249598</t>
  </si>
  <si>
    <t>85052135674</t>
  </si>
  <si>
    <t>70053179170</t>
  </si>
  <si>
    <t>89021468413</t>
  </si>
  <si>
    <t>64040919575</t>
  </si>
  <si>
    <t>66100294134</t>
  </si>
  <si>
    <t>63102092944</t>
  </si>
  <si>
    <t>89040205480</t>
  </si>
  <si>
    <t>74123184206</t>
  </si>
  <si>
    <t>88080204509</t>
  </si>
  <si>
    <t>70032057433</t>
  </si>
  <si>
    <t>89081421445</t>
  </si>
  <si>
    <t>66113183995</t>
  </si>
  <si>
    <t>56111161549</t>
  </si>
  <si>
    <t>78103188695</t>
  </si>
  <si>
    <t>88080601948</t>
  </si>
  <si>
    <t>71093058856</t>
  </si>
  <si>
    <t>64022301455</t>
  </si>
  <si>
    <t>65102086116</t>
  </si>
  <si>
    <t>68112117597</t>
  </si>
  <si>
    <t>70101195486</t>
  </si>
  <si>
    <t>77111084850</t>
  </si>
  <si>
    <t>78123189018</t>
  </si>
  <si>
    <t>79110673709</t>
  </si>
  <si>
    <t>74120284541</t>
  </si>
  <si>
    <t>89082179879</t>
  </si>
  <si>
    <t>86070630583</t>
  </si>
  <si>
    <t>63122755182</t>
  </si>
  <si>
    <t>90112004373</t>
  </si>
  <si>
    <t>54043010088</t>
  </si>
  <si>
    <t>69122174118</t>
  </si>
  <si>
    <t>84051294894</t>
  </si>
  <si>
    <t>66111176164</t>
  </si>
  <si>
    <t>71112677514</t>
  </si>
  <si>
    <t>89040633348</t>
  </si>
  <si>
    <t>90053120136</t>
  </si>
  <si>
    <t>75123199317</t>
  </si>
  <si>
    <t>73112328551</t>
  </si>
  <si>
    <t>85031079443</t>
  </si>
  <si>
    <t>85052568643</t>
  </si>
  <si>
    <t>55022153432</t>
  </si>
  <si>
    <t>83041947282</t>
  </si>
  <si>
    <t>86081443325</t>
  </si>
  <si>
    <t>59110570565</t>
  </si>
  <si>
    <t>66063014631</t>
  </si>
  <si>
    <t>67120749923</t>
  </si>
  <si>
    <t>89081519801</t>
  </si>
  <si>
    <t>70120794633</t>
  </si>
  <si>
    <t>76121186303</t>
  </si>
  <si>
    <t>72031096705</t>
  </si>
  <si>
    <t>61100157652</t>
  </si>
  <si>
    <t>79012564484</t>
  </si>
  <si>
    <t>88111094545</t>
  </si>
  <si>
    <t>89040876453</t>
  </si>
  <si>
    <t>89120952161</t>
  </si>
  <si>
    <t>59083036077</t>
  </si>
  <si>
    <t>61121020469</t>
  </si>
  <si>
    <t>89040185241</t>
  </si>
  <si>
    <t>88080416256</t>
  </si>
  <si>
    <t>61032479116</t>
  </si>
  <si>
    <t>54020837137</t>
  </si>
  <si>
    <t>87072724289</t>
  </si>
  <si>
    <t>88103032931</t>
  </si>
  <si>
    <t>59042989686</t>
  </si>
  <si>
    <t>91023191330</t>
  </si>
  <si>
    <t>59031152059</t>
  </si>
  <si>
    <t>84112185145</t>
  </si>
  <si>
    <t>60102890107</t>
  </si>
  <si>
    <t>84050694367</t>
  </si>
  <si>
    <t>89041133472</t>
  </si>
  <si>
    <t>82072219267</t>
  </si>
  <si>
    <t>57102202414</t>
  </si>
  <si>
    <t>55123128973</t>
  </si>
  <si>
    <t>86070511185</t>
  </si>
  <si>
    <t>81101148770</t>
  </si>
  <si>
    <t>87071164662</t>
  </si>
  <si>
    <t>51011153311</t>
  </si>
  <si>
    <t>89052085069</t>
  </si>
  <si>
    <t>50102636355</t>
  </si>
  <si>
    <t>89011581319</t>
  </si>
  <si>
    <t>53122299122</t>
  </si>
  <si>
    <t>75113162747</t>
  </si>
  <si>
    <t>89102588171</t>
  </si>
  <si>
    <t>89022379914</t>
  </si>
  <si>
    <t>92080709353</t>
  </si>
  <si>
    <t>50101111305</t>
  </si>
  <si>
    <t>89042620494</t>
  </si>
  <si>
    <t>51102573842</t>
  </si>
  <si>
    <t>89021697637</t>
  </si>
  <si>
    <t>63092608644</t>
  </si>
  <si>
    <t>78102945963</t>
  </si>
  <si>
    <t>86061995325</t>
  </si>
  <si>
    <t>78011115028</t>
  </si>
  <si>
    <t>89042750933</t>
  </si>
  <si>
    <t>89112466825</t>
  </si>
  <si>
    <t>89020265394</t>
  </si>
  <si>
    <t>66100651663</t>
  </si>
  <si>
    <t>65062892381</t>
  </si>
  <si>
    <t>69030626134</t>
  </si>
  <si>
    <t>67113048790</t>
  </si>
  <si>
    <t>84051840149</t>
  </si>
  <si>
    <t>57073163051</t>
  </si>
  <si>
    <t>81081010863</t>
  </si>
  <si>
    <t>89062644823</t>
  </si>
  <si>
    <t>52110446139</t>
  </si>
  <si>
    <t>50021011352</t>
  </si>
  <si>
    <t>65092056892</t>
  </si>
  <si>
    <t>85052605175</t>
  </si>
  <si>
    <t>89032143350</t>
  </si>
  <si>
    <t>71123061643</t>
  </si>
  <si>
    <t>73103000844</t>
  </si>
  <si>
    <t>89012630357</t>
  </si>
  <si>
    <t>73010399576</t>
  </si>
  <si>
    <t>87070895372</t>
  </si>
  <si>
    <t>60061144469</t>
  </si>
  <si>
    <t>76043169949</t>
  </si>
  <si>
    <t>79101146737</t>
  </si>
  <si>
    <t>76043054555</t>
  </si>
  <si>
    <t>89082608599</t>
  </si>
  <si>
    <t>76122752028</t>
  </si>
  <si>
    <t>77120835871</t>
  </si>
  <si>
    <t>89010293604</t>
  </si>
  <si>
    <t>89091482250</t>
  </si>
  <si>
    <t>58122188027</t>
  </si>
  <si>
    <t>89052295172</t>
  </si>
  <si>
    <t>79070627831</t>
  </si>
  <si>
    <t>pesle</t>
  </si>
  <si>
    <t>miesiąc urodzenia</t>
  </si>
  <si>
    <t>czyGrudzień</t>
  </si>
  <si>
    <t>LICZBA OSÓB URODZONYCH W GRUDNIU</t>
  </si>
  <si>
    <t>czyMezczyzna</t>
  </si>
  <si>
    <t>LICZBA KOBIET</t>
  </si>
  <si>
    <t>ROK urodzenia</t>
  </si>
  <si>
    <t>najwięcej osób urodziło się w</t>
  </si>
  <si>
    <t>SUMA 1</t>
  </si>
  <si>
    <t>numer liczby</t>
  </si>
  <si>
    <t>WAGA</t>
  </si>
  <si>
    <t>SUMA 2</t>
  </si>
  <si>
    <t>SUMA 3</t>
  </si>
  <si>
    <t>SUMA 4</t>
  </si>
  <si>
    <t>SUMA 5</t>
  </si>
  <si>
    <t>SUMA 6</t>
  </si>
  <si>
    <t>SUMA 7</t>
  </si>
  <si>
    <t>SUMA 8</t>
  </si>
  <si>
    <t>SUMA 9</t>
  </si>
  <si>
    <t>SUMA 10</t>
  </si>
  <si>
    <t>CYFRA KONTROLNA</t>
  </si>
  <si>
    <t>czyZŁY</t>
  </si>
  <si>
    <t>DZIESIĘCIOLECIE</t>
  </si>
  <si>
    <t>Suma końcowa</t>
  </si>
  <si>
    <t>50</t>
  </si>
  <si>
    <t>80</t>
  </si>
  <si>
    <t>60</t>
  </si>
  <si>
    <t>70</t>
  </si>
  <si>
    <t>90</t>
  </si>
  <si>
    <t>DZIESIĘCIOLECIA</t>
  </si>
  <si>
    <t>LICZBA OSÓB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</si>
</sst>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1" xfId="0" applyNumberFormat="1" applyFont="1" applyFill="1" applyBorder="1"/>
    <xf numFmtId="0" fontId="0" fillId="2" borderId="1" xfId="0" applyNumberFormat="1" applyFont="1" applyFill="1" applyBorder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Normalny" xfId="0" builtinId="0"/>
  </cellStyles>
  <dxfs count="3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[Zadanie5.xlsx]e!Tabela przestawna1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procentowy rozkład liczby osób urodzonych w poszczególnych dziesięcioleciach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e!$E$1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e!$D$2:$D$7</c:f>
              <c:strCach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</c:strCache>
            </c:strRef>
          </c:cat>
          <c:val>
            <c:numRef>
              <c:f>e!$E$2:$E$7</c:f>
              <c:numCache>
                <c:formatCode>General</c:formatCode>
                <c:ptCount val="5"/>
                <c:pt idx="0">
                  <c:v>22</c:v>
                </c:pt>
                <c:pt idx="1">
                  <c:v>28</c:v>
                </c:pt>
                <c:pt idx="2">
                  <c:v>36</c:v>
                </c:pt>
                <c:pt idx="3">
                  <c:v>58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E-475D-975A-6D897AE298C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8</xdr:row>
      <xdr:rowOff>185737</xdr:rowOff>
    </xdr:from>
    <xdr:to>
      <xdr:col>12</xdr:col>
      <xdr:colOff>9524</xdr:colOff>
      <xdr:row>29</xdr:row>
      <xdr:rowOff>123825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E158736-4BC2-AED5-C32B-85E7214F0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63.850251967589" createdVersion="8" refreshedVersion="8" minRefreshableVersion="3" recordCount="150" xr:uid="{9532775A-D923-42FC-8CF7-127D4EFFE1D5}">
  <cacheSource type="worksheet">
    <worksheetSource name="pesel__27"/>
  </cacheSource>
  <cacheFields count="2">
    <cacheField name="pesle" numFmtId="0">
      <sharedItems/>
    </cacheField>
    <cacheField name="DZIESIĘCIOLECIE" numFmtId="0">
      <sharedItems count="10">
        <s v="50"/>
        <s v="80"/>
        <s v="60"/>
        <s v="70"/>
        <s v="90"/>
        <s v="5" u="1"/>
        <s v="8" u="1"/>
        <s v="6" u="1"/>
        <s v="7" u="1"/>
        <s v="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53082806059"/>
    <x v="0"/>
  </r>
  <r>
    <s v="89100192752"/>
    <x v="1"/>
  </r>
  <r>
    <s v="85111779283"/>
    <x v="1"/>
  </r>
  <r>
    <s v="86080941169"/>
    <x v="1"/>
  </r>
  <r>
    <s v="89011129700"/>
    <x v="1"/>
  </r>
  <r>
    <s v="62033089803"/>
    <x v="2"/>
  </r>
  <r>
    <s v="62092569090"/>
    <x v="2"/>
  </r>
  <r>
    <s v="64063159211"/>
    <x v="2"/>
  </r>
  <r>
    <s v="88120262427"/>
    <x v="1"/>
  </r>
  <r>
    <s v="75121005045"/>
    <x v="3"/>
  </r>
  <r>
    <s v="74121108598"/>
    <x v="3"/>
  </r>
  <r>
    <s v="67112966668"/>
    <x v="2"/>
  </r>
  <r>
    <s v="89010737704"/>
    <x v="1"/>
  </r>
  <r>
    <s v="52101156863"/>
    <x v="0"/>
  </r>
  <r>
    <s v="91032272651"/>
    <x v="4"/>
  </r>
  <r>
    <s v="75032006098"/>
    <x v="3"/>
  </r>
  <r>
    <s v="55110906690"/>
    <x v="0"/>
  </r>
  <r>
    <s v="67103111042"/>
    <x v="2"/>
  </r>
  <r>
    <s v="77072919805"/>
    <x v="3"/>
  </r>
  <r>
    <s v="92022716243"/>
    <x v="4"/>
  </r>
  <r>
    <s v="83041812338"/>
    <x v="1"/>
  </r>
  <r>
    <s v="86072032543"/>
    <x v="1"/>
  </r>
  <r>
    <s v="71110410883"/>
    <x v="3"/>
  </r>
  <r>
    <s v="73070871368"/>
    <x v="3"/>
  </r>
  <r>
    <s v="74040249598"/>
    <x v="3"/>
  </r>
  <r>
    <s v="85052135674"/>
    <x v="1"/>
  </r>
  <r>
    <s v="70053179170"/>
    <x v="3"/>
  </r>
  <r>
    <s v="89021468413"/>
    <x v="1"/>
  </r>
  <r>
    <s v="64040919575"/>
    <x v="2"/>
  </r>
  <r>
    <s v="66100294134"/>
    <x v="2"/>
  </r>
  <r>
    <s v="63102092944"/>
    <x v="2"/>
  </r>
  <r>
    <s v="89040205480"/>
    <x v="1"/>
  </r>
  <r>
    <s v="74123184206"/>
    <x v="3"/>
  </r>
  <r>
    <s v="88080204509"/>
    <x v="1"/>
  </r>
  <r>
    <s v="70032057433"/>
    <x v="3"/>
  </r>
  <r>
    <s v="89081421445"/>
    <x v="1"/>
  </r>
  <r>
    <s v="66113183995"/>
    <x v="2"/>
  </r>
  <r>
    <s v="56111161549"/>
    <x v="0"/>
  </r>
  <r>
    <s v="78103188695"/>
    <x v="3"/>
  </r>
  <r>
    <s v="88080601948"/>
    <x v="1"/>
  </r>
  <r>
    <s v="71093058856"/>
    <x v="3"/>
  </r>
  <r>
    <s v="64022301455"/>
    <x v="2"/>
  </r>
  <r>
    <s v="65102086116"/>
    <x v="2"/>
  </r>
  <r>
    <s v="68112117597"/>
    <x v="2"/>
  </r>
  <r>
    <s v="70101195486"/>
    <x v="3"/>
  </r>
  <r>
    <s v="77111084850"/>
    <x v="3"/>
  </r>
  <r>
    <s v="78123189018"/>
    <x v="3"/>
  </r>
  <r>
    <s v="79110673709"/>
    <x v="3"/>
  </r>
  <r>
    <s v="74120284541"/>
    <x v="3"/>
  </r>
  <r>
    <s v="89082179879"/>
    <x v="1"/>
  </r>
  <r>
    <s v="86070630583"/>
    <x v="1"/>
  </r>
  <r>
    <s v="63122755182"/>
    <x v="2"/>
  </r>
  <r>
    <s v="90112004373"/>
    <x v="4"/>
  </r>
  <r>
    <s v="54043010088"/>
    <x v="0"/>
  </r>
  <r>
    <s v="69122174118"/>
    <x v="2"/>
  </r>
  <r>
    <s v="84051294894"/>
    <x v="1"/>
  </r>
  <r>
    <s v="66111176164"/>
    <x v="2"/>
  </r>
  <r>
    <s v="71112677514"/>
    <x v="3"/>
  </r>
  <r>
    <s v="89040633348"/>
    <x v="1"/>
  </r>
  <r>
    <s v="90053120136"/>
    <x v="4"/>
  </r>
  <r>
    <s v="75123199317"/>
    <x v="3"/>
  </r>
  <r>
    <s v="73112328551"/>
    <x v="3"/>
  </r>
  <r>
    <s v="85031079443"/>
    <x v="1"/>
  </r>
  <r>
    <s v="85052568643"/>
    <x v="1"/>
  </r>
  <r>
    <s v="55022153432"/>
    <x v="0"/>
  </r>
  <r>
    <s v="83041947282"/>
    <x v="1"/>
  </r>
  <r>
    <s v="86081443325"/>
    <x v="1"/>
  </r>
  <r>
    <s v="59110570565"/>
    <x v="0"/>
  </r>
  <r>
    <s v="66063014631"/>
    <x v="2"/>
  </r>
  <r>
    <s v="67120749923"/>
    <x v="2"/>
  </r>
  <r>
    <s v="89081519801"/>
    <x v="1"/>
  </r>
  <r>
    <s v="70120794633"/>
    <x v="3"/>
  </r>
  <r>
    <s v="76121186303"/>
    <x v="3"/>
  </r>
  <r>
    <s v="72031096705"/>
    <x v="3"/>
  </r>
  <r>
    <s v="61100157652"/>
    <x v="2"/>
  </r>
  <r>
    <s v="79012564484"/>
    <x v="3"/>
  </r>
  <r>
    <s v="88111094545"/>
    <x v="1"/>
  </r>
  <r>
    <s v="89040876453"/>
    <x v="1"/>
  </r>
  <r>
    <s v="89120952161"/>
    <x v="1"/>
  </r>
  <r>
    <s v="59083036077"/>
    <x v="0"/>
  </r>
  <r>
    <s v="61121020469"/>
    <x v="2"/>
  </r>
  <r>
    <s v="89040185241"/>
    <x v="1"/>
  </r>
  <r>
    <s v="88080416256"/>
    <x v="1"/>
  </r>
  <r>
    <s v="61032479116"/>
    <x v="2"/>
  </r>
  <r>
    <s v="54020837137"/>
    <x v="0"/>
  </r>
  <r>
    <s v="87072724289"/>
    <x v="1"/>
  </r>
  <r>
    <s v="88103032931"/>
    <x v="1"/>
  </r>
  <r>
    <s v="59042989686"/>
    <x v="0"/>
  </r>
  <r>
    <s v="91023191330"/>
    <x v="4"/>
  </r>
  <r>
    <s v="59031152059"/>
    <x v="0"/>
  </r>
  <r>
    <s v="84112185145"/>
    <x v="1"/>
  </r>
  <r>
    <s v="60102890107"/>
    <x v="2"/>
  </r>
  <r>
    <s v="84050694367"/>
    <x v="1"/>
  </r>
  <r>
    <s v="89041133472"/>
    <x v="1"/>
  </r>
  <r>
    <s v="82072219267"/>
    <x v="1"/>
  </r>
  <r>
    <s v="57102202414"/>
    <x v="0"/>
  </r>
  <r>
    <s v="55123128973"/>
    <x v="0"/>
  </r>
  <r>
    <s v="86070511185"/>
    <x v="1"/>
  </r>
  <r>
    <s v="81101148770"/>
    <x v="1"/>
  </r>
  <r>
    <s v="87071164662"/>
    <x v="1"/>
  </r>
  <r>
    <s v="51011153311"/>
    <x v="0"/>
  </r>
  <r>
    <s v="89052085069"/>
    <x v="1"/>
  </r>
  <r>
    <s v="50102636355"/>
    <x v="0"/>
  </r>
  <r>
    <s v="89011581319"/>
    <x v="1"/>
  </r>
  <r>
    <s v="53122299122"/>
    <x v="0"/>
  </r>
  <r>
    <s v="75113162747"/>
    <x v="3"/>
  </r>
  <r>
    <s v="89102588171"/>
    <x v="1"/>
  </r>
  <r>
    <s v="89022379914"/>
    <x v="1"/>
  </r>
  <r>
    <s v="92080709353"/>
    <x v="4"/>
  </r>
  <r>
    <s v="50101111305"/>
    <x v="0"/>
  </r>
  <r>
    <s v="89042620494"/>
    <x v="1"/>
  </r>
  <r>
    <s v="51102573842"/>
    <x v="0"/>
  </r>
  <r>
    <s v="89021697637"/>
    <x v="1"/>
  </r>
  <r>
    <s v="63092608644"/>
    <x v="2"/>
  </r>
  <r>
    <s v="78102945963"/>
    <x v="3"/>
  </r>
  <r>
    <s v="86061995325"/>
    <x v="1"/>
  </r>
  <r>
    <s v="78011115028"/>
    <x v="3"/>
  </r>
  <r>
    <s v="89042750933"/>
    <x v="1"/>
  </r>
  <r>
    <s v="89112466825"/>
    <x v="1"/>
  </r>
  <r>
    <s v="89020265394"/>
    <x v="1"/>
  </r>
  <r>
    <s v="66100651663"/>
    <x v="2"/>
  </r>
  <r>
    <s v="65062892381"/>
    <x v="2"/>
  </r>
  <r>
    <s v="69030626134"/>
    <x v="2"/>
  </r>
  <r>
    <s v="67113048790"/>
    <x v="2"/>
  </r>
  <r>
    <s v="84051840149"/>
    <x v="1"/>
  </r>
  <r>
    <s v="57073163051"/>
    <x v="0"/>
  </r>
  <r>
    <s v="81081010863"/>
    <x v="1"/>
  </r>
  <r>
    <s v="89062644823"/>
    <x v="1"/>
  </r>
  <r>
    <s v="52110446139"/>
    <x v="0"/>
  </r>
  <r>
    <s v="50021011352"/>
    <x v="0"/>
  </r>
  <r>
    <s v="65092056892"/>
    <x v="2"/>
  </r>
  <r>
    <s v="85052605175"/>
    <x v="1"/>
  </r>
  <r>
    <s v="89032143350"/>
    <x v="1"/>
  </r>
  <r>
    <s v="71123061643"/>
    <x v="3"/>
  </r>
  <r>
    <s v="73103000844"/>
    <x v="3"/>
  </r>
  <r>
    <s v="89012630357"/>
    <x v="1"/>
  </r>
  <r>
    <s v="73010399576"/>
    <x v="3"/>
  </r>
  <r>
    <s v="87070895372"/>
    <x v="1"/>
  </r>
  <r>
    <s v="60061144469"/>
    <x v="2"/>
  </r>
  <r>
    <s v="76043169949"/>
    <x v="3"/>
  </r>
  <r>
    <s v="79101146737"/>
    <x v="3"/>
  </r>
  <r>
    <s v="76043054555"/>
    <x v="3"/>
  </r>
  <r>
    <s v="89082608599"/>
    <x v="1"/>
  </r>
  <r>
    <s v="76122752028"/>
    <x v="3"/>
  </r>
  <r>
    <s v="77120835871"/>
    <x v="3"/>
  </r>
  <r>
    <s v="89010293604"/>
    <x v="1"/>
  </r>
  <r>
    <s v="89091482250"/>
    <x v="1"/>
  </r>
  <r>
    <s v="58122188027"/>
    <x v="0"/>
  </r>
  <r>
    <s v="89052295172"/>
    <x v="1"/>
  </r>
  <r>
    <s v="7907062783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47278-4474-46D1-8CB9-E154B6F55271}" name="Tabela przestawna1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 rowHeaderCaption="DZIESIĘCIOLECIA">
  <location ref="D1:E7" firstHeaderRow="1" firstDataRow="1" firstDataCol="1"/>
  <pivotFields count="2">
    <pivotField dataField="1" showAll="0"/>
    <pivotField axis="axisRow" showAll="0" sortType="ascending">
      <items count="11">
        <item m="1" x="5"/>
        <item x="0"/>
        <item m="1" x="7"/>
        <item x="2"/>
        <item m="1" x="8"/>
        <item x="3"/>
        <item m="1" x="6"/>
        <item x="1"/>
        <item m="1" x="9"/>
        <item x="4"/>
        <item t="default"/>
      </items>
    </pivotField>
  </pivotFields>
  <rowFields count="1">
    <field x="1"/>
  </rowFields>
  <rowItems count="6">
    <i>
      <x v="1"/>
    </i>
    <i>
      <x v="3"/>
    </i>
    <i>
      <x v="5"/>
    </i>
    <i>
      <x v="7"/>
    </i>
    <i>
      <x v="9"/>
    </i>
    <i t="grand">
      <x/>
    </i>
  </rowItems>
  <colItems count="1">
    <i/>
  </colItems>
  <dataFields count="1">
    <dataField name="LICZBA OSÓB" fld="0" subtotal="count" baseField="0" baseItem="0"/>
  </dataFields>
  <formats count="4"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7A5C24-936F-4DEE-B512-12023E491099}" autoFormatId="16" applyNumberFormats="0" applyBorderFormats="0" applyFontFormats="0" applyPatternFormats="0" applyAlignmentFormats="0" applyWidthHeightFormats="0">
  <queryTableRefresh nextId="4" unboundColumnsRight="2">
    <queryTableFields count="3">
      <queryTableField id="1" name="Column1" tableColumnId="1"/>
      <queryTableField id="2" dataBound="0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139E1F3-282F-499D-9A96-EB538F6C9902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lumn1" tableColumnId="1"/>
      <queryTableField id="2" dataBound="0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16572A9-D819-4284-A85D-9E1549C0F33B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lumn1" tableColumnId="1"/>
      <queryTableField id="2" dataBound="0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B91AAB2-574C-46C5-95A5-E2D6BBA14138}" autoFormatId="16" applyNumberFormats="0" applyBorderFormats="0" applyFontFormats="0" applyPatternFormats="0" applyAlignmentFormats="0" applyWidthHeightFormats="0">
  <queryTableRefresh nextId="14" unboundColumnsRight="12">
    <queryTableFields count="13">
      <queryTableField id="1" name="Column1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CE50103-B018-4513-B34C-7A2971F6AA96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lumn1" tableColumnId="1"/>
      <queryTableField id="2" dataBound="0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32E8CA-FE7C-497D-A039-331E5E0EA043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A5E04-6ADE-4EC1-92B5-D71167CF3FCE}" name="pesel" displayName="pesel" ref="A1:C151" tableType="queryTable" totalsRowShown="0">
  <autoFilter ref="A1:C151" xr:uid="{473A5E04-6ADE-4EC1-92B5-D71167CF3FCE}"/>
  <tableColumns count="3">
    <tableColumn id="1" xr3:uid="{9AA6FF54-AEF7-485D-ADDD-87558B439FD9}" uniqueName="1" name="pesle" queryTableFieldId="1" dataDxfId="33"/>
    <tableColumn id="2" xr3:uid="{925EAB79-D478-4506-B049-B8AE6FD1862C}" uniqueName="2" name="miesiąc urodzenia" queryTableFieldId="2" dataDxfId="32">
      <calculatedColumnFormula>RIGHT(LEFT(pesel[[#This Row],[pesle]],4),2)</calculatedColumnFormula>
    </tableColumn>
    <tableColumn id="3" xr3:uid="{EA0F162E-7CAA-427B-ACA0-1663F8D25FAD}" uniqueName="3" name="czyGrudzień" queryTableFieldId="3" dataDxfId="31">
      <calculatedColumnFormula>IF(pesel[[#This Row],[miesiąc urodzenia]]="12",1,0)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C73D77-08E2-4E0F-B3E2-781A63E89725}" name="pesel__24" displayName="pesel__24" ref="A1:B151" tableType="queryTable" totalsRowShown="0">
  <autoFilter ref="A1:B151" xr:uid="{5208CED1-4D49-4DA5-83E9-CF2015A7D7B8}"/>
  <tableColumns count="2">
    <tableColumn id="1" xr3:uid="{BFEF3AEA-BF35-483B-BE7B-D424E5B7E4D2}" uniqueName="1" name="pesle" queryTableFieldId="1" dataDxfId="29"/>
    <tableColumn id="2" xr3:uid="{27189D49-DA97-4D51-95D4-F16C30074F24}" uniqueName="2" name="czyMezczyzna" queryTableFieldId="2" dataDxfId="28">
      <calculatedColumnFormula>MOD(LEFT(RIGHT(A2,2),1),2)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EFFE50-5EE3-4BA1-AC69-6ED8C6ECFA1A}" name="pesel__25" displayName="pesel__25" ref="A1:B151" tableType="queryTable" totalsRowShown="0">
  <autoFilter ref="A1:B151" xr:uid="{5208CED1-4D49-4DA5-83E9-CF2015A7D7B8}"/>
  <tableColumns count="2">
    <tableColumn id="1" xr3:uid="{5F4AF284-C859-4DCB-8BA2-A12D8D1BB973}" uniqueName="1" name="pesle" queryTableFieldId="1" dataDxfId="27"/>
    <tableColumn id="2" xr3:uid="{1D0B3D6C-B3F4-4811-81FE-5E20EB254BA9}" uniqueName="2" name="ROK urodzenia" queryTableFieldId="2" dataDxfId="26">
      <calculatedColumnFormula>VALUE(_xlfn.CONCAT("19",LEFT(pesel__25[[#This Row],[pesle]],2)))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1FC9C4-69F3-43EB-9274-169BA74962B8}" name="pesel__26" displayName="pesel__26" ref="A1:M151" tableType="queryTable" totalsRowShown="0">
  <autoFilter ref="A1:M151" xr:uid="{5208CED1-4D49-4DA5-83E9-CF2015A7D7B8}">
    <filterColumn colId="12">
      <filters>
        <filter val="1"/>
      </filters>
    </filterColumn>
  </autoFilter>
  <sortState xmlns:xlrd2="http://schemas.microsoft.com/office/spreadsheetml/2017/richdata2" ref="A16:M146">
    <sortCondition ref="A1:A151"/>
  </sortState>
  <tableColumns count="13">
    <tableColumn id="1" xr3:uid="{5F919C11-765B-4E4E-8BA5-7E6AA6E2C2FA}" uniqueName="1" name="pesle" queryTableFieldId="1" dataDxfId="25"/>
    <tableColumn id="2" xr3:uid="{A4DB56F1-E3BA-4575-872B-3A0FB262669B}" uniqueName="2" name="SUMA 1" queryTableFieldId="2" dataDxfId="16">
      <calculatedColumnFormula>VALUE(MID($A2,LEFT(RIGHT(B$1,1),1),1))*VLOOKUP(VALUE(RIGHT(B$1,2)),$O$1:$P$11,2,FALSE)</calculatedColumnFormula>
    </tableColumn>
    <tableColumn id="3" xr3:uid="{71E29FA8-0C77-410B-B638-F2309D834E0E}" uniqueName="3" name="SUMA 2" queryTableFieldId="3" dataDxfId="24">
      <calculatedColumnFormula>VALUE(MID($A2,LEFT(RIGHT(C$1,1),1),1))*VLOOKUP(VALUE(RIGHT(C$1,2)),$O$1:$P$11,2,FALSE)</calculatedColumnFormula>
    </tableColumn>
    <tableColumn id="4" xr3:uid="{EA20EDB8-9293-43C8-8B46-1982FFFE9A6D}" uniqueName="4" name="SUMA 3" queryTableFieldId="4" dataDxfId="23">
      <calculatedColumnFormula>VALUE(MID($A2,LEFT(RIGHT(D$1,1),1),1))*VLOOKUP(VALUE(RIGHT(D$1,2)),$O$1:$P$11,2,FALSE)</calculatedColumnFormula>
    </tableColumn>
    <tableColumn id="5" xr3:uid="{4C255CCC-9CE9-4BB2-AD62-A33CF9260D53}" uniqueName="5" name="SUMA 4" queryTableFieldId="5" dataDxfId="22">
      <calculatedColumnFormula>VALUE(MID($A2,LEFT(RIGHT(E$1,1),1),1))*VLOOKUP(VALUE(RIGHT(E$1,2)),$O$1:$P$11,2,FALSE)</calculatedColumnFormula>
    </tableColumn>
    <tableColumn id="6" xr3:uid="{BE768300-9024-4E44-A623-6682FA4F57DB}" uniqueName="6" name="SUMA 5" queryTableFieldId="6" dataDxfId="21">
      <calculatedColumnFormula>VALUE(MID($A2,LEFT(RIGHT(F$1,1),1),1))*VLOOKUP(VALUE(RIGHT(F$1,2)),$O$1:$P$11,2,FALSE)</calculatedColumnFormula>
    </tableColumn>
    <tableColumn id="7" xr3:uid="{A1F545D1-D54C-4B46-B6C1-D8CA154E5415}" uniqueName="7" name="SUMA 6" queryTableFieldId="7" dataDxfId="20">
      <calculatedColumnFormula>VALUE(MID($A2,LEFT(RIGHT(G$1,1),1),1))*VLOOKUP(VALUE(RIGHT(G$1,2)),$O$1:$P$11,2,FALSE)</calculatedColumnFormula>
    </tableColumn>
    <tableColumn id="8" xr3:uid="{39984028-92A2-44D9-8DCB-E50CF341A432}" uniqueName="8" name="SUMA 7" queryTableFieldId="8" dataDxfId="19">
      <calculatedColumnFormula>VALUE(MID($A2,LEFT(RIGHT(H$1,1),1),1))*VLOOKUP(VALUE(RIGHT(H$1,2)),$O$1:$P$11,2,FALSE)</calculatedColumnFormula>
    </tableColumn>
    <tableColumn id="9" xr3:uid="{E2125006-4790-4F65-9837-DF715B2A78C8}" uniqueName="9" name="SUMA 8" queryTableFieldId="9" dataDxfId="18">
      <calculatedColumnFormula>VALUE(MID($A2,LEFT(RIGHT(I$1,1),1),1))*VLOOKUP(VALUE(RIGHT(I$1,2)),$O$1:$P$11,2,FALSE)</calculatedColumnFormula>
    </tableColumn>
    <tableColumn id="10" xr3:uid="{DDB9D7FC-C570-4136-94C2-FACEC2FF7655}" uniqueName="10" name="SUMA 9" queryTableFieldId="10" dataDxfId="17">
      <calculatedColumnFormula>VALUE(MID($A2,LEFT(RIGHT(J$1,1),1),1))*VLOOKUP(VALUE(RIGHT(J$1,2)),$O$1:$P$11,2,FALSE)</calculatedColumnFormula>
    </tableColumn>
    <tableColumn id="11" xr3:uid="{D565FCC7-FBB9-4CFC-AAB8-0698F6F31A15}" uniqueName="11" name="SUMA 10" queryTableFieldId="11" dataDxfId="15">
      <calculatedColumnFormula>VALUE(MID($A2,10,1))*VLOOKUP(VALUE(RIGHT(K$1,2)),$O$1:$P$11,2,FALSE)</calculatedColumnFormula>
    </tableColumn>
    <tableColumn id="12" xr3:uid="{1978C816-D337-4237-8EEA-A33DB1D341AB}" uniqueName="12" name="CYFRA KONTROLNA" queryTableFieldId="12" dataDxfId="14">
      <calculatedColumnFormula>IF(MOD(SUM(pesel__26[[#This Row],[SUMA 1]:[SUMA 10]]),10)=0,0,10-MOD(SUM(pesel__26[[#This Row],[SUMA 1]:[SUMA 10]]),10))</calculatedColumnFormula>
    </tableColumn>
    <tableColumn id="13" xr3:uid="{CFF6EBA6-B6FC-41B2-A6E8-8C7C191D9B43}" uniqueName="13" name="czyZŁY" queryTableFieldId="13" dataDxfId="11">
      <calculatedColumnFormula>IF(pesel__26[[#This Row],[CYFRA KONTROLNA]]=VALUE(RIGHT(A2,1)),0,1)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23CE24-73D8-402A-996F-43F5EC240435}" name="pesel__27" displayName="pesel__27" ref="A1:B151" tableType="queryTable" totalsRowShown="0">
  <autoFilter ref="A1:B151" xr:uid="{5208CED1-4D49-4DA5-83E9-CF2015A7D7B8}"/>
  <tableColumns count="2">
    <tableColumn id="1" xr3:uid="{F2E8E30C-41B9-477E-AA17-7FC372E5FCB4}" uniqueName="1" name="pesle" queryTableFieldId="1" dataDxfId="10"/>
    <tableColumn id="2" xr3:uid="{CC951E73-99C2-4DCC-B138-0CD3716E14F4}" uniqueName="2" name="DZIESIĘCIOLECIE" queryTableFieldId="2" dataDxfId="9">
      <calculatedColumnFormula>_xlfn.CONCAT(LEFT(pesel__27[[#This Row],[pesle]],1),0)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08CED1-4D49-4DA5-83E9-CF2015A7D7B8}" name="pesel__2" displayName="pesel__2" ref="A1:A151" tableType="queryTable" totalsRowShown="0">
  <autoFilter ref="A1:A151" xr:uid="{5208CED1-4D49-4DA5-83E9-CF2015A7D7B8}"/>
  <tableColumns count="1">
    <tableColumn id="1" xr3:uid="{ADF1C78F-9AEA-4A67-912A-DE005DECE074}" uniqueName="1" name="pesle" queryTableFieldId="1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698D-215D-4FAC-954E-A707C8AD6A88}">
  <dimension ref="A1:E151"/>
  <sheetViews>
    <sheetView workbookViewId="0">
      <selection activeCell="E2" sqref="E2"/>
    </sheetView>
  </sheetViews>
  <sheetFormatPr defaultRowHeight="15" x14ac:dyDescent="0.25"/>
  <cols>
    <col min="1" max="1" width="12" bestFit="1" customWidth="1"/>
    <col min="2" max="2" width="19.5703125" bestFit="1" customWidth="1"/>
    <col min="5" max="5" width="37.140625" bestFit="1" customWidth="1"/>
  </cols>
  <sheetData>
    <row r="1" spans="1:5" x14ac:dyDescent="0.25">
      <c r="A1" t="s">
        <v>150</v>
      </c>
      <c r="B1" t="s">
        <v>151</v>
      </c>
      <c r="C1" t="s">
        <v>152</v>
      </c>
      <c r="E1" t="s">
        <v>153</v>
      </c>
    </row>
    <row r="2" spans="1:5" x14ac:dyDescent="0.25">
      <c r="A2" s="1" t="s">
        <v>0</v>
      </c>
      <c r="B2" s="1" t="str">
        <f>RIGHT(LEFT(pesel[[#This Row],[pesle]],4),2)</f>
        <v>08</v>
      </c>
      <c r="C2" s="1">
        <f>IF(pesel[[#This Row],[miesiąc urodzenia]]="12",1,0)</f>
        <v>0</v>
      </c>
      <c r="E2" s="2">
        <f>SUM(pesel[czyGrudzień])</f>
        <v>20</v>
      </c>
    </row>
    <row r="3" spans="1:5" x14ac:dyDescent="0.25">
      <c r="A3" s="1" t="s">
        <v>1</v>
      </c>
      <c r="B3" s="1" t="str">
        <f>RIGHT(LEFT(pesel[[#This Row],[pesle]],4),2)</f>
        <v>10</v>
      </c>
      <c r="C3" s="1">
        <f>IF(pesel[[#This Row],[miesiąc urodzenia]]="12",1,0)</f>
        <v>0</v>
      </c>
    </row>
    <row r="4" spans="1:5" x14ac:dyDescent="0.25">
      <c r="A4" s="1" t="s">
        <v>2</v>
      </c>
      <c r="B4" s="1" t="str">
        <f>RIGHT(LEFT(pesel[[#This Row],[pesle]],4),2)</f>
        <v>11</v>
      </c>
      <c r="C4" s="1">
        <f>IF(pesel[[#This Row],[miesiąc urodzenia]]="12",1,0)</f>
        <v>0</v>
      </c>
    </row>
    <row r="5" spans="1:5" x14ac:dyDescent="0.25">
      <c r="A5" s="1" t="s">
        <v>3</v>
      </c>
      <c r="B5" s="1" t="str">
        <f>RIGHT(LEFT(pesel[[#This Row],[pesle]],4),2)</f>
        <v>08</v>
      </c>
      <c r="C5" s="1">
        <f>IF(pesel[[#This Row],[miesiąc urodzenia]]="12",1,0)</f>
        <v>0</v>
      </c>
    </row>
    <row r="6" spans="1:5" x14ac:dyDescent="0.25">
      <c r="A6" s="1" t="s">
        <v>4</v>
      </c>
      <c r="B6" s="1" t="str">
        <f>RIGHT(LEFT(pesel[[#This Row],[pesle]],4),2)</f>
        <v>01</v>
      </c>
      <c r="C6" s="1">
        <f>IF(pesel[[#This Row],[miesiąc urodzenia]]="12",1,0)</f>
        <v>0</v>
      </c>
    </row>
    <row r="7" spans="1:5" x14ac:dyDescent="0.25">
      <c r="A7" s="1" t="s">
        <v>5</v>
      </c>
      <c r="B7" s="1" t="str">
        <f>RIGHT(LEFT(pesel[[#This Row],[pesle]],4),2)</f>
        <v>03</v>
      </c>
      <c r="C7" s="1">
        <f>IF(pesel[[#This Row],[miesiąc urodzenia]]="12",1,0)</f>
        <v>0</v>
      </c>
    </row>
    <row r="8" spans="1:5" x14ac:dyDescent="0.25">
      <c r="A8" s="1" t="s">
        <v>6</v>
      </c>
      <c r="B8" s="1" t="str">
        <f>RIGHT(LEFT(pesel[[#This Row],[pesle]],4),2)</f>
        <v>09</v>
      </c>
      <c r="C8" s="1">
        <f>IF(pesel[[#This Row],[miesiąc urodzenia]]="12",1,0)</f>
        <v>0</v>
      </c>
    </row>
    <row r="9" spans="1:5" x14ac:dyDescent="0.25">
      <c r="A9" s="1" t="s">
        <v>7</v>
      </c>
      <c r="B9" s="1" t="str">
        <f>RIGHT(LEFT(pesel[[#This Row],[pesle]],4),2)</f>
        <v>06</v>
      </c>
      <c r="C9" s="1">
        <f>IF(pesel[[#This Row],[miesiąc urodzenia]]="12",1,0)</f>
        <v>0</v>
      </c>
    </row>
    <row r="10" spans="1:5" x14ac:dyDescent="0.25">
      <c r="A10" s="1" t="s">
        <v>8</v>
      </c>
      <c r="B10" s="1" t="str">
        <f>RIGHT(LEFT(pesel[[#This Row],[pesle]],4),2)</f>
        <v>12</v>
      </c>
      <c r="C10" s="1">
        <f>IF(pesel[[#This Row],[miesiąc urodzenia]]="12",1,0)</f>
        <v>1</v>
      </c>
    </row>
    <row r="11" spans="1:5" x14ac:dyDescent="0.25">
      <c r="A11" s="1" t="s">
        <v>9</v>
      </c>
      <c r="B11" s="1" t="str">
        <f>RIGHT(LEFT(pesel[[#This Row],[pesle]],4),2)</f>
        <v>12</v>
      </c>
      <c r="C11" s="1">
        <f>IF(pesel[[#This Row],[miesiąc urodzenia]]="12",1,0)</f>
        <v>1</v>
      </c>
    </row>
    <row r="12" spans="1:5" x14ac:dyDescent="0.25">
      <c r="A12" s="1" t="s">
        <v>10</v>
      </c>
      <c r="B12" s="1" t="str">
        <f>RIGHT(LEFT(pesel[[#This Row],[pesle]],4),2)</f>
        <v>12</v>
      </c>
      <c r="C12" s="1">
        <f>IF(pesel[[#This Row],[miesiąc urodzenia]]="12",1,0)</f>
        <v>1</v>
      </c>
    </row>
    <row r="13" spans="1:5" x14ac:dyDescent="0.25">
      <c r="A13" s="1" t="s">
        <v>11</v>
      </c>
      <c r="B13" s="1" t="str">
        <f>RIGHT(LEFT(pesel[[#This Row],[pesle]],4),2)</f>
        <v>11</v>
      </c>
      <c r="C13" s="1">
        <f>IF(pesel[[#This Row],[miesiąc urodzenia]]="12",1,0)</f>
        <v>0</v>
      </c>
    </row>
    <row r="14" spans="1:5" x14ac:dyDescent="0.25">
      <c r="A14" s="1" t="s">
        <v>12</v>
      </c>
      <c r="B14" s="1" t="str">
        <f>RIGHT(LEFT(pesel[[#This Row],[pesle]],4),2)</f>
        <v>01</v>
      </c>
      <c r="C14" s="1">
        <f>IF(pesel[[#This Row],[miesiąc urodzenia]]="12",1,0)</f>
        <v>0</v>
      </c>
    </row>
    <row r="15" spans="1:5" x14ac:dyDescent="0.25">
      <c r="A15" s="1" t="s">
        <v>13</v>
      </c>
      <c r="B15" s="1" t="str">
        <f>RIGHT(LEFT(pesel[[#This Row],[pesle]],4),2)</f>
        <v>10</v>
      </c>
      <c r="C15" s="1">
        <f>IF(pesel[[#This Row],[miesiąc urodzenia]]="12",1,0)</f>
        <v>0</v>
      </c>
    </row>
    <row r="16" spans="1:5" x14ac:dyDescent="0.25">
      <c r="A16" s="1" t="s">
        <v>14</v>
      </c>
      <c r="B16" s="1" t="str">
        <f>RIGHT(LEFT(pesel[[#This Row],[pesle]],4),2)</f>
        <v>03</v>
      </c>
      <c r="C16" s="1">
        <f>IF(pesel[[#This Row],[miesiąc urodzenia]]="12",1,0)</f>
        <v>0</v>
      </c>
    </row>
    <row r="17" spans="1:3" x14ac:dyDescent="0.25">
      <c r="A17" s="1" t="s">
        <v>15</v>
      </c>
      <c r="B17" s="1" t="str">
        <f>RIGHT(LEFT(pesel[[#This Row],[pesle]],4),2)</f>
        <v>03</v>
      </c>
      <c r="C17" s="1">
        <f>IF(pesel[[#This Row],[miesiąc urodzenia]]="12",1,0)</f>
        <v>0</v>
      </c>
    </row>
    <row r="18" spans="1:3" x14ac:dyDescent="0.25">
      <c r="A18" s="1" t="s">
        <v>16</v>
      </c>
      <c r="B18" s="1" t="str">
        <f>RIGHT(LEFT(pesel[[#This Row],[pesle]],4),2)</f>
        <v>11</v>
      </c>
      <c r="C18" s="1">
        <f>IF(pesel[[#This Row],[miesiąc urodzenia]]="12",1,0)</f>
        <v>0</v>
      </c>
    </row>
    <row r="19" spans="1:3" x14ac:dyDescent="0.25">
      <c r="A19" s="1" t="s">
        <v>17</v>
      </c>
      <c r="B19" s="1" t="str">
        <f>RIGHT(LEFT(pesel[[#This Row],[pesle]],4),2)</f>
        <v>10</v>
      </c>
      <c r="C19" s="1">
        <f>IF(pesel[[#This Row],[miesiąc urodzenia]]="12",1,0)</f>
        <v>0</v>
      </c>
    </row>
    <row r="20" spans="1:3" x14ac:dyDescent="0.25">
      <c r="A20" s="1" t="s">
        <v>18</v>
      </c>
      <c r="B20" s="1" t="str">
        <f>RIGHT(LEFT(pesel[[#This Row],[pesle]],4),2)</f>
        <v>07</v>
      </c>
      <c r="C20" s="1">
        <f>IF(pesel[[#This Row],[miesiąc urodzenia]]="12",1,0)</f>
        <v>0</v>
      </c>
    </row>
    <row r="21" spans="1:3" x14ac:dyDescent="0.25">
      <c r="A21" s="1" t="s">
        <v>19</v>
      </c>
      <c r="B21" s="1" t="str">
        <f>RIGHT(LEFT(pesel[[#This Row],[pesle]],4),2)</f>
        <v>02</v>
      </c>
      <c r="C21" s="1">
        <f>IF(pesel[[#This Row],[miesiąc urodzenia]]="12",1,0)</f>
        <v>0</v>
      </c>
    </row>
    <row r="22" spans="1:3" x14ac:dyDescent="0.25">
      <c r="A22" s="1" t="s">
        <v>20</v>
      </c>
      <c r="B22" s="1" t="str">
        <f>RIGHT(LEFT(pesel[[#This Row],[pesle]],4),2)</f>
        <v>04</v>
      </c>
      <c r="C22" s="1">
        <f>IF(pesel[[#This Row],[miesiąc urodzenia]]="12",1,0)</f>
        <v>0</v>
      </c>
    </row>
    <row r="23" spans="1:3" x14ac:dyDescent="0.25">
      <c r="A23" s="1" t="s">
        <v>21</v>
      </c>
      <c r="B23" s="1" t="str">
        <f>RIGHT(LEFT(pesel[[#This Row],[pesle]],4),2)</f>
        <v>07</v>
      </c>
      <c r="C23" s="1">
        <f>IF(pesel[[#This Row],[miesiąc urodzenia]]="12",1,0)</f>
        <v>0</v>
      </c>
    </row>
    <row r="24" spans="1:3" x14ac:dyDescent="0.25">
      <c r="A24" s="1" t="s">
        <v>22</v>
      </c>
      <c r="B24" s="1" t="str">
        <f>RIGHT(LEFT(pesel[[#This Row],[pesle]],4),2)</f>
        <v>11</v>
      </c>
      <c r="C24" s="1">
        <f>IF(pesel[[#This Row],[miesiąc urodzenia]]="12",1,0)</f>
        <v>0</v>
      </c>
    </row>
    <row r="25" spans="1:3" x14ac:dyDescent="0.25">
      <c r="A25" s="1" t="s">
        <v>23</v>
      </c>
      <c r="B25" s="1" t="str">
        <f>RIGHT(LEFT(pesel[[#This Row],[pesle]],4),2)</f>
        <v>07</v>
      </c>
      <c r="C25" s="1">
        <f>IF(pesel[[#This Row],[miesiąc urodzenia]]="12",1,0)</f>
        <v>0</v>
      </c>
    </row>
    <row r="26" spans="1:3" x14ac:dyDescent="0.25">
      <c r="A26" s="1" t="s">
        <v>24</v>
      </c>
      <c r="B26" s="1" t="str">
        <f>RIGHT(LEFT(pesel[[#This Row],[pesle]],4),2)</f>
        <v>04</v>
      </c>
      <c r="C26" s="1">
        <f>IF(pesel[[#This Row],[miesiąc urodzenia]]="12",1,0)</f>
        <v>0</v>
      </c>
    </row>
    <row r="27" spans="1:3" x14ac:dyDescent="0.25">
      <c r="A27" s="1" t="s">
        <v>25</v>
      </c>
      <c r="B27" s="1" t="str">
        <f>RIGHT(LEFT(pesel[[#This Row],[pesle]],4),2)</f>
        <v>05</v>
      </c>
      <c r="C27" s="1">
        <f>IF(pesel[[#This Row],[miesiąc urodzenia]]="12",1,0)</f>
        <v>0</v>
      </c>
    </row>
    <row r="28" spans="1:3" x14ac:dyDescent="0.25">
      <c r="A28" s="1" t="s">
        <v>26</v>
      </c>
      <c r="B28" s="1" t="str">
        <f>RIGHT(LEFT(pesel[[#This Row],[pesle]],4),2)</f>
        <v>05</v>
      </c>
      <c r="C28" s="1">
        <f>IF(pesel[[#This Row],[miesiąc urodzenia]]="12",1,0)</f>
        <v>0</v>
      </c>
    </row>
    <row r="29" spans="1:3" x14ac:dyDescent="0.25">
      <c r="A29" s="1" t="s">
        <v>27</v>
      </c>
      <c r="B29" s="1" t="str">
        <f>RIGHT(LEFT(pesel[[#This Row],[pesle]],4),2)</f>
        <v>02</v>
      </c>
      <c r="C29" s="1">
        <f>IF(pesel[[#This Row],[miesiąc urodzenia]]="12",1,0)</f>
        <v>0</v>
      </c>
    </row>
    <row r="30" spans="1:3" x14ac:dyDescent="0.25">
      <c r="A30" s="1" t="s">
        <v>28</v>
      </c>
      <c r="B30" s="1" t="str">
        <f>RIGHT(LEFT(pesel[[#This Row],[pesle]],4),2)</f>
        <v>04</v>
      </c>
      <c r="C30" s="1">
        <f>IF(pesel[[#This Row],[miesiąc urodzenia]]="12",1,0)</f>
        <v>0</v>
      </c>
    </row>
    <row r="31" spans="1:3" x14ac:dyDescent="0.25">
      <c r="A31" s="1" t="s">
        <v>29</v>
      </c>
      <c r="B31" s="1" t="str">
        <f>RIGHT(LEFT(pesel[[#This Row],[pesle]],4),2)</f>
        <v>10</v>
      </c>
      <c r="C31" s="1">
        <f>IF(pesel[[#This Row],[miesiąc urodzenia]]="12",1,0)</f>
        <v>0</v>
      </c>
    </row>
    <row r="32" spans="1:3" x14ac:dyDescent="0.25">
      <c r="A32" s="1" t="s">
        <v>30</v>
      </c>
      <c r="B32" s="1" t="str">
        <f>RIGHT(LEFT(pesel[[#This Row],[pesle]],4),2)</f>
        <v>10</v>
      </c>
      <c r="C32" s="1">
        <f>IF(pesel[[#This Row],[miesiąc urodzenia]]="12",1,0)</f>
        <v>0</v>
      </c>
    </row>
    <row r="33" spans="1:3" x14ac:dyDescent="0.25">
      <c r="A33" s="1" t="s">
        <v>31</v>
      </c>
      <c r="B33" s="1" t="str">
        <f>RIGHT(LEFT(pesel[[#This Row],[pesle]],4),2)</f>
        <v>04</v>
      </c>
      <c r="C33" s="1">
        <f>IF(pesel[[#This Row],[miesiąc urodzenia]]="12",1,0)</f>
        <v>0</v>
      </c>
    </row>
    <row r="34" spans="1:3" x14ac:dyDescent="0.25">
      <c r="A34" s="1" t="s">
        <v>32</v>
      </c>
      <c r="B34" s="1" t="str">
        <f>RIGHT(LEFT(pesel[[#This Row],[pesle]],4),2)</f>
        <v>12</v>
      </c>
      <c r="C34" s="1">
        <f>IF(pesel[[#This Row],[miesiąc urodzenia]]="12",1,0)</f>
        <v>1</v>
      </c>
    </row>
    <row r="35" spans="1:3" x14ac:dyDescent="0.25">
      <c r="A35" s="1" t="s">
        <v>33</v>
      </c>
      <c r="B35" s="1" t="str">
        <f>RIGHT(LEFT(pesel[[#This Row],[pesle]],4),2)</f>
        <v>08</v>
      </c>
      <c r="C35" s="1">
        <f>IF(pesel[[#This Row],[miesiąc urodzenia]]="12",1,0)</f>
        <v>0</v>
      </c>
    </row>
    <row r="36" spans="1:3" x14ac:dyDescent="0.25">
      <c r="A36" s="1" t="s">
        <v>34</v>
      </c>
      <c r="B36" s="1" t="str">
        <f>RIGHT(LEFT(pesel[[#This Row],[pesle]],4),2)</f>
        <v>03</v>
      </c>
      <c r="C36" s="1">
        <f>IF(pesel[[#This Row],[miesiąc urodzenia]]="12",1,0)</f>
        <v>0</v>
      </c>
    </row>
    <row r="37" spans="1:3" x14ac:dyDescent="0.25">
      <c r="A37" s="1" t="s">
        <v>35</v>
      </c>
      <c r="B37" s="1" t="str">
        <f>RIGHT(LEFT(pesel[[#This Row],[pesle]],4),2)</f>
        <v>08</v>
      </c>
      <c r="C37" s="1">
        <f>IF(pesel[[#This Row],[miesiąc urodzenia]]="12",1,0)</f>
        <v>0</v>
      </c>
    </row>
    <row r="38" spans="1:3" x14ac:dyDescent="0.25">
      <c r="A38" s="1" t="s">
        <v>36</v>
      </c>
      <c r="B38" s="1" t="str">
        <f>RIGHT(LEFT(pesel[[#This Row],[pesle]],4),2)</f>
        <v>11</v>
      </c>
      <c r="C38" s="1">
        <f>IF(pesel[[#This Row],[miesiąc urodzenia]]="12",1,0)</f>
        <v>0</v>
      </c>
    </row>
    <row r="39" spans="1:3" x14ac:dyDescent="0.25">
      <c r="A39" s="1" t="s">
        <v>37</v>
      </c>
      <c r="B39" s="1" t="str">
        <f>RIGHT(LEFT(pesel[[#This Row],[pesle]],4),2)</f>
        <v>11</v>
      </c>
      <c r="C39" s="1">
        <f>IF(pesel[[#This Row],[miesiąc urodzenia]]="12",1,0)</f>
        <v>0</v>
      </c>
    </row>
    <row r="40" spans="1:3" x14ac:dyDescent="0.25">
      <c r="A40" s="1" t="s">
        <v>38</v>
      </c>
      <c r="B40" s="1" t="str">
        <f>RIGHT(LEFT(pesel[[#This Row],[pesle]],4),2)</f>
        <v>10</v>
      </c>
      <c r="C40" s="1">
        <f>IF(pesel[[#This Row],[miesiąc urodzenia]]="12",1,0)</f>
        <v>0</v>
      </c>
    </row>
    <row r="41" spans="1:3" x14ac:dyDescent="0.25">
      <c r="A41" s="1" t="s">
        <v>39</v>
      </c>
      <c r="B41" s="1" t="str">
        <f>RIGHT(LEFT(pesel[[#This Row],[pesle]],4),2)</f>
        <v>08</v>
      </c>
      <c r="C41" s="1">
        <f>IF(pesel[[#This Row],[miesiąc urodzenia]]="12",1,0)</f>
        <v>0</v>
      </c>
    </row>
    <row r="42" spans="1:3" x14ac:dyDescent="0.25">
      <c r="A42" s="1" t="s">
        <v>40</v>
      </c>
      <c r="B42" s="1" t="str">
        <f>RIGHT(LEFT(pesel[[#This Row],[pesle]],4),2)</f>
        <v>09</v>
      </c>
      <c r="C42" s="1">
        <f>IF(pesel[[#This Row],[miesiąc urodzenia]]="12",1,0)</f>
        <v>0</v>
      </c>
    </row>
    <row r="43" spans="1:3" x14ac:dyDescent="0.25">
      <c r="A43" s="1" t="s">
        <v>41</v>
      </c>
      <c r="B43" s="1" t="str">
        <f>RIGHT(LEFT(pesel[[#This Row],[pesle]],4),2)</f>
        <v>02</v>
      </c>
      <c r="C43" s="1">
        <f>IF(pesel[[#This Row],[miesiąc urodzenia]]="12",1,0)</f>
        <v>0</v>
      </c>
    </row>
    <row r="44" spans="1:3" x14ac:dyDescent="0.25">
      <c r="A44" s="1" t="s">
        <v>42</v>
      </c>
      <c r="B44" s="1" t="str">
        <f>RIGHT(LEFT(pesel[[#This Row],[pesle]],4),2)</f>
        <v>10</v>
      </c>
      <c r="C44" s="1">
        <f>IF(pesel[[#This Row],[miesiąc urodzenia]]="12",1,0)</f>
        <v>0</v>
      </c>
    </row>
    <row r="45" spans="1:3" x14ac:dyDescent="0.25">
      <c r="A45" s="1" t="s">
        <v>43</v>
      </c>
      <c r="B45" s="1" t="str">
        <f>RIGHT(LEFT(pesel[[#This Row],[pesle]],4),2)</f>
        <v>11</v>
      </c>
      <c r="C45" s="1">
        <f>IF(pesel[[#This Row],[miesiąc urodzenia]]="12",1,0)</f>
        <v>0</v>
      </c>
    </row>
    <row r="46" spans="1:3" x14ac:dyDescent="0.25">
      <c r="A46" s="1" t="s">
        <v>44</v>
      </c>
      <c r="B46" s="1" t="str">
        <f>RIGHT(LEFT(pesel[[#This Row],[pesle]],4),2)</f>
        <v>10</v>
      </c>
      <c r="C46" s="1">
        <f>IF(pesel[[#This Row],[miesiąc urodzenia]]="12",1,0)</f>
        <v>0</v>
      </c>
    </row>
    <row r="47" spans="1:3" x14ac:dyDescent="0.25">
      <c r="A47" s="1" t="s">
        <v>45</v>
      </c>
      <c r="B47" s="1" t="str">
        <f>RIGHT(LEFT(pesel[[#This Row],[pesle]],4),2)</f>
        <v>11</v>
      </c>
      <c r="C47" s="1">
        <f>IF(pesel[[#This Row],[miesiąc urodzenia]]="12",1,0)</f>
        <v>0</v>
      </c>
    </row>
    <row r="48" spans="1:3" x14ac:dyDescent="0.25">
      <c r="A48" s="1" t="s">
        <v>46</v>
      </c>
      <c r="B48" s="1" t="str">
        <f>RIGHT(LEFT(pesel[[#This Row],[pesle]],4),2)</f>
        <v>12</v>
      </c>
      <c r="C48" s="1">
        <f>IF(pesel[[#This Row],[miesiąc urodzenia]]="12",1,0)</f>
        <v>1</v>
      </c>
    </row>
    <row r="49" spans="1:3" x14ac:dyDescent="0.25">
      <c r="A49" s="1" t="s">
        <v>47</v>
      </c>
      <c r="B49" s="1" t="str">
        <f>RIGHT(LEFT(pesel[[#This Row],[pesle]],4),2)</f>
        <v>11</v>
      </c>
      <c r="C49" s="1">
        <f>IF(pesel[[#This Row],[miesiąc urodzenia]]="12",1,0)</f>
        <v>0</v>
      </c>
    </row>
    <row r="50" spans="1:3" x14ac:dyDescent="0.25">
      <c r="A50" s="1" t="s">
        <v>48</v>
      </c>
      <c r="B50" s="1" t="str">
        <f>RIGHT(LEFT(pesel[[#This Row],[pesle]],4),2)</f>
        <v>12</v>
      </c>
      <c r="C50" s="1">
        <f>IF(pesel[[#This Row],[miesiąc urodzenia]]="12",1,0)</f>
        <v>1</v>
      </c>
    </row>
    <row r="51" spans="1:3" x14ac:dyDescent="0.25">
      <c r="A51" s="1" t="s">
        <v>49</v>
      </c>
      <c r="B51" s="1" t="str">
        <f>RIGHT(LEFT(pesel[[#This Row],[pesle]],4),2)</f>
        <v>08</v>
      </c>
      <c r="C51" s="1">
        <f>IF(pesel[[#This Row],[miesiąc urodzenia]]="12",1,0)</f>
        <v>0</v>
      </c>
    </row>
    <row r="52" spans="1:3" x14ac:dyDescent="0.25">
      <c r="A52" s="1" t="s">
        <v>50</v>
      </c>
      <c r="B52" s="1" t="str">
        <f>RIGHT(LEFT(pesel[[#This Row],[pesle]],4),2)</f>
        <v>07</v>
      </c>
      <c r="C52" s="1">
        <f>IF(pesel[[#This Row],[miesiąc urodzenia]]="12",1,0)</f>
        <v>0</v>
      </c>
    </row>
    <row r="53" spans="1:3" x14ac:dyDescent="0.25">
      <c r="A53" s="1" t="s">
        <v>51</v>
      </c>
      <c r="B53" s="1" t="str">
        <f>RIGHT(LEFT(pesel[[#This Row],[pesle]],4),2)</f>
        <v>12</v>
      </c>
      <c r="C53" s="1">
        <f>IF(pesel[[#This Row],[miesiąc urodzenia]]="12",1,0)</f>
        <v>1</v>
      </c>
    </row>
    <row r="54" spans="1:3" x14ac:dyDescent="0.25">
      <c r="A54" s="1" t="s">
        <v>52</v>
      </c>
      <c r="B54" s="1" t="str">
        <f>RIGHT(LEFT(pesel[[#This Row],[pesle]],4),2)</f>
        <v>11</v>
      </c>
      <c r="C54" s="1">
        <f>IF(pesel[[#This Row],[miesiąc urodzenia]]="12",1,0)</f>
        <v>0</v>
      </c>
    </row>
    <row r="55" spans="1:3" x14ac:dyDescent="0.25">
      <c r="A55" s="1" t="s">
        <v>53</v>
      </c>
      <c r="B55" s="1" t="str">
        <f>RIGHT(LEFT(pesel[[#This Row],[pesle]],4),2)</f>
        <v>04</v>
      </c>
      <c r="C55" s="1">
        <f>IF(pesel[[#This Row],[miesiąc urodzenia]]="12",1,0)</f>
        <v>0</v>
      </c>
    </row>
    <row r="56" spans="1:3" x14ac:dyDescent="0.25">
      <c r="A56" s="1" t="s">
        <v>54</v>
      </c>
      <c r="B56" s="1" t="str">
        <f>RIGHT(LEFT(pesel[[#This Row],[pesle]],4),2)</f>
        <v>12</v>
      </c>
      <c r="C56" s="1">
        <f>IF(pesel[[#This Row],[miesiąc urodzenia]]="12",1,0)</f>
        <v>1</v>
      </c>
    </row>
    <row r="57" spans="1:3" x14ac:dyDescent="0.25">
      <c r="A57" s="1" t="s">
        <v>55</v>
      </c>
      <c r="B57" s="1" t="str">
        <f>RIGHT(LEFT(pesel[[#This Row],[pesle]],4),2)</f>
        <v>05</v>
      </c>
      <c r="C57" s="1">
        <f>IF(pesel[[#This Row],[miesiąc urodzenia]]="12",1,0)</f>
        <v>0</v>
      </c>
    </row>
    <row r="58" spans="1:3" x14ac:dyDescent="0.25">
      <c r="A58" s="1" t="s">
        <v>56</v>
      </c>
      <c r="B58" s="1" t="str">
        <f>RIGHT(LEFT(pesel[[#This Row],[pesle]],4),2)</f>
        <v>11</v>
      </c>
      <c r="C58" s="1">
        <f>IF(pesel[[#This Row],[miesiąc urodzenia]]="12",1,0)</f>
        <v>0</v>
      </c>
    </row>
    <row r="59" spans="1:3" x14ac:dyDescent="0.25">
      <c r="A59" s="1" t="s">
        <v>57</v>
      </c>
      <c r="B59" s="1" t="str">
        <f>RIGHT(LEFT(pesel[[#This Row],[pesle]],4),2)</f>
        <v>11</v>
      </c>
      <c r="C59" s="1">
        <f>IF(pesel[[#This Row],[miesiąc urodzenia]]="12",1,0)</f>
        <v>0</v>
      </c>
    </row>
    <row r="60" spans="1:3" x14ac:dyDescent="0.25">
      <c r="A60" s="1" t="s">
        <v>58</v>
      </c>
      <c r="B60" s="1" t="str">
        <f>RIGHT(LEFT(pesel[[#This Row],[pesle]],4),2)</f>
        <v>04</v>
      </c>
      <c r="C60" s="1">
        <f>IF(pesel[[#This Row],[miesiąc urodzenia]]="12",1,0)</f>
        <v>0</v>
      </c>
    </row>
    <row r="61" spans="1:3" x14ac:dyDescent="0.25">
      <c r="A61" s="1" t="s">
        <v>59</v>
      </c>
      <c r="B61" s="1" t="str">
        <f>RIGHT(LEFT(pesel[[#This Row],[pesle]],4),2)</f>
        <v>05</v>
      </c>
      <c r="C61" s="1">
        <f>IF(pesel[[#This Row],[miesiąc urodzenia]]="12",1,0)</f>
        <v>0</v>
      </c>
    </row>
    <row r="62" spans="1:3" x14ac:dyDescent="0.25">
      <c r="A62" s="1" t="s">
        <v>60</v>
      </c>
      <c r="B62" s="1" t="str">
        <f>RIGHT(LEFT(pesel[[#This Row],[pesle]],4),2)</f>
        <v>12</v>
      </c>
      <c r="C62" s="1">
        <f>IF(pesel[[#This Row],[miesiąc urodzenia]]="12",1,0)</f>
        <v>1</v>
      </c>
    </row>
    <row r="63" spans="1:3" x14ac:dyDescent="0.25">
      <c r="A63" s="1" t="s">
        <v>61</v>
      </c>
      <c r="B63" s="1" t="str">
        <f>RIGHT(LEFT(pesel[[#This Row],[pesle]],4),2)</f>
        <v>11</v>
      </c>
      <c r="C63" s="1">
        <f>IF(pesel[[#This Row],[miesiąc urodzenia]]="12",1,0)</f>
        <v>0</v>
      </c>
    </row>
    <row r="64" spans="1:3" x14ac:dyDescent="0.25">
      <c r="A64" s="1" t="s">
        <v>62</v>
      </c>
      <c r="B64" s="1" t="str">
        <f>RIGHT(LEFT(pesel[[#This Row],[pesle]],4),2)</f>
        <v>03</v>
      </c>
      <c r="C64" s="1">
        <f>IF(pesel[[#This Row],[miesiąc urodzenia]]="12",1,0)</f>
        <v>0</v>
      </c>
    </row>
    <row r="65" spans="1:3" x14ac:dyDescent="0.25">
      <c r="A65" s="1" t="s">
        <v>63</v>
      </c>
      <c r="B65" s="1" t="str">
        <f>RIGHT(LEFT(pesel[[#This Row],[pesle]],4),2)</f>
        <v>05</v>
      </c>
      <c r="C65" s="1">
        <f>IF(pesel[[#This Row],[miesiąc urodzenia]]="12",1,0)</f>
        <v>0</v>
      </c>
    </row>
    <row r="66" spans="1:3" x14ac:dyDescent="0.25">
      <c r="A66" s="1" t="s">
        <v>64</v>
      </c>
      <c r="B66" s="1" t="str">
        <f>RIGHT(LEFT(pesel[[#This Row],[pesle]],4),2)</f>
        <v>02</v>
      </c>
      <c r="C66" s="1">
        <f>IF(pesel[[#This Row],[miesiąc urodzenia]]="12",1,0)</f>
        <v>0</v>
      </c>
    </row>
    <row r="67" spans="1:3" x14ac:dyDescent="0.25">
      <c r="A67" s="1" t="s">
        <v>65</v>
      </c>
      <c r="B67" s="1" t="str">
        <f>RIGHT(LEFT(pesel[[#This Row],[pesle]],4),2)</f>
        <v>04</v>
      </c>
      <c r="C67" s="1">
        <f>IF(pesel[[#This Row],[miesiąc urodzenia]]="12",1,0)</f>
        <v>0</v>
      </c>
    </row>
    <row r="68" spans="1:3" x14ac:dyDescent="0.25">
      <c r="A68" s="1" t="s">
        <v>66</v>
      </c>
      <c r="B68" s="1" t="str">
        <f>RIGHT(LEFT(pesel[[#This Row],[pesle]],4),2)</f>
        <v>08</v>
      </c>
      <c r="C68" s="1">
        <f>IF(pesel[[#This Row],[miesiąc urodzenia]]="12",1,0)</f>
        <v>0</v>
      </c>
    </row>
    <row r="69" spans="1:3" x14ac:dyDescent="0.25">
      <c r="A69" s="1" t="s">
        <v>67</v>
      </c>
      <c r="B69" s="1" t="str">
        <f>RIGHT(LEFT(pesel[[#This Row],[pesle]],4),2)</f>
        <v>11</v>
      </c>
      <c r="C69" s="1">
        <f>IF(pesel[[#This Row],[miesiąc urodzenia]]="12",1,0)</f>
        <v>0</v>
      </c>
    </row>
    <row r="70" spans="1:3" x14ac:dyDescent="0.25">
      <c r="A70" s="1" t="s">
        <v>68</v>
      </c>
      <c r="B70" s="1" t="str">
        <f>RIGHT(LEFT(pesel[[#This Row],[pesle]],4),2)</f>
        <v>06</v>
      </c>
      <c r="C70" s="1">
        <f>IF(pesel[[#This Row],[miesiąc urodzenia]]="12",1,0)</f>
        <v>0</v>
      </c>
    </row>
    <row r="71" spans="1:3" x14ac:dyDescent="0.25">
      <c r="A71" s="1" t="s">
        <v>69</v>
      </c>
      <c r="B71" s="1" t="str">
        <f>RIGHT(LEFT(pesel[[#This Row],[pesle]],4),2)</f>
        <v>12</v>
      </c>
      <c r="C71" s="1">
        <f>IF(pesel[[#This Row],[miesiąc urodzenia]]="12",1,0)</f>
        <v>1</v>
      </c>
    </row>
    <row r="72" spans="1:3" x14ac:dyDescent="0.25">
      <c r="A72" s="1" t="s">
        <v>70</v>
      </c>
      <c r="B72" s="1" t="str">
        <f>RIGHT(LEFT(pesel[[#This Row],[pesle]],4),2)</f>
        <v>08</v>
      </c>
      <c r="C72" s="1">
        <f>IF(pesel[[#This Row],[miesiąc urodzenia]]="12",1,0)</f>
        <v>0</v>
      </c>
    </row>
    <row r="73" spans="1:3" x14ac:dyDescent="0.25">
      <c r="A73" s="1" t="s">
        <v>71</v>
      </c>
      <c r="B73" s="1" t="str">
        <f>RIGHT(LEFT(pesel[[#This Row],[pesle]],4),2)</f>
        <v>12</v>
      </c>
      <c r="C73" s="1">
        <f>IF(pesel[[#This Row],[miesiąc urodzenia]]="12",1,0)</f>
        <v>1</v>
      </c>
    </row>
    <row r="74" spans="1:3" x14ac:dyDescent="0.25">
      <c r="A74" s="1" t="s">
        <v>72</v>
      </c>
      <c r="B74" s="1" t="str">
        <f>RIGHT(LEFT(pesel[[#This Row],[pesle]],4),2)</f>
        <v>12</v>
      </c>
      <c r="C74" s="1">
        <f>IF(pesel[[#This Row],[miesiąc urodzenia]]="12",1,0)</f>
        <v>1</v>
      </c>
    </row>
    <row r="75" spans="1:3" x14ac:dyDescent="0.25">
      <c r="A75" s="1" t="s">
        <v>73</v>
      </c>
      <c r="B75" s="1" t="str">
        <f>RIGHT(LEFT(pesel[[#This Row],[pesle]],4),2)</f>
        <v>03</v>
      </c>
      <c r="C75" s="1">
        <f>IF(pesel[[#This Row],[miesiąc urodzenia]]="12",1,0)</f>
        <v>0</v>
      </c>
    </row>
    <row r="76" spans="1:3" x14ac:dyDescent="0.25">
      <c r="A76" s="1" t="s">
        <v>74</v>
      </c>
      <c r="B76" s="1" t="str">
        <f>RIGHT(LEFT(pesel[[#This Row],[pesle]],4),2)</f>
        <v>10</v>
      </c>
      <c r="C76" s="1">
        <f>IF(pesel[[#This Row],[miesiąc urodzenia]]="12",1,0)</f>
        <v>0</v>
      </c>
    </row>
    <row r="77" spans="1:3" x14ac:dyDescent="0.25">
      <c r="A77" s="1" t="s">
        <v>75</v>
      </c>
      <c r="B77" s="1" t="str">
        <f>RIGHT(LEFT(pesel[[#This Row],[pesle]],4),2)</f>
        <v>01</v>
      </c>
      <c r="C77" s="1">
        <f>IF(pesel[[#This Row],[miesiąc urodzenia]]="12",1,0)</f>
        <v>0</v>
      </c>
    </row>
    <row r="78" spans="1:3" x14ac:dyDescent="0.25">
      <c r="A78" s="1" t="s">
        <v>76</v>
      </c>
      <c r="B78" s="1" t="str">
        <f>RIGHT(LEFT(pesel[[#This Row],[pesle]],4),2)</f>
        <v>11</v>
      </c>
      <c r="C78" s="1">
        <f>IF(pesel[[#This Row],[miesiąc urodzenia]]="12",1,0)</f>
        <v>0</v>
      </c>
    </row>
    <row r="79" spans="1:3" x14ac:dyDescent="0.25">
      <c r="A79" s="1" t="s">
        <v>77</v>
      </c>
      <c r="B79" s="1" t="str">
        <f>RIGHT(LEFT(pesel[[#This Row],[pesle]],4),2)</f>
        <v>04</v>
      </c>
      <c r="C79" s="1">
        <f>IF(pesel[[#This Row],[miesiąc urodzenia]]="12",1,0)</f>
        <v>0</v>
      </c>
    </row>
    <row r="80" spans="1:3" x14ac:dyDescent="0.25">
      <c r="A80" s="1" t="s">
        <v>78</v>
      </c>
      <c r="B80" s="1" t="str">
        <f>RIGHT(LEFT(pesel[[#This Row],[pesle]],4),2)</f>
        <v>12</v>
      </c>
      <c r="C80" s="1">
        <f>IF(pesel[[#This Row],[miesiąc urodzenia]]="12",1,0)</f>
        <v>1</v>
      </c>
    </row>
    <row r="81" spans="1:3" x14ac:dyDescent="0.25">
      <c r="A81" s="1" t="s">
        <v>79</v>
      </c>
      <c r="B81" s="1" t="str">
        <f>RIGHT(LEFT(pesel[[#This Row],[pesle]],4),2)</f>
        <v>08</v>
      </c>
      <c r="C81" s="1">
        <f>IF(pesel[[#This Row],[miesiąc urodzenia]]="12",1,0)</f>
        <v>0</v>
      </c>
    </row>
    <row r="82" spans="1:3" x14ac:dyDescent="0.25">
      <c r="A82" s="1" t="s">
        <v>80</v>
      </c>
      <c r="B82" s="1" t="str">
        <f>RIGHT(LEFT(pesel[[#This Row],[pesle]],4),2)</f>
        <v>12</v>
      </c>
      <c r="C82" s="1">
        <f>IF(pesel[[#This Row],[miesiąc urodzenia]]="12",1,0)</f>
        <v>1</v>
      </c>
    </row>
    <row r="83" spans="1:3" x14ac:dyDescent="0.25">
      <c r="A83" s="1" t="s">
        <v>81</v>
      </c>
      <c r="B83" s="1" t="str">
        <f>RIGHT(LEFT(pesel[[#This Row],[pesle]],4),2)</f>
        <v>04</v>
      </c>
      <c r="C83" s="1">
        <f>IF(pesel[[#This Row],[miesiąc urodzenia]]="12",1,0)</f>
        <v>0</v>
      </c>
    </row>
    <row r="84" spans="1:3" x14ac:dyDescent="0.25">
      <c r="A84" s="1" t="s">
        <v>82</v>
      </c>
      <c r="B84" s="1" t="str">
        <f>RIGHT(LEFT(pesel[[#This Row],[pesle]],4),2)</f>
        <v>08</v>
      </c>
      <c r="C84" s="1">
        <f>IF(pesel[[#This Row],[miesiąc urodzenia]]="12",1,0)</f>
        <v>0</v>
      </c>
    </row>
    <row r="85" spans="1:3" x14ac:dyDescent="0.25">
      <c r="A85" s="1" t="s">
        <v>83</v>
      </c>
      <c r="B85" s="1" t="str">
        <f>RIGHT(LEFT(pesel[[#This Row],[pesle]],4),2)</f>
        <v>03</v>
      </c>
      <c r="C85" s="1">
        <f>IF(pesel[[#This Row],[miesiąc urodzenia]]="12",1,0)</f>
        <v>0</v>
      </c>
    </row>
    <row r="86" spans="1:3" x14ac:dyDescent="0.25">
      <c r="A86" s="1" t="s">
        <v>84</v>
      </c>
      <c r="B86" s="1" t="str">
        <f>RIGHT(LEFT(pesel[[#This Row],[pesle]],4),2)</f>
        <v>02</v>
      </c>
      <c r="C86" s="1">
        <f>IF(pesel[[#This Row],[miesiąc urodzenia]]="12",1,0)</f>
        <v>0</v>
      </c>
    </row>
    <row r="87" spans="1:3" x14ac:dyDescent="0.25">
      <c r="A87" s="1" t="s">
        <v>85</v>
      </c>
      <c r="B87" s="1" t="str">
        <f>RIGHT(LEFT(pesel[[#This Row],[pesle]],4),2)</f>
        <v>07</v>
      </c>
      <c r="C87" s="1">
        <f>IF(pesel[[#This Row],[miesiąc urodzenia]]="12",1,0)</f>
        <v>0</v>
      </c>
    </row>
    <row r="88" spans="1:3" x14ac:dyDescent="0.25">
      <c r="A88" s="1" t="s">
        <v>86</v>
      </c>
      <c r="B88" s="1" t="str">
        <f>RIGHT(LEFT(pesel[[#This Row],[pesle]],4),2)</f>
        <v>10</v>
      </c>
      <c r="C88" s="1">
        <f>IF(pesel[[#This Row],[miesiąc urodzenia]]="12",1,0)</f>
        <v>0</v>
      </c>
    </row>
    <row r="89" spans="1:3" x14ac:dyDescent="0.25">
      <c r="A89" s="1" t="s">
        <v>87</v>
      </c>
      <c r="B89" s="1" t="str">
        <f>RIGHT(LEFT(pesel[[#This Row],[pesle]],4),2)</f>
        <v>04</v>
      </c>
      <c r="C89" s="1">
        <f>IF(pesel[[#This Row],[miesiąc urodzenia]]="12",1,0)</f>
        <v>0</v>
      </c>
    </row>
    <row r="90" spans="1:3" x14ac:dyDescent="0.25">
      <c r="A90" s="1" t="s">
        <v>88</v>
      </c>
      <c r="B90" s="1" t="str">
        <f>RIGHT(LEFT(pesel[[#This Row],[pesle]],4),2)</f>
        <v>02</v>
      </c>
      <c r="C90" s="1">
        <f>IF(pesel[[#This Row],[miesiąc urodzenia]]="12",1,0)</f>
        <v>0</v>
      </c>
    </row>
    <row r="91" spans="1:3" x14ac:dyDescent="0.25">
      <c r="A91" s="1" t="s">
        <v>89</v>
      </c>
      <c r="B91" s="1" t="str">
        <f>RIGHT(LEFT(pesel[[#This Row],[pesle]],4),2)</f>
        <v>03</v>
      </c>
      <c r="C91" s="1">
        <f>IF(pesel[[#This Row],[miesiąc urodzenia]]="12",1,0)</f>
        <v>0</v>
      </c>
    </row>
    <row r="92" spans="1:3" x14ac:dyDescent="0.25">
      <c r="A92" s="1" t="s">
        <v>90</v>
      </c>
      <c r="B92" s="1" t="str">
        <f>RIGHT(LEFT(pesel[[#This Row],[pesle]],4),2)</f>
        <v>11</v>
      </c>
      <c r="C92" s="1">
        <f>IF(pesel[[#This Row],[miesiąc urodzenia]]="12",1,0)</f>
        <v>0</v>
      </c>
    </row>
    <row r="93" spans="1:3" x14ac:dyDescent="0.25">
      <c r="A93" s="1" t="s">
        <v>91</v>
      </c>
      <c r="B93" s="1" t="str">
        <f>RIGHT(LEFT(pesel[[#This Row],[pesle]],4),2)</f>
        <v>10</v>
      </c>
      <c r="C93" s="1">
        <f>IF(pesel[[#This Row],[miesiąc urodzenia]]="12",1,0)</f>
        <v>0</v>
      </c>
    </row>
    <row r="94" spans="1:3" x14ac:dyDescent="0.25">
      <c r="A94" s="1" t="s">
        <v>92</v>
      </c>
      <c r="B94" s="1" t="str">
        <f>RIGHT(LEFT(pesel[[#This Row],[pesle]],4),2)</f>
        <v>05</v>
      </c>
      <c r="C94" s="1">
        <f>IF(pesel[[#This Row],[miesiąc urodzenia]]="12",1,0)</f>
        <v>0</v>
      </c>
    </row>
    <row r="95" spans="1:3" x14ac:dyDescent="0.25">
      <c r="A95" s="1" t="s">
        <v>93</v>
      </c>
      <c r="B95" s="1" t="str">
        <f>RIGHT(LEFT(pesel[[#This Row],[pesle]],4),2)</f>
        <v>04</v>
      </c>
      <c r="C95" s="1">
        <f>IF(pesel[[#This Row],[miesiąc urodzenia]]="12",1,0)</f>
        <v>0</v>
      </c>
    </row>
    <row r="96" spans="1:3" x14ac:dyDescent="0.25">
      <c r="A96" s="1" t="s">
        <v>94</v>
      </c>
      <c r="B96" s="1" t="str">
        <f>RIGHT(LEFT(pesel[[#This Row],[pesle]],4),2)</f>
        <v>07</v>
      </c>
      <c r="C96" s="1">
        <f>IF(pesel[[#This Row],[miesiąc urodzenia]]="12",1,0)</f>
        <v>0</v>
      </c>
    </row>
    <row r="97" spans="1:3" x14ac:dyDescent="0.25">
      <c r="A97" s="1" t="s">
        <v>95</v>
      </c>
      <c r="B97" s="1" t="str">
        <f>RIGHT(LEFT(pesel[[#This Row],[pesle]],4),2)</f>
        <v>10</v>
      </c>
      <c r="C97" s="1">
        <f>IF(pesel[[#This Row],[miesiąc urodzenia]]="12",1,0)</f>
        <v>0</v>
      </c>
    </row>
    <row r="98" spans="1:3" x14ac:dyDescent="0.25">
      <c r="A98" s="1" t="s">
        <v>96</v>
      </c>
      <c r="B98" s="1" t="str">
        <f>RIGHT(LEFT(pesel[[#This Row],[pesle]],4),2)</f>
        <v>12</v>
      </c>
      <c r="C98" s="1">
        <f>IF(pesel[[#This Row],[miesiąc urodzenia]]="12",1,0)</f>
        <v>1</v>
      </c>
    </row>
    <row r="99" spans="1:3" x14ac:dyDescent="0.25">
      <c r="A99" s="1" t="s">
        <v>97</v>
      </c>
      <c r="B99" s="1" t="str">
        <f>RIGHT(LEFT(pesel[[#This Row],[pesle]],4),2)</f>
        <v>07</v>
      </c>
      <c r="C99" s="1">
        <f>IF(pesel[[#This Row],[miesiąc urodzenia]]="12",1,0)</f>
        <v>0</v>
      </c>
    </row>
    <row r="100" spans="1:3" x14ac:dyDescent="0.25">
      <c r="A100" s="1" t="s">
        <v>98</v>
      </c>
      <c r="B100" s="1" t="str">
        <f>RIGHT(LEFT(pesel[[#This Row],[pesle]],4),2)</f>
        <v>10</v>
      </c>
      <c r="C100" s="1">
        <f>IF(pesel[[#This Row],[miesiąc urodzenia]]="12",1,0)</f>
        <v>0</v>
      </c>
    </row>
    <row r="101" spans="1:3" x14ac:dyDescent="0.25">
      <c r="A101" s="1" t="s">
        <v>99</v>
      </c>
      <c r="B101" s="1" t="str">
        <f>RIGHT(LEFT(pesel[[#This Row],[pesle]],4),2)</f>
        <v>07</v>
      </c>
      <c r="C101" s="1">
        <f>IF(pesel[[#This Row],[miesiąc urodzenia]]="12",1,0)</f>
        <v>0</v>
      </c>
    </row>
    <row r="102" spans="1:3" x14ac:dyDescent="0.25">
      <c r="A102" s="1" t="s">
        <v>100</v>
      </c>
      <c r="B102" s="1" t="str">
        <f>RIGHT(LEFT(pesel[[#This Row],[pesle]],4),2)</f>
        <v>01</v>
      </c>
      <c r="C102" s="1">
        <f>IF(pesel[[#This Row],[miesiąc urodzenia]]="12",1,0)</f>
        <v>0</v>
      </c>
    </row>
    <row r="103" spans="1:3" x14ac:dyDescent="0.25">
      <c r="A103" s="1" t="s">
        <v>101</v>
      </c>
      <c r="B103" s="1" t="str">
        <f>RIGHT(LEFT(pesel[[#This Row],[pesle]],4),2)</f>
        <v>05</v>
      </c>
      <c r="C103" s="1">
        <f>IF(pesel[[#This Row],[miesiąc urodzenia]]="12",1,0)</f>
        <v>0</v>
      </c>
    </row>
    <row r="104" spans="1:3" x14ac:dyDescent="0.25">
      <c r="A104" s="1" t="s">
        <v>102</v>
      </c>
      <c r="B104" s="1" t="str">
        <f>RIGHT(LEFT(pesel[[#This Row],[pesle]],4),2)</f>
        <v>10</v>
      </c>
      <c r="C104" s="1">
        <f>IF(pesel[[#This Row],[miesiąc urodzenia]]="12",1,0)</f>
        <v>0</v>
      </c>
    </row>
    <row r="105" spans="1:3" x14ac:dyDescent="0.25">
      <c r="A105" s="1" t="s">
        <v>103</v>
      </c>
      <c r="B105" s="1" t="str">
        <f>RIGHT(LEFT(pesel[[#This Row],[pesle]],4),2)</f>
        <v>01</v>
      </c>
      <c r="C105" s="1">
        <f>IF(pesel[[#This Row],[miesiąc urodzenia]]="12",1,0)</f>
        <v>0</v>
      </c>
    </row>
    <row r="106" spans="1:3" x14ac:dyDescent="0.25">
      <c r="A106" s="1" t="s">
        <v>104</v>
      </c>
      <c r="B106" s="1" t="str">
        <f>RIGHT(LEFT(pesel[[#This Row],[pesle]],4),2)</f>
        <v>12</v>
      </c>
      <c r="C106" s="1">
        <f>IF(pesel[[#This Row],[miesiąc urodzenia]]="12",1,0)</f>
        <v>1</v>
      </c>
    </row>
    <row r="107" spans="1:3" x14ac:dyDescent="0.25">
      <c r="A107" s="1" t="s">
        <v>105</v>
      </c>
      <c r="B107" s="1" t="str">
        <f>RIGHT(LEFT(pesel[[#This Row],[pesle]],4),2)</f>
        <v>11</v>
      </c>
      <c r="C107" s="1">
        <f>IF(pesel[[#This Row],[miesiąc urodzenia]]="12",1,0)</f>
        <v>0</v>
      </c>
    </row>
    <row r="108" spans="1:3" x14ac:dyDescent="0.25">
      <c r="A108" s="1" t="s">
        <v>106</v>
      </c>
      <c r="B108" s="1" t="str">
        <f>RIGHT(LEFT(pesel[[#This Row],[pesle]],4),2)</f>
        <v>10</v>
      </c>
      <c r="C108" s="1">
        <f>IF(pesel[[#This Row],[miesiąc urodzenia]]="12",1,0)</f>
        <v>0</v>
      </c>
    </row>
    <row r="109" spans="1:3" x14ac:dyDescent="0.25">
      <c r="A109" s="1" t="s">
        <v>107</v>
      </c>
      <c r="B109" s="1" t="str">
        <f>RIGHT(LEFT(pesel[[#This Row],[pesle]],4),2)</f>
        <v>02</v>
      </c>
      <c r="C109" s="1">
        <f>IF(pesel[[#This Row],[miesiąc urodzenia]]="12",1,0)</f>
        <v>0</v>
      </c>
    </row>
    <row r="110" spans="1:3" x14ac:dyDescent="0.25">
      <c r="A110" s="1" t="s">
        <v>108</v>
      </c>
      <c r="B110" s="1" t="str">
        <f>RIGHT(LEFT(pesel[[#This Row],[pesle]],4),2)</f>
        <v>08</v>
      </c>
      <c r="C110" s="1">
        <f>IF(pesel[[#This Row],[miesiąc urodzenia]]="12",1,0)</f>
        <v>0</v>
      </c>
    </row>
    <row r="111" spans="1:3" x14ac:dyDescent="0.25">
      <c r="A111" s="1" t="s">
        <v>109</v>
      </c>
      <c r="B111" s="1" t="str">
        <f>RIGHT(LEFT(pesel[[#This Row],[pesle]],4),2)</f>
        <v>10</v>
      </c>
      <c r="C111" s="1">
        <f>IF(pesel[[#This Row],[miesiąc urodzenia]]="12",1,0)</f>
        <v>0</v>
      </c>
    </row>
    <row r="112" spans="1:3" x14ac:dyDescent="0.25">
      <c r="A112" s="1" t="s">
        <v>110</v>
      </c>
      <c r="B112" s="1" t="str">
        <f>RIGHT(LEFT(pesel[[#This Row],[pesle]],4),2)</f>
        <v>04</v>
      </c>
      <c r="C112" s="1">
        <f>IF(pesel[[#This Row],[miesiąc urodzenia]]="12",1,0)</f>
        <v>0</v>
      </c>
    </row>
    <row r="113" spans="1:3" x14ac:dyDescent="0.25">
      <c r="A113" s="1" t="s">
        <v>111</v>
      </c>
      <c r="B113" s="1" t="str">
        <f>RIGHT(LEFT(pesel[[#This Row],[pesle]],4),2)</f>
        <v>10</v>
      </c>
      <c r="C113" s="1">
        <f>IF(pesel[[#This Row],[miesiąc urodzenia]]="12",1,0)</f>
        <v>0</v>
      </c>
    </row>
    <row r="114" spans="1:3" x14ac:dyDescent="0.25">
      <c r="A114" s="1" t="s">
        <v>112</v>
      </c>
      <c r="B114" s="1" t="str">
        <f>RIGHT(LEFT(pesel[[#This Row],[pesle]],4),2)</f>
        <v>02</v>
      </c>
      <c r="C114" s="1">
        <f>IF(pesel[[#This Row],[miesiąc urodzenia]]="12",1,0)</f>
        <v>0</v>
      </c>
    </row>
    <row r="115" spans="1:3" x14ac:dyDescent="0.25">
      <c r="A115" s="1" t="s">
        <v>113</v>
      </c>
      <c r="B115" s="1" t="str">
        <f>RIGHT(LEFT(pesel[[#This Row],[pesle]],4),2)</f>
        <v>09</v>
      </c>
      <c r="C115" s="1">
        <f>IF(pesel[[#This Row],[miesiąc urodzenia]]="12",1,0)</f>
        <v>0</v>
      </c>
    </row>
    <row r="116" spans="1:3" x14ac:dyDescent="0.25">
      <c r="A116" s="1" t="s">
        <v>114</v>
      </c>
      <c r="B116" s="1" t="str">
        <f>RIGHT(LEFT(pesel[[#This Row],[pesle]],4),2)</f>
        <v>10</v>
      </c>
      <c r="C116" s="1">
        <f>IF(pesel[[#This Row],[miesiąc urodzenia]]="12",1,0)</f>
        <v>0</v>
      </c>
    </row>
    <row r="117" spans="1:3" x14ac:dyDescent="0.25">
      <c r="A117" s="1" t="s">
        <v>115</v>
      </c>
      <c r="B117" s="1" t="str">
        <f>RIGHT(LEFT(pesel[[#This Row],[pesle]],4),2)</f>
        <v>06</v>
      </c>
      <c r="C117" s="1">
        <f>IF(pesel[[#This Row],[miesiąc urodzenia]]="12",1,0)</f>
        <v>0</v>
      </c>
    </row>
    <row r="118" spans="1:3" x14ac:dyDescent="0.25">
      <c r="A118" s="1" t="s">
        <v>116</v>
      </c>
      <c r="B118" s="1" t="str">
        <f>RIGHT(LEFT(pesel[[#This Row],[pesle]],4),2)</f>
        <v>01</v>
      </c>
      <c r="C118" s="1">
        <f>IF(pesel[[#This Row],[miesiąc urodzenia]]="12",1,0)</f>
        <v>0</v>
      </c>
    </row>
    <row r="119" spans="1:3" x14ac:dyDescent="0.25">
      <c r="A119" s="1" t="s">
        <v>117</v>
      </c>
      <c r="B119" s="1" t="str">
        <f>RIGHT(LEFT(pesel[[#This Row],[pesle]],4),2)</f>
        <v>04</v>
      </c>
      <c r="C119" s="1">
        <f>IF(pesel[[#This Row],[miesiąc urodzenia]]="12",1,0)</f>
        <v>0</v>
      </c>
    </row>
    <row r="120" spans="1:3" x14ac:dyDescent="0.25">
      <c r="A120" s="1" t="s">
        <v>118</v>
      </c>
      <c r="B120" s="1" t="str">
        <f>RIGHT(LEFT(pesel[[#This Row],[pesle]],4),2)</f>
        <v>11</v>
      </c>
      <c r="C120" s="1">
        <f>IF(pesel[[#This Row],[miesiąc urodzenia]]="12",1,0)</f>
        <v>0</v>
      </c>
    </row>
    <row r="121" spans="1:3" x14ac:dyDescent="0.25">
      <c r="A121" s="1" t="s">
        <v>119</v>
      </c>
      <c r="B121" s="1" t="str">
        <f>RIGHT(LEFT(pesel[[#This Row],[pesle]],4),2)</f>
        <v>02</v>
      </c>
      <c r="C121" s="1">
        <f>IF(pesel[[#This Row],[miesiąc urodzenia]]="12",1,0)</f>
        <v>0</v>
      </c>
    </row>
    <row r="122" spans="1:3" x14ac:dyDescent="0.25">
      <c r="A122" s="1" t="s">
        <v>120</v>
      </c>
      <c r="B122" s="1" t="str">
        <f>RIGHT(LEFT(pesel[[#This Row],[pesle]],4),2)</f>
        <v>10</v>
      </c>
      <c r="C122" s="1">
        <f>IF(pesel[[#This Row],[miesiąc urodzenia]]="12",1,0)</f>
        <v>0</v>
      </c>
    </row>
    <row r="123" spans="1:3" x14ac:dyDescent="0.25">
      <c r="A123" s="1" t="s">
        <v>121</v>
      </c>
      <c r="B123" s="1" t="str">
        <f>RIGHT(LEFT(pesel[[#This Row],[pesle]],4),2)</f>
        <v>06</v>
      </c>
      <c r="C123" s="1">
        <f>IF(pesel[[#This Row],[miesiąc urodzenia]]="12",1,0)</f>
        <v>0</v>
      </c>
    </row>
    <row r="124" spans="1:3" x14ac:dyDescent="0.25">
      <c r="A124" s="1" t="s">
        <v>122</v>
      </c>
      <c r="B124" s="1" t="str">
        <f>RIGHT(LEFT(pesel[[#This Row],[pesle]],4),2)</f>
        <v>03</v>
      </c>
      <c r="C124" s="1">
        <f>IF(pesel[[#This Row],[miesiąc urodzenia]]="12",1,0)</f>
        <v>0</v>
      </c>
    </row>
    <row r="125" spans="1:3" x14ac:dyDescent="0.25">
      <c r="A125" s="1" t="s">
        <v>123</v>
      </c>
      <c r="B125" s="1" t="str">
        <f>RIGHT(LEFT(pesel[[#This Row],[pesle]],4),2)</f>
        <v>11</v>
      </c>
      <c r="C125" s="1">
        <f>IF(pesel[[#This Row],[miesiąc urodzenia]]="12",1,0)</f>
        <v>0</v>
      </c>
    </row>
    <row r="126" spans="1:3" x14ac:dyDescent="0.25">
      <c r="A126" s="1" t="s">
        <v>124</v>
      </c>
      <c r="B126" s="1" t="str">
        <f>RIGHT(LEFT(pesel[[#This Row],[pesle]],4),2)</f>
        <v>05</v>
      </c>
      <c r="C126" s="1">
        <f>IF(pesel[[#This Row],[miesiąc urodzenia]]="12",1,0)</f>
        <v>0</v>
      </c>
    </row>
    <row r="127" spans="1:3" x14ac:dyDescent="0.25">
      <c r="A127" s="1" t="s">
        <v>125</v>
      </c>
      <c r="B127" s="1" t="str">
        <f>RIGHT(LEFT(pesel[[#This Row],[pesle]],4),2)</f>
        <v>07</v>
      </c>
      <c r="C127" s="1">
        <f>IF(pesel[[#This Row],[miesiąc urodzenia]]="12",1,0)</f>
        <v>0</v>
      </c>
    </row>
    <row r="128" spans="1:3" x14ac:dyDescent="0.25">
      <c r="A128" s="1" t="s">
        <v>126</v>
      </c>
      <c r="B128" s="1" t="str">
        <f>RIGHT(LEFT(pesel[[#This Row],[pesle]],4),2)</f>
        <v>08</v>
      </c>
      <c r="C128" s="1">
        <f>IF(pesel[[#This Row],[miesiąc urodzenia]]="12",1,0)</f>
        <v>0</v>
      </c>
    </row>
    <row r="129" spans="1:3" x14ac:dyDescent="0.25">
      <c r="A129" s="1" t="s">
        <v>127</v>
      </c>
      <c r="B129" s="1" t="str">
        <f>RIGHT(LEFT(pesel[[#This Row],[pesle]],4),2)</f>
        <v>06</v>
      </c>
      <c r="C129" s="1">
        <f>IF(pesel[[#This Row],[miesiąc urodzenia]]="12",1,0)</f>
        <v>0</v>
      </c>
    </row>
    <row r="130" spans="1:3" x14ac:dyDescent="0.25">
      <c r="A130" s="1" t="s">
        <v>128</v>
      </c>
      <c r="B130" s="1" t="str">
        <f>RIGHT(LEFT(pesel[[#This Row],[pesle]],4),2)</f>
        <v>11</v>
      </c>
      <c r="C130" s="1">
        <f>IF(pesel[[#This Row],[miesiąc urodzenia]]="12",1,0)</f>
        <v>0</v>
      </c>
    </row>
    <row r="131" spans="1:3" x14ac:dyDescent="0.25">
      <c r="A131" s="1" t="s">
        <v>129</v>
      </c>
      <c r="B131" s="1" t="str">
        <f>RIGHT(LEFT(pesel[[#This Row],[pesle]],4),2)</f>
        <v>02</v>
      </c>
      <c r="C131" s="1">
        <f>IF(pesel[[#This Row],[miesiąc urodzenia]]="12",1,0)</f>
        <v>0</v>
      </c>
    </row>
    <row r="132" spans="1:3" x14ac:dyDescent="0.25">
      <c r="A132" s="1" t="s">
        <v>130</v>
      </c>
      <c r="B132" s="1" t="str">
        <f>RIGHT(LEFT(pesel[[#This Row],[pesle]],4),2)</f>
        <v>09</v>
      </c>
      <c r="C132" s="1">
        <f>IF(pesel[[#This Row],[miesiąc urodzenia]]="12",1,0)</f>
        <v>0</v>
      </c>
    </row>
    <row r="133" spans="1:3" x14ac:dyDescent="0.25">
      <c r="A133" s="1" t="s">
        <v>131</v>
      </c>
      <c r="B133" s="1" t="str">
        <f>RIGHT(LEFT(pesel[[#This Row],[pesle]],4),2)</f>
        <v>05</v>
      </c>
      <c r="C133" s="1">
        <f>IF(pesel[[#This Row],[miesiąc urodzenia]]="12",1,0)</f>
        <v>0</v>
      </c>
    </row>
    <row r="134" spans="1:3" x14ac:dyDescent="0.25">
      <c r="A134" s="1" t="s">
        <v>132</v>
      </c>
      <c r="B134" s="1" t="str">
        <f>RIGHT(LEFT(pesel[[#This Row],[pesle]],4),2)</f>
        <v>03</v>
      </c>
      <c r="C134" s="1">
        <f>IF(pesel[[#This Row],[miesiąc urodzenia]]="12",1,0)</f>
        <v>0</v>
      </c>
    </row>
    <row r="135" spans="1:3" x14ac:dyDescent="0.25">
      <c r="A135" s="1" t="s">
        <v>133</v>
      </c>
      <c r="B135" s="1" t="str">
        <f>RIGHT(LEFT(pesel[[#This Row],[pesle]],4),2)</f>
        <v>12</v>
      </c>
      <c r="C135" s="1">
        <f>IF(pesel[[#This Row],[miesiąc urodzenia]]="12",1,0)</f>
        <v>1</v>
      </c>
    </row>
    <row r="136" spans="1:3" x14ac:dyDescent="0.25">
      <c r="A136" s="1" t="s">
        <v>134</v>
      </c>
      <c r="B136" s="1" t="str">
        <f>RIGHT(LEFT(pesel[[#This Row],[pesle]],4),2)</f>
        <v>10</v>
      </c>
      <c r="C136" s="1">
        <f>IF(pesel[[#This Row],[miesiąc urodzenia]]="12",1,0)</f>
        <v>0</v>
      </c>
    </row>
    <row r="137" spans="1:3" x14ac:dyDescent="0.25">
      <c r="A137" s="1" t="s">
        <v>135</v>
      </c>
      <c r="B137" s="1" t="str">
        <f>RIGHT(LEFT(pesel[[#This Row],[pesle]],4),2)</f>
        <v>01</v>
      </c>
      <c r="C137" s="1">
        <f>IF(pesel[[#This Row],[miesiąc urodzenia]]="12",1,0)</f>
        <v>0</v>
      </c>
    </row>
    <row r="138" spans="1:3" x14ac:dyDescent="0.25">
      <c r="A138" s="1" t="s">
        <v>136</v>
      </c>
      <c r="B138" s="1" t="str">
        <f>RIGHT(LEFT(pesel[[#This Row],[pesle]],4),2)</f>
        <v>01</v>
      </c>
      <c r="C138" s="1">
        <f>IF(pesel[[#This Row],[miesiąc urodzenia]]="12",1,0)</f>
        <v>0</v>
      </c>
    </row>
    <row r="139" spans="1:3" x14ac:dyDescent="0.25">
      <c r="A139" s="1" t="s">
        <v>137</v>
      </c>
      <c r="B139" s="1" t="str">
        <f>RIGHT(LEFT(pesel[[#This Row],[pesle]],4),2)</f>
        <v>07</v>
      </c>
      <c r="C139" s="1">
        <f>IF(pesel[[#This Row],[miesiąc urodzenia]]="12",1,0)</f>
        <v>0</v>
      </c>
    </row>
    <row r="140" spans="1:3" x14ac:dyDescent="0.25">
      <c r="A140" s="1" t="s">
        <v>138</v>
      </c>
      <c r="B140" s="1" t="str">
        <f>RIGHT(LEFT(pesel[[#This Row],[pesle]],4),2)</f>
        <v>06</v>
      </c>
      <c r="C140" s="1">
        <f>IF(pesel[[#This Row],[miesiąc urodzenia]]="12",1,0)</f>
        <v>0</v>
      </c>
    </row>
    <row r="141" spans="1:3" x14ac:dyDescent="0.25">
      <c r="A141" s="1" t="s">
        <v>139</v>
      </c>
      <c r="B141" s="1" t="str">
        <f>RIGHT(LEFT(pesel[[#This Row],[pesle]],4),2)</f>
        <v>04</v>
      </c>
      <c r="C141" s="1">
        <f>IF(pesel[[#This Row],[miesiąc urodzenia]]="12",1,0)</f>
        <v>0</v>
      </c>
    </row>
    <row r="142" spans="1:3" x14ac:dyDescent="0.25">
      <c r="A142" s="1" t="s">
        <v>140</v>
      </c>
      <c r="B142" s="1" t="str">
        <f>RIGHT(LEFT(pesel[[#This Row],[pesle]],4),2)</f>
        <v>10</v>
      </c>
      <c r="C142" s="1">
        <f>IF(pesel[[#This Row],[miesiąc urodzenia]]="12",1,0)</f>
        <v>0</v>
      </c>
    </row>
    <row r="143" spans="1:3" x14ac:dyDescent="0.25">
      <c r="A143" s="1" t="s">
        <v>141</v>
      </c>
      <c r="B143" s="1" t="str">
        <f>RIGHT(LEFT(pesel[[#This Row],[pesle]],4),2)</f>
        <v>04</v>
      </c>
      <c r="C143" s="1">
        <f>IF(pesel[[#This Row],[miesiąc urodzenia]]="12",1,0)</f>
        <v>0</v>
      </c>
    </row>
    <row r="144" spans="1:3" x14ac:dyDescent="0.25">
      <c r="A144" s="1" t="s">
        <v>142</v>
      </c>
      <c r="B144" s="1" t="str">
        <f>RIGHT(LEFT(pesel[[#This Row],[pesle]],4),2)</f>
        <v>08</v>
      </c>
      <c r="C144" s="1">
        <f>IF(pesel[[#This Row],[miesiąc urodzenia]]="12",1,0)</f>
        <v>0</v>
      </c>
    </row>
    <row r="145" spans="1:3" x14ac:dyDescent="0.25">
      <c r="A145" s="1" t="s">
        <v>143</v>
      </c>
      <c r="B145" s="1" t="str">
        <f>RIGHT(LEFT(pesel[[#This Row],[pesle]],4),2)</f>
        <v>12</v>
      </c>
      <c r="C145" s="1">
        <f>IF(pesel[[#This Row],[miesiąc urodzenia]]="12",1,0)</f>
        <v>1</v>
      </c>
    </row>
    <row r="146" spans="1:3" x14ac:dyDescent="0.25">
      <c r="A146" s="1" t="s">
        <v>144</v>
      </c>
      <c r="B146" s="1" t="str">
        <f>RIGHT(LEFT(pesel[[#This Row],[pesle]],4),2)</f>
        <v>12</v>
      </c>
      <c r="C146" s="1">
        <f>IF(pesel[[#This Row],[miesiąc urodzenia]]="12",1,0)</f>
        <v>1</v>
      </c>
    </row>
    <row r="147" spans="1:3" x14ac:dyDescent="0.25">
      <c r="A147" s="1" t="s">
        <v>145</v>
      </c>
      <c r="B147" s="1" t="str">
        <f>RIGHT(LEFT(pesel[[#This Row],[pesle]],4),2)</f>
        <v>01</v>
      </c>
      <c r="C147" s="1">
        <f>IF(pesel[[#This Row],[miesiąc urodzenia]]="12",1,0)</f>
        <v>0</v>
      </c>
    </row>
    <row r="148" spans="1:3" x14ac:dyDescent="0.25">
      <c r="A148" s="1" t="s">
        <v>146</v>
      </c>
      <c r="B148" s="1" t="str">
        <f>RIGHT(LEFT(pesel[[#This Row],[pesle]],4),2)</f>
        <v>09</v>
      </c>
      <c r="C148" s="1">
        <f>IF(pesel[[#This Row],[miesiąc urodzenia]]="12",1,0)</f>
        <v>0</v>
      </c>
    </row>
    <row r="149" spans="1:3" x14ac:dyDescent="0.25">
      <c r="A149" s="1" t="s">
        <v>147</v>
      </c>
      <c r="B149" s="1" t="str">
        <f>RIGHT(LEFT(pesel[[#This Row],[pesle]],4),2)</f>
        <v>12</v>
      </c>
      <c r="C149" s="1">
        <f>IF(pesel[[#This Row],[miesiąc urodzenia]]="12",1,0)</f>
        <v>1</v>
      </c>
    </row>
    <row r="150" spans="1:3" x14ac:dyDescent="0.25">
      <c r="A150" s="1" t="s">
        <v>148</v>
      </c>
      <c r="B150" s="1" t="str">
        <f>RIGHT(LEFT(pesel[[#This Row],[pesle]],4),2)</f>
        <v>05</v>
      </c>
      <c r="C150" s="1">
        <f>IF(pesel[[#This Row],[miesiąc urodzenia]]="12",1,0)</f>
        <v>0</v>
      </c>
    </row>
    <row r="151" spans="1:3" x14ac:dyDescent="0.25">
      <c r="A151" s="1" t="s">
        <v>149</v>
      </c>
      <c r="B151" s="1" t="str">
        <f>RIGHT(LEFT(pesel[[#This Row],[pesle]],4),2)</f>
        <v>07</v>
      </c>
      <c r="C151" s="1">
        <f>IF(pesel[[#This Row],[miesiąc urodzenia]]="12",1,0)</f>
        <v>0</v>
      </c>
    </row>
  </sheetData>
  <conditionalFormatting sqref="C1:C1048576">
    <cfRule type="cellIs" dxfId="13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07B6-1481-4D22-8D30-376927CCF65F}">
  <dimension ref="A1:D151"/>
  <sheetViews>
    <sheetView workbookViewId="0">
      <selection activeCell="D2" sqref="D2"/>
    </sheetView>
  </sheetViews>
  <sheetFormatPr defaultRowHeight="15" x14ac:dyDescent="0.25"/>
  <cols>
    <col min="1" max="1" width="12" bestFit="1" customWidth="1"/>
    <col min="2" max="2" width="15.7109375" bestFit="1" customWidth="1"/>
    <col min="4" max="4" width="13.85546875" bestFit="1" customWidth="1"/>
  </cols>
  <sheetData>
    <row r="1" spans="1:4" x14ac:dyDescent="0.25">
      <c r="A1" t="s">
        <v>150</v>
      </c>
      <c r="B1" t="s">
        <v>154</v>
      </c>
      <c r="D1" t="s">
        <v>155</v>
      </c>
    </row>
    <row r="2" spans="1:4" x14ac:dyDescent="0.25">
      <c r="A2" s="1" t="s">
        <v>0</v>
      </c>
      <c r="B2" s="1">
        <f t="shared" ref="B2:B33" si="0">MOD(LEFT(RIGHT(A2,2),1),2)</f>
        <v>1</v>
      </c>
      <c r="D2" s="2">
        <f>COUNTIF(pesel__24[czyMezczyzna],"=0")</f>
        <v>74</v>
      </c>
    </row>
    <row r="3" spans="1:4" x14ac:dyDescent="0.25">
      <c r="A3" s="1" t="s">
        <v>1</v>
      </c>
      <c r="B3" s="1">
        <f t="shared" si="0"/>
        <v>1</v>
      </c>
    </row>
    <row r="4" spans="1:4" x14ac:dyDescent="0.25">
      <c r="A4" s="1" t="s">
        <v>2</v>
      </c>
      <c r="B4" s="1">
        <f t="shared" si="0"/>
        <v>0</v>
      </c>
    </row>
    <row r="5" spans="1:4" x14ac:dyDescent="0.25">
      <c r="A5" s="1" t="s">
        <v>3</v>
      </c>
      <c r="B5" s="1">
        <f t="shared" si="0"/>
        <v>0</v>
      </c>
    </row>
    <row r="6" spans="1:4" x14ac:dyDescent="0.25">
      <c r="A6" s="1" t="s">
        <v>4</v>
      </c>
      <c r="B6" s="1">
        <f t="shared" si="0"/>
        <v>0</v>
      </c>
    </row>
    <row r="7" spans="1:4" x14ac:dyDescent="0.25">
      <c r="A7" s="1" t="s">
        <v>5</v>
      </c>
      <c r="B7" s="1">
        <f t="shared" si="0"/>
        <v>0</v>
      </c>
    </row>
    <row r="8" spans="1:4" x14ac:dyDescent="0.25">
      <c r="A8" s="1" t="s">
        <v>6</v>
      </c>
      <c r="B8" s="1">
        <f t="shared" si="0"/>
        <v>1</v>
      </c>
    </row>
    <row r="9" spans="1:4" x14ac:dyDescent="0.25">
      <c r="A9" s="1" t="s">
        <v>7</v>
      </c>
      <c r="B9" s="1">
        <f t="shared" si="0"/>
        <v>1</v>
      </c>
    </row>
    <row r="10" spans="1:4" x14ac:dyDescent="0.25">
      <c r="A10" s="1" t="s">
        <v>8</v>
      </c>
      <c r="B10" s="1">
        <f t="shared" si="0"/>
        <v>0</v>
      </c>
    </row>
    <row r="11" spans="1:4" x14ac:dyDescent="0.25">
      <c r="A11" s="1" t="s">
        <v>9</v>
      </c>
      <c r="B11" s="1">
        <f t="shared" si="0"/>
        <v>0</v>
      </c>
    </row>
    <row r="12" spans="1:4" x14ac:dyDescent="0.25">
      <c r="A12" s="1" t="s">
        <v>10</v>
      </c>
      <c r="B12" s="1">
        <f t="shared" si="0"/>
        <v>1</v>
      </c>
    </row>
    <row r="13" spans="1:4" x14ac:dyDescent="0.25">
      <c r="A13" s="1" t="s">
        <v>11</v>
      </c>
      <c r="B13" s="1">
        <f t="shared" si="0"/>
        <v>0</v>
      </c>
    </row>
    <row r="14" spans="1:4" x14ac:dyDescent="0.25">
      <c r="A14" s="1" t="s">
        <v>12</v>
      </c>
      <c r="B14" s="1">
        <f t="shared" si="0"/>
        <v>0</v>
      </c>
    </row>
    <row r="15" spans="1:4" x14ac:dyDescent="0.25">
      <c r="A15" s="1" t="s">
        <v>13</v>
      </c>
      <c r="B15" s="1">
        <f t="shared" si="0"/>
        <v>0</v>
      </c>
    </row>
    <row r="16" spans="1:4" x14ac:dyDescent="0.25">
      <c r="A16" s="1" t="s">
        <v>14</v>
      </c>
      <c r="B16" s="1">
        <f t="shared" si="0"/>
        <v>1</v>
      </c>
    </row>
    <row r="17" spans="1:2" x14ac:dyDescent="0.25">
      <c r="A17" s="1" t="s">
        <v>15</v>
      </c>
      <c r="B17" s="1">
        <f t="shared" si="0"/>
        <v>1</v>
      </c>
    </row>
    <row r="18" spans="1:2" x14ac:dyDescent="0.25">
      <c r="A18" s="1" t="s">
        <v>16</v>
      </c>
      <c r="B18" s="1">
        <f t="shared" si="0"/>
        <v>1</v>
      </c>
    </row>
    <row r="19" spans="1:2" x14ac:dyDescent="0.25">
      <c r="A19" s="1" t="s">
        <v>17</v>
      </c>
      <c r="B19" s="1">
        <f t="shared" si="0"/>
        <v>0</v>
      </c>
    </row>
    <row r="20" spans="1:2" x14ac:dyDescent="0.25">
      <c r="A20" s="1" t="s">
        <v>18</v>
      </c>
      <c r="B20" s="1">
        <f t="shared" si="0"/>
        <v>0</v>
      </c>
    </row>
    <row r="21" spans="1:2" x14ac:dyDescent="0.25">
      <c r="A21" s="1" t="s">
        <v>19</v>
      </c>
      <c r="B21" s="1">
        <f t="shared" si="0"/>
        <v>0</v>
      </c>
    </row>
    <row r="22" spans="1:2" x14ac:dyDescent="0.25">
      <c r="A22" s="1" t="s">
        <v>20</v>
      </c>
      <c r="B22" s="1">
        <f t="shared" si="0"/>
        <v>1</v>
      </c>
    </row>
    <row r="23" spans="1:2" x14ac:dyDescent="0.25">
      <c r="A23" s="1" t="s">
        <v>21</v>
      </c>
      <c r="B23" s="1">
        <f t="shared" si="0"/>
        <v>0</v>
      </c>
    </row>
    <row r="24" spans="1:2" x14ac:dyDescent="0.25">
      <c r="A24" s="1" t="s">
        <v>22</v>
      </c>
      <c r="B24" s="1">
        <f t="shared" si="0"/>
        <v>0</v>
      </c>
    </row>
    <row r="25" spans="1:2" x14ac:dyDescent="0.25">
      <c r="A25" s="1" t="s">
        <v>23</v>
      </c>
      <c r="B25" s="1">
        <f t="shared" si="0"/>
        <v>0</v>
      </c>
    </row>
    <row r="26" spans="1:2" x14ac:dyDescent="0.25">
      <c r="A26" s="1" t="s">
        <v>24</v>
      </c>
      <c r="B26" s="1">
        <f t="shared" si="0"/>
        <v>1</v>
      </c>
    </row>
    <row r="27" spans="1:2" x14ac:dyDescent="0.25">
      <c r="A27" s="1" t="s">
        <v>25</v>
      </c>
      <c r="B27" s="1">
        <f t="shared" si="0"/>
        <v>1</v>
      </c>
    </row>
    <row r="28" spans="1:2" x14ac:dyDescent="0.25">
      <c r="A28" s="1" t="s">
        <v>26</v>
      </c>
      <c r="B28" s="1">
        <f t="shared" si="0"/>
        <v>1</v>
      </c>
    </row>
    <row r="29" spans="1:2" x14ac:dyDescent="0.25">
      <c r="A29" s="1" t="s">
        <v>27</v>
      </c>
      <c r="B29" s="1">
        <f t="shared" si="0"/>
        <v>1</v>
      </c>
    </row>
    <row r="30" spans="1:2" x14ac:dyDescent="0.25">
      <c r="A30" s="1" t="s">
        <v>28</v>
      </c>
      <c r="B30" s="1">
        <f t="shared" si="0"/>
        <v>1</v>
      </c>
    </row>
    <row r="31" spans="1:2" x14ac:dyDescent="0.25">
      <c r="A31" s="1" t="s">
        <v>29</v>
      </c>
      <c r="B31" s="1">
        <f t="shared" si="0"/>
        <v>1</v>
      </c>
    </row>
    <row r="32" spans="1:2" x14ac:dyDescent="0.25">
      <c r="A32" s="1" t="s">
        <v>30</v>
      </c>
      <c r="B32" s="1">
        <f t="shared" si="0"/>
        <v>0</v>
      </c>
    </row>
    <row r="33" spans="1:2" x14ac:dyDescent="0.25">
      <c r="A33" s="1" t="s">
        <v>31</v>
      </c>
      <c r="B33" s="1">
        <f t="shared" si="0"/>
        <v>0</v>
      </c>
    </row>
    <row r="34" spans="1:2" x14ac:dyDescent="0.25">
      <c r="A34" s="1" t="s">
        <v>32</v>
      </c>
      <c r="B34" s="1">
        <f t="shared" ref="B34:B65" si="1">MOD(LEFT(RIGHT(A34,2),1),2)</f>
        <v>0</v>
      </c>
    </row>
    <row r="35" spans="1:2" x14ac:dyDescent="0.25">
      <c r="A35" s="1" t="s">
        <v>33</v>
      </c>
      <c r="B35" s="1">
        <f t="shared" si="1"/>
        <v>0</v>
      </c>
    </row>
    <row r="36" spans="1:2" x14ac:dyDescent="0.25">
      <c r="A36" s="1" t="s">
        <v>34</v>
      </c>
      <c r="B36" s="1">
        <f t="shared" si="1"/>
        <v>1</v>
      </c>
    </row>
    <row r="37" spans="1:2" x14ac:dyDescent="0.25">
      <c r="A37" s="1" t="s">
        <v>35</v>
      </c>
      <c r="B37" s="1">
        <f t="shared" si="1"/>
        <v>0</v>
      </c>
    </row>
    <row r="38" spans="1:2" x14ac:dyDescent="0.25">
      <c r="A38" s="1" t="s">
        <v>36</v>
      </c>
      <c r="B38" s="1">
        <f t="shared" si="1"/>
        <v>1</v>
      </c>
    </row>
    <row r="39" spans="1:2" x14ac:dyDescent="0.25">
      <c r="A39" s="1" t="s">
        <v>37</v>
      </c>
      <c r="B39" s="1">
        <f t="shared" si="1"/>
        <v>0</v>
      </c>
    </row>
    <row r="40" spans="1:2" x14ac:dyDescent="0.25">
      <c r="A40" s="1" t="s">
        <v>38</v>
      </c>
      <c r="B40" s="1">
        <f t="shared" si="1"/>
        <v>1</v>
      </c>
    </row>
    <row r="41" spans="1:2" x14ac:dyDescent="0.25">
      <c r="A41" s="1" t="s">
        <v>39</v>
      </c>
      <c r="B41" s="1">
        <f t="shared" si="1"/>
        <v>0</v>
      </c>
    </row>
    <row r="42" spans="1:2" x14ac:dyDescent="0.25">
      <c r="A42" s="1" t="s">
        <v>40</v>
      </c>
      <c r="B42" s="1">
        <f t="shared" si="1"/>
        <v>1</v>
      </c>
    </row>
    <row r="43" spans="1:2" x14ac:dyDescent="0.25">
      <c r="A43" s="1" t="s">
        <v>41</v>
      </c>
      <c r="B43" s="1">
        <f t="shared" si="1"/>
        <v>1</v>
      </c>
    </row>
    <row r="44" spans="1:2" x14ac:dyDescent="0.25">
      <c r="A44" s="1" t="s">
        <v>42</v>
      </c>
      <c r="B44" s="1">
        <f t="shared" si="1"/>
        <v>1</v>
      </c>
    </row>
    <row r="45" spans="1:2" x14ac:dyDescent="0.25">
      <c r="A45" s="1" t="s">
        <v>43</v>
      </c>
      <c r="B45" s="1">
        <f t="shared" si="1"/>
        <v>1</v>
      </c>
    </row>
    <row r="46" spans="1:2" x14ac:dyDescent="0.25">
      <c r="A46" s="1" t="s">
        <v>44</v>
      </c>
      <c r="B46" s="1">
        <f t="shared" si="1"/>
        <v>0</v>
      </c>
    </row>
    <row r="47" spans="1:2" x14ac:dyDescent="0.25">
      <c r="A47" s="1" t="s">
        <v>45</v>
      </c>
      <c r="B47" s="1">
        <f t="shared" si="1"/>
        <v>1</v>
      </c>
    </row>
    <row r="48" spans="1:2" x14ac:dyDescent="0.25">
      <c r="A48" s="1" t="s">
        <v>46</v>
      </c>
      <c r="B48" s="1">
        <f t="shared" si="1"/>
        <v>1</v>
      </c>
    </row>
    <row r="49" spans="1:2" x14ac:dyDescent="0.25">
      <c r="A49" s="1" t="s">
        <v>47</v>
      </c>
      <c r="B49" s="1">
        <f t="shared" si="1"/>
        <v>0</v>
      </c>
    </row>
    <row r="50" spans="1:2" x14ac:dyDescent="0.25">
      <c r="A50" s="1" t="s">
        <v>48</v>
      </c>
      <c r="B50" s="1">
        <f t="shared" si="1"/>
        <v>0</v>
      </c>
    </row>
    <row r="51" spans="1:2" x14ac:dyDescent="0.25">
      <c r="A51" s="1" t="s">
        <v>49</v>
      </c>
      <c r="B51" s="1">
        <f t="shared" si="1"/>
        <v>1</v>
      </c>
    </row>
    <row r="52" spans="1:2" x14ac:dyDescent="0.25">
      <c r="A52" s="1" t="s">
        <v>50</v>
      </c>
      <c r="B52" s="1">
        <f t="shared" si="1"/>
        <v>0</v>
      </c>
    </row>
    <row r="53" spans="1:2" x14ac:dyDescent="0.25">
      <c r="A53" s="1" t="s">
        <v>51</v>
      </c>
      <c r="B53" s="1">
        <f t="shared" si="1"/>
        <v>0</v>
      </c>
    </row>
    <row r="54" spans="1:2" x14ac:dyDescent="0.25">
      <c r="A54" s="1" t="s">
        <v>52</v>
      </c>
      <c r="B54" s="1">
        <f t="shared" si="1"/>
        <v>1</v>
      </c>
    </row>
    <row r="55" spans="1:2" x14ac:dyDescent="0.25">
      <c r="A55" s="1" t="s">
        <v>53</v>
      </c>
      <c r="B55" s="1">
        <f t="shared" si="1"/>
        <v>0</v>
      </c>
    </row>
    <row r="56" spans="1:2" x14ac:dyDescent="0.25">
      <c r="A56" s="1" t="s">
        <v>54</v>
      </c>
      <c r="B56" s="1">
        <f t="shared" si="1"/>
        <v>1</v>
      </c>
    </row>
    <row r="57" spans="1:2" x14ac:dyDescent="0.25">
      <c r="A57" s="1" t="s">
        <v>55</v>
      </c>
      <c r="B57" s="1">
        <f t="shared" si="1"/>
        <v>1</v>
      </c>
    </row>
    <row r="58" spans="1:2" x14ac:dyDescent="0.25">
      <c r="A58" s="1" t="s">
        <v>56</v>
      </c>
      <c r="B58" s="1">
        <f t="shared" si="1"/>
        <v>0</v>
      </c>
    </row>
    <row r="59" spans="1:2" x14ac:dyDescent="0.25">
      <c r="A59" s="1" t="s">
        <v>57</v>
      </c>
      <c r="B59" s="1">
        <f t="shared" si="1"/>
        <v>1</v>
      </c>
    </row>
    <row r="60" spans="1:2" x14ac:dyDescent="0.25">
      <c r="A60" s="1" t="s">
        <v>58</v>
      </c>
      <c r="B60" s="1">
        <f t="shared" si="1"/>
        <v>0</v>
      </c>
    </row>
    <row r="61" spans="1:2" x14ac:dyDescent="0.25">
      <c r="A61" s="1" t="s">
        <v>59</v>
      </c>
      <c r="B61" s="1">
        <f t="shared" si="1"/>
        <v>1</v>
      </c>
    </row>
    <row r="62" spans="1:2" x14ac:dyDescent="0.25">
      <c r="A62" s="1" t="s">
        <v>60</v>
      </c>
      <c r="B62" s="1">
        <f t="shared" si="1"/>
        <v>1</v>
      </c>
    </row>
    <row r="63" spans="1:2" x14ac:dyDescent="0.25">
      <c r="A63" s="1" t="s">
        <v>61</v>
      </c>
      <c r="B63" s="1">
        <f t="shared" si="1"/>
        <v>1</v>
      </c>
    </row>
    <row r="64" spans="1:2" x14ac:dyDescent="0.25">
      <c r="A64" s="1" t="s">
        <v>62</v>
      </c>
      <c r="B64" s="1">
        <f t="shared" si="1"/>
        <v>0</v>
      </c>
    </row>
    <row r="65" spans="1:2" x14ac:dyDescent="0.25">
      <c r="A65" s="1" t="s">
        <v>63</v>
      </c>
      <c r="B65" s="1">
        <f t="shared" si="1"/>
        <v>0</v>
      </c>
    </row>
    <row r="66" spans="1:2" x14ac:dyDescent="0.25">
      <c r="A66" s="1" t="s">
        <v>64</v>
      </c>
      <c r="B66" s="1">
        <f t="shared" ref="B66:B97" si="2">MOD(LEFT(RIGHT(A66,2),1),2)</f>
        <v>1</v>
      </c>
    </row>
    <row r="67" spans="1:2" x14ac:dyDescent="0.25">
      <c r="A67" s="1" t="s">
        <v>65</v>
      </c>
      <c r="B67" s="1">
        <f t="shared" si="2"/>
        <v>0</v>
      </c>
    </row>
    <row r="68" spans="1:2" x14ac:dyDescent="0.25">
      <c r="A68" s="1" t="s">
        <v>66</v>
      </c>
      <c r="B68" s="1">
        <f t="shared" si="2"/>
        <v>0</v>
      </c>
    </row>
    <row r="69" spans="1:2" x14ac:dyDescent="0.25">
      <c r="A69" s="1" t="s">
        <v>67</v>
      </c>
      <c r="B69" s="1">
        <f t="shared" si="2"/>
        <v>0</v>
      </c>
    </row>
    <row r="70" spans="1:2" x14ac:dyDescent="0.25">
      <c r="A70" s="1" t="s">
        <v>68</v>
      </c>
      <c r="B70" s="1">
        <f t="shared" si="2"/>
        <v>1</v>
      </c>
    </row>
    <row r="71" spans="1:2" x14ac:dyDescent="0.25">
      <c r="A71" s="1" t="s">
        <v>69</v>
      </c>
      <c r="B71" s="1">
        <f t="shared" si="2"/>
        <v>0</v>
      </c>
    </row>
    <row r="72" spans="1:2" x14ac:dyDescent="0.25">
      <c r="A72" s="1" t="s">
        <v>70</v>
      </c>
      <c r="B72" s="1">
        <f t="shared" si="2"/>
        <v>0</v>
      </c>
    </row>
    <row r="73" spans="1:2" x14ac:dyDescent="0.25">
      <c r="A73" s="1" t="s">
        <v>71</v>
      </c>
      <c r="B73" s="1">
        <f t="shared" si="2"/>
        <v>1</v>
      </c>
    </row>
    <row r="74" spans="1:2" x14ac:dyDescent="0.25">
      <c r="A74" s="1" t="s">
        <v>72</v>
      </c>
      <c r="B74" s="1">
        <f t="shared" si="2"/>
        <v>0</v>
      </c>
    </row>
    <row r="75" spans="1:2" x14ac:dyDescent="0.25">
      <c r="A75" s="1" t="s">
        <v>73</v>
      </c>
      <c r="B75" s="1">
        <f t="shared" si="2"/>
        <v>0</v>
      </c>
    </row>
    <row r="76" spans="1:2" x14ac:dyDescent="0.25">
      <c r="A76" s="1" t="s">
        <v>74</v>
      </c>
      <c r="B76" s="1">
        <f t="shared" si="2"/>
        <v>1</v>
      </c>
    </row>
    <row r="77" spans="1:2" x14ac:dyDescent="0.25">
      <c r="A77" s="1" t="s">
        <v>75</v>
      </c>
      <c r="B77" s="1">
        <f t="shared" si="2"/>
        <v>0</v>
      </c>
    </row>
    <row r="78" spans="1:2" x14ac:dyDescent="0.25">
      <c r="A78" s="1" t="s">
        <v>76</v>
      </c>
      <c r="B78" s="1">
        <f t="shared" si="2"/>
        <v>0</v>
      </c>
    </row>
    <row r="79" spans="1:2" x14ac:dyDescent="0.25">
      <c r="A79" s="1" t="s">
        <v>77</v>
      </c>
      <c r="B79" s="1">
        <f t="shared" si="2"/>
        <v>1</v>
      </c>
    </row>
    <row r="80" spans="1:2" x14ac:dyDescent="0.25">
      <c r="A80" s="1" t="s">
        <v>78</v>
      </c>
      <c r="B80" s="1">
        <f t="shared" si="2"/>
        <v>0</v>
      </c>
    </row>
    <row r="81" spans="1:2" x14ac:dyDescent="0.25">
      <c r="A81" s="1" t="s">
        <v>79</v>
      </c>
      <c r="B81" s="1">
        <f t="shared" si="2"/>
        <v>1</v>
      </c>
    </row>
    <row r="82" spans="1:2" x14ac:dyDescent="0.25">
      <c r="A82" s="1" t="s">
        <v>80</v>
      </c>
      <c r="B82" s="1">
        <f t="shared" si="2"/>
        <v>0</v>
      </c>
    </row>
    <row r="83" spans="1:2" x14ac:dyDescent="0.25">
      <c r="A83" s="1" t="s">
        <v>81</v>
      </c>
      <c r="B83" s="1">
        <f t="shared" si="2"/>
        <v>0</v>
      </c>
    </row>
    <row r="84" spans="1:2" x14ac:dyDescent="0.25">
      <c r="A84" s="1" t="s">
        <v>82</v>
      </c>
      <c r="B84" s="1">
        <f t="shared" si="2"/>
        <v>1</v>
      </c>
    </row>
    <row r="85" spans="1:2" x14ac:dyDescent="0.25">
      <c r="A85" s="1" t="s">
        <v>83</v>
      </c>
      <c r="B85" s="1">
        <f t="shared" si="2"/>
        <v>1</v>
      </c>
    </row>
    <row r="86" spans="1:2" x14ac:dyDescent="0.25">
      <c r="A86" s="1" t="s">
        <v>84</v>
      </c>
      <c r="B86" s="1">
        <f t="shared" si="2"/>
        <v>1</v>
      </c>
    </row>
    <row r="87" spans="1:2" x14ac:dyDescent="0.25">
      <c r="A87" s="1" t="s">
        <v>85</v>
      </c>
      <c r="B87" s="1">
        <f t="shared" si="2"/>
        <v>0</v>
      </c>
    </row>
    <row r="88" spans="1:2" x14ac:dyDescent="0.25">
      <c r="A88" s="1" t="s">
        <v>86</v>
      </c>
      <c r="B88" s="1">
        <f t="shared" si="2"/>
        <v>1</v>
      </c>
    </row>
    <row r="89" spans="1:2" x14ac:dyDescent="0.25">
      <c r="A89" s="1" t="s">
        <v>87</v>
      </c>
      <c r="B89" s="1">
        <f t="shared" si="2"/>
        <v>0</v>
      </c>
    </row>
    <row r="90" spans="1:2" x14ac:dyDescent="0.25">
      <c r="A90" s="1" t="s">
        <v>88</v>
      </c>
      <c r="B90" s="1">
        <f t="shared" si="2"/>
        <v>1</v>
      </c>
    </row>
    <row r="91" spans="1:2" x14ac:dyDescent="0.25">
      <c r="A91" s="1" t="s">
        <v>89</v>
      </c>
      <c r="B91" s="1">
        <f t="shared" si="2"/>
        <v>1</v>
      </c>
    </row>
    <row r="92" spans="1:2" x14ac:dyDescent="0.25">
      <c r="A92" s="1" t="s">
        <v>90</v>
      </c>
      <c r="B92" s="1">
        <f t="shared" si="2"/>
        <v>0</v>
      </c>
    </row>
    <row r="93" spans="1:2" x14ac:dyDescent="0.25">
      <c r="A93" s="1" t="s">
        <v>91</v>
      </c>
      <c r="B93" s="1">
        <f t="shared" si="2"/>
        <v>0</v>
      </c>
    </row>
    <row r="94" spans="1:2" x14ac:dyDescent="0.25">
      <c r="A94" s="1" t="s">
        <v>92</v>
      </c>
      <c r="B94" s="1">
        <f t="shared" si="2"/>
        <v>0</v>
      </c>
    </row>
    <row r="95" spans="1:2" x14ac:dyDescent="0.25">
      <c r="A95" s="1" t="s">
        <v>93</v>
      </c>
      <c r="B95" s="1">
        <f t="shared" si="2"/>
        <v>1</v>
      </c>
    </row>
    <row r="96" spans="1:2" x14ac:dyDescent="0.25">
      <c r="A96" s="1" t="s">
        <v>94</v>
      </c>
      <c r="B96" s="1">
        <f t="shared" si="2"/>
        <v>0</v>
      </c>
    </row>
    <row r="97" spans="1:2" x14ac:dyDescent="0.25">
      <c r="A97" s="1" t="s">
        <v>95</v>
      </c>
      <c r="B97" s="1">
        <f t="shared" si="2"/>
        <v>1</v>
      </c>
    </row>
    <row r="98" spans="1:2" x14ac:dyDescent="0.25">
      <c r="A98" s="1" t="s">
        <v>96</v>
      </c>
      <c r="B98" s="1">
        <f t="shared" ref="B98:B129" si="3">MOD(LEFT(RIGHT(A98,2),1),2)</f>
        <v>1</v>
      </c>
    </row>
    <row r="99" spans="1:2" x14ac:dyDescent="0.25">
      <c r="A99" s="1" t="s">
        <v>97</v>
      </c>
      <c r="B99" s="1">
        <f t="shared" si="3"/>
        <v>0</v>
      </c>
    </row>
    <row r="100" spans="1:2" x14ac:dyDescent="0.25">
      <c r="A100" s="1" t="s">
        <v>98</v>
      </c>
      <c r="B100" s="1">
        <f t="shared" si="3"/>
        <v>1</v>
      </c>
    </row>
    <row r="101" spans="1:2" x14ac:dyDescent="0.25">
      <c r="A101" s="1" t="s">
        <v>99</v>
      </c>
      <c r="B101" s="1">
        <f t="shared" si="3"/>
        <v>0</v>
      </c>
    </row>
    <row r="102" spans="1:2" x14ac:dyDescent="0.25">
      <c r="A102" s="1" t="s">
        <v>100</v>
      </c>
      <c r="B102" s="1">
        <f t="shared" si="3"/>
        <v>1</v>
      </c>
    </row>
    <row r="103" spans="1:2" x14ac:dyDescent="0.25">
      <c r="A103" s="1" t="s">
        <v>101</v>
      </c>
      <c r="B103" s="1">
        <f t="shared" si="3"/>
        <v>0</v>
      </c>
    </row>
    <row r="104" spans="1:2" x14ac:dyDescent="0.25">
      <c r="A104" s="1" t="s">
        <v>102</v>
      </c>
      <c r="B104" s="1">
        <f t="shared" si="3"/>
        <v>1</v>
      </c>
    </row>
    <row r="105" spans="1:2" x14ac:dyDescent="0.25">
      <c r="A105" s="1" t="s">
        <v>103</v>
      </c>
      <c r="B105" s="1">
        <f t="shared" si="3"/>
        <v>1</v>
      </c>
    </row>
    <row r="106" spans="1:2" x14ac:dyDescent="0.25">
      <c r="A106" s="1" t="s">
        <v>104</v>
      </c>
      <c r="B106" s="1">
        <f t="shared" si="3"/>
        <v>0</v>
      </c>
    </row>
    <row r="107" spans="1:2" x14ac:dyDescent="0.25">
      <c r="A107" s="1" t="s">
        <v>105</v>
      </c>
      <c r="B107" s="1">
        <f t="shared" si="3"/>
        <v>0</v>
      </c>
    </row>
    <row r="108" spans="1:2" x14ac:dyDescent="0.25">
      <c r="A108" s="1" t="s">
        <v>106</v>
      </c>
      <c r="B108" s="1">
        <f t="shared" si="3"/>
        <v>1</v>
      </c>
    </row>
    <row r="109" spans="1:2" x14ac:dyDescent="0.25">
      <c r="A109" s="1" t="s">
        <v>107</v>
      </c>
      <c r="B109" s="1">
        <f t="shared" si="3"/>
        <v>1</v>
      </c>
    </row>
    <row r="110" spans="1:2" x14ac:dyDescent="0.25">
      <c r="A110" s="1" t="s">
        <v>108</v>
      </c>
      <c r="B110" s="1">
        <f t="shared" si="3"/>
        <v>1</v>
      </c>
    </row>
    <row r="111" spans="1:2" x14ac:dyDescent="0.25">
      <c r="A111" s="1" t="s">
        <v>109</v>
      </c>
      <c r="B111" s="1">
        <f t="shared" si="3"/>
        <v>0</v>
      </c>
    </row>
    <row r="112" spans="1:2" x14ac:dyDescent="0.25">
      <c r="A112" s="1" t="s">
        <v>110</v>
      </c>
      <c r="B112" s="1">
        <f t="shared" si="3"/>
        <v>1</v>
      </c>
    </row>
    <row r="113" spans="1:2" x14ac:dyDescent="0.25">
      <c r="A113" s="1" t="s">
        <v>111</v>
      </c>
      <c r="B113" s="1">
        <f t="shared" si="3"/>
        <v>0</v>
      </c>
    </row>
    <row r="114" spans="1:2" x14ac:dyDescent="0.25">
      <c r="A114" s="1" t="s">
        <v>112</v>
      </c>
      <c r="B114" s="1">
        <f t="shared" si="3"/>
        <v>1</v>
      </c>
    </row>
    <row r="115" spans="1:2" x14ac:dyDescent="0.25">
      <c r="A115" s="1" t="s">
        <v>113</v>
      </c>
      <c r="B115" s="1">
        <f t="shared" si="3"/>
        <v>0</v>
      </c>
    </row>
    <row r="116" spans="1:2" x14ac:dyDescent="0.25">
      <c r="A116" s="1" t="s">
        <v>114</v>
      </c>
      <c r="B116" s="1">
        <f t="shared" si="3"/>
        <v>0</v>
      </c>
    </row>
    <row r="117" spans="1:2" x14ac:dyDescent="0.25">
      <c r="A117" s="1" t="s">
        <v>115</v>
      </c>
      <c r="B117" s="1">
        <f t="shared" si="3"/>
        <v>0</v>
      </c>
    </row>
    <row r="118" spans="1:2" x14ac:dyDescent="0.25">
      <c r="A118" s="1" t="s">
        <v>116</v>
      </c>
      <c r="B118" s="1">
        <f t="shared" si="3"/>
        <v>0</v>
      </c>
    </row>
    <row r="119" spans="1:2" x14ac:dyDescent="0.25">
      <c r="A119" s="1" t="s">
        <v>117</v>
      </c>
      <c r="B119" s="1">
        <f t="shared" si="3"/>
        <v>1</v>
      </c>
    </row>
    <row r="120" spans="1:2" x14ac:dyDescent="0.25">
      <c r="A120" s="1" t="s">
        <v>118</v>
      </c>
      <c r="B120" s="1">
        <f t="shared" si="3"/>
        <v>0</v>
      </c>
    </row>
    <row r="121" spans="1:2" x14ac:dyDescent="0.25">
      <c r="A121" s="1" t="s">
        <v>119</v>
      </c>
      <c r="B121" s="1">
        <f t="shared" si="3"/>
        <v>1</v>
      </c>
    </row>
    <row r="122" spans="1:2" x14ac:dyDescent="0.25">
      <c r="A122" s="1" t="s">
        <v>120</v>
      </c>
      <c r="B122" s="1">
        <f t="shared" si="3"/>
        <v>0</v>
      </c>
    </row>
    <row r="123" spans="1:2" x14ac:dyDescent="0.25">
      <c r="A123" s="1" t="s">
        <v>121</v>
      </c>
      <c r="B123" s="1">
        <f t="shared" si="3"/>
        <v>0</v>
      </c>
    </row>
    <row r="124" spans="1:2" x14ac:dyDescent="0.25">
      <c r="A124" s="1" t="s">
        <v>122</v>
      </c>
      <c r="B124" s="1">
        <f t="shared" si="3"/>
        <v>1</v>
      </c>
    </row>
    <row r="125" spans="1:2" x14ac:dyDescent="0.25">
      <c r="A125" s="1" t="s">
        <v>123</v>
      </c>
      <c r="B125" s="1">
        <f t="shared" si="3"/>
        <v>1</v>
      </c>
    </row>
    <row r="126" spans="1:2" x14ac:dyDescent="0.25">
      <c r="A126" s="1" t="s">
        <v>124</v>
      </c>
      <c r="B126" s="1">
        <f t="shared" si="3"/>
        <v>0</v>
      </c>
    </row>
    <row r="127" spans="1:2" x14ac:dyDescent="0.25">
      <c r="A127" s="1" t="s">
        <v>125</v>
      </c>
      <c r="B127" s="1">
        <f t="shared" si="3"/>
        <v>1</v>
      </c>
    </row>
    <row r="128" spans="1:2" x14ac:dyDescent="0.25">
      <c r="A128" s="1" t="s">
        <v>126</v>
      </c>
      <c r="B128" s="1">
        <f t="shared" si="3"/>
        <v>0</v>
      </c>
    </row>
    <row r="129" spans="1:2" x14ac:dyDescent="0.25">
      <c r="A129" s="1" t="s">
        <v>127</v>
      </c>
      <c r="B129" s="1">
        <f t="shared" si="3"/>
        <v>0</v>
      </c>
    </row>
    <row r="130" spans="1:2" x14ac:dyDescent="0.25">
      <c r="A130" s="1" t="s">
        <v>128</v>
      </c>
      <c r="B130" s="1">
        <f t="shared" ref="B130:B161" si="4">MOD(LEFT(RIGHT(A130,2),1),2)</f>
        <v>1</v>
      </c>
    </row>
    <row r="131" spans="1:2" x14ac:dyDescent="0.25">
      <c r="A131" s="1" t="s">
        <v>129</v>
      </c>
      <c r="B131" s="1">
        <f t="shared" si="4"/>
        <v>1</v>
      </c>
    </row>
    <row r="132" spans="1:2" x14ac:dyDescent="0.25">
      <c r="A132" s="1" t="s">
        <v>130</v>
      </c>
      <c r="B132" s="1">
        <f t="shared" si="4"/>
        <v>1</v>
      </c>
    </row>
    <row r="133" spans="1:2" x14ac:dyDescent="0.25">
      <c r="A133" s="1" t="s">
        <v>131</v>
      </c>
      <c r="B133" s="1">
        <f t="shared" si="4"/>
        <v>1</v>
      </c>
    </row>
    <row r="134" spans="1:2" x14ac:dyDescent="0.25">
      <c r="A134" s="1" t="s">
        <v>132</v>
      </c>
      <c r="B134" s="1">
        <f t="shared" si="4"/>
        <v>1</v>
      </c>
    </row>
    <row r="135" spans="1:2" x14ac:dyDescent="0.25">
      <c r="A135" s="1" t="s">
        <v>133</v>
      </c>
      <c r="B135" s="1">
        <f t="shared" si="4"/>
        <v>0</v>
      </c>
    </row>
    <row r="136" spans="1:2" x14ac:dyDescent="0.25">
      <c r="A136" s="1" t="s">
        <v>134</v>
      </c>
      <c r="B136" s="1">
        <f t="shared" si="4"/>
        <v>0</v>
      </c>
    </row>
    <row r="137" spans="1:2" x14ac:dyDescent="0.25">
      <c r="A137" s="1" t="s">
        <v>135</v>
      </c>
      <c r="B137" s="1">
        <f t="shared" si="4"/>
        <v>1</v>
      </c>
    </row>
    <row r="138" spans="1:2" x14ac:dyDescent="0.25">
      <c r="A138" s="1" t="s">
        <v>136</v>
      </c>
      <c r="B138" s="1">
        <f t="shared" si="4"/>
        <v>1</v>
      </c>
    </row>
    <row r="139" spans="1:2" x14ac:dyDescent="0.25">
      <c r="A139" s="1" t="s">
        <v>137</v>
      </c>
      <c r="B139" s="1">
        <f t="shared" si="4"/>
        <v>1</v>
      </c>
    </row>
    <row r="140" spans="1:2" x14ac:dyDescent="0.25">
      <c r="A140" s="1" t="s">
        <v>138</v>
      </c>
      <c r="B140" s="1">
        <f t="shared" si="4"/>
        <v>0</v>
      </c>
    </row>
    <row r="141" spans="1:2" x14ac:dyDescent="0.25">
      <c r="A141" s="1" t="s">
        <v>139</v>
      </c>
      <c r="B141" s="1">
        <f t="shared" si="4"/>
        <v>0</v>
      </c>
    </row>
    <row r="142" spans="1:2" x14ac:dyDescent="0.25">
      <c r="A142" s="1" t="s">
        <v>140</v>
      </c>
      <c r="B142" s="1">
        <f t="shared" si="4"/>
        <v>1</v>
      </c>
    </row>
    <row r="143" spans="1:2" x14ac:dyDescent="0.25">
      <c r="A143" s="1" t="s">
        <v>141</v>
      </c>
      <c r="B143" s="1">
        <f t="shared" si="4"/>
        <v>1</v>
      </c>
    </row>
    <row r="144" spans="1:2" x14ac:dyDescent="0.25">
      <c r="A144" s="1" t="s">
        <v>142</v>
      </c>
      <c r="B144" s="1">
        <f t="shared" si="4"/>
        <v>1</v>
      </c>
    </row>
    <row r="145" spans="1:2" x14ac:dyDescent="0.25">
      <c r="A145" s="1" t="s">
        <v>143</v>
      </c>
      <c r="B145" s="1">
        <f t="shared" si="4"/>
        <v>0</v>
      </c>
    </row>
    <row r="146" spans="1:2" x14ac:dyDescent="0.25">
      <c r="A146" s="1" t="s">
        <v>144</v>
      </c>
      <c r="B146" s="1">
        <f t="shared" si="4"/>
        <v>1</v>
      </c>
    </row>
    <row r="147" spans="1:2" x14ac:dyDescent="0.25">
      <c r="A147" s="1" t="s">
        <v>145</v>
      </c>
      <c r="B147" s="1">
        <f t="shared" si="4"/>
        <v>0</v>
      </c>
    </row>
    <row r="148" spans="1:2" x14ac:dyDescent="0.25">
      <c r="A148" s="1" t="s">
        <v>146</v>
      </c>
      <c r="B148" s="1">
        <f t="shared" si="4"/>
        <v>1</v>
      </c>
    </row>
    <row r="149" spans="1:2" x14ac:dyDescent="0.25">
      <c r="A149" s="1" t="s">
        <v>147</v>
      </c>
      <c r="B149" s="1">
        <f t="shared" si="4"/>
        <v>0</v>
      </c>
    </row>
    <row r="150" spans="1:2" x14ac:dyDescent="0.25">
      <c r="A150" s="1" t="s">
        <v>148</v>
      </c>
      <c r="B150" s="1">
        <f t="shared" si="4"/>
        <v>1</v>
      </c>
    </row>
    <row r="151" spans="1:2" x14ac:dyDescent="0.25">
      <c r="A151" s="1" t="s">
        <v>149</v>
      </c>
      <c r="B151" s="1">
        <f t="shared" si="4"/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7661-468A-465A-8B5A-9CDA18A2F321}">
  <dimension ref="A1:D151"/>
  <sheetViews>
    <sheetView workbookViewId="0">
      <selection activeCell="D2" sqref="D2"/>
    </sheetView>
  </sheetViews>
  <sheetFormatPr defaultRowHeight="15" x14ac:dyDescent="0.25"/>
  <cols>
    <col min="1" max="1" width="12" bestFit="1" customWidth="1"/>
    <col min="4" max="4" width="27.28515625" bestFit="1" customWidth="1"/>
  </cols>
  <sheetData>
    <row r="1" spans="1:4" x14ac:dyDescent="0.25">
      <c r="A1" t="s">
        <v>150</v>
      </c>
      <c r="B1" t="s">
        <v>156</v>
      </c>
      <c r="D1" t="s">
        <v>157</v>
      </c>
    </row>
    <row r="2" spans="1:4" x14ac:dyDescent="0.25">
      <c r="A2" s="1" t="s">
        <v>0</v>
      </c>
      <c r="B2" s="1">
        <f>VALUE(_xlfn.CONCAT("19",LEFT(pesel__25[[#This Row],[pesle]],2)))</f>
        <v>1953</v>
      </c>
      <c r="D2" s="2">
        <f>_xlfn.MODE.SNGL(pesel__25[ROK urodzenia])</f>
        <v>1989</v>
      </c>
    </row>
    <row r="3" spans="1:4" x14ac:dyDescent="0.25">
      <c r="A3" s="1" t="s">
        <v>1</v>
      </c>
      <c r="B3" s="1">
        <f>VALUE(_xlfn.CONCAT("19",LEFT(pesel__25[[#This Row],[pesle]],2)))</f>
        <v>1989</v>
      </c>
    </row>
    <row r="4" spans="1:4" x14ac:dyDescent="0.25">
      <c r="A4" s="1" t="s">
        <v>2</v>
      </c>
      <c r="B4" s="1">
        <f>VALUE(_xlfn.CONCAT("19",LEFT(pesel__25[[#This Row],[pesle]],2)))</f>
        <v>1985</v>
      </c>
    </row>
    <row r="5" spans="1:4" x14ac:dyDescent="0.25">
      <c r="A5" s="1" t="s">
        <v>3</v>
      </c>
      <c r="B5" s="1">
        <f>VALUE(_xlfn.CONCAT("19",LEFT(pesel__25[[#This Row],[pesle]],2)))</f>
        <v>1986</v>
      </c>
    </row>
    <row r="6" spans="1:4" x14ac:dyDescent="0.25">
      <c r="A6" s="1" t="s">
        <v>4</v>
      </c>
      <c r="B6" s="1">
        <f>VALUE(_xlfn.CONCAT("19",LEFT(pesel__25[[#This Row],[pesle]],2)))</f>
        <v>1989</v>
      </c>
    </row>
    <row r="7" spans="1:4" x14ac:dyDescent="0.25">
      <c r="A7" s="1" t="s">
        <v>5</v>
      </c>
      <c r="B7" s="1">
        <f>VALUE(_xlfn.CONCAT("19",LEFT(pesel__25[[#This Row],[pesle]],2)))</f>
        <v>1962</v>
      </c>
    </row>
    <row r="8" spans="1:4" x14ac:dyDescent="0.25">
      <c r="A8" s="1" t="s">
        <v>6</v>
      </c>
      <c r="B8" s="1">
        <f>VALUE(_xlfn.CONCAT("19",LEFT(pesel__25[[#This Row],[pesle]],2)))</f>
        <v>1962</v>
      </c>
    </row>
    <row r="9" spans="1:4" x14ac:dyDescent="0.25">
      <c r="A9" s="1" t="s">
        <v>7</v>
      </c>
      <c r="B9" s="1">
        <f>VALUE(_xlfn.CONCAT("19",LEFT(pesel__25[[#This Row],[pesle]],2)))</f>
        <v>1964</v>
      </c>
    </row>
    <row r="10" spans="1:4" x14ac:dyDescent="0.25">
      <c r="A10" s="1" t="s">
        <v>8</v>
      </c>
      <c r="B10" s="1">
        <f>VALUE(_xlfn.CONCAT("19",LEFT(pesel__25[[#This Row],[pesle]],2)))</f>
        <v>1988</v>
      </c>
    </row>
    <row r="11" spans="1:4" x14ac:dyDescent="0.25">
      <c r="A11" s="1" t="s">
        <v>9</v>
      </c>
      <c r="B11" s="1">
        <f>VALUE(_xlfn.CONCAT("19",LEFT(pesel__25[[#This Row],[pesle]],2)))</f>
        <v>1975</v>
      </c>
    </row>
    <row r="12" spans="1:4" x14ac:dyDescent="0.25">
      <c r="A12" s="1" t="s">
        <v>10</v>
      </c>
      <c r="B12" s="1">
        <f>VALUE(_xlfn.CONCAT("19",LEFT(pesel__25[[#This Row],[pesle]],2)))</f>
        <v>1974</v>
      </c>
    </row>
    <row r="13" spans="1:4" x14ac:dyDescent="0.25">
      <c r="A13" s="1" t="s">
        <v>11</v>
      </c>
      <c r="B13" s="1">
        <f>VALUE(_xlfn.CONCAT("19",LEFT(pesel__25[[#This Row],[pesle]],2)))</f>
        <v>1967</v>
      </c>
    </row>
    <row r="14" spans="1:4" x14ac:dyDescent="0.25">
      <c r="A14" s="1" t="s">
        <v>12</v>
      </c>
      <c r="B14" s="1">
        <f>VALUE(_xlfn.CONCAT("19",LEFT(pesel__25[[#This Row],[pesle]],2)))</f>
        <v>1989</v>
      </c>
    </row>
    <row r="15" spans="1:4" x14ac:dyDescent="0.25">
      <c r="A15" s="1" t="s">
        <v>13</v>
      </c>
      <c r="B15" s="1">
        <f>VALUE(_xlfn.CONCAT("19",LEFT(pesel__25[[#This Row],[pesle]],2)))</f>
        <v>1952</v>
      </c>
    </row>
    <row r="16" spans="1:4" x14ac:dyDescent="0.25">
      <c r="A16" s="1" t="s">
        <v>14</v>
      </c>
      <c r="B16" s="1">
        <f>VALUE(_xlfn.CONCAT("19",LEFT(pesel__25[[#This Row],[pesle]],2)))</f>
        <v>1991</v>
      </c>
    </row>
    <row r="17" spans="1:2" x14ac:dyDescent="0.25">
      <c r="A17" s="1" t="s">
        <v>15</v>
      </c>
      <c r="B17" s="1">
        <f>VALUE(_xlfn.CONCAT("19",LEFT(pesel__25[[#This Row],[pesle]],2)))</f>
        <v>1975</v>
      </c>
    </row>
    <row r="18" spans="1:2" x14ac:dyDescent="0.25">
      <c r="A18" s="1" t="s">
        <v>16</v>
      </c>
      <c r="B18" s="1">
        <f>VALUE(_xlfn.CONCAT("19",LEFT(pesel__25[[#This Row],[pesle]],2)))</f>
        <v>1955</v>
      </c>
    </row>
    <row r="19" spans="1:2" x14ac:dyDescent="0.25">
      <c r="A19" s="1" t="s">
        <v>17</v>
      </c>
      <c r="B19" s="1">
        <f>VALUE(_xlfn.CONCAT("19",LEFT(pesel__25[[#This Row],[pesle]],2)))</f>
        <v>1967</v>
      </c>
    </row>
    <row r="20" spans="1:2" x14ac:dyDescent="0.25">
      <c r="A20" s="1" t="s">
        <v>18</v>
      </c>
      <c r="B20" s="1">
        <f>VALUE(_xlfn.CONCAT("19",LEFT(pesel__25[[#This Row],[pesle]],2)))</f>
        <v>1977</v>
      </c>
    </row>
    <row r="21" spans="1:2" x14ac:dyDescent="0.25">
      <c r="A21" s="1" t="s">
        <v>19</v>
      </c>
      <c r="B21" s="1">
        <f>VALUE(_xlfn.CONCAT("19",LEFT(pesel__25[[#This Row],[pesle]],2)))</f>
        <v>1992</v>
      </c>
    </row>
    <row r="22" spans="1:2" x14ac:dyDescent="0.25">
      <c r="A22" s="1" t="s">
        <v>20</v>
      </c>
      <c r="B22" s="1">
        <f>VALUE(_xlfn.CONCAT("19",LEFT(pesel__25[[#This Row],[pesle]],2)))</f>
        <v>1983</v>
      </c>
    </row>
    <row r="23" spans="1:2" x14ac:dyDescent="0.25">
      <c r="A23" s="1" t="s">
        <v>21</v>
      </c>
      <c r="B23" s="1">
        <f>VALUE(_xlfn.CONCAT("19",LEFT(pesel__25[[#This Row],[pesle]],2)))</f>
        <v>1986</v>
      </c>
    </row>
    <row r="24" spans="1:2" x14ac:dyDescent="0.25">
      <c r="A24" s="1" t="s">
        <v>22</v>
      </c>
      <c r="B24" s="1">
        <f>VALUE(_xlfn.CONCAT("19",LEFT(pesel__25[[#This Row],[pesle]],2)))</f>
        <v>1971</v>
      </c>
    </row>
    <row r="25" spans="1:2" x14ac:dyDescent="0.25">
      <c r="A25" s="1" t="s">
        <v>23</v>
      </c>
      <c r="B25" s="1">
        <f>VALUE(_xlfn.CONCAT("19",LEFT(pesel__25[[#This Row],[pesle]],2)))</f>
        <v>1973</v>
      </c>
    </row>
    <row r="26" spans="1:2" x14ac:dyDescent="0.25">
      <c r="A26" s="1" t="s">
        <v>24</v>
      </c>
      <c r="B26" s="1">
        <f>VALUE(_xlfn.CONCAT("19",LEFT(pesel__25[[#This Row],[pesle]],2)))</f>
        <v>1974</v>
      </c>
    </row>
    <row r="27" spans="1:2" x14ac:dyDescent="0.25">
      <c r="A27" s="1" t="s">
        <v>25</v>
      </c>
      <c r="B27" s="1">
        <f>VALUE(_xlfn.CONCAT("19",LEFT(pesel__25[[#This Row],[pesle]],2)))</f>
        <v>1985</v>
      </c>
    </row>
    <row r="28" spans="1:2" x14ac:dyDescent="0.25">
      <c r="A28" s="1" t="s">
        <v>26</v>
      </c>
      <c r="B28" s="1">
        <f>VALUE(_xlfn.CONCAT("19",LEFT(pesel__25[[#This Row],[pesle]],2)))</f>
        <v>1970</v>
      </c>
    </row>
    <row r="29" spans="1:2" x14ac:dyDescent="0.25">
      <c r="A29" s="1" t="s">
        <v>27</v>
      </c>
      <c r="B29" s="1">
        <f>VALUE(_xlfn.CONCAT("19",LEFT(pesel__25[[#This Row],[pesle]],2)))</f>
        <v>1989</v>
      </c>
    </row>
    <row r="30" spans="1:2" x14ac:dyDescent="0.25">
      <c r="A30" s="1" t="s">
        <v>28</v>
      </c>
      <c r="B30" s="1">
        <f>VALUE(_xlfn.CONCAT("19",LEFT(pesel__25[[#This Row],[pesle]],2)))</f>
        <v>1964</v>
      </c>
    </row>
    <row r="31" spans="1:2" x14ac:dyDescent="0.25">
      <c r="A31" s="1" t="s">
        <v>29</v>
      </c>
      <c r="B31" s="1">
        <f>VALUE(_xlfn.CONCAT("19",LEFT(pesel__25[[#This Row],[pesle]],2)))</f>
        <v>1966</v>
      </c>
    </row>
    <row r="32" spans="1:2" x14ac:dyDescent="0.25">
      <c r="A32" s="1" t="s">
        <v>30</v>
      </c>
      <c r="B32" s="1">
        <f>VALUE(_xlfn.CONCAT("19",LEFT(pesel__25[[#This Row],[pesle]],2)))</f>
        <v>1963</v>
      </c>
    </row>
    <row r="33" spans="1:2" x14ac:dyDescent="0.25">
      <c r="A33" s="1" t="s">
        <v>31</v>
      </c>
      <c r="B33" s="1">
        <f>VALUE(_xlfn.CONCAT("19",LEFT(pesel__25[[#This Row],[pesle]],2)))</f>
        <v>1989</v>
      </c>
    </row>
    <row r="34" spans="1:2" x14ac:dyDescent="0.25">
      <c r="A34" s="1" t="s">
        <v>32</v>
      </c>
      <c r="B34" s="1">
        <f>VALUE(_xlfn.CONCAT("19",LEFT(pesel__25[[#This Row],[pesle]],2)))</f>
        <v>1974</v>
      </c>
    </row>
    <row r="35" spans="1:2" x14ac:dyDescent="0.25">
      <c r="A35" s="1" t="s">
        <v>33</v>
      </c>
      <c r="B35" s="1">
        <f>VALUE(_xlfn.CONCAT("19",LEFT(pesel__25[[#This Row],[pesle]],2)))</f>
        <v>1988</v>
      </c>
    </row>
    <row r="36" spans="1:2" x14ac:dyDescent="0.25">
      <c r="A36" s="1" t="s">
        <v>34</v>
      </c>
      <c r="B36" s="1">
        <f>VALUE(_xlfn.CONCAT("19",LEFT(pesel__25[[#This Row],[pesle]],2)))</f>
        <v>1970</v>
      </c>
    </row>
    <row r="37" spans="1:2" x14ac:dyDescent="0.25">
      <c r="A37" s="1" t="s">
        <v>35</v>
      </c>
      <c r="B37" s="1">
        <f>VALUE(_xlfn.CONCAT("19",LEFT(pesel__25[[#This Row],[pesle]],2)))</f>
        <v>1989</v>
      </c>
    </row>
    <row r="38" spans="1:2" x14ac:dyDescent="0.25">
      <c r="A38" s="1" t="s">
        <v>36</v>
      </c>
      <c r="B38" s="1">
        <f>VALUE(_xlfn.CONCAT("19",LEFT(pesel__25[[#This Row],[pesle]],2)))</f>
        <v>1966</v>
      </c>
    </row>
    <row r="39" spans="1:2" x14ac:dyDescent="0.25">
      <c r="A39" s="1" t="s">
        <v>37</v>
      </c>
      <c r="B39" s="1">
        <f>VALUE(_xlfn.CONCAT("19",LEFT(pesel__25[[#This Row],[pesle]],2)))</f>
        <v>1956</v>
      </c>
    </row>
    <row r="40" spans="1:2" x14ac:dyDescent="0.25">
      <c r="A40" s="1" t="s">
        <v>38</v>
      </c>
      <c r="B40" s="1">
        <f>VALUE(_xlfn.CONCAT("19",LEFT(pesel__25[[#This Row],[pesle]],2)))</f>
        <v>1978</v>
      </c>
    </row>
    <row r="41" spans="1:2" x14ac:dyDescent="0.25">
      <c r="A41" s="1" t="s">
        <v>39</v>
      </c>
      <c r="B41" s="1">
        <f>VALUE(_xlfn.CONCAT("19",LEFT(pesel__25[[#This Row],[pesle]],2)))</f>
        <v>1988</v>
      </c>
    </row>
    <row r="42" spans="1:2" x14ac:dyDescent="0.25">
      <c r="A42" s="1" t="s">
        <v>40</v>
      </c>
      <c r="B42" s="1">
        <f>VALUE(_xlfn.CONCAT("19",LEFT(pesel__25[[#This Row],[pesle]],2)))</f>
        <v>1971</v>
      </c>
    </row>
    <row r="43" spans="1:2" x14ac:dyDescent="0.25">
      <c r="A43" s="1" t="s">
        <v>41</v>
      </c>
      <c r="B43" s="1">
        <f>VALUE(_xlfn.CONCAT("19",LEFT(pesel__25[[#This Row],[pesle]],2)))</f>
        <v>1964</v>
      </c>
    </row>
    <row r="44" spans="1:2" x14ac:dyDescent="0.25">
      <c r="A44" s="1" t="s">
        <v>42</v>
      </c>
      <c r="B44" s="1">
        <f>VALUE(_xlfn.CONCAT("19",LEFT(pesel__25[[#This Row],[pesle]],2)))</f>
        <v>1965</v>
      </c>
    </row>
    <row r="45" spans="1:2" x14ac:dyDescent="0.25">
      <c r="A45" s="1" t="s">
        <v>43</v>
      </c>
      <c r="B45" s="1">
        <f>VALUE(_xlfn.CONCAT("19",LEFT(pesel__25[[#This Row],[pesle]],2)))</f>
        <v>1968</v>
      </c>
    </row>
    <row r="46" spans="1:2" x14ac:dyDescent="0.25">
      <c r="A46" s="1" t="s">
        <v>44</v>
      </c>
      <c r="B46" s="1">
        <f>VALUE(_xlfn.CONCAT("19",LEFT(pesel__25[[#This Row],[pesle]],2)))</f>
        <v>1970</v>
      </c>
    </row>
    <row r="47" spans="1:2" x14ac:dyDescent="0.25">
      <c r="A47" s="1" t="s">
        <v>45</v>
      </c>
      <c r="B47" s="1">
        <f>VALUE(_xlfn.CONCAT("19",LEFT(pesel__25[[#This Row],[pesle]],2)))</f>
        <v>1977</v>
      </c>
    </row>
    <row r="48" spans="1:2" x14ac:dyDescent="0.25">
      <c r="A48" s="1" t="s">
        <v>46</v>
      </c>
      <c r="B48" s="1">
        <f>VALUE(_xlfn.CONCAT("19",LEFT(pesel__25[[#This Row],[pesle]],2)))</f>
        <v>1978</v>
      </c>
    </row>
    <row r="49" spans="1:2" x14ac:dyDescent="0.25">
      <c r="A49" s="1" t="s">
        <v>47</v>
      </c>
      <c r="B49" s="1">
        <f>VALUE(_xlfn.CONCAT("19",LEFT(pesel__25[[#This Row],[pesle]],2)))</f>
        <v>1979</v>
      </c>
    </row>
    <row r="50" spans="1:2" x14ac:dyDescent="0.25">
      <c r="A50" s="1" t="s">
        <v>48</v>
      </c>
      <c r="B50" s="1">
        <f>VALUE(_xlfn.CONCAT("19",LEFT(pesel__25[[#This Row],[pesle]],2)))</f>
        <v>1974</v>
      </c>
    </row>
    <row r="51" spans="1:2" x14ac:dyDescent="0.25">
      <c r="A51" s="1" t="s">
        <v>49</v>
      </c>
      <c r="B51" s="1">
        <f>VALUE(_xlfn.CONCAT("19",LEFT(pesel__25[[#This Row],[pesle]],2)))</f>
        <v>1989</v>
      </c>
    </row>
    <row r="52" spans="1:2" x14ac:dyDescent="0.25">
      <c r="A52" s="1" t="s">
        <v>50</v>
      </c>
      <c r="B52" s="1">
        <f>VALUE(_xlfn.CONCAT("19",LEFT(pesel__25[[#This Row],[pesle]],2)))</f>
        <v>1986</v>
      </c>
    </row>
    <row r="53" spans="1:2" x14ac:dyDescent="0.25">
      <c r="A53" s="1" t="s">
        <v>51</v>
      </c>
      <c r="B53" s="1">
        <f>VALUE(_xlfn.CONCAT("19",LEFT(pesel__25[[#This Row],[pesle]],2)))</f>
        <v>1963</v>
      </c>
    </row>
    <row r="54" spans="1:2" x14ac:dyDescent="0.25">
      <c r="A54" s="1" t="s">
        <v>52</v>
      </c>
      <c r="B54" s="1">
        <f>VALUE(_xlfn.CONCAT("19",LEFT(pesel__25[[#This Row],[pesle]],2)))</f>
        <v>1990</v>
      </c>
    </row>
    <row r="55" spans="1:2" x14ac:dyDescent="0.25">
      <c r="A55" s="1" t="s">
        <v>53</v>
      </c>
      <c r="B55" s="1">
        <f>VALUE(_xlfn.CONCAT("19",LEFT(pesel__25[[#This Row],[pesle]],2)))</f>
        <v>1954</v>
      </c>
    </row>
    <row r="56" spans="1:2" x14ac:dyDescent="0.25">
      <c r="A56" s="1" t="s">
        <v>54</v>
      </c>
      <c r="B56" s="1">
        <f>VALUE(_xlfn.CONCAT("19",LEFT(pesel__25[[#This Row],[pesle]],2)))</f>
        <v>1969</v>
      </c>
    </row>
    <row r="57" spans="1:2" x14ac:dyDescent="0.25">
      <c r="A57" s="1" t="s">
        <v>55</v>
      </c>
      <c r="B57" s="1">
        <f>VALUE(_xlfn.CONCAT("19",LEFT(pesel__25[[#This Row],[pesle]],2)))</f>
        <v>1984</v>
      </c>
    </row>
    <row r="58" spans="1:2" x14ac:dyDescent="0.25">
      <c r="A58" s="1" t="s">
        <v>56</v>
      </c>
      <c r="B58" s="1">
        <f>VALUE(_xlfn.CONCAT("19",LEFT(pesel__25[[#This Row],[pesle]],2)))</f>
        <v>1966</v>
      </c>
    </row>
    <row r="59" spans="1:2" x14ac:dyDescent="0.25">
      <c r="A59" s="1" t="s">
        <v>57</v>
      </c>
      <c r="B59" s="1">
        <f>VALUE(_xlfn.CONCAT("19",LEFT(pesel__25[[#This Row],[pesle]],2)))</f>
        <v>1971</v>
      </c>
    </row>
    <row r="60" spans="1:2" x14ac:dyDescent="0.25">
      <c r="A60" s="1" t="s">
        <v>58</v>
      </c>
      <c r="B60" s="1">
        <f>VALUE(_xlfn.CONCAT("19",LEFT(pesel__25[[#This Row],[pesle]],2)))</f>
        <v>1989</v>
      </c>
    </row>
    <row r="61" spans="1:2" x14ac:dyDescent="0.25">
      <c r="A61" s="1" t="s">
        <v>59</v>
      </c>
      <c r="B61" s="1">
        <f>VALUE(_xlfn.CONCAT("19",LEFT(pesel__25[[#This Row],[pesle]],2)))</f>
        <v>1990</v>
      </c>
    </row>
    <row r="62" spans="1:2" x14ac:dyDescent="0.25">
      <c r="A62" s="1" t="s">
        <v>60</v>
      </c>
      <c r="B62" s="1">
        <f>VALUE(_xlfn.CONCAT("19",LEFT(pesel__25[[#This Row],[pesle]],2)))</f>
        <v>1975</v>
      </c>
    </row>
    <row r="63" spans="1:2" x14ac:dyDescent="0.25">
      <c r="A63" s="1" t="s">
        <v>61</v>
      </c>
      <c r="B63" s="1">
        <f>VALUE(_xlfn.CONCAT("19",LEFT(pesel__25[[#This Row],[pesle]],2)))</f>
        <v>1973</v>
      </c>
    </row>
    <row r="64" spans="1:2" x14ac:dyDescent="0.25">
      <c r="A64" s="1" t="s">
        <v>62</v>
      </c>
      <c r="B64" s="1">
        <f>VALUE(_xlfn.CONCAT("19",LEFT(pesel__25[[#This Row],[pesle]],2)))</f>
        <v>1985</v>
      </c>
    </row>
    <row r="65" spans="1:2" x14ac:dyDescent="0.25">
      <c r="A65" s="1" t="s">
        <v>63</v>
      </c>
      <c r="B65" s="1">
        <f>VALUE(_xlfn.CONCAT("19",LEFT(pesel__25[[#This Row],[pesle]],2)))</f>
        <v>1985</v>
      </c>
    </row>
    <row r="66" spans="1:2" x14ac:dyDescent="0.25">
      <c r="A66" s="1" t="s">
        <v>64</v>
      </c>
      <c r="B66" s="1">
        <f>VALUE(_xlfn.CONCAT("19",LEFT(pesel__25[[#This Row],[pesle]],2)))</f>
        <v>1955</v>
      </c>
    </row>
    <row r="67" spans="1:2" x14ac:dyDescent="0.25">
      <c r="A67" s="1" t="s">
        <v>65</v>
      </c>
      <c r="B67" s="1">
        <f>VALUE(_xlfn.CONCAT("19",LEFT(pesel__25[[#This Row],[pesle]],2)))</f>
        <v>1983</v>
      </c>
    </row>
    <row r="68" spans="1:2" x14ac:dyDescent="0.25">
      <c r="A68" s="1" t="s">
        <v>66</v>
      </c>
      <c r="B68" s="1">
        <f>VALUE(_xlfn.CONCAT("19",LEFT(pesel__25[[#This Row],[pesle]],2)))</f>
        <v>1986</v>
      </c>
    </row>
    <row r="69" spans="1:2" x14ac:dyDescent="0.25">
      <c r="A69" s="1" t="s">
        <v>67</v>
      </c>
      <c r="B69" s="1">
        <f>VALUE(_xlfn.CONCAT("19",LEFT(pesel__25[[#This Row],[pesle]],2)))</f>
        <v>1959</v>
      </c>
    </row>
    <row r="70" spans="1:2" x14ac:dyDescent="0.25">
      <c r="A70" s="1" t="s">
        <v>68</v>
      </c>
      <c r="B70" s="1">
        <f>VALUE(_xlfn.CONCAT("19",LEFT(pesel__25[[#This Row],[pesle]],2)))</f>
        <v>1966</v>
      </c>
    </row>
    <row r="71" spans="1:2" x14ac:dyDescent="0.25">
      <c r="A71" s="1" t="s">
        <v>69</v>
      </c>
      <c r="B71" s="1">
        <f>VALUE(_xlfn.CONCAT("19",LEFT(pesel__25[[#This Row],[pesle]],2)))</f>
        <v>1967</v>
      </c>
    </row>
    <row r="72" spans="1:2" x14ac:dyDescent="0.25">
      <c r="A72" s="1" t="s">
        <v>70</v>
      </c>
      <c r="B72" s="1">
        <f>VALUE(_xlfn.CONCAT("19",LEFT(pesel__25[[#This Row],[pesle]],2)))</f>
        <v>1989</v>
      </c>
    </row>
    <row r="73" spans="1:2" x14ac:dyDescent="0.25">
      <c r="A73" s="1" t="s">
        <v>71</v>
      </c>
      <c r="B73" s="1">
        <f>VALUE(_xlfn.CONCAT("19",LEFT(pesel__25[[#This Row],[pesle]],2)))</f>
        <v>1970</v>
      </c>
    </row>
    <row r="74" spans="1:2" x14ac:dyDescent="0.25">
      <c r="A74" s="1" t="s">
        <v>72</v>
      </c>
      <c r="B74" s="1">
        <f>VALUE(_xlfn.CONCAT("19",LEFT(pesel__25[[#This Row],[pesle]],2)))</f>
        <v>1976</v>
      </c>
    </row>
    <row r="75" spans="1:2" x14ac:dyDescent="0.25">
      <c r="A75" s="1" t="s">
        <v>73</v>
      </c>
      <c r="B75" s="1">
        <f>VALUE(_xlfn.CONCAT("19",LEFT(pesel__25[[#This Row],[pesle]],2)))</f>
        <v>1972</v>
      </c>
    </row>
    <row r="76" spans="1:2" x14ac:dyDescent="0.25">
      <c r="A76" s="1" t="s">
        <v>74</v>
      </c>
      <c r="B76" s="1">
        <f>VALUE(_xlfn.CONCAT("19",LEFT(pesel__25[[#This Row],[pesle]],2)))</f>
        <v>1961</v>
      </c>
    </row>
    <row r="77" spans="1:2" x14ac:dyDescent="0.25">
      <c r="A77" s="1" t="s">
        <v>75</v>
      </c>
      <c r="B77" s="1">
        <f>VALUE(_xlfn.CONCAT("19",LEFT(pesel__25[[#This Row],[pesle]],2)))</f>
        <v>1979</v>
      </c>
    </row>
    <row r="78" spans="1:2" x14ac:dyDescent="0.25">
      <c r="A78" s="1" t="s">
        <v>76</v>
      </c>
      <c r="B78" s="1">
        <f>VALUE(_xlfn.CONCAT("19",LEFT(pesel__25[[#This Row],[pesle]],2)))</f>
        <v>1988</v>
      </c>
    </row>
    <row r="79" spans="1:2" x14ac:dyDescent="0.25">
      <c r="A79" s="1" t="s">
        <v>77</v>
      </c>
      <c r="B79" s="1">
        <f>VALUE(_xlfn.CONCAT("19",LEFT(pesel__25[[#This Row],[pesle]],2)))</f>
        <v>1989</v>
      </c>
    </row>
    <row r="80" spans="1:2" x14ac:dyDescent="0.25">
      <c r="A80" s="1" t="s">
        <v>78</v>
      </c>
      <c r="B80" s="1">
        <f>VALUE(_xlfn.CONCAT("19",LEFT(pesel__25[[#This Row],[pesle]],2)))</f>
        <v>1989</v>
      </c>
    </row>
    <row r="81" spans="1:2" x14ac:dyDescent="0.25">
      <c r="A81" s="1" t="s">
        <v>79</v>
      </c>
      <c r="B81" s="1">
        <f>VALUE(_xlfn.CONCAT("19",LEFT(pesel__25[[#This Row],[pesle]],2)))</f>
        <v>1959</v>
      </c>
    </row>
    <row r="82" spans="1:2" x14ac:dyDescent="0.25">
      <c r="A82" s="1" t="s">
        <v>80</v>
      </c>
      <c r="B82" s="1">
        <f>VALUE(_xlfn.CONCAT("19",LEFT(pesel__25[[#This Row],[pesle]],2)))</f>
        <v>1961</v>
      </c>
    </row>
    <row r="83" spans="1:2" x14ac:dyDescent="0.25">
      <c r="A83" s="1" t="s">
        <v>81</v>
      </c>
      <c r="B83" s="1">
        <f>VALUE(_xlfn.CONCAT("19",LEFT(pesel__25[[#This Row],[pesle]],2)))</f>
        <v>1989</v>
      </c>
    </row>
    <row r="84" spans="1:2" x14ac:dyDescent="0.25">
      <c r="A84" s="1" t="s">
        <v>82</v>
      </c>
      <c r="B84" s="1">
        <f>VALUE(_xlfn.CONCAT("19",LEFT(pesel__25[[#This Row],[pesle]],2)))</f>
        <v>1988</v>
      </c>
    </row>
    <row r="85" spans="1:2" x14ac:dyDescent="0.25">
      <c r="A85" s="1" t="s">
        <v>83</v>
      </c>
      <c r="B85" s="1">
        <f>VALUE(_xlfn.CONCAT("19",LEFT(pesel__25[[#This Row],[pesle]],2)))</f>
        <v>1961</v>
      </c>
    </row>
    <row r="86" spans="1:2" x14ac:dyDescent="0.25">
      <c r="A86" s="1" t="s">
        <v>84</v>
      </c>
      <c r="B86" s="1">
        <f>VALUE(_xlfn.CONCAT("19",LEFT(pesel__25[[#This Row],[pesle]],2)))</f>
        <v>1954</v>
      </c>
    </row>
    <row r="87" spans="1:2" x14ac:dyDescent="0.25">
      <c r="A87" s="1" t="s">
        <v>85</v>
      </c>
      <c r="B87" s="1">
        <f>VALUE(_xlfn.CONCAT("19",LEFT(pesel__25[[#This Row],[pesle]],2)))</f>
        <v>1987</v>
      </c>
    </row>
    <row r="88" spans="1:2" x14ac:dyDescent="0.25">
      <c r="A88" s="1" t="s">
        <v>86</v>
      </c>
      <c r="B88" s="1">
        <f>VALUE(_xlfn.CONCAT("19",LEFT(pesel__25[[#This Row],[pesle]],2)))</f>
        <v>1988</v>
      </c>
    </row>
    <row r="89" spans="1:2" x14ac:dyDescent="0.25">
      <c r="A89" s="1" t="s">
        <v>87</v>
      </c>
      <c r="B89" s="1">
        <f>VALUE(_xlfn.CONCAT("19",LEFT(pesel__25[[#This Row],[pesle]],2)))</f>
        <v>1959</v>
      </c>
    </row>
    <row r="90" spans="1:2" x14ac:dyDescent="0.25">
      <c r="A90" s="1" t="s">
        <v>88</v>
      </c>
      <c r="B90" s="1">
        <f>VALUE(_xlfn.CONCAT("19",LEFT(pesel__25[[#This Row],[pesle]],2)))</f>
        <v>1991</v>
      </c>
    </row>
    <row r="91" spans="1:2" x14ac:dyDescent="0.25">
      <c r="A91" s="1" t="s">
        <v>89</v>
      </c>
      <c r="B91" s="1">
        <f>VALUE(_xlfn.CONCAT("19",LEFT(pesel__25[[#This Row],[pesle]],2)))</f>
        <v>1959</v>
      </c>
    </row>
    <row r="92" spans="1:2" x14ac:dyDescent="0.25">
      <c r="A92" s="1" t="s">
        <v>90</v>
      </c>
      <c r="B92" s="1">
        <f>VALUE(_xlfn.CONCAT("19",LEFT(pesel__25[[#This Row],[pesle]],2)))</f>
        <v>1984</v>
      </c>
    </row>
    <row r="93" spans="1:2" x14ac:dyDescent="0.25">
      <c r="A93" s="1" t="s">
        <v>91</v>
      </c>
      <c r="B93" s="1">
        <f>VALUE(_xlfn.CONCAT("19",LEFT(pesel__25[[#This Row],[pesle]],2)))</f>
        <v>1960</v>
      </c>
    </row>
    <row r="94" spans="1:2" x14ac:dyDescent="0.25">
      <c r="A94" s="1" t="s">
        <v>92</v>
      </c>
      <c r="B94" s="1">
        <f>VALUE(_xlfn.CONCAT("19",LEFT(pesel__25[[#This Row],[pesle]],2)))</f>
        <v>1984</v>
      </c>
    </row>
    <row r="95" spans="1:2" x14ac:dyDescent="0.25">
      <c r="A95" s="1" t="s">
        <v>93</v>
      </c>
      <c r="B95" s="1">
        <f>VALUE(_xlfn.CONCAT("19",LEFT(pesel__25[[#This Row],[pesle]],2)))</f>
        <v>1989</v>
      </c>
    </row>
    <row r="96" spans="1:2" x14ac:dyDescent="0.25">
      <c r="A96" s="1" t="s">
        <v>94</v>
      </c>
      <c r="B96" s="1">
        <f>VALUE(_xlfn.CONCAT("19",LEFT(pesel__25[[#This Row],[pesle]],2)))</f>
        <v>1982</v>
      </c>
    </row>
    <row r="97" spans="1:2" x14ac:dyDescent="0.25">
      <c r="A97" s="1" t="s">
        <v>95</v>
      </c>
      <c r="B97" s="1">
        <f>VALUE(_xlfn.CONCAT("19",LEFT(pesel__25[[#This Row],[pesle]],2)))</f>
        <v>1957</v>
      </c>
    </row>
    <row r="98" spans="1:2" x14ac:dyDescent="0.25">
      <c r="A98" s="1" t="s">
        <v>96</v>
      </c>
      <c r="B98" s="1">
        <f>VALUE(_xlfn.CONCAT("19",LEFT(pesel__25[[#This Row],[pesle]],2)))</f>
        <v>1955</v>
      </c>
    </row>
    <row r="99" spans="1:2" x14ac:dyDescent="0.25">
      <c r="A99" s="1" t="s">
        <v>97</v>
      </c>
      <c r="B99" s="1">
        <f>VALUE(_xlfn.CONCAT("19",LEFT(pesel__25[[#This Row],[pesle]],2)))</f>
        <v>1986</v>
      </c>
    </row>
    <row r="100" spans="1:2" x14ac:dyDescent="0.25">
      <c r="A100" s="1" t="s">
        <v>98</v>
      </c>
      <c r="B100" s="1">
        <f>VALUE(_xlfn.CONCAT("19",LEFT(pesel__25[[#This Row],[pesle]],2)))</f>
        <v>1981</v>
      </c>
    </row>
    <row r="101" spans="1:2" x14ac:dyDescent="0.25">
      <c r="A101" s="1" t="s">
        <v>99</v>
      </c>
      <c r="B101" s="1">
        <f>VALUE(_xlfn.CONCAT("19",LEFT(pesel__25[[#This Row],[pesle]],2)))</f>
        <v>1987</v>
      </c>
    </row>
    <row r="102" spans="1:2" x14ac:dyDescent="0.25">
      <c r="A102" s="1" t="s">
        <v>100</v>
      </c>
      <c r="B102" s="1">
        <f>VALUE(_xlfn.CONCAT("19",LEFT(pesel__25[[#This Row],[pesle]],2)))</f>
        <v>1951</v>
      </c>
    </row>
    <row r="103" spans="1:2" x14ac:dyDescent="0.25">
      <c r="A103" s="1" t="s">
        <v>101</v>
      </c>
      <c r="B103" s="1">
        <f>VALUE(_xlfn.CONCAT("19",LEFT(pesel__25[[#This Row],[pesle]],2)))</f>
        <v>1989</v>
      </c>
    </row>
    <row r="104" spans="1:2" x14ac:dyDescent="0.25">
      <c r="A104" s="1" t="s">
        <v>102</v>
      </c>
      <c r="B104" s="1">
        <f>VALUE(_xlfn.CONCAT("19",LEFT(pesel__25[[#This Row],[pesle]],2)))</f>
        <v>1950</v>
      </c>
    </row>
    <row r="105" spans="1:2" x14ac:dyDescent="0.25">
      <c r="A105" s="1" t="s">
        <v>103</v>
      </c>
      <c r="B105" s="1">
        <f>VALUE(_xlfn.CONCAT("19",LEFT(pesel__25[[#This Row],[pesle]],2)))</f>
        <v>1989</v>
      </c>
    </row>
    <row r="106" spans="1:2" x14ac:dyDescent="0.25">
      <c r="A106" s="1" t="s">
        <v>104</v>
      </c>
      <c r="B106" s="1">
        <f>VALUE(_xlfn.CONCAT("19",LEFT(pesel__25[[#This Row],[pesle]],2)))</f>
        <v>1953</v>
      </c>
    </row>
    <row r="107" spans="1:2" x14ac:dyDescent="0.25">
      <c r="A107" s="1" t="s">
        <v>105</v>
      </c>
      <c r="B107" s="1">
        <f>VALUE(_xlfn.CONCAT("19",LEFT(pesel__25[[#This Row],[pesle]],2)))</f>
        <v>1975</v>
      </c>
    </row>
    <row r="108" spans="1:2" x14ac:dyDescent="0.25">
      <c r="A108" s="1" t="s">
        <v>106</v>
      </c>
      <c r="B108" s="1">
        <f>VALUE(_xlfn.CONCAT("19",LEFT(pesel__25[[#This Row],[pesle]],2)))</f>
        <v>1989</v>
      </c>
    </row>
    <row r="109" spans="1:2" x14ac:dyDescent="0.25">
      <c r="A109" s="1" t="s">
        <v>107</v>
      </c>
      <c r="B109" s="1">
        <f>VALUE(_xlfn.CONCAT("19",LEFT(pesel__25[[#This Row],[pesle]],2)))</f>
        <v>1989</v>
      </c>
    </row>
    <row r="110" spans="1:2" x14ac:dyDescent="0.25">
      <c r="A110" s="1" t="s">
        <v>108</v>
      </c>
      <c r="B110" s="1">
        <f>VALUE(_xlfn.CONCAT("19",LEFT(pesel__25[[#This Row],[pesle]],2)))</f>
        <v>1992</v>
      </c>
    </row>
    <row r="111" spans="1:2" x14ac:dyDescent="0.25">
      <c r="A111" s="1" t="s">
        <v>109</v>
      </c>
      <c r="B111" s="1">
        <f>VALUE(_xlfn.CONCAT("19",LEFT(pesel__25[[#This Row],[pesle]],2)))</f>
        <v>1950</v>
      </c>
    </row>
    <row r="112" spans="1:2" x14ac:dyDescent="0.25">
      <c r="A112" s="1" t="s">
        <v>110</v>
      </c>
      <c r="B112" s="1">
        <f>VALUE(_xlfn.CONCAT("19",LEFT(pesel__25[[#This Row],[pesle]],2)))</f>
        <v>1989</v>
      </c>
    </row>
    <row r="113" spans="1:2" x14ac:dyDescent="0.25">
      <c r="A113" s="1" t="s">
        <v>111</v>
      </c>
      <c r="B113" s="1">
        <f>VALUE(_xlfn.CONCAT("19",LEFT(pesel__25[[#This Row],[pesle]],2)))</f>
        <v>1951</v>
      </c>
    </row>
    <row r="114" spans="1:2" x14ac:dyDescent="0.25">
      <c r="A114" s="1" t="s">
        <v>112</v>
      </c>
      <c r="B114" s="1">
        <f>VALUE(_xlfn.CONCAT("19",LEFT(pesel__25[[#This Row],[pesle]],2)))</f>
        <v>1989</v>
      </c>
    </row>
    <row r="115" spans="1:2" x14ac:dyDescent="0.25">
      <c r="A115" s="1" t="s">
        <v>113</v>
      </c>
      <c r="B115" s="1">
        <f>VALUE(_xlfn.CONCAT("19",LEFT(pesel__25[[#This Row],[pesle]],2)))</f>
        <v>1963</v>
      </c>
    </row>
    <row r="116" spans="1:2" x14ac:dyDescent="0.25">
      <c r="A116" s="1" t="s">
        <v>114</v>
      </c>
      <c r="B116" s="1">
        <f>VALUE(_xlfn.CONCAT("19",LEFT(pesel__25[[#This Row],[pesle]],2)))</f>
        <v>1978</v>
      </c>
    </row>
    <row r="117" spans="1:2" x14ac:dyDescent="0.25">
      <c r="A117" s="1" t="s">
        <v>115</v>
      </c>
      <c r="B117" s="1">
        <f>VALUE(_xlfn.CONCAT("19",LEFT(pesel__25[[#This Row],[pesle]],2)))</f>
        <v>1986</v>
      </c>
    </row>
    <row r="118" spans="1:2" x14ac:dyDescent="0.25">
      <c r="A118" s="1" t="s">
        <v>116</v>
      </c>
      <c r="B118" s="1">
        <f>VALUE(_xlfn.CONCAT("19",LEFT(pesel__25[[#This Row],[pesle]],2)))</f>
        <v>1978</v>
      </c>
    </row>
    <row r="119" spans="1:2" x14ac:dyDescent="0.25">
      <c r="A119" s="1" t="s">
        <v>117</v>
      </c>
      <c r="B119" s="1">
        <f>VALUE(_xlfn.CONCAT("19",LEFT(pesel__25[[#This Row],[pesle]],2)))</f>
        <v>1989</v>
      </c>
    </row>
    <row r="120" spans="1:2" x14ac:dyDescent="0.25">
      <c r="A120" s="1" t="s">
        <v>118</v>
      </c>
      <c r="B120" s="1">
        <f>VALUE(_xlfn.CONCAT("19",LEFT(pesel__25[[#This Row],[pesle]],2)))</f>
        <v>1989</v>
      </c>
    </row>
    <row r="121" spans="1:2" x14ac:dyDescent="0.25">
      <c r="A121" s="1" t="s">
        <v>119</v>
      </c>
      <c r="B121" s="1">
        <f>VALUE(_xlfn.CONCAT("19",LEFT(pesel__25[[#This Row],[pesle]],2)))</f>
        <v>1989</v>
      </c>
    </row>
    <row r="122" spans="1:2" x14ac:dyDescent="0.25">
      <c r="A122" s="1" t="s">
        <v>120</v>
      </c>
      <c r="B122" s="1">
        <f>VALUE(_xlfn.CONCAT("19",LEFT(pesel__25[[#This Row],[pesle]],2)))</f>
        <v>1966</v>
      </c>
    </row>
    <row r="123" spans="1:2" x14ac:dyDescent="0.25">
      <c r="A123" s="1" t="s">
        <v>121</v>
      </c>
      <c r="B123" s="1">
        <f>VALUE(_xlfn.CONCAT("19",LEFT(pesel__25[[#This Row],[pesle]],2)))</f>
        <v>1965</v>
      </c>
    </row>
    <row r="124" spans="1:2" x14ac:dyDescent="0.25">
      <c r="A124" s="1" t="s">
        <v>122</v>
      </c>
      <c r="B124" s="1">
        <f>VALUE(_xlfn.CONCAT("19",LEFT(pesel__25[[#This Row],[pesle]],2)))</f>
        <v>1969</v>
      </c>
    </row>
    <row r="125" spans="1:2" x14ac:dyDescent="0.25">
      <c r="A125" s="1" t="s">
        <v>123</v>
      </c>
      <c r="B125" s="1">
        <f>VALUE(_xlfn.CONCAT("19",LEFT(pesel__25[[#This Row],[pesle]],2)))</f>
        <v>1967</v>
      </c>
    </row>
    <row r="126" spans="1:2" x14ac:dyDescent="0.25">
      <c r="A126" s="1" t="s">
        <v>124</v>
      </c>
      <c r="B126" s="1">
        <f>VALUE(_xlfn.CONCAT("19",LEFT(pesel__25[[#This Row],[pesle]],2)))</f>
        <v>1984</v>
      </c>
    </row>
    <row r="127" spans="1:2" x14ac:dyDescent="0.25">
      <c r="A127" s="1" t="s">
        <v>125</v>
      </c>
      <c r="B127" s="1">
        <f>VALUE(_xlfn.CONCAT("19",LEFT(pesel__25[[#This Row],[pesle]],2)))</f>
        <v>1957</v>
      </c>
    </row>
    <row r="128" spans="1:2" x14ac:dyDescent="0.25">
      <c r="A128" s="1" t="s">
        <v>126</v>
      </c>
      <c r="B128" s="1">
        <f>VALUE(_xlfn.CONCAT("19",LEFT(pesel__25[[#This Row],[pesle]],2)))</f>
        <v>1981</v>
      </c>
    </row>
    <row r="129" spans="1:2" x14ac:dyDescent="0.25">
      <c r="A129" s="1" t="s">
        <v>127</v>
      </c>
      <c r="B129" s="1">
        <f>VALUE(_xlfn.CONCAT("19",LEFT(pesel__25[[#This Row],[pesle]],2)))</f>
        <v>1989</v>
      </c>
    </row>
    <row r="130" spans="1:2" x14ac:dyDescent="0.25">
      <c r="A130" s="1" t="s">
        <v>128</v>
      </c>
      <c r="B130" s="1">
        <f>VALUE(_xlfn.CONCAT("19",LEFT(pesel__25[[#This Row],[pesle]],2)))</f>
        <v>1952</v>
      </c>
    </row>
    <row r="131" spans="1:2" x14ac:dyDescent="0.25">
      <c r="A131" s="1" t="s">
        <v>129</v>
      </c>
      <c r="B131" s="1">
        <f>VALUE(_xlfn.CONCAT("19",LEFT(pesel__25[[#This Row],[pesle]],2)))</f>
        <v>1950</v>
      </c>
    </row>
    <row r="132" spans="1:2" x14ac:dyDescent="0.25">
      <c r="A132" s="1" t="s">
        <v>130</v>
      </c>
      <c r="B132" s="1">
        <f>VALUE(_xlfn.CONCAT("19",LEFT(pesel__25[[#This Row],[pesle]],2)))</f>
        <v>1965</v>
      </c>
    </row>
    <row r="133" spans="1:2" x14ac:dyDescent="0.25">
      <c r="A133" s="1" t="s">
        <v>131</v>
      </c>
      <c r="B133" s="1">
        <f>VALUE(_xlfn.CONCAT("19",LEFT(pesel__25[[#This Row],[pesle]],2)))</f>
        <v>1985</v>
      </c>
    </row>
    <row r="134" spans="1:2" x14ac:dyDescent="0.25">
      <c r="A134" s="1" t="s">
        <v>132</v>
      </c>
      <c r="B134" s="1">
        <f>VALUE(_xlfn.CONCAT("19",LEFT(pesel__25[[#This Row],[pesle]],2)))</f>
        <v>1989</v>
      </c>
    </row>
    <row r="135" spans="1:2" x14ac:dyDescent="0.25">
      <c r="A135" s="1" t="s">
        <v>133</v>
      </c>
      <c r="B135" s="1">
        <f>VALUE(_xlfn.CONCAT("19",LEFT(pesel__25[[#This Row],[pesle]],2)))</f>
        <v>1971</v>
      </c>
    </row>
    <row r="136" spans="1:2" x14ac:dyDescent="0.25">
      <c r="A136" s="1" t="s">
        <v>134</v>
      </c>
      <c r="B136" s="1">
        <f>VALUE(_xlfn.CONCAT("19",LEFT(pesel__25[[#This Row],[pesle]],2)))</f>
        <v>1973</v>
      </c>
    </row>
    <row r="137" spans="1:2" x14ac:dyDescent="0.25">
      <c r="A137" s="1" t="s">
        <v>135</v>
      </c>
      <c r="B137" s="1">
        <f>VALUE(_xlfn.CONCAT("19",LEFT(pesel__25[[#This Row],[pesle]],2)))</f>
        <v>1989</v>
      </c>
    </row>
    <row r="138" spans="1:2" x14ac:dyDescent="0.25">
      <c r="A138" s="1" t="s">
        <v>136</v>
      </c>
      <c r="B138" s="1">
        <f>VALUE(_xlfn.CONCAT("19",LEFT(pesel__25[[#This Row],[pesle]],2)))</f>
        <v>1973</v>
      </c>
    </row>
    <row r="139" spans="1:2" x14ac:dyDescent="0.25">
      <c r="A139" s="1" t="s">
        <v>137</v>
      </c>
      <c r="B139" s="1">
        <f>VALUE(_xlfn.CONCAT("19",LEFT(pesel__25[[#This Row],[pesle]],2)))</f>
        <v>1987</v>
      </c>
    </row>
    <row r="140" spans="1:2" x14ac:dyDescent="0.25">
      <c r="A140" s="1" t="s">
        <v>138</v>
      </c>
      <c r="B140" s="1">
        <f>VALUE(_xlfn.CONCAT("19",LEFT(pesel__25[[#This Row],[pesle]],2)))</f>
        <v>1960</v>
      </c>
    </row>
    <row r="141" spans="1:2" x14ac:dyDescent="0.25">
      <c r="A141" s="1" t="s">
        <v>139</v>
      </c>
      <c r="B141" s="1">
        <f>VALUE(_xlfn.CONCAT("19",LEFT(pesel__25[[#This Row],[pesle]],2)))</f>
        <v>1976</v>
      </c>
    </row>
    <row r="142" spans="1:2" x14ac:dyDescent="0.25">
      <c r="A142" s="1" t="s">
        <v>140</v>
      </c>
      <c r="B142" s="1">
        <f>VALUE(_xlfn.CONCAT("19",LEFT(pesel__25[[#This Row],[pesle]],2)))</f>
        <v>1979</v>
      </c>
    </row>
    <row r="143" spans="1:2" x14ac:dyDescent="0.25">
      <c r="A143" s="1" t="s">
        <v>141</v>
      </c>
      <c r="B143" s="1">
        <f>VALUE(_xlfn.CONCAT("19",LEFT(pesel__25[[#This Row],[pesle]],2)))</f>
        <v>1976</v>
      </c>
    </row>
    <row r="144" spans="1:2" x14ac:dyDescent="0.25">
      <c r="A144" s="1" t="s">
        <v>142</v>
      </c>
      <c r="B144" s="1">
        <f>VALUE(_xlfn.CONCAT("19",LEFT(pesel__25[[#This Row],[pesle]],2)))</f>
        <v>1989</v>
      </c>
    </row>
    <row r="145" spans="1:2" x14ac:dyDescent="0.25">
      <c r="A145" s="1" t="s">
        <v>143</v>
      </c>
      <c r="B145" s="1">
        <f>VALUE(_xlfn.CONCAT("19",LEFT(pesel__25[[#This Row],[pesle]],2)))</f>
        <v>1976</v>
      </c>
    </row>
    <row r="146" spans="1:2" x14ac:dyDescent="0.25">
      <c r="A146" s="1" t="s">
        <v>144</v>
      </c>
      <c r="B146" s="1">
        <f>VALUE(_xlfn.CONCAT("19",LEFT(pesel__25[[#This Row],[pesle]],2)))</f>
        <v>1977</v>
      </c>
    </row>
    <row r="147" spans="1:2" x14ac:dyDescent="0.25">
      <c r="A147" s="1" t="s">
        <v>145</v>
      </c>
      <c r="B147" s="1">
        <f>VALUE(_xlfn.CONCAT("19",LEFT(pesel__25[[#This Row],[pesle]],2)))</f>
        <v>1989</v>
      </c>
    </row>
    <row r="148" spans="1:2" x14ac:dyDescent="0.25">
      <c r="A148" s="1" t="s">
        <v>146</v>
      </c>
      <c r="B148" s="1">
        <f>VALUE(_xlfn.CONCAT("19",LEFT(pesel__25[[#This Row],[pesle]],2)))</f>
        <v>1989</v>
      </c>
    </row>
    <row r="149" spans="1:2" x14ac:dyDescent="0.25">
      <c r="A149" s="1" t="s">
        <v>147</v>
      </c>
      <c r="B149" s="1">
        <f>VALUE(_xlfn.CONCAT("19",LEFT(pesel__25[[#This Row],[pesle]],2)))</f>
        <v>1958</v>
      </c>
    </row>
    <row r="150" spans="1:2" x14ac:dyDescent="0.25">
      <c r="A150" s="1" t="s">
        <v>148</v>
      </c>
      <c r="B150" s="1">
        <f>VALUE(_xlfn.CONCAT("19",LEFT(pesel__25[[#This Row],[pesle]],2)))</f>
        <v>1989</v>
      </c>
    </row>
    <row r="151" spans="1:2" x14ac:dyDescent="0.25">
      <c r="A151" s="1" t="s">
        <v>149</v>
      </c>
      <c r="B151" s="1">
        <f>VALUE(_xlfn.CONCAT("19",LEFT(pesel__25[[#This Row],[pesle]],2)))</f>
        <v>1979</v>
      </c>
    </row>
  </sheetData>
  <conditionalFormatting sqref="B1:B1048576">
    <cfRule type="cellIs" dxfId="12" priority="1" operator="equal">
      <formula>1989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EFC6-A471-4055-AAF1-A05553848D8B}">
  <dimension ref="A1:P161"/>
  <sheetViews>
    <sheetView workbookViewId="0">
      <selection activeCell="A161" sqref="A154:A161"/>
    </sheetView>
  </sheetViews>
  <sheetFormatPr defaultRowHeight="15" x14ac:dyDescent="0.25"/>
  <cols>
    <col min="1" max="1" width="12" bestFit="1" customWidth="1"/>
    <col min="11" max="11" width="12.85546875" bestFit="1" customWidth="1"/>
  </cols>
  <sheetData>
    <row r="1" spans="1:16" x14ac:dyDescent="0.25">
      <c r="A1" t="s">
        <v>150</v>
      </c>
      <c r="B1" t="s">
        <v>158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O1" t="s">
        <v>159</v>
      </c>
      <c r="P1" t="s">
        <v>160</v>
      </c>
    </row>
    <row r="2" spans="1:16" hidden="1" x14ac:dyDescent="0.25">
      <c r="A2" s="1" t="s">
        <v>0</v>
      </c>
      <c r="B2" s="1">
        <f>VALUE(MID($A2,LEFT(RIGHT(B$1,1),1),1))*VLOOKUP(VALUE(RIGHT(B$1,2)),$O$1:$P$11,2,FALSE)</f>
        <v>5</v>
      </c>
      <c r="C2" s="1">
        <f>VALUE(MID($A2,LEFT(RIGHT(C$1,1),1),1))*VLOOKUP(VALUE(RIGHT(C$1,2)),$O$1:$P$11,2,FALSE)</f>
        <v>9</v>
      </c>
      <c r="D2" s="1">
        <f>VALUE(MID($A2,LEFT(RIGHT(D$1,1),1),1))*VLOOKUP(VALUE(RIGHT(D$1,2)),$O$1:$P$11,2,FALSE)</f>
        <v>0</v>
      </c>
      <c r="E2" s="1">
        <f>VALUE(MID($A2,LEFT(RIGHT(E$1,1),1),1))*VLOOKUP(VALUE(RIGHT(E$1,2)),$O$1:$P$11,2,FALSE)</f>
        <v>72</v>
      </c>
      <c r="F2" s="1">
        <f>VALUE(MID($A2,LEFT(RIGHT(F$1,1),1),1))*VLOOKUP(VALUE(RIGHT(F$1,2)),$O$1:$P$11,2,FALSE)</f>
        <v>2</v>
      </c>
      <c r="G2" s="1">
        <f>VALUE(MID($A2,LEFT(RIGHT(G$1,1),1),1))*VLOOKUP(VALUE(RIGHT(G$1,2)),$O$1:$P$11,2,FALSE)</f>
        <v>24</v>
      </c>
      <c r="H2" s="1">
        <f>VALUE(MID($A2,LEFT(RIGHT(H$1,1),1),1))*VLOOKUP(VALUE(RIGHT(H$1,2)),$O$1:$P$11,2,FALSE)</f>
        <v>0</v>
      </c>
      <c r="I2" s="1">
        <f>VALUE(MID($A2,LEFT(RIGHT(I$1,1),1),1))*VLOOKUP(VALUE(RIGHT(I$1,2)),$O$1:$P$11,2,FALSE)</f>
        <v>54</v>
      </c>
      <c r="J2" s="1">
        <f>VALUE(MID($A2,LEFT(RIGHT(J$1,1),1),1))*VLOOKUP(VALUE(RIGHT(J$1,2)),$O$1:$P$11,2,FALSE)</f>
        <v>0</v>
      </c>
      <c r="K2" s="1">
        <f>VALUE(MID($A2,10,1))*VLOOKUP(VALUE(RIGHT(K$1,2)),$O$1:$P$11,2,FALSE)</f>
        <v>15</v>
      </c>
      <c r="L2" s="1">
        <f>IF(MOD(SUM(pesel__26[[#This Row],[SUMA 1]:[SUMA 10]]),10)=0,0,10-MOD(SUM(pesel__26[[#This Row],[SUMA 1]:[SUMA 10]]),10))</f>
        <v>9</v>
      </c>
      <c r="M2" s="1">
        <f>IF(pesel__26[[#This Row],[CYFRA KONTROLNA]]=VALUE(RIGHT(A2,1)),0,1)</f>
        <v>0</v>
      </c>
      <c r="O2">
        <v>1</v>
      </c>
      <c r="P2">
        <v>1</v>
      </c>
    </row>
    <row r="3" spans="1:16" hidden="1" x14ac:dyDescent="0.25">
      <c r="A3" s="1" t="s">
        <v>1</v>
      </c>
      <c r="B3" s="1">
        <f>VALUE(MID($A3,LEFT(RIGHT(B$1,1),1),1))*VLOOKUP(VALUE(RIGHT(B$1,2)),$O$1:$P$11,2,FALSE)</f>
        <v>8</v>
      </c>
      <c r="C3" s="1">
        <f>VALUE(MID($A3,LEFT(RIGHT(C$1,1),1),1))*VLOOKUP(VALUE(RIGHT(C$1,2)),$O$1:$P$11,2,FALSE)</f>
        <v>27</v>
      </c>
      <c r="D3" s="1">
        <f>VALUE(MID($A3,LEFT(RIGHT(D$1,1),1),1))*VLOOKUP(VALUE(RIGHT(D$1,2)),$O$1:$P$11,2,FALSE)</f>
        <v>7</v>
      </c>
      <c r="E3" s="1">
        <f>VALUE(MID($A3,LEFT(RIGHT(E$1,1),1),1))*VLOOKUP(VALUE(RIGHT(E$1,2)),$O$1:$P$11,2,FALSE)</f>
        <v>0</v>
      </c>
      <c r="F3" s="1">
        <f>VALUE(MID($A3,LEFT(RIGHT(F$1,1),1),1))*VLOOKUP(VALUE(RIGHT(F$1,2)),$O$1:$P$11,2,FALSE)</f>
        <v>0</v>
      </c>
      <c r="G3" s="1">
        <f>VALUE(MID($A3,LEFT(RIGHT(G$1,1),1),1))*VLOOKUP(VALUE(RIGHT(G$1,2)),$O$1:$P$11,2,FALSE)</f>
        <v>3</v>
      </c>
      <c r="H3" s="1">
        <f>VALUE(MID($A3,LEFT(RIGHT(H$1,1),1),1))*VLOOKUP(VALUE(RIGHT(H$1,2)),$O$1:$P$11,2,FALSE)</f>
        <v>63</v>
      </c>
      <c r="I3" s="1">
        <f>VALUE(MID($A3,LEFT(RIGHT(I$1,1),1),1))*VLOOKUP(VALUE(RIGHT(I$1,2)),$O$1:$P$11,2,FALSE)</f>
        <v>18</v>
      </c>
      <c r="J3" s="1">
        <f>VALUE(MID($A3,LEFT(RIGHT(J$1,1),1),1))*VLOOKUP(VALUE(RIGHT(J$1,2)),$O$1:$P$11,2,FALSE)</f>
        <v>7</v>
      </c>
      <c r="K3" s="1">
        <f>VALUE(MID($A3,10,1))*VLOOKUP(VALUE(RIGHT(K$1,2)),$O$1:$P$11,2,FALSE)</f>
        <v>15</v>
      </c>
      <c r="L3" s="1">
        <f>IF(MOD(SUM(pesel__26[[#This Row],[SUMA 1]:[SUMA 10]]),10)=0,0,10-MOD(SUM(pesel__26[[#This Row],[SUMA 1]:[SUMA 10]]),10))</f>
        <v>2</v>
      </c>
      <c r="M3" s="1">
        <f>IF(pesel__26[[#This Row],[CYFRA KONTROLNA]]=VALUE(RIGHT(A3,1)),0,1)</f>
        <v>0</v>
      </c>
      <c r="O3">
        <v>2</v>
      </c>
      <c r="P3">
        <v>3</v>
      </c>
    </row>
    <row r="4" spans="1:16" hidden="1" x14ac:dyDescent="0.25">
      <c r="A4" s="1" t="s">
        <v>2</v>
      </c>
      <c r="B4" s="1">
        <f>VALUE(MID($A4,LEFT(RIGHT(B$1,1),1),1))*VLOOKUP(VALUE(RIGHT(B$1,2)),$O$1:$P$11,2,FALSE)</f>
        <v>8</v>
      </c>
      <c r="C4" s="1">
        <f>VALUE(MID($A4,LEFT(RIGHT(C$1,1),1),1))*VLOOKUP(VALUE(RIGHT(C$1,2)),$O$1:$P$11,2,FALSE)</f>
        <v>15</v>
      </c>
      <c r="D4" s="1">
        <f>VALUE(MID($A4,LEFT(RIGHT(D$1,1),1),1))*VLOOKUP(VALUE(RIGHT(D$1,2)),$O$1:$P$11,2,FALSE)</f>
        <v>7</v>
      </c>
      <c r="E4" s="1">
        <f>VALUE(MID($A4,LEFT(RIGHT(E$1,1),1),1))*VLOOKUP(VALUE(RIGHT(E$1,2)),$O$1:$P$11,2,FALSE)</f>
        <v>9</v>
      </c>
      <c r="F4" s="1">
        <f>VALUE(MID($A4,LEFT(RIGHT(F$1,1),1),1))*VLOOKUP(VALUE(RIGHT(F$1,2)),$O$1:$P$11,2,FALSE)</f>
        <v>1</v>
      </c>
      <c r="G4" s="1">
        <f>VALUE(MID($A4,LEFT(RIGHT(G$1,1),1),1))*VLOOKUP(VALUE(RIGHT(G$1,2)),$O$1:$P$11,2,FALSE)</f>
        <v>21</v>
      </c>
      <c r="H4" s="1">
        <f>VALUE(MID($A4,LEFT(RIGHT(H$1,1),1),1))*VLOOKUP(VALUE(RIGHT(H$1,2)),$O$1:$P$11,2,FALSE)</f>
        <v>49</v>
      </c>
      <c r="I4" s="1">
        <f>VALUE(MID($A4,LEFT(RIGHT(I$1,1),1),1))*VLOOKUP(VALUE(RIGHT(I$1,2)),$O$1:$P$11,2,FALSE)</f>
        <v>81</v>
      </c>
      <c r="J4" s="1">
        <f>VALUE(MID($A4,LEFT(RIGHT(J$1,1),1),1))*VLOOKUP(VALUE(RIGHT(J$1,2)),$O$1:$P$11,2,FALSE)</f>
        <v>2</v>
      </c>
      <c r="K4" s="1">
        <f>VALUE(MID($A4,10,1))*VLOOKUP(VALUE(RIGHT(K$1,2)),$O$1:$P$11,2,FALSE)</f>
        <v>24</v>
      </c>
      <c r="L4" s="1">
        <f>IF(MOD(SUM(pesel__26[[#This Row],[SUMA 1]:[SUMA 10]]),10)=0,0,10-MOD(SUM(pesel__26[[#This Row],[SUMA 1]:[SUMA 10]]),10))</f>
        <v>3</v>
      </c>
      <c r="M4" s="1">
        <f>IF(pesel__26[[#This Row],[CYFRA KONTROLNA]]=VALUE(RIGHT(A4,1)),0,1)</f>
        <v>0</v>
      </c>
      <c r="O4">
        <v>3</v>
      </c>
      <c r="P4">
        <v>7</v>
      </c>
    </row>
    <row r="5" spans="1:16" hidden="1" x14ac:dyDescent="0.25">
      <c r="A5" s="1" t="s">
        <v>3</v>
      </c>
      <c r="B5" s="1">
        <f>VALUE(MID($A5,LEFT(RIGHT(B$1,1),1),1))*VLOOKUP(VALUE(RIGHT(B$1,2)),$O$1:$P$11,2,FALSE)</f>
        <v>8</v>
      </c>
      <c r="C5" s="1">
        <f>VALUE(MID($A5,LEFT(RIGHT(C$1,1),1),1))*VLOOKUP(VALUE(RIGHT(C$1,2)),$O$1:$P$11,2,FALSE)</f>
        <v>18</v>
      </c>
      <c r="D5" s="1">
        <f>VALUE(MID($A5,LEFT(RIGHT(D$1,1),1),1))*VLOOKUP(VALUE(RIGHT(D$1,2)),$O$1:$P$11,2,FALSE)</f>
        <v>0</v>
      </c>
      <c r="E5" s="1">
        <f>VALUE(MID($A5,LEFT(RIGHT(E$1,1),1),1))*VLOOKUP(VALUE(RIGHT(E$1,2)),$O$1:$P$11,2,FALSE)</f>
        <v>72</v>
      </c>
      <c r="F5" s="1">
        <f>VALUE(MID($A5,LEFT(RIGHT(F$1,1),1),1))*VLOOKUP(VALUE(RIGHT(F$1,2)),$O$1:$P$11,2,FALSE)</f>
        <v>0</v>
      </c>
      <c r="G5" s="1">
        <f>VALUE(MID($A5,LEFT(RIGHT(G$1,1),1),1))*VLOOKUP(VALUE(RIGHT(G$1,2)),$O$1:$P$11,2,FALSE)</f>
        <v>27</v>
      </c>
      <c r="H5" s="1">
        <f>VALUE(MID($A5,LEFT(RIGHT(H$1,1),1),1))*VLOOKUP(VALUE(RIGHT(H$1,2)),$O$1:$P$11,2,FALSE)</f>
        <v>28</v>
      </c>
      <c r="I5" s="1">
        <f>VALUE(MID($A5,LEFT(RIGHT(I$1,1),1),1))*VLOOKUP(VALUE(RIGHT(I$1,2)),$O$1:$P$11,2,FALSE)</f>
        <v>9</v>
      </c>
      <c r="J5" s="1">
        <f>VALUE(MID($A5,LEFT(RIGHT(J$1,1),1),1))*VLOOKUP(VALUE(RIGHT(J$1,2)),$O$1:$P$11,2,FALSE)</f>
        <v>1</v>
      </c>
      <c r="K5" s="1">
        <f>VALUE(MID($A5,10,1))*VLOOKUP(VALUE(RIGHT(K$1,2)),$O$1:$P$11,2,FALSE)</f>
        <v>18</v>
      </c>
      <c r="L5" s="1">
        <f>IF(MOD(SUM(pesel__26[[#This Row],[SUMA 1]:[SUMA 10]]),10)=0,0,10-MOD(SUM(pesel__26[[#This Row],[SUMA 1]:[SUMA 10]]),10))</f>
        <v>9</v>
      </c>
      <c r="M5" s="1">
        <f>IF(pesel__26[[#This Row],[CYFRA KONTROLNA]]=VALUE(RIGHT(A5,1)),0,1)</f>
        <v>0</v>
      </c>
      <c r="O5">
        <v>4</v>
      </c>
      <c r="P5">
        <v>9</v>
      </c>
    </row>
    <row r="6" spans="1:16" hidden="1" x14ac:dyDescent="0.25">
      <c r="A6" s="1" t="s">
        <v>4</v>
      </c>
      <c r="B6" s="1">
        <f>VALUE(MID($A6,LEFT(RIGHT(B$1,1),1),1))*VLOOKUP(VALUE(RIGHT(B$1,2)),$O$1:$P$11,2,FALSE)</f>
        <v>8</v>
      </c>
      <c r="C6" s="1">
        <f>VALUE(MID($A6,LEFT(RIGHT(C$1,1),1),1))*VLOOKUP(VALUE(RIGHT(C$1,2)),$O$1:$P$11,2,FALSE)</f>
        <v>27</v>
      </c>
      <c r="D6" s="1">
        <f>VALUE(MID($A6,LEFT(RIGHT(D$1,1),1),1))*VLOOKUP(VALUE(RIGHT(D$1,2)),$O$1:$P$11,2,FALSE)</f>
        <v>0</v>
      </c>
      <c r="E6" s="1">
        <f>VALUE(MID($A6,LEFT(RIGHT(E$1,1),1),1))*VLOOKUP(VALUE(RIGHT(E$1,2)),$O$1:$P$11,2,FALSE)</f>
        <v>9</v>
      </c>
      <c r="F6" s="1">
        <f>VALUE(MID($A6,LEFT(RIGHT(F$1,1),1),1))*VLOOKUP(VALUE(RIGHT(F$1,2)),$O$1:$P$11,2,FALSE)</f>
        <v>1</v>
      </c>
      <c r="G6" s="1">
        <f>VALUE(MID($A6,LEFT(RIGHT(G$1,1),1),1))*VLOOKUP(VALUE(RIGHT(G$1,2)),$O$1:$P$11,2,FALSE)</f>
        <v>3</v>
      </c>
      <c r="H6" s="1">
        <f>VALUE(MID($A6,LEFT(RIGHT(H$1,1),1),1))*VLOOKUP(VALUE(RIGHT(H$1,2)),$O$1:$P$11,2,FALSE)</f>
        <v>14</v>
      </c>
      <c r="I6" s="1">
        <f>VALUE(MID($A6,LEFT(RIGHT(I$1,1),1),1))*VLOOKUP(VALUE(RIGHT(I$1,2)),$O$1:$P$11,2,FALSE)</f>
        <v>81</v>
      </c>
      <c r="J6" s="1">
        <f>VALUE(MID($A6,LEFT(RIGHT(J$1,1),1),1))*VLOOKUP(VALUE(RIGHT(J$1,2)),$O$1:$P$11,2,FALSE)</f>
        <v>7</v>
      </c>
      <c r="K6" s="1">
        <f>VALUE(MID($A6,10,1))*VLOOKUP(VALUE(RIGHT(K$1,2)),$O$1:$P$11,2,FALSE)</f>
        <v>0</v>
      </c>
      <c r="L6" s="1">
        <f>IF(MOD(SUM(pesel__26[[#This Row],[SUMA 1]:[SUMA 10]]),10)=0,0,10-MOD(SUM(pesel__26[[#This Row],[SUMA 1]:[SUMA 10]]),10))</f>
        <v>0</v>
      </c>
      <c r="M6" s="1">
        <f>IF(pesel__26[[#This Row],[CYFRA KONTROLNA]]=VALUE(RIGHT(A6,1)),0,1)</f>
        <v>0</v>
      </c>
      <c r="O6">
        <v>5</v>
      </c>
      <c r="P6">
        <v>1</v>
      </c>
    </row>
    <row r="7" spans="1:16" hidden="1" x14ac:dyDescent="0.25">
      <c r="A7" s="1" t="s">
        <v>5</v>
      </c>
      <c r="B7" s="1">
        <f>VALUE(MID($A7,LEFT(RIGHT(B$1,1),1),1))*VLOOKUP(VALUE(RIGHT(B$1,2)),$O$1:$P$11,2,FALSE)</f>
        <v>6</v>
      </c>
      <c r="C7" s="1">
        <f>VALUE(MID($A7,LEFT(RIGHT(C$1,1),1),1))*VLOOKUP(VALUE(RIGHT(C$1,2)),$O$1:$P$11,2,FALSE)</f>
        <v>6</v>
      </c>
      <c r="D7" s="1">
        <f>VALUE(MID($A7,LEFT(RIGHT(D$1,1),1),1))*VLOOKUP(VALUE(RIGHT(D$1,2)),$O$1:$P$11,2,FALSE)</f>
        <v>0</v>
      </c>
      <c r="E7" s="1">
        <f>VALUE(MID($A7,LEFT(RIGHT(E$1,1),1),1))*VLOOKUP(VALUE(RIGHT(E$1,2)),$O$1:$P$11,2,FALSE)</f>
        <v>27</v>
      </c>
      <c r="F7" s="1">
        <f>VALUE(MID($A7,LEFT(RIGHT(F$1,1),1),1))*VLOOKUP(VALUE(RIGHT(F$1,2)),$O$1:$P$11,2,FALSE)</f>
        <v>3</v>
      </c>
      <c r="G7" s="1">
        <f>VALUE(MID($A7,LEFT(RIGHT(G$1,1),1),1))*VLOOKUP(VALUE(RIGHT(G$1,2)),$O$1:$P$11,2,FALSE)</f>
        <v>0</v>
      </c>
      <c r="H7" s="1">
        <f>VALUE(MID($A7,LEFT(RIGHT(H$1,1),1),1))*VLOOKUP(VALUE(RIGHT(H$1,2)),$O$1:$P$11,2,FALSE)</f>
        <v>56</v>
      </c>
      <c r="I7" s="1">
        <f>VALUE(MID($A7,LEFT(RIGHT(I$1,1),1),1))*VLOOKUP(VALUE(RIGHT(I$1,2)),$O$1:$P$11,2,FALSE)</f>
        <v>81</v>
      </c>
      <c r="J7" s="1">
        <f>VALUE(MID($A7,LEFT(RIGHT(J$1,1),1),1))*VLOOKUP(VALUE(RIGHT(J$1,2)),$O$1:$P$11,2,FALSE)</f>
        <v>8</v>
      </c>
      <c r="K7" s="1">
        <f>VALUE(MID($A7,10,1))*VLOOKUP(VALUE(RIGHT(K$1,2)),$O$1:$P$11,2,FALSE)</f>
        <v>0</v>
      </c>
      <c r="L7" s="1">
        <f>IF(MOD(SUM(pesel__26[[#This Row],[SUMA 1]:[SUMA 10]]),10)=0,0,10-MOD(SUM(pesel__26[[#This Row],[SUMA 1]:[SUMA 10]]),10))</f>
        <v>3</v>
      </c>
      <c r="M7" s="1">
        <f>IF(pesel__26[[#This Row],[CYFRA KONTROLNA]]=VALUE(RIGHT(A7,1)),0,1)</f>
        <v>0</v>
      </c>
      <c r="O7">
        <v>6</v>
      </c>
      <c r="P7">
        <v>3</v>
      </c>
    </row>
    <row r="8" spans="1:16" hidden="1" x14ac:dyDescent="0.25">
      <c r="A8" s="1" t="s">
        <v>6</v>
      </c>
      <c r="B8" s="1">
        <f>VALUE(MID($A8,LEFT(RIGHT(B$1,1),1),1))*VLOOKUP(VALUE(RIGHT(B$1,2)),$O$1:$P$11,2,FALSE)</f>
        <v>6</v>
      </c>
      <c r="C8" s="1">
        <f>VALUE(MID($A8,LEFT(RIGHT(C$1,1),1),1))*VLOOKUP(VALUE(RIGHT(C$1,2)),$O$1:$P$11,2,FALSE)</f>
        <v>6</v>
      </c>
      <c r="D8" s="1">
        <f>VALUE(MID($A8,LEFT(RIGHT(D$1,1),1),1))*VLOOKUP(VALUE(RIGHT(D$1,2)),$O$1:$P$11,2,FALSE)</f>
        <v>0</v>
      </c>
      <c r="E8" s="1">
        <f>VALUE(MID($A8,LEFT(RIGHT(E$1,1),1),1))*VLOOKUP(VALUE(RIGHT(E$1,2)),$O$1:$P$11,2,FALSE)</f>
        <v>81</v>
      </c>
      <c r="F8" s="1">
        <f>VALUE(MID($A8,LEFT(RIGHT(F$1,1),1),1))*VLOOKUP(VALUE(RIGHT(F$1,2)),$O$1:$P$11,2,FALSE)</f>
        <v>2</v>
      </c>
      <c r="G8" s="1">
        <f>VALUE(MID($A8,LEFT(RIGHT(G$1,1),1),1))*VLOOKUP(VALUE(RIGHT(G$1,2)),$O$1:$P$11,2,FALSE)</f>
        <v>15</v>
      </c>
      <c r="H8" s="1">
        <f>VALUE(MID($A8,LEFT(RIGHT(H$1,1),1),1))*VLOOKUP(VALUE(RIGHT(H$1,2)),$O$1:$P$11,2,FALSE)</f>
        <v>42</v>
      </c>
      <c r="I8" s="1">
        <f>VALUE(MID($A8,LEFT(RIGHT(I$1,1),1),1))*VLOOKUP(VALUE(RIGHT(I$1,2)),$O$1:$P$11,2,FALSE)</f>
        <v>81</v>
      </c>
      <c r="J8" s="1">
        <f>VALUE(MID($A8,LEFT(RIGHT(J$1,1),1),1))*VLOOKUP(VALUE(RIGHT(J$1,2)),$O$1:$P$11,2,FALSE)</f>
        <v>0</v>
      </c>
      <c r="K8" s="1">
        <f>VALUE(MID($A8,10,1))*VLOOKUP(VALUE(RIGHT(K$1,2)),$O$1:$P$11,2,FALSE)</f>
        <v>27</v>
      </c>
      <c r="L8" s="1">
        <f>IF(MOD(SUM(pesel__26[[#This Row],[SUMA 1]:[SUMA 10]]),10)=0,0,10-MOD(SUM(pesel__26[[#This Row],[SUMA 1]:[SUMA 10]]),10))</f>
        <v>0</v>
      </c>
      <c r="M8" s="1">
        <f>IF(pesel__26[[#This Row],[CYFRA KONTROLNA]]=VALUE(RIGHT(A8,1)),0,1)</f>
        <v>0</v>
      </c>
      <c r="O8">
        <v>7</v>
      </c>
      <c r="P8">
        <v>7</v>
      </c>
    </row>
    <row r="9" spans="1:16" hidden="1" x14ac:dyDescent="0.25">
      <c r="A9" s="1" t="s">
        <v>7</v>
      </c>
      <c r="B9" s="1">
        <f>VALUE(MID($A9,LEFT(RIGHT(B$1,1),1),1))*VLOOKUP(VALUE(RIGHT(B$1,2)),$O$1:$P$11,2,FALSE)</f>
        <v>6</v>
      </c>
      <c r="C9" s="1">
        <f>VALUE(MID($A9,LEFT(RIGHT(C$1,1),1),1))*VLOOKUP(VALUE(RIGHT(C$1,2)),$O$1:$P$11,2,FALSE)</f>
        <v>12</v>
      </c>
      <c r="D9" s="1">
        <f>VALUE(MID($A9,LEFT(RIGHT(D$1,1),1),1))*VLOOKUP(VALUE(RIGHT(D$1,2)),$O$1:$P$11,2,FALSE)</f>
        <v>0</v>
      </c>
      <c r="E9" s="1">
        <f>VALUE(MID($A9,LEFT(RIGHT(E$1,1),1),1))*VLOOKUP(VALUE(RIGHT(E$1,2)),$O$1:$P$11,2,FALSE)</f>
        <v>54</v>
      </c>
      <c r="F9" s="1">
        <f>VALUE(MID($A9,LEFT(RIGHT(F$1,1),1),1))*VLOOKUP(VALUE(RIGHT(F$1,2)),$O$1:$P$11,2,FALSE)</f>
        <v>3</v>
      </c>
      <c r="G9" s="1">
        <f>VALUE(MID($A9,LEFT(RIGHT(G$1,1),1),1))*VLOOKUP(VALUE(RIGHT(G$1,2)),$O$1:$P$11,2,FALSE)</f>
        <v>3</v>
      </c>
      <c r="H9" s="1">
        <f>VALUE(MID($A9,LEFT(RIGHT(H$1,1),1),1))*VLOOKUP(VALUE(RIGHT(H$1,2)),$O$1:$P$11,2,FALSE)</f>
        <v>35</v>
      </c>
      <c r="I9" s="1">
        <f>VALUE(MID($A9,LEFT(RIGHT(I$1,1),1),1))*VLOOKUP(VALUE(RIGHT(I$1,2)),$O$1:$P$11,2,FALSE)</f>
        <v>81</v>
      </c>
      <c r="J9" s="1">
        <f>VALUE(MID($A9,LEFT(RIGHT(J$1,1),1),1))*VLOOKUP(VALUE(RIGHT(J$1,2)),$O$1:$P$11,2,FALSE)</f>
        <v>2</v>
      </c>
      <c r="K9" s="1">
        <f>VALUE(MID($A9,10,1))*VLOOKUP(VALUE(RIGHT(K$1,2)),$O$1:$P$11,2,FALSE)</f>
        <v>3</v>
      </c>
      <c r="L9" s="1">
        <f>IF(MOD(SUM(pesel__26[[#This Row],[SUMA 1]:[SUMA 10]]),10)=0,0,10-MOD(SUM(pesel__26[[#This Row],[SUMA 1]:[SUMA 10]]),10))</f>
        <v>1</v>
      </c>
      <c r="M9" s="1">
        <f>IF(pesel__26[[#This Row],[CYFRA KONTROLNA]]=VALUE(RIGHT(A9,1)),0,1)</f>
        <v>0</v>
      </c>
      <c r="O9">
        <v>8</v>
      </c>
      <c r="P9">
        <v>9</v>
      </c>
    </row>
    <row r="10" spans="1:16" hidden="1" x14ac:dyDescent="0.25">
      <c r="A10" s="1" t="s">
        <v>8</v>
      </c>
      <c r="B10" s="1">
        <f>VALUE(MID($A10,LEFT(RIGHT(B$1,1),1),1))*VLOOKUP(VALUE(RIGHT(B$1,2)),$O$1:$P$11,2,FALSE)</f>
        <v>8</v>
      </c>
      <c r="C10" s="1">
        <f>VALUE(MID($A10,LEFT(RIGHT(C$1,1),1),1))*VLOOKUP(VALUE(RIGHT(C$1,2)),$O$1:$P$11,2,FALSE)</f>
        <v>24</v>
      </c>
      <c r="D10" s="1">
        <f>VALUE(MID($A10,LEFT(RIGHT(D$1,1),1),1))*VLOOKUP(VALUE(RIGHT(D$1,2)),$O$1:$P$11,2,FALSE)</f>
        <v>7</v>
      </c>
      <c r="E10" s="1">
        <f>VALUE(MID($A10,LEFT(RIGHT(E$1,1),1),1))*VLOOKUP(VALUE(RIGHT(E$1,2)),$O$1:$P$11,2,FALSE)</f>
        <v>18</v>
      </c>
      <c r="F10" s="1">
        <f>VALUE(MID($A10,LEFT(RIGHT(F$1,1),1),1))*VLOOKUP(VALUE(RIGHT(F$1,2)),$O$1:$P$11,2,FALSE)</f>
        <v>0</v>
      </c>
      <c r="G10" s="1">
        <f>VALUE(MID($A10,LEFT(RIGHT(G$1,1),1),1))*VLOOKUP(VALUE(RIGHT(G$1,2)),$O$1:$P$11,2,FALSE)</f>
        <v>6</v>
      </c>
      <c r="H10" s="1">
        <f>VALUE(MID($A10,LEFT(RIGHT(H$1,1),1),1))*VLOOKUP(VALUE(RIGHT(H$1,2)),$O$1:$P$11,2,FALSE)</f>
        <v>42</v>
      </c>
      <c r="I10" s="1">
        <f>VALUE(MID($A10,LEFT(RIGHT(I$1,1),1),1))*VLOOKUP(VALUE(RIGHT(I$1,2)),$O$1:$P$11,2,FALSE)</f>
        <v>18</v>
      </c>
      <c r="J10" s="1">
        <f>VALUE(MID($A10,LEFT(RIGHT(J$1,1),1),1))*VLOOKUP(VALUE(RIGHT(J$1,2)),$O$1:$P$11,2,FALSE)</f>
        <v>4</v>
      </c>
      <c r="K10" s="1">
        <f>VALUE(MID($A10,10,1))*VLOOKUP(VALUE(RIGHT(K$1,2)),$O$1:$P$11,2,FALSE)</f>
        <v>6</v>
      </c>
      <c r="L10" s="1">
        <f>IF(MOD(SUM(pesel__26[[#This Row],[SUMA 1]:[SUMA 10]]),10)=0,0,10-MOD(SUM(pesel__26[[#This Row],[SUMA 1]:[SUMA 10]]),10))</f>
        <v>7</v>
      </c>
      <c r="M10" s="1">
        <f>IF(pesel__26[[#This Row],[CYFRA KONTROLNA]]=VALUE(RIGHT(A10,1)),0,1)</f>
        <v>0</v>
      </c>
      <c r="O10">
        <v>9</v>
      </c>
      <c r="P10">
        <v>1</v>
      </c>
    </row>
    <row r="11" spans="1:16" hidden="1" x14ac:dyDescent="0.25">
      <c r="A11" s="1" t="s">
        <v>9</v>
      </c>
      <c r="B11" s="1">
        <f>VALUE(MID($A11,LEFT(RIGHT(B$1,1),1),1))*VLOOKUP(VALUE(RIGHT(B$1,2)),$O$1:$P$11,2,FALSE)</f>
        <v>7</v>
      </c>
      <c r="C11" s="1">
        <f>VALUE(MID($A11,LEFT(RIGHT(C$1,1),1),1))*VLOOKUP(VALUE(RIGHT(C$1,2)),$O$1:$P$11,2,FALSE)</f>
        <v>15</v>
      </c>
      <c r="D11" s="1">
        <f>VALUE(MID($A11,LEFT(RIGHT(D$1,1),1),1))*VLOOKUP(VALUE(RIGHT(D$1,2)),$O$1:$P$11,2,FALSE)</f>
        <v>7</v>
      </c>
      <c r="E11" s="1">
        <f>VALUE(MID($A11,LEFT(RIGHT(E$1,1),1),1))*VLOOKUP(VALUE(RIGHT(E$1,2)),$O$1:$P$11,2,FALSE)</f>
        <v>18</v>
      </c>
      <c r="F11" s="1">
        <f>VALUE(MID($A11,LEFT(RIGHT(F$1,1),1),1))*VLOOKUP(VALUE(RIGHT(F$1,2)),$O$1:$P$11,2,FALSE)</f>
        <v>1</v>
      </c>
      <c r="G11" s="1">
        <f>VALUE(MID($A11,LEFT(RIGHT(G$1,1),1),1))*VLOOKUP(VALUE(RIGHT(G$1,2)),$O$1:$P$11,2,FALSE)</f>
        <v>0</v>
      </c>
      <c r="H11" s="1">
        <f>VALUE(MID($A11,LEFT(RIGHT(H$1,1),1),1))*VLOOKUP(VALUE(RIGHT(H$1,2)),$O$1:$P$11,2,FALSE)</f>
        <v>0</v>
      </c>
      <c r="I11" s="1">
        <f>VALUE(MID($A11,LEFT(RIGHT(I$1,1),1),1))*VLOOKUP(VALUE(RIGHT(I$1,2)),$O$1:$P$11,2,FALSE)</f>
        <v>45</v>
      </c>
      <c r="J11" s="1">
        <f>VALUE(MID($A11,LEFT(RIGHT(J$1,1),1),1))*VLOOKUP(VALUE(RIGHT(J$1,2)),$O$1:$P$11,2,FALSE)</f>
        <v>0</v>
      </c>
      <c r="K11" s="1">
        <f>VALUE(MID($A11,10,1))*VLOOKUP(VALUE(RIGHT(K$1,2)),$O$1:$P$11,2,FALSE)</f>
        <v>12</v>
      </c>
      <c r="L11" s="1">
        <f>IF(MOD(SUM(pesel__26[[#This Row],[SUMA 1]:[SUMA 10]]),10)=0,0,10-MOD(SUM(pesel__26[[#This Row],[SUMA 1]:[SUMA 10]]),10))</f>
        <v>5</v>
      </c>
      <c r="M11" s="1">
        <f>IF(pesel__26[[#This Row],[CYFRA KONTROLNA]]=VALUE(RIGHT(A11,1)),0,1)</f>
        <v>0</v>
      </c>
      <c r="O11">
        <v>10</v>
      </c>
      <c r="P11">
        <v>3</v>
      </c>
    </row>
    <row r="12" spans="1:16" hidden="1" x14ac:dyDescent="0.25">
      <c r="A12" s="1" t="s">
        <v>10</v>
      </c>
      <c r="B12" s="1">
        <f>VALUE(MID($A12,LEFT(RIGHT(B$1,1),1),1))*VLOOKUP(VALUE(RIGHT(B$1,2)),$O$1:$P$11,2,FALSE)</f>
        <v>7</v>
      </c>
      <c r="C12" s="1">
        <f>VALUE(MID($A12,LEFT(RIGHT(C$1,1),1),1))*VLOOKUP(VALUE(RIGHT(C$1,2)),$O$1:$P$11,2,FALSE)</f>
        <v>12</v>
      </c>
      <c r="D12" s="1">
        <f>VALUE(MID($A12,LEFT(RIGHT(D$1,1),1),1))*VLOOKUP(VALUE(RIGHT(D$1,2)),$O$1:$P$11,2,FALSE)</f>
        <v>7</v>
      </c>
      <c r="E12" s="1">
        <f>VALUE(MID($A12,LEFT(RIGHT(E$1,1),1),1))*VLOOKUP(VALUE(RIGHT(E$1,2)),$O$1:$P$11,2,FALSE)</f>
        <v>18</v>
      </c>
      <c r="F12" s="1">
        <f>VALUE(MID($A12,LEFT(RIGHT(F$1,1),1),1))*VLOOKUP(VALUE(RIGHT(F$1,2)),$O$1:$P$11,2,FALSE)</f>
        <v>1</v>
      </c>
      <c r="G12" s="1">
        <f>VALUE(MID($A12,LEFT(RIGHT(G$1,1),1),1))*VLOOKUP(VALUE(RIGHT(G$1,2)),$O$1:$P$11,2,FALSE)</f>
        <v>3</v>
      </c>
      <c r="H12" s="1">
        <f>VALUE(MID($A12,LEFT(RIGHT(H$1,1),1),1))*VLOOKUP(VALUE(RIGHT(H$1,2)),$O$1:$P$11,2,FALSE)</f>
        <v>0</v>
      </c>
      <c r="I12" s="1">
        <f>VALUE(MID($A12,LEFT(RIGHT(I$1,1),1),1))*VLOOKUP(VALUE(RIGHT(I$1,2)),$O$1:$P$11,2,FALSE)</f>
        <v>72</v>
      </c>
      <c r="J12" s="1">
        <f>VALUE(MID($A12,LEFT(RIGHT(J$1,1),1),1))*VLOOKUP(VALUE(RIGHT(J$1,2)),$O$1:$P$11,2,FALSE)</f>
        <v>5</v>
      </c>
      <c r="K12" s="1">
        <f>VALUE(MID($A12,10,1))*VLOOKUP(VALUE(RIGHT(K$1,2)),$O$1:$P$11,2,FALSE)</f>
        <v>27</v>
      </c>
      <c r="L12" s="1">
        <f>IF(MOD(SUM(pesel__26[[#This Row],[SUMA 1]:[SUMA 10]]),10)=0,0,10-MOD(SUM(pesel__26[[#This Row],[SUMA 1]:[SUMA 10]]),10))</f>
        <v>8</v>
      </c>
      <c r="M12" s="1">
        <f>IF(pesel__26[[#This Row],[CYFRA KONTROLNA]]=VALUE(RIGHT(A12,1)),0,1)</f>
        <v>0</v>
      </c>
    </row>
    <row r="13" spans="1:16" hidden="1" x14ac:dyDescent="0.25">
      <c r="A13" s="1" t="s">
        <v>11</v>
      </c>
      <c r="B13" s="1">
        <f>VALUE(MID($A13,LEFT(RIGHT(B$1,1),1),1))*VLOOKUP(VALUE(RIGHT(B$1,2)),$O$1:$P$11,2,FALSE)</f>
        <v>6</v>
      </c>
      <c r="C13" s="1">
        <f>VALUE(MID($A13,LEFT(RIGHT(C$1,1),1),1))*VLOOKUP(VALUE(RIGHT(C$1,2)),$O$1:$P$11,2,FALSE)</f>
        <v>21</v>
      </c>
      <c r="D13" s="1">
        <f>VALUE(MID($A13,LEFT(RIGHT(D$1,1),1),1))*VLOOKUP(VALUE(RIGHT(D$1,2)),$O$1:$P$11,2,FALSE)</f>
        <v>7</v>
      </c>
      <c r="E13" s="1">
        <f>VALUE(MID($A13,LEFT(RIGHT(E$1,1),1),1))*VLOOKUP(VALUE(RIGHT(E$1,2)),$O$1:$P$11,2,FALSE)</f>
        <v>9</v>
      </c>
      <c r="F13" s="1">
        <f>VALUE(MID($A13,LEFT(RIGHT(F$1,1),1),1))*VLOOKUP(VALUE(RIGHT(F$1,2)),$O$1:$P$11,2,FALSE)</f>
        <v>2</v>
      </c>
      <c r="G13" s="1">
        <f>VALUE(MID($A13,LEFT(RIGHT(G$1,1),1),1))*VLOOKUP(VALUE(RIGHT(G$1,2)),$O$1:$P$11,2,FALSE)</f>
        <v>27</v>
      </c>
      <c r="H13" s="1">
        <f>VALUE(MID($A13,LEFT(RIGHT(H$1,1),1),1))*VLOOKUP(VALUE(RIGHT(H$1,2)),$O$1:$P$11,2,FALSE)</f>
        <v>42</v>
      </c>
      <c r="I13" s="1">
        <f>VALUE(MID($A13,LEFT(RIGHT(I$1,1),1),1))*VLOOKUP(VALUE(RIGHT(I$1,2)),$O$1:$P$11,2,FALSE)</f>
        <v>54</v>
      </c>
      <c r="J13" s="1">
        <f>VALUE(MID($A13,LEFT(RIGHT(J$1,1),1),1))*VLOOKUP(VALUE(RIGHT(J$1,2)),$O$1:$P$11,2,FALSE)</f>
        <v>6</v>
      </c>
      <c r="K13" s="1">
        <f>VALUE(MID($A13,10,1))*VLOOKUP(VALUE(RIGHT(K$1,2)),$O$1:$P$11,2,FALSE)</f>
        <v>18</v>
      </c>
      <c r="L13" s="1">
        <f>IF(MOD(SUM(pesel__26[[#This Row],[SUMA 1]:[SUMA 10]]),10)=0,0,10-MOD(SUM(pesel__26[[#This Row],[SUMA 1]:[SUMA 10]]),10))</f>
        <v>8</v>
      </c>
      <c r="M13" s="1">
        <f>IF(pesel__26[[#This Row],[CYFRA KONTROLNA]]=VALUE(RIGHT(A13,1)),0,1)</f>
        <v>0</v>
      </c>
    </row>
    <row r="14" spans="1:16" hidden="1" x14ac:dyDescent="0.25">
      <c r="A14" s="1" t="s">
        <v>12</v>
      </c>
      <c r="B14" s="1">
        <f>VALUE(MID($A14,LEFT(RIGHT(B$1,1),1),1))*VLOOKUP(VALUE(RIGHT(B$1,2)),$O$1:$P$11,2,FALSE)</f>
        <v>8</v>
      </c>
      <c r="C14" s="1">
        <f>VALUE(MID($A14,LEFT(RIGHT(C$1,1),1),1))*VLOOKUP(VALUE(RIGHT(C$1,2)),$O$1:$P$11,2,FALSE)</f>
        <v>27</v>
      </c>
      <c r="D14" s="1">
        <f>VALUE(MID($A14,LEFT(RIGHT(D$1,1),1),1))*VLOOKUP(VALUE(RIGHT(D$1,2)),$O$1:$P$11,2,FALSE)</f>
        <v>0</v>
      </c>
      <c r="E14" s="1">
        <f>VALUE(MID($A14,LEFT(RIGHT(E$1,1),1),1))*VLOOKUP(VALUE(RIGHT(E$1,2)),$O$1:$P$11,2,FALSE)</f>
        <v>9</v>
      </c>
      <c r="F14" s="1">
        <f>VALUE(MID($A14,LEFT(RIGHT(F$1,1),1),1))*VLOOKUP(VALUE(RIGHT(F$1,2)),$O$1:$P$11,2,FALSE)</f>
        <v>0</v>
      </c>
      <c r="G14" s="1">
        <f>VALUE(MID($A14,LEFT(RIGHT(G$1,1),1),1))*VLOOKUP(VALUE(RIGHT(G$1,2)),$O$1:$P$11,2,FALSE)</f>
        <v>21</v>
      </c>
      <c r="H14" s="1">
        <f>VALUE(MID($A14,LEFT(RIGHT(H$1,1),1),1))*VLOOKUP(VALUE(RIGHT(H$1,2)),$O$1:$P$11,2,FALSE)</f>
        <v>21</v>
      </c>
      <c r="I14" s="1">
        <f>VALUE(MID($A14,LEFT(RIGHT(I$1,1),1),1))*VLOOKUP(VALUE(RIGHT(I$1,2)),$O$1:$P$11,2,FALSE)</f>
        <v>63</v>
      </c>
      <c r="J14" s="1">
        <f>VALUE(MID($A14,LEFT(RIGHT(J$1,1),1),1))*VLOOKUP(VALUE(RIGHT(J$1,2)),$O$1:$P$11,2,FALSE)</f>
        <v>7</v>
      </c>
      <c r="K14" s="1">
        <f>VALUE(MID($A14,10,1))*VLOOKUP(VALUE(RIGHT(K$1,2)),$O$1:$P$11,2,FALSE)</f>
        <v>0</v>
      </c>
      <c r="L14" s="1">
        <f>IF(MOD(SUM(pesel__26[[#This Row],[SUMA 1]:[SUMA 10]]),10)=0,0,10-MOD(SUM(pesel__26[[#This Row],[SUMA 1]:[SUMA 10]]),10))</f>
        <v>4</v>
      </c>
      <c r="M14" s="1">
        <f>IF(pesel__26[[#This Row],[CYFRA KONTROLNA]]=VALUE(RIGHT(A14,1)),0,1)</f>
        <v>0</v>
      </c>
    </row>
    <row r="15" spans="1:16" hidden="1" x14ac:dyDescent="0.25">
      <c r="A15" s="1" t="s">
        <v>13</v>
      </c>
      <c r="B15" s="1">
        <f>VALUE(MID($A15,LEFT(RIGHT(B$1,1),1),1))*VLOOKUP(VALUE(RIGHT(B$1,2)),$O$1:$P$11,2,FALSE)</f>
        <v>5</v>
      </c>
      <c r="C15" s="1">
        <f>VALUE(MID($A15,LEFT(RIGHT(C$1,1),1),1))*VLOOKUP(VALUE(RIGHT(C$1,2)),$O$1:$P$11,2,FALSE)</f>
        <v>6</v>
      </c>
      <c r="D15" s="1">
        <f>VALUE(MID($A15,LEFT(RIGHT(D$1,1),1),1))*VLOOKUP(VALUE(RIGHT(D$1,2)),$O$1:$P$11,2,FALSE)</f>
        <v>7</v>
      </c>
      <c r="E15" s="1">
        <f>VALUE(MID($A15,LEFT(RIGHT(E$1,1),1),1))*VLOOKUP(VALUE(RIGHT(E$1,2)),$O$1:$P$11,2,FALSE)</f>
        <v>0</v>
      </c>
      <c r="F15" s="1">
        <f>VALUE(MID($A15,LEFT(RIGHT(F$1,1),1),1))*VLOOKUP(VALUE(RIGHT(F$1,2)),$O$1:$P$11,2,FALSE)</f>
        <v>1</v>
      </c>
      <c r="G15" s="1">
        <f>VALUE(MID($A15,LEFT(RIGHT(G$1,1),1),1))*VLOOKUP(VALUE(RIGHT(G$1,2)),$O$1:$P$11,2,FALSE)</f>
        <v>3</v>
      </c>
      <c r="H15" s="1">
        <f>VALUE(MID($A15,LEFT(RIGHT(H$1,1),1),1))*VLOOKUP(VALUE(RIGHT(H$1,2)),$O$1:$P$11,2,FALSE)</f>
        <v>35</v>
      </c>
      <c r="I15" s="1">
        <f>VALUE(MID($A15,LEFT(RIGHT(I$1,1),1),1))*VLOOKUP(VALUE(RIGHT(I$1,2)),$O$1:$P$11,2,FALSE)</f>
        <v>54</v>
      </c>
      <c r="J15" s="1">
        <f>VALUE(MID($A15,LEFT(RIGHT(J$1,1),1),1))*VLOOKUP(VALUE(RIGHT(J$1,2)),$O$1:$P$11,2,FALSE)</f>
        <v>8</v>
      </c>
      <c r="K15" s="1">
        <f>VALUE(MID($A15,10,1))*VLOOKUP(VALUE(RIGHT(K$1,2)),$O$1:$P$11,2,FALSE)</f>
        <v>18</v>
      </c>
      <c r="L15" s="1">
        <f>IF(MOD(SUM(pesel__26[[#This Row],[SUMA 1]:[SUMA 10]]),10)=0,0,10-MOD(SUM(pesel__26[[#This Row],[SUMA 1]:[SUMA 10]]),10))</f>
        <v>3</v>
      </c>
      <c r="M15" s="1">
        <f>IF(pesel__26[[#This Row],[CYFRA KONTROLNA]]=VALUE(RIGHT(A15,1)),0,1)</f>
        <v>0</v>
      </c>
    </row>
    <row r="16" spans="1:16" x14ac:dyDescent="0.25">
      <c r="A16" s="1" t="s">
        <v>53</v>
      </c>
      <c r="B16" s="1">
        <f>VALUE(MID($A16,LEFT(RIGHT(B$1,1),1),1))*VLOOKUP(VALUE(RIGHT(B$1,2)),$O$1:$P$11,2,FALSE)</f>
        <v>5</v>
      </c>
      <c r="C16" s="1">
        <f>VALUE(MID($A16,LEFT(RIGHT(C$1,1),1),1))*VLOOKUP(VALUE(RIGHT(C$1,2)),$O$1:$P$11,2,FALSE)</f>
        <v>12</v>
      </c>
      <c r="D16" s="1">
        <f>VALUE(MID($A16,LEFT(RIGHT(D$1,1),1),1))*VLOOKUP(VALUE(RIGHT(D$1,2)),$O$1:$P$11,2,FALSE)</f>
        <v>0</v>
      </c>
      <c r="E16" s="1">
        <f>VALUE(MID($A16,LEFT(RIGHT(E$1,1),1),1))*VLOOKUP(VALUE(RIGHT(E$1,2)),$O$1:$P$11,2,FALSE)</f>
        <v>36</v>
      </c>
      <c r="F16" s="1">
        <f>VALUE(MID($A16,LEFT(RIGHT(F$1,1),1),1))*VLOOKUP(VALUE(RIGHT(F$1,2)),$O$1:$P$11,2,FALSE)</f>
        <v>3</v>
      </c>
      <c r="G16" s="1">
        <f>VALUE(MID($A16,LEFT(RIGHT(G$1,1),1),1))*VLOOKUP(VALUE(RIGHT(G$1,2)),$O$1:$P$11,2,FALSE)</f>
        <v>0</v>
      </c>
      <c r="H16" s="1">
        <f>VALUE(MID($A16,LEFT(RIGHT(H$1,1),1),1))*VLOOKUP(VALUE(RIGHT(H$1,2)),$O$1:$P$11,2,FALSE)</f>
        <v>7</v>
      </c>
      <c r="I16" s="1">
        <f>VALUE(MID($A16,LEFT(RIGHT(I$1,1),1),1))*VLOOKUP(VALUE(RIGHT(I$1,2)),$O$1:$P$11,2,FALSE)</f>
        <v>0</v>
      </c>
      <c r="J16" s="1">
        <f>VALUE(MID($A16,LEFT(RIGHT(J$1,1),1),1))*VLOOKUP(VALUE(RIGHT(J$1,2)),$O$1:$P$11,2,FALSE)</f>
        <v>0</v>
      </c>
      <c r="K16" s="1">
        <f>VALUE(MID($A16,10,1))*VLOOKUP(VALUE(RIGHT(K$1,2)),$O$1:$P$11,2,FALSE)</f>
        <v>24</v>
      </c>
      <c r="L16" s="1">
        <f>IF(MOD(SUM(pesel__26[[#This Row],[SUMA 1]:[SUMA 10]]),10)=0,0,10-MOD(SUM(pesel__26[[#This Row],[SUMA 1]:[SUMA 10]]),10))</f>
        <v>3</v>
      </c>
      <c r="M16" s="1">
        <f>IF(pesel__26[[#This Row],[CYFRA KONTROLNA]]=VALUE(RIGHT(A16,1)),0,1)</f>
        <v>1</v>
      </c>
    </row>
    <row r="17" spans="1:13" hidden="1" x14ac:dyDescent="0.25">
      <c r="A17" s="1" t="s">
        <v>15</v>
      </c>
      <c r="B17" s="1">
        <f>VALUE(MID($A17,LEFT(RIGHT(B$1,1),1),1))*VLOOKUP(VALUE(RIGHT(B$1,2)),$O$1:$P$11,2,FALSE)</f>
        <v>7</v>
      </c>
      <c r="C17" s="1">
        <f>VALUE(MID($A17,LEFT(RIGHT(C$1,1),1),1))*VLOOKUP(VALUE(RIGHT(C$1,2)),$O$1:$P$11,2,FALSE)</f>
        <v>15</v>
      </c>
      <c r="D17" s="1">
        <f>VALUE(MID($A17,LEFT(RIGHT(D$1,1),1),1))*VLOOKUP(VALUE(RIGHT(D$1,2)),$O$1:$P$11,2,FALSE)</f>
        <v>0</v>
      </c>
      <c r="E17" s="1">
        <f>VALUE(MID($A17,LEFT(RIGHT(E$1,1),1),1))*VLOOKUP(VALUE(RIGHT(E$1,2)),$O$1:$P$11,2,FALSE)</f>
        <v>27</v>
      </c>
      <c r="F17" s="1">
        <f>VALUE(MID($A17,LEFT(RIGHT(F$1,1),1),1))*VLOOKUP(VALUE(RIGHT(F$1,2)),$O$1:$P$11,2,FALSE)</f>
        <v>2</v>
      </c>
      <c r="G17" s="1">
        <f>VALUE(MID($A17,LEFT(RIGHT(G$1,1),1),1))*VLOOKUP(VALUE(RIGHT(G$1,2)),$O$1:$P$11,2,FALSE)</f>
        <v>0</v>
      </c>
      <c r="H17" s="1">
        <f>VALUE(MID($A17,LEFT(RIGHT(H$1,1),1),1))*VLOOKUP(VALUE(RIGHT(H$1,2)),$O$1:$P$11,2,FALSE)</f>
        <v>0</v>
      </c>
      <c r="I17" s="1">
        <f>VALUE(MID($A17,LEFT(RIGHT(I$1,1),1),1))*VLOOKUP(VALUE(RIGHT(I$1,2)),$O$1:$P$11,2,FALSE)</f>
        <v>54</v>
      </c>
      <c r="J17" s="1">
        <f>VALUE(MID($A17,LEFT(RIGHT(J$1,1),1),1))*VLOOKUP(VALUE(RIGHT(J$1,2)),$O$1:$P$11,2,FALSE)</f>
        <v>0</v>
      </c>
      <c r="K17" s="1">
        <f>VALUE(MID($A17,10,1))*VLOOKUP(VALUE(RIGHT(K$1,2)),$O$1:$P$11,2,FALSE)</f>
        <v>27</v>
      </c>
      <c r="L17" s="1">
        <f>IF(MOD(SUM(pesel__26[[#This Row],[SUMA 1]:[SUMA 10]]),10)=0,0,10-MOD(SUM(pesel__26[[#This Row],[SUMA 1]:[SUMA 10]]),10))</f>
        <v>8</v>
      </c>
      <c r="M17" s="1">
        <f>IF(pesel__26[[#This Row],[CYFRA KONTROLNA]]=VALUE(RIGHT(A17,1)),0,1)</f>
        <v>0</v>
      </c>
    </row>
    <row r="18" spans="1:13" hidden="1" x14ac:dyDescent="0.25">
      <c r="A18" s="1" t="s">
        <v>16</v>
      </c>
      <c r="B18" s="1">
        <f>VALUE(MID($A18,LEFT(RIGHT(B$1,1),1),1))*VLOOKUP(VALUE(RIGHT(B$1,2)),$O$1:$P$11,2,FALSE)</f>
        <v>5</v>
      </c>
      <c r="C18" s="1">
        <f>VALUE(MID($A18,LEFT(RIGHT(C$1,1),1),1))*VLOOKUP(VALUE(RIGHT(C$1,2)),$O$1:$P$11,2,FALSE)</f>
        <v>15</v>
      </c>
      <c r="D18" s="1">
        <f>VALUE(MID($A18,LEFT(RIGHT(D$1,1),1),1))*VLOOKUP(VALUE(RIGHT(D$1,2)),$O$1:$P$11,2,FALSE)</f>
        <v>7</v>
      </c>
      <c r="E18" s="1">
        <f>VALUE(MID($A18,LEFT(RIGHT(E$1,1),1),1))*VLOOKUP(VALUE(RIGHT(E$1,2)),$O$1:$P$11,2,FALSE)</f>
        <v>9</v>
      </c>
      <c r="F18" s="1">
        <f>VALUE(MID($A18,LEFT(RIGHT(F$1,1),1),1))*VLOOKUP(VALUE(RIGHT(F$1,2)),$O$1:$P$11,2,FALSE)</f>
        <v>0</v>
      </c>
      <c r="G18" s="1">
        <f>VALUE(MID($A18,LEFT(RIGHT(G$1,1),1),1))*VLOOKUP(VALUE(RIGHT(G$1,2)),$O$1:$P$11,2,FALSE)</f>
        <v>27</v>
      </c>
      <c r="H18" s="1">
        <f>VALUE(MID($A18,LEFT(RIGHT(H$1,1),1),1))*VLOOKUP(VALUE(RIGHT(H$1,2)),$O$1:$P$11,2,FALSE)</f>
        <v>0</v>
      </c>
      <c r="I18" s="1">
        <f>VALUE(MID($A18,LEFT(RIGHT(I$1,1),1),1))*VLOOKUP(VALUE(RIGHT(I$1,2)),$O$1:$P$11,2,FALSE)</f>
        <v>54</v>
      </c>
      <c r="J18" s="1">
        <f>VALUE(MID($A18,LEFT(RIGHT(J$1,1),1),1))*VLOOKUP(VALUE(RIGHT(J$1,2)),$O$1:$P$11,2,FALSE)</f>
        <v>6</v>
      </c>
      <c r="K18" s="1">
        <f>VALUE(MID($A18,10,1))*VLOOKUP(VALUE(RIGHT(K$1,2)),$O$1:$P$11,2,FALSE)</f>
        <v>27</v>
      </c>
      <c r="L18" s="1">
        <f>IF(MOD(SUM(pesel__26[[#This Row],[SUMA 1]:[SUMA 10]]),10)=0,0,10-MOD(SUM(pesel__26[[#This Row],[SUMA 1]:[SUMA 10]]),10))</f>
        <v>0</v>
      </c>
      <c r="M18" s="1">
        <f>IF(pesel__26[[#This Row],[CYFRA KONTROLNA]]=VALUE(RIGHT(A18,1)),0,1)</f>
        <v>0</v>
      </c>
    </row>
    <row r="19" spans="1:13" hidden="1" x14ac:dyDescent="0.25">
      <c r="A19" s="1" t="s">
        <v>17</v>
      </c>
      <c r="B19" s="1">
        <f>VALUE(MID($A19,LEFT(RIGHT(B$1,1),1),1))*VLOOKUP(VALUE(RIGHT(B$1,2)),$O$1:$P$11,2,FALSE)</f>
        <v>6</v>
      </c>
      <c r="C19" s="1">
        <f>VALUE(MID($A19,LEFT(RIGHT(C$1,1),1),1))*VLOOKUP(VALUE(RIGHT(C$1,2)),$O$1:$P$11,2,FALSE)</f>
        <v>21</v>
      </c>
      <c r="D19" s="1">
        <f>VALUE(MID($A19,LEFT(RIGHT(D$1,1),1),1))*VLOOKUP(VALUE(RIGHT(D$1,2)),$O$1:$P$11,2,FALSE)</f>
        <v>7</v>
      </c>
      <c r="E19" s="1">
        <f>VALUE(MID($A19,LEFT(RIGHT(E$1,1),1),1))*VLOOKUP(VALUE(RIGHT(E$1,2)),$O$1:$P$11,2,FALSE)</f>
        <v>0</v>
      </c>
      <c r="F19" s="1">
        <f>VALUE(MID($A19,LEFT(RIGHT(F$1,1),1),1))*VLOOKUP(VALUE(RIGHT(F$1,2)),$O$1:$P$11,2,FALSE)</f>
        <v>3</v>
      </c>
      <c r="G19" s="1">
        <f>VALUE(MID($A19,LEFT(RIGHT(G$1,1),1),1))*VLOOKUP(VALUE(RIGHT(G$1,2)),$O$1:$P$11,2,FALSE)</f>
        <v>3</v>
      </c>
      <c r="H19" s="1">
        <f>VALUE(MID($A19,LEFT(RIGHT(H$1,1),1),1))*VLOOKUP(VALUE(RIGHT(H$1,2)),$O$1:$P$11,2,FALSE)</f>
        <v>7</v>
      </c>
      <c r="I19" s="1">
        <f>VALUE(MID($A19,LEFT(RIGHT(I$1,1),1),1))*VLOOKUP(VALUE(RIGHT(I$1,2)),$O$1:$P$11,2,FALSE)</f>
        <v>9</v>
      </c>
      <c r="J19" s="1">
        <f>VALUE(MID($A19,LEFT(RIGHT(J$1,1),1),1))*VLOOKUP(VALUE(RIGHT(J$1,2)),$O$1:$P$11,2,FALSE)</f>
        <v>0</v>
      </c>
      <c r="K19" s="1">
        <f>VALUE(MID($A19,10,1))*VLOOKUP(VALUE(RIGHT(K$1,2)),$O$1:$P$11,2,FALSE)</f>
        <v>12</v>
      </c>
      <c r="L19" s="1">
        <f>IF(MOD(SUM(pesel__26[[#This Row],[SUMA 1]:[SUMA 10]]),10)=0,0,10-MOD(SUM(pesel__26[[#This Row],[SUMA 1]:[SUMA 10]]),10))</f>
        <v>2</v>
      </c>
      <c r="M19" s="1">
        <f>IF(pesel__26[[#This Row],[CYFRA KONTROLNA]]=VALUE(RIGHT(A19,1)),0,1)</f>
        <v>0</v>
      </c>
    </row>
    <row r="20" spans="1:13" x14ac:dyDescent="0.25">
      <c r="A20" s="1" t="s">
        <v>138</v>
      </c>
      <c r="B20" s="1">
        <f>VALUE(MID($A20,LEFT(RIGHT(B$1,1),1),1))*VLOOKUP(VALUE(RIGHT(B$1,2)),$O$1:$P$11,2,FALSE)</f>
        <v>6</v>
      </c>
      <c r="C20" s="1">
        <f>VALUE(MID($A20,LEFT(RIGHT(C$1,1),1),1))*VLOOKUP(VALUE(RIGHT(C$1,2)),$O$1:$P$11,2,FALSE)</f>
        <v>0</v>
      </c>
      <c r="D20" s="1">
        <f>VALUE(MID($A20,LEFT(RIGHT(D$1,1),1),1))*VLOOKUP(VALUE(RIGHT(D$1,2)),$O$1:$P$11,2,FALSE)</f>
        <v>0</v>
      </c>
      <c r="E20" s="1">
        <f>VALUE(MID($A20,LEFT(RIGHT(E$1,1),1),1))*VLOOKUP(VALUE(RIGHT(E$1,2)),$O$1:$P$11,2,FALSE)</f>
        <v>54</v>
      </c>
      <c r="F20" s="1">
        <f>VALUE(MID($A20,LEFT(RIGHT(F$1,1),1),1))*VLOOKUP(VALUE(RIGHT(F$1,2)),$O$1:$P$11,2,FALSE)</f>
        <v>1</v>
      </c>
      <c r="G20" s="1">
        <f>VALUE(MID($A20,LEFT(RIGHT(G$1,1),1),1))*VLOOKUP(VALUE(RIGHT(G$1,2)),$O$1:$P$11,2,FALSE)</f>
        <v>3</v>
      </c>
      <c r="H20" s="1">
        <f>VALUE(MID($A20,LEFT(RIGHT(H$1,1),1),1))*VLOOKUP(VALUE(RIGHT(H$1,2)),$O$1:$P$11,2,FALSE)</f>
        <v>28</v>
      </c>
      <c r="I20" s="1">
        <f>VALUE(MID($A20,LEFT(RIGHT(I$1,1),1),1))*VLOOKUP(VALUE(RIGHT(I$1,2)),$O$1:$P$11,2,FALSE)</f>
        <v>36</v>
      </c>
      <c r="J20" s="1">
        <f>VALUE(MID($A20,LEFT(RIGHT(J$1,1),1),1))*VLOOKUP(VALUE(RIGHT(J$1,2)),$O$1:$P$11,2,FALSE)</f>
        <v>4</v>
      </c>
      <c r="K20" s="1">
        <f>VALUE(MID($A20,10,1))*VLOOKUP(VALUE(RIGHT(K$1,2)),$O$1:$P$11,2,FALSE)</f>
        <v>18</v>
      </c>
      <c r="L20" s="1">
        <f>IF(MOD(SUM(pesel__26[[#This Row],[SUMA 1]:[SUMA 10]]),10)=0,0,10-MOD(SUM(pesel__26[[#This Row],[SUMA 1]:[SUMA 10]]),10))</f>
        <v>0</v>
      </c>
      <c r="M20" s="1">
        <f>IF(pesel__26[[#This Row],[CYFRA KONTROLNA]]=VALUE(RIGHT(A20,1)),0,1)</f>
        <v>1</v>
      </c>
    </row>
    <row r="21" spans="1:13" x14ac:dyDescent="0.25">
      <c r="A21" s="1" t="s">
        <v>18</v>
      </c>
      <c r="B21" s="1">
        <f>VALUE(MID($A21,LEFT(RIGHT(B$1,1),1),1))*VLOOKUP(VALUE(RIGHT(B$1,2)),$O$1:$P$11,2,FALSE)</f>
        <v>7</v>
      </c>
      <c r="C21" s="1">
        <f>VALUE(MID($A21,LEFT(RIGHT(C$1,1),1),1))*VLOOKUP(VALUE(RIGHT(C$1,2)),$O$1:$P$11,2,FALSE)</f>
        <v>21</v>
      </c>
      <c r="D21" s="1">
        <f>VALUE(MID($A21,LEFT(RIGHT(D$1,1),1),1))*VLOOKUP(VALUE(RIGHT(D$1,2)),$O$1:$P$11,2,FALSE)</f>
        <v>0</v>
      </c>
      <c r="E21" s="1">
        <f>VALUE(MID($A21,LEFT(RIGHT(E$1,1),1),1))*VLOOKUP(VALUE(RIGHT(E$1,2)),$O$1:$P$11,2,FALSE)</f>
        <v>63</v>
      </c>
      <c r="F21" s="1">
        <f>VALUE(MID($A21,LEFT(RIGHT(F$1,1),1),1))*VLOOKUP(VALUE(RIGHT(F$1,2)),$O$1:$P$11,2,FALSE)</f>
        <v>2</v>
      </c>
      <c r="G21" s="1">
        <f>VALUE(MID($A21,LEFT(RIGHT(G$1,1),1),1))*VLOOKUP(VALUE(RIGHT(G$1,2)),$O$1:$P$11,2,FALSE)</f>
        <v>27</v>
      </c>
      <c r="H21" s="1">
        <f>VALUE(MID($A21,LEFT(RIGHT(H$1,1),1),1))*VLOOKUP(VALUE(RIGHT(H$1,2)),$O$1:$P$11,2,FALSE)</f>
        <v>7</v>
      </c>
      <c r="I21" s="1">
        <f>VALUE(MID($A21,LEFT(RIGHT(I$1,1),1),1))*VLOOKUP(VALUE(RIGHT(I$1,2)),$O$1:$P$11,2,FALSE)</f>
        <v>81</v>
      </c>
      <c r="J21" s="1">
        <f>VALUE(MID($A21,LEFT(RIGHT(J$1,1),1),1))*VLOOKUP(VALUE(RIGHT(J$1,2)),$O$1:$P$11,2,FALSE)</f>
        <v>8</v>
      </c>
      <c r="K21" s="1">
        <f>VALUE(MID($A21,10,1))*VLOOKUP(VALUE(RIGHT(K$1,2)),$O$1:$P$11,2,FALSE)</f>
        <v>0</v>
      </c>
      <c r="L21" s="1">
        <f>IF(MOD(SUM(pesel__26[[#This Row],[SUMA 1]:[SUMA 10]]),10)=0,0,10-MOD(SUM(pesel__26[[#This Row],[SUMA 1]:[SUMA 10]]),10))</f>
        <v>4</v>
      </c>
      <c r="M21" s="1">
        <f>IF(pesel__26[[#This Row],[CYFRA KONTROLNA]]=VALUE(RIGHT(A21,1)),0,1)</f>
        <v>1</v>
      </c>
    </row>
    <row r="22" spans="1:13" x14ac:dyDescent="0.25">
      <c r="A22" s="1" t="s">
        <v>144</v>
      </c>
      <c r="B22" s="1">
        <f>VALUE(MID($A22,LEFT(RIGHT(B$1,1),1),1))*VLOOKUP(VALUE(RIGHT(B$1,2)),$O$1:$P$11,2,FALSE)</f>
        <v>7</v>
      </c>
      <c r="C22" s="1">
        <f>VALUE(MID($A22,LEFT(RIGHT(C$1,1),1),1))*VLOOKUP(VALUE(RIGHT(C$1,2)),$O$1:$P$11,2,FALSE)</f>
        <v>21</v>
      </c>
      <c r="D22" s="1">
        <f>VALUE(MID($A22,LEFT(RIGHT(D$1,1),1),1))*VLOOKUP(VALUE(RIGHT(D$1,2)),$O$1:$P$11,2,FALSE)</f>
        <v>7</v>
      </c>
      <c r="E22" s="1">
        <f>VALUE(MID($A22,LEFT(RIGHT(E$1,1),1),1))*VLOOKUP(VALUE(RIGHT(E$1,2)),$O$1:$P$11,2,FALSE)</f>
        <v>18</v>
      </c>
      <c r="F22" s="1">
        <f>VALUE(MID($A22,LEFT(RIGHT(F$1,1),1),1))*VLOOKUP(VALUE(RIGHT(F$1,2)),$O$1:$P$11,2,FALSE)</f>
        <v>0</v>
      </c>
      <c r="G22" s="1">
        <f>VALUE(MID($A22,LEFT(RIGHT(G$1,1),1),1))*VLOOKUP(VALUE(RIGHT(G$1,2)),$O$1:$P$11,2,FALSE)</f>
        <v>24</v>
      </c>
      <c r="H22" s="1">
        <f>VALUE(MID($A22,LEFT(RIGHT(H$1,1),1),1))*VLOOKUP(VALUE(RIGHT(H$1,2)),$O$1:$P$11,2,FALSE)</f>
        <v>21</v>
      </c>
      <c r="I22" s="1">
        <f>VALUE(MID($A22,LEFT(RIGHT(I$1,1),1),1))*VLOOKUP(VALUE(RIGHT(I$1,2)),$O$1:$P$11,2,FALSE)</f>
        <v>45</v>
      </c>
      <c r="J22" s="1">
        <f>VALUE(MID($A22,LEFT(RIGHT(J$1,1),1),1))*VLOOKUP(VALUE(RIGHT(J$1,2)),$O$1:$P$11,2,FALSE)</f>
        <v>8</v>
      </c>
      <c r="K22" s="1">
        <f>VALUE(MID($A22,10,1))*VLOOKUP(VALUE(RIGHT(K$1,2)),$O$1:$P$11,2,FALSE)</f>
        <v>21</v>
      </c>
      <c r="L22" s="1">
        <f>IF(MOD(SUM(pesel__26[[#This Row],[SUMA 1]:[SUMA 10]]),10)=0,0,10-MOD(SUM(pesel__26[[#This Row],[SUMA 1]:[SUMA 10]]),10))</f>
        <v>8</v>
      </c>
      <c r="M22" s="1">
        <f>IF(pesel__26[[#This Row],[CYFRA KONTROLNA]]=VALUE(RIGHT(A22,1)),0,1)</f>
        <v>1</v>
      </c>
    </row>
    <row r="23" spans="1:13" hidden="1" x14ac:dyDescent="0.25">
      <c r="A23" s="1" t="s">
        <v>21</v>
      </c>
      <c r="B23" s="1">
        <f>VALUE(MID($A23,LEFT(RIGHT(B$1,1),1),1))*VLOOKUP(VALUE(RIGHT(B$1,2)),$O$1:$P$11,2,FALSE)</f>
        <v>8</v>
      </c>
      <c r="C23" s="1">
        <f>VALUE(MID($A23,LEFT(RIGHT(C$1,1),1),1))*VLOOKUP(VALUE(RIGHT(C$1,2)),$O$1:$P$11,2,FALSE)</f>
        <v>18</v>
      </c>
      <c r="D23" s="1">
        <f>VALUE(MID($A23,LEFT(RIGHT(D$1,1),1),1))*VLOOKUP(VALUE(RIGHT(D$1,2)),$O$1:$P$11,2,FALSE)</f>
        <v>0</v>
      </c>
      <c r="E23" s="1">
        <f>VALUE(MID($A23,LEFT(RIGHT(E$1,1),1),1))*VLOOKUP(VALUE(RIGHT(E$1,2)),$O$1:$P$11,2,FALSE)</f>
        <v>63</v>
      </c>
      <c r="F23" s="1">
        <f>VALUE(MID($A23,LEFT(RIGHT(F$1,1),1),1))*VLOOKUP(VALUE(RIGHT(F$1,2)),$O$1:$P$11,2,FALSE)</f>
        <v>2</v>
      </c>
      <c r="G23" s="1">
        <f>VALUE(MID($A23,LEFT(RIGHT(G$1,1),1),1))*VLOOKUP(VALUE(RIGHT(G$1,2)),$O$1:$P$11,2,FALSE)</f>
        <v>0</v>
      </c>
      <c r="H23" s="1">
        <f>VALUE(MID($A23,LEFT(RIGHT(H$1,1),1),1))*VLOOKUP(VALUE(RIGHT(H$1,2)),$O$1:$P$11,2,FALSE)</f>
        <v>21</v>
      </c>
      <c r="I23" s="1">
        <f>VALUE(MID($A23,LEFT(RIGHT(I$1,1),1),1))*VLOOKUP(VALUE(RIGHT(I$1,2)),$O$1:$P$11,2,FALSE)</f>
        <v>18</v>
      </c>
      <c r="J23" s="1">
        <f>VALUE(MID($A23,LEFT(RIGHT(J$1,1),1),1))*VLOOKUP(VALUE(RIGHT(J$1,2)),$O$1:$P$11,2,FALSE)</f>
        <v>5</v>
      </c>
      <c r="K23" s="1">
        <f>VALUE(MID($A23,10,1))*VLOOKUP(VALUE(RIGHT(K$1,2)),$O$1:$P$11,2,FALSE)</f>
        <v>12</v>
      </c>
      <c r="L23" s="1">
        <f>IF(MOD(SUM(pesel__26[[#This Row],[SUMA 1]:[SUMA 10]]),10)=0,0,10-MOD(SUM(pesel__26[[#This Row],[SUMA 1]:[SUMA 10]]),10))</f>
        <v>3</v>
      </c>
      <c r="M23" s="1">
        <f>IF(pesel__26[[#This Row],[CYFRA KONTROLNA]]=VALUE(RIGHT(A23,1)),0,1)</f>
        <v>0</v>
      </c>
    </row>
    <row r="24" spans="1:13" hidden="1" x14ac:dyDescent="0.25">
      <c r="A24" s="1" t="s">
        <v>22</v>
      </c>
      <c r="B24" s="1">
        <f>VALUE(MID($A24,LEFT(RIGHT(B$1,1),1),1))*VLOOKUP(VALUE(RIGHT(B$1,2)),$O$1:$P$11,2,FALSE)</f>
        <v>7</v>
      </c>
      <c r="C24" s="1">
        <f>VALUE(MID($A24,LEFT(RIGHT(C$1,1),1),1))*VLOOKUP(VALUE(RIGHT(C$1,2)),$O$1:$P$11,2,FALSE)</f>
        <v>3</v>
      </c>
      <c r="D24" s="1">
        <f>VALUE(MID($A24,LEFT(RIGHT(D$1,1),1),1))*VLOOKUP(VALUE(RIGHT(D$1,2)),$O$1:$P$11,2,FALSE)</f>
        <v>7</v>
      </c>
      <c r="E24" s="1">
        <f>VALUE(MID($A24,LEFT(RIGHT(E$1,1),1),1))*VLOOKUP(VALUE(RIGHT(E$1,2)),$O$1:$P$11,2,FALSE)</f>
        <v>9</v>
      </c>
      <c r="F24" s="1">
        <f>VALUE(MID($A24,LEFT(RIGHT(F$1,1),1),1))*VLOOKUP(VALUE(RIGHT(F$1,2)),$O$1:$P$11,2,FALSE)</f>
        <v>0</v>
      </c>
      <c r="G24" s="1">
        <f>VALUE(MID($A24,LEFT(RIGHT(G$1,1),1),1))*VLOOKUP(VALUE(RIGHT(G$1,2)),$O$1:$P$11,2,FALSE)</f>
        <v>12</v>
      </c>
      <c r="H24" s="1">
        <f>VALUE(MID($A24,LEFT(RIGHT(H$1,1),1),1))*VLOOKUP(VALUE(RIGHT(H$1,2)),$O$1:$P$11,2,FALSE)</f>
        <v>7</v>
      </c>
      <c r="I24" s="1">
        <f>VALUE(MID($A24,LEFT(RIGHT(I$1,1),1),1))*VLOOKUP(VALUE(RIGHT(I$1,2)),$O$1:$P$11,2,FALSE)</f>
        <v>0</v>
      </c>
      <c r="J24" s="1">
        <f>VALUE(MID($A24,LEFT(RIGHT(J$1,1),1),1))*VLOOKUP(VALUE(RIGHT(J$1,2)),$O$1:$P$11,2,FALSE)</f>
        <v>8</v>
      </c>
      <c r="K24" s="1">
        <f>VALUE(MID($A24,10,1))*VLOOKUP(VALUE(RIGHT(K$1,2)),$O$1:$P$11,2,FALSE)</f>
        <v>24</v>
      </c>
      <c r="L24" s="1">
        <f>IF(MOD(SUM(pesel__26[[#This Row],[SUMA 1]:[SUMA 10]]),10)=0,0,10-MOD(SUM(pesel__26[[#This Row],[SUMA 1]:[SUMA 10]]),10))</f>
        <v>3</v>
      </c>
      <c r="M24" s="1">
        <f>IF(pesel__26[[#This Row],[CYFRA KONTROLNA]]=VALUE(RIGHT(A24,1)),0,1)</f>
        <v>0</v>
      </c>
    </row>
    <row r="25" spans="1:13" hidden="1" x14ac:dyDescent="0.25">
      <c r="A25" s="1" t="s">
        <v>23</v>
      </c>
      <c r="B25" s="1">
        <f>VALUE(MID($A25,LEFT(RIGHT(B$1,1),1),1))*VLOOKUP(VALUE(RIGHT(B$1,2)),$O$1:$P$11,2,FALSE)</f>
        <v>7</v>
      </c>
      <c r="C25" s="1">
        <f>VALUE(MID($A25,LEFT(RIGHT(C$1,1),1),1))*VLOOKUP(VALUE(RIGHT(C$1,2)),$O$1:$P$11,2,FALSE)</f>
        <v>9</v>
      </c>
      <c r="D25" s="1">
        <f>VALUE(MID($A25,LEFT(RIGHT(D$1,1),1),1))*VLOOKUP(VALUE(RIGHT(D$1,2)),$O$1:$P$11,2,FALSE)</f>
        <v>0</v>
      </c>
      <c r="E25" s="1">
        <f>VALUE(MID($A25,LEFT(RIGHT(E$1,1),1),1))*VLOOKUP(VALUE(RIGHT(E$1,2)),$O$1:$P$11,2,FALSE)</f>
        <v>63</v>
      </c>
      <c r="F25" s="1">
        <f>VALUE(MID($A25,LEFT(RIGHT(F$1,1),1),1))*VLOOKUP(VALUE(RIGHT(F$1,2)),$O$1:$P$11,2,FALSE)</f>
        <v>0</v>
      </c>
      <c r="G25" s="1">
        <f>VALUE(MID($A25,LEFT(RIGHT(G$1,1),1),1))*VLOOKUP(VALUE(RIGHT(G$1,2)),$O$1:$P$11,2,FALSE)</f>
        <v>24</v>
      </c>
      <c r="H25" s="1">
        <f>VALUE(MID($A25,LEFT(RIGHT(H$1,1),1),1))*VLOOKUP(VALUE(RIGHT(H$1,2)),$O$1:$P$11,2,FALSE)</f>
        <v>49</v>
      </c>
      <c r="I25" s="1">
        <f>VALUE(MID($A25,LEFT(RIGHT(I$1,1),1),1))*VLOOKUP(VALUE(RIGHT(I$1,2)),$O$1:$P$11,2,FALSE)</f>
        <v>9</v>
      </c>
      <c r="J25" s="1">
        <f>VALUE(MID($A25,LEFT(RIGHT(J$1,1),1),1))*VLOOKUP(VALUE(RIGHT(J$1,2)),$O$1:$P$11,2,FALSE)</f>
        <v>3</v>
      </c>
      <c r="K25" s="1">
        <f>VALUE(MID($A25,10,1))*VLOOKUP(VALUE(RIGHT(K$1,2)),$O$1:$P$11,2,FALSE)</f>
        <v>18</v>
      </c>
      <c r="L25" s="1">
        <f>IF(MOD(SUM(pesel__26[[#This Row],[SUMA 1]:[SUMA 10]]),10)=0,0,10-MOD(SUM(pesel__26[[#This Row],[SUMA 1]:[SUMA 10]]),10))</f>
        <v>8</v>
      </c>
      <c r="M25" s="1">
        <f>IF(pesel__26[[#This Row],[CYFRA KONTROLNA]]=VALUE(RIGHT(A25,1)),0,1)</f>
        <v>0</v>
      </c>
    </row>
    <row r="26" spans="1:13" hidden="1" x14ac:dyDescent="0.25">
      <c r="A26" s="1" t="s">
        <v>24</v>
      </c>
      <c r="B26" s="1">
        <f>VALUE(MID($A26,LEFT(RIGHT(B$1,1),1),1))*VLOOKUP(VALUE(RIGHT(B$1,2)),$O$1:$P$11,2,FALSE)</f>
        <v>7</v>
      </c>
      <c r="C26" s="1">
        <f>VALUE(MID($A26,LEFT(RIGHT(C$1,1),1),1))*VLOOKUP(VALUE(RIGHT(C$1,2)),$O$1:$P$11,2,FALSE)</f>
        <v>12</v>
      </c>
      <c r="D26" s="1">
        <f>VALUE(MID($A26,LEFT(RIGHT(D$1,1),1),1))*VLOOKUP(VALUE(RIGHT(D$1,2)),$O$1:$P$11,2,FALSE)</f>
        <v>0</v>
      </c>
      <c r="E26" s="1">
        <f>VALUE(MID($A26,LEFT(RIGHT(E$1,1),1),1))*VLOOKUP(VALUE(RIGHT(E$1,2)),$O$1:$P$11,2,FALSE)</f>
        <v>36</v>
      </c>
      <c r="F26" s="1">
        <f>VALUE(MID($A26,LEFT(RIGHT(F$1,1),1),1))*VLOOKUP(VALUE(RIGHT(F$1,2)),$O$1:$P$11,2,FALSE)</f>
        <v>0</v>
      </c>
      <c r="G26" s="1">
        <f>VALUE(MID($A26,LEFT(RIGHT(G$1,1),1),1))*VLOOKUP(VALUE(RIGHT(G$1,2)),$O$1:$P$11,2,FALSE)</f>
        <v>6</v>
      </c>
      <c r="H26" s="1">
        <f>VALUE(MID($A26,LEFT(RIGHT(H$1,1),1),1))*VLOOKUP(VALUE(RIGHT(H$1,2)),$O$1:$P$11,2,FALSE)</f>
        <v>28</v>
      </c>
      <c r="I26" s="1">
        <f>VALUE(MID($A26,LEFT(RIGHT(I$1,1),1),1))*VLOOKUP(VALUE(RIGHT(I$1,2)),$O$1:$P$11,2,FALSE)</f>
        <v>81</v>
      </c>
      <c r="J26" s="1">
        <f>VALUE(MID($A26,LEFT(RIGHT(J$1,1),1),1))*VLOOKUP(VALUE(RIGHT(J$1,2)),$O$1:$P$11,2,FALSE)</f>
        <v>5</v>
      </c>
      <c r="K26" s="1">
        <f>VALUE(MID($A26,10,1))*VLOOKUP(VALUE(RIGHT(K$1,2)),$O$1:$P$11,2,FALSE)</f>
        <v>27</v>
      </c>
      <c r="L26" s="1">
        <f>IF(MOD(SUM(pesel__26[[#This Row],[SUMA 1]:[SUMA 10]]),10)=0,0,10-MOD(SUM(pesel__26[[#This Row],[SUMA 1]:[SUMA 10]]),10))</f>
        <v>8</v>
      </c>
      <c r="M26" s="1">
        <f>IF(pesel__26[[#This Row],[CYFRA KONTROLNA]]=VALUE(RIGHT(A26,1)),0,1)</f>
        <v>0</v>
      </c>
    </row>
    <row r="27" spans="1:13" hidden="1" x14ac:dyDescent="0.25">
      <c r="A27" s="1" t="s">
        <v>25</v>
      </c>
      <c r="B27" s="1">
        <f>VALUE(MID($A27,LEFT(RIGHT(B$1,1),1),1))*VLOOKUP(VALUE(RIGHT(B$1,2)),$O$1:$P$11,2,FALSE)</f>
        <v>8</v>
      </c>
      <c r="C27" s="1">
        <f>VALUE(MID($A27,LEFT(RIGHT(C$1,1),1),1))*VLOOKUP(VALUE(RIGHT(C$1,2)),$O$1:$P$11,2,FALSE)</f>
        <v>15</v>
      </c>
      <c r="D27" s="1">
        <f>VALUE(MID($A27,LEFT(RIGHT(D$1,1),1),1))*VLOOKUP(VALUE(RIGHT(D$1,2)),$O$1:$P$11,2,FALSE)</f>
        <v>0</v>
      </c>
      <c r="E27" s="1">
        <f>VALUE(MID($A27,LEFT(RIGHT(E$1,1),1),1))*VLOOKUP(VALUE(RIGHT(E$1,2)),$O$1:$P$11,2,FALSE)</f>
        <v>45</v>
      </c>
      <c r="F27" s="1">
        <f>VALUE(MID($A27,LEFT(RIGHT(F$1,1),1),1))*VLOOKUP(VALUE(RIGHT(F$1,2)),$O$1:$P$11,2,FALSE)</f>
        <v>2</v>
      </c>
      <c r="G27" s="1">
        <f>VALUE(MID($A27,LEFT(RIGHT(G$1,1),1),1))*VLOOKUP(VALUE(RIGHT(G$1,2)),$O$1:$P$11,2,FALSE)</f>
        <v>3</v>
      </c>
      <c r="H27" s="1">
        <f>VALUE(MID($A27,LEFT(RIGHT(H$1,1),1),1))*VLOOKUP(VALUE(RIGHT(H$1,2)),$O$1:$P$11,2,FALSE)</f>
        <v>21</v>
      </c>
      <c r="I27" s="1">
        <f>VALUE(MID($A27,LEFT(RIGHT(I$1,1),1),1))*VLOOKUP(VALUE(RIGHT(I$1,2)),$O$1:$P$11,2,FALSE)</f>
        <v>45</v>
      </c>
      <c r="J27" s="1">
        <f>VALUE(MID($A27,LEFT(RIGHT(J$1,1),1),1))*VLOOKUP(VALUE(RIGHT(J$1,2)),$O$1:$P$11,2,FALSE)</f>
        <v>6</v>
      </c>
      <c r="K27" s="1">
        <f>VALUE(MID($A27,10,1))*VLOOKUP(VALUE(RIGHT(K$1,2)),$O$1:$P$11,2,FALSE)</f>
        <v>21</v>
      </c>
      <c r="L27" s="1">
        <f>IF(MOD(SUM(pesel__26[[#This Row],[SUMA 1]:[SUMA 10]]),10)=0,0,10-MOD(SUM(pesel__26[[#This Row],[SUMA 1]:[SUMA 10]]),10))</f>
        <v>4</v>
      </c>
      <c r="M27" s="1">
        <f>IF(pesel__26[[#This Row],[CYFRA KONTROLNA]]=VALUE(RIGHT(A27,1)),0,1)</f>
        <v>0</v>
      </c>
    </row>
    <row r="28" spans="1:13" hidden="1" x14ac:dyDescent="0.25">
      <c r="A28" s="1" t="s">
        <v>26</v>
      </c>
      <c r="B28" s="1">
        <f>VALUE(MID($A28,LEFT(RIGHT(B$1,1),1),1))*VLOOKUP(VALUE(RIGHT(B$1,2)),$O$1:$P$11,2,FALSE)</f>
        <v>7</v>
      </c>
      <c r="C28" s="1">
        <f>VALUE(MID($A28,LEFT(RIGHT(C$1,1),1),1))*VLOOKUP(VALUE(RIGHT(C$1,2)),$O$1:$P$11,2,FALSE)</f>
        <v>0</v>
      </c>
      <c r="D28" s="1">
        <f>VALUE(MID($A28,LEFT(RIGHT(D$1,1),1),1))*VLOOKUP(VALUE(RIGHT(D$1,2)),$O$1:$P$11,2,FALSE)</f>
        <v>0</v>
      </c>
      <c r="E28" s="1">
        <f>VALUE(MID($A28,LEFT(RIGHT(E$1,1),1),1))*VLOOKUP(VALUE(RIGHT(E$1,2)),$O$1:$P$11,2,FALSE)</f>
        <v>45</v>
      </c>
      <c r="F28" s="1">
        <f>VALUE(MID($A28,LEFT(RIGHT(F$1,1),1),1))*VLOOKUP(VALUE(RIGHT(F$1,2)),$O$1:$P$11,2,FALSE)</f>
        <v>3</v>
      </c>
      <c r="G28" s="1">
        <f>VALUE(MID($A28,LEFT(RIGHT(G$1,1),1),1))*VLOOKUP(VALUE(RIGHT(G$1,2)),$O$1:$P$11,2,FALSE)</f>
        <v>3</v>
      </c>
      <c r="H28" s="1">
        <f>VALUE(MID($A28,LEFT(RIGHT(H$1,1),1),1))*VLOOKUP(VALUE(RIGHT(H$1,2)),$O$1:$P$11,2,FALSE)</f>
        <v>49</v>
      </c>
      <c r="I28" s="1">
        <f>VALUE(MID($A28,LEFT(RIGHT(I$1,1),1),1))*VLOOKUP(VALUE(RIGHT(I$1,2)),$O$1:$P$11,2,FALSE)</f>
        <v>81</v>
      </c>
      <c r="J28" s="1">
        <f>VALUE(MID($A28,LEFT(RIGHT(J$1,1),1),1))*VLOOKUP(VALUE(RIGHT(J$1,2)),$O$1:$P$11,2,FALSE)</f>
        <v>1</v>
      </c>
      <c r="K28" s="1">
        <f>VALUE(MID($A28,10,1))*VLOOKUP(VALUE(RIGHT(K$1,2)),$O$1:$P$11,2,FALSE)</f>
        <v>21</v>
      </c>
      <c r="L28" s="1">
        <f>IF(MOD(SUM(pesel__26[[#This Row],[SUMA 1]:[SUMA 10]]),10)=0,0,10-MOD(SUM(pesel__26[[#This Row],[SUMA 1]:[SUMA 10]]),10))</f>
        <v>0</v>
      </c>
      <c r="M28" s="1">
        <f>IF(pesel__26[[#This Row],[CYFRA KONTROLNA]]=VALUE(RIGHT(A28,1)),0,1)</f>
        <v>0</v>
      </c>
    </row>
    <row r="29" spans="1:13" hidden="1" x14ac:dyDescent="0.25">
      <c r="A29" s="1" t="s">
        <v>27</v>
      </c>
      <c r="B29" s="1">
        <f>VALUE(MID($A29,LEFT(RIGHT(B$1,1),1),1))*VLOOKUP(VALUE(RIGHT(B$1,2)),$O$1:$P$11,2,FALSE)</f>
        <v>8</v>
      </c>
      <c r="C29" s="1">
        <f>VALUE(MID($A29,LEFT(RIGHT(C$1,1),1),1))*VLOOKUP(VALUE(RIGHT(C$1,2)),$O$1:$P$11,2,FALSE)</f>
        <v>27</v>
      </c>
      <c r="D29" s="1">
        <f>VALUE(MID($A29,LEFT(RIGHT(D$1,1),1),1))*VLOOKUP(VALUE(RIGHT(D$1,2)),$O$1:$P$11,2,FALSE)</f>
        <v>0</v>
      </c>
      <c r="E29" s="1">
        <f>VALUE(MID($A29,LEFT(RIGHT(E$1,1),1),1))*VLOOKUP(VALUE(RIGHT(E$1,2)),$O$1:$P$11,2,FALSE)</f>
        <v>18</v>
      </c>
      <c r="F29" s="1">
        <f>VALUE(MID($A29,LEFT(RIGHT(F$1,1),1),1))*VLOOKUP(VALUE(RIGHT(F$1,2)),$O$1:$P$11,2,FALSE)</f>
        <v>1</v>
      </c>
      <c r="G29" s="1">
        <f>VALUE(MID($A29,LEFT(RIGHT(G$1,1),1),1))*VLOOKUP(VALUE(RIGHT(G$1,2)),$O$1:$P$11,2,FALSE)</f>
        <v>12</v>
      </c>
      <c r="H29" s="1">
        <f>VALUE(MID($A29,LEFT(RIGHT(H$1,1),1),1))*VLOOKUP(VALUE(RIGHT(H$1,2)),$O$1:$P$11,2,FALSE)</f>
        <v>42</v>
      </c>
      <c r="I29" s="1">
        <f>VALUE(MID($A29,LEFT(RIGHT(I$1,1),1),1))*VLOOKUP(VALUE(RIGHT(I$1,2)),$O$1:$P$11,2,FALSE)</f>
        <v>72</v>
      </c>
      <c r="J29" s="1">
        <f>VALUE(MID($A29,LEFT(RIGHT(J$1,1),1),1))*VLOOKUP(VALUE(RIGHT(J$1,2)),$O$1:$P$11,2,FALSE)</f>
        <v>4</v>
      </c>
      <c r="K29" s="1">
        <f>VALUE(MID($A29,10,1))*VLOOKUP(VALUE(RIGHT(K$1,2)),$O$1:$P$11,2,FALSE)</f>
        <v>3</v>
      </c>
      <c r="L29" s="1">
        <f>IF(MOD(SUM(pesel__26[[#This Row],[SUMA 1]:[SUMA 10]]),10)=0,0,10-MOD(SUM(pesel__26[[#This Row],[SUMA 1]:[SUMA 10]]),10))</f>
        <v>3</v>
      </c>
      <c r="M29" s="1">
        <f>IF(pesel__26[[#This Row],[CYFRA KONTROLNA]]=VALUE(RIGHT(A29,1)),0,1)</f>
        <v>0</v>
      </c>
    </row>
    <row r="30" spans="1:13" hidden="1" x14ac:dyDescent="0.25">
      <c r="A30" s="1" t="s">
        <v>28</v>
      </c>
      <c r="B30" s="1">
        <f>VALUE(MID($A30,LEFT(RIGHT(B$1,1),1),1))*VLOOKUP(VALUE(RIGHT(B$1,2)),$O$1:$P$11,2,FALSE)</f>
        <v>6</v>
      </c>
      <c r="C30" s="1">
        <f>VALUE(MID($A30,LEFT(RIGHT(C$1,1),1),1))*VLOOKUP(VALUE(RIGHT(C$1,2)),$O$1:$P$11,2,FALSE)</f>
        <v>12</v>
      </c>
      <c r="D30" s="1">
        <f>VALUE(MID($A30,LEFT(RIGHT(D$1,1),1),1))*VLOOKUP(VALUE(RIGHT(D$1,2)),$O$1:$P$11,2,FALSE)</f>
        <v>0</v>
      </c>
      <c r="E30" s="1">
        <f>VALUE(MID($A30,LEFT(RIGHT(E$1,1),1),1))*VLOOKUP(VALUE(RIGHT(E$1,2)),$O$1:$P$11,2,FALSE)</f>
        <v>36</v>
      </c>
      <c r="F30" s="1">
        <f>VALUE(MID($A30,LEFT(RIGHT(F$1,1),1),1))*VLOOKUP(VALUE(RIGHT(F$1,2)),$O$1:$P$11,2,FALSE)</f>
        <v>0</v>
      </c>
      <c r="G30" s="1">
        <f>VALUE(MID($A30,LEFT(RIGHT(G$1,1),1),1))*VLOOKUP(VALUE(RIGHT(G$1,2)),$O$1:$P$11,2,FALSE)</f>
        <v>27</v>
      </c>
      <c r="H30" s="1">
        <f>VALUE(MID($A30,LEFT(RIGHT(H$1,1),1),1))*VLOOKUP(VALUE(RIGHT(H$1,2)),$O$1:$P$11,2,FALSE)</f>
        <v>7</v>
      </c>
      <c r="I30" s="1">
        <f>VALUE(MID($A30,LEFT(RIGHT(I$1,1),1),1))*VLOOKUP(VALUE(RIGHT(I$1,2)),$O$1:$P$11,2,FALSE)</f>
        <v>81</v>
      </c>
      <c r="J30" s="1">
        <f>VALUE(MID($A30,LEFT(RIGHT(J$1,1),1),1))*VLOOKUP(VALUE(RIGHT(J$1,2)),$O$1:$P$11,2,FALSE)</f>
        <v>5</v>
      </c>
      <c r="K30" s="1">
        <f>VALUE(MID($A30,10,1))*VLOOKUP(VALUE(RIGHT(K$1,2)),$O$1:$P$11,2,FALSE)</f>
        <v>21</v>
      </c>
      <c r="L30" s="1">
        <f>IF(MOD(SUM(pesel__26[[#This Row],[SUMA 1]:[SUMA 10]]),10)=0,0,10-MOD(SUM(pesel__26[[#This Row],[SUMA 1]:[SUMA 10]]),10))</f>
        <v>5</v>
      </c>
      <c r="M30" s="1">
        <f>IF(pesel__26[[#This Row],[CYFRA KONTROLNA]]=VALUE(RIGHT(A30,1)),0,1)</f>
        <v>0</v>
      </c>
    </row>
    <row r="31" spans="1:13" hidden="1" x14ac:dyDescent="0.25">
      <c r="A31" s="1" t="s">
        <v>29</v>
      </c>
      <c r="B31" s="1">
        <f>VALUE(MID($A31,LEFT(RIGHT(B$1,1),1),1))*VLOOKUP(VALUE(RIGHT(B$1,2)),$O$1:$P$11,2,FALSE)</f>
        <v>6</v>
      </c>
      <c r="C31" s="1">
        <f>VALUE(MID($A31,LEFT(RIGHT(C$1,1),1),1))*VLOOKUP(VALUE(RIGHT(C$1,2)),$O$1:$P$11,2,FALSE)</f>
        <v>18</v>
      </c>
      <c r="D31" s="1">
        <f>VALUE(MID($A31,LEFT(RIGHT(D$1,1),1),1))*VLOOKUP(VALUE(RIGHT(D$1,2)),$O$1:$P$11,2,FALSE)</f>
        <v>7</v>
      </c>
      <c r="E31" s="1">
        <f>VALUE(MID($A31,LEFT(RIGHT(E$1,1),1),1))*VLOOKUP(VALUE(RIGHT(E$1,2)),$O$1:$P$11,2,FALSE)</f>
        <v>0</v>
      </c>
      <c r="F31" s="1">
        <f>VALUE(MID($A31,LEFT(RIGHT(F$1,1),1),1))*VLOOKUP(VALUE(RIGHT(F$1,2)),$O$1:$P$11,2,FALSE)</f>
        <v>0</v>
      </c>
      <c r="G31" s="1">
        <f>VALUE(MID($A31,LEFT(RIGHT(G$1,1),1),1))*VLOOKUP(VALUE(RIGHT(G$1,2)),$O$1:$P$11,2,FALSE)</f>
        <v>6</v>
      </c>
      <c r="H31" s="1">
        <f>VALUE(MID($A31,LEFT(RIGHT(H$1,1),1),1))*VLOOKUP(VALUE(RIGHT(H$1,2)),$O$1:$P$11,2,FALSE)</f>
        <v>63</v>
      </c>
      <c r="I31" s="1">
        <f>VALUE(MID($A31,LEFT(RIGHT(I$1,1),1),1))*VLOOKUP(VALUE(RIGHT(I$1,2)),$O$1:$P$11,2,FALSE)</f>
        <v>36</v>
      </c>
      <c r="J31" s="1">
        <f>VALUE(MID($A31,LEFT(RIGHT(J$1,1),1),1))*VLOOKUP(VALUE(RIGHT(J$1,2)),$O$1:$P$11,2,FALSE)</f>
        <v>1</v>
      </c>
      <c r="K31" s="1">
        <f>VALUE(MID($A31,10,1))*VLOOKUP(VALUE(RIGHT(K$1,2)),$O$1:$P$11,2,FALSE)</f>
        <v>9</v>
      </c>
      <c r="L31" s="1">
        <f>IF(MOD(SUM(pesel__26[[#This Row],[SUMA 1]:[SUMA 10]]),10)=0,0,10-MOD(SUM(pesel__26[[#This Row],[SUMA 1]:[SUMA 10]]),10))</f>
        <v>4</v>
      </c>
      <c r="M31" s="1">
        <f>IF(pesel__26[[#This Row],[CYFRA KONTROLNA]]=VALUE(RIGHT(A31,1)),0,1)</f>
        <v>0</v>
      </c>
    </row>
    <row r="32" spans="1:13" hidden="1" x14ac:dyDescent="0.25">
      <c r="A32" s="1" t="s">
        <v>30</v>
      </c>
      <c r="B32" s="1">
        <f>VALUE(MID($A32,LEFT(RIGHT(B$1,1),1),1))*VLOOKUP(VALUE(RIGHT(B$1,2)),$O$1:$P$11,2,FALSE)</f>
        <v>6</v>
      </c>
      <c r="C32" s="1">
        <f>VALUE(MID($A32,LEFT(RIGHT(C$1,1),1),1))*VLOOKUP(VALUE(RIGHT(C$1,2)),$O$1:$P$11,2,FALSE)</f>
        <v>9</v>
      </c>
      <c r="D32" s="1">
        <f>VALUE(MID($A32,LEFT(RIGHT(D$1,1),1),1))*VLOOKUP(VALUE(RIGHT(D$1,2)),$O$1:$P$11,2,FALSE)</f>
        <v>7</v>
      </c>
      <c r="E32" s="1">
        <f>VALUE(MID($A32,LEFT(RIGHT(E$1,1),1),1))*VLOOKUP(VALUE(RIGHT(E$1,2)),$O$1:$P$11,2,FALSE)</f>
        <v>0</v>
      </c>
      <c r="F32" s="1">
        <f>VALUE(MID($A32,LEFT(RIGHT(F$1,1),1),1))*VLOOKUP(VALUE(RIGHT(F$1,2)),$O$1:$P$11,2,FALSE)</f>
        <v>2</v>
      </c>
      <c r="G32" s="1">
        <f>VALUE(MID($A32,LEFT(RIGHT(G$1,1),1),1))*VLOOKUP(VALUE(RIGHT(G$1,2)),$O$1:$P$11,2,FALSE)</f>
        <v>0</v>
      </c>
      <c r="H32" s="1">
        <f>VALUE(MID($A32,LEFT(RIGHT(H$1,1),1),1))*VLOOKUP(VALUE(RIGHT(H$1,2)),$O$1:$P$11,2,FALSE)</f>
        <v>63</v>
      </c>
      <c r="I32" s="1">
        <f>VALUE(MID($A32,LEFT(RIGHT(I$1,1),1),1))*VLOOKUP(VALUE(RIGHT(I$1,2)),$O$1:$P$11,2,FALSE)</f>
        <v>18</v>
      </c>
      <c r="J32" s="1">
        <f>VALUE(MID($A32,LEFT(RIGHT(J$1,1),1),1))*VLOOKUP(VALUE(RIGHT(J$1,2)),$O$1:$P$11,2,FALSE)</f>
        <v>9</v>
      </c>
      <c r="K32" s="1">
        <f>VALUE(MID($A32,10,1))*VLOOKUP(VALUE(RIGHT(K$1,2)),$O$1:$P$11,2,FALSE)</f>
        <v>12</v>
      </c>
      <c r="L32" s="1">
        <f>IF(MOD(SUM(pesel__26[[#This Row],[SUMA 1]:[SUMA 10]]),10)=0,0,10-MOD(SUM(pesel__26[[#This Row],[SUMA 1]:[SUMA 10]]),10))</f>
        <v>4</v>
      </c>
      <c r="M32" s="1">
        <f>IF(pesel__26[[#This Row],[CYFRA KONTROLNA]]=VALUE(RIGHT(A32,1)),0,1)</f>
        <v>0</v>
      </c>
    </row>
    <row r="33" spans="1:13" hidden="1" x14ac:dyDescent="0.25">
      <c r="A33" s="1" t="s">
        <v>31</v>
      </c>
      <c r="B33" s="1">
        <f>VALUE(MID($A33,LEFT(RIGHT(B$1,1),1),1))*VLOOKUP(VALUE(RIGHT(B$1,2)),$O$1:$P$11,2,FALSE)</f>
        <v>8</v>
      </c>
      <c r="C33" s="1">
        <f>VALUE(MID($A33,LEFT(RIGHT(C$1,1),1),1))*VLOOKUP(VALUE(RIGHT(C$1,2)),$O$1:$P$11,2,FALSE)</f>
        <v>27</v>
      </c>
      <c r="D33" s="1">
        <f>VALUE(MID($A33,LEFT(RIGHT(D$1,1),1),1))*VLOOKUP(VALUE(RIGHT(D$1,2)),$O$1:$P$11,2,FALSE)</f>
        <v>0</v>
      </c>
      <c r="E33" s="1">
        <f>VALUE(MID($A33,LEFT(RIGHT(E$1,1),1),1))*VLOOKUP(VALUE(RIGHT(E$1,2)),$O$1:$P$11,2,FALSE)</f>
        <v>36</v>
      </c>
      <c r="F33" s="1">
        <f>VALUE(MID($A33,LEFT(RIGHT(F$1,1),1),1))*VLOOKUP(VALUE(RIGHT(F$1,2)),$O$1:$P$11,2,FALSE)</f>
        <v>0</v>
      </c>
      <c r="G33" s="1">
        <f>VALUE(MID($A33,LEFT(RIGHT(G$1,1),1),1))*VLOOKUP(VALUE(RIGHT(G$1,2)),$O$1:$P$11,2,FALSE)</f>
        <v>6</v>
      </c>
      <c r="H33" s="1">
        <f>VALUE(MID($A33,LEFT(RIGHT(H$1,1),1),1))*VLOOKUP(VALUE(RIGHT(H$1,2)),$O$1:$P$11,2,FALSE)</f>
        <v>0</v>
      </c>
      <c r="I33" s="1">
        <f>VALUE(MID($A33,LEFT(RIGHT(I$1,1),1),1))*VLOOKUP(VALUE(RIGHT(I$1,2)),$O$1:$P$11,2,FALSE)</f>
        <v>45</v>
      </c>
      <c r="J33" s="1">
        <f>VALUE(MID($A33,LEFT(RIGHT(J$1,1),1),1))*VLOOKUP(VALUE(RIGHT(J$1,2)),$O$1:$P$11,2,FALSE)</f>
        <v>4</v>
      </c>
      <c r="K33" s="1">
        <f>VALUE(MID($A33,10,1))*VLOOKUP(VALUE(RIGHT(K$1,2)),$O$1:$P$11,2,FALSE)</f>
        <v>24</v>
      </c>
      <c r="L33" s="1">
        <f>IF(MOD(SUM(pesel__26[[#This Row],[SUMA 1]:[SUMA 10]]),10)=0,0,10-MOD(SUM(pesel__26[[#This Row],[SUMA 1]:[SUMA 10]]),10))</f>
        <v>0</v>
      </c>
      <c r="M33" s="1">
        <f>IF(pesel__26[[#This Row],[CYFRA KONTROLNA]]=VALUE(RIGHT(A33,1)),0,1)</f>
        <v>0</v>
      </c>
    </row>
    <row r="34" spans="1:13" hidden="1" x14ac:dyDescent="0.25">
      <c r="A34" s="1" t="s">
        <v>32</v>
      </c>
      <c r="B34" s="1">
        <f>VALUE(MID($A34,LEFT(RIGHT(B$1,1),1),1))*VLOOKUP(VALUE(RIGHT(B$1,2)),$O$1:$P$11,2,FALSE)</f>
        <v>7</v>
      </c>
      <c r="C34" s="1">
        <f>VALUE(MID($A34,LEFT(RIGHT(C$1,1),1),1))*VLOOKUP(VALUE(RIGHT(C$1,2)),$O$1:$P$11,2,FALSE)</f>
        <v>12</v>
      </c>
      <c r="D34" s="1">
        <f>VALUE(MID($A34,LEFT(RIGHT(D$1,1),1),1))*VLOOKUP(VALUE(RIGHT(D$1,2)),$O$1:$P$11,2,FALSE)</f>
        <v>7</v>
      </c>
      <c r="E34" s="1">
        <f>VALUE(MID($A34,LEFT(RIGHT(E$1,1),1),1))*VLOOKUP(VALUE(RIGHT(E$1,2)),$O$1:$P$11,2,FALSE)</f>
        <v>18</v>
      </c>
      <c r="F34" s="1">
        <f>VALUE(MID($A34,LEFT(RIGHT(F$1,1),1),1))*VLOOKUP(VALUE(RIGHT(F$1,2)),$O$1:$P$11,2,FALSE)</f>
        <v>3</v>
      </c>
      <c r="G34" s="1">
        <f>VALUE(MID($A34,LEFT(RIGHT(G$1,1),1),1))*VLOOKUP(VALUE(RIGHT(G$1,2)),$O$1:$P$11,2,FALSE)</f>
        <v>3</v>
      </c>
      <c r="H34" s="1">
        <f>VALUE(MID($A34,LEFT(RIGHT(H$1,1),1),1))*VLOOKUP(VALUE(RIGHT(H$1,2)),$O$1:$P$11,2,FALSE)</f>
        <v>56</v>
      </c>
      <c r="I34" s="1">
        <f>VALUE(MID($A34,LEFT(RIGHT(I$1,1),1),1))*VLOOKUP(VALUE(RIGHT(I$1,2)),$O$1:$P$11,2,FALSE)</f>
        <v>36</v>
      </c>
      <c r="J34" s="1">
        <f>VALUE(MID($A34,LEFT(RIGHT(J$1,1),1),1))*VLOOKUP(VALUE(RIGHT(J$1,2)),$O$1:$P$11,2,FALSE)</f>
        <v>2</v>
      </c>
      <c r="K34" s="1">
        <f>VALUE(MID($A34,10,1))*VLOOKUP(VALUE(RIGHT(K$1,2)),$O$1:$P$11,2,FALSE)</f>
        <v>0</v>
      </c>
      <c r="L34" s="1">
        <f>IF(MOD(SUM(pesel__26[[#This Row],[SUMA 1]:[SUMA 10]]),10)=0,0,10-MOD(SUM(pesel__26[[#This Row],[SUMA 1]:[SUMA 10]]),10))</f>
        <v>6</v>
      </c>
      <c r="M34" s="1">
        <f>IF(pesel__26[[#This Row],[CYFRA KONTROLNA]]=VALUE(RIGHT(A34,1)),0,1)</f>
        <v>0</v>
      </c>
    </row>
    <row r="35" spans="1:13" hidden="1" x14ac:dyDescent="0.25">
      <c r="A35" s="1" t="s">
        <v>33</v>
      </c>
      <c r="B35" s="1">
        <f>VALUE(MID($A35,LEFT(RIGHT(B$1,1),1),1))*VLOOKUP(VALUE(RIGHT(B$1,2)),$O$1:$P$11,2,FALSE)</f>
        <v>8</v>
      </c>
      <c r="C35" s="1">
        <f>VALUE(MID($A35,LEFT(RIGHT(C$1,1),1),1))*VLOOKUP(VALUE(RIGHT(C$1,2)),$O$1:$P$11,2,FALSE)</f>
        <v>24</v>
      </c>
      <c r="D35" s="1">
        <f>VALUE(MID($A35,LEFT(RIGHT(D$1,1),1),1))*VLOOKUP(VALUE(RIGHT(D$1,2)),$O$1:$P$11,2,FALSE)</f>
        <v>0</v>
      </c>
      <c r="E35" s="1">
        <f>VALUE(MID($A35,LEFT(RIGHT(E$1,1),1),1))*VLOOKUP(VALUE(RIGHT(E$1,2)),$O$1:$P$11,2,FALSE)</f>
        <v>72</v>
      </c>
      <c r="F35" s="1">
        <f>VALUE(MID($A35,LEFT(RIGHT(F$1,1),1),1))*VLOOKUP(VALUE(RIGHT(F$1,2)),$O$1:$P$11,2,FALSE)</f>
        <v>0</v>
      </c>
      <c r="G35" s="1">
        <f>VALUE(MID($A35,LEFT(RIGHT(G$1,1),1),1))*VLOOKUP(VALUE(RIGHT(G$1,2)),$O$1:$P$11,2,FALSE)</f>
        <v>6</v>
      </c>
      <c r="H35" s="1">
        <f>VALUE(MID($A35,LEFT(RIGHT(H$1,1),1),1))*VLOOKUP(VALUE(RIGHT(H$1,2)),$O$1:$P$11,2,FALSE)</f>
        <v>0</v>
      </c>
      <c r="I35" s="1">
        <f>VALUE(MID($A35,LEFT(RIGHT(I$1,1),1),1))*VLOOKUP(VALUE(RIGHT(I$1,2)),$O$1:$P$11,2,FALSE)</f>
        <v>36</v>
      </c>
      <c r="J35" s="1">
        <f>VALUE(MID($A35,LEFT(RIGHT(J$1,1),1),1))*VLOOKUP(VALUE(RIGHT(J$1,2)),$O$1:$P$11,2,FALSE)</f>
        <v>5</v>
      </c>
      <c r="K35" s="1">
        <f>VALUE(MID($A35,10,1))*VLOOKUP(VALUE(RIGHT(K$1,2)),$O$1:$P$11,2,FALSE)</f>
        <v>0</v>
      </c>
      <c r="L35" s="1">
        <f>IF(MOD(SUM(pesel__26[[#This Row],[SUMA 1]:[SUMA 10]]),10)=0,0,10-MOD(SUM(pesel__26[[#This Row],[SUMA 1]:[SUMA 10]]),10))</f>
        <v>9</v>
      </c>
      <c r="M35" s="1">
        <f>IF(pesel__26[[#This Row],[CYFRA KONTROLNA]]=VALUE(RIGHT(A35,1)),0,1)</f>
        <v>0</v>
      </c>
    </row>
    <row r="36" spans="1:13" hidden="1" x14ac:dyDescent="0.25">
      <c r="A36" s="1" t="s">
        <v>34</v>
      </c>
      <c r="B36" s="1">
        <f>VALUE(MID($A36,LEFT(RIGHT(B$1,1),1),1))*VLOOKUP(VALUE(RIGHT(B$1,2)),$O$1:$P$11,2,FALSE)</f>
        <v>7</v>
      </c>
      <c r="C36" s="1">
        <f>VALUE(MID($A36,LEFT(RIGHT(C$1,1),1),1))*VLOOKUP(VALUE(RIGHT(C$1,2)),$O$1:$P$11,2,FALSE)</f>
        <v>0</v>
      </c>
      <c r="D36" s="1">
        <f>VALUE(MID($A36,LEFT(RIGHT(D$1,1),1),1))*VLOOKUP(VALUE(RIGHT(D$1,2)),$O$1:$P$11,2,FALSE)</f>
        <v>0</v>
      </c>
      <c r="E36" s="1">
        <f>VALUE(MID($A36,LEFT(RIGHT(E$1,1),1),1))*VLOOKUP(VALUE(RIGHT(E$1,2)),$O$1:$P$11,2,FALSE)</f>
        <v>27</v>
      </c>
      <c r="F36" s="1">
        <f>VALUE(MID($A36,LEFT(RIGHT(F$1,1),1),1))*VLOOKUP(VALUE(RIGHT(F$1,2)),$O$1:$P$11,2,FALSE)</f>
        <v>2</v>
      </c>
      <c r="G36" s="1">
        <f>VALUE(MID($A36,LEFT(RIGHT(G$1,1),1),1))*VLOOKUP(VALUE(RIGHT(G$1,2)),$O$1:$P$11,2,FALSE)</f>
        <v>0</v>
      </c>
      <c r="H36" s="1">
        <f>VALUE(MID($A36,LEFT(RIGHT(H$1,1),1),1))*VLOOKUP(VALUE(RIGHT(H$1,2)),$O$1:$P$11,2,FALSE)</f>
        <v>35</v>
      </c>
      <c r="I36" s="1">
        <f>VALUE(MID($A36,LEFT(RIGHT(I$1,1),1),1))*VLOOKUP(VALUE(RIGHT(I$1,2)),$O$1:$P$11,2,FALSE)</f>
        <v>63</v>
      </c>
      <c r="J36" s="1">
        <f>VALUE(MID($A36,LEFT(RIGHT(J$1,1),1),1))*VLOOKUP(VALUE(RIGHT(J$1,2)),$O$1:$P$11,2,FALSE)</f>
        <v>4</v>
      </c>
      <c r="K36" s="1">
        <f>VALUE(MID($A36,10,1))*VLOOKUP(VALUE(RIGHT(K$1,2)),$O$1:$P$11,2,FALSE)</f>
        <v>9</v>
      </c>
      <c r="L36" s="1">
        <f>IF(MOD(SUM(pesel__26[[#This Row],[SUMA 1]:[SUMA 10]]),10)=0,0,10-MOD(SUM(pesel__26[[#This Row],[SUMA 1]:[SUMA 10]]),10))</f>
        <v>3</v>
      </c>
      <c r="M36" s="1">
        <f>IF(pesel__26[[#This Row],[CYFRA KONTROLNA]]=VALUE(RIGHT(A36,1)),0,1)</f>
        <v>0</v>
      </c>
    </row>
    <row r="37" spans="1:13" x14ac:dyDescent="0.25">
      <c r="A37" s="1" t="s">
        <v>20</v>
      </c>
      <c r="B37" s="1">
        <f>VALUE(MID($A37,LEFT(RIGHT(B$1,1),1),1))*VLOOKUP(VALUE(RIGHT(B$1,2)),$O$1:$P$11,2,FALSE)</f>
        <v>8</v>
      </c>
      <c r="C37" s="1">
        <f>VALUE(MID($A37,LEFT(RIGHT(C$1,1),1),1))*VLOOKUP(VALUE(RIGHT(C$1,2)),$O$1:$P$11,2,FALSE)</f>
        <v>9</v>
      </c>
      <c r="D37" s="1">
        <f>VALUE(MID($A37,LEFT(RIGHT(D$1,1),1),1))*VLOOKUP(VALUE(RIGHT(D$1,2)),$O$1:$P$11,2,FALSE)</f>
        <v>0</v>
      </c>
      <c r="E37" s="1">
        <f>VALUE(MID($A37,LEFT(RIGHT(E$1,1),1),1))*VLOOKUP(VALUE(RIGHT(E$1,2)),$O$1:$P$11,2,FALSE)</f>
        <v>36</v>
      </c>
      <c r="F37" s="1">
        <f>VALUE(MID($A37,LEFT(RIGHT(F$1,1),1),1))*VLOOKUP(VALUE(RIGHT(F$1,2)),$O$1:$P$11,2,FALSE)</f>
        <v>1</v>
      </c>
      <c r="G37" s="1">
        <f>VALUE(MID($A37,LEFT(RIGHT(G$1,1),1),1))*VLOOKUP(VALUE(RIGHT(G$1,2)),$O$1:$P$11,2,FALSE)</f>
        <v>24</v>
      </c>
      <c r="H37" s="1">
        <f>VALUE(MID($A37,LEFT(RIGHT(H$1,1),1),1))*VLOOKUP(VALUE(RIGHT(H$1,2)),$O$1:$P$11,2,FALSE)</f>
        <v>7</v>
      </c>
      <c r="I37" s="1">
        <f>VALUE(MID($A37,LEFT(RIGHT(I$1,1),1),1))*VLOOKUP(VALUE(RIGHT(I$1,2)),$O$1:$P$11,2,FALSE)</f>
        <v>18</v>
      </c>
      <c r="J37" s="1">
        <f>VALUE(MID($A37,LEFT(RIGHT(J$1,1),1),1))*VLOOKUP(VALUE(RIGHT(J$1,2)),$O$1:$P$11,2,FALSE)</f>
        <v>3</v>
      </c>
      <c r="K37" s="1">
        <f>VALUE(MID($A37,10,1))*VLOOKUP(VALUE(RIGHT(K$1,2)),$O$1:$P$11,2,FALSE)</f>
        <v>9</v>
      </c>
      <c r="L37" s="1">
        <f>IF(MOD(SUM(pesel__26[[#This Row],[SUMA 1]:[SUMA 10]]),10)=0,0,10-MOD(SUM(pesel__26[[#This Row],[SUMA 1]:[SUMA 10]]),10))</f>
        <v>5</v>
      </c>
      <c r="M37" s="1">
        <f>IF(pesel__26[[#This Row],[CYFRA KONTROLNA]]=VALUE(RIGHT(A37,1)),0,1)</f>
        <v>1</v>
      </c>
    </row>
    <row r="38" spans="1:13" hidden="1" x14ac:dyDescent="0.25">
      <c r="A38" s="1" t="s">
        <v>36</v>
      </c>
      <c r="B38" s="1">
        <f>VALUE(MID($A38,LEFT(RIGHT(B$1,1),1),1))*VLOOKUP(VALUE(RIGHT(B$1,2)),$O$1:$P$11,2,FALSE)</f>
        <v>6</v>
      </c>
      <c r="C38" s="1">
        <f>VALUE(MID($A38,LEFT(RIGHT(C$1,1),1),1))*VLOOKUP(VALUE(RIGHT(C$1,2)),$O$1:$P$11,2,FALSE)</f>
        <v>18</v>
      </c>
      <c r="D38" s="1">
        <f>VALUE(MID($A38,LEFT(RIGHT(D$1,1),1),1))*VLOOKUP(VALUE(RIGHT(D$1,2)),$O$1:$P$11,2,FALSE)</f>
        <v>7</v>
      </c>
      <c r="E38" s="1">
        <f>VALUE(MID($A38,LEFT(RIGHT(E$1,1),1),1))*VLOOKUP(VALUE(RIGHT(E$1,2)),$O$1:$P$11,2,FALSE)</f>
        <v>9</v>
      </c>
      <c r="F38" s="1">
        <f>VALUE(MID($A38,LEFT(RIGHT(F$1,1),1),1))*VLOOKUP(VALUE(RIGHT(F$1,2)),$O$1:$P$11,2,FALSE)</f>
        <v>3</v>
      </c>
      <c r="G38" s="1">
        <f>VALUE(MID($A38,LEFT(RIGHT(G$1,1),1),1))*VLOOKUP(VALUE(RIGHT(G$1,2)),$O$1:$P$11,2,FALSE)</f>
        <v>3</v>
      </c>
      <c r="H38" s="1">
        <f>VALUE(MID($A38,LEFT(RIGHT(H$1,1),1),1))*VLOOKUP(VALUE(RIGHT(H$1,2)),$O$1:$P$11,2,FALSE)</f>
        <v>56</v>
      </c>
      <c r="I38" s="1">
        <f>VALUE(MID($A38,LEFT(RIGHT(I$1,1),1),1))*VLOOKUP(VALUE(RIGHT(I$1,2)),$O$1:$P$11,2,FALSE)</f>
        <v>27</v>
      </c>
      <c r="J38" s="1">
        <f>VALUE(MID($A38,LEFT(RIGHT(J$1,1),1),1))*VLOOKUP(VALUE(RIGHT(J$1,2)),$O$1:$P$11,2,FALSE)</f>
        <v>9</v>
      </c>
      <c r="K38" s="1">
        <f>VALUE(MID($A38,10,1))*VLOOKUP(VALUE(RIGHT(K$1,2)),$O$1:$P$11,2,FALSE)</f>
        <v>27</v>
      </c>
      <c r="L38" s="1">
        <f>IF(MOD(SUM(pesel__26[[#This Row],[SUMA 1]:[SUMA 10]]),10)=0,0,10-MOD(SUM(pesel__26[[#This Row],[SUMA 1]:[SUMA 10]]),10))</f>
        <v>5</v>
      </c>
      <c r="M38" s="1">
        <f>IF(pesel__26[[#This Row],[CYFRA KONTROLNA]]=VALUE(RIGHT(A38,1)),0,1)</f>
        <v>0</v>
      </c>
    </row>
    <row r="39" spans="1:13" hidden="1" x14ac:dyDescent="0.25">
      <c r="A39" s="1" t="s">
        <v>37</v>
      </c>
      <c r="B39" s="1">
        <f>VALUE(MID($A39,LEFT(RIGHT(B$1,1),1),1))*VLOOKUP(VALUE(RIGHT(B$1,2)),$O$1:$P$11,2,FALSE)</f>
        <v>5</v>
      </c>
      <c r="C39" s="1">
        <f>VALUE(MID($A39,LEFT(RIGHT(C$1,1),1),1))*VLOOKUP(VALUE(RIGHT(C$1,2)),$O$1:$P$11,2,FALSE)</f>
        <v>18</v>
      </c>
      <c r="D39" s="1">
        <f>VALUE(MID($A39,LEFT(RIGHT(D$1,1),1),1))*VLOOKUP(VALUE(RIGHT(D$1,2)),$O$1:$P$11,2,FALSE)</f>
        <v>7</v>
      </c>
      <c r="E39" s="1">
        <f>VALUE(MID($A39,LEFT(RIGHT(E$1,1),1),1))*VLOOKUP(VALUE(RIGHT(E$1,2)),$O$1:$P$11,2,FALSE)</f>
        <v>9</v>
      </c>
      <c r="F39" s="1">
        <f>VALUE(MID($A39,LEFT(RIGHT(F$1,1),1),1))*VLOOKUP(VALUE(RIGHT(F$1,2)),$O$1:$P$11,2,FALSE)</f>
        <v>1</v>
      </c>
      <c r="G39" s="1">
        <f>VALUE(MID($A39,LEFT(RIGHT(G$1,1),1),1))*VLOOKUP(VALUE(RIGHT(G$1,2)),$O$1:$P$11,2,FALSE)</f>
        <v>3</v>
      </c>
      <c r="H39" s="1">
        <f>VALUE(MID($A39,LEFT(RIGHT(H$1,1),1),1))*VLOOKUP(VALUE(RIGHT(H$1,2)),$O$1:$P$11,2,FALSE)</f>
        <v>42</v>
      </c>
      <c r="I39" s="1">
        <f>VALUE(MID($A39,LEFT(RIGHT(I$1,1),1),1))*VLOOKUP(VALUE(RIGHT(I$1,2)),$O$1:$P$11,2,FALSE)</f>
        <v>9</v>
      </c>
      <c r="J39" s="1">
        <f>VALUE(MID($A39,LEFT(RIGHT(J$1,1),1),1))*VLOOKUP(VALUE(RIGHT(J$1,2)),$O$1:$P$11,2,FALSE)</f>
        <v>5</v>
      </c>
      <c r="K39" s="1">
        <f>VALUE(MID($A39,10,1))*VLOOKUP(VALUE(RIGHT(K$1,2)),$O$1:$P$11,2,FALSE)</f>
        <v>12</v>
      </c>
      <c r="L39" s="1">
        <f>IF(MOD(SUM(pesel__26[[#This Row],[SUMA 1]:[SUMA 10]]),10)=0,0,10-MOD(SUM(pesel__26[[#This Row],[SUMA 1]:[SUMA 10]]),10))</f>
        <v>9</v>
      </c>
      <c r="M39" s="1">
        <f>IF(pesel__26[[#This Row],[CYFRA KONTROLNA]]=VALUE(RIGHT(A39,1)),0,1)</f>
        <v>0</v>
      </c>
    </row>
    <row r="40" spans="1:13" hidden="1" x14ac:dyDescent="0.25">
      <c r="A40" s="1" t="s">
        <v>38</v>
      </c>
      <c r="B40" s="1">
        <f>VALUE(MID($A40,LEFT(RIGHT(B$1,1),1),1))*VLOOKUP(VALUE(RIGHT(B$1,2)),$O$1:$P$11,2,FALSE)</f>
        <v>7</v>
      </c>
      <c r="C40" s="1">
        <f>VALUE(MID($A40,LEFT(RIGHT(C$1,1),1),1))*VLOOKUP(VALUE(RIGHT(C$1,2)),$O$1:$P$11,2,FALSE)</f>
        <v>24</v>
      </c>
      <c r="D40" s="1">
        <f>VALUE(MID($A40,LEFT(RIGHT(D$1,1),1),1))*VLOOKUP(VALUE(RIGHT(D$1,2)),$O$1:$P$11,2,FALSE)</f>
        <v>7</v>
      </c>
      <c r="E40" s="1">
        <f>VALUE(MID($A40,LEFT(RIGHT(E$1,1),1),1))*VLOOKUP(VALUE(RIGHT(E$1,2)),$O$1:$P$11,2,FALSE)</f>
        <v>0</v>
      </c>
      <c r="F40" s="1">
        <f>VALUE(MID($A40,LEFT(RIGHT(F$1,1),1),1))*VLOOKUP(VALUE(RIGHT(F$1,2)),$O$1:$P$11,2,FALSE)</f>
        <v>3</v>
      </c>
      <c r="G40" s="1">
        <f>VALUE(MID($A40,LEFT(RIGHT(G$1,1),1),1))*VLOOKUP(VALUE(RIGHT(G$1,2)),$O$1:$P$11,2,FALSE)</f>
        <v>3</v>
      </c>
      <c r="H40" s="1">
        <f>VALUE(MID($A40,LEFT(RIGHT(H$1,1),1),1))*VLOOKUP(VALUE(RIGHT(H$1,2)),$O$1:$P$11,2,FALSE)</f>
        <v>56</v>
      </c>
      <c r="I40" s="1">
        <f>VALUE(MID($A40,LEFT(RIGHT(I$1,1),1),1))*VLOOKUP(VALUE(RIGHT(I$1,2)),$O$1:$P$11,2,FALSE)</f>
        <v>72</v>
      </c>
      <c r="J40" s="1">
        <f>VALUE(MID($A40,LEFT(RIGHT(J$1,1),1),1))*VLOOKUP(VALUE(RIGHT(J$1,2)),$O$1:$P$11,2,FALSE)</f>
        <v>6</v>
      </c>
      <c r="K40" s="1">
        <f>VALUE(MID($A40,10,1))*VLOOKUP(VALUE(RIGHT(K$1,2)),$O$1:$P$11,2,FALSE)</f>
        <v>27</v>
      </c>
      <c r="L40" s="1">
        <f>IF(MOD(SUM(pesel__26[[#This Row],[SUMA 1]:[SUMA 10]]),10)=0,0,10-MOD(SUM(pesel__26[[#This Row],[SUMA 1]:[SUMA 10]]),10))</f>
        <v>5</v>
      </c>
      <c r="M40" s="1">
        <f>IF(pesel__26[[#This Row],[CYFRA KONTROLNA]]=VALUE(RIGHT(A40,1)),0,1)</f>
        <v>0</v>
      </c>
    </row>
    <row r="41" spans="1:13" hidden="1" x14ac:dyDescent="0.25">
      <c r="A41" s="1" t="s">
        <v>39</v>
      </c>
      <c r="B41" s="1">
        <f>VALUE(MID($A41,LEFT(RIGHT(B$1,1),1),1))*VLOOKUP(VALUE(RIGHT(B$1,2)),$O$1:$P$11,2,FALSE)</f>
        <v>8</v>
      </c>
      <c r="C41" s="1">
        <f>VALUE(MID($A41,LEFT(RIGHT(C$1,1),1),1))*VLOOKUP(VALUE(RIGHT(C$1,2)),$O$1:$P$11,2,FALSE)</f>
        <v>24</v>
      </c>
      <c r="D41" s="1">
        <f>VALUE(MID($A41,LEFT(RIGHT(D$1,1),1),1))*VLOOKUP(VALUE(RIGHT(D$1,2)),$O$1:$P$11,2,FALSE)</f>
        <v>0</v>
      </c>
      <c r="E41" s="1">
        <f>VALUE(MID($A41,LEFT(RIGHT(E$1,1),1),1))*VLOOKUP(VALUE(RIGHT(E$1,2)),$O$1:$P$11,2,FALSE)</f>
        <v>72</v>
      </c>
      <c r="F41" s="1">
        <f>VALUE(MID($A41,LEFT(RIGHT(F$1,1),1),1))*VLOOKUP(VALUE(RIGHT(F$1,2)),$O$1:$P$11,2,FALSE)</f>
        <v>0</v>
      </c>
      <c r="G41" s="1">
        <f>VALUE(MID($A41,LEFT(RIGHT(G$1,1),1),1))*VLOOKUP(VALUE(RIGHT(G$1,2)),$O$1:$P$11,2,FALSE)</f>
        <v>18</v>
      </c>
      <c r="H41" s="1">
        <f>VALUE(MID($A41,LEFT(RIGHT(H$1,1),1),1))*VLOOKUP(VALUE(RIGHT(H$1,2)),$O$1:$P$11,2,FALSE)</f>
        <v>0</v>
      </c>
      <c r="I41" s="1">
        <f>VALUE(MID($A41,LEFT(RIGHT(I$1,1),1),1))*VLOOKUP(VALUE(RIGHT(I$1,2)),$O$1:$P$11,2,FALSE)</f>
        <v>9</v>
      </c>
      <c r="J41" s="1">
        <f>VALUE(MID($A41,LEFT(RIGHT(J$1,1),1),1))*VLOOKUP(VALUE(RIGHT(J$1,2)),$O$1:$P$11,2,FALSE)</f>
        <v>9</v>
      </c>
      <c r="K41" s="1">
        <f>VALUE(MID($A41,10,1))*VLOOKUP(VALUE(RIGHT(K$1,2)),$O$1:$P$11,2,FALSE)</f>
        <v>12</v>
      </c>
      <c r="L41" s="1">
        <f>IF(MOD(SUM(pesel__26[[#This Row],[SUMA 1]:[SUMA 10]]),10)=0,0,10-MOD(SUM(pesel__26[[#This Row],[SUMA 1]:[SUMA 10]]),10))</f>
        <v>8</v>
      </c>
      <c r="M41" s="1">
        <f>IF(pesel__26[[#This Row],[CYFRA KONTROLNA]]=VALUE(RIGHT(A41,1)),0,1)</f>
        <v>0</v>
      </c>
    </row>
    <row r="42" spans="1:13" hidden="1" x14ac:dyDescent="0.25">
      <c r="A42" s="1" t="s">
        <v>40</v>
      </c>
      <c r="B42" s="1">
        <f>VALUE(MID($A42,LEFT(RIGHT(B$1,1),1),1))*VLOOKUP(VALUE(RIGHT(B$1,2)),$O$1:$P$11,2,FALSE)</f>
        <v>7</v>
      </c>
      <c r="C42" s="1">
        <f>VALUE(MID($A42,LEFT(RIGHT(C$1,1),1),1))*VLOOKUP(VALUE(RIGHT(C$1,2)),$O$1:$P$11,2,FALSE)</f>
        <v>3</v>
      </c>
      <c r="D42" s="1">
        <f>VALUE(MID($A42,LEFT(RIGHT(D$1,1),1),1))*VLOOKUP(VALUE(RIGHT(D$1,2)),$O$1:$P$11,2,FALSE)</f>
        <v>0</v>
      </c>
      <c r="E42" s="1">
        <f>VALUE(MID($A42,LEFT(RIGHT(E$1,1),1),1))*VLOOKUP(VALUE(RIGHT(E$1,2)),$O$1:$P$11,2,FALSE)</f>
        <v>81</v>
      </c>
      <c r="F42" s="1">
        <f>VALUE(MID($A42,LEFT(RIGHT(F$1,1),1),1))*VLOOKUP(VALUE(RIGHT(F$1,2)),$O$1:$P$11,2,FALSE)</f>
        <v>3</v>
      </c>
      <c r="G42" s="1">
        <f>VALUE(MID($A42,LEFT(RIGHT(G$1,1),1),1))*VLOOKUP(VALUE(RIGHT(G$1,2)),$O$1:$P$11,2,FALSE)</f>
        <v>0</v>
      </c>
      <c r="H42" s="1">
        <f>VALUE(MID($A42,LEFT(RIGHT(H$1,1),1),1))*VLOOKUP(VALUE(RIGHT(H$1,2)),$O$1:$P$11,2,FALSE)</f>
        <v>35</v>
      </c>
      <c r="I42" s="1">
        <f>VALUE(MID($A42,LEFT(RIGHT(I$1,1),1),1))*VLOOKUP(VALUE(RIGHT(I$1,2)),$O$1:$P$11,2,FALSE)</f>
        <v>72</v>
      </c>
      <c r="J42" s="1">
        <f>VALUE(MID($A42,LEFT(RIGHT(J$1,1),1),1))*VLOOKUP(VALUE(RIGHT(J$1,2)),$O$1:$P$11,2,FALSE)</f>
        <v>8</v>
      </c>
      <c r="K42" s="1">
        <f>VALUE(MID($A42,10,1))*VLOOKUP(VALUE(RIGHT(K$1,2)),$O$1:$P$11,2,FALSE)</f>
        <v>15</v>
      </c>
      <c r="L42" s="1">
        <f>IF(MOD(SUM(pesel__26[[#This Row],[SUMA 1]:[SUMA 10]]),10)=0,0,10-MOD(SUM(pesel__26[[#This Row],[SUMA 1]:[SUMA 10]]),10))</f>
        <v>6</v>
      </c>
      <c r="M42" s="1">
        <f>IF(pesel__26[[#This Row],[CYFRA KONTROLNA]]=VALUE(RIGHT(A42,1)),0,1)</f>
        <v>0</v>
      </c>
    </row>
    <row r="43" spans="1:13" hidden="1" x14ac:dyDescent="0.25">
      <c r="A43" s="1" t="s">
        <v>41</v>
      </c>
      <c r="B43" s="1">
        <f>VALUE(MID($A43,LEFT(RIGHT(B$1,1),1),1))*VLOOKUP(VALUE(RIGHT(B$1,2)),$O$1:$P$11,2,FALSE)</f>
        <v>6</v>
      </c>
      <c r="C43" s="1">
        <f>VALUE(MID($A43,LEFT(RIGHT(C$1,1),1),1))*VLOOKUP(VALUE(RIGHT(C$1,2)),$O$1:$P$11,2,FALSE)</f>
        <v>12</v>
      </c>
      <c r="D43" s="1">
        <f>VALUE(MID($A43,LEFT(RIGHT(D$1,1),1),1))*VLOOKUP(VALUE(RIGHT(D$1,2)),$O$1:$P$11,2,FALSE)</f>
        <v>0</v>
      </c>
      <c r="E43" s="1">
        <f>VALUE(MID($A43,LEFT(RIGHT(E$1,1),1),1))*VLOOKUP(VALUE(RIGHT(E$1,2)),$O$1:$P$11,2,FALSE)</f>
        <v>18</v>
      </c>
      <c r="F43" s="1">
        <f>VALUE(MID($A43,LEFT(RIGHT(F$1,1),1),1))*VLOOKUP(VALUE(RIGHT(F$1,2)),$O$1:$P$11,2,FALSE)</f>
        <v>2</v>
      </c>
      <c r="G43" s="1">
        <f>VALUE(MID($A43,LEFT(RIGHT(G$1,1),1),1))*VLOOKUP(VALUE(RIGHT(G$1,2)),$O$1:$P$11,2,FALSE)</f>
        <v>9</v>
      </c>
      <c r="H43" s="1">
        <f>VALUE(MID($A43,LEFT(RIGHT(H$1,1),1),1))*VLOOKUP(VALUE(RIGHT(H$1,2)),$O$1:$P$11,2,FALSE)</f>
        <v>0</v>
      </c>
      <c r="I43" s="1">
        <f>VALUE(MID($A43,LEFT(RIGHT(I$1,1),1),1))*VLOOKUP(VALUE(RIGHT(I$1,2)),$O$1:$P$11,2,FALSE)</f>
        <v>9</v>
      </c>
      <c r="J43" s="1">
        <f>VALUE(MID($A43,LEFT(RIGHT(J$1,1),1),1))*VLOOKUP(VALUE(RIGHT(J$1,2)),$O$1:$P$11,2,FALSE)</f>
        <v>4</v>
      </c>
      <c r="K43" s="1">
        <f>VALUE(MID($A43,10,1))*VLOOKUP(VALUE(RIGHT(K$1,2)),$O$1:$P$11,2,FALSE)</f>
        <v>15</v>
      </c>
      <c r="L43" s="1">
        <f>IF(MOD(SUM(pesel__26[[#This Row],[SUMA 1]:[SUMA 10]]),10)=0,0,10-MOD(SUM(pesel__26[[#This Row],[SUMA 1]:[SUMA 10]]),10))</f>
        <v>5</v>
      </c>
      <c r="M43" s="1">
        <f>IF(pesel__26[[#This Row],[CYFRA KONTROLNA]]=VALUE(RIGHT(A43,1)),0,1)</f>
        <v>0</v>
      </c>
    </row>
    <row r="44" spans="1:13" hidden="1" x14ac:dyDescent="0.25">
      <c r="A44" s="1" t="s">
        <v>42</v>
      </c>
      <c r="B44" s="1">
        <f>VALUE(MID($A44,LEFT(RIGHT(B$1,1),1),1))*VLOOKUP(VALUE(RIGHT(B$1,2)),$O$1:$P$11,2,FALSE)</f>
        <v>6</v>
      </c>
      <c r="C44" s="1">
        <f>VALUE(MID($A44,LEFT(RIGHT(C$1,1),1),1))*VLOOKUP(VALUE(RIGHT(C$1,2)),$O$1:$P$11,2,FALSE)</f>
        <v>15</v>
      </c>
      <c r="D44" s="1">
        <f>VALUE(MID($A44,LEFT(RIGHT(D$1,1),1),1))*VLOOKUP(VALUE(RIGHT(D$1,2)),$O$1:$P$11,2,FALSE)</f>
        <v>7</v>
      </c>
      <c r="E44" s="1">
        <f>VALUE(MID($A44,LEFT(RIGHT(E$1,1),1),1))*VLOOKUP(VALUE(RIGHT(E$1,2)),$O$1:$P$11,2,FALSE)</f>
        <v>0</v>
      </c>
      <c r="F44" s="1">
        <f>VALUE(MID($A44,LEFT(RIGHT(F$1,1),1),1))*VLOOKUP(VALUE(RIGHT(F$1,2)),$O$1:$P$11,2,FALSE)</f>
        <v>2</v>
      </c>
      <c r="G44" s="1">
        <f>VALUE(MID($A44,LEFT(RIGHT(G$1,1),1),1))*VLOOKUP(VALUE(RIGHT(G$1,2)),$O$1:$P$11,2,FALSE)</f>
        <v>0</v>
      </c>
      <c r="H44" s="1">
        <f>VALUE(MID($A44,LEFT(RIGHT(H$1,1),1),1))*VLOOKUP(VALUE(RIGHT(H$1,2)),$O$1:$P$11,2,FALSE)</f>
        <v>56</v>
      </c>
      <c r="I44" s="1">
        <f>VALUE(MID($A44,LEFT(RIGHT(I$1,1),1),1))*VLOOKUP(VALUE(RIGHT(I$1,2)),$O$1:$P$11,2,FALSE)</f>
        <v>54</v>
      </c>
      <c r="J44" s="1">
        <f>VALUE(MID($A44,LEFT(RIGHT(J$1,1),1),1))*VLOOKUP(VALUE(RIGHT(J$1,2)),$O$1:$P$11,2,FALSE)</f>
        <v>1</v>
      </c>
      <c r="K44" s="1">
        <f>VALUE(MID($A44,10,1))*VLOOKUP(VALUE(RIGHT(K$1,2)),$O$1:$P$11,2,FALSE)</f>
        <v>3</v>
      </c>
      <c r="L44" s="1">
        <f>IF(MOD(SUM(pesel__26[[#This Row],[SUMA 1]:[SUMA 10]]),10)=0,0,10-MOD(SUM(pesel__26[[#This Row],[SUMA 1]:[SUMA 10]]),10))</f>
        <v>6</v>
      </c>
      <c r="M44" s="1">
        <f>IF(pesel__26[[#This Row],[CYFRA KONTROLNA]]=VALUE(RIGHT(A44,1)),0,1)</f>
        <v>0</v>
      </c>
    </row>
    <row r="45" spans="1:13" hidden="1" x14ac:dyDescent="0.25">
      <c r="A45" s="1" t="s">
        <v>43</v>
      </c>
      <c r="B45" s="1">
        <f>VALUE(MID($A45,LEFT(RIGHT(B$1,1),1),1))*VLOOKUP(VALUE(RIGHT(B$1,2)),$O$1:$P$11,2,FALSE)</f>
        <v>6</v>
      </c>
      <c r="C45" s="1">
        <f>VALUE(MID($A45,LEFT(RIGHT(C$1,1),1),1))*VLOOKUP(VALUE(RIGHT(C$1,2)),$O$1:$P$11,2,FALSE)</f>
        <v>24</v>
      </c>
      <c r="D45" s="1">
        <f>VALUE(MID($A45,LEFT(RIGHT(D$1,1),1),1))*VLOOKUP(VALUE(RIGHT(D$1,2)),$O$1:$P$11,2,FALSE)</f>
        <v>7</v>
      </c>
      <c r="E45" s="1">
        <f>VALUE(MID($A45,LEFT(RIGHT(E$1,1),1),1))*VLOOKUP(VALUE(RIGHT(E$1,2)),$O$1:$P$11,2,FALSE)</f>
        <v>9</v>
      </c>
      <c r="F45" s="1">
        <f>VALUE(MID($A45,LEFT(RIGHT(F$1,1),1),1))*VLOOKUP(VALUE(RIGHT(F$1,2)),$O$1:$P$11,2,FALSE)</f>
        <v>2</v>
      </c>
      <c r="G45" s="1">
        <f>VALUE(MID($A45,LEFT(RIGHT(G$1,1),1),1))*VLOOKUP(VALUE(RIGHT(G$1,2)),$O$1:$P$11,2,FALSE)</f>
        <v>3</v>
      </c>
      <c r="H45" s="1">
        <f>VALUE(MID($A45,LEFT(RIGHT(H$1,1),1),1))*VLOOKUP(VALUE(RIGHT(H$1,2)),$O$1:$P$11,2,FALSE)</f>
        <v>7</v>
      </c>
      <c r="I45" s="1">
        <f>VALUE(MID($A45,LEFT(RIGHT(I$1,1),1),1))*VLOOKUP(VALUE(RIGHT(I$1,2)),$O$1:$P$11,2,FALSE)</f>
        <v>63</v>
      </c>
      <c r="J45" s="1">
        <f>VALUE(MID($A45,LEFT(RIGHT(J$1,1),1),1))*VLOOKUP(VALUE(RIGHT(J$1,2)),$O$1:$P$11,2,FALSE)</f>
        <v>5</v>
      </c>
      <c r="K45" s="1">
        <f>VALUE(MID($A45,10,1))*VLOOKUP(VALUE(RIGHT(K$1,2)),$O$1:$P$11,2,FALSE)</f>
        <v>27</v>
      </c>
      <c r="L45" s="1">
        <f>IF(MOD(SUM(pesel__26[[#This Row],[SUMA 1]:[SUMA 10]]),10)=0,0,10-MOD(SUM(pesel__26[[#This Row],[SUMA 1]:[SUMA 10]]),10))</f>
        <v>7</v>
      </c>
      <c r="M45" s="1">
        <f>IF(pesel__26[[#This Row],[CYFRA KONTROLNA]]=VALUE(RIGHT(A45,1)),0,1)</f>
        <v>0</v>
      </c>
    </row>
    <row r="46" spans="1:13" hidden="1" x14ac:dyDescent="0.25">
      <c r="A46" s="1" t="s">
        <v>44</v>
      </c>
      <c r="B46" s="1">
        <f>VALUE(MID($A46,LEFT(RIGHT(B$1,1),1),1))*VLOOKUP(VALUE(RIGHT(B$1,2)),$O$1:$P$11,2,FALSE)</f>
        <v>7</v>
      </c>
      <c r="C46" s="1">
        <f>VALUE(MID($A46,LEFT(RIGHT(C$1,1),1),1))*VLOOKUP(VALUE(RIGHT(C$1,2)),$O$1:$P$11,2,FALSE)</f>
        <v>0</v>
      </c>
      <c r="D46" s="1">
        <f>VALUE(MID($A46,LEFT(RIGHT(D$1,1),1),1))*VLOOKUP(VALUE(RIGHT(D$1,2)),$O$1:$P$11,2,FALSE)</f>
        <v>7</v>
      </c>
      <c r="E46" s="1">
        <f>VALUE(MID($A46,LEFT(RIGHT(E$1,1),1),1))*VLOOKUP(VALUE(RIGHT(E$1,2)),$O$1:$P$11,2,FALSE)</f>
        <v>0</v>
      </c>
      <c r="F46" s="1">
        <f>VALUE(MID($A46,LEFT(RIGHT(F$1,1),1),1))*VLOOKUP(VALUE(RIGHT(F$1,2)),$O$1:$P$11,2,FALSE)</f>
        <v>1</v>
      </c>
      <c r="G46" s="1">
        <f>VALUE(MID($A46,LEFT(RIGHT(G$1,1),1),1))*VLOOKUP(VALUE(RIGHT(G$1,2)),$O$1:$P$11,2,FALSE)</f>
        <v>3</v>
      </c>
      <c r="H46" s="1">
        <f>VALUE(MID($A46,LEFT(RIGHT(H$1,1),1),1))*VLOOKUP(VALUE(RIGHT(H$1,2)),$O$1:$P$11,2,FALSE)</f>
        <v>63</v>
      </c>
      <c r="I46" s="1">
        <f>VALUE(MID($A46,LEFT(RIGHT(I$1,1),1),1))*VLOOKUP(VALUE(RIGHT(I$1,2)),$O$1:$P$11,2,FALSE)</f>
        <v>45</v>
      </c>
      <c r="J46" s="1">
        <f>VALUE(MID($A46,LEFT(RIGHT(J$1,1),1),1))*VLOOKUP(VALUE(RIGHT(J$1,2)),$O$1:$P$11,2,FALSE)</f>
        <v>4</v>
      </c>
      <c r="K46" s="1">
        <f>VALUE(MID($A46,10,1))*VLOOKUP(VALUE(RIGHT(K$1,2)),$O$1:$P$11,2,FALSE)</f>
        <v>24</v>
      </c>
      <c r="L46" s="1">
        <f>IF(MOD(SUM(pesel__26[[#This Row],[SUMA 1]:[SUMA 10]]),10)=0,0,10-MOD(SUM(pesel__26[[#This Row],[SUMA 1]:[SUMA 10]]),10))</f>
        <v>6</v>
      </c>
      <c r="M46" s="1">
        <f>IF(pesel__26[[#This Row],[CYFRA KONTROLNA]]=VALUE(RIGHT(A46,1)),0,1)</f>
        <v>0</v>
      </c>
    </row>
    <row r="47" spans="1:13" hidden="1" x14ac:dyDescent="0.25">
      <c r="A47" s="1" t="s">
        <v>45</v>
      </c>
      <c r="B47" s="1">
        <f>VALUE(MID($A47,LEFT(RIGHT(B$1,1),1),1))*VLOOKUP(VALUE(RIGHT(B$1,2)),$O$1:$P$11,2,FALSE)</f>
        <v>7</v>
      </c>
      <c r="C47" s="1">
        <f>VALUE(MID($A47,LEFT(RIGHT(C$1,1),1),1))*VLOOKUP(VALUE(RIGHT(C$1,2)),$O$1:$P$11,2,FALSE)</f>
        <v>21</v>
      </c>
      <c r="D47" s="1">
        <f>VALUE(MID($A47,LEFT(RIGHT(D$1,1),1),1))*VLOOKUP(VALUE(RIGHT(D$1,2)),$O$1:$P$11,2,FALSE)</f>
        <v>7</v>
      </c>
      <c r="E47" s="1">
        <f>VALUE(MID($A47,LEFT(RIGHT(E$1,1),1),1))*VLOOKUP(VALUE(RIGHT(E$1,2)),$O$1:$P$11,2,FALSE)</f>
        <v>9</v>
      </c>
      <c r="F47" s="1">
        <f>VALUE(MID($A47,LEFT(RIGHT(F$1,1),1),1))*VLOOKUP(VALUE(RIGHT(F$1,2)),$O$1:$P$11,2,FALSE)</f>
        <v>1</v>
      </c>
      <c r="G47" s="1">
        <f>VALUE(MID($A47,LEFT(RIGHT(G$1,1),1),1))*VLOOKUP(VALUE(RIGHT(G$1,2)),$O$1:$P$11,2,FALSE)</f>
        <v>0</v>
      </c>
      <c r="H47" s="1">
        <f>VALUE(MID($A47,LEFT(RIGHT(H$1,1),1),1))*VLOOKUP(VALUE(RIGHT(H$1,2)),$O$1:$P$11,2,FALSE)</f>
        <v>56</v>
      </c>
      <c r="I47" s="1">
        <f>VALUE(MID($A47,LEFT(RIGHT(I$1,1),1),1))*VLOOKUP(VALUE(RIGHT(I$1,2)),$O$1:$P$11,2,FALSE)</f>
        <v>36</v>
      </c>
      <c r="J47" s="1">
        <f>VALUE(MID($A47,LEFT(RIGHT(J$1,1),1),1))*VLOOKUP(VALUE(RIGHT(J$1,2)),$O$1:$P$11,2,FALSE)</f>
        <v>8</v>
      </c>
      <c r="K47" s="1">
        <f>VALUE(MID($A47,10,1))*VLOOKUP(VALUE(RIGHT(K$1,2)),$O$1:$P$11,2,FALSE)</f>
        <v>15</v>
      </c>
      <c r="L47" s="1">
        <f>IF(MOD(SUM(pesel__26[[#This Row],[SUMA 1]:[SUMA 10]]),10)=0,0,10-MOD(SUM(pesel__26[[#This Row],[SUMA 1]:[SUMA 10]]),10))</f>
        <v>0</v>
      </c>
      <c r="M47" s="1">
        <f>IF(pesel__26[[#This Row],[CYFRA KONTROLNA]]=VALUE(RIGHT(A47,1)),0,1)</f>
        <v>0</v>
      </c>
    </row>
    <row r="48" spans="1:13" hidden="1" x14ac:dyDescent="0.25">
      <c r="A48" s="1" t="s">
        <v>46</v>
      </c>
      <c r="B48" s="1">
        <f>VALUE(MID($A48,LEFT(RIGHT(B$1,1),1),1))*VLOOKUP(VALUE(RIGHT(B$1,2)),$O$1:$P$11,2,FALSE)</f>
        <v>7</v>
      </c>
      <c r="C48" s="1">
        <f>VALUE(MID($A48,LEFT(RIGHT(C$1,1),1),1))*VLOOKUP(VALUE(RIGHT(C$1,2)),$O$1:$P$11,2,FALSE)</f>
        <v>24</v>
      </c>
      <c r="D48" s="1">
        <f>VALUE(MID($A48,LEFT(RIGHT(D$1,1),1),1))*VLOOKUP(VALUE(RIGHT(D$1,2)),$O$1:$P$11,2,FALSE)</f>
        <v>7</v>
      </c>
      <c r="E48" s="1">
        <f>VALUE(MID($A48,LEFT(RIGHT(E$1,1),1),1))*VLOOKUP(VALUE(RIGHT(E$1,2)),$O$1:$P$11,2,FALSE)</f>
        <v>18</v>
      </c>
      <c r="F48" s="1">
        <f>VALUE(MID($A48,LEFT(RIGHT(F$1,1),1),1))*VLOOKUP(VALUE(RIGHT(F$1,2)),$O$1:$P$11,2,FALSE)</f>
        <v>3</v>
      </c>
      <c r="G48" s="1">
        <f>VALUE(MID($A48,LEFT(RIGHT(G$1,1),1),1))*VLOOKUP(VALUE(RIGHT(G$1,2)),$O$1:$P$11,2,FALSE)</f>
        <v>3</v>
      </c>
      <c r="H48" s="1">
        <f>VALUE(MID($A48,LEFT(RIGHT(H$1,1),1),1))*VLOOKUP(VALUE(RIGHT(H$1,2)),$O$1:$P$11,2,FALSE)</f>
        <v>56</v>
      </c>
      <c r="I48" s="1">
        <f>VALUE(MID($A48,LEFT(RIGHT(I$1,1),1),1))*VLOOKUP(VALUE(RIGHT(I$1,2)),$O$1:$P$11,2,FALSE)</f>
        <v>81</v>
      </c>
      <c r="J48" s="1">
        <f>VALUE(MID($A48,LEFT(RIGHT(J$1,1),1),1))*VLOOKUP(VALUE(RIGHT(J$1,2)),$O$1:$P$11,2,FALSE)</f>
        <v>0</v>
      </c>
      <c r="K48" s="1">
        <f>VALUE(MID($A48,10,1))*VLOOKUP(VALUE(RIGHT(K$1,2)),$O$1:$P$11,2,FALSE)</f>
        <v>3</v>
      </c>
      <c r="L48" s="1">
        <f>IF(MOD(SUM(pesel__26[[#This Row],[SUMA 1]:[SUMA 10]]),10)=0,0,10-MOD(SUM(pesel__26[[#This Row],[SUMA 1]:[SUMA 10]]),10))</f>
        <v>8</v>
      </c>
      <c r="M48" s="1">
        <f>IF(pesel__26[[#This Row],[CYFRA KONTROLNA]]=VALUE(RIGHT(A48,1)),0,1)</f>
        <v>0</v>
      </c>
    </row>
    <row r="49" spans="1:13" hidden="1" x14ac:dyDescent="0.25">
      <c r="A49" s="1" t="s">
        <v>47</v>
      </c>
      <c r="B49" s="1">
        <f>VALUE(MID($A49,LEFT(RIGHT(B$1,1),1),1))*VLOOKUP(VALUE(RIGHT(B$1,2)),$O$1:$P$11,2,FALSE)</f>
        <v>7</v>
      </c>
      <c r="C49" s="1">
        <f>VALUE(MID($A49,LEFT(RIGHT(C$1,1),1),1))*VLOOKUP(VALUE(RIGHT(C$1,2)),$O$1:$P$11,2,FALSE)</f>
        <v>27</v>
      </c>
      <c r="D49" s="1">
        <f>VALUE(MID($A49,LEFT(RIGHT(D$1,1),1),1))*VLOOKUP(VALUE(RIGHT(D$1,2)),$O$1:$P$11,2,FALSE)</f>
        <v>7</v>
      </c>
      <c r="E49" s="1">
        <f>VALUE(MID($A49,LEFT(RIGHT(E$1,1),1),1))*VLOOKUP(VALUE(RIGHT(E$1,2)),$O$1:$P$11,2,FALSE)</f>
        <v>9</v>
      </c>
      <c r="F49" s="1">
        <f>VALUE(MID($A49,LEFT(RIGHT(F$1,1),1),1))*VLOOKUP(VALUE(RIGHT(F$1,2)),$O$1:$P$11,2,FALSE)</f>
        <v>0</v>
      </c>
      <c r="G49" s="1">
        <f>VALUE(MID($A49,LEFT(RIGHT(G$1,1),1),1))*VLOOKUP(VALUE(RIGHT(G$1,2)),$O$1:$P$11,2,FALSE)</f>
        <v>18</v>
      </c>
      <c r="H49" s="1">
        <f>VALUE(MID($A49,LEFT(RIGHT(H$1,1),1),1))*VLOOKUP(VALUE(RIGHT(H$1,2)),$O$1:$P$11,2,FALSE)</f>
        <v>49</v>
      </c>
      <c r="I49" s="1">
        <f>VALUE(MID($A49,LEFT(RIGHT(I$1,1),1),1))*VLOOKUP(VALUE(RIGHT(I$1,2)),$O$1:$P$11,2,FALSE)</f>
        <v>27</v>
      </c>
      <c r="J49" s="1">
        <f>VALUE(MID($A49,LEFT(RIGHT(J$1,1),1),1))*VLOOKUP(VALUE(RIGHT(J$1,2)),$O$1:$P$11,2,FALSE)</f>
        <v>7</v>
      </c>
      <c r="K49" s="1">
        <f>VALUE(MID($A49,10,1))*VLOOKUP(VALUE(RIGHT(K$1,2)),$O$1:$P$11,2,FALSE)</f>
        <v>0</v>
      </c>
      <c r="L49" s="1">
        <f>IF(MOD(SUM(pesel__26[[#This Row],[SUMA 1]:[SUMA 10]]),10)=0,0,10-MOD(SUM(pesel__26[[#This Row],[SUMA 1]:[SUMA 10]]),10))</f>
        <v>9</v>
      </c>
      <c r="M49" s="1">
        <f>IF(pesel__26[[#This Row],[CYFRA KONTROLNA]]=VALUE(RIGHT(A49,1)),0,1)</f>
        <v>0</v>
      </c>
    </row>
    <row r="50" spans="1:13" hidden="1" x14ac:dyDescent="0.25">
      <c r="A50" s="1" t="s">
        <v>48</v>
      </c>
      <c r="B50" s="1">
        <f>VALUE(MID($A50,LEFT(RIGHT(B$1,1),1),1))*VLOOKUP(VALUE(RIGHT(B$1,2)),$O$1:$P$11,2,FALSE)</f>
        <v>7</v>
      </c>
      <c r="C50" s="1">
        <f>VALUE(MID($A50,LEFT(RIGHT(C$1,1),1),1))*VLOOKUP(VALUE(RIGHT(C$1,2)),$O$1:$P$11,2,FALSE)</f>
        <v>12</v>
      </c>
      <c r="D50" s="1">
        <f>VALUE(MID($A50,LEFT(RIGHT(D$1,1),1),1))*VLOOKUP(VALUE(RIGHT(D$1,2)),$O$1:$P$11,2,FALSE)</f>
        <v>7</v>
      </c>
      <c r="E50" s="1">
        <f>VALUE(MID($A50,LEFT(RIGHT(E$1,1),1),1))*VLOOKUP(VALUE(RIGHT(E$1,2)),$O$1:$P$11,2,FALSE)</f>
        <v>18</v>
      </c>
      <c r="F50" s="1">
        <f>VALUE(MID($A50,LEFT(RIGHT(F$1,1),1),1))*VLOOKUP(VALUE(RIGHT(F$1,2)),$O$1:$P$11,2,FALSE)</f>
        <v>0</v>
      </c>
      <c r="G50" s="1">
        <f>VALUE(MID($A50,LEFT(RIGHT(G$1,1),1),1))*VLOOKUP(VALUE(RIGHT(G$1,2)),$O$1:$P$11,2,FALSE)</f>
        <v>6</v>
      </c>
      <c r="H50" s="1">
        <f>VALUE(MID($A50,LEFT(RIGHT(H$1,1),1),1))*VLOOKUP(VALUE(RIGHT(H$1,2)),$O$1:$P$11,2,FALSE)</f>
        <v>56</v>
      </c>
      <c r="I50" s="1">
        <f>VALUE(MID($A50,LEFT(RIGHT(I$1,1),1),1))*VLOOKUP(VALUE(RIGHT(I$1,2)),$O$1:$P$11,2,FALSE)</f>
        <v>36</v>
      </c>
      <c r="J50" s="1">
        <f>VALUE(MID($A50,LEFT(RIGHT(J$1,1),1),1))*VLOOKUP(VALUE(RIGHT(J$1,2)),$O$1:$P$11,2,FALSE)</f>
        <v>5</v>
      </c>
      <c r="K50" s="1">
        <f>VALUE(MID($A50,10,1))*VLOOKUP(VALUE(RIGHT(K$1,2)),$O$1:$P$11,2,FALSE)</f>
        <v>12</v>
      </c>
      <c r="L50" s="1">
        <f>IF(MOD(SUM(pesel__26[[#This Row],[SUMA 1]:[SUMA 10]]),10)=0,0,10-MOD(SUM(pesel__26[[#This Row],[SUMA 1]:[SUMA 10]]),10))</f>
        <v>1</v>
      </c>
      <c r="M50" s="1">
        <f>IF(pesel__26[[#This Row],[CYFRA KONTROLNA]]=VALUE(RIGHT(A50,1)),0,1)</f>
        <v>0</v>
      </c>
    </row>
    <row r="51" spans="1:13" hidden="1" x14ac:dyDescent="0.25">
      <c r="A51" s="1" t="s">
        <v>49</v>
      </c>
      <c r="B51" s="1">
        <f>VALUE(MID($A51,LEFT(RIGHT(B$1,1),1),1))*VLOOKUP(VALUE(RIGHT(B$1,2)),$O$1:$P$11,2,FALSE)</f>
        <v>8</v>
      </c>
      <c r="C51" s="1">
        <f>VALUE(MID($A51,LEFT(RIGHT(C$1,1),1),1))*VLOOKUP(VALUE(RIGHT(C$1,2)),$O$1:$P$11,2,FALSE)</f>
        <v>27</v>
      </c>
      <c r="D51" s="1">
        <f>VALUE(MID($A51,LEFT(RIGHT(D$1,1),1),1))*VLOOKUP(VALUE(RIGHT(D$1,2)),$O$1:$P$11,2,FALSE)</f>
        <v>0</v>
      </c>
      <c r="E51" s="1">
        <f>VALUE(MID($A51,LEFT(RIGHT(E$1,1),1),1))*VLOOKUP(VALUE(RIGHT(E$1,2)),$O$1:$P$11,2,FALSE)</f>
        <v>72</v>
      </c>
      <c r="F51" s="1">
        <f>VALUE(MID($A51,LEFT(RIGHT(F$1,1),1),1))*VLOOKUP(VALUE(RIGHT(F$1,2)),$O$1:$P$11,2,FALSE)</f>
        <v>2</v>
      </c>
      <c r="G51" s="1">
        <f>VALUE(MID($A51,LEFT(RIGHT(G$1,1),1),1))*VLOOKUP(VALUE(RIGHT(G$1,2)),$O$1:$P$11,2,FALSE)</f>
        <v>3</v>
      </c>
      <c r="H51" s="1">
        <f>VALUE(MID($A51,LEFT(RIGHT(H$1,1),1),1))*VLOOKUP(VALUE(RIGHT(H$1,2)),$O$1:$P$11,2,FALSE)</f>
        <v>49</v>
      </c>
      <c r="I51" s="1">
        <f>VALUE(MID($A51,LEFT(RIGHT(I$1,1),1),1))*VLOOKUP(VALUE(RIGHT(I$1,2)),$O$1:$P$11,2,FALSE)</f>
        <v>81</v>
      </c>
      <c r="J51" s="1">
        <f>VALUE(MID($A51,LEFT(RIGHT(J$1,1),1),1))*VLOOKUP(VALUE(RIGHT(J$1,2)),$O$1:$P$11,2,FALSE)</f>
        <v>8</v>
      </c>
      <c r="K51" s="1">
        <f>VALUE(MID($A51,10,1))*VLOOKUP(VALUE(RIGHT(K$1,2)),$O$1:$P$11,2,FALSE)</f>
        <v>21</v>
      </c>
      <c r="L51" s="1">
        <f>IF(MOD(SUM(pesel__26[[#This Row],[SUMA 1]:[SUMA 10]]),10)=0,0,10-MOD(SUM(pesel__26[[#This Row],[SUMA 1]:[SUMA 10]]),10))</f>
        <v>9</v>
      </c>
      <c r="M51" s="1">
        <f>IF(pesel__26[[#This Row],[CYFRA KONTROLNA]]=VALUE(RIGHT(A51,1)),0,1)</f>
        <v>0</v>
      </c>
    </row>
    <row r="52" spans="1:13" hidden="1" x14ac:dyDescent="0.25">
      <c r="A52" s="1" t="s">
        <v>50</v>
      </c>
      <c r="B52" s="1">
        <f>VALUE(MID($A52,LEFT(RIGHT(B$1,1),1),1))*VLOOKUP(VALUE(RIGHT(B$1,2)),$O$1:$P$11,2,FALSE)</f>
        <v>8</v>
      </c>
      <c r="C52" s="1">
        <f>VALUE(MID($A52,LEFT(RIGHT(C$1,1),1),1))*VLOOKUP(VALUE(RIGHT(C$1,2)),$O$1:$P$11,2,FALSE)</f>
        <v>18</v>
      </c>
      <c r="D52" s="1">
        <f>VALUE(MID($A52,LEFT(RIGHT(D$1,1),1),1))*VLOOKUP(VALUE(RIGHT(D$1,2)),$O$1:$P$11,2,FALSE)</f>
        <v>0</v>
      </c>
      <c r="E52" s="1">
        <f>VALUE(MID($A52,LEFT(RIGHT(E$1,1),1),1))*VLOOKUP(VALUE(RIGHT(E$1,2)),$O$1:$P$11,2,FALSE)</f>
        <v>63</v>
      </c>
      <c r="F52" s="1">
        <f>VALUE(MID($A52,LEFT(RIGHT(F$1,1),1),1))*VLOOKUP(VALUE(RIGHT(F$1,2)),$O$1:$P$11,2,FALSE)</f>
        <v>0</v>
      </c>
      <c r="G52" s="1">
        <f>VALUE(MID($A52,LEFT(RIGHT(G$1,1),1),1))*VLOOKUP(VALUE(RIGHT(G$1,2)),$O$1:$P$11,2,FALSE)</f>
        <v>18</v>
      </c>
      <c r="H52" s="1">
        <f>VALUE(MID($A52,LEFT(RIGHT(H$1,1),1),1))*VLOOKUP(VALUE(RIGHT(H$1,2)),$O$1:$P$11,2,FALSE)</f>
        <v>21</v>
      </c>
      <c r="I52" s="1">
        <f>VALUE(MID($A52,LEFT(RIGHT(I$1,1),1),1))*VLOOKUP(VALUE(RIGHT(I$1,2)),$O$1:$P$11,2,FALSE)</f>
        <v>0</v>
      </c>
      <c r="J52" s="1">
        <f>VALUE(MID($A52,LEFT(RIGHT(J$1,1),1),1))*VLOOKUP(VALUE(RIGHT(J$1,2)),$O$1:$P$11,2,FALSE)</f>
        <v>5</v>
      </c>
      <c r="K52" s="1">
        <f>VALUE(MID($A52,10,1))*VLOOKUP(VALUE(RIGHT(K$1,2)),$O$1:$P$11,2,FALSE)</f>
        <v>24</v>
      </c>
      <c r="L52" s="1">
        <f>IF(MOD(SUM(pesel__26[[#This Row],[SUMA 1]:[SUMA 10]]),10)=0,0,10-MOD(SUM(pesel__26[[#This Row],[SUMA 1]:[SUMA 10]]),10))</f>
        <v>3</v>
      </c>
      <c r="M52" s="1">
        <f>IF(pesel__26[[#This Row],[CYFRA KONTROLNA]]=VALUE(RIGHT(A52,1)),0,1)</f>
        <v>0</v>
      </c>
    </row>
    <row r="53" spans="1:13" hidden="1" x14ac:dyDescent="0.25">
      <c r="A53" s="1" t="s">
        <v>51</v>
      </c>
      <c r="B53" s="1">
        <f>VALUE(MID($A53,LEFT(RIGHT(B$1,1),1),1))*VLOOKUP(VALUE(RIGHT(B$1,2)),$O$1:$P$11,2,FALSE)</f>
        <v>6</v>
      </c>
      <c r="C53" s="1">
        <f>VALUE(MID($A53,LEFT(RIGHT(C$1,1),1),1))*VLOOKUP(VALUE(RIGHT(C$1,2)),$O$1:$P$11,2,FALSE)</f>
        <v>9</v>
      </c>
      <c r="D53" s="1">
        <f>VALUE(MID($A53,LEFT(RIGHT(D$1,1),1),1))*VLOOKUP(VALUE(RIGHT(D$1,2)),$O$1:$P$11,2,FALSE)</f>
        <v>7</v>
      </c>
      <c r="E53" s="1">
        <f>VALUE(MID($A53,LEFT(RIGHT(E$1,1),1),1))*VLOOKUP(VALUE(RIGHT(E$1,2)),$O$1:$P$11,2,FALSE)</f>
        <v>18</v>
      </c>
      <c r="F53" s="1">
        <f>VALUE(MID($A53,LEFT(RIGHT(F$1,1),1),1))*VLOOKUP(VALUE(RIGHT(F$1,2)),$O$1:$P$11,2,FALSE)</f>
        <v>2</v>
      </c>
      <c r="G53" s="1">
        <f>VALUE(MID($A53,LEFT(RIGHT(G$1,1),1),1))*VLOOKUP(VALUE(RIGHT(G$1,2)),$O$1:$P$11,2,FALSE)</f>
        <v>21</v>
      </c>
      <c r="H53" s="1">
        <f>VALUE(MID($A53,LEFT(RIGHT(H$1,1),1),1))*VLOOKUP(VALUE(RIGHT(H$1,2)),$O$1:$P$11,2,FALSE)</f>
        <v>35</v>
      </c>
      <c r="I53" s="1">
        <f>VALUE(MID($A53,LEFT(RIGHT(I$1,1),1),1))*VLOOKUP(VALUE(RIGHT(I$1,2)),$O$1:$P$11,2,FALSE)</f>
        <v>45</v>
      </c>
      <c r="J53" s="1">
        <f>VALUE(MID($A53,LEFT(RIGHT(J$1,1),1),1))*VLOOKUP(VALUE(RIGHT(J$1,2)),$O$1:$P$11,2,FALSE)</f>
        <v>1</v>
      </c>
      <c r="K53" s="1">
        <f>VALUE(MID($A53,10,1))*VLOOKUP(VALUE(RIGHT(K$1,2)),$O$1:$P$11,2,FALSE)</f>
        <v>24</v>
      </c>
      <c r="L53" s="1">
        <f>IF(MOD(SUM(pesel__26[[#This Row],[SUMA 1]:[SUMA 10]]),10)=0,0,10-MOD(SUM(pesel__26[[#This Row],[SUMA 1]:[SUMA 10]]),10))</f>
        <v>2</v>
      </c>
      <c r="M53" s="1">
        <f>IF(pesel__26[[#This Row],[CYFRA KONTROLNA]]=VALUE(RIGHT(A53,1)),0,1)</f>
        <v>0</v>
      </c>
    </row>
    <row r="54" spans="1:13" hidden="1" x14ac:dyDescent="0.25">
      <c r="A54" s="1" t="s">
        <v>52</v>
      </c>
      <c r="B54" s="1">
        <f>VALUE(MID($A54,LEFT(RIGHT(B$1,1),1),1))*VLOOKUP(VALUE(RIGHT(B$1,2)),$O$1:$P$11,2,FALSE)</f>
        <v>9</v>
      </c>
      <c r="C54" s="1">
        <f>VALUE(MID($A54,LEFT(RIGHT(C$1,1),1),1))*VLOOKUP(VALUE(RIGHT(C$1,2)),$O$1:$P$11,2,FALSE)</f>
        <v>0</v>
      </c>
      <c r="D54" s="1">
        <f>VALUE(MID($A54,LEFT(RIGHT(D$1,1),1),1))*VLOOKUP(VALUE(RIGHT(D$1,2)),$O$1:$P$11,2,FALSE)</f>
        <v>7</v>
      </c>
      <c r="E54" s="1">
        <f>VALUE(MID($A54,LEFT(RIGHT(E$1,1),1),1))*VLOOKUP(VALUE(RIGHT(E$1,2)),$O$1:$P$11,2,FALSE)</f>
        <v>9</v>
      </c>
      <c r="F54" s="1">
        <f>VALUE(MID($A54,LEFT(RIGHT(F$1,1),1),1))*VLOOKUP(VALUE(RIGHT(F$1,2)),$O$1:$P$11,2,FALSE)</f>
        <v>2</v>
      </c>
      <c r="G54" s="1">
        <f>VALUE(MID($A54,LEFT(RIGHT(G$1,1),1),1))*VLOOKUP(VALUE(RIGHT(G$1,2)),$O$1:$P$11,2,FALSE)</f>
        <v>0</v>
      </c>
      <c r="H54" s="1">
        <f>VALUE(MID($A54,LEFT(RIGHT(H$1,1),1),1))*VLOOKUP(VALUE(RIGHT(H$1,2)),$O$1:$P$11,2,FALSE)</f>
        <v>0</v>
      </c>
      <c r="I54" s="1">
        <f>VALUE(MID($A54,LEFT(RIGHT(I$1,1),1),1))*VLOOKUP(VALUE(RIGHT(I$1,2)),$O$1:$P$11,2,FALSE)</f>
        <v>36</v>
      </c>
      <c r="J54" s="1">
        <f>VALUE(MID($A54,LEFT(RIGHT(J$1,1),1),1))*VLOOKUP(VALUE(RIGHT(J$1,2)),$O$1:$P$11,2,FALSE)</f>
        <v>3</v>
      </c>
      <c r="K54" s="1">
        <f>VALUE(MID($A54,10,1))*VLOOKUP(VALUE(RIGHT(K$1,2)),$O$1:$P$11,2,FALSE)</f>
        <v>21</v>
      </c>
      <c r="L54" s="1">
        <f>IF(MOD(SUM(pesel__26[[#This Row],[SUMA 1]:[SUMA 10]]),10)=0,0,10-MOD(SUM(pesel__26[[#This Row],[SUMA 1]:[SUMA 10]]),10))</f>
        <v>3</v>
      </c>
      <c r="M54" s="1">
        <f>IF(pesel__26[[#This Row],[CYFRA KONTROLNA]]=VALUE(RIGHT(A54,1)),0,1)</f>
        <v>0</v>
      </c>
    </row>
    <row r="55" spans="1:13" x14ac:dyDescent="0.25">
      <c r="A55" s="1" t="s">
        <v>35</v>
      </c>
      <c r="B55" s="1">
        <f>VALUE(MID($A55,LEFT(RIGHT(B$1,1),1),1))*VLOOKUP(VALUE(RIGHT(B$1,2)),$O$1:$P$11,2,FALSE)</f>
        <v>8</v>
      </c>
      <c r="C55" s="1">
        <f>VALUE(MID($A55,LEFT(RIGHT(C$1,1),1),1))*VLOOKUP(VALUE(RIGHT(C$1,2)),$O$1:$P$11,2,FALSE)</f>
        <v>27</v>
      </c>
      <c r="D55" s="1">
        <f>VALUE(MID($A55,LEFT(RIGHT(D$1,1),1),1))*VLOOKUP(VALUE(RIGHT(D$1,2)),$O$1:$P$11,2,FALSE)</f>
        <v>0</v>
      </c>
      <c r="E55" s="1">
        <f>VALUE(MID($A55,LEFT(RIGHT(E$1,1),1),1))*VLOOKUP(VALUE(RIGHT(E$1,2)),$O$1:$P$11,2,FALSE)</f>
        <v>72</v>
      </c>
      <c r="F55" s="1">
        <f>VALUE(MID($A55,LEFT(RIGHT(F$1,1),1),1))*VLOOKUP(VALUE(RIGHT(F$1,2)),$O$1:$P$11,2,FALSE)</f>
        <v>1</v>
      </c>
      <c r="G55" s="1">
        <f>VALUE(MID($A55,LEFT(RIGHT(G$1,1),1),1))*VLOOKUP(VALUE(RIGHT(G$1,2)),$O$1:$P$11,2,FALSE)</f>
        <v>12</v>
      </c>
      <c r="H55" s="1">
        <f>VALUE(MID($A55,LEFT(RIGHT(H$1,1),1),1))*VLOOKUP(VALUE(RIGHT(H$1,2)),$O$1:$P$11,2,FALSE)</f>
        <v>14</v>
      </c>
      <c r="I55" s="1">
        <f>VALUE(MID($A55,LEFT(RIGHT(I$1,1),1),1))*VLOOKUP(VALUE(RIGHT(I$1,2)),$O$1:$P$11,2,FALSE)</f>
        <v>9</v>
      </c>
      <c r="J55" s="1">
        <f>VALUE(MID($A55,LEFT(RIGHT(J$1,1),1),1))*VLOOKUP(VALUE(RIGHT(J$1,2)),$O$1:$P$11,2,FALSE)</f>
        <v>4</v>
      </c>
      <c r="K55" s="1">
        <f>VALUE(MID($A55,10,1))*VLOOKUP(VALUE(RIGHT(K$1,2)),$O$1:$P$11,2,FALSE)</f>
        <v>12</v>
      </c>
      <c r="L55" s="1">
        <f>IF(MOD(SUM(pesel__26[[#This Row],[SUMA 1]:[SUMA 10]]),10)=0,0,10-MOD(SUM(pesel__26[[#This Row],[SUMA 1]:[SUMA 10]]),10))</f>
        <v>1</v>
      </c>
      <c r="M55" s="1">
        <f>IF(pesel__26[[#This Row],[CYFRA KONTROLNA]]=VALUE(RIGHT(A55,1)),0,1)</f>
        <v>1</v>
      </c>
    </row>
    <row r="56" spans="1:13" hidden="1" x14ac:dyDescent="0.25">
      <c r="A56" s="1" t="s">
        <v>54</v>
      </c>
      <c r="B56" s="1">
        <f>VALUE(MID($A56,LEFT(RIGHT(B$1,1),1),1))*VLOOKUP(VALUE(RIGHT(B$1,2)),$O$1:$P$11,2,FALSE)</f>
        <v>6</v>
      </c>
      <c r="C56" s="1">
        <f>VALUE(MID($A56,LEFT(RIGHT(C$1,1),1),1))*VLOOKUP(VALUE(RIGHT(C$1,2)),$O$1:$P$11,2,FALSE)</f>
        <v>27</v>
      </c>
      <c r="D56" s="1">
        <f>VALUE(MID($A56,LEFT(RIGHT(D$1,1),1),1))*VLOOKUP(VALUE(RIGHT(D$1,2)),$O$1:$P$11,2,FALSE)</f>
        <v>7</v>
      </c>
      <c r="E56" s="1">
        <f>VALUE(MID($A56,LEFT(RIGHT(E$1,1),1),1))*VLOOKUP(VALUE(RIGHT(E$1,2)),$O$1:$P$11,2,FALSE)</f>
        <v>18</v>
      </c>
      <c r="F56" s="1">
        <f>VALUE(MID($A56,LEFT(RIGHT(F$1,1),1),1))*VLOOKUP(VALUE(RIGHT(F$1,2)),$O$1:$P$11,2,FALSE)</f>
        <v>2</v>
      </c>
      <c r="G56" s="1">
        <f>VALUE(MID($A56,LEFT(RIGHT(G$1,1),1),1))*VLOOKUP(VALUE(RIGHT(G$1,2)),$O$1:$P$11,2,FALSE)</f>
        <v>3</v>
      </c>
      <c r="H56" s="1">
        <f>VALUE(MID($A56,LEFT(RIGHT(H$1,1),1),1))*VLOOKUP(VALUE(RIGHT(H$1,2)),$O$1:$P$11,2,FALSE)</f>
        <v>49</v>
      </c>
      <c r="I56" s="1">
        <f>VALUE(MID($A56,LEFT(RIGHT(I$1,1),1),1))*VLOOKUP(VALUE(RIGHT(I$1,2)),$O$1:$P$11,2,FALSE)</f>
        <v>36</v>
      </c>
      <c r="J56" s="1">
        <f>VALUE(MID($A56,LEFT(RIGHT(J$1,1),1),1))*VLOOKUP(VALUE(RIGHT(J$1,2)),$O$1:$P$11,2,FALSE)</f>
        <v>1</v>
      </c>
      <c r="K56" s="1">
        <f>VALUE(MID($A56,10,1))*VLOOKUP(VALUE(RIGHT(K$1,2)),$O$1:$P$11,2,FALSE)</f>
        <v>3</v>
      </c>
      <c r="L56" s="1">
        <f>IF(MOD(SUM(pesel__26[[#This Row],[SUMA 1]:[SUMA 10]]),10)=0,0,10-MOD(SUM(pesel__26[[#This Row],[SUMA 1]:[SUMA 10]]),10))</f>
        <v>8</v>
      </c>
      <c r="M56" s="1">
        <f>IF(pesel__26[[#This Row],[CYFRA KONTROLNA]]=VALUE(RIGHT(A56,1)),0,1)</f>
        <v>0</v>
      </c>
    </row>
    <row r="57" spans="1:13" hidden="1" x14ac:dyDescent="0.25">
      <c r="A57" s="1" t="s">
        <v>55</v>
      </c>
      <c r="B57" s="1">
        <f>VALUE(MID($A57,LEFT(RIGHT(B$1,1),1),1))*VLOOKUP(VALUE(RIGHT(B$1,2)),$O$1:$P$11,2,FALSE)</f>
        <v>8</v>
      </c>
      <c r="C57" s="1">
        <f>VALUE(MID($A57,LEFT(RIGHT(C$1,1),1),1))*VLOOKUP(VALUE(RIGHT(C$1,2)),$O$1:$P$11,2,FALSE)</f>
        <v>12</v>
      </c>
      <c r="D57" s="1">
        <f>VALUE(MID($A57,LEFT(RIGHT(D$1,1),1),1))*VLOOKUP(VALUE(RIGHT(D$1,2)),$O$1:$P$11,2,FALSE)</f>
        <v>0</v>
      </c>
      <c r="E57" s="1">
        <f>VALUE(MID($A57,LEFT(RIGHT(E$1,1),1),1))*VLOOKUP(VALUE(RIGHT(E$1,2)),$O$1:$P$11,2,FALSE)</f>
        <v>45</v>
      </c>
      <c r="F57" s="1">
        <f>VALUE(MID($A57,LEFT(RIGHT(F$1,1),1),1))*VLOOKUP(VALUE(RIGHT(F$1,2)),$O$1:$P$11,2,FALSE)</f>
        <v>1</v>
      </c>
      <c r="G57" s="1">
        <f>VALUE(MID($A57,LEFT(RIGHT(G$1,1),1),1))*VLOOKUP(VALUE(RIGHT(G$1,2)),$O$1:$P$11,2,FALSE)</f>
        <v>6</v>
      </c>
      <c r="H57" s="1">
        <f>VALUE(MID($A57,LEFT(RIGHT(H$1,1),1),1))*VLOOKUP(VALUE(RIGHT(H$1,2)),$O$1:$P$11,2,FALSE)</f>
        <v>63</v>
      </c>
      <c r="I57" s="1">
        <f>VALUE(MID($A57,LEFT(RIGHT(I$1,1),1),1))*VLOOKUP(VALUE(RIGHT(I$1,2)),$O$1:$P$11,2,FALSE)</f>
        <v>36</v>
      </c>
      <c r="J57" s="1">
        <f>VALUE(MID($A57,LEFT(RIGHT(J$1,1),1),1))*VLOOKUP(VALUE(RIGHT(J$1,2)),$O$1:$P$11,2,FALSE)</f>
        <v>8</v>
      </c>
      <c r="K57" s="1">
        <f>VALUE(MID($A57,10,1))*VLOOKUP(VALUE(RIGHT(K$1,2)),$O$1:$P$11,2,FALSE)</f>
        <v>27</v>
      </c>
      <c r="L57" s="1">
        <f>IF(MOD(SUM(pesel__26[[#This Row],[SUMA 1]:[SUMA 10]]),10)=0,0,10-MOD(SUM(pesel__26[[#This Row],[SUMA 1]:[SUMA 10]]),10))</f>
        <v>4</v>
      </c>
      <c r="M57" s="1">
        <f>IF(pesel__26[[#This Row],[CYFRA KONTROLNA]]=VALUE(RIGHT(A57,1)),0,1)</f>
        <v>0</v>
      </c>
    </row>
    <row r="58" spans="1:13" hidden="1" x14ac:dyDescent="0.25">
      <c r="A58" s="1" t="s">
        <v>56</v>
      </c>
      <c r="B58" s="1">
        <f>VALUE(MID($A58,LEFT(RIGHT(B$1,1),1),1))*VLOOKUP(VALUE(RIGHT(B$1,2)),$O$1:$P$11,2,FALSE)</f>
        <v>6</v>
      </c>
      <c r="C58" s="1">
        <f>VALUE(MID($A58,LEFT(RIGHT(C$1,1),1),1))*VLOOKUP(VALUE(RIGHT(C$1,2)),$O$1:$P$11,2,FALSE)</f>
        <v>18</v>
      </c>
      <c r="D58" s="1">
        <f>VALUE(MID($A58,LEFT(RIGHT(D$1,1),1),1))*VLOOKUP(VALUE(RIGHT(D$1,2)),$O$1:$P$11,2,FALSE)</f>
        <v>7</v>
      </c>
      <c r="E58" s="1">
        <f>VALUE(MID($A58,LEFT(RIGHT(E$1,1),1),1))*VLOOKUP(VALUE(RIGHT(E$1,2)),$O$1:$P$11,2,FALSE)</f>
        <v>9</v>
      </c>
      <c r="F58" s="1">
        <f>VALUE(MID($A58,LEFT(RIGHT(F$1,1),1),1))*VLOOKUP(VALUE(RIGHT(F$1,2)),$O$1:$P$11,2,FALSE)</f>
        <v>1</v>
      </c>
      <c r="G58" s="1">
        <f>VALUE(MID($A58,LEFT(RIGHT(G$1,1),1),1))*VLOOKUP(VALUE(RIGHT(G$1,2)),$O$1:$P$11,2,FALSE)</f>
        <v>3</v>
      </c>
      <c r="H58" s="1">
        <f>VALUE(MID($A58,LEFT(RIGHT(H$1,1),1),1))*VLOOKUP(VALUE(RIGHT(H$1,2)),$O$1:$P$11,2,FALSE)</f>
        <v>49</v>
      </c>
      <c r="I58" s="1">
        <f>VALUE(MID($A58,LEFT(RIGHT(I$1,1),1),1))*VLOOKUP(VALUE(RIGHT(I$1,2)),$O$1:$P$11,2,FALSE)</f>
        <v>54</v>
      </c>
      <c r="J58" s="1">
        <f>VALUE(MID($A58,LEFT(RIGHT(J$1,1),1),1))*VLOOKUP(VALUE(RIGHT(J$1,2)),$O$1:$P$11,2,FALSE)</f>
        <v>1</v>
      </c>
      <c r="K58" s="1">
        <f>VALUE(MID($A58,10,1))*VLOOKUP(VALUE(RIGHT(K$1,2)),$O$1:$P$11,2,FALSE)</f>
        <v>18</v>
      </c>
      <c r="L58" s="1">
        <f>IF(MOD(SUM(pesel__26[[#This Row],[SUMA 1]:[SUMA 10]]),10)=0,0,10-MOD(SUM(pesel__26[[#This Row],[SUMA 1]:[SUMA 10]]),10))</f>
        <v>4</v>
      </c>
      <c r="M58" s="1">
        <f>IF(pesel__26[[#This Row],[CYFRA KONTROLNA]]=VALUE(RIGHT(A58,1)),0,1)</f>
        <v>0</v>
      </c>
    </row>
    <row r="59" spans="1:13" hidden="1" x14ac:dyDescent="0.25">
      <c r="A59" s="1" t="s">
        <v>57</v>
      </c>
      <c r="B59" s="1">
        <f>VALUE(MID($A59,LEFT(RIGHT(B$1,1),1),1))*VLOOKUP(VALUE(RIGHT(B$1,2)),$O$1:$P$11,2,FALSE)</f>
        <v>7</v>
      </c>
      <c r="C59" s="1">
        <f>VALUE(MID($A59,LEFT(RIGHT(C$1,1),1),1))*VLOOKUP(VALUE(RIGHT(C$1,2)),$O$1:$P$11,2,FALSE)</f>
        <v>3</v>
      </c>
      <c r="D59" s="1">
        <f>VALUE(MID($A59,LEFT(RIGHT(D$1,1),1),1))*VLOOKUP(VALUE(RIGHT(D$1,2)),$O$1:$P$11,2,FALSE)</f>
        <v>7</v>
      </c>
      <c r="E59" s="1">
        <f>VALUE(MID($A59,LEFT(RIGHT(E$1,1),1),1))*VLOOKUP(VALUE(RIGHT(E$1,2)),$O$1:$P$11,2,FALSE)</f>
        <v>9</v>
      </c>
      <c r="F59" s="1">
        <f>VALUE(MID($A59,LEFT(RIGHT(F$1,1),1),1))*VLOOKUP(VALUE(RIGHT(F$1,2)),$O$1:$P$11,2,FALSE)</f>
        <v>2</v>
      </c>
      <c r="G59" s="1">
        <f>VALUE(MID($A59,LEFT(RIGHT(G$1,1),1),1))*VLOOKUP(VALUE(RIGHT(G$1,2)),$O$1:$P$11,2,FALSE)</f>
        <v>18</v>
      </c>
      <c r="H59" s="1">
        <f>VALUE(MID($A59,LEFT(RIGHT(H$1,1),1),1))*VLOOKUP(VALUE(RIGHT(H$1,2)),$O$1:$P$11,2,FALSE)</f>
        <v>49</v>
      </c>
      <c r="I59" s="1">
        <f>VALUE(MID($A59,LEFT(RIGHT(I$1,1),1),1))*VLOOKUP(VALUE(RIGHT(I$1,2)),$O$1:$P$11,2,FALSE)</f>
        <v>63</v>
      </c>
      <c r="J59" s="1">
        <f>VALUE(MID($A59,LEFT(RIGHT(J$1,1),1),1))*VLOOKUP(VALUE(RIGHT(J$1,2)),$O$1:$P$11,2,FALSE)</f>
        <v>5</v>
      </c>
      <c r="K59" s="1">
        <f>VALUE(MID($A59,10,1))*VLOOKUP(VALUE(RIGHT(K$1,2)),$O$1:$P$11,2,FALSE)</f>
        <v>3</v>
      </c>
      <c r="L59" s="1">
        <f>IF(MOD(SUM(pesel__26[[#This Row],[SUMA 1]:[SUMA 10]]),10)=0,0,10-MOD(SUM(pesel__26[[#This Row],[SUMA 1]:[SUMA 10]]),10))</f>
        <v>4</v>
      </c>
      <c r="M59" s="1">
        <f>IF(pesel__26[[#This Row],[CYFRA KONTROLNA]]=VALUE(RIGHT(A59,1)),0,1)</f>
        <v>0</v>
      </c>
    </row>
    <row r="60" spans="1:13" hidden="1" x14ac:dyDescent="0.25">
      <c r="A60" s="1" t="s">
        <v>58</v>
      </c>
      <c r="B60" s="1">
        <f>VALUE(MID($A60,LEFT(RIGHT(B$1,1),1),1))*VLOOKUP(VALUE(RIGHT(B$1,2)),$O$1:$P$11,2,FALSE)</f>
        <v>8</v>
      </c>
      <c r="C60" s="1">
        <f>VALUE(MID($A60,LEFT(RIGHT(C$1,1),1),1))*VLOOKUP(VALUE(RIGHT(C$1,2)),$O$1:$P$11,2,FALSE)</f>
        <v>27</v>
      </c>
      <c r="D60" s="1">
        <f>VALUE(MID($A60,LEFT(RIGHT(D$1,1),1),1))*VLOOKUP(VALUE(RIGHT(D$1,2)),$O$1:$P$11,2,FALSE)</f>
        <v>0</v>
      </c>
      <c r="E60" s="1">
        <f>VALUE(MID($A60,LEFT(RIGHT(E$1,1),1),1))*VLOOKUP(VALUE(RIGHT(E$1,2)),$O$1:$P$11,2,FALSE)</f>
        <v>36</v>
      </c>
      <c r="F60" s="1">
        <f>VALUE(MID($A60,LEFT(RIGHT(F$1,1),1),1))*VLOOKUP(VALUE(RIGHT(F$1,2)),$O$1:$P$11,2,FALSE)</f>
        <v>0</v>
      </c>
      <c r="G60" s="1">
        <f>VALUE(MID($A60,LEFT(RIGHT(G$1,1),1),1))*VLOOKUP(VALUE(RIGHT(G$1,2)),$O$1:$P$11,2,FALSE)</f>
        <v>18</v>
      </c>
      <c r="H60" s="1">
        <f>VALUE(MID($A60,LEFT(RIGHT(H$1,1),1),1))*VLOOKUP(VALUE(RIGHT(H$1,2)),$O$1:$P$11,2,FALSE)</f>
        <v>21</v>
      </c>
      <c r="I60" s="1">
        <f>VALUE(MID($A60,LEFT(RIGHT(I$1,1),1),1))*VLOOKUP(VALUE(RIGHT(I$1,2)),$O$1:$P$11,2,FALSE)</f>
        <v>27</v>
      </c>
      <c r="J60" s="1">
        <f>VALUE(MID($A60,LEFT(RIGHT(J$1,1),1),1))*VLOOKUP(VALUE(RIGHT(J$1,2)),$O$1:$P$11,2,FALSE)</f>
        <v>3</v>
      </c>
      <c r="K60" s="1">
        <f>VALUE(MID($A60,10,1))*VLOOKUP(VALUE(RIGHT(K$1,2)),$O$1:$P$11,2,FALSE)</f>
        <v>12</v>
      </c>
      <c r="L60" s="1">
        <f>IF(MOD(SUM(pesel__26[[#This Row],[SUMA 1]:[SUMA 10]]),10)=0,0,10-MOD(SUM(pesel__26[[#This Row],[SUMA 1]:[SUMA 10]]),10))</f>
        <v>8</v>
      </c>
      <c r="M60" s="1">
        <f>IF(pesel__26[[#This Row],[CYFRA KONTROLNA]]=VALUE(RIGHT(A60,1)),0,1)</f>
        <v>0</v>
      </c>
    </row>
    <row r="61" spans="1:13" hidden="1" x14ac:dyDescent="0.25">
      <c r="A61" s="1" t="s">
        <v>59</v>
      </c>
      <c r="B61" s="1">
        <f>VALUE(MID($A61,LEFT(RIGHT(B$1,1),1),1))*VLOOKUP(VALUE(RIGHT(B$1,2)),$O$1:$P$11,2,FALSE)</f>
        <v>9</v>
      </c>
      <c r="C61" s="1">
        <f>VALUE(MID($A61,LEFT(RIGHT(C$1,1),1),1))*VLOOKUP(VALUE(RIGHT(C$1,2)),$O$1:$P$11,2,FALSE)</f>
        <v>0</v>
      </c>
      <c r="D61" s="1">
        <f>VALUE(MID($A61,LEFT(RIGHT(D$1,1),1),1))*VLOOKUP(VALUE(RIGHT(D$1,2)),$O$1:$P$11,2,FALSE)</f>
        <v>0</v>
      </c>
      <c r="E61" s="1">
        <f>VALUE(MID($A61,LEFT(RIGHT(E$1,1),1),1))*VLOOKUP(VALUE(RIGHT(E$1,2)),$O$1:$P$11,2,FALSE)</f>
        <v>45</v>
      </c>
      <c r="F61" s="1">
        <f>VALUE(MID($A61,LEFT(RIGHT(F$1,1),1),1))*VLOOKUP(VALUE(RIGHT(F$1,2)),$O$1:$P$11,2,FALSE)</f>
        <v>3</v>
      </c>
      <c r="G61" s="1">
        <f>VALUE(MID($A61,LEFT(RIGHT(G$1,1),1),1))*VLOOKUP(VALUE(RIGHT(G$1,2)),$O$1:$P$11,2,FALSE)</f>
        <v>3</v>
      </c>
      <c r="H61" s="1">
        <f>VALUE(MID($A61,LEFT(RIGHT(H$1,1),1),1))*VLOOKUP(VALUE(RIGHT(H$1,2)),$O$1:$P$11,2,FALSE)</f>
        <v>14</v>
      </c>
      <c r="I61" s="1">
        <f>VALUE(MID($A61,LEFT(RIGHT(I$1,1),1),1))*VLOOKUP(VALUE(RIGHT(I$1,2)),$O$1:$P$11,2,FALSE)</f>
        <v>0</v>
      </c>
      <c r="J61" s="1">
        <f>VALUE(MID($A61,LEFT(RIGHT(J$1,1),1),1))*VLOOKUP(VALUE(RIGHT(J$1,2)),$O$1:$P$11,2,FALSE)</f>
        <v>1</v>
      </c>
      <c r="K61" s="1">
        <f>VALUE(MID($A61,10,1))*VLOOKUP(VALUE(RIGHT(K$1,2)),$O$1:$P$11,2,FALSE)</f>
        <v>9</v>
      </c>
      <c r="L61" s="1">
        <f>IF(MOD(SUM(pesel__26[[#This Row],[SUMA 1]:[SUMA 10]]),10)=0,0,10-MOD(SUM(pesel__26[[#This Row],[SUMA 1]:[SUMA 10]]),10))</f>
        <v>6</v>
      </c>
      <c r="M61" s="1">
        <f>IF(pesel__26[[#This Row],[CYFRA KONTROLNA]]=VALUE(RIGHT(A61,1)),0,1)</f>
        <v>0</v>
      </c>
    </row>
    <row r="62" spans="1:13" hidden="1" x14ac:dyDescent="0.25">
      <c r="A62" s="1" t="s">
        <v>60</v>
      </c>
      <c r="B62" s="1">
        <f>VALUE(MID($A62,LEFT(RIGHT(B$1,1),1),1))*VLOOKUP(VALUE(RIGHT(B$1,2)),$O$1:$P$11,2,FALSE)</f>
        <v>7</v>
      </c>
      <c r="C62" s="1">
        <f>VALUE(MID($A62,LEFT(RIGHT(C$1,1),1),1))*VLOOKUP(VALUE(RIGHT(C$1,2)),$O$1:$P$11,2,FALSE)</f>
        <v>15</v>
      </c>
      <c r="D62" s="1">
        <f>VALUE(MID($A62,LEFT(RIGHT(D$1,1),1),1))*VLOOKUP(VALUE(RIGHT(D$1,2)),$O$1:$P$11,2,FALSE)</f>
        <v>7</v>
      </c>
      <c r="E62" s="1">
        <f>VALUE(MID($A62,LEFT(RIGHT(E$1,1),1),1))*VLOOKUP(VALUE(RIGHT(E$1,2)),$O$1:$P$11,2,FALSE)</f>
        <v>18</v>
      </c>
      <c r="F62" s="1">
        <f>VALUE(MID($A62,LEFT(RIGHT(F$1,1),1),1))*VLOOKUP(VALUE(RIGHT(F$1,2)),$O$1:$P$11,2,FALSE)</f>
        <v>3</v>
      </c>
      <c r="G62" s="1">
        <f>VALUE(MID($A62,LEFT(RIGHT(G$1,1),1),1))*VLOOKUP(VALUE(RIGHT(G$1,2)),$O$1:$P$11,2,FALSE)</f>
        <v>3</v>
      </c>
      <c r="H62" s="1">
        <f>VALUE(MID($A62,LEFT(RIGHT(H$1,1),1),1))*VLOOKUP(VALUE(RIGHT(H$1,2)),$O$1:$P$11,2,FALSE)</f>
        <v>63</v>
      </c>
      <c r="I62" s="1">
        <f>VALUE(MID($A62,LEFT(RIGHT(I$1,1),1),1))*VLOOKUP(VALUE(RIGHT(I$1,2)),$O$1:$P$11,2,FALSE)</f>
        <v>81</v>
      </c>
      <c r="J62" s="1">
        <f>VALUE(MID($A62,LEFT(RIGHT(J$1,1),1),1))*VLOOKUP(VALUE(RIGHT(J$1,2)),$O$1:$P$11,2,FALSE)</f>
        <v>3</v>
      </c>
      <c r="K62" s="1">
        <f>VALUE(MID($A62,10,1))*VLOOKUP(VALUE(RIGHT(K$1,2)),$O$1:$P$11,2,FALSE)</f>
        <v>3</v>
      </c>
      <c r="L62" s="1">
        <f>IF(MOD(SUM(pesel__26[[#This Row],[SUMA 1]:[SUMA 10]]),10)=0,0,10-MOD(SUM(pesel__26[[#This Row],[SUMA 1]:[SUMA 10]]),10))</f>
        <v>7</v>
      </c>
      <c r="M62" s="1">
        <f>IF(pesel__26[[#This Row],[CYFRA KONTROLNA]]=VALUE(RIGHT(A62,1)),0,1)</f>
        <v>0</v>
      </c>
    </row>
    <row r="63" spans="1:13" hidden="1" x14ac:dyDescent="0.25">
      <c r="A63" s="1" t="s">
        <v>61</v>
      </c>
      <c r="B63" s="1">
        <f>VALUE(MID($A63,LEFT(RIGHT(B$1,1),1),1))*VLOOKUP(VALUE(RIGHT(B$1,2)),$O$1:$P$11,2,FALSE)</f>
        <v>7</v>
      </c>
      <c r="C63" s="1">
        <f>VALUE(MID($A63,LEFT(RIGHT(C$1,1),1),1))*VLOOKUP(VALUE(RIGHT(C$1,2)),$O$1:$P$11,2,FALSE)</f>
        <v>9</v>
      </c>
      <c r="D63" s="1">
        <f>VALUE(MID($A63,LEFT(RIGHT(D$1,1),1),1))*VLOOKUP(VALUE(RIGHT(D$1,2)),$O$1:$P$11,2,FALSE)</f>
        <v>7</v>
      </c>
      <c r="E63" s="1">
        <f>VALUE(MID($A63,LEFT(RIGHT(E$1,1),1),1))*VLOOKUP(VALUE(RIGHT(E$1,2)),$O$1:$P$11,2,FALSE)</f>
        <v>9</v>
      </c>
      <c r="F63" s="1">
        <f>VALUE(MID($A63,LEFT(RIGHT(F$1,1),1),1))*VLOOKUP(VALUE(RIGHT(F$1,2)),$O$1:$P$11,2,FALSE)</f>
        <v>2</v>
      </c>
      <c r="G63" s="1">
        <f>VALUE(MID($A63,LEFT(RIGHT(G$1,1),1),1))*VLOOKUP(VALUE(RIGHT(G$1,2)),$O$1:$P$11,2,FALSE)</f>
        <v>9</v>
      </c>
      <c r="H63" s="1">
        <f>VALUE(MID($A63,LEFT(RIGHT(H$1,1),1),1))*VLOOKUP(VALUE(RIGHT(H$1,2)),$O$1:$P$11,2,FALSE)</f>
        <v>14</v>
      </c>
      <c r="I63" s="1">
        <f>VALUE(MID($A63,LEFT(RIGHT(I$1,1),1),1))*VLOOKUP(VALUE(RIGHT(I$1,2)),$O$1:$P$11,2,FALSE)</f>
        <v>72</v>
      </c>
      <c r="J63" s="1">
        <f>VALUE(MID($A63,LEFT(RIGHT(J$1,1),1),1))*VLOOKUP(VALUE(RIGHT(J$1,2)),$O$1:$P$11,2,FALSE)</f>
        <v>5</v>
      </c>
      <c r="K63" s="1">
        <f>VALUE(MID($A63,10,1))*VLOOKUP(VALUE(RIGHT(K$1,2)),$O$1:$P$11,2,FALSE)</f>
        <v>15</v>
      </c>
      <c r="L63" s="1">
        <f>IF(MOD(SUM(pesel__26[[#This Row],[SUMA 1]:[SUMA 10]]),10)=0,0,10-MOD(SUM(pesel__26[[#This Row],[SUMA 1]:[SUMA 10]]),10))</f>
        <v>1</v>
      </c>
      <c r="M63" s="1">
        <f>IF(pesel__26[[#This Row],[CYFRA KONTROLNA]]=VALUE(RIGHT(A63,1)),0,1)</f>
        <v>0</v>
      </c>
    </row>
    <row r="64" spans="1:13" hidden="1" x14ac:dyDescent="0.25">
      <c r="A64" s="1" t="s">
        <v>62</v>
      </c>
      <c r="B64" s="1">
        <f>VALUE(MID($A64,LEFT(RIGHT(B$1,1),1),1))*VLOOKUP(VALUE(RIGHT(B$1,2)),$O$1:$P$11,2,FALSE)</f>
        <v>8</v>
      </c>
      <c r="C64" s="1">
        <f>VALUE(MID($A64,LEFT(RIGHT(C$1,1),1),1))*VLOOKUP(VALUE(RIGHT(C$1,2)),$O$1:$P$11,2,FALSE)</f>
        <v>15</v>
      </c>
      <c r="D64" s="1">
        <f>VALUE(MID($A64,LEFT(RIGHT(D$1,1),1),1))*VLOOKUP(VALUE(RIGHT(D$1,2)),$O$1:$P$11,2,FALSE)</f>
        <v>0</v>
      </c>
      <c r="E64" s="1">
        <f>VALUE(MID($A64,LEFT(RIGHT(E$1,1),1),1))*VLOOKUP(VALUE(RIGHT(E$1,2)),$O$1:$P$11,2,FALSE)</f>
        <v>27</v>
      </c>
      <c r="F64" s="1">
        <f>VALUE(MID($A64,LEFT(RIGHT(F$1,1),1),1))*VLOOKUP(VALUE(RIGHT(F$1,2)),$O$1:$P$11,2,FALSE)</f>
        <v>1</v>
      </c>
      <c r="G64" s="1">
        <f>VALUE(MID($A64,LEFT(RIGHT(G$1,1),1),1))*VLOOKUP(VALUE(RIGHT(G$1,2)),$O$1:$P$11,2,FALSE)</f>
        <v>0</v>
      </c>
      <c r="H64" s="1">
        <f>VALUE(MID($A64,LEFT(RIGHT(H$1,1),1),1))*VLOOKUP(VALUE(RIGHT(H$1,2)),$O$1:$P$11,2,FALSE)</f>
        <v>49</v>
      </c>
      <c r="I64" s="1">
        <f>VALUE(MID($A64,LEFT(RIGHT(I$1,1),1),1))*VLOOKUP(VALUE(RIGHT(I$1,2)),$O$1:$P$11,2,FALSE)</f>
        <v>81</v>
      </c>
      <c r="J64" s="1">
        <f>VALUE(MID($A64,LEFT(RIGHT(J$1,1),1),1))*VLOOKUP(VALUE(RIGHT(J$1,2)),$O$1:$P$11,2,FALSE)</f>
        <v>4</v>
      </c>
      <c r="K64" s="1">
        <f>VALUE(MID($A64,10,1))*VLOOKUP(VALUE(RIGHT(K$1,2)),$O$1:$P$11,2,FALSE)</f>
        <v>12</v>
      </c>
      <c r="L64" s="1">
        <f>IF(MOD(SUM(pesel__26[[#This Row],[SUMA 1]:[SUMA 10]]),10)=0,0,10-MOD(SUM(pesel__26[[#This Row],[SUMA 1]:[SUMA 10]]),10))</f>
        <v>3</v>
      </c>
      <c r="M64" s="1">
        <f>IF(pesel__26[[#This Row],[CYFRA KONTROLNA]]=VALUE(RIGHT(A64,1)),0,1)</f>
        <v>0</v>
      </c>
    </row>
    <row r="65" spans="1:13" hidden="1" x14ac:dyDescent="0.25">
      <c r="A65" s="1" t="s">
        <v>63</v>
      </c>
      <c r="B65" s="1">
        <f>VALUE(MID($A65,LEFT(RIGHT(B$1,1),1),1))*VLOOKUP(VALUE(RIGHT(B$1,2)),$O$1:$P$11,2,FALSE)</f>
        <v>8</v>
      </c>
      <c r="C65" s="1">
        <f>VALUE(MID($A65,LEFT(RIGHT(C$1,1),1),1))*VLOOKUP(VALUE(RIGHT(C$1,2)),$O$1:$P$11,2,FALSE)</f>
        <v>15</v>
      </c>
      <c r="D65" s="1">
        <f>VALUE(MID($A65,LEFT(RIGHT(D$1,1),1),1))*VLOOKUP(VALUE(RIGHT(D$1,2)),$O$1:$P$11,2,FALSE)</f>
        <v>0</v>
      </c>
      <c r="E65" s="1">
        <f>VALUE(MID($A65,LEFT(RIGHT(E$1,1),1),1))*VLOOKUP(VALUE(RIGHT(E$1,2)),$O$1:$P$11,2,FALSE)</f>
        <v>45</v>
      </c>
      <c r="F65" s="1">
        <f>VALUE(MID($A65,LEFT(RIGHT(F$1,1),1),1))*VLOOKUP(VALUE(RIGHT(F$1,2)),$O$1:$P$11,2,FALSE)</f>
        <v>2</v>
      </c>
      <c r="G65" s="1">
        <f>VALUE(MID($A65,LEFT(RIGHT(G$1,1),1),1))*VLOOKUP(VALUE(RIGHT(G$1,2)),$O$1:$P$11,2,FALSE)</f>
        <v>15</v>
      </c>
      <c r="H65" s="1">
        <f>VALUE(MID($A65,LEFT(RIGHT(H$1,1),1),1))*VLOOKUP(VALUE(RIGHT(H$1,2)),$O$1:$P$11,2,FALSE)</f>
        <v>42</v>
      </c>
      <c r="I65" s="1">
        <f>VALUE(MID($A65,LEFT(RIGHT(I$1,1),1),1))*VLOOKUP(VALUE(RIGHT(I$1,2)),$O$1:$P$11,2,FALSE)</f>
        <v>72</v>
      </c>
      <c r="J65" s="1">
        <f>VALUE(MID($A65,LEFT(RIGHT(J$1,1),1),1))*VLOOKUP(VALUE(RIGHT(J$1,2)),$O$1:$P$11,2,FALSE)</f>
        <v>6</v>
      </c>
      <c r="K65" s="1">
        <f>VALUE(MID($A65,10,1))*VLOOKUP(VALUE(RIGHT(K$1,2)),$O$1:$P$11,2,FALSE)</f>
        <v>12</v>
      </c>
      <c r="L65" s="1">
        <f>IF(MOD(SUM(pesel__26[[#This Row],[SUMA 1]:[SUMA 10]]),10)=0,0,10-MOD(SUM(pesel__26[[#This Row],[SUMA 1]:[SUMA 10]]),10))</f>
        <v>3</v>
      </c>
      <c r="M65" s="1">
        <f>IF(pesel__26[[#This Row],[CYFRA KONTROLNA]]=VALUE(RIGHT(A65,1)),0,1)</f>
        <v>0</v>
      </c>
    </row>
    <row r="66" spans="1:13" hidden="1" x14ac:dyDescent="0.25">
      <c r="A66" s="1" t="s">
        <v>64</v>
      </c>
      <c r="B66" s="1">
        <f>VALUE(MID($A66,LEFT(RIGHT(B$1,1),1),1))*VLOOKUP(VALUE(RIGHT(B$1,2)),$O$1:$P$11,2,FALSE)</f>
        <v>5</v>
      </c>
      <c r="C66" s="1">
        <f>VALUE(MID($A66,LEFT(RIGHT(C$1,1),1),1))*VLOOKUP(VALUE(RIGHT(C$1,2)),$O$1:$P$11,2,FALSE)</f>
        <v>15</v>
      </c>
      <c r="D66" s="1">
        <f>VALUE(MID($A66,LEFT(RIGHT(D$1,1),1),1))*VLOOKUP(VALUE(RIGHT(D$1,2)),$O$1:$P$11,2,FALSE)</f>
        <v>0</v>
      </c>
      <c r="E66" s="1">
        <f>VALUE(MID($A66,LEFT(RIGHT(E$1,1),1),1))*VLOOKUP(VALUE(RIGHT(E$1,2)),$O$1:$P$11,2,FALSE)</f>
        <v>18</v>
      </c>
      <c r="F66" s="1">
        <f>VALUE(MID($A66,LEFT(RIGHT(F$1,1),1),1))*VLOOKUP(VALUE(RIGHT(F$1,2)),$O$1:$P$11,2,FALSE)</f>
        <v>2</v>
      </c>
      <c r="G66" s="1">
        <f>VALUE(MID($A66,LEFT(RIGHT(G$1,1),1),1))*VLOOKUP(VALUE(RIGHT(G$1,2)),$O$1:$P$11,2,FALSE)</f>
        <v>3</v>
      </c>
      <c r="H66" s="1">
        <f>VALUE(MID($A66,LEFT(RIGHT(H$1,1),1),1))*VLOOKUP(VALUE(RIGHT(H$1,2)),$O$1:$P$11,2,FALSE)</f>
        <v>35</v>
      </c>
      <c r="I66" s="1">
        <f>VALUE(MID($A66,LEFT(RIGHT(I$1,1),1),1))*VLOOKUP(VALUE(RIGHT(I$1,2)),$O$1:$P$11,2,FALSE)</f>
        <v>27</v>
      </c>
      <c r="J66" s="1">
        <f>VALUE(MID($A66,LEFT(RIGHT(J$1,1),1),1))*VLOOKUP(VALUE(RIGHT(J$1,2)),$O$1:$P$11,2,FALSE)</f>
        <v>4</v>
      </c>
      <c r="K66" s="1">
        <f>VALUE(MID($A66,10,1))*VLOOKUP(VALUE(RIGHT(K$1,2)),$O$1:$P$11,2,FALSE)</f>
        <v>9</v>
      </c>
      <c r="L66" s="1">
        <f>IF(MOD(SUM(pesel__26[[#This Row],[SUMA 1]:[SUMA 10]]),10)=0,0,10-MOD(SUM(pesel__26[[#This Row],[SUMA 1]:[SUMA 10]]),10))</f>
        <v>2</v>
      </c>
      <c r="M66" s="1">
        <f>IF(pesel__26[[#This Row],[CYFRA KONTROLNA]]=VALUE(RIGHT(A66,1)),0,1)</f>
        <v>0</v>
      </c>
    </row>
    <row r="67" spans="1:13" hidden="1" x14ac:dyDescent="0.25">
      <c r="A67" s="1" t="s">
        <v>65</v>
      </c>
      <c r="B67" s="1">
        <f>VALUE(MID($A67,LEFT(RIGHT(B$1,1),1),1))*VLOOKUP(VALUE(RIGHT(B$1,2)),$O$1:$P$11,2,FALSE)</f>
        <v>8</v>
      </c>
      <c r="C67" s="1">
        <f>VALUE(MID($A67,LEFT(RIGHT(C$1,1),1),1))*VLOOKUP(VALUE(RIGHT(C$1,2)),$O$1:$P$11,2,FALSE)</f>
        <v>9</v>
      </c>
      <c r="D67" s="1">
        <f>VALUE(MID($A67,LEFT(RIGHT(D$1,1),1),1))*VLOOKUP(VALUE(RIGHT(D$1,2)),$O$1:$P$11,2,FALSE)</f>
        <v>0</v>
      </c>
      <c r="E67" s="1">
        <f>VALUE(MID($A67,LEFT(RIGHT(E$1,1),1),1))*VLOOKUP(VALUE(RIGHT(E$1,2)),$O$1:$P$11,2,FALSE)</f>
        <v>36</v>
      </c>
      <c r="F67" s="1">
        <f>VALUE(MID($A67,LEFT(RIGHT(F$1,1),1),1))*VLOOKUP(VALUE(RIGHT(F$1,2)),$O$1:$P$11,2,FALSE)</f>
        <v>1</v>
      </c>
      <c r="G67" s="1">
        <f>VALUE(MID($A67,LEFT(RIGHT(G$1,1),1),1))*VLOOKUP(VALUE(RIGHT(G$1,2)),$O$1:$P$11,2,FALSE)</f>
        <v>27</v>
      </c>
      <c r="H67" s="1">
        <f>VALUE(MID($A67,LEFT(RIGHT(H$1,1),1),1))*VLOOKUP(VALUE(RIGHT(H$1,2)),$O$1:$P$11,2,FALSE)</f>
        <v>28</v>
      </c>
      <c r="I67" s="1">
        <f>VALUE(MID($A67,LEFT(RIGHT(I$1,1),1),1))*VLOOKUP(VALUE(RIGHT(I$1,2)),$O$1:$P$11,2,FALSE)</f>
        <v>63</v>
      </c>
      <c r="J67" s="1">
        <f>VALUE(MID($A67,LEFT(RIGHT(J$1,1),1),1))*VLOOKUP(VALUE(RIGHT(J$1,2)),$O$1:$P$11,2,FALSE)</f>
        <v>2</v>
      </c>
      <c r="K67" s="1">
        <f>VALUE(MID($A67,10,1))*VLOOKUP(VALUE(RIGHT(K$1,2)),$O$1:$P$11,2,FALSE)</f>
        <v>24</v>
      </c>
      <c r="L67" s="1">
        <f>IF(MOD(SUM(pesel__26[[#This Row],[SUMA 1]:[SUMA 10]]),10)=0,0,10-MOD(SUM(pesel__26[[#This Row],[SUMA 1]:[SUMA 10]]),10))</f>
        <v>2</v>
      </c>
      <c r="M67" s="1">
        <f>IF(pesel__26[[#This Row],[CYFRA KONTROLNA]]=VALUE(RIGHT(A67,1)),0,1)</f>
        <v>0</v>
      </c>
    </row>
    <row r="68" spans="1:13" hidden="1" x14ac:dyDescent="0.25">
      <c r="A68" s="1" t="s">
        <v>66</v>
      </c>
      <c r="B68" s="1">
        <f>VALUE(MID($A68,LEFT(RIGHT(B$1,1),1),1))*VLOOKUP(VALUE(RIGHT(B$1,2)),$O$1:$P$11,2,FALSE)</f>
        <v>8</v>
      </c>
      <c r="C68" s="1">
        <f>VALUE(MID($A68,LEFT(RIGHT(C$1,1),1),1))*VLOOKUP(VALUE(RIGHT(C$1,2)),$O$1:$P$11,2,FALSE)</f>
        <v>18</v>
      </c>
      <c r="D68" s="1">
        <f>VALUE(MID($A68,LEFT(RIGHT(D$1,1),1),1))*VLOOKUP(VALUE(RIGHT(D$1,2)),$O$1:$P$11,2,FALSE)</f>
        <v>0</v>
      </c>
      <c r="E68" s="1">
        <f>VALUE(MID($A68,LEFT(RIGHT(E$1,1),1),1))*VLOOKUP(VALUE(RIGHT(E$1,2)),$O$1:$P$11,2,FALSE)</f>
        <v>72</v>
      </c>
      <c r="F68" s="1">
        <f>VALUE(MID($A68,LEFT(RIGHT(F$1,1),1),1))*VLOOKUP(VALUE(RIGHT(F$1,2)),$O$1:$P$11,2,FALSE)</f>
        <v>1</v>
      </c>
      <c r="G68" s="1">
        <f>VALUE(MID($A68,LEFT(RIGHT(G$1,1),1),1))*VLOOKUP(VALUE(RIGHT(G$1,2)),$O$1:$P$11,2,FALSE)</f>
        <v>12</v>
      </c>
      <c r="H68" s="1">
        <f>VALUE(MID($A68,LEFT(RIGHT(H$1,1),1),1))*VLOOKUP(VALUE(RIGHT(H$1,2)),$O$1:$P$11,2,FALSE)</f>
        <v>28</v>
      </c>
      <c r="I68" s="1">
        <f>VALUE(MID($A68,LEFT(RIGHT(I$1,1),1),1))*VLOOKUP(VALUE(RIGHT(I$1,2)),$O$1:$P$11,2,FALSE)</f>
        <v>27</v>
      </c>
      <c r="J68" s="1">
        <f>VALUE(MID($A68,LEFT(RIGHT(J$1,1),1),1))*VLOOKUP(VALUE(RIGHT(J$1,2)),$O$1:$P$11,2,FALSE)</f>
        <v>3</v>
      </c>
      <c r="K68" s="1">
        <f>VALUE(MID($A68,10,1))*VLOOKUP(VALUE(RIGHT(K$1,2)),$O$1:$P$11,2,FALSE)</f>
        <v>6</v>
      </c>
      <c r="L68" s="1">
        <f>IF(MOD(SUM(pesel__26[[#This Row],[SUMA 1]:[SUMA 10]]),10)=0,0,10-MOD(SUM(pesel__26[[#This Row],[SUMA 1]:[SUMA 10]]),10))</f>
        <v>5</v>
      </c>
      <c r="M68" s="1">
        <f>IF(pesel__26[[#This Row],[CYFRA KONTROLNA]]=VALUE(RIGHT(A68,1)),0,1)</f>
        <v>0</v>
      </c>
    </row>
    <row r="69" spans="1:13" hidden="1" x14ac:dyDescent="0.25">
      <c r="A69" s="1" t="s">
        <v>67</v>
      </c>
      <c r="B69" s="1">
        <f>VALUE(MID($A69,LEFT(RIGHT(B$1,1),1),1))*VLOOKUP(VALUE(RIGHT(B$1,2)),$O$1:$P$11,2,FALSE)</f>
        <v>5</v>
      </c>
      <c r="C69" s="1">
        <f>VALUE(MID($A69,LEFT(RIGHT(C$1,1),1),1))*VLOOKUP(VALUE(RIGHT(C$1,2)),$O$1:$P$11,2,FALSE)</f>
        <v>27</v>
      </c>
      <c r="D69" s="1">
        <f>VALUE(MID($A69,LEFT(RIGHT(D$1,1),1),1))*VLOOKUP(VALUE(RIGHT(D$1,2)),$O$1:$P$11,2,FALSE)</f>
        <v>7</v>
      </c>
      <c r="E69" s="1">
        <f>VALUE(MID($A69,LEFT(RIGHT(E$1,1),1),1))*VLOOKUP(VALUE(RIGHT(E$1,2)),$O$1:$P$11,2,FALSE)</f>
        <v>9</v>
      </c>
      <c r="F69" s="1">
        <f>VALUE(MID($A69,LEFT(RIGHT(F$1,1),1),1))*VLOOKUP(VALUE(RIGHT(F$1,2)),$O$1:$P$11,2,FALSE)</f>
        <v>0</v>
      </c>
      <c r="G69" s="1">
        <f>VALUE(MID($A69,LEFT(RIGHT(G$1,1),1),1))*VLOOKUP(VALUE(RIGHT(G$1,2)),$O$1:$P$11,2,FALSE)</f>
        <v>15</v>
      </c>
      <c r="H69" s="1">
        <f>VALUE(MID($A69,LEFT(RIGHT(H$1,1),1),1))*VLOOKUP(VALUE(RIGHT(H$1,2)),$O$1:$P$11,2,FALSE)</f>
        <v>49</v>
      </c>
      <c r="I69" s="1">
        <f>VALUE(MID($A69,LEFT(RIGHT(I$1,1),1),1))*VLOOKUP(VALUE(RIGHT(I$1,2)),$O$1:$P$11,2,FALSE)</f>
        <v>0</v>
      </c>
      <c r="J69" s="1">
        <f>VALUE(MID($A69,LEFT(RIGHT(J$1,1),1),1))*VLOOKUP(VALUE(RIGHT(J$1,2)),$O$1:$P$11,2,FALSE)</f>
        <v>5</v>
      </c>
      <c r="K69" s="1">
        <f>VALUE(MID($A69,10,1))*VLOOKUP(VALUE(RIGHT(K$1,2)),$O$1:$P$11,2,FALSE)</f>
        <v>18</v>
      </c>
      <c r="L69" s="1">
        <f>IF(MOD(SUM(pesel__26[[#This Row],[SUMA 1]:[SUMA 10]]),10)=0,0,10-MOD(SUM(pesel__26[[#This Row],[SUMA 1]:[SUMA 10]]),10))</f>
        <v>5</v>
      </c>
      <c r="M69" s="1">
        <f>IF(pesel__26[[#This Row],[CYFRA KONTROLNA]]=VALUE(RIGHT(A69,1)),0,1)</f>
        <v>0</v>
      </c>
    </row>
    <row r="70" spans="1:13" hidden="1" x14ac:dyDescent="0.25">
      <c r="A70" s="1" t="s">
        <v>68</v>
      </c>
      <c r="B70" s="1">
        <f>VALUE(MID($A70,LEFT(RIGHT(B$1,1),1),1))*VLOOKUP(VALUE(RIGHT(B$1,2)),$O$1:$P$11,2,FALSE)</f>
        <v>6</v>
      </c>
      <c r="C70" s="1">
        <f>VALUE(MID($A70,LEFT(RIGHT(C$1,1),1),1))*VLOOKUP(VALUE(RIGHT(C$1,2)),$O$1:$P$11,2,FALSE)</f>
        <v>18</v>
      </c>
      <c r="D70" s="1">
        <f>VALUE(MID($A70,LEFT(RIGHT(D$1,1),1),1))*VLOOKUP(VALUE(RIGHT(D$1,2)),$O$1:$P$11,2,FALSE)</f>
        <v>0</v>
      </c>
      <c r="E70" s="1">
        <f>VALUE(MID($A70,LEFT(RIGHT(E$1,1),1),1))*VLOOKUP(VALUE(RIGHT(E$1,2)),$O$1:$P$11,2,FALSE)</f>
        <v>54</v>
      </c>
      <c r="F70" s="1">
        <f>VALUE(MID($A70,LEFT(RIGHT(F$1,1),1),1))*VLOOKUP(VALUE(RIGHT(F$1,2)),$O$1:$P$11,2,FALSE)</f>
        <v>3</v>
      </c>
      <c r="G70" s="1">
        <f>VALUE(MID($A70,LEFT(RIGHT(G$1,1),1),1))*VLOOKUP(VALUE(RIGHT(G$1,2)),$O$1:$P$11,2,FALSE)</f>
        <v>0</v>
      </c>
      <c r="H70" s="1">
        <f>VALUE(MID($A70,LEFT(RIGHT(H$1,1),1),1))*VLOOKUP(VALUE(RIGHT(H$1,2)),$O$1:$P$11,2,FALSE)</f>
        <v>7</v>
      </c>
      <c r="I70" s="1">
        <f>VALUE(MID($A70,LEFT(RIGHT(I$1,1),1),1))*VLOOKUP(VALUE(RIGHT(I$1,2)),$O$1:$P$11,2,FALSE)</f>
        <v>36</v>
      </c>
      <c r="J70" s="1">
        <f>VALUE(MID($A70,LEFT(RIGHT(J$1,1),1),1))*VLOOKUP(VALUE(RIGHT(J$1,2)),$O$1:$P$11,2,FALSE)</f>
        <v>6</v>
      </c>
      <c r="K70" s="1">
        <f>VALUE(MID($A70,10,1))*VLOOKUP(VALUE(RIGHT(K$1,2)),$O$1:$P$11,2,FALSE)</f>
        <v>9</v>
      </c>
      <c r="L70" s="1">
        <f>IF(MOD(SUM(pesel__26[[#This Row],[SUMA 1]:[SUMA 10]]),10)=0,0,10-MOD(SUM(pesel__26[[#This Row],[SUMA 1]:[SUMA 10]]),10))</f>
        <v>1</v>
      </c>
      <c r="M70" s="1">
        <f>IF(pesel__26[[#This Row],[CYFRA KONTROLNA]]=VALUE(RIGHT(A70,1)),0,1)</f>
        <v>0</v>
      </c>
    </row>
    <row r="71" spans="1:13" hidden="1" x14ac:dyDescent="0.25">
      <c r="A71" s="1" t="s">
        <v>69</v>
      </c>
      <c r="B71" s="1">
        <f>VALUE(MID($A71,LEFT(RIGHT(B$1,1),1),1))*VLOOKUP(VALUE(RIGHT(B$1,2)),$O$1:$P$11,2,FALSE)</f>
        <v>6</v>
      </c>
      <c r="C71" s="1">
        <f>VALUE(MID($A71,LEFT(RIGHT(C$1,1),1),1))*VLOOKUP(VALUE(RIGHT(C$1,2)),$O$1:$P$11,2,FALSE)</f>
        <v>21</v>
      </c>
      <c r="D71" s="1">
        <f>VALUE(MID($A71,LEFT(RIGHT(D$1,1),1),1))*VLOOKUP(VALUE(RIGHT(D$1,2)),$O$1:$P$11,2,FALSE)</f>
        <v>7</v>
      </c>
      <c r="E71" s="1">
        <f>VALUE(MID($A71,LEFT(RIGHT(E$1,1),1),1))*VLOOKUP(VALUE(RIGHT(E$1,2)),$O$1:$P$11,2,FALSE)</f>
        <v>18</v>
      </c>
      <c r="F71" s="1">
        <f>VALUE(MID($A71,LEFT(RIGHT(F$1,1),1),1))*VLOOKUP(VALUE(RIGHT(F$1,2)),$O$1:$P$11,2,FALSE)</f>
        <v>0</v>
      </c>
      <c r="G71" s="1">
        <f>VALUE(MID($A71,LEFT(RIGHT(G$1,1),1),1))*VLOOKUP(VALUE(RIGHT(G$1,2)),$O$1:$P$11,2,FALSE)</f>
        <v>21</v>
      </c>
      <c r="H71" s="1">
        <f>VALUE(MID($A71,LEFT(RIGHT(H$1,1),1),1))*VLOOKUP(VALUE(RIGHT(H$1,2)),$O$1:$P$11,2,FALSE)</f>
        <v>28</v>
      </c>
      <c r="I71" s="1">
        <f>VALUE(MID($A71,LEFT(RIGHT(I$1,1),1),1))*VLOOKUP(VALUE(RIGHT(I$1,2)),$O$1:$P$11,2,FALSE)</f>
        <v>81</v>
      </c>
      <c r="J71" s="1">
        <f>VALUE(MID($A71,LEFT(RIGHT(J$1,1),1),1))*VLOOKUP(VALUE(RIGHT(J$1,2)),$O$1:$P$11,2,FALSE)</f>
        <v>9</v>
      </c>
      <c r="K71" s="1">
        <f>VALUE(MID($A71,10,1))*VLOOKUP(VALUE(RIGHT(K$1,2)),$O$1:$P$11,2,FALSE)</f>
        <v>6</v>
      </c>
      <c r="L71" s="1">
        <f>IF(MOD(SUM(pesel__26[[#This Row],[SUMA 1]:[SUMA 10]]),10)=0,0,10-MOD(SUM(pesel__26[[#This Row],[SUMA 1]:[SUMA 10]]),10))</f>
        <v>3</v>
      </c>
      <c r="M71" s="1">
        <f>IF(pesel__26[[#This Row],[CYFRA KONTROLNA]]=VALUE(RIGHT(A71,1)),0,1)</f>
        <v>0</v>
      </c>
    </row>
    <row r="72" spans="1:13" hidden="1" x14ac:dyDescent="0.25">
      <c r="A72" s="1" t="s">
        <v>70</v>
      </c>
      <c r="B72" s="1">
        <f>VALUE(MID($A72,LEFT(RIGHT(B$1,1),1),1))*VLOOKUP(VALUE(RIGHT(B$1,2)),$O$1:$P$11,2,FALSE)</f>
        <v>8</v>
      </c>
      <c r="C72" s="1">
        <f>VALUE(MID($A72,LEFT(RIGHT(C$1,1),1),1))*VLOOKUP(VALUE(RIGHT(C$1,2)),$O$1:$P$11,2,FALSE)</f>
        <v>27</v>
      </c>
      <c r="D72" s="1">
        <f>VALUE(MID($A72,LEFT(RIGHT(D$1,1),1),1))*VLOOKUP(VALUE(RIGHT(D$1,2)),$O$1:$P$11,2,FALSE)</f>
        <v>0</v>
      </c>
      <c r="E72" s="1">
        <f>VALUE(MID($A72,LEFT(RIGHT(E$1,1),1),1))*VLOOKUP(VALUE(RIGHT(E$1,2)),$O$1:$P$11,2,FALSE)</f>
        <v>72</v>
      </c>
      <c r="F72" s="1">
        <f>VALUE(MID($A72,LEFT(RIGHT(F$1,1),1),1))*VLOOKUP(VALUE(RIGHT(F$1,2)),$O$1:$P$11,2,FALSE)</f>
        <v>1</v>
      </c>
      <c r="G72" s="1">
        <f>VALUE(MID($A72,LEFT(RIGHT(G$1,1),1),1))*VLOOKUP(VALUE(RIGHT(G$1,2)),$O$1:$P$11,2,FALSE)</f>
        <v>15</v>
      </c>
      <c r="H72" s="1">
        <f>VALUE(MID($A72,LEFT(RIGHT(H$1,1),1),1))*VLOOKUP(VALUE(RIGHT(H$1,2)),$O$1:$P$11,2,FALSE)</f>
        <v>7</v>
      </c>
      <c r="I72" s="1">
        <f>VALUE(MID($A72,LEFT(RIGHT(I$1,1),1),1))*VLOOKUP(VALUE(RIGHT(I$1,2)),$O$1:$P$11,2,FALSE)</f>
        <v>81</v>
      </c>
      <c r="J72" s="1">
        <f>VALUE(MID($A72,LEFT(RIGHT(J$1,1),1),1))*VLOOKUP(VALUE(RIGHT(J$1,2)),$O$1:$P$11,2,FALSE)</f>
        <v>8</v>
      </c>
      <c r="K72" s="1">
        <f>VALUE(MID($A72,10,1))*VLOOKUP(VALUE(RIGHT(K$1,2)),$O$1:$P$11,2,FALSE)</f>
        <v>0</v>
      </c>
      <c r="L72" s="1">
        <f>IF(MOD(SUM(pesel__26[[#This Row],[SUMA 1]:[SUMA 10]]),10)=0,0,10-MOD(SUM(pesel__26[[#This Row],[SUMA 1]:[SUMA 10]]),10))</f>
        <v>1</v>
      </c>
      <c r="M72" s="1">
        <f>IF(pesel__26[[#This Row],[CYFRA KONTROLNA]]=VALUE(RIGHT(A72,1)),0,1)</f>
        <v>0</v>
      </c>
    </row>
    <row r="73" spans="1:13" hidden="1" x14ac:dyDescent="0.25">
      <c r="A73" s="1" t="s">
        <v>71</v>
      </c>
      <c r="B73" s="1">
        <f>VALUE(MID($A73,LEFT(RIGHT(B$1,1),1),1))*VLOOKUP(VALUE(RIGHT(B$1,2)),$O$1:$P$11,2,FALSE)</f>
        <v>7</v>
      </c>
      <c r="C73" s="1">
        <f>VALUE(MID($A73,LEFT(RIGHT(C$1,1),1),1))*VLOOKUP(VALUE(RIGHT(C$1,2)),$O$1:$P$11,2,FALSE)</f>
        <v>0</v>
      </c>
      <c r="D73" s="1">
        <f>VALUE(MID($A73,LEFT(RIGHT(D$1,1),1),1))*VLOOKUP(VALUE(RIGHT(D$1,2)),$O$1:$P$11,2,FALSE)</f>
        <v>7</v>
      </c>
      <c r="E73" s="1">
        <f>VALUE(MID($A73,LEFT(RIGHT(E$1,1),1),1))*VLOOKUP(VALUE(RIGHT(E$1,2)),$O$1:$P$11,2,FALSE)</f>
        <v>18</v>
      </c>
      <c r="F73" s="1">
        <f>VALUE(MID($A73,LEFT(RIGHT(F$1,1),1),1))*VLOOKUP(VALUE(RIGHT(F$1,2)),$O$1:$P$11,2,FALSE)</f>
        <v>0</v>
      </c>
      <c r="G73" s="1">
        <f>VALUE(MID($A73,LEFT(RIGHT(G$1,1),1),1))*VLOOKUP(VALUE(RIGHT(G$1,2)),$O$1:$P$11,2,FALSE)</f>
        <v>21</v>
      </c>
      <c r="H73" s="1">
        <f>VALUE(MID($A73,LEFT(RIGHT(H$1,1),1),1))*VLOOKUP(VALUE(RIGHT(H$1,2)),$O$1:$P$11,2,FALSE)</f>
        <v>63</v>
      </c>
      <c r="I73" s="1">
        <f>VALUE(MID($A73,LEFT(RIGHT(I$1,1),1),1))*VLOOKUP(VALUE(RIGHT(I$1,2)),$O$1:$P$11,2,FALSE)</f>
        <v>36</v>
      </c>
      <c r="J73" s="1">
        <f>VALUE(MID($A73,LEFT(RIGHT(J$1,1),1),1))*VLOOKUP(VALUE(RIGHT(J$1,2)),$O$1:$P$11,2,FALSE)</f>
        <v>6</v>
      </c>
      <c r="K73" s="1">
        <f>VALUE(MID($A73,10,1))*VLOOKUP(VALUE(RIGHT(K$1,2)),$O$1:$P$11,2,FALSE)</f>
        <v>9</v>
      </c>
      <c r="L73" s="1">
        <f>IF(MOD(SUM(pesel__26[[#This Row],[SUMA 1]:[SUMA 10]]),10)=0,0,10-MOD(SUM(pesel__26[[#This Row],[SUMA 1]:[SUMA 10]]),10))</f>
        <v>3</v>
      </c>
      <c r="M73" s="1">
        <f>IF(pesel__26[[#This Row],[CYFRA KONTROLNA]]=VALUE(RIGHT(A73,1)),0,1)</f>
        <v>0</v>
      </c>
    </row>
    <row r="74" spans="1:13" hidden="1" x14ac:dyDescent="0.25">
      <c r="A74" s="1" t="s">
        <v>72</v>
      </c>
      <c r="B74" s="1">
        <f>VALUE(MID($A74,LEFT(RIGHT(B$1,1),1),1))*VLOOKUP(VALUE(RIGHT(B$1,2)),$O$1:$P$11,2,FALSE)</f>
        <v>7</v>
      </c>
      <c r="C74" s="1">
        <f>VALUE(MID($A74,LEFT(RIGHT(C$1,1),1),1))*VLOOKUP(VALUE(RIGHT(C$1,2)),$O$1:$P$11,2,FALSE)</f>
        <v>18</v>
      </c>
      <c r="D74" s="1">
        <f>VALUE(MID($A74,LEFT(RIGHT(D$1,1),1),1))*VLOOKUP(VALUE(RIGHT(D$1,2)),$O$1:$P$11,2,FALSE)</f>
        <v>7</v>
      </c>
      <c r="E74" s="1">
        <f>VALUE(MID($A74,LEFT(RIGHT(E$1,1),1),1))*VLOOKUP(VALUE(RIGHT(E$1,2)),$O$1:$P$11,2,FALSE)</f>
        <v>18</v>
      </c>
      <c r="F74" s="1">
        <f>VALUE(MID($A74,LEFT(RIGHT(F$1,1),1),1))*VLOOKUP(VALUE(RIGHT(F$1,2)),$O$1:$P$11,2,FALSE)</f>
        <v>1</v>
      </c>
      <c r="G74" s="1">
        <f>VALUE(MID($A74,LEFT(RIGHT(G$1,1),1),1))*VLOOKUP(VALUE(RIGHT(G$1,2)),$O$1:$P$11,2,FALSE)</f>
        <v>3</v>
      </c>
      <c r="H74" s="1">
        <f>VALUE(MID($A74,LEFT(RIGHT(H$1,1),1),1))*VLOOKUP(VALUE(RIGHT(H$1,2)),$O$1:$P$11,2,FALSE)</f>
        <v>56</v>
      </c>
      <c r="I74" s="1">
        <f>VALUE(MID($A74,LEFT(RIGHT(I$1,1),1),1))*VLOOKUP(VALUE(RIGHT(I$1,2)),$O$1:$P$11,2,FALSE)</f>
        <v>54</v>
      </c>
      <c r="J74" s="1">
        <f>VALUE(MID($A74,LEFT(RIGHT(J$1,1),1),1))*VLOOKUP(VALUE(RIGHT(J$1,2)),$O$1:$P$11,2,FALSE)</f>
        <v>3</v>
      </c>
      <c r="K74" s="1">
        <f>VALUE(MID($A74,10,1))*VLOOKUP(VALUE(RIGHT(K$1,2)),$O$1:$P$11,2,FALSE)</f>
        <v>0</v>
      </c>
      <c r="L74" s="1">
        <f>IF(MOD(SUM(pesel__26[[#This Row],[SUMA 1]:[SUMA 10]]),10)=0,0,10-MOD(SUM(pesel__26[[#This Row],[SUMA 1]:[SUMA 10]]),10))</f>
        <v>3</v>
      </c>
      <c r="M74" s="1">
        <f>IF(pesel__26[[#This Row],[CYFRA KONTROLNA]]=VALUE(RIGHT(A74,1)),0,1)</f>
        <v>0</v>
      </c>
    </row>
    <row r="75" spans="1:13" hidden="1" x14ac:dyDescent="0.25">
      <c r="A75" s="1" t="s">
        <v>73</v>
      </c>
      <c r="B75" s="1">
        <f>VALUE(MID($A75,LEFT(RIGHT(B$1,1),1),1))*VLOOKUP(VALUE(RIGHT(B$1,2)),$O$1:$P$11,2,FALSE)</f>
        <v>7</v>
      </c>
      <c r="C75" s="1">
        <f>VALUE(MID($A75,LEFT(RIGHT(C$1,1),1),1))*VLOOKUP(VALUE(RIGHT(C$1,2)),$O$1:$P$11,2,FALSE)</f>
        <v>6</v>
      </c>
      <c r="D75" s="1">
        <f>VALUE(MID($A75,LEFT(RIGHT(D$1,1),1),1))*VLOOKUP(VALUE(RIGHT(D$1,2)),$O$1:$P$11,2,FALSE)</f>
        <v>0</v>
      </c>
      <c r="E75" s="1">
        <f>VALUE(MID($A75,LEFT(RIGHT(E$1,1),1),1))*VLOOKUP(VALUE(RIGHT(E$1,2)),$O$1:$P$11,2,FALSE)</f>
        <v>27</v>
      </c>
      <c r="F75" s="1">
        <f>VALUE(MID($A75,LEFT(RIGHT(F$1,1),1),1))*VLOOKUP(VALUE(RIGHT(F$1,2)),$O$1:$P$11,2,FALSE)</f>
        <v>1</v>
      </c>
      <c r="G75" s="1">
        <f>VALUE(MID($A75,LEFT(RIGHT(G$1,1),1),1))*VLOOKUP(VALUE(RIGHT(G$1,2)),$O$1:$P$11,2,FALSE)</f>
        <v>0</v>
      </c>
      <c r="H75" s="1">
        <f>VALUE(MID($A75,LEFT(RIGHT(H$1,1),1),1))*VLOOKUP(VALUE(RIGHT(H$1,2)),$O$1:$P$11,2,FALSE)</f>
        <v>63</v>
      </c>
      <c r="I75" s="1">
        <f>VALUE(MID($A75,LEFT(RIGHT(I$1,1),1),1))*VLOOKUP(VALUE(RIGHT(I$1,2)),$O$1:$P$11,2,FALSE)</f>
        <v>54</v>
      </c>
      <c r="J75" s="1">
        <f>VALUE(MID($A75,LEFT(RIGHT(J$1,1),1),1))*VLOOKUP(VALUE(RIGHT(J$1,2)),$O$1:$P$11,2,FALSE)</f>
        <v>7</v>
      </c>
      <c r="K75" s="1">
        <f>VALUE(MID($A75,10,1))*VLOOKUP(VALUE(RIGHT(K$1,2)),$O$1:$P$11,2,FALSE)</f>
        <v>0</v>
      </c>
      <c r="L75" s="1">
        <f>IF(MOD(SUM(pesel__26[[#This Row],[SUMA 1]:[SUMA 10]]),10)=0,0,10-MOD(SUM(pesel__26[[#This Row],[SUMA 1]:[SUMA 10]]),10))</f>
        <v>5</v>
      </c>
      <c r="M75" s="1">
        <f>IF(pesel__26[[#This Row],[CYFRA KONTROLNA]]=VALUE(RIGHT(A75,1)),0,1)</f>
        <v>0</v>
      </c>
    </row>
    <row r="76" spans="1:13" hidden="1" x14ac:dyDescent="0.25">
      <c r="A76" s="1" t="s">
        <v>74</v>
      </c>
      <c r="B76" s="1">
        <f>VALUE(MID($A76,LEFT(RIGHT(B$1,1),1),1))*VLOOKUP(VALUE(RIGHT(B$1,2)),$O$1:$P$11,2,FALSE)</f>
        <v>6</v>
      </c>
      <c r="C76" s="1">
        <f>VALUE(MID($A76,LEFT(RIGHT(C$1,1),1),1))*VLOOKUP(VALUE(RIGHT(C$1,2)),$O$1:$P$11,2,FALSE)</f>
        <v>3</v>
      </c>
      <c r="D76" s="1">
        <f>VALUE(MID($A76,LEFT(RIGHT(D$1,1),1),1))*VLOOKUP(VALUE(RIGHT(D$1,2)),$O$1:$P$11,2,FALSE)</f>
        <v>7</v>
      </c>
      <c r="E76" s="1">
        <f>VALUE(MID($A76,LEFT(RIGHT(E$1,1),1),1))*VLOOKUP(VALUE(RIGHT(E$1,2)),$O$1:$P$11,2,FALSE)</f>
        <v>0</v>
      </c>
      <c r="F76" s="1">
        <f>VALUE(MID($A76,LEFT(RIGHT(F$1,1),1),1))*VLOOKUP(VALUE(RIGHT(F$1,2)),$O$1:$P$11,2,FALSE)</f>
        <v>0</v>
      </c>
      <c r="G76" s="1">
        <f>VALUE(MID($A76,LEFT(RIGHT(G$1,1),1),1))*VLOOKUP(VALUE(RIGHT(G$1,2)),$O$1:$P$11,2,FALSE)</f>
        <v>3</v>
      </c>
      <c r="H76" s="1">
        <f>VALUE(MID($A76,LEFT(RIGHT(H$1,1),1),1))*VLOOKUP(VALUE(RIGHT(H$1,2)),$O$1:$P$11,2,FALSE)</f>
        <v>35</v>
      </c>
      <c r="I76" s="1">
        <f>VALUE(MID($A76,LEFT(RIGHT(I$1,1),1),1))*VLOOKUP(VALUE(RIGHT(I$1,2)),$O$1:$P$11,2,FALSE)</f>
        <v>63</v>
      </c>
      <c r="J76" s="1">
        <f>VALUE(MID($A76,LEFT(RIGHT(J$1,1),1),1))*VLOOKUP(VALUE(RIGHT(J$1,2)),$O$1:$P$11,2,FALSE)</f>
        <v>6</v>
      </c>
      <c r="K76" s="1">
        <f>VALUE(MID($A76,10,1))*VLOOKUP(VALUE(RIGHT(K$1,2)),$O$1:$P$11,2,FALSE)</f>
        <v>15</v>
      </c>
      <c r="L76" s="1">
        <f>IF(MOD(SUM(pesel__26[[#This Row],[SUMA 1]:[SUMA 10]]),10)=0,0,10-MOD(SUM(pesel__26[[#This Row],[SUMA 1]:[SUMA 10]]),10))</f>
        <v>2</v>
      </c>
      <c r="M76" s="1">
        <f>IF(pesel__26[[#This Row],[CYFRA KONTROLNA]]=VALUE(RIGHT(A76,1)),0,1)</f>
        <v>0</v>
      </c>
    </row>
    <row r="77" spans="1:13" hidden="1" x14ac:dyDescent="0.25">
      <c r="A77" s="1" t="s">
        <v>75</v>
      </c>
      <c r="B77" s="1">
        <f>VALUE(MID($A77,LEFT(RIGHT(B$1,1),1),1))*VLOOKUP(VALUE(RIGHT(B$1,2)),$O$1:$P$11,2,FALSE)</f>
        <v>7</v>
      </c>
      <c r="C77" s="1">
        <f>VALUE(MID($A77,LEFT(RIGHT(C$1,1),1),1))*VLOOKUP(VALUE(RIGHT(C$1,2)),$O$1:$P$11,2,FALSE)</f>
        <v>27</v>
      </c>
      <c r="D77" s="1">
        <f>VALUE(MID($A77,LEFT(RIGHT(D$1,1),1),1))*VLOOKUP(VALUE(RIGHT(D$1,2)),$O$1:$P$11,2,FALSE)</f>
        <v>0</v>
      </c>
      <c r="E77" s="1">
        <f>VALUE(MID($A77,LEFT(RIGHT(E$1,1),1),1))*VLOOKUP(VALUE(RIGHT(E$1,2)),$O$1:$P$11,2,FALSE)</f>
        <v>9</v>
      </c>
      <c r="F77" s="1">
        <f>VALUE(MID($A77,LEFT(RIGHT(F$1,1),1),1))*VLOOKUP(VALUE(RIGHT(F$1,2)),$O$1:$P$11,2,FALSE)</f>
        <v>2</v>
      </c>
      <c r="G77" s="1">
        <f>VALUE(MID($A77,LEFT(RIGHT(G$1,1),1),1))*VLOOKUP(VALUE(RIGHT(G$1,2)),$O$1:$P$11,2,FALSE)</f>
        <v>15</v>
      </c>
      <c r="H77" s="1">
        <f>VALUE(MID($A77,LEFT(RIGHT(H$1,1),1),1))*VLOOKUP(VALUE(RIGHT(H$1,2)),$O$1:$P$11,2,FALSE)</f>
        <v>42</v>
      </c>
      <c r="I77" s="1">
        <f>VALUE(MID($A77,LEFT(RIGHT(I$1,1),1),1))*VLOOKUP(VALUE(RIGHT(I$1,2)),$O$1:$P$11,2,FALSE)</f>
        <v>36</v>
      </c>
      <c r="J77" s="1">
        <f>VALUE(MID($A77,LEFT(RIGHT(J$1,1),1),1))*VLOOKUP(VALUE(RIGHT(J$1,2)),$O$1:$P$11,2,FALSE)</f>
        <v>4</v>
      </c>
      <c r="K77" s="1">
        <f>VALUE(MID($A77,10,1))*VLOOKUP(VALUE(RIGHT(K$1,2)),$O$1:$P$11,2,FALSE)</f>
        <v>24</v>
      </c>
      <c r="L77" s="1">
        <f>IF(MOD(SUM(pesel__26[[#This Row],[SUMA 1]:[SUMA 10]]),10)=0,0,10-MOD(SUM(pesel__26[[#This Row],[SUMA 1]:[SUMA 10]]),10))</f>
        <v>4</v>
      </c>
      <c r="M77" s="1">
        <f>IF(pesel__26[[#This Row],[CYFRA KONTROLNA]]=VALUE(RIGHT(A77,1)),0,1)</f>
        <v>0</v>
      </c>
    </row>
    <row r="78" spans="1:13" hidden="1" x14ac:dyDescent="0.25">
      <c r="A78" s="1" t="s">
        <v>76</v>
      </c>
      <c r="B78" s="1">
        <f>VALUE(MID($A78,LEFT(RIGHT(B$1,1),1),1))*VLOOKUP(VALUE(RIGHT(B$1,2)),$O$1:$P$11,2,FALSE)</f>
        <v>8</v>
      </c>
      <c r="C78" s="1">
        <f>VALUE(MID($A78,LEFT(RIGHT(C$1,1),1),1))*VLOOKUP(VALUE(RIGHT(C$1,2)),$O$1:$P$11,2,FALSE)</f>
        <v>24</v>
      </c>
      <c r="D78" s="1">
        <f>VALUE(MID($A78,LEFT(RIGHT(D$1,1),1),1))*VLOOKUP(VALUE(RIGHT(D$1,2)),$O$1:$P$11,2,FALSE)</f>
        <v>7</v>
      </c>
      <c r="E78" s="1">
        <f>VALUE(MID($A78,LEFT(RIGHT(E$1,1),1),1))*VLOOKUP(VALUE(RIGHT(E$1,2)),$O$1:$P$11,2,FALSE)</f>
        <v>9</v>
      </c>
      <c r="F78" s="1">
        <f>VALUE(MID($A78,LEFT(RIGHT(F$1,1),1),1))*VLOOKUP(VALUE(RIGHT(F$1,2)),$O$1:$P$11,2,FALSE)</f>
        <v>1</v>
      </c>
      <c r="G78" s="1">
        <f>VALUE(MID($A78,LEFT(RIGHT(G$1,1),1),1))*VLOOKUP(VALUE(RIGHT(G$1,2)),$O$1:$P$11,2,FALSE)</f>
        <v>0</v>
      </c>
      <c r="H78" s="1">
        <f>VALUE(MID($A78,LEFT(RIGHT(H$1,1),1),1))*VLOOKUP(VALUE(RIGHT(H$1,2)),$O$1:$P$11,2,FALSE)</f>
        <v>63</v>
      </c>
      <c r="I78" s="1">
        <f>VALUE(MID($A78,LEFT(RIGHT(I$1,1),1),1))*VLOOKUP(VALUE(RIGHT(I$1,2)),$O$1:$P$11,2,FALSE)</f>
        <v>36</v>
      </c>
      <c r="J78" s="1">
        <f>VALUE(MID($A78,LEFT(RIGHT(J$1,1),1),1))*VLOOKUP(VALUE(RIGHT(J$1,2)),$O$1:$P$11,2,FALSE)</f>
        <v>5</v>
      </c>
      <c r="K78" s="1">
        <f>VALUE(MID($A78,10,1))*VLOOKUP(VALUE(RIGHT(K$1,2)),$O$1:$P$11,2,FALSE)</f>
        <v>12</v>
      </c>
      <c r="L78" s="1">
        <f>IF(MOD(SUM(pesel__26[[#This Row],[SUMA 1]:[SUMA 10]]),10)=0,0,10-MOD(SUM(pesel__26[[#This Row],[SUMA 1]:[SUMA 10]]),10))</f>
        <v>5</v>
      </c>
      <c r="M78" s="1">
        <f>IF(pesel__26[[#This Row],[CYFRA KONTROLNA]]=VALUE(RIGHT(A78,1)),0,1)</f>
        <v>0</v>
      </c>
    </row>
    <row r="79" spans="1:13" hidden="1" x14ac:dyDescent="0.25">
      <c r="A79" s="1" t="s">
        <v>77</v>
      </c>
      <c r="B79" s="1">
        <f>VALUE(MID($A79,LEFT(RIGHT(B$1,1),1),1))*VLOOKUP(VALUE(RIGHT(B$1,2)),$O$1:$P$11,2,FALSE)</f>
        <v>8</v>
      </c>
      <c r="C79" s="1">
        <f>VALUE(MID($A79,LEFT(RIGHT(C$1,1),1),1))*VLOOKUP(VALUE(RIGHT(C$1,2)),$O$1:$P$11,2,FALSE)</f>
        <v>27</v>
      </c>
      <c r="D79" s="1">
        <f>VALUE(MID($A79,LEFT(RIGHT(D$1,1),1),1))*VLOOKUP(VALUE(RIGHT(D$1,2)),$O$1:$P$11,2,FALSE)</f>
        <v>0</v>
      </c>
      <c r="E79" s="1">
        <f>VALUE(MID($A79,LEFT(RIGHT(E$1,1),1),1))*VLOOKUP(VALUE(RIGHT(E$1,2)),$O$1:$P$11,2,FALSE)</f>
        <v>36</v>
      </c>
      <c r="F79" s="1">
        <f>VALUE(MID($A79,LEFT(RIGHT(F$1,1),1),1))*VLOOKUP(VALUE(RIGHT(F$1,2)),$O$1:$P$11,2,FALSE)</f>
        <v>0</v>
      </c>
      <c r="G79" s="1">
        <f>VALUE(MID($A79,LEFT(RIGHT(G$1,1),1),1))*VLOOKUP(VALUE(RIGHT(G$1,2)),$O$1:$P$11,2,FALSE)</f>
        <v>24</v>
      </c>
      <c r="H79" s="1">
        <f>VALUE(MID($A79,LEFT(RIGHT(H$1,1),1),1))*VLOOKUP(VALUE(RIGHT(H$1,2)),$O$1:$P$11,2,FALSE)</f>
        <v>49</v>
      </c>
      <c r="I79" s="1">
        <f>VALUE(MID($A79,LEFT(RIGHT(I$1,1),1),1))*VLOOKUP(VALUE(RIGHT(I$1,2)),$O$1:$P$11,2,FALSE)</f>
        <v>54</v>
      </c>
      <c r="J79" s="1">
        <f>VALUE(MID($A79,LEFT(RIGHT(J$1,1),1),1))*VLOOKUP(VALUE(RIGHT(J$1,2)),$O$1:$P$11,2,FALSE)</f>
        <v>4</v>
      </c>
      <c r="K79" s="1">
        <f>VALUE(MID($A79,10,1))*VLOOKUP(VALUE(RIGHT(K$1,2)),$O$1:$P$11,2,FALSE)</f>
        <v>15</v>
      </c>
      <c r="L79" s="1">
        <f>IF(MOD(SUM(pesel__26[[#This Row],[SUMA 1]:[SUMA 10]]),10)=0,0,10-MOD(SUM(pesel__26[[#This Row],[SUMA 1]:[SUMA 10]]),10))</f>
        <v>3</v>
      </c>
      <c r="M79" s="1">
        <f>IF(pesel__26[[#This Row],[CYFRA KONTROLNA]]=VALUE(RIGHT(A79,1)),0,1)</f>
        <v>0</v>
      </c>
    </row>
    <row r="80" spans="1:13" hidden="1" x14ac:dyDescent="0.25">
      <c r="A80" s="1" t="s">
        <v>78</v>
      </c>
      <c r="B80" s="1">
        <f>VALUE(MID($A80,LEFT(RIGHT(B$1,1),1),1))*VLOOKUP(VALUE(RIGHT(B$1,2)),$O$1:$P$11,2,FALSE)</f>
        <v>8</v>
      </c>
      <c r="C80" s="1">
        <f>VALUE(MID($A80,LEFT(RIGHT(C$1,1),1),1))*VLOOKUP(VALUE(RIGHT(C$1,2)),$O$1:$P$11,2,FALSE)</f>
        <v>27</v>
      </c>
      <c r="D80" s="1">
        <f>VALUE(MID($A80,LEFT(RIGHT(D$1,1),1),1))*VLOOKUP(VALUE(RIGHT(D$1,2)),$O$1:$P$11,2,FALSE)</f>
        <v>7</v>
      </c>
      <c r="E80" s="1">
        <f>VALUE(MID($A80,LEFT(RIGHT(E$1,1),1),1))*VLOOKUP(VALUE(RIGHT(E$1,2)),$O$1:$P$11,2,FALSE)</f>
        <v>18</v>
      </c>
      <c r="F80" s="1">
        <f>VALUE(MID($A80,LEFT(RIGHT(F$1,1),1),1))*VLOOKUP(VALUE(RIGHT(F$1,2)),$O$1:$P$11,2,FALSE)</f>
        <v>0</v>
      </c>
      <c r="G80" s="1">
        <f>VALUE(MID($A80,LEFT(RIGHT(G$1,1),1),1))*VLOOKUP(VALUE(RIGHT(G$1,2)),$O$1:$P$11,2,FALSE)</f>
        <v>27</v>
      </c>
      <c r="H80" s="1">
        <f>VALUE(MID($A80,LEFT(RIGHT(H$1,1),1),1))*VLOOKUP(VALUE(RIGHT(H$1,2)),$O$1:$P$11,2,FALSE)</f>
        <v>35</v>
      </c>
      <c r="I80" s="1">
        <f>VALUE(MID($A80,LEFT(RIGHT(I$1,1),1),1))*VLOOKUP(VALUE(RIGHT(I$1,2)),$O$1:$P$11,2,FALSE)</f>
        <v>18</v>
      </c>
      <c r="J80" s="1">
        <f>VALUE(MID($A80,LEFT(RIGHT(J$1,1),1),1))*VLOOKUP(VALUE(RIGHT(J$1,2)),$O$1:$P$11,2,FALSE)</f>
        <v>1</v>
      </c>
      <c r="K80" s="1">
        <f>VALUE(MID($A80,10,1))*VLOOKUP(VALUE(RIGHT(K$1,2)),$O$1:$P$11,2,FALSE)</f>
        <v>18</v>
      </c>
      <c r="L80" s="1">
        <f>IF(MOD(SUM(pesel__26[[#This Row],[SUMA 1]:[SUMA 10]]),10)=0,0,10-MOD(SUM(pesel__26[[#This Row],[SUMA 1]:[SUMA 10]]),10))</f>
        <v>1</v>
      </c>
      <c r="M80" s="1">
        <f>IF(pesel__26[[#This Row],[CYFRA KONTROLNA]]=VALUE(RIGHT(A80,1)),0,1)</f>
        <v>0</v>
      </c>
    </row>
    <row r="81" spans="1:13" hidden="1" x14ac:dyDescent="0.25">
      <c r="A81" s="1" t="s">
        <v>79</v>
      </c>
      <c r="B81" s="1">
        <f>VALUE(MID($A81,LEFT(RIGHT(B$1,1),1),1))*VLOOKUP(VALUE(RIGHT(B$1,2)),$O$1:$P$11,2,FALSE)</f>
        <v>5</v>
      </c>
      <c r="C81" s="1">
        <f>VALUE(MID($A81,LEFT(RIGHT(C$1,1),1),1))*VLOOKUP(VALUE(RIGHT(C$1,2)),$O$1:$P$11,2,FALSE)</f>
        <v>27</v>
      </c>
      <c r="D81" s="1">
        <f>VALUE(MID($A81,LEFT(RIGHT(D$1,1),1),1))*VLOOKUP(VALUE(RIGHT(D$1,2)),$O$1:$P$11,2,FALSE)</f>
        <v>0</v>
      </c>
      <c r="E81" s="1">
        <f>VALUE(MID($A81,LEFT(RIGHT(E$1,1),1),1))*VLOOKUP(VALUE(RIGHT(E$1,2)),$O$1:$P$11,2,FALSE)</f>
        <v>72</v>
      </c>
      <c r="F81" s="1">
        <f>VALUE(MID($A81,LEFT(RIGHT(F$1,1),1),1))*VLOOKUP(VALUE(RIGHT(F$1,2)),$O$1:$P$11,2,FALSE)</f>
        <v>3</v>
      </c>
      <c r="G81" s="1">
        <f>VALUE(MID($A81,LEFT(RIGHT(G$1,1),1),1))*VLOOKUP(VALUE(RIGHT(G$1,2)),$O$1:$P$11,2,FALSE)</f>
        <v>0</v>
      </c>
      <c r="H81" s="1">
        <f>VALUE(MID($A81,LEFT(RIGHT(H$1,1),1),1))*VLOOKUP(VALUE(RIGHT(H$1,2)),$O$1:$P$11,2,FALSE)</f>
        <v>21</v>
      </c>
      <c r="I81" s="1">
        <f>VALUE(MID($A81,LEFT(RIGHT(I$1,1),1),1))*VLOOKUP(VALUE(RIGHT(I$1,2)),$O$1:$P$11,2,FALSE)</f>
        <v>54</v>
      </c>
      <c r="J81" s="1">
        <f>VALUE(MID($A81,LEFT(RIGHT(J$1,1),1),1))*VLOOKUP(VALUE(RIGHT(J$1,2)),$O$1:$P$11,2,FALSE)</f>
        <v>0</v>
      </c>
      <c r="K81" s="1">
        <f>VALUE(MID($A81,10,1))*VLOOKUP(VALUE(RIGHT(K$1,2)),$O$1:$P$11,2,FALSE)</f>
        <v>21</v>
      </c>
      <c r="L81" s="1">
        <f>IF(MOD(SUM(pesel__26[[#This Row],[SUMA 1]:[SUMA 10]]),10)=0,0,10-MOD(SUM(pesel__26[[#This Row],[SUMA 1]:[SUMA 10]]),10))</f>
        <v>7</v>
      </c>
      <c r="M81" s="1">
        <f>IF(pesel__26[[#This Row],[CYFRA KONTROLNA]]=VALUE(RIGHT(A81,1)),0,1)</f>
        <v>0</v>
      </c>
    </row>
    <row r="82" spans="1:13" hidden="1" x14ac:dyDescent="0.25">
      <c r="A82" s="1" t="s">
        <v>80</v>
      </c>
      <c r="B82" s="1">
        <f>VALUE(MID($A82,LEFT(RIGHT(B$1,1),1),1))*VLOOKUP(VALUE(RIGHT(B$1,2)),$O$1:$P$11,2,FALSE)</f>
        <v>6</v>
      </c>
      <c r="C82" s="1">
        <f>VALUE(MID($A82,LEFT(RIGHT(C$1,1),1),1))*VLOOKUP(VALUE(RIGHT(C$1,2)),$O$1:$P$11,2,FALSE)</f>
        <v>3</v>
      </c>
      <c r="D82" s="1">
        <f>VALUE(MID($A82,LEFT(RIGHT(D$1,1),1),1))*VLOOKUP(VALUE(RIGHT(D$1,2)),$O$1:$P$11,2,FALSE)</f>
        <v>7</v>
      </c>
      <c r="E82" s="1">
        <f>VALUE(MID($A82,LEFT(RIGHT(E$1,1),1),1))*VLOOKUP(VALUE(RIGHT(E$1,2)),$O$1:$P$11,2,FALSE)</f>
        <v>18</v>
      </c>
      <c r="F82" s="1">
        <f>VALUE(MID($A82,LEFT(RIGHT(F$1,1),1),1))*VLOOKUP(VALUE(RIGHT(F$1,2)),$O$1:$P$11,2,FALSE)</f>
        <v>1</v>
      </c>
      <c r="G82" s="1">
        <f>VALUE(MID($A82,LEFT(RIGHT(G$1,1),1),1))*VLOOKUP(VALUE(RIGHT(G$1,2)),$O$1:$P$11,2,FALSE)</f>
        <v>0</v>
      </c>
      <c r="H82" s="1">
        <f>VALUE(MID($A82,LEFT(RIGHT(H$1,1),1),1))*VLOOKUP(VALUE(RIGHT(H$1,2)),$O$1:$P$11,2,FALSE)</f>
        <v>14</v>
      </c>
      <c r="I82" s="1">
        <f>VALUE(MID($A82,LEFT(RIGHT(I$1,1),1),1))*VLOOKUP(VALUE(RIGHT(I$1,2)),$O$1:$P$11,2,FALSE)</f>
        <v>0</v>
      </c>
      <c r="J82" s="1">
        <f>VALUE(MID($A82,LEFT(RIGHT(J$1,1),1),1))*VLOOKUP(VALUE(RIGHT(J$1,2)),$O$1:$P$11,2,FALSE)</f>
        <v>4</v>
      </c>
      <c r="K82" s="1">
        <f>VALUE(MID($A82,10,1))*VLOOKUP(VALUE(RIGHT(K$1,2)),$O$1:$P$11,2,FALSE)</f>
        <v>18</v>
      </c>
      <c r="L82" s="1">
        <f>IF(MOD(SUM(pesel__26[[#This Row],[SUMA 1]:[SUMA 10]]),10)=0,0,10-MOD(SUM(pesel__26[[#This Row],[SUMA 1]:[SUMA 10]]),10))</f>
        <v>9</v>
      </c>
      <c r="M82" s="1">
        <f>IF(pesel__26[[#This Row],[CYFRA KONTROLNA]]=VALUE(RIGHT(A82,1)),0,1)</f>
        <v>0</v>
      </c>
    </row>
    <row r="83" spans="1:13" hidden="1" x14ac:dyDescent="0.25">
      <c r="A83" s="1" t="s">
        <v>81</v>
      </c>
      <c r="B83" s="1">
        <f>VALUE(MID($A83,LEFT(RIGHT(B$1,1),1),1))*VLOOKUP(VALUE(RIGHT(B$1,2)),$O$1:$P$11,2,FALSE)</f>
        <v>8</v>
      </c>
      <c r="C83" s="1">
        <f>VALUE(MID($A83,LEFT(RIGHT(C$1,1),1),1))*VLOOKUP(VALUE(RIGHT(C$1,2)),$O$1:$P$11,2,FALSE)</f>
        <v>27</v>
      </c>
      <c r="D83" s="1">
        <f>VALUE(MID($A83,LEFT(RIGHT(D$1,1),1),1))*VLOOKUP(VALUE(RIGHT(D$1,2)),$O$1:$P$11,2,FALSE)</f>
        <v>0</v>
      </c>
      <c r="E83" s="1">
        <f>VALUE(MID($A83,LEFT(RIGHT(E$1,1),1),1))*VLOOKUP(VALUE(RIGHT(E$1,2)),$O$1:$P$11,2,FALSE)</f>
        <v>36</v>
      </c>
      <c r="F83" s="1">
        <f>VALUE(MID($A83,LEFT(RIGHT(F$1,1),1),1))*VLOOKUP(VALUE(RIGHT(F$1,2)),$O$1:$P$11,2,FALSE)</f>
        <v>0</v>
      </c>
      <c r="G83" s="1">
        <f>VALUE(MID($A83,LEFT(RIGHT(G$1,1),1),1))*VLOOKUP(VALUE(RIGHT(G$1,2)),$O$1:$P$11,2,FALSE)</f>
        <v>3</v>
      </c>
      <c r="H83" s="1">
        <f>VALUE(MID($A83,LEFT(RIGHT(H$1,1),1),1))*VLOOKUP(VALUE(RIGHT(H$1,2)),$O$1:$P$11,2,FALSE)</f>
        <v>56</v>
      </c>
      <c r="I83" s="1">
        <f>VALUE(MID($A83,LEFT(RIGHT(I$1,1),1),1))*VLOOKUP(VALUE(RIGHT(I$1,2)),$O$1:$P$11,2,FALSE)</f>
        <v>45</v>
      </c>
      <c r="J83" s="1">
        <f>VALUE(MID($A83,LEFT(RIGHT(J$1,1),1),1))*VLOOKUP(VALUE(RIGHT(J$1,2)),$O$1:$P$11,2,FALSE)</f>
        <v>2</v>
      </c>
      <c r="K83" s="1">
        <f>VALUE(MID($A83,10,1))*VLOOKUP(VALUE(RIGHT(K$1,2)),$O$1:$P$11,2,FALSE)</f>
        <v>12</v>
      </c>
      <c r="L83" s="1">
        <f>IF(MOD(SUM(pesel__26[[#This Row],[SUMA 1]:[SUMA 10]]),10)=0,0,10-MOD(SUM(pesel__26[[#This Row],[SUMA 1]:[SUMA 10]]),10))</f>
        <v>1</v>
      </c>
      <c r="M83" s="1">
        <f>IF(pesel__26[[#This Row],[CYFRA KONTROLNA]]=VALUE(RIGHT(A83,1)),0,1)</f>
        <v>0</v>
      </c>
    </row>
    <row r="84" spans="1:13" hidden="1" x14ac:dyDescent="0.25">
      <c r="A84" s="1" t="s">
        <v>82</v>
      </c>
      <c r="B84" s="1">
        <f>VALUE(MID($A84,LEFT(RIGHT(B$1,1),1),1))*VLOOKUP(VALUE(RIGHT(B$1,2)),$O$1:$P$11,2,FALSE)</f>
        <v>8</v>
      </c>
      <c r="C84" s="1">
        <f>VALUE(MID($A84,LEFT(RIGHT(C$1,1),1),1))*VLOOKUP(VALUE(RIGHT(C$1,2)),$O$1:$P$11,2,FALSE)</f>
        <v>24</v>
      </c>
      <c r="D84" s="1">
        <f>VALUE(MID($A84,LEFT(RIGHT(D$1,1),1),1))*VLOOKUP(VALUE(RIGHT(D$1,2)),$O$1:$P$11,2,FALSE)</f>
        <v>0</v>
      </c>
      <c r="E84" s="1">
        <f>VALUE(MID($A84,LEFT(RIGHT(E$1,1),1),1))*VLOOKUP(VALUE(RIGHT(E$1,2)),$O$1:$P$11,2,FALSE)</f>
        <v>72</v>
      </c>
      <c r="F84" s="1">
        <f>VALUE(MID($A84,LEFT(RIGHT(F$1,1),1),1))*VLOOKUP(VALUE(RIGHT(F$1,2)),$O$1:$P$11,2,FALSE)</f>
        <v>0</v>
      </c>
      <c r="G84" s="1">
        <f>VALUE(MID($A84,LEFT(RIGHT(G$1,1),1),1))*VLOOKUP(VALUE(RIGHT(G$1,2)),$O$1:$P$11,2,FALSE)</f>
        <v>12</v>
      </c>
      <c r="H84" s="1">
        <f>VALUE(MID($A84,LEFT(RIGHT(H$1,1),1),1))*VLOOKUP(VALUE(RIGHT(H$1,2)),$O$1:$P$11,2,FALSE)</f>
        <v>7</v>
      </c>
      <c r="I84" s="1">
        <f>VALUE(MID($A84,LEFT(RIGHT(I$1,1),1),1))*VLOOKUP(VALUE(RIGHT(I$1,2)),$O$1:$P$11,2,FALSE)</f>
        <v>54</v>
      </c>
      <c r="J84" s="1">
        <f>VALUE(MID($A84,LEFT(RIGHT(J$1,1),1),1))*VLOOKUP(VALUE(RIGHT(J$1,2)),$O$1:$P$11,2,FALSE)</f>
        <v>2</v>
      </c>
      <c r="K84" s="1">
        <f>VALUE(MID($A84,10,1))*VLOOKUP(VALUE(RIGHT(K$1,2)),$O$1:$P$11,2,FALSE)</f>
        <v>15</v>
      </c>
      <c r="L84" s="1">
        <f>IF(MOD(SUM(pesel__26[[#This Row],[SUMA 1]:[SUMA 10]]),10)=0,0,10-MOD(SUM(pesel__26[[#This Row],[SUMA 1]:[SUMA 10]]),10))</f>
        <v>6</v>
      </c>
      <c r="M84" s="1">
        <f>IF(pesel__26[[#This Row],[CYFRA KONTROLNA]]=VALUE(RIGHT(A84,1)),0,1)</f>
        <v>0</v>
      </c>
    </row>
    <row r="85" spans="1:13" hidden="1" x14ac:dyDescent="0.25">
      <c r="A85" s="1" t="s">
        <v>83</v>
      </c>
      <c r="B85" s="1">
        <f>VALUE(MID($A85,LEFT(RIGHT(B$1,1),1),1))*VLOOKUP(VALUE(RIGHT(B$1,2)),$O$1:$P$11,2,FALSE)</f>
        <v>6</v>
      </c>
      <c r="C85" s="1">
        <f>VALUE(MID($A85,LEFT(RIGHT(C$1,1),1),1))*VLOOKUP(VALUE(RIGHT(C$1,2)),$O$1:$P$11,2,FALSE)</f>
        <v>3</v>
      </c>
      <c r="D85" s="1">
        <f>VALUE(MID($A85,LEFT(RIGHT(D$1,1),1),1))*VLOOKUP(VALUE(RIGHT(D$1,2)),$O$1:$P$11,2,FALSE)</f>
        <v>0</v>
      </c>
      <c r="E85" s="1">
        <f>VALUE(MID($A85,LEFT(RIGHT(E$1,1),1),1))*VLOOKUP(VALUE(RIGHT(E$1,2)),$O$1:$P$11,2,FALSE)</f>
        <v>27</v>
      </c>
      <c r="F85" s="1">
        <f>VALUE(MID($A85,LEFT(RIGHT(F$1,1),1),1))*VLOOKUP(VALUE(RIGHT(F$1,2)),$O$1:$P$11,2,FALSE)</f>
        <v>2</v>
      </c>
      <c r="G85" s="1">
        <f>VALUE(MID($A85,LEFT(RIGHT(G$1,1),1),1))*VLOOKUP(VALUE(RIGHT(G$1,2)),$O$1:$P$11,2,FALSE)</f>
        <v>12</v>
      </c>
      <c r="H85" s="1">
        <f>VALUE(MID($A85,LEFT(RIGHT(H$1,1),1),1))*VLOOKUP(VALUE(RIGHT(H$1,2)),$O$1:$P$11,2,FALSE)</f>
        <v>49</v>
      </c>
      <c r="I85" s="1">
        <f>VALUE(MID($A85,LEFT(RIGHT(I$1,1),1),1))*VLOOKUP(VALUE(RIGHT(I$1,2)),$O$1:$P$11,2,FALSE)</f>
        <v>81</v>
      </c>
      <c r="J85" s="1">
        <f>VALUE(MID($A85,LEFT(RIGHT(J$1,1),1),1))*VLOOKUP(VALUE(RIGHT(J$1,2)),$O$1:$P$11,2,FALSE)</f>
        <v>1</v>
      </c>
      <c r="K85" s="1">
        <f>VALUE(MID($A85,10,1))*VLOOKUP(VALUE(RIGHT(K$1,2)),$O$1:$P$11,2,FALSE)</f>
        <v>3</v>
      </c>
      <c r="L85" s="1">
        <f>IF(MOD(SUM(pesel__26[[#This Row],[SUMA 1]:[SUMA 10]]),10)=0,0,10-MOD(SUM(pesel__26[[#This Row],[SUMA 1]:[SUMA 10]]),10))</f>
        <v>6</v>
      </c>
      <c r="M85" s="1">
        <f>IF(pesel__26[[#This Row],[CYFRA KONTROLNA]]=VALUE(RIGHT(A85,1)),0,1)</f>
        <v>0</v>
      </c>
    </row>
    <row r="86" spans="1:13" hidden="1" x14ac:dyDescent="0.25">
      <c r="A86" s="1" t="s">
        <v>84</v>
      </c>
      <c r="B86" s="1">
        <f>VALUE(MID($A86,LEFT(RIGHT(B$1,1),1),1))*VLOOKUP(VALUE(RIGHT(B$1,2)),$O$1:$P$11,2,FALSE)</f>
        <v>5</v>
      </c>
      <c r="C86" s="1">
        <f>VALUE(MID($A86,LEFT(RIGHT(C$1,1),1),1))*VLOOKUP(VALUE(RIGHT(C$1,2)),$O$1:$P$11,2,FALSE)</f>
        <v>12</v>
      </c>
      <c r="D86" s="1">
        <f>VALUE(MID($A86,LEFT(RIGHT(D$1,1),1),1))*VLOOKUP(VALUE(RIGHT(D$1,2)),$O$1:$P$11,2,FALSE)</f>
        <v>0</v>
      </c>
      <c r="E86" s="1">
        <f>VALUE(MID($A86,LEFT(RIGHT(E$1,1),1),1))*VLOOKUP(VALUE(RIGHT(E$1,2)),$O$1:$P$11,2,FALSE)</f>
        <v>18</v>
      </c>
      <c r="F86" s="1">
        <f>VALUE(MID($A86,LEFT(RIGHT(F$1,1),1),1))*VLOOKUP(VALUE(RIGHT(F$1,2)),$O$1:$P$11,2,FALSE)</f>
        <v>0</v>
      </c>
      <c r="G86" s="1">
        <f>VALUE(MID($A86,LEFT(RIGHT(G$1,1),1),1))*VLOOKUP(VALUE(RIGHT(G$1,2)),$O$1:$P$11,2,FALSE)</f>
        <v>24</v>
      </c>
      <c r="H86" s="1">
        <f>VALUE(MID($A86,LEFT(RIGHT(H$1,1),1),1))*VLOOKUP(VALUE(RIGHT(H$1,2)),$O$1:$P$11,2,FALSE)</f>
        <v>21</v>
      </c>
      <c r="I86" s="1">
        <f>VALUE(MID($A86,LEFT(RIGHT(I$1,1),1),1))*VLOOKUP(VALUE(RIGHT(I$1,2)),$O$1:$P$11,2,FALSE)</f>
        <v>63</v>
      </c>
      <c r="J86" s="1">
        <f>VALUE(MID($A86,LEFT(RIGHT(J$1,1),1),1))*VLOOKUP(VALUE(RIGHT(J$1,2)),$O$1:$P$11,2,FALSE)</f>
        <v>1</v>
      </c>
      <c r="K86" s="1">
        <f>VALUE(MID($A86,10,1))*VLOOKUP(VALUE(RIGHT(K$1,2)),$O$1:$P$11,2,FALSE)</f>
        <v>9</v>
      </c>
      <c r="L86" s="1">
        <f>IF(MOD(SUM(pesel__26[[#This Row],[SUMA 1]:[SUMA 10]]),10)=0,0,10-MOD(SUM(pesel__26[[#This Row],[SUMA 1]:[SUMA 10]]),10))</f>
        <v>7</v>
      </c>
      <c r="M86" s="1">
        <f>IF(pesel__26[[#This Row],[CYFRA KONTROLNA]]=VALUE(RIGHT(A86,1)),0,1)</f>
        <v>0</v>
      </c>
    </row>
    <row r="87" spans="1:13" hidden="1" x14ac:dyDescent="0.25">
      <c r="A87" s="1" t="s">
        <v>85</v>
      </c>
      <c r="B87" s="1">
        <f>VALUE(MID($A87,LEFT(RIGHT(B$1,1),1),1))*VLOOKUP(VALUE(RIGHT(B$1,2)),$O$1:$P$11,2,FALSE)</f>
        <v>8</v>
      </c>
      <c r="C87" s="1">
        <f>VALUE(MID($A87,LEFT(RIGHT(C$1,1),1),1))*VLOOKUP(VALUE(RIGHT(C$1,2)),$O$1:$P$11,2,FALSE)</f>
        <v>21</v>
      </c>
      <c r="D87" s="1">
        <f>VALUE(MID($A87,LEFT(RIGHT(D$1,1),1),1))*VLOOKUP(VALUE(RIGHT(D$1,2)),$O$1:$P$11,2,FALSE)</f>
        <v>0</v>
      </c>
      <c r="E87" s="1">
        <f>VALUE(MID($A87,LEFT(RIGHT(E$1,1),1),1))*VLOOKUP(VALUE(RIGHT(E$1,2)),$O$1:$P$11,2,FALSE)</f>
        <v>63</v>
      </c>
      <c r="F87" s="1">
        <f>VALUE(MID($A87,LEFT(RIGHT(F$1,1),1),1))*VLOOKUP(VALUE(RIGHT(F$1,2)),$O$1:$P$11,2,FALSE)</f>
        <v>2</v>
      </c>
      <c r="G87" s="1">
        <f>VALUE(MID($A87,LEFT(RIGHT(G$1,1),1),1))*VLOOKUP(VALUE(RIGHT(G$1,2)),$O$1:$P$11,2,FALSE)</f>
        <v>21</v>
      </c>
      <c r="H87" s="1">
        <f>VALUE(MID($A87,LEFT(RIGHT(H$1,1),1),1))*VLOOKUP(VALUE(RIGHT(H$1,2)),$O$1:$P$11,2,FALSE)</f>
        <v>14</v>
      </c>
      <c r="I87" s="1">
        <f>VALUE(MID($A87,LEFT(RIGHT(I$1,1),1),1))*VLOOKUP(VALUE(RIGHT(I$1,2)),$O$1:$P$11,2,FALSE)</f>
        <v>36</v>
      </c>
      <c r="J87" s="1">
        <f>VALUE(MID($A87,LEFT(RIGHT(J$1,1),1),1))*VLOOKUP(VALUE(RIGHT(J$1,2)),$O$1:$P$11,2,FALSE)</f>
        <v>2</v>
      </c>
      <c r="K87" s="1">
        <f>VALUE(MID($A87,10,1))*VLOOKUP(VALUE(RIGHT(K$1,2)),$O$1:$P$11,2,FALSE)</f>
        <v>24</v>
      </c>
      <c r="L87" s="1">
        <f>IF(MOD(SUM(pesel__26[[#This Row],[SUMA 1]:[SUMA 10]]),10)=0,0,10-MOD(SUM(pesel__26[[#This Row],[SUMA 1]:[SUMA 10]]),10))</f>
        <v>9</v>
      </c>
      <c r="M87" s="1">
        <f>IF(pesel__26[[#This Row],[CYFRA KONTROLNA]]=VALUE(RIGHT(A87,1)),0,1)</f>
        <v>0</v>
      </c>
    </row>
    <row r="88" spans="1:13" hidden="1" x14ac:dyDescent="0.25">
      <c r="A88" s="1" t="s">
        <v>86</v>
      </c>
      <c r="B88" s="1">
        <f>VALUE(MID($A88,LEFT(RIGHT(B$1,1),1),1))*VLOOKUP(VALUE(RIGHT(B$1,2)),$O$1:$P$11,2,FALSE)</f>
        <v>8</v>
      </c>
      <c r="C88" s="1">
        <f>VALUE(MID($A88,LEFT(RIGHT(C$1,1),1),1))*VLOOKUP(VALUE(RIGHT(C$1,2)),$O$1:$P$11,2,FALSE)</f>
        <v>24</v>
      </c>
      <c r="D88" s="1">
        <f>VALUE(MID($A88,LEFT(RIGHT(D$1,1),1),1))*VLOOKUP(VALUE(RIGHT(D$1,2)),$O$1:$P$11,2,FALSE)</f>
        <v>7</v>
      </c>
      <c r="E88" s="1">
        <f>VALUE(MID($A88,LEFT(RIGHT(E$1,1),1),1))*VLOOKUP(VALUE(RIGHT(E$1,2)),$O$1:$P$11,2,FALSE)</f>
        <v>0</v>
      </c>
      <c r="F88" s="1">
        <f>VALUE(MID($A88,LEFT(RIGHT(F$1,1),1),1))*VLOOKUP(VALUE(RIGHT(F$1,2)),$O$1:$P$11,2,FALSE)</f>
        <v>3</v>
      </c>
      <c r="G88" s="1">
        <f>VALUE(MID($A88,LEFT(RIGHT(G$1,1),1),1))*VLOOKUP(VALUE(RIGHT(G$1,2)),$O$1:$P$11,2,FALSE)</f>
        <v>0</v>
      </c>
      <c r="H88" s="1">
        <f>VALUE(MID($A88,LEFT(RIGHT(H$1,1),1),1))*VLOOKUP(VALUE(RIGHT(H$1,2)),$O$1:$P$11,2,FALSE)</f>
        <v>21</v>
      </c>
      <c r="I88" s="1">
        <f>VALUE(MID($A88,LEFT(RIGHT(I$1,1),1),1))*VLOOKUP(VALUE(RIGHT(I$1,2)),$O$1:$P$11,2,FALSE)</f>
        <v>18</v>
      </c>
      <c r="J88" s="1">
        <f>VALUE(MID($A88,LEFT(RIGHT(J$1,1),1),1))*VLOOKUP(VALUE(RIGHT(J$1,2)),$O$1:$P$11,2,FALSE)</f>
        <v>9</v>
      </c>
      <c r="K88" s="1">
        <f>VALUE(MID($A88,10,1))*VLOOKUP(VALUE(RIGHT(K$1,2)),$O$1:$P$11,2,FALSE)</f>
        <v>9</v>
      </c>
      <c r="L88" s="1">
        <f>IF(MOD(SUM(pesel__26[[#This Row],[SUMA 1]:[SUMA 10]]),10)=0,0,10-MOD(SUM(pesel__26[[#This Row],[SUMA 1]:[SUMA 10]]),10))</f>
        <v>1</v>
      </c>
      <c r="M88" s="1">
        <f>IF(pesel__26[[#This Row],[CYFRA KONTROLNA]]=VALUE(RIGHT(A88,1)),0,1)</f>
        <v>0</v>
      </c>
    </row>
    <row r="89" spans="1:13" hidden="1" x14ac:dyDescent="0.25">
      <c r="A89" s="1" t="s">
        <v>87</v>
      </c>
      <c r="B89" s="1">
        <f>VALUE(MID($A89,LEFT(RIGHT(B$1,1),1),1))*VLOOKUP(VALUE(RIGHT(B$1,2)),$O$1:$P$11,2,FALSE)</f>
        <v>5</v>
      </c>
      <c r="C89" s="1">
        <f>VALUE(MID($A89,LEFT(RIGHT(C$1,1),1),1))*VLOOKUP(VALUE(RIGHT(C$1,2)),$O$1:$P$11,2,FALSE)</f>
        <v>27</v>
      </c>
      <c r="D89" s="1">
        <f>VALUE(MID($A89,LEFT(RIGHT(D$1,1),1),1))*VLOOKUP(VALUE(RIGHT(D$1,2)),$O$1:$P$11,2,FALSE)</f>
        <v>0</v>
      </c>
      <c r="E89" s="1">
        <f>VALUE(MID($A89,LEFT(RIGHT(E$1,1),1),1))*VLOOKUP(VALUE(RIGHT(E$1,2)),$O$1:$P$11,2,FALSE)</f>
        <v>36</v>
      </c>
      <c r="F89" s="1">
        <f>VALUE(MID($A89,LEFT(RIGHT(F$1,1),1),1))*VLOOKUP(VALUE(RIGHT(F$1,2)),$O$1:$P$11,2,FALSE)</f>
        <v>2</v>
      </c>
      <c r="G89" s="1">
        <f>VALUE(MID($A89,LEFT(RIGHT(G$1,1),1),1))*VLOOKUP(VALUE(RIGHT(G$1,2)),$O$1:$P$11,2,FALSE)</f>
        <v>27</v>
      </c>
      <c r="H89" s="1">
        <f>VALUE(MID($A89,LEFT(RIGHT(H$1,1),1),1))*VLOOKUP(VALUE(RIGHT(H$1,2)),$O$1:$P$11,2,FALSE)</f>
        <v>56</v>
      </c>
      <c r="I89" s="1">
        <f>VALUE(MID($A89,LEFT(RIGHT(I$1,1),1),1))*VLOOKUP(VALUE(RIGHT(I$1,2)),$O$1:$P$11,2,FALSE)</f>
        <v>81</v>
      </c>
      <c r="J89" s="1">
        <f>VALUE(MID($A89,LEFT(RIGHT(J$1,1),1),1))*VLOOKUP(VALUE(RIGHT(J$1,2)),$O$1:$P$11,2,FALSE)</f>
        <v>6</v>
      </c>
      <c r="K89" s="1">
        <f>VALUE(MID($A89,10,1))*VLOOKUP(VALUE(RIGHT(K$1,2)),$O$1:$P$11,2,FALSE)</f>
        <v>24</v>
      </c>
      <c r="L89" s="1">
        <f>IF(MOD(SUM(pesel__26[[#This Row],[SUMA 1]:[SUMA 10]]),10)=0,0,10-MOD(SUM(pesel__26[[#This Row],[SUMA 1]:[SUMA 10]]),10))</f>
        <v>6</v>
      </c>
      <c r="M89" s="1">
        <f>IF(pesel__26[[#This Row],[CYFRA KONTROLNA]]=VALUE(RIGHT(A89,1)),0,1)</f>
        <v>0</v>
      </c>
    </row>
    <row r="90" spans="1:13" hidden="1" x14ac:dyDescent="0.25">
      <c r="A90" s="1" t="s">
        <v>88</v>
      </c>
      <c r="B90" s="1">
        <f>VALUE(MID($A90,LEFT(RIGHT(B$1,1),1),1))*VLOOKUP(VALUE(RIGHT(B$1,2)),$O$1:$P$11,2,FALSE)</f>
        <v>9</v>
      </c>
      <c r="C90" s="1">
        <f>VALUE(MID($A90,LEFT(RIGHT(C$1,1),1),1))*VLOOKUP(VALUE(RIGHT(C$1,2)),$O$1:$P$11,2,FALSE)</f>
        <v>3</v>
      </c>
      <c r="D90" s="1">
        <f>VALUE(MID($A90,LEFT(RIGHT(D$1,1),1),1))*VLOOKUP(VALUE(RIGHT(D$1,2)),$O$1:$P$11,2,FALSE)</f>
        <v>0</v>
      </c>
      <c r="E90" s="1">
        <f>VALUE(MID($A90,LEFT(RIGHT(E$1,1),1),1))*VLOOKUP(VALUE(RIGHT(E$1,2)),$O$1:$P$11,2,FALSE)</f>
        <v>18</v>
      </c>
      <c r="F90" s="1">
        <f>VALUE(MID($A90,LEFT(RIGHT(F$1,1),1),1))*VLOOKUP(VALUE(RIGHT(F$1,2)),$O$1:$P$11,2,FALSE)</f>
        <v>3</v>
      </c>
      <c r="G90" s="1">
        <f>VALUE(MID($A90,LEFT(RIGHT(G$1,1),1),1))*VLOOKUP(VALUE(RIGHT(G$1,2)),$O$1:$P$11,2,FALSE)</f>
        <v>3</v>
      </c>
      <c r="H90" s="1">
        <f>VALUE(MID($A90,LEFT(RIGHT(H$1,1),1),1))*VLOOKUP(VALUE(RIGHT(H$1,2)),$O$1:$P$11,2,FALSE)</f>
        <v>63</v>
      </c>
      <c r="I90" s="1">
        <f>VALUE(MID($A90,LEFT(RIGHT(I$1,1),1),1))*VLOOKUP(VALUE(RIGHT(I$1,2)),$O$1:$P$11,2,FALSE)</f>
        <v>9</v>
      </c>
      <c r="J90" s="1">
        <f>VALUE(MID($A90,LEFT(RIGHT(J$1,1),1),1))*VLOOKUP(VALUE(RIGHT(J$1,2)),$O$1:$P$11,2,FALSE)</f>
        <v>3</v>
      </c>
      <c r="K90" s="1">
        <f>VALUE(MID($A90,10,1))*VLOOKUP(VALUE(RIGHT(K$1,2)),$O$1:$P$11,2,FALSE)</f>
        <v>9</v>
      </c>
      <c r="L90" s="1">
        <f>IF(MOD(SUM(pesel__26[[#This Row],[SUMA 1]:[SUMA 10]]),10)=0,0,10-MOD(SUM(pesel__26[[#This Row],[SUMA 1]:[SUMA 10]]),10))</f>
        <v>0</v>
      </c>
      <c r="M90" s="1">
        <f>IF(pesel__26[[#This Row],[CYFRA KONTROLNA]]=VALUE(RIGHT(A90,1)),0,1)</f>
        <v>0</v>
      </c>
    </row>
    <row r="91" spans="1:13" hidden="1" x14ac:dyDescent="0.25">
      <c r="A91" s="1" t="s">
        <v>89</v>
      </c>
      <c r="B91" s="1">
        <f>VALUE(MID($A91,LEFT(RIGHT(B$1,1),1),1))*VLOOKUP(VALUE(RIGHT(B$1,2)),$O$1:$P$11,2,FALSE)</f>
        <v>5</v>
      </c>
      <c r="C91" s="1">
        <f>VALUE(MID($A91,LEFT(RIGHT(C$1,1),1),1))*VLOOKUP(VALUE(RIGHT(C$1,2)),$O$1:$P$11,2,FALSE)</f>
        <v>27</v>
      </c>
      <c r="D91" s="1">
        <f>VALUE(MID($A91,LEFT(RIGHT(D$1,1),1),1))*VLOOKUP(VALUE(RIGHT(D$1,2)),$O$1:$P$11,2,FALSE)</f>
        <v>0</v>
      </c>
      <c r="E91" s="1">
        <f>VALUE(MID($A91,LEFT(RIGHT(E$1,1),1),1))*VLOOKUP(VALUE(RIGHT(E$1,2)),$O$1:$P$11,2,FALSE)</f>
        <v>27</v>
      </c>
      <c r="F91" s="1">
        <f>VALUE(MID($A91,LEFT(RIGHT(F$1,1),1),1))*VLOOKUP(VALUE(RIGHT(F$1,2)),$O$1:$P$11,2,FALSE)</f>
        <v>1</v>
      </c>
      <c r="G91" s="1">
        <f>VALUE(MID($A91,LEFT(RIGHT(G$1,1),1),1))*VLOOKUP(VALUE(RIGHT(G$1,2)),$O$1:$P$11,2,FALSE)</f>
        <v>3</v>
      </c>
      <c r="H91" s="1">
        <f>VALUE(MID($A91,LEFT(RIGHT(H$1,1),1),1))*VLOOKUP(VALUE(RIGHT(H$1,2)),$O$1:$P$11,2,FALSE)</f>
        <v>35</v>
      </c>
      <c r="I91" s="1">
        <f>VALUE(MID($A91,LEFT(RIGHT(I$1,1),1),1))*VLOOKUP(VALUE(RIGHT(I$1,2)),$O$1:$P$11,2,FALSE)</f>
        <v>18</v>
      </c>
      <c r="J91" s="1">
        <f>VALUE(MID($A91,LEFT(RIGHT(J$1,1),1),1))*VLOOKUP(VALUE(RIGHT(J$1,2)),$O$1:$P$11,2,FALSE)</f>
        <v>0</v>
      </c>
      <c r="K91" s="1">
        <f>VALUE(MID($A91,10,1))*VLOOKUP(VALUE(RIGHT(K$1,2)),$O$1:$P$11,2,FALSE)</f>
        <v>15</v>
      </c>
      <c r="L91" s="1">
        <f>IF(MOD(SUM(pesel__26[[#This Row],[SUMA 1]:[SUMA 10]]),10)=0,0,10-MOD(SUM(pesel__26[[#This Row],[SUMA 1]:[SUMA 10]]),10))</f>
        <v>9</v>
      </c>
      <c r="M91" s="1">
        <f>IF(pesel__26[[#This Row],[CYFRA KONTROLNA]]=VALUE(RIGHT(A91,1)),0,1)</f>
        <v>0</v>
      </c>
    </row>
    <row r="92" spans="1:13" hidden="1" x14ac:dyDescent="0.25">
      <c r="A92" s="1" t="s">
        <v>90</v>
      </c>
      <c r="B92" s="1">
        <f>VALUE(MID($A92,LEFT(RIGHT(B$1,1),1),1))*VLOOKUP(VALUE(RIGHT(B$1,2)),$O$1:$P$11,2,FALSE)</f>
        <v>8</v>
      </c>
      <c r="C92" s="1">
        <f>VALUE(MID($A92,LEFT(RIGHT(C$1,1),1),1))*VLOOKUP(VALUE(RIGHT(C$1,2)),$O$1:$P$11,2,FALSE)</f>
        <v>12</v>
      </c>
      <c r="D92" s="1">
        <f>VALUE(MID($A92,LEFT(RIGHT(D$1,1),1),1))*VLOOKUP(VALUE(RIGHT(D$1,2)),$O$1:$P$11,2,FALSE)</f>
        <v>7</v>
      </c>
      <c r="E92" s="1">
        <f>VALUE(MID($A92,LEFT(RIGHT(E$1,1),1),1))*VLOOKUP(VALUE(RIGHT(E$1,2)),$O$1:$P$11,2,FALSE)</f>
        <v>9</v>
      </c>
      <c r="F92" s="1">
        <f>VALUE(MID($A92,LEFT(RIGHT(F$1,1),1),1))*VLOOKUP(VALUE(RIGHT(F$1,2)),$O$1:$P$11,2,FALSE)</f>
        <v>2</v>
      </c>
      <c r="G92" s="1">
        <f>VALUE(MID($A92,LEFT(RIGHT(G$1,1),1),1))*VLOOKUP(VALUE(RIGHT(G$1,2)),$O$1:$P$11,2,FALSE)</f>
        <v>3</v>
      </c>
      <c r="H92" s="1">
        <f>VALUE(MID($A92,LEFT(RIGHT(H$1,1),1),1))*VLOOKUP(VALUE(RIGHT(H$1,2)),$O$1:$P$11,2,FALSE)</f>
        <v>56</v>
      </c>
      <c r="I92" s="1">
        <f>VALUE(MID($A92,LEFT(RIGHT(I$1,1),1),1))*VLOOKUP(VALUE(RIGHT(I$1,2)),$O$1:$P$11,2,FALSE)</f>
        <v>45</v>
      </c>
      <c r="J92" s="1">
        <f>VALUE(MID($A92,LEFT(RIGHT(J$1,1),1),1))*VLOOKUP(VALUE(RIGHT(J$1,2)),$O$1:$P$11,2,FALSE)</f>
        <v>1</v>
      </c>
      <c r="K92" s="1">
        <f>VALUE(MID($A92,10,1))*VLOOKUP(VALUE(RIGHT(K$1,2)),$O$1:$P$11,2,FALSE)</f>
        <v>12</v>
      </c>
      <c r="L92" s="1">
        <f>IF(MOD(SUM(pesel__26[[#This Row],[SUMA 1]:[SUMA 10]]),10)=0,0,10-MOD(SUM(pesel__26[[#This Row],[SUMA 1]:[SUMA 10]]),10))</f>
        <v>5</v>
      </c>
      <c r="M92" s="1">
        <f>IF(pesel__26[[#This Row],[CYFRA KONTROLNA]]=VALUE(RIGHT(A92,1)),0,1)</f>
        <v>0</v>
      </c>
    </row>
    <row r="93" spans="1:13" hidden="1" x14ac:dyDescent="0.25">
      <c r="A93" s="1" t="s">
        <v>91</v>
      </c>
      <c r="B93" s="1">
        <f>VALUE(MID($A93,LEFT(RIGHT(B$1,1),1),1))*VLOOKUP(VALUE(RIGHT(B$1,2)),$O$1:$P$11,2,FALSE)</f>
        <v>6</v>
      </c>
      <c r="C93" s="1">
        <f>VALUE(MID($A93,LEFT(RIGHT(C$1,1),1),1))*VLOOKUP(VALUE(RIGHT(C$1,2)),$O$1:$P$11,2,FALSE)</f>
        <v>0</v>
      </c>
      <c r="D93" s="1">
        <f>VALUE(MID($A93,LEFT(RIGHT(D$1,1),1),1))*VLOOKUP(VALUE(RIGHT(D$1,2)),$O$1:$P$11,2,FALSE)</f>
        <v>7</v>
      </c>
      <c r="E93" s="1">
        <f>VALUE(MID($A93,LEFT(RIGHT(E$1,1),1),1))*VLOOKUP(VALUE(RIGHT(E$1,2)),$O$1:$P$11,2,FALSE)</f>
        <v>0</v>
      </c>
      <c r="F93" s="1">
        <f>VALUE(MID($A93,LEFT(RIGHT(F$1,1),1),1))*VLOOKUP(VALUE(RIGHT(F$1,2)),$O$1:$P$11,2,FALSE)</f>
        <v>2</v>
      </c>
      <c r="G93" s="1">
        <f>VALUE(MID($A93,LEFT(RIGHT(G$1,1),1),1))*VLOOKUP(VALUE(RIGHT(G$1,2)),$O$1:$P$11,2,FALSE)</f>
        <v>24</v>
      </c>
      <c r="H93" s="1">
        <f>VALUE(MID($A93,LEFT(RIGHT(H$1,1),1),1))*VLOOKUP(VALUE(RIGHT(H$1,2)),$O$1:$P$11,2,FALSE)</f>
        <v>63</v>
      </c>
      <c r="I93" s="1">
        <f>VALUE(MID($A93,LEFT(RIGHT(I$1,1),1),1))*VLOOKUP(VALUE(RIGHT(I$1,2)),$O$1:$P$11,2,FALSE)</f>
        <v>0</v>
      </c>
      <c r="J93" s="1">
        <f>VALUE(MID($A93,LEFT(RIGHT(J$1,1),1),1))*VLOOKUP(VALUE(RIGHT(J$1,2)),$O$1:$P$11,2,FALSE)</f>
        <v>1</v>
      </c>
      <c r="K93" s="1">
        <f>VALUE(MID($A93,10,1))*VLOOKUP(VALUE(RIGHT(K$1,2)),$O$1:$P$11,2,FALSE)</f>
        <v>0</v>
      </c>
      <c r="L93" s="1">
        <f>IF(MOD(SUM(pesel__26[[#This Row],[SUMA 1]:[SUMA 10]]),10)=0,0,10-MOD(SUM(pesel__26[[#This Row],[SUMA 1]:[SUMA 10]]),10))</f>
        <v>7</v>
      </c>
      <c r="M93" s="1">
        <f>IF(pesel__26[[#This Row],[CYFRA KONTROLNA]]=VALUE(RIGHT(A93,1)),0,1)</f>
        <v>0</v>
      </c>
    </row>
    <row r="94" spans="1:13" hidden="1" x14ac:dyDescent="0.25">
      <c r="A94" s="1" t="s">
        <v>92</v>
      </c>
      <c r="B94" s="1">
        <f>VALUE(MID($A94,LEFT(RIGHT(B$1,1),1),1))*VLOOKUP(VALUE(RIGHT(B$1,2)),$O$1:$P$11,2,FALSE)</f>
        <v>8</v>
      </c>
      <c r="C94" s="1">
        <f>VALUE(MID($A94,LEFT(RIGHT(C$1,1),1),1))*VLOOKUP(VALUE(RIGHT(C$1,2)),$O$1:$P$11,2,FALSE)</f>
        <v>12</v>
      </c>
      <c r="D94" s="1">
        <f>VALUE(MID($A94,LEFT(RIGHT(D$1,1),1),1))*VLOOKUP(VALUE(RIGHT(D$1,2)),$O$1:$P$11,2,FALSE)</f>
        <v>0</v>
      </c>
      <c r="E94" s="1">
        <f>VALUE(MID($A94,LEFT(RIGHT(E$1,1),1),1))*VLOOKUP(VALUE(RIGHT(E$1,2)),$O$1:$P$11,2,FALSE)</f>
        <v>45</v>
      </c>
      <c r="F94" s="1">
        <f>VALUE(MID($A94,LEFT(RIGHT(F$1,1),1),1))*VLOOKUP(VALUE(RIGHT(F$1,2)),$O$1:$P$11,2,FALSE)</f>
        <v>0</v>
      </c>
      <c r="G94" s="1">
        <f>VALUE(MID($A94,LEFT(RIGHT(G$1,1),1),1))*VLOOKUP(VALUE(RIGHT(G$1,2)),$O$1:$P$11,2,FALSE)</f>
        <v>18</v>
      </c>
      <c r="H94" s="1">
        <f>VALUE(MID($A94,LEFT(RIGHT(H$1,1),1),1))*VLOOKUP(VALUE(RIGHT(H$1,2)),$O$1:$P$11,2,FALSE)</f>
        <v>63</v>
      </c>
      <c r="I94" s="1">
        <f>VALUE(MID($A94,LEFT(RIGHT(I$1,1),1),1))*VLOOKUP(VALUE(RIGHT(I$1,2)),$O$1:$P$11,2,FALSE)</f>
        <v>36</v>
      </c>
      <c r="J94" s="1">
        <f>VALUE(MID($A94,LEFT(RIGHT(J$1,1),1),1))*VLOOKUP(VALUE(RIGHT(J$1,2)),$O$1:$P$11,2,FALSE)</f>
        <v>3</v>
      </c>
      <c r="K94" s="1">
        <f>VALUE(MID($A94,10,1))*VLOOKUP(VALUE(RIGHT(K$1,2)),$O$1:$P$11,2,FALSE)</f>
        <v>18</v>
      </c>
      <c r="L94" s="1">
        <f>IF(MOD(SUM(pesel__26[[#This Row],[SUMA 1]:[SUMA 10]]),10)=0,0,10-MOD(SUM(pesel__26[[#This Row],[SUMA 1]:[SUMA 10]]),10))</f>
        <v>7</v>
      </c>
      <c r="M94" s="1">
        <f>IF(pesel__26[[#This Row],[CYFRA KONTROLNA]]=VALUE(RIGHT(A94,1)),0,1)</f>
        <v>0</v>
      </c>
    </row>
    <row r="95" spans="1:13" hidden="1" x14ac:dyDescent="0.25">
      <c r="A95" s="1" t="s">
        <v>93</v>
      </c>
      <c r="B95" s="1">
        <f>VALUE(MID($A95,LEFT(RIGHT(B$1,1),1),1))*VLOOKUP(VALUE(RIGHT(B$1,2)),$O$1:$P$11,2,FALSE)</f>
        <v>8</v>
      </c>
      <c r="C95" s="1">
        <f>VALUE(MID($A95,LEFT(RIGHT(C$1,1),1),1))*VLOOKUP(VALUE(RIGHT(C$1,2)),$O$1:$P$11,2,FALSE)</f>
        <v>27</v>
      </c>
      <c r="D95" s="1">
        <f>VALUE(MID($A95,LEFT(RIGHT(D$1,1),1),1))*VLOOKUP(VALUE(RIGHT(D$1,2)),$O$1:$P$11,2,FALSE)</f>
        <v>0</v>
      </c>
      <c r="E95" s="1">
        <f>VALUE(MID($A95,LEFT(RIGHT(E$1,1),1),1))*VLOOKUP(VALUE(RIGHT(E$1,2)),$O$1:$P$11,2,FALSE)</f>
        <v>36</v>
      </c>
      <c r="F95" s="1">
        <f>VALUE(MID($A95,LEFT(RIGHT(F$1,1),1),1))*VLOOKUP(VALUE(RIGHT(F$1,2)),$O$1:$P$11,2,FALSE)</f>
        <v>1</v>
      </c>
      <c r="G95" s="1">
        <f>VALUE(MID($A95,LEFT(RIGHT(G$1,1),1),1))*VLOOKUP(VALUE(RIGHT(G$1,2)),$O$1:$P$11,2,FALSE)</f>
        <v>3</v>
      </c>
      <c r="H95" s="1">
        <f>VALUE(MID($A95,LEFT(RIGHT(H$1,1),1),1))*VLOOKUP(VALUE(RIGHT(H$1,2)),$O$1:$P$11,2,FALSE)</f>
        <v>21</v>
      </c>
      <c r="I95" s="1">
        <f>VALUE(MID($A95,LEFT(RIGHT(I$1,1),1),1))*VLOOKUP(VALUE(RIGHT(I$1,2)),$O$1:$P$11,2,FALSE)</f>
        <v>27</v>
      </c>
      <c r="J95" s="1">
        <f>VALUE(MID($A95,LEFT(RIGHT(J$1,1),1),1))*VLOOKUP(VALUE(RIGHT(J$1,2)),$O$1:$P$11,2,FALSE)</f>
        <v>4</v>
      </c>
      <c r="K95" s="1">
        <f>VALUE(MID($A95,10,1))*VLOOKUP(VALUE(RIGHT(K$1,2)),$O$1:$P$11,2,FALSE)</f>
        <v>21</v>
      </c>
      <c r="L95" s="1">
        <f>IF(MOD(SUM(pesel__26[[#This Row],[SUMA 1]:[SUMA 10]]),10)=0,0,10-MOD(SUM(pesel__26[[#This Row],[SUMA 1]:[SUMA 10]]),10))</f>
        <v>2</v>
      </c>
      <c r="M95" s="1">
        <f>IF(pesel__26[[#This Row],[CYFRA KONTROLNA]]=VALUE(RIGHT(A95,1)),0,1)</f>
        <v>0</v>
      </c>
    </row>
    <row r="96" spans="1:13" hidden="1" x14ac:dyDescent="0.25">
      <c r="A96" s="1" t="s">
        <v>94</v>
      </c>
      <c r="B96" s="1">
        <f>VALUE(MID($A96,LEFT(RIGHT(B$1,1),1),1))*VLOOKUP(VALUE(RIGHT(B$1,2)),$O$1:$P$11,2,FALSE)</f>
        <v>8</v>
      </c>
      <c r="C96" s="1">
        <f>VALUE(MID($A96,LEFT(RIGHT(C$1,1),1),1))*VLOOKUP(VALUE(RIGHT(C$1,2)),$O$1:$P$11,2,FALSE)</f>
        <v>6</v>
      </c>
      <c r="D96" s="1">
        <f>VALUE(MID($A96,LEFT(RIGHT(D$1,1),1),1))*VLOOKUP(VALUE(RIGHT(D$1,2)),$O$1:$P$11,2,FALSE)</f>
        <v>0</v>
      </c>
      <c r="E96" s="1">
        <f>VALUE(MID($A96,LEFT(RIGHT(E$1,1),1),1))*VLOOKUP(VALUE(RIGHT(E$1,2)),$O$1:$P$11,2,FALSE)</f>
        <v>63</v>
      </c>
      <c r="F96" s="1">
        <f>VALUE(MID($A96,LEFT(RIGHT(F$1,1),1),1))*VLOOKUP(VALUE(RIGHT(F$1,2)),$O$1:$P$11,2,FALSE)</f>
        <v>2</v>
      </c>
      <c r="G96" s="1">
        <f>VALUE(MID($A96,LEFT(RIGHT(G$1,1),1),1))*VLOOKUP(VALUE(RIGHT(G$1,2)),$O$1:$P$11,2,FALSE)</f>
        <v>6</v>
      </c>
      <c r="H96" s="1">
        <f>VALUE(MID($A96,LEFT(RIGHT(H$1,1),1),1))*VLOOKUP(VALUE(RIGHT(H$1,2)),$O$1:$P$11,2,FALSE)</f>
        <v>7</v>
      </c>
      <c r="I96" s="1">
        <f>VALUE(MID($A96,LEFT(RIGHT(I$1,1),1),1))*VLOOKUP(VALUE(RIGHT(I$1,2)),$O$1:$P$11,2,FALSE)</f>
        <v>81</v>
      </c>
      <c r="J96" s="1">
        <f>VALUE(MID($A96,LEFT(RIGHT(J$1,1),1),1))*VLOOKUP(VALUE(RIGHT(J$1,2)),$O$1:$P$11,2,FALSE)</f>
        <v>2</v>
      </c>
      <c r="K96" s="1">
        <f>VALUE(MID($A96,10,1))*VLOOKUP(VALUE(RIGHT(K$1,2)),$O$1:$P$11,2,FALSE)</f>
        <v>18</v>
      </c>
      <c r="L96" s="1">
        <f>IF(MOD(SUM(pesel__26[[#This Row],[SUMA 1]:[SUMA 10]]),10)=0,0,10-MOD(SUM(pesel__26[[#This Row],[SUMA 1]:[SUMA 10]]),10))</f>
        <v>7</v>
      </c>
      <c r="M96" s="1">
        <f>IF(pesel__26[[#This Row],[CYFRA KONTROLNA]]=VALUE(RIGHT(A96,1)),0,1)</f>
        <v>0</v>
      </c>
    </row>
    <row r="97" spans="1:13" hidden="1" x14ac:dyDescent="0.25">
      <c r="A97" s="1" t="s">
        <v>95</v>
      </c>
      <c r="B97" s="1">
        <f>VALUE(MID($A97,LEFT(RIGHT(B$1,1),1),1))*VLOOKUP(VALUE(RIGHT(B$1,2)),$O$1:$P$11,2,FALSE)</f>
        <v>5</v>
      </c>
      <c r="C97" s="1">
        <f>VALUE(MID($A97,LEFT(RIGHT(C$1,1),1),1))*VLOOKUP(VALUE(RIGHT(C$1,2)),$O$1:$P$11,2,FALSE)</f>
        <v>21</v>
      </c>
      <c r="D97" s="1">
        <f>VALUE(MID($A97,LEFT(RIGHT(D$1,1),1),1))*VLOOKUP(VALUE(RIGHT(D$1,2)),$O$1:$P$11,2,FALSE)</f>
        <v>7</v>
      </c>
      <c r="E97" s="1">
        <f>VALUE(MID($A97,LEFT(RIGHT(E$1,1),1),1))*VLOOKUP(VALUE(RIGHT(E$1,2)),$O$1:$P$11,2,FALSE)</f>
        <v>0</v>
      </c>
      <c r="F97" s="1">
        <f>VALUE(MID($A97,LEFT(RIGHT(F$1,1),1),1))*VLOOKUP(VALUE(RIGHT(F$1,2)),$O$1:$P$11,2,FALSE)</f>
        <v>2</v>
      </c>
      <c r="G97" s="1">
        <f>VALUE(MID($A97,LEFT(RIGHT(G$1,1),1),1))*VLOOKUP(VALUE(RIGHT(G$1,2)),$O$1:$P$11,2,FALSE)</f>
        <v>6</v>
      </c>
      <c r="H97" s="1">
        <f>VALUE(MID($A97,LEFT(RIGHT(H$1,1),1),1))*VLOOKUP(VALUE(RIGHT(H$1,2)),$O$1:$P$11,2,FALSE)</f>
        <v>0</v>
      </c>
      <c r="I97" s="1">
        <f>VALUE(MID($A97,LEFT(RIGHT(I$1,1),1),1))*VLOOKUP(VALUE(RIGHT(I$1,2)),$O$1:$P$11,2,FALSE)</f>
        <v>18</v>
      </c>
      <c r="J97" s="1">
        <f>VALUE(MID($A97,LEFT(RIGHT(J$1,1),1),1))*VLOOKUP(VALUE(RIGHT(J$1,2)),$O$1:$P$11,2,FALSE)</f>
        <v>4</v>
      </c>
      <c r="K97" s="1">
        <f>VALUE(MID($A97,10,1))*VLOOKUP(VALUE(RIGHT(K$1,2)),$O$1:$P$11,2,FALSE)</f>
        <v>3</v>
      </c>
      <c r="L97" s="1">
        <f>IF(MOD(SUM(pesel__26[[#This Row],[SUMA 1]:[SUMA 10]]),10)=0,0,10-MOD(SUM(pesel__26[[#This Row],[SUMA 1]:[SUMA 10]]),10))</f>
        <v>4</v>
      </c>
      <c r="M97" s="1">
        <f>IF(pesel__26[[#This Row],[CYFRA KONTROLNA]]=VALUE(RIGHT(A97,1)),0,1)</f>
        <v>0</v>
      </c>
    </row>
    <row r="98" spans="1:13" hidden="1" x14ac:dyDescent="0.25">
      <c r="A98" s="1" t="s">
        <v>96</v>
      </c>
      <c r="B98" s="1">
        <f>VALUE(MID($A98,LEFT(RIGHT(B$1,1),1),1))*VLOOKUP(VALUE(RIGHT(B$1,2)),$O$1:$P$11,2,FALSE)</f>
        <v>5</v>
      </c>
      <c r="C98" s="1">
        <f>VALUE(MID($A98,LEFT(RIGHT(C$1,1),1),1))*VLOOKUP(VALUE(RIGHT(C$1,2)),$O$1:$P$11,2,FALSE)</f>
        <v>15</v>
      </c>
      <c r="D98" s="1">
        <f>VALUE(MID($A98,LEFT(RIGHT(D$1,1),1),1))*VLOOKUP(VALUE(RIGHT(D$1,2)),$O$1:$P$11,2,FALSE)</f>
        <v>7</v>
      </c>
      <c r="E98" s="1">
        <f>VALUE(MID($A98,LEFT(RIGHT(E$1,1),1),1))*VLOOKUP(VALUE(RIGHT(E$1,2)),$O$1:$P$11,2,FALSE)</f>
        <v>18</v>
      </c>
      <c r="F98" s="1">
        <f>VALUE(MID($A98,LEFT(RIGHT(F$1,1),1),1))*VLOOKUP(VALUE(RIGHT(F$1,2)),$O$1:$P$11,2,FALSE)</f>
        <v>3</v>
      </c>
      <c r="G98" s="1">
        <f>VALUE(MID($A98,LEFT(RIGHT(G$1,1),1),1))*VLOOKUP(VALUE(RIGHT(G$1,2)),$O$1:$P$11,2,FALSE)</f>
        <v>3</v>
      </c>
      <c r="H98" s="1">
        <f>VALUE(MID($A98,LEFT(RIGHT(H$1,1),1),1))*VLOOKUP(VALUE(RIGHT(H$1,2)),$O$1:$P$11,2,FALSE)</f>
        <v>14</v>
      </c>
      <c r="I98" s="1">
        <f>VALUE(MID($A98,LEFT(RIGHT(I$1,1),1),1))*VLOOKUP(VALUE(RIGHT(I$1,2)),$O$1:$P$11,2,FALSE)</f>
        <v>72</v>
      </c>
      <c r="J98" s="1">
        <f>VALUE(MID($A98,LEFT(RIGHT(J$1,1),1),1))*VLOOKUP(VALUE(RIGHT(J$1,2)),$O$1:$P$11,2,FALSE)</f>
        <v>9</v>
      </c>
      <c r="K98" s="1">
        <f>VALUE(MID($A98,10,1))*VLOOKUP(VALUE(RIGHT(K$1,2)),$O$1:$P$11,2,FALSE)</f>
        <v>21</v>
      </c>
      <c r="L98" s="1">
        <f>IF(MOD(SUM(pesel__26[[#This Row],[SUMA 1]:[SUMA 10]]),10)=0,0,10-MOD(SUM(pesel__26[[#This Row],[SUMA 1]:[SUMA 10]]),10))</f>
        <v>3</v>
      </c>
      <c r="M98" s="1">
        <f>IF(pesel__26[[#This Row],[CYFRA KONTROLNA]]=VALUE(RIGHT(A98,1)),0,1)</f>
        <v>0</v>
      </c>
    </row>
    <row r="99" spans="1:13" hidden="1" x14ac:dyDescent="0.25">
      <c r="A99" s="1" t="s">
        <v>97</v>
      </c>
      <c r="B99" s="1">
        <f>VALUE(MID($A99,LEFT(RIGHT(B$1,1),1),1))*VLOOKUP(VALUE(RIGHT(B$1,2)),$O$1:$P$11,2,FALSE)</f>
        <v>8</v>
      </c>
      <c r="C99" s="1">
        <f>VALUE(MID($A99,LEFT(RIGHT(C$1,1),1),1))*VLOOKUP(VALUE(RIGHT(C$1,2)),$O$1:$P$11,2,FALSE)</f>
        <v>18</v>
      </c>
      <c r="D99" s="1">
        <f>VALUE(MID($A99,LEFT(RIGHT(D$1,1),1),1))*VLOOKUP(VALUE(RIGHT(D$1,2)),$O$1:$P$11,2,FALSE)</f>
        <v>0</v>
      </c>
      <c r="E99" s="1">
        <f>VALUE(MID($A99,LEFT(RIGHT(E$1,1),1),1))*VLOOKUP(VALUE(RIGHT(E$1,2)),$O$1:$P$11,2,FALSE)</f>
        <v>63</v>
      </c>
      <c r="F99" s="1">
        <f>VALUE(MID($A99,LEFT(RIGHT(F$1,1),1),1))*VLOOKUP(VALUE(RIGHT(F$1,2)),$O$1:$P$11,2,FALSE)</f>
        <v>0</v>
      </c>
      <c r="G99" s="1">
        <f>VALUE(MID($A99,LEFT(RIGHT(G$1,1),1),1))*VLOOKUP(VALUE(RIGHT(G$1,2)),$O$1:$P$11,2,FALSE)</f>
        <v>15</v>
      </c>
      <c r="H99" s="1">
        <f>VALUE(MID($A99,LEFT(RIGHT(H$1,1),1),1))*VLOOKUP(VALUE(RIGHT(H$1,2)),$O$1:$P$11,2,FALSE)</f>
        <v>7</v>
      </c>
      <c r="I99" s="1">
        <f>VALUE(MID($A99,LEFT(RIGHT(I$1,1),1),1))*VLOOKUP(VALUE(RIGHT(I$1,2)),$O$1:$P$11,2,FALSE)</f>
        <v>9</v>
      </c>
      <c r="J99" s="1">
        <f>VALUE(MID($A99,LEFT(RIGHT(J$1,1),1),1))*VLOOKUP(VALUE(RIGHT(J$1,2)),$O$1:$P$11,2,FALSE)</f>
        <v>1</v>
      </c>
      <c r="K99" s="1">
        <f>VALUE(MID($A99,10,1))*VLOOKUP(VALUE(RIGHT(K$1,2)),$O$1:$P$11,2,FALSE)</f>
        <v>24</v>
      </c>
      <c r="L99" s="1">
        <f>IF(MOD(SUM(pesel__26[[#This Row],[SUMA 1]:[SUMA 10]]),10)=0,0,10-MOD(SUM(pesel__26[[#This Row],[SUMA 1]:[SUMA 10]]),10))</f>
        <v>5</v>
      </c>
      <c r="M99" s="1">
        <f>IF(pesel__26[[#This Row],[CYFRA KONTROLNA]]=VALUE(RIGHT(A99,1)),0,1)</f>
        <v>0</v>
      </c>
    </row>
    <row r="100" spans="1:13" hidden="1" x14ac:dyDescent="0.25">
      <c r="A100" s="1" t="s">
        <v>98</v>
      </c>
      <c r="B100" s="1">
        <f>VALUE(MID($A100,LEFT(RIGHT(B$1,1),1),1))*VLOOKUP(VALUE(RIGHT(B$1,2)),$O$1:$P$11,2,FALSE)</f>
        <v>8</v>
      </c>
      <c r="C100" s="1">
        <f>VALUE(MID($A100,LEFT(RIGHT(C$1,1),1),1))*VLOOKUP(VALUE(RIGHT(C$1,2)),$O$1:$P$11,2,FALSE)</f>
        <v>3</v>
      </c>
      <c r="D100" s="1">
        <f>VALUE(MID($A100,LEFT(RIGHT(D$1,1),1),1))*VLOOKUP(VALUE(RIGHT(D$1,2)),$O$1:$P$11,2,FALSE)</f>
        <v>7</v>
      </c>
      <c r="E100" s="1">
        <f>VALUE(MID($A100,LEFT(RIGHT(E$1,1),1),1))*VLOOKUP(VALUE(RIGHT(E$1,2)),$O$1:$P$11,2,FALSE)</f>
        <v>0</v>
      </c>
      <c r="F100" s="1">
        <f>VALUE(MID($A100,LEFT(RIGHT(F$1,1),1),1))*VLOOKUP(VALUE(RIGHT(F$1,2)),$O$1:$P$11,2,FALSE)</f>
        <v>1</v>
      </c>
      <c r="G100" s="1">
        <f>VALUE(MID($A100,LEFT(RIGHT(G$1,1),1),1))*VLOOKUP(VALUE(RIGHT(G$1,2)),$O$1:$P$11,2,FALSE)</f>
        <v>3</v>
      </c>
      <c r="H100" s="1">
        <f>VALUE(MID($A100,LEFT(RIGHT(H$1,1),1),1))*VLOOKUP(VALUE(RIGHT(H$1,2)),$O$1:$P$11,2,FALSE)</f>
        <v>28</v>
      </c>
      <c r="I100" s="1">
        <f>VALUE(MID($A100,LEFT(RIGHT(I$1,1),1),1))*VLOOKUP(VALUE(RIGHT(I$1,2)),$O$1:$P$11,2,FALSE)</f>
        <v>72</v>
      </c>
      <c r="J100" s="1">
        <f>VALUE(MID($A100,LEFT(RIGHT(J$1,1),1),1))*VLOOKUP(VALUE(RIGHT(J$1,2)),$O$1:$P$11,2,FALSE)</f>
        <v>7</v>
      </c>
      <c r="K100" s="1">
        <f>VALUE(MID($A100,10,1))*VLOOKUP(VALUE(RIGHT(K$1,2)),$O$1:$P$11,2,FALSE)</f>
        <v>21</v>
      </c>
      <c r="L100" s="1">
        <f>IF(MOD(SUM(pesel__26[[#This Row],[SUMA 1]:[SUMA 10]]),10)=0,0,10-MOD(SUM(pesel__26[[#This Row],[SUMA 1]:[SUMA 10]]),10))</f>
        <v>0</v>
      </c>
      <c r="M100" s="1">
        <f>IF(pesel__26[[#This Row],[CYFRA KONTROLNA]]=VALUE(RIGHT(A100,1)),0,1)</f>
        <v>0</v>
      </c>
    </row>
    <row r="101" spans="1:13" hidden="1" x14ac:dyDescent="0.25">
      <c r="A101" s="1" t="s">
        <v>99</v>
      </c>
      <c r="B101" s="1">
        <f>VALUE(MID($A101,LEFT(RIGHT(B$1,1),1),1))*VLOOKUP(VALUE(RIGHT(B$1,2)),$O$1:$P$11,2,FALSE)</f>
        <v>8</v>
      </c>
      <c r="C101" s="1">
        <f>VALUE(MID($A101,LEFT(RIGHT(C$1,1),1),1))*VLOOKUP(VALUE(RIGHT(C$1,2)),$O$1:$P$11,2,FALSE)</f>
        <v>21</v>
      </c>
      <c r="D101" s="1">
        <f>VALUE(MID($A101,LEFT(RIGHT(D$1,1),1),1))*VLOOKUP(VALUE(RIGHT(D$1,2)),$O$1:$P$11,2,FALSE)</f>
        <v>0</v>
      </c>
      <c r="E101" s="1">
        <f>VALUE(MID($A101,LEFT(RIGHT(E$1,1),1),1))*VLOOKUP(VALUE(RIGHT(E$1,2)),$O$1:$P$11,2,FALSE)</f>
        <v>63</v>
      </c>
      <c r="F101" s="1">
        <f>VALUE(MID($A101,LEFT(RIGHT(F$1,1),1),1))*VLOOKUP(VALUE(RIGHT(F$1,2)),$O$1:$P$11,2,FALSE)</f>
        <v>1</v>
      </c>
      <c r="G101" s="1">
        <f>VALUE(MID($A101,LEFT(RIGHT(G$1,1),1),1))*VLOOKUP(VALUE(RIGHT(G$1,2)),$O$1:$P$11,2,FALSE)</f>
        <v>3</v>
      </c>
      <c r="H101" s="1">
        <f>VALUE(MID($A101,LEFT(RIGHT(H$1,1),1),1))*VLOOKUP(VALUE(RIGHT(H$1,2)),$O$1:$P$11,2,FALSE)</f>
        <v>42</v>
      </c>
      <c r="I101" s="1">
        <f>VALUE(MID($A101,LEFT(RIGHT(I$1,1),1),1))*VLOOKUP(VALUE(RIGHT(I$1,2)),$O$1:$P$11,2,FALSE)</f>
        <v>36</v>
      </c>
      <c r="J101" s="1">
        <f>VALUE(MID($A101,LEFT(RIGHT(J$1,1),1),1))*VLOOKUP(VALUE(RIGHT(J$1,2)),$O$1:$P$11,2,FALSE)</f>
        <v>6</v>
      </c>
      <c r="K101" s="1">
        <f>VALUE(MID($A101,10,1))*VLOOKUP(VALUE(RIGHT(K$1,2)),$O$1:$P$11,2,FALSE)</f>
        <v>18</v>
      </c>
      <c r="L101" s="1">
        <f>IF(MOD(SUM(pesel__26[[#This Row],[SUMA 1]:[SUMA 10]]),10)=0,0,10-MOD(SUM(pesel__26[[#This Row],[SUMA 1]:[SUMA 10]]),10))</f>
        <v>2</v>
      </c>
      <c r="M101" s="1">
        <f>IF(pesel__26[[#This Row],[CYFRA KONTROLNA]]=VALUE(RIGHT(A101,1)),0,1)</f>
        <v>0</v>
      </c>
    </row>
    <row r="102" spans="1:13" hidden="1" x14ac:dyDescent="0.25">
      <c r="A102" s="1" t="s">
        <v>100</v>
      </c>
      <c r="B102" s="1">
        <f>VALUE(MID($A102,LEFT(RIGHT(B$1,1),1),1))*VLOOKUP(VALUE(RIGHT(B$1,2)),$O$1:$P$11,2,FALSE)</f>
        <v>5</v>
      </c>
      <c r="C102" s="1">
        <f>VALUE(MID($A102,LEFT(RIGHT(C$1,1),1),1))*VLOOKUP(VALUE(RIGHT(C$1,2)),$O$1:$P$11,2,FALSE)</f>
        <v>3</v>
      </c>
      <c r="D102" s="1">
        <f>VALUE(MID($A102,LEFT(RIGHT(D$1,1),1),1))*VLOOKUP(VALUE(RIGHT(D$1,2)),$O$1:$P$11,2,FALSE)</f>
        <v>0</v>
      </c>
      <c r="E102" s="1">
        <f>VALUE(MID($A102,LEFT(RIGHT(E$1,1),1),1))*VLOOKUP(VALUE(RIGHT(E$1,2)),$O$1:$P$11,2,FALSE)</f>
        <v>9</v>
      </c>
      <c r="F102" s="1">
        <f>VALUE(MID($A102,LEFT(RIGHT(F$1,1),1),1))*VLOOKUP(VALUE(RIGHT(F$1,2)),$O$1:$P$11,2,FALSE)</f>
        <v>1</v>
      </c>
      <c r="G102" s="1">
        <f>VALUE(MID($A102,LEFT(RIGHT(G$1,1),1),1))*VLOOKUP(VALUE(RIGHT(G$1,2)),$O$1:$P$11,2,FALSE)</f>
        <v>3</v>
      </c>
      <c r="H102" s="1">
        <f>VALUE(MID($A102,LEFT(RIGHT(H$1,1),1),1))*VLOOKUP(VALUE(RIGHT(H$1,2)),$O$1:$P$11,2,FALSE)</f>
        <v>35</v>
      </c>
      <c r="I102" s="1">
        <f>VALUE(MID($A102,LEFT(RIGHT(I$1,1),1),1))*VLOOKUP(VALUE(RIGHT(I$1,2)),$O$1:$P$11,2,FALSE)</f>
        <v>27</v>
      </c>
      <c r="J102" s="1">
        <f>VALUE(MID($A102,LEFT(RIGHT(J$1,1),1),1))*VLOOKUP(VALUE(RIGHT(J$1,2)),$O$1:$P$11,2,FALSE)</f>
        <v>3</v>
      </c>
      <c r="K102" s="1">
        <f>VALUE(MID($A102,10,1))*VLOOKUP(VALUE(RIGHT(K$1,2)),$O$1:$P$11,2,FALSE)</f>
        <v>3</v>
      </c>
      <c r="L102" s="1">
        <f>IF(MOD(SUM(pesel__26[[#This Row],[SUMA 1]:[SUMA 10]]),10)=0,0,10-MOD(SUM(pesel__26[[#This Row],[SUMA 1]:[SUMA 10]]),10))</f>
        <v>1</v>
      </c>
      <c r="M102" s="1">
        <f>IF(pesel__26[[#This Row],[CYFRA KONTROLNA]]=VALUE(RIGHT(A102,1)),0,1)</f>
        <v>0</v>
      </c>
    </row>
    <row r="103" spans="1:13" hidden="1" x14ac:dyDescent="0.25">
      <c r="A103" s="1" t="s">
        <v>101</v>
      </c>
      <c r="B103" s="1">
        <f>VALUE(MID($A103,LEFT(RIGHT(B$1,1),1),1))*VLOOKUP(VALUE(RIGHT(B$1,2)),$O$1:$P$11,2,FALSE)</f>
        <v>8</v>
      </c>
      <c r="C103" s="1">
        <f>VALUE(MID($A103,LEFT(RIGHT(C$1,1),1),1))*VLOOKUP(VALUE(RIGHT(C$1,2)),$O$1:$P$11,2,FALSE)</f>
        <v>27</v>
      </c>
      <c r="D103" s="1">
        <f>VALUE(MID($A103,LEFT(RIGHT(D$1,1),1),1))*VLOOKUP(VALUE(RIGHT(D$1,2)),$O$1:$P$11,2,FALSE)</f>
        <v>0</v>
      </c>
      <c r="E103" s="1">
        <f>VALUE(MID($A103,LEFT(RIGHT(E$1,1),1),1))*VLOOKUP(VALUE(RIGHT(E$1,2)),$O$1:$P$11,2,FALSE)</f>
        <v>45</v>
      </c>
      <c r="F103" s="1">
        <f>VALUE(MID($A103,LEFT(RIGHT(F$1,1),1),1))*VLOOKUP(VALUE(RIGHT(F$1,2)),$O$1:$P$11,2,FALSE)</f>
        <v>2</v>
      </c>
      <c r="G103" s="1">
        <f>VALUE(MID($A103,LEFT(RIGHT(G$1,1),1),1))*VLOOKUP(VALUE(RIGHT(G$1,2)),$O$1:$P$11,2,FALSE)</f>
        <v>0</v>
      </c>
      <c r="H103" s="1">
        <f>VALUE(MID($A103,LEFT(RIGHT(H$1,1),1),1))*VLOOKUP(VALUE(RIGHT(H$1,2)),$O$1:$P$11,2,FALSE)</f>
        <v>56</v>
      </c>
      <c r="I103" s="1">
        <f>VALUE(MID($A103,LEFT(RIGHT(I$1,1),1),1))*VLOOKUP(VALUE(RIGHT(I$1,2)),$O$1:$P$11,2,FALSE)</f>
        <v>45</v>
      </c>
      <c r="J103" s="1">
        <f>VALUE(MID($A103,LEFT(RIGHT(J$1,1),1),1))*VLOOKUP(VALUE(RIGHT(J$1,2)),$O$1:$P$11,2,FALSE)</f>
        <v>0</v>
      </c>
      <c r="K103" s="1">
        <f>VALUE(MID($A103,10,1))*VLOOKUP(VALUE(RIGHT(K$1,2)),$O$1:$P$11,2,FALSE)</f>
        <v>18</v>
      </c>
      <c r="L103" s="1">
        <f>IF(MOD(SUM(pesel__26[[#This Row],[SUMA 1]:[SUMA 10]]),10)=0,0,10-MOD(SUM(pesel__26[[#This Row],[SUMA 1]:[SUMA 10]]),10))</f>
        <v>9</v>
      </c>
      <c r="M103" s="1">
        <f>IF(pesel__26[[#This Row],[CYFRA KONTROLNA]]=VALUE(RIGHT(A103,1)),0,1)</f>
        <v>0</v>
      </c>
    </row>
    <row r="104" spans="1:13" hidden="1" x14ac:dyDescent="0.25">
      <c r="A104" s="1" t="s">
        <v>102</v>
      </c>
      <c r="B104" s="1">
        <f>VALUE(MID($A104,LEFT(RIGHT(B$1,1),1),1))*VLOOKUP(VALUE(RIGHT(B$1,2)),$O$1:$P$11,2,FALSE)</f>
        <v>5</v>
      </c>
      <c r="C104" s="1">
        <f>VALUE(MID($A104,LEFT(RIGHT(C$1,1),1),1))*VLOOKUP(VALUE(RIGHT(C$1,2)),$O$1:$P$11,2,FALSE)</f>
        <v>0</v>
      </c>
      <c r="D104" s="1">
        <f>VALUE(MID($A104,LEFT(RIGHT(D$1,1),1),1))*VLOOKUP(VALUE(RIGHT(D$1,2)),$O$1:$P$11,2,FALSE)</f>
        <v>7</v>
      </c>
      <c r="E104" s="1">
        <f>VALUE(MID($A104,LEFT(RIGHT(E$1,1),1),1))*VLOOKUP(VALUE(RIGHT(E$1,2)),$O$1:$P$11,2,FALSE)</f>
        <v>0</v>
      </c>
      <c r="F104" s="1">
        <f>VALUE(MID($A104,LEFT(RIGHT(F$1,1),1),1))*VLOOKUP(VALUE(RIGHT(F$1,2)),$O$1:$P$11,2,FALSE)</f>
        <v>2</v>
      </c>
      <c r="G104" s="1">
        <f>VALUE(MID($A104,LEFT(RIGHT(G$1,1),1),1))*VLOOKUP(VALUE(RIGHT(G$1,2)),$O$1:$P$11,2,FALSE)</f>
        <v>18</v>
      </c>
      <c r="H104" s="1">
        <f>VALUE(MID($A104,LEFT(RIGHT(H$1,1),1),1))*VLOOKUP(VALUE(RIGHT(H$1,2)),$O$1:$P$11,2,FALSE)</f>
        <v>21</v>
      </c>
      <c r="I104" s="1">
        <f>VALUE(MID($A104,LEFT(RIGHT(I$1,1),1),1))*VLOOKUP(VALUE(RIGHT(I$1,2)),$O$1:$P$11,2,FALSE)</f>
        <v>54</v>
      </c>
      <c r="J104" s="1">
        <f>VALUE(MID($A104,LEFT(RIGHT(J$1,1),1),1))*VLOOKUP(VALUE(RIGHT(J$1,2)),$O$1:$P$11,2,FALSE)</f>
        <v>3</v>
      </c>
      <c r="K104" s="1">
        <f>VALUE(MID($A104,10,1))*VLOOKUP(VALUE(RIGHT(K$1,2)),$O$1:$P$11,2,FALSE)</f>
        <v>15</v>
      </c>
      <c r="L104" s="1">
        <f>IF(MOD(SUM(pesel__26[[#This Row],[SUMA 1]:[SUMA 10]]),10)=0,0,10-MOD(SUM(pesel__26[[#This Row],[SUMA 1]:[SUMA 10]]),10))</f>
        <v>5</v>
      </c>
      <c r="M104" s="1">
        <f>IF(pesel__26[[#This Row],[CYFRA KONTROLNA]]=VALUE(RIGHT(A104,1)),0,1)</f>
        <v>0</v>
      </c>
    </row>
    <row r="105" spans="1:13" hidden="1" x14ac:dyDescent="0.25">
      <c r="A105" s="1" t="s">
        <v>103</v>
      </c>
      <c r="B105" s="1">
        <f>VALUE(MID($A105,LEFT(RIGHT(B$1,1),1),1))*VLOOKUP(VALUE(RIGHT(B$1,2)),$O$1:$P$11,2,FALSE)</f>
        <v>8</v>
      </c>
      <c r="C105" s="1">
        <f>VALUE(MID($A105,LEFT(RIGHT(C$1,1),1),1))*VLOOKUP(VALUE(RIGHT(C$1,2)),$O$1:$P$11,2,FALSE)</f>
        <v>27</v>
      </c>
      <c r="D105" s="1">
        <f>VALUE(MID($A105,LEFT(RIGHT(D$1,1),1),1))*VLOOKUP(VALUE(RIGHT(D$1,2)),$O$1:$P$11,2,FALSE)</f>
        <v>0</v>
      </c>
      <c r="E105" s="1">
        <f>VALUE(MID($A105,LEFT(RIGHT(E$1,1),1),1))*VLOOKUP(VALUE(RIGHT(E$1,2)),$O$1:$P$11,2,FALSE)</f>
        <v>9</v>
      </c>
      <c r="F105" s="1">
        <f>VALUE(MID($A105,LEFT(RIGHT(F$1,1),1),1))*VLOOKUP(VALUE(RIGHT(F$1,2)),$O$1:$P$11,2,FALSE)</f>
        <v>1</v>
      </c>
      <c r="G105" s="1">
        <f>VALUE(MID($A105,LEFT(RIGHT(G$1,1),1),1))*VLOOKUP(VALUE(RIGHT(G$1,2)),$O$1:$P$11,2,FALSE)</f>
        <v>15</v>
      </c>
      <c r="H105" s="1">
        <f>VALUE(MID($A105,LEFT(RIGHT(H$1,1),1),1))*VLOOKUP(VALUE(RIGHT(H$1,2)),$O$1:$P$11,2,FALSE)</f>
        <v>56</v>
      </c>
      <c r="I105" s="1">
        <f>VALUE(MID($A105,LEFT(RIGHT(I$1,1),1),1))*VLOOKUP(VALUE(RIGHT(I$1,2)),$O$1:$P$11,2,FALSE)</f>
        <v>9</v>
      </c>
      <c r="J105" s="1">
        <f>VALUE(MID($A105,LEFT(RIGHT(J$1,1),1),1))*VLOOKUP(VALUE(RIGHT(J$1,2)),$O$1:$P$11,2,FALSE)</f>
        <v>3</v>
      </c>
      <c r="K105" s="1">
        <f>VALUE(MID($A105,10,1))*VLOOKUP(VALUE(RIGHT(K$1,2)),$O$1:$P$11,2,FALSE)</f>
        <v>3</v>
      </c>
      <c r="L105" s="1">
        <f>IF(MOD(SUM(pesel__26[[#This Row],[SUMA 1]:[SUMA 10]]),10)=0,0,10-MOD(SUM(pesel__26[[#This Row],[SUMA 1]:[SUMA 10]]),10))</f>
        <v>9</v>
      </c>
      <c r="M105" s="1">
        <f>IF(pesel__26[[#This Row],[CYFRA KONTROLNA]]=VALUE(RIGHT(A105,1)),0,1)</f>
        <v>0</v>
      </c>
    </row>
    <row r="106" spans="1:13" hidden="1" x14ac:dyDescent="0.25">
      <c r="A106" s="1" t="s">
        <v>104</v>
      </c>
      <c r="B106" s="1">
        <f>VALUE(MID($A106,LEFT(RIGHT(B$1,1),1),1))*VLOOKUP(VALUE(RIGHT(B$1,2)),$O$1:$P$11,2,FALSE)</f>
        <v>5</v>
      </c>
      <c r="C106" s="1">
        <f>VALUE(MID($A106,LEFT(RIGHT(C$1,1),1),1))*VLOOKUP(VALUE(RIGHT(C$1,2)),$O$1:$P$11,2,FALSE)</f>
        <v>9</v>
      </c>
      <c r="D106" s="1">
        <f>VALUE(MID($A106,LEFT(RIGHT(D$1,1),1),1))*VLOOKUP(VALUE(RIGHT(D$1,2)),$O$1:$P$11,2,FALSE)</f>
        <v>7</v>
      </c>
      <c r="E106" s="1">
        <f>VALUE(MID($A106,LEFT(RIGHT(E$1,1),1),1))*VLOOKUP(VALUE(RIGHT(E$1,2)),$O$1:$P$11,2,FALSE)</f>
        <v>18</v>
      </c>
      <c r="F106" s="1">
        <f>VALUE(MID($A106,LEFT(RIGHT(F$1,1),1),1))*VLOOKUP(VALUE(RIGHT(F$1,2)),$O$1:$P$11,2,FALSE)</f>
        <v>2</v>
      </c>
      <c r="G106" s="1">
        <f>VALUE(MID($A106,LEFT(RIGHT(G$1,1),1),1))*VLOOKUP(VALUE(RIGHT(G$1,2)),$O$1:$P$11,2,FALSE)</f>
        <v>6</v>
      </c>
      <c r="H106" s="1">
        <f>VALUE(MID($A106,LEFT(RIGHT(H$1,1),1),1))*VLOOKUP(VALUE(RIGHT(H$1,2)),$O$1:$P$11,2,FALSE)</f>
        <v>63</v>
      </c>
      <c r="I106" s="1">
        <f>VALUE(MID($A106,LEFT(RIGHT(I$1,1),1),1))*VLOOKUP(VALUE(RIGHT(I$1,2)),$O$1:$P$11,2,FALSE)</f>
        <v>81</v>
      </c>
      <c r="J106" s="1">
        <f>VALUE(MID($A106,LEFT(RIGHT(J$1,1),1),1))*VLOOKUP(VALUE(RIGHT(J$1,2)),$O$1:$P$11,2,FALSE)</f>
        <v>1</v>
      </c>
      <c r="K106" s="1">
        <f>VALUE(MID($A106,10,1))*VLOOKUP(VALUE(RIGHT(K$1,2)),$O$1:$P$11,2,FALSE)</f>
        <v>6</v>
      </c>
      <c r="L106" s="1">
        <f>IF(MOD(SUM(pesel__26[[#This Row],[SUMA 1]:[SUMA 10]]),10)=0,0,10-MOD(SUM(pesel__26[[#This Row],[SUMA 1]:[SUMA 10]]),10))</f>
        <v>2</v>
      </c>
      <c r="M106" s="1">
        <f>IF(pesel__26[[#This Row],[CYFRA KONTROLNA]]=VALUE(RIGHT(A106,1)),0,1)</f>
        <v>0</v>
      </c>
    </row>
    <row r="107" spans="1:13" hidden="1" x14ac:dyDescent="0.25">
      <c r="A107" s="1" t="s">
        <v>105</v>
      </c>
      <c r="B107" s="1">
        <f>VALUE(MID($A107,LEFT(RIGHT(B$1,1),1),1))*VLOOKUP(VALUE(RIGHT(B$1,2)),$O$1:$P$11,2,FALSE)</f>
        <v>7</v>
      </c>
      <c r="C107" s="1">
        <f>VALUE(MID($A107,LEFT(RIGHT(C$1,1),1),1))*VLOOKUP(VALUE(RIGHT(C$1,2)),$O$1:$P$11,2,FALSE)</f>
        <v>15</v>
      </c>
      <c r="D107" s="1">
        <f>VALUE(MID($A107,LEFT(RIGHT(D$1,1),1),1))*VLOOKUP(VALUE(RIGHT(D$1,2)),$O$1:$P$11,2,FALSE)</f>
        <v>7</v>
      </c>
      <c r="E107" s="1">
        <f>VALUE(MID($A107,LEFT(RIGHT(E$1,1),1),1))*VLOOKUP(VALUE(RIGHT(E$1,2)),$O$1:$P$11,2,FALSE)</f>
        <v>9</v>
      </c>
      <c r="F107" s="1">
        <f>VALUE(MID($A107,LEFT(RIGHT(F$1,1),1),1))*VLOOKUP(VALUE(RIGHT(F$1,2)),$O$1:$P$11,2,FALSE)</f>
        <v>3</v>
      </c>
      <c r="G107" s="1">
        <f>VALUE(MID($A107,LEFT(RIGHT(G$1,1),1),1))*VLOOKUP(VALUE(RIGHT(G$1,2)),$O$1:$P$11,2,FALSE)</f>
        <v>3</v>
      </c>
      <c r="H107" s="1">
        <f>VALUE(MID($A107,LEFT(RIGHT(H$1,1),1),1))*VLOOKUP(VALUE(RIGHT(H$1,2)),$O$1:$P$11,2,FALSE)</f>
        <v>42</v>
      </c>
      <c r="I107" s="1">
        <f>VALUE(MID($A107,LEFT(RIGHT(I$1,1),1),1))*VLOOKUP(VALUE(RIGHT(I$1,2)),$O$1:$P$11,2,FALSE)</f>
        <v>18</v>
      </c>
      <c r="J107" s="1">
        <f>VALUE(MID($A107,LEFT(RIGHT(J$1,1),1),1))*VLOOKUP(VALUE(RIGHT(J$1,2)),$O$1:$P$11,2,FALSE)</f>
        <v>7</v>
      </c>
      <c r="K107" s="1">
        <f>VALUE(MID($A107,10,1))*VLOOKUP(VALUE(RIGHT(K$1,2)),$O$1:$P$11,2,FALSE)</f>
        <v>12</v>
      </c>
      <c r="L107" s="1">
        <f>IF(MOD(SUM(pesel__26[[#This Row],[SUMA 1]:[SUMA 10]]),10)=0,0,10-MOD(SUM(pesel__26[[#This Row],[SUMA 1]:[SUMA 10]]),10))</f>
        <v>7</v>
      </c>
      <c r="M107" s="1">
        <f>IF(pesel__26[[#This Row],[CYFRA KONTROLNA]]=VALUE(RIGHT(A107,1)),0,1)</f>
        <v>0</v>
      </c>
    </row>
    <row r="108" spans="1:13" hidden="1" x14ac:dyDescent="0.25">
      <c r="A108" s="1" t="s">
        <v>106</v>
      </c>
      <c r="B108" s="1">
        <f>VALUE(MID($A108,LEFT(RIGHT(B$1,1),1),1))*VLOOKUP(VALUE(RIGHT(B$1,2)),$O$1:$P$11,2,FALSE)</f>
        <v>8</v>
      </c>
      <c r="C108" s="1">
        <f>VALUE(MID($A108,LEFT(RIGHT(C$1,1),1),1))*VLOOKUP(VALUE(RIGHT(C$1,2)),$O$1:$P$11,2,FALSE)</f>
        <v>27</v>
      </c>
      <c r="D108" s="1">
        <f>VALUE(MID($A108,LEFT(RIGHT(D$1,1),1),1))*VLOOKUP(VALUE(RIGHT(D$1,2)),$O$1:$P$11,2,FALSE)</f>
        <v>7</v>
      </c>
      <c r="E108" s="1">
        <f>VALUE(MID($A108,LEFT(RIGHT(E$1,1),1),1))*VLOOKUP(VALUE(RIGHT(E$1,2)),$O$1:$P$11,2,FALSE)</f>
        <v>0</v>
      </c>
      <c r="F108" s="1">
        <f>VALUE(MID($A108,LEFT(RIGHT(F$1,1),1),1))*VLOOKUP(VALUE(RIGHT(F$1,2)),$O$1:$P$11,2,FALSE)</f>
        <v>2</v>
      </c>
      <c r="G108" s="1">
        <f>VALUE(MID($A108,LEFT(RIGHT(G$1,1),1),1))*VLOOKUP(VALUE(RIGHT(G$1,2)),$O$1:$P$11,2,FALSE)</f>
        <v>15</v>
      </c>
      <c r="H108" s="1">
        <f>VALUE(MID($A108,LEFT(RIGHT(H$1,1),1),1))*VLOOKUP(VALUE(RIGHT(H$1,2)),$O$1:$P$11,2,FALSE)</f>
        <v>56</v>
      </c>
      <c r="I108" s="1">
        <f>VALUE(MID($A108,LEFT(RIGHT(I$1,1),1),1))*VLOOKUP(VALUE(RIGHT(I$1,2)),$O$1:$P$11,2,FALSE)</f>
        <v>72</v>
      </c>
      <c r="J108" s="1">
        <f>VALUE(MID($A108,LEFT(RIGHT(J$1,1),1),1))*VLOOKUP(VALUE(RIGHT(J$1,2)),$O$1:$P$11,2,FALSE)</f>
        <v>1</v>
      </c>
      <c r="K108" s="1">
        <f>VALUE(MID($A108,10,1))*VLOOKUP(VALUE(RIGHT(K$1,2)),$O$1:$P$11,2,FALSE)</f>
        <v>21</v>
      </c>
      <c r="L108" s="1">
        <f>IF(MOD(SUM(pesel__26[[#This Row],[SUMA 1]:[SUMA 10]]),10)=0,0,10-MOD(SUM(pesel__26[[#This Row],[SUMA 1]:[SUMA 10]]),10))</f>
        <v>1</v>
      </c>
      <c r="M108" s="1">
        <f>IF(pesel__26[[#This Row],[CYFRA KONTROLNA]]=VALUE(RIGHT(A108,1)),0,1)</f>
        <v>0</v>
      </c>
    </row>
    <row r="109" spans="1:13" hidden="1" x14ac:dyDescent="0.25">
      <c r="A109" s="1" t="s">
        <v>107</v>
      </c>
      <c r="B109" s="1">
        <f>VALUE(MID($A109,LEFT(RIGHT(B$1,1),1),1))*VLOOKUP(VALUE(RIGHT(B$1,2)),$O$1:$P$11,2,FALSE)</f>
        <v>8</v>
      </c>
      <c r="C109" s="1">
        <f>VALUE(MID($A109,LEFT(RIGHT(C$1,1),1),1))*VLOOKUP(VALUE(RIGHT(C$1,2)),$O$1:$P$11,2,FALSE)</f>
        <v>27</v>
      </c>
      <c r="D109" s="1">
        <f>VALUE(MID($A109,LEFT(RIGHT(D$1,1),1),1))*VLOOKUP(VALUE(RIGHT(D$1,2)),$O$1:$P$11,2,FALSE)</f>
        <v>0</v>
      </c>
      <c r="E109" s="1">
        <f>VALUE(MID($A109,LEFT(RIGHT(E$1,1),1),1))*VLOOKUP(VALUE(RIGHT(E$1,2)),$O$1:$P$11,2,FALSE)</f>
        <v>18</v>
      </c>
      <c r="F109" s="1">
        <f>VALUE(MID($A109,LEFT(RIGHT(F$1,1),1),1))*VLOOKUP(VALUE(RIGHT(F$1,2)),$O$1:$P$11,2,FALSE)</f>
        <v>2</v>
      </c>
      <c r="G109" s="1">
        <f>VALUE(MID($A109,LEFT(RIGHT(G$1,1),1),1))*VLOOKUP(VALUE(RIGHT(G$1,2)),$O$1:$P$11,2,FALSE)</f>
        <v>9</v>
      </c>
      <c r="H109" s="1">
        <f>VALUE(MID($A109,LEFT(RIGHT(H$1,1),1),1))*VLOOKUP(VALUE(RIGHT(H$1,2)),$O$1:$P$11,2,FALSE)</f>
        <v>49</v>
      </c>
      <c r="I109" s="1">
        <f>VALUE(MID($A109,LEFT(RIGHT(I$1,1),1),1))*VLOOKUP(VALUE(RIGHT(I$1,2)),$O$1:$P$11,2,FALSE)</f>
        <v>81</v>
      </c>
      <c r="J109" s="1">
        <f>VALUE(MID($A109,LEFT(RIGHT(J$1,1),1),1))*VLOOKUP(VALUE(RIGHT(J$1,2)),$O$1:$P$11,2,FALSE)</f>
        <v>9</v>
      </c>
      <c r="K109" s="1">
        <f>VALUE(MID($A109,10,1))*VLOOKUP(VALUE(RIGHT(K$1,2)),$O$1:$P$11,2,FALSE)</f>
        <v>3</v>
      </c>
      <c r="L109" s="1">
        <f>IF(MOD(SUM(pesel__26[[#This Row],[SUMA 1]:[SUMA 10]]),10)=0,0,10-MOD(SUM(pesel__26[[#This Row],[SUMA 1]:[SUMA 10]]),10))</f>
        <v>4</v>
      </c>
      <c r="M109" s="1">
        <f>IF(pesel__26[[#This Row],[CYFRA KONTROLNA]]=VALUE(RIGHT(A109,1)),0,1)</f>
        <v>0</v>
      </c>
    </row>
    <row r="110" spans="1:13" hidden="1" x14ac:dyDescent="0.25">
      <c r="A110" s="1" t="s">
        <v>108</v>
      </c>
      <c r="B110" s="1">
        <f>VALUE(MID($A110,LEFT(RIGHT(B$1,1),1),1))*VLOOKUP(VALUE(RIGHT(B$1,2)),$O$1:$P$11,2,FALSE)</f>
        <v>9</v>
      </c>
      <c r="C110" s="1">
        <f>VALUE(MID($A110,LEFT(RIGHT(C$1,1),1),1))*VLOOKUP(VALUE(RIGHT(C$1,2)),$O$1:$P$11,2,FALSE)</f>
        <v>6</v>
      </c>
      <c r="D110" s="1">
        <f>VALUE(MID($A110,LEFT(RIGHT(D$1,1),1),1))*VLOOKUP(VALUE(RIGHT(D$1,2)),$O$1:$P$11,2,FALSE)</f>
        <v>0</v>
      </c>
      <c r="E110" s="1">
        <f>VALUE(MID($A110,LEFT(RIGHT(E$1,1),1),1))*VLOOKUP(VALUE(RIGHT(E$1,2)),$O$1:$P$11,2,FALSE)</f>
        <v>72</v>
      </c>
      <c r="F110" s="1">
        <f>VALUE(MID($A110,LEFT(RIGHT(F$1,1),1),1))*VLOOKUP(VALUE(RIGHT(F$1,2)),$O$1:$P$11,2,FALSE)</f>
        <v>0</v>
      </c>
      <c r="G110" s="1">
        <f>VALUE(MID($A110,LEFT(RIGHT(G$1,1),1),1))*VLOOKUP(VALUE(RIGHT(G$1,2)),$O$1:$P$11,2,FALSE)</f>
        <v>21</v>
      </c>
      <c r="H110" s="1">
        <f>VALUE(MID($A110,LEFT(RIGHT(H$1,1),1),1))*VLOOKUP(VALUE(RIGHT(H$1,2)),$O$1:$P$11,2,FALSE)</f>
        <v>0</v>
      </c>
      <c r="I110" s="1">
        <f>VALUE(MID($A110,LEFT(RIGHT(I$1,1),1),1))*VLOOKUP(VALUE(RIGHT(I$1,2)),$O$1:$P$11,2,FALSE)</f>
        <v>81</v>
      </c>
      <c r="J110" s="1">
        <f>VALUE(MID($A110,LEFT(RIGHT(J$1,1),1),1))*VLOOKUP(VALUE(RIGHT(J$1,2)),$O$1:$P$11,2,FALSE)</f>
        <v>3</v>
      </c>
      <c r="K110" s="1">
        <f>VALUE(MID($A110,10,1))*VLOOKUP(VALUE(RIGHT(K$1,2)),$O$1:$P$11,2,FALSE)</f>
        <v>15</v>
      </c>
      <c r="L110" s="1">
        <f>IF(MOD(SUM(pesel__26[[#This Row],[SUMA 1]:[SUMA 10]]),10)=0,0,10-MOD(SUM(pesel__26[[#This Row],[SUMA 1]:[SUMA 10]]),10))</f>
        <v>3</v>
      </c>
      <c r="M110" s="1">
        <f>IF(pesel__26[[#This Row],[CYFRA KONTROLNA]]=VALUE(RIGHT(A110,1)),0,1)</f>
        <v>0</v>
      </c>
    </row>
    <row r="111" spans="1:13" hidden="1" x14ac:dyDescent="0.25">
      <c r="A111" s="1" t="s">
        <v>109</v>
      </c>
      <c r="B111" s="1">
        <f>VALUE(MID($A111,LEFT(RIGHT(B$1,1),1),1))*VLOOKUP(VALUE(RIGHT(B$1,2)),$O$1:$P$11,2,FALSE)</f>
        <v>5</v>
      </c>
      <c r="C111" s="1">
        <f>VALUE(MID($A111,LEFT(RIGHT(C$1,1),1),1))*VLOOKUP(VALUE(RIGHT(C$1,2)),$O$1:$P$11,2,FALSE)</f>
        <v>0</v>
      </c>
      <c r="D111" s="1">
        <f>VALUE(MID($A111,LEFT(RIGHT(D$1,1),1),1))*VLOOKUP(VALUE(RIGHT(D$1,2)),$O$1:$P$11,2,FALSE)</f>
        <v>7</v>
      </c>
      <c r="E111" s="1">
        <f>VALUE(MID($A111,LEFT(RIGHT(E$1,1),1),1))*VLOOKUP(VALUE(RIGHT(E$1,2)),$O$1:$P$11,2,FALSE)</f>
        <v>0</v>
      </c>
      <c r="F111" s="1">
        <f>VALUE(MID($A111,LEFT(RIGHT(F$1,1),1),1))*VLOOKUP(VALUE(RIGHT(F$1,2)),$O$1:$P$11,2,FALSE)</f>
        <v>1</v>
      </c>
      <c r="G111" s="1">
        <f>VALUE(MID($A111,LEFT(RIGHT(G$1,1),1),1))*VLOOKUP(VALUE(RIGHT(G$1,2)),$O$1:$P$11,2,FALSE)</f>
        <v>3</v>
      </c>
      <c r="H111" s="1">
        <f>VALUE(MID($A111,LEFT(RIGHT(H$1,1),1),1))*VLOOKUP(VALUE(RIGHT(H$1,2)),$O$1:$P$11,2,FALSE)</f>
        <v>7</v>
      </c>
      <c r="I111" s="1">
        <f>VALUE(MID($A111,LEFT(RIGHT(I$1,1),1),1))*VLOOKUP(VALUE(RIGHT(I$1,2)),$O$1:$P$11,2,FALSE)</f>
        <v>9</v>
      </c>
      <c r="J111" s="1">
        <f>VALUE(MID($A111,LEFT(RIGHT(J$1,1),1),1))*VLOOKUP(VALUE(RIGHT(J$1,2)),$O$1:$P$11,2,FALSE)</f>
        <v>3</v>
      </c>
      <c r="K111" s="1">
        <f>VALUE(MID($A111,10,1))*VLOOKUP(VALUE(RIGHT(K$1,2)),$O$1:$P$11,2,FALSE)</f>
        <v>0</v>
      </c>
      <c r="L111" s="1">
        <f>IF(MOD(SUM(pesel__26[[#This Row],[SUMA 1]:[SUMA 10]]),10)=0,0,10-MOD(SUM(pesel__26[[#This Row],[SUMA 1]:[SUMA 10]]),10))</f>
        <v>5</v>
      </c>
      <c r="M111" s="1">
        <f>IF(pesel__26[[#This Row],[CYFRA KONTROLNA]]=VALUE(RIGHT(A111,1)),0,1)</f>
        <v>0</v>
      </c>
    </row>
    <row r="112" spans="1:13" hidden="1" x14ac:dyDescent="0.25">
      <c r="A112" s="1" t="s">
        <v>110</v>
      </c>
      <c r="B112" s="1">
        <f>VALUE(MID($A112,LEFT(RIGHT(B$1,1),1),1))*VLOOKUP(VALUE(RIGHT(B$1,2)),$O$1:$P$11,2,FALSE)</f>
        <v>8</v>
      </c>
      <c r="C112" s="1">
        <f>VALUE(MID($A112,LEFT(RIGHT(C$1,1),1),1))*VLOOKUP(VALUE(RIGHT(C$1,2)),$O$1:$P$11,2,FALSE)</f>
        <v>27</v>
      </c>
      <c r="D112" s="1">
        <f>VALUE(MID($A112,LEFT(RIGHT(D$1,1),1),1))*VLOOKUP(VALUE(RIGHT(D$1,2)),$O$1:$P$11,2,FALSE)</f>
        <v>0</v>
      </c>
      <c r="E112" s="1">
        <f>VALUE(MID($A112,LEFT(RIGHT(E$1,1),1),1))*VLOOKUP(VALUE(RIGHT(E$1,2)),$O$1:$P$11,2,FALSE)</f>
        <v>36</v>
      </c>
      <c r="F112" s="1">
        <f>VALUE(MID($A112,LEFT(RIGHT(F$1,1),1),1))*VLOOKUP(VALUE(RIGHT(F$1,2)),$O$1:$P$11,2,FALSE)</f>
        <v>2</v>
      </c>
      <c r="G112" s="1">
        <f>VALUE(MID($A112,LEFT(RIGHT(G$1,1),1),1))*VLOOKUP(VALUE(RIGHT(G$1,2)),$O$1:$P$11,2,FALSE)</f>
        <v>18</v>
      </c>
      <c r="H112" s="1">
        <f>VALUE(MID($A112,LEFT(RIGHT(H$1,1),1),1))*VLOOKUP(VALUE(RIGHT(H$1,2)),$O$1:$P$11,2,FALSE)</f>
        <v>14</v>
      </c>
      <c r="I112" s="1">
        <f>VALUE(MID($A112,LEFT(RIGHT(I$1,1),1),1))*VLOOKUP(VALUE(RIGHT(I$1,2)),$O$1:$P$11,2,FALSE)</f>
        <v>0</v>
      </c>
      <c r="J112" s="1">
        <f>VALUE(MID($A112,LEFT(RIGHT(J$1,1),1),1))*VLOOKUP(VALUE(RIGHT(J$1,2)),$O$1:$P$11,2,FALSE)</f>
        <v>4</v>
      </c>
      <c r="K112" s="1">
        <f>VALUE(MID($A112,10,1))*VLOOKUP(VALUE(RIGHT(K$1,2)),$O$1:$P$11,2,FALSE)</f>
        <v>27</v>
      </c>
      <c r="L112" s="1">
        <f>IF(MOD(SUM(pesel__26[[#This Row],[SUMA 1]:[SUMA 10]]),10)=0,0,10-MOD(SUM(pesel__26[[#This Row],[SUMA 1]:[SUMA 10]]),10))</f>
        <v>4</v>
      </c>
      <c r="M112" s="1">
        <f>IF(pesel__26[[#This Row],[CYFRA KONTROLNA]]=VALUE(RIGHT(A112,1)),0,1)</f>
        <v>0</v>
      </c>
    </row>
    <row r="113" spans="1:13" hidden="1" x14ac:dyDescent="0.25">
      <c r="A113" s="1" t="s">
        <v>111</v>
      </c>
      <c r="B113" s="1">
        <f>VALUE(MID($A113,LEFT(RIGHT(B$1,1),1),1))*VLOOKUP(VALUE(RIGHT(B$1,2)),$O$1:$P$11,2,FALSE)</f>
        <v>5</v>
      </c>
      <c r="C113" s="1">
        <f>VALUE(MID($A113,LEFT(RIGHT(C$1,1),1),1))*VLOOKUP(VALUE(RIGHT(C$1,2)),$O$1:$P$11,2,FALSE)</f>
        <v>3</v>
      </c>
      <c r="D113" s="1">
        <f>VALUE(MID($A113,LEFT(RIGHT(D$1,1),1),1))*VLOOKUP(VALUE(RIGHT(D$1,2)),$O$1:$P$11,2,FALSE)</f>
        <v>7</v>
      </c>
      <c r="E113" s="1">
        <f>VALUE(MID($A113,LEFT(RIGHT(E$1,1),1),1))*VLOOKUP(VALUE(RIGHT(E$1,2)),$O$1:$P$11,2,FALSE)</f>
        <v>0</v>
      </c>
      <c r="F113" s="1">
        <f>VALUE(MID($A113,LEFT(RIGHT(F$1,1),1),1))*VLOOKUP(VALUE(RIGHT(F$1,2)),$O$1:$P$11,2,FALSE)</f>
        <v>2</v>
      </c>
      <c r="G113" s="1">
        <f>VALUE(MID($A113,LEFT(RIGHT(G$1,1),1),1))*VLOOKUP(VALUE(RIGHT(G$1,2)),$O$1:$P$11,2,FALSE)</f>
        <v>15</v>
      </c>
      <c r="H113" s="1">
        <f>VALUE(MID($A113,LEFT(RIGHT(H$1,1),1),1))*VLOOKUP(VALUE(RIGHT(H$1,2)),$O$1:$P$11,2,FALSE)</f>
        <v>49</v>
      </c>
      <c r="I113" s="1">
        <f>VALUE(MID($A113,LEFT(RIGHT(I$1,1),1),1))*VLOOKUP(VALUE(RIGHT(I$1,2)),$O$1:$P$11,2,FALSE)</f>
        <v>27</v>
      </c>
      <c r="J113" s="1">
        <f>VALUE(MID($A113,LEFT(RIGHT(J$1,1),1),1))*VLOOKUP(VALUE(RIGHT(J$1,2)),$O$1:$P$11,2,FALSE)</f>
        <v>8</v>
      </c>
      <c r="K113" s="1">
        <f>VALUE(MID($A113,10,1))*VLOOKUP(VALUE(RIGHT(K$1,2)),$O$1:$P$11,2,FALSE)</f>
        <v>12</v>
      </c>
      <c r="L113" s="1">
        <f>IF(MOD(SUM(pesel__26[[#This Row],[SUMA 1]:[SUMA 10]]),10)=0,0,10-MOD(SUM(pesel__26[[#This Row],[SUMA 1]:[SUMA 10]]),10))</f>
        <v>2</v>
      </c>
      <c r="M113" s="1">
        <f>IF(pesel__26[[#This Row],[CYFRA KONTROLNA]]=VALUE(RIGHT(A113,1)),0,1)</f>
        <v>0</v>
      </c>
    </row>
    <row r="114" spans="1:13" hidden="1" x14ac:dyDescent="0.25">
      <c r="A114" s="1" t="s">
        <v>112</v>
      </c>
      <c r="B114" s="1">
        <f>VALUE(MID($A114,LEFT(RIGHT(B$1,1),1),1))*VLOOKUP(VALUE(RIGHT(B$1,2)),$O$1:$P$11,2,FALSE)</f>
        <v>8</v>
      </c>
      <c r="C114" s="1">
        <f>VALUE(MID($A114,LEFT(RIGHT(C$1,1),1),1))*VLOOKUP(VALUE(RIGHT(C$1,2)),$O$1:$P$11,2,FALSE)</f>
        <v>27</v>
      </c>
      <c r="D114" s="1">
        <f>VALUE(MID($A114,LEFT(RIGHT(D$1,1),1),1))*VLOOKUP(VALUE(RIGHT(D$1,2)),$O$1:$P$11,2,FALSE)</f>
        <v>0</v>
      </c>
      <c r="E114" s="1">
        <f>VALUE(MID($A114,LEFT(RIGHT(E$1,1),1),1))*VLOOKUP(VALUE(RIGHT(E$1,2)),$O$1:$P$11,2,FALSE)</f>
        <v>18</v>
      </c>
      <c r="F114" s="1">
        <f>VALUE(MID($A114,LEFT(RIGHT(F$1,1),1),1))*VLOOKUP(VALUE(RIGHT(F$1,2)),$O$1:$P$11,2,FALSE)</f>
        <v>1</v>
      </c>
      <c r="G114" s="1">
        <f>VALUE(MID($A114,LEFT(RIGHT(G$1,1),1),1))*VLOOKUP(VALUE(RIGHT(G$1,2)),$O$1:$P$11,2,FALSE)</f>
        <v>18</v>
      </c>
      <c r="H114" s="1">
        <f>VALUE(MID($A114,LEFT(RIGHT(H$1,1),1),1))*VLOOKUP(VALUE(RIGHT(H$1,2)),$O$1:$P$11,2,FALSE)</f>
        <v>63</v>
      </c>
      <c r="I114" s="1">
        <f>VALUE(MID($A114,LEFT(RIGHT(I$1,1),1),1))*VLOOKUP(VALUE(RIGHT(I$1,2)),$O$1:$P$11,2,FALSE)</f>
        <v>63</v>
      </c>
      <c r="J114" s="1">
        <f>VALUE(MID($A114,LEFT(RIGHT(J$1,1),1),1))*VLOOKUP(VALUE(RIGHT(J$1,2)),$O$1:$P$11,2,FALSE)</f>
        <v>6</v>
      </c>
      <c r="K114" s="1">
        <f>VALUE(MID($A114,10,1))*VLOOKUP(VALUE(RIGHT(K$1,2)),$O$1:$P$11,2,FALSE)</f>
        <v>9</v>
      </c>
      <c r="L114" s="1">
        <f>IF(MOD(SUM(pesel__26[[#This Row],[SUMA 1]:[SUMA 10]]),10)=0,0,10-MOD(SUM(pesel__26[[#This Row],[SUMA 1]:[SUMA 10]]),10))</f>
        <v>7</v>
      </c>
      <c r="M114" s="1">
        <f>IF(pesel__26[[#This Row],[CYFRA KONTROLNA]]=VALUE(RIGHT(A114,1)),0,1)</f>
        <v>0</v>
      </c>
    </row>
    <row r="115" spans="1:13" hidden="1" x14ac:dyDescent="0.25">
      <c r="A115" s="1" t="s">
        <v>113</v>
      </c>
      <c r="B115" s="1">
        <f>VALUE(MID($A115,LEFT(RIGHT(B$1,1),1),1))*VLOOKUP(VALUE(RIGHT(B$1,2)),$O$1:$P$11,2,FALSE)</f>
        <v>6</v>
      </c>
      <c r="C115" s="1">
        <f>VALUE(MID($A115,LEFT(RIGHT(C$1,1),1),1))*VLOOKUP(VALUE(RIGHT(C$1,2)),$O$1:$P$11,2,FALSE)</f>
        <v>9</v>
      </c>
      <c r="D115" s="1">
        <f>VALUE(MID($A115,LEFT(RIGHT(D$1,1),1),1))*VLOOKUP(VALUE(RIGHT(D$1,2)),$O$1:$P$11,2,FALSE)</f>
        <v>0</v>
      </c>
      <c r="E115" s="1">
        <f>VALUE(MID($A115,LEFT(RIGHT(E$1,1),1),1))*VLOOKUP(VALUE(RIGHT(E$1,2)),$O$1:$P$11,2,FALSE)</f>
        <v>81</v>
      </c>
      <c r="F115" s="1">
        <f>VALUE(MID($A115,LEFT(RIGHT(F$1,1),1),1))*VLOOKUP(VALUE(RIGHT(F$1,2)),$O$1:$P$11,2,FALSE)</f>
        <v>2</v>
      </c>
      <c r="G115" s="1">
        <f>VALUE(MID($A115,LEFT(RIGHT(G$1,1),1),1))*VLOOKUP(VALUE(RIGHT(G$1,2)),$O$1:$P$11,2,FALSE)</f>
        <v>18</v>
      </c>
      <c r="H115" s="1">
        <f>VALUE(MID($A115,LEFT(RIGHT(H$1,1),1),1))*VLOOKUP(VALUE(RIGHT(H$1,2)),$O$1:$P$11,2,FALSE)</f>
        <v>0</v>
      </c>
      <c r="I115" s="1">
        <f>VALUE(MID($A115,LEFT(RIGHT(I$1,1),1),1))*VLOOKUP(VALUE(RIGHT(I$1,2)),$O$1:$P$11,2,FALSE)</f>
        <v>72</v>
      </c>
      <c r="J115" s="1">
        <f>VALUE(MID($A115,LEFT(RIGHT(J$1,1),1),1))*VLOOKUP(VALUE(RIGHT(J$1,2)),$O$1:$P$11,2,FALSE)</f>
        <v>6</v>
      </c>
      <c r="K115" s="1">
        <f>VALUE(MID($A115,10,1))*VLOOKUP(VALUE(RIGHT(K$1,2)),$O$1:$P$11,2,FALSE)</f>
        <v>12</v>
      </c>
      <c r="L115" s="1">
        <f>IF(MOD(SUM(pesel__26[[#This Row],[SUMA 1]:[SUMA 10]]),10)=0,0,10-MOD(SUM(pesel__26[[#This Row],[SUMA 1]:[SUMA 10]]),10))</f>
        <v>4</v>
      </c>
      <c r="M115" s="1">
        <f>IF(pesel__26[[#This Row],[CYFRA KONTROLNA]]=VALUE(RIGHT(A115,1)),0,1)</f>
        <v>0</v>
      </c>
    </row>
    <row r="116" spans="1:13" hidden="1" x14ac:dyDescent="0.25">
      <c r="A116" s="1" t="s">
        <v>114</v>
      </c>
      <c r="B116" s="1">
        <f>VALUE(MID($A116,LEFT(RIGHT(B$1,1),1),1))*VLOOKUP(VALUE(RIGHT(B$1,2)),$O$1:$P$11,2,FALSE)</f>
        <v>7</v>
      </c>
      <c r="C116" s="1">
        <f>VALUE(MID($A116,LEFT(RIGHT(C$1,1),1),1))*VLOOKUP(VALUE(RIGHT(C$1,2)),$O$1:$P$11,2,FALSE)</f>
        <v>24</v>
      </c>
      <c r="D116" s="1">
        <f>VALUE(MID($A116,LEFT(RIGHT(D$1,1),1),1))*VLOOKUP(VALUE(RIGHT(D$1,2)),$O$1:$P$11,2,FALSE)</f>
        <v>7</v>
      </c>
      <c r="E116" s="1">
        <f>VALUE(MID($A116,LEFT(RIGHT(E$1,1),1),1))*VLOOKUP(VALUE(RIGHT(E$1,2)),$O$1:$P$11,2,FALSE)</f>
        <v>0</v>
      </c>
      <c r="F116" s="1">
        <f>VALUE(MID($A116,LEFT(RIGHT(F$1,1),1),1))*VLOOKUP(VALUE(RIGHT(F$1,2)),$O$1:$P$11,2,FALSE)</f>
        <v>2</v>
      </c>
      <c r="G116" s="1">
        <f>VALUE(MID($A116,LEFT(RIGHT(G$1,1),1),1))*VLOOKUP(VALUE(RIGHT(G$1,2)),$O$1:$P$11,2,FALSE)</f>
        <v>27</v>
      </c>
      <c r="H116" s="1">
        <f>VALUE(MID($A116,LEFT(RIGHT(H$1,1),1),1))*VLOOKUP(VALUE(RIGHT(H$1,2)),$O$1:$P$11,2,FALSE)</f>
        <v>28</v>
      </c>
      <c r="I116" s="1">
        <f>VALUE(MID($A116,LEFT(RIGHT(I$1,1),1),1))*VLOOKUP(VALUE(RIGHT(I$1,2)),$O$1:$P$11,2,FALSE)</f>
        <v>45</v>
      </c>
      <c r="J116" s="1">
        <f>VALUE(MID($A116,LEFT(RIGHT(J$1,1),1),1))*VLOOKUP(VALUE(RIGHT(J$1,2)),$O$1:$P$11,2,FALSE)</f>
        <v>9</v>
      </c>
      <c r="K116" s="1">
        <f>VALUE(MID($A116,10,1))*VLOOKUP(VALUE(RIGHT(K$1,2)),$O$1:$P$11,2,FALSE)</f>
        <v>18</v>
      </c>
      <c r="L116" s="1">
        <f>IF(MOD(SUM(pesel__26[[#This Row],[SUMA 1]:[SUMA 10]]),10)=0,0,10-MOD(SUM(pesel__26[[#This Row],[SUMA 1]:[SUMA 10]]),10))</f>
        <v>3</v>
      </c>
      <c r="M116" s="1">
        <f>IF(pesel__26[[#This Row],[CYFRA KONTROLNA]]=VALUE(RIGHT(A116,1)),0,1)</f>
        <v>0</v>
      </c>
    </row>
    <row r="117" spans="1:13" hidden="1" x14ac:dyDescent="0.25">
      <c r="A117" s="1" t="s">
        <v>115</v>
      </c>
      <c r="B117" s="1">
        <f>VALUE(MID($A117,LEFT(RIGHT(B$1,1),1),1))*VLOOKUP(VALUE(RIGHT(B$1,2)),$O$1:$P$11,2,FALSE)</f>
        <v>8</v>
      </c>
      <c r="C117" s="1">
        <f>VALUE(MID($A117,LEFT(RIGHT(C$1,1),1),1))*VLOOKUP(VALUE(RIGHT(C$1,2)),$O$1:$P$11,2,FALSE)</f>
        <v>18</v>
      </c>
      <c r="D117" s="1">
        <f>VALUE(MID($A117,LEFT(RIGHT(D$1,1),1),1))*VLOOKUP(VALUE(RIGHT(D$1,2)),$O$1:$P$11,2,FALSE)</f>
        <v>0</v>
      </c>
      <c r="E117" s="1">
        <f>VALUE(MID($A117,LEFT(RIGHT(E$1,1),1),1))*VLOOKUP(VALUE(RIGHT(E$1,2)),$O$1:$P$11,2,FALSE)</f>
        <v>54</v>
      </c>
      <c r="F117" s="1">
        <f>VALUE(MID($A117,LEFT(RIGHT(F$1,1),1),1))*VLOOKUP(VALUE(RIGHT(F$1,2)),$O$1:$P$11,2,FALSE)</f>
        <v>1</v>
      </c>
      <c r="G117" s="1">
        <f>VALUE(MID($A117,LEFT(RIGHT(G$1,1),1),1))*VLOOKUP(VALUE(RIGHT(G$1,2)),$O$1:$P$11,2,FALSE)</f>
        <v>27</v>
      </c>
      <c r="H117" s="1">
        <f>VALUE(MID($A117,LEFT(RIGHT(H$1,1),1),1))*VLOOKUP(VALUE(RIGHT(H$1,2)),$O$1:$P$11,2,FALSE)</f>
        <v>63</v>
      </c>
      <c r="I117" s="1">
        <f>VALUE(MID($A117,LEFT(RIGHT(I$1,1),1),1))*VLOOKUP(VALUE(RIGHT(I$1,2)),$O$1:$P$11,2,FALSE)</f>
        <v>45</v>
      </c>
      <c r="J117" s="1">
        <f>VALUE(MID($A117,LEFT(RIGHT(J$1,1),1),1))*VLOOKUP(VALUE(RIGHT(J$1,2)),$O$1:$P$11,2,FALSE)</f>
        <v>3</v>
      </c>
      <c r="K117" s="1">
        <f>VALUE(MID($A117,10,1))*VLOOKUP(VALUE(RIGHT(K$1,2)),$O$1:$P$11,2,FALSE)</f>
        <v>6</v>
      </c>
      <c r="L117" s="1">
        <f>IF(MOD(SUM(pesel__26[[#This Row],[SUMA 1]:[SUMA 10]]),10)=0,0,10-MOD(SUM(pesel__26[[#This Row],[SUMA 1]:[SUMA 10]]),10))</f>
        <v>5</v>
      </c>
      <c r="M117" s="1">
        <f>IF(pesel__26[[#This Row],[CYFRA KONTROLNA]]=VALUE(RIGHT(A117,1)),0,1)</f>
        <v>0</v>
      </c>
    </row>
    <row r="118" spans="1:13" hidden="1" x14ac:dyDescent="0.25">
      <c r="A118" s="1" t="s">
        <v>116</v>
      </c>
      <c r="B118" s="1">
        <f>VALUE(MID($A118,LEFT(RIGHT(B$1,1),1),1))*VLOOKUP(VALUE(RIGHT(B$1,2)),$O$1:$P$11,2,FALSE)</f>
        <v>7</v>
      </c>
      <c r="C118" s="1">
        <f>VALUE(MID($A118,LEFT(RIGHT(C$1,1),1),1))*VLOOKUP(VALUE(RIGHT(C$1,2)),$O$1:$P$11,2,FALSE)</f>
        <v>24</v>
      </c>
      <c r="D118" s="1">
        <f>VALUE(MID($A118,LEFT(RIGHT(D$1,1),1),1))*VLOOKUP(VALUE(RIGHT(D$1,2)),$O$1:$P$11,2,FALSE)</f>
        <v>0</v>
      </c>
      <c r="E118" s="1">
        <f>VALUE(MID($A118,LEFT(RIGHT(E$1,1),1),1))*VLOOKUP(VALUE(RIGHT(E$1,2)),$O$1:$P$11,2,FALSE)</f>
        <v>9</v>
      </c>
      <c r="F118" s="1">
        <f>VALUE(MID($A118,LEFT(RIGHT(F$1,1),1),1))*VLOOKUP(VALUE(RIGHT(F$1,2)),$O$1:$P$11,2,FALSE)</f>
        <v>1</v>
      </c>
      <c r="G118" s="1">
        <f>VALUE(MID($A118,LEFT(RIGHT(G$1,1),1),1))*VLOOKUP(VALUE(RIGHT(G$1,2)),$O$1:$P$11,2,FALSE)</f>
        <v>3</v>
      </c>
      <c r="H118" s="1">
        <f>VALUE(MID($A118,LEFT(RIGHT(H$1,1),1),1))*VLOOKUP(VALUE(RIGHT(H$1,2)),$O$1:$P$11,2,FALSE)</f>
        <v>7</v>
      </c>
      <c r="I118" s="1">
        <f>VALUE(MID($A118,LEFT(RIGHT(I$1,1),1),1))*VLOOKUP(VALUE(RIGHT(I$1,2)),$O$1:$P$11,2,FALSE)</f>
        <v>45</v>
      </c>
      <c r="J118" s="1">
        <f>VALUE(MID($A118,LEFT(RIGHT(J$1,1),1),1))*VLOOKUP(VALUE(RIGHT(J$1,2)),$O$1:$P$11,2,FALSE)</f>
        <v>0</v>
      </c>
      <c r="K118" s="1">
        <f>VALUE(MID($A118,10,1))*VLOOKUP(VALUE(RIGHT(K$1,2)),$O$1:$P$11,2,FALSE)</f>
        <v>6</v>
      </c>
      <c r="L118" s="1">
        <f>IF(MOD(SUM(pesel__26[[#This Row],[SUMA 1]:[SUMA 10]]),10)=0,0,10-MOD(SUM(pesel__26[[#This Row],[SUMA 1]:[SUMA 10]]),10))</f>
        <v>8</v>
      </c>
      <c r="M118" s="1">
        <f>IF(pesel__26[[#This Row],[CYFRA KONTROLNA]]=VALUE(RIGHT(A118,1)),0,1)</f>
        <v>0</v>
      </c>
    </row>
    <row r="119" spans="1:13" hidden="1" x14ac:dyDescent="0.25">
      <c r="A119" s="1" t="s">
        <v>117</v>
      </c>
      <c r="B119" s="1">
        <f>VALUE(MID($A119,LEFT(RIGHT(B$1,1),1),1))*VLOOKUP(VALUE(RIGHT(B$1,2)),$O$1:$P$11,2,FALSE)</f>
        <v>8</v>
      </c>
      <c r="C119" s="1">
        <f>VALUE(MID($A119,LEFT(RIGHT(C$1,1),1),1))*VLOOKUP(VALUE(RIGHT(C$1,2)),$O$1:$P$11,2,FALSE)</f>
        <v>27</v>
      </c>
      <c r="D119" s="1">
        <f>VALUE(MID($A119,LEFT(RIGHT(D$1,1),1),1))*VLOOKUP(VALUE(RIGHT(D$1,2)),$O$1:$P$11,2,FALSE)</f>
        <v>0</v>
      </c>
      <c r="E119" s="1">
        <f>VALUE(MID($A119,LEFT(RIGHT(E$1,1),1),1))*VLOOKUP(VALUE(RIGHT(E$1,2)),$O$1:$P$11,2,FALSE)</f>
        <v>36</v>
      </c>
      <c r="F119" s="1">
        <f>VALUE(MID($A119,LEFT(RIGHT(F$1,1),1),1))*VLOOKUP(VALUE(RIGHT(F$1,2)),$O$1:$P$11,2,FALSE)</f>
        <v>2</v>
      </c>
      <c r="G119" s="1">
        <f>VALUE(MID($A119,LEFT(RIGHT(G$1,1),1),1))*VLOOKUP(VALUE(RIGHT(G$1,2)),$O$1:$P$11,2,FALSE)</f>
        <v>21</v>
      </c>
      <c r="H119" s="1">
        <f>VALUE(MID($A119,LEFT(RIGHT(H$1,1),1),1))*VLOOKUP(VALUE(RIGHT(H$1,2)),$O$1:$P$11,2,FALSE)</f>
        <v>35</v>
      </c>
      <c r="I119" s="1">
        <f>VALUE(MID($A119,LEFT(RIGHT(I$1,1),1),1))*VLOOKUP(VALUE(RIGHT(I$1,2)),$O$1:$P$11,2,FALSE)</f>
        <v>0</v>
      </c>
      <c r="J119" s="1">
        <f>VALUE(MID($A119,LEFT(RIGHT(J$1,1),1),1))*VLOOKUP(VALUE(RIGHT(J$1,2)),$O$1:$P$11,2,FALSE)</f>
        <v>9</v>
      </c>
      <c r="K119" s="1">
        <f>VALUE(MID($A119,10,1))*VLOOKUP(VALUE(RIGHT(K$1,2)),$O$1:$P$11,2,FALSE)</f>
        <v>9</v>
      </c>
      <c r="L119" s="1">
        <f>IF(MOD(SUM(pesel__26[[#This Row],[SUMA 1]:[SUMA 10]]),10)=0,0,10-MOD(SUM(pesel__26[[#This Row],[SUMA 1]:[SUMA 10]]),10))</f>
        <v>3</v>
      </c>
      <c r="M119" s="1">
        <f>IF(pesel__26[[#This Row],[CYFRA KONTROLNA]]=VALUE(RIGHT(A119,1)),0,1)</f>
        <v>0</v>
      </c>
    </row>
    <row r="120" spans="1:13" hidden="1" x14ac:dyDescent="0.25">
      <c r="A120" s="1" t="s">
        <v>118</v>
      </c>
      <c r="B120" s="1">
        <f>VALUE(MID($A120,LEFT(RIGHT(B$1,1),1),1))*VLOOKUP(VALUE(RIGHT(B$1,2)),$O$1:$P$11,2,FALSE)</f>
        <v>8</v>
      </c>
      <c r="C120" s="1">
        <f>VALUE(MID($A120,LEFT(RIGHT(C$1,1),1),1))*VLOOKUP(VALUE(RIGHT(C$1,2)),$O$1:$P$11,2,FALSE)</f>
        <v>27</v>
      </c>
      <c r="D120" s="1">
        <f>VALUE(MID($A120,LEFT(RIGHT(D$1,1),1),1))*VLOOKUP(VALUE(RIGHT(D$1,2)),$O$1:$P$11,2,FALSE)</f>
        <v>7</v>
      </c>
      <c r="E120" s="1">
        <f>VALUE(MID($A120,LEFT(RIGHT(E$1,1),1),1))*VLOOKUP(VALUE(RIGHT(E$1,2)),$O$1:$P$11,2,FALSE)</f>
        <v>9</v>
      </c>
      <c r="F120" s="1">
        <f>VALUE(MID($A120,LEFT(RIGHT(F$1,1),1),1))*VLOOKUP(VALUE(RIGHT(F$1,2)),$O$1:$P$11,2,FALSE)</f>
        <v>2</v>
      </c>
      <c r="G120" s="1">
        <f>VALUE(MID($A120,LEFT(RIGHT(G$1,1),1),1))*VLOOKUP(VALUE(RIGHT(G$1,2)),$O$1:$P$11,2,FALSE)</f>
        <v>12</v>
      </c>
      <c r="H120" s="1">
        <f>VALUE(MID($A120,LEFT(RIGHT(H$1,1),1),1))*VLOOKUP(VALUE(RIGHT(H$1,2)),$O$1:$P$11,2,FALSE)</f>
        <v>42</v>
      </c>
      <c r="I120" s="1">
        <f>VALUE(MID($A120,LEFT(RIGHT(I$1,1),1),1))*VLOOKUP(VALUE(RIGHT(I$1,2)),$O$1:$P$11,2,FALSE)</f>
        <v>54</v>
      </c>
      <c r="J120" s="1">
        <f>VALUE(MID($A120,LEFT(RIGHT(J$1,1),1),1))*VLOOKUP(VALUE(RIGHT(J$1,2)),$O$1:$P$11,2,FALSE)</f>
        <v>8</v>
      </c>
      <c r="K120" s="1">
        <f>VALUE(MID($A120,10,1))*VLOOKUP(VALUE(RIGHT(K$1,2)),$O$1:$P$11,2,FALSE)</f>
        <v>6</v>
      </c>
      <c r="L120" s="1">
        <f>IF(MOD(SUM(pesel__26[[#This Row],[SUMA 1]:[SUMA 10]]),10)=0,0,10-MOD(SUM(pesel__26[[#This Row],[SUMA 1]:[SUMA 10]]),10))</f>
        <v>5</v>
      </c>
      <c r="M120" s="1">
        <f>IF(pesel__26[[#This Row],[CYFRA KONTROLNA]]=VALUE(RIGHT(A120,1)),0,1)</f>
        <v>0</v>
      </c>
    </row>
    <row r="121" spans="1:13" hidden="1" x14ac:dyDescent="0.25">
      <c r="A121" s="1" t="s">
        <v>119</v>
      </c>
      <c r="B121" s="1">
        <f>VALUE(MID($A121,LEFT(RIGHT(B$1,1),1),1))*VLOOKUP(VALUE(RIGHT(B$1,2)),$O$1:$P$11,2,FALSE)</f>
        <v>8</v>
      </c>
      <c r="C121" s="1">
        <f>VALUE(MID($A121,LEFT(RIGHT(C$1,1),1),1))*VLOOKUP(VALUE(RIGHT(C$1,2)),$O$1:$P$11,2,FALSE)</f>
        <v>27</v>
      </c>
      <c r="D121" s="1">
        <f>VALUE(MID($A121,LEFT(RIGHT(D$1,1),1),1))*VLOOKUP(VALUE(RIGHT(D$1,2)),$O$1:$P$11,2,FALSE)</f>
        <v>0</v>
      </c>
      <c r="E121" s="1">
        <f>VALUE(MID($A121,LEFT(RIGHT(E$1,1),1),1))*VLOOKUP(VALUE(RIGHT(E$1,2)),$O$1:$P$11,2,FALSE)</f>
        <v>18</v>
      </c>
      <c r="F121" s="1">
        <f>VALUE(MID($A121,LEFT(RIGHT(F$1,1),1),1))*VLOOKUP(VALUE(RIGHT(F$1,2)),$O$1:$P$11,2,FALSE)</f>
        <v>0</v>
      </c>
      <c r="G121" s="1">
        <f>VALUE(MID($A121,LEFT(RIGHT(G$1,1),1),1))*VLOOKUP(VALUE(RIGHT(G$1,2)),$O$1:$P$11,2,FALSE)</f>
        <v>6</v>
      </c>
      <c r="H121" s="1">
        <f>VALUE(MID($A121,LEFT(RIGHT(H$1,1),1),1))*VLOOKUP(VALUE(RIGHT(H$1,2)),$O$1:$P$11,2,FALSE)</f>
        <v>42</v>
      </c>
      <c r="I121" s="1">
        <f>VALUE(MID($A121,LEFT(RIGHT(I$1,1),1),1))*VLOOKUP(VALUE(RIGHT(I$1,2)),$O$1:$P$11,2,FALSE)</f>
        <v>45</v>
      </c>
      <c r="J121" s="1">
        <f>VALUE(MID($A121,LEFT(RIGHT(J$1,1),1),1))*VLOOKUP(VALUE(RIGHT(J$1,2)),$O$1:$P$11,2,FALSE)</f>
        <v>3</v>
      </c>
      <c r="K121" s="1">
        <f>VALUE(MID($A121,10,1))*VLOOKUP(VALUE(RIGHT(K$1,2)),$O$1:$P$11,2,FALSE)</f>
        <v>27</v>
      </c>
      <c r="L121" s="1">
        <f>IF(MOD(SUM(pesel__26[[#This Row],[SUMA 1]:[SUMA 10]]),10)=0,0,10-MOD(SUM(pesel__26[[#This Row],[SUMA 1]:[SUMA 10]]),10))</f>
        <v>4</v>
      </c>
      <c r="M121" s="1">
        <f>IF(pesel__26[[#This Row],[CYFRA KONTROLNA]]=VALUE(RIGHT(A121,1)),0,1)</f>
        <v>0</v>
      </c>
    </row>
    <row r="122" spans="1:13" hidden="1" x14ac:dyDescent="0.25">
      <c r="A122" s="1" t="s">
        <v>120</v>
      </c>
      <c r="B122" s="1">
        <f>VALUE(MID($A122,LEFT(RIGHT(B$1,1),1),1))*VLOOKUP(VALUE(RIGHT(B$1,2)),$O$1:$P$11,2,FALSE)</f>
        <v>6</v>
      </c>
      <c r="C122" s="1">
        <f>VALUE(MID($A122,LEFT(RIGHT(C$1,1),1),1))*VLOOKUP(VALUE(RIGHT(C$1,2)),$O$1:$P$11,2,FALSE)</f>
        <v>18</v>
      </c>
      <c r="D122" s="1">
        <f>VALUE(MID($A122,LEFT(RIGHT(D$1,1),1),1))*VLOOKUP(VALUE(RIGHT(D$1,2)),$O$1:$P$11,2,FALSE)</f>
        <v>7</v>
      </c>
      <c r="E122" s="1">
        <f>VALUE(MID($A122,LEFT(RIGHT(E$1,1),1),1))*VLOOKUP(VALUE(RIGHT(E$1,2)),$O$1:$P$11,2,FALSE)</f>
        <v>0</v>
      </c>
      <c r="F122" s="1">
        <f>VALUE(MID($A122,LEFT(RIGHT(F$1,1),1),1))*VLOOKUP(VALUE(RIGHT(F$1,2)),$O$1:$P$11,2,FALSE)</f>
        <v>0</v>
      </c>
      <c r="G122" s="1">
        <f>VALUE(MID($A122,LEFT(RIGHT(G$1,1),1),1))*VLOOKUP(VALUE(RIGHT(G$1,2)),$O$1:$P$11,2,FALSE)</f>
        <v>18</v>
      </c>
      <c r="H122" s="1">
        <f>VALUE(MID($A122,LEFT(RIGHT(H$1,1),1),1))*VLOOKUP(VALUE(RIGHT(H$1,2)),$O$1:$P$11,2,FALSE)</f>
        <v>35</v>
      </c>
      <c r="I122" s="1">
        <f>VALUE(MID($A122,LEFT(RIGHT(I$1,1),1),1))*VLOOKUP(VALUE(RIGHT(I$1,2)),$O$1:$P$11,2,FALSE)</f>
        <v>9</v>
      </c>
      <c r="J122" s="1">
        <f>VALUE(MID($A122,LEFT(RIGHT(J$1,1),1),1))*VLOOKUP(VALUE(RIGHT(J$1,2)),$O$1:$P$11,2,FALSE)</f>
        <v>6</v>
      </c>
      <c r="K122" s="1">
        <f>VALUE(MID($A122,10,1))*VLOOKUP(VALUE(RIGHT(K$1,2)),$O$1:$P$11,2,FALSE)</f>
        <v>18</v>
      </c>
      <c r="L122" s="1">
        <f>IF(MOD(SUM(pesel__26[[#This Row],[SUMA 1]:[SUMA 10]]),10)=0,0,10-MOD(SUM(pesel__26[[#This Row],[SUMA 1]:[SUMA 10]]),10))</f>
        <v>3</v>
      </c>
      <c r="M122" s="1">
        <f>IF(pesel__26[[#This Row],[CYFRA KONTROLNA]]=VALUE(RIGHT(A122,1)),0,1)</f>
        <v>0</v>
      </c>
    </row>
    <row r="123" spans="1:13" hidden="1" x14ac:dyDescent="0.25">
      <c r="A123" s="1" t="s">
        <v>121</v>
      </c>
      <c r="B123" s="1">
        <f>VALUE(MID($A123,LEFT(RIGHT(B$1,1),1),1))*VLOOKUP(VALUE(RIGHT(B$1,2)),$O$1:$P$11,2,FALSE)</f>
        <v>6</v>
      </c>
      <c r="C123" s="1">
        <f>VALUE(MID($A123,LEFT(RIGHT(C$1,1),1),1))*VLOOKUP(VALUE(RIGHT(C$1,2)),$O$1:$P$11,2,FALSE)</f>
        <v>15</v>
      </c>
      <c r="D123" s="1">
        <f>VALUE(MID($A123,LEFT(RIGHT(D$1,1),1),1))*VLOOKUP(VALUE(RIGHT(D$1,2)),$O$1:$P$11,2,FALSE)</f>
        <v>0</v>
      </c>
      <c r="E123" s="1">
        <f>VALUE(MID($A123,LEFT(RIGHT(E$1,1),1),1))*VLOOKUP(VALUE(RIGHT(E$1,2)),$O$1:$P$11,2,FALSE)</f>
        <v>54</v>
      </c>
      <c r="F123" s="1">
        <f>VALUE(MID($A123,LEFT(RIGHT(F$1,1),1),1))*VLOOKUP(VALUE(RIGHT(F$1,2)),$O$1:$P$11,2,FALSE)</f>
        <v>2</v>
      </c>
      <c r="G123" s="1">
        <f>VALUE(MID($A123,LEFT(RIGHT(G$1,1),1),1))*VLOOKUP(VALUE(RIGHT(G$1,2)),$O$1:$P$11,2,FALSE)</f>
        <v>24</v>
      </c>
      <c r="H123" s="1">
        <f>VALUE(MID($A123,LEFT(RIGHT(H$1,1),1),1))*VLOOKUP(VALUE(RIGHT(H$1,2)),$O$1:$P$11,2,FALSE)</f>
        <v>63</v>
      </c>
      <c r="I123" s="1">
        <f>VALUE(MID($A123,LEFT(RIGHT(I$1,1),1),1))*VLOOKUP(VALUE(RIGHT(I$1,2)),$O$1:$P$11,2,FALSE)</f>
        <v>18</v>
      </c>
      <c r="J123" s="1">
        <f>VALUE(MID($A123,LEFT(RIGHT(J$1,1),1),1))*VLOOKUP(VALUE(RIGHT(J$1,2)),$O$1:$P$11,2,FALSE)</f>
        <v>3</v>
      </c>
      <c r="K123" s="1">
        <f>VALUE(MID($A123,10,1))*VLOOKUP(VALUE(RIGHT(K$1,2)),$O$1:$P$11,2,FALSE)</f>
        <v>24</v>
      </c>
      <c r="L123" s="1">
        <f>IF(MOD(SUM(pesel__26[[#This Row],[SUMA 1]:[SUMA 10]]),10)=0,0,10-MOD(SUM(pesel__26[[#This Row],[SUMA 1]:[SUMA 10]]),10))</f>
        <v>1</v>
      </c>
      <c r="M123" s="1">
        <f>IF(pesel__26[[#This Row],[CYFRA KONTROLNA]]=VALUE(RIGHT(A123,1)),0,1)</f>
        <v>0</v>
      </c>
    </row>
    <row r="124" spans="1:13" hidden="1" x14ac:dyDescent="0.25">
      <c r="A124" s="1" t="s">
        <v>122</v>
      </c>
      <c r="B124" s="1">
        <f>VALUE(MID($A124,LEFT(RIGHT(B$1,1),1),1))*VLOOKUP(VALUE(RIGHT(B$1,2)),$O$1:$P$11,2,FALSE)</f>
        <v>6</v>
      </c>
      <c r="C124" s="1">
        <f>VALUE(MID($A124,LEFT(RIGHT(C$1,1),1),1))*VLOOKUP(VALUE(RIGHT(C$1,2)),$O$1:$P$11,2,FALSE)</f>
        <v>27</v>
      </c>
      <c r="D124" s="1">
        <f>VALUE(MID($A124,LEFT(RIGHT(D$1,1),1),1))*VLOOKUP(VALUE(RIGHT(D$1,2)),$O$1:$P$11,2,FALSE)</f>
        <v>0</v>
      </c>
      <c r="E124" s="1">
        <f>VALUE(MID($A124,LEFT(RIGHT(E$1,1),1),1))*VLOOKUP(VALUE(RIGHT(E$1,2)),$O$1:$P$11,2,FALSE)</f>
        <v>27</v>
      </c>
      <c r="F124" s="1">
        <f>VALUE(MID($A124,LEFT(RIGHT(F$1,1),1),1))*VLOOKUP(VALUE(RIGHT(F$1,2)),$O$1:$P$11,2,FALSE)</f>
        <v>0</v>
      </c>
      <c r="G124" s="1">
        <f>VALUE(MID($A124,LEFT(RIGHT(G$1,1),1),1))*VLOOKUP(VALUE(RIGHT(G$1,2)),$O$1:$P$11,2,FALSE)</f>
        <v>18</v>
      </c>
      <c r="H124" s="1">
        <f>VALUE(MID($A124,LEFT(RIGHT(H$1,1),1),1))*VLOOKUP(VALUE(RIGHT(H$1,2)),$O$1:$P$11,2,FALSE)</f>
        <v>14</v>
      </c>
      <c r="I124" s="1">
        <f>VALUE(MID($A124,LEFT(RIGHT(I$1,1),1),1))*VLOOKUP(VALUE(RIGHT(I$1,2)),$O$1:$P$11,2,FALSE)</f>
        <v>54</v>
      </c>
      <c r="J124" s="1">
        <f>VALUE(MID($A124,LEFT(RIGHT(J$1,1),1),1))*VLOOKUP(VALUE(RIGHT(J$1,2)),$O$1:$P$11,2,FALSE)</f>
        <v>1</v>
      </c>
      <c r="K124" s="1">
        <f>VALUE(MID($A124,10,1))*VLOOKUP(VALUE(RIGHT(K$1,2)),$O$1:$P$11,2,FALSE)</f>
        <v>9</v>
      </c>
      <c r="L124" s="1">
        <f>IF(MOD(SUM(pesel__26[[#This Row],[SUMA 1]:[SUMA 10]]),10)=0,0,10-MOD(SUM(pesel__26[[#This Row],[SUMA 1]:[SUMA 10]]),10))</f>
        <v>4</v>
      </c>
      <c r="M124" s="1">
        <f>IF(pesel__26[[#This Row],[CYFRA KONTROLNA]]=VALUE(RIGHT(A124,1)),0,1)</f>
        <v>0</v>
      </c>
    </row>
    <row r="125" spans="1:13" hidden="1" x14ac:dyDescent="0.25">
      <c r="A125" s="1" t="s">
        <v>123</v>
      </c>
      <c r="B125" s="1">
        <f>VALUE(MID($A125,LEFT(RIGHT(B$1,1),1),1))*VLOOKUP(VALUE(RIGHT(B$1,2)),$O$1:$P$11,2,FALSE)</f>
        <v>6</v>
      </c>
      <c r="C125" s="1">
        <f>VALUE(MID($A125,LEFT(RIGHT(C$1,1),1),1))*VLOOKUP(VALUE(RIGHT(C$1,2)),$O$1:$P$11,2,FALSE)</f>
        <v>21</v>
      </c>
      <c r="D125" s="1">
        <f>VALUE(MID($A125,LEFT(RIGHT(D$1,1),1),1))*VLOOKUP(VALUE(RIGHT(D$1,2)),$O$1:$P$11,2,FALSE)</f>
        <v>7</v>
      </c>
      <c r="E125" s="1">
        <f>VALUE(MID($A125,LEFT(RIGHT(E$1,1),1),1))*VLOOKUP(VALUE(RIGHT(E$1,2)),$O$1:$P$11,2,FALSE)</f>
        <v>9</v>
      </c>
      <c r="F125" s="1">
        <f>VALUE(MID($A125,LEFT(RIGHT(F$1,1),1),1))*VLOOKUP(VALUE(RIGHT(F$1,2)),$O$1:$P$11,2,FALSE)</f>
        <v>3</v>
      </c>
      <c r="G125" s="1">
        <f>VALUE(MID($A125,LEFT(RIGHT(G$1,1),1),1))*VLOOKUP(VALUE(RIGHT(G$1,2)),$O$1:$P$11,2,FALSE)</f>
        <v>0</v>
      </c>
      <c r="H125" s="1">
        <f>VALUE(MID($A125,LEFT(RIGHT(H$1,1),1),1))*VLOOKUP(VALUE(RIGHT(H$1,2)),$O$1:$P$11,2,FALSE)</f>
        <v>28</v>
      </c>
      <c r="I125" s="1">
        <f>VALUE(MID($A125,LEFT(RIGHT(I$1,1),1),1))*VLOOKUP(VALUE(RIGHT(I$1,2)),$O$1:$P$11,2,FALSE)</f>
        <v>72</v>
      </c>
      <c r="J125" s="1">
        <f>VALUE(MID($A125,LEFT(RIGHT(J$1,1),1),1))*VLOOKUP(VALUE(RIGHT(J$1,2)),$O$1:$P$11,2,FALSE)</f>
        <v>7</v>
      </c>
      <c r="K125" s="1">
        <f>VALUE(MID($A125,10,1))*VLOOKUP(VALUE(RIGHT(K$1,2)),$O$1:$P$11,2,FALSE)</f>
        <v>27</v>
      </c>
      <c r="L125" s="1">
        <f>IF(MOD(SUM(pesel__26[[#This Row],[SUMA 1]:[SUMA 10]]),10)=0,0,10-MOD(SUM(pesel__26[[#This Row],[SUMA 1]:[SUMA 10]]),10))</f>
        <v>0</v>
      </c>
      <c r="M125" s="1">
        <f>IF(pesel__26[[#This Row],[CYFRA KONTROLNA]]=VALUE(RIGHT(A125,1)),0,1)</f>
        <v>0</v>
      </c>
    </row>
    <row r="126" spans="1:13" hidden="1" x14ac:dyDescent="0.25">
      <c r="A126" s="1" t="s">
        <v>124</v>
      </c>
      <c r="B126" s="1">
        <f>VALUE(MID($A126,LEFT(RIGHT(B$1,1),1),1))*VLOOKUP(VALUE(RIGHT(B$1,2)),$O$1:$P$11,2,FALSE)</f>
        <v>8</v>
      </c>
      <c r="C126" s="1">
        <f>VALUE(MID($A126,LEFT(RIGHT(C$1,1),1),1))*VLOOKUP(VALUE(RIGHT(C$1,2)),$O$1:$P$11,2,FALSE)</f>
        <v>12</v>
      </c>
      <c r="D126" s="1">
        <f>VALUE(MID($A126,LEFT(RIGHT(D$1,1),1),1))*VLOOKUP(VALUE(RIGHT(D$1,2)),$O$1:$P$11,2,FALSE)</f>
        <v>0</v>
      </c>
      <c r="E126" s="1">
        <f>VALUE(MID($A126,LEFT(RIGHT(E$1,1),1),1))*VLOOKUP(VALUE(RIGHT(E$1,2)),$O$1:$P$11,2,FALSE)</f>
        <v>45</v>
      </c>
      <c r="F126" s="1">
        <f>VALUE(MID($A126,LEFT(RIGHT(F$1,1),1),1))*VLOOKUP(VALUE(RIGHT(F$1,2)),$O$1:$P$11,2,FALSE)</f>
        <v>1</v>
      </c>
      <c r="G126" s="1">
        <f>VALUE(MID($A126,LEFT(RIGHT(G$1,1),1),1))*VLOOKUP(VALUE(RIGHT(G$1,2)),$O$1:$P$11,2,FALSE)</f>
        <v>24</v>
      </c>
      <c r="H126" s="1">
        <f>VALUE(MID($A126,LEFT(RIGHT(H$1,1),1),1))*VLOOKUP(VALUE(RIGHT(H$1,2)),$O$1:$P$11,2,FALSE)</f>
        <v>28</v>
      </c>
      <c r="I126" s="1">
        <f>VALUE(MID($A126,LEFT(RIGHT(I$1,1),1),1))*VLOOKUP(VALUE(RIGHT(I$1,2)),$O$1:$P$11,2,FALSE)</f>
        <v>0</v>
      </c>
      <c r="J126" s="1">
        <f>VALUE(MID($A126,LEFT(RIGHT(J$1,1),1),1))*VLOOKUP(VALUE(RIGHT(J$1,2)),$O$1:$P$11,2,FALSE)</f>
        <v>1</v>
      </c>
      <c r="K126" s="1">
        <f>VALUE(MID($A126,10,1))*VLOOKUP(VALUE(RIGHT(K$1,2)),$O$1:$P$11,2,FALSE)</f>
        <v>12</v>
      </c>
      <c r="L126" s="1">
        <f>IF(MOD(SUM(pesel__26[[#This Row],[SUMA 1]:[SUMA 10]]),10)=0,0,10-MOD(SUM(pesel__26[[#This Row],[SUMA 1]:[SUMA 10]]),10))</f>
        <v>9</v>
      </c>
      <c r="M126" s="1">
        <f>IF(pesel__26[[#This Row],[CYFRA KONTROLNA]]=VALUE(RIGHT(A126,1)),0,1)</f>
        <v>0</v>
      </c>
    </row>
    <row r="127" spans="1:13" hidden="1" x14ac:dyDescent="0.25">
      <c r="A127" s="1" t="s">
        <v>125</v>
      </c>
      <c r="B127" s="1">
        <f>VALUE(MID($A127,LEFT(RIGHT(B$1,1),1),1))*VLOOKUP(VALUE(RIGHT(B$1,2)),$O$1:$P$11,2,FALSE)</f>
        <v>5</v>
      </c>
      <c r="C127" s="1">
        <f>VALUE(MID($A127,LEFT(RIGHT(C$1,1),1),1))*VLOOKUP(VALUE(RIGHT(C$1,2)),$O$1:$P$11,2,FALSE)</f>
        <v>21</v>
      </c>
      <c r="D127" s="1">
        <f>VALUE(MID($A127,LEFT(RIGHT(D$1,1),1),1))*VLOOKUP(VALUE(RIGHT(D$1,2)),$O$1:$P$11,2,FALSE)</f>
        <v>0</v>
      </c>
      <c r="E127" s="1">
        <f>VALUE(MID($A127,LEFT(RIGHT(E$1,1),1),1))*VLOOKUP(VALUE(RIGHT(E$1,2)),$O$1:$P$11,2,FALSE)</f>
        <v>63</v>
      </c>
      <c r="F127" s="1">
        <f>VALUE(MID($A127,LEFT(RIGHT(F$1,1),1),1))*VLOOKUP(VALUE(RIGHT(F$1,2)),$O$1:$P$11,2,FALSE)</f>
        <v>3</v>
      </c>
      <c r="G127" s="1">
        <f>VALUE(MID($A127,LEFT(RIGHT(G$1,1),1),1))*VLOOKUP(VALUE(RIGHT(G$1,2)),$O$1:$P$11,2,FALSE)</f>
        <v>3</v>
      </c>
      <c r="H127" s="1">
        <f>VALUE(MID($A127,LEFT(RIGHT(H$1,1),1),1))*VLOOKUP(VALUE(RIGHT(H$1,2)),$O$1:$P$11,2,FALSE)</f>
        <v>42</v>
      </c>
      <c r="I127" s="1">
        <f>VALUE(MID($A127,LEFT(RIGHT(I$1,1),1),1))*VLOOKUP(VALUE(RIGHT(I$1,2)),$O$1:$P$11,2,FALSE)</f>
        <v>27</v>
      </c>
      <c r="J127" s="1">
        <f>VALUE(MID($A127,LEFT(RIGHT(J$1,1),1),1))*VLOOKUP(VALUE(RIGHT(J$1,2)),$O$1:$P$11,2,FALSE)</f>
        <v>0</v>
      </c>
      <c r="K127" s="1">
        <f>VALUE(MID($A127,10,1))*VLOOKUP(VALUE(RIGHT(K$1,2)),$O$1:$P$11,2,FALSE)</f>
        <v>15</v>
      </c>
      <c r="L127" s="1">
        <f>IF(MOD(SUM(pesel__26[[#This Row],[SUMA 1]:[SUMA 10]]),10)=0,0,10-MOD(SUM(pesel__26[[#This Row],[SUMA 1]:[SUMA 10]]),10))</f>
        <v>1</v>
      </c>
      <c r="M127" s="1">
        <f>IF(pesel__26[[#This Row],[CYFRA KONTROLNA]]=VALUE(RIGHT(A127,1)),0,1)</f>
        <v>0</v>
      </c>
    </row>
    <row r="128" spans="1:13" hidden="1" x14ac:dyDescent="0.25">
      <c r="A128" s="1" t="s">
        <v>126</v>
      </c>
      <c r="B128" s="1">
        <f>VALUE(MID($A128,LEFT(RIGHT(B$1,1),1),1))*VLOOKUP(VALUE(RIGHT(B$1,2)),$O$1:$P$11,2,FALSE)</f>
        <v>8</v>
      </c>
      <c r="C128" s="1">
        <f>VALUE(MID($A128,LEFT(RIGHT(C$1,1),1),1))*VLOOKUP(VALUE(RIGHT(C$1,2)),$O$1:$P$11,2,FALSE)</f>
        <v>3</v>
      </c>
      <c r="D128" s="1">
        <f>VALUE(MID($A128,LEFT(RIGHT(D$1,1),1),1))*VLOOKUP(VALUE(RIGHT(D$1,2)),$O$1:$P$11,2,FALSE)</f>
        <v>0</v>
      </c>
      <c r="E128" s="1">
        <f>VALUE(MID($A128,LEFT(RIGHT(E$1,1),1),1))*VLOOKUP(VALUE(RIGHT(E$1,2)),$O$1:$P$11,2,FALSE)</f>
        <v>72</v>
      </c>
      <c r="F128" s="1">
        <f>VALUE(MID($A128,LEFT(RIGHT(F$1,1),1),1))*VLOOKUP(VALUE(RIGHT(F$1,2)),$O$1:$P$11,2,FALSE)</f>
        <v>1</v>
      </c>
      <c r="G128" s="1">
        <f>VALUE(MID($A128,LEFT(RIGHT(G$1,1),1),1))*VLOOKUP(VALUE(RIGHT(G$1,2)),$O$1:$P$11,2,FALSE)</f>
        <v>0</v>
      </c>
      <c r="H128" s="1">
        <f>VALUE(MID($A128,LEFT(RIGHT(H$1,1),1),1))*VLOOKUP(VALUE(RIGHT(H$1,2)),$O$1:$P$11,2,FALSE)</f>
        <v>7</v>
      </c>
      <c r="I128" s="1">
        <f>VALUE(MID($A128,LEFT(RIGHT(I$1,1),1),1))*VLOOKUP(VALUE(RIGHT(I$1,2)),$O$1:$P$11,2,FALSE)</f>
        <v>0</v>
      </c>
      <c r="J128" s="1">
        <f>VALUE(MID($A128,LEFT(RIGHT(J$1,1),1),1))*VLOOKUP(VALUE(RIGHT(J$1,2)),$O$1:$P$11,2,FALSE)</f>
        <v>8</v>
      </c>
      <c r="K128" s="1">
        <f>VALUE(MID($A128,10,1))*VLOOKUP(VALUE(RIGHT(K$1,2)),$O$1:$P$11,2,FALSE)</f>
        <v>18</v>
      </c>
      <c r="L128" s="1">
        <f>IF(MOD(SUM(pesel__26[[#This Row],[SUMA 1]:[SUMA 10]]),10)=0,0,10-MOD(SUM(pesel__26[[#This Row],[SUMA 1]:[SUMA 10]]),10))</f>
        <v>3</v>
      </c>
      <c r="M128" s="1">
        <f>IF(pesel__26[[#This Row],[CYFRA KONTROLNA]]=VALUE(RIGHT(A128,1)),0,1)</f>
        <v>0</v>
      </c>
    </row>
    <row r="129" spans="1:13" hidden="1" x14ac:dyDescent="0.25">
      <c r="A129" s="1" t="s">
        <v>127</v>
      </c>
      <c r="B129" s="1">
        <f>VALUE(MID($A129,LEFT(RIGHT(B$1,1),1),1))*VLOOKUP(VALUE(RIGHT(B$1,2)),$O$1:$P$11,2,FALSE)</f>
        <v>8</v>
      </c>
      <c r="C129" s="1">
        <f>VALUE(MID($A129,LEFT(RIGHT(C$1,1),1),1))*VLOOKUP(VALUE(RIGHT(C$1,2)),$O$1:$P$11,2,FALSE)</f>
        <v>27</v>
      </c>
      <c r="D129" s="1">
        <f>VALUE(MID($A129,LEFT(RIGHT(D$1,1),1),1))*VLOOKUP(VALUE(RIGHT(D$1,2)),$O$1:$P$11,2,FALSE)</f>
        <v>0</v>
      </c>
      <c r="E129" s="1">
        <f>VALUE(MID($A129,LEFT(RIGHT(E$1,1),1),1))*VLOOKUP(VALUE(RIGHT(E$1,2)),$O$1:$P$11,2,FALSE)</f>
        <v>54</v>
      </c>
      <c r="F129" s="1">
        <f>VALUE(MID($A129,LEFT(RIGHT(F$1,1),1),1))*VLOOKUP(VALUE(RIGHT(F$1,2)),$O$1:$P$11,2,FALSE)</f>
        <v>2</v>
      </c>
      <c r="G129" s="1">
        <f>VALUE(MID($A129,LEFT(RIGHT(G$1,1),1),1))*VLOOKUP(VALUE(RIGHT(G$1,2)),$O$1:$P$11,2,FALSE)</f>
        <v>18</v>
      </c>
      <c r="H129" s="1">
        <f>VALUE(MID($A129,LEFT(RIGHT(H$1,1),1),1))*VLOOKUP(VALUE(RIGHT(H$1,2)),$O$1:$P$11,2,FALSE)</f>
        <v>28</v>
      </c>
      <c r="I129" s="1">
        <f>VALUE(MID($A129,LEFT(RIGHT(I$1,1),1),1))*VLOOKUP(VALUE(RIGHT(I$1,2)),$O$1:$P$11,2,FALSE)</f>
        <v>36</v>
      </c>
      <c r="J129" s="1">
        <f>VALUE(MID($A129,LEFT(RIGHT(J$1,1),1),1))*VLOOKUP(VALUE(RIGHT(J$1,2)),$O$1:$P$11,2,FALSE)</f>
        <v>8</v>
      </c>
      <c r="K129" s="1">
        <f>VALUE(MID($A129,10,1))*VLOOKUP(VALUE(RIGHT(K$1,2)),$O$1:$P$11,2,FALSE)</f>
        <v>6</v>
      </c>
      <c r="L129" s="1">
        <f>IF(MOD(SUM(pesel__26[[#This Row],[SUMA 1]:[SUMA 10]]),10)=0,0,10-MOD(SUM(pesel__26[[#This Row],[SUMA 1]:[SUMA 10]]),10))</f>
        <v>3</v>
      </c>
      <c r="M129" s="1">
        <f>IF(pesel__26[[#This Row],[CYFRA KONTROLNA]]=VALUE(RIGHT(A129,1)),0,1)</f>
        <v>0</v>
      </c>
    </row>
    <row r="130" spans="1:13" hidden="1" x14ac:dyDescent="0.25">
      <c r="A130" s="1" t="s">
        <v>128</v>
      </c>
      <c r="B130" s="1">
        <f>VALUE(MID($A130,LEFT(RIGHT(B$1,1),1),1))*VLOOKUP(VALUE(RIGHT(B$1,2)),$O$1:$P$11,2,FALSE)</f>
        <v>5</v>
      </c>
      <c r="C130" s="1">
        <f>VALUE(MID($A130,LEFT(RIGHT(C$1,1),1),1))*VLOOKUP(VALUE(RIGHT(C$1,2)),$O$1:$P$11,2,FALSE)</f>
        <v>6</v>
      </c>
      <c r="D130" s="1">
        <f>VALUE(MID($A130,LEFT(RIGHT(D$1,1),1),1))*VLOOKUP(VALUE(RIGHT(D$1,2)),$O$1:$P$11,2,FALSE)</f>
        <v>7</v>
      </c>
      <c r="E130" s="1">
        <f>VALUE(MID($A130,LEFT(RIGHT(E$1,1),1),1))*VLOOKUP(VALUE(RIGHT(E$1,2)),$O$1:$P$11,2,FALSE)</f>
        <v>9</v>
      </c>
      <c r="F130" s="1">
        <f>VALUE(MID($A130,LEFT(RIGHT(F$1,1),1),1))*VLOOKUP(VALUE(RIGHT(F$1,2)),$O$1:$P$11,2,FALSE)</f>
        <v>0</v>
      </c>
      <c r="G130" s="1">
        <f>VALUE(MID($A130,LEFT(RIGHT(G$1,1),1),1))*VLOOKUP(VALUE(RIGHT(G$1,2)),$O$1:$P$11,2,FALSE)</f>
        <v>12</v>
      </c>
      <c r="H130" s="1">
        <f>VALUE(MID($A130,LEFT(RIGHT(H$1,1),1),1))*VLOOKUP(VALUE(RIGHT(H$1,2)),$O$1:$P$11,2,FALSE)</f>
        <v>28</v>
      </c>
      <c r="I130" s="1">
        <f>VALUE(MID($A130,LEFT(RIGHT(I$1,1),1),1))*VLOOKUP(VALUE(RIGHT(I$1,2)),$O$1:$P$11,2,FALSE)</f>
        <v>54</v>
      </c>
      <c r="J130" s="1">
        <f>VALUE(MID($A130,LEFT(RIGHT(J$1,1),1),1))*VLOOKUP(VALUE(RIGHT(J$1,2)),$O$1:$P$11,2,FALSE)</f>
        <v>1</v>
      </c>
      <c r="K130" s="1">
        <f>VALUE(MID($A130,10,1))*VLOOKUP(VALUE(RIGHT(K$1,2)),$O$1:$P$11,2,FALSE)</f>
        <v>9</v>
      </c>
      <c r="L130" s="1">
        <f>IF(MOD(SUM(pesel__26[[#This Row],[SUMA 1]:[SUMA 10]]),10)=0,0,10-MOD(SUM(pesel__26[[#This Row],[SUMA 1]:[SUMA 10]]),10))</f>
        <v>9</v>
      </c>
      <c r="M130" s="1">
        <f>IF(pesel__26[[#This Row],[CYFRA KONTROLNA]]=VALUE(RIGHT(A130,1)),0,1)</f>
        <v>0</v>
      </c>
    </row>
    <row r="131" spans="1:13" hidden="1" x14ac:dyDescent="0.25">
      <c r="A131" s="1" t="s">
        <v>129</v>
      </c>
      <c r="B131" s="1">
        <f>VALUE(MID($A131,LEFT(RIGHT(B$1,1),1),1))*VLOOKUP(VALUE(RIGHT(B$1,2)),$O$1:$P$11,2,FALSE)</f>
        <v>5</v>
      </c>
      <c r="C131" s="1">
        <f>VALUE(MID($A131,LEFT(RIGHT(C$1,1),1),1))*VLOOKUP(VALUE(RIGHT(C$1,2)),$O$1:$P$11,2,FALSE)</f>
        <v>0</v>
      </c>
      <c r="D131" s="1">
        <f>VALUE(MID($A131,LEFT(RIGHT(D$1,1),1),1))*VLOOKUP(VALUE(RIGHT(D$1,2)),$O$1:$P$11,2,FALSE)</f>
        <v>0</v>
      </c>
      <c r="E131" s="1">
        <f>VALUE(MID($A131,LEFT(RIGHT(E$1,1),1),1))*VLOOKUP(VALUE(RIGHT(E$1,2)),$O$1:$P$11,2,FALSE)</f>
        <v>18</v>
      </c>
      <c r="F131" s="1">
        <f>VALUE(MID($A131,LEFT(RIGHT(F$1,1),1),1))*VLOOKUP(VALUE(RIGHT(F$1,2)),$O$1:$P$11,2,FALSE)</f>
        <v>1</v>
      </c>
      <c r="G131" s="1">
        <f>VALUE(MID($A131,LEFT(RIGHT(G$1,1),1),1))*VLOOKUP(VALUE(RIGHT(G$1,2)),$O$1:$P$11,2,FALSE)</f>
        <v>0</v>
      </c>
      <c r="H131" s="1">
        <f>VALUE(MID($A131,LEFT(RIGHT(H$1,1),1),1))*VLOOKUP(VALUE(RIGHT(H$1,2)),$O$1:$P$11,2,FALSE)</f>
        <v>7</v>
      </c>
      <c r="I131" s="1">
        <f>VALUE(MID($A131,LEFT(RIGHT(I$1,1),1),1))*VLOOKUP(VALUE(RIGHT(I$1,2)),$O$1:$P$11,2,FALSE)</f>
        <v>9</v>
      </c>
      <c r="J131" s="1">
        <f>VALUE(MID($A131,LEFT(RIGHT(J$1,1),1),1))*VLOOKUP(VALUE(RIGHT(J$1,2)),$O$1:$P$11,2,FALSE)</f>
        <v>3</v>
      </c>
      <c r="K131" s="1">
        <f>VALUE(MID($A131,10,1))*VLOOKUP(VALUE(RIGHT(K$1,2)),$O$1:$P$11,2,FALSE)</f>
        <v>15</v>
      </c>
      <c r="L131" s="1">
        <f>IF(MOD(SUM(pesel__26[[#This Row],[SUMA 1]:[SUMA 10]]),10)=0,0,10-MOD(SUM(pesel__26[[#This Row],[SUMA 1]:[SUMA 10]]),10))</f>
        <v>2</v>
      </c>
      <c r="M131" s="1">
        <f>IF(pesel__26[[#This Row],[CYFRA KONTROLNA]]=VALUE(RIGHT(A131,1)),0,1)</f>
        <v>0</v>
      </c>
    </row>
    <row r="132" spans="1:13" hidden="1" x14ac:dyDescent="0.25">
      <c r="A132" s="1" t="s">
        <v>130</v>
      </c>
      <c r="B132" s="1">
        <f>VALUE(MID($A132,LEFT(RIGHT(B$1,1),1),1))*VLOOKUP(VALUE(RIGHT(B$1,2)),$O$1:$P$11,2,FALSE)</f>
        <v>6</v>
      </c>
      <c r="C132" s="1">
        <f>VALUE(MID($A132,LEFT(RIGHT(C$1,1),1),1))*VLOOKUP(VALUE(RIGHT(C$1,2)),$O$1:$P$11,2,FALSE)</f>
        <v>15</v>
      </c>
      <c r="D132" s="1">
        <f>VALUE(MID($A132,LEFT(RIGHT(D$1,1),1),1))*VLOOKUP(VALUE(RIGHT(D$1,2)),$O$1:$P$11,2,FALSE)</f>
        <v>0</v>
      </c>
      <c r="E132" s="1">
        <f>VALUE(MID($A132,LEFT(RIGHT(E$1,1),1),1))*VLOOKUP(VALUE(RIGHT(E$1,2)),$O$1:$P$11,2,FALSE)</f>
        <v>81</v>
      </c>
      <c r="F132" s="1">
        <f>VALUE(MID($A132,LEFT(RIGHT(F$1,1),1),1))*VLOOKUP(VALUE(RIGHT(F$1,2)),$O$1:$P$11,2,FALSE)</f>
        <v>2</v>
      </c>
      <c r="G132" s="1">
        <f>VALUE(MID($A132,LEFT(RIGHT(G$1,1),1),1))*VLOOKUP(VALUE(RIGHT(G$1,2)),$O$1:$P$11,2,FALSE)</f>
        <v>0</v>
      </c>
      <c r="H132" s="1">
        <f>VALUE(MID($A132,LEFT(RIGHT(H$1,1),1),1))*VLOOKUP(VALUE(RIGHT(H$1,2)),$O$1:$P$11,2,FALSE)</f>
        <v>35</v>
      </c>
      <c r="I132" s="1">
        <f>VALUE(MID($A132,LEFT(RIGHT(I$1,1),1),1))*VLOOKUP(VALUE(RIGHT(I$1,2)),$O$1:$P$11,2,FALSE)</f>
        <v>54</v>
      </c>
      <c r="J132" s="1">
        <f>VALUE(MID($A132,LEFT(RIGHT(J$1,1),1),1))*VLOOKUP(VALUE(RIGHT(J$1,2)),$O$1:$P$11,2,FALSE)</f>
        <v>8</v>
      </c>
      <c r="K132" s="1">
        <f>VALUE(MID($A132,10,1))*VLOOKUP(VALUE(RIGHT(K$1,2)),$O$1:$P$11,2,FALSE)</f>
        <v>27</v>
      </c>
      <c r="L132" s="1">
        <f>IF(MOD(SUM(pesel__26[[#This Row],[SUMA 1]:[SUMA 10]]),10)=0,0,10-MOD(SUM(pesel__26[[#This Row],[SUMA 1]:[SUMA 10]]),10))</f>
        <v>2</v>
      </c>
      <c r="M132" s="1">
        <f>IF(pesel__26[[#This Row],[CYFRA KONTROLNA]]=VALUE(RIGHT(A132,1)),0,1)</f>
        <v>0</v>
      </c>
    </row>
    <row r="133" spans="1:13" hidden="1" x14ac:dyDescent="0.25">
      <c r="A133" s="1" t="s">
        <v>131</v>
      </c>
      <c r="B133" s="1">
        <f>VALUE(MID($A133,LEFT(RIGHT(B$1,1),1),1))*VLOOKUP(VALUE(RIGHT(B$1,2)),$O$1:$P$11,2,FALSE)</f>
        <v>8</v>
      </c>
      <c r="C133" s="1">
        <f>VALUE(MID($A133,LEFT(RIGHT(C$1,1),1),1))*VLOOKUP(VALUE(RIGHT(C$1,2)),$O$1:$P$11,2,FALSE)</f>
        <v>15</v>
      </c>
      <c r="D133" s="1">
        <f>VALUE(MID($A133,LEFT(RIGHT(D$1,1),1),1))*VLOOKUP(VALUE(RIGHT(D$1,2)),$O$1:$P$11,2,FALSE)</f>
        <v>0</v>
      </c>
      <c r="E133" s="1">
        <f>VALUE(MID($A133,LEFT(RIGHT(E$1,1),1),1))*VLOOKUP(VALUE(RIGHT(E$1,2)),$O$1:$P$11,2,FALSE)</f>
        <v>45</v>
      </c>
      <c r="F133" s="1">
        <f>VALUE(MID($A133,LEFT(RIGHT(F$1,1),1),1))*VLOOKUP(VALUE(RIGHT(F$1,2)),$O$1:$P$11,2,FALSE)</f>
        <v>2</v>
      </c>
      <c r="G133" s="1">
        <f>VALUE(MID($A133,LEFT(RIGHT(G$1,1),1),1))*VLOOKUP(VALUE(RIGHT(G$1,2)),$O$1:$P$11,2,FALSE)</f>
        <v>18</v>
      </c>
      <c r="H133" s="1">
        <f>VALUE(MID($A133,LEFT(RIGHT(H$1,1),1),1))*VLOOKUP(VALUE(RIGHT(H$1,2)),$O$1:$P$11,2,FALSE)</f>
        <v>0</v>
      </c>
      <c r="I133" s="1">
        <f>VALUE(MID($A133,LEFT(RIGHT(I$1,1),1),1))*VLOOKUP(VALUE(RIGHT(I$1,2)),$O$1:$P$11,2,FALSE)</f>
        <v>45</v>
      </c>
      <c r="J133" s="1">
        <f>VALUE(MID($A133,LEFT(RIGHT(J$1,1),1),1))*VLOOKUP(VALUE(RIGHT(J$1,2)),$O$1:$P$11,2,FALSE)</f>
        <v>1</v>
      </c>
      <c r="K133" s="1">
        <f>VALUE(MID($A133,10,1))*VLOOKUP(VALUE(RIGHT(K$1,2)),$O$1:$P$11,2,FALSE)</f>
        <v>21</v>
      </c>
      <c r="L133" s="1">
        <f>IF(MOD(SUM(pesel__26[[#This Row],[SUMA 1]:[SUMA 10]]),10)=0,0,10-MOD(SUM(pesel__26[[#This Row],[SUMA 1]:[SUMA 10]]),10))</f>
        <v>5</v>
      </c>
      <c r="M133" s="1">
        <f>IF(pesel__26[[#This Row],[CYFRA KONTROLNA]]=VALUE(RIGHT(A133,1)),0,1)</f>
        <v>0</v>
      </c>
    </row>
    <row r="134" spans="1:13" hidden="1" x14ac:dyDescent="0.25">
      <c r="A134" s="1" t="s">
        <v>132</v>
      </c>
      <c r="B134" s="1">
        <f>VALUE(MID($A134,LEFT(RIGHT(B$1,1),1),1))*VLOOKUP(VALUE(RIGHT(B$1,2)),$O$1:$P$11,2,FALSE)</f>
        <v>8</v>
      </c>
      <c r="C134" s="1">
        <f>VALUE(MID($A134,LEFT(RIGHT(C$1,1),1),1))*VLOOKUP(VALUE(RIGHT(C$1,2)),$O$1:$P$11,2,FALSE)</f>
        <v>27</v>
      </c>
      <c r="D134" s="1">
        <f>VALUE(MID($A134,LEFT(RIGHT(D$1,1),1),1))*VLOOKUP(VALUE(RIGHT(D$1,2)),$O$1:$P$11,2,FALSE)</f>
        <v>0</v>
      </c>
      <c r="E134" s="1">
        <f>VALUE(MID($A134,LEFT(RIGHT(E$1,1),1),1))*VLOOKUP(VALUE(RIGHT(E$1,2)),$O$1:$P$11,2,FALSE)</f>
        <v>27</v>
      </c>
      <c r="F134" s="1">
        <f>VALUE(MID($A134,LEFT(RIGHT(F$1,1),1),1))*VLOOKUP(VALUE(RIGHT(F$1,2)),$O$1:$P$11,2,FALSE)</f>
        <v>2</v>
      </c>
      <c r="G134" s="1">
        <f>VALUE(MID($A134,LEFT(RIGHT(G$1,1),1),1))*VLOOKUP(VALUE(RIGHT(G$1,2)),$O$1:$P$11,2,FALSE)</f>
        <v>3</v>
      </c>
      <c r="H134" s="1">
        <f>VALUE(MID($A134,LEFT(RIGHT(H$1,1),1),1))*VLOOKUP(VALUE(RIGHT(H$1,2)),$O$1:$P$11,2,FALSE)</f>
        <v>28</v>
      </c>
      <c r="I134" s="1">
        <f>VALUE(MID($A134,LEFT(RIGHT(I$1,1),1),1))*VLOOKUP(VALUE(RIGHT(I$1,2)),$O$1:$P$11,2,FALSE)</f>
        <v>27</v>
      </c>
      <c r="J134" s="1">
        <f>VALUE(MID($A134,LEFT(RIGHT(J$1,1),1),1))*VLOOKUP(VALUE(RIGHT(J$1,2)),$O$1:$P$11,2,FALSE)</f>
        <v>3</v>
      </c>
      <c r="K134" s="1">
        <f>VALUE(MID($A134,10,1))*VLOOKUP(VALUE(RIGHT(K$1,2)),$O$1:$P$11,2,FALSE)</f>
        <v>15</v>
      </c>
      <c r="L134" s="1">
        <f>IF(MOD(SUM(pesel__26[[#This Row],[SUMA 1]:[SUMA 10]]),10)=0,0,10-MOD(SUM(pesel__26[[#This Row],[SUMA 1]:[SUMA 10]]),10))</f>
        <v>0</v>
      </c>
      <c r="M134" s="1">
        <f>IF(pesel__26[[#This Row],[CYFRA KONTROLNA]]=VALUE(RIGHT(A134,1)),0,1)</f>
        <v>0</v>
      </c>
    </row>
    <row r="135" spans="1:13" hidden="1" x14ac:dyDescent="0.25">
      <c r="A135" s="1" t="s">
        <v>133</v>
      </c>
      <c r="B135" s="1">
        <f>VALUE(MID($A135,LEFT(RIGHT(B$1,1),1),1))*VLOOKUP(VALUE(RIGHT(B$1,2)),$O$1:$P$11,2,FALSE)</f>
        <v>7</v>
      </c>
      <c r="C135" s="1">
        <f>VALUE(MID($A135,LEFT(RIGHT(C$1,1),1),1))*VLOOKUP(VALUE(RIGHT(C$1,2)),$O$1:$P$11,2,FALSE)</f>
        <v>3</v>
      </c>
      <c r="D135" s="1">
        <f>VALUE(MID($A135,LEFT(RIGHT(D$1,1),1),1))*VLOOKUP(VALUE(RIGHT(D$1,2)),$O$1:$P$11,2,FALSE)</f>
        <v>7</v>
      </c>
      <c r="E135" s="1">
        <f>VALUE(MID($A135,LEFT(RIGHT(E$1,1),1),1))*VLOOKUP(VALUE(RIGHT(E$1,2)),$O$1:$P$11,2,FALSE)</f>
        <v>18</v>
      </c>
      <c r="F135" s="1">
        <f>VALUE(MID($A135,LEFT(RIGHT(F$1,1),1),1))*VLOOKUP(VALUE(RIGHT(F$1,2)),$O$1:$P$11,2,FALSE)</f>
        <v>3</v>
      </c>
      <c r="G135" s="1">
        <f>VALUE(MID($A135,LEFT(RIGHT(G$1,1),1),1))*VLOOKUP(VALUE(RIGHT(G$1,2)),$O$1:$P$11,2,FALSE)</f>
        <v>0</v>
      </c>
      <c r="H135" s="1">
        <f>VALUE(MID($A135,LEFT(RIGHT(H$1,1),1),1))*VLOOKUP(VALUE(RIGHT(H$1,2)),$O$1:$P$11,2,FALSE)</f>
        <v>42</v>
      </c>
      <c r="I135" s="1">
        <f>VALUE(MID($A135,LEFT(RIGHT(I$1,1),1),1))*VLOOKUP(VALUE(RIGHT(I$1,2)),$O$1:$P$11,2,FALSE)</f>
        <v>9</v>
      </c>
      <c r="J135" s="1">
        <f>VALUE(MID($A135,LEFT(RIGHT(J$1,1),1),1))*VLOOKUP(VALUE(RIGHT(J$1,2)),$O$1:$P$11,2,FALSE)</f>
        <v>6</v>
      </c>
      <c r="K135" s="1">
        <f>VALUE(MID($A135,10,1))*VLOOKUP(VALUE(RIGHT(K$1,2)),$O$1:$P$11,2,FALSE)</f>
        <v>12</v>
      </c>
      <c r="L135" s="1">
        <f>IF(MOD(SUM(pesel__26[[#This Row],[SUMA 1]:[SUMA 10]]),10)=0,0,10-MOD(SUM(pesel__26[[#This Row],[SUMA 1]:[SUMA 10]]),10))</f>
        <v>3</v>
      </c>
      <c r="M135" s="1">
        <f>IF(pesel__26[[#This Row],[CYFRA KONTROLNA]]=VALUE(RIGHT(A135,1)),0,1)</f>
        <v>0</v>
      </c>
    </row>
    <row r="136" spans="1:13" hidden="1" x14ac:dyDescent="0.25">
      <c r="A136" s="1" t="s">
        <v>134</v>
      </c>
      <c r="B136" s="1">
        <f>VALUE(MID($A136,LEFT(RIGHT(B$1,1),1),1))*VLOOKUP(VALUE(RIGHT(B$1,2)),$O$1:$P$11,2,FALSE)</f>
        <v>7</v>
      </c>
      <c r="C136" s="1">
        <f>VALUE(MID($A136,LEFT(RIGHT(C$1,1),1),1))*VLOOKUP(VALUE(RIGHT(C$1,2)),$O$1:$P$11,2,FALSE)</f>
        <v>9</v>
      </c>
      <c r="D136" s="1">
        <f>VALUE(MID($A136,LEFT(RIGHT(D$1,1),1),1))*VLOOKUP(VALUE(RIGHT(D$1,2)),$O$1:$P$11,2,FALSE)</f>
        <v>7</v>
      </c>
      <c r="E136" s="1">
        <f>VALUE(MID($A136,LEFT(RIGHT(E$1,1),1),1))*VLOOKUP(VALUE(RIGHT(E$1,2)),$O$1:$P$11,2,FALSE)</f>
        <v>0</v>
      </c>
      <c r="F136" s="1">
        <f>VALUE(MID($A136,LEFT(RIGHT(F$1,1),1),1))*VLOOKUP(VALUE(RIGHT(F$1,2)),$O$1:$P$11,2,FALSE)</f>
        <v>3</v>
      </c>
      <c r="G136" s="1">
        <f>VALUE(MID($A136,LEFT(RIGHT(G$1,1),1),1))*VLOOKUP(VALUE(RIGHT(G$1,2)),$O$1:$P$11,2,FALSE)</f>
        <v>0</v>
      </c>
      <c r="H136" s="1">
        <f>VALUE(MID($A136,LEFT(RIGHT(H$1,1),1),1))*VLOOKUP(VALUE(RIGHT(H$1,2)),$O$1:$P$11,2,FALSE)</f>
        <v>0</v>
      </c>
      <c r="I136" s="1">
        <f>VALUE(MID($A136,LEFT(RIGHT(I$1,1),1),1))*VLOOKUP(VALUE(RIGHT(I$1,2)),$O$1:$P$11,2,FALSE)</f>
        <v>0</v>
      </c>
      <c r="J136" s="1">
        <f>VALUE(MID($A136,LEFT(RIGHT(J$1,1),1),1))*VLOOKUP(VALUE(RIGHT(J$1,2)),$O$1:$P$11,2,FALSE)</f>
        <v>8</v>
      </c>
      <c r="K136" s="1">
        <f>VALUE(MID($A136,10,1))*VLOOKUP(VALUE(RIGHT(K$1,2)),$O$1:$P$11,2,FALSE)</f>
        <v>12</v>
      </c>
      <c r="L136" s="1">
        <f>IF(MOD(SUM(pesel__26[[#This Row],[SUMA 1]:[SUMA 10]]),10)=0,0,10-MOD(SUM(pesel__26[[#This Row],[SUMA 1]:[SUMA 10]]),10))</f>
        <v>4</v>
      </c>
      <c r="M136" s="1">
        <f>IF(pesel__26[[#This Row],[CYFRA KONTROLNA]]=VALUE(RIGHT(A136,1)),0,1)</f>
        <v>0</v>
      </c>
    </row>
    <row r="137" spans="1:13" hidden="1" x14ac:dyDescent="0.25">
      <c r="A137" s="1" t="s">
        <v>135</v>
      </c>
      <c r="B137" s="1">
        <f>VALUE(MID($A137,LEFT(RIGHT(B$1,1),1),1))*VLOOKUP(VALUE(RIGHT(B$1,2)),$O$1:$P$11,2,FALSE)</f>
        <v>8</v>
      </c>
      <c r="C137" s="1">
        <f>VALUE(MID($A137,LEFT(RIGHT(C$1,1),1),1))*VLOOKUP(VALUE(RIGHT(C$1,2)),$O$1:$P$11,2,FALSE)</f>
        <v>27</v>
      </c>
      <c r="D137" s="1">
        <f>VALUE(MID($A137,LEFT(RIGHT(D$1,1),1),1))*VLOOKUP(VALUE(RIGHT(D$1,2)),$O$1:$P$11,2,FALSE)</f>
        <v>0</v>
      </c>
      <c r="E137" s="1">
        <f>VALUE(MID($A137,LEFT(RIGHT(E$1,1),1),1))*VLOOKUP(VALUE(RIGHT(E$1,2)),$O$1:$P$11,2,FALSE)</f>
        <v>9</v>
      </c>
      <c r="F137" s="1">
        <f>VALUE(MID($A137,LEFT(RIGHT(F$1,1),1),1))*VLOOKUP(VALUE(RIGHT(F$1,2)),$O$1:$P$11,2,FALSE)</f>
        <v>2</v>
      </c>
      <c r="G137" s="1">
        <f>VALUE(MID($A137,LEFT(RIGHT(G$1,1),1),1))*VLOOKUP(VALUE(RIGHT(G$1,2)),$O$1:$P$11,2,FALSE)</f>
        <v>18</v>
      </c>
      <c r="H137" s="1">
        <f>VALUE(MID($A137,LEFT(RIGHT(H$1,1),1),1))*VLOOKUP(VALUE(RIGHT(H$1,2)),$O$1:$P$11,2,FALSE)</f>
        <v>21</v>
      </c>
      <c r="I137" s="1">
        <f>VALUE(MID($A137,LEFT(RIGHT(I$1,1),1),1))*VLOOKUP(VALUE(RIGHT(I$1,2)),$O$1:$P$11,2,FALSE)</f>
        <v>0</v>
      </c>
      <c r="J137" s="1">
        <f>VALUE(MID($A137,LEFT(RIGHT(J$1,1),1),1))*VLOOKUP(VALUE(RIGHT(J$1,2)),$O$1:$P$11,2,FALSE)</f>
        <v>3</v>
      </c>
      <c r="K137" s="1">
        <f>VALUE(MID($A137,10,1))*VLOOKUP(VALUE(RIGHT(K$1,2)),$O$1:$P$11,2,FALSE)</f>
        <v>15</v>
      </c>
      <c r="L137" s="1">
        <f>IF(MOD(SUM(pesel__26[[#This Row],[SUMA 1]:[SUMA 10]]),10)=0,0,10-MOD(SUM(pesel__26[[#This Row],[SUMA 1]:[SUMA 10]]),10))</f>
        <v>7</v>
      </c>
      <c r="M137" s="1">
        <f>IF(pesel__26[[#This Row],[CYFRA KONTROLNA]]=VALUE(RIGHT(A137,1)),0,1)</f>
        <v>0</v>
      </c>
    </row>
    <row r="138" spans="1:13" hidden="1" x14ac:dyDescent="0.25">
      <c r="A138" s="1" t="s">
        <v>136</v>
      </c>
      <c r="B138" s="1">
        <f>VALUE(MID($A138,LEFT(RIGHT(B$1,1),1),1))*VLOOKUP(VALUE(RIGHT(B$1,2)),$O$1:$P$11,2,FALSE)</f>
        <v>7</v>
      </c>
      <c r="C138" s="1">
        <f>VALUE(MID($A138,LEFT(RIGHT(C$1,1),1),1))*VLOOKUP(VALUE(RIGHT(C$1,2)),$O$1:$P$11,2,FALSE)</f>
        <v>9</v>
      </c>
      <c r="D138" s="1">
        <f>VALUE(MID($A138,LEFT(RIGHT(D$1,1),1),1))*VLOOKUP(VALUE(RIGHT(D$1,2)),$O$1:$P$11,2,FALSE)</f>
        <v>0</v>
      </c>
      <c r="E138" s="1">
        <f>VALUE(MID($A138,LEFT(RIGHT(E$1,1),1),1))*VLOOKUP(VALUE(RIGHT(E$1,2)),$O$1:$P$11,2,FALSE)</f>
        <v>9</v>
      </c>
      <c r="F138" s="1">
        <f>VALUE(MID($A138,LEFT(RIGHT(F$1,1),1),1))*VLOOKUP(VALUE(RIGHT(F$1,2)),$O$1:$P$11,2,FALSE)</f>
        <v>0</v>
      </c>
      <c r="G138" s="1">
        <f>VALUE(MID($A138,LEFT(RIGHT(G$1,1),1),1))*VLOOKUP(VALUE(RIGHT(G$1,2)),$O$1:$P$11,2,FALSE)</f>
        <v>9</v>
      </c>
      <c r="H138" s="1">
        <f>VALUE(MID($A138,LEFT(RIGHT(H$1,1),1),1))*VLOOKUP(VALUE(RIGHT(H$1,2)),$O$1:$P$11,2,FALSE)</f>
        <v>63</v>
      </c>
      <c r="I138" s="1">
        <f>VALUE(MID($A138,LEFT(RIGHT(I$1,1),1),1))*VLOOKUP(VALUE(RIGHT(I$1,2)),$O$1:$P$11,2,FALSE)</f>
        <v>81</v>
      </c>
      <c r="J138" s="1">
        <f>VALUE(MID($A138,LEFT(RIGHT(J$1,1),1),1))*VLOOKUP(VALUE(RIGHT(J$1,2)),$O$1:$P$11,2,FALSE)</f>
        <v>5</v>
      </c>
      <c r="K138" s="1">
        <f>VALUE(MID($A138,10,1))*VLOOKUP(VALUE(RIGHT(K$1,2)),$O$1:$P$11,2,FALSE)</f>
        <v>21</v>
      </c>
      <c r="L138" s="1">
        <f>IF(MOD(SUM(pesel__26[[#This Row],[SUMA 1]:[SUMA 10]]),10)=0,0,10-MOD(SUM(pesel__26[[#This Row],[SUMA 1]:[SUMA 10]]),10))</f>
        <v>6</v>
      </c>
      <c r="M138" s="1">
        <f>IF(pesel__26[[#This Row],[CYFRA KONTROLNA]]=VALUE(RIGHT(A138,1)),0,1)</f>
        <v>0</v>
      </c>
    </row>
    <row r="139" spans="1:13" hidden="1" x14ac:dyDescent="0.25">
      <c r="A139" s="1" t="s">
        <v>137</v>
      </c>
      <c r="B139" s="1">
        <f>VALUE(MID($A139,LEFT(RIGHT(B$1,1),1),1))*VLOOKUP(VALUE(RIGHT(B$1,2)),$O$1:$P$11,2,FALSE)</f>
        <v>8</v>
      </c>
      <c r="C139" s="1">
        <f>VALUE(MID($A139,LEFT(RIGHT(C$1,1),1),1))*VLOOKUP(VALUE(RIGHT(C$1,2)),$O$1:$P$11,2,FALSE)</f>
        <v>21</v>
      </c>
      <c r="D139" s="1">
        <f>VALUE(MID($A139,LEFT(RIGHT(D$1,1),1),1))*VLOOKUP(VALUE(RIGHT(D$1,2)),$O$1:$P$11,2,FALSE)</f>
        <v>0</v>
      </c>
      <c r="E139" s="1">
        <f>VALUE(MID($A139,LEFT(RIGHT(E$1,1),1),1))*VLOOKUP(VALUE(RIGHT(E$1,2)),$O$1:$P$11,2,FALSE)</f>
        <v>63</v>
      </c>
      <c r="F139" s="1">
        <f>VALUE(MID($A139,LEFT(RIGHT(F$1,1),1),1))*VLOOKUP(VALUE(RIGHT(F$1,2)),$O$1:$P$11,2,FALSE)</f>
        <v>0</v>
      </c>
      <c r="G139" s="1">
        <f>VALUE(MID($A139,LEFT(RIGHT(G$1,1),1),1))*VLOOKUP(VALUE(RIGHT(G$1,2)),$O$1:$P$11,2,FALSE)</f>
        <v>24</v>
      </c>
      <c r="H139" s="1">
        <f>VALUE(MID($A139,LEFT(RIGHT(H$1,1),1),1))*VLOOKUP(VALUE(RIGHT(H$1,2)),$O$1:$P$11,2,FALSE)</f>
        <v>63</v>
      </c>
      <c r="I139" s="1">
        <f>VALUE(MID($A139,LEFT(RIGHT(I$1,1),1),1))*VLOOKUP(VALUE(RIGHT(I$1,2)),$O$1:$P$11,2,FALSE)</f>
        <v>45</v>
      </c>
      <c r="J139" s="1">
        <f>VALUE(MID($A139,LEFT(RIGHT(J$1,1),1),1))*VLOOKUP(VALUE(RIGHT(J$1,2)),$O$1:$P$11,2,FALSE)</f>
        <v>3</v>
      </c>
      <c r="K139" s="1">
        <f>VALUE(MID($A139,10,1))*VLOOKUP(VALUE(RIGHT(K$1,2)),$O$1:$P$11,2,FALSE)</f>
        <v>21</v>
      </c>
      <c r="L139" s="1">
        <f>IF(MOD(SUM(pesel__26[[#This Row],[SUMA 1]:[SUMA 10]]),10)=0,0,10-MOD(SUM(pesel__26[[#This Row],[SUMA 1]:[SUMA 10]]),10))</f>
        <v>2</v>
      </c>
      <c r="M139" s="1">
        <f>IF(pesel__26[[#This Row],[CYFRA KONTROLNA]]=VALUE(RIGHT(A139,1)),0,1)</f>
        <v>0</v>
      </c>
    </row>
    <row r="140" spans="1:13" x14ac:dyDescent="0.25">
      <c r="A140" s="1" t="s">
        <v>14</v>
      </c>
      <c r="B140" s="1">
        <f>VALUE(MID($A140,LEFT(RIGHT(B$1,1),1),1))*VLOOKUP(VALUE(RIGHT(B$1,2)),$O$1:$P$11,2,FALSE)</f>
        <v>9</v>
      </c>
      <c r="C140" s="1">
        <f>VALUE(MID($A140,LEFT(RIGHT(C$1,1),1),1))*VLOOKUP(VALUE(RIGHT(C$1,2)),$O$1:$P$11,2,FALSE)</f>
        <v>3</v>
      </c>
      <c r="D140" s="1">
        <f>VALUE(MID($A140,LEFT(RIGHT(D$1,1),1),1))*VLOOKUP(VALUE(RIGHT(D$1,2)),$O$1:$P$11,2,FALSE)</f>
        <v>0</v>
      </c>
      <c r="E140" s="1">
        <f>VALUE(MID($A140,LEFT(RIGHT(E$1,1),1),1))*VLOOKUP(VALUE(RIGHT(E$1,2)),$O$1:$P$11,2,FALSE)</f>
        <v>27</v>
      </c>
      <c r="F140" s="1">
        <f>VALUE(MID($A140,LEFT(RIGHT(F$1,1),1),1))*VLOOKUP(VALUE(RIGHT(F$1,2)),$O$1:$P$11,2,FALSE)</f>
        <v>2</v>
      </c>
      <c r="G140" s="1">
        <f>VALUE(MID($A140,LEFT(RIGHT(G$1,1),1),1))*VLOOKUP(VALUE(RIGHT(G$1,2)),$O$1:$P$11,2,FALSE)</f>
        <v>6</v>
      </c>
      <c r="H140" s="1">
        <f>VALUE(MID($A140,LEFT(RIGHT(H$1,1),1),1))*VLOOKUP(VALUE(RIGHT(H$1,2)),$O$1:$P$11,2,FALSE)</f>
        <v>49</v>
      </c>
      <c r="I140" s="1">
        <f>VALUE(MID($A140,LEFT(RIGHT(I$1,1),1),1))*VLOOKUP(VALUE(RIGHT(I$1,2)),$O$1:$P$11,2,FALSE)</f>
        <v>18</v>
      </c>
      <c r="J140" s="1">
        <f>VALUE(MID($A140,LEFT(RIGHT(J$1,1),1),1))*VLOOKUP(VALUE(RIGHT(J$1,2)),$O$1:$P$11,2,FALSE)</f>
        <v>6</v>
      </c>
      <c r="K140" s="1">
        <f>VALUE(MID($A140,10,1))*VLOOKUP(VALUE(RIGHT(K$1,2)),$O$1:$P$11,2,FALSE)</f>
        <v>15</v>
      </c>
      <c r="L140" s="1">
        <f>IF(MOD(SUM(pesel__26[[#This Row],[SUMA 1]:[SUMA 10]]),10)=0,0,10-MOD(SUM(pesel__26[[#This Row],[SUMA 1]:[SUMA 10]]),10))</f>
        <v>5</v>
      </c>
      <c r="M140" s="1">
        <f>IF(pesel__26[[#This Row],[CYFRA KONTROLNA]]=VALUE(RIGHT(A140,1)),0,1)</f>
        <v>1</v>
      </c>
    </row>
    <row r="141" spans="1:13" hidden="1" x14ac:dyDescent="0.25">
      <c r="A141" s="1" t="s">
        <v>139</v>
      </c>
      <c r="B141" s="1">
        <f>VALUE(MID($A141,LEFT(RIGHT(B$1,1),1),1))*VLOOKUP(VALUE(RIGHT(B$1,2)),$O$1:$P$11,2,FALSE)</f>
        <v>7</v>
      </c>
      <c r="C141" s="1">
        <f>VALUE(MID($A141,LEFT(RIGHT(C$1,1),1),1))*VLOOKUP(VALUE(RIGHT(C$1,2)),$O$1:$P$11,2,FALSE)</f>
        <v>18</v>
      </c>
      <c r="D141" s="1">
        <f>VALUE(MID($A141,LEFT(RIGHT(D$1,1),1),1))*VLOOKUP(VALUE(RIGHT(D$1,2)),$O$1:$P$11,2,FALSE)</f>
        <v>0</v>
      </c>
      <c r="E141" s="1">
        <f>VALUE(MID($A141,LEFT(RIGHT(E$1,1),1),1))*VLOOKUP(VALUE(RIGHT(E$1,2)),$O$1:$P$11,2,FALSE)</f>
        <v>36</v>
      </c>
      <c r="F141" s="1">
        <f>VALUE(MID($A141,LEFT(RIGHT(F$1,1),1),1))*VLOOKUP(VALUE(RIGHT(F$1,2)),$O$1:$P$11,2,FALSE)</f>
        <v>3</v>
      </c>
      <c r="G141" s="1">
        <f>VALUE(MID($A141,LEFT(RIGHT(G$1,1),1),1))*VLOOKUP(VALUE(RIGHT(G$1,2)),$O$1:$P$11,2,FALSE)</f>
        <v>3</v>
      </c>
      <c r="H141" s="1">
        <f>VALUE(MID($A141,LEFT(RIGHT(H$1,1),1),1))*VLOOKUP(VALUE(RIGHT(H$1,2)),$O$1:$P$11,2,FALSE)</f>
        <v>42</v>
      </c>
      <c r="I141" s="1">
        <f>VALUE(MID($A141,LEFT(RIGHT(I$1,1),1),1))*VLOOKUP(VALUE(RIGHT(I$1,2)),$O$1:$P$11,2,FALSE)</f>
        <v>81</v>
      </c>
      <c r="J141" s="1">
        <f>VALUE(MID($A141,LEFT(RIGHT(J$1,1),1),1))*VLOOKUP(VALUE(RIGHT(J$1,2)),$O$1:$P$11,2,FALSE)</f>
        <v>9</v>
      </c>
      <c r="K141" s="1">
        <f>VALUE(MID($A141,10,1))*VLOOKUP(VALUE(RIGHT(K$1,2)),$O$1:$P$11,2,FALSE)</f>
        <v>12</v>
      </c>
      <c r="L141" s="1">
        <f>IF(MOD(SUM(pesel__26[[#This Row],[SUMA 1]:[SUMA 10]]),10)=0,0,10-MOD(SUM(pesel__26[[#This Row],[SUMA 1]:[SUMA 10]]),10))</f>
        <v>9</v>
      </c>
      <c r="M141" s="1">
        <f>IF(pesel__26[[#This Row],[CYFRA KONTROLNA]]=VALUE(RIGHT(A141,1)),0,1)</f>
        <v>0</v>
      </c>
    </row>
    <row r="142" spans="1:13" hidden="1" x14ac:dyDescent="0.25">
      <c r="A142" s="1" t="s">
        <v>140</v>
      </c>
      <c r="B142" s="1">
        <f>VALUE(MID($A142,LEFT(RIGHT(B$1,1),1),1))*VLOOKUP(VALUE(RIGHT(B$1,2)),$O$1:$P$11,2,FALSE)</f>
        <v>7</v>
      </c>
      <c r="C142" s="1">
        <f>VALUE(MID($A142,LEFT(RIGHT(C$1,1),1),1))*VLOOKUP(VALUE(RIGHT(C$1,2)),$O$1:$P$11,2,FALSE)</f>
        <v>27</v>
      </c>
      <c r="D142" s="1">
        <f>VALUE(MID($A142,LEFT(RIGHT(D$1,1),1),1))*VLOOKUP(VALUE(RIGHT(D$1,2)),$O$1:$P$11,2,FALSE)</f>
        <v>7</v>
      </c>
      <c r="E142" s="1">
        <f>VALUE(MID($A142,LEFT(RIGHT(E$1,1),1),1))*VLOOKUP(VALUE(RIGHT(E$1,2)),$O$1:$P$11,2,FALSE)</f>
        <v>0</v>
      </c>
      <c r="F142" s="1">
        <f>VALUE(MID($A142,LEFT(RIGHT(F$1,1),1),1))*VLOOKUP(VALUE(RIGHT(F$1,2)),$O$1:$P$11,2,FALSE)</f>
        <v>1</v>
      </c>
      <c r="G142" s="1">
        <f>VALUE(MID($A142,LEFT(RIGHT(G$1,1),1),1))*VLOOKUP(VALUE(RIGHT(G$1,2)),$O$1:$P$11,2,FALSE)</f>
        <v>3</v>
      </c>
      <c r="H142" s="1">
        <f>VALUE(MID($A142,LEFT(RIGHT(H$1,1),1),1))*VLOOKUP(VALUE(RIGHT(H$1,2)),$O$1:$P$11,2,FALSE)</f>
        <v>28</v>
      </c>
      <c r="I142" s="1">
        <f>VALUE(MID($A142,LEFT(RIGHT(I$1,1),1),1))*VLOOKUP(VALUE(RIGHT(I$1,2)),$O$1:$P$11,2,FALSE)</f>
        <v>54</v>
      </c>
      <c r="J142" s="1">
        <f>VALUE(MID($A142,LEFT(RIGHT(J$1,1),1),1))*VLOOKUP(VALUE(RIGHT(J$1,2)),$O$1:$P$11,2,FALSE)</f>
        <v>7</v>
      </c>
      <c r="K142" s="1">
        <f>VALUE(MID($A142,10,1))*VLOOKUP(VALUE(RIGHT(K$1,2)),$O$1:$P$11,2,FALSE)</f>
        <v>9</v>
      </c>
      <c r="L142" s="1">
        <f>IF(MOD(SUM(pesel__26[[#This Row],[SUMA 1]:[SUMA 10]]),10)=0,0,10-MOD(SUM(pesel__26[[#This Row],[SUMA 1]:[SUMA 10]]),10))</f>
        <v>7</v>
      </c>
      <c r="M142" s="1">
        <f>IF(pesel__26[[#This Row],[CYFRA KONTROLNA]]=VALUE(RIGHT(A142,1)),0,1)</f>
        <v>0</v>
      </c>
    </row>
    <row r="143" spans="1:13" hidden="1" x14ac:dyDescent="0.25">
      <c r="A143" s="1" t="s">
        <v>141</v>
      </c>
      <c r="B143" s="1">
        <f>VALUE(MID($A143,LEFT(RIGHT(B$1,1),1),1))*VLOOKUP(VALUE(RIGHT(B$1,2)),$O$1:$P$11,2,FALSE)</f>
        <v>7</v>
      </c>
      <c r="C143" s="1">
        <f>VALUE(MID($A143,LEFT(RIGHT(C$1,1),1),1))*VLOOKUP(VALUE(RIGHT(C$1,2)),$O$1:$P$11,2,FALSE)</f>
        <v>18</v>
      </c>
      <c r="D143" s="1">
        <f>VALUE(MID($A143,LEFT(RIGHT(D$1,1),1),1))*VLOOKUP(VALUE(RIGHT(D$1,2)),$O$1:$P$11,2,FALSE)</f>
        <v>0</v>
      </c>
      <c r="E143" s="1">
        <f>VALUE(MID($A143,LEFT(RIGHT(E$1,1),1),1))*VLOOKUP(VALUE(RIGHT(E$1,2)),$O$1:$P$11,2,FALSE)</f>
        <v>36</v>
      </c>
      <c r="F143" s="1">
        <f>VALUE(MID($A143,LEFT(RIGHT(F$1,1),1),1))*VLOOKUP(VALUE(RIGHT(F$1,2)),$O$1:$P$11,2,FALSE)</f>
        <v>3</v>
      </c>
      <c r="G143" s="1">
        <f>VALUE(MID($A143,LEFT(RIGHT(G$1,1),1),1))*VLOOKUP(VALUE(RIGHT(G$1,2)),$O$1:$P$11,2,FALSE)</f>
        <v>0</v>
      </c>
      <c r="H143" s="1">
        <f>VALUE(MID($A143,LEFT(RIGHT(H$1,1),1),1))*VLOOKUP(VALUE(RIGHT(H$1,2)),$O$1:$P$11,2,FALSE)</f>
        <v>35</v>
      </c>
      <c r="I143" s="1">
        <f>VALUE(MID($A143,LEFT(RIGHT(I$1,1),1),1))*VLOOKUP(VALUE(RIGHT(I$1,2)),$O$1:$P$11,2,FALSE)</f>
        <v>36</v>
      </c>
      <c r="J143" s="1">
        <f>VALUE(MID($A143,LEFT(RIGHT(J$1,1),1),1))*VLOOKUP(VALUE(RIGHT(J$1,2)),$O$1:$P$11,2,FALSE)</f>
        <v>5</v>
      </c>
      <c r="K143" s="1">
        <f>VALUE(MID($A143,10,1))*VLOOKUP(VALUE(RIGHT(K$1,2)),$O$1:$P$11,2,FALSE)</f>
        <v>15</v>
      </c>
      <c r="L143" s="1">
        <f>IF(MOD(SUM(pesel__26[[#This Row],[SUMA 1]:[SUMA 10]]),10)=0,0,10-MOD(SUM(pesel__26[[#This Row],[SUMA 1]:[SUMA 10]]),10))</f>
        <v>5</v>
      </c>
      <c r="M143" s="1">
        <f>IF(pesel__26[[#This Row],[CYFRA KONTROLNA]]=VALUE(RIGHT(A143,1)),0,1)</f>
        <v>0</v>
      </c>
    </row>
    <row r="144" spans="1:13" hidden="1" x14ac:dyDescent="0.25">
      <c r="A144" s="1" t="s">
        <v>142</v>
      </c>
      <c r="B144" s="1">
        <f>VALUE(MID($A144,LEFT(RIGHT(B$1,1),1),1))*VLOOKUP(VALUE(RIGHT(B$1,2)),$O$1:$P$11,2,FALSE)</f>
        <v>8</v>
      </c>
      <c r="C144" s="1">
        <f>VALUE(MID($A144,LEFT(RIGHT(C$1,1),1),1))*VLOOKUP(VALUE(RIGHT(C$1,2)),$O$1:$P$11,2,FALSE)</f>
        <v>27</v>
      </c>
      <c r="D144" s="1">
        <f>VALUE(MID($A144,LEFT(RIGHT(D$1,1),1),1))*VLOOKUP(VALUE(RIGHT(D$1,2)),$O$1:$P$11,2,FALSE)</f>
        <v>0</v>
      </c>
      <c r="E144" s="1">
        <f>VALUE(MID($A144,LEFT(RIGHT(E$1,1),1),1))*VLOOKUP(VALUE(RIGHT(E$1,2)),$O$1:$P$11,2,FALSE)</f>
        <v>72</v>
      </c>
      <c r="F144" s="1">
        <f>VALUE(MID($A144,LEFT(RIGHT(F$1,1),1),1))*VLOOKUP(VALUE(RIGHT(F$1,2)),$O$1:$P$11,2,FALSE)</f>
        <v>2</v>
      </c>
      <c r="G144" s="1">
        <f>VALUE(MID($A144,LEFT(RIGHT(G$1,1),1),1))*VLOOKUP(VALUE(RIGHT(G$1,2)),$O$1:$P$11,2,FALSE)</f>
        <v>18</v>
      </c>
      <c r="H144" s="1">
        <f>VALUE(MID($A144,LEFT(RIGHT(H$1,1),1),1))*VLOOKUP(VALUE(RIGHT(H$1,2)),$O$1:$P$11,2,FALSE)</f>
        <v>0</v>
      </c>
      <c r="I144" s="1">
        <f>VALUE(MID($A144,LEFT(RIGHT(I$1,1),1),1))*VLOOKUP(VALUE(RIGHT(I$1,2)),$O$1:$P$11,2,FALSE)</f>
        <v>72</v>
      </c>
      <c r="J144" s="1">
        <f>VALUE(MID($A144,LEFT(RIGHT(J$1,1),1),1))*VLOOKUP(VALUE(RIGHT(J$1,2)),$O$1:$P$11,2,FALSE)</f>
        <v>5</v>
      </c>
      <c r="K144" s="1">
        <f>VALUE(MID($A144,10,1))*VLOOKUP(VALUE(RIGHT(K$1,2)),$O$1:$P$11,2,FALSE)</f>
        <v>27</v>
      </c>
      <c r="L144" s="1">
        <f>IF(MOD(SUM(pesel__26[[#This Row],[SUMA 1]:[SUMA 10]]),10)=0,0,10-MOD(SUM(pesel__26[[#This Row],[SUMA 1]:[SUMA 10]]),10))</f>
        <v>9</v>
      </c>
      <c r="M144" s="1">
        <f>IF(pesel__26[[#This Row],[CYFRA KONTROLNA]]=VALUE(RIGHT(A144,1)),0,1)</f>
        <v>0</v>
      </c>
    </row>
    <row r="145" spans="1:13" hidden="1" x14ac:dyDescent="0.25">
      <c r="A145" s="1" t="s">
        <v>143</v>
      </c>
      <c r="B145" s="1">
        <f>VALUE(MID($A145,LEFT(RIGHT(B$1,1),1),1))*VLOOKUP(VALUE(RIGHT(B$1,2)),$O$1:$P$11,2,FALSE)</f>
        <v>7</v>
      </c>
      <c r="C145" s="1">
        <f>VALUE(MID($A145,LEFT(RIGHT(C$1,1),1),1))*VLOOKUP(VALUE(RIGHT(C$1,2)),$O$1:$P$11,2,FALSE)</f>
        <v>18</v>
      </c>
      <c r="D145" s="1">
        <f>VALUE(MID($A145,LEFT(RIGHT(D$1,1),1),1))*VLOOKUP(VALUE(RIGHT(D$1,2)),$O$1:$P$11,2,FALSE)</f>
        <v>7</v>
      </c>
      <c r="E145" s="1">
        <f>VALUE(MID($A145,LEFT(RIGHT(E$1,1),1),1))*VLOOKUP(VALUE(RIGHT(E$1,2)),$O$1:$P$11,2,FALSE)</f>
        <v>18</v>
      </c>
      <c r="F145" s="1">
        <f>VALUE(MID($A145,LEFT(RIGHT(F$1,1),1),1))*VLOOKUP(VALUE(RIGHT(F$1,2)),$O$1:$P$11,2,FALSE)</f>
        <v>2</v>
      </c>
      <c r="G145" s="1">
        <f>VALUE(MID($A145,LEFT(RIGHT(G$1,1),1),1))*VLOOKUP(VALUE(RIGHT(G$1,2)),$O$1:$P$11,2,FALSE)</f>
        <v>21</v>
      </c>
      <c r="H145" s="1">
        <f>VALUE(MID($A145,LEFT(RIGHT(H$1,1),1),1))*VLOOKUP(VALUE(RIGHT(H$1,2)),$O$1:$P$11,2,FALSE)</f>
        <v>35</v>
      </c>
      <c r="I145" s="1">
        <f>VALUE(MID($A145,LEFT(RIGHT(I$1,1),1),1))*VLOOKUP(VALUE(RIGHT(I$1,2)),$O$1:$P$11,2,FALSE)</f>
        <v>18</v>
      </c>
      <c r="J145" s="1">
        <f>VALUE(MID($A145,LEFT(RIGHT(J$1,1),1),1))*VLOOKUP(VALUE(RIGHT(J$1,2)),$O$1:$P$11,2,FALSE)</f>
        <v>0</v>
      </c>
      <c r="K145" s="1">
        <f>VALUE(MID($A145,10,1))*VLOOKUP(VALUE(RIGHT(K$1,2)),$O$1:$P$11,2,FALSE)</f>
        <v>6</v>
      </c>
      <c r="L145" s="1">
        <f>IF(MOD(SUM(pesel__26[[#This Row],[SUMA 1]:[SUMA 10]]),10)=0,0,10-MOD(SUM(pesel__26[[#This Row],[SUMA 1]:[SUMA 10]]),10))</f>
        <v>8</v>
      </c>
      <c r="M145" s="1">
        <f>IF(pesel__26[[#This Row],[CYFRA KONTROLNA]]=VALUE(RIGHT(A145,1)),0,1)</f>
        <v>0</v>
      </c>
    </row>
    <row r="146" spans="1:13" x14ac:dyDescent="0.25">
      <c r="A146" s="1" t="s">
        <v>19</v>
      </c>
      <c r="B146" s="1">
        <f>VALUE(MID($A146,LEFT(RIGHT(B$1,1),1),1))*VLOOKUP(VALUE(RIGHT(B$1,2)),$O$1:$P$11,2,FALSE)</f>
        <v>9</v>
      </c>
      <c r="C146" s="1">
        <f>VALUE(MID($A146,LEFT(RIGHT(C$1,1),1),1))*VLOOKUP(VALUE(RIGHT(C$1,2)),$O$1:$P$11,2,FALSE)</f>
        <v>6</v>
      </c>
      <c r="D146" s="1">
        <f>VALUE(MID($A146,LEFT(RIGHT(D$1,1),1),1))*VLOOKUP(VALUE(RIGHT(D$1,2)),$O$1:$P$11,2,FALSE)</f>
        <v>0</v>
      </c>
      <c r="E146" s="1">
        <f>VALUE(MID($A146,LEFT(RIGHT(E$1,1),1),1))*VLOOKUP(VALUE(RIGHT(E$1,2)),$O$1:$P$11,2,FALSE)</f>
        <v>18</v>
      </c>
      <c r="F146" s="1">
        <f>VALUE(MID($A146,LEFT(RIGHT(F$1,1),1),1))*VLOOKUP(VALUE(RIGHT(F$1,2)),$O$1:$P$11,2,FALSE)</f>
        <v>2</v>
      </c>
      <c r="G146" s="1">
        <f>VALUE(MID($A146,LEFT(RIGHT(G$1,1),1),1))*VLOOKUP(VALUE(RIGHT(G$1,2)),$O$1:$P$11,2,FALSE)</f>
        <v>21</v>
      </c>
      <c r="H146" s="1">
        <f>VALUE(MID($A146,LEFT(RIGHT(H$1,1),1),1))*VLOOKUP(VALUE(RIGHT(H$1,2)),$O$1:$P$11,2,FALSE)</f>
        <v>7</v>
      </c>
      <c r="I146" s="1">
        <f>VALUE(MID($A146,LEFT(RIGHT(I$1,1),1),1))*VLOOKUP(VALUE(RIGHT(I$1,2)),$O$1:$P$11,2,FALSE)</f>
        <v>54</v>
      </c>
      <c r="J146" s="1">
        <f>VALUE(MID($A146,LEFT(RIGHT(J$1,1),1),1))*VLOOKUP(VALUE(RIGHT(J$1,2)),$O$1:$P$11,2,FALSE)</f>
        <v>2</v>
      </c>
      <c r="K146" s="1">
        <f>VALUE(MID($A146,10,1))*VLOOKUP(VALUE(RIGHT(K$1,2)),$O$1:$P$11,2,FALSE)</f>
        <v>12</v>
      </c>
      <c r="L146" s="1">
        <f>IF(MOD(SUM(pesel__26[[#This Row],[SUMA 1]:[SUMA 10]]),10)=0,0,10-MOD(SUM(pesel__26[[#This Row],[SUMA 1]:[SUMA 10]]),10))</f>
        <v>9</v>
      </c>
      <c r="M146" s="1">
        <f>IF(pesel__26[[#This Row],[CYFRA KONTROLNA]]=VALUE(RIGHT(A146,1)),0,1)</f>
        <v>1</v>
      </c>
    </row>
    <row r="147" spans="1:13" hidden="1" x14ac:dyDescent="0.25">
      <c r="A147" s="1" t="s">
        <v>145</v>
      </c>
      <c r="B147" s="1">
        <f>VALUE(MID($A147,LEFT(RIGHT(B$1,1),1),1))*VLOOKUP(VALUE(RIGHT(B$1,2)),$O$1:$P$11,2,FALSE)</f>
        <v>8</v>
      </c>
      <c r="C147" s="1">
        <f>VALUE(MID($A147,LEFT(RIGHT(C$1,1),1),1))*VLOOKUP(VALUE(RIGHT(C$1,2)),$O$1:$P$11,2,FALSE)</f>
        <v>27</v>
      </c>
      <c r="D147" s="1">
        <f>VALUE(MID($A147,LEFT(RIGHT(D$1,1),1),1))*VLOOKUP(VALUE(RIGHT(D$1,2)),$O$1:$P$11,2,FALSE)</f>
        <v>0</v>
      </c>
      <c r="E147" s="1">
        <f>VALUE(MID($A147,LEFT(RIGHT(E$1,1),1),1))*VLOOKUP(VALUE(RIGHT(E$1,2)),$O$1:$P$11,2,FALSE)</f>
        <v>9</v>
      </c>
      <c r="F147" s="1">
        <f>VALUE(MID($A147,LEFT(RIGHT(F$1,1),1),1))*VLOOKUP(VALUE(RIGHT(F$1,2)),$O$1:$P$11,2,FALSE)</f>
        <v>0</v>
      </c>
      <c r="G147" s="1">
        <f>VALUE(MID($A147,LEFT(RIGHT(G$1,1),1),1))*VLOOKUP(VALUE(RIGHT(G$1,2)),$O$1:$P$11,2,FALSE)</f>
        <v>6</v>
      </c>
      <c r="H147" s="1">
        <f>VALUE(MID($A147,LEFT(RIGHT(H$1,1),1),1))*VLOOKUP(VALUE(RIGHT(H$1,2)),$O$1:$P$11,2,FALSE)</f>
        <v>63</v>
      </c>
      <c r="I147" s="1">
        <f>VALUE(MID($A147,LEFT(RIGHT(I$1,1),1),1))*VLOOKUP(VALUE(RIGHT(I$1,2)),$O$1:$P$11,2,FALSE)</f>
        <v>27</v>
      </c>
      <c r="J147" s="1">
        <f>VALUE(MID($A147,LEFT(RIGHT(J$1,1),1),1))*VLOOKUP(VALUE(RIGHT(J$1,2)),$O$1:$P$11,2,FALSE)</f>
        <v>6</v>
      </c>
      <c r="K147" s="1">
        <f>VALUE(MID($A147,10,1))*VLOOKUP(VALUE(RIGHT(K$1,2)),$O$1:$P$11,2,FALSE)</f>
        <v>0</v>
      </c>
      <c r="L147" s="1">
        <f>IF(MOD(SUM(pesel__26[[#This Row],[SUMA 1]:[SUMA 10]]),10)=0,0,10-MOD(SUM(pesel__26[[#This Row],[SUMA 1]:[SUMA 10]]),10))</f>
        <v>4</v>
      </c>
      <c r="M147" s="1">
        <f>IF(pesel__26[[#This Row],[CYFRA KONTROLNA]]=VALUE(RIGHT(A147,1)),0,1)</f>
        <v>0</v>
      </c>
    </row>
    <row r="148" spans="1:13" hidden="1" x14ac:dyDescent="0.25">
      <c r="A148" s="1" t="s">
        <v>146</v>
      </c>
      <c r="B148" s="1">
        <f>VALUE(MID($A148,LEFT(RIGHT(B$1,1),1),1))*VLOOKUP(VALUE(RIGHT(B$1,2)),$O$1:$P$11,2,FALSE)</f>
        <v>8</v>
      </c>
      <c r="C148" s="1">
        <f>VALUE(MID($A148,LEFT(RIGHT(C$1,1),1),1))*VLOOKUP(VALUE(RIGHT(C$1,2)),$O$1:$P$11,2,FALSE)</f>
        <v>27</v>
      </c>
      <c r="D148" s="1">
        <f>VALUE(MID($A148,LEFT(RIGHT(D$1,1),1),1))*VLOOKUP(VALUE(RIGHT(D$1,2)),$O$1:$P$11,2,FALSE)</f>
        <v>0</v>
      </c>
      <c r="E148" s="1">
        <f>VALUE(MID($A148,LEFT(RIGHT(E$1,1),1),1))*VLOOKUP(VALUE(RIGHT(E$1,2)),$O$1:$P$11,2,FALSE)</f>
        <v>81</v>
      </c>
      <c r="F148" s="1">
        <f>VALUE(MID($A148,LEFT(RIGHT(F$1,1),1),1))*VLOOKUP(VALUE(RIGHT(F$1,2)),$O$1:$P$11,2,FALSE)</f>
        <v>1</v>
      </c>
      <c r="G148" s="1">
        <f>VALUE(MID($A148,LEFT(RIGHT(G$1,1),1),1))*VLOOKUP(VALUE(RIGHT(G$1,2)),$O$1:$P$11,2,FALSE)</f>
        <v>12</v>
      </c>
      <c r="H148" s="1">
        <f>VALUE(MID($A148,LEFT(RIGHT(H$1,1),1),1))*VLOOKUP(VALUE(RIGHT(H$1,2)),$O$1:$P$11,2,FALSE)</f>
        <v>56</v>
      </c>
      <c r="I148" s="1">
        <f>VALUE(MID($A148,LEFT(RIGHT(I$1,1),1),1))*VLOOKUP(VALUE(RIGHT(I$1,2)),$O$1:$P$11,2,FALSE)</f>
        <v>18</v>
      </c>
      <c r="J148" s="1">
        <f>VALUE(MID($A148,LEFT(RIGHT(J$1,1),1),1))*VLOOKUP(VALUE(RIGHT(J$1,2)),$O$1:$P$11,2,FALSE)</f>
        <v>2</v>
      </c>
      <c r="K148" s="1">
        <f>VALUE(MID($A148,10,1))*VLOOKUP(VALUE(RIGHT(K$1,2)),$O$1:$P$11,2,FALSE)</f>
        <v>15</v>
      </c>
      <c r="L148" s="1">
        <f>IF(MOD(SUM(pesel__26[[#This Row],[SUMA 1]:[SUMA 10]]),10)=0,0,10-MOD(SUM(pesel__26[[#This Row],[SUMA 1]:[SUMA 10]]),10))</f>
        <v>0</v>
      </c>
      <c r="M148" s="1">
        <f>IF(pesel__26[[#This Row],[CYFRA KONTROLNA]]=VALUE(RIGHT(A148,1)),0,1)</f>
        <v>0</v>
      </c>
    </row>
    <row r="149" spans="1:13" hidden="1" x14ac:dyDescent="0.25">
      <c r="A149" s="1" t="s">
        <v>147</v>
      </c>
      <c r="B149" s="1">
        <f>VALUE(MID($A149,LEFT(RIGHT(B$1,1),1),1))*VLOOKUP(VALUE(RIGHT(B$1,2)),$O$1:$P$11,2,FALSE)</f>
        <v>5</v>
      </c>
      <c r="C149" s="1">
        <f>VALUE(MID($A149,LEFT(RIGHT(C$1,1),1),1))*VLOOKUP(VALUE(RIGHT(C$1,2)),$O$1:$P$11,2,FALSE)</f>
        <v>24</v>
      </c>
      <c r="D149" s="1">
        <f>VALUE(MID($A149,LEFT(RIGHT(D$1,1),1),1))*VLOOKUP(VALUE(RIGHT(D$1,2)),$O$1:$P$11,2,FALSE)</f>
        <v>7</v>
      </c>
      <c r="E149" s="1">
        <f>VALUE(MID($A149,LEFT(RIGHT(E$1,1),1),1))*VLOOKUP(VALUE(RIGHT(E$1,2)),$O$1:$P$11,2,FALSE)</f>
        <v>18</v>
      </c>
      <c r="F149" s="1">
        <f>VALUE(MID($A149,LEFT(RIGHT(F$1,1),1),1))*VLOOKUP(VALUE(RIGHT(F$1,2)),$O$1:$P$11,2,FALSE)</f>
        <v>2</v>
      </c>
      <c r="G149" s="1">
        <f>VALUE(MID($A149,LEFT(RIGHT(G$1,1),1),1))*VLOOKUP(VALUE(RIGHT(G$1,2)),$O$1:$P$11,2,FALSE)</f>
        <v>3</v>
      </c>
      <c r="H149" s="1">
        <f>VALUE(MID($A149,LEFT(RIGHT(H$1,1),1),1))*VLOOKUP(VALUE(RIGHT(H$1,2)),$O$1:$P$11,2,FALSE)</f>
        <v>56</v>
      </c>
      <c r="I149" s="1">
        <f>VALUE(MID($A149,LEFT(RIGHT(I$1,1),1),1))*VLOOKUP(VALUE(RIGHT(I$1,2)),$O$1:$P$11,2,FALSE)</f>
        <v>72</v>
      </c>
      <c r="J149" s="1">
        <f>VALUE(MID($A149,LEFT(RIGHT(J$1,1),1),1))*VLOOKUP(VALUE(RIGHT(J$1,2)),$O$1:$P$11,2,FALSE)</f>
        <v>0</v>
      </c>
      <c r="K149" s="1">
        <f>VALUE(MID($A149,10,1))*VLOOKUP(VALUE(RIGHT(K$1,2)),$O$1:$P$11,2,FALSE)</f>
        <v>6</v>
      </c>
      <c r="L149" s="1">
        <f>IF(MOD(SUM(pesel__26[[#This Row],[SUMA 1]:[SUMA 10]]),10)=0,0,10-MOD(SUM(pesel__26[[#This Row],[SUMA 1]:[SUMA 10]]),10))</f>
        <v>7</v>
      </c>
      <c r="M149" s="1">
        <f>IF(pesel__26[[#This Row],[CYFRA KONTROLNA]]=VALUE(RIGHT(A149,1)),0,1)</f>
        <v>0</v>
      </c>
    </row>
    <row r="150" spans="1:13" hidden="1" x14ac:dyDescent="0.25">
      <c r="A150" s="1" t="s">
        <v>148</v>
      </c>
      <c r="B150" s="1">
        <f>VALUE(MID($A150,LEFT(RIGHT(B$1,1),1),1))*VLOOKUP(VALUE(RIGHT(B$1,2)),$O$1:$P$11,2,FALSE)</f>
        <v>8</v>
      </c>
      <c r="C150" s="1">
        <f>VALUE(MID($A150,LEFT(RIGHT(C$1,1),1),1))*VLOOKUP(VALUE(RIGHT(C$1,2)),$O$1:$P$11,2,FALSE)</f>
        <v>27</v>
      </c>
      <c r="D150" s="1">
        <f>VALUE(MID($A150,LEFT(RIGHT(D$1,1),1),1))*VLOOKUP(VALUE(RIGHT(D$1,2)),$O$1:$P$11,2,FALSE)</f>
        <v>0</v>
      </c>
      <c r="E150" s="1">
        <f>VALUE(MID($A150,LEFT(RIGHT(E$1,1),1),1))*VLOOKUP(VALUE(RIGHT(E$1,2)),$O$1:$P$11,2,FALSE)</f>
        <v>45</v>
      </c>
      <c r="F150" s="1">
        <f>VALUE(MID($A150,LEFT(RIGHT(F$1,1),1),1))*VLOOKUP(VALUE(RIGHT(F$1,2)),$O$1:$P$11,2,FALSE)</f>
        <v>2</v>
      </c>
      <c r="G150" s="1">
        <f>VALUE(MID($A150,LEFT(RIGHT(G$1,1),1),1))*VLOOKUP(VALUE(RIGHT(G$1,2)),$O$1:$P$11,2,FALSE)</f>
        <v>6</v>
      </c>
      <c r="H150" s="1">
        <f>VALUE(MID($A150,LEFT(RIGHT(H$1,1),1),1))*VLOOKUP(VALUE(RIGHT(H$1,2)),$O$1:$P$11,2,FALSE)</f>
        <v>63</v>
      </c>
      <c r="I150" s="1">
        <f>VALUE(MID($A150,LEFT(RIGHT(I$1,1),1),1))*VLOOKUP(VALUE(RIGHT(I$1,2)),$O$1:$P$11,2,FALSE)</f>
        <v>45</v>
      </c>
      <c r="J150" s="1">
        <f>VALUE(MID($A150,LEFT(RIGHT(J$1,1),1),1))*VLOOKUP(VALUE(RIGHT(J$1,2)),$O$1:$P$11,2,FALSE)</f>
        <v>1</v>
      </c>
      <c r="K150" s="1">
        <f>VALUE(MID($A150,10,1))*VLOOKUP(VALUE(RIGHT(K$1,2)),$O$1:$P$11,2,FALSE)</f>
        <v>21</v>
      </c>
      <c r="L150" s="1">
        <f>IF(MOD(SUM(pesel__26[[#This Row],[SUMA 1]:[SUMA 10]]),10)=0,0,10-MOD(SUM(pesel__26[[#This Row],[SUMA 1]:[SUMA 10]]),10))</f>
        <v>2</v>
      </c>
      <c r="M150" s="1">
        <f>IF(pesel__26[[#This Row],[CYFRA KONTROLNA]]=VALUE(RIGHT(A150,1)),0,1)</f>
        <v>0</v>
      </c>
    </row>
    <row r="151" spans="1:13" hidden="1" x14ac:dyDescent="0.25">
      <c r="A151" s="1" t="s">
        <v>149</v>
      </c>
      <c r="B151" s="1">
        <f>VALUE(MID($A151,LEFT(RIGHT(B$1,1),1),1))*VLOOKUP(VALUE(RIGHT(B$1,2)),$O$1:$P$11,2,FALSE)</f>
        <v>7</v>
      </c>
      <c r="C151" s="1">
        <f>VALUE(MID($A151,LEFT(RIGHT(C$1,1),1),1))*VLOOKUP(VALUE(RIGHT(C$1,2)),$O$1:$P$11,2,FALSE)</f>
        <v>27</v>
      </c>
      <c r="D151" s="1">
        <f>VALUE(MID($A151,LEFT(RIGHT(D$1,1),1),1))*VLOOKUP(VALUE(RIGHT(D$1,2)),$O$1:$P$11,2,FALSE)</f>
        <v>0</v>
      </c>
      <c r="E151" s="1">
        <f>VALUE(MID($A151,LEFT(RIGHT(E$1,1),1),1))*VLOOKUP(VALUE(RIGHT(E$1,2)),$O$1:$P$11,2,FALSE)</f>
        <v>63</v>
      </c>
      <c r="F151" s="1">
        <f>VALUE(MID($A151,LEFT(RIGHT(F$1,1),1),1))*VLOOKUP(VALUE(RIGHT(F$1,2)),$O$1:$P$11,2,FALSE)</f>
        <v>0</v>
      </c>
      <c r="G151" s="1">
        <f>VALUE(MID($A151,LEFT(RIGHT(G$1,1),1),1))*VLOOKUP(VALUE(RIGHT(G$1,2)),$O$1:$P$11,2,FALSE)</f>
        <v>18</v>
      </c>
      <c r="H151" s="1">
        <f>VALUE(MID($A151,LEFT(RIGHT(H$1,1),1),1))*VLOOKUP(VALUE(RIGHT(H$1,2)),$O$1:$P$11,2,FALSE)</f>
        <v>14</v>
      </c>
      <c r="I151" s="1">
        <f>VALUE(MID($A151,LEFT(RIGHT(I$1,1),1),1))*VLOOKUP(VALUE(RIGHT(I$1,2)),$O$1:$P$11,2,FALSE)</f>
        <v>63</v>
      </c>
      <c r="J151" s="1">
        <f>VALUE(MID($A151,LEFT(RIGHT(J$1,1),1),1))*VLOOKUP(VALUE(RIGHT(J$1,2)),$O$1:$P$11,2,FALSE)</f>
        <v>8</v>
      </c>
      <c r="K151" s="1">
        <f>VALUE(MID($A151,10,1))*VLOOKUP(VALUE(RIGHT(K$1,2)),$O$1:$P$11,2,FALSE)</f>
        <v>9</v>
      </c>
      <c r="L151" s="1">
        <f>IF(MOD(SUM(pesel__26[[#This Row],[SUMA 1]:[SUMA 10]]),10)=0,0,10-MOD(SUM(pesel__26[[#This Row],[SUMA 1]:[SUMA 10]]),10))</f>
        <v>1</v>
      </c>
      <c r="M151" s="1">
        <f>IF(pesel__26[[#This Row],[CYFRA KONTROLNA]]=VALUE(RIGHT(A151,1)),0,1)</f>
        <v>0</v>
      </c>
    </row>
    <row r="154" spans="1:13" x14ac:dyDescent="0.25">
      <c r="A154" s="3" t="s">
        <v>53</v>
      </c>
    </row>
    <row r="155" spans="1:13" x14ac:dyDescent="0.25">
      <c r="A155" s="4" t="s">
        <v>138</v>
      </c>
    </row>
    <row r="156" spans="1:13" x14ac:dyDescent="0.25">
      <c r="A156" s="3" t="s">
        <v>18</v>
      </c>
    </row>
    <row r="157" spans="1:13" x14ac:dyDescent="0.25">
      <c r="A157" s="4" t="s">
        <v>144</v>
      </c>
    </row>
    <row r="158" spans="1:13" x14ac:dyDescent="0.25">
      <c r="A158" s="3" t="s">
        <v>20</v>
      </c>
    </row>
    <row r="159" spans="1:13" x14ac:dyDescent="0.25">
      <c r="A159" s="4" t="s">
        <v>35</v>
      </c>
    </row>
    <row r="160" spans="1:13" x14ac:dyDescent="0.25">
      <c r="A160" s="3" t="s">
        <v>14</v>
      </c>
    </row>
    <row r="161" spans="1:1" x14ac:dyDescent="0.25">
      <c r="A161" s="4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FBED-54B9-4A5F-BD62-B3747114AFD7}">
  <dimension ref="A1:E151"/>
  <sheetViews>
    <sheetView tabSelected="1" workbookViewId="0">
      <selection activeCell="G7" sqref="G7"/>
    </sheetView>
  </sheetViews>
  <sheetFormatPr defaultRowHeight="15" x14ac:dyDescent="0.25"/>
  <cols>
    <col min="1" max="1" width="12" bestFit="1" customWidth="1"/>
    <col min="4" max="4" width="17.85546875" bestFit="1" customWidth="1"/>
    <col min="5" max="5" width="12.42578125" bestFit="1" customWidth="1"/>
  </cols>
  <sheetData>
    <row r="1" spans="1:5" x14ac:dyDescent="0.25">
      <c r="A1" t="s">
        <v>150</v>
      </c>
      <c r="B1" t="s">
        <v>172</v>
      </c>
      <c r="D1" s="2" t="s">
        <v>179</v>
      </c>
      <c r="E1" s="2" t="s">
        <v>180</v>
      </c>
    </row>
    <row r="2" spans="1:5" x14ac:dyDescent="0.25">
      <c r="A2" s="1" t="s">
        <v>0</v>
      </c>
      <c r="B2" s="1" t="str">
        <f>_xlfn.CONCAT(LEFT(pesel__27[[#This Row],[pesle]],1),0)</f>
        <v>50</v>
      </c>
      <c r="D2" s="6" t="s">
        <v>174</v>
      </c>
      <c r="E2" s="7">
        <v>22</v>
      </c>
    </row>
    <row r="3" spans="1:5" x14ac:dyDescent="0.25">
      <c r="A3" s="1" t="s">
        <v>1</v>
      </c>
      <c r="B3" s="1" t="str">
        <f>_xlfn.CONCAT(LEFT(pesel__27[[#This Row],[pesle]],1),0)</f>
        <v>80</v>
      </c>
      <c r="D3" s="6" t="s">
        <v>176</v>
      </c>
      <c r="E3" s="7">
        <v>28</v>
      </c>
    </row>
    <row r="4" spans="1:5" x14ac:dyDescent="0.25">
      <c r="A4" s="1" t="s">
        <v>2</v>
      </c>
      <c r="B4" s="1" t="str">
        <f>_xlfn.CONCAT(LEFT(pesel__27[[#This Row],[pesle]],1),0)</f>
        <v>80</v>
      </c>
      <c r="D4" s="6" t="s">
        <v>177</v>
      </c>
      <c r="E4" s="7">
        <v>36</v>
      </c>
    </row>
    <row r="5" spans="1:5" x14ac:dyDescent="0.25">
      <c r="A5" s="1" t="s">
        <v>3</v>
      </c>
      <c r="B5" s="1" t="str">
        <f>_xlfn.CONCAT(LEFT(pesel__27[[#This Row],[pesle]],1),0)</f>
        <v>80</v>
      </c>
      <c r="D5" s="6" t="s">
        <v>175</v>
      </c>
      <c r="E5" s="7">
        <v>58</v>
      </c>
    </row>
    <row r="6" spans="1:5" x14ac:dyDescent="0.25">
      <c r="A6" s="1" t="s">
        <v>4</v>
      </c>
      <c r="B6" s="1" t="str">
        <f>_xlfn.CONCAT(LEFT(pesel__27[[#This Row],[pesle]],1),0)</f>
        <v>80</v>
      </c>
      <c r="D6" s="6" t="s">
        <v>178</v>
      </c>
      <c r="E6" s="7">
        <v>6</v>
      </c>
    </row>
    <row r="7" spans="1:5" x14ac:dyDescent="0.25">
      <c r="A7" s="1" t="s">
        <v>5</v>
      </c>
      <c r="B7" s="1" t="str">
        <f>_xlfn.CONCAT(LEFT(pesel__27[[#This Row],[pesle]],1),0)</f>
        <v>60</v>
      </c>
      <c r="D7" s="5" t="s">
        <v>173</v>
      </c>
      <c r="E7" s="1">
        <v>150</v>
      </c>
    </row>
    <row r="8" spans="1:5" x14ac:dyDescent="0.25">
      <c r="A8" s="1" t="s">
        <v>6</v>
      </c>
      <c r="B8" s="1" t="str">
        <f>_xlfn.CONCAT(LEFT(pesel__27[[#This Row],[pesle]],1),0)</f>
        <v>60</v>
      </c>
    </row>
    <row r="9" spans="1:5" x14ac:dyDescent="0.25">
      <c r="A9" s="1" t="s">
        <v>7</v>
      </c>
      <c r="B9" s="1" t="str">
        <f>_xlfn.CONCAT(LEFT(pesel__27[[#This Row],[pesle]],1),0)</f>
        <v>60</v>
      </c>
    </row>
    <row r="10" spans="1:5" x14ac:dyDescent="0.25">
      <c r="A10" s="1" t="s">
        <v>8</v>
      </c>
      <c r="B10" s="1" t="str">
        <f>_xlfn.CONCAT(LEFT(pesel__27[[#This Row],[pesle]],1),0)</f>
        <v>80</v>
      </c>
    </row>
    <row r="11" spans="1:5" x14ac:dyDescent="0.25">
      <c r="A11" s="1" t="s">
        <v>9</v>
      </c>
      <c r="B11" s="1" t="str">
        <f>_xlfn.CONCAT(LEFT(pesel__27[[#This Row],[pesle]],1),0)</f>
        <v>70</v>
      </c>
    </row>
    <row r="12" spans="1:5" x14ac:dyDescent="0.25">
      <c r="A12" s="1" t="s">
        <v>10</v>
      </c>
      <c r="B12" s="1" t="str">
        <f>_xlfn.CONCAT(LEFT(pesel__27[[#This Row],[pesle]],1),0)</f>
        <v>70</v>
      </c>
    </row>
    <row r="13" spans="1:5" x14ac:dyDescent="0.25">
      <c r="A13" s="1" t="s">
        <v>11</v>
      </c>
      <c r="B13" s="1" t="str">
        <f>_xlfn.CONCAT(LEFT(pesel__27[[#This Row],[pesle]],1),0)</f>
        <v>60</v>
      </c>
    </row>
    <row r="14" spans="1:5" x14ac:dyDescent="0.25">
      <c r="A14" s="1" t="s">
        <v>12</v>
      </c>
      <c r="B14" s="1" t="str">
        <f>_xlfn.CONCAT(LEFT(pesel__27[[#This Row],[pesle]],1),0)</f>
        <v>80</v>
      </c>
    </row>
    <row r="15" spans="1:5" x14ac:dyDescent="0.25">
      <c r="A15" s="1" t="s">
        <v>13</v>
      </c>
      <c r="B15" s="1" t="str">
        <f>_xlfn.CONCAT(LEFT(pesel__27[[#This Row],[pesle]],1),0)</f>
        <v>50</v>
      </c>
    </row>
    <row r="16" spans="1:5" x14ac:dyDescent="0.25">
      <c r="A16" s="1" t="s">
        <v>14</v>
      </c>
      <c r="B16" s="1" t="str">
        <f>_xlfn.CONCAT(LEFT(pesel__27[[#This Row],[pesle]],1),0)</f>
        <v>90</v>
      </c>
    </row>
    <row r="17" spans="1:2" x14ac:dyDescent="0.25">
      <c r="A17" s="1" t="s">
        <v>15</v>
      </c>
      <c r="B17" s="1" t="str">
        <f>_xlfn.CONCAT(LEFT(pesel__27[[#This Row],[pesle]],1),0)</f>
        <v>70</v>
      </c>
    </row>
    <row r="18" spans="1:2" x14ac:dyDescent="0.25">
      <c r="A18" s="1" t="s">
        <v>16</v>
      </c>
      <c r="B18" s="1" t="str">
        <f>_xlfn.CONCAT(LEFT(pesel__27[[#This Row],[pesle]],1),0)</f>
        <v>50</v>
      </c>
    </row>
    <row r="19" spans="1:2" x14ac:dyDescent="0.25">
      <c r="A19" s="1" t="s">
        <v>17</v>
      </c>
      <c r="B19" s="1" t="str">
        <f>_xlfn.CONCAT(LEFT(pesel__27[[#This Row],[pesle]],1),0)</f>
        <v>60</v>
      </c>
    </row>
    <row r="20" spans="1:2" x14ac:dyDescent="0.25">
      <c r="A20" s="1" t="s">
        <v>18</v>
      </c>
      <c r="B20" s="1" t="str">
        <f>_xlfn.CONCAT(LEFT(pesel__27[[#This Row],[pesle]],1),0)</f>
        <v>70</v>
      </c>
    </row>
    <row r="21" spans="1:2" x14ac:dyDescent="0.25">
      <c r="A21" s="1" t="s">
        <v>19</v>
      </c>
      <c r="B21" s="1" t="str">
        <f>_xlfn.CONCAT(LEFT(pesel__27[[#This Row],[pesle]],1),0)</f>
        <v>90</v>
      </c>
    </row>
    <row r="22" spans="1:2" x14ac:dyDescent="0.25">
      <c r="A22" s="1" t="s">
        <v>20</v>
      </c>
      <c r="B22" s="1" t="str">
        <f>_xlfn.CONCAT(LEFT(pesel__27[[#This Row],[pesle]],1),0)</f>
        <v>80</v>
      </c>
    </row>
    <row r="23" spans="1:2" x14ac:dyDescent="0.25">
      <c r="A23" s="1" t="s">
        <v>21</v>
      </c>
      <c r="B23" s="1" t="str">
        <f>_xlfn.CONCAT(LEFT(pesel__27[[#This Row],[pesle]],1),0)</f>
        <v>80</v>
      </c>
    </row>
    <row r="24" spans="1:2" x14ac:dyDescent="0.25">
      <c r="A24" s="1" t="s">
        <v>22</v>
      </c>
      <c r="B24" s="1" t="str">
        <f>_xlfn.CONCAT(LEFT(pesel__27[[#This Row],[pesle]],1),0)</f>
        <v>70</v>
      </c>
    </row>
    <row r="25" spans="1:2" x14ac:dyDescent="0.25">
      <c r="A25" s="1" t="s">
        <v>23</v>
      </c>
      <c r="B25" s="1" t="str">
        <f>_xlfn.CONCAT(LEFT(pesel__27[[#This Row],[pesle]],1),0)</f>
        <v>70</v>
      </c>
    </row>
    <row r="26" spans="1:2" x14ac:dyDescent="0.25">
      <c r="A26" s="1" t="s">
        <v>24</v>
      </c>
      <c r="B26" s="1" t="str">
        <f>_xlfn.CONCAT(LEFT(pesel__27[[#This Row],[pesle]],1),0)</f>
        <v>70</v>
      </c>
    </row>
    <row r="27" spans="1:2" x14ac:dyDescent="0.25">
      <c r="A27" s="1" t="s">
        <v>25</v>
      </c>
      <c r="B27" s="1" t="str">
        <f>_xlfn.CONCAT(LEFT(pesel__27[[#This Row],[pesle]],1),0)</f>
        <v>80</v>
      </c>
    </row>
    <row r="28" spans="1:2" x14ac:dyDescent="0.25">
      <c r="A28" s="1" t="s">
        <v>26</v>
      </c>
      <c r="B28" s="1" t="str">
        <f>_xlfn.CONCAT(LEFT(pesel__27[[#This Row],[pesle]],1),0)</f>
        <v>70</v>
      </c>
    </row>
    <row r="29" spans="1:2" x14ac:dyDescent="0.25">
      <c r="A29" s="1" t="s">
        <v>27</v>
      </c>
      <c r="B29" s="1" t="str">
        <f>_xlfn.CONCAT(LEFT(pesel__27[[#This Row],[pesle]],1),0)</f>
        <v>80</v>
      </c>
    </row>
    <row r="30" spans="1:2" x14ac:dyDescent="0.25">
      <c r="A30" s="1" t="s">
        <v>28</v>
      </c>
      <c r="B30" s="1" t="str">
        <f>_xlfn.CONCAT(LEFT(pesel__27[[#This Row],[pesle]],1),0)</f>
        <v>60</v>
      </c>
    </row>
    <row r="31" spans="1:2" x14ac:dyDescent="0.25">
      <c r="A31" s="1" t="s">
        <v>29</v>
      </c>
      <c r="B31" s="1" t="str">
        <f>_xlfn.CONCAT(LEFT(pesel__27[[#This Row],[pesle]],1),0)</f>
        <v>60</v>
      </c>
    </row>
    <row r="32" spans="1:2" x14ac:dyDescent="0.25">
      <c r="A32" s="1" t="s">
        <v>30</v>
      </c>
      <c r="B32" s="1" t="str">
        <f>_xlfn.CONCAT(LEFT(pesel__27[[#This Row],[pesle]],1),0)</f>
        <v>60</v>
      </c>
    </row>
    <row r="33" spans="1:2" x14ac:dyDescent="0.25">
      <c r="A33" s="1" t="s">
        <v>31</v>
      </c>
      <c r="B33" s="1" t="str">
        <f>_xlfn.CONCAT(LEFT(pesel__27[[#This Row],[pesle]],1),0)</f>
        <v>80</v>
      </c>
    </row>
    <row r="34" spans="1:2" x14ac:dyDescent="0.25">
      <c r="A34" s="1" t="s">
        <v>32</v>
      </c>
      <c r="B34" s="1" t="str">
        <f>_xlfn.CONCAT(LEFT(pesel__27[[#This Row],[pesle]],1),0)</f>
        <v>70</v>
      </c>
    </row>
    <row r="35" spans="1:2" x14ac:dyDescent="0.25">
      <c r="A35" s="1" t="s">
        <v>33</v>
      </c>
      <c r="B35" s="1" t="str">
        <f>_xlfn.CONCAT(LEFT(pesel__27[[#This Row],[pesle]],1),0)</f>
        <v>80</v>
      </c>
    </row>
    <row r="36" spans="1:2" x14ac:dyDescent="0.25">
      <c r="A36" s="1" t="s">
        <v>34</v>
      </c>
      <c r="B36" s="1" t="str">
        <f>_xlfn.CONCAT(LEFT(pesel__27[[#This Row],[pesle]],1),0)</f>
        <v>70</v>
      </c>
    </row>
    <row r="37" spans="1:2" x14ac:dyDescent="0.25">
      <c r="A37" s="1" t="s">
        <v>35</v>
      </c>
      <c r="B37" s="1" t="str">
        <f>_xlfn.CONCAT(LEFT(pesel__27[[#This Row],[pesle]],1),0)</f>
        <v>80</v>
      </c>
    </row>
    <row r="38" spans="1:2" x14ac:dyDescent="0.25">
      <c r="A38" s="1" t="s">
        <v>36</v>
      </c>
      <c r="B38" s="1" t="str">
        <f>_xlfn.CONCAT(LEFT(pesel__27[[#This Row],[pesle]],1),0)</f>
        <v>60</v>
      </c>
    </row>
    <row r="39" spans="1:2" x14ac:dyDescent="0.25">
      <c r="A39" s="1" t="s">
        <v>37</v>
      </c>
      <c r="B39" s="1" t="str">
        <f>_xlfn.CONCAT(LEFT(pesel__27[[#This Row],[pesle]],1),0)</f>
        <v>50</v>
      </c>
    </row>
    <row r="40" spans="1:2" x14ac:dyDescent="0.25">
      <c r="A40" s="1" t="s">
        <v>38</v>
      </c>
      <c r="B40" s="1" t="str">
        <f>_xlfn.CONCAT(LEFT(pesel__27[[#This Row],[pesle]],1),0)</f>
        <v>70</v>
      </c>
    </row>
    <row r="41" spans="1:2" x14ac:dyDescent="0.25">
      <c r="A41" s="1" t="s">
        <v>39</v>
      </c>
      <c r="B41" s="1" t="str">
        <f>_xlfn.CONCAT(LEFT(pesel__27[[#This Row],[pesle]],1),0)</f>
        <v>80</v>
      </c>
    </row>
    <row r="42" spans="1:2" x14ac:dyDescent="0.25">
      <c r="A42" s="1" t="s">
        <v>40</v>
      </c>
      <c r="B42" s="1" t="str">
        <f>_xlfn.CONCAT(LEFT(pesel__27[[#This Row],[pesle]],1),0)</f>
        <v>70</v>
      </c>
    </row>
    <row r="43" spans="1:2" x14ac:dyDescent="0.25">
      <c r="A43" s="1" t="s">
        <v>41</v>
      </c>
      <c r="B43" s="1" t="str">
        <f>_xlfn.CONCAT(LEFT(pesel__27[[#This Row],[pesle]],1),0)</f>
        <v>60</v>
      </c>
    </row>
    <row r="44" spans="1:2" x14ac:dyDescent="0.25">
      <c r="A44" s="1" t="s">
        <v>42</v>
      </c>
      <c r="B44" s="1" t="str">
        <f>_xlfn.CONCAT(LEFT(pesel__27[[#This Row],[pesle]],1),0)</f>
        <v>60</v>
      </c>
    </row>
    <row r="45" spans="1:2" x14ac:dyDescent="0.25">
      <c r="A45" s="1" t="s">
        <v>43</v>
      </c>
      <c r="B45" s="1" t="str">
        <f>_xlfn.CONCAT(LEFT(pesel__27[[#This Row],[pesle]],1),0)</f>
        <v>60</v>
      </c>
    </row>
    <row r="46" spans="1:2" x14ac:dyDescent="0.25">
      <c r="A46" s="1" t="s">
        <v>44</v>
      </c>
      <c r="B46" s="1" t="str">
        <f>_xlfn.CONCAT(LEFT(pesel__27[[#This Row],[pesle]],1),0)</f>
        <v>70</v>
      </c>
    </row>
    <row r="47" spans="1:2" x14ac:dyDescent="0.25">
      <c r="A47" s="1" t="s">
        <v>45</v>
      </c>
      <c r="B47" s="1" t="str">
        <f>_xlfn.CONCAT(LEFT(pesel__27[[#This Row],[pesle]],1),0)</f>
        <v>70</v>
      </c>
    </row>
    <row r="48" spans="1:2" x14ac:dyDescent="0.25">
      <c r="A48" s="1" t="s">
        <v>46</v>
      </c>
      <c r="B48" s="1" t="str">
        <f>_xlfn.CONCAT(LEFT(pesel__27[[#This Row],[pesle]],1),0)</f>
        <v>70</v>
      </c>
    </row>
    <row r="49" spans="1:2" x14ac:dyDescent="0.25">
      <c r="A49" s="1" t="s">
        <v>47</v>
      </c>
      <c r="B49" s="1" t="str">
        <f>_xlfn.CONCAT(LEFT(pesel__27[[#This Row],[pesle]],1),0)</f>
        <v>70</v>
      </c>
    </row>
    <row r="50" spans="1:2" x14ac:dyDescent="0.25">
      <c r="A50" s="1" t="s">
        <v>48</v>
      </c>
      <c r="B50" s="1" t="str">
        <f>_xlfn.CONCAT(LEFT(pesel__27[[#This Row],[pesle]],1),0)</f>
        <v>70</v>
      </c>
    </row>
    <row r="51" spans="1:2" x14ac:dyDescent="0.25">
      <c r="A51" s="1" t="s">
        <v>49</v>
      </c>
      <c r="B51" s="1" t="str">
        <f>_xlfn.CONCAT(LEFT(pesel__27[[#This Row],[pesle]],1),0)</f>
        <v>80</v>
      </c>
    </row>
    <row r="52" spans="1:2" x14ac:dyDescent="0.25">
      <c r="A52" s="1" t="s">
        <v>50</v>
      </c>
      <c r="B52" s="1" t="str">
        <f>_xlfn.CONCAT(LEFT(pesel__27[[#This Row],[pesle]],1),0)</f>
        <v>80</v>
      </c>
    </row>
    <row r="53" spans="1:2" x14ac:dyDescent="0.25">
      <c r="A53" s="1" t="s">
        <v>51</v>
      </c>
      <c r="B53" s="1" t="str">
        <f>_xlfn.CONCAT(LEFT(pesel__27[[#This Row],[pesle]],1),0)</f>
        <v>60</v>
      </c>
    </row>
    <row r="54" spans="1:2" x14ac:dyDescent="0.25">
      <c r="A54" s="1" t="s">
        <v>52</v>
      </c>
      <c r="B54" s="1" t="str">
        <f>_xlfn.CONCAT(LEFT(pesel__27[[#This Row],[pesle]],1),0)</f>
        <v>90</v>
      </c>
    </row>
    <row r="55" spans="1:2" x14ac:dyDescent="0.25">
      <c r="A55" s="1" t="s">
        <v>53</v>
      </c>
      <c r="B55" s="1" t="str">
        <f>_xlfn.CONCAT(LEFT(pesel__27[[#This Row],[pesle]],1),0)</f>
        <v>50</v>
      </c>
    </row>
    <row r="56" spans="1:2" x14ac:dyDescent="0.25">
      <c r="A56" s="1" t="s">
        <v>54</v>
      </c>
      <c r="B56" s="1" t="str">
        <f>_xlfn.CONCAT(LEFT(pesel__27[[#This Row],[pesle]],1),0)</f>
        <v>60</v>
      </c>
    </row>
    <row r="57" spans="1:2" x14ac:dyDescent="0.25">
      <c r="A57" s="1" t="s">
        <v>55</v>
      </c>
      <c r="B57" s="1" t="str">
        <f>_xlfn.CONCAT(LEFT(pesel__27[[#This Row],[pesle]],1),0)</f>
        <v>80</v>
      </c>
    </row>
    <row r="58" spans="1:2" x14ac:dyDescent="0.25">
      <c r="A58" s="1" t="s">
        <v>56</v>
      </c>
      <c r="B58" s="1" t="str">
        <f>_xlfn.CONCAT(LEFT(pesel__27[[#This Row],[pesle]],1),0)</f>
        <v>60</v>
      </c>
    </row>
    <row r="59" spans="1:2" x14ac:dyDescent="0.25">
      <c r="A59" s="1" t="s">
        <v>57</v>
      </c>
      <c r="B59" s="1" t="str">
        <f>_xlfn.CONCAT(LEFT(pesel__27[[#This Row],[pesle]],1),0)</f>
        <v>70</v>
      </c>
    </row>
    <row r="60" spans="1:2" x14ac:dyDescent="0.25">
      <c r="A60" s="1" t="s">
        <v>58</v>
      </c>
      <c r="B60" s="1" t="str">
        <f>_xlfn.CONCAT(LEFT(pesel__27[[#This Row],[pesle]],1),0)</f>
        <v>80</v>
      </c>
    </row>
    <row r="61" spans="1:2" x14ac:dyDescent="0.25">
      <c r="A61" s="1" t="s">
        <v>59</v>
      </c>
      <c r="B61" s="1" t="str">
        <f>_xlfn.CONCAT(LEFT(pesel__27[[#This Row],[pesle]],1),0)</f>
        <v>90</v>
      </c>
    </row>
    <row r="62" spans="1:2" x14ac:dyDescent="0.25">
      <c r="A62" s="1" t="s">
        <v>60</v>
      </c>
      <c r="B62" s="1" t="str">
        <f>_xlfn.CONCAT(LEFT(pesel__27[[#This Row],[pesle]],1),0)</f>
        <v>70</v>
      </c>
    </row>
    <row r="63" spans="1:2" x14ac:dyDescent="0.25">
      <c r="A63" s="1" t="s">
        <v>61</v>
      </c>
      <c r="B63" s="1" t="str">
        <f>_xlfn.CONCAT(LEFT(pesel__27[[#This Row],[pesle]],1),0)</f>
        <v>70</v>
      </c>
    </row>
    <row r="64" spans="1:2" x14ac:dyDescent="0.25">
      <c r="A64" s="1" t="s">
        <v>62</v>
      </c>
      <c r="B64" s="1" t="str">
        <f>_xlfn.CONCAT(LEFT(pesel__27[[#This Row],[pesle]],1),0)</f>
        <v>80</v>
      </c>
    </row>
    <row r="65" spans="1:2" x14ac:dyDescent="0.25">
      <c r="A65" s="1" t="s">
        <v>63</v>
      </c>
      <c r="B65" s="1" t="str">
        <f>_xlfn.CONCAT(LEFT(pesel__27[[#This Row],[pesle]],1),0)</f>
        <v>80</v>
      </c>
    </row>
    <row r="66" spans="1:2" x14ac:dyDescent="0.25">
      <c r="A66" s="1" t="s">
        <v>64</v>
      </c>
      <c r="B66" s="1" t="str">
        <f>_xlfn.CONCAT(LEFT(pesel__27[[#This Row],[pesle]],1),0)</f>
        <v>50</v>
      </c>
    </row>
    <row r="67" spans="1:2" x14ac:dyDescent="0.25">
      <c r="A67" s="1" t="s">
        <v>65</v>
      </c>
      <c r="B67" s="1" t="str">
        <f>_xlfn.CONCAT(LEFT(pesel__27[[#This Row],[pesle]],1),0)</f>
        <v>80</v>
      </c>
    </row>
    <row r="68" spans="1:2" x14ac:dyDescent="0.25">
      <c r="A68" s="1" t="s">
        <v>66</v>
      </c>
      <c r="B68" s="1" t="str">
        <f>_xlfn.CONCAT(LEFT(pesel__27[[#This Row],[pesle]],1),0)</f>
        <v>80</v>
      </c>
    </row>
    <row r="69" spans="1:2" x14ac:dyDescent="0.25">
      <c r="A69" s="1" t="s">
        <v>67</v>
      </c>
      <c r="B69" s="1" t="str">
        <f>_xlfn.CONCAT(LEFT(pesel__27[[#This Row],[pesle]],1),0)</f>
        <v>50</v>
      </c>
    </row>
    <row r="70" spans="1:2" x14ac:dyDescent="0.25">
      <c r="A70" s="1" t="s">
        <v>68</v>
      </c>
      <c r="B70" s="1" t="str">
        <f>_xlfn.CONCAT(LEFT(pesel__27[[#This Row],[pesle]],1),0)</f>
        <v>60</v>
      </c>
    </row>
    <row r="71" spans="1:2" x14ac:dyDescent="0.25">
      <c r="A71" s="1" t="s">
        <v>69</v>
      </c>
      <c r="B71" s="1" t="str">
        <f>_xlfn.CONCAT(LEFT(pesel__27[[#This Row],[pesle]],1),0)</f>
        <v>60</v>
      </c>
    </row>
    <row r="72" spans="1:2" x14ac:dyDescent="0.25">
      <c r="A72" s="1" t="s">
        <v>70</v>
      </c>
      <c r="B72" s="1" t="str">
        <f>_xlfn.CONCAT(LEFT(pesel__27[[#This Row],[pesle]],1),0)</f>
        <v>80</v>
      </c>
    </row>
    <row r="73" spans="1:2" x14ac:dyDescent="0.25">
      <c r="A73" s="1" t="s">
        <v>71</v>
      </c>
      <c r="B73" s="1" t="str">
        <f>_xlfn.CONCAT(LEFT(pesel__27[[#This Row],[pesle]],1),0)</f>
        <v>70</v>
      </c>
    </row>
    <row r="74" spans="1:2" x14ac:dyDescent="0.25">
      <c r="A74" s="1" t="s">
        <v>72</v>
      </c>
      <c r="B74" s="1" t="str">
        <f>_xlfn.CONCAT(LEFT(pesel__27[[#This Row],[pesle]],1),0)</f>
        <v>70</v>
      </c>
    </row>
    <row r="75" spans="1:2" x14ac:dyDescent="0.25">
      <c r="A75" s="1" t="s">
        <v>73</v>
      </c>
      <c r="B75" s="1" t="str">
        <f>_xlfn.CONCAT(LEFT(pesel__27[[#This Row],[pesle]],1),0)</f>
        <v>70</v>
      </c>
    </row>
    <row r="76" spans="1:2" x14ac:dyDescent="0.25">
      <c r="A76" s="1" t="s">
        <v>74</v>
      </c>
      <c r="B76" s="1" t="str">
        <f>_xlfn.CONCAT(LEFT(pesel__27[[#This Row],[pesle]],1),0)</f>
        <v>60</v>
      </c>
    </row>
    <row r="77" spans="1:2" x14ac:dyDescent="0.25">
      <c r="A77" s="1" t="s">
        <v>75</v>
      </c>
      <c r="B77" s="1" t="str">
        <f>_xlfn.CONCAT(LEFT(pesel__27[[#This Row],[pesle]],1),0)</f>
        <v>70</v>
      </c>
    </row>
    <row r="78" spans="1:2" x14ac:dyDescent="0.25">
      <c r="A78" s="1" t="s">
        <v>76</v>
      </c>
      <c r="B78" s="1" t="str">
        <f>_xlfn.CONCAT(LEFT(pesel__27[[#This Row],[pesle]],1),0)</f>
        <v>80</v>
      </c>
    </row>
    <row r="79" spans="1:2" x14ac:dyDescent="0.25">
      <c r="A79" s="1" t="s">
        <v>77</v>
      </c>
      <c r="B79" s="1" t="str">
        <f>_xlfn.CONCAT(LEFT(pesel__27[[#This Row],[pesle]],1),0)</f>
        <v>80</v>
      </c>
    </row>
    <row r="80" spans="1:2" x14ac:dyDescent="0.25">
      <c r="A80" s="1" t="s">
        <v>78</v>
      </c>
      <c r="B80" s="1" t="str">
        <f>_xlfn.CONCAT(LEFT(pesel__27[[#This Row],[pesle]],1),0)</f>
        <v>80</v>
      </c>
    </row>
    <row r="81" spans="1:2" x14ac:dyDescent="0.25">
      <c r="A81" s="1" t="s">
        <v>79</v>
      </c>
      <c r="B81" s="1" t="str">
        <f>_xlfn.CONCAT(LEFT(pesel__27[[#This Row],[pesle]],1),0)</f>
        <v>50</v>
      </c>
    </row>
    <row r="82" spans="1:2" x14ac:dyDescent="0.25">
      <c r="A82" s="1" t="s">
        <v>80</v>
      </c>
      <c r="B82" s="1" t="str">
        <f>_xlfn.CONCAT(LEFT(pesel__27[[#This Row],[pesle]],1),0)</f>
        <v>60</v>
      </c>
    </row>
    <row r="83" spans="1:2" x14ac:dyDescent="0.25">
      <c r="A83" s="1" t="s">
        <v>81</v>
      </c>
      <c r="B83" s="1" t="str">
        <f>_xlfn.CONCAT(LEFT(pesel__27[[#This Row],[pesle]],1),0)</f>
        <v>80</v>
      </c>
    </row>
    <row r="84" spans="1:2" x14ac:dyDescent="0.25">
      <c r="A84" s="1" t="s">
        <v>82</v>
      </c>
      <c r="B84" s="1" t="str">
        <f>_xlfn.CONCAT(LEFT(pesel__27[[#This Row],[pesle]],1),0)</f>
        <v>80</v>
      </c>
    </row>
    <row r="85" spans="1:2" x14ac:dyDescent="0.25">
      <c r="A85" s="1" t="s">
        <v>83</v>
      </c>
      <c r="B85" s="1" t="str">
        <f>_xlfn.CONCAT(LEFT(pesel__27[[#This Row],[pesle]],1),0)</f>
        <v>60</v>
      </c>
    </row>
    <row r="86" spans="1:2" x14ac:dyDescent="0.25">
      <c r="A86" s="1" t="s">
        <v>84</v>
      </c>
      <c r="B86" s="1" t="str">
        <f>_xlfn.CONCAT(LEFT(pesel__27[[#This Row],[pesle]],1),0)</f>
        <v>50</v>
      </c>
    </row>
    <row r="87" spans="1:2" x14ac:dyDescent="0.25">
      <c r="A87" s="1" t="s">
        <v>85</v>
      </c>
      <c r="B87" s="1" t="str">
        <f>_xlfn.CONCAT(LEFT(pesel__27[[#This Row],[pesle]],1),0)</f>
        <v>80</v>
      </c>
    </row>
    <row r="88" spans="1:2" x14ac:dyDescent="0.25">
      <c r="A88" s="1" t="s">
        <v>86</v>
      </c>
      <c r="B88" s="1" t="str">
        <f>_xlfn.CONCAT(LEFT(pesel__27[[#This Row],[pesle]],1),0)</f>
        <v>80</v>
      </c>
    </row>
    <row r="89" spans="1:2" x14ac:dyDescent="0.25">
      <c r="A89" s="1" t="s">
        <v>87</v>
      </c>
      <c r="B89" s="1" t="str">
        <f>_xlfn.CONCAT(LEFT(pesel__27[[#This Row],[pesle]],1),0)</f>
        <v>50</v>
      </c>
    </row>
    <row r="90" spans="1:2" x14ac:dyDescent="0.25">
      <c r="A90" s="1" t="s">
        <v>88</v>
      </c>
      <c r="B90" s="1" t="str">
        <f>_xlfn.CONCAT(LEFT(pesel__27[[#This Row],[pesle]],1),0)</f>
        <v>90</v>
      </c>
    </row>
    <row r="91" spans="1:2" x14ac:dyDescent="0.25">
      <c r="A91" s="1" t="s">
        <v>89</v>
      </c>
      <c r="B91" s="1" t="str">
        <f>_xlfn.CONCAT(LEFT(pesel__27[[#This Row],[pesle]],1),0)</f>
        <v>50</v>
      </c>
    </row>
    <row r="92" spans="1:2" x14ac:dyDescent="0.25">
      <c r="A92" s="1" t="s">
        <v>90</v>
      </c>
      <c r="B92" s="1" t="str">
        <f>_xlfn.CONCAT(LEFT(pesel__27[[#This Row],[pesle]],1),0)</f>
        <v>80</v>
      </c>
    </row>
    <row r="93" spans="1:2" x14ac:dyDescent="0.25">
      <c r="A93" s="1" t="s">
        <v>91</v>
      </c>
      <c r="B93" s="1" t="str">
        <f>_xlfn.CONCAT(LEFT(pesel__27[[#This Row],[pesle]],1),0)</f>
        <v>60</v>
      </c>
    </row>
    <row r="94" spans="1:2" x14ac:dyDescent="0.25">
      <c r="A94" s="1" t="s">
        <v>92</v>
      </c>
      <c r="B94" s="1" t="str">
        <f>_xlfn.CONCAT(LEFT(pesel__27[[#This Row],[pesle]],1),0)</f>
        <v>80</v>
      </c>
    </row>
    <row r="95" spans="1:2" x14ac:dyDescent="0.25">
      <c r="A95" s="1" t="s">
        <v>93</v>
      </c>
      <c r="B95" s="1" t="str">
        <f>_xlfn.CONCAT(LEFT(pesel__27[[#This Row],[pesle]],1),0)</f>
        <v>80</v>
      </c>
    </row>
    <row r="96" spans="1:2" x14ac:dyDescent="0.25">
      <c r="A96" s="1" t="s">
        <v>94</v>
      </c>
      <c r="B96" s="1" t="str">
        <f>_xlfn.CONCAT(LEFT(pesel__27[[#This Row],[pesle]],1),0)</f>
        <v>80</v>
      </c>
    </row>
    <row r="97" spans="1:2" x14ac:dyDescent="0.25">
      <c r="A97" s="1" t="s">
        <v>95</v>
      </c>
      <c r="B97" s="1" t="str">
        <f>_xlfn.CONCAT(LEFT(pesel__27[[#This Row],[pesle]],1),0)</f>
        <v>50</v>
      </c>
    </row>
    <row r="98" spans="1:2" x14ac:dyDescent="0.25">
      <c r="A98" s="1" t="s">
        <v>96</v>
      </c>
      <c r="B98" s="1" t="str">
        <f>_xlfn.CONCAT(LEFT(pesel__27[[#This Row],[pesle]],1),0)</f>
        <v>50</v>
      </c>
    </row>
    <row r="99" spans="1:2" x14ac:dyDescent="0.25">
      <c r="A99" s="1" t="s">
        <v>97</v>
      </c>
      <c r="B99" s="1" t="str">
        <f>_xlfn.CONCAT(LEFT(pesel__27[[#This Row],[pesle]],1),0)</f>
        <v>80</v>
      </c>
    </row>
    <row r="100" spans="1:2" x14ac:dyDescent="0.25">
      <c r="A100" s="1" t="s">
        <v>98</v>
      </c>
      <c r="B100" s="1" t="str">
        <f>_xlfn.CONCAT(LEFT(pesel__27[[#This Row],[pesle]],1),0)</f>
        <v>80</v>
      </c>
    </row>
    <row r="101" spans="1:2" x14ac:dyDescent="0.25">
      <c r="A101" s="1" t="s">
        <v>99</v>
      </c>
      <c r="B101" s="1" t="str">
        <f>_xlfn.CONCAT(LEFT(pesel__27[[#This Row],[pesle]],1),0)</f>
        <v>80</v>
      </c>
    </row>
    <row r="102" spans="1:2" x14ac:dyDescent="0.25">
      <c r="A102" s="1" t="s">
        <v>100</v>
      </c>
      <c r="B102" s="1" t="str">
        <f>_xlfn.CONCAT(LEFT(pesel__27[[#This Row],[pesle]],1),0)</f>
        <v>50</v>
      </c>
    </row>
    <row r="103" spans="1:2" x14ac:dyDescent="0.25">
      <c r="A103" s="1" t="s">
        <v>101</v>
      </c>
      <c r="B103" s="1" t="str">
        <f>_xlfn.CONCAT(LEFT(pesel__27[[#This Row],[pesle]],1),0)</f>
        <v>80</v>
      </c>
    </row>
    <row r="104" spans="1:2" x14ac:dyDescent="0.25">
      <c r="A104" s="1" t="s">
        <v>102</v>
      </c>
      <c r="B104" s="1" t="str">
        <f>_xlfn.CONCAT(LEFT(pesel__27[[#This Row],[pesle]],1),0)</f>
        <v>50</v>
      </c>
    </row>
    <row r="105" spans="1:2" x14ac:dyDescent="0.25">
      <c r="A105" s="1" t="s">
        <v>103</v>
      </c>
      <c r="B105" s="1" t="str">
        <f>_xlfn.CONCAT(LEFT(pesel__27[[#This Row],[pesle]],1),0)</f>
        <v>80</v>
      </c>
    </row>
    <row r="106" spans="1:2" x14ac:dyDescent="0.25">
      <c r="A106" s="1" t="s">
        <v>104</v>
      </c>
      <c r="B106" s="1" t="str">
        <f>_xlfn.CONCAT(LEFT(pesel__27[[#This Row],[pesle]],1),0)</f>
        <v>50</v>
      </c>
    </row>
    <row r="107" spans="1:2" x14ac:dyDescent="0.25">
      <c r="A107" s="1" t="s">
        <v>105</v>
      </c>
      <c r="B107" s="1" t="str">
        <f>_xlfn.CONCAT(LEFT(pesel__27[[#This Row],[pesle]],1),0)</f>
        <v>70</v>
      </c>
    </row>
    <row r="108" spans="1:2" x14ac:dyDescent="0.25">
      <c r="A108" s="1" t="s">
        <v>106</v>
      </c>
      <c r="B108" s="1" t="str">
        <f>_xlfn.CONCAT(LEFT(pesel__27[[#This Row],[pesle]],1),0)</f>
        <v>80</v>
      </c>
    </row>
    <row r="109" spans="1:2" x14ac:dyDescent="0.25">
      <c r="A109" s="1" t="s">
        <v>107</v>
      </c>
      <c r="B109" s="1" t="str">
        <f>_xlfn.CONCAT(LEFT(pesel__27[[#This Row],[pesle]],1),0)</f>
        <v>80</v>
      </c>
    </row>
    <row r="110" spans="1:2" x14ac:dyDescent="0.25">
      <c r="A110" s="1" t="s">
        <v>108</v>
      </c>
      <c r="B110" s="1" t="str">
        <f>_xlfn.CONCAT(LEFT(pesel__27[[#This Row],[pesle]],1),0)</f>
        <v>90</v>
      </c>
    </row>
    <row r="111" spans="1:2" x14ac:dyDescent="0.25">
      <c r="A111" s="1" t="s">
        <v>109</v>
      </c>
      <c r="B111" s="1" t="str">
        <f>_xlfn.CONCAT(LEFT(pesel__27[[#This Row],[pesle]],1),0)</f>
        <v>50</v>
      </c>
    </row>
    <row r="112" spans="1:2" x14ac:dyDescent="0.25">
      <c r="A112" s="1" t="s">
        <v>110</v>
      </c>
      <c r="B112" s="1" t="str">
        <f>_xlfn.CONCAT(LEFT(pesel__27[[#This Row],[pesle]],1),0)</f>
        <v>80</v>
      </c>
    </row>
    <row r="113" spans="1:2" x14ac:dyDescent="0.25">
      <c r="A113" s="1" t="s">
        <v>111</v>
      </c>
      <c r="B113" s="1" t="str">
        <f>_xlfn.CONCAT(LEFT(pesel__27[[#This Row],[pesle]],1),0)</f>
        <v>50</v>
      </c>
    </row>
    <row r="114" spans="1:2" x14ac:dyDescent="0.25">
      <c r="A114" s="1" t="s">
        <v>112</v>
      </c>
      <c r="B114" s="1" t="str">
        <f>_xlfn.CONCAT(LEFT(pesel__27[[#This Row],[pesle]],1),0)</f>
        <v>80</v>
      </c>
    </row>
    <row r="115" spans="1:2" x14ac:dyDescent="0.25">
      <c r="A115" s="1" t="s">
        <v>113</v>
      </c>
      <c r="B115" s="1" t="str">
        <f>_xlfn.CONCAT(LEFT(pesel__27[[#This Row],[pesle]],1),0)</f>
        <v>60</v>
      </c>
    </row>
    <row r="116" spans="1:2" x14ac:dyDescent="0.25">
      <c r="A116" s="1" t="s">
        <v>114</v>
      </c>
      <c r="B116" s="1" t="str">
        <f>_xlfn.CONCAT(LEFT(pesel__27[[#This Row],[pesle]],1),0)</f>
        <v>70</v>
      </c>
    </row>
    <row r="117" spans="1:2" x14ac:dyDescent="0.25">
      <c r="A117" s="1" t="s">
        <v>115</v>
      </c>
      <c r="B117" s="1" t="str">
        <f>_xlfn.CONCAT(LEFT(pesel__27[[#This Row],[pesle]],1),0)</f>
        <v>80</v>
      </c>
    </row>
    <row r="118" spans="1:2" x14ac:dyDescent="0.25">
      <c r="A118" s="1" t="s">
        <v>116</v>
      </c>
      <c r="B118" s="1" t="str">
        <f>_xlfn.CONCAT(LEFT(pesel__27[[#This Row],[pesle]],1),0)</f>
        <v>70</v>
      </c>
    </row>
    <row r="119" spans="1:2" x14ac:dyDescent="0.25">
      <c r="A119" s="1" t="s">
        <v>117</v>
      </c>
      <c r="B119" s="1" t="str">
        <f>_xlfn.CONCAT(LEFT(pesel__27[[#This Row],[pesle]],1),0)</f>
        <v>80</v>
      </c>
    </row>
    <row r="120" spans="1:2" x14ac:dyDescent="0.25">
      <c r="A120" s="1" t="s">
        <v>118</v>
      </c>
      <c r="B120" s="1" t="str">
        <f>_xlfn.CONCAT(LEFT(pesel__27[[#This Row],[pesle]],1),0)</f>
        <v>80</v>
      </c>
    </row>
    <row r="121" spans="1:2" x14ac:dyDescent="0.25">
      <c r="A121" s="1" t="s">
        <v>119</v>
      </c>
      <c r="B121" s="1" t="str">
        <f>_xlfn.CONCAT(LEFT(pesel__27[[#This Row],[pesle]],1),0)</f>
        <v>80</v>
      </c>
    </row>
    <row r="122" spans="1:2" x14ac:dyDescent="0.25">
      <c r="A122" s="1" t="s">
        <v>120</v>
      </c>
      <c r="B122" s="1" t="str">
        <f>_xlfn.CONCAT(LEFT(pesel__27[[#This Row],[pesle]],1),0)</f>
        <v>60</v>
      </c>
    </row>
    <row r="123" spans="1:2" x14ac:dyDescent="0.25">
      <c r="A123" s="1" t="s">
        <v>121</v>
      </c>
      <c r="B123" s="1" t="str">
        <f>_xlfn.CONCAT(LEFT(pesel__27[[#This Row],[pesle]],1),0)</f>
        <v>60</v>
      </c>
    </row>
    <row r="124" spans="1:2" x14ac:dyDescent="0.25">
      <c r="A124" s="1" t="s">
        <v>122</v>
      </c>
      <c r="B124" s="1" t="str">
        <f>_xlfn.CONCAT(LEFT(pesel__27[[#This Row],[pesle]],1),0)</f>
        <v>60</v>
      </c>
    </row>
    <row r="125" spans="1:2" x14ac:dyDescent="0.25">
      <c r="A125" s="1" t="s">
        <v>123</v>
      </c>
      <c r="B125" s="1" t="str">
        <f>_xlfn.CONCAT(LEFT(pesel__27[[#This Row],[pesle]],1),0)</f>
        <v>60</v>
      </c>
    </row>
    <row r="126" spans="1:2" x14ac:dyDescent="0.25">
      <c r="A126" s="1" t="s">
        <v>124</v>
      </c>
      <c r="B126" s="1" t="str">
        <f>_xlfn.CONCAT(LEFT(pesel__27[[#This Row],[pesle]],1),0)</f>
        <v>80</v>
      </c>
    </row>
    <row r="127" spans="1:2" x14ac:dyDescent="0.25">
      <c r="A127" s="1" t="s">
        <v>125</v>
      </c>
      <c r="B127" s="1" t="str">
        <f>_xlfn.CONCAT(LEFT(pesel__27[[#This Row],[pesle]],1),0)</f>
        <v>50</v>
      </c>
    </row>
    <row r="128" spans="1:2" x14ac:dyDescent="0.25">
      <c r="A128" s="1" t="s">
        <v>126</v>
      </c>
      <c r="B128" s="1" t="str">
        <f>_xlfn.CONCAT(LEFT(pesel__27[[#This Row],[pesle]],1),0)</f>
        <v>80</v>
      </c>
    </row>
    <row r="129" spans="1:2" x14ac:dyDescent="0.25">
      <c r="A129" s="1" t="s">
        <v>127</v>
      </c>
      <c r="B129" s="1" t="str">
        <f>_xlfn.CONCAT(LEFT(pesel__27[[#This Row],[pesle]],1),0)</f>
        <v>80</v>
      </c>
    </row>
    <row r="130" spans="1:2" x14ac:dyDescent="0.25">
      <c r="A130" s="1" t="s">
        <v>128</v>
      </c>
      <c r="B130" s="1" t="str">
        <f>_xlfn.CONCAT(LEFT(pesel__27[[#This Row],[pesle]],1),0)</f>
        <v>50</v>
      </c>
    </row>
    <row r="131" spans="1:2" x14ac:dyDescent="0.25">
      <c r="A131" s="1" t="s">
        <v>129</v>
      </c>
      <c r="B131" s="1" t="str">
        <f>_xlfn.CONCAT(LEFT(pesel__27[[#This Row],[pesle]],1),0)</f>
        <v>50</v>
      </c>
    </row>
    <row r="132" spans="1:2" x14ac:dyDescent="0.25">
      <c r="A132" s="1" t="s">
        <v>130</v>
      </c>
      <c r="B132" s="1" t="str">
        <f>_xlfn.CONCAT(LEFT(pesel__27[[#This Row],[pesle]],1),0)</f>
        <v>60</v>
      </c>
    </row>
    <row r="133" spans="1:2" x14ac:dyDescent="0.25">
      <c r="A133" s="1" t="s">
        <v>131</v>
      </c>
      <c r="B133" s="1" t="str">
        <f>_xlfn.CONCAT(LEFT(pesel__27[[#This Row],[pesle]],1),0)</f>
        <v>80</v>
      </c>
    </row>
    <row r="134" spans="1:2" x14ac:dyDescent="0.25">
      <c r="A134" s="1" t="s">
        <v>132</v>
      </c>
      <c r="B134" s="1" t="str">
        <f>_xlfn.CONCAT(LEFT(pesel__27[[#This Row],[pesle]],1),0)</f>
        <v>80</v>
      </c>
    </row>
    <row r="135" spans="1:2" x14ac:dyDescent="0.25">
      <c r="A135" s="1" t="s">
        <v>133</v>
      </c>
      <c r="B135" s="1" t="str">
        <f>_xlfn.CONCAT(LEFT(pesel__27[[#This Row],[pesle]],1),0)</f>
        <v>70</v>
      </c>
    </row>
    <row r="136" spans="1:2" x14ac:dyDescent="0.25">
      <c r="A136" s="1" t="s">
        <v>134</v>
      </c>
      <c r="B136" s="1" t="str">
        <f>_xlfn.CONCAT(LEFT(pesel__27[[#This Row],[pesle]],1),0)</f>
        <v>70</v>
      </c>
    </row>
    <row r="137" spans="1:2" x14ac:dyDescent="0.25">
      <c r="A137" s="1" t="s">
        <v>135</v>
      </c>
      <c r="B137" s="1" t="str">
        <f>_xlfn.CONCAT(LEFT(pesel__27[[#This Row],[pesle]],1),0)</f>
        <v>80</v>
      </c>
    </row>
    <row r="138" spans="1:2" x14ac:dyDescent="0.25">
      <c r="A138" s="1" t="s">
        <v>136</v>
      </c>
      <c r="B138" s="1" t="str">
        <f>_xlfn.CONCAT(LEFT(pesel__27[[#This Row],[pesle]],1),0)</f>
        <v>70</v>
      </c>
    </row>
    <row r="139" spans="1:2" x14ac:dyDescent="0.25">
      <c r="A139" s="1" t="s">
        <v>137</v>
      </c>
      <c r="B139" s="1" t="str">
        <f>_xlfn.CONCAT(LEFT(pesel__27[[#This Row],[pesle]],1),0)</f>
        <v>80</v>
      </c>
    </row>
    <row r="140" spans="1:2" x14ac:dyDescent="0.25">
      <c r="A140" s="1" t="s">
        <v>138</v>
      </c>
      <c r="B140" s="1" t="str">
        <f>_xlfn.CONCAT(LEFT(pesel__27[[#This Row],[pesle]],1),0)</f>
        <v>60</v>
      </c>
    </row>
    <row r="141" spans="1:2" x14ac:dyDescent="0.25">
      <c r="A141" s="1" t="s">
        <v>139</v>
      </c>
      <c r="B141" s="1" t="str">
        <f>_xlfn.CONCAT(LEFT(pesel__27[[#This Row],[pesle]],1),0)</f>
        <v>70</v>
      </c>
    </row>
    <row r="142" spans="1:2" x14ac:dyDescent="0.25">
      <c r="A142" s="1" t="s">
        <v>140</v>
      </c>
      <c r="B142" s="1" t="str">
        <f>_xlfn.CONCAT(LEFT(pesel__27[[#This Row],[pesle]],1),0)</f>
        <v>70</v>
      </c>
    </row>
    <row r="143" spans="1:2" x14ac:dyDescent="0.25">
      <c r="A143" s="1" t="s">
        <v>141</v>
      </c>
      <c r="B143" s="1" t="str">
        <f>_xlfn.CONCAT(LEFT(pesel__27[[#This Row],[pesle]],1),0)</f>
        <v>70</v>
      </c>
    </row>
    <row r="144" spans="1:2" x14ac:dyDescent="0.25">
      <c r="A144" s="1" t="s">
        <v>142</v>
      </c>
      <c r="B144" s="1" t="str">
        <f>_xlfn.CONCAT(LEFT(pesel__27[[#This Row],[pesle]],1),0)</f>
        <v>80</v>
      </c>
    </row>
    <row r="145" spans="1:2" x14ac:dyDescent="0.25">
      <c r="A145" s="1" t="s">
        <v>143</v>
      </c>
      <c r="B145" s="1" t="str">
        <f>_xlfn.CONCAT(LEFT(pesel__27[[#This Row],[pesle]],1),0)</f>
        <v>70</v>
      </c>
    </row>
    <row r="146" spans="1:2" x14ac:dyDescent="0.25">
      <c r="A146" s="1" t="s">
        <v>144</v>
      </c>
      <c r="B146" s="1" t="str">
        <f>_xlfn.CONCAT(LEFT(pesel__27[[#This Row],[pesle]],1),0)</f>
        <v>70</v>
      </c>
    </row>
    <row r="147" spans="1:2" x14ac:dyDescent="0.25">
      <c r="A147" s="1" t="s">
        <v>145</v>
      </c>
      <c r="B147" s="1" t="str">
        <f>_xlfn.CONCAT(LEFT(pesel__27[[#This Row],[pesle]],1),0)</f>
        <v>80</v>
      </c>
    </row>
    <row r="148" spans="1:2" x14ac:dyDescent="0.25">
      <c r="A148" s="1" t="s">
        <v>146</v>
      </c>
      <c r="B148" s="1" t="str">
        <f>_xlfn.CONCAT(LEFT(pesel__27[[#This Row],[pesle]],1),0)</f>
        <v>80</v>
      </c>
    </row>
    <row r="149" spans="1:2" x14ac:dyDescent="0.25">
      <c r="A149" s="1" t="s">
        <v>147</v>
      </c>
      <c r="B149" s="1" t="str">
        <f>_xlfn.CONCAT(LEFT(pesel__27[[#This Row],[pesle]],1),0)</f>
        <v>50</v>
      </c>
    </row>
    <row r="150" spans="1:2" x14ac:dyDescent="0.25">
      <c r="A150" s="1" t="s">
        <v>148</v>
      </c>
      <c r="B150" s="1" t="str">
        <f>_xlfn.CONCAT(LEFT(pesel__27[[#This Row],[pesle]],1),0)</f>
        <v>80</v>
      </c>
    </row>
    <row r="151" spans="1:2" x14ac:dyDescent="0.25">
      <c r="A151" s="1" t="s">
        <v>149</v>
      </c>
      <c r="B151" s="1" t="str">
        <f>_xlfn.CONCAT(LEFT(pesel__27[[#This Row],[pesle]],1),0)</f>
        <v>70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EE19-9ED1-4154-B9EE-704655F884FD}">
  <dimension ref="A1:A151"/>
  <sheetViews>
    <sheetView workbookViewId="0">
      <selection activeCell="A2" sqref="A2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150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6A2CF-D217-4A5A-A69A-5919F8ED26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a</vt:lpstr>
      <vt:lpstr>b</vt:lpstr>
      <vt:lpstr>c</vt:lpstr>
      <vt:lpstr>d</vt:lpstr>
      <vt:lpstr>e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2025-11-02T19:29:31Z</dcterms:modified>
</cp:coreProperties>
</file>