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2022PRczerwiec\"/>
    </mc:Choice>
  </mc:AlternateContent>
  <xr:revisionPtr revIDLastSave="0" documentId="13_ncr:1_{6BDB7EF8-025D-4807-88AC-A9D510D058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3" r:id="rId1"/>
    <sheet name="2" sheetId="4" r:id="rId2"/>
    <sheet name="3" sheetId="5" r:id="rId3"/>
    <sheet name="4" sheetId="6" r:id="rId4"/>
    <sheet name="dane" sheetId="2" r:id="rId5"/>
  </sheets>
  <definedNames>
    <definedName name="ExternalData_1" localSheetId="0" hidden="1">'1'!$A$1:$B$93</definedName>
    <definedName name="ExternalData_1" localSheetId="1" hidden="1">'2'!$A$1:$B$93</definedName>
    <definedName name="ExternalData_1" localSheetId="2" hidden="1">'3'!$A$1:$B$93</definedName>
    <definedName name="ExternalData_1" localSheetId="3" hidden="1">'4'!$A$1:$B$93</definedName>
    <definedName name="ExternalData_1" localSheetId="4" hidden="1">dane!$A$1:$B$93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3" l="1"/>
  <c r="F5" i="3"/>
  <c r="F6" i="3" s="1"/>
  <c r="F7" i="3" s="1"/>
  <c r="F8" i="3" s="1"/>
  <c r="F9" i="3" s="1"/>
  <c r="F10" i="3" s="1"/>
  <c r="F11" i="3" s="1"/>
  <c r="F12" i="3"/>
  <c r="F13" i="3"/>
  <c r="F14" i="3"/>
  <c r="F15" i="3"/>
  <c r="F16" i="3" s="1"/>
  <c r="F17" i="3" s="1"/>
  <c r="F18" i="3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/>
  <c r="F30" i="3" s="1"/>
  <c r="F31" i="3" s="1"/>
  <c r="F32" i="3" s="1"/>
  <c r="F33" i="3" s="1"/>
  <c r="F34" i="3" s="1"/>
  <c r="F35" i="3" s="1"/>
  <c r="F36" i="3" s="1"/>
  <c r="F37" i="3"/>
  <c r="F38" i="3" s="1"/>
  <c r="F39" i="3" s="1"/>
  <c r="F40" i="3"/>
  <c r="F41" i="3"/>
  <c r="F42" i="3" s="1"/>
  <c r="F43" i="3" s="1"/>
  <c r="F44" i="3" s="1"/>
  <c r="F45" i="3"/>
  <c r="F46" i="3"/>
  <c r="F47" i="3"/>
  <c r="F48" i="3"/>
  <c r="F49" i="3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/>
  <c r="F65" i="3"/>
  <c r="F66" i="3" s="1"/>
  <c r="F67" i="3"/>
  <c r="F68" i="3" s="1"/>
  <c r="F69" i="3" s="1"/>
  <c r="F70" i="3" s="1"/>
  <c r="F71" i="3"/>
  <c r="F72" i="3"/>
  <c r="F73" i="3"/>
  <c r="F74" i="3"/>
  <c r="F75" i="3"/>
  <c r="F76" i="3" s="1"/>
  <c r="F77" i="3"/>
  <c r="F78" i="3"/>
  <c r="F79" i="3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3" i="3"/>
  <c r="Q4" i="6"/>
  <c r="Q3" i="6"/>
  <c r="Q2" i="6"/>
  <c r="G2" i="5"/>
  <c r="E3" i="6"/>
  <c r="H3" i="6" s="1"/>
  <c r="E4" i="6"/>
  <c r="H4" i="6" s="1"/>
  <c r="E5" i="6"/>
  <c r="H5" i="6" s="1"/>
  <c r="E6" i="6"/>
  <c r="H6" i="6" s="1"/>
  <c r="E7" i="6"/>
  <c r="H7" i="6" s="1"/>
  <c r="E8" i="6"/>
  <c r="H8" i="6" s="1"/>
  <c r="E9" i="6"/>
  <c r="H9" i="6" s="1"/>
  <c r="E10" i="6"/>
  <c r="H10" i="6" s="1"/>
  <c r="E11" i="6"/>
  <c r="H11" i="6" s="1"/>
  <c r="E12" i="6"/>
  <c r="H12" i="6" s="1"/>
  <c r="E13" i="6"/>
  <c r="H13" i="6" s="1"/>
  <c r="E14" i="6"/>
  <c r="H14" i="6" s="1"/>
  <c r="E15" i="6"/>
  <c r="H15" i="6" s="1"/>
  <c r="E16" i="6"/>
  <c r="H16" i="6" s="1"/>
  <c r="E17" i="6"/>
  <c r="H17" i="6" s="1"/>
  <c r="E18" i="6"/>
  <c r="H18" i="6" s="1"/>
  <c r="E19" i="6"/>
  <c r="H19" i="6" s="1"/>
  <c r="E20" i="6"/>
  <c r="H20" i="6" s="1"/>
  <c r="E21" i="6"/>
  <c r="H21" i="6" s="1"/>
  <c r="E22" i="6"/>
  <c r="H22" i="6" s="1"/>
  <c r="E23" i="6"/>
  <c r="H23" i="6" s="1"/>
  <c r="E24" i="6"/>
  <c r="H24" i="6" s="1"/>
  <c r="E25" i="6"/>
  <c r="H25" i="6" s="1"/>
  <c r="E26" i="6"/>
  <c r="H26" i="6" s="1"/>
  <c r="E27" i="6"/>
  <c r="H27" i="6" s="1"/>
  <c r="E28" i="6"/>
  <c r="H28" i="6" s="1"/>
  <c r="E29" i="6"/>
  <c r="H29" i="6" s="1"/>
  <c r="E30" i="6"/>
  <c r="H30" i="6" s="1"/>
  <c r="E31" i="6"/>
  <c r="H31" i="6" s="1"/>
  <c r="E2" i="6"/>
  <c r="H2" i="6" s="1"/>
  <c r="D3" i="6"/>
  <c r="G3" i="6" s="1"/>
  <c r="D4" i="6"/>
  <c r="G4" i="6" s="1"/>
  <c r="D5" i="6"/>
  <c r="G5" i="6" s="1"/>
  <c r="D6" i="6"/>
  <c r="G6" i="6" s="1"/>
  <c r="D7" i="6"/>
  <c r="G7" i="6" s="1"/>
  <c r="D8" i="6"/>
  <c r="G8" i="6" s="1"/>
  <c r="D9" i="6"/>
  <c r="G9" i="6" s="1"/>
  <c r="D10" i="6"/>
  <c r="G10" i="6" s="1"/>
  <c r="D11" i="6"/>
  <c r="G11" i="6" s="1"/>
  <c r="D12" i="6"/>
  <c r="G12" i="6" s="1"/>
  <c r="D13" i="6"/>
  <c r="G13" i="6" s="1"/>
  <c r="D14" i="6"/>
  <c r="G14" i="6" s="1"/>
  <c r="D15" i="6"/>
  <c r="G15" i="6" s="1"/>
  <c r="D16" i="6"/>
  <c r="G16" i="6" s="1"/>
  <c r="D17" i="6"/>
  <c r="G17" i="6" s="1"/>
  <c r="D18" i="6"/>
  <c r="G18" i="6" s="1"/>
  <c r="D19" i="6"/>
  <c r="G19" i="6" s="1"/>
  <c r="D20" i="6"/>
  <c r="G20" i="6" s="1"/>
  <c r="D21" i="6"/>
  <c r="G21" i="6" s="1"/>
  <c r="D22" i="6"/>
  <c r="G22" i="6" s="1"/>
  <c r="D23" i="6"/>
  <c r="G23" i="6" s="1"/>
  <c r="D24" i="6"/>
  <c r="G24" i="6" s="1"/>
  <c r="D25" i="6"/>
  <c r="G25" i="6" s="1"/>
  <c r="D26" i="6"/>
  <c r="G26" i="6" s="1"/>
  <c r="D27" i="6"/>
  <c r="G27" i="6" s="1"/>
  <c r="D28" i="6"/>
  <c r="G28" i="6" s="1"/>
  <c r="D29" i="6"/>
  <c r="G29" i="6" s="1"/>
  <c r="D30" i="6"/>
  <c r="G30" i="6" s="1"/>
  <c r="D31" i="6"/>
  <c r="G31" i="6" s="1"/>
  <c r="C3" i="6"/>
  <c r="F3" i="6" s="1"/>
  <c r="C4" i="6"/>
  <c r="F4" i="6" s="1"/>
  <c r="C5" i="6"/>
  <c r="F5" i="6" s="1"/>
  <c r="C6" i="6"/>
  <c r="F6" i="6" s="1"/>
  <c r="C7" i="6"/>
  <c r="F7" i="6" s="1"/>
  <c r="I7" i="6" s="1"/>
  <c r="C8" i="6"/>
  <c r="F8" i="6" s="1"/>
  <c r="C9" i="6"/>
  <c r="F9" i="6" s="1"/>
  <c r="C10" i="6"/>
  <c r="F10" i="6" s="1"/>
  <c r="C11" i="6"/>
  <c r="F11" i="6" s="1"/>
  <c r="C12" i="6"/>
  <c r="F12" i="6" s="1"/>
  <c r="C13" i="6"/>
  <c r="F13" i="6" s="1"/>
  <c r="C14" i="6"/>
  <c r="F14" i="6" s="1"/>
  <c r="C15" i="6"/>
  <c r="F15" i="6" s="1"/>
  <c r="C16" i="6"/>
  <c r="F16" i="6" s="1"/>
  <c r="C17" i="6"/>
  <c r="F17" i="6" s="1"/>
  <c r="C18" i="6"/>
  <c r="F18" i="6" s="1"/>
  <c r="C19" i="6"/>
  <c r="F19" i="6" s="1"/>
  <c r="I19" i="6" s="1"/>
  <c r="C20" i="6"/>
  <c r="F20" i="6" s="1"/>
  <c r="C21" i="6"/>
  <c r="F21" i="6" s="1"/>
  <c r="C22" i="6"/>
  <c r="F22" i="6" s="1"/>
  <c r="C23" i="6"/>
  <c r="F23" i="6" s="1"/>
  <c r="C24" i="6"/>
  <c r="F24" i="6" s="1"/>
  <c r="C25" i="6"/>
  <c r="F25" i="6" s="1"/>
  <c r="C26" i="6"/>
  <c r="F26" i="6" s="1"/>
  <c r="C27" i="6"/>
  <c r="F27" i="6" s="1"/>
  <c r="C28" i="6"/>
  <c r="F28" i="6" s="1"/>
  <c r="C29" i="6"/>
  <c r="F29" i="6" s="1"/>
  <c r="C30" i="6"/>
  <c r="F30" i="6" s="1"/>
  <c r="C31" i="6"/>
  <c r="F31" i="6" s="1"/>
  <c r="I31" i="6" s="1"/>
  <c r="D2" i="6"/>
  <c r="G2" i="6" s="1"/>
  <c r="C2" i="6"/>
  <c r="F2" i="6" s="1"/>
  <c r="P4" i="6"/>
  <c r="P3" i="6"/>
  <c r="P2" i="6"/>
  <c r="H2" i="5"/>
  <c r="G86" i="5"/>
  <c r="F2" i="5"/>
  <c r="I2" i="5" s="1"/>
  <c r="J2" i="5" s="1"/>
  <c r="D90" i="5"/>
  <c r="G90" i="5" s="1"/>
  <c r="D86" i="5"/>
  <c r="D82" i="5"/>
  <c r="G82" i="5" s="1"/>
  <c r="D78" i="5"/>
  <c r="G78" i="5" s="1"/>
  <c r="D74" i="5"/>
  <c r="G74" i="5" s="1"/>
  <c r="D70" i="5"/>
  <c r="G70" i="5" s="1"/>
  <c r="D66" i="5"/>
  <c r="G66" i="5" s="1"/>
  <c r="D62" i="5"/>
  <c r="G62" i="5" s="1"/>
  <c r="D58" i="5"/>
  <c r="G58" i="5" s="1"/>
  <c r="D54" i="5"/>
  <c r="G54" i="5" s="1"/>
  <c r="D50" i="5"/>
  <c r="G50" i="5" s="1"/>
  <c r="D46" i="5"/>
  <c r="G46" i="5" s="1"/>
  <c r="D42" i="5"/>
  <c r="G42" i="5" s="1"/>
  <c r="D38" i="5"/>
  <c r="G38" i="5" s="1"/>
  <c r="D34" i="5"/>
  <c r="G34" i="5" s="1"/>
  <c r="D30" i="5"/>
  <c r="G30" i="5" s="1"/>
  <c r="D26" i="5"/>
  <c r="G26" i="5" s="1"/>
  <c r="D22" i="5"/>
  <c r="G22" i="5" s="1"/>
  <c r="C22" i="5"/>
  <c r="F22" i="5" s="1"/>
  <c r="D18" i="5"/>
  <c r="G18" i="5" s="1"/>
  <c r="C18" i="5"/>
  <c r="F18" i="5" s="1"/>
  <c r="D16" i="5"/>
  <c r="G16" i="5" s="1"/>
  <c r="D14" i="5"/>
  <c r="G14" i="5" s="1"/>
  <c r="C14" i="5"/>
  <c r="F14" i="5" s="1"/>
  <c r="D12" i="5"/>
  <c r="G12" i="5" s="1"/>
  <c r="D10" i="5"/>
  <c r="G10" i="5" s="1"/>
  <c r="C10" i="5"/>
  <c r="F10" i="5" s="1"/>
  <c r="E8" i="5"/>
  <c r="H8" i="5" s="1"/>
  <c r="D8" i="5"/>
  <c r="G8" i="5" s="1"/>
  <c r="E6" i="5"/>
  <c r="H6" i="5" s="1"/>
  <c r="D6" i="5"/>
  <c r="G6" i="5" s="1"/>
  <c r="C6" i="5"/>
  <c r="F6" i="5" s="1"/>
  <c r="I6" i="5" s="1"/>
  <c r="P4" i="5"/>
  <c r="E93" i="5" s="1"/>
  <c r="H93" i="5" s="1"/>
  <c r="E4" i="5"/>
  <c r="H4" i="5" s="1"/>
  <c r="D4" i="5"/>
  <c r="G4" i="5" s="1"/>
  <c r="P3" i="5"/>
  <c r="D93" i="5" s="1"/>
  <c r="G93" i="5" s="1"/>
  <c r="E3" i="5"/>
  <c r="H3" i="5" s="1"/>
  <c r="D3" i="5"/>
  <c r="G3" i="5" s="1"/>
  <c r="P2" i="5"/>
  <c r="C59" i="5" s="1"/>
  <c r="F59" i="5" s="1"/>
  <c r="D90" i="4"/>
  <c r="D86" i="4"/>
  <c r="D82" i="4"/>
  <c r="D78" i="4"/>
  <c r="D74" i="4"/>
  <c r="D70" i="4"/>
  <c r="D66" i="4"/>
  <c r="D62" i="4"/>
  <c r="D58" i="4"/>
  <c r="D54" i="4"/>
  <c r="D50" i="4"/>
  <c r="D46" i="4"/>
  <c r="D42" i="4"/>
  <c r="D38" i="4"/>
  <c r="D34" i="4"/>
  <c r="D30" i="4"/>
  <c r="D26" i="4"/>
  <c r="E22" i="4"/>
  <c r="D22" i="4"/>
  <c r="E18" i="4"/>
  <c r="D18" i="4"/>
  <c r="E14" i="4"/>
  <c r="D14" i="4"/>
  <c r="E10" i="4"/>
  <c r="D10" i="4"/>
  <c r="E6" i="4"/>
  <c r="D6" i="4"/>
  <c r="C6" i="4"/>
  <c r="P4" i="4"/>
  <c r="E93" i="4" s="1"/>
  <c r="P3" i="4"/>
  <c r="D93" i="4" s="1"/>
  <c r="D3" i="4"/>
  <c r="P2" i="4"/>
  <c r="C70" i="4" s="1"/>
  <c r="E90" i="3"/>
  <c r="D90" i="3"/>
  <c r="E86" i="3"/>
  <c r="D86" i="3"/>
  <c r="E82" i="3"/>
  <c r="D82" i="3"/>
  <c r="E78" i="3"/>
  <c r="D78" i="3"/>
  <c r="E74" i="3"/>
  <c r="D74" i="3"/>
  <c r="E70" i="3"/>
  <c r="D70" i="3"/>
  <c r="E66" i="3"/>
  <c r="D66" i="3"/>
  <c r="E62" i="3"/>
  <c r="D62" i="3"/>
  <c r="E58" i="3"/>
  <c r="D58" i="3"/>
  <c r="E54" i="3"/>
  <c r="D54" i="3"/>
  <c r="E50" i="3"/>
  <c r="D50" i="3"/>
  <c r="E46" i="3"/>
  <c r="D46" i="3"/>
  <c r="E42" i="3"/>
  <c r="D42" i="3"/>
  <c r="E38" i="3"/>
  <c r="D38" i="3"/>
  <c r="E34" i="3"/>
  <c r="D34" i="3"/>
  <c r="E30" i="3"/>
  <c r="D30" i="3"/>
  <c r="E27" i="3"/>
  <c r="E26" i="3"/>
  <c r="D26" i="3"/>
  <c r="E23" i="3"/>
  <c r="E22" i="3"/>
  <c r="D22" i="3"/>
  <c r="D20" i="3"/>
  <c r="E19" i="3"/>
  <c r="E18" i="3"/>
  <c r="D18" i="3"/>
  <c r="D16" i="3"/>
  <c r="E15" i="3"/>
  <c r="E14" i="3"/>
  <c r="D14" i="3"/>
  <c r="D12" i="3"/>
  <c r="E11" i="3"/>
  <c r="E10" i="3"/>
  <c r="D10" i="3"/>
  <c r="E9" i="3"/>
  <c r="D8" i="3"/>
  <c r="E7" i="3"/>
  <c r="E6" i="3"/>
  <c r="D6" i="3"/>
  <c r="C6" i="3"/>
  <c r="E5" i="3"/>
  <c r="D5" i="3"/>
  <c r="P4" i="3"/>
  <c r="E93" i="3" s="1"/>
  <c r="E4" i="3"/>
  <c r="D4" i="3"/>
  <c r="P3" i="3"/>
  <c r="D93" i="3" s="1"/>
  <c r="E3" i="3"/>
  <c r="D3" i="3"/>
  <c r="P2" i="3"/>
  <c r="C58" i="3" s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E3" i="2"/>
  <c r="D3" i="2"/>
  <c r="C3" i="2"/>
  <c r="P4" i="2"/>
  <c r="P3" i="2"/>
  <c r="P2" i="2"/>
  <c r="I1" i="3" l="1"/>
  <c r="I26" i="6"/>
  <c r="I14" i="6"/>
  <c r="I28" i="6"/>
  <c r="I16" i="6"/>
  <c r="I4" i="6"/>
  <c r="I2" i="6"/>
  <c r="I13" i="6"/>
  <c r="I25" i="6"/>
  <c r="I17" i="6"/>
  <c r="I5" i="6"/>
  <c r="I15" i="6"/>
  <c r="I3" i="6"/>
  <c r="I30" i="6"/>
  <c r="I18" i="6"/>
  <c r="I6" i="6"/>
  <c r="I29" i="6"/>
  <c r="I27" i="6"/>
  <c r="I24" i="6"/>
  <c r="I12" i="6"/>
  <c r="I22" i="6"/>
  <c r="I11" i="6"/>
  <c r="I21" i="6"/>
  <c r="I9" i="6"/>
  <c r="I23" i="6"/>
  <c r="I10" i="6"/>
  <c r="I20" i="6"/>
  <c r="I8" i="6"/>
  <c r="C54" i="5"/>
  <c r="F54" i="5" s="1"/>
  <c r="C66" i="5"/>
  <c r="F66" i="5" s="1"/>
  <c r="C3" i="5"/>
  <c r="F3" i="5" s="1"/>
  <c r="I3" i="5" s="1"/>
  <c r="J3" i="5" s="1"/>
  <c r="E10" i="5"/>
  <c r="H10" i="5" s="1"/>
  <c r="I10" i="5" s="1"/>
  <c r="E14" i="5"/>
  <c r="H14" i="5" s="1"/>
  <c r="I14" i="5" s="1"/>
  <c r="E18" i="5"/>
  <c r="H18" i="5" s="1"/>
  <c r="I18" i="5" s="1"/>
  <c r="E22" i="5"/>
  <c r="H22" i="5" s="1"/>
  <c r="I22" i="5" s="1"/>
  <c r="E26" i="5"/>
  <c r="H26" i="5" s="1"/>
  <c r="E30" i="5"/>
  <c r="H30" i="5" s="1"/>
  <c r="E34" i="5"/>
  <c r="H34" i="5" s="1"/>
  <c r="E38" i="5"/>
  <c r="H38" i="5" s="1"/>
  <c r="E42" i="5"/>
  <c r="H42" i="5" s="1"/>
  <c r="E46" i="5"/>
  <c r="H46" i="5" s="1"/>
  <c r="E50" i="5"/>
  <c r="H50" i="5" s="1"/>
  <c r="E54" i="5"/>
  <c r="H54" i="5" s="1"/>
  <c r="E58" i="5"/>
  <c r="H58" i="5" s="1"/>
  <c r="E62" i="5"/>
  <c r="H62" i="5" s="1"/>
  <c r="E66" i="5"/>
  <c r="H66" i="5" s="1"/>
  <c r="E70" i="5"/>
  <c r="H70" i="5" s="1"/>
  <c r="E74" i="5"/>
  <c r="H74" i="5" s="1"/>
  <c r="E78" i="5"/>
  <c r="H78" i="5" s="1"/>
  <c r="E82" i="5"/>
  <c r="H82" i="5" s="1"/>
  <c r="E86" i="5"/>
  <c r="H86" i="5" s="1"/>
  <c r="E90" i="5"/>
  <c r="H90" i="5" s="1"/>
  <c r="C38" i="5"/>
  <c r="F38" i="5" s="1"/>
  <c r="I38" i="5" s="1"/>
  <c r="C70" i="5"/>
  <c r="F70" i="5" s="1"/>
  <c r="C11" i="5"/>
  <c r="F11" i="5" s="1"/>
  <c r="C27" i="5"/>
  <c r="F27" i="5" s="1"/>
  <c r="C39" i="5"/>
  <c r="F39" i="5" s="1"/>
  <c r="C67" i="5"/>
  <c r="F67" i="5" s="1"/>
  <c r="C75" i="5"/>
  <c r="F75" i="5" s="1"/>
  <c r="I75" i="5" s="1"/>
  <c r="C83" i="5"/>
  <c r="F83" i="5" s="1"/>
  <c r="C87" i="5"/>
  <c r="F87" i="5" s="1"/>
  <c r="I87" i="5" s="1"/>
  <c r="D7" i="5"/>
  <c r="G7" i="5" s="1"/>
  <c r="D11" i="5"/>
  <c r="G11" i="5" s="1"/>
  <c r="D15" i="5"/>
  <c r="G15" i="5" s="1"/>
  <c r="D19" i="5"/>
  <c r="G19" i="5" s="1"/>
  <c r="D23" i="5"/>
  <c r="G23" i="5" s="1"/>
  <c r="D27" i="5"/>
  <c r="G27" i="5" s="1"/>
  <c r="D31" i="5"/>
  <c r="G31" i="5" s="1"/>
  <c r="D35" i="5"/>
  <c r="G35" i="5" s="1"/>
  <c r="D39" i="5"/>
  <c r="G39" i="5" s="1"/>
  <c r="D43" i="5"/>
  <c r="G43" i="5" s="1"/>
  <c r="D47" i="5"/>
  <c r="G47" i="5" s="1"/>
  <c r="D51" i="5"/>
  <c r="G51" i="5" s="1"/>
  <c r="D55" i="5"/>
  <c r="G55" i="5" s="1"/>
  <c r="D59" i="5"/>
  <c r="G59" i="5" s="1"/>
  <c r="D63" i="5"/>
  <c r="G63" i="5" s="1"/>
  <c r="D67" i="5"/>
  <c r="G67" i="5" s="1"/>
  <c r="D71" i="5"/>
  <c r="G71" i="5" s="1"/>
  <c r="D75" i="5"/>
  <c r="G75" i="5" s="1"/>
  <c r="D79" i="5"/>
  <c r="G79" i="5" s="1"/>
  <c r="D83" i="5"/>
  <c r="G83" i="5" s="1"/>
  <c r="D87" i="5"/>
  <c r="G87" i="5" s="1"/>
  <c r="D91" i="5"/>
  <c r="G91" i="5" s="1"/>
  <c r="C46" i="5"/>
  <c r="F46" i="5" s="1"/>
  <c r="I46" i="5" s="1"/>
  <c r="C82" i="5"/>
  <c r="F82" i="5" s="1"/>
  <c r="C15" i="5"/>
  <c r="F15" i="5" s="1"/>
  <c r="I15" i="5" s="1"/>
  <c r="C31" i="5"/>
  <c r="F31" i="5" s="1"/>
  <c r="I31" i="5" s="1"/>
  <c r="C43" i="5"/>
  <c r="F43" i="5" s="1"/>
  <c r="C63" i="5"/>
  <c r="F63" i="5" s="1"/>
  <c r="C71" i="5"/>
  <c r="F71" i="5" s="1"/>
  <c r="C79" i="5"/>
  <c r="F79" i="5" s="1"/>
  <c r="I79" i="5" s="1"/>
  <c r="C91" i="5"/>
  <c r="F91" i="5" s="1"/>
  <c r="C4" i="5"/>
  <c r="F4" i="5" s="1"/>
  <c r="I4" i="5" s="1"/>
  <c r="E7" i="5"/>
  <c r="H7" i="5" s="1"/>
  <c r="E11" i="5"/>
  <c r="H11" i="5" s="1"/>
  <c r="E15" i="5"/>
  <c r="H15" i="5" s="1"/>
  <c r="E19" i="5"/>
  <c r="H19" i="5" s="1"/>
  <c r="E23" i="5"/>
  <c r="H23" i="5" s="1"/>
  <c r="E27" i="5"/>
  <c r="H27" i="5" s="1"/>
  <c r="E31" i="5"/>
  <c r="H31" i="5" s="1"/>
  <c r="E35" i="5"/>
  <c r="H35" i="5" s="1"/>
  <c r="E39" i="5"/>
  <c r="H39" i="5" s="1"/>
  <c r="E43" i="5"/>
  <c r="H43" i="5" s="1"/>
  <c r="E47" i="5"/>
  <c r="H47" i="5" s="1"/>
  <c r="E51" i="5"/>
  <c r="H51" i="5" s="1"/>
  <c r="E55" i="5"/>
  <c r="H55" i="5" s="1"/>
  <c r="E59" i="5"/>
  <c r="H59" i="5" s="1"/>
  <c r="E63" i="5"/>
  <c r="H63" i="5" s="1"/>
  <c r="E67" i="5"/>
  <c r="H67" i="5" s="1"/>
  <c r="E71" i="5"/>
  <c r="H71" i="5" s="1"/>
  <c r="E75" i="5"/>
  <c r="H75" i="5" s="1"/>
  <c r="E79" i="5"/>
  <c r="H79" i="5" s="1"/>
  <c r="E83" i="5"/>
  <c r="H83" i="5" s="1"/>
  <c r="E87" i="5"/>
  <c r="H87" i="5" s="1"/>
  <c r="E91" i="5"/>
  <c r="H91" i="5" s="1"/>
  <c r="C34" i="5"/>
  <c r="F34" i="5" s="1"/>
  <c r="C90" i="5"/>
  <c r="F90" i="5" s="1"/>
  <c r="I90" i="5" s="1"/>
  <c r="C7" i="5"/>
  <c r="F7" i="5" s="1"/>
  <c r="C51" i="5"/>
  <c r="F51" i="5" s="1"/>
  <c r="C8" i="5"/>
  <c r="F8" i="5" s="1"/>
  <c r="I8" i="5" s="1"/>
  <c r="C12" i="5"/>
  <c r="F12" i="5" s="1"/>
  <c r="I12" i="5" s="1"/>
  <c r="C16" i="5"/>
  <c r="F16" i="5" s="1"/>
  <c r="I16" i="5" s="1"/>
  <c r="C20" i="5"/>
  <c r="F20" i="5" s="1"/>
  <c r="C24" i="5"/>
  <c r="F24" i="5" s="1"/>
  <c r="C28" i="5"/>
  <c r="F28" i="5" s="1"/>
  <c r="C32" i="5"/>
  <c r="F32" i="5" s="1"/>
  <c r="I32" i="5" s="1"/>
  <c r="C36" i="5"/>
  <c r="F36" i="5" s="1"/>
  <c r="C40" i="5"/>
  <c r="F40" i="5" s="1"/>
  <c r="C44" i="5"/>
  <c r="F44" i="5" s="1"/>
  <c r="C48" i="5"/>
  <c r="F48" i="5" s="1"/>
  <c r="I48" i="5" s="1"/>
  <c r="C52" i="5"/>
  <c r="F52" i="5" s="1"/>
  <c r="I52" i="5" s="1"/>
  <c r="C56" i="5"/>
  <c r="F56" i="5" s="1"/>
  <c r="C60" i="5"/>
  <c r="F60" i="5" s="1"/>
  <c r="I60" i="5" s="1"/>
  <c r="C64" i="5"/>
  <c r="F64" i="5" s="1"/>
  <c r="I64" i="5" s="1"/>
  <c r="C68" i="5"/>
  <c r="F68" i="5" s="1"/>
  <c r="C72" i="5"/>
  <c r="F72" i="5" s="1"/>
  <c r="C76" i="5"/>
  <c r="F76" i="5" s="1"/>
  <c r="C80" i="5"/>
  <c r="F80" i="5" s="1"/>
  <c r="I80" i="5" s="1"/>
  <c r="C84" i="5"/>
  <c r="F84" i="5" s="1"/>
  <c r="C88" i="5"/>
  <c r="F88" i="5" s="1"/>
  <c r="C92" i="5"/>
  <c r="F92" i="5" s="1"/>
  <c r="C30" i="5"/>
  <c r="F30" i="5" s="1"/>
  <c r="C62" i="5"/>
  <c r="F62" i="5" s="1"/>
  <c r="I62" i="5" s="1"/>
  <c r="C35" i="5"/>
  <c r="F35" i="5" s="1"/>
  <c r="I35" i="5" s="1"/>
  <c r="D20" i="5"/>
  <c r="G20" i="5" s="1"/>
  <c r="D24" i="5"/>
  <c r="G24" i="5" s="1"/>
  <c r="D28" i="5"/>
  <c r="G28" i="5" s="1"/>
  <c r="D32" i="5"/>
  <c r="G32" i="5" s="1"/>
  <c r="D36" i="5"/>
  <c r="G36" i="5" s="1"/>
  <c r="D40" i="5"/>
  <c r="G40" i="5" s="1"/>
  <c r="D44" i="5"/>
  <c r="G44" i="5" s="1"/>
  <c r="D48" i="5"/>
  <c r="G48" i="5" s="1"/>
  <c r="D52" i="5"/>
  <c r="G52" i="5" s="1"/>
  <c r="D56" i="5"/>
  <c r="G56" i="5" s="1"/>
  <c r="D60" i="5"/>
  <c r="G60" i="5" s="1"/>
  <c r="D64" i="5"/>
  <c r="G64" i="5" s="1"/>
  <c r="D68" i="5"/>
  <c r="G68" i="5" s="1"/>
  <c r="D72" i="5"/>
  <c r="G72" i="5" s="1"/>
  <c r="D76" i="5"/>
  <c r="G76" i="5" s="1"/>
  <c r="D80" i="5"/>
  <c r="G80" i="5" s="1"/>
  <c r="D84" i="5"/>
  <c r="G84" i="5" s="1"/>
  <c r="D88" i="5"/>
  <c r="G88" i="5" s="1"/>
  <c r="D92" i="5"/>
  <c r="G92" i="5" s="1"/>
  <c r="C26" i="5"/>
  <c r="F26" i="5" s="1"/>
  <c r="I26" i="5" s="1"/>
  <c r="C58" i="5"/>
  <c r="F58" i="5" s="1"/>
  <c r="I58" i="5" s="1"/>
  <c r="C86" i="5"/>
  <c r="F86" i="5" s="1"/>
  <c r="I86" i="5" s="1"/>
  <c r="C47" i="5"/>
  <c r="F47" i="5" s="1"/>
  <c r="I47" i="5" s="1"/>
  <c r="E12" i="5"/>
  <c r="H12" i="5" s="1"/>
  <c r="E20" i="5"/>
  <c r="H20" i="5" s="1"/>
  <c r="E24" i="5"/>
  <c r="H24" i="5" s="1"/>
  <c r="E28" i="5"/>
  <c r="H28" i="5" s="1"/>
  <c r="E32" i="5"/>
  <c r="H32" i="5" s="1"/>
  <c r="E36" i="5"/>
  <c r="H36" i="5" s="1"/>
  <c r="E40" i="5"/>
  <c r="H40" i="5" s="1"/>
  <c r="E44" i="5"/>
  <c r="H44" i="5" s="1"/>
  <c r="E48" i="5"/>
  <c r="H48" i="5" s="1"/>
  <c r="E52" i="5"/>
  <c r="H52" i="5" s="1"/>
  <c r="E56" i="5"/>
  <c r="H56" i="5" s="1"/>
  <c r="E60" i="5"/>
  <c r="H60" i="5" s="1"/>
  <c r="E64" i="5"/>
  <c r="H64" i="5" s="1"/>
  <c r="E68" i="5"/>
  <c r="H68" i="5" s="1"/>
  <c r="E72" i="5"/>
  <c r="H72" i="5" s="1"/>
  <c r="E76" i="5"/>
  <c r="H76" i="5" s="1"/>
  <c r="E80" i="5"/>
  <c r="H80" i="5" s="1"/>
  <c r="E84" i="5"/>
  <c r="H84" i="5" s="1"/>
  <c r="E88" i="5"/>
  <c r="H88" i="5" s="1"/>
  <c r="E92" i="5"/>
  <c r="H92" i="5" s="1"/>
  <c r="C42" i="5"/>
  <c r="F42" i="5" s="1"/>
  <c r="I42" i="5" s="1"/>
  <c r="C78" i="5"/>
  <c r="F78" i="5" s="1"/>
  <c r="C19" i="5"/>
  <c r="F19" i="5" s="1"/>
  <c r="C55" i="5"/>
  <c r="F55" i="5" s="1"/>
  <c r="E16" i="5"/>
  <c r="H16" i="5" s="1"/>
  <c r="C5" i="5"/>
  <c r="F5" i="5" s="1"/>
  <c r="C9" i="5"/>
  <c r="F9" i="5" s="1"/>
  <c r="C13" i="5"/>
  <c r="F13" i="5" s="1"/>
  <c r="C17" i="5"/>
  <c r="F17" i="5" s="1"/>
  <c r="C21" i="5"/>
  <c r="F21" i="5" s="1"/>
  <c r="C25" i="5"/>
  <c r="F25" i="5" s="1"/>
  <c r="C29" i="5"/>
  <c r="F29" i="5" s="1"/>
  <c r="C33" i="5"/>
  <c r="F33" i="5" s="1"/>
  <c r="C37" i="5"/>
  <c r="F37" i="5" s="1"/>
  <c r="C41" i="5"/>
  <c r="F41" i="5" s="1"/>
  <c r="C45" i="5"/>
  <c r="F45" i="5" s="1"/>
  <c r="C49" i="5"/>
  <c r="F49" i="5" s="1"/>
  <c r="C53" i="5"/>
  <c r="F53" i="5" s="1"/>
  <c r="C57" i="5"/>
  <c r="F57" i="5" s="1"/>
  <c r="C61" i="5"/>
  <c r="F61" i="5" s="1"/>
  <c r="C65" i="5"/>
  <c r="F65" i="5" s="1"/>
  <c r="C69" i="5"/>
  <c r="F69" i="5" s="1"/>
  <c r="C73" i="5"/>
  <c r="F73" i="5" s="1"/>
  <c r="C77" i="5"/>
  <c r="F77" i="5" s="1"/>
  <c r="C81" i="5"/>
  <c r="F81" i="5" s="1"/>
  <c r="C85" i="5"/>
  <c r="F85" i="5" s="1"/>
  <c r="C89" i="5"/>
  <c r="F89" i="5" s="1"/>
  <c r="C93" i="5"/>
  <c r="F93" i="5" s="1"/>
  <c r="I93" i="5" s="1"/>
  <c r="D5" i="5"/>
  <c r="G5" i="5" s="1"/>
  <c r="D9" i="5"/>
  <c r="G9" i="5" s="1"/>
  <c r="D13" i="5"/>
  <c r="G13" i="5" s="1"/>
  <c r="D17" i="5"/>
  <c r="G17" i="5" s="1"/>
  <c r="D21" i="5"/>
  <c r="G21" i="5" s="1"/>
  <c r="D25" i="5"/>
  <c r="G25" i="5" s="1"/>
  <c r="D29" i="5"/>
  <c r="G29" i="5" s="1"/>
  <c r="D33" i="5"/>
  <c r="G33" i="5" s="1"/>
  <c r="D37" i="5"/>
  <c r="G37" i="5" s="1"/>
  <c r="D41" i="5"/>
  <c r="G41" i="5" s="1"/>
  <c r="D45" i="5"/>
  <c r="G45" i="5" s="1"/>
  <c r="D49" i="5"/>
  <c r="G49" i="5" s="1"/>
  <c r="D53" i="5"/>
  <c r="G53" i="5" s="1"/>
  <c r="D57" i="5"/>
  <c r="G57" i="5" s="1"/>
  <c r="D61" i="5"/>
  <c r="G61" i="5" s="1"/>
  <c r="D65" i="5"/>
  <c r="G65" i="5" s="1"/>
  <c r="D69" i="5"/>
  <c r="G69" i="5" s="1"/>
  <c r="D73" i="5"/>
  <c r="G73" i="5" s="1"/>
  <c r="D77" i="5"/>
  <c r="G77" i="5" s="1"/>
  <c r="D81" i="5"/>
  <c r="G81" i="5" s="1"/>
  <c r="D85" i="5"/>
  <c r="G85" i="5" s="1"/>
  <c r="D89" i="5"/>
  <c r="G89" i="5" s="1"/>
  <c r="C50" i="5"/>
  <c r="F50" i="5" s="1"/>
  <c r="I50" i="5" s="1"/>
  <c r="C74" i="5"/>
  <c r="F74" i="5" s="1"/>
  <c r="I74" i="5" s="1"/>
  <c r="C23" i="5"/>
  <c r="F23" i="5" s="1"/>
  <c r="E5" i="5"/>
  <c r="H5" i="5" s="1"/>
  <c r="E9" i="5"/>
  <c r="H9" i="5" s="1"/>
  <c r="E13" i="5"/>
  <c r="H13" i="5" s="1"/>
  <c r="E17" i="5"/>
  <c r="H17" i="5" s="1"/>
  <c r="E21" i="5"/>
  <c r="H21" i="5" s="1"/>
  <c r="E25" i="5"/>
  <c r="H25" i="5" s="1"/>
  <c r="E29" i="5"/>
  <c r="H29" i="5" s="1"/>
  <c r="E33" i="5"/>
  <c r="H33" i="5" s="1"/>
  <c r="E37" i="5"/>
  <c r="H37" i="5" s="1"/>
  <c r="E41" i="5"/>
  <c r="H41" i="5" s="1"/>
  <c r="E45" i="5"/>
  <c r="H45" i="5" s="1"/>
  <c r="E49" i="5"/>
  <c r="H49" i="5" s="1"/>
  <c r="E53" i="5"/>
  <c r="H53" i="5" s="1"/>
  <c r="E57" i="5"/>
  <c r="H57" i="5" s="1"/>
  <c r="E61" i="5"/>
  <c r="H61" i="5" s="1"/>
  <c r="E65" i="5"/>
  <c r="H65" i="5" s="1"/>
  <c r="E69" i="5"/>
  <c r="H69" i="5" s="1"/>
  <c r="E73" i="5"/>
  <c r="H73" i="5" s="1"/>
  <c r="E77" i="5"/>
  <c r="H77" i="5" s="1"/>
  <c r="E81" i="5"/>
  <c r="H81" i="5" s="1"/>
  <c r="E85" i="5"/>
  <c r="H85" i="5" s="1"/>
  <c r="E89" i="5"/>
  <c r="H89" i="5" s="1"/>
  <c r="C46" i="4"/>
  <c r="C86" i="4"/>
  <c r="E34" i="4"/>
  <c r="E54" i="4"/>
  <c r="E70" i="4"/>
  <c r="E90" i="4"/>
  <c r="E3" i="4"/>
  <c r="C7" i="4"/>
  <c r="C11" i="4"/>
  <c r="C15" i="4"/>
  <c r="C19" i="4"/>
  <c r="C23" i="4"/>
  <c r="C27" i="4"/>
  <c r="C31" i="4"/>
  <c r="C35" i="4"/>
  <c r="C39" i="4"/>
  <c r="C43" i="4"/>
  <c r="C47" i="4"/>
  <c r="C51" i="4"/>
  <c r="C55" i="4"/>
  <c r="C59" i="4"/>
  <c r="C63" i="4"/>
  <c r="C67" i="4"/>
  <c r="C71" i="4"/>
  <c r="C75" i="4"/>
  <c r="C79" i="4"/>
  <c r="C83" i="4"/>
  <c r="C87" i="4"/>
  <c r="C91" i="4"/>
  <c r="C10" i="4"/>
  <c r="C34" i="4"/>
  <c r="C74" i="4"/>
  <c r="E26" i="4"/>
  <c r="E42" i="4"/>
  <c r="E58" i="4"/>
  <c r="E74" i="4"/>
  <c r="D7" i="4"/>
  <c r="D11" i="4"/>
  <c r="D15" i="4"/>
  <c r="D19" i="4"/>
  <c r="D23" i="4"/>
  <c r="D27" i="4"/>
  <c r="D31" i="4"/>
  <c r="D35" i="4"/>
  <c r="D39" i="4"/>
  <c r="D43" i="4"/>
  <c r="D47" i="4"/>
  <c r="D51" i="4"/>
  <c r="D55" i="4"/>
  <c r="D59" i="4"/>
  <c r="D63" i="4"/>
  <c r="D67" i="4"/>
  <c r="D71" i="4"/>
  <c r="D75" i="4"/>
  <c r="D79" i="4"/>
  <c r="D83" i="4"/>
  <c r="D87" i="4"/>
  <c r="D91" i="4"/>
  <c r="C22" i="4"/>
  <c r="C54" i="4"/>
  <c r="C90" i="4"/>
  <c r="E30" i="4"/>
  <c r="E46" i="4"/>
  <c r="E62" i="4"/>
  <c r="E86" i="4"/>
  <c r="C4" i="4"/>
  <c r="E7" i="4"/>
  <c r="E11" i="4"/>
  <c r="E15" i="4"/>
  <c r="E19" i="4"/>
  <c r="E23" i="4"/>
  <c r="E27" i="4"/>
  <c r="E31" i="4"/>
  <c r="E35" i="4"/>
  <c r="E39" i="4"/>
  <c r="E43" i="4"/>
  <c r="E47" i="4"/>
  <c r="E51" i="4"/>
  <c r="E55" i="4"/>
  <c r="E59" i="4"/>
  <c r="E63" i="4"/>
  <c r="E67" i="4"/>
  <c r="E71" i="4"/>
  <c r="E75" i="4"/>
  <c r="E79" i="4"/>
  <c r="E83" i="4"/>
  <c r="E87" i="4"/>
  <c r="E91" i="4"/>
  <c r="C14" i="4"/>
  <c r="C50" i="4"/>
  <c r="C82" i="4"/>
  <c r="E50" i="4"/>
  <c r="E82" i="4"/>
  <c r="D4" i="4"/>
  <c r="C8" i="4"/>
  <c r="C12" i="4"/>
  <c r="C16" i="4"/>
  <c r="C20" i="4"/>
  <c r="C24" i="4"/>
  <c r="C28" i="4"/>
  <c r="C32" i="4"/>
  <c r="C36" i="4"/>
  <c r="C40" i="4"/>
  <c r="C44" i="4"/>
  <c r="C48" i="4"/>
  <c r="C52" i="4"/>
  <c r="C56" i="4"/>
  <c r="C60" i="4"/>
  <c r="C64" i="4"/>
  <c r="C68" i="4"/>
  <c r="C72" i="4"/>
  <c r="C76" i="4"/>
  <c r="C80" i="4"/>
  <c r="C84" i="4"/>
  <c r="C88" i="4"/>
  <c r="C92" i="4"/>
  <c r="C26" i="4"/>
  <c r="C66" i="4"/>
  <c r="E38" i="4"/>
  <c r="E66" i="4"/>
  <c r="E78" i="4"/>
  <c r="E4" i="4"/>
  <c r="D8" i="4"/>
  <c r="D12" i="4"/>
  <c r="D16" i="4"/>
  <c r="D20" i="4"/>
  <c r="D24" i="4"/>
  <c r="D28" i="4"/>
  <c r="D32" i="4"/>
  <c r="D36" i="4"/>
  <c r="D40" i="4"/>
  <c r="D44" i="4"/>
  <c r="D48" i="4"/>
  <c r="D52" i="4"/>
  <c r="D56" i="4"/>
  <c r="D60" i="4"/>
  <c r="D64" i="4"/>
  <c r="D68" i="4"/>
  <c r="D72" i="4"/>
  <c r="D76" i="4"/>
  <c r="D80" i="4"/>
  <c r="D84" i="4"/>
  <c r="D88" i="4"/>
  <c r="D92" i="4"/>
  <c r="C42" i="4"/>
  <c r="C78" i="4"/>
  <c r="C3" i="4"/>
  <c r="E12" i="4"/>
  <c r="E24" i="4"/>
  <c r="E36" i="4"/>
  <c r="E48" i="4"/>
  <c r="E56" i="4"/>
  <c r="E64" i="4"/>
  <c r="E68" i="4"/>
  <c r="E76" i="4"/>
  <c r="E84" i="4"/>
  <c r="E88" i="4"/>
  <c r="E92" i="4"/>
  <c r="C18" i="4"/>
  <c r="C58" i="4"/>
  <c r="E16" i="4"/>
  <c r="E28" i="4"/>
  <c r="E44" i="4"/>
  <c r="E60" i="4"/>
  <c r="E80" i="4"/>
  <c r="C5" i="4"/>
  <c r="C9" i="4"/>
  <c r="C13" i="4"/>
  <c r="C17" i="4"/>
  <c r="C21" i="4"/>
  <c r="C25" i="4"/>
  <c r="C29" i="4"/>
  <c r="C33" i="4"/>
  <c r="C37" i="4"/>
  <c r="C41" i="4"/>
  <c r="C45" i="4"/>
  <c r="C49" i="4"/>
  <c r="C53" i="4"/>
  <c r="C57" i="4"/>
  <c r="C61" i="4"/>
  <c r="C65" i="4"/>
  <c r="C69" i="4"/>
  <c r="C73" i="4"/>
  <c r="C77" i="4"/>
  <c r="C81" i="4"/>
  <c r="C85" i="4"/>
  <c r="C89" i="4"/>
  <c r="C93" i="4"/>
  <c r="C30" i="4"/>
  <c r="C62" i="4"/>
  <c r="D5" i="4"/>
  <c r="D9" i="4"/>
  <c r="D13" i="4"/>
  <c r="D17" i="4"/>
  <c r="D21" i="4"/>
  <c r="D25" i="4"/>
  <c r="D29" i="4"/>
  <c r="D33" i="4"/>
  <c r="D37" i="4"/>
  <c r="D41" i="4"/>
  <c r="D45" i="4"/>
  <c r="D49" i="4"/>
  <c r="D53" i="4"/>
  <c r="D57" i="4"/>
  <c r="D61" i="4"/>
  <c r="D65" i="4"/>
  <c r="D69" i="4"/>
  <c r="D73" i="4"/>
  <c r="D77" i="4"/>
  <c r="D81" i="4"/>
  <c r="D85" i="4"/>
  <c r="D89" i="4"/>
  <c r="C38" i="4"/>
  <c r="E8" i="4"/>
  <c r="E20" i="4"/>
  <c r="E32" i="4"/>
  <c r="E40" i="4"/>
  <c r="E52" i="4"/>
  <c r="E72" i="4"/>
  <c r="E5" i="4"/>
  <c r="E9" i="4"/>
  <c r="E13" i="4"/>
  <c r="E17" i="4"/>
  <c r="E21" i="4"/>
  <c r="E25" i="4"/>
  <c r="E29" i="4"/>
  <c r="E33" i="4"/>
  <c r="E37" i="4"/>
  <c r="E41" i="4"/>
  <c r="E45" i="4"/>
  <c r="E49" i="4"/>
  <c r="E53" i="4"/>
  <c r="E57" i="4"/>
  <c r="E61" i="4"/>
  <c r="E65" i="4"/>
  <c r="E69" i="4"/>
  <c r="E73" i="4"/>
  <c r="E77" i="4"/>
  <c r="E81" i="4"/>
  <c r="E85" i="4"/>
  <c r="E89" i="4"/>
  <c r="C42" i="3"/>
  <c r="C74" i="3"/>
  <c r="C7" i="3"/>
  <c r="C11" i="3"/>
  <c r="C19" i="3"/>
  <c r="C23" i="3"/>
  <c r="C27" i="3"/>
  <c r="C31" i="3"/>
  <c r="C35" i="3"/>
  <c r="C39" i="3"/>
  <c r="C43" i="3"/>
  <c r="C47" i="3"/>
  <c r="C51" i="3"/>
  <c r="C55" i="3"/>
  <c r="C59" i="3"/>
  <c r="C63" i="3"/>
  <c r="C67" i="3"/>
  <c r="C71" i="3"/>
  <c r="C75" i="3"/>
  <c r="C79" i="3"/>
  <c r="C83" i="3"/>
  <c r="C87" i="3"/>
  <c r="C91" i="3"/>
  <c r="C10" i="3"/>
  <c r="C50" i="3"/>
  <c r="C90" i="3"/>
  <c r="C15" i="3"/>
  <c r="D7" i="3"/>
  <c r="D11" i="3"/>
  <c r="D15" i="3"/>
  <c r="D19" i="3"/>
  <c r="D23" i="3"/>
  <c r="D27" i="3"/>
  <c r="D31" i="3"/>
  <c r="D35" i="3"/>
  <c r="D39" i="3"/>
  <c r="D43" i="3"/>
  <c r="D47" i="3"/>
  <c r="D51" i="3"/>
  <c r="D55" i="3"/>
  <c r="D59" i="3"/>
  <c r="D63" i="3"/>
  <c r="D67" i="3"/>
  <c r="D71" i="3"/>
  <c r="D75" i="3"/>
  <c r="D79" i="3"/>
  <c r="D83" i="3"/>
  <c r="D87" i="3"/>
  <c r="D91" i="3"/>
  <c r="C38" i="3"/>
  <c r="C82" i="3"/>
  <c r="E31" i="3"/>
  <c r="E35" i="3"/>
  <c r="E39" i="3"/>
  <c r="E43" i="3"/>
  <c r="E47" i="3"/>
  <c r="E51" i="3"/>
  <c r="E55" i="3"/>
  <c r="E59" i="3"/>
  <c r="E63" i="3"/>
  <c r="E67" i="3"/>
  <c r="E71" i="3"/>
  <c r="E75" i="3"/>
  <c r="E79" i="3"/>
  <c r="E83" i="3"/>
  <c r="E87" i="3"/>
  <c r="E91" i="3"/>
  <c r="C30" i="3"/>
  <c r="C78" i="3"/>
  <c r="C12" i="3"/>
  <c r="C16" i="3"/>
  <c r="C20" i="3"/>
  <c r="C24" i="3"/>
  <c r="C28" i="3"/>
  <c r="C32" i="3"/>
  <c r="C36" i="3"/>
  <c r="C40" i="3"/>
  <c r="C44" i="3"/>
  <c r="C48" i="3"/>
  <c r="C52" i="3"/>
  <c r="C56" i="3"/>
  <c r="C60" i="3"/>
  <c r="C64" i="3"/>
  <c r="C68" i="3"/>
  <c r="C72" i="3"/>
  <c r="C76" i="3"/>
  <c r="C80" i="3"/>
  <c r="C84" i="3"/>
  <c r="C88" i="3"/>
  <c r="C92" i="3"/>
  <c r="C34" i="3"/>
  <c r="C66" i="3"/>
  <c r="C3" i="3"/>
  <c r="C4" i="3"/>
  <c r="D24" i="3"/>
  <c r="D28" i="3"/>
  <c r="D32" i="3"/>
  <c r="D36" i="3"/>
  <c r="D40" i="3"/>
  <c r="D44" i="3"/>
  <c r="D48" i="3"/>
  <c r="D52" i="3"/>
  <c r="D56" i="3"/>
  <c r="D60" i="3"/>
  <c r="D64" i="3"/>
  <c r="D68" i="3"/>
  <c r="D72" i="3"/>
  <c r="D76" i="3"/>
  <c r="D80" i="3"/>
  <c r="D84" i="3"/>
  <c r="D88" i="3"/>
  <c r="D92" i="3"/>
  <c r="C22" i="3"/>
  <c r="C62" i="3"/>
  <c r="E8" i="3"/>
  <c r="E12" i="3"/>
  <c r="E16" i="3"/>
  <c r="E20" i="3"/>
  <c r="E24" i="3"/>
  <c r="E28" i="3"/>
  <c r="E32" i="3"/>
  <c r="E36" i="3"/>
  <c r="E40" i="3"/>
  <c r="E44" i="3"/>
  <c r="E48" i="3"/>
  <c r="E52" i="3"/>
  <c r="E56" i="3"/>
  <c r="E60" i="3"/>
  <c r="E64" i="3"/>
  <c r="E68" i="3"/>
  <c r="E72" i="3"/>
  <c r="E76" i="3"/>
  <c r="E80" i="3"/>
  <c r="E84" i="3"/>
  <c r="E88" i="3"/>
  <c r="E92" i="3"/>
  <c r="C18" i="3"/>
  <c r="C54" i="3"/>
  <c r="C86" i="3"/>
  <c r="C8" i="3"/>
  <c r="C5" i="3"/>
  <c r="C9" i="3"/>
  <c r="C13" i="3"/>
  <c r="C17" i="3"/>
  <c r="C21" i="3"/>
  <c r="C25" i="3"/>
  <c r="C29" i="3"/>
  <c r="C33" i="3"/>
  <c r="C37" i="3"/>
  <c r="C41" i="3"/>
  <c r="C45" i="3"/>
  <c r="C49" i="3"/>
  <c r="C53" i="3"/>
  <c r="C57" i="3"/>
  <c r="C61" i="3"/>
  <c r="C65" i="3"/>
  <c r="C69" i="3"/>
  <c r="C73" i="3"/>
  <c r="C77" i="3"/>
  <c r="C81" i="3"/>
  <c r="C85" i="3"/>
  <c r="C89" i="3"/>
  <c r="C93" i="3"/>
  <c r="C14" i="3"/>
  <c r="C46" i="3"/>
  <c r="C70" i="3"/>
  <c r="D9" i="3"/>
  <c r="D13" i="3"/>
  <c r="D17" i="3"/>
  <c r="D21" i="3"/>
  <c r="D25" i="3"/>
  <c r="D29" i="3"/>
  <c r="D33" i="3"/>
  <c r="D37" i="3"/>
  <c r="D41" i="3"/>
  <c r="D45" i="3"/>
  <c r="D49" i="3"/>
  <c r="D53" i="3"/>
  <c r="D57" i="3"/>
  <c r="D61" i="3"/>
  <c r="D65" i="3"/>
  <c r="D69" i="3"/>
  <c r="D73" i="3"/>
  <c r="D77" i="3"/>
  <c r="D81" i="3"/>
  <c r="D85" i="3"/>
  <c r="D89" i="3"/>
  <c r="C26" i="3"/>
  <c r="E13" i="3"/>
  <c r="E17" i="3"/>
  <c r="E21" i="3"/>
  <c r="E25" i="3"/>
  <c r="E29" i="3"/>
  <c r="E33" i="3"/>
  <c r="E37" i="3"/>
  <c r="E41" i="3"/>
  <c r="E45" i="3"/>
  <c r="E49" i="3"/>
  <c r="E53" i="3"/>
  <c r="E57" i="3"/>
  <c r="E61" i="3"/>
  <c r="E65" i="3"/>
  <c r="E69" i="3"/>
  <c r="E73" i="3"/>
  <c r="E77" i="3"/>
  <c r="E81" i="3"/>
  <c r="E85" i="3"/>
  <c r="E89" i="3"/>
  <c r="J4" i="5" l="1"/>
  <c r="I23" i="5"/>
  <c r="I49" i="5"/>
  <c r="I56" i="5"/>
  <c r="I83" i="5"/>
  <c r="I9" i="5"/>
  <c r="I5" i="5"/>
  <c r="I45" i="5"/>
  <c r="I51" i="5"/>
  <c r="I89" i="5"/>
  <c r="I41" i="5"/>
  <c r="I19" i="5"/>
  <c r="I30" i="5"/>
  <c r="I7" i="5"/>
  <c r="I67" i="5"/>
  <c r="I85" i="5"/>
  <c r="I37" i="5"/>
  <c r="I78" i="5"/>
  <c r="I92" i="5"/>
  <c r="I44" i="5"/>
  <c r="I39" i="5"/>
  <c r="I82" i="5"/>
  <c r="I81" i="5"/>
  <c r="I33" i="5"/>
  <c r="I88" i="5"/>
  <c r="I40" i="5"/>
  <c r="I34" i="5"/>
  <c r="I91" i="5"/>
  <c r="I27" i="5"/>
  <c r="I57" i="5"/>
  <c r="I53" i="5"/>
  <c r="I77" i="5"/>
  <c r="I29" i="5"/>
  <c r="I84" i="5"/>
  <c r="I36" i="5"/>
  <c r="I11" i="5"/>
  <c r="I55" i="5"/>
  <c r="I73" i="5"/>
  <c r="I25" i="5"/>
  <c r="I71" i="5"/>
  <c r="I70" i="5"/>
  <c r="I66" i="5"/>
  <c r="I69" i="5"/>
  <c r="I21" i="5"/>
  <c r="I76" i="5"/>
  <c r="I28" i="5"/>
  <c r="I63" i="5"/>
  <c r="I54" i="5"/>
  <c r="I65" i="5"/>
  <c r="I17" i="5"/>
  <c r="I72" i="5"/>
  <c r="I24" i="5"/>
  <c r="I43" i="5"/>
  <c r="I61" i="5"/>
  <c r="I13" i="5"/>
  <c r="I68" i="5"/>
  <c r="I20" i="5"/>
  <c r="I59" i="5"/>
  <c r="J37" i="5" l="1"/>
  <c r="J27" i="5"/>
  <c r="J36" i="5"/>
  <c r="J92" i="5"/>
  <c r="J76" i="5"/>
  <c r="J71" i="5"/>
  <c r="J50" i="5"/>
  <c r="J34" i="5"/>
  <c r="J62" i="5"/>
  <c r="J88" i="5"/>
  <c r="J59" i="5"/>
  <c r="J79" i="5"/>
  <c r="J6" i="5"/>
  <c r="J82" i="5"/>
  <c r="J33" i="5"/>
  <c r="J81" i="5"/>
  <c r="J40" i="5"/>
  <c r="J30" i="5"/>
  <c r="J51" i="5"/>
  <c r="J61" i="5"/>
  <c r="J89" i="5"/>
  <c r="J91" i="5"/>
  <c r="J66" i="5"/>
  <c r="J39" i="5"/>
  <c r="J11" i="5"/>
  <c r="J25" i="5"/>
  <c r="J45" i="5"/>
  <c r="J58" i="5"/>
  <c r="J55" i="5"/>
  <c r="J49" i="5"/>
  <c r="J14" i="5"/>
  <c r="J93" i="5"/>
  <c r="J52" i="5"/>
  <c r="J57" i="5"/>
  <c r="J29" i="5"/>
  <c r="J48" i="5"/>
  <c r="J46" i="5"/>
  <c r="J41" i="5"/>
  <c r="J20" i="5"/>
  <c r="J74" i="5"/>
  <c r="J9" i="5"/>
  <c r="J42" i="5"/>
  <c r="J63" i="5"/>
  <c r="J43" i="5"/>
  <c r="J68" i="5"/>
  <c r="J15" i="5"/>
  <c r="J87" i="5"/>
  <c r="J65" i="5"/>
  <c r="J19" i="5"/>
  <c r="J8" i="5"/>
  <c r="J56" i="5"/>
  <c r="J31" i="5"/>
  <c r="J67" i="5"/>
  <c r="J24" i="5"/>
  <c r="J84" i="5"/>
  <c r="J77" i="5"/>
  <c r="J83" i="5"/>
  <c r="J47" i="5"/>
  <c r="J44" i="5"/>
  <c r="J85" i="5"/>
  <c r="J72" i="5"/>
  <c r="J26" i="5"/>
  <c r="J12" i="5"/>
  <c r="J73" i="5"/>
  <c r="J54" i="5"/>
  <c r="J69" i="5"/>
  <c r="J10" i="5"/>
  <c r="J35" i="5"/>
  <c r="J13" i="5"/>
  <c r="J86" i="5"/>
  <c r="J7" i="5"/>
  <c r="J22" i="5"/>
  <c r="J28" i="5"/>
  <c r="J18" i="5"/>
  <c r="J78" i="5"/>
  <c r="J60" i="5"/>
  <c r="J90" i="5"/>
  <c r="J5" i="5"/>
  <c r="J23" i="5"/>
  <c r="J53" i="5"/>
  <c r="J70" i="5"/>
  <c r="J75" i="5"/>
  <c r="J16" i="5"/>
  <c r="J21" i="5"/>
  <c r="J17" i="5"/>
  <c r="J38" i="5"/>
  <c r="J32" i="5"/>
  <c r="J80" i="5"/>
  <c r="J6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35D122-9239-417E-AC8A-758F47322821}" keepAlive="1" name="Zapytanie — temperatury" description="Połączenie z zapytaniem „temperatury” w skoroszycie." type="5" refreshedVersion="8" background="1" saveData="1">
    <dbPr connection="Provider=Microsoft.Mashup.OleDb.1;Data Source=$Workbook$;Location=temperatury;Extended Properties=&quot;&quot;" command="SELECT * FROM [temperatury]"/>
  </connection>
  <connection id="2" xr16:uid="{3FB11B99-0F24-45AC-9B23-D47CC859E062}" keepAlive="1" name="Zapytanie — temperatury (2)" description="Połączenie z zapytaniem „temperatury (2)” w skoroszycie." type="5" refreshedVersion="8" background="1" saveData="1">
    <dbPr connection="Provider=Microsoft.Mashup.OleDb.1;Data Source=$Workbook$;Location=&quot;temperatury (2)&quot;;Extended Properties=&quot;&quot;" command="SELECT * FROM [temperatury (2)]"/>
  </connection>
  <connection id="3" xr16:uid="{DBDF7A31-B437-4AA3-B6ED-B68DD00B555C}" keepAlive="1" name="Zapytanie — temperatury (3)" description="Połączenie z zapytaniem „temperatury (3)” w skoroszycie." type="5" refreshedVersion="8" background="1" saveData="1">
    <dbPr connection="Provider=Microsoft.Mashup.OleDb.1;Data Source=$Workbook$;Location=&quot;temperatury (3)&quot;;Extended Properties=&quot;&quot;" command="SELECT * FROM [temperatury (3)]"/>
  </connection>
  <connection id="4" xr16:uid="{B7618B6D-69DC-4F4E-BCC6-27BF1D205AA5}" keepAlive="1" name="Zapytanie — temperatury (4)" description="Połączenie z zapytaniem „temperatury (4)” w skoroszycie." type="5" refreshedVersion="8" background="1" saveData="1">
    <dbPr connection="Provider=Microsoft.Mashup.OleDb.1;Data Source=$Workbook$;Location=&quot;temperatury (4)&quot;;Extended Properties=&quot;&quot;" command="SELECT * FROM [temperatury (4)]"/>
  </connection>
  <connection id="5" xr16:uid="{323B3261-7EB9-4C66-8856-53D9333CD971}" keepAlive="1" name="Zapytanie — temperatury (5)" description="Połączenie z zapytaniem „temperatury (5)” w skoroszycie." type="5" refreshedVersion="8" background="1" saveData="1">
    <dbPr connection="Provider=Microsoft.Mashup.OleDb.1;Data Source=$Workbook$;Location=&quot;temperatury (5)&quot;;Extended Properties=&quot;&quot;" command="SELECT * FROM [temperatury (5)]"/>
  </connection>
</connections>
</file>

<file path=xl/sharedStrings.xml><?xml version="1.0" encoding="utf-8"?>
<sst xmlns="http://schemas.openxmlformats.org/spreadsheetml/2006/main" count="81" uniqueCount="29">
  <si>
    <t>data</t>
  </si>
  <si>
    <t>temperatura</t>
  </si>
  <si>
    <t>nazwa produktu</t>
  </si>
  <si>
    <t>współczynnik sprzedawalności</t>
  </si>
  <si>
    <t>hot-dog</t>
  </si>
  <si>
    <t>lody</t>
  </si>
  <si>
    <t>kukurydza</t>
  </si>
  <si>
    <t>cena za 1 sztukę</t>
  </si>
  <si>
    <t>ciagCieplych</t>
  </si>
  <si>
    <t>najdłuższy ciąg</t>
  </si>
  <si>
    <t>początek</t>
  </si>
  <si>
    <t>koniec</t>
  </si>
  <si>
    <t>Suma końcowa</t>
  </si>
  <si>
    <t>cze</t>
  </si>
  <si>
    <t>lip</t>
  </si>
  <si>
    <t>sie</t>
  </si>
  <si>
    <t>miesiące</t>
  </si>
  <si>
    <t>sprzedane hot-dogi</t>
  </si>
  <si>
    <t>sprzedane lody</t>
  </si>
  <si>
    <t>sprzedana kukurydza</t>
  </si>
  <si>
    <t>utarg_za_hot_dogi</t>
  </si>
  <si>
    <t>utarg_za_lody</t>
  </si>
  <si>
    <t>utarg_za_kukurydze</t>
  </si>
  <si>
    <t>dzienny_utarg</t>
  </si>
  <si>
    <t>suma_utargu</t>
  </si>
  <si>
    <t>suma utargu</t>
  </si>
  <si>
    <t>p podstawowe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</si>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</sst>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64" fontId="0" fillId="2" borderId="0" xfId="0" applyNumberFormat="1" applyFill="1"/>
    <xf numFmtId="14" fontId="0" fillId="3" borderId="1" xfId="0" applyNumberFormat="1" applyFill="1" applyBorder="1"/>
    <xf numFmtId="14" fontId="0" fillId="2" borderId="1" xfId="0" applyNumberFormat="1" applyFont="1" applyFill="1" applyBorder="1"/>
  </cellXfs>
  <cellStyles count="1">
    <cellStyle name="Normalny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[Zadanie5.xlsx]2!Tabela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Sprzedane lody, kukurydza i hot-dogi w poszczególnych miesiącach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'2'!$H$1</c:f>
              <c:strCache>
                <c:ptCount val="1"/>
                <c:pt idx="0">
                  <c:v>sprzedane lody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'2'!$G$2:$G$5</c:f>
              <c:strCache>
                <c:ptCount val="3"/>
                <c:pt idx="0">
                  <c:v>cze</c:v>
                </c:pt>
                <c:pt idx="1">
                  <c:v>lip</c:v>
                </c:pt>
                <c:pt idx="2">
                  <c:v>sie</c:v>
                </c:pt>
              </c:strCache>
            </c:strRef>
          </c:cat>
          <c:val>
            <c:numRef>
              <c:f>'2'!$H$2:$H$5</c:f>
              <c:numCache>
                <c:formatCode>General</c:formatCode>
                <c:ptCount val="3"/>
                <c:pt idx="0">
                  <c:v>3527</c:v>
                </c:pt>
                <c:pt idx="1">
                  <c:v>3675</c:v>
                </c:pt>
                <c:pt idx="2">
                  <c:v>3579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2-4F19-B56C-B474F0581644}"/>
            </c:ext>
          </c:extLst>
        </c:ser>
        <c:ser>
          <c:idx val="1"/>
          <c:order val="1"/>
          <c:tx>
            <c:strRef>
              <c:f>'2'!$I$1</c:f>
              <c:strCache>
                <c:ptCount val="1"/>
                <c:pt idx="0">
                  <c:v>sprzedana kukurydza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'2'!$G$2:$G$5</c:f>
              <c:strCache>
                <c:ptCount val="3"/>
                <c:pt idx="0">
                  <c:v>cze</c:v>
                </c:pt>
                <c:pt idx="1">
                  <c:v>lip</c:v>
                </c:pt>
                <c:pt idx="2">
                  <c:v>sie</c:v>
                </c:pt>
              </c:strCache>
            </c:strRef>
          </c:cat>
          <c:val>
            <c:numRef>
              <c:f>'2'!$I$2:$I$5</c:f>
              <c:numCache>
                <c:formatCode>General</c:formatCode>
                <c:ptCount val="3"/>
                <c:pt idx="0">
                  <c:v>2355</c:v>
                </c:pt>
                <c:pt idx="1">
                  <c:v>2448</c:v>
                </c:pt>
                <c:pt idx="2">
                  <c:v>2390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2-4F19-B56C-B474F0581644}"/>
            </c:ext>
          </c:extLst>
        </c:ser>
        <c:ser>
          <c:idx val="2"/>
          <c:order val="2"/>
          <c:tx>
            <c:strRef>
              <c:f>'2'!$J$1</c:f>
              <c:strCache>
                <c:ptCount val="1"/>
                <c:pt idx="0">
                  <c:v>sprzedane hot-dogi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'2'!$G$2:$G$5</c:f>
              <c:strCache>
                <c:ptCount val="3"/>
                <c:pt idx="0">
                  <c:v>cze</c:v>
                </c:pt>
                <c:pt idx="1">
                  <c:v>lip</c:v>
                </c:pt>
                <c:pt idx="2">
                  <c:v>sie</c:v>
                </c:pt>
              </c:strCache>
            </c:strRef>
          </c:cat>
          <c:val>
            <c:numRef>
              <c:f>'2'!$J$2:$J$5</c:f>
              <c:numCache>
                <c:formatCode>General</c:formatCode>
                <c:ptCount val="3"/>
                <c:pt idx="0">
                  <c:v>2639</c:v>
                </c:pt>
                <c:pt idx="1">
                  <c:v>2747</c:v>
                </c:pt>
                <c:pt idx="2">
                  <c:v>2665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22-4F19-B56C-B474F05816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5416495"/>
        <c:axId val="1978859711"/>
      </c:barChart>
      <c:catAx>
        <c:axId val="475416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78859711"/>
        <c:crosses val="autoZero"/>
        <c:auto val="1"/>
        <c:lblAlgn val="ctr"/>
        <c:lblOffset val="100"/>
        <c:noMultiLvlLbl val="0"/>
      </c:catAx>
      <c:valAx>
        <c:axId val="197885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sprzedanych poszczególnych</a:t>
                </a:r>
                <a:r>
                  <a:rPr lang="pl-PL" baseline="0"/>
                  <a:t> produktów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7541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609599</xdr:colOff>
      <xdr:row>6</xdr:row>
      <xdr:rowOff>185736</xdr:rowOff>
    </xdr:from>
    <xdr:to>
      <xdr:col>14</xdr:col>
      <xdr:colOff>114299</xdr:colOff>
      <xdr:row>28</xdr:row>
      <xdr:rowOff>9525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E8FBF68-70AB-26F3-03A5-062CE59F1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Zając" refreshedDate="45973.730880671297" createdVersion="8" refreshedVersion="8" minRefreshableVersion="3" recordCount="92" xr:uid="{CBDBB0D4-E148-4C46-92C5-41E95ADC614B}">
  <cacheSource type="worksheet">
    <worksheetSource name="temperatury4"/>
  </cacheSource>
  <cacheFields count="7">
    <cacheField name="data" numFmtId="14">
      <sharedItems containsSemiMixedTypes="0" containsNonDate="0" containsDate="1" containsString="0" minDate="2022-06-01T00:00:00" maxDate="2022-09-01T00:00:00" count="92"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</sharedItems>
      <fieldGroup par="6"/>
    </cacheField>
    <cacheField name="temperatura" numFmtId="0">
      <sharedItems containsSemiMixedTypes="0" containsString="0" containsNumber="1" containsInteger="1" minValue="15" maxValue="33"/>
    </cacheField>
    <cacheField name="hot-dog" numFmtId="0">
      <sharedItems containsSemiMixedTypes="0" containsString="0" containsNumber="1" containsInteger="1" minValue="58" maxValue="121"/>
    </cacheField>
    <cacheField name="lody" numFmtId="0">
      <sharedItems containsSemiMixedTypes="0" containsString="0" containsNumber="1" containsInteger="1" minValue="82" maxValue="157"/>
    </cacheField>
    <cacheField name="kukurydza" numFmtId="0">
      <sharedItems containsSemiMixedTypes="0" containsString="0" containsNumber="1" containsInteger="1" minValue="58" maxValue="101"/>
    </cacheField>
    <cacheField name="Dni (data)" numFmtId="0" databaseField="0">
      <fieldGroup base="0">
        <rangePr groupBy="days" startDate="2022-06-01T00:00:00" endDate="2022-09-01T00:00:00"/>
        <groupItems count="368">
          <s v="&lt;01.06.2022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9.2022"/>
        </groupItems>
      </fieldGroup>
    </cacheField>
    <cacheField name="Miesiące (data)" numFmtId="0" databaseField="0">
      <fieldGroup base="0">
        <rangePr groupBy="months" startDate="2022-06-01T00:00:00" endDate="2022-09-01T00:00:00"/>
        <groupItems count="14">
          <s v="&lt;01.06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9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n v="24"/>
    <n v="90"/>
    <n v="120"/>
    <n v="80"/>
  </r>
  <r>
    <x v="1"/>
    <n v="25"/>
    <n v="93"/>
    <n v="124"/>
    <n v="82"/>
  </r>
  <r>
    <x v="2"/>
    <n v="27"/>
    <n v="100"/>
    <n v="132"/>
    <n v="87"/>
  </r>
  <r>
    <x v="3"/>
    <n v="27"/>
    <n v="100"/>
    <n v="132"/>
    <n v="87"/>
  </r>
  <r>
    <x v="4"/>
    <n v="27"/>
    <n v="100"/>
    <n v="132"/>
    <n v="87"/>
  </r>
  <r>
    <x v="5"/>
    <n v="22"/>
    <n v="83"/>
    <n v="111"/>
    <n v="75"/>
  </r>
  <r>
    <x v="6"/>
    <n v="25"/>
    <n v="93"/>
    <n v="124"/>
    <n v="82"/>
  </r>
  <r>
    <x v="7"/>
    <n v="25"/>
    <n v="93"/>
    <n v="124"/>
    <n v="82"/>
  </r>
  <r>
    <x v="8"/>
    <n v="21"/>
    <n v="79"/>
    <n v="107"/>
    <n v="72"/>
  </r>
  <r>
    <x v="9"/>
    <n v="21"/>
    <n v="79"/>
    <n v="107"/>
    <n v="72"/>
  </r>
  <r>
    <x v="10"/>
    <n v="19"/>
    <n v="72"/>
    <n v="99"/>
    <n v="68"/>
  </r>
  <r>
    <x v="11"/>
    <n v="19"/>
    <n v="72"/>
    <n v="99"/>
    <n v="68"/>
  </r>
  <r>
    <x v="12"/>
    <n v="15"/>
    <n v="58"/>
    <n v="82"/>
    <n v="58"/>
  </r>
  <r>
    <x v="13"/>
    <n v="21"/>
    <n v="79"/>
    <n v="107"/>
    <n v="72"/>
  </r>
  <r>
    <x v="14"/>
    <n v="23"/>
    <n v="86"/>
    <n v="115"/>
    <n v="77"/>
  </r>
  <r>
    <x v="15"/>
    <n v="23"/>
    <n v="86"/>
    <n v="115"/>
    <n v="77"/>
  </r>
  <r>
    <x v="16"/>
    <n v="16"/>
    <n v="62"/>
    <n v="86"/>
    <n v="61"/>
  </r>
  <r>
    <x v="17"/>
    <n v="21"/>
    <n v="79"/>
    <n v="107"/>
    <n v="72"/>
  </r>
  <r>
    <x v="18"/>
    <n v="22"/>
    <n v="83"/>
    <n v="111"/>
    <n v="75"/>
  </r>
  <r>
    <x v="19"/>
    <n v="22"/>
    <n v="83"/>
    <n v="111"/>
    <n v="75"/>
  </r>
  <r>
    <x v="20"/>
    <n v="22"/>
    <n v="83"/>
    <n v="111"/>
    <n v="75"/>
  </r>
  <r>
    <x v="21"/>
    <n v="28"/>
    <n v="103"/>
    <n v="136"/>
    <n v="89"/>
  </r>
  <r>
    <x v="22"/>
    <n v="31"/>
    <n v="114"/>
    <n v="148"/>
    <n v="96"/>
  </r>
  <r>
    <x v="23"/>
    <n v="33"/>
    <n v="121"/>
    <n v="157"/>
    <n v="101"/>
  </r>
  <r>
    <x v="24"/>
    <n v="33"/>
    <n v="121"/>
    <n v="157"/>
    <n v="101"/>
  </r>
  <r>
    <x v="25"/>
    <n v="23"/>
    <n v="86"/>
    <n v="115"/>
    <n v="77"/>
  </r>
  <r>
    <x v="26"/>
    <n v="23"/>
    <n v="86"/>
    <n v="115"/>
    <n v="77"/>
  </r>
  <r>
    <x v="27"/>
    <n v="19"/>
    <n v="72"/>
    <n v="99"/>
    <n v="68"/>
  </r>
  <r>
    <x v="28"/>
    <n v="24"/>
    <n v="90"/>
    <n v="120"/>
    <n v="80"/>
  </r>
  <r>
    <x v="29"/>
    <n v="25"/>
    <n v="93"/>
    <n v="124"/>
    <n v="82"/>
  </r>
  <r>
    <x v="30"/>
    <n v="27"/>
    <n v="100"/>
    <n v="132"/>
    <n v="87"/>
  </r>
  <r>
    <x v="31"/>
    <n v="27"/>
    <n v="100"/>
    <n v="132"/>
    <n v="87"/>
  </r>
  <r>
    <x v="32"/>
    <n v="21"/>
    <n v="79"/>
    <n v="107"/>
    <n v="72"/>
  </r>
  <r>
    <x v="33"/>
    <n v="21"/>
    <n v="79"/>
    <n v="107"/>
    <n v="72"/>
  </r>
  <r>
    <x v="34"/>
    <n v="25"/>
    <n v="93"/>
    <n v="124"/>
    <n v="82"/>
  </r>
  <r>
    <x v="35"/>
    <n v="19"/>
    <n v="72"/>
    <n v="99"/>
    <n v="68"/>
  </r>
  <r>
    <x v="36"/>
    <n v="21"/>
    <n v="79"/>
    <n v="107"/>
    <n v="72"/>
  </r>
  <r>
    <x v="37"/>
    <n v="24"/>
    <n v="90"/>
    <n v="120"/>
    <n v="80"/>
  </r>
  <r>
    <x v="38"/>
    <n v="19"/>
    <n v="72"/>
    <n v="99"/>
    <n v="68"/>
  </r>
  <r>
    <x v="39"/>
    <n v="28"/>
    <n v="103"/>
    <n v="136"/>
    <n v="89"/>
  </r>
  <r>
    <x v="40"/>
    <n v="27"/>
    <n v="100"/>
    <n v="132"/>
    <n v="87"/>
  </r>
  <r>
    <x v="41"/>
    <n v="24"/>
    <n v="90"/>
    <n v="120"/>
    <n v="80"/>
  </r>
  <r>
    <x v="42"/>
    <n v="22"/>
    <n v="83"/>
    <n v="111"/>
    <n v="75"/>
  </r>
  <r>
    <x v="43"/>
    <n v="17"/>
    <n v="65"/>
    <n v="91"/>
    <n v="63"/>
  </r>
  <r>
    <x v="44"/>
    <n v="18"/>
    <n v="69"/>
    <n v="95"/>
    <n v="65"/>
  </r>
  <r>
    <x v="45"/>
    <n v="23"/>
    <n v="86"/>
    <n v="115"/>
    <n v="77"/>
  </r>
  <r>
    <x v="46"/>
    <n v="23"/>
    <n v="86"/>
    <n v="115"/>
    <n v="77"/>
  </r>
  <r>
    <x v="47"/>
    <n v="19"/>
    <n v="72"/>
    <n v="99"/>
    <n v="68"/>
  </r>
  <r>
    <x v="48"/>
    <n v="21"/>
    <n v="79"/>
    <n v="107"/>
    <n v="72"/>
  </r>
  <r>
    <x v="49"/>
    <n v="25"/>
    <n v="93"/>
    <n v="124"/>
    <n v="82"/>
  </r>
  <r>
    <x v="50"/>
    <n v="28"/>
    <n v="103"/>
    <n v="136"/>
    <n v="89"/>
  </r>
  <r>
    <x v="51"/>
    <n v="27"/>
    <n v="100"/>
    <n v="132"/>
    <n v="87"/>
  </r>
  <r>
    <x v="52"/>
    <n v="23"/>
    <n v="86"/>
    <n v="115"/>
    <n v="77"/>
  </r>
  <r>
    <x v="53"/>
    <n v="26"/>
    <n v="96"/>
    <n v="128"/>
    <n v="84"/>
  </r>
  <r>
    <x v="54"/>
    <n v="29"/>
    <n v="107"/>
    <n v="140"/>
    <n v="91"/>
  </r>
  <r>
    <x v="55"/>
    <n v="26"/>
    <n v="96"/>
    <n v="128"/>
    <n v="84"/>
  </r>
  <r>
    <x v="56"/>
    <n v="27"/>
    <n v="100"/>
    <n v="132"/>
    <n v="87"/>
  </r>
  <r>
    <x v="57"/>
    <n v="24"/>
    <n v="90"/>
    <n v="120"/>
    <n v="80"/>
  </r>
  <r>
    <x v="58"/>
    <n v="26"/>
    <n v="96"/>
    <n v="128"/>
    <n v="84"/>
  </r>
  <r>
    <x v="59"/>
    <n v="25"/>
    <n v="93"/>
    <n v="124"/>
    <n v="82"/>
  </r>
  <r>
    <x v="60"/>
    <n v="24"/>
    <n v="90"/>
    <n v="120"/>
    <n v="80"/>
  </r>
  <r>
    <x v="61"/>
    <n v="22"/>
    <n v="83"/>
    <n v="111"/>
    <n v="75"/>
  </r>
  <r>
    <x v="62"/>
    <n v="19"/>
    <n v="72"/>
    <n v="99"/>
    <n v="68"/>
  </r>
  <r>
    <x v="63"/>
    <n v="21"/>
    <n v="79"/>
    <n v="107"/>
    <n v="72"/>
  </r>
  <r>
    <x v="64"/>
    <n v="26"/>
    <n v="96"/>
    <n v="128"/>
    <n v="84"/>
  </r>
  <r>
    <x v="65"/>
    <n v="19"/>
    <n v="72"/>
    <n v="99"/>
    <n v="68"/>
  </r>
  <r>
    <x v="66"/>
    <n v="21"/>
    <n v="79"/>
    <n v="107"/>
    <n v="72"/>
  </r>
  <r>
    <x v="67"/>
    <n v="23"/>
    <n v="86"/>
    <n v="115"/>
    <n v="77"/>
  </r>
  <r>
    <x v="68"/>
    <n v="27"/>
    <n v="100"/>
    <n v="132"/>
    <n v="87"/>
  </r>
  <r>
    <x v="69"/>
    <n v="20"/>
    <n v="76"/>
    <n v="103"/>
    <n v="70"/>
  </r>
  <r>
    <x v="70"/>
    <n v="18"/>
    <n v="69"/>
    <n v="95"/>
    <n v="65"/>
  </r>
  <r>
    <x v="71"/>
    <n v="17"/>
    <n v="65"/>
    <n v="91"/>
    <n v="63"/>
  </r>
  <r>
    <x v="72"/>
    <n v="19"/>
    <n v="72"/>
    <n v="99"/>
    <n v="68"/>
  </r>
  <r>
    <x v="73"/>
    <n v="26"/>
    <n v="96"/>
    <n v="128"/>
    <n v="84"/>
  </r>
  <r>
    <x v="74"/>
    <n v="21"/>
    <n v="79"/>
    <n v="107"/>
    <n v="72"/>
  </r>
  <r>
    <x v="75"/>
    <n v="19"/>
    <n v="72"/>
    <n v="99"/>
    <n v="68"/>
  </r>
  <r>
    <x v="76"/>
    <n v="19"/>
    <n v="72"/>
    <n v="99"/>
    <n v="68"/>
  </r>
  <r>
    <x v="77"/>
    <n v="21"/>
    <n v="79"/>
    <n v="107"/>
    <n v="72"/>
  </r>
  <r>
    <x v="78"/>
    <n v="21"/>
    <n v="79"/>
    <n v="107"/>
    <n v="72"/>
  </r>
  <r>
    <x v="79"/>
    <n v="24"/>
    <n v="90"/>
    <n v="120"/>
    <n v="80"/>
  </r>
  <r>
    <x v="80"/>
    <n v="26"/>
    <n v="96"/>
    <n v="128"/>
    <n v="84"/>
  </r>
  <r>
    <x v="81"/>
    <n v="23"/>
    <n v="86"/>
    <n v="115"/>
    <n v="77"/>
  </r>
  <r>
    <x v="82"/>
    <n v="23"/>
    <n v="86"/>
    <n v="115"/>
    <n v="77"/>
  </r>
  <r>
    <x v="83"/>
    <n v="24"/>
    <n v="90"/>
    <n v="120"/>
    <n v="80"/>
  </r>
  <r>
    <x v="84"/>
    <n v="26"/>
    <n v="96"/>
    <n v="128"/>
    <n v="84"/>
  </r>
  <r>
    <x v="85"/>
    <n v="28"/>
    <n v="103"/>
    <n v="136"/>
    <n v="89"/>
  </r>
  <r>
    <x v="86"/>
    <n v="32"/>
    <n v="117"/>
    <n v="153"/>
    <n v="98"/>
  </r>
  <r>
    <x v="87"/>
    <n v="26"/>
    <n v="96"/>
    <n v="128"/>
    <n v="84"/>
  </r>
  <r>
    <x v="88"/>
    <n v="32"/>
    <n v="117"/>
    <n v="153"/>
    <n v="98"/>
  </r>
  <r>
    <x v="89"/>
    <n v="23"/>
    <n v="86"/>
    <n v="115"/>
    <n v="77"/>
  </r>
  <r>
    <x v="90"/>
    <n v="22"/>
    <n v="83"/>
    <n v="111"/>
    <n v="75"/>
  </r>
  <r>
    <x v="91"/>
    <n v="25"/>
    <n v="93"/>
    <n v="12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F1019-A7A8-460D-8DF2-1A43B918A03B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 rowHeaderCaption="miesiące">
  <location ref="G1:J5" firstHeaderRow="0" firstDataRow="1" firstDataCol="1"/>
  <pivotFields count="7">
    <pivotField numFmtId="1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dataField="1" showAll="0"/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4"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przedane lody" fld="3" baseField="0" baseItem="0"/>
    <dataField name="sprzedana kukurydza" fld="4" baseField="0" baseItem="0"/>
    <dataField name="sprzedane hot-dogi" fld="2" baseField="0" baseItem="0"/>
  </dataFields>
  <formats count="4">
    <format dxfId="21">
      <pivotArea collapsedLevelsAreSubtotals="1" fieldPosition="0">
        <references count="1">
          <reference field="6" count="3">
            <x v="6"/>
            <x v="7"/>
            <x v="8"/>
          </reference>
        </references>
      </pivotArea>
    </format>
    <format dxfId="20">
      <pivotArea field="6" type="button" dataOnly="0" labelOnly="1" outline="0" axis="axisRow" fieldPosition="0"/>
    </format>
    <format dxfId="19">
      <pivotArea dataOnly="0" labelOnly="1" fieldPosition="0">
        <references count="1">
          <reference field="6" count="3">
            <x v="6"/>
            <x v="7"/>
            <x v="8"/>
          </reference>
        </references>
      </pivotArea>
    </format>
    <format dxfId="1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3371A7B-EAF0-4C1B-AEBF-80E4BDF3AE3A}" autoFormatId="16" applyNumberFormats="0" applyBorderFormats="0" applyFontFormats="0" applyPatternFormats="0" applyAlignmentFormats="0" applyWidthHeightFormats="0">
  <queryTableRefresh nextId="7" unboundColumnsRight="4">
    <queryTableFields count="6">
      <queryTableField id="1" name="Column1" tableColumnId="1"/>
      <queryTableField id="2" name="Column2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FB7B5C5-6057-4DAB-A5CA-3C6722F846E1}" autoFormatId="16" applyNumberFormats="0" applyBorderFormats="0" applyFontFormats="0" applyPatternFormats="0" applyAlignmentFormats="0" applyWidthHeightFormats="0">
  <queryTableRefresh nextId="6" unboundColumnsRight="3">
    <queryTableFields count="5">
      <queryTableField id="1" name="Column1" tableColumnId="1"/>
      <queryTableField id="2" name="Column2" tableColumnId="2"/>
      <queryTableField id="3" dataBound="0" tableColumnId="3"/>
      <queryTableField id="4" dataBound="0" tableColumnId="4"/>
      <queryTableField id="5" dataBound="0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57C746D-26E9-4B76-BE18-F20F7DEA2795}" autoFormatId="16" applyNumberFormats="0" applyBorderFormats="0" applyFontFormats="0" applyPatternFormats="0" applyAlignmentFormats="0" applyWidthHeightFormats="0">
  <queryTableRefresh nextId="11" unboundColumnsRight="8">
    <queryTableFields count="10">
      <queryTableField id="1" name="Column1" tableColumnId="1"/>
      <queryTableField id="2" name="Column2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2CFD5DF-32D6-46E6-88A5-90B07821F57B}" autoFormatId="16" applyNumberFormats="0" applyBorderFormats="0" applyFontFormats="0" applyPatternFormats="0" applyAlignmentFormats="0" applyWidthHeightFormats="0">
  <queryTableRefresh nextId="10" unboundColumnsRight="7">
    <queryTableFields count="9">
      <queryTableField id="1" name="Column1" tableColumnId="1"/>
      <queryTableField id="2" name="Column2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302F90-E7A6-4006-9732-646B601B9BE0}" autoFormatId="16" applyNumberFormats="0" applyBorderFormats="0" applyFontFormats="0" applyPatternFormats="0" applyAlignmentFormats="0" applyWidthHeightFormats="0">
  <queryTableRefresh nextId="6" unboundColumnsRight="3">
    <queryTableFields count="5">
      <queryTableField id="1" name="Column1" tableColumnId="1"/>
      <queryTableField id="2" name="Column2" tableColumnId="2"/>
      <queryTableField id="3" dataBound="0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BC11CA-82ED-44B1-90C3-160F1196EC7B}" name="temperatury3" displayName="temperatury3" ref="A1:F93" tableType="queryTable" totalsRowShown="0">
  <autoFilter ref="A1:F93" xr:uid="{ED3A17CC-F812-40B4-B8B1-F37EE2CF848B}"/>
  <tableColumns count="6">
    <tableColumn id="1" xr3:uid="{5F9FB839-D3DA-49A0-9BE1-7036A93DBF6A}" uniqueName="1" name="data" queryTableFieldId="1" dataDxfId="22"/>
    <tableColumn id="2" xr3:uid="{F16F18FE-8088-4CA4-BA66-90551A12A5B2}" uniqueName="2" name="temperatura" queryTableFieldId="2"/>
    <tableColumn id="3" xr3:uid="{04F51BC7-58AB-4A53-8B1A-F0157BFF5F8A}" uniqueName="3" name="hot-dog" queryTableFieldId="3"/>
    <tableColumn id="4" xr3:uid="{1D487B38-E51E-470C-95FD-C9454C9A26D2}" uniqueName="4" name="lody" queryTableFieldId="4"/>
    <tableColumn id="5" xr3:uid="{DCAC7E62-A259-4FC8-BABD-2EA4938C7EA5}" uniqueName="5" name="kukurydza" queryTableFieldId="5"/>
    <tableColumn id="6" xr3:uid="{09A88C7C-A676-4413-8B66-6A9DE9AA62C3}" uniqueName="6" name="ciagCieplych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210E71-0B61-40CD-892D-BBACA4E0FC38}" name="temperatury4" displayName="temperatury4" ref="A1:E93" tableType="queryTable" totalsRowShown="0">
  <autoFilter ref="A1:E93" xr:uid="{ED3A17CC-F812-40B4-B8B1-F37EE2CF848B}"/>
  <tableColumns count="5">
    <tableColumn id="1" xr3:uid="{BACDE868-B071-4669-A5C2-53D303C02D0E}" uniqueName="1" name="data" queryTableFieldId="1" dataDxfId="17"/>
    <tableColumn id="2" xr3:uid="{ED9EE784-1B99-43C9-99E3-8234FF55B826}" uniqueName="2" name="temperatura" queryTableFieldId="2"/>
    <tableColumn id="3" xr3:uid="{1D44554B-C648-4907-9B44-4E68F1455EDC}" uniqueName="3" name="hot-dog" queryTableFieldId="3"/>
    <tableColumn id="4" xr3:uid="{AFF90EAC-FBE1-45E5-96A8-B78EE822BCFF}" uniqueName="4" name="lody" queryTableFieldId="4"/>
    <tableColumn id="5" xr3:uid="{5C5A9212-879F-4180-A7D9-1DF54C93FDCC}" uniqueName="5" name="kukurydza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D13446-3E76-48B2-AC10-E97274D6239B}" name="temperatury5" displayName="temperatury5" ref="A1:J93" tableType="queryTable" totalsRowShown="0">
  <autoFilter ref="A1:J93" xr:uid="{ED3A17CC-F812-40B4-B8B1-F37EE2CF848B}"/>
  <tableColumns count="10">
    <tableColumn id="1" xr3:uid="{45FC0119-0121-4D75-887E-D2FD9DF01D07}" uniqueName="1" name="data" queryTableFieldId="1" dataDxfId="16"/>
    <tableColumn id="2" xr3:uid="{30F937EB-FF3C-4780-B925-B9D325046927}" uniqueName="2" name="temperatura" queryTableFieldId="2"/>
    <tableColumn id="3" xr3:uid="{A6CC86AA-A7BE-4EBE-8FF8-B56765710490}" uniqueName="3" name="hot-dog" queryTableFieldId="3"/>
    <tableColumn id="4" xr3:uid="{F459EBEE-3D1F-4F02-A410-DF851E8D274C}" uniqueName="4" name="lody" queryTableFieldId="4"/>
    <tableColumn id="5" xr3:uid="{25D02873-A6A4-4727-B0EE-AB9B28760A3C}" uniqueName="5" name="kukurydza" queryTableFieldId="5"/>
    <tableColumn id="6" xr3:uid="{1A97D288-09AD-4AC3-955E-72494CC7BBE6}" uniqueName="6" name="utarg_za_hot_dogi" queryTableFieldId="6" dataDxfId="15">
      <calculatedColumnFormula>temperatury5[[#This Row],[hot-dog]]*VLOOKUP(temperatury5[[#Headers],[hot-dog]],$O$1:$Q$4,3,FALSE)</calculatedColumnFormula>
    </tableColumn>
    <tableColumn id="7" xr3:uid="{8716F57A-467B-45E3-AC3B-F74AB08303D4}" uniqueName="7" name="utarg_za_lody" queryTableFieldId="7" dataDxfId="14">
      <calculatedColumnFormula>temperatury5[[#This Row],[lody]]*VLOOKUP(temperatury5[[#Headers],[lody]],$O$1:$Q$4,3,FALSE)</calculatedColumnFormula>
    </tableColumn>
    <tableColumn id="8" xr3:uid="{4C4C7296-80AD-4281-A621-393C34D88762}" uniqueName="8" name="utarg_za_kukurydze" queryTableFieldId="8" dataDxfId="13">
      <calculatedColumnFormula>temperatury5[[#This Row],[kukurydza]]*VLOOKUP(temperatury5[[#Headers],[kukurydza]],$O$1:$Q$4,3,FALSE)</calculatedColumnFormula>
    </tableColumn>
    <tableColumn id="9" xr3:uid="{074EA69F-B5B0-46F4-B573-9630560F0B10}" uniqueName="9" name="dzienny_utarg" queryTableFieldId="9" dataDxfId="12">
      <calculatedColumnFormula>SUM(temperatury5[[#This Row],[utarg_za_hot_dogi]:[utarg_za_kukurydze]])</calculatedColumnFormula>
    </tableColumn>
    <tableColumn id="10" xr3:uid="{02CFCE3A-549F-47AA-9DDE-4A86C515D0AC}" uniqueName="10" name="suma_utargu" queryTableFieldId="10" dataDxfId="11">
      <calculatedColumnFormula>SUM($I$2:I2)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CFE943-A8BD-4978-89DE-17BA28E9E265}" name="temperatury6" displayName="temperatury6" ref="A1:I93" tableType="queryTable" totalsRowShown="0">
  <autoFilter ref="A1:I93" xr:uid="{ED3A17CC-F812-40B4-B8B1-F37EE2CF848B}"/>
  <tableColumns count="9">
    <tableColumn id="1" xr3:uid="{C634CEC2-9653-4FD9-80A6-495AD042AF5F}" uniqueName="1" name="data" queryTableFieldId="1" dataDxfId="10"/>
    <tableColumn id="2" xr3:uid="{C9A688C9-0926-48E1-A495-69FE7BA83783}" uniqueName="2" name="temperatura" queryTableFieldId="2"/>
    <tableColumn id="3" xr3:uid="{187A7D72-F8EB-44E7-997F-624F6A135ACE}" uniqueName="3" name="hot-dog" queryTableFieldId="3"/>
    <tableColumn id="4" xr3:uid="{71D6E313-84EF-4F4E-BC45-850C3FC85ED6}" uniqueName="4" name="lody" queryTableFieldId="4"/>
    <tableColumn id="5" xr3:uid="{0FEB5BC7-26DF-4706-9590-FE3DF90C4C7B}" uniqueName="5" name="kukurydza" queryTableFieldId="5"/>
    <tableColumn id="6" xr3:uid="{B91CD1E3-92B6-4F32-9904-A772BA3F3452}" uniqueName="6" name="utarg_za_hot_dogi" queryTableFieldId="6" dataDxfId="9">
      <calculatedColumnFormula>temperatury5[[#This Row],[hot-dog]]*VLOOKUP(temperatury5[[#Headers],[hot-dog]],$O$1:$Q$4,3,FALSE)</calculatedColumnFormula>
    </tableColumn>
    <tableColumn id="7" xr3:uid="{72899AFC-0BC8-4EAF-B48B-BF5E743C548F}" uniqueName="7" name="utarg_za_lody" queryTableFieldId="7" dataDxfId="8">
      <calculatedColumnFormula>temperatury5[[#This Row],[lody]]*VLOOKUP(temperatury5[[#Headers],[lody]],$O$1:$Q$4,3,FALSE)</calculatedColumnFormula>
    </tableColumn>
    <tableColumn id="8" xr3:uid="{4B3DFCC1-4CE5-432A-8953-23C6D0346C0E}" uniqueName="8" name="utarg_za_kukurydze" queryTableFieldId="8" dataDxfId="7">
      <calculatedColumnFormula>temperatury5[[#This Row],[kukurydza]]*VLOOKUP(temperatury5[[#Headers],[kukurydza]],$O$1:$Q$4,3,FALSE)</calculatedColumnFormula>
    </tableColumn>
    <tableColumn id="9" xr3:uid="{7C1D4320-4ADC-4AA4-91E4-373AD4AD4ECE}" uniqueName="9" name="dzienny_utarg" queryTableFieldId="9" dataDxfId="6">
      <calculatedColumnFormula>SUM(temperatury5[[#This Row],[utarg_za_hot_dogi]:[utarg_za_kukurydze]])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A17CC-F812-40B4-B8B1-F37EE2CF848B}" name="temperatury" displayName="temperatury" ref="A1:E93" tableType="queryTable" totalsRowShown="0">
  <autoFilter ref="A1:E93" xr:uid="{ED3A17CC-F812-40B4-B8B1-F37EE2CF848B}"/>
  <tableColumns count="5">
    <tableColumn id="1" xr3:uid="{080449D2-B4F9-43B2-B1D2-59973357A64F}" uniqueName="1" name="data" queryTableFieldId="1" dataDxfId="5"/>
    <tableColumn id="2" xr3:uid="{B2F60C3A-8B2B-4C6F-972A-D6013D87A17F}" uniqueName="2" name="temperatura" queryTableFieldId="2"/>
    <tableColumn id="3" xr3:uid="{557C3CAA-FC2C-4361-8EB3-6F8ACC9210D8}" uniqueName="3" name="hot-dog" queryTableFieldId="3"/>
    <tableColumn id="4" xr3:uid="{B1966E2E-FD7F-4513-9DE1-B4FBB1005028}" uniqueName="4" name="lody" queryTableFieldId="4"/>
    <tableColumn id="5" xr3:uid="{E8BD76F6-58C4-496F-B40B-1A46E5385668}" uniqueName="5" name="kukurydza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5CDA5-4F93-416C-8423-72F0AFE46D66}">
  <dimension ref="A1:Q93"/>
  <sheetViews>
    <sheetView tabSelected="1" workbookViewId="0">
      <selection activeCell="L8" sqref="L8"/>
    </sheetView>
  </sheetViews>
  <sheetFormatPr defaultRowHeight="15" x14ac:dyDescent="0.25"/>
  <cols>
    <col min="1" max="1" width="10.140625" bestFit="1" customWidth="1"/>
    <col min="2" max="2" width="14.42578125" bestFit="1" customWidth="1"/>
    <col min="3" max="3" width="10.140625" customWidth="1"/>
    <col min="4" max="4" width="7.140625" bestFit="1" customWidth="1"/>
    <col min="5" max="5" width="12.28515625" bestFit="1" customWidth="1"/>
    <col min="6" max="6" width="14.28515625" bestFit="1" customWidth="1"/>
    <col min="8" max="8" width="14.140625" bestFit="1" customWidth="1"/>
    <col min="9" max="9" width="10.140625" bestFit="1" customWidth="1"/>
    <col min="15" max="15" width="15.28515625" bestFit="1" customWidth="1"/>
    <col min="16" max="16" width="28.42578125" bestFit="1" customWidth="1"/>
    <col min="17" max="17" width="15" bestFit="1" customWidth="1"/>
  </cols>
  <sheetData>
    <row r="1" spans="1:17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8</v>
      </c>
      <c r="H1" t="s">
        <v>9</v>
      </c>
      <c r="I1">
        <f>MAX(temperatury3[ciagCieplych])</f>
        <v>15</v>
      </c>
      <c r="O1" t="s">
        <v>2</v>
      </c>
      <c r="P1" t="s">
        <v>3</v>
      </c>
      <c r="Q1" t="s">
        <v>7</v>
      </c>
    </row>
    <row r="2" spans="1:17" x14ac:dyDescent="0.25">
      <c r="A2" s="1">
        <v>44713</v>
      </c>
      <c r="B2">
        <v>24</v>
      </c>
      <c r="C2">
        <v>90</v>
      </c>
      <c r="D2">
        <v>120</v>
      </c>
      <c r="E2">
        <v>80</v>
      </c>
      <c r="F2">
        <v>0</v>
      </c>
      <c r="O2" t="s">
        <v>4</v>
      </c>
      <c r="P2">
        <f>1/13</f>
        <v>7.6923076923076927E-2</v>
      </c>
      <c r="Q2">
        <v>7</v>
      </c>
    </row>
    <row r="3" spans="1:17" x14ac:dyDescent="0.25">
      <c r="A3" s="1">
        <v>44714</v>
      </c>
      <c r="B3">
        <v>25</v>
      </c>
      <c r="C3">
        <f>ROUNDDOWN($C$2*(1+VLOOKUP(temperatury3[[#Headers],[hot-dog]],$O$1:$P$4,2,FALSE)*(temperatury3[[#This Row],[temperatura]]-24)/2),0)</f>
        <v>93</v>
      </c>
      <c r="D3">
        <f>ROUNDDOWN($D$2*(1+VLOOKUP(temperatury3[[#Headers],[lody]],$O$1:$P$4,2,FALSE)*(temperatury3[[#This Row],[temperatura]]-24)/2),0)</f>
        <v>124</v>
      </c>
      <c r="E3">
        <f>ROUNDDOWN($E$2*(1+VLOOKUP(temperatury3[[#Headers],[kukurydza]],$O$1:$P$4,2,FALSE)*(temperatury3[[#This Row],[temperatura]]-24)/2),0)</f>
        <v>82</v>
      </c>
      <c r="F3">
        <f>IF(temperatury3[[#This Row],[temperatura]]&gt;20,F2+1,0)</f>
        <v>1</v>
      </c>
      <c r="H3" s="2" t="s">
        <v>10</v>
      </c>
      <c r="I3" s="8">
        <v>44790</v>
      </c>
      <c r="O3" t="s">
        <v>5</v>
      </c>
      <c r="P3">
        <f>2/29</f>
        <v>6.8965517241379309E-2</v>
      </c>
      <c r="Q3">
        <v>5</v>
      </c>
    </row>
    <row r="4" spans="1:17" x14ac:dyDescent="0.25">
      <c r="A4" s="1">
        <v>44715</v>
      </c>
      <c r="B4">
        <v>27</v>
      </c>
      <c r="C4">
        <f>ROUNDDOWN($C$2*(1+VLOOKUP(temperatury3[[#Headers],[hot-dog]],$O$1:$P$4,2,FALSE)*(temperatury3[[#This Row],[temperatura]]-24)/2),0)</f>
        <v>100</v>
      </c>
      <c r="D4">
        <f>ROUNDDOWN($D$2*(1+VLOOKUP(temperatury3[[#Headers],[lody]],$O$1:$P$4,2,FALSE)*(temperatury3[[#This Row],[temperatura]]-24)/2),0)</f>
        <v>132</v>
      </c>
      <c r="E4">
        <f>ROUNDDOWN($E$2*(1+VLOOKUP(temperatury3[[#Headers],[kukurydza]],$O$1:$P$4,2,FALSE)*(temperatury3[[#This Row],[temperatura]]-24)/2),0)</f>
        <v>87</v>
      </c>
      <c r="F4">
        <f>IF(temperatury3[[#This Row],[temperatura]]&gt;20,F3+1,0)</f>
        <v>2</v>
      </c>
      <c r="H4" s="2" t="s">
        <v>11</v>
      </c>
      <c r="I4" s="3">
        <v>44804</v>
      </c>
      <c r="O4" t="s">
        <v>6</v>
      </c>
      <c r="P4">
        <f>1/17</f>
        <v>5.8823529411764705E-2</v>
      </c>
      <c r="Q4">
        <v>6</v>
      </c>
    </row>
    <row r="5" spans="1:17" x14ac:dyDescent="0.25">
      <c r="A5" s="1">
        <v>44716</v>
      </c>
      <c r="B5">
        <v>27</v>
      </c>
      <c r="C5">
        <f>ROUNDDOWN($C$2*(1+VLOOKUP(temperatury3[[#Headers],[hot-dog]],$O$1:$P$4,2,FALSE)*(temperatury3[[#This Row],[temperatura]]-24)/2),0)</f>
        <v>100</v>
      </c>
      <c r="D5">
        <f>ROUNDDOWN($D$2*(1+VLOOKUP(temperatury3[[#Headers],[lody]],$O$1:$P$4,2,FALSE)*(temperatury3[[#This Row],[temperatura]]-24)/2),0)</f>
        <v>132</v>
      </c>
      <c r="E5">
        <f>ROUNDDOWN($E$2*(1+VLOOKUP(temperatury3[[#Headers],[kukurydza]],$O$1:$P$4,2,FALSE)*(temperatury3[[#This Row],[temperatura]]-24)/2),0)</f>
        <v>87</v>
      </c>
      <c r="F5">
        <f>IF(temperatury3[[#This Row],[temperatura]]&gt;20,F4+1,0)</f>
        <v>3</v>
      </c>
    </row>
    <row r="6" spans="1:17" x14ac:dyDescent="0.25">
      <c r="A6" s="1">
        <v>44717</v>
      </c>
      <c r="B6">
        <v>27</v>
      </c>
      <c r="C6">
        <f>ROUNDDOWN($C$2*(1+VLOOKUP(temperatury3[[#Headers],[hot-dog]],$O$1:$P$4,2,FALSE)*(temperatury3[[#This Row],[temperatura]]-24)/2),0)</f>
        <v>100</v>
      </c>
      <c r="D6">
        <f>ROUNDDOWN($D$2*(1+VLOOKUP(temperatury3[[#Headers],[lody]],$O$1:$P$4,2,FALSE)*(temperatury3[[#This Row],[temperatura]]-24)/2),0)</f>
        <v>132</v>
      </c>
      <c r="E6">
        <f>ROUNDDOWN($E$2*(1+VLOOKUP(temperatury3[[#Headers],[kukurydza]],$O$1:$P$4,2,FALSE)*(temperatury3[[#This Row],[temperatura]]-24)/2),0)</f>
        <v>87</v>
      </c>
      <c r="F6">
        <f>IF(temperatury3[[#This Row],[temperatura]]&gt;20,F5+1,0)</f>
        <v>4</v>
      </c>
    </row>
    <row r="7" spans="1:17" x14ac:dyDescent="0.25">
      <c r="A7" s="1">
        <v>44718</v>
      </c>
      <c r="B7">
        <v>22</v>
      </c>
      <c r="C7">
        <f>ROUNDDOWN($C$2*(1+VLOOKUP(temperatury3[[#Headers],[hot-dog]],$O$1:$P$4,2,FALSE)*(temperatury3[[#This Row],[temperatura]]-24)/2),0)</f>
        <v>83</v>
      </c>
      <c r="D7">
        <f>ROUNDDOWN($D$2*(1+VLOOKUP(temperatury3[[#Headers],[lody]],$O$1:$P$4,2,FALSE)*(temperatury3[[#This Row],[temperatura]]-24)/2),0)</f>
        <v>111</v>
      </c>
      <c r="E7">
        <f>ROUNDDOWN($E$2*(1+VLOOKUP(temperatury3[[#Headers],[kukurydza]],$O$1:$P$4,2,FALSE)*(temperatury3[[#This Row],[temperatura]]-24)/2),0)</f>
        <v>75</v>
      </c>
      <c r="F7">
        <f>IF(temperatury3[[#This Row],[temperatura]]&gt;20,F6+1,0)</f>
        <v>5</v>
      </c>
    </row>
    <row r="8" spans="1:17" x14ac:dyDescent="0.25">
      <c r="A8" s="1">
        <v>44719</v>
      </c>
      <c r="B8">
        <v>25</v>
      </c>
      <c r="C8">
        <f>ROUNDDOWN($C$2*(1+VLOOKUP(temperatury3[[#Headers],[hot-dog]],$O$1:$P$4,2,FALSE)*(temperatury3[[#This Row],[temperatura]]-24)/2),0)</f>
        <v>93</v>
      </c>
      <c r="D8">
        <f>ROUNDDOWN($D$2*(1+VLOOKUP(temperatury3[[#Headers],[lody]],$O$1:$P$4,2,FALSE)*(temperatury3[[#This Row],[temperatura]]-24)/2),0)</f>
        <v>124</v>
      </c>
      <c r="E8">
        <f>ROUNDDOWN($E$2*(1+VLOOKUP(temperatury3[[#Headers],[kukurydza]],$O$1:$P$4,2,FALSE)*(temperatury3[[#This Row],[temperatura]]-24)/2),0)</f>
        <v>82</v>
      </c>
      <c r="F8">
        <f>IF(temperatury3[[#This Row],[temperatura]]&gt;20,F7+1,0)</f>
        <v>6</v>
      </c>
    </row>
    <row r="9" spans="1:17" x14ac:dyDescent="0.25">
      <c r="A9" s="1">
        <v>44720</v>
      </c>
      <c r="B9">
        <v>25</v>
      </c>
      <c r="C9">
        <f>ROUNDDOWN($C$2*(1+VLOOKUP(temperatury3[[#Headers],[hot-dog]],$O$1:$P$4,2,FALSE)*(temperatury3[[#This Row],[temperatura]]-24)/2),0)</f>
        <v>93</v>
      </c>
      <c r="D9">
        <f>ROUNDDOWN($D$2*(1+VLOOKUP(temperatury3[[#Headers],[lody]],$O$1:$P$4,2,FALSE)*(temperatury3[[#This Row],[temperatura]]-24)/2),0)</f>
        <v>124</v>
      </c>
      <c r="E9">
        <f>ROUNDDOWN($E$2*(1+VLOOKUP(temperatury3[[#Headers],[kukurydza]],$O$1:$P$4,2,FALSE)*(temperatury3[[#This Row],[temperatura]]-24)/2),0)</f>
        <v>82</v>
      </c>
      <c r="F9">
        <f>IF(temperatury3[[#This Row],[temperatura]]&gt;20,F8+1,0)</f>
        <v>7</v>
      </c>
    </row>
    <row r="10" spans="1:17" x14ac:dyDescent="0.25">
      <c r="A10" s="1">
        <v>44721</v>
      </c>
      <c r="B10">
        <v>21</v>
      </c>
      <c r="C10">
        <f>ROUNDDOWN($C$2*(1+VLOOKUP(temperatury3[[#Headers],[hot-dog]],$O$1:$P$4,2,FALSE)*(temperatury3[[#This Row],[temperatura]]-24)/2),0)</f>
        <v>79</v>
      </c>
      <c r="D10">
        <f>ROUNDDOWN($D$2*(1+VLOOKUP(temperatury3[[#Headers],[lody]],$O$1:$P$4,2,FALSE)*(temperatury3[[#This Row],[temperatura]]-24)/2),0)</f>
        <v>107</v>
      </c>
      <c r="E10">
        <f>ROUNDDOWN($E$2*(1+VLOOKUP(temperatury3[[#Headers],[kukurydza]],$O$1:$P$4,2,FALSE)*(temperatury3[[#This Row],[temperatura]]-24)/2),0)</f>
        <v>72</v>
      </c>
      <c r="F10">
        <f>IF(temperatury3[[#This Row],[temperatura]]&gt;20,F9+1,0)</f>
        <v>8</v>
      </c>
    </row>
    <row r="11" spans="1:17" x14ac:dyDescent="0.25">
      <c r="A11" s="1">
        <v>44722</v>
      </c>
      <c r="B11">
        <v>21</v>
      </c>
      <c r="C11">
        <f>ROUNDDOWN($C$2*(1+VLOOKUP(temperatury3[[#Headers],[hot-dog]],$O$1:$P$4,2,FALSE)*(temperatury3[[#This Row],[temperatura]]-24)/2),0)</f>
        <v>79</v>
      </c>
      <c r="D11">
        <f>ROUNDDOWN($D$2*(1+VLOOKUP(temperatury3[[#Headers],[lody]],$O$1:$P$4,2,FALSE)*(temperatury3[[#This Row],[temperatura]]-24)/2),0)</f>
        <v>107</v>
      </c>
      <c r="E11">
        <f>ROUNDDOWN($E$2*(1+VLOOKUP(temperatury3[[#Headers],[kukurydza]],$O$1:$P$4,2,FALSE)*(temperatury3[[#This Row],[temperatura]]-24)/2),0)</f>
        <v>72</v>
      </c>
      <c r="F11">
        <f>IF(temperatury3[[#This Row],[temperatura]]&gt;20,F10+1,0)</f>
        <v>9</v>
      </c>
    </row>
    <row r="12" spans="1:17" x14ac:dyDescent="0.25">
      <c r="A12" s="1">
        <v>44723</v>
      </c>
      <c r="B12">
        <v>19</v>
      </c>
      <c r="C12">
        <f>ROUNDDOWN($C$2*(1+VLOOKUP(temperatury3[[#Headers],[hot-dog]],$O$1:$P$4,2,FALSE)*(temperatury3[[#This Row],[temperatura]]-24)/2),0)</f>
        <v>72</v>
      </c>
      <c r="D12">
        <f>ROUNDDOWN($D$2*(1+VLOOKUP(temperatury3[[#Headers],[lody]],$O$1:$P$4,2,FALSE)*(temperatury3[[#This Row],[temperatura]]-24)/2),0)</f>
        <v>99</v>
      </c>
      <c r="E12">
        <f>ROUNDDOWN($E$2*(1+VLOOKUP(temperatury3[[#Headers],[kukurydza]],$O$1:$P$4,2,FALSE)*(temperatury3[[#This Row],[temperatura]]-24)/2),0)</f>
        <v>68</v>
      </c>
      <c r="F12">
        <f>IF(temperatury3[[#This Row],[temperatura]]&gt;20,F11+1,0)</f>
        <v>0</v>
      </c>
    </row>
    <row r="13" spans="1:17" x14ac:dyDescent="0.25">
      <c r="A13" s="1">
        <v>44724</v>
      </c>
      <c r="B13">
        <v>19</v>
      </c>
      <c r="C13">
        <f>ROUNDDOWN($C$2*(1+VLOOKUP(temperatury3[[#Headers],[hot-dog]],$O$1:$P$4,2,FALSE)*(temperatury3[[#This Row],[temperatura]]-24)/2),0)</f>
        <v>72</v>
      </c>
      <c r="D13">
        <f>ROUNDDOWN($D$2*(1+VLOOKUP(temperatury3[[#Headers],[lody]],$O$1:$P$4,2,FALSE)*(temperatury3[[#This Row],[temperatura]]-24)/2),0)</f>
        <v>99</v>
      </c>
      <c r="E13">
        <f>ROUNDDOWN($E$2*(1+VLOOKUP(temperatury3[[#Headers],[kukurydza]],$O$1:$P$4,2,FALSE)*(temperatury3[[#This Row],[temperatura]]-24)/2),0)</f>
        <v>68</v>
      </c>
      <c r="F13">
        <f>IF(temperatury3[[#This Row],[temperatura]]&gt;20,F12+1,0)</f>
        <v>0</v>
      </c>
    </row>
    <row r="14" spans="1:17" x14ac:dyDescent="0.25">
      <c r="A14" s="1">
        <v>44725</v>
      </c>
      <c r="B14">
        <v>15</v>
      </c>
      <c r="C14">
        <f>ROUNDDOWN($C$2*(1+VLOOKUP(temperatury3[[#Headers],[hot-dog]],$O$1:$P$4,2,FALSE)*(temperatury3[[#This Row],[temperatura]]-24)/2),0)</f>
        <v>58</v>
      </c>
      <c r="D14">
        <f>ROUNDDOWN($D$2*(1+VLOOKUP(temperatury3[[#Headers],[lody]],$O$1:$P$4,2,FALSE)*(temperatury3[[#This Row],[temperatura]]-24)/2),0)</f>
        <v>82</v>
      </c>
      <c r="E14">
        <f>ROUNDDOWN($E$2*(1+VLOOKUP(temperatury3[[#Headers],[kukurydza]],$O$1:$P$4,2,FALSE)*(temperatury3[[#This Row],[temperatura]]-24)/2),0)</f>
        <v>58</v>
      </c>
      <c r="F14">
        <f>IF(temperatury3[[#This Row],[temperatura]]&gt;20,F13+1,0)</f>
        <v>0</v>
      </c>
    </row>
    <row r="15" spans="1:17" x14ac:dyDescent="0.25">
      <c r="A15" s="1">
        <v>44726</v>
      </c>
      <c r="B15">
        <v>21</v>
      </c>
      <c r="C15">
        <f>ROUNDDOWN($C$2*(1+VLOOKUP(temperatury3[[#Headers],[hot-dog]],$O$1:$P$4,2,FALSE)*(temperatury3[[#This Row],[temperatura]]-24)/2),0)</f>
        <v>79</v>
      </c>
      <c r="D15">
        <f>ROUNDDOWN($D$2*(1+VLOOKUP(temperatury3[[#Headers],[lody]],$O$1:$P$4,2,FALSE)*(temperatury3[[#This Row],[temperatura]]-24)/2),0)</f>
        <v>107</v>
      </c>
      <c r="E15">
        <f>ROUNDDOWN($E$2*(1+VLOOKUP(temperatury3[[#Headers],[kukurydza]],$O$1:$P$4,2,FALSE)*(temperatury3[[#This Row],[temperatura]]-24)/2),0)</f>
        <v>72</v>
      </c>
      <c r="F15">
        <f>IF(temperatury3[[#This Row],[temperatura]]&gt;20,F14+1,0)</f>
        <v>1</v>
      </c>
    </row>
    <row r="16" spans="1:17" x14ac:dyDescent="0.25">
      <c r="A16" s="1">
        <v>44727</v>
      </c>
      <c r="B16">
        <v>23</v>
      </c>
      <c r="C16">
        <f>ROUNDDOWN($C$2*(1+VLOOKUP(temperatury3[[#Headers],[hot-dog]],$O$1:$P$4,2,FALSE)*(temperatury3[[#This Row],[temperatura]]-24)/2),0)</f>
        <v>86</v>
      </c>
      <c r="D16">
        <f>ROUNDDOWN($D$2*(1+VLOOKUP(temperatury3[[#Headers],[lody]],$O$1:$P$4,2,FALSE)*(temperatury3[[#This Row],[temperatura]]-24)/2),0)</f>
        <v>115</v>
      </c>
      <c r="E16">
        <f>ROUNDDOWN($E$2*(1+VLOOKUP(temperatury3[[#Headers],[kukurydza]],$O$1:$P$4,2,FALSE)*(temperatury3[[#This Row],[temperatura]]-24)/2),0)</f>
        <v>77</v>
      </c>
      <c r="F16">
        <f>IF(temperatury3[[#This Row],[temperatura]]&gt;20,F15+1,0)</f>
        <v>2</v>
      </c>
    </row>
    <row r="17" spans="1:6" x14ac:dyDescent="0.25">
      <c r="A17" s="1">
        <v>44728</v>
      </c>
      <c r="B17">
        <v>23</v>
      </c>
      <c r="C17">
        <f>ROUNDDOWN($C$2*(1+VLOOKUP(temperatury3[[#Headers],[hot-dog]],$O$1:$P$4,2,FALSE)*(temperatury3[[#This Row],[temperatura]]-24)/2),0)</f>
        <v>86</v>
      </c>
      <c r="D17">
        <f>ROUNDDOWN($D$2*(1+VLOOKUP(temperatury3[[#Headers],[lody]],$O$1:$P$4,2,FALSE)*(temperatury3[[#This Row],[temperatura]]-24)/2),0)</f>
        <v>115</v>
      </c>
      <c r="E17">
        <f>ROUNDDOWN($E$2*(1+VLOOKUP(temperatury3[[#Headers],[kukurydza]],$O$1:$P$4,2,FALSE)*(temperatury3[[#This Row],[temperatura]]-24)/2),0)</f>
        <v>77</v>
      </c>
      <c r="F17">
        <f>IF(temperatury3[[#This Row],[temperatura]]&gt;20,F16+1,0)</f>
        <v>3</v>
      </c>
    </row>
    <row r="18" spans="1:6" x14ac:dyDescent="0.25">
      <c r="A18" s="1">
        <v>44729</v>
      </c>
      <c r="B18">
        <v>16</v>
      </c>
      <c r="C18">
        <f>ROUNDDOWN($C$2*(1+VLOOKUP(temperatury3[[#Headers],[hot-dog]],$O$1:$P$4,2,FALSE)*(temperatury3[[#This Row],[temperatura]]-24)/2),0)</f>
        <v>62</v>
      </c>
      <c r="D18">
        <f>ROUNDDOWN($D$2*(1+VLOOKUP(temperatury3[[#Headers],[lody]],$O$1:$P$4,2,FALSE)*(temperatury3[[#This Row],[temperatura]]-24)/2),0)</f>
        <v>86</v>
      </c>
      <c r="E18">
        <f>ROUNDDOWN($E$2*(1+VLOOKUP(temperatury3[[#Headers],[kukurydza]],$O$1:$P$4,2,FALSE)*(temperatury3[[#This Row],[temperatura]]-24)/2),0)</f>
        <v>61</v>
      </c>
      <c r="F18">
        <f>IF(temperatury3[[#This Row],[temperatura]]&gt;20,F17+1,0)</f>
        <v>0</v>
      </c>
    </row>
    <row r="19" spans="1:6" x14ac:dyDescent="0.25">
      <c r="A19" s="1">
        <v>44730</v>
      </c>
      <c r="B19">
        <v>21</v>
      </c>
      <c r="C19">
        <f>ROUNDDOWN($C$2*(1+VLOOKUP(temperatury3[[#Headers],[hot-dog]],$O$1:$P$4,2,FALSE)*(temperatury3[[#This Row],[temperatura]]-24)/2),0)</f>
        <v>79</v>
      </c>
      <c r="D19">
        <f>ROUNDDOWN($D$2*(1+VLOOKUP(temperatury3[[#Headers],[lody]],$O$1:$P$4,2,FALSE)*(temperatury3[[#This Row],[temperatura]]-24)/2),0)</f>
        <v>107</v>
      </c>
      <c r="E19">
        <f>ROUNDDOWN($E$2*(1+VLOOKUP(temperatury3[[#Headers],[kukurydza]],$O$1:$P$4,2,FALSE)*(temperatury3[[#This Row],[temperatura]]-24)/2),0)</f>
        <v>72</v>
      </c>
      <c r="F19">
        <f>IF(temperatury3[[#This Row],[temperatura]]&gt;20,F18+1,0)</f>
        <v>1</v>
      </c>
    </row>
    <row r="20" spans="1:6" x14ac:dyDescent="0.25">
      <c r="A20" s="1">
        <v>44731</v>
      </c>
      <c r="B20">
        <v>22</v>
      </c>
      <c r="C20">
        <f>ROUNDDOWN($C$2*(1+VLOOKUP(temperatury3[[#Headers],[hot-dog]],$O$1:$P$4,2,FALSE)*(temperatury3[[#This Row],[temperatura]]-24)/2),0)</f>
        <v>83</v>
      </c>
      <c r="D20">
        <f>ROUNDDOWN($D$2*(1+VLOOKUP(temperatury3[[#Headers],[lody]],$O$1:$P$4,2,FALSE)*(temperatury3[[#This Row],[temperatura]]-24)/2),0)</f>
        <v>111</v>
      </c>
      <c r="E20">
        <f>ROUNDDOWN($E$2*(1+VLOOKUP(temperatury3[[#Headers],[kukurydza]],$O$1:$P$4,2,FALSE)*(temperatury3[[#This Row],[temperatura]]-24)/2),0)</f>
        <v>75</v>
      </c>
      <c r="F20">
        <f>IF(temperatury3[[#This Row],[temperatura]]&gt;20,F19+1,0)</f>
        <v>2</v>
      </c>
    </row>
    <row r="21" spans="1:6" x14ac:dyDescent="0.25">
      <c r="A21" s="1">
        <v>44732</v>
      </c>
      <c r="B21">
        <v>22</v>
      </c>
      <c r="C21">
        <f>ROUNDDOWN($C$2*(1+VLOOKUP(temperatury3[[#Headers],[hot-dog]],$O$1:$P$4,2,FALSE)*(temperatury3[[#This Row],[temperatura]]-24)/2),0)</f>
        <v>83</v>
      </c>
      <c r="D21">
        <f>ROUNDDOWN($D$2*(1+VLOOKUP(temperatury3[[#Headers],[lody]],$O$1:$P$4,2,FALSE)*(temperatury3[[#This Row],[temperatura]]-24)/2),0)</f>
        <v>111</v>
      </c>
      <c r="E21">
        <f>ROUNDDOWN($E$2*(1+VLOOKUP(temperatury3[[#Headers],[kukurydza]],$O$1:$P$4,2,FALSE)*(temperatury3[[#This Row],[temperatura]]-24)/2),0)</f>
        <v>75</v>
      </c>
      <c r="F21">
        <f>IF(temperatury3[[#This Row],[temperatura]]&gt;20,F20+1,0)</f>
        <v>3</v>
      </c>
    </row>
    <row r="22" spans="1:6" x14ac:dyDescent="0.25">
      <c r="A22" s="1">
        <v>44733</v>
      </c>
      <c r="B22">
        <v>22</v>
      </c>
      <c r="C22">
        <f>ROUNDDOWN($C$2*(1+VLOOKUP(temperatury3[[#Headers],[hot-dog]],$O$1:$P$4,2,FALSE)*(temperatury3[[#This Row],[temperatura]]-24)/2),0)</f>
        <v>83</v>
      </c>
      <c r="D22">
        <f>ROUNDDOWN($D$2*(1+VLOOKUP(temperatury3[[#Headers],[lody]],$O$1:$P$4,2,FALSE)*(temperatury3[[#This Row],[temperatura]]-24)/2),0)</f>
        <v>111</v>
      </c>
      <c r="E22">
        <f>ROUNDDOWN($E$2*(1+VLOOKUP(temperatury3[[#Headers],[kukurydza]],$O$1:$P$4,2,FALSE)*(temperatury3[[#This Row],[temperatura]]-24)/2),0)</f>
        <v>75</v>
      </c>
      <c r="F22">
        <f>IF(temperatury3[[#This Row],[temperatura]]&gt;20,F21+1,0)</f>
        <v>4</v>
      </c>
    </row>
    <row r="23" spans="1:6" x14ac:dyDescent="0.25">
      <c r="A23" s="1">
        <v>44734</v>
      </c>
      <c r="B23">
        <v>28</v>
      </c>
      <c r="C23">
        <f>ROUNDDOWN($C$2*(1+VLOOKUP(temperatury3[[#Headers],[hot-dog]],$O$1:$P$4,2,FALSE)*(temperatury3[[#This Row],[temperatura]]-24)/2),0)</f>
        <v>103</v>
      </c>
      <c r="D23">
        <f>ROUNDDOWN($D$2*(1+VLOOKUP(temperatury3[[#Headers],[lody]],$O$1:$P$4,2,FALSE)*(temperatury3[[#This Row],[temperatura]]-24)/2),0)</f>
        <v>136</v>
      </c>
      <c r="E23">
        <f>ROUNDDOWN($E$2*(1+VLOOKUP(temperatury3[[#Headers],[kukurydza]],$O$1:$P$4,2,FALSE)*(temperatury3[[#This Row],[temperatura]]-24)/2),0)</f>
        <v>89</v>
      </c>
      <c r="F23">
        <f>IF(temperatury3[[#This Row],[temperatura]]&gt;20,F22+1,0)</f>
        <v>5</v>
      </c>
    </row>
    <row r="24" spans="1:6" x14ac:dyDescent="0.25">
      <c r="A24" s="1">
        <v>44735</v>
      </c>
      <c r="B24">
        <v>31</v>
      </c>
      <c r="C24">
        <f>ROUNDDOWN($C$2*(1+VLOOKUP(temperatury3[[#Headers],[hot-dog]],$O$1:$P$4,2,FALSE)*(temperatury3[[#This Row],[temperatura]]-24)/2),0)</f>
        <v>114</v>
      </c>
      <c r="D24">
        <f>ROUNDDOWN($D$2*(1+VLOOKUP(temperatury3[[#Headers],[lody]],$O$1:$P$4,2,FALSE)*(temperatury3[[#This Row],[temperatura]]-24)/2),0)</f>
        <v>148</v>
      </c>
      <c r="E24">
        <f>ROUNDDOWN($E$2*(1+VLOOKUP(temperatury3[[#Headers],[kukurydza]],$O$1:$P$4,2,FALSE)*(temperatury3[[#This Row],[temperatura]]-24)/2),0)</f>
        <v>96</v>
      </c>
      <c r="F24">
        <f>IF(temperatury3[[#This Row],[temperatura]]&gt;20,F23+1,0)</f>
        <v>6</v>
      </c>
    </row>
    <row r="25" spans="1:6" x14ac:dyDescent="0.25">
      <c r="A25" s="1">
        <v>44736</v>
      </c>
      <c r="B25">
        <v>33</v>
      </c>
      <c r="C25">
        <f>ROUNDDOWN($C$2*(1+VLOOKUP(temperatury3[[#Headers],[hot-dog]],$O$1:$P$4,2,FALSE)*(temperatury3[[#This Row],[temperatura]]-24)/2),0)</f>
        <v>121</v>
      </c>
      <c r="D25">
        <f>ROUNDDOWN($D$2*(1+VLOOKUP(temperatury3[[#Headers],[lody]],$O$1:$P$4,2,FALSE)*(temperatury3[[#This Row],[temperatura]]-24)/2),0)</f>
        <v>157</v>
      </c>
      <c r="E25">
        <f>ROUNDDOWN($E$2*(1+VLOOKUP(temperatury3[[#Headers],[kukurydza]],$O$1:$P$4,2,FALSE)*(temperatury3[[#This Row],[temperatura]]-24)/2),0)</f>
        <v>101</v>
      </c>
      <c r="F25">
        <f>IF(temperatury3[[#This Row],[temperatura]]&gt;20,F24+1,0)</f>
        <v>7</v>
      </c>
    </row>
    <row r="26" spans="1:6" x14ac:dyDescent="0.25">
      <c r="A26" s="1">
        <v>44737</v>
      </c>
      <c r="B26">
        <v>33</v>
      </c>
      <c r="C26">
        <f>ROUNDDOWN($C$2*(1+VLOOKUP(temperatury3[[#Headers],[hot-dog]],$O$1:$P$4,2,FALSE)*(temperatury3[[#This Row],[temperatura]]-24)/2),0)</f>
        <v>121</v>
      </c>
      <c r="D26">
        <f>ROUNDDOWN($D$2*(1+VLOOKUP(temperatury3[[#Headers],[lody]],$O$1:$P$4,2,FALSE)*(temperatury3[[#This Row],[temperatura]]-24)/2),0)</f>
        <v>157</v>
      </c>
      <c r="E26">
        <f>ROUNDDOWN($E$2*(1+VLOOKUP(temperatury3[[#Headers],[kukurydza]],$O$1:$P$4,2,FALSE)*(temperatury3[[#This Row],[temperatura]]-24)/2),0)</f>
        <v>101</v>
      </c>
      <c r="F26">
        <f>IF(temperatury3[[#This Row],[temperatura]]&gt;20,F25+1,0)</f>
        <v>8</v>
      </c>
    </row>
    <row r="27" spans="1:6" x14ac:dyDescent="0.25">
      <c r="A27" s="1">
        <v>44738</v>
      </c>
      <c r="B27">
        <v>23</v>
      </c>
      <c r="C27">
        <f>ROUNDDOWN($C$2*(1+VLOOKUP(temperatury3[[#Headers],[hot-dog]],$O$1:$P$4,2,FALSE)*(temperatury3[[#This Row],[temperatura]]-24)/2),0)</f>
        <v>86</v>
      </c>
      <c r="D27">
        <f>ROUNDDOWN($D$2*(1+VLOOKUP(temperatury3[[#Headers],[lody]],$O$1:$P$4,2,FALSE)*(temperatury3[[#This Row],[temperatura]]-24)/2),0)</f>
        <v>115</v>
      </c>
      <c r="E27">
        <f>ROUNDDOWN($E$2*(1+VLOOKUP(temperatury3[[#Headers],[kukurydza]],$O$1:$P$4,2,FALSE)*(temperatury3[[#This Row],[temperatura]]-24)/2),0)</f>
        <v>77</v>
      </c>
      <c r="F27">
        <f>IF(temperatury3[[#This Row],[temperatura]]&gt;20,F26+1,0)</f>
        <v>9</v>
      </c>
    </row>
    <row r="28" spans="1:6" x14ac:dyDescent="0.25">
      <c r="A28" s="1">
        <v>44739</v>
      </c>
      <c r="B28">
        <v>23</v>
      </c>
      <c r="C28">
        <f>ROUNDDOWN($C$2*(1+VLOOKUP(temperatury3[[#Headers],[hot-dog]],$O$1:$P$4,2,FALSE)*(temperatury3[[#This Row],[temperatura]]-24)/2),0)</f>
        <v>86</v>
      </c>
      <c r="D28">
        <f>ROUNDDOWN($D$2*(1+VLOOKUP(temperatury3[[#Headers],[lody]],$O$1:$P$4,2,FALSE)*(temperatury3[[#This Row],[temperatura]]-24)/2),0)</f>
        <v>115</v>
      </c>
      <c r="E28">
        <f>ROUNDDOWN($E$2*(1+VLOOKUP(temperatury3[[#Headers],[kukurydza]],$O$1:$P$4,2,FALSE)*(temperatury3[[#This Row],[temperatura]]-24)/2),0)</f>
        <v>77</v>
      </c>
      <c r="F28">
        <f>IF(temperatury3[[#This Row],[temperatura]]&gt;20,F27+1,0)</f>
        <v>10</v>
      </c>
    </row>
    <row r="29" spans="1:6" x14ac:dyDescent="0.25">
      <c r="A29" s="1">
        <v>44740</v>
      </c>
      <c r="B29">
        <v>19</v>
      </c>
      <c r="C29">
        <f>ROUNDDOWN($C$2*(1+VLOOKUP(temperatury3[[#Headers],[hot-dog]],$O$1:$P$4,2,FALSE)*(temperatury3[[#This Row],[temperatura]]-24)/2),0)</f>
        <v>72</v>
      </c>
      <c r="D29">
        <f>ROUNDDOWN($D$2*(1+VLOOKUP(temperatury3[[#Headers],[lody]],$O$1:$P$4,2,FALSE)*(temperatury3[[#This Row],[temperatura]]-24)/2),0)</f>
        <v>99</v>
      </c>
      <c r="E29">
        <f>ROUNDDOWN($E$2*(1+VLOOKUP(temperatury3[[#Headers],[kukurydza]],$O$1:$P$4,2,FALSE)*(temperatury3[[#This Row],[temperatura]]-24)/2),0)</f>
        <v>68</v>
      </c>
      <c r="F29">
        <f>IF(temperatury3[[#This Row],[temperatura]]&gt;20,F28+1,0)</f>
        <v>0</v>
      </c>
    </row>
    <row r="30" spans="1:6" x14ac:dyDescent="0.25">
      <c r="A30" s="1">
        <v>44741</v>
      </c>
      <c r="B30">
        <v>24</v>
      </c>
      <c r="C30">
        <f>ROUNDDOWN($C$2*(1+VLOOKUP(temperatury3[[#Headers],[hot-dog]],$O$1:$P$4,2,FALSE)*(temperatury3[[#This Row],[temperatura]]-24)/2),0)</f>
        <v>90</v>
      </c>
      <c r="D30">
        <f>ROUNDDOWN($D$2*(1+VLOOKUP(temperatury3[[#Headers],[lody]],$O$1:$P$4,2,FALSE)*(temperatury3[[#This Row],[temperatura]]-24)/2),0)</f>
        <v>120</v>
      </c>
      <c r="E30">
        <f>ROUNDDOWN($E$2*(1+VLOOKUP(temperatury3[[#Headers],[kukurydza]],$O$1:$P$4,2,FALSE)*(temperatury3[[#This Row],[temperatura]]-24)/2),0)</f>
        <v>80</v>
      </c>
      <c r="F30">
        <f>IF(temperatury3[[#This Row],[temperatura]]&gt;20,F29+1,0)</f>
        <v>1</v>
      </c>
    </row>
    <row r="31" spans="1:6" x14ac:dyDescent="0.25">
      <c r="A31" s="1">
        <v>44742</v>
      </c>
      <c r="B31">
        <v>25</v>
      </c>
      <c r="C31">
        <f>ROUNDDOWN($C$2*(1+VLOOKUP(temperatury3[[#Headers],[hot-dog]],$O$1:$P$4,2,FALSE)*(temperatury3[[#This Row],[temperatura]]-24)/2),0)</f>
        <v>93</v>
      </c>
      <c r="D31">
        <f>ROUNDDOWN($D$2*(1+VLOOKUP(temperatury3[[#Headers],[lody]],$O$1:$P$4,2,FALSE)*(temperatury3[[#This Row],[temperatura]]-24)/2),0)</f>
        <v>124</v>
      </c>
      <c r="E31">
        <f>ROUNDDOWN($E$2*(1+VLOOKUP(temperatury3[[#Headers],[kukurydza]],$O$1:$P$4,2,FALSE)*(temperatury3[[#This Row],[temperatura]]-24)/2),0)</f>
        <v>82</v>
      </c>
      <c r="F31">
        <f>IF(temperatury3[[#This Row],[temperatura]]&gt;20,F30+1,0)</f>
        <v>2</v>
      </c>
    </row>
    <row r="32" spans="1:6" x14ac:dyDescent="0.25">
      <c r="A32" s="1">
        <v>44743</v>
      </c>
      <c r="B32">
        <v>27</v>
      </c>
      <c r="C32">
        <f>ROUNDDOWN($C$2*(1+VLOOKUP(temperatury3[[#Headers],[hot-dog]],$O$1:$P$4,2,FALSE)*(temperatury3[[#This Row],[temperatura]]-24)/2),0)</f>
        <v>100</v>
      </c>
      <c r="D32">
        <f>ROUNDDOWN($D$2*(1+VLOOKUP(temperatury3[[#Headers],[lody]],$O$1:$P$4,2,FALSE)*(temperatury3[[#This Row],[temperatura]]-24)/2),0)</f>
        <v>132</v>
      </c>
      <c r="E32">
        <f>ROUNDDOWN($E$2*(1+VLOOKUP(temperatury3[[#Headers],[kukurydza]],$O$1:$P$4,2,FALSE)*(temperatury3[[#This Row],[temperatura]]-24)/2),0)</f>
        <v>87</v>
      </c>
      <c r="F32">
        <f>IF(temperatury3[[#This Row],[temperatura]]&gt;20,F31+1,0)</f>
        <v>3</v>
      </c>
    </row>
    <row r="33" spans="1:6" x14ac:dyDescent="0.25">
      <c r="A33" s="1">
        <v>44744</v>
      </c>
      <c r="B33">
        <v>27</v>
      </c>
      <c r="C33">
        <f>ROUNDDOWN($C$2*(1+VLOOKUP(temperatury3[[#Headers],[hot-dog]],$O$1:$P$4,2,FALSE)*(temperatury3[[#This Row],[temperatura]]-24)/2),0)</f>
        <v>100</v>
      </c>
      <c r="D33">
        <f>ROUNDDOWN($D$2*(1+VLOOKUP(temperatury3[[#Headers],[lody]],$O$1:$P$4,2,FALSE)*(temperatury3[[#This Row],[temperatura]]-24)/2),0)</f>
        <v>132</v>
      </c>
      <c r="E33">
        <f>ROUNDDOWN($E$2*(1+VLOOKUP(temperatury3[[#Headers],[kukurydza]],$O$1:$P$4,2,FALSE)*(temperatury3[[#This Row],[temperatura]]-24)/2),0)</f>
        <v>87</v>
      </c>
      <c r="F33">
        <f>IF(temperatury3[[#This Row],[temperatura]]&gt;20,F32+1,0)</f>
        <v>4</v>
      </c>
    </row>
    <row r="34" spans="1:6" x14ac:dyDescent="0.25">
      <c r="A34" s="1">
        <v>44745</v>
      </c>
      <c r="B34">
        <v>21</v>
      </c>
      <c r="C34">
        <f>ROUNDDOWN($C$2*(1+VLOOKUP(temperatury3[[#Headers],[hot-dog]],$O$1:$P$4,2,FALSE)*(temperatury3[[#This Row],[temperatura]]-24)/2),0)</f>
        <v>79</v>
      </c>
      <c r="D34">
        <f>ROUNDDOWN($D$2*(1+VLOOKUP(temperatury3[[#Headers],[lody]],$O$1:$P$4,2,FALSE)*(temperatury3[[#This Row],[temperatura]]-24)/2),0)</f>
        <v>107</v>
      </c>
      <c r="E34">
        <f>ROUNDDOWN($E$2*(1+VLOOKUP(temperatury3[[#Headers],[kukurydza]],$O$1:$P$4,2,FALSE)*(temperatury3[[#This Row],[temperatura]]-24)/2),0)</f>
        <v>72</v>
      </c>
      <c r="F34">
        <f>IF(temperatury3[[#This Row],[temperatura]]&gt;20,F33+1,0)</f>
        <v>5</v>
      </c>
    </row>
    <row r="35" spans="1:6" x14ac:dyDescent="0.25">
      <c r="A35" s="1">
        <v>44746</v>
      </c>
      <c r="B35">
        <v>21</v>
      </c>
      <c r="C35">
        <f>ROUNDDOWN($C$2*(1+VLOOKUP(temperatury3[[#Headers],[hot-dog]],$O$1:$P$4,2,FALSE)*(temperatury3[[#This Row],[temperatura]]-24)/2),0)</f>
        <v>79</v>
      </c>
      <c r="D35">
        <f>ROUNDDOWN($D$2*(1+VLOOKUP(temperatury3[[#Headers],[lody]],$O$1:$P$4,2,FALSE)*(temperatury3[[#This Row],[temperatura]]-24)/2),0)</f>
        <v>107</v>
      </c>
      <c r="E35">
        <f>ROUNDDOWN($E$2*(1+VLOOKUP(temperatury3[[#Headers],[kukurydza]],$O$1:$P$4,2,FALSE)*(temperatury3[[#This Row],[temperatura]]-24)/2),0)</f>
        <v>72</v>
      </c>
      <c r="F35">
        <f>IF(temperatury3[[#This Row],[temperatura]]&gt;20,F34+1,0)</f>
        <v>6</v>
      </c>
    </row>
    <row r="36" spans="1:6" x14ac:dyDescent="0.25">
      <c r="A36" s="1">
        <v>44747</v>
      </c>
      <c r="B36">
        <v>25</v>
      </c>
      <c r="C36">
        <f>ROUNDDOWN($C$2*(1+VLOOKUP(temperatury3[[#Headers],[hot-dog]],$O$1:$P$4,2,FALSE)*(temperatury3[[#This Row],[temperatura]]-24)/2),0)</f>
        <v>93</v>
      </c>
      <c r="D36">
        <f>ROUNDDOWN($D$2*(1+VLOOKUP(temperatury3[[#Headers],[lody]],$O$1:$P$4,2,FALSE)*(temperatury3[[#This Row],[temperatura]]-24)/2),0)</f>
        <v>124</v>
      </c>
      <c r="E36">
        <f>ROUNDDOWN($E$2*(1+VLOOKUP(temperatury3[[#Headers],[kukurydza]],$O$1:$P$4,2,FALSE)*(temperatury3[[#This Row],[temperatura]]-24)/2),0)</f>
        <v>82</v>
      </c>
      <c r="F36">
        <f>IF(temperatury3[[#This Row],[temperatura]]&gt;20,F35+1,0)</f>
        <v>7</v>
      </c>
    </row>
    <row r="37" spans="1:6" x14ac:dyDescent="0.25">
      <c r="A37" s="1">
        <v>44748</v>
      </c>
      <c r="B37">
        <v>19</v>
      </c>
      <c r="C37">
        <f>ROUNDDOWN($C$2*(1+VLOOKUP(temperatury3[[#Headers],[hot-dog]],$O$1:$P$4,2,FALSE)*(temperatury3[[#This Row],[temperatura]]-24)/2),0)</f>
        <v>72</v>
      </c>
      <c r="D37">
        <f>ROUNDDOWN($D$2*(1+VLOOKUP(temperatury3[[#Headers],[lody]],$O$1:$P$4,2,FALSE)*(temperatury3[[#This Row],[temperatura]]-24)/2),0)</f>
        <v>99</v>
      </c>
      <c r="E37">
        <f>ROUNDDOWN($E$2*(1+VLOOKUP(temperatury3[[#Headers],[kukurydza]],$O$1:$P$4,2,FALSE)*(temperatury3[[#This Row],[temperatura]]-24)/2),0)</f>
        <v>68</v>
      </c>
      <c r="F37">
        <f>IF(temperatury3[[#This Row],[temperatura]]&gt;20,F36+1,0)</f>
        <v>0</v>
      </c>
    </row>
    <row r="38" spans="1:6" x14ac:dyDescent="0.25">
      <c r="A38" s="1">
        <v>44749</v>
      </c>
      <c r="B38">
        <v>21</v>
      </c>
      <c r="C38">
        <f>ROUNDDOWN($C$2*(1+VLOOKUP(temperatury3[[#Headers],[hot-dog]],$O$1:$P$4,2,FALSE)*(temperatury3[[#This Row],[temperatura]]-24)/2),0)</f>
        <v>79</v>
      </c>
      <c r="D38">
        <f>ROUNDDOWN($D$2*(1+VLOOKUP(temperatury3[[#Headers],[lody]],$O$1:$P$4,2,FALSE)*(temperatury3[[#This Row],[temperatura]]-24)/2),0)</f>
        <v>107</v>
      </c>
      <c r="E38">
        <f>ROUNDDOWN($E$2*(1+VLOOKUP(temperatury3[[#Headers],[kukurydza]],$O$1:$P$4,2,FALSE)*(temperatury3[[#This Row],[temperatura]]-24)/2),0)</f>
        <v>72</v>
      </c>
      <c r="F38">
        <f>IF(temperatury3[[#This Row],[temperatura]]&gt;20,F37+1,0)</f>
        <v>1</v>
      </c>
    </row>
    <row r="39" spans="1:6" x14ac:dyDescent="0.25">
      <c r="A39" s="1">
        <v>44750</v>
      </c>
      <c r="B39">
        <v>24</v>
      </c>
      <c r="C39">
        <f>ROUNDDOWN($C$2*(1+VLOOKUP(temperatury3[[#Headers],[hot-dog]],$O$1:$P$4,2,FALSE)*(temperatury3[[#This Row],[temperatura]]-24)/2),0)</f>
        <v>90</v>
      </c>
      <c r="D39">
        <f>ROUNDDOWN($D$2*(1+VLOOKUP(temperatury3[[#Headers],[lody]],$O$1:$P$4,2,FALSE)*(temperatury3[[#This Row],[temperatura]]-24)/2),0)</f>
        <v>120</v>
      </c>
      <c r="E39">
        <f>ROUNDDOWN($E$2*(1+VLOOKUP(temperatury3[[#Headers],[kukurydza]],$O$1:$P$4,2,FALSE)*(temperatury3[[#This Row],[temperatura]]-24)/2),0)</f>
        <v>80</v>
      </c>
      <c r="F39">
        <f>IF(temperatury3[[#This Row],[temperatura]]&gt;20,F38+1,0)</f>
        <v>2</v>
      </c>
    </row>
    <row r="40" spans="1:6" x14ac:dyDescent="0.25">
      <c r="A40" s="1">
        <v>44751</v>
      </c>
      <c r="B40">
        <v>19</v>
      </c>
      <c r="C40">
        <f>ROUNDDOWN($C$2*(1+VLOOKUP(temperatury3[[#Headers],[hot-dog]],$O$1:$P$4,2,FALSE)*(temperatury3[[#This Row],[temperatura]]-24)/2),0)</f>
        <v>72</v>
      </c>
      <c r="D40">
        <f>ROUNDDOWN($D$2*(1+VLOOKUP(temperatury3[[#Headers],[lody]],$O$1:$P$4,2,FALSE)*(temperatury3[[#This Row],[temperatura]]-24)/2),0)</f>
        <v>99</v>
      </c>
      <c r="E40">
        <f>ROUNDDOWN($E$2*(1+VLOOKUP(temperatury3[[#Headers],[kukurydza]],$O$1:$P$4,2,FALSE)*(temperatury3[[#This Row],[temperatura]]-24)/2),0)</f>
        <v>68</v>
      </c>
      <c r="F40">
        <f>IF(temperatury3[[#This Row],[temperatura]]&gt;20,F39+1,0)</f>
        <v>0</v>
      </c>
    </row>
    <row r="41" spans="1:6" x14ac:dyDescent="0.25">
      <c r="A41" s="1">
        <v>44752</v>
      </c>
      <c r="B41">
        <v>28</v>
      </c>
      <c r="C41">
        <f>ROUNDDOWN($C$2*(1+VLOOKUP(temperatury3[[#Headers],[hot-dog]],$O$1:$P$4,2,FALSE)*(temperatury3[[#This Row],[temperatura]]-24)/2),0)</f>
        <v>103</v>
      </c>
      <c r="D41">
        <f>ROUNDDOWN($D$2*(1+VLOOKUP(temperatury3[[#Headers],[lody]],$O$1:$P$4,2,FALSE)*(temperatury3[[#This Row],[temperatura]]-24)/2),0)</f>
        <v>136</v>
      </c>
      <c r="E41">
        <f>ROUNDDOWN($E$2*(1+VLOOKUP(temperatury3[[#Headers],[kukurydza]],$O$1:$P$4,2,FALSE)*(temperatury3[[#This Row],[temperatura]]-24)/2),0)</f>
        <v>89</v>
      </c>
      <c r="F41">
        <f>IF(temperatury3[[#This Row],[temperatura]]&gt;20,F40+1,0)</f>
        <v>1</v>
      </c>
    </row>
    <row r="42" spans="1:6" x14ac:dyDescent="0.25">
      <c r="A42" s="1">
        <v>44753</v>
      </c>
      <c r="B42">
        <v>27</v>
      </c>
      <c r="C42">
        <f>ROUNDDOWN($C$2*(1+VLOOKUP(temperatury3[[#Headers],[hot-dog]],$O$1:$P$4,2,FALSE)*(temperatury3[[#This Row],[temperatura]]-24)/2),0)</f>
        <v>100</v>
      </c>
      <c r="D42">
        <f>ROUNDDOWN($D$2*(1+VLOOKUP(temperatury3[[#Headers],[lody]],$O$1:$P$4,2,FALSE)*(temperatury3[[#This Row],[temperatura]]-24)/2),0)</f>
        <v>132</v>
      </c>
      <c r="E42">
        <f>ROUNDDOWN($E$2*(1+VLOOKUP(temperatury3[[#Headers],[kukurydza]],$O$1:$P$4,2,FALSE)*(temperatury3[[#This Row],[temperatura]]-24)/2),0)</f>
        <v>87</v>
      </c>
      <c r="F42">
        <f>IF(temperatury3[[#This Row],[temperatura]]&gt;20,F41+1,0)</f>
        <v>2</v>
      </c>
    </row>
    <row r="43" spans="1:6" x14ac:dyDescent="0.25">
      <c r="A43" s="1">
        <v>44754</v>
      </c>
      <c r="B43">
        <v>24</v>
      </c>
      <c r="C43">
        <f>ROUNDDOWN($C$2*(1+VLOOKUP(temperatury3[[#Headers],[hot-dog]],$O$1:$P$4,2,FALSE)*(temperatury3[[#This Row],[temperatura]]-24)/2),0)</f>
        <v>90</v>
      </c>
      <c r="D43">
        <f>ROUNDDOWN($D$2*(1+VLOOKUP(temperatury3[[#Headers],[lody]],$O$1:$P$4,2,FALSE)*(temperatury3[[#This Row],[temperatura]]-24)/2),0)</f>
        <v>120</v>
      </c>
      <c r="E43">
        <f>ROUNDDOWN($E$2*(1+VLOOKUP(temperatury3[[#Headers],[kukurydza]],$O$1:$P$4,2,FALSE)*(temperatury3[[#This Row],[temperatura]]-24)/2),0)</f>
        <v>80</v>
      </c>
      <c r="F43">
        <f>IF(temperatury3[[#This Row],[temperatura]]&gt;20,F42+1,0)</f>
        <v>3</v>
      </c>
    </row>
    <row r="44" spans="1:6" x14ac:dyDescent="0.25">
      <c r="A44" s="1">
        <v>44755</v>
      </c>
      <c r="B44">
        <v>22</v>
      </c>
      <c r="C44">
        <f>ROUNDDOWN($C$2*(1+VLOOKUP(temperatury3[[#Headers],[hot-dog]],$O$1:$P$4,2,FALSE)*(temperatury3[[#This Row],[temperatura]]-24)/2),0)</f>
        <v>83</v>
      </c>
      <c r="D44">
        <f>ROUNDDOWN($D$2*(1+VLOOKUP(temperatury3[[#Headers],[lody]],$O$1:$P$4,2,FALSE)*(temperatury3[[#This Row],[temperatura]]-24)/2),0)</f>
        <v>111</v>
      </c>
      <c r="E44">
        <f>ROUNDDOWN($E$2*(1+VLOOKUP(temperatury3[[#Headers],[kukurydza]],$O$1:$P$4,2,FALSE)*(temperatury3[[#This Row],[temperatura]]-24)/2),0)</f>
        <v>75</v>
      </c>
      <c r="F44">
        <f>IF(temperatury3[[#This Row],[temperatura]]&gt;20,F43+1,0)</f>
        <v>4</v>
      </c>
    </row>
    <row r="45" spans="1:6" x14ac:dyDescent="0.25">
      <c r="A45" s="1">
        <v>44756</v>
      </c>
      <c r="B45">
        <v>17</v>
      </c>
      <c r="C45">
        <f>ROUNDDOWN($C$2*(1+VLOOKUP(temperatury3[[#Headers],[hot-dog]],$O$1:$P$4,2,FALSE)*(temperatury3[[#This Row],[temperatura]]-24)/2),0)</f>
        <v>65</v>
      </c>
      <c r="D45">
        <f>ROUNDDOWN($D$2*(1+VLOOKUP(temperatury3[[#Headers],[lody]],$O$1:$P$4,2,FALSE)*(temperatury3[[#This Row],[temperatura]]-24)/2),0)</f>
        <v>91</v>
      </c>
      <c r="E45">
        <f>ROUNDDOWN($E$2*(1+VLOOKUP(temperatury3[[#Headers],[kukurydza]],$O$1:$P$4,2,FALSE)*(temperatury3[[#This Row],[temperatura]]-24)/2),0)</f>
        <v>63</v>
      </c>
      <c r="F45">
        <f>IF(temperatury3[[#This Row],[temperatura]]&gt;20,F44+1,0)</f>
        <v>0</v>
      </c>
    </row>
    <row r="46" spans="1:6" x14ac:dyDescent="0.25">
      <c r="A46" s="1">
        <v>44757</v>
      </c>
      <c r="B46">
        <v>18</v>
      </c>
      <c r="C46">
        <f>ROUNDDOWN($C$2*(1+VLOOKUP(temperatury3[[#Headers],[hot-dog]],$O$1:$P$4,2,FALSE)*(temperatury3[[#This Row],[temperatura]]-24)/2),0)</f>
        <v>69</v>
      </c>
      <c r="D46">
        <f>ROUNDDOWN($D$2*(1+VLOOKUP(temperatury3[[#Headers],[lody]],$O$1:$P$4,2,FALSE)*(temperatury3[[#This Row],[temperatura]]-24)/2),0)</f>
        <v>95</v>
      </c>
      <c r="E46">
        <f>ROUNDDOWN($E$2*(1+VLOOKUP(temperatury3[[#Headers],[kukurydza]],$O$1:$P$4,2,FALSE)*(temperatury3[[#This Row],[temperatura]]-24)/2),0)</f>
        <v>65</v>
      </c>
      <c r="F46">
        <f>IF(temperatury3[[#This Row],[temperatura]]&gt;20,F45+1,0)</f>
        <v>0</v>
      </c>
    </row>
    <row r="47" spans="1:6" x14ac:dyDescent="0.25">
      <c r="A47" s="1">
        <v>44758</v>
      </c>
      <c r="B47">
        <v>23</v>
      </c>
      <c r="C47">
        <f>ROUNDDOWN($C$2*(1+VLOOKUP(temperatury3[[#Headers],[hot-dog]],$O$1:$P$4,2,FALSE)*(temperatury3[[#This Row],[temperatura]]-24)/2),0)</f>
        <v>86</v>
      </c>
      <c r="D47">
        <f>ROUNDDOWN($D$2*(1+VLOOKUP(temperatury3[[#Headers],[lody]],$O$1:$P$4,2,FALSE)*(temperatury3[[#This Row],[temperatura]]-24)/2),0)</f>
        <v>115</v>
      </c>
      <c r="E47">
        <f>ROUNDDOWN($E$2*(1+VLOOKUP(temperatury3[[#Headers],[kukurydza]],$O$1:$P$4,2,FALSE)*(temperatury3[[#This Row],[temperatura]]-24)/2),0)</f>
        <v>77</v>
      </c>
      <c r="F47">
        <f>IF(temperatury3[[#This Row],[temperatura]]&gt;20,F46+1,0)</f>
        <v>1</v>
      </c>
    </row>
    <row r="48" spans="1:6" x14ac:dyDescent="0.25">
      <c r="A48" s="1">
        <v>44759</v>
      </c>
      <c r="B48">
        <v>23</v>
      </c>
      <c r="C48">
        <f>ROUNDDOWN($C$2*(1+VLOOKUP(temperatury3[[#Headers],[hot-dog]],$O$1:$P$4,2,FALSE)*(temperatury3[[#This Row],[temperatura]]-24)/2),0)</f>
        <v>86</v>
      </c>
      <c r="D48">
        <f>ROUNDDOWN($D$2*(1+VLOOKUP(temperatury3[[#Headers],[lody]],$O$1:$P$4,2,FALSE)*(temperatury3[[#This Row],[temperatura]]-24)/2),0)</f>
        <v>115</v>
      </c>
      <c r="E48">
        <f>ROUNDDOWN($E$2*(1+VLOOKUP(temperatury3[[#Headers],[kukurydza]],$O$1:$P$4,2,FALSE)*(temperatury3[[#This Row],[temperatura]]-24)/2),0)</f>
        <v>77</v>
      </c>
      <c r="F48">
        <f>IF(temperatury3[[#This Row],[temperatura]]&gt;20,F47+1,0)</f>
        <v>2</v>
      </c>
    </row>
    <row r="49" spans="1:6" x14ac:dyDescent="0.25">
      <c r="A49" s="1">
        <v>44760</v>
      </c>
      <c r="B49">
        <v>19</v>
      </c>
      <c r="C49">
        <f>ROUNDDOWN($C$2*(1+VLOOKUP(temperatury3[[#Headers],[hot-dog]],$O$1:$P$4,2,FALSE)*(temperatury3[[#This Row],[temperatura]]-24)/2),0)</f>
        <v>72</v>
      </c>
      <c r="D49">
        <f>ROUNDDOWN($D$2*(1+VLOOKUP(temperatury3[[#Headers],[lody]],$O$1:$P$4,2,FALSE)*(temperatury3[[#This Row],[temperatura]]-24)/2),0)</f>
        <v>99</v>
      </c>
      <c r="E49">
        <f>ROUNDDOWN($E$2*(1+VLOOKUP(temperatury3[[#Headers],[kukurydza]],$O$1:$P$4,2,FALSE)*(temperatury3[[#This Row],[temperatura]]-24)/2),0)</f>
        <v>68</v>
      </c>
      <c r="F49">
        <f>IF(temperatury3[[#This Row],[temperatura]]&gt;20,F48+1,0)</f>
        <v>0</v>
      </c>
    </row>
    <row r="50" spans="1:6" x14ac:dyDescent="0.25">
      <c r="A50" s="1">
        <v>44761</v>
      </c>
      <c r="B50">
        <v>21</v>
      </c>
      <c r="C50">
        <f>ROUNDDOWN($C$2*(1+VLOOKUP(temperatury3[[#Headers],[hot-dog]],$O$1:$P$4,2,FALSE)*(temperatury3[[#This Row],[temperatura]]-24)/2),0)</f>
        <v>79</v>
      </c>
      <c r="D50">
        <f>ROUNDDOWN($D$2*(1+VLOOKUP(temperatury3[[#Headers],[lody]],$O$1:$P$4,2,FALSE)*(temperatury3[[#This Row],[temperatura]]-24)/2),0)</f>
        <v>107</v>
      </c>
      <c r="E50">
        <f>ROUNDDOWN($E$2*(1+VLOOKUP(temperatury3[[#Headers],[kukurydza]],$O$1:$P$4,2,FALSE)*(temperatury3[[#This Row],[temperatura]]-24)/2),0)</f>
        <v>72</v>
      </c>
      <c r="F50">
        <f>IF(temperatury3[[#This Row],[temperatura]]&gt;20,F49+1,0)</f>
        <v>1</v>
      </c>
    </row>
    <row r="51" spans="1:6" x14ac:dyDescent="0.25">
      <c r="A51" s="1">
        <v>44762</v>
      </c>
      <c r="B51">
        <v>25</v>
      </c>
      <c r="C51">
        <f>ROUNDDOWN($C$2*(1+VLOOKUP(temperatury3[[#Headers],[hot-dog]],$O$1:$P$4,2,FALSE)*(temperatury3[[#This Row],[temperatura]]-24)/2),0)</f>
        <v>93</v>
      </c>
      <c r="D51">
        <f>ROUNDDOWN($D$2*(1+VLOOKUP(temperatury3[[#Headers],[lody]],$O$1:$P$4,2,FALSE)*(temperatury3[[#This Row],[temperatura]]-24)/2),0)</f>
        <v>124</v>
      </c>
      <c r="E51">
        <f>ROUNDDOWN($E$2*(1+VLOOKUP(temperatury3[[#Headers],[kukurydza]],$O$1:$P$4,2,FALSE)*(temperatury3[[#This Row],[temperatura]]-24)/2),0)</f>
        <v>82</v>
      </c>
      <c r="F51">
        <f>IF(temperatury3[[#This Row],[temperatura]]&gt;20,F50+1,0)</f>
        <v>2</v>
      </c>
    </row>
    <row r="52" spans="1:6" x14ac:dyDescent="0.25">
      <c r="A52" s="1">
        <v>44763</v>
      </c>
      <c r="B52">
        <v>28</v>
      </c>
      <c r="C52">
        <f>ROUNDDOWN($C$2*(1+VLOOKUP(temperatury3[[#Headers],[hot-dog]],$O$1:$P$4,2,FALSE)*(temperatury3[[#This Row],[temperatura]]-24)/2),0)</f>
        <v>103</v>
      </c>
      <c r="D52">
        <f>ROUNDDOWN($D$2*(1+VLOOKUP(temperatury3[[#Headers],[lody]],$O$1:$P$4,2,FALSE)*(temperatury3[[#This Row],[temperatura]]-24)/2),0)</f>
        <v>136</v>
      </c>
      <c r="E52">
        <f>ROUNDDOWN($E$2*(1+VLOOKUP(temperatury3[[#Headers],[kukurydza]],$O$1:$P$4,2,FALSE)*(temperatury3[[#This Row],[temperatura]]-24)/2),0)</f>
        <v>89</v>
      </c>
      <c r="F52">
        <f>IF(temperatury3[[#This Row],[temperatura]]&gt;20,F51+1,0)</f>
        <v>3</v>
      </c>
    </row>
    <row r="53" spans="1:6" x14ac:dyDescent="0.25">
      <c r="A53" s="1">
        <v>44764</v>
      </c>
      <c r="B53">
        <v>27</v>
      </c>
      <c r="C53">
        <f>ROUNDDOWN($C$2*(1+VLOOKUP(temperatury3[[#Headers],[hot-dog]],$O$1:$P$4,2,FALSE)*(temperatury3[[#This Row],[temperatura]]-24)/2),0)</f>
        <v>100</v>
      </c>
      <c r="D53">
        <f>ROUNDDOWN($D$2*(1+VLOOKUP(temperatury3[[#Headers],[lody]],$O$1:$P$4,2,FALSE)*(temperatury3[[#This Row],[temperatura]]-24)/2),0)</f>
        <v>132</v>
      </c>
      <c r="E53">
        <f>ROUNDDOWN($E$2*(1+VLOOKUP(temperatury3[[#Headers],[kukurydza]],$O$1:$P$4,2,FALSE)*(temperatury3[[#This Row],[temperatura]]-24)/2),0)</f>
        <v>87</v>
      </c>
      <c r="F53">
        <f>IF(temperatury3[[#This Row],[temperatura]]&gt;20,F52+1,0)</f>
        <v>4</v>
      </c>
    </row>
    <row r="54" spans="1:6" x14ac:dyDescent="0.25">
      <c r="A54" s="1">
        <v>44765</v>
      </c>
      <c r="B54">
        <v>23</v>
      </c>
      <c r="C54">
        <f>ROUNDDOWN($C$2*(1+VLOOKUP(temperatury3[[#Headers],[hot-dog]],$O$1:$P$4,2,FALSE)*(temperatury3[[#This Row],[temperatura]]-24)/2),0)</f>
        <v>86</v>
      </c>
      <c r="D54">
        <f>ROUNDDOWN($D$2*(1+VLOOKUP(temperatury3[[#Headers],[lody]],$O$1:$P$4,2,FALSE)*(temperatury3[[#This Row],[temperatura]]-24)/2),0)</f>
        <v>115</v>
      </c>
      <c r="E54">
        <f>ROUNDDOWN($E$2*(1+VLOOKUP(temperatury3[[#Headers],[kukurydza]],$O$1:$P$4,2,FALSE)*(temperatury3[[#This Row],[temperatura]]-24)/2),0)</f>
        <v>77</v>
      </c>
      <c r="F54">
        <f>IF(temperatury3[[#This Row],[temperatura]]&gt;20,F53+1,0)</f>
        <v>5</v>
      </c>
    </row>
    <row r="55" spans="1:6" x14ac:dyDescent="0.25">
      <c r="A55" s="1">
        <v>44766</v>
      </c>
      <c r="B55">
        <v>26</v>
      </c>
      <c r="C55">
        <f>ROUNDDOWN($C$2*(1+VLOOKUP(temperatury3[[#Headers],[hot-dog]],$O$1:$P$4,2,FALSE)*(temperatury3[[#This Row],[temperatura]]-24)/2),0)</f>
        <v>96</v>
      </c>
      <c r="D55">
        <f>ROUNDDOWN($D$2*(1+VLOOKUP(temperatury3[[#Headers],[lody]],$O$1:$P$4,2,FALSE)*(temperatury3[[#This Row],[temperatura]]-24)/2),0)</f>
        <v>128</v>
      </c>
      <c r="E55">
        <f>ROUNDDOWN($E$2*(1+VLOOKUP(temperatury3[[#Headers],[kukurydza]],$O$1:$P$4,2,FALSE)*(temperatury3[[#This Row],[temperatura]]-24)/2),0)</f>
        <v>84</v>
      </c>
      <c r="F55">
        <f>IF(temperatury3[[#This Row],[temperatura]]&gt;20,F54+1,0)</f>
        <v>6</v>
      </c>
    </row>
    <row r="56" spans="1:6" x14ac:dyDescent="0.25">
      <c r="A56" s="1">
        <v>44767</v>
      </c>
      <c r="B56">
        <v>29</v>
      </c>
      <c r="C56">
        <f>ROUNDDOWN($C$2*(1+VLOOKUP(temperatury3[[#Headers],[hot-dog]],$O$1:$P$4,2,FALSE)*(temperatury3[[#This Row],[temperatura]]-24)/2),0)</f>
        <v>107</v>
      </c>
      <c r="D56">
        <f>ROUNDDOWN($D$2*(1+VLOOKUP(temperatury3[[#Headers],[lody]],$O$1:$P$4,2,FALSE)*(temperatury3[[#This Row],[temperatura]]-24)/2),0)</f>
        <v>140</v>
      </c>
      <c r="E56">
        <f>ROUNDDOWN($E$2*(1+VLOOKUP(temperatury3[[#Headers],[kukurydza]],$O$1:$P$4,2,FALSE)*(temperatury3[[#This Row],[temperatura]]-24)/2),0)</f>
        <v>91</v>
      </c>
      <c r="F56">
        <f>IF(temperatury3[[#This Row],[temperatura]]&gt;20,F55+1,0)</f>
        <v>7</v>
      </c>
    </row>
    <row r="57" spans="1:6" x14ac:dyDescent="0.25">
      <c r="A57" s="1">
        <v>44768</v>
      </c>
      <c r="B57">
        <v>26</v>
      </c>
      <c r="C57">
        <f>ROUNDDOWN($C$2*(1+VLOOKUP(temperatury3[[#Headers],[hot-dog]],$O$1:$P$4,2,FALSE)*(temperatury3[[#This Row],[temperatura]]-24)/2),0)</f>
        <v>96</v>
      </c>
      <c r="D57">
        <f>ROUNDDOWN($D$2*(1+VLOOKUP(temperatury3[[#Headers],[lody]],$O$1:$P$4,2,FALSE)*(temperatury3[[#This Row],[temperatura]]-24)/2),0)</f>
        <v>128</v>
      </c>
      <c r="E57">
        <f>ROUNDDOWN($E$2*(1+VLOOKUP(temperatury3[[#Headers],[kukurydza]],$O$1:$P$4,2,FALSE)*(temperatury3[[#This Row],[temperatura]]-24)/2),0)</f>
        <v>84</v>
      </c>
      <c r="F57">
        <f>IF(temperatury3[[#This Row],[temperatura]]&gt;20,F56+1,0)</f>
        <v>8</v>
      </c>
    </row>
    <row r="58" spans="1:6" x14ac:dyDescent="0.25">
      <c r="A58" s="1">
        <v>44769</v>
      </c>
      <c r="B58">
        <v>27</v>
      </c>
      <c r="C58">
        <f>ROUNDDOWN($C$2*(1+VLOOKUP(temperatury3[[#Headers],[hot-dog]],$O$1:$P$4,2,FALSE)*(temperatury3[[#This Row],[temperatura]]-24)/2),0)</f>
        <v>100</v>
      </c>
      <c r="D58">
        <f>ROUNDDOWN($D$2*(1+VLOOKUP(temperatury3[[#Headers],[lody]],$O$1:$P$4,2,FALSE)*(temperatury3[[#This Row],[temperatura]]-24)/2),0)</f>
        <v>132</v>
      </c>
      <c r="E58">
        <f>ROUNDDOWN($E$2*(1+VLOOKUP(temperatury3[[#Headers],[kukurydza]],$O$1:$P$4,2,FALSE)*(temperatury3[[#This Row],[temperatura]]-24)/2),0)</f>
        <v>87</v>
      </c>
      <c r="F58">
        <f>IF(temperatury3[[#This Row],[temperatura]]&gt;20,F57+1,0)</f>
        <v>9</v>
      </c>
    </row>
    <row r="59" spans="1:6" x14ac:dyDescent="0.25">
      <c r="A59" s="1">
        <v>44770</v>
      </c>
      <c r="B59">
        <v>24</v>
      </c>
      <c r="C59">
        <f>ROUNDDOWN($C$2*(1+VLOOKUP(temperatury3[[#Headers],[hot-dog]],$O$1:$P$4,2,FALSE)*(temperatury3[[#This Row],[temperatura]]-24)/2),0)</f>
        <v>90</v>
      </c>
      <c r="D59">
        <f>ROUNDDOWN($D$2*(1+VLOOKUP(temperatury3[[#Headers],[lody]],$O$1:$P$4,2,FALSE)*(temperatury3[[#This Row],[temperatura]]-24)/2),0)</f>
        <v>120</v>
      </c>
      <c r="E59">
        <f>ROUNDDOWN($E$2*(1+VLOOKUP(temperatury3[[#Headers],[kukurydza]],$O$1:$P$4,2,FALSE)*(temperatury3[[#This Row],[temperatura]]-24)/2),0)</f>
        <v>80</v>
      </c>
      <c r="F59">
        <f>IF(temperatury3[[#This Row],[temperatura]]&gt;20,F58+1,0)</f>
        <v>10</v>
      </c>
    </row>
    <row r="60" spans="1:6" x14ac:dyDescent="0.25">
      <c r="A60" s="1">
        <v>44771</v>
      </c>
      <c r="B60">
        <v>26</v>
      </c>
      <c r="C60">
        <f>ROUNDDOWN($C$2*(1+VLOOKUP(temperatury3[[#Headers],[hot-dog]],$O$1:$P$4,2,FALSE)*(temperatury3[[#This Row],[temperatura]]-24)/2),0)</f>
        <v>96</v>
      </c>
      <c r="D60">
        <f>ROUNDDOWN($D$2*(1+VLOOKUP(temperatury3[[#Headers],[lody]],$O$1:$P$4,2,FALSE)*(temperatury3[[#This Row],[temperatura]]-24)/2),0)</f>
        <v>128</v>
      </c>
      <c r="E60">
        <f>ROUNDDOWN($E$2*(1+VLOOKUP(temperatury3[[#Headers],[kukurydza]],$O$1:$P$4,2,FALSE)*(temperatury3[[#This Row],[temperatura]]-24)/2),0)</f>
        <v>84</v>
      </c>
      <c r="F60">
        <f>IF(temperatury3[[#This Row],[temperatura]]&gt;20,F59+1,0)</f>
        <v>11</v>
      </c>
    </row>
    <row r="61" spans="1:6" x14ac:dyDescent="0.25">
      <c r="A61" s="1">
        <v>44772</v>
      </c>
      <c r="B61">
        <v>25</v>
      </c>
      <c r="C61">
        <f>ROUNDDOWN($C$2*(1+VLOOKUP(temperatury3[[#Headers],[hot-dog]],$O$1:$P$4,2,FALSE)*(temperatury3[[#This Row],[temperatura]]-24)/2),0)</f>
        <v>93</v>
      </c>
      <c r="D61">
        <f>ROUNDDOWN($D$2*(1+VLOOKUP(temperatury3[[#Headers],[lody]],$O$1:$P$4,2,FALSE)*(temperatury3[[#This Row],[temperatura]]-24)/2),0)</f>
        <v>124</v>
      </c>
      <c r="E61">
        <f>ROUNDDOWN($E$2*(1+VLOOKUP(temperatury3[[#Headers],[kukurydza]],$O$1:$P$4,2,FALSE)*(temperatury3[[#This Row],[temperatura]]-24)/2),0)</f>
        <v>82</v>
      </c>
      <c r="F61">
        <f>IF(temperatury3[[#This Row],[temperatura]]&gt;20,F60+1,0)</f>
        <v>12</v>
      </c>
    </row>
    <row r="62" spans="1:6" x14ac:dyDescent="0.25">
      <c r="A62" s="1">
        <v>44773</v>
      </c>
      <c r="B62">
        <v>24</v>
      </c>
      <c r="C62">
        <f>ROUNDDOWN($C$2*(1+VLOOKUP(temperatury3[[#Headers],[hot-dog]],$O$1:$P$4,2,FALSE)*(temperatury3[[#This Row],[temperatura]]-24)/2),0)</f>
        <v>90</v>
      </c>
      <c r="D62">
        <f>ROUNDDOWN($D$2*(1+VLOOKUP(temperatury3[[#Headers],[lody]],$O$1:$P$4,2,FALSE)*(temperatury3[[#This Row],[temperatura]]-24)/2),0)</f>
        <v>120</v>
      </c>
      <c r="E62">
        <f>ROUNDDOWN($E$2*(1+VLOOKUP(temperatury3[[#Headers],[kukurydza]],$O$1:$P$4,2,FALSE)*(temperatury3[[#This Row],[temperatura]]-24)/2),0)</f>
        <v>80</v>
      </c>
      <c r="F62">
        <f>IF(temperatury3[[#This Row],[temperatura]]&gt;20,F61+1,0)</f>
        <v>13</v>
      </c>
    </row>
    <row r="63" spans="1:6" x14ac:dyDescent="0.25">
      <c r="A63" s="1">
        <v>44774</v>
      </c>
      <c r="B63">
        <v>22</v>
      </c>
      <c r="C63">
        <f>ROUNDDOWN($C$2*(1+VLOOKUP(temperatury3[[#Headers],[hot-dog]],$O$1:$P$4,2,FALSE)*(temperatury3[[#This Row],[temperatura]]-24)/2),0)</f>
        <v>83</v>
      </c>
      <c r="D63">
        <f>ROUNDDOWN($D$2*(1+VLOOKUP(temperatury3[[#Headers],[lody]],$O$1:$P$4,2,FALSE)*(temperatury3[[#This Row],[temperatura]]-24)/2),0)</f>
        <v>111</v>
      </c>
      <c r="E63">
        <f>ROUNDDOWN($E$2*(1+VLOOKUP(temperatury3[[#Headers],[kukurydza]],$O$1:$P$4,2,FALSE)*(temperatury3[[#This Row],[temperatura]]-24)/2),0)</f>
        <v>75</v>
      </c>
      <c r="F63">
        <f>IF(temperatury3[[#This Row],[temperatura]]&gt;20,F62+1,0)</f>
        <v>14</v>
      </c>
    </row>
    <row r="64" spans="1:6" x14ac:dyDescent="0.25">
      <c r="A64" s="1">
        <v>44775</v>
      </c>
      <c r="B64">
        <v>19</v>
      </c>
      <c r="C64">
        <f>ROUNDDOWN($C$2*(1+VLOOKUP(temperatury3[[#Headers],[hot-dog]],$O$1:$P$4,2,FALSE)*(temperatury3[[#This Row],[temperatura]]-24)/2),0)</f>
        <v>72</v>
      </c>
      <c r="D64">
        <f>ROUNDDOWN($D$2*(1+VLOOKUP(temperatury3[[#Headers],[lody]],$O$1:$P$4,2,FALSE)*(temperatury3[[#This Row],[temperatura]]-24)/2),0)</f>
        <v>99</v>
      </c>
      <c r="E64">
        <f>ROUNDDOWN($E$2*(1+VLOOKUP(temperatury3[[#Headers],[kukurydza]],$O$1:$P$4,2,FALSE)*(temperatury3[[#This Row],[temperatura]]-24)/2),0)</f>
        <v>68</v>
      </c>
      <c r="F64">
        <f>IF(temperatury3[[#This Row],[temperatura]]&gt;20,F63+1,0)</f>
        <v>0</v>
      </c>
    </row>
    <row r="65" spans="1:6" x14ac:dyDescent="0.25">
      <c r="A65" s="1">
        <v>44776</v>
      </c>
      <c r="B65">
        <v>21</v>
      </c>
      <c r="C65">
        <f>ROUNDDOWN($C$2*(1+VLOOKUP(temperatury3[[#Headers],[hot-dog]],$O$1:$P$4,2,FALSE)*(temperatury3[[#This Row],[temperatura]]-24)/2),0)</f>
        <v>79</v>
      </c>
      <c r="D65">
        <f>ROUNDDOWN($D$2*(1+VLOOKUP(temperatury3[[#Headers],[lody]],$O$1:$P$4,2,FALSE)*(temperatury3[[#This Row],[temperatura]]-24)/2),0)</f>
        <v>107</v>
      </c>
      <c r="E65">
        <f>ROUNDDOWN($E$2*(1+VLOOKUP(temperatury3[[#Headers],[kukurydza]],$O$1:$P$4,2,FALSE)*(temperatury3[[#This Row],[temperatura]]-24)/2),0)</f>
        <v>72</v>
      </c>
      <c r="F65">
        <f>IF(temperatury3[[#This Row],[temperatura]]&gt;20,F64+1,0)</f>
        <v>1</v>
      </c>
    </row>
    <row r="66" spans="1:6" x14ac:dyDescent="0.25">
      <c r="A66" s="1">
        <v>44777</v>
      </c>
      <c r="B66">
        <v>26</v>
      </c>
      <c r="C66">
        <f>ROUNDDOWN($C$2*(1+VLOOKUP(temperatury3[[#Headers],[hot-dog]],$O$1:$P$4,2,FALSE)*(temperatury3[[#This Row],[temperatura]]-24)/2),0)</f>
        <v>96</v>
      </c>
      <c r="D66">
        <f>ROUNDDOWN($D$2*(1+VLOOKUP(temperatury3[[#Headers],[lody]],$O$1:$P$4,2,FALSE)*(temperatury3[[#This Row],[temperatura]]-24)/2),0)</f>
        <v>128</v>
      </c>
      <c r="E66">
        <f>ROUNDDOWN($E$2*(1+VLOOKUP(temperatury3[[#Headers],[kukurydza]],$O$1:$P$4,2,FALSE)*(temperatury3[[#This Row],[temperatura]]-24)/2),0)</f>
        <v>84</v>
      </c>
      <c r="F66">
        <f>IF(temperatury3[[#This Row],[temperatura]]&gt;20,F65+1,0)</f>
        <v>2</v>
      </c>
    </row>
    <row r="67" spans="1:6" x14ac:dyDescent="0.25">
      <c r="A67" s="1">
        <v>44778</v>
      </c>
      <c r="B67">
        <v>19</v>
      </c>
      <c r="C67">
        <f>ROUNDDOWN($C$2*(1+VLOOKUP(temperatury3[[#Headers],[hot-dog]],$O$1:$P$4,2,FALSE)*(temperatury3[[#This Row],[temperatura]]-24)/2),0)</f>
        <v>72</v>
      </c>
      <c r="D67">
        <f>ROUNDDOWN($D$2*(1+VLOOKUP(temperatury3[[#Headers],[lody]],$O$1:$P$4,2,FALSE)*(temperatury3[[#This Row],[temperatura]]-24)/2),0)</f>
        <v>99</v>
      </c>
      <c r="E67">
        <f>ROUNDDOWN($E$2*(1+VLOOKUP(temperatury3[[#Headers],[kukurydza]],$O$1:$P$4,2,FALSE)*(temperatury3[[#This Row],[temperatura]]-24)/2),0)</f>
        <v>68</v>
      </c>
      <c r="F67">
        <f>IF(temperatury3[[#This Row],[temperatura]]&gt;20,F66+1,0)</f>
        <v>0</v>
      </c>
    </row>
    <row r="68" spans="1:6" x14ac:dyDescent="0.25">
      <c r="A68" s="1">
        <v>44779</v>
      </c>
      <c r="B68">
        <v>21</v>
      </c>
      <c r="C68">
        <f>ROUNDDOWN($C$2*(1+VLOOKUP(temperatury3[[#Headers],[hot-dog]],$O$1:$P$4,2,FALSE)*(temperatury3[[#This Row],[temperatura]]-24)/2),0)</f>
        <v>79</v>
      </c>
      <c r="D68">
        <f>ROUNDDOWN($D$2*(1+VLOOKUP(temperatury3[[#Headers],[lody]],$O$1:$P$4,2,FALSE)*(temperatury3[[#This Row],[temperatura]]-24)/2),0)</f>
        <v>107</v>
      </c>
      <c r="E68">
        <f>ROUNDDOWN($E$2*(1+VLOOKUP(temperatury3[[#Headers],[kukurydza]],$O$1:$P$4,2,FALSE)*(temperatury3[[#This Row],[temperatura]]-24)/2),0)</f>
        <v>72</v>
      </c>
      <c r="F68">
        <f>IF(temperatury3[[#This Row],[temperatura]]&gt;20,F67+1,0)</f>
        <v>1</v>
      </c>
    </row>
    <row r="69" spans="1:6" x14ac:dyDescent="0.25">
      <c r="A69" s="1">
        <v>44780</v>
      </c>
      <c r="B69">
        <v>23</v>
      </c>
      <c r="C69">
        <f>ROUNDDOWN($C$2*(1+VLOOKUP(temperatury3[[#Headers],[hot-dog]],$O$1:$P$4,2,FALSE)*(temperatury3[[#This Row],[temperatura]]-24)/2),0)</f>
        <v>86</v>
      </c>
      <c r="D69">
        <f>ROUNDDOWN($D$2*(1+VLOOKUP(temperatury3[[#Headers],[lody]],$O$1:$P$4,2,FALSE)*(temperatury3[[#This Row],[temperatura]]-24)/2),0)</f>
        <v>115</v>
      </c>
      <c r="E69">
        <f>ROUNDDOWN($E$2*(1+VLOOKUP(temperatury3[[#Headers],[kukurydza]],$O$1:$P$4,2,FALSE)*(temperatury3[[#This Row],[temperatura]]-24)/2),0)</f>
        <v>77</v>
      </c>
      <c r="F69">
        <f>IF(temperatury3[[#This Row],[temperatura]]&gt;20,F68+1,0)</f>
        <v>2</v>
      </c>
    </row>
    <row r="70" spans="1:6" x14ac:dyDescent="0.25">
      <c r="A70" s="1">
        <v>44781</v>
      </c>
      <c r="B70">
        <v>27</v>
      </c>
      <c r="C70">
        <f>ROUNDDOWN($C$2*(1+VLOOKUP(temperatury3[[#Headers],[hot-dog]],$O$1:$P$4,2,FALSE)*(temperatury3[[#This Row],[temperatura]]-24)/2),0)</f>
        <v>100</v>
      </c>
      <c r="D70">
        <f>ROUNDDOWN($D$2*(1+VLOOKUP(temperatury3[[#Headers],[lody]],$O$1:$P$4,2,FALSE)*(temperatury3[[#This Row],[temperatura]]-24)/2),0)</f>
        <v>132</v>
      </c>
      <c r="E70">
        <f>ROUNDDOWN($E$2*(1+VLOOKUP(temperatury3[[#Headers],[kukurydza]],$O$1:$P$4,2,FALSE)*(temperatury3[[#This Row],[temperatura]]-24)/2),0)</f>
        <v>87</v>
      </c>
      <c r="F70">
        <f>IF(temperatury3[[#This Row],[temperatura]]&gt;20,F69+1,0)</f>
        <v>3</v>
      </c>
    </row>
    <row r="71" spans="1:6" x14ac:dyDescent="0.25">
      <c r="A71" s="1">
        <v>44782</v>
      </c>
      <c r="B71">
        <v>20</v>
      </c>
      <c r="C71">
        <f>ROUNDDOWN($C$2*(1+VLOOKUP(temperatury3[[#Headers],[hot-dog]],$O$1:$P$4,2,FALSE)*(temperatury3[[#This Row],[temperatura]]-24)/2),0)</f>
        <v>76</v>
      </c>
      <c r="D71">
        <f>ROUNDDOWN($D$2*(1+VLOOKUP(temperatury3[[#Headers],[lody]],$O$1:$P$4,2,FALSE)*(temperatury3[[#This Row],[temperatura]]-24)/2),0)</f>
        <v>103</v>
      </c>
      <c r="E71">
        <f>ROUNDDOWN($E$2*(1+VLOOKUP(temperatury3[[#Headers],[kukurydza]],$O$1:$P$4,2,FALSE)*(temperatury3[[#This Row],[temperatura]]-24)/2),0)</f>
        <v>70</v>
      </c>
      <c r="F71">
        <f>IF(temperatury3[[#This Row],[temperatura]]&gt;20,F70+1,0)</f>
        <v>0</v>
      </c>
    </row>
    <row r="72" spans="1:6" x14ac:dyDescent="0.25">
      <c r="A72" s="1">
        <v>44783</v>
      </c>
      <c r="B72">
        <v>18</v>
      </c>
      <c r="C72">
        <f>ROUNDDOWN($C$2*(1+VLOOKUP(temperatury3[[#Headers],[hot-dog]],$O$1:$P$4,2,FALSE)*(temperatury3[[#This Row],[temperatura]]-24)/2),0)</f>
        <v>69</v>
      </c>
      <c r="D72">
        <f>ROUNDDOWN($D$2*(1+VLOOKUP(temperatury3[[#Headers],[lody]],$O$1:$P$4,2,FALSE)*(temperatury3[[#This Row],[temperatura]]-24)/2),0)</f>
        <v>95</v>
      </c>
      <c r="E72">
        <f>ROUNDDOWN($E$2*(1+VLOOKUP(temperatury3[[#Headers],[kukurydza]],$O$1:$P$4,2,FALSE)*(temperatury3[[#This Row],[temperatura]]-24)/2),0)</f>
        <v>65</v>
      </c>
      <c r="F72">
        <f>IF(temperatury3[[#This Row],[temperatura]]&gt;20,F71+1,0)</f>
        <v>0</v>
      </c>
    </row>
    <row r="73" spans="1:6" x14ac:dyDescent="0.25">
      <c r="A73" s="1">
        <v>44784</v>
      </c>
      <c r="B73">
        <v>17</v>
      </c>
      <c r="C73">
        <f>ROUNDDOWN($C$2*(1+VLOOKUP(temperatury3[[#Headers],[hot-dog]],$O$1:$P$4,2,FALSE)*(temperatury3[[#This Row],[temperatura]]-24)/2),0)</f>
        <v>65</v>
      </c>
      <c r="D73">
        <f>ROUNDDOWN($D$2*(1+VLOOKUP(temperatury3[[#Headers],[lody]],$O$1:$P$4,2,FALSE)*(temperatury3[[#This Row],[temperatura]]-24)/2),0)</f>
        <v>91</v>
      </c>
      <c r="E73">
        <f>ROUNDDOWN($E$2*(1+VLOOKUP(temperatury3[[#Headers],[kukurydza]],$O$1:$P$4,2,FALSE)*(temperatury3[[#This Row],[temperatura]]-24)/2),0)</f>
        <v>63</v>
      </c>
      <c r="F73">
        <f>IF(temperatury3[[#This Row],[temperatura]]&gt;20,F72+1,0)</f>
        <v>0</v>
      </c>
    </row>
    <row r="74" spans="1:6" x14ac:dyDescent="0.25">
      <c r="A74" s="1">
        <v>44785</v>
      </c>
      <c r="B74">
        <v>19</v>
      </c>
      <c r="C74">
        <f>ROUNDDOWN($C$2*(1+VLOOKUP(temperatury3[[#Headers],[hot-dog]],$O$1:$P$4,2,FALSE)*(temperatury3[[#This Row],[temperatura]]-24)/2),0)</f>
        <v>72</v>
      </c>
      <c r="D74">
        <f>ROUNDDOWN($D$2*(1+VLOOKUP(temperatury3[[#Headers],[lody]],$O$1:$P$4,2,FALSE)*(temperatury3[[#This Row],[temperatura]]-24)/2),0)</f>
        <v>99</v>
      </c>
      <c r="E74">
        <f>ROUNDDOWN($E$2*(1+VLOOKUP(temperatury3[[#Headers],[kukurydza]],$O$1:$P$4,2,FALSE)*(temperatury3[[#This Row],[temperatura]]-24)/2),0)</f>
        <v>68</v>
      </c>
      <c r="F74">
        <f>IF(temperatury3[[#This Row],[temperatura]]&gt;20,F73+1,0)</f>
        <v>0</v>
      </c>
    </row>
    <row r="75" spans="1:6" x14ac:dyDescent="0.25">
      <c r="A75" s="1">
        <v>44786</v>
      </c>
      <c r="B75">
        <v>26</v>
      </c>
      <c r="C75">
        <f>ROUNDDOWN($C$2*(1+VLOOKUP(temperatury3[[#Headers],[hot-dog]],$O$1:$P$4,2,FALSE)*(temperatury3[[#This Row],[temperatura]]-24)/2),0)</f>
        <v>96</v>
      </c>
      <c r="D75">
        <f>ROUNDDOWN($D$2*(1+VLOOKUP(temperatury3[[#Headers],[lody]],$O$1:$P$4,2,FALSE)*(temperatury3[[#This Row],[temperatura]]-24)/2),0)</f>
        <v>128</v>
      </c>
      <c r="E75">
        <f>ROUNDDOWN($E$2*(1+VLOOKUP(temperatury3[[#Headers],[kukurydza]],$O$1:$P$4,2,FALSE)*(temperatury3[[#This Row],[temperatura]]-24)/2),0)</f>
        <v>84</v>
      </c>
      <c r="F75">
        <f>IF(temperatury3[[#This Row],[temperatura]]&gt;20,F74+1,0)</f>
        <v>1</v>
      </c>
    </row>
    <row r="76" spans="1:6" x14ac:dyDescent="0.25">
      <c r="A76" s="1">
        <v>44787</v>
      </c>
      <c r="B76">
        <v>21</v>
      </c>
      <c r="C76">
        <f>ROUNDDOWN($C$2*(1+VLOOKUP(temperatury3[[#Headers],[hot-dog]],$O$1:$P$4,2,FALSE)*(temperatury3[[#This Row],[temperatura]]-24)/2),0)</f>
        <v>79</v>
      </c>
      <c r="D76">
        <f>ROUNDDOWN($D$2*(1+VLOOKUP(temperatury3[[#Headers],[lody]],$O$1:$P$4,2,FALSE)*(temperatury3[[#This Row],[temperatura]]-24)/2),0)</f>
        <v>107</v>
      </c>
      <c r="E76">
        <f>ROUNDDOWN($E$2*(1+VLOOKUP(temperatury3[[#Headers],[kukurydza]],$O$1:$P$4,2,FALSE)*(temperatury3[[#This Row],[temperatura]]-24)/2),0)</f>
        <v>72</v>
      </c>
      <c r="F76">
        <f>IF(temperatury3[[#This Row],[temperatura]]&gt;20,F75+1,0)</f>
        <v>2</v>
      </c>
    </row>
    <row r="77" spans="1:6" x14ac:dyDescent="0.25">
      <c r="A77" s="1">
        <v>44788</v>
      </c>
      <c r="B77">
        <v>19</v>
      </c>
      <c r="C77">
        <f>ROUNDDOWN($C$2*(1+VLOOKUP(temperatury3[[#Headers],[hot-dog]],$O$1:$P$4,2,FALSE)*(temperatury3[[#This Row],[temperatura]]-24)/2),0)</f>
        <v>72</v>
      </c>
      <c r="D77">
        <f>ROUNDDOWN($D$2*(1+VLOOKUP(temperatury3[[#Headers],[lody]],$O$1:$P$4,2,FALSE)*(temperatury3[[#This Row],[temperatura]]-24)/2),0)</f>
        <v>99</v>
      </c>
      <c r="E77">
        <f>ROUNDDOWN($E$2*(1+VLOOKUP(temperatury3[[#Headers],[kukurydza]],$O$1:$P$4,2,FALSE)*(temperatury3[[#This Row],[temperatura]]-24)/2),0)</f>
        <v>68</v>
      </c>
      <c r="F77">
        <f>IF(temperatury3[[#This Row],[temperatura]]&gt;20,F76+1,0)</f>
        <v>0</v>
      </c>
    </row>
    <row r="78" spans="1:6" x14ac:dyDescent="0.25">
      <c r="A78" s="1">
        <v>44789</v>
      </c>
      <c r="B78">
        <v>19</v>
      </c>
      <c r="C78">
        <f>ROUNDDOWN($C$2*(1+VLOOKUP(temperatury3[[#Headers],[hot-dog]],$O$1:$P$4,2,FALSE)*(temperatury3[[#This Row],[temperatura]]-24)/2),0)</f>
        <v>72</v>
      </c>
      <c r="D78">
        <f>ROUNDDOWN($D$2*(1+VLOOKUP(temperatury3[[#Headers],[lody]],$O$1:$P$4,2,FALSE)*(temperatury3[[#This Row],[temperatura]]-24)/2),0)</f>
        <v>99</v>
      </c>
      <c r="E78">
        <f>ROUNDDOWN($E$2*(1+VLOOKUP(temperatury3[[#Headers],[kukurydza]],$O$1:$P$4,2,FALSE)*(temperatury3[[#This Row],[temperatura]]-24)/2),0)</f>
        <v>68</v>
      </c>
      <c r="F78">
        <f>IF(temperatury3[[#This Row],[temperatura]]&gt;20,F77+1,0)</f>
        <v>0</v>
      </c>
    </row>
    <row r="79" spans="1:6" x14ac:dyDescent="0.25">
      <c r="A79" s="1">
        <v>44790</v>
      </c>
      <c r="B79">
        <v>21</v>
      </c>
      <c r="C79">
        <f>ROUNDDOWN($C$2*(1+VLOOKUP(temperatury3[[#Headers],[hot-dog]],$O$1:$P$4,2,FALSE)*(temperatury3[[#This Row],[temperatura]]-24)/2),0)</f>
        <v>79</v>
      </c>
      <c r="D79">
        <f>ROUNDDOWN($D$2*(1+VLOOKUP(temperatury3[[#Headers],[lody]],$O$1:$P$4,2,FALSE)*(temperatury3[[#This Row],[temperatura]]-24)/2),0)</f>
        <v>107</v>
      </c>
      <c r="E79">
        <f>ROUNDDOWN($E$2*(1+VLOOKUP(temperatury3[[#Headers],[kukurydza]],$O$1:$P$4,2,FALSE)*(temperatury3[[#This Row],[temperatura]]-24)/2),0)</f>
        <v>72</v>
      </c>
      <c r="F79">
        <f>IF(temperatury3[[#This Row],[temperatura]]&gt;20,F78+1,0)</f>
        <v>1</v>
      </c>
    </row>
    <row r="80" spans="1:6" x14ac:dyDescent="0.25">
      <c r="A80" s="1">
        <v>44791</v>
      </c>
      <c r="B80">
        <v>21</v>
      </c>
      <c r="C80">
        <f>ROUNDDOWN($C$2*(1+VLOOKUP(temperatury3[[#Headers],[hot-dog]],$O$1:$P$4,2,FALSE)*(temperatury3[[#This Row],[temperatura]]-24)/2),0)</f>
        <v>79</v>
      </c>
      <c r="D80">
        <f>ROUNDDOWN($D$2*(1+VLOOKUP(temperatury3[[#Headers],[lody]],$O$1:$P$4,2,FALSE)*(temperatury3[[#This Row],[temperatura]]-24)/2),0)</f>
        <v>107</v>
      </c>
      <c r="E80">
        <f>ROUNDDOWN($E$2*(1+VLOOKUP(temperatury3[[#Headers],[kukurydza]],$O$1:$P$4,2,FALSE)*(temperatury3[[#This Row],[temperatura]]-24)/2),0)</f>
        <v>72</v>
      </c>
      <c r="F80">
        <f>IF(temperatury3[[#This Row],[temperatura]]&gt;20,F79+1,0)</f>
        <v>2</v>
      </c>
    </row>
    <row r="81" spans="1:6" x14ac:dyDescent="0.25">
      <c r="A81" s="1">
        <v>44792</v>
      </c>
      <c r="B81">
        <v>24</v>
      </c>
      <c r="C81">
        <f>ROUNDDOWN($C$2*(1+VLOOKUP(temperatury3[[#Headers],[hot-dog]],$O$1:$P$4,2,FALSE)*(temperatury3[[#This Row],[temperatura]]-24)/2),0)</f>
        <v>90</v>
      </c>
      <c r="D81">
        <f>ROUNDDOWN($D$2*(1+VLOOKUP(temperatury3[[#Headers],[lody]],$O$1:$P$4,2,FALSE)*(temperatury3[[#This Row],[temperatura]]-24)/2),0)</f>
        <v>120</v>
      </c>
      <c r="E81">
        <f>ROUNDDOWN($E$2*(1+VLOOKUP(temperatury3[[#Headers],[kukurydza]],$O$1:$P$4,2,FALSE)*(temperatury3[[#This Row],[temperatura]]-24)/2),0)</f>
        <v>80</v>
      </c>
      <c r="F81">
        <f>IF(temperatury3[[#This Row],[temperatura]]&gt;20,F80+1,0)</f>
        <v>3</v>
      </c>
    </row>
    <row r="82" spans="1:6" x14ac:dyDescent="0.25">
      <c r="A82" s="1">
        <v>44793</v>
      </c>
      <c r="B82">
        <v>26</v>
      </c>
      <c r="C82">
        <f>ROUNDDOWN($C$2*(1+VLOOKUP(temperatury3[[#Headers],[hot-dog]],$O$1:$P$4,2,FALSE)*(temperatury3[[#This Row],[temperatura]]-24)/2),0)</f>
        <v>96</v>
      </c>
      <c r="D82">
        <f>ROUNDDOWN($D$2*(1+VLOOKUP(temperatury3[[#Headers],[lody]],$O$1:$P$4,2,FALSE)*(temperatury3[[#This Row],[temperatura]]-24)/2),0)</f>
        <v>128</v>
      </c>
      <c r="E82">
        <f>ROUNDDOWN($E$2*(1+VLOOKUP(temperatury3[[#Headers],[kukurydza]],$O$1:$P$4,2,FALSE)*(temperatury3[[#This Row],[temperatura]]-24)/2),0)</f>
        <v>84</v>
      </c>
      <c r="F82">
        <f>IF(temperatury3[[#This Row],[temperatura]]&gt;20,F81+1,0)</f>
        <v>4</v>
      </c>
    </row>
    <row r="83" spans="1:6" x14ac:dyDescent="0.25">
      <c r="A83" s="1">
        <v>44794</v>
      </c>
      <c r="B83">
        <v>23</v>
      </c>
      <c r="C83">
        <f>ROUNDDOWN($C$2*(1+VLOOKUP(temperatury3[[#Headers],[hot-dog]],$O$1:$P$4,2,FALSE)*(temperatury3[[#This Row],[temperatura]]-24)/2),0)</f>
        <v>86</v>
      </c>
      <c r="D83">
        <f>ROUNDDOWN($D$2*(1+VLOOKUP(temperatury3[[#Headers],[lody]],$O$1:$P$4,2,FALSE)*(temperatury3[[#This Row],[temperatura]]-24)/2),0)</f>
        <v>115</v>
      </c>
      <c r="E83">
        <f>ROUNDDOWN($E$2*(1+VLOOKUP(temperatury3[[#Headers],[kukurydza]],$O$1:$P$4,2,FALSE)*(temperatury3[[#This Row],[temperatura]]-24)/2),0)</f>
        <v>77</v>
      </c>
      <c r="F83">
        <f>IF(temperatury3[[#This Row],[temperatura]]&gt;20,F82+1,0)</f>
        <v>5</v>
      </c>
    </row>
    <row r="84" spans="1:6" x14ac:dyDescent="0.25">
      <c r="A84" s="1">
        <v>44795</v>
      </c>
      <c r="B84">
        <v>23</v>
      </c>
      <c r="C84">
        <f>ROUNDDOWN($C$2*(1+VLOOKUP(temperatury3[[#Headers],[hot-dog]],$O$1:$P$4,2,FALSE)*(temperatury3[[#This Row],[temperatura]]-24)/2),0)</f>
        <v>86</v>
      </c>
      <c r="D84">
        <f>ROUNDDOWN($D$2*(1+VLOOKUP(temperatury3[[#Headers],[lody]],$O$1:$P$4,2,FALSE)*(temperatury3[[#This Row],[temperatura]]-24)/2),0)</f>
        <v>115</v>
      </c>
      <c r="E84">
        <f>ROUNDDOWN($E$2*(1+VLOOKUP(temperatury3[[#Headers],[kukurydza]],$O$1:$P$4,2,FALSE)*(temperatury3[[#This Row],[temperatura]]-24)/2),0)</f>
        <v>77</v>
      </c>
      <c r="F84">
        <f>IF(temperatury3[[#This Row],[temperatura]]&gt;20,F83+1,0)</f>
        <v>6</v>
      </c>
    </row>
    <row r="85" spans="1:6" x14ac:dyDescent="0.25">
      <c r="A85" s="1">
        <v>44796</v>
      </c>
      <c r="B85">
        <v>24</v>
      </c>
      <c r="C85">
        <f>ROUNDDOWN($C$2*(1+VLOOKUP(temperatury3[[#Headers],[hot-dog]],$O$1:$P$4,2,FALSE)*(temperatury3[[#This Row],[temperatura]]-24)/2),0)</f>
        <v>90</v>
      </c>
      <c r="D85">
        <f>ROUNDDOWN($D$2*(1+VLOOKUP(temperatury3[[#Headers],[lody]],$O$1:$P$4,2,FALSE)*(temperatury3[[#This Row],[temperatura]]-24)/2),0)</f>
        <v>120</v>
      </c>
      <c r="E85">
        <f>ROUNDDOWN($E$2*(1+VLOOKUP(temperatury3[[#Headers],[kukurydza]],$O$1:$P$4,2,FALSE)*(temperatury3[[#This Row],[temperatura]]-24)/2),0)</f>
        <v>80</v>
      </c>
      <c r="F85">
        <f>IF(temperatury3[[#This Row],[temperatura]]&gt;20,F84+1,0)</f>
        <v>7</v>
      </c>
    </row>
    <row r="86" spans="1:6" x14ac:dyDescent="0.25">
      <c r="A86" s="1">
        <v>44797</v>
      </c>
      <c r="B86">
        <v>26</v>
      </c>
      <c r="C86">
        <f>ROUNDDOWN($C$2*(1+VLOOKUP(temperatury3[[#Headers],[hot-dog]],$O$1:$P$4,2,FALSE)*(temperatury3[[#This Row],[temperatura]]-24)/2),0)</f>
        <v>96</v>
      </c>
      <c r="D86">
        <f>ROUNDDOWN($D$2*(1+VLOOKUP(temperatury3[[#Headers],[lody]],$O$1:$P$4,2,FALSE)*(temperatury3[[#This Row],[temperatura]]-24)/2),0)</f>
        <v>128</v>
      </c>
      <c r="E86">
        <f>ROUNDDOWN($E$2*(1+VLOOKUP(temperatury3[[#Headers],[kukurydza]],$O$1:$P$4,2,FALSE)*(temperatury3[[#This Row],[temperatura]]-24)/2),0)</f>
        <v>84</v>
      </c>
      <c r="F86">
        <f>IF(temperatury3[[#This Row],[temperatura]]&gt;20,F85+1,0)</f>
        <v>8</v>
      </c>
    </row>
    <row r="87" spans="1:6" x14ac:dyDescent="0.25">
      <c r="A87" s="1">
        <v>44798</v>
      </c>
      <c r="B87">
        <v>28</v>
      </c>
      <c r="C87">
        <f>ROUNDDOWN($C$2*(1+VLOOKUP(temperatury3[[#Headers],[hot-dog]],$O$1:$P$4,2,FALSE)*(temperatury3[[#This Row],[temperatura]]-24)/2),0)</f>
        <v>103</v>
      </c>
      <c r="D87">
        <f>ROUNDDOWN($D$2*(1+VLOOKUP(temperatury3[[#Headers],[lody]],$O$1:$P$4,2,FALSE)*(temperatury3[[#This Row],[temperatura]]-24)/2),0)</f>
        <v>136</v>
      </c>
      <c r="E87">
        <f>ROUNDDOWN($E$2*(1+VLOOKUP(temperatury3[[#Headers],[kukurydza]],$O$1:$P$4,2,FALSE)*(temperatury3[[#This Row],[temperatura]]-24)/2),0)</f>
        <v>89</v>
      </c>
      <c r="F87">
        <f>IF(temperatury3[[#This Row],[temperatura]]&gt;20,F86+1,0)</f>
        <v>9</v>
      </c>
    </row>
    <row r="88" spans="1:6" x14ac:dyDescent="0.25">
      <c r="A88" s="1">
        <v>44799</v>
      </c>
      <c r="B88">
        <v>32</v>
      </c>
      <c r="C88">
        <f>ROUNDDOWN($C$2*(1+VLOOKUP(temperatury3[[#Headers],[hot-dog]],$O$1:$P$4,2,FALSE)*(temperatury3[[#This Row],[temperatura]]-24)/2),0)</f>
        <v>117</v>
      </c>
      <c r="D88">
        <f>ROUNDDOWN($D$2*(1+VLOOKUP(temperatury3[[#Headers],[lody]],$O$1:$P$4,2,FALSE)*(temperatury3[[#This Row],[temperatura]]-24)/2),0)</f>
        <v>153</v>
      </c>
      <c r="E88">
        <f>ROUNDDOWN($E$2*(1+VLOOKUP(temperatury3[[#Headers],[kukurydza]],$O$1:$P$4,2,FALSE)*(temperatury3[[#This Row],[temperatura]]-24)/2),0)</f>
        <v>98</v>
      </c>
      <c r="F88">
        <f>IF(temperatury3[[#This Row],[temperatura]]&gt;20,F87+1,0)</f>
        <v>10</v>
      </c>
    </row>
    <row r="89" spans="1:6" x14ac:dyDescent="0.25">
      <c r="A89" s="1">
        <v>44800</v>
      </c>
      <c r="B89">
        <v>26</v>
      </c>
      <c r="C89">
        <f>ROUNDDOWN($C$2*(1+VLOOKUP(temperatury3[[#Headers],[hot-dog]],$O$1:$P$4,2,FALSE)*(temperatury3[[#This Row],[temperatura]]-24)/2),0)</f>
        <v>96</v>
      </c>
      <c r="D89">
        <f>ROUNDDOWN($D$2*(1+VLOOKUP(temperatury3[[#Headers],[lody]],$O$1:$P$4,2,FALSE)*(temperatury3[[#This Row],[temperatura]]-24)/2),0)</f>
        <v>128</v>
      </c>
      <c r="E89">
        <f>ROUNDDOWN($E$2*(1+VLOOKUP(temperatury3[[#Headers],[kukurydza]],$O$1:$P$4,2,FALSE)*(temperatury3[[#This Row],[temperatura]]-24)/2),0)</f>
        <v>84</v>
      </c>
      <c r="F89">
        <f>IF(temperatury3[[#This Row],[temperatura]]&gt;20,F88+1,0)</f>
        <v>11</v>
      </c>
    </row>
    <row r="90" spans="1:6" x14ac:dyDescent="0.25">
      <c r="A90" s="1">
        <v>44801</v>
      </c>
      <c r="B90">
        <v>32</v>
      </c>
      <c r="C90">
        <f>ROUNDDOWN($C$2*(1+VLOOKUP(temperatury3[[#Headers],[hot-dog]],$O$1:$P$4,2,FALSE)*(temperatury3[[#This Row],[temperatura]]-24)/2),0)</f>
        <v>117</v>
      </c>
      <c r="D90">
        <f>ROUNDDOWN($D$2*(1+VLOOKUP(temperatury3[[#Headers],[lody]],$O$1:$P$4,2,FALSE)*(temperatury3[[#This Row],[temperatura]]-24)/2),0)</f>
        <v>153</v>
      </c>
      <c r="E90">
        <f>ROUNDDOWN($E$2*(1+VLOOKUP(temperatury3[[#Headers],[kukurydza]],$O$1:$P$4,2,FALSE)*(temperatury3[[#This Row],[temperatura]]-24)/2),0)</f>
        <v>98</v>
      </c>
      <c r="F90">
        <f>IF(temperatury3[[#This Row],[temperatura]]&gt;20,F89+1,0)</f>
        <v>12</v>
      </c>
    </row>
    <row r="91" spans="1:6" x14ac:dyDescent="0.25">
      <c r="A91" s="1">
        <v>44802</v>
      </c>
      <c r="B91">
        <v>23</v>
      </c>
      <c r="C91">
        <f>ROUNDDOWN($C$2*(1+VLOOKUP(temperatury3[[#Headers],[hot-dog]],$O$1:$P$4,2,FALSE)*(temperatury3[[#This Row],[temperatura]]-24)/2),0)</f>
        <v>86</v>
      </c>
      <c r="D91">
        <f>ROUNDDOWN($D$2*(1+VLOOKUP(temperatury3[[#Headers],[lody]],$O$1:$P$4,2,FALSE)*(temperatury3[[#This Row],[temperatura]]-24)/2),0)</f>
        <v>115</v>
      </c>
      <c r="E91">
        <f>ROUNDDOWN($E$2*(1+VLOOKUP(temperatury3[[#Headers],[kukurydza]],$O$1:$P$4,2,FALSE)*(temperatury3[[#This Row],[temperatura]]-24)/2),0)</f>
        <v>77</v>
      </c>
      <c r="F91">
        <f>IF(temperatury3[[#This Row],[temperatura]]&gt;20,F90+1,0)</f>
        <v>13</v>
      </c>
    </row>
    <row r="92" spans="1:6" x14ac:dyDescent="0.25">
      <c r="A92" s="1">
        <v>44803</v>
      </c>
      <c r="B92">
        <v>22</v>
      </c>
      <c r="C92">
        <f>ROUNDDOWN($C$2*(1+VLOOKUP(temperatury3[[#Headers],[hot-dog]],$O$1:$P$4,2,FALSE)*(temperatury3[[#This Row],[temperatura]]-24)/2),0)</f>
        <v>83</v>
      </c>
      <c r="D92">
        <f>ROUNDDOWN($D$2*(1+VLOOKUP(temperatury3[[#Headers],[lody]],$O$1:$P$4,2,FALSE)*(temperatury3[[#This Row],[temperatura]]-24)/2),0)</f>
        <v>111</v>
      </c>
      <c r="E92">
        <f>ROUNDDOWN($E$2*(1+VLOOKUP(temperatury3[[#Headers],[kukurydza]],$O$1:$P$4,2,FALSE)*(temperatury3[[#This Row],[temperatura]]-24)/2),0)</f>
        <v>75</v>
      </c>
      <c r="F92">
        <f>IF(temperatury3[[#This Row],[temperatura]]&gt;20,F91+1,0)</f>
        <v>14</v>
      </c>
    </row>
    <row r="93" spans="1:6" x14ac:dyDescent="0.25">
      <c r="A93" s="1">
        <v>44804</v>
      </c>
      <c r="B93">
        <v>25</v>
      </c>
      <c r="C93">
        <f>ROUNDDOWN($C$2*(1+VLOOKUP(temperatury3[[#Headers],[hot-dog]],$O$1:$P$4,2,FALSE)*(temperatury3[[#This Row],[temperatura]]-24)/2),0)</f>
        <v>93</v>
      </c>
      <c r="D93">
        <f>ROUNDDOWN($D$2*(1+VLOOKUP(temperatury3[[#Headers],[lody]],$O$1:$P$4,2,FALSE)*(temperatury3[[#This Row],[temperatura]]-24)/2),0)</f>
        <v>124</v>
      </c>
      <c r="E93">
        <f>ROUNDDOWN($E$2*(1+VLOOKUP(temperatury3[[#Headers],[kukurydza]],$O$1:$P$4,2,FALSE)*(temperatury3[[#This Row],[temperatura]]-24)/2),0)</f>
        <v>82</v>
      </c>
      <c r="F93">
        <f>IF(temperatury3[[#This Row],[temperatura]]&gt;20,F92+1,0)</f>
        <v>15</v>
      </c>
    </row>
  </sheetData>
  <conditionalFormatting sqref="F1:F1048576">
    <cfRule type="cellIs" dxfId="0" priority="2" operator="equal">
      <formula>16</formula>
    </cfRule>
    <cfRule type="cellIs" dxfId="1" priority="1" operator="equal">
      <formula>15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68261-B49F-4DD0-B279-EB421CB1543D}">
  <dimension ref="A1:Q93"/>
  <sheetViews>
    <sheetView workbookViewId="0">
      <selection activeCell="G1" sqref="G1:J4"/>
    </sheetView>
  </sheetViews>
  <sheetFormatPr defaultRowHeight="15" x14ac:dyDescent="0.25"/>
  <cols>
    <col min="1" max="1" width="10.140625" bestFit="1" customWidth="1"/>
    <col min="2" max="2" width="14.42578125" bestFit="1" customWidth="1"/>
    <col min="3" max="3" width="10.28515625" bestFit="1" customWidth="1"/>
    <col min="4" max="4" width="7.140625" bestFit="1" customWidth="1"/>
    <col min="5" max="5" width="12.28515625" bestFit="1" customWidth="1"/>
    <col min="7" max="7" width="14.28515625" bestFit="1" customWidth="1"/>
    <col min="8" max="8" width="14.5703125" bestFit="1" customWidth="1"/>
    <col min="9" max="9" width="19.7109375" bestFit="1" customWidth="1"/>
    <col min="10" max="10" width="18.42578125" bestFit="1" customWidth="1"/>
    <col min="15" max="15" width="15.28515625" bestFit="1" customWidth="1"/>
    <col min="16" max="16" width="28.42578125" bestFit="1" customWidth="1"/>
    <col min="17" max="17" width="15" bestFit="1" customWidth="1"/>
  </cols>
  <sheetData>
    <row r="1" spans="1:17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G1" s="2" t="s">
        <v>16</v>
      </c>
      <c r="H1" s="2" t="s">
        <v>18</v>
      </c>
      <c r="I1" s="2" t="s">
        <v>19</v>
      </c>
      <c r="J1" s="2" t="s">
        <v>17</v>
      </c>
      <c r="O1" t="s">
        <v>2</v>
      </c>
      <c r="P1" t="s">
        <v>3</v>
      </c>
      <c r="Q1" t="s">
        <v>7</v>
      </c>
    </row>
    <row r="2" spans="1:17" x14ac:dyDescent="0.25">
      <c r="A2" s="1">
        <v>44713</v>
      </c>
      <c r="B2">
        <v>24</v>
      </c>
      <c r="C2">
        <v>90</v>
      </c>
      <c r="D2">
        <v>120</v>
      </c>
      <c r="E2">
        <v>80</v>
      </c>
      <c r="G2" s="5" t="s">
        <v>13</v>
      </c>
      <c r="H2" s="2">
        <v>3527</v>
      </c>
      <c r="I2" s="2">
        <v>2355</v>
      </c>
      <c r="J2" s="2">
        <v>2639</v>
      </c>
      <c r="O2" t="s">
        <v>4</v>
      </c>
      <c r="P2">
        <f>1/13</f>
        <v>7.6923076923076927E-2</v>
      </c>
      <c r="Q2">
        <v>7</v>
      </c>
    </row>
    <row r="3" spans="1:17" x14ac:dyDescent="0.25">
      <c r="A3" s="1">
        <v>44714</v>
      </c>
      <c r="B3">
        <v>25</v>
      </c>
      <c r="C3">
        <f>ROUNDDOWN($C$2*(1+VLOOKUP(temperatury4[[#Headers],[hot-dog]],$O$1:$P$4,2,FALSE)*(temperatury4[[#This Row],[temperatura]]-24)/2),0)</f>
        <v>93</v>
      </c>
      <c r="D3">
        <f>ROUNDDOWN($D$2*(1+VLOOKUP(temperatury4[[#Headers],[lody]],$O$1:$P$4,2,FALSE)*(temperatury4[[#This Row],[temperatura]]-24)/2),0)</f>
        <v>124</v>
      </c>
      <c r="E3">
        <f>ROUNDDOWN($E$2*(1+VLOOKUP(temperatury4[[#Headers],[kukurydza]],$O$1:$P$4,2,FALSE)*(temperatury4[[#This Row],[temperatura]]-24)/2),0)</f>
        <v>82</v>
      </c>
      <c r="G3" s="5" t="s">
        <v>14</v>
      </c>
      <c r="H3" s="2">
        <v>3675</v>
      </c>
      <c r="I3" s="2">
        <v>2448</v>
      </c>
      <c r="J3" s="2">
        <v>2747</v>
      </c>
      <c r="O3" t="s">
        <v>5</v>
      </c>
      <c r="P3">
        <f>2/29</f>
        <v>6.8965517241379309E-2</v>
      </c>
      <c r="Q3">
        <v>5</v>
      </c>
    </row>
    <row r="4" spans="1:17" x14ac:dyDescent="0.25">
      <c r="A4" s="1">
        <v>44715</v>
      </c>
      <c r="B4">
        <v>27</v>
      </c>
      <c r="C4">
        <f>ROUNDDOWN($C$2*(1+VLOOKUP(temperatury4[[#Headers],[hot-dog]],$O$1:$P$4,2,FALSE)*(temperatury4[[#This Row],[temperatura]]-24)/2),0)</f>
        <v>100</v>
      </c>
      <c r="D4">
        <f>ROUNDDOWN($D$2*(1+VLOOKUP(temperatury4[[#Headers],[lody]],$O$1:$P$4,2,FALSE)*(temperatury4[[#This Row],[temperatura]]-24)/2),0)</f>
        <v>132</v>
      </c>
      <c r="E4">
        <f>ROUNDDOWN($E$2*(1+VLOOKUP(temperatury4[[#Headers],[kukurydza]],$O$1:$P$4,2,FALSE)*(temperatury4[[#This Row],[temperatura]]-24)/2),0)</f>
        <v>87</v>
      </c>
      <c r="G4" s="5" t="s">
        <v>15</v>
      </c>
      <c r="H4" s="2">
        <v>3579</v>
      </c>
      <c r="I4" s="2">
        <v>2390</v>
      </c>
      <c r="J4" s="2">
        <v>2665</v>
      </c>
      <c r="O4" t="s">
        <v>6</v>
      </c>
      <c r="P4">
        <f>1/17</f>
        <v>5.8823529411764705E-2</v>
      </c>
      <c r="Q4">
        <v>6</v>
      </c>
    </row>
    <row r="5" spans="1:17" x14ac:dyDescent="0.25">
      <c r="A5" s="1">
        <v>44716</v>
      </c>
      <c r="B5">
        <v>27</v>
      </c>
      <c r="C5">
        <f>ROUNDDOWN($C$2*(1+VLOOKUP(temperatury4[[#Headers],[hot-dog]],$O$1:$P$4,2,FALSE)*(temperatury4[[#This Row],[temperatura]]-24)/2),0)</f>
        <v>100</v>
      </c>
      <c r="D5">
        <f>ROUNDDOWN($D$2*(1+VLOOKUP(temperatury4[[#Headers],[lody]],$O$1:$P$4,2,FALSE)*(temperatury4[[#This Row],[temperatura]]-24)/2),0)</f>
        <v>132</v>
      </c>
      <c r="E5">
        <f>ROUNDDOWN($E$2*(1+VLOOKUP(temperatury4[[#Headers],[kukurydza]],$O$1:$P$4,2,FALSE)*(temperatury4[[#This Row],[temperatura]]-24)/2),0)</f>
        <v>87</v>
      </c>
      <c r="G5" s="4" t="s">
        <v>12</v>
      </c>
      <c r="H5">
        <v>10781</v>
      </c>
      <c r="I5">
        <v>7193</v>
      </c>
      <c r="J5">
        <v>8051</v>
      </c>
    </row>
    <row r="6" spans="1:17" x14ac:dyDescent="0.25">
      <c r="A6" s="1">
        <v>44717</v>
      </c>
      <c r="B6">
        <v>27</v>
      </c>
      <c r="C6">
        <f>ROUNDDOWN($C$2*(1+VLOOKUP(temperatury4[[#Headers],[hot-dog]],$O$1:$P$4,2,FALSE)*(temperatury4[[#This Row],[temperatura]]-24)/2),0)</f>
        <v>100</v>
      </c>
      <c r="D6">
        <f>ROUNDDOWN($D$2*(1+VLOOKUP(temperatury4[[#Headers],[lody]],$O$1:$P$4,2,FALSE)*(temperatury4[[#This Row],[temperatura]]-24)/2),0)</f>
        <v>132</v>
      </c>
      <c r="E6">
        <f>ROUNDDOWN($E$2*(1+VLOOKUP(temperatury4[[#Headers],[kukurydza]],$O$1:$P$4,2,FALSE)*(temperatury4[[#This Row],[temperatura]]-24)/2),0)</f>
        <v>87</v>
      </c>
    </row>
    <row r="7" spans="1:17" x14ac:dyDescent="0.25">
      <c r="A7" s="1">
        <v>44718</v>
      </c>
      <c r="B7">
        <v>22</v>
      </c>
      <c r="C7">
        <f>ROUNDDOWN($C$2*(1+VLOOKUP(temperatury4[[#Headers],[hot-dog]],$O$1:$P$4,2,FALSE)*(temperatury4[[#This Row],[temperatura]]-24)/2),0)</f>
        <v>83</v>
      </c>
      <c r="D7">
        <f>ROUNDDOWN($D$2*(1+VLOOKUP(temperatury4[[#Headers],[lody]],$O$1:$P$4,2,FALSE)*(temperatury4[[#This Row],[temperatura]]-24)/2),0)</f>
        <v>111</v>
      </c>
      <c r="E7">
        <f>ROUNDDOWN($E$2*(1+VLOOKUP(temperatury4[[#Headers],[kukurydza]],$O$1:$P$4,2,FALSE)*(temperatury4[[#This Row],[temperatura]]-24)/2),0)</f>
        <v>75</v>
      </c>
    </row>
    <row r="8" spans="1:17" x14ac:dyDescent="0.25">
      <c r="A8" s="1">
        <v>44719</v>
      </c>
      <c r="B8">
        <v>25</v>
      </c>
      <c r="C8">
        <f>ROUNDDOWN($C$2*(1+VLOOKUP(temperatury4[[#Headers],[hot-dog]],$O$1:$P$4,2,FALSE)*(temperatury4[[#This Row],[temperatura]]-24)/2),0)</f>
        <v>93</v>
      </c>
      <c r="D8">
        <f>ROUNDDOWN($D$2*(1+VLOOKUP(temperatury4[[#Headers],[lody]],$O$1:$P$4,2,FALSE)*(temperatury4[[#This Row],[temperatura]]-24)/2),0)</f>
        <v>124</v>
      </c>
      <c r="E8">
        <f>ROUNDDOWN($E$2*(1+VLOOKUP(temperatury4[[#Headers],[kukurydza]],$O$1:$P$4,2,FALSE)*(temperatury4[[#This Row],[temperatura]]-24)/2),0)</f>
        <v>82</v>
      </c>
    </row>
    <row r="9" spans="1:17" x14ac:dyDescent="0.25">
      <c r="A9" s="1">
        <v>44720</v>
      </c>
      <c r="B9">
        <v>25</v>
      </c>
      <c r="C9">
        <f>ROUNDDOWN($C$2*(1+VLOOKUP(temperatury4[[#Headers],[hot-dog]],$O$1:$P$4,2,FALSE)*(temperatury4[[#This Row],[temperatura]]-24)/2),0)</f>
        <v>93</v>
      </c>
      <c r="D9">
        <f>ROUNDDOWN($D$2*(1+VLOOKUP(temperatury4[[#Headers],[lody]],$O$1:$P$4,2,FALSE)*(temperatury4[[#This Row],[temperatura]]-24)/2),0)</f>
        <v>124</v>
      </c>
      <c r="E9">
        <f>ROUNDDOWN($E$2*(1+VLOOKUP(temperatury4[[#Headers],[kukurydza]],$O$1:$P$4,2,FALSE)*(temperatury4[[#This Row],[temperatura]]-24)/2),0)</f>
        <v>82</v>
      </c>
    </row>
    <row r="10" spans="1:17" x14ac:dyDescent="0.25">
      <c r="A10" s="1">
        <v>44721</v>
      </c>
      <c r="B10">
        <v>21</v>
      </c>
      <c r="C10">
        <f>ROUNDDOWN($C$2*(1+VLOOKUP(temperatury4[[#Headers],[hot-dog]],$O$1:$P$4,2,FALSE)*(temperatury4[[#This Row],[temperatura]]-24)/2),0)</f>
        <v>79</v>
      </c>
      <c r="D10">
        <f>ROUNDDOWN($D$2*(1+VLOOKUP(temperatury4[[#Headers],[lody]],$O$1:$P$4,2,FALSE)*(temperatury4[[#This Row],[temperatura]]-24)/2),0)</f>
        <v>107</v>
      </c>
      <c r="E10">
        <f>ROUNDDOWN($E$2*(1+VLOOKUP(temperatury4[[#Headers],[kukurydza]],$O$1:$P$4,2,FALSE)*(temperatury4[[#This Row],[temperatura]]-24)/2),0)</f>
        <v>72</v>
      </c>
    </row>
    <row r="11" spans="1:17" x14ac:dyDescent="0.25">
      <c r="A11" s="1">
        <v>44722</v>
      </c>
      <c r="B11">
        <v>21</v>
      </c>
      <c r="C11">
        <f>ROUNDDOWN($C$2*(1+VLOOKUP(temperatury4[[#Headers],[hot-dog]],$O$1:$P$4,2,FALSE)*(temperatury4[[#This Row],[temperatura]]-24)/2),0)</f>
        <v>79</v>
      </c>
      <c r="D11">
        <f>ROUNDDOWN($D$2*(1+VLOOKUP(temperatury4[[#Headers],[lody]],$O$1:$P$4,2,FALSE)*(temperatury4[[#This Row],[temperatura]]-24)/2),0)</f>
        <v>107</v>
      </c>
      <c r="E11">
        <f>ROUNDDOWN($E$2*(1+VLOOKUP(temperatury4[[#Headers],[kukurydza]],$O$1:$P$4,2,FALSE)*(temperatury4[[#This Row],[temperatura]]-24)/2),0)</f>
        <v>72</v>
      </c>
    </row>
    <row r="12" spans="1:17" x14ac:dyDescent="0.25">
      <c r="A12" s="1">
        <v>44723</v>
      </c>
      <c r="B12">
        <v>19</v>
      </c>
      <c r="C12">
        <f>ROUNDDOWN($C$2*(1+VLOOKUP(temperatury4[[#Headers],[hot-dog]],$O$1:$P$4,2,FALSE)*(temperatury4[[#This Row],[temperatura]]-24)/2),0)</f>
        <v>72</v>
      </c>
      <c r="D12">
        <f>ROUNDDOWN($D$2*(1+VLOOKUP(temperatury4[[#Headers],[lody]],$O$1:$P$4,2,FALSE)*(temperatury4[[#This Row],[temperatura]]-24)/2),0)</f>
        <v>99</v>
      </c>
      <c r="E12">
        <f>ROUNDDOWN($E$2*(1+VLOOKUP(temperatury4[[#Headers],[kukurydza]],$O$1:$P$4,2,FALSE)*(temperatury4[[#This Row],[temperatura]]-24)/2),0)</f>
        <v>68</v>
      </c>
    </row>
    <row r="13" spans="1:17" x14ac:dyDescent="0.25">
      <c r="A13" s="1">
        <v>44724</v>
      </c>
      <c r="B13">
        <v>19</v>
      </c>
      <c r="C13">
        <f>ROUNDDOWN($C$2*(1+VLOOKUP(temperatury4[[#Headers],[hot-dog]],$O$1:$P$4,2,FALSE)*(temperatury4[[#This Row],[temperatura]]-24)/2),0)</f>
        <v>72</v>
      </c>
      <c r="D13">
        <f>ROUNDDOWN($D$2*(1+VLOOKUP(temperatury4[[#Headers],[lody]],$O$1:$P$4,2,FALSE)*(temperatury4[[#This Row],[temperatura]]-24)/2),0)</f>
        <v>99</v>
      </c>
      <c r="E13">
        <f>ROUNDDOWN($E$2*(1+VLOOKUP(temperatury4[[#Headers],[kukurydza]],$O$1:$P$4,2,FALSE)*(temperatury4[[#This Row],[temperatura]]-24)/2),0)</f>
        <v>68</v>
      </c>
    </row>
    <row r="14" spans="1:17" x14ac:dyDescent="0.25">
      <c r="A14" s="1">
        <v>44725</v>
      </c>
      <c r="B14">
        <v>15</v>
      </c>
      <c r="C14">
        <f>ROUNDDOWN($C$2*(1+VLOOKUP(temperatury4[[#Headers],[hot-dog]],$O$1:$P$4,2,FALSE)*(temperatury4[[#This Row],[temperatura]]-24)/2),0)</f>
        <v>58</v>
      </c>
      <c r="D14">
        <f>ROUNDDOWN($D$2*(1+VLOOKUP(temperatury4[[#Headers],[lody]],$O$1:$P$4,2,FALSE)*(temperatury4[[#This Row],[temperatura]]-24)/2),0)</f>
        <v>82</v>
      </c>
      <c r="E14">
        <f>ROUNDDOWN($E$2*(1+VLOOKUP(temperatury4[[#Headers],[kukurydza]],$O$1:$P$4,2,FALSE)*(temperatury4[[#This Row],[temperatura]]-24)/2),0)</f>
        <v>58</v>
      </c>
    </row>
    <row r="15" spans="1:17" x14ac:dyDescent="0.25">
      <c r="A15" s="1">
        <v>44726</v>
      </c>
      <c r="B15">
        <v>21</v>
      </c>
      <c r="C15">
        <f>ROUNDDOWN($C$2*(1+VLOOKUP(temperatury4[[#Headers],[hot-dog]],$O$1:$P$4,2,FALSE)*(temperatury4[[#This Row],[temperatura]]-24)/2),0)</f>
        <v>79</v>
      </c>
      <c r="D15">
        <f>ROUNDDOWN($D$2*(1+VLOOKUP(temperatury4[[#Headers],[lody]],$O$1:$P$4,2,FALSE)*(temperatury4[[#This Row],[temperatura]]-24)/2),0)</f>
        <v>107</v>
      </c>
      <c r="E15">
        <f>ROUNDDOWN($E$2*(1+VLOOKUP(temperatury4[[#Headers],[kukurydza]],$O$1:$P$4,2,FALSE)*(temperatury4[[#This Row],[temperatura]]-24)/2),0)</f>
        <v>72</v>
      </c>
    </row>
    <row r="16" spans="1:17" x14ac:dyDescent="0.25">
      <c r="A16" s="1">
        <v>44727</v>
      </c>
      <c r="B16">
        <v>23</v>
      </c>
      <c r="C16">
        <f>ROUNDDOWN($C$2*(1+VLOOKUP(temperatury4[[#Headers],[hot-dog]],$O$1:$P$4,2,FALSE)*(temperatury4[[#This Row],[temperatura]]-24)/2),0)</f>
        <v>86</v>
      </c>
      <c r="D16">
        <f>ROUNDDOWN($D$2*(1+VLOOKUP(temperatury4[[#Headers],[lody]],$O$1:$P$4,2,FALSE)*(temperatury4[[#This Row],[temperatura]]-24)/2),0)</f>
        <v>115</v>
      </c>
      <c r="E16">
        <f>ROUNDDOWN($E$2*(1+VLOOKUP(temperatury4[[#Headers],[kukurydza]],$O$1:$P$4,2,FALSE)*(temperatury4[[#This Row],[temperatura]]-24)/2),0)</f>
        <v>77</v>
      </c>
    </row>
    <row r="17" spans="1:5" x14ac:dyDescent="0.25">
      <c r="A17" s="1">
        <v>44728</v>
      </c>
      <c r="B17">
        <v>23</v>
      </c>
      <c r="C17">
        <f>ROUNDDOWN($C$2*(1+VLOOKUP(temperatury4[[#Headers],[hot-dog]],$O$1:$P$4,2,FALSE)*(temperatury4[[#This Row],[temperatura]]-24)/2),0)</f>
        <v>86</v>
      </c>
      <c r="D17">
        <f>ROUNDDOWN($D$2*(1+VLOOKUP(temperatury4[[#Headers],[lody]],$O$1:$P$4,2,FALSE)*(temperatury4[[#This Row],[temperatura]]-24)/2),0)</f>
        <v>115</v>
      </c>
      <c r="E17">
        <f>ROUNDDOWN($E$2*(1+VLOOKUP(temperatury4[[#Headers],[kukurydza]],$O$1:$P$4,2,FALSE)*(temperatury4[[#This Row],[temperatura]]-24)/2),0)</f>
        <v>77</v>
      </c>
    </row>
    <row r="18" spans="1:5" x14ac:dyDescent="0.25">
      <c r="A18" s="1">
        <v>44729</v>
      </c>
      <c r="B18">
        <v>16</v>
      </c>
      <c r="C18">
        <f>ROUNDDOWN($C$2*(1+VLOOKUP(temperatury4[[#Headers],[hot-dog]],$O$1:$P$4,2,FALSE)*(temperatury4[[#This Row],[temperatura]]-24)/2),0)</f>
        <v>62</v>
      </c>
      <c r="D18">
        <f>ROUNDDOWN($D$2*(1+VLOOKUP(temperatury4[[#Headers],[lody]],$O$1:$P$4,2,FALSE)*(temperatury4[[#This Row],[temperatura]]-24)/2),0)</f>
        <v>86</v>
      </c>
      <c r="E18">
        <f>ROUNDDOWN($E$2*(1+VLOOKUP(temperatury4[[#Headers],[kukurydza]],$O$1:$P$4,2,FALSE)*(temperatury4[[#This Row],[temperatura]]-24)/2),0)</f>
        <v>61</v>
      </c>
    </row>
    <row r="19" spans="1:5" x14ac:dyDescent="0.25">
      <c r="A19" s="1">
        <v>44730</v>
      </c>
      <c r="B19">
        <v>21</v>
      </c>
      <c r="C19">
        <f>ROUNDDOWN($C$2*(1+VLOOKUP(temperatury4[[#Headers],[hot-dog]],$O$1:$P$4,2,FALSE)*(temperatury4[[#This Row],[temperatura]]-24)/2),0)</f>
        <v>79</v>
      </c>
      <c r="D19">
        <f>ROUNDDOWN($D$2*(1+VLOOKUP(temperatury4[[#Headers],[lody]],$O$1:$P$4,2,FALSE)*(temperatury4[[#This Row],[temperatura]]-24)/2),0)</f>
        <v>107</v>
      </c>
      <c r="E19">
        <f>ROUNDDOWN($E$2*(1+VLOOKUP(temperatury4[[#Headers],[kukurydza]],$O$1:$P$4,2,FALSE)*(temperatury4[[#This Row],[temperatura]]-24)/2),0)</f>
        <v>72</v>
      </c>
    </row>
    <row r="20" spans="1:5" x14ac:dyDescent="0.25">
      <c r="A20" s="1">
        <v>44731</v>
      </c>
      <c r="B20">
        <v>22</v>
      </c>
      <c r="C20">
        <f>ROUNDDOWN($C$2*(1+VLOOKUP(temperatury4[[#Headers],[hot-dog]],$O$1:$P$4,2,FALSE)*(temperatury4[[#This Row],[temperatura]]-24)/2),0)</f>
        <v>83</v>
      </c>
      <c r="D20">
        <f>ROUNDDOWN($D$2*(1+VLOOKUP(temperatury4[[#Headers],[lody]],$O$1:$P$4,2,FALSE)*(temperatury4[[#This Row],[temperatura]]-24)/2),0)</f>
        <v>111</v>
      </c>
      <c r="E20">
        <f>ROUNDDOWN($E$2*(1+VLOOKUP(temperatury4[[#Headers],[kukurydza]],$O$1:$P$4,2,FALSE)*(temperatury4[[#This Row],[temperatura]]-24)/2),0)</f>
        <v>75</v>
      </c>
    </row>
    <row r="21" spans="1:5" x14ac:dyDescent="0.25">
      <c r="A21" s="1">
        <v>44732</v>
      </c>
      <c r="B21">
        <v>22</v>
      </c>
      <c r="C21">
        <f>ROUNDDOWN($C$2*(1+VLOOKUP(temperatury4[[#Headers],[hot-dog]],$O$1:$P$4,2,FALSE)*(temperatury4[[#This Row],[temperatura]]-24)/2),0)</f>
        <v>83</v>
      </c>
      <c r="D21">
        <f>ROUNDDOWN($D$2*(1+VLOOKUP(temperatury4[[#Headers],[lody]],$O$1:$P$4,2,FALSE)*(temperatury4[[#This Row],[temperatura]]-24)/2),0)</f>
        <v>111</v>
      </c>
      <c r="E21">
        <f>ROUNDDOWN($E$2*(1+VLOOKUP(temperatury4[[#Headers],[kukurydza]],$O$1:$P$4,2,FALSE)*(temperatury4[[#This Row],[temperatura]]-24)/2),0)</f>
        <v>75</v>
      </c>
    </row>
    <row r="22" spans="1:5" x14ac:dyDescent="0.25">
      <c r="A22" s="1">
        <v>44733</v>
      </c>
      <c r="B22">
        <v>22</v>
      </c>
      <c r="C22">
        <f>ROUNDDOWN($C$2*(1+VLOOKUP(temperatury4[[#Headers],[hot-dog]],$O$1:$P$4,2,FALSE)*(temperatury4[[#This Row],[temperatura]]-24)/2),0)</f>
        <v>83</v>
      </c>
      <c r="D22">
        <f>ROUNDDOWN($D$2*(1+VLOOKUP(temperatury4[[#Headers],[lody]],$O$1:$P$4,2,FALSE)*(temperatury4[[#This Row],[temperatura]]-24)/2),0)</f>
        <v>111</v>
      </c>
      <c r="E22">
        <f>ROUNDDOWN($E$2*(1+VLOOKUP(temperatury4[[#Headers],[kukurydza]],$O$1:$P$4,2,FALSE)*(temperatury4[[#This Row],[temperatura]]-24)/2),0)</f>
        <v>75</v>
      </c>
    </row>
    <row r="23" spans="1:5" x14ac:dyDescent="0.25">
      <c r="A23" s="1">
        <v>44734</v>
      </c>
      <c r="B23">
        <v>28</v>
      </c>
      <c r="C23">
        <f>ROUNDDOWN($C$2*(1+VLOOKUP(temperatury4[[#Headers],[hot-dog]],$O$1:$P$4,2,FALSE)*(temperatury4[[#This Row],[temperatura]]-24)/2),0)</f>
        <v>103</v>
      </c>
      <c r="D23">
        <f>ROUNDDOWN($D$2*(1+VLOOKUP(temperatury4[[#Headers],[lody]],$O$1:$P$4,2,FALSE)*(temperatury4[[#This Row],[temperatura]]-24)/2),0)</f>
        <v>136</v>
      </c>
      <c r="E23">
        <f>ROUNDDOWN($E$2*(1+VLOOKUP(temperatury4[[#Headers],[kukurydza]],$O$1:$P$4,2,FALSE)*(temperatury4[[#This Row],[temperatura]]-24)/2),0)</f>
        <v>89</v>
      </c>
    </row>
    <row r="24" spans="1:5" x14ac:dyDescent="0.25">
      <c r="A24" s="1">
        <v>44735</v>
      </c>
      <c r="B24">
        <v>31</v>
      </c>
      <c r="C24">
        <f>ROUNDDOWN($C$2*(1+VLOOKUP(temperatury4[[#Headers],[hot-dog]],$O$1:$P$4,2,FALSE)*(temperatury4[[#This Row],[temperatura]]-24)/2),0)</f>
        <v>114</v>
      </c>
      <c r="D24">
        <f>ROUNDDOWN($D$2*(1+VLOOKUP(temperatury4[[#Headers],[lody]],$O$1:$P$4,2,FALSE)*(temperatury4[[#This Row],[temperatura]]-24)/2),0)</f>
        <v>148</v>
      </c>
      <c r="E24">
        <f>ROUNDDOWN($E$2*(1+VLOOKUP(temperatury4[[#Headers],[kukurydza]],$O$1:$P$4,2,FALSE)*(temperatury4[[#This Row],[temperatura]]-24)/2),0)</f>
        <v>96</v>
      </c>
    </row>
    <row r="25" spans="1:5" x14ac:dyDescent="0.25">
      <c r="A25" s="1">
        <v>44736</v>
      </c>
      <c r="B25">
        <v>33</v>
      </c>
      <c r="C25">
        <f>ROUNDDOWN($C$2*(1+VLOOKUP(temperatury4[[#Headers],[hot-dog]],$O$1:$P$4,2,FALSE)*(temperatury4[[#This Row],[temperatura]]-24)/2),0)</f>
        <v>121</v>
      </c>
      <c r="D25">
        <f>ROUNDDOWN($D$2*(1+VLOOKUP(temperatury4[[#Headers],[lody]],$O$1:$P$4,2,FALSE)*(temperatury4[[#This Row],[temperatura]]-24)/2),0)</f>
        <v>157</v>
      </c>
      <c r="E25">
        <f>ROUNDDOWN($E$2*(1+VLOOKUP(temperatury4[[#Headers],[kukurydza]],$O$1:$P$4,2,FALSE)*(temperatury4[[#This Row],[temperatura]]-24)/2),0)</f>
        <v>101</v>
      </c>
    </row>
    <row r="26" spans="1:5" x14ac:dyDescent="0.25">
      <c r="A26" s="1">
        <v>44737</v>
      </c>
      <c r="B26">
        <v>33</v>
      </c>
      <c r="C26">
        <f>ROUNDDOWN($C$2*(1+VLOOKUP(temperatury4[[#Headers],[hot-dog]],$O$1:$P$4,2,FALSE)*(temperatury4[[#This Row],[temperatura]]-24)/2),0)</f>
        <v>121</v>
      </c>
      <c r="D26">
        <f>ROUNDDOWN($D$2*(1+VLOOKUP(temperatury4[[#Headers],[lody]],$O$1:$P$4,2,FALSE)*(temperatury4[[#This Row],[temperatura]]-24)/2),0)</f>
        <v>157</v>
      </c>
      <c r="E26">
        <f>ROUNDDOWN($E$2*(1+VLOOKUP(temperatury4[[#Headers],[kukurydza]],$O$1:$P$4,2,FALSE)*(temperatury4[[#This Row],[temperatura]]-24)/2),0)</f>
        <v>101</v>
      </c>
    </row>
    <row r="27" spans="1:5" x14ac:dyDescent="0.25">
      <c r="A27" s="1">
        <v>44738</v>
      </c>
      <c r="B27">
        <v>23</v>
      </c>
      <c r="C27">
        <f>ROUNDDOWN($C$2*(1+VLOOKUP(temperatury4[[#Headers],[hot-dog]],$O$1:$P$4,2,FALSE)*(temperatury4[[#This Row],[temperatura]]-24)/2),0)</f>
        <v>86</v>
      </c>
      <c r="D27">
        <f>ROUNDDOWN($D$2*(1+VLOOKUP(temperatury4[[#Headers],[lody]],$O$1:$P$4,2,FALSE)*(temperatury4[[#This Row],[temperatura]]-24)/2),0)</f>
        <v>115</v>
      </c>
      <c r="E27">
        <f>ROUNDDOWN($E$2*(1+VLOOKUP(temperatury4[[#Headers],[kukurydza]],$O$1:$P$4,2,FALSE)*(temperatury4[[#This Row],[temperatura]]-24)/2),0)</f>
        <v>77</v>
      </c>
    </row>
    <row r="28" spans="1:5" x14ac:dyDescent="0.25">
      <c r="A28" s="1">
        <v>44739</v>
      </c>
      <c r="B28">
        <v>23</v>
      </c>
      <c r="C28">
        <f>ROUNDDOWN($C$2*(1+VLOOKUP(temperatury4[[#Headers],[hot-dog]],$O$1:$P$4,2,FALSE)*(temperatury4[[#This Row],[temperatura]]-24)/2),0)</f>
        <v>86</v>
      </c>
      <c r="D28">
        <f>ROUNDDOWN($D$2*(1+VLOOKUP(temperatury4[[#Headers],[lody]],$O$1:$P$4,2,FALSE)*(temperatury4[[#This Row],[temperatura]]-24)/2),0)</f>
        <v>115</v>
      </c>
      <c r="E28">
        <f>ROUNDDOWN($E$2*(1+VLOOKUP(temperatury4[[#Headers],[kukurydza]],$O$1:$P$4,2,FALSE)*(temperatury4[[#This Row],[temperatura]]-24)/2),0)</f>
        <v>77</v>
      </c>
    </row>
    <row r="29" spans="1:5" x14ac:dyDescent="0.25">
      <c r="A29" s="1">
        <v>44740</v>
      </c>
      <c r="B29">
        <v>19</v>
      </c>
      <c r="C29">
        <f>ROUNDDOWN($C$2*(1+VLOOKUP(temperatury4[[#Headers],[hot-dog]],$O$1:$P$4,2,FALSE)*(temperatury4[[#This Row],[temperatura]]-24)/2),0)</f>
        <v>72</v>
      </c>
      <c r="D29">
        <f>ROUNDDOWN($D$2*(1+VLOOKUP(temperatury4[[#Headers],[lody]],$O$1:$P$4,2,FALSE)*(temperatury4[[#This Row],[temperatura]]-24)/2),0)</f>
        <v>99</v>
      </c>
      <c r="E29">
        <f>ROUNDDOWN($E$2*(1+VLOOKUP(temperatury4[[#Headers],[kukurydza]],$O$1:$P$4,2,FALSE)*(temperatury4[[#This Row],[temperatura]]-24)/2),0)</f>
        <v>68</v>
      </c>
    </row>
    <row r="30" spans="1:5" x14ac:dyDescent="0.25">
      <c r="A30" s="1">
        <v>44741</v>
      </c>
      <c r="B30">
        <v>24</v>
      </c>
      <c r="C30">
        <f>ROUNDDOWN($C$2*(1+VLOOKUP(temperatury4[[#Headers],[hot-dog]],$O$1:$P$4,2,FALSE)*(temperatury4[[#This Row],[temperatura]]-24)/2),0)</f>
        <v>90</v>
      </c>
      <c r="D30">
        <f>ROUNDDOWN($D$2*(1+VLOOKUP(temperatury4[[#Headers],[lody]],$O$1:$P$4,2,FALSE)*(temperatury4[[#This Row],[temperatura]]-24)/2),0)</f>
        <v>120</v>
      </c>
      <c r="E30">
        <f>ROUNDDOWN($E$2*(1+VLOOKUP(temperatury4[[#Headers],[kukurydza]],$O$1:$P$4,2,FALSE)*(temperatury4[[#This Row],[temperatura]]-24)/2),0)</f>
        <v>80</v>
      </c>
    </row>
    <row r="31" spans="1:5" x14ac:dyDescent="0.25">
      <c r="A31" s="1">
        <v>44742</v>
      </c>
      <c r="B31">
        <v>25</v>
      </c>
      <c r="C31">
        <f>ROUNDDOWN($C$2*(1+VLOOKUP(temperatury4[[#Headers],[hot-dog]],$O$1:$P$4,2,FALSE)*(temperatury4[[#This Row],[temperatura]]-24)/2),0)</f>
        <v>93</v>
      </c>
      <c r="D31">
        <f>ROUNDDOWN($D$2*(1+VLOOKUP(temperatury4[[#Headers],[lody]],$O$1:$P$4,2,FALSE)*(temperatury4[[#This Row],[temperatura]]-24)/2),0)</f>
        <v>124</v>
      </c>
      <c r="E31">
        <f>ROUNDDOWN($E$2*(1+VLOOKUP(temperatury4[[#Headers],[kukurydza]],$O$1:$P$4,2,FALSE)*(temperatury4[[#This Row],[temperatura]]-24)/2),0)</f>
        <v>82</v>
      </c>
    </row>
    <row r="32" spans="1:5" x14ac:dyDescent="0.25">
      <c r="A32" s="1">
        <v>44743</v>
      </c>
      <c r="B32">
        <v>27</v>
      </c>
      <c r="C32">
        <f>ROUNDDOWN($C$2*(1+VLOOKUP(temperatury4[[#Headers],[hot-dog]],$O$1:$P$4,2,FALSE)*(temperatury4[[#This Row],[temperatura]]-24)/2),0)</f>
        <v>100</v>
      </c>
      <c r="D32">
        <f>ROUNDDOWN($D$2*(1+VLOOKUP(temperatury4[[#Headers],[lody]],$O$1:$P$4,2,FALSE)*(temperatury4[[#This Row],[temperatura]]-24)/2),0)</f>
        <v>132</v>
      </c>
      <c r="E32">
        <f>ROUNDDOWN($E$2*(1+VLOOKUP(temperatury4[[#Headers],[kukurydza]],$O$1:$P$4,2,FALSE)*(temperatury4[[#This Row],[temperatura]]-24)/2),0)</f>
        <v>87</v>
      </c>
    </row>
    <row r="33" spans="1:5" x14ac:dyDescent="0.25">
      <c r="A33" s="1">
        <v>44744</v>
      </c>
      <c r="B33">
        <v>27</v>
      </c>
      <c r="C33">
        <f>ROUNDDOWN($C$2*(1+VLOOKUP(temperatury4[[#Headers],[hot-dog]],$O$1:$P$4,2,FALSE)*(temperatury4[[#This Row],[temperatura]]-24)/2),0)</f>
        <v>100</v>
      </c>
      <c r="D33">
        <f>ROUNDDOWN($D$2*(1+VLOOKUP(temperatury4[[#Headers],[lody]],$O$1:$P$4,2,FALSE)*(temperatury4[[#This Row],[temperatura]]-24)/2),0)</f>
        <v>132</v>
      </c>
      <c r="E33">
        <f>ROUNDDOWN($E$2*(1+VLOOKUP(temperatury4[[#Headers],[kukurydza]],$O$1:$P$4,2,FALSE)*(temperatury4[[#This Row],[temperatura]]-24)/2),0)</f>
        <v>87</v>
      </c>
    </row>
    <row r="34" spans="1:5" x14ac:dyDescent="0.25">
      <c r="A34" s="1">
        <v>44745</v>
      </c>
      <c r="B34">
        <v>21</v>
      </c>
      <c r="C34">
        <f>ROUNDDOWN($C$2*(1+VLOOKUP(temperatury4[[#Headers],[hot-dog]],$O$1:$P$4,2,FALSE)*(temperatury4[[#This Row],[temperatura]]-24)/2),0)</f>
        <v>79</v>
      </c>
      <c r="D34">
        <f>ROUNDDOWN($D$2*(1+VLOOKUP(temperatury4[[#Headers],[lody]],$O$1:$P$4,2,FALSE)*(temperatury4[[#This Row],[temperatura]]-24)/2),0)</f>
        <v>107</v>
      </c>
      <c r="E34">
        <f>ROUNDDOWN($E$2*(1+VLOOKUP(temperatury4[[#Headers],[kukurydza]],$O$1:$P$4,2,FALSE)*(temperatury4[[#This Row],[temperatura]]-24)/2),0)</f>
        <v>72</v>
      </c>
    </row>
    <row r="35" spans="1:5" x14ac:dyDescent="0.25">
      <c r="A35" s="1">
        <v>44746</v>
      </c>
      <c r="B35">
        <v>21</v>
      </c>
      <c r="C35">
        <f>ROUNDDOWN($C$2*(1+VLOOKUP(temperatury4[[#Headers],[hot-dog]],$O$1:$P$4,2,FALSE)*(temperatury4[[#This Row],[temperatura]]-24)/2),0)</f>
        <v>79</v>
      </c>
      <c r="D35">
        <f>ROUNDDOWN($D$2*(1+VLOOKUP(temperatury4[[#Headers],[lody]],$O$1:$P$4,2,FALSE)*(temperatury4[[#This Row],[temperatura]]-24)/2),0)</f>
        <v>107</v>
      </c>
      <c r="E35">
        <f>ROUNDDOWN($E$2*(1+VLOOKUP(temperatury4[[#Headers],[kukurydza]],$O$1:$P$4,2,FALSE)*(temperatury4[[#This Row],[temperatura]]-24)/2),0)</f>
        <v>72</v>
      </c>
    </row>
    <row r="36" spans="1:5" x14ac:dyDescent="0.25">
      <c r="A36" s="1">
        <v>44747</v>
      </c>
      <c r="B36">
        <v>25</v>
      </c>
      <c r="C36">
        <f>ROUNDDOWN($C$2*(1+VLOOKUP(temperatury4[[#Headers],[hot-dog]],$O$1:$P$4,2,FALSE)*(temperatury4[[#This Row],[temperatura]]-24)/2),0)</f>
        <v>93</v>
      </c>
      <c r="D36">
        <f>ROUNDDOWN($D$2*(1+VLOOKUP(temperatury4[[#Headers],[lody]],$O$1:$P$4,2,FALSE)*(temperatury4[[#This Row],[temperatura]]-24)/2),0)</f>
        <v>124</v>
      </c>
      <c r="E36">
        <f>ROUNDDOWN($E$2*(1+VLOOKUP(temperatury4[[#Headers],[kukurydza]],$O$1:$P$4,2,FALSE)*(temperatury4[[#This Row],[temperatura]]-24)/2),0)</f>
        <v>82</v>
      </c>
    </row>
    <row r="37" spans="1:5" x14ac:dyDescent="0.25">
      <c r="A37" s="1">
        <v>44748</v>
      </c>
      <c r="B37">
        <v>19</v>
      </c>
      <c r="C37">
        <f>ROUNDDOWN($C$2*(1+VLOOKUP(temperatury4[[#Headers],[hot-dog]],$O$1:$P$4,2,FALSE)*(temperatury4[[#This Row],[temperatura]]-24)/2),0)</f>
        <v>72</v>
      </c>
      <c r="D37">
        <f>ROUNDDOWN($D$2*(1+VLOOKUP(temperatury4[[#Headers],[lody]],$O$1:$P$4,2,FALSE)*(temperatury4[[#This Row],[temperatura]]-24)/2),0)</f>
        <v>99</v>
      </c>
      <c r="E37">
        <f>ROUNDDOWN($E$2*(1+VLOOKUP(temperatury4[[#Headers],[kukurydza]],$O$1:$P$4,2,FALSE)*(temperatury4[[#This Row],[temperatura]]-24)/2),0)</f>
        <v>68</v>
      </c>
    </row>
    <row r="38" spans="1:5" x14ac:dyDescent="0.25">
      <c r="A38" s="1">
        <v>44749</v>
      </c>
      <c r="B38">
        <v>21</v>
      </c>
      <c r="C38">
        <f>ROUNDDOWN($C$2*(1+VLOOKUP(temperatury4[[#Headers],[hot-dog]],$O$1:$P$4,2,FALSE)*(temperatury4[[#This Row],[temperatura]]-24)/2),0)</f>
        <v>79</v>
      </c>
      <c r="D38">
        <f>ROUNDDOWN($D$2*(1+VLOOKUP(temperatury4[[#Headers],[lody]],$O$1:$P$4,2,FALSE)*(temperatury4[[#This Row],[temperatura]]-24)/2),0)</f>
        <v>107</v>
      </c>
      <c r="E38">
        <f>ROUNDDOWN($E$2*(1+VLOOKUP(temperatury4[[#Headers],[kukurydza]],$O$1:$P$4,2,FALSE)*(temperatury4[[#This Row],[temperatura]]-24)/2),0)</f>
        <v>72</v>
      </c>
    </row>
    <row r="39" spans="1:5" x14ac:dyDescent="0.25">
      <c r="A39" s="1">
        <v>44750</v>
      </c>
      <c r="B39">
        <v>24</v>
      </c>
      <c r="C39">
        <f>ROUNDDOWN($C$2*(1+VLOOKUP(temperatury4[[#Headers],[hot-dog]],$O$1:$P$4,2,FALSE)*(temperatury4[[#This Row],[temperatura]]-24)/2),0)</f>
        <v>90</v>
      </c>
      <c r="D39">
        <f>ROUNDDOWN($D$2*(1+VLOOKUP(temperatury4[[#Headers],[lody]],$O$1:$P$4,2,FALSE)*(temperatury4[[#This Row],[temperatura]]-24)/2),0)</f>
        <v>120</v>
      </c>
      <c r="E39">
        <f>ROUNDDOWN($E$2*(1+VLOOKUP(temperatury4[[#Headers],[kukurydza]],$O$1:$P$4,2,FALSE)*(temperatury4[[#This Row],[temperatura]]-24)/2),0)</f>
        <v>80</v>
      </c>
    </row>
    <row r="40" spans="1:5" x14ac:dyDescent="0.25">
      <c r="A40" s="1">
        <v>44751</v>
      </c>
      <c r="B40">
        <v>19</v>
      </c>
      <c r="C40">
        <f>ROUNDDOWN($C$2*(1+VLOOKUP(temperatury4[[#Headers],[hot-dog]],$O$1:$P$4,2,FALSE)*(temperatury4[[#This Row],[temperatura]]-24)/2),0)</f>
        <v>72</v>
      </c>
      <c r="D40">
        <f>ROUNDDOWN($D$2*(1+VLOOKUP(temperatury4[[#Headers],[lody]],$O$1:$P$4,2,FALSE)*(temperatury4[[#This Row],[temperatura]]-24)/2),0)</f>
        <v>99</v>
      </c>
      <c r="E40">
        <f>ROUNDDOWN($E$2*(1+VLOOKUP(temperatury4[[#Headers],[kukurydza]],$O$1:$P$4,2,FALSE)*(temperatury4[[#This Row],[temperatura]]-24)/2),0)</f>
        <v>68</v>
      </c>
    </row>
    <row r="41" spans="1:5" x14ac:dyDescent="0.25">
      <c r="A41" s="1">
        <v>44752</v>
      </c>
      <c r="B41">
        <v>28</v>
      </c>
      <c r="C41">
        <f>ROUNDDOWN($C$2*(1+VLOOKUP(temperatury4[[#Headers],[hot-dog]],$O$1:$P$4,2,FALSE)*(temperatury4[[#This Row],[temperatura]]-24)/2),0)</f>
        <v>103</v>
      </c>
      <c r="D41">
        <f>ROUNDDOWN($D$2*(1+VLOOKUP(temperatury4[[#Headers],[lody]],$O$1:$P$4,2,FALSE)*(temperatury4[[#This Row],[temperatura]]-24)/2),0)</f>
        <v>136</v>
      </c>
      <c r="E41">
        <f>ROUNDDOWN($E$2*(1+VLOOKUP(temperatury4[[#Headers],[kukurydza]],$O$1:$P$4,2,FALSE)*(temperatury4[[#This Row],[temperatura]]-24)/2),0)</f>
        <v>89</v>
      </c>
    </row>
    <row r="42" spans="1:5" x14ac:dyDescent="0.25">
      <c r="A42" s="1">
        <v>44753</v>
      </c>
      <c r="B42">
        <v>27</v>
      </c>
      <c r="C42">
        <f>ROUNDDOWN($C$2*(1+VLOOKUP(temperatury4[[#Headers],[hot-dog]],$O$1:$P$4,2,FALSE)*(temperatury4[[#This Row],[temperatura]]-24)/2),0)</f>
        <v>100</v>
      </c>
      <c r="D42">
        <f>ROUNDDOWN($D$2*(1+VLOOKUP(temperatury4[[#Headers],[lody]],$O$1:$P$4,2,FALSE)*(temperatury4[[#This Row],[temperatura]]-24)/2),0)</f>
        <v>132</v>
      </c>
      <c r="E42">
        <f>ROUNDDOWN($E$2*(1+VLOOKUP(temperatury4[[#Headers],[kukurydza]],$O$1:$P$4,2,FALSE)*(temperatury4[[#This Row],[temperatura]]-24)/2),0)</f>
        <v>87</v>
      </c>
    </row>
    <row r="43" spans="1:5" x14ac:dyDescent="0.25">
      <c r="A43" s="1">
        <v>44754</v>
      </c>
      <c r="B43">
        <v>24</v>
      </c>
      <c r="C43">
        <f>ROUNDDOWN($C$2*(1+VLOOKUP(temperatury4[[#Headers],[hot-dog]],$O$1:$P$4,2,FALSE)*(temperatury4[[#This Row],[temperatura]]-24)/2),0)</f>
        <v>90</v>
      </c>
      <c r="D43">
        <f>ROUNDDOWN($D$2*(1+VLOOKUP(temperatury4[[#Headers],[lody]],$O$1:$P$4,2,FALSE)*(temperatury4[[#This Row],[temperatura]]-24)/2),0)</f>
        <v>120</v>
      </c>
      <c r="E43">
        <f>ROUNDDOWN($E$2*(1+VLOOKUP(temperatury4[[#Headers],[kukurydza]],$O$1:$P$4,2,FALSE)*(temperatury4[[#This Row],[temperatura]]-24)/2),0)</f>
        <v>80</v>
      </c>
    </row>
    <row r="44" spans="1:5" x14ac:dyDescent="0.25">
      <c r="A44" s="1">
        <v>44755</v>
      </c>
      <c r="B44">
        <v>22</v>
      </c>
      <c r="C44">
        <f>ROUNDDOWN($C$2*(1+VLOOKUP(temperatury4[[#Headers],[hot-dog]],$O$1:$P$4,2,FALSE)*(temperatury4[[#This Row],[temperatura]]-24)/2),0)</f>
        <v>83</v>
      </c>
      <c r="D44">
        <f>ROUNDDOWN($D$2*(1+VLOOKUP(temperatury4[[#Headers],[lody]],$O$1:$P$4,2,FALSE)*(temperatury4[[#This Row],[temperatura]]-24)/2),0)</f>
        <v>111</v>
      </c>
      <c r="E44">
        <f>ROUNDDOWN($E$2*(1+VLOOKUP(temperatury4[[#Headers],[kukurydza]],$O$1:$P$4,2,FALSE)*(temperatury4[[#This Row],[temperatura]]-24)/2),0)</f>
        <v>75</v>
      </c>
    </row>
    <row r="45" spans="1:5" x14ac:dyDescent="0.25">
      <c r="A45" s="1">
        <v>44756</v>
      </c>
      <c r="B45">
        <v>17</v>
      </c>
      <c r="C45">
        <f>ROUNDDOWN($C$2*(1+VLOOKUP(temperatury4[[#Headers],[hot-dog]],$O$1:$P$4,2,FALSE)*(temperatury4[[#This Row],[temperatura]]-24)/2),0)</f>
        <v>65</v>
      </c>
      <c r="D45">
        <f>ROUNDDOWN($D$2*(1+VLOOKUP(temperatury4[[#Headers],[lody]],$O$1:$P$4,2,FALSE)*(temperatury4[[#This Row],[temperatura]]-24)/2),0)</f>
        <v>91</v>
      </c>
      <c r="E45">
        <f>ROUNDDOWN($E$2*(1+VLOOKUP(temperatury4[[#Headers],[kukurydza]],$O$1:$P$4,2,FALSE)*(temperatury4[[#This Row],[temperatura]]-24)/2),0)</f>
        <v>63</v>
      </c>
    </row>
    <row r="46" spans="1:5" x14ac:dyDescent="0.25">
      <c r="A46" s="1">
        <v>44757</v>
      </c>
      <c r="B46">
        <v>18</v>
      </c>
      <c r="C46">
        <f>ROUNDDOWN($C$2*(1+VLOOKUP(temperatury4[[#Headers],[hot-dog]],$O$1:$P$4,2,FALSE)*(temperatury4[[#This Row],[temperatura]]-24)/2),0)</f>
        <v>69</v>
      </c>
      <c r="D46">
        <f>ROUNDDOWN($D$2*(1+VLOOKUP(temperatury4[[#Headers],[lody]],$O$1:$P$4,2,FALSE)*(temperatury4[[#This Row],[temperatura]]-24)/2),0)</f>
        <v>95</v>
      </c>
      <c r="E46">
        <f>ROUNDDOWN($E$2*(1+VLOOKUP(temperatury4[[#Headers],[kukurydza]],$O$1:$P$4,2,FALSE)*(temperatury4[[#This Row],[temperatura]]-24)/2),0)</f>
        <v>65</v>
      </c>
    </row>
    <row r="47" spans="1:5" x14ac:dyDescent="0.25">
      <c r="A47" s="1">
        <v>44758</v>
      </c>
      <c r="B47">
        <v>23</v>
      </c>
      <c r="C47">
        <f>ROUNDDOWN($C$2*(1+VLOOKUP(temperatury4[[#Headers],[hot-dog]],$O$1:$P$4,2,FALSE)*(temperatury4[[#This Row],[temperatura]]-24)/2),0)</f>
        <v>86</v>
      </c>
      <c r="D47">
        <f>ROUNDDOWN($D$2*(1+VLOOKUP(temperatury4[[#Headers],[lody]],$O$1:$P$4,2,FALSE)*(temperatury4[[#This Row],[temperatura]]-24)/2),0)</f>
        <v>115</v>
      </c>
      <c r="E47">
        <f>ROUNDDOWN($E$2*(1+VLOOKUP(temperatury4[[#Headers],[kukurydza]],$O$1:$P$4,2,FALSE)*(temperatury4[[#This Row],[temperatura]]-24)/2),0)</f>
        <v>77</v>
      </c>
    </row>
    <row r="48" spans="1:5" x14ac:dyDescent="0.25">
      <c r="A48" s="1">
        <v>44759</v>
      </c>
      <c r="B48">
        <v>23</v>
      </c>
      <c r="C48">
        <f>ROUNDDOWN($C$2*(1+VLOOKUP(temperatury4[[#Headers],[hot-dog]],$O$1:$P$4,2,FALSE)*(temperatury4[[#This Row],[temperatura]]-24)/2),0)</f>
        <v>86</v>
      </c>
      <c r="D48">
        <f>ROUNDDOWN($D$2*(1+VLOOKUP(temperatury4[[#Headers],[lody]],$O$1:$P$4,2,FALSE)*(temperatury4[[#This Row],[temperatura]]-24)/2),0)</f>
        <v>115</v>
      </c>
      <c r="E48">
        <f>ROUNDDOWN($E$2*(1+VLOOKUP(temperatury4[[#Headers],[kukurydza]],$O$1:$P$4,2,FALSE)*(temperatury4[[#This Row],[temperatura]]-24)/2),0)</f>
        <v>77</v>
      </c>
    </row>
    <row r="49" spans="1:5" x14ac:dyDescent="0.25">
      <c r="A49" s="1">
        <v>44760</v>
      </c>
      <c r="B49">
        <v>19</v>
      </c>
      <c r="C49">
        <f>ROUNDDOWN($C$2*(1+VLOOKUP(temperatury4[[#Headers],[hot-dog]],$O$1:$P$4,2,FALSE)*(temperatury4[[#This Row],[temperatura]]-24)/2),0)</f>
        <v>72</v>
      </c>
      <c r="D49">
        <f>ROUNDDOWN($D$2*(1+VLOOKUP(temperatury4[[#Headers],[lody]],$O$1:$P$4,2,FALSE)*(temperatury4[[#This Row],[temperatura]]-24)/2),0)</f>
        <v>99</v>
      </c>
      <c r="E49">
        <f>ROUNDDOWN($E$2*(1+VLOOKUP(temperatury4[[#Headers],[kukurydza]],$O$1:$P$4,2,FALSE)*(temperatury4[[#This Row],[temperatura]]-24)/2),0)</f>
        <v>68</v>
      </c>
    </row>
    <row r="50" spans="1:5" x14ac:dyDescent="0.25">
      <c r="A50" s="1">
        <v>44761</v>
      </c>
      <c r="B50">
        <v>21</v>
      </c>
      <c r="C50">
        <f>ROUNDDOWN($C$2*(1+VLOOKUP(temperatury4[[#Headers],[hot-dog]],$O$1:$P$4,2,FALSE)*(temperatury4[[#This Row],[temperatura]]-24)/2),0)</f>
        <v>79</v>
      </c>
      <c r="D50">
        <f>ROUNDDOWN($D$2*(1+VLOOKUP(temperatury4[[#Headers],[lody]],$O$1:$P$4,2,FALSE)*(temperatury4[[#This Row],[temperatura]]-24)/2),0)</f>
        <v>107</v>
      </c>
      <c r="E50">
        <f>ROUNDDOWN($E$2*(1+VLOOKUP(temperatury4[[#Headers],[kukurydza]],$O$1:$P$4,2,FALSE)*(temperatury4[[#This Row],[temperatura]]-24)/2),0)</f>
        <v>72</v>
      </c>
    </row>
    <row r="51" spans="1:5" x14ac:dyDescent="0.25">
      <c r="A51" s="1">
        <v>44762</v>
      </c>
      <c r="B51">
        <v>25</v>
      </c>
      <c r="C51">
        <f>ROUNDDOWN($C$2*(1+VLOOKUP(temperatury4[[#Headers],[hot-dog]],$O$1:$P$4,2,FALSE)*(temperatury4[[#This Row],[temperatura]]-24)/2),0)</f>
        <v>93</v>
      </c>
      <c r="D51">
        <f>ROUNDDOWN($D$2*(1+VLOOKUP(temperatury4[[#Headers],[lody]],$O$1:$P$4,2,FALSE)*(temperatury4[[#This Row],[temperatura]]-24)/2),0)</f>
        <v>124</v>
      </c>
      <c r="E51">
        <f>ROUNDDOWN($E$2*(1+VLOOKUP(temperatury4[[#Headers],[kukurydza]],$O$1:$P$4,2,FALSE)*(temperatury4[[#This Row],[temperatura]]-24)/2),0)</f>
        <v>82</v>
      </c>
    </row>
    <row r="52" spans="1:5" x14ac:dyDescent="0.25">
      <c r="A52" s="1">
        <v>44763</v>
      </c>
      <c r="B52">
        <v>28</v>
      </c>
      <c r="C52">
        <f>ROUNDDOWN($C$2*(1+VLOOKUP(temperatury4[[#Headers],[hot-dog]],$O$1:$P$4,2,FALSE)*(temperatury4[[#This Row],[temperatura]]-24)/2),0)</f>
        <v>103</v>
      </c>
      <c r="D52">
        <f>ROUNDDOWN($D$2*(1+VLOOKUP(temperatury4[[#Headers],[lody]],$O$1:$P$4,2,FALSE)*(temperatury4[[#This Row],[temperatura]]-24)/2),0)</f>
        <v>136</v>
      </c>
      <c r="E52">
        <f>ROUNDDOWN($E$2*(1+VLOOKUP(temperatury4[[#Headers],[kukurydza]],$O$1:$P$4,2,FALSE)*(temperatury4[[#This Row],[temperatura]]-24)/2),0)</f>
        <v>89</v>
      </c>
    </row>
    <row r="53" spans="1:5" x14ac:dyDescent="0.25">
      <c r="A53" s="1">
        <v>44764</v>
      </c>
      <c r="B53">
        <v>27</v>
      </c>
      <c r="C53">
        <f>ROUNDDOWN($C$2*(1+VLOOKUP(temperatury4[[#Headers],[hot-dog]],$O$1:$P$4,2,FALSE)*(temperatury4[[#This Row],[temperatura]]-24)/2),0)</f>
        <v>100</v>
      </c>
      <c r="D53">
        <f>ROUNDDOWN($D$2*(1+VLOOKUP(temperatury4[[#Headers],[lody]],$O$1:$P$4,2,FALSE)*(temperatury4[[#This Row],[temperatura]]-24)/2),0)</f>
        <v>132</v>
      </c>
      <c r="E53">
        <f>ROUNDDOWN($E$2*(1+VLOOKUP(temperatury4[[#Headers],[kukurydza]],$O$1:$P$4,2,FALSE)*(temperatury4[[#This Row],[temperatura]]-24)/2),0)</f>
        <v>87</v>
      </c>
    </row>
    <row r="54" spans="1:5" x14ac:dyDescent="0.25">
      <c r="A54" s="1">
        <v>44765</v>
      </c>
      <c r="B54">
        <v>23</v>
      </c>
      <c r="C54">
        <f>ROUNDDOWN($C$2*(1+VLOOKUP(temperatury4[[#Headers],[hot-dog]],$O$1:$P$4,2,FALSE)*(temperatury4[[#This Row],[temperatura]]-24)/2),0)</f>
        <v>86</v>
      </c>
      <c r="D54">
        <f>ROUNDDOWN($D$2*(1+VLOOKUP(temperatury4[[#Headers],[lody]],$O$1:$P$4,2,FALSE)*(temperatury4[[#This Row],[temperatura]]-24)/2),0)</f>
        <v>115</v>
      </c>
      <c r="E54">
        <f>ROUNDDOWN($E$2*(1+VLOOKUP(temperatury4[[#Headers],[kukurydza]],$O$1:$P$4,2,FALSE)*(temperatury4[[#This Row],[temperatura]]-24)/2),0)</f>
        <v>77</v>
      </c>
    </row>
    <row r="55" spans="1:5" x14ac:dyDescent="0.25">
      <c r="A55" s="1">
        <v>44766</v>
      </c>
      <c r="B55">
        <v>26</v>
      </c>
      <c r="C55">
        <f>ROUNDDOWN($C$2*(1+VLOOKUP(temperatury4[[#Headers],[hot-dog]],$O$1:$P$4,2,FALSE)*(temperatury4[[#This Row],[temperatura]]-24)/2),0)</f>
        <v>96</v>
      </c>
      <c r="D55">
        <f>ROUNDDOWN($D$2*(1+VLOOKUP(temperatury4[[#Headers],[lody]],$O$1:$P$4,2,FALSE)*(temperatury4[[#This Row],[temperatura]]-24)/2),0)</f>
        <v>128</v>
      </c>
      <c r="E55">
        <f>ROUNDDOWN($E$2*(1+VLOOKUP(temperatury4[[#Headers],[kukurydza]],$O$1:$P$4,2,FALSE)*(temperatury4[[#This Row],[temperatura]]-24)/2),0)</f>
        <v>84</v>
      </c>
    </row>
    <row r="56" spans="1:5" x14ac:dyDescent="0.25">
      <c r="A56" s="1">
        <v>44767</v>
      </c>
      <c r="B56">
        <v>29</v>
      </c>
      <c r="C56">
        <f>ROUNDDOWN($C$2*(1+VLOOKUP(temperatury4[[#Headers],[hot-dog]],$O$1:$P$4,2,FALSE)*(temperatury4[[#This Row],[temperatura]]-24)/2),0)</f>
        <v>107</v>
      </c>
      <c r="D56">
        <f>ROUNDDOWN($D$2*(1+VLOOKUP(temperatury4[[#Headers],[lody]],$O$1:$P$4,2,FALSE)*(temperatury4[[#This Row],[temperatura]]-24)/2),0)</f>
        <v>140</v>
      </c>
      <c r="E56">
        <f>ROUNDDOWN($E$2*(1+VLOOKUP(temperatury4[[#Headers],[kukurydza]],$O$1:$P$4,2,FALSE)*(temperatury4[[#This Row],[temperatura]]-24)/2),0)</f>
        <v>91</v>
      </c>
    </row>
    <row r="57" spans="1:5" x14ac:dyDescent="0.25">
      <c r="A57" s="1">
        <v>44768</v>
      </c>
      <c r="B57">
        <v>26</v>
      </c>
      <c r="C57">
        <f>ROUNDDOWN($C$2*(1+VLOOKUP(temperatury4[[#Headers],[hot-dog]],$O$1:$P$4,2,FALSE)*(temperatury4[[#This Row],[temperatura]]-24)/2),0)</f>
        <v>96</v>
      </c>
      <c r="D57">
        <f>ROUNDDOWN($D$2*(1+VLOOKUP(temperatury4[[#Headers],[lody]],$O$1:$P$4,2,FALSE)*(temperatury4[[#This Row],[temperatura]]-24)/2),0)</f>
        <v>128</v>
      </c>
      <c r="E57">
        <f>ROUNDDOWN($E$2*(1+VLOOKUP(temperatury4[[#Headers],[kukurydza]],$O$1:$P$4,2,FALSE)*(temperatury4[[#This Row],[temperatura]]-24)/2),0)</f>
        <v>84</v>
      </c>
    </row>
    <row r="58" spans="1:5" x14ac:dyDescent="0.25">
      <c r="A58" s="1">
        <v>44769</v>
      </c>
      <c r="B58">
        <v>27</v>
      </c>
      <c r="C58">
        <f>ROUNDDOWN($C$2*(1+VLOOKUP(temperatury4[[#Headers],[hot-dog]],$O$1:$P$4,2,FALSE)*(temperatury4[[#This Row],[temperatura]]-24)/2),0)</f>
        <v>100</v>
      </c>
      <c r="D58">
        <f>ROUNDDOWN($D$2*(1+VLOOKUP(temperatury4[[#Headers],[lody]],$O$1:$P$4,2,FALSE)*(temperatury4[[#This Row],[temperatura]]-24)/2),0)</f>
        <v>132</v>
      </c>
      <c r="E58">
        <f>ROUNDDOWN($E$2*(1+VLOOKUP(temperatury4[[#Headers],[kukurydza]],$O$1:$P$4,2,FALSE)*(temperatury4[[#This Row],[temperatura]]-24)/2),0)</f>
        <v>87</v>
      </c>
    </row>
    <row r="59" spans="1:5" x14ac:dyDescent="0.25">
      <c r="A59" s="1">
        <v>44770</v>
      </c>
      <c r="B59">
        <v>24</v>
      </c>
      <c r="C59">
        <f>ROUNDDOWN($C$2*(1+VLOOKUP(temperatury4[[#Headers],[hot-dog]],$O$1:$P$4,2,FALSE)*(temperatury4[[#This Row],[temperatura]]-24)/2),0)</f>
        <v>90</v>
      </c>
      <c r="D59">
        <f>ROUNDDOWN($D$2*(1+VLOOKUP(temperatury4[[#Headers],[lody]],$O$1:$P$4,2,FALSE)*(temperatury4[[#This Row],[temperatura]]-24)/2),0)</f>
        <v>120</v>
      </c>
      <c r="E59">
        <f>ROUNDDOWN($E$2*(1+VLOOKUP(temperatury4[[#Headers],[kukurydza]],$O$1:$P$4,2,FALSE)*(temperatury4[[#This Row],[temperatura]]-24)/2),0)</f>
        <v>80</v>
      </c>
    </row>
    <row r="60" spans="1:5" x14ac:dyDescent="0.25">
      <c r="A60" s="1">
        <v>44771</v>
      </c>
      <c r="B60">
        <v>26</v>
      </c>
      <c r="C60">
        <f>ROUNDDOWN($C$2*(1+VLOOKUP(temperatury4[[#Headers],[hot-dog]],$O$1:$P$4,2,FALSE)*(temperatury4[[#This Row],[temperatura]]-24)/2),0)</f>
        <v>96</v>
      </c>
      <c r="D60">
        <f>ROUNDDOWN($D$2*(1+VLOOKUP(temperatury4[[#Headers],[lody]],$O$1:$P$4,2,FALSE)*(temperatury4[[#This Row],[temperatura]]-24)/2),0)</f>
        <v>128</v>
      </c>
      <c r="E60">
        <f>ROUNDDOWN($E$2*(1+VLOOKUP(temperatury4[[#Headers],[kukurydza]],$O$1:$P$4,2,FALSE)*(temperatury4[[#This Row],[temperatura]]-24)/2),0)</f>
        <v>84</v>
      </c>
    </row>
    <row r="61" spans="1:5" x14ac:dyDescent="0.25">
      <c r="A61" s="1">
        <v>44772</v>
      </c>
      <c r="B61">
        <v>25</v>
      </c>
      <c r="C61">
        <f>ROUNDDOWN($C$2*(1+VLOOKUP(temperatury4[[#Headers],[hot-dog]],$O$1:$P$4,2,FALSE)*(temperatury4[[#This Row],[temperatura]]-24)/2),0)</f>
        <v>93</v>
      </c>
      <c r="D61">
        <f>ROUNDDOWN($D$2*(1+VLOOKUP(temperatury4[[#Headers],[lody]],$O$1:$P$4,2,FALSE)*(temperatury4[[#This Row],[temperatura]]-24)/2),0)</f>
        <v>124</v>
      </c>
      <c r="E61">
        <f>ROUNDDOWN($E$2*(1+VLOOKUP(temperatury4[[#Headers],[kukurydza]],$O$1:$P$4,2,FALSE)*(temperatury4[[#This Row],[temperatura]]-24)/2),0)</f>
        <v>82</v>
      </c>
    </row>
    <row r="62" spans="1:5" x14ac:dyDescent="0.25">
      <c r="A62" s="1">
        <v>44773</v>
      </c>
      <c r="B62">
        <v>24</v>
      </c>
      <c r="C62">
        <f>ROUNDDOWN($C$2*(1+VLOOKUP(temperatury4[[#Headers],[hot-dog]],$O$1:$P$4,2,FALSE)*(temperatury4[[#This Row],[temperatura]]-24)/2),0)</f>
        <v>90</v>
      </c>
      <c r="D62">
        <f>ROUNDDOWN($D$2*(1+VLOOKUP(temperatury4[[#Headers],[lody]],$O$1:$P$4,2,FALSE)*(temperatury4[[#This Row],[temperatura]]-24)/2),0)</f>
        <v>120</v>
      </c>
      <c r="E62">
        <f>ROUNDDOWN($E$2*(1+VLOOKUP(temperatury4[[#Headers],[kukurydza]],$O$1:$P$4,2,FALSE)*(temperatury4[[#This Row],[temperatura]]-24)/2),0)</f>
        <v>80</v>
      </c>
    </row>
    <row r="63" spans="1:5" x14ac:dyDescent="0.25">
      <c r="A63" s="1">
        <v>44774</v>
      </c>
      <c r="B63">
        <v>22</v>
      </c>
      <c r="C63">
        <f>ROUNDDOWN($C$2*(1+VLOOKUP(temperatury4[[#Headers],[hot-dog]],$O$1:$P$4,2,FALSE)*(temperatury4[[#This Row],[temperatura]]-24)/2),0)</f>
        <v>83</v>
      </c>
      <c r="D63">
        <f>ROUNDDOWN($D$2*(1+VLOOKUP(temperatury4[[#Headers],[lody]],$O$1:$P$4,2,FALSE)*(temperatury4[[#This Row],[temperatura]]-24)/2),0)</f>
        <v>111</v>
      </c>
      <c r="E63">
        <f>ROUNDDOWN($E$2*(1+VLOOKUP(temperatury4[[#Headers],[kukurydza]],$O$1:$P$4,2,FALSE)*(temperatury4[[#This Row],[temperatura]]-24)/2),0)</f>
        <v>75</v>
      </c>
    </row>
    <row r="64" spans="1:5" x14ac:dyDescent="0.25">
      <c r="A64" s="1">
        <v>44775</v>
      </c>
      <c r="B64">
        <v>19</v>
      </c>
      <c r="C64">
        <f>ROUNDDOWN($C$2*(1+VLOOKUP(temperatury4[[#Headers],[hot-dog]],$O$1:$P$4,2,FALSE)*(temperatury4[[#This Row],[temperatura]]-24)/2),0)</f>
        <v>72</v>
      </c>
      <c r="D64">
        <f>ROUNDDOWN($D$2*(1+VLOOKUP(temperatury4[[#Headers],[lody]],$O$1:$P$4,2,FALSE)*(temperatury4[[#This Row],[temperatura]]-24)/2),0)</f>
        <v>99</v>
      </c>
      <c r="E64">
        <f>ROUNDDOWN($E$2*(1+VLOOKUP(temperatury4[[#Headers],[kukurydza]],$O$1:$P$4,2,FALSE)*(temperatury4[[#This Row],[temperatura]]-24)/2),0)</f>
        <v>68</v>
      </c>
    </row>
    <row r="65" spans="1:5" x14ac:dyDescent="0.25">
      <c r="A65" s="1">
        <v>44776</v>
      </c>
      <c r="B65">
        <v>21</v>
      </c>
      <c r="C65">
        <f>ROUNDDOWN($C$2*(1+VLOOKUP(temperatury4[[#Headers],[hot-dog]],$O$1:$P$4,2,FALSE)*(temperatury4[[#This Row],[temperatura]]-24)/2),0)</f>
        <v>79</v>
      </c>
      <c r="D65">
        <f>ROUNDDOWN($D$2*(1+VLOOKUP(temperatury4[[#Headers],[lody]],$O$1:$P$4,2,FALSE)*(temperatury4[[#This Row],[temperatura]]-24)/2),0)</f>
        <v>107</v>
      </c>
      <c r="E65">
        <f>ROUNDDOWN($E$2*(1+VLOOKUP(temperatury4[[#Headers],[kukurydza]],$O$1:$P$4,2,FALSE)*(temperatury4[[#This Row],[temperatura]]-24)/2),0)</f>
        <v>72</v>
      </c>
    </row>
    <row r="66" spans="1:5" x14ac:dyDescent="0.25">
      <c r="A66" s="1">
        <v>44777</v>
      </c>
      <c r="B66">
        <v>26</v>
      </c>
      <c r="C66">
        <f>ROUNDDOWN($C$2*(1+VLOOKUP(temperatury4[[#Headers],[hot-dog]],$O$1:$P$4,2,FALSE)*(temperatury4[[#This Row],[temperatura]]-24)/2),0)</f>
        <v>96</v>
      </c>
      <c r="D66">
        <f>ROUNDDOWN($D$2*(1+VLOOKUP(temperatury4[[#Headers],[lody]],$O$1:$P$4,2,FALSE)*(temperatury4[[#This Row],[temperatura]]-24)/2),0)</f>
        <v>128</v>
      </c>
      <c r="E66">
        <f>ROUNDDOWN($E$2*(1+VLOOKUP(temperatury4[[#Headers],[kukurydza]],$O$1:$P$4,2,FALSE)*(temperatury4[[#This Row],[temperatura]]-24)/2),0)</f>
        <v>84</v>
      </c>
    </row>
    <row r="67" spans="1:5" x14ac:dyDescent="0.25">
      <c r="A67" s="1">
        <v>44778</v>
      </c>
      <c r="B67">
        <v>19</v>
      </c>
      <c r="C67">
        <f>ROUNDDOWN($C$2*(1+VLOOKUP(temperatury4[[#Headers],[hot-dog]],$O$1:$P$4,2,FALSE)*(temperatury4[[#This Row],[temperatura]]-24)/2),0)</f>
        <v>72</v>
      </c>
      <c r="D67">
        <f>ROUNDDOWN($D$2*(1+VLOOKUP(temperatury4[[#Headers],[lody]],$O$1:$P$4,2,FALSE)*(temperatury4[[#This Row],[temperatura]]-24)/2),0)</f>
        <v>99</v>
      </c>
      <c r="E67">
        <f>ROUNDDOWN($E$2*(1+VLOOKUP(temperatury4[[#Headers],[kukurydza]],$O$1:$P$4,2,FALSE)*(temperatury4[[#This Row],[temperatura]]-24)/2),0)</f>
        <v>68</v>
      </c>
    </row>
    <row r="68" spans="1:5" x14ac:dyDescent="0.25">
      <c r="A68" s="1">
        <v>44779</v>
      </c>
      <c r="B68">
        <v>21</v>
      </c>
      <c r="C68">
        <f>ROUNDDOWN($C$2*(1+VLOOKUP(temperatury4[[#Headers],[hot-dog]],$O$1:$P$4,2,FALSE)*(temperatury4[[#This Row],[temperatura]]-24)/2),0)</f>
        <v>79</v>
      </c>
      <c r="D68">
        <f>ROUNDDOWN($D$2*(1+VLOOKUP(temperatury4[[#Headers],[lody]],$O$1:$P$4,2,FALSE)*(temperatury4[[#This Row],[temperatura]]-24)/2),0)</f>
        <v>107</v>
      </c>
      <c r="E68">
        <f>ROUNDDOWN($E$2*(1+VLOOKUP(temperatury4[[#Headers],[kukurydza]],$O$1:$P$4,2,FALSE)*(temperatury4[[#This Row],[temperatura]]-24)/2),0)</f>
        <v>72</v>
      </c>
    </row>
    <row r="69" spans="1:5" x14ac:dyDescent="0.25">
      <c r="A69" s="1">
        <v>44780</v>
      </c>
      <c r="B69">
        <v>23</v>
      </c>
      <c r="C69">
        <f>ROUNDDOWN($C$2*(1+VLOOKUP(temperatury4[[#Headers],[hot-dog]],$O$1:$P$4,2,FALSE)*(temperatury4[[#This Row],[temperatura]]-24)/2),0)</f>
        <v>86</v>
      </c>
      <c r="D69">
        <f>ROUNDDOWN($D$2*(1+VLOOKUP(temperatury4[[#Headers],[lody]],$O$1:$P$4,2,FALSE)*(temperatury4[[#This Row],[temperatura]]-24)/2),0)</f>
        <v>115</v>
      </c>
      <c r="E69">
        <f>ROUNDDOWN($E$2*(1+VLOOKUP(temperatury4[[#Headers],[kukurydza]],$O$1:$P$4,2,FALSE)*(temperatury4[[#This Row],[temperatura]]-24)/2),0)</f>
        <v>77</v>
      </c>
    </row>
    <row r="70" spans="1:5" x14ac:dyDescent="0.25">
      <c r="A70" s="1">
        <v>44781</v>
      </c>
      <c r="B70">
        <v>27</v>
      </c>
      <c r="C70">
        <f>ROUNDDOWN($C$2*(1+VLOOKUP(temperatury4[[#Headers],[hot-dog]],$O$1:$P$4,2,FALSE)*(temperatury4[[#This Row],[temperatura]]-24)/2),0)</f>
        <v>100</v>
      </c>
      <c r="D70">
        <f>ROUNDDOWN($D$2*(1+VLOOKUP(temperatury4[[#Headers],[lody]],$O$1:$P$4,2,FALSE)*(temperatury4[[#This Row],[temperatura]]-24)/2),0)</f>
        <v>132</v>
      </c>
      <c r="E70">
        <f>ROUNDDOWN($E$2*(1+VLOOKUP(temperatury4[[#Headers],[kukurydza]],$O$1:$P$4,2,FALSE)*(temperatury4[[#This Row],[temperatura]]-24)/2),0)</f>
        <v>87</v>
      </c>
    </row>
    <row r="71" spans="1:5" x14ac:dyDescent="0.25">
      <c r="A71" s="1">
        <v>44782</v>
      </c>
      <c r="B71">
        <v>20</v>
      </c>
      <c r="C71">
        <f>ROUNDDOWN($C$2*(1+VLOOKUP(temperatury4[[#Headers],[hot-dog]],$O$1:$P$4,2,FALSE)*(temperatury4[[#This Row],[temperatura]]-24)/2),0)</f>
        <v>76</v>
      </c>
      <c r="D71">
        <f>ROUNDDOWN($D$2*(1+VLOOKUP(temperatury4[[#Headers],[lody]],$O$1:$P$4,2,FALSE)*(temperatury4[[#This Row],[temperatura]]-24)/2),0)</f>
        <v>103</v>
      </c>
      <c r="E71">
        <f>ROUNDDOWN($E$2*(1+VLOOKUP(temperatury4[[#Headers],[kukurydza]],$O$1:$P$4,2,FALSE)*(temperatury4[[#This Row],[temperatura]]-24)/2),0)</f>
        <v>70</v>
      </c>
    </row>
    <row r="72" spans="1:5" x14ac:dyDescent="0.25">
      <c r="A72" s="1">
        <v>44783</v>
      </c>
      <c r="B72">
        <v>18</v>
      </c>
      <c r="C72">
        <f>ROUNDDOWN($C$2*(1+VLOOKUP(temperatury4[[#Headers],[hot-dog]],$O$1:$P$4,2,FALSE)*(temperatury4[[#This Row],[temperatura]]-24)/2),0)</f>
        <v>69</v>
      </c>
      <c r="D72">
        <f>ROUNDDOWN($D$2*(1+VLOOKUP(temperatury4[[#Headers],[lody]],$O$1:$P$4,2,FALSE)*(temperatury4[[#This Row],[temperatura]]-24)/2),0)</f>
        <v>95</v>
      </c>
      <c r="E72">
        <f>ROUNDDOWN($E$2*(1+VLOOKUP(temperatury4[[#Headers],[kukurydza]],$O$1:$P$4,2,FALSE)*(temperatury4[[#This Row],[temperatura]]-24)/2),0)</f>
        <v>65</v>
      </c>
    </row>
    <row r="73" spans="1:5" x14ac:dyDescent="0.25">
      <c r="A73" s="1">
        <v>44784</v>
      </c>
      <c r="B73">
        <v>17</v>
      </c>
      <c r="C73">
        <f>ROUNDDOWN($C$2*(1+VLOOKUP(temperatury4[[#Headers],[hot-dog]],$O$1:$P$4,2,FALSE)*(temperatury4[[#This Row],[temperatura]]-24)/2),0)</f>
        <v>65</v>
      </c>
      <c r="D73">
        <f>ROUNDDOWN($D$2*(1+VLOOKUP(temperatury4[[#Headers],[lody]],$O$1:$P$4,2,FALSE)*(temperatury4[[#This Row],[temperatura]]-24)/2),0)</f>
        <v>91</v>
      </c>
      <c r="E73">
        <f>ROUNDDOWN($E$2*(1+VLOOKUP(temperatury4[[#Headers],[kukurydza]],$O$1:$P$4,2,FALSE)*(temperatury4[[#This Row],[temperatura]]-24)/2),0)</f>
        <v>63</v>
      </c>
    </row>
    <row r="74" spans="1:5" x14ac:dyDescent="0.25">
      <c r="A74" s="1">
        <v>44785</v>
      </c>
      <c r="B74">
        <v>19</v>
      </c>
      <c r="C74">
        <f>ROUNDDOWN($C$2*(1+VLOOKUP(temperatury4[[#Headers],[hot-dog]],$O$1:$P$4,2,FALSE)*(temperatury4[[#This Row],[temperatura]]-24)/2),0)</f>
        <v>72</v>
      </c>
      <c r="D74">
        <f>ROUNDDOWN($D$2*(1+VLOOKUP(temperatury4[[#Headers],[lody]],$O$1:$P$4,2,FALSE)*(temperatury4[[#This Row],[temperatura]]-24)/2),0)</f>
        <v>99</v>
      </c>
      <c r="E74">
        <f>ROUNDDOWN($E$2*(1+VLOOKUP(temperatury4[[#Headers],[kukurydza]],$O$1:$P$4,2,FALSE)*(temperatury4[[#This Row],[temperatura]]-24)/2),0)</f>
        <v>68</v>
      </c>
    </row>
    <row r="75" spans="1:5" x14ac:dyDescent="0.25">
      <c r="A75" s="1">
        <v>44786</v>
      </c>
      <c r="B75">
        <v>26</v>
      </c>
      <c r="C75">
        <f>ROUNDDOWN($C$2*(1+VLOOKUP(temperatury4[[#Headers],[hot-dog]],$O$1:$P$4,2,FALSE)*(temperatury4[[#This Row],[temperatura]]-24)/2),0)</f>
        <v>96</v>
      </c>
      <c r="D75">
        <f>ROUNDDOWN($D$2*(1+VLOOKUP(temperatury4[[#Headers],[lody]],$O$1:$P$4,2,FALSE)*(temperatury4[[#This Row],[temperatura]]-24)/2),0)</f>
        <v>128</v>
      </c>
      <c r="E75">
        <f>ROUNDDOWN($E$2*(1+VLOOKUP(temperatury4[[#Headers],[kukurydza]],$O$1:$P$4,2,FALSE)*(temperatury4[[#This Row],[temperatura]]-24)/2),0)</f>
        <v>84</v>
      </c>
    </row>
    <row r="76" spans="1:5" x14ac:dyDescent="0.25">
      <c r="A76" s="1">
        <v>44787</v>
      </c>
      <c r="B76">
        <v>21</v>
      </c>
      <c r="C76">
        <f>ROUNDDOWN($C$2*(1+VLOOKUP(temperatury4[[#Headers],[hot-dog]],$O$1:$P$4,2,FALSE)*(temperatury4[[#This Row],[temperatura]]-24)/2),0)</f>
        <v>79</v>
      </c>
      <c r="D76">
        <f>ROUNDDOWN($D$2*(1+VLOOKUP(temperatury4[[#Headers],[lody]],$O$1:$P$4,2,FALSE)*(temperatury4[[#This Row],[temperatura]]-24)/2),0)</f>
        <v>107</v>
      </c>
      <c r="E76">
        <f>ROUNDDOWN($E$2*(1+VLOOKUP(temperatury4[[#Headers],[kukurydza]],$O$1:$P$4,2,FALSE)*(temperatury4[[#This Row],[temperatura]]-24)/2),0)</f>
        <v>72</v>
      </c>
    </row>
    <row r="77" spans="1:5" x14ac:dyDescent="0.25">
      <c r="A77" s="1">
        <v>44788</v>
      </c>
      <c r="B77">
        <v>19</v>
      </c>
      <c r="C77">
        <f>ROUNDDOWN($C$2*(1+VLOOKUP(temperatury4[[#Headers],[hot-dog]],$O$1:$P$4,2,FALSE)*(temperatury4[[#This Row],[temperatura]]-24)/2),0)</f>
        <v>72</v>
      </c>
      <c r="D77">
        <f>ROUNDDOWN($D$2*(1+VLOOKUP(temperatury4[[#Headers],[lody]],$O$1:$P$4,2,FALSE)*(temperatury4[[#This Row],[temperatura]]-24)/2),0)</f>
        <v>99</v>
      </c>
      <c r="E77">
        <f>ROUNDDOWN($E$2*(1+VLOOKUP(temperatury4[[#Headers],[kukurydza]],$O$1:$P$4,2,FALSE)*(temperatury4[[#This Row],[temperatura]]-24)/2),0)</f>
        <v>68</v>
      </c>
    </row>
    <row r="78" spans="1:5" x14ac:dyDescent="0.25">
      <c r="A78" s="1">
        <v>44789</v>
      </c>
      <c r="B78">
        <v>19</v>
      </c>
      <c r="C78">
        <f>ROUNDDOWN($C$2*(1+VLOOKUP(temperatury4[[#Headers],[hot-dog]],$O$1:$P$4,2,FALSE)*(temperatury4[[#This Row],[temperatura]]-24)/2),0)</f>
        <v>72</v>
      </c>
      <c r="D78">
        <f>ROUNDDOWN($D$2*(1+VLOOKUP(temperatury4[[#Headers],[lody]],$O$1:$P$4,2,FALSE)*(temperatury4[[#This Row],[temperatura]]-24)/2),0)</f>
        <v>99</v>
      </c>
      <c r="E78">
        <f>ROUNDDOWN($E$2*(1+VLOOKUP(temperatury4[[#Headers],[kukurydza]],$O$1:$P$4,2,FALSE)*(temperatury4[[#This Row],[temperatura]]-24)/2),0)</f>
        <v>68</v>
      </c>
    </row>
    <row r="79" spans="1:5" x14ac:dyDescent="0.25">
      <c r="A79" s="1">
        <v>44790</v>
      </c>
      <c r="B79">
        <v>21</v>
      </c>
      <c r="C79">
        <f>ROUNDDOWN($C$2*(1+VLOOKUP(temperatury4[[#Headers],[hot-dog]],$O$1:$P$4,2,FALSE)*(temperatury4[[#This Row],[temperatura]]-24)/2),0)</f>
        <v>79</v>
      </c>
      <c r="D79">
        <f>ROUNDDOWN($D$2*(1+VLOOKUP(temperatury4[[#Headers],[lody]],$O$1:$P$4,2,FALSE)*(temperatury4[[#This Row],[temperatura]]-24)/2),0)</f>
        <v>107</v>
      </c>
      <c r="E79">
        <f>ROUNDDOWN($E$2*(1+VLOOKUP(temperatury4[[#Headers],[kukurydza]],$O$1:$P$4,2,FALSE)*(temperatury4[[#This Row],[temperatura]]-24)/2),0)</f>
        <v>72</v>
      </c>
    </row>
    <row r="80" spans="1:5" x14ac:dyDescent="0.25">
      <c r="A80" s="1">
        <v>44791</v>
      </c>
      <c r="B80">
        <v>21</v>
      </c>
      <c r="C80">
        <f>ROUNDDOWN($C$2*(1+VLOOKUP(temperatury4[[#Headers],[hot-dog]],$O$1:$P$4,2,FALSE)*(temperatury4[[#This Row],[temperatura]]-24)/2),0)</f>
        <v>79</v>
      </c>
      <c r="D80">
        <f>ROUNDDOWN($D$2*(1+VLOOKUP(temperatury4[[#Headers],[lody]],$O$1:$P$4,2,FALSE)*(temperatury4[[#This Row],[temperatura]]-24)/2),0)</f>
        <v>107</v>
      </c>
      <c r="E80">
        <f>ROUNDDOWN($E$2*(1+VLOOKUP(temperatury4[[#Headers],[kukurydza]],$O$1:$P$4,2,FALSE)*(temperatury4[[#This Row],[temperatura]]-24)/2),0)</f>
        <v>72</v>
      </c>
    </row>
    <row r="81" spans="1:5" x14ac:dyDescent="0.25">
      <c r="A81" s="1">
        <v>44792</v>
      </c>
      <c r="B81">
        <v>24</v>
      </c>
      <c r="C81">
        <f>ROUNDDOWN($C$2*(1+VLOOKUP(temperatury4[[#Headers],[hot-dog]],$O$1:$P$4,2,FALSE)*(temperatury4[[#This Row],[temperatura]]-24)/2),0)</f>
        <v>90</v>
      </c>
      <c r="D81">
        <f>ROUNDDOWN($D$2*(1+VLOOKUP(temperatury4[[#Headers],[lody]],$O$1:$P$4,2,FALSE)*(temperatury4[[#This Row],[temperatura]]-24)/2),0)</f>
        <v>120</v>
      </c>
      <c r="E81">
        <f>ROUNDDOWN($E$2*(1+VLOOKUP(temperatury4[[#Headers],[kukurydza]],$O$1:$P$4,2,FALSE)*(temperatury4[[#This Row],[temperatura]]-24)/2),0)</f>
        <v>80</v>
      </c>
    </row>
    <row r="82" spans="1:5" x14ac:dyDescent="0.25">
      <c r="A82" s="1">
        <v>44793</v>
      </c>
      <c r="B82">
        <v>26</v>
      </c>
      <c r="C82">
        <f>ROUNDDOWN($C$2*(1+VLOOKUP(temperatury4[[#Headers],[hot-dog]],$O$1:$P$4,2,FALSE)*(temperatury4[[#This Row],[temperatura]]-24)/2),0)</f>
        <v>96</v>
      </c>
      <c r="D82">
        <f>ROUNDDOWN($D$2*(1+VLOOKUP(temperatury4[[#Headers],[lody]],$O$1:$P$4,2,FALSE)*(temperatury4[[#This Row],[temperatura]]-24)/2),0)</f>
        <v>128</v>
      </c>
      <c r="E82">
        <f>ROUNDDOWN($E$2*(1+VLOOKUP(temperatury4[[#Headers],[kukurydza]],$O$1:$P$4,2,FALSE)*(temperatury4[[#This Row],[temperatura]]-24)/2),0)</f>
        <v>84</v>
      </c>
    </row>
    <row r="83" spans="1:5" x14ac:dyDescent="0.25">
      <c r="A83" s="1">
        <v>44794</v>
      </c>
      <c r="B83">
        <v>23</v>
      </c>
      <c r="C83">
        <f>ROUNDDOWN($C$2*(1+VLOOKUP(temperatury4[[#Headers],[hot-dog]],$O$1:$P$4,2,FALSE)*(temperatury4[[#This Row],[temperatura]]-24)/2),0)</f>
        <v>86</v>
      </c>
      <c r="D83">
        <f>ROUNDDOWN($D$2*(1+VLOOKUP(temperatury4[[#Headers],[lody]],$O$1:$P$4,2,FALSE)*(temperatury4[[#This Row],[temperatura]]-24)/2),0)</f>
        <v>115</v>
      </c>
      <c r="E83">
        <f>ROUNDDOWN($E$2*(1+VLOOKUP(temperatury4[[#Headers],[kukurydza]],$O$1:$P$4,2,FALSE)*(temperatury4[[#This Row],[temperatura]]-24)/2),0)</f>
        <v>77</v>
      </c>
    </row>
    <row r="84" spans="1:5" x14ac:dyDescent="0.25">
      <c r="A84" s="1">
        <v>44795</v>
      </c>
      <c r="B84">
        <v>23</v>
      </c>
      <c r="C84">
        <f>ROUNDDOWN($C$2*(1+VLOOKUP(temperatury4[[#Headers],[hot-dog]],$O$1:$P$4,2,FALSE)*(temperatury4[[#This Row],[temperatura]]-24)/2),0)</f>
        <v>86</v>
      </c>
      <c r="D84">
        <f>ROUNDDOWN($D$2*(1+VLOOKUP(temperatury4[[#Headers],[lody]],$O$1:$P$4,2,FALSE)*(temperatury4[[#This Row],[temperatura]]-24)/2),0)</f>
        <v>115</v>
      </c>
      <c r="E84">
        <f>ROUNDDOWN($E$2*(1+VLOOKUP(temperatury4[[#Headers],[kukurydza]],$O$1:$P$4,2,FALSE)*(temperatury4[[#This Row],[temperatura]]-24)/2),0)</f>
        <v>77</v>
      </c>
    </row>
    <row r="85" spans="1:5" x14ac:dyDescent="0.25">
      <c r="A85" s="1">
        <v>44796</v>
      </c>
      <c r="B85">
        <v>24</v>
      </c>
      <c r="C85">
        <f>ROUNDDOWN($C$2*(1+VLOOKUP(temperatury4[[#Headers],[hot-dog]],$O$1:$P$4,2,FALSE)*(temperatury4[[#This Row],[temperatura]]-24)/2),0)</f>
        <v>90</v>
      </c>
      <c r="D85">
        <f>ROUNDDOWN($D$2*(1+VLOOKUP(temperatury4[[#Headers],[lody]],$O$1:$P$4,2,FALSE)*(temperatury4[[#This Row],[temperatura]]-24)/2),0)</f>
        <v>120</v>
      </c>
      <c r="E85">
        <f>ROUNDDOWN($E$2*(1+VLOOKUP(temperatury4[[#Headers],[kukurydza]],$O$1:$P$4,2,FALSE)*(temperatury4[[#This Row],[temperatura]]-24)/2),0)</f>
        <v>80</v>
      </c>
    </row>
    <row r="86" spans="1:5" x14ac:dyDescent="0.25">
      <c r="A86" s="1">
        <v>44797</v>
      </c>
      <c r="B86">
        <v>26</v>
      </c>
      <c r="C86">
        <f>ROUNDDOWN($C$2*(1+VLOOKUP(temperatury4[[#Headers],[hot-dog]],$O$1:$P$4,2,FALSE)*(temperatury4[[#This Row],[temperatura]]-24)/2),0)</f>
        <v>96</v>
      </c>
      <c r="D86">
        <f>ROUNDDOWN($D$2*(1+VLOOKUP(temperatury4[[#Headers],[lody]],$O$1:$P$4,2,FALSE)*(temperatury4[[#This Row],[temperatura]]-24)/2),0)</f>
        <v>128</v>
      </c>
      <c r="E86">
        <f>ROUNDDOWN($E$2*(1+VLOOKUP(temperatury4[[#Headers],[kukurydza]],$O$1:$P$4,2,FALSE)*(temperatury4[[#This Row],[temperatura]]-24)/2),0)</f>
        <v>84</v>
      </c>
    </row>
    <row r="87" spans="1:5" x14ac:dyDescent="0.25">
      <c r="A87" s="1">
        <v>44798</v>
      </c>
      <c r="B87">
        <v>28</v>
      </c>
      <c r="C87">
        <f>ROUNDDOWN($C$2*(1+VLOOKUP(temperatury4[[#Headers],[hot-dog]],$O$1:$P$4,2,FALSE)*(temperatury4[[#This Row],[temperatura]]-24)/2),0)</f>
        <v>103</v>
      </c>
      <c r="D87">
        <f>ROUNDDOWN($D$2*(1+VLOOKUP(temperatury4[[#Headers],[lody]],$O$1:$P$4,2,FALSE)*(temperatury4[[#This Row],[temperatura]]-24)/2),0)</f>
        <v>136</v>
      </c>
      <c r="E87">
        <f>ROUNDDOWN($E$2*(1+VLOOKUP(temperatury4[[#Headers],[kukurydza]],$O$1:$P$4,2,FALSE)*(temperatury4[[#This Row],[temperatura]]-24)/2),0)</f>
        <v>89</v>
      </c>
    </row>
    <row r="88" spans="1:5" x14ac:dyDescent="0.25">
      <c r="A88" s="1">
        <v>44799</v>
      </c>
      <c r="B88">
        <v>32</v>
      </c>
      <c r="C88">
        <f>ROUNDDOWN($C$2*(1+VLOOKUP(temperatury4[[#Headers],[hot-dog]],$O$1:$P$4,2,FALSE)*(temperatury4[[#This Row],[temperatura]]-24)/2),0)</f>
        <v>117</v>
      </c>
      <c r="D88">
        <f>ROUNDDOWN($D$2*(1+VLOOKUP(temperatury4[[#Headers],[lody]],$O$1:$P$4,2,FALSE)*(temperatury4[[#This Row],[temperatura]]-24)/2),0)</f>
        <v>153</v>
      </c>
      <c r="E88">
        <f>ROUNDDOWN($E$2*(1+VLOOKUP(temperatury4[[#Headers],[kukurydza]],$O$1:$P$4,2,FALSE)*(temperatury4[[#This Row],[temperatura]]-24)/2),0)</f>
        <v>98</v>
      </c>
    </row>
    <row r="89" spans="1:5" x14ac:dyDescent="0.25">
      <c r="A89" s="1">
        <v>44800</v>
      </c>
      <c r="B89">
        <v>26</v>
      </c>
      <c r="C89">
        <f>ROUNDDOWN($C$2*(1+VLOOKUP(temperatury4[[#Headers],[hot-dog]],$O$1:$P$4,2,FALSE)*(temperatury4[[#This Row],[temperatura]]-24)/2),0)</f>
        <v>96</v>
      </c>
      <c r="D89">
        <f>ROUNDDOWN($D$2*(1+VLOOKUP(temperatury4[[#Headers],[lody]],$O$1:$P$4,2,FALSE)*(temperatury4[[#This Row],[temperatura]]-24)/2),0)</f>
        <v>128</v>
      </c>
      <c r="E89">
        <f>ROUNDDOWN($E$2*(1+VLOOKUP(temperatury4[[#Headers],[kukurydza]],$O$1:$P$4,2,FALSE)*(temperatury4[[#This Row],[temperatura]]-24)/2),0)</f>
        <v>84</v>
      </c>
    </row>
    <row r="90" spans="1:5" x14ac:dyDescent="0.25">
      <c r="A90" s="1">
        <v>44801</v>
      </c>
      <c r="B90">
        <v>32</v>
      </c>
      <c r="C90">
        <f>ROUNDDOWN($C$2*(1+VLOOKUP(temperatury4[[#Headers],[hot-dog]],$O$1:$P$4,2,FALSE)*(temperatury4[[#This Row],[temperatura]]-24)/2),0)</f>
        <v>117</v>
      </c>
      <c r="D90">
        <f>ROUNDDOWN($D$2*(1+VLOOKUP(temperatury4[[#Headers],[lody]],$O$1:$P$4,2,FALSE)*(temperatury4[[#This Row],[temperatura]]-24)/2),0)</f>
        <v>153</v>
      </c>
      <c r="E90">
        <f>ROUNDDOWN($E$2*(1+VLOOKUP(temperatury4[[#Headers],[kukurydza]],$O$1:$P$4,2,FALSE)*(temperatury4[[#This Row],[temperatura]]-24)/2),0)</f>
        <v>98</v>
      </c>
    </row>
    <row r="91" spans="1:5" x14ac:dyDescent="0.25">
      <c r="A91" s="1">
        <v>44802</v>
      </c>
      <c r="B91">
        <v>23</v>
      </c>
      <c r="C91">
        <f>ROUNDDOWN($C$2*(1+VLOOKUP(temperatury4[[#Headers],[hot-dog]],$O$1:$P$4,2,FALSE)*(temperatury4[[#This Row],[temperatura]]-24)/2),0)</f>
        <v>86</v>
      </c>
      <c r="D91">
        <f>ROUNDDOWN($D$2*(1+VLOOKUP(temperatury4[[#Headers],[lody]],$O$1:$P$4,2,FALSE)*(temperatury4[[#This Row],[temperatura]]-24)/2),0)</f>
        <v>115</v>
      </c>
      <c r="E91">
        <f>ROUNDDOWN($E$2*(1+VLOOKUP(temperatury4[[#Headers],[kukurydza]],$O$1:$P$4,2,FALSE)*(temperatury4[[#This Row],[temperatura]]-24)/2),0)</f>
        <v>77</v>
      </c>
    </row>
    <row r="92" spans="1:5" x14ac:dyDescent="0.25">
      <c r="A92" s="1">
        <v>44803</v>
      </c>
      <c r="B92">
        <v>22</v>
      </c>
      <c r="C92">
        <f>ROUNDDOWN($C$2*(1+VLOOKUP(temperatury4[[#Headers],[hot-dog]],$O$1:$P$4,2,FALSE)*(temperatury4[[#This Row],[temperatura]]-24)/2),0)</f>
        <v>83</v>
      </c>
      <c r="D92">
        <f>ROUNDDOWN($D$2*(1+VLOOKUP(temperatury4[[#Headers],[lody]],$O$1:$P$4,2,FALSE)*(temperatury4[[#This Row],[temperatura]]-24)/2),0)</f>
        <v>111</v>
      </c>
      <c r="E92">
        <f>ROUNDDOWN($E$2*(1+VLOOKUP(temperatury4[[#Headers],[kukurydza]],$O$1:$P$4,2,FALSE)*(temperatury4[[#This Row],[temperatura]]-24)/2),0)</f>
        <v>75</v>
      </c>
    </row>
    <row r="93" spans="1:5" x14ac:dyDescent="0.25">
      <c r="A93" s="1">
        <v>44804</v>
      </c>
      <c r="B93">
        <v>25</v>
      </c>
      <c r="C93">
        <f>ROUNDDOWN($C$2*(1+VLOOKUP(temperatury4[[#Headers],[hot-dog]],$O$1:$P$4,2,FALSE)*(temperatury4[[#This Row],[temperatura]]-24)/2),0)</f>
        <v>93</v>
      </c>
      <c r="D93">
        <f>ROUNDDOWN($D$2*(1+VLOOKUP(temperatury4[[#Headers],[lody]],$O$1:$P$4,2,FALSE)*(temperatury4[[#This Row],[temperatura]]-24)/2),0)</f>
        <v>124</v>
      </c>
      <c r="E93">
        <f>ROUNDDOWN($E$2*(1+VLOOKUP(temperatury4[[#Headers],[kukurydza]],$O$1:$P$4,2,FALSE)*(temperatury4[[#This Row],[temperatura]]-24)/2),0)</f>
        <v>82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A69DA-4608-4286-9781-7FEBA756E6DD}">
  <dimension ref="A1:Q93"/>
  <sheetViews>
    <sheetView workbookViewId="0">
      <selection activeCell="L1" sqref="L1:M2"/>
    </sheetView>
  </sheetViews>
  <sheetFormatPr defaultRowHeight="15" x14ac:dyDescent="0.25"/>
  <cols>
    <col min="1" max="1" width="10.140625" bestFit="1" customWidth="1"/>
    <col min="2" max="2" width="14.42578125" bestFit="1" customWidth="1"/>
    <col min="3" max="3" width="10.28515625" bestFit="1" customWidth="1"/>
    <col min="4" max="4" width="7.140625" bestFit="1" customWidth="1"/>
    <col min="5" max="5" width="12.28515625" bestFit="1" customWidth="1"/>
    <col min="6" max="6" width="19.85546875" bestFit="1" customWidth="1"/>
    <col min="7" max="7" width="15.7109375" bestFit="1" customWidth="1"/>
    <col min="8" max="8" width="21.140625" bestFit="1" customWidth="1"/>
    <col min="9" max="9" width="16" bestFit="1" customWidth="1"/>
    <col min="10" max="10" width="14.7109375" bestFit="1" customWidth="1"/>
    <col min="12" max="12" width="11.85546875" bestFit="1" customWidth="1"/>
    <col min="13" max="13" width="10.85546875" bestFit="1" customWidth="1"/>
    <col min="15" max="15" width="15.28515625" bestFit="1" customWidth="1"/>
    <col min="16" max="16" width="28.42578125" bestFit="1" customWidth="1"/>
    <col min="17" max="17" width="15" bestFit="1" customWidth="1"/>
  </cols>
  <sheetData>
    <row r="1" spans="1:17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L1" s="2" t="s">
        <v>0</v>
      </c>
      <c r="M1" s="3">
        <v>44739</v>
      </c>
      <c r="O1" t="s">
        <v>2</v>
      </c>
      <c r="P1" t="s">
        <v>3</v>
      </c>
      <c r="Q1" t="s">
        <v>7</v>
      </c>
    </row>
    <row r="2" spans="1:17" x14ac:dyDescent="0.25">
      <c r="A2" s="1">
        <v>44713</v>
      </c>
      <c r="B2">
        <v>24</v>
      </c>
      <c r="C2">
        <v>90</v>
      </c>
      <c r="D2">
        <v>120</v>
      </c>
      <c r="E2">
        <v>80</v>
      </c>
      <c r="F2">
        <f>temperatury5[[#This Row],[hot-dog]]*VLOOKUP(temperatury5[[#Headers],[hot-dog]],$O$1:$Q$4,3,FALSE)</f>
        <v>630</v>
      </c>
      <c r="G2">
        <f>temperatury5[[#This Row],[lody]]*VLOOKUP(temperatury5[[#Headers],[lody]],$O$1:$Q$4,3,FALSE)</f>
        <v>600</v>
      </c>
      <c r="H2">
        <f>temperatury5[[#This Row],[kukurydza]]*VLOOKUP(temperatury5[[#Headers],[kukurydza]],$O$1:$Q$4,3,FALSE)</f>
        <v>480</v>
      </c>
      <c r="I2">
        <f>SUM(temperatury5[[#This Row],[utarg_za_hot_dogi]:[utarg_za_kukurydze]])</f>
        <v>1710</v>
      </c>
      <c r="J2">
        <f>SUM($I$2:I2)</f>
        <v>1710</v>
      </c>
      <c r="L2" s="2" t="s">
        <v>25</v>
      </c>
      <c r="M2" s="6">
        <v>45358</v>
      </c>
      <c r="O2" t="s">
        <v>4</v>
      </c>
      <c r="P2">
        <f>1/13</f>
        <v>7.6923076923076927E-2</v>
      </c>
      <c r="Q2">
        <v>7</v>
      </c>
    </row>
    <row r="3" spans="1:17" x14ac:dyDescent="0.25">
      <c r="A3" s="1">
        <v>44714</v>
      </c>
      <c r="B3">
        <v>25</v>
      </c>
      <c r="C3">
        <f>ROUNDDOWN($C$2*(1+VLOOKUP(temperatury5[[#Headers],[hot-dog]],$O$1:$P$4,2,FALSE)*(temperatury5[[#This Row],[temperatura]]-24)/2),0)</f>
        <v>93</v>
      </c>
      <c r="D3">
        <f>ROUNDDOWN($D$2*(1+VLOOKUP(temperatury5[[#Headers],[lody]],$O$1:$P$4,2,FALSE)*(temperatury5[[#This Row],[temperatura]]-24)/2),0)</f>
        <v>124</v>
      </c>
      <c r="E3">
        <f>ROUNDDOWN($E$2*(1+VLOOKUP(temperatury5[[#Headers],[kukurydza]],$O$1:$P$4,2,FALSE)*(temperatury5[[#This Row],[temperatura]]-24)/2),0)</f>
        <v>82</v>
      </c>
      <c r="F3">
        <f>temperatury5[[#This Row],[hot-dog]]*VLOOKUP(temperatury5[[#Headers],[hot-dog]],$O$1:$Q$4,3,FALSE)</f>
        <v>651</v>
      </c>
      <c r="G3">
        <f>temperatury5[[#This Row],[lody]]*VLOOKUP(temperatury5[[#Headers],[lody]],$O$1:$Q$4,3,FALSE)</f>
        <v>620</v>
      </c>
      <c r="H3">
        <f>temperatury5[[#This Row],[kukurydza]]*VLOOKUP(temperatury5[[#Headers],[kukurydza]],$O$1:$Q$4,3,FALSE)</f>
        <v>492</v>
      </c>
      <c r="I3">
        <f>SUM(temperatury5[[#This Row],[utarg_za_hot_dogi]:[utarg_za_kukurydze]])</f>
        <v>1763</v>
      </c>
      <c r="J3">
        <f>SUM($I$2:I3)</f>
        <v>3473</v>
      </c>
      <c r="O3" t="s">
        <v>5</v>
      </c>
      <c r="P3">
        <f>2/29</f>
        <v>6.8965517241379309E-2</v>
      </c>
      <c r="Q3">
        <v>5</v>
      </c>
    </row>
    <row r="4" spans="1:17" x14ac:dyDescent="0.25">
      <c r="A4" s="1">
        <v>44715</v>
      </c>
      <c r="B4">
        <v>27</v>
      </c>
      <c r="C4">
        <f>ROUNDDOWN($C$2*(1+VLOOKUP(temperatury5[[#Headers],[hot-dog]],$O$1:$P$4,2,FALSE)*(temperatury5[[#This Row],[temperatura]]-24)/2),0)</f>
        <v>100</v>
      </c>
      <c r="D4">
        <f>ROUNDDOWN($D$2*(1+VLOOKUP(temperatury5[[#Headers],[lody]],$O$1:$P$4,2,FALSE)*(temperatury5[[#This Row],[temperatura]]-24)/2),0)</f>
        <v>132</v>
      </c>
      <c r="E4">
        <f>ROUNDDOWN($E$2*(1+VLOOKUP(temperatury5[[#Headers],[kukurydza]],$O$1:$P$4,2,FALSE)*(temperatury5[[#This Row],[temperatura]]-24)/2),0)</f>
        <v>87</v>
      </c>
      <c r="F4">
        <f>temperatury5[[#This Row],[hot-dog]]*VLOOKUP(temperatury5[[#Headers],[hot-dog]],$O$1:$Q$4,3,FALSE)</f>
        <v>700</v>
      </c>
      <c r="G4">
        <f>temperatury5[[#This Row],[lody]]*VLOOKUP(temperatury5[[#Headers],[lody]],$O$1:$Q$4,3,FALSE)</f>
        <v>660</v>
      </c>
      <c r="H4">
        <f>temperatury5[[#This Row],[kukurydza]]*VLOOKUP(temperatury5[[#Headers],[kukurydza]],$O$1:$Q$4,3,FALSE)</f>
        <v>522</v>
      </c>
      <c r="I4">
        <f>SUM(temperatury5[[#This Row],[utarg_za_hot_dogi]:[utarg_za_kukurydze]])</f>
        <v>1882</v>
      </c>
      <c r="J4">
        <f>SUM($I$2:I4)</f>
        <v>5355</v>
      </c>
      <c r="O4" t="s">
        <v>6</v>
      </c>
      <c r="P4">
        <f>1/17</f>
        <v>5.8823529411764705E-2</v>
      </c>
      <c r="Q4">
        <v>6</v>
      </c>
    </row>
    <row r="5" spans="1:17" x14ac:dyDescent="0.25">
      <c r="A5" s="1">
        <v>44716</v>
      </c>
      <c r="B5">
        <v>27</v>
      </c>
      <c r="C5">
        <f>ROUNDDOWN($C$2*(1+VLOOKUP(temperatury5[[#Headers],[hot-dog]],$O$1:$P$4,2,FALSE)*(temperatury5[[#This Row],[temperatura]]-24)/2),0)</f>
        <v>100</v>
      </c>
      <c r="D5">
        <f>ROUNDDOWN($D$2*(1+VLOOKUP(temperatury5[[#Headers],[lody]],$O$1:$P$4,2,FALSE)*(temperatury5[[#This Row],[temperatura]]-24)/2),0)</f>
        <v>132</v>
      </c>
      <c r="E5">
        <f>ROUNDDOWN($E$2*(1+VLOOKUP(temperatury5[[#Headers],[kukurydza]],$O$1:$P$4,2,FALSE)*(temperatury5[[#This Row],[temperatura]]-24)/2),0)</f>
        <v>87</v>
      </c>
      <c r="F5">
        <f>temperatury5[[#This Row],[hot-dog]]*VLOOKUP(temperatury5[[#Headers],[hot-dog]],$O$1:$Q$4,3,FALSE)</f>
        <v>700</v>
      </c>
      <c r="G5">
        <f>temperatury5[[#This Row],[lody]]*VLOOKUP(temperatury5[[#Headers],[lody]],$O$1:$Q$4,3,FALSE)</f>
        <v>660</v>
      </c>
      <c r="H5">
        <f>temperatury5[[#This Row],[kukurydza]]*VLOOKUP(temperatury5[[#Headers],[kukurydza]],$O$1:$Q$4,3,FALSE)</f>
        <v>522</v>
      </c>
      <c r="I5">
        <f>SUM(temperatury5[[#This Row],[utarg_za_hot_dogi]:[utarg_za_kukurydze]])</f>
        <v>1882</v>
      </c>
      <c r="J5">
        <f>SUM($I$2:I5)</f>
        <v>7237</v>
      </c>
    </row>
    <row r="6" spans="1:17" x14ac:dyDescent="0.25">
      <c r="A6" s="1">
        <v>44717</v>
      </c>
      <c r="B6">
        <v>27</v>
      </c>
      <c r="C6">
        <f>ROUNDDOWN($C$2*(1+VLOOKUP(temperatury5[[#Headers],[hot-dog]],$O$1:$P$4,2,FALSE)*(temperatury5[[#This Row],[temperatura]]-24)/2),0)</f>
        <v>100</v>
      </c>
      <c r="D6">
        <f>ROUNDDOWN($D$2*(1+VLOOKUP(temperatury5[[#Headers],[lody]],$O$1:$P$4,2,FALSE)*(temperatury5[[#This Row],[temperatura]]-24)/2),0)</f>
        <v>132</v>
      </c>
      <c r="E6">
        <f>ROUNDDOWN($E$2*(1+VLOOKUP(temperatury5[[#Headers],[kukurydza]],$O$1:$P$4,2,FALSE)*(temperatury5[[#This Row],[temperatura]]-24)/2),0)</f>
        <v>87</v>
      </c>
      <c r="F6">
        <f>temperatury5[[#This Row],[hot-dog]]*VLOOKUP(temperatury5[[#Headers],[hot-dog]],$O$1:$Q$4,3,FALSE)</f>
        <v>700</v>
      </c>
      <c r="G6">
        <f>temperatury5[[#This Row],[lody]]*VLOOKUP(temperatury5[[#Headers],[lody]],$O$1:$Q$4,3,FALSE)</f>
        <v>660</v>
      </c>
      <c r="H6">
        <f>temperatury5[[#This Row],[kukurydza]]*VLOOKUP(temperatury5[[#Headers],[kukurydza]],$O$1:$Q$4,3,FALSE)</f>
        <v>522</v>
      </c>
      <c r="I6">
        <f>SUM(temperatury5[[#This Row],[utarg_za_hot_dogi]:[utarg_za_kukurydze]])</f>
        <v>1882</v>
      </c>
      <c r="J6">
        <f>SUM($I$2:I6)</f>
        <v>9119</v>
      </c>
    </row>
    <row r="7" spans="1:17" x14ac:dyDescent="0.25">
      <c r="A7" s="1">
        <v>44718</v>
      </c>
      <c r="B7">
        <v>22</v>
      </c>
      <c r="C7">
        <f>ROUNDDOWN($C$2*(1+VLOOKUP(temperatury5[[#Headers],[hot-dog]],$O$1:$P$4,2,FALSE)*(temperatury5[[#This Row],[temperatura]]-24)/2),0)</f>
        <v>83</v>
      </c>
      <c r="D7">
        <f>ROUNDDOWN($D$2*(1+VLOOKUP(temperatury5[[#Headers],[lody]],$O$1:$P$4,2,FALSE)*(temperatury5[[#This Row],[temperatura]]-24)/2),0)</f>
        <v>111</v>
      </c>
      <c r="E7">
        <f>ROUNDDOWN($E$2*(1+VLOOKUP(temperatury5[[#Headers],[kukurydza]],$O$1:$P$4,2,FALSE)*(temperatury5[[#This Row],[temperatura]]-24)/2),0)</f>
        <v>75</v>
      </c>
      <c r="F7">
        <f>temperatury5[[#This Row],[hot-dog]]*VLOOKUP(temperatury5[[#Headers],[hot-dog]],$O$1:$Q$4,3,FALSE)</f>
        <v>581</v>
      </c>
      <c r="G7">
        <f>temperatury5[[#This Row],[lody]]*VLOOKUP(temperatury5[[#Headers],[lody]],$O$1:$Q$4,3,FALSE)</f>
        <v>555</v>
      </c>
      <c r="H7">
        <f>temperatury5[[#This Row],[kukurydza]]*VLOOKUP(temperatury5[[#Headers],[kukurydza]],$O$1:$Q$4,3,FALSE)</f>
        <v>450</v>
      </c>
      <c r="I7">
        <f>SUM(temperatury5[[#This Row],[utarg_za_hot_dogi]:[utarg_za_kukurydze]])</f>
        <v>1586</v>
      </c>
      <c r="J7">
        <f>SUM($I$2:I7)</f>
        <v>10705</v>
      </c>
    </row>
    <row r="8" spans="1:17" x14ac:dyDescent="0.25">
      <c r="A8" s="1">
        <v>44719</v>
      </c>
      <c r="B8">
        <v>25</v>
      </c>
      <c r="C8">
        <f>ROUNDDOWN($C$2*(1+VLOOKUP(temperatury5[[#Headers],[hot-dog]],$O$1:$P$4,2,FALSE)*(temperatury5[[#This Row],[temperatura]]-24)/2),0)</f>
        <v>93</v>
      </c>
      <c r="D8">
        <f>ROUNDDOWN($D$2*(1+VLOOKUP(temperatury5[[#Headers],[lody]],$O$1:$P$4,2,FALSE)*(temperatury5[[#This Row],[temperatura]]-24)/2),0)</f>
        <v>124</v>
      </c>
      <c r="E8">
        <f>ROUNDDOWN($E$2*(1+VLOOKUP(temperatury5[[#Headers],[kukurydza]],$O$1:$P$4,2,FALSE)*(temperatury5[[#This Row],[temperatura]]-24)/2),0)</f>
        <v>82</v>
      </c>
      <c r="F8">
        <f>temperatury5[[#This Row],[hot-dog]]*VLOOKUP(temperatury5[[#Headers],[hot-dog]],$O$1:$Q$4,3,FALSE)</f>
        <v>651</v>
      </c>
      <c r="G8">
        <f>temperatury5[[#This Row],[lody]]*VLOOKUP(temperatury5[[#Headers],[lody]],$O$1:$Q$4,3,FALSE)</f>
        <v>620</v>
      </c>
      <c r="H8">
        <f>temperatury5[[#This Row],[kukurydza]]*VLOOKUP(temperatury5[[#Headers],[kukurydza]],$O$1:$Q$4,3,FALSE)</f>
        <v>492</v>
      </c>
      <c r="I8">
        <f>SUM(temperatury5[[#This Row],[utarg_za_hot_dogi]:[utarg_za_kukurydze]])</f>
        <v>1763</v>
      </c>
      <c r="J8">
        <f>SUM($I$2:I8)</f>
        <v>12468</v>
      </c>
    </row>
    <row r="9" spans="1:17" x14ac:dyDescent="0.25">
      <c r="A9" s="1">
        <v>44720</v>
      </c>
      <c r="B9">
        <v>25</v>
      </c>
      <c r="C9">
        <f>ROUNDDOWN($C$2*(1+VLOOKUP(temperatury5[[#Headers],[hot-dog]],$O$1:$P$4,2,FALSE)*(temperatury5[[#This Row],[temperatura]]-24)/2),0)</f>
        <v>93</v>
      </c>
      <c r="D9">
        <f>ROUNDDOWN($D$2*(1+VLOOKUP(temperatury5[[#Headers],[lody]],$O$1:$P$4,2,FALSE)*(temperatury5[[#This Row],[temperatura]]-24)/2),0)</f>
        <v>124</v>
      </c>
      <c r="E9">
        <f>ROUNDDOWN($E$2*(1+VLOOKUP(temperatury5[[#Headers],[kukurydza]],$O$1:$P$4,2,FALSE)*(temperatury5[[#This Row],[temperatura]]-24)/2),0)</f>
        <v>82</v>
      </c>
      <c r="F9">
        <f>temperatury5[[#This Row],[hot-dog]]*VLOOKUP(temperatury5[[#Headers],[hot-dog]],$O$1:$Q$4,3,FALSE)</f>
        <v>651</v>
      </c>
      <c r="G9">
        <f>temperatury5[[#This Row],[lody]]*VLOOKUP(temperatury5[[#Headers],[lody]],$O$1:$Q$4,3,FALSE)</f>
        <v>620</v>
      </c>
      <c r="H9">
        <f>temperatury5[[#This Row],[kukurydza]]*VLOOKUP(temperatury5[[#Headers],[kukurydza]],$O$1:$Q$4,3,FALSE)</f>
        <v>492</v>
      </c>
      <c r="I9">
        <f>SUM(temperatury5[[#This Row],[utarg_za_hot_dogi]:[utarg_za_kukurydze]])</f>
        <v>1763</v>
      </c>
      <c r="J9">
        <f>SUM($I$2:I9)</f>
        <v>14231</v>
      </c>
    </row>
    <row r="10" spans="1:17" x14ac:dyDescent="0.25">
      <c r="A10" s="1">
        <v>44721</v>
      </c>
      <c r="B10">
        <v>21</v>
      </c>
      <c r="C10">
        <f>ROUNDDOWN($C$2*(1+VLOOKUP(temperatury5[[#Headers],[hot-dog]],$O$1:$P$4,2,FALSE)*(temperatury5[[#This Row],[temperatura]]-24)/2),0)</f>
        <v>79</v>
      </c>
      <c r="D10">
        <f>ROUNDDOWN($D$2*(1+VLOOKUP(temperatury5[[#Headers],[lody]],$O$1:$P$4,2,FALSE)*(temperatury5[[#This Row],[temperatura]]-24)/2),0)</f>
        <v>107</v>
      </c>
      <c r="E10">
        <f>ROUNDDOWN($E$2*(1+VLOOKUP(temperatury5[[#Headers],[kukurydza]],$O$1:$P$4,2,FALSE)*(temperatury5[[#This Row],[temperatura]]-24)/2),0)</f>
        <v>72</v>
      </c>
      <c r="F10">
        <f>temperatury5[[#This Row],[hot-dog]]*VLOOKUP(temperatury5[[#Headers],[hot-dog]],$O$1:$Q$4,3,FALSE)</f>
        <v>553</v>
      </c>
      <c r="G10">
        <f>temperatury5[[#This Row],[lody]]*VLOOKUP(temperatury5[[#Headers],[lody]],$O$1:$Q$4,3,FALSE)</f>
        <v>535</v>
      </c>
      <c r="H10">
        <f>temperatury5[[#This Row],[kukurydza]]*VLOOKUP(temperatury5[[#Headers],[kukurydza]],$O$1:$Q$4,3,FALSE)</f>
        <v>432</v>
      </c>
      <c r="I10">
        <f>SUM(temperatury5[[#This Row],[utarg_za_hot_dogi]:[utarg_za_kukurydze]])</f>
        <v>1520</v>
      </c>
      <c r="J10">
        <f>SUM($I$2:I10)</f>
        <v>15751</v>
      </c>
    </row>
    <row r="11" spans="1:17" x14ac:dyDescent="0.25">
      <c r="A11" s="1">
        <v>44722</v>
      </c>
      <c r="B11">
        <v>21</v>
      </c>
      <c r="C11">
        <f>ROUNDDOWN($C$2*(1+VLOOKUP(temperatury5[[#Headers],[hot-dog]],$O$1:$P$4,2,FALSE)*(temperatury5[[#This Row],[temperatura]]-24)/2),0)</f>
        <v>79</v>
      </c>
      <c r="D11">
        <f>ROUNDDOWN($D$2*(1+VLOOKUP(temperatury5[[#Headers],[lody]],$O$1:$P$4,2,FALSE)*(temperatury5[[#This Row],[temperatura]]-24)/2),0)</f>
        <v>107</v>
      </c>
      <c r="E11">
        <f>ROUNDDOWN($E$2*(1+VLOOKUP(temperatury5[[#Headers],[kukurydza]],$O$1:$P$4,2,FALSE)*(temperatury5[[#This Row],[temperatura]]-24)/2),0)</f>
        <v>72</v>
      </c>
      <c r="F11">
        <f>temperatury5[[#This Row],[hot-dog]]*VLOOKUP(temperatury5[[#Headers],[hot-dog]],$O$1:$Q$4,3,FALSE)</f>
        <v>553</v>
      </c>
      <c r="G11">
        <f>temperatury5[[#This Row],[lody]]*VLOOKUP(temperatury5[[#Headers],[lody]],$O$1:$Q$4,3,FALSE)</f>
        <v>535</v>
      </c>
      <c r="H11">
        <f>temperatury5[[#This Row],[kukurydza]]*VLOOKUP(temperatury5[[#Headers],[kukurydza]],$O$1:$Q$4,3,FALSE)</f>
        <v>432</v>
      </c>
      <c r="I11">
        <f>SUM(temperatury5[[#This Row],[utarg_za_hot_dogi]:[utarg_za_kukurydze]])</f>
        <v>1520</v>
      </c>
      <c r="J11">
        <f>SUM($I$2:I11)</f>
        <v>17271</v>
      </c>
    </row>
    <row r="12" spans="1:17" x14ac:dyDescent="0.25">
      <c r="A12" s="1">
        <v>44723</v>
      </c>
      <c r="B12">
        <v>19</v>
      </c>
      <c r="C12">
        <f>ROUNDDOWN($C$2*(1+VLOOKUP(temperatury5[[#Headers],[hot-dog]],$O$1:$P$4,2,FALSE)*(temperatury5[[#This Row],[temperatura]]-24)/2),0)</f>
        <v>72</v>
      </c>
      <c r="D12">
        <f>ROUNDDOWN($D$2*(1+VLOOKUP(temperatury5[[#Headers],[lody]],$O$1:$P$4,2,FALSE)*(temperatury5[[#This Row],[temperatura]]-24)/2),0)</f>
        <v>99</v>
      </c>
      <c r="E12">
        <f>ROUNDDOWN($E$2*(1+VLOOKUP(temperatury5[[#Headers],[kukurydza]],$O$1:$P$4,2,FALSE)*(temperatury5[[#This Row],[temperatura]]-24)/2),0)</f>
        <v>68</v>
      </c>
      <c r="F12">
        <f>temperatury5[[#This Row],[hot-dog]]*VLOOKUP(temperatury5[[#Headers],[hot-dog]],$O$1:$Q$4,3,FALSE)</f>
        <v>504</v>
      </c>
      <c r="G12">
        <f>temperatury5[[#This Row],[lody]]*VLOOKUP(temperatury5[[#Headers],[lody]],$O$1:$Q$4,3,FALSE)</f>
        <v>495</v>
      </c>
      <c r="H12">
        <f>temperatury5[[#This Row],[kukurydza]]*VLOOKUP(temperatury5[[#Headers],[kukurydza]],$O$1:$Q$4,3,FALSE)</f>
        <v>408</v>
      </c>
      <c r="I12">
        <f>SUM(temperatury5[[#This Row],[utarg_za_hot_dogi]:[utarg_za_kukurydze]])</f>
        <v>1407</v>
      </c>
      <c r="J12">
        <f>SUM($I$2:I12)</f>
        <v>18678</v>
      </c>
    </row>
    <row r="13" spans="1:17" x14ac:dyDescent="0.25">
      <c r="A13" s="1">
        <v>44724</v>
      </c>
      <c r="B13">
        <v>19</v>
      </c>
      <c r="C13">
        <f>ROUNDDOWN($C$2*(1+VLOOKUP(temperatury5[[#Headers],[hot-dog]],$O$1:$P$4,2,FALSE)*(temperatury5[[#This Row],[temperatura]]-24)/2),0)</f>
        <v>72</v>
      </c>
      <c r="D13">
        <f>ROUNDDOWN($D$2*(1+VLOOKUP(temperatury5[[#Headers],[lody]],$O$1:$P$4,2,FALSE)*(temperatury5[[#This Row],[temperatura]]-24)/2),0)</f>
        <v>99</v>
      </c>
      <c r="E13">
        <f>ROUNDDOWN($E$2*(1+VLOOKUP(temperatury5[[#Headers],[kukurydza]],$O$1:$P$4,2,FALSE)*(temperatury5[[#This Row],[temperatura]]-24)/2),0)</f>
        <v>68</v>
      </c>
      <c r="F13">
        <f>temperatury5[[#This Row],[hot-dog]]*VLOOKUP(temperatury5[[#Headers],[hot-dog]],$O$1:$Q$4,3,FALSE)</f>
        <v>504</v>
      </c>
      <c r="G13">
        <f>temperatury5[[#This Row],[lody]]*VLOOKUP(temperatury5[[#Headers],[lody]],$O$1:$Q$4,3,FALSE)</f>
        <v>495</v>
      </c>
      <c r="H13">
        <f>temperatury5[[#This Row],[kukurydza]]*VLOOKUP(temperatury5[[#Headers],[kukurydza]],$O$1:$Q$4,3,FALSE)</f>
        <v>408</v>
      </c>
      <c r="I13">
        <f>SUM(temperatury5[[#This Row],[utarg_za_hot_dogi]:[utarg_za_kukurydze]])</f>
        <v>1407</v>
      </c>
      <c r="J13">
        <f>SUM($I$2:I13)</f>
        <v>20085</v>
      </c>
    </row>
    <row r="14" spans="1:17" x14ac:dyDescent="0.25">
      <c r="A14" s="1">
        <v>44725</v>
      </c>
      <c r="B14">
        <v>15</v>
      </c>
      <c r="C14">
        <f>ROUNDDOWN($C$2*(1+VLOOKUP(temperatury5[[#Headers],[hot-dog]],$O$1:$P$4,2,FALSE)*(temperatury5[[#This Row],[temperatura]]-24)/2),0)</f>
        <v>58</v>
      </c>
      <c r="D14">
        <f>ROUNDDOWN($D$2*(1+VLOOKUP(temperatury5[[#Headers],[lody]],$O$1:$P$4,2,FALSE)*(temperatury5[[#This Row],[temperatura]]-24)/2),0)</f>
        <v>82</v>
      </c>
      <c r="E14">
        <f>ROUNDDOWN($E$2*(1+VLOOKUP(temperatury5[[#Headers],[kukurydza]],$O$1:$P$4,2,FALSE)*(temperatury5[[#This Row],[temperatura]]-24)/2),0)</f>
        <v>58</v>
      </c>
      <c r="F14">
        <f>temperatury5[[#This Row],[hot-dog]]*VLOOKUP(temperatury5[[#Headers],[hot-dog]],$O$1:$Q$4,3,FALSE)</f>
        <v>406</v>
      </c>
      <c r="G14">
        <f>temperatury5[[#This Row],[lody]]*VLOOKUP(temperatury5[[#Headers],[lody]],$O$1:$Q$4,3,FALSE)</f>
        <v>410</v>
      </c>
      <c r="H14">
        <f>temperatury5[[#This Row],[kukurydza]]*VLOOKUP(temperatury5[[#Headers],[kukurydza]],$O$1:$Q$4,3,FALSE)</f>
        <v>348</v>
      </c>
      <c r="I14">
        <f>SUM(temperatury5[[#This Row],[utarg_za_hot_dogi]:[utarg_za_kukurydze]])</f>
        <v>1164</v>
      </c>
      <c r="J14">
        <f>SUM($I$2:I14)</f>
        <v>21249</v>
      </c>
    </row>
    <row r="15" spans="1:17" x14ac:dyDescent="0.25">
      <c r="A15" s="1">
        <v>44726</v>
      </c>
      <c r="B15">
        <v>21</v>
      </c>
      <c r="C15">
        <f>ROUNDDOWN($C$2*(1+VLOOKUP(temperatury5[[#Headers],[hot-dog]],$O$1:$P$4,2,FALSE)*(temperatury5[[#This Row],[temperatura]]-24)/2),0)</f>
        <v>79</v>
      </c>
      <c r="D15">
        <f>ROUNDDOWN($D$2*(1+VLOOKUP(temperatury5[[#Headers],[lody]],$O$1:$P$4,2,FALSE)*(temperatury5[[#This Row],[temperatura]]-24)/2),0)</f>
        <v>107</v>
      </c>
      <c r="E15">
        <f>ROUNDDOWN($E$2*(1+VLOOKUP(temperatury5[[#Headers],[kukurydza]],$O$1:$P$4,2,FALSE)*(temperatury5[[#This Row],[temperatura]]-24)/2),0)</f>
        <v>72</v>
      </c>
      <c r="F15">
        <f>temperatury5[[#This Row],[hot-dog]]*VLOOKUP(temperatury5[[#Headers],[hot-dog]],$O$1:$Q$4,3,FALSE)</f>
        <v>553</v>
      </c>
      <c r="G15">
        <f>temperatury5[[#This Row],[lody]]*VLOOKUP(temperatury5[[#Headers],[lody]],$O$1:$Q$4,3,FALSE)</f>
        <v>535</v>
      </c>
      <c r="H15">
        <f>temperatury5[[#This Row],[kukurydza]]*VLOOKUP(temperatury5[[#Headers],[kukurydza]],$O$1:$Q$4,3,FALSE)</f>
        <v>432</v>
      </c>
      <c r="I15">
        <f>SUM(temperatury5[[#This Row],[utarg_za_hot_dogi]:[utarg_za_kukurydze]])</f>
        <v>1520</v>
      </c>
      <c r="J15">
        <f>SUM($I$2:I15)</f>
        <v>22769</v>
      </c>
    </row>
    <row r="16" spans="1:17" x14ac:dyDescent="0.25">
      <c r="A16" s="1">
        <v>44727</v>
      </c>
      <c r="B16">
        <v>23</v>
      </c>
      <c r="C16">
        <f>ROUNDDOWN($C$2*(1+VLOOKUP(temperatury5[[#Headers],[hot-dog]],$O$1:$P$4,2,FALSE)*(temperatury5[[#This Row],[temperatura]]-24)/2),0)</f>
        <v>86</v>
      </c>
      <c r="D16">
        <f>ROUNDDOWN($D$2*(1+VLOOKUP(temperatury5[[#Headers],[lody]],$O$1:$P$4,2,FALSE)*(temperatury5[[#This Row],[temperatura]]-24)/2),0)</f>
        <v>115</v>
      </c>
      <c r="E16">
        <f>ROUNDDOWN($E$2*(1+VLOOKUP(temperatury5[[#Headers],[kukurydza]],$O$1:$P$4,2,FALSE)*(temperatury5[[#This Row],[temperatura]]-24)/2),0)</f>
        <v>77</v>
      </c>
      <c r="F16">
        <f>temperatury5[[#This Row],[hot-dog]]*VLOOKUP(temperatury5[[#Headers],[hot-dog]],$O$1:$Q$4,3,FALSE)</f>
        <v>602</v>
      </c>
      <c r="G16">
        <f>temperatury5[[#This Row],[lody]]*VLOOKUP(temperatury5[[#Headers],[lody]],$O$1:$Q$4,3,FALSE)</f>
        <v>575</v>
      </c>
      <c r="H16">
        <f>temperatury5[[#This Row],[kukurydza]]*VLOOKUP(temperatury5[[#Headers],[kukurydza]],$O$1:$Q$4,3,FALSE)</f>
        <v>462</v>
      </c>
      <c r="I16">
        <f>SUM(temperatury5[[#This Row],[utarg_za_hot_dogi]:[utarg_za_kukurydze]])</f>
        <v>1639</v>
      </c>
      <c r="J16">
        <f>SUM($I$2:I16)</f>
        <v>24408</v>
      </c>
    </row>
    <row r="17" spans="1:10" x14ac:dyDescent="0.25">
      <c r="A17" s="1">
        <v>44728</v>
      </c>
      <c r="B17">
        <v>23</v>
      </c>
      <c r="C17">
        <f>ROUNDDOWN($C$2*(1+VLOOKUP(temperatury5[[#Headers],[hot-dog]],$O$1:$P$4,2,FALSE)*(temperatury5[[#This Row],[temperatura]]-24)/2),0)</f>
        <v>86</v>
      </c>
      <c r="D17">
        <f>ROUNDDOWN($D$2*(1+VLOOKUP(temperatury5[[#Headers],[lody]],$O$1:$P$4,2,FALSE)*(temperatury5[[#This Row],[temperatura]]-24)/2),0)</f>
        <v>115</v>
      </c>
      <c r="E17">
        <f>ROUNDDOWN($E$2*(1+VLOOKUP(temperatury5[[#Headers],[kukurydza]],$O$1:$P$4,2,FALSE)*(temperatury5[[#This Row],[temperatura]]-24)/2),0)</f>
        <v>77</v>
      </c>
      <c r="F17">
        <f>temperatury5[[#This Row],[hot-dog]]*VLOOKUP(temperatury5[[#Headers],[hot-dog]],$O$1:$Q$4,3,FALSE)</f>
        <v>602</v>
      </c>
      <c r="G17">
        <f>temperatury5[[#This Row],[lody]]*VLOOKUP(temperatury5[[#Headers],[lody]],$O$1:$Q$4,3,FALSE)</f>
        <v>575</v>
      </c>
      <c r="H17">
        <f>temperatury5[[#This Row],[kukurydza]]*VLOOKUP(temperatury5[[#Headers],[kukurydza]],$O$1:$Q$4,3,FALSE)</f>
        <v>462</v>
      </c>
      <c r="I17">
        <f>SUM(temperatury5[[#This Row],[utarg_za_hot_dogi]:[utarg_za_kukurydze]])</f>
        <v>1639</v>
      </c>
      <c r="J17">
        <f>SUM($I$2:I17)</f>
        <v>26047</v>
      </c>
    </row>
    <row r="18" spans="1:10" x14ac:dyDescent="0.25">
      <c r="A18" s="1">
        <v>44729</v>
      </c>
      <c r="B18">
        <v>16</v>
      </c>
      <c r="C18">
        <f>ROUNDDOWN($C$2*(1+VLOOKUP(temperatury5[[#Headers],[hot-dog]],$O$1:$P$4,2,FALSE)*(temperatury5[[#This Row],[temperatura]]-24)/2),0)</f>
        <v>62</v>
      </c>
      <c r="D18">
        <f>ROUNDDOWN($D$2*(1+VLOOKUP(temperatury5[[#Headers],[lody]],$O$1:$P$4,2,FALSE)*(temperatury5[[#This Row],[temperatura]]-24)/2),0)</f>
        <v>86</v>
      </c>
      <c r="E18">
        <f>ROUNDDOWN($E$2*(1+VLOOKUP(temperatury5[[#Headers],[kukurydza]],$O$1:$P$4,2,FALSE)*(temperatury5[[#This Row],[temperatura]]-24)/2),0)</f>
        <v>61</v>
      </c>
      <c r="F18">
        <f>temperatury5[[#This Row],[hot-dog]]*VLOOKUP(temperatury5[[#Headers],[hot-dog]],$O$1:$Q$4,3,FALSE)</f>
        <v>434</v>
      </c>
      <c r="G18">
        <f>temperatury5[[#This Row],[lody]]*VLOOKUP(temperatury5[[#Headers],[lody]],$O$1:$Q$4,3,FALSE)</f>
        <v>430</v>
      </c>
      <c r="H18">
        <f>temperatury5[[#This Row],[kukurydza]]*VLOOKUP(temperatury5[[#Headers],[kukurydza]],$O$1:$Q$4,3,FALSE)</f>
        <v>366</v>
      </c>
      <c r="I18">
        <f>SUM(temperatury5[[#This Row],[utarg_za_hot_dogi]:[utarg_za_kukurydze]])</f>
        <v>1230</v>
      </c>
      <c r="J18">
        <f>SUM($I$2:I18)</f>
        <v>27277</v>
      </c>
    </row>
    <row r="19" spans="1:10" x14ac:dyDescent="0.25">
      <c r="A19" s="1">
        <v>44730</v>
      </c>
      <c r="B19">
        <v>21</v>
      </c>
      <c r="C19">
        <f>ROUNDDOWN($C$2*(1+VLOOKUP(temperatury5[[#Headers],[hot-dog]],$O$1:$P$4,2,FALSE)*(temperatury5[[#This Row],[temperatura]]-24)/2),0)</f>
        <v>79</v>
      </c>
      <c r="D19">
        <f>ROUNDDOWN($D$2*(1+VLOOKUP(temperatury5[[#Headers],[lody]],$O$1:$P$4,2,FALSE)*(temperatury5[[#This Row],[temperatura]]-24)/2),0)</f>
        <v>107</v>
      </c>
      <c r="E19">
        <f>ROUNDDOWN($E$2*(1+VLOOKUP(temperatury5[[#Headers],[kukurydza]],$O$1:$P$4,2,FALSE)*(temperatury5[[#This Row],[temperatura]]-24)/2),0)</f>
        <v>72</v>
      </c>
      <c r="F19">
        <f>temperatury5[[#This Row],[hot-dog]]*VLOOKUP(temperatury5[[#Headers],[hot-dog]],$O$1:$Q$4,3,FALSE)</f>
        <v>553</v>
      </c>
      <c r="G19">
        <f>temperatury5[[#This Row],[lody]]*VLOOKUP(temperatury5[[#Headers],[lody]],$O$1:$Q$4,3,FALSE)</f>
        <v>535</v>
      </c>
      <c r="H19">
        <f>temperatury5[[#This Row],[kukurydza]]*VLOOKUP(temperatury5[[#Headers],[kukurydza]],$O$1:$Q$4,3,FALSE)</f>
        <v>432</v>
      </c>
      <c r="I19">
        <f>SUM(temperatury5[[#This Row],[utarg_za_hot_dogi]:[utarg_za_kukurydze]])</f>
        <v>1520</v>
      </c>
      <c r="J19">
        <f>SUM($I$2:I19)</f>
        <v>28797</v>
      </c>
    </row>
    <row r="20" spans="1:10" x14ac:dyDescent="0.25">
      <c r="A20" s="1">
        <v>44731</v>
      </c>
      <c r="B20">
        <v>22</v>
      </c>
      <c r="C20">
        <f>ROUNDDOWN($C$2*(1+VLOOKUP(temperatury5[[#Headers],[hot-dog]],$O$1:$P$4,2,FALSE)*(temperatury5[[#This Row],[temperatura]]-24)/2),0)</f>
        <v>83</v>
      </c>
      <c r="D20">
        <f>ROUNDDOWN($D$2*(1+VLOOKUP(temperatury5[[#Headers],[lody]],$O$1:$P$4,2,FALSE)*(temperatury5[[#This Row],[temperatura]]-24)/2),0)</f>
        <v>111</v>
      </c>
      <c r="E20">
        <f>ROUNDDOWN($E$2*(1+VLOOKUP(temperatury5[[#Headers],[kukurydza]],$O$1:$P$4,2,FALSE)*(temperatury5[[#This Row],[temperatura]]-24)/2),0)</f>
        <v>75</v>
      </c>
      <c r="F20">
        <f>temperatury5[[#This Row],[hot-dog]]*VLOOKUP(temperatury5[[#Headers],[hot-dog]],$O$1:$Q$4,3,FALSE)</f>
        <v>581</v>
      </c>
      <c r="G20">
        <f>temperatury5[[#This Row],[lody]]*VLOOKUP(temperatury5[[#Headers],[lody]],$O$1:$Q$4,3,FALSE)</f>
        <v>555</v>
      </c>
      <c r="H20">
        <f>temperatury5[[#This Row],[kukurydza]]*VLOOKUP(temperatury5[[#Headers],[kukurydza]],$O$1:$Q$4,3,FALSE)</f>
        <v>450</v>
      </c>
      <c r="I20">
        <f>SUM(temperatury5[[#This Row],[utarg_za_hot_dogi]:[utarg_za_kukurydze]])</f>
        <v>1586</v>
      </c>
      <c r="J20">
        <f>SUM($I$2:I20)</f>
        <v>30383</v>
      </c>
    </row>
    <row r="21" spans="1:10" x14ac:dyDescent="0.25">
      <c r="A21" s="1">
        <v>44732</v>
      </c>
      <c r="B21">
        <v>22</v>
      </c>
      <c r="C21">
        <f>ROUNDDOWN($C$2*(1+VLOOKUP(temperatury5[[#Headers],[hot-dog]],$O$1:$P$4,2,FALSE)*(temperatury5[[#This Row],[temperatura]]-24)/2),0)</f>
        <v>83</v>
      </c>
      <c r="D21">
        <f>ROUNDDOWN($D$2*(1+VLOOKUP(temperatury5[[#Headers],[lody]],$O$1:$P$4,2,FALSE)*(temperatury5[[#This Row],[temperatura]]-24)/2),0)</f>
        <v>111</v>
      </c>
      <c r="E21">
        <f>ROUNDDOWN($E$2*(1+VLOOKUP(temperatury5[[#Headers],[kukurydza]],$O$1:$P$4,2,FALSE)*(temperatury5[[#This Row],[temperatura]]-24)/2),0)</f>
        <v>75</v>
      </c>
      <c r="F21">
        <f>temperatury5[[#This Row],[hot-dog]]*VLOOKUP(temperatury5[[#Headers],[hot-dog]],$O$1:$Q$4,3,FALSE)</f>
        <v>581</v>
      </c>
      <c r="G21">
        <f>temperatury5[[#This Row],[lody]]*VLOOKUP(temperatury5[[#Headers],[lody]],$O$1:$Q$4,3,FALSE)</f>
        <v>555</v>
      </c>
      <c r="H21">
        <f>temperatury5[[#This Row],[kukurydza]]*VLOOKUP(temperatury5[[#Headers],[kukurydza]],$O$1:$Q$4,3,FALSE)</f>
        <v>450</v>
      </c>
      <c r="I21">
        <f>SUM(temperatury5[[#This Row],[utarg_za_hot_dogi]:[utarg_za_kukurydze]])</f>
        <v>1586</v>
      </c>
      <c r="J21">
        <f>SUM($I$2:I21)</f>
        <v>31969</v>
      </c>
    </row>
    <row r="22" spans="1:10" x14ac:dyDescent="0.25">
      <c r="A22" s="1">
        <v>44733</v>
      </c>
      <c r="B22">
        <v>22</v>
      </c>
      <c r="C22">
        <f>ROUNDDOWN($C$2*(1+VLOOKUP(temperatury5[[#Headers],[hot-dog]],$O$1:$P$4,2,FALSE)*(temperatury5[[#This Row],[temperatura]]-24)/2),0)</f>
        <v>83</v>
      </c>
      <c r="D22">
        <f>ROUNDDOWN($D$2*(1+VLOOKUP(temperatury5[[#Headers],[lody]],$O$1:$P$4,2,FALSE)*(temperatury5[[#This Row],[temperatura]]-24)/2),0)</f>
        <v>111</v>
      </c>
      <c r="E22">
        <f>ROUNDDOWN($E$2*(1+VLOOKUP(temperatury5[[#Headers],[kukurydza]],$O$1:$P$4,2,FALSE)*(temperatury5[[#This Row],[temperatura]]-24)/2),0)</f>
        <v>75</v>
      </c>
      <c r="F22">
        <f>temperatury5[[#This Row],[hot-dog]]*VLOOKUP(temperatury5[[#Headers],[hot-dog]],$O$1:$Q$4,3,FALSE)</f>
        <v>581</v>
      </c>
      <c r="G22">
        <f>temperatury5[[#This Row],[lody]]*VLOOKUP(temperatury5[[#Headers],[lody]],$O$1:$Q$4,3,FALSE)</f>
        <v>555</v>
      </c>
      <c r="H22">
        <f>temperatury5[[#This Row],[kukurydza]]*VLOOKUP(temperatury5[[#Headers],[kukurydza]],$O$1:$Q$4,3,FALSE)</f>
        <v>450</v>
      </c>
      <c r="I22">
        <f>SUM(temperatury5[[#This Row],[utarg_za_hot_dogi]:[utarg_za_kukurydze]])</f>
        <v>1586</v>
      </c>
      <c r="J22">
        <f>SUM($I$2:I22)</f>
        <v>33555</v>
      </c>
    </row>
    <row r="23" spans="1:10" x14ac:dyDescent="0.25">
      <c r="A23" s="1">
        <v>44734</v>
      </c>
      <c r="B23">
        <v>28</v>
      </c>
      <c r="C23">
        <f>ROUNDDOWN($C$2*(1+VLOOKUP(temperatury5[[#Headers],[hot-dog]],$O$1:$P$4,2,FALSE)*(temperatury5[[#This Row],[temperatura]]-24)/2),0)</f>
        <v>103</v>
      </c>
      <c r="D23">
        <f>ROUNDDOWN($D$2*(1+VLOOKUP(temperatury5[[#Headers],[lody]],$O$1:$P$4,2,FALSE)*(temperatury5[[#This Row],[temperatura]]-24)/2),0)</f>
        <v>136</v>
      </c>
      <c r="E23">
        <f>ROUNDDOWN($E$2*(1+VLOOKUP(temperatury5[[#Headers],[kukurydza]],$O$1:$P$4,2,FALSE)*(temperatury5[[#This Row],[temperatura]]-24)/2),0)</f>
        <v>89</v>
      </c>
      <c r="F23">
        <f>temperatury5[[#This Row],[hot-dog]]*VLOOKUP(temperatury5[[#Headers],[hot-dog]],$O$1:$Q$4,3,FALSE)</f>
        <v>721</v>
      </c>
      <c r="G23">
        <f>temperatury5[[#This Row],[lody]]*VLOOKUP(temperatury5[[#Headers],[lody]],$O$1:$Q$4,3,FALSE)</f>
        <v>680</v>
      </c>
      <c r="H23">
        <f>temperatury5[[#This Row],[kukurydza]]*VLOOKUP(temperatury5[[#Headers],[kukurydza]],$O$1:$Q$4,3,FALSE)</f>
        <v>534</v>
      </c>
      <c r="I23">
        <f>SUM(temperatury5[[#This Row],[utarg_za_hot_dogi]:[utarg_za_kukurydze]])</f>
        <v>1935</v>
      </c>
      <c r="J23">
        <f>SUM($I$2:I23)</f>
        <v>35490</v>
      </c>
    </row>
    <row r="24" spans="1:10" x14ac:dyDescent="0.25">
      <c r="A24" s="1">
        <v>44735</v>
      </c>
      <c r="B24">
        <v>31</v>
      </c>
      <c r="C24">
        <f>ROUNDDOWN($C$2*(1+VLOOKUP(temperatury5[[#Headers],[hot-dog]],$O$1:$P$4,2,FALSE)*(temperatury5[[#This Row],[temperatura]]-24)/2),0)</f>
        <v>114</v>
      </c>
      <c r="D24">
        <f>ROUNDDOWN($D$2*(1+VLOOKUP(temperatury5[[#Headers],[lody]],$O$1:$P$4,2,FALSE)*(temperatury5[[#This Row],[temperatura]]-24)/2),0)</f>
        <v>148</v>
      </c>
      <c r="E24">
        <f>ROUNDDOWN($E$2*(1+VLOOKUP(temperatury5[[#Headers],[kukurydza]],$O$1:$P$4,2,FALSE)*(temperatury5[[#This Row],[temperatura]]-24)/2),0)</f>
        <v>96</v>
      </c>
      <c r="F24">
        <f>temperatury5[[#This Row],[hot-dog]]*VLOOKUP(temperatury5[[#Headers],[hot-dog]],$O$1:$Q$4,3,FALSE)</f>
        <v>798</v>
      </c>
      <c r="G24">
        <f>temperatury5[[#This Row],[lody]]*VLOOKUP(temperatury5[[#Headers],[lody]],$O$1:$Q$4,3,FALSE)</f>
        <v>740</v>
      </c>
      <c r="H24">
        <f>temperatury5[[#This Row],[kukurydza]]*VLOOKUP(temperatury5[[#Headers],[kukurydza]],$O$1:$Q$4,3,FALSE)</f>
        <v>576</v>
      </c>
      <c r="I24">
        <f>SUM(temperatury5[[#This Row],[utarg_za_hot_dogi]:[utarg_za_kukurydze]])</f>
        <v>2114</v>
      </c>
      <c r="J24">
        <f>SUM($I$2:I24)</f>
        <v>37604</v>
      </c>
    </row>
    <row r="25" spans="1:10" x14ac:dyDescent="0.25">
      <c r="A25" s="1">
        <v>44736</v>
      </c>
      <c r="B25">
        <v>33</v>
      </c>
      <c r="C25">
        <f>ROUNDDOWN($C$2*(1+VLOOKUP(temperatury5[[#Headers],[hot-dog]],$O$1:$P$4,2,FALSE)*(temperatury5[[#This Row],[temperatura]]-24)/2),0)</f>
        <v>121</v>
      </c>
      <c r="D25">
        <f>ROUNDDOWN($D$2*(1+VLOOKUP(temperatury5[[#Headers],[lody]],$O$1:$P$4,2,FALSE)*(temperatury5[[#This Row],[temperatura]]-24)/2),0)</f>
        <v>157</v>
      </c>
      <c r="E25">
        <f>ROUNDDOWN($E$2*(1+VLOOKUP(temperatury5[[#Headers],[kukurydza]],$O$1:$P$4,2,FALSE)*(temperatury5[[#This Row],[temperatura]]-24)/2),0)</f>
        <v>101</v>
      </c>
      <c r="F25">
        <f>temperatury5[[#This Row],[hot-dog]]*VLOOKUP(temperatury5[[#Headers],[hot-dog]],$O$1:$Q$4,3,FALSE)</f>
        <v>847</v>
      </c>
      <c r="G25">
        <f>temperatury5[[#This Row],[lody]]*VLOOKUP(temperatury5[[#Headers],[lody]],$O$1:$Q$4,3,FALSE)</f>
        <v>785</v>
      </c>
      <c r="H25">
        <f>temperatury5[[#This Row],[kukurydza]]*VLOOKUP(temperatury5[[#Headers],[kukurydza]],$O$1:$Q$4,3,FALSE)</f>
        <v>606</v>
      </c>
      <c r="I25">
        <f>SUM(temperatury5[[#This Row],[utarg_za_hot_dogi]:[utarg_za_kukurydze]])</f>
        <v>2238</v>
      </c>
      <c r="J25">
        <f>SUM($I$2:I25)</f>
        <v>39842</v>
      </c>
    </row>
    <row r="26" spans="1:10" x14ac:dyDescent="0.25">
      <c r="A26" s="1">
        <v>44737</v>
      </c>
      <c r="B26">
        <v>33</v>
      </c>
      <c r="C26">
        <f>ROUNDDOWN($C$2*(1+VLOOKUP(temperatury5[[#Headers],[hot-dog]],$O$1:$P$4,2,FALSE)*(temperatury5[[#This Row],[temperatura]]-24)/2),0)</f>
        <v>121</v>
      </c>
      <c r="D26">
        <f>ROUNDDOWN($D$2*(1+VLOOKUP(temperatury5[[#Headers],[lody]],$O$1:$P$4,2,FALSE)*(temperatury5[[#This Row],[temperatura]]-24)/2),0)</f>
        <v>157</v>
      </c>
      <c r="E26">
        <f>ROUNDDOWN($E$2*(1+VLOOKUP(temperatury5[[#Headers],[kukurydza]],$O$1:$P$4,2,FALSE)*(temperatury5[[#This Row],[temperatura]]-24)/2),0)</f>
        <v>101</v>
      </c>
      <c r="F26">
        <f>temperatury5[[#This Row],[hot-dog]]*VLOOKUP(temperatury5[[#Headers],[hot-dog]],$O$1:$Q$4,3,FALSE)</f>
        <v>847</v>
      </c>
      <c r="G26">
        <f>temperatury5[[#This Row],[lody]]*VLOOKUP(temperatury5[[#Headers],[lody]],$O$1:$Q$4,3,FALSE)</f>
        <v>785</v>
      </c>
      <c r="H26">
        <f>temperatury5[[#This Row],[kukurydza]]*VLOOKUP(temperatury5[[#Headers],[kukurydza]],$O$1:$Q$4,3,FALSE)</f>
        <v>606</v>
      </c>
      <c r="I26">
        <f>SUM(temperatury5[[#This Row],[utarg_za_hot_dogi]:[utarg_za_kukurydze]])</f>
        <v>2238</v>
      </c>
      <c r="J26">
        <f>SUM($I$2:I26)</f>
        <v>42080</v>
      </c>
    </row>
    <row r="27" spans="1:10" x14ac:dyDescent="0.25">
      <c r="A27" s="1">
        <v>44738</v>
      </c>
      <c r="B27">
        <v>23</v>
      </c>
      <c r="C27">
        <f>ROUNDDOWN($C$2*(1+VLOOKUP(temperatury5[[#Headers],[hot-dog]],$O$1:$P$4,2,FALSE)*(temperatury5[[#This Row],[temperatura]]-24)/2),0)</f>
        <v>86</v>
      </c>
      <c r="D27">
        <f>ROUNDDOWN($D$2*(1+VLOOKUP(temperatury5[[#Headers],[lody]],$O$1:$P$4,2,FALSE)*(temperatury5[[#This Row],[temperatura]]-24)/2),0)</f>
        <v>115</v>
      </c>
      <c r="E27">
        <f>ROUNDDOWN($E$2*(1+VLOOKUP(temperatury5[[#Headers],[kukurydza]],$O$1:$P$4,2,FALSE)*(temperatury5[[#This Row],[temperatura]]-24)/2),0)</f>
        <v>77</v>
      </c>
      <c r="F27">
        <f>temperatury5[[#This Row],[hot-dog]]*VLOOKUP(temperatury5[[#Headers],[hot-dog]],$O$1:$Q$4,3,FALSE)</f>
        <v>602</v>
      </c>
      <c r="G27">
        <f>temperatury5[[#This Row],[lody]]*VLOOKUP(temperatury5[[#Headers],[lody]],$O$1:$Q$4,3,FALSE)</f>
        <v>575</v>
      </c>
      <c r="H27">
        <f>temperatury5[[#This Row],[kukurydza]]*VLOOKUP(temperatury5[[#Headers],[kukurydza]],$O$1:$Q$4,3,FALSE)</f>
        <v>462</v>
      </c>
      <c r="I27">
        <f>SUM(temperatury5[[#This Row],[utarg_za_hot_dogi]:[utarg_za_kukurydze]])</f>
        <v>1639</v>
      </c>
      <c r="J27">
        <f>SUM($I$2:I27)</f>
        <v>43719</v>
      </c>
    </row>
    <row r="28" spans="1:10" x14ac:dyDescent="0.25">
      <c r="A28" s="1">
        <v>44739</v>
      </c>
      <c r="B28">
        <v>23</v>
      </c>
      <c r="C28">
        <f>ROUNDDOWN($C$2*(1+VLOOKUP(temperatury5[[#Headers],[hot-dog]],$O$1:$P$4,2,FALSE)*(temperatury5[[#This Row],[temperatura]]-24)/2),0)</f>
        <v>86</v>
      </c>
      <c r="D28">
        <f>ROUNDDOWN($D$2*(1+VLOOKUP(temperatury5[[#Headers],[lody]],$O$1:$P$4,2,FALSE)*(temperatury5[[#This Row],[temperatura]]-24)/2),0)</f>
        <v>115</v>
      </c>
      <c r="E28">
        <f>ROUNDDOWN($E$2*(1+VLOOKUP(temperatury5[[#Headers],[kukurydza]],$O$1:$P$4,2,FALSE)*(temperatury5[[#This Row],[temperatura]]-24)/2),0)</f>
        <v>77</v>
      </c>
      <c r="F28">
        <f>temperatury5[[#This Row],[hot-dog]]*VLOOKUP(temperatury5[[#Headers],[hot-dog]],$O$1:$Q$4,3,FALSE)</f>
        <v>602</v>
      </c>
      <c r="G28">
        <f>temperatury5[[#This Row],[lody]]*VLOOKUP(temperatury5[[#Headers],[lody]],$O$1:$Q$4,3,FALSE)</f>
        <v>575</v>
      </c>
      <c r="H28">
        <f>temperatury5[[#This Row],[kukurydza]]*VLOOKUP(temperatury5[[#Headers],[kukurydza]],$O$1:$Q$4,3,FALSE)</f>
        <v>462</v>
      </c>
      <c r="I28">
        <f>SUM(temperatury5[[#This Row],[utarg_za_hot_dogi]:[utarg_za_kukurydze]])</f>
        <v>1639</v>
      </c>
      <c r="J28">
        <f>SUM($I$2:I28)</f>
        <v>45358</v>
      </c>
    </row>
    <row r="29" spans="1:10" x14ac:dyDescent="0.25">
      <c r="A29" s="1">
        <v>44740</v>
      </c>
      <c r="B29">
        <v>19</v>
      </c>
      <c r="C29">
        <f>ROUNDDOWN($C$2*(1+VLOOKUP(temperatury5[[#Headers],[hot-dog]],$O$1:$P$4,2,FALSE)*(temperatury5[[#This Row],[temperatura]]-24)/2),0)</f>
        <v>72</v>
      </c>
      <c r="D29">
        <f>ROUNDDOWN($D$2*(1+VLOOKUP(temperatury5[[#Headers],[lody]],$O$1:$P$4,2,FALSE)*(temperatury5[[#This Row],[temperatura]]-24)/2),0)</f>
        <v>99</v>
      </c>
      <c r="E29">
        <f>ROUNDDOWN($E$2*(1+VLOOKUP(temperatury5[[#Headers],[kukurydza]],$O$1:$P$4,2,FALSE)*(temperatury5[[#This Row],[temperatura]]-24)/2),0)</f>
        <v>68</v>
      </c>
      <c r="F29">
        <f>temperatury5[[#This Row],[hot-dog]]*VLOOKUP(temperatury5[[#Headers],[hot-dog]],$O$1:$Q$4,3,FALSE)</f>
        <v>504</v>
      </c>
      <c r="G29">
        <f>temperatury5[[#This Row],[lody]]*VLOOKUP(temperatury5[[#Headers],[lody]],$O$1:$Q$4,3,FALSE)</f>
        <v>495</v>
      </c>
      <c r="H29">
        <f>temperatury5[[#This Row],[kukurydza]]*VLOOKUP(temperatury5[[#Headers],[kukurydza]],$O$1:$Q$4,3,FALSE)</f>
        <v>408</v>
      </c>
      <c r="I29">
        <f>SUM(temperatury5[[#This Row],[utarg_za_hot_dogi]:[utarg_za_kukurydze]])</f>
        <v>1407</v>
      </c>
      <c r="J29">
        <f>SUM($I$2:I29)</f>
        <v>46765</v>
      </c>
    </row>
    <row r="30" spans="1:10" x14ac:dyDescent="0.25">
      <c r="A30" s="1">
        <v>44741</v>
      </c>
      <c r="B30">
        <v>24</v>
      </c>
      <c r="C30">
        <f>ROUNDDOWN($C$2*(1+VLOOKUP(temperatury5[[#Headers],[hot-dog]],$O$1:$P$4,2,FALSE)*(temperatury5[[#This Row],[temperatura]]-24)/2),0)</f>
        <v>90</v>
      </c>
      <c r="D30">
        <f>ROUNDDOWN($D$2*(1+VLOOKUP(temperatury5[[#Headers],[lody]],$O$1:$P$4,2,FALSE)*(temperatury5[[#This Row],[temperatura]]-24)/2),0)</f>
        <v>120</v>
      </c>
      <c r="E30">
        <f>ROUNDDOWN($E$2*(1+VLOOKUP(temperatury5[[#Headers],[kukurydza]],$O$1:$P$4,2,FALSE)*(temperatury5[[#This Row],[temperatura]]-24)/2),0)</f>
        <v>80</v>
      </c>
      <c r="F30">
        <f>temperatury5[[#This Row],[hot-dog]]*VLOOKUP(temperatury5[[#Headers],[hot-dog]],$O$1:$Q$4,3,FALSE)</f>
        <v>630</v>
      </c>
      <c r="G30">
        <f>temperatury5[[#This Row],[lody]]*VLOOKUP(temperatury5[[#Headers],[lody]],$O$1:$Q$4,3,FALSE)</f>
        <v>600</v>
      </c>
      <c r="H30">
        <f>temperatury5[[#This Row],[kukurydza]]*VLOOKUP(temperatury5[[#Headers],[kukurydza]],$O$1:$Q$4,3,FALSE)</f>
        <v>480</v>
      </c>
      <c r="I30">
        <f>SUM(temperatury5[[#This Row],[utarg_za_hot_dogi]:[utarg_za_kukurydze]])</f>
        <v>1710</v>
      </c>
      <c r="J30">
        <f>SUM($I$2:I30)</f>
        <v>48475</v>
      </c>
    </row>
    <row r="31" spans="1:10" x14ac:dyDescent="0.25">
      <c r="A31" s="1">
        <v>44742</v>
      </c>
      <c r="B31">
        <v>25</v>
      </c>
      <c r="C31">
        <f>ROUNDDOWN($C$2*(1+VLOOKUP(temperatury5[[#Headers],[hot-dog]],$O$1:$P$4,2,FALSE)*(temperatury5[[#This Row],[temperatura]]-24)/2),0)</f>
        <v>93</v>
      </c>
      <c r="D31">
        <f>ROUNDDOWN($D$2*(1+VLOOKUP(temperatury5[[#Headers],[lody]],$O$1:$P$4,2,FALSE)*(temperatury5[[#This Row],[temperatura]]-24)/2),0)</f>
        <v>124</v>
      </c>
      <c r="E31">
        <f>ROUNDDOWN($E$2*(1+VLOOKUP(temperatury5[[#Headers],[kukurydza]],$O$1:$P$4,2,FALSE)*(temperatury5[[#This Row],[temperatura]]-24)/2),0)</f>
        <v>82</v>
      </c>
      <c r="F31">
        <f>temperatury5[[#This Row],[hot-dog]]*VLOOKUP(temperatury5[[#Headers],[hot-dog]],$O$1:$Q$4,3,FALSE)</f>
        <v>651</v>
      </c>
      <c r="G31">
        <f>temperatury5[[#This Row],[lody]]*VLOOKUP(temperatury5[[#Headers],[lody]],$O$1:$Q$4,3,FALSE)</f>
        <v>620</v>
      </c>
      <c r="H31">
        <f>temperatury5[[#This Row],[kukurydza]]*VLOOKUP(temperatury5[[#Headers],[kukurydza]],$O$1:$Q$4,3,FALSE)</f>
        <v>492</v>
      </c>
      <c r="I31">
        <f>SUM(temperatury5[[#This Row],[utarg_za_hot_dogi]:[utarg_za_kukurydze]])</f>
        <v>1763</v>
      </c>
      <c r="J31">
        <f>SUM($I$2:I31)</f>
        <v>50238</v>
      </c>
    </row>
    <row r="32" spans="1:10" x14ac:dyDescent="0.25">
      <c r="A32" s="1">
        <v>44743</v>
      </c>
      <c r="B32">
        <v>27</v>
      </c>
      <c r="C32">
        <f>ROUNDDOWN($C$2*(1+VLOOKUP(temperatury5[[#Headers],[hot-dog]],$O$1:$P$4,2,FALSE)*(temperatury5[[#This Row],[temperatura]]-24)/2),0)</f>
        <v>100</v>
      </c>
      <c r="D32">
        <f>ROUNDDOWN($D$2*(1+VLOOKUP(temperatury5[[#Headers],[lody]],$O$1:$P$4,2,FALSE)*(temperatury5[[#This Row],[temperatura]]-24)/2),0)</f>
        <v>132</v>
      </c>
      <c r="E32">
        <f>ROUNDDOWN($E$2*(1+VLOOKUP(temperatury5[[#Headers],[kukurydza]],$O$1:$P$4,2,FALSE)*(temperatury5[[#This Row],[temperatura]]-24)/2),0)</f>
        <v>87</v>
      </c>
      <c r="F32">
        <f>temperatury5[[#This Row],[hot-dog]]*VLOOKUP(temperatury5[[#Headers],[hot-dog]],$O$1:$Q$4,3,FALSE)</f>
        <v>700</v>
      </c>
      <c r="G32">
        <f>temperatury5[[#This Row],[lody]]*VLOOKUP(temperatury5[[#Headers],[lody]],$O$1:$Q$4,3,FALSE)</f>
        <v>660</v>
      </c>
      <c r="H32">
        <f>temperatury5[[#This Row],[kukurydza]]*VLOOKUP(temperatury5[[#Headers],[kukurydza]],$O$1:$Q$4,3,FALSE)</f>
        <v>522</v>
      </c>
      <c r="I32">
        <f>SUM(temperatury5[[#This Row],[utarg_za_hot_dogi]:[utarg_za_kukurydze]])</f>
        <v>1882</v>
      </c>
      <c r="J32">
        <f>SUM($I$2:I32)</f>
        <v>52120</v>
      </c>
    </row>
    <row r="33" spans="1:10" x14ac:dyDescent="0.25">
      <c r="A33" s="1">
        <v>44744</v>
      </c>
      <c r="B33">
        <v>27</v>
      </c>
      <c r="C33">
        <f>ROUNDDOWN($C$2*(1+VLOOKUP(temperatury5[[#Headers],[hot-dog]],$O$1:$P$4,2,FALSE)*(temperatury5[[#This Row],[temperatura]]-24)/2),0)</f>
        <v>100</v>
      </c>
      <c r="D33">
        <f>ROUNDDOWN($D$2*(1+VLOOKUP(temperatury5[[#Headers],[lody]],$O$1:$P$4,2,FALSE)*(temperatury5[[#This Row],[temperatura]]-24)/2),0)</f>
        <v>132</v>
      </c>
      <c r="E33">
        <f>ROUNDDOWN($E$2*(1+VLOOKUP(temperatury5[[#Headers],[kukurydza]],$O$1:$P$4,2,FALSE)*(temperatury5[[#This Row],[temperatura]]-24)/2),0)</f>
        <v>87</v>
      </c>
      <c r="F33">
        <f>temperatury5[[#This Row],[hot-dog]]*VLOOKUP(temperatury5[[#Headers],[hot-dog]],$O$1:$Q$4,3,FALSE)</f>
        <v>700</v>
      </c>
      <c r="G33">
        <f>temperatury5[[#This Row],[lody]]*VLOOKUP(temperatury5[[#Headers],[lody]],$O$1:$Q$4,3,FALSE)</f>
        <v>660</v>
      </c>
      <c r="H33">
        <f>temperatury5[[#This Row],[kukurydza]]*VLOOKUP(temperatury5[[#Headers],[kukurydza]],$O$1:$Q$4,3,FALSE)</f>
        <v>522</v>
      </c>
      <c r="I33">
        <f>SUM(temperatury5[[#This Row],[utarg_za_hot_dogi]:[utarg_za_kukurydze]])</f>
        <v>1882</v>
      </c>
      <c r="J33">
        <f>SUM($I$2:I33)</f>
        <v>54002</v>
      </c>
    </row>
    <row r="34" spans="1:10" x14ac:dyDescent="0.25">
      <c r="A34" s="1">
        <v>44745</v>
      </c>
      <c r="B34">
        <v>21</v>
      </c>
      <c r="C34">
        <f>ROUNDDOWN($C$2*(1+VLOOKUP(temperatury5[[#Headers],[hot-dog]],$O$1:$P$4,2,FALSE)*(temperatury5[[#This Row],[temperatura]]-24)/2),0)</f>
        <v>79</v>
      </c>
      <c r="D34">
        <f>ROUNDDOWN($D$2*(1+VLOOKUP(temperatury5[[#Headers],[lody]],$O$1:$P$4,2,FALSE)*(temperatury5[[#This Row],[temperatura]]-24)/2),0)</f>
        <v>107</v>
      </c>
      <c r="E34">
        <f>ROUNDDOWN($E$2*(1+VLOOKUP(temperatury5[[#Headers],[kukurydza]],$O$1:$P$4,2,FALSE)*(temperatury5[[#This Row],[temperatura]]-24)/2),0)</f>
        <v>72</v>
      </c>
      <c r="F34">
        <f>temperatury5[[#This Row],[hot-dog]]*VLOOKUP(temperatury5[[#Headers],[hot-dog]],$O$1:$Q$4,3,FALSE)</f>
        <v>553</v>
      </c>
      <c r="G34">
        <f>temperatury5[[#This Row],[lody]]*VLOOKUP(temperatury5[[#Headers],[lody]],$O$1:$Q$4,3,FALSE)</f>
        <v>535</v>
      </c>
      <c r="H34">
        <f>temperatury5[[#This Row],[kukurydza]]*VLOOKUP(temperatury5[[#Headers],[kukurydza]],$O$1:$Q$4,3,FALSE)</f>
        <v>432</v>
      </c>
      <c r="I34">
        <f>SUM(temperatury5[[#This Row],[utarg_za_hot_dogi]:[utarg_za_kukurydze]])</f>
        <v>1520</v>
      </c>
      <c r="J34">
        <f>SUM($I$2:I34)</f>
        <v>55522</v>
      </c>
    </row>
    <row r="35" spans="1:10" x14ac:dyDescent="0.25">
      <c r="A35" s="1">
        <v>44746</v>
      </c>
      <c r="B35">
        <v>21</v>
      </c>
      <c r="C35">
        <f>ROUNDDOWN($C$2*(1+VLOOKUP(temperatury5[[#Headers],[hot-dog]],$O$1:$P$4,2,FALSE)*(temperatury5[[#This Row],[temperatura]]-24)/2),0)</f>
        <v>79</v>
      </c>
      <c r="D35">
        <f>ROUNDDOWN($D$2*(1+VLOOKUP(temperatury5[[#Headers],[lody]],$O$1:$P$4,2,FALSE)*(temperatury5[[#This Row],[temperatura]]-24)/2),0)</f>
        <v>107</v>
      </c>
      <c r="E35">
        <f>ROUNDDOWN($E$2*(1+VLOOKUP(temperatury5[[#Headers],[kukurydza]],$O$1:$P$4,2,FALSE)*(temperatury5[[#This Row],[temperatura]]-24)/2),0)</f>
        <v>72</v>
      </c>
      <c r="F35">
        <f>temperatury5[[#This Row],[hot-dog]]*VLOOKUP(temperatury5[[#Headers],[hot-dog]],$O$1:$Q$4,3,FALSE)</f>
        <v>553</v>
      </c>
      <c r="G35">
        <f>temperatury5[[#This Row],[lody]]*VLOOKUP(temperatury5[[#Headers],[lody]],$O$1:$Q$4,3,FALSE)</f>
        <v>535</v>
      </c>
      <c r="H35">
        <f>temperatury5[[#This Row],[kukurydza]]*VLOOKUP(temperatury5[[#Headers],[kukurydza]],$O$1:$Q$4,3,FALSE)</f>
        <v>432</v>
      </c>
      <c r="I35">
        <f>SUM(temperatury5[[#This Row],[utarg_za_hot_dogi]:[utarg_za_kukurydze]])</f>
        <v>1520</v>
      </c>
      <c r="J35">
        <f>SUM($I$2:I35)</f>
        <v>57042</v>
      </c>
    </row>
    <row r="36" spans="1:10" x14ac:dyDescent="0.25">
      <c r="A36" s="1">
        <v>44747</v>
      </c>
      <c r="B36">
        <v>25</v>
      </c>
      <c r="C36">
        <f>ROUNDDOWN($C$2*(1+VLOOKUP(temperatury5[[#Headers],[hot-dog]],$O$1:$P$4,2,FALSE)*(temperatury5[[#This Row],[temperatura]]-24)/2),0)</f>
        <v>93</v>
      </c>
      <c r="D36">
        <f>ROUNDDOWN($D$2*(1+VLOOKUP(temperatury5[[#Headers],[lody]],$O$1:$P$4,2,FALSE)*(temperatury5[[#This Row],[temperatura]]-24)/2),0)</f>
        <v>124</v>
      </c>
      <c r="E36">
        <f>ROUNDDOWN($E$2*(1+VLOOKUP(temperatury5[[#Headers],[kukurydza]],$O$1:$P$4,2,FALSE)*(temperatury5[[#This Row],[temperatura]]-24)/2),0)</f>
        <v>82</v>
      </c>
      <c r="F36">
        <f>temperatury5[[#This Row],[hot-dog]]*VLOOKUP(temperatury5[[#Headers],[hot-dog]],$O$1:$Q$4,3,FALSE)</f>
        <v>651</v>
      </c>
      <c r="G36">
        <f>temperatury5[[#This Row],[lody]]*VLOOKUP(temperatury5[[#Headers],[lody]],$O$1:$Q$4,3,FALSE)</f>
        <v>620</v>
      </c>
      <c r="H36">
        <f>temperatury5[[#This Row],[kukurydza]]*VLOOKUP(temperatury5[[#Headers],[kukurydza]],$O$1:$Q$4,3,FALSE)</f>
        <v>492</v>
      </c>
      <c r="I36">
        <f>SUM(temperatury5[[#This Row],[utarg_za_hot_dogi]:[utarg_za_kukurydze]])</f>
        <v>1763</v>
      </c>
      <c r="J36">
        <f>SUM($I$2:I36)</f>
        <v>58805</v>
      </c>
    </row>
    <row r="37" spans="1:10" x14ac:dyDescent="0.25">
      <c r="A37" s="1">
        <v>44748</v>
      </c>
      <c r="B37">
        <v>19</v>
      </c>
      <c r="C37">
        <f>ROUNDDOWN($C$2*(1+VLOOKUP(temperatury5[[#Headers],[hot-dog]],$O$1:$P$4,2,FALSE)*(temperatury5[[#This Row],[temperatura]]-24)/2),0)</f>
        <v>72</v>
      </c>
      <c r="D37">
        <f>ROUNDDOWN($D$2*(1+VLOOKUP(temperatury5[[#Headers],[lody]],$O$1:$P$4,2,FALSE)*(temperatury5[[#This Row],[temperatura]]-24)/2),0)</f>
        <v>99</v>
      </c>
      <c r="E37">
        <f>ROUNDDOWN($E$2*(1+VLOOKUP(temperatury5[[#Headers],[kukurydza]],$O$1:$P$4,2,FALSE)*(temperatury5[[#This Row],[temperatura]]-24)/2),0)</f>
        <v>68</v>
      </c>
      <c r="F37">
        <f>temperatury5[[#This Row],[hot-dog]]*VLOOKUP(temperatury5[[#Headers],[hot-dog]],$O$1:$Q$4,3,FALSE)</f>
        <v>504</v>
      </c>
      <c r="G37">
        <f>temperatury5[[#This Row],[lody]]*VLOOKUP(temperatury5[[#Headers],[lody]],$O$1:$Q$4,3,FALSE)</f>
        <v>495</v>
      </c>
      <c r="H37">
        <f>temperatury5[[#This Row],[kukurydza]]*VLOOKUP(temperatury5[[#Headers],[kukurydza]],$O$1:$Q$4,3,FALSE)</f>
        <v>408</v>
      </c>
      <c r="I37">
        <f>SUM(temperatury5[[#This Row],[utarg_za_hot_dogi]:[utarg_za_kukurydze]])</f>
        <v>1407</v>
      </c>
      <c r="J37">
        <f>SUM($I$2:I37)</f>
        <v>60212</v>
      </c>
    </row>
    <row r="38" spans="1:10" x14ac:dyDescent="0.25">
      <c r="A38" s="1">
        <v>44749</v>
      </c>
      <c r="B38">
        <v>21</v>
      </c>
      <c r="C38">
        <f>ROUNDDOWN($C$2*(1+VLOOKUP(temperatury5[[#Headers],[hot-dog]],$O$1:$P$4,2,FALSE)*(temperatury5[[#This Row],[temperatura]]-24)/2),0)</f>
        <v>79</v>
      </c>
      <c r="D38">
        <f>ROUNDDOWN($D$2*(1+VLOOKUP(temperatury5[[#Headers],[lody]],$O$1:$P$4,2,FALSE)*(temperatury5[[#This Row],[temperatura]]-24)/2),0)</f>
        <v>107</v>
      </c>
      <c r="E38">
        <f>ROUNDDOWN($E$2*(1+VLOOKUP(temperatury5[[#Headers],[kukurydza]],$O$1:$P$4,2,FALSE)*(temperatury5[[#This Row],[temperatura]]-24)/2),0)</f>
        <v>72</v>
      </c>
      <c r="F38">
        <f>temperatury5[[#This Row],[hot-dog]]*VLOOKUP(temperatury5[[#Headers],[hot-dog]],$O$1:$Q$4,3,FALSE)</f>
        <v>553</v>
      </c>
      <c r="G38">
        <f>temperatury5[[#This Row],[lody]]*VLOOKUP(temperatury5[[#Headers],[lody]],$O$1:$Q$4,3,FALSE)</f>
        <v>535</v>
      </c>
      <c r="H38">
        <f>temperatury5[[#This Row],[kukurydza]]*VLOOKUP(temperatury5[[#Headers],[kukurydza]],$O$1:$Q$4,3,FALSE)</f>
        <v>432</v>
      </c>
      <c r="I38">
        <f>SUM(temperatury5[[#This Row],[utarg_za_hot_dogi]:[utarg_za_kukurydze]])</f>
        <v>1520</v>
      </c>
      <c r="J38">
        <f>SUM($I$2:I38)</f>
        <v>61732</v>
      </c>
    </row>
    <row r="39" spans="1:10" x14ac:dyDescent="0.25">
      <c r="A39" s="1">
        <v>44750</v>
      </c>
      <c r="B39">
        <v>24</v>
      </c>
      <c r="C39">
        <f>ROUNDDOWN($C$2*(1+VLOOKUP(temperatury5[[#Headers],[hot-dog]],$O$1:$P$4,2,FALSE)*(temperatury5[[#This Row],[temperatura]]-24)/2),0)</f>
        <v>90</v>
      </c>
      <c r="D39">
        <f>ROUNDDOWN($D$2*(1+VLOOKUP(temperatury5[[#Headers],[lody]],$O$1:$P$4,2,FALSE)*(temperatury5[[#This Row],[temperatura]]-24)/2),0)</f>
        <v>120</v>
      </c>
      <c r="E39">
        <f>ROUNDDOWN($E$2*(1+VLOOKUP(temperatury5[[#Headers],[kukurydza]],$O$1:$P$4,2,FALSE)*(temperatury5[[#This Row],[temperatura]]-24)/2),0)</f>
        <v>80</v>
      </c>
      <c r="F39">
        <f>temperatury5[[#This Row],[hot-dog]]*VLOOKUP(temperatury5[[#Headers],[hot-dog]],$O$1:$Q$4,3,FALSE)</f>
        <v>630</v>
      </c>
      <c r="G39">
        <f>temperatury5[[#This Row],[lody]]*VLOOKUP(temperatury5[[#Headers],[lody]],$O$1:$Q$4,3,FALSE)</f>
        <v>600</v>
      </c>
      <c r="H39">
        <f>temperatury5[[#This Row],[kukurydza]]*VLOOKUP(temperatury5[[#Headers],[kukurydza]],$O$1:$Q$4,3,FALSE)</f>
        <v>480</v>
      </c>
      <c r="I39">
        <f>SUM(temperatury5[[#This Row],[utarg_za_hot_dogi]:[utarg_za_kukurydze]])</f>
        <v>1710</v>
      </c>
      <c r="J39">
        <f>SUM($I$2:I39)</f>
        <v>63442</v>
      </c>
    </row>
    <row r="40" spans="1:10" x14ac:dyDescent="0.25">
      <c r="A40" s="1">
        <v>44751</v>
      </c>
      <c r="B40">
        <v>19</v>
      </c>
      <c r="C40">
        <f>ROUNDDOWN($C$2*(1+VLOOKUP(temperatury5[[#Headers],[hot-dog]],$O$1:$P$4,2,FALSE)*(temperatury5[[#This Row],[temperatura]]-24)/2),0)</f>
        <v>72</v>
      </c>
      <c r="D40">
        <f>ROUNDDOWN($D$2*(1+VLOOKUP(temperatury5[[#Headers],[lody]],$O$1:$P$4,2,FALSE)*(temperatury5[[#This Row],[temperatura]]-24)/2),0)</f>
        <v>99</v>
      </c>
      <c r="E40">
        <f>ROUNDDOWN($E$2*(1+VLOOKUP(temperatury5[[#Headers],[kukurydza]],$O$1:$P$4,2,FALSE)*(temperatury5[[#This Row],[temperatura]]-24)/2),0)</f>
        <v>68</v>
      </c>
      <c r="F40">
        <f>temperatury5[[#This Row],[hot-dog]]*VLOOKUP(temperatury5[[#Headers],[hot-dog]],$O$1:$Q$4,3,FALSE)</f>
        <v>504</v>
      </c>
      <c r="G40">
        <f>temperatury5[[#This Row],[lody]]*VLOOKUP(temperatury5[[#Headers],[lody]],$O$1:$Q$4,3,FALSE)</f>
        <v>495</v>
      </c>
      <c r="H40">
        <f>temperatury5[[#This Row],[kukurydza]]*VLOOKUP(temperatury5[[#Headers],[kukurydza]],$O$1:$Q$4,3,FALSE)</f>
        <v>408</v>
      </c>
      <c r="I40">
        <f>SUM(temperatury5[[#This Row],[utarg_za_hot_dogi]:[utarg_za_kukurydze]])</f>
        <v>1407</v>
      </c>
      <c r="J40">
        <f>SUM($I$2:I40)</f>
        <v>64849</v>
      </c>
    </row>
    <row r="41" spans="1:10" x14ac:dyDescent="0.25">
      <c r="A41" s="1">
        <v>44752</v>
      </c>
      <c r="B41">
        <v>28</v>
      </c>
      <c r="C41">
        <f>ROUNDDOWN($C$2*(1+VLOOKUP(temperatury5[[#Headers],[hot-dog]],$O$1:$P$4,2,FALSE)*(temperatury5[[#This Row],[temperatura]]-24)/2),0)</f>
        <v>103</v>
      </c>
      <c r="D41">
        <f>ROUNDDOWN($D$2*(1+VLOOKUP(temperatury5[[#Headers],[lody]],$O$1:$P$4,2,FALSE)*(temperatury5[[#This Row],[temperatura]]-24)/2),0)</f>
        <v>136</v>
      </c>
      <c r="E41">
        <f>ROUNDDOWN($E$2*(1+VLOOKUP(temperatury5[[#Headers],[kukurydza]],$O$1:$P$4,2,FALSE)*(temperatury5[[#This Row],[temperatura]]-24)/2),0)</f>
        <v>89</v>
      </c>
      <c r="F41">
        <f>temperatury5[[#This Row],[hot-dog]]*VLOOKUP(temperatury5[[#Headers],[hot-dog]],$O$1:$Q$4,3,FALSE)</f>
        <v>721</v>
      </c>
      <c r="G41">
        <f>temperatury5[[#This Row],[lody]]*VLOOKUP(temperatury5[[#Headers],[lody]],$O$1:$Q$4,3,FALSE)</f>
        <v>680</v>
      </c>
      <c r="H41">
        <f>temperatury5[[#This Row],[kukurydza]]*VLOOKUP(temperatury5[[#Headers],[kukurydza]],$O$1:$Q$4,3,FALSE)</f>
        <v>534</v>
      </c>
      <c r="I41">
        <f>SUM(temperatury5[[#This Row],[utarg_za_hot_dogi]:[utarg_za_kukurydze]])</f>
        <v>1935</v>
      </c>
      <c r="J41">
        <f>SUM($I$2:I41)</f>
        <v>66784</v>
      </c>
    </row>
    <row r="42" spans="1:10" x14ac:dyDescent="0.25">
      <c r="A42" s="1">
        <v>44753</v>
      </c>
      <c r="B42">
        <v>27</v>
      </c>
      <c r="C42">
        <f>ROUNDDOWN($C$2*(1+VLOOKUP(temperatury5[[#Headers],[hot-dog]],$O$1:$P$4,2,FALSE)*(temperatury5[[#This Row],[temperatura]]-24)/2),0)</f>
        <v>100</v>
      </c>
      <c r="D42">
        <f>ROUNDDOWN($D$2*(1+VLOOKUP(temperatury5[[#Headers],[lody]],$O$1:$P$4,2,FALSE)*(temperatury5[[#This Row],[temperatura]]-24)/2),0)</f>
        <v>132</v>
      </c>
      <c r="E42">
        <f>ROUNDDOWN($E$2*(1+VLOOKUP(temperatury5[[#Headers],[kukurydza]],$O$1:$P$4,2,FALSE)*(temperatury5[[#This Row],[temperatura]]-24)/2),0)</f>
        <v>87</v>
      </c>
      <c r="F42">
        <f>temperatury5[[#This Row],[hot-dog]]*VLOOKUP(temperatury5[[#Headers],[hot-dog]],$O$1:$Q$4,3,FALSE)</f>
        <v>700</v>
      </c>
      <c r="G42">
        <f>temperatury5[[#This Row],[lody]]*VLOOKUP(temperatury5[[#Headers],[lody]],$O$1:$Q$4,3,FALSE)</f>
        <v>660</v>
      </c>
      <c r="H42">
        <f>temperatury5[[#This Row],[kukurydza]]*VLOOKUP(temperatury5[[#Headers],[kukurydza]],$O$1:$Q$4,3,FALSE)</f>
        <v>522</v>
      </c>
      <c r="I42">
        <f>SUM(temperatury5[[#This Row],[utarg_za_hot_dogi]:[utarg_za_kukurydze]])</f>
        <v>1882</v>
      </c>
      <c r="J42">
        <f>SUM($I$2:I42)</f>
        <v>68666</v>
      </c>
    </row>
    <row r="43" spans="1:10" x14ac:dyDescent="0.25">
      <c r="A43" s="1">
        <v>44754</v>
      </c>
      <c r="B43">
        <v>24</v>
      </c>
      <c r="C43">
        <f>ROUNDDOWN($C$2*(1+VLOOKUP(temperatury5[[#Headers],[hot-dog]],$O$1:$P$4,2,FALSE)*(temperatury5[[#This Row],[temperatura]]-24)/2),0)</f>
        <v>90</v>
      </c>
      <c r="D43">
        <f>ROUNDDOWN($D$2*(1+VLOOKUP(temperatury5[[#Headers],[lody]],$O$1:$P$4,2,FALSE)*(temperatury5[[#This Row],[temperatura]]-24)/2),0)</f>
        <v>120</v>
      </c>
      <c r="E43">
        <f>ROUNDDOWN($E$2*(1+VLOOKUP(temperatury5[[#Headers],[kukurydza]],$O$1:$P$4,2,FALSE)*(temperatury5[[#This Row],[temperatura]]-24)/2),0)</f>
        <v>80</v>
      </c>
      <c r="F43">
        <f>temperatury5[[#This Row],[hot-dog]]*VLOOKUP(temperatury5[[#Headers],[hot-dog]],$O$1:$Q$4,3,FALSE)</f>
        <v>630</v>
      </c>
      <c r="G43">
        <f>temperatury5[[#This Row],[lody]]*VLOOKUP(temperatury5[[#Headers],[lody]],$O$1:$Q$4,3,FALSE)</f>
        <v>600</v>
      </c>
      <c r="H43">
        <f>temperatury5[[#This Row],[kukurydza]]*VLOOKUP(temperatury5[[#Headers],[kukurydza]],$O$1:$Q$4,3,FALSE)</f>
        <v>480</v>
      </c>
      <c r="I43">
        <f>SUM(temperatury5[[#This Row],[utarg_za_hot_dogi]:[utarg_za_kukurydze]])</f>
        <v>1710</v>
      </c>
      <c r="J43">
        <f>SUM($I$2:I43)</f>
        <v>70376</v>
      </c>
    </row>
    <row r="44" spans="1:10" x14ac:dyDescent="0.25">
      <c r="A44" s="1">
        <v>44755</v>
      </c>
      <c r="B44">
        <v>22</v>
      </c>
      <c r="C44">
        <f>ROUNDDOWN($C$2*(1+VLOOKUP(temperatury5[[#Headers],[hot-dog]],$O$1:$P$4,2,FALSE)*(temperatury5[[#This Row],[temperatura]]-24)/2),0)</f>
        <v>83</v>
      </c>
      <c r="D44">
        <f>ROUNDDOWN($D$2*(1+VLOOKUP(temperatury5[[#Headers],[lody]],$O$1:$P$4,2,FALSE)*(temperatury5[[#This Row],[temperatura]]-24)/2),0)</f>
        <v>111</v>
      </c>
      <c r="E44">
        <f>ROUNDDOWN($E$2*(1+VLOOKUP(temperatury5[[#Headers],[kukurydza]],$O$1:$P$4,2,FALSE)*(temperatury5[[#This Row],[temperatura]]-24)/2),0)</f>
        <v>75</v>
      </c>
      <c r="F44">
        <f>temperatury5[[#This Row],[hot-dog]]*VLOOKUP(temperatury5[[#Headers],[hot-dog]],$O$1:$Q$4,3,FALSE)</f>
        <v>581</v>
      </c>
      <c r="G44">
        <f>temperatury5[[#This Row],[lody]]*VLOOKUP(temperatury5[[#Headers],[lody]],$O$1:$Q$4,3,FALSE)</f>
        <v>555</v>
      </c>
      <c r="H44">
        <f>temperatury5[[#This Row],[kukurydza]]*VLOOKUP(temperatury5[[#Headers],[kukurydza]],$O$1:$Q$4,3,FALSE)</f>
        <v>450</v>
      </c>
      <c r="I44">
        <f>SUM(temperatury5[[#This Row],[utarg_za_hot_dogi]:[utarg_za_kukurydze]])</f>
        <v>1586</v>
      </c>
      <c r="J44">
        <f>SUM($I$2:I44)</f>
        <v>71962</v>
      </c>
    </row>
    <row r="45" spans="1:10" x14ac:dyDescent="0.25">
      <c r="A45" s="1">
        <v>44756</v>
      </c>
      <c r="B45">
        <v>17</v>
      </c>
      <c r="C45">
        <f>ROUNDDOWN($C$2*(1+VLOOKUP(temperatury5[[#Headers],[hot-dog]],$O$1:$P$4,2,FALSE)*(temperatury5[[#This Row],[temperatura]]-24)/2),0)</f>
        <v>65</v>
      </c>
      <c r="D45">
        <f>ROUNDDOWN($D$2*(1+VLOOKUP(temperatury5[[#Headers],[lody]],$O$1:$P$4,2,FALSE)*(temperatury5[[#This Row],[temperatura]]-24)/2),0)</f>
        <v>91</v>
      </c>
      <c r="E45">
        <f>ROUNDDOWN($E$2*(1+VLOOKUP(temperatury5[[#Headers],[kukurydza]],$O$1:$P$4,2,FALSE)*(temperatury5[[#This Row],[temperatura]]-24)/2),0)</f>
        <v>63</v>
      </c>
      <c r="F45">
        <f>temperatury5[[#This Row],[hot-dog]]*VLOOKUP(temperatury5[[#Headers],[hot-dog]],$O$1:$Q$4,3,FALSE)</f>
        <v>455</v>
      </c>
      <c r="G45">
        <f>temperatury5[[#This Row],[lody]]*VLOOKUP(temperatury5[[#Headers],[lody]],$O$1:$Q$4,3,FALSE)</f>
        <v>455</v>
      </c>
      <c r="H45">
        <f>temperatury5[[#This Row],[kukurydza]]*VLOOKUP(temperatury5[[#Headers],[kukurydza]],$O$1:$Q$4,3,FALSE)</f>
        <v>378</v>
      </c>
      <c r="I45">
        <f>SUM(temperatury5[[#This Row],[utarg_za_hot_dogi]:[utarg_za_kukurydze]])</f>
        <v>1288</v>
      </c>
      <c r="J45">
        <f>SUM($I$2:I45)</f>
        <v>73250</v>
      </c>
    </row>
    <row r="46" spans="1:10" x14ac:dyDescent="0.25">
      <c r="A46" s="1">
        <v>44757</v>
      </c>
      <c r="B46">
        <v>18</v>
      </c>
      <c r="C46">
        <f>ROUNDDOWN($C$2*(1+VLOOKUP(temperatury5[[#Headers],[hot-dog]],$O$1:$P$4,2,FALSE)*(temperatury5[[#This Row],[temperatura]]-24)/2),0)</f>
        <v>69</v>
      </c>
      <c r="D46">
        <f>ROUNDDOWN($D$2*(1+VLOOKUP(temperatury5[[#Headers],[lody]],$O$1:$P$4,2,FALSE)*(temperatury5[[#This Row],[temperatura]]-24)/2),0)</f>
        <v>95</v>
      </c>
      <c r="E46">
        <f>ROUNDDOWN($E$2*(1+VLOOKUP(temperatury5[[#Headers],[kukurydza]],$O$1:$P$4,2,FALSE)*(temperatury5[[#This Row],[temperatura]]-24)/2),0)</f>
        <v>65</v>
      </c>
      <c r="F46">
        <f>temperatury5[[#This Row],[hot-dog]]*VLOOKUP(temperatury5[[#Headers],[hot-dog]],$O$1:$Q$4,3,FALSE)</f>
        <v>483</v>
      </c>
      <c r="G46">
        <f>temperatury5[[#This Row],[lody]]*VLOOKUP(temperatury5[[#Headers],[lody]],$O$1:$Q$4,3,FALSE)</f>
        <v>475</v>
      </c>
      <c r="H46">
        <f>temperatury5[[#This Row],[kukurydza]]*VLOOKUP(temperatury5[[#Headers],[kukurydza]],$O$1:$Q$4,3,FALSE)</f>
        <v>390</v>
      </c>
      <c r="I46">
        <f>SUM(temperatury5[[#This Row],[utarg_za_hot_dogi]:[utarg_za_kukurydze]])</f>
        <v>1348</v>
      </c>
      <c r="J46">
        <f>SUM($I$2:I46)</f>
        <v>74598</v>
      </c>
    </row>
    <row r="47" spans="1:10" x14ac:dyDescent="0.25">
      <c r="A47" s="1">
        <v>44758</v>
      </c>
      <c r="B47">
        <v>23</v>
      </c>
      <c r="C47">
        <f>ROUNDDOWN($C$2*(1+VLOOKUP(temperatury5[[#Headers],[hot-dog]],$O$1:$P$4,2,FALSE)*(temperatury5[[#This Row],[temperatura]]-24)/2),0)</f>
        <v>86</v>
      </c>
      <c r="D47">
        <f>ROUNDDOWN($D$2*(1+VLOOKUP(temperatury5[[#Headers],[lody]],$O$1:$P$4,2,FALSE)*(temperatury5[[#This Row],[temperatura]]-24)/2),0)</f>
        <v>115</v>
      </c>
      <c r="E47">
        <f>ROUNDDOWN($E$2*(1+VLOOKUP(temperatury5[[#Headers],[kukurydza]],$O$1:$P$4,2,FALSE)*(temperatury5[[#This Row],[temperatura]]-24)/2),0)</f>
        <v>77</v>
      </c>
      <c r="F47">
        <f>temperatury5[[#This Row],[hot-dog]]*VLOOKUP(temperatury5[[#Headers],[hot-dog]],$O$1:$Q$4,3,FALSE)</f>
        <v>602</v>
      </c>
      <c r="G47">
        <f>temperatury5[[#This Row],[lody]]*VLOOKUP(temperatury5[[#Headers],[lody]],$O$1:$Q$4,3,FALSE)</f>
        <v>575</v>
      </c>
      <c r="H47">
        <f>temperatury5[[#This Row],[kukurydza]]*VLOOKUP(temperatury5[[#Headers],[kukurydza]],$O$1:$Q$4,3,FALSE)</f>
        <v>462</v>
      </c>
      <c r="I47">
        <f>SUM(temperatury5[[#This Row],[utarg_za_hot_dogi]:[utarg_za_kukurydze]])</f>
        <v>1639</v>
      </c>
      <c r="J47">
        <f>SUM($I$2:I47)</f>
        <v>76237</v>
      </c>
    </row>
    <row r="48" spans="1:10" x14ac:dyDescent="0.25">
      <c r="A48" s="1">
        <v>44759</v>
      </c>
      <c r="B48">
        <v>23</v>
      </c>
      <c r="C48">
        <f>ROUNDDOWN($C$2*(1+VLOOKUP(temperatury5[[#Headers],[hot-dog]],$O$1:$P$4,2,FALSE)*(temperatury5[[#This Row],[temperatura]]-24)/2),0)</f>
        <v>86</v>
      </c>
      <c r="D48">
        <f>ROUNDDOWN($D$2*(1+VLOOKUP(temperatury5[[#Headers],[lody]],$O$1:$P$4,2,FALSE)*(temperatury5[[#This Row],[temperatura]]-24)/2),0)</f>
        <v>115</v>
      </c>
      <c r="E48">
        <f>ROUNDDOWN($E$2*(1+VLOOKUP(temperatury5[[#Headers],[kukurydza]],$O$1:$P$4,2,FALSE)*(temperatury5[[#This Row],[temperatura]]-24)/2),0)</f>
        <v>77</v>
      </c>
      <c r="F48">
        <f>temperatury5[[#This Row],[hot-dog]]*VLOOKUP(temperatury5[[#Headers],[hot-dog]],$O$1:$Q$4,3,FALSE)</f>
        <v>602</v>
      </c>
      <c r="G48">
        <f>temperatury5[[#This Row],[lody]]*VLOOKUP(temperatury5[[#Headers],[lody]],$O$1:$Q$4,3,FALSE)</f>
        <v>575</v>
      </c>
      <c r="H48">
        <f>temperatury5[[#This Row],[kukurydza]]*VLOOKUP(temperatury5[[#Headers],[kukurydza]],$O$1:$Q$4,3,FALSE)</f>
        <v>462</v>
      </c>
      <c r="I48">
        <f>SUM(temperatury5[[#This Row],[utarg_za_hot_dogi]:[utarg_za_kukurydze]])</f>
        <v>1639</v>
      </c>
      <c r="J48">
        <f>SUM($I$2:I48)</f>
        <v>77876</v>
      </c>
    </row>
    <row r="49" spans="1:10" x14ac:dyDescent="0.25">
      <c r="A49" s="1">
        <v>44760</v>
      </c>
      <c r="B49">
        <v>19</v>
      </c>
      <c r="C49">
        <f>ROUNDDOWN($C$2*(1+VLOOKUP(temperatury5[[#Headers],[hot-dog]],$O$1:$P$4,2,FALSE)*(temperatury5[[#This Row],[temperatura]]-24)/2),0)</f>
        <v>72</v>
      </c>
      <c r="D49">
        <f>ROUNDDOWN($D$2*(1+VLOOKUP(temperatury5[[#Headers],[lody]],$O$1:$P$4,2,FALSE)*(temperatury5[[#This Row],[temperatura]]-24)/2),0)</f>
        <v>99</v>
      </c>
      <c r="E49">
        <f>ROUNDDOWN($E$2*(1+VLOOKUP(temperatury5[[#Headers],[kukurydza]],$O$1:$P$4,2,FALSE)*(temperatury5[[#This Row],[temperatura]]-24)/2),0)</f>
        <v>68</v>
      </c>
      <c r="F49">
        <f>temperatury5[[#This Row],[hot-dog]]*VLOOKUP(temperatury5[[#Headers],[hot-dog]],$O$1:$Q$4,3,FALSE)</f>
        <v>504</v>
      </c>
      <c r="G49">
        <f>temperatury5[[#This Row],[lody]]*VLOOKUP(temperatury5[[#Headers],[lody]],$O$1:$Q$4,3,FALSE)</f>
        <v>495</v>
      </c>
      <c r="H49">
        <f>temperatury5[[#This Row],[kukurydza]]*VLOOKUP(temperatury5[[#Headers],[kukurydza]],$O$1:$Q$4,3,FALSE)</f>
        <v>408</v>
      </c>
      <c r="I49">
        <f>SUM(temperatury5[[#This Row],[utarg_za_hot_dogi]:[utarg_za_kukurydze]])</f>
        <v>1407</v>
      </c>
      <c r="J49">
        <f>SUM($I$2:I49)</f>
        <v>79283</v>
      </c>
    </row>
    <row r="50" spans="1:10" x14ac:dyDescent="0.25">
      <c r="A50" s="1">
        <v>44761</v>
      </c>
      <c r="B50">
        <v>21</v>
      </c>
      <c r="C50">
        <f>ROUNDDOWN($C$2*(1+VLOOKUP(temperatury5[[#Headers],[hot-dog]],$O$1:$P$4,2,FALSE)*(temperatury5[[#This Row],[temperatura]]-24)/2),0)</f>
        <v>79</v>
      </c>
      <c r="D50">
        <f>ROUNDDOWN($D$2*(1+VLOOKUP(temperatury5[[#Headers],[lody]],$O$1:$P$4,2,FALSE)*(temperatury5[[#This Row],[temperatura]]-24)/2),0)</f>
        <v>107</v>
      </c>
      <c r="E50">
        <f>ROUNDDOWN($E$2*(1+VLOOKUP(temperatury5[[#Headers],[kukurydza]],$O$1:$P$4,2,FALSE)*(temperatury5[[#This Row],[temperatura]]-24)/2),0)</f>
        <v>72</v>
      </c>
      <c r="F50">
        <f>temperatury5[[#This Row],[hot-dog]]*VLOOKUP(temperatury5[[#Headers],[hot-dog]],$O$1:$Q$4,3,FALSE)</f>
        <v>553</v>
      </c>
      <c r="G50">
        <f>temperatury5[[#This Row],[lody]]*VLOOKUP(temperatury5[[#Headers],[lody]],$O$1:$Q$4,3,FALSE)</f>
        <v>535</v>
      </c>
      <c r="H50">
        <f>temperatury5[[#This Row],[kukurydza]]*VLOOKUP(temperatury5[[#Headers],[kukurydza]],$O$1:$Q$4,3,FALSE)</f>
        <v>432</v>
      </c>
      <c r="I50">
        <f>SUM(temperatury5[[#This Row],[utarg_za_hot_dogi]:[utarg_za_kukurydze]])</f>
        <v>1520</v>
      </c>
      <c r="J50">
        <f>SUM($I$2:I50)</f>
        <v>80803</v>
      </c>
    </row>
    <row r="51" spans="1:10" x14ac:dyDescent="0.25">
      <c r="A51" s="1">
        <v>44762</v>
      </c>
      <c r="B51">
        <v>25</v>
      </c>
      <c r="C51">
        <f>ROUNDDOWN($C$2*(1+VLOOKUP(temperatury5[[#Headers],[hot-dog]],$O$1:$P$4,2,FALSE)*(temperatury5[[#This Row],[temperatura]]-24)/2),0)</f>
        <v>93</v>
      </c>
      <c r="D51">
        <f>ROUNDDOWN($D$2*(1+VLOOKUP(temperatury5[[#Headers],[lody]],$O$1:$P$4,2,FALSE)*(temperatury5[[#This Row],[temperatura]]-24)/2),0)</f>
        <v>124</v>
      </c>
      <c r="E51">
        <f>ROUNDDOWN($E$2*(1+VLOOKUP(temperatury5[[#Headers],[kukurydza]],$O$1:$P$4,2,FALSE)*(temperatury5[[#This Row],[temperatura]]-24)/2),0)</f>
        <v>82</v>
      </c>
      <c r="F51">
        <f>temperatury5[[#This Row],[hot-dog]]*VLOOKUP(temperatury5[[#Headers],[hot-dog]],$O$1:$Q$4,3,FALSE)</f>
        <v>651</v>
      </c>
      <c r="G51">
        <f>temperatury5[[#This Row],[lody]]*VLOOKUP(temperatury5[[#Headers],[lody]],$O$1:$Q$4,3,FALSE)</f>
        <v>620</v>
      </c>
      <c r="H51">
        <f>temperatury5[[#This Row],[kukurydza]]*VLOOKUP(temperatury5[[#Headers],[kukurydza]],$O$1:$Q$4,3,FALSE)</f>
        <v>492</v>
      </c>
      <c r="I51">
        <f>SUM(temperatury5[[#This Row],[utarg_za_hot_dogi]:[utarg_za_kukurydze]])</f>
        <v>1763</v>
      </c>
      <c r="J51">
        <f>SUM($I$2:I51)</f>
        <v>82566</v>
      </c>
    </row>
    <row r="52" spans="1:10" x14ac:dyDescent="0.25">
      <c r="A52" s="1">
        <v>44763</v>
      </c>
      <c r="B52">
        <v>28</v>
      </c>
      <c r="C52">
        <f>ROUNDDOWN($C$2*(1+VLOOKUP(temperatury5[[#Headers],[hot-dog]],$O$1:$P$4,2,FALSE)*(temperatury5[[#This Row],[temperatura]]-24)/2),0)</f>
        <v>103</v>
      </c>
      <c r="D52">
        <f>ROUNDDOWN($D$2*(1+VLOOKUP(temperatury5[[#Headers],[lody]],$O$1:$P$4,2,FALSE)*(temperatury5[[#This Row],[temperatura]]-24)/2),0)</f>
        <v>136</v>
      </c>
      <c r="E52">
        <f>ROUNDDOWN($E$2*(1+VLOOKUP(temperatury5[[#Headers],[kukurydza]],$O$1:$P$4,2,FALSE)*(temperatury5[[#This Row],[temperatura]]-24)/2),0)</f>
        <v>89</v>
      </c>
      <c r="F52">
        <f>temperatury5[[#This Row],[hot-dog]]*VLOOKUP(temperatury5[[#Headers],[hot-dog]],$O$1:$Q$4,3,FALSE)</f>
        <v>721</v>
      </c>
      <c r="G52">
        <f>temperatury5[[#This Row],[lody]]*VLOOKUP(temperatury5[[#Headers],[lody]],$O$1:$Q$4,3,FALSE)</f>
        <v>680</v>
      </c>
      <c r="H52">
        <f>temperatury5[[#This Row],[kukurydza]]*VLOOKUP(temperatury5[[#Headers],[kukurydza]],$O$1:$Q$4,3,FALSE)</f>
        <v>534</v>
      </c>
      <c r="I52">
        <f>SUM(temperatury5[[#This Row],[utarg_za_hot_dogi]:[utarg_za_kukurydze]])</f>
        <v>1935</v>
      </c>
      <c r="J52">
        <f>SUM($I$2:I52)</f>
        <v>84501</v>
      </c>
    </row>
    <row r="53" spans="1:10" x14ac:dyDescent="0.25">
      <c r="A53" s="1">
        <v>44764</v>
      </c>
      <c r="B53">
        <v>27</v>
      </c>
      <c r="C53">
        <f>ROUNDDOWN($C$2*(1+VLOOKUP(temperatury5[[#Headers],[hot-dog]],$O$1:$P$4,2,FALSE)*(temperatury5[[#This Row],[temperatura]]-24)/2),0)</f>
        <v>100</v>
      </c>
      <c r="D53">
        <f>ROUNDDOWN($D$2*(1+VLOOKUP(temperatury5[[#Headers],[lody]],$O$1:$P$4,2,FALSE)*(temperatury5[[#This Row],[temperatura]]-24)/2),0)</f>
        <v>132</v>
      </c>
      <c r="E53">
        <f>ROUNDDOWN($E$2*(1+VLOOKUP(temperatury5[[#Headers],[kukurydza]],$O$1:$P$4,2,FALSE)*(temperatury5[[#This Row],[temperatura]]-24)/2),0)</f>
        <v>87</v>
      </c>
      <c r="F53">
        <f>temperatury5[[#This Row],[hot-dog]]*VLOOKUP(temperatury5[[#Headers],[hot-dog]],$O$1:$Q$4,3,FALSE)</f>
        <v>700</v>
      </c>
      <c r="G53">
        <f>temperatury5[[#This Row],[lody]]*VLOOKUP(temperatury5[[#Headers],[lody]],$O$1:$Q$4,3,FALSE)</f>
        <v>660</v>
      </c>
      <c r="H53">
        <f>temperatury5[[#This Row],[kukurydza]]*VLOOKUP(temperatury5[[#Headers],[kukurydza]],$O$1:$Q$4,3,FALSE)</f>
        <v>522</v>
      </c>
      <c r="I53">
        <f>SUM(temperatury5[[#This Row],[utarg_za_hot_dogi]:[utarg_za_kukurydze]])</f>
        <v>1882</v>
      </c>
      <c r="J53">
        <f>SUM($I$2:I53)</f>
        <v>86383</v>
      </c>
    </row>
    <row r="54" spans="1:10" x14ac:dyDescent="0.25">
      <c r="A54" s="1">
        <v>44765</v>
      </c>
      <c r="B54">
        <v>23</v>
      </c>
      <c r="C54">
        <f>ROUNDDOWN($C$2*(1+VLOOKUP(temperatury5[[#Headers],[hot-dog]],$O$1:$P$4,2,FALSE)*(temperatury5[[#This Row],[temperatura]]-24)/2),0)</f>
        <v>86</v>
      </c>
      <c r="D54">
        <f>ROUNDDOWN($D$2*(1+VLOOKUP(temperatury5[[#Headers],[lody]],$O$1:$P$4,2,FALSE)*(temperatury5[[#This Row],[temperatura]]-24)/2),0)</f>
        <v>115</v>
      </c>
      <c r="E54">
        <f>ROUNDDOWN($E$2*(1+VLOOKUP(temperatury5[[#Headers],[kukurydza]],$O$1:$P$4,2,FALSE)*(temperatury5[[#This Row],[temperatura]]-24)/2),0)</f>
        <v>77</v>
      </c>
      <c r="F54">
        <f>temperatury5[[#This Row],[hot-dog]]*VLOOKUP(temperatury5[[#Headers],[hot-dog]],$O$1:$Q$4,3,FALSE)</f>
        <v>602</v>
      </c>
      <c r="G54">
        <f>temperatury5[[#This Row],[lody]]*VLOOKUP(temperatury5[[#Headers],[lody]],$O$1:$Q$4,3,FALSE)</f>
        <v>575</v>
      </c>
      <c r="H54">
        <f>temperatury5[[#This Row],[kukurydza]]*VLOOKUP(temperatury5[[#Headers],[kukurydza]],$O$1:$Q$4,3,FALSE)</f>
        <v>462</v>
      </c>
      <c r="I54">
        <f>SUM(temperatury5[[#This Row],[utarg_za_hot_dogi]:[utarg_za_kukurydze]])</f>
        <v>1639</v>
      </c>
      <c r="J54">
        <f>SUM($I$2:I54)</f>
        <v>88022</v>
      </c>
    </row>
    <row r="55" spans="1:10" x14ac:dyDescent="0.25">
      <c r="A55" s="1">
        <v>44766</v>
      </c>
      <c r="B55">
        <v>26</v>
      </c>
      <c r="C55">
        <f>ROUNDDOWN($C$2*(1+VLOOKUP(temperatury5[[#Headers],[hot-dog]],$O$1:$P$4,2,FALSE)*(temperatury5[[#This Row],[temperatura]]-24)/2),0)</f>
        <v>96</v>
      </c>
      <c r="D55">
        <f>ROUNDDOWN($D$2*(1+VLOOKUP(temperatury5[[#Headers],[lody]],$O$1:$P$4,2,FALSE)*(temperatury5[[#This Row],[temperatura]]-24)/2),0)</f>
        <v>128</v>
      </c>
      <c r="E55">
        <f>ROUNDDOWN($E$2*(1+VLOOKUP(temperatury5[[#Headers],[kukurydza]],$O$1:$P$4,2,FALSE)*(temperatury5[[#This Row],[temperatura]]-24)/2),0)</f>
        <v>84</v>
      </c>
      <c r="F55">
        <f>temperatury5[[#This Row],[hot-dog]]*VLOOKUP(temperatury5[[#Headers],[hot-dog]],$O$1:$Q$4,3,FALSE)</f>
        <v>672</v>
      </c>
      <c r="G55">
        <f>temperatury5[[#This Row],[lody]]*VLOOKUP(temperatury5[[#Headers],[lody]],$O$1:$Q$4,3,FALSE)</f>
        <v>640</v>
      </c>
      <c r="H55">
        <f>temperatury5[[#This Row],[kukurydza]]*VLOOKUP(temperatury5[[#Headers],[kukurydza]],$O$1:$Q$4,3,FALSE)</f>
        <v>504</v>
      </c>
      <c r="I55">
        <f>SUM(temperatury5[[#This Row],[utarg_za_hot_dogi]:[utarg_za_kukurydze]])</f>
        <v>1816</v>
      </c>
      <c r="J55">
        <f>SUM($I$2:I55)</f>
        <v>89838</v>
      </c>
    </row>
    <row r="56" spans="1:10" x14ac:dyDescent="0.25">
      <c r="A56" s="1">
        <v>44767</v>
      </c>
      <c r="B56">
        <v>29</v>
      </c>
      <c r="C56">
        <f>ROUNDDOWN($C$2*(1+VLOOKUP(temperatury5[[#Headers],[hot-dog]],$O$1:$P$4,2,FALSE)*(temperatury5[[#This Row],[temperatura]]-24)/2),0)</f>
        <v>107</v>
      </c>
      <c r="D56">
        <f>ROUNDDOWN($D$2*(1+VLOOKUP(temperatury5[[#Headers],[lody]],$O$1:$P$4,2,FALSE)*(temperatury5[[#This Row],[temperatura]]-24)/2),0)</f>
        <v>140</v>
      </c>
      <c r="E56">
        <f>ROUNDDOWN($E$2*(1+VLOOKUP(temperatury5[[#Headers],[kukurydza]],$O$1:$P$4,2,FALSE)*(temperatury5[[#This Row],[temperatura]]-24)/2),0)</f>
        <v>91</v>
      </c>
      <c r="F56">
        <f>temperatury5[[#This Row],[hot-dog]]*VLOOKUP(temperatury5[[#Headers],[hot-dog]],$O$1:$Q$4,3,FALSE)</f>
        <v>749</v>
      </c>
      <c r="G56">
        <f>temperatury5[[#This Row],[lody]]*VLOOKUP(temperatury5[[#Headers],[lody]],$O$1:$Q$4,3,FALSE)</f>
        <v>700</v>
      </c>
      <c r="H56">
        <f>temperatury5[[#This Row],[kukurydza]]*VLOOKUP(temperatury5[[#Headers],[kukurydza]],$O$1:$Q$4,3,FALSE)</f>
        <v>546</v>
      </c>
      <c r="I56">
        <f>SUM(temperatury5[[#This Row],[utarg_za_hot_dogi]:[utarg_za_kukurydze]])</f>
        <v>1995</v>
      </c>
      <c r="J56">
        <f>SUM($I$2:I56)</f>
        <v>91833</v>
      </c>
    </row>
    <row r="57" spans="1:10" x14ac:dyDescent="0.25">
      <c r="A57" s="1">
        <v>44768</v>
      </c>
      <c r="B57">
        <v>26</v>
      </c>
      <c r="C57">
        <f>ROUNDDOWN($C$2*(1+VLOOKUP(temperatury5[[#Headers],[hot-dog]],$O$1:$P$4,2,FALSE)*(temperatury5[[#This Row],[temperatura]]-24)/2),0)</f>
        <v>96</v>
      </c>
      <c r="D57">
        <f>ROUNDDOWN($D$2*(1+VLOOKUP(temperatury5[[#Headers],[lody]],$O$1:$P$4,2,FALSE)*(temperatury5[[#This Row],[temperatura]]-24)/2),0)</f>
        <v>128</v>
      </c>
      <c r="E57">
        <f>ROUNDDOWN($E$2*(1+VLOOKUP(temperatury5[[#Headers],[kukurydza]],$O$1:$P$4,2,FALSE)*(temperatury5[[#This Row],[temperatura]]-24)/2),0)</f>
        <v>84</v>
      </c>
      <c r="F57">
        <f>temperatury5[[#This Row],[hot-dog]]*VLOOKUP(temperatury5[[#Headers],[hot-dog]],$O$1:$Q$4,3,FALSE)</f>
        <v>672</v>
      </c>
      <c r="G57">
        <f>temperatury5[[#This Row],[lody]]*VLOOKUP(temperatury5[[#Headers],[lody]],$O$1:$Q$4,3,FALSE)</f>
        <v>640</v>
      </c>
      <c r="H57">
        <f>temperatury5[[#This Row],[kukurydza]]*VLOOKUP(temperatury5[[#Headers],[kukurydza]],$O$1:$Q$4,3,FALSE)</f>
        <v>504</v>
      </c>
      <c r="I57">
        <f>SUM(temperatury5[[#This Row],[utarg_za_hot_dogi]:[utarg_za_kukurydze]])</f>
        <v>1816</v>
      </c>
      <c r="J57">
        <f>SUM($I$2:I57)</f>
        <v>93649</v>
      </c>
    </row>
    <row r="58" spans="1:10" x14ac:dyDescent="0.25">
      <c r="A58" s="1">
        <v>44769</v>
      </c>
      <c r="B58">
        <v>27</v>
      </c>
      <c r="C58">
        <f>ROUNDDOWN($C$2*(1+VLOOKUP(temperatury5[[#Headers],[hot-dog]],$O$1:$P$4,2,FALSE)*(temperatury5[[#This Row],[temperatura]]-24)/2),0)</f>
        <v>100</v>
      </c>
      <c r="D58">
        <f>ROUNDDOWN($D$2*(1+VLOOKUP(temperatury5[[#Headers],[lody]],$O$1:$P$4,2,FALSE)*(temperatury5[[#This Row],[temperatura]]-24)/2),0)</f>
        <v>132</v>
      </c>
      <c r="E58">
        <f>ROUNDDOWN($E$2*(1+VLOOKUP(temperatury5[[#Headers],[kukurydza]],$O$1:$P$4,2,FALSE)*(temperatury5[[#This Row],[temperatura]]-24)/2),0)</f>
        <v>87</v>
      </c>
      <c r="F58">
        <f>temperatury5[[#This Row],[hot-dog]]*VLOOKUP(temperatury5[[#Headers],[hot-dog]],$O$1:$Q$4,3,FALSE)</f>
        <v>700</v>
      </c>
      <c r="G58">
        <f>temperatury5[[#This Row],[lody]]*VLOOKUP(temperatury5[[#Headers],[lody]],$O$1:$Q$4,3,FALSE)</f>
        <v>660</v>
      </c>
      <c r="H58">
        <f>temperatury5[[#This Row],[kukurydza]]*VLOOKUP(temperatury5[[#Headers],[kukurydza]],$O$1:$Q$4,3,FALSE)</f>
        <v>522</v>
      </c>
      <c r="I58">
        <f>SUM(temperatury5[[#This Row],[utarg_za_hot_dogi]:[utarg_za_kukurydze]])</f>
        <v>1882</v>
      </c>
      <c r="J58">
        <f>SUM($I$2:I58)</f>
        <v>95531</v>
      </c>
    </row>
    <row r="59" spans="1:10" x14ac:dyDescent="0.25">
      <c r="A59" s="1">
        <v>44770</v>
      </c>
      <c r="B59">
        <v>24</v>
      </c>
      <c r="C59">
        <f>ROUNDDOWN($C$2*(1+VLOOKUP(temperatury5[[#Headers],[hot-dog]],$O$1:$P$4,2,FALSE)*(temperatury5[[#This Row],[temperatura]]-24)/2),0)</f>
        <v>90</v>
      </c>
      <c r="D59">
        <f>ROUNDDOWN($D$2*(1+VLOOKUP(temperatury5[[#Headers],[lody]],$O$1:$P$4,2,FALSE)*(temperatury5[[#This Row],[temperatura]]-24)/2),0)</f>
        <v>120</v>
      </c>
      <c r="E59">
        <f>ROUNDDOWN($E$2*(1+VLOOKUP(temperatury5[[#Headers],[kukurydza]],$O$1:$P$4,2,FALSE)*(temperatury5[[#This Row],[temperatura]]-24)/2),0)</f>
        <v>80</v>
      </c>
      <c r="F59">
        <f>temperatury5[[#This Row],[hot-dog]]*VLOOKUP(temperatury5[[#Headers],[hot-dog]],$O$1:$Q$4,3,FALSE)</f>
        <v>630</v>
      </c>
      <c r="G59">
        <f>temperatury5[[#This Row],[lody]]*VLOOKUP(temperatury5[[#Headers],[lody]],$O$1:$Q$4,3,FALSE)</f>
        <v>600</v>
      </c>
      <c r="H59">
        <f>temperatury5[[#This Row],[kukurydza]]*VLOOKUP(temperatury5[[#Headers],[kukurydza]],$O$1:$Q$4,3,FALSE)</f>
        <v>480</v>
      </c>
      <c r="I59">
        <f>SUM(temperatury5[[#This Row],[utarg_za_hot_dogi]:[utarg_za_kukurydze]])</f>
        <v>1710</v>
      </c>
      <c r="J59">
        <f>SUM($I$2:I59)</f>
        <v>97241</v>
      </c>
    </row>
    <row r="60" spans="1:10" x14ac:dyDescent="0.25">
      <c r="A60" s="1">
        <v>44771</v>
      </c>
      <c r="B60">
        <v>26</v>
      </c>
      <c r="C60">
        <f>ROUNDDOWN($C$2*(1+VLOOKUP(temperatury5[[#Headers],[hot-dog]],$O$1:$P$4,2,FALSE)*(temperatury5[[#This Row],[temperatura]]-24)/2),0)</f>
        <v>96</v>
      </c>
      <c r="D60">
        <f>ROUNDDOWN($D$2*(1+VLOOKUP(temperatury5[[#Headers],[lody]],$O$1:$P$4,2,FALSE)*(temperatury5[[#This Row],[temperatura]]-24)/2),0)</f>
        <v>128</v>
      </c>
      <c r="E60">
        <f>ROUNDDOWN($E$2*(1+VLOOKUP(temperatury5[[#Headers],[kukurydza]],$O$1:$P$4,2,FALSE)*(temperatury5[[#This Row],[temperatura]]-24)/2),0)</f>
        <v>84</v>
      </c>
      <c r="F60">
        <f>temperatury5[[#This Row],[hot-dog]]*VLOOKUP(temperatury5[[#Headers],[hot-dog]],$O$1:$Q$4,3,FALSE)</f>
        <v>672</v>
      </c>
      <c r="G60">
        <f>temperatury5[[#This Row],[lody]]*VLOOKUP(temperatury5[[#Headers],[lody]],$O$1:$Q$4,3,FALSE)</f>
        <v>640</v>
      </c>
      <c r="H60">
        <f>temperatury5[[#This Row],[kukurydza]]*VLOOKUP(temperatury5[[#Headers],[kukurydza]],$O$1:$Q$4,3,FALSE)</f>
        <v>504</v>
      </c>
      <c r="I60">
        <f>SUM(temperatury5[[#This Row],[utarg_za_hot_dogi]:[utarg_za_kukurydze]])</f>
        <v>1816</v>
      </c>
      <c r="J60">
        <f>SUM($I$2:I60)</f>
        <v>99057</v>
      </c>
    </row>
    <row r="61" spans="1:10" x14ac:dyDescent="0.25">
      <c r="A61" s="1">
        <v>44772</v>
      </c>
      <c r="B61">
        <v>25</v>
      </c>
      <c r="C61">
        <f>ROUNDDOWN($C$2*(1+VLOOKUP(temperatury5[[#Headers],[hot-dog]],$O$1:$P$4,2,FALSE)*(temperatury5[[#This Row],[temperatura]]-24)/2),0)</f>
        <v>93</v>
      </c>
      <c r="D61">
        <f>ROUNDDOWN($D$2*(1+VLOOKUP(temperatury5[[#Headers],[lody]],$O$1:$P$4,2,FALSE)*(temperatury5[[#This Row],[temperatura]]-24)/2),0)</f>
        <v>124</v>
      </c>
      <c r="E61">
        <f>ROUNDDOWN($E$2*(1+VLOOKUP(temperatury5[[#Headers],[kukurydza]],$O$1:$P$4,2,FALSE)*(temperatury5[[#This Row],[temperatura]]-24)/2),0)</f>
        <v>82</v>
      </c>
      <c r="F61">
        <f>temperatury5[[#This Row],[hot-dog]]*VLOOKUP(temperatury5[[#Headers],[hot-dog]],$O$1:$Q$4,3,FALSE)</f>
        <v>651</v>
      </c>
      <c r="G61">
        <f>temperatury5[[#This Row],[lody]]*VLOOKUP(temperatury5[[#Headers],[lody]],$O$1:$Q$4,3,FALSE)</f>
        <v>620</v>
      </c>
      <c r="H61">
        <f>temperatury5[[#This Row],[kukurydza]]*VLOOKUP(temperatury5[[#Headers],[kukurydza]],$O$1:$Q$4,3,FALSE)</f>
        <v>492</v>
      </c>
      <c r="I61">
        <f>SUM(temperatury5[[#This Row],[utarg_za_hot_dogi]:[utarg_za_kukurydze]])</f>
        <v>1763</v>
      </c>
      <c r="J61">
        <f>SUM($I$2:I61)</f>
        <v>100820</v>
      </c>
    </row>
    <row r="62" spans="1:10" x14ac:dyDescent="0.25">
      <c r="A62" s="1">
        <v>44773</v>
      </c>
      <c r="B62">
        <v>24</v>
      </c>
      <c r="C62">
        <f>ROUNDDOWN($C$2*(1+VLOOKUP(temperatury5[[#Headers],[hot-dog]],$O$1:$P$4,2,FALSE)*(temperatury5[[#This Row],[temperatura]]-24)/2),0)</f>
        <v>90</v>
      </c>
      <c r="D62">
        <f>ROUNDDOWN($D$2*(1+VLOOKUP(temperatury5[[#Headers],[lody]],$O$1:$P$4,2,FALSE)*(temperatury5[[#This Row],[temperatura]]-24)/2),0)</f>
        <v>120</v>
      </c>
      <c r="E62">
        <f>ROUNDDOWN($E$2*(1+VLOOKUP(temperatury5[[#Headers],[kukurydza]],$O$1:$P$4,2,FALSE)*(temperatury5[[#This Row],[temperatura]]-24)/2),0)</f>
        <v>80</v>
      </c>
      <c r="F62">
        <f>temperatury5[[#This Row],[hot-dog]]*VLOOKUP(temperatury5[[#Headers],[hot-dog]],$O$1:$Q$4,3,FALSE)</f>
        <v>630</v>
      </c>
      <c r="G62">
        <f>temperatury5[[#This Row],[lody]]*VLOOKUP(temperatury5[[#Headers],[lody]],$O$1:$Q$4,3,FALSE)</f>
        <v>600</v>
      </c>
      <c r="H62">
        <f>temperatury5[[#This Row],[kukurydza]]*VLOOKUP(temperatury5[[#Headers],[kukurydza]],$O$1:$Q$4,3,FALSE)</f>
        <v>480</v>
      </c>
      <c r="I62">
        <f>SUM(temperatury5[[#This Row],[utarg_za_hot_dogi]:[utarg_za_kukurydze]])</f>
        <v>1710</v>
      </c>
      <c r="J62">
        <f>SUM($I$2:I62)</f>
        <v>102530</v>
      </c>
    </row>
    <row r="63" spans="1:10" x14ac:dyDescent="0.25">
      <c r="A63" s="1">
        <v>44774</v>
      </c>
      <c r="B63">
        <v>22</v>
      </c>
      <c r="C63">
        <f>ROUNDDOWN($C$2*(1+VLOOKUP(temperatury5[[#Headers],[hot-dog]],$O$1:$P$4,2,FALSE)*(temperatury5[[#This Row],[temperatura]]-24)/2),0)</f>
        <v>83</v>
      </c>
      <c r="D63">
        <f>ROUNDDOWN($D$2*(1+VLOOKUP(temperatury5[[#Headers],[lody]],$O$1:$P$4,2,FALSE)*(temperatury5[[#This Row],[temperatura]]-24)/2),0)</f>
        <v>111</v>
      </c>
      <c r="E63">
        <f>ROUNDDOWN($E$2*(1+VLOOKUP(temperatury5[[#Headers],[kukurydza]],$O$1:$P$4,2,FALSE)*(temperatury5[[#This Row],[temperatura]]-24)/2),0)</f>
        <v>75</v>
      </c>
      <c r="F63">
        <f>temperatury5[[#This Row],[hot-dog]]*VLOOKUP(temperatury5[[#Headers],[hot-dog]],$O$1:$Q$4,3,FALSE)</f>
        <v>581</v>
      </c>
      <c r="G63">
        <f>temperatury5[[#This Row],[lody]]*VLOOKUP(temperatury5[[#Headers],[lody]],$O$1:$Q$4,3,FALSE)</f>
        <v>555</v>
      </c>
      <c r="H63">
        <f>temperatury5[[#This Row],[kukurydza]]*VLOOKUP(temperatury5[[#Headers],[kukurydza]],$O$1:$Q$4,3,FALSE)</f>
        <v>450</v>
      </c>
      <c r="I63">
        <f>SUM(temperatury5[[#This Row],[utarg_za_hot_dogi]:[utarg_za_kukurydze]])</f>
        <v>1586</v>
      </c>
      <c r="J63">
        <f>SUM($I$2:I63)</f>
        <v>104116</v>
      </c>
    </row>
    <row r="64" spans="1:10" x14ac:dyDescent="0.25">
      <c r="A64" s="1">
        <v>44775</v>
      </c>
      <c r="B64">
        <v>19</v>
      </c>
      <c r="C64">
        <f>ROUNDDOWN($C$2*(1+VLOOKUP(temperatury5[[#Headers],[hot-dog]],$O$1:$P$4,2,FALSE)*(temperatury5[[#This Row],[temperatura]]-24)/2),0)</f>
        <v>72</v>
      </c>
      <c r="D64">
        <f>ROUNDDOWN($D$2*(1+VLOOKUP(temperatury5[[#Headers],[lody]],$O$1:$P$4,2,FALSE)*(temperatury5[[#This Row],[temperatura]]-24)/2),0)</f>
        <v>99</v>
      </c>
      <c r="E64">
        <f>ROUNDDOWN($E$2*(1+VLOOKUP(temperatury5[[#Headers],[kukurydza]],$O$1:$P$4,2,FALSE)*(temperatury5[[#This Row],[temperatura]]-24)/2),0)</f>
        <v>68</v>
      </c>
      <c r="F64">
        <f>temperatury5[[#This Row],[hot-dog]]*VLOOKUP(temperatury5[[#Headers],[hot-dog]],$O$1:$Q$4,3,FALSE)</f>
        <v>504</v>
      </c>
      <c r="G64">
        <f>temperatury5[[#This Row],[lody]]*VLOOKUP(temperatury5[[#Headers],[lody]],$O$1:$Q$4,3,FALSE)</f>
        <v>495</v>
      </c>
      <c r="H64">
        <f>temperatury5[[#This Row],[kukurydza]]*VLOOKUP(temperatury5[[#Headers],[kukurydza]],$O$1:$Q$4,3,FALSE)</f>
        <v>408</v>
      </c>
      <c r="I64">
        <f>SUM(temperatury5[[#This Row],[utarg_za_hot_dogi]:[utarg_za_kukurydze]])</f>
        <v>1407</v>
      </c>
      <c r="J64">
        <f>SUM($I$2:I64)</f>
        <v>105523</v>
      </c>
    </row>
    <row r="65" spans="1:10" x14ac:dyDescent="0.25">
      <c r="A65" s="1">
        <v>44776</v>
      </c>
      <c r="B65">
        <v>21</v>
      </c>
      <c r="C65">
        <f>ROUNDDOWN($C$2*(1+VLOOKUP(temperatury5[[#Headers],[hot-dog]],$O$1:$P$4,2,FALSE)*(temperatury5[[#This Row],[temperatura]]-24)/2),0)</f>
        <v>79</v>
      </c>
      <c r="D65">
        <f>ROUNDDOWN($D$2*(1+VLOOKUP(temperatury5[[#Headers],[lody]],$O$1:$P$4,2,FALSE)*(temperatury5[[#This Row],[temperatura]]-24)/2),0)</f>
        <v>107</v>
      </c>
      <c r="E65">
        <f>ROUNDDOWN($E$2*(1+VLOOKUP(temperatury5[[#Headers],[kukurydza]],$O$1:$P$4,2,FALSE)*(temperatury5[[#This Row],[temperatura]]-24)/2),0)</f>
        <v>72</v>
      </c>
      <c r="F65">
        <f>temperatury5[[#This Row],[hot-dog]]*VLOOKUP(temperatury5[[#Headers],[hot-dog]],$O$1:$Q$4,3,FALSE)</f>
        <v>553</v>
      </c>
      <c r="G65">
        <f>temperatury5[[#This Row],[lody]]*VLOOKUP(temperatury5[[#Headers],[lody]],$O$1:$Q$4,3,FALSE)</f>
        <v>535</v>
      </c>
      <c r="H65">
        <f>temperatury5[[#This Row],[kukurydza]]*VLOOKUP(temperatury5[[#Headers],[kukurydza]],$O$1:$Q$4,3,FALSE)</f>
        <v>432</v>
      </c>
      <c r="I65">
        <f>SUM(temperatury5[[#This Row],[utarg_za_hot_dogi]:[utarg_za_kukurydze]])</f>
        <v>1520</v>
      </c>
      <c r="J65">
        <f>SUM($I$2:I65)</f>
        <v>107043</v>
      </c>
    </row>
    <row r="66" spans="1:10" x14ac:dyDescent="0.25">
      <c r="A66" s="1">
        <v>44777</v>
      </c>
      <c r="B66">
        <v>26</v>
      </c>
      <c r="C66">
        <f>ROUNDDOWN($C$2*(1+VLOOKUP(temperatury5[[#Headers],[hot-dog]],$O$1:$P$4,2,FALSE)*(temperatury5[[#This Row],[temperatura]]-24)/2),0)</f>
        <v>96</v>
      </c>
      <c r="D66">
        <f>ROUNDDOWN($D$2*(1+VLOOKUP(temperatury5[[#Headers],[lody]],$O$1:$P$4,2,FALSE)*(temperatury5[[#This Row],[temperatura]]-24)/2),0)</f>
        <v>128</v>
      </c>
      <c r="E66">
        <f>ROUNDDOWN($E$2*(1+VLOOKUP(temperatury5[[#Headers],[kukurydza]],$O$1:$P$4,2,FALSE)*(temperatury5[[#This Row],[temperatura]]-24)/2),0)</f>
        <v>84</v>
      </c>
      <c r="F66">
        <f>temperatury5[[#This Row],[hot-dog]]*VLOOKUP(temperatury5[[#Headers],[hot-dog]],$O$1:$Q$4,3,FALSE)</f>
        <v>672</v>
      </c>
      <c r="G66">
        <f>temperatury5[[#This Row],[lody]]*VLOOKUP(temperatury5[[#Headers],[lody]],$O$1:$Q$4,3,FALSE)</f>
        <v>640</v>
      </c>
      <c r="H66">
        <f>temperatury5[[#This Row],[kukurydza]]*VLOOKUP(temperatury5[[#Headers],[kukurydza]],$O$1:$Q$4,3,FALSE)</f>
        <v>504</v>
      </c>
      <c r="I66">
        <f>SUM(temperatury5[[#This Row],[utarg_za_hot_dogi]:[utarg_za_kukurydze]])</f>
        <v>1816</v>
      </c>
      <c r="J66">
        <f>SUM($I$2:I66)</f>
        <v>108859</v>
      </c>
    </row>
    <row r="67" spans="1:10" x14ac:dyDescent="0.25">
      <c r="A67" s="1">
        <v>44778</v>
      </c>
      <c r="B67">
        <v>19</v>
      </c>
      <c r="C67">
        <f>ROUNDDOWN($C$2*(1+VLOOKUP(temperatury5[[#Headers],[hot-dog]],$O$1:$P$4,2,FALSE)*(temperatury5[[#This Row],[temperatura]]-24)/2),0)</f>
        <v>72</v>
      </c>
      <c r="D67">
        <f>ROUNDDOWN($D$2*(1+VLOOKUP(temperatury5[[#Headers],[lody]],$O$1:$P$4,2,FALSE)*(temperatury5[[#This Row],[temperatura]]-24)/2),0)</f>
        <v>99</v>
      </c>
      <c r="E67">
        <f>ROUNDDOWN($E$2*(1+VLOOKUP(temperatury5[[#Headers],[kukurydza]],$O$1:$P$4,2,FALSE)*(temperatury5[[#This Row],[temperatura]]-24)/2),0)</f>
        <v>68</v>
      </c>
      <c r="F67">
        <f>temperatury5[[#This Row],[hot-dog]]*VLOOKUP(temperatury5[[#Headers],[hot-dog]],$O$1:$Q$4,3,FALSE)</f>
        <v>504</v>
      </c>
      <c r="G67">
        <f>temperatury5[[#This Row],[lody]]*VLOOKUP(temperatury5[[#Headers],[lody]],$O$1:$Q$4,3,FALSE)</f>
        <v>495</v>
      </c>
      <c r="H67">
        <f>temperatury5[[#This Row],[kukurydza]]*VLOOKUP(temperatury5[[#Headers],[kukurydza]],$O$1:$Q$4,3,FALSE)</f>
        <v>408</v>
      </c>
      <c r="I67">
        <f>SUM(temperatury5[[#This Row],[utarg_za_hot_dogi]:[utarg_za_kukurydze]])</f>
        <v>1407</v>
      </c>
      <c r="J67">
        <f>SUM($I$2:I67)</f>
        <v>110266</v>
      </c>
    </row>
    <row r="68" spans="1:10" x14ac:dyDescent="0.25">
      <c r="A68" s="1">
        <v>44779</v>
      </c>
      <c r="B68">
        <v>21</v>
      </c>
      <c r="C68">
        <f>ROUNDDOWN($C$2*(1+VLOOKUP(temperatury5[[#Headers],[hot-dog]],$O$1:$P$4,2,FALSE)*(temperatury5[[#This Row],[temperatura]]-24)/2),0)</f>
        <v>79</v>
      </c>
      <c r="D68">
        <f>ROUNDDOWN($D$2*(1+VLOOKUP(temperatury5[[#Headers],[lody]],$O$1:$P$4,2,FALSE)*(temperatury5[[#This Row],[temperatura]]-24)/2),0)</f>
        <v>107</v>
      </c>
      <c r="E68">
        <f>ROUNDDOWN($E$2*(1+VLOOKUP(temperatury5[[#Headers],[kukurydza]],$O$1:$P$4,2,FALSE)*(temperatury5[[#This Row],[temperatura]]-24)/2),0)</f>
        <v>72</v>
      </c>
      <c r="F68">
        <f>temperatury5[[#This Row],[hot-dog]]*VLOOKUP(temperatury5[[#Headers],[hot-dog]],$O$1:$Q$4,3,FALSE)</f>
        <v>553</v>
      </c>
      <c r="G68">
        <f>temperatury5[[#This Row],[lody]]*VLOOKUP(temperatury5[[#Headers],[lody]],$O$1:$Q$4,3,FALSE)</f>
        <v>535</v>
      </c>
      <c r="H68">
        <f>temperatury5[[#This Row],[kukurydza]]*VLOOKUP(temperatury5[[#Headers],[kukurydza]],$O$1:$Q$4,3,FALSE)</f>
        <v>432</v>
      </c>
      <c r="I68">
        <f>SUM(temperatury5[[#This Row],[utarg_za_hot_dogi]:[utarg_za_kukurydze]])</f>
        <v>1520</v>
      </c>
      <c r="J68">
        <f>SUM($I$2:I68)</f>
        <v>111786</v>
      </c>
    </row>
    <row r="69" spans="1:10" x14ac:dyDescent="0.25">
      <c r="A69" s="1">
        <v>44780</v>
      </c>
      <c r="B69">
        <v>23</v>
      </c>
      <c r="C69">
        <f>ROUNDDOWN($C$2*(1+VLOOKUP(temperatury5[[#Headers],[hot-dog]],$O$1:$P$4,2,FALSE)*(temperatury5[[#This Row],[temperatura]]-24)/2),0)</f>
        <v>86</v>
      </c>
      <c r="D69">
        <f>ROUNDDOWN($D$2*(1+VLOOKUP(temperatury5[[#Headers],[lody]],$O$1:$P$4,2,FALSE)*(temperatury5[[#This Row],[temperatura]]-24)/2),0)</f>
        <v>115</v>
      </c>
      <c r="E69">
        <f>ROUNDDOWN($E$2*(1+VLOOKUP(temperatury5[[#Headers],[kukurydza]],$O$1:$P$4,2,FALSE)*(temperatury5[[#This Row],[temperatura]]-24)/2),0)</f>
        <v>77</v>
      </c>
      <c r="F69">
        <f>temperatury5[[#This Row],[hot-dog]]*VLOOKUP(temperatury5[[#Headers],[hot-dog]],$O$1:$Q$4,3,FALSE)</f>
        <v>602</v>
      </c>
      <c r="G69">
        <f>temperatury5[[#This Row],[lody]]*VLOOKUP(temperatury5[[#Headers],[lody]],$O$1:$Q$4,3,FALSE)</f>
        <v>575</v>
      </c>
      <c r="H69">
        <f>temperatury5[[#This Row],[kukurydza]]*VLOOKUP(temperatury5[[#Headers],[kukurydza]],$O$1:$Q$4,3,FALSE)</f>
        <v>462</v>
      </c>
      <c r="I69">
        <f>SUM(temperatury5[[#This Row],[utarg_za_hot_dogi]:[utarg_za_kukurydze]])</f>
        <v>1639</v>
      </c>
      <c r="J69">
        <f>SUM($I$2:I69)</f>
        <v>113425</v>
      </c>
    </row>
    <row r="70" spans="1:10" x14ac:dyDescent="0.25">
      <c r="A70" s="1">
        <v>44781</v>
      </c>
      <c r="B70">
        <v>27</v>
      </c>
      <c r="C70">
        <f>ROUNDDOWN($C$2*(1+VLOOKUP(temperatury5[[#Headers],[hot-dog]],$O$1:$P$4,2,FALSE)*(temperatury5[[#This Row],[temperatura]]-24)/2),0)</f>
        <v>100</v>
      </c>
      <c r="D70">
        <f>ROUNDDOWN($D$2*(1+VLOOKUP(temperatury5[[#Headers],[lody]],$O$1:$P$4,2,FALSE)*(temperatury5[[#This Row],[temperatura]]-24)/2),0)</f>
        <v>132</v>
      </c>
      <c r="E70">
        <f>ROUNDDOWN($E$2*(1+VLOOKUP(temperatury5[[#Headers],[kukurydza]],$O$1:$P$4,2,FALSE)*(temperatury5[[#This Row],[temperatura]]-24)/2),0)</f>
        <v>87</v>
      </c>
      <c r="F70">
        <f>temperatury5[[#This Row],[hot-dog]]*VLOOKUP(temperatury5[[#Headers],[hot-dog]],$O$1:$Q$4,3,FALSE)</f>
        <v>700</v>
      </c>
      <c r="G70">
        <f>temperatury5[[#This Row],[lody]]*VLOOKUP(temperatury5[[#Headers],[lody]],$O$1:$Q$4,3,FALSE)</f>
        <v>660</v>
      </c>
      <c r="H70">
        <f>temperatury5[[#This Row],[kukurydza]]*VLOOKUP(temperatury5[[#Headers],[kukurydza]],$O$1:$Q$4,3,FALSE)</f>
        <v>522</v>
      </c>
      <c r="I70">
        <f>SUM(temperatury5[[#This Row],[utarg_za_hot_dogi]:[utarg_za_kukurydze]])</f>
        <v>1882</v>
      </c>
      <c r="J70">
        <f>SUM($I$2:I70)</f>
        <v>115307</v>
      </c>
    </row>
    <row r="71" spans="1:10" x14ac:dyDescent="0.25">
      <c r="A71" s="1">
        <v>44782</v>
      </c>
      <c r="B71">
        <v>20</v>
      </c>
      <c r="C71">
        <f>ROUNDDOWN($C$2*(1+VLOOKUP(temperatury5[[#Headers],[hot-dog]],$O$1:$P$4,2,FALSE)*(temperatury5[[#This Row],[temperatura]]-24)/2),0)</f>
        <v>76</v>
      </c>
      <c r="D71">
        <f>ROUNDDOWN($D$2*(1+VLOOKUP(temperatury5[[#Headers],[lody]],$O$1:$P$4,2,FALSE)*(temperatury5[[#This Row],[temperatura]]-24)/2),0)</f>
        <v>103</v>
      </c>
      <c r="E71">
        <f>ROUNDDOWN($E$2*(1+VLOOKUP(temperatury5[[#Headers],[kukurydza]],$O$1:$P$4,2,FALSE)*(temperatury5[[#This Row],[temperatura]]-24)/2),0)</f>
        <v>70</v>
      </c>
      <c r="F71">
        <f>temperatury5[[#This Row],[hot-dog]]*VLOOKUP(temperatury5[[#Headers],[hot-dog]],$O$1:$Q$4,3,FALSE)</f>
        <v>532</v>
      </c>
      <c r="G71">
        <f>temperatury5[[#This Row],[lody]]*VLOOKUP(temperatury5[[#Headers],[lody]],$O$1:$Q$4,3,FALSE)</f>
        <v>515</v>
      </c>
      <c r="H71">
        <f>temperatury5[[#This Row],[kukurydza]]*VLOOKUP(temperatury5[[#Headers],[kukurydza]],$O$1:$Q$4,3,FALSE)</f>
        <v>420</v>
      </c>
      <c r="I71">
        <f>SUM(temperatury5[[#This Row],[utarg_za_hot_dogi]:[utarg_za_kukurydze]])</f>
        <v>1467</v>
      </c>
      <c r="J71">
        <f>SUM($I$2:I71)</f>
        <v>116774</v>
      </c>
    </row>
    <row r="72" spans="1:10" x14ac:dyDescent="0.25">
      <c r="A72" s="1">
        <v>44783</v>
      </c>
      <c r="B72">
        <v>18</v>
      </c>
      <c r="C72">
        <f>ROUNDDOWN($C$2*(1+VLOOKUP(temperatury5[[#Headers],[hot-dog]],$O$1:$P$4,2,FALSE)*(temperatury5[[#This Row],[temperatura]]-24)/2),0)</f>
        <v>69</v>
      </c>
      <c r="D72">
        <f>ROUNDDOWN($D$2*(1+VLOOKUP(temperatury5[[#Headers],[lody]],$O$1:$P$4,2,FALSE)*(temperatury5[[#This Row],[temperatura]]-24)/2),0)</f>
        <v>95</v>
      </c>
      <c r="E72">
        <f>ROUNDDOWN($E$2*(1+VLOOKUP(temperatury5[[#Headers],[kukurydza]],$O$1:$P$4,2,FALSE)*(temperatury5[[#This Row],[temperatura]]-24)/2),0)</f>
        <v>65</v>
      </c>
      <c r="F72">
        <f>temperatury5[[#This Row],[hot-dog]]*VLOOKUP(temperatury5[[#Headers],[hot-dog]],$O$1:$Q$4,3,FALSE)</f>
        <v>483</v>
      </c>
      <c r="G72">
        <f>temperatury5[[#This Row],[lody]]*VLOOKUP(temperatury5[[#Headers],[lody]],$O$1:$Q$4,3,FALSE)</f>
        <v>475</v>
      </c>
      <c r="H72">
        <f>temperatury5[[#This Row],[kukurydza]]*VLOOKUP(temperatury5[[#Headers],[kukurydza]],$O$1:$Q$4,3,FALSE)</f>
        <v>390</v>
      </c>
      <c r="I72">
        <f>SUM(temperatury5[[#This Row],[utarg_za_hot_dogi]:[utarg_za_kukurydze]])</f>
        <v>1348</v>
      </c>
      <c r="J72">
        <f>SUM($I$2:I72)</f>
        <v>118122</v>
      </c>
    </row>
    <row r="73" spans="1:10" x14ac:dyDescent="0.25">
      <c r="A73" s="1">
        <v>44784</v>
      </c>
      <c r="B73">
        <v>17</v>
      </c>
      <c r="C73">
        <f>ROUNDDOWN($C$2*(1+VLOOKUP(temperatury5[[#Headers],[hot-dog]],$O$1:$P$4,2,FALSE)*(temperatury5[[#This Row],[temperatura]]-24)/2),0)</f>
        <v>65</v>
      </c>
      <c r="D73">
        <f>ROUNDDOWN($D$2*(1+VLOOKUP(temperatury5[[#Headers],[lody]],$O$1:$P$4,2,FALSE)*(temperatury5[[#This Row],[temperatura]]-24)/2),0)</f>
        <v>91</v>
      </c>
      <c r="E73">
        <f>ROUNDDOWN($E$2*(1+VLOOKUP(temperatury5[[#Headers],[kukurydza]],$O$1:$P$4,2,FALSE)*(temperatury5[[#This Row],[temperatura]]-24)/2),0)</f>
        <v>63</v>
      </c>
      <c r="F73">
        <f>temperatury5[[#This Row],[hot-dog]]*VLOOKUP(temperatury5[[#Headers],[hot-dog]],$O$1:$Q$4,3,FALSE)</f>
        <v>455</v>
      </c>
      <c r="G73">
        <f>temperatury5[[#This Row],[lody]]*VLOOKUP(temperatury5[[#Headers],[lody]],$O$1:$Q$4,3,FALSE)</f>
        <v>455</v>
      </c>
      <c r="H73">
        <f>temperatury5[[#This Row],[kukurydza]]*VLOOKUP(temperatury5[[#Headers],[kukurydza]],$O$1:$Q$4,3,FALSE)</f>
        <v>378</v>
      </c>
      <c r="I73">
        <f>SUM(temperatury5[[#This Row],[utarg_za_hot_dogi]:[utarg_za_kukurydze]])</f>
        <v>1288</v>
      </c>
      <c r="J73">
        <f>SUM($I$2:I73)</f>
        <v>119410</v>
      </c>
    </row>
    <row r="74" spans="1:10" x14ac:dyDescent="0.25">
      <c r="A74" s="1">
        <v>44785</v>
      </c>
      <c r="B74">
        <v>19</v>
      </c>
      <c r="C74">
        <f>ROUNDDOWN($C$2*(1+VLOOKUP(temperatury5[[#Headers],[hot-dog]],$O$1:$P$4,2,FALSE)*(temperatury5[[#This Row],[temperatura]]-24)/2),0)</f>
        <v>72</v>
      </c>
      <c r="D74">
        <f>ROUNDDOWN($D$2*(1+VLOOKUP(temperatury5[[#Headers],[lody]],$O$1:$P$4,2,FALSE)*(temperatury5[[#This Row],[temperatura]]-24)/2),0)</f>
        <v>99</v>
      </c>
      <c r="E74">
        <f>ROUNDDOWN($E$2*(1+VLOOKUP(temperatury5[[#Headers],[kukurydza]],$O$1:$P$4,2,FALSE)*(temperatury5[[#This Row],[temperatura]]-24)/2),0)</f>
        <v>68</v>
      </c>
      <c r="F74">
        <f>temperatury5[[#This Row],[hot-dog]]*VLOOKUP(temperatury5[[#Headers],[hot-dog]],$O$1:$Q$4,3,FALSE)</f>
        <v>504</v>
      </c>
      <c r="G74">
        <f>temperatury5[[#This Row],[lody]]*VLOOKUP(temperatury5[[#Headers],[lody]],$O$1:$Q$4,3,FALSE)</f>
        <v>495</v>
      </c>
      <c r="H74">
        <f>temperatury5[[#This Row],[kukurydza]]*VLOOKUP(temperatury5[[#Headers],[kukurydza]],$O$1:$Q$4,3,FALSE)</f>
        <v>408</v>
      </c>
      <c r="I74">
        <f>SUM(temperatury5[[#This Row],[utarg_za_hot_dogi]:[utarg_za_kukurydze]])</f>
        <v>1407</v>
      </c>
      <c r="J74">
        <f>SUM($I$2:I74)</f>
        <v>120817</v>
      </c>
    </row>
    <row r="75" spans="1:10" x14ac:dyDescent="0.25">
      <c r="A75" s="1">
        <v>44786</v>
      </c>
      <c r="B75">
        <v>26</v>
      </c>
      <c r="C75">
        <f>ROUNDDOWN($C$2*(1+VLOOKUP(temperatury5[[#Headers],[hot-dog]],$O$1:$P$4,2,FALSE)*(temperatury5[[#This Row],[temperatura]]-24)/2),0)</f>
        <v>96</v>
      </c>
      <c r="D75">
        <f>ROUNDDOWN($D$2*(1+VLOOKUP(temperatury5[[#Headers],[lody]],$O$1:$P$4,2,FALSE)*(temperatury5[[#This Row],[temperatura]]-24)/2),0)</f>
        <v>128</v>
      </c>
      <c r="E75">
        <f>ROUNDDOWN($E$2*(1+VLOOKUP(temperatury5[[#Headers],[kukurydza]],$O$1:$P$4,2,FALSE)*(temperatury5[[#This Row],[temperatura]]-24)/2),0)</f>
        <v>84</v>
      </c>
      <c r="F75">
        <f>temperatury5[[#This Row],[hot-dog]]*VLOOKUP(temperatury5[[#Headers],[hot-dog]],$O$1:$Q$4,3,FALSE)</f>
        <v>672</v>
      </c>
      <c r="G75">
        <f>temperatury5[[#This Row],[lody]]*VLOOKUP(temperatury5[[#Headers],[lody]],$O$1:$Q$4,3,FALSE)</f>
        <v>640</v>
      </c>
      <c r="H75">
        <f>temperatury5[[#This Row],[kukurydza]]*VLOOKUP(temperatury5[[#Headers],[kukurydza]],$O$1:$Q$4,3,FALSE)</f>
        <v>504</v>
      </c>
      <c r="I75">
        <f>SUM(temperatury5[[#This Row],[utarg_za_hot_dogi]:[utarg_za_kukurydze]])</f>
        <v>1816</v>
      </c>
      <c r="J75">
        <f>SUM($I$2:I75)</f>
        <v>122633</v>
      </c>
    </row>
    <row r="76" spans="1:10" x14ac:dyDescent="0.25">
      <c r="A76" s="1">
        <v>44787</v>
      </c>
      <c r="B76">
        <v>21</v>
      </c>
      <c r="C76">
        <f>ROUNDDOWN($C$2*(1+VLOOKUP(temperatury5[[#Headers],[hot-dog]],$O$1:$P$4,2,FALSE)*(temperatury5[[#This Row],[temperatura]]-24)/2),0)</f>
        <v>79</v>
      </c>
      <c r="D76">
        <f>ROUNDDOWN($D$2*(1+VLOOKUP(temperatury5[[#Headers],[lody]],$O$1:$P$4,2,FALSE)*(temperatury5[[#This Row],[temperatura]]-24)/2),0)</f>
        <v>107</v>
      </c>
      <c r="E76">
        <f>ROUNDDOWN($E$2*(1+VLOOKUP(temperatury5[[#Headers],[kukurydza]],$O$1:$P$4,2,FALSE)*(temperatury5[[#This Row],[temperatura]]-24)/2),0)</f>
        <v>72</v>
      </c>
      <c r="F76">
        <f>temperatury5[[#This Row],[hot-dog]]*VLOOKUP(temperatury5[[#Headers],[hot-dog]],$O$1:$Q$4,3,FALSE)</f>
        <v>553</v>
      </c>
      <c r="G76">
        <f>temperatury5[[#This Row],[lody]]*VLOOKUP(temperatury5[[#Headers],[lody]],$O$1:$Q$4,3,FALSE)</f>
        <v>535</v>
      </c>
      <c r="H76">
        <f>temperatury5[[#This Row],[kukurydza]]*VLOOKUP(temperatury5[[#Headers],[kukurydza]],$O$1:$Q$4,3,FALSE)</f>
        <v>432</v>
      </c>
      <c r="I76">
        <f>SUM(temperatury5[[#This Row],[utarg_za_hot_dogi]:[utarg_za_kukurydze]])</f>
        <v>1520</v>
      </c>
      <c r="J76">
        <f>SUM($I$2:I76)</f>
        <v>124153</v>
      </c>
    </row>
    <row r="77" spans="1:10" x14ac:dyDescent="0.25">
      <c r="A77" s="1">
        <v>44788</v>
      </c>
      <c r="B77">
        <v>19</v>
      </c>
      <c r="C77">
        <f>ROUNDDOWN($C$2*(1+VLOOKUP(temperatury5[[#Headers],[hot-dog]],$O$1:$P$4,2,FALSE)*(temperatury5[[#This Row],[temperatura]]-24)/2),0)</f>
        <v>72</v>
      </c>
      <c r="D77">
        <f>ROUNDDOWN($D$2*(1+VLOOKUP(temperatury5[[#Headers],[lody]],$O$1:$P$4,2,FALSE)*(temperatury5[[#This Row],[temperatura]]-24)/2),0)</f>
        <v>99</v>
      </c>
      <c r="E77">
        <f>ROUNDDOWN($E$2*(1+VLOOKUP(temperatury5[[#Headers],[kukurydza]],$O$1:$P$4,2,FALSE)*(temperatury5[[#This Row],[temperatura]]-24)/2),0)</f>
        <v>68</v>
      </c>
      <c r="F77">
        <f>temperatury5[[#This Row],[hot-dog]]*VLOOKUP(temperatury5[[#Headers],[hot-dog]],$O$1:$Q$4,3,FALSE)</f>
        <v>504</v>
      </c>
      <c r="G77">
        <f>temperatury5[[#This Row],[lody]]*VLOOKUP(temperatury5[[#Headers],[lody]],$O$1:$Q$4,3,FALSE)</f>
        <v>495</v>
      </c>
      <c r="H77">
        <f>temperatury5[[#This Row],[kukurydza]]*VLOOKUP(temperatury5[[#Headers],[kukurydza]],$O$1:$Q$4,3,FALSE)</f>
        <v>408</v>
      </c>
      <c r="I77">
        <f>SUM(temperatury5[[#This Row],[utarg_za_hot_dogi]:[utarg_za_kukurydze]])</f>
        <v>1407</v>
      </c>
      <c r="J77">
        <f>SUM($I$2:I77)</f>
        <v>125560</v>
      </c>
    </row>
    <row r="78" spans="1:10" x14ac:dyDescent="0.25">
      <c r="A78" s="1">
        <v>44789</v>
      </c>
      <c r="B78">
        <v>19</v>
      </c>
      <c r="C78">
        <f>ROUNDDOWN($C$2*(1+VLOOKUP(temperatury5[[#Headers],[hot-dog]],$O$1:$P$4,2,FALSE)*(temperatury5[[#This Row],[temperatura]]-24)/2),0)</f>
        <v>72</v>
      </c>
      <c r="D78">
        <f>ROUNDDOWN($D$2*(1+VLOOKUP(temperatury5[[#Headers],[lody]],$O$1:$P$4,2,FALSE)*(temperatury5[[#This Row],[temperatura]]-24)/2),0)</f>
        <v>99</v>
      </c>
      <c r="E78">
        <f>ROUNDDOWN($E$2*(1+VLOOKUP(temperatury5[[#Headers],[kukurydza]],$O$1:$P$4,2,FALSE)*(temperatury5[[#This Row],[temperatura]]-24)/2),0)</f>
        <v>68</v>
      </c>
      <c r="F78">
        <f>temperatury5[[#This Row],[hot-dog]]*VLOOKUP(temperatury5[[#Headers],[hot-dog]],$O$1:$Q$4,3,FALSE)</f>
        <v>504</v>
      </c>
      <c r="G78">
        <f>temperatury5[[#This Row],[lody]]*VLOOKUP(temperatury5[[#Headers],[lody]],$O$1:$Q$4,3,FALSE)</f>
        <v>495</v>
      </c>
      <c r="H78">
        <f>temperatury5[[#This Row],[kukurydza]]*VLOOKUP(temperatury5[[#Headers],[kukurydza]],$O$1:$Q$4,3,FALSE)</f>
        <v>408</v>
      </c>
      <c r="I78">
        <f>SUM(temperatury5[[#This Row],[utarg_za_hot_dogi]:[utarg_za_kukurydze]])</f>
        <v>1407</v>
      </c>
      <c r="J78">
        <f>SUM($I$2:I78)</f>
        <v>126967</v>
      </c>
    </row>
    <row r="79" spans="1:10" x14ac:dyDescent="0.25">
      <c r="A79" s="1">
        <v>44790</v>
      </c>
      <c r="B79">
        <v>21</v>
      </c>
      <c r="C79">
        <f>ROUNDDOWN($C$2*(1+VLOOKUP(temperatury5[[#Headers],[hot-dog]],$O$1:$P$4,2,FALSE)*(temperatury5[[#This Row],[temperatura]]-24)/2),0)</f>
        <v>79</v>
      </c>
      <c r="D79">
        <f>ROUNDDOWN($D$2*(1+VLOOKUP(temperatury5[[#Headers],[lody]],$O$1:$P$4,2,FALSE)*(temperatury5[[#This Row],[temperatura]]-24)/2),0)</f>
        <v>107</v>
      </c>
      <c r="E79">
        <f>ROUNDDOWN($E$2*(1+VLOOKUP(temperatury5[[#Headers],[kukurydza]],$O$1:$P$4,2,FALSE)*(temperatury5[[#This Row],[temperatura]]-24)/2),0)</f>
        <v>72</v>
      </c>
      <c r="F79">
        <f>temperatury5[[#This Row],[hot-dog]]*VLOOKUP(temperatury5[[#Headers],[hot-dog]],$O$1:$Q$4,3,FALSE)</f>
        <v>553</v>
      </c>
      <c r="G79">
        <f>temperatury5[[#This Row],[lody]]*VLOOKUP(temperatury5[[#Headers],[lody]],$O$1:$Q$4,3,FALSE)</f>
        <v>535</v>
      </c>
      <c r="H79">
        <f>temperatury5[[#This Row],[kukurydza]]*VLOOKUP(temperatury5[[#Headers],[kukurydza]],$O$1:$Q$4,3,FALSE)</f>
        <v>432</v>
      </c>
      <c r="I79">
        <f>SUM(temperatury5[[#This Row],[utarg_za_hot_dogi]:[utarg_za_kukurydze]])</f>
        <v>1520</v>
      </c>
      <c r="J79">
        <f>SUM($I$2:I79)</f>
        <v>128487</v>
      </c>
    </row>
    <row r="80" spans="1:10" x14ac:dyDescent="0.25">
      <c r="A80" s="1">
        <v>44791</v>
      </c>
      <c r="B80">
        <v>21</v>
      </c>
      <c r="C80">
        <f>ROUNDDOWN($C$2*(1+VLOOKUP(temperatury5[[#Headers],[hot-dog]],$O$1:$P$4,2,FALSE)*(temperatury5[[#This Row],[temperatura]]-24)/2),0)</f>
        <v>79</v>
      </c>
      <c r="D80">
        <f>ROUNDDOWN($D$2*(1+VLOOKUP(temperatury5[[#Headers],[lody]],$O$1:$P$4,2,FALSE)*(temperatury5[[#This Row],[temperatura]]-24)/2),0)</f>
        <v>107</v>
      </c>
      <c r="E80">
        <f>ROUNDDOWN($E$2*(1+VLOOKUP(temperatury5[[#Headers],[kukurydza]],$O$1:$P$4,2,FALSE)*(temperatury5[[#This Row],[temperatura]]-24)/2),0)</f>
        <v>72</v>
      </c>
      <c r="F80">
        <f>temperatury5[[#This Row],[hot-dog]]*VLOOKUP(temperatury5[[#Headers],[hot-dog]],$O$1:$Q$4,3,FALSE)</f>
        <v>553</v>
      </c>
      <c r="G80">
        <f>temperatury5[[#This Row],[lody]]*VLOOKUP(temperatury5[[#Headers],[lody]],$O$1:$Q$4,3,FALSE)</f>
        <v>535</v>
      </c>
      <c r="H80">
        <f>temperatury5[[#This Row],[kukurydza]]*VLOOKUP(temperatury5[[#Headers],[kukurydza]],$O$1:$Q$4,3,FALSE)</f>
        <v>432</v>
      </c>
      <c r="I80">
        <f>SUM(temperatury5[[#This Row],[utarg_za_hot_dogi]:[utarg_za_kukurydze]])</f>
        <v>1520</v>
      </c>
      <c r="J80">
        <f>SUM($I$2:I80)</f>
        <v>130007</v>
      </c>
    </row>
    <row r="81" spans="1:10" x14ac:dyDescent="0.25">
      <c r="A81" s="1">
        <v>44792</v>
      </c>
      <c r="B81">
        <v>24</v>
      </c>
      <c r="C81">
        <f>ROUNDDOWN($C$2*(1+VLOOKUP(temperatury5[[#Headers],[hot-dog]],$O$1:$P$4,2,FALSE)*(temperatury5[[#This Row],[temperatura]]-24)/2),0)</f>
        <v>90</v>
      </c>
      <c r="D81">
        <f>ROUNDDOWN($D$2*(1+VLOOKUP(temperatury5[[#Headers],[lody]],$O$1:$P$4,2,FALSE)*(temperatury5[[#This Row],[temperatura]]-24)/2),0)</f>
        <v>120</v>
      </c>
      <c r="E81">
        <f>ROUNDDOWN($E$2*(1+VLOOKUP(temperatury5[[#Headers],[kukurydza]],$O$1:$P$4,2,FALSE)*(temperatury5[[#This Row],[temperatura]]-24)/2),0)</f>
        <v>80</v>
      </c>
      <c r="F81">
        <f>temperatury5[[#This Row],[hot-dog]]*VLOOKUP(temperatury5[[#Headers],[hot-dog]],$O$1:$Q$4,3,FALSE)</f>
        <v>630</v>
      </c>
      <c r="G81">
        <f>temperatury5[[#This Row],[lody]]*VLOOKUP(temperatury5[[#Headers],[lody]],$O$1:$Q$4,3,FALSE)</f>
        <v>600</v>
      </c>
      <c r="H81">
        <f>temperatury5[[#This Row],[kukurydza]]*VLOOKUP(temperatury5[[#Headers],[kukurydza]],$O$1:$Q$4,3,FALSE)</f>
        <v>480</v>
      </c>
      <c r="I81">
        <f>SUM(temperatury5[[#This Row],[utarg_za_hot_dogi]:[utarg_za_kukurydze]])</f>
        <v>1710</v>
      </c>
      <c r="J81">
        <f>SUM($I$2:I81)</f>
        <v>131717</v>
      </c>
    </row>
    <row r="82" spans="1:10" x14ac:dyDescent="0.25">
      <c r="A82" s="1">
        <v>44793</v>
      </c>
      <c r="B82">
        <v>26</v>
      </c>
      <c r="C82">
        <f>ROUNDDOWN($C$2*(1+VLOOKUP(temperatury5[[#Headers],[hot-dog]],$O$1:$P$4,2,FALSE)*(temperatury5[[#This Row],[temperatura]]-24)/2),0)</f>
        <v>96</v>
      </c>
      <c r="D82">
        <f>ROUNDDOWN($D$2*(1+VLOOKUP(temperatury5[[#Headers],[lody]],$O$1:$P$4,2,FALSE)*(temperatury5[[#This Row],[temperatura]]-24)/2),0)</f>
        <v>128</v>
      </c>
      <c r="E82">
        <f>ROUNDDOWN($E$2*(1+VLOOKUP(temperatury5[[#Headers],[kukurydza]],$O$1:$P$4,2,FALSE)*(temperatury5[[#This Row],[temperatura]]-24)/2),0)</f>
        <v>84</v>
      </c>
      <c r="F82">
        <f>temperatury5[[#This Row],[hot-dog]]*VLOOKUP(temperatury5[[#Headers],[hot-dog]],$O$1:$Q$4,3,FALSE)</f>
        <v>672</v>
      </c>
      <c r="G82">
        <f>temperatury5[[#This Row],[lody]]*VLOOKUP(temperatury5[[#Headers],[lody]],$O$1:$Q$4,3,FALSE)</f>
        <v>640</v>
      </c>
      <c r="H82">
        <f>temperatury5[[#This Row],[kukurydza]]*VLOOKUP(temperatury5[[#Headers],[kukurydza]],$O$1:$Q$4,3,FALSE)</f>
        <v>504</v>
      </c>
      <c r="I82">
        <f>SUM(temperatury5[[#This Row],[utarg_za_hot_dogi]:[utarg_za_kukurydze]])</f>
        <v>1816</v>
      </c>
      <c r="J82">
        <f>SUM($I$2:I82)</f>
        <v>133533</v>
      </c>
    </row>
    <row r="83" spans="1:10" x14ac:dyDescent="0.25">
      <c r="A83" s="1">
        <v>44794</v>
      </c>
      <c r="B83">
        <v>23</v>
      </c>
      <c r="C83">
        <f>ROUNDDOWN($C$2*(1+VLOOKUP(temperatury5[[#Headers],[hot-dog]],$O$1:$P$4,2,FALSE)*(temperatury5[[#This Row],[temperatura]]-24)/2),0)</f>
        <v>86</v>
      </c>
      <c r="D83">
        <f>ROUNDDOWN($D$2*(1+VLOOKUP(temperatury5[[#Headers],[lody]],$O$1:$P$4,2,FALSE)*(temperatury5[[#This Row],[temperatura]]-24)/2),0)</f>
        <v>115</v>
      </c>
      <c r="E83">
        <f>ROUNDDOWN($E$2*(1+VLOOKUP(temperatury5[[#Headers],[kukurydza]],$O$1:$P$4,2,FALSE)*(temperatury5[[#This Row],[temperatura]]-24)/2),0)</f>
        <v>77</v>
      </c>
      <c r="F83">
        <f>temperatury5[[#This Row],[hot-dog]]*VLOOKUP(temperatury5[[#Headers],[hot-dog]],$O$1:$Q$4,3,FALSE)</f>
        <v>602</v>
      </c>
      <c r="G83">
        <f>temperatury5[[#This Row],[lody]]*VLOOKUP(temperatury5[[#Headers],[lody]],$O$1:$Q$4,3,FALSE)</f>
        <v>575</v>
      </c>
      <c r="H83">
        <f>temperatury5[[#This Row],[kukurydza]]*VLOOKUP(temperatury5[[#Headers],[kukurydza]],$O$1:$Q$4,3,FALSE)</f>
        <v>462</v>
      </c>
      <c r="I83">
        <f>SUM(temperatury5[[#This Row],[utarg_za_hot_dogi]:[utarg_za_kukurydze]])</f>
        <v>1639</v>
      </c>
      <c r="J83">
        <f>SUM($I$2:I83)</f>
        <v>135172</v>
      </c>
    </row>
    <row r="84" spans="1:10" x14ac:dyDescent="0.25">
      <c r="A84" s="1">
        <v>44795</v>
      </c>
      <c r="B84">
        <v>23</v>
      </c>
      <c r="C84">
        <f>ROUNDDOWN($C$2*(1+VLOOKUP(temperatury5[[#Headers],[hot-dog]],$O$1:$P$4,2,FALSE)*(temperatury5[[#This Row],[temperatura]]-24)/2),0)</f>
        <v>86</v>
      </c>
      <c r="D84">
        <f>ROUNDDOWN($D$2*(1+VLOOKUP(temperatury5[[#Headers],[lody]],$O$1:$P$4,2,FALSE)*(temperatury5[[#This Row],[temperatura]]-24)/2),0)</f>
        <v>115</v>
      </c>
      <c r="E84">
        <f>ROUNDDOWN($E$2*(1+VLOOKUP(temperatury5[[#Headers],[kukurydza]],$O$1:$P$4,2,FALSE)*(temperatury5[[#This Row],[temperatura]]-24)/2),0)</f>
        <v>77</v>
      </c>
      <c r="F84">
        <f>temperatury5[[#This Row],[hot-dog]]*VLOOKUP(temperatury5[[#Headers],[hot-dog]],$O$1:$Q$4,3,FALSE)</f>
        <v>602</v>
      </c>
      <c r="G84">
        <f>temperatury5[[#This Row],[lody]]*VLOOKUP(temperatury5[[#Headers],[lody]],$O$1:$Q$4,3,FALSE)</f>
        <v>575</v>
      </c>
      <c r="H84">
        <f>temperatury5[[#This Row],[kukurydza]]*VLOOKUP(temperatury5[[#Headers],[kukurydza]],$O$1:$Q$4,3,FALSE)</f>
        <v>462</v>
      </c>
      <c r="I84">
        <f>SUM(temperatury5[[#This Row],[utarg_za_hot_dogi]:[utarg_za_kukurydze]])</f>
        <v>1639</v>
      </c>
      <c r="J84">
        <f>SUM($I$2:I84)</f>
        <v>136811</v>
      </c>
    </row>
    <row r="85" spans="1:10" x14ac:dyDescent="0.25">
      <c r="A85" s="1">
        <v>44796</v>
      </c>
      <c r="B85">
        <v>24</v>
      </c>
      <c r="C85">
        <f>ROUNDDOWN($C$2*(1+VLOOKUP(temperatury5[[#Headers],[hot-dog]],$O$1:$P$4,2,FALSE)*(temperatury5[[#This Row],[temperatura]]-24)/2),0)</f>
        <v>90</v>
      </c>
      <c r="D85">
        <f>ROUNDDOWN($D$2*(1+VLOOKUP(temperatury5[[#Headers],[lody]],$O$1:$P$4,2,FALSE)*(temperatury5[[#This Row],[temperatura]]-24)/2),0)</f>
        <v>120</v>
      </c>
      <c r="E85">
        <f>ROUNDDOWN($E$2*(1+VLOOKUP(temperatury5[[#Headers],[kukurydza]],$O$1:$P$4,2,FALSE)*(temperatury5[[#This Row],[temperatura]]-24)/2),0)</f>
        <v>80</v>
      </c>
      <c r="F85">
        <f>temperatury5[[#This Row],[hot-dog]]*VLOOKUP(temperatury5[[#Headers],[hot-dog]],$O$1:$Q$4,3,FALSE)</f>
        <v>630</v>
      </c>
      <c r="G85">
        <f>temperatury5[[#This Row],[lody]]*VLOOKUP(temperatury5[[#Headers],[lody]],$O$1:$Q$4,3,FALSE)</f>
        <v>600</v>
      </c>
      <c r="H85">
        <f>temperatury5[[#This Row],[kukurydza]]*VLOOKUP(temperatury5[[#Headers],[kukurydza]],$O$1:$Q$4,3,FALSE)</f>
        <v>480</v>
      </c>
      <c r="I85">
        <f>SUM(temperatury5[[#This Row],[utarg_za_hot_dogi]:[utarg_za_kukurydze]])</f>
        <v>1710</v>
      </c>
      <c r="J85">
        <f>SUM($I$2:I85)</f>
        <v>138521</v>
      </c>
    </row>
    <row r="86" spans="1:10" x14ac:dyDescent="0.25">
      <c r="A86" s="1">
        <v>44797</v>
      </c>
      <c r="B86">
        <v>26</v>
      </c>
      <c r="C86">
        <f>ROUNDDOWN($C$2*(1+VLOOKUP(temperatury5[[#Headers],[hot-dog]],$O$1:$P$4,2,FALSE)*(temperatury5[[#This Row],[temperatura]]-24)/2),0)</f>
        <v>96</v>
      </c>
      <c r="D86">
        <f>ROUNDDOWN($D$2*(1+VLOOKUP(temperatury5[[#Headers],[lody]],$O$1:$P$4,2,FALSE)*(temperatury5[[#This Row],[temperatura]]-24)/2),0)</f>
        <v>128</v>
      </c>
      <c r="E86">
        <f>ROUNDDOWN($E$2*(1+VLOOKUP(temperatury5[[#Headers],[kukurydza]],$O$1:$P$4,2,FALSE)*(temperatury5[[#This Row],[temperatura]]-24)/2),0)</f>
        <v>84</v>
      </c>
      <c r="F86">
        <f>temperatury5[[#This Row],[hot-dog]]*VLOOKUP(temperatury5[[#Headers],[hot-dog]],$O$1:$Q$4,3,FALSE)</f>
        <v>672</v>
      </c>
      <c r="G86">
        <f>temperatury5[[#This Row],[lody]]*VLOOKUP(temperatury5[[#Headers],[lody]],$O$1:$Q$4,3,FALSE)</f>
        <v>640</v>
      </c>
      <c r="H86">
        <f>temperatury5[[#This Row],[kukurydza]]*VLOOKUP(temperatury5[[#Headers],[kukurydza]],$O$1:$Q$4,3,FALSE)</f>
        <v>504</v>
      </c>
      <c r="I86">
        <f>SUM(temperatury5[[#This Row],[utarg_za_hot_dogi]:[utarg_za_kukurydze]])</f>
        <v>1816</v>
      </c>
      <c r="J86">
        <f>SUM($I$2:I86)</f>
        <v>140337</v>
      </c>
    </row>
    <row r="87" spans="1:10" x14ac:dyDescent="0.25">
      <c r="A87" s="1">
        <v>44798</v>
      </c>
      <c r="B87">
        <v>28</v>
      </c>
      <c r="C87">
        <f>ROUNDDOWN($C$2*(1+VLOOKUP(temperatury5[[#Headers],[hot-dog]],$O$1:$P$4,2,FALSE)*(temperatury5[[#This Row],[temperatura]]-24)/2),0)</f>
        <v>103</v>
      </c>
      <c r="D87">
        <f>ROUNDDOWN($D$2*(1+VLOOKUP(temperatury5[[#Headers],[lody]],$O$1:$P$4,2,FALSE)*(temperatury5[[#This Row],[temperatura]]-24)/2),0)</f>
        <v>136</v>
      </c>
      <c r="E87">
        <f>ROUNDDOWN($E$2*(1+VLOOKUP(temperatury5[[#Headers],[kukurydza]],$O$1:$P$4,2,FALSE)*(temperatury5[[#This Row],[temperatura]]-24)/2),0)</f>
        <v>89</v>
      </c>
      <c r="F87">
        <f>temperatury5[[#This Row],[hot-dog]]*VLOOKUP(temperatury5[[#Headers],[hot-dog]],$O$1:$Q$4,3,FALSE)</f>
        <v>721</v>
      </c>
      <c r="G87">
        <f>temperatury5[[#This Row],[lody]]*VLOOKUP(temperatury5[[#Headers],[lody]],$O$1:$Q$4,3,FALSE)</f>
        <v>680</v>
      </c>
      <c r="H87">
        <f>temperatury5[[#This Row],[kukurydza]]*VLOOKUP(temperatury5[[#Headers],[kukurydza]],$O$1:$Q$4,3,FALSE)</f>
        <v>534</v>
      </c>
      <c r="I87">
        <f>SUM(temperatury5[[#This Row],[utarg_za_hot_dogi]:[utarg_za_kukurydze]])</f>
        <v>1935</v>
      </c>
      <c r="J87">
        <f>SUM($I$2:I87)</f>
        <v>142272</v>
      </c>
    </row>
    <row r="88" spans="1:10" x14ac:dyDescent="0.25">
      <c r="A88" s="1">
        <v>44799</v>
      </c>
      <c r="B88">
        <v>32</v>
      </c>
      <c r="C88">
        <f>ROUNDDOWN($C$2*(1+VLOOKUP(temperatury5[[#Headers],[hot-dog]],$O$1:$P$4,2,FALSE)*(temperatury5[[#This Row],[temperatura]]-24)/2),0)</f>
        <v>117</v>
      </c>
      <c r="D88">
        <f>ROUNDDOWN($D$2*(1+VLOOKUP(temperatury5[[#Headers],[lody]],$O$1:$P$4,2,FALSE)*(temperatury5[[#This Row],[temperatura]]-24)/2),0)</f>
        <v>153</v>
      </c>
      <c r="E88">
        <f>ROUNDDOWN($E$2*(1+VLOOKUP(temperatury5[[#Headers],[kukurydza]],$O$1:$P$4,2,FALSE)*(temperatury5[[#This Row],[temperatura]]-24)/2),0)</f>
        <v>98</v>
      </c>
      <c r="F88">
        <f>temperatury5[[#This Row],[hot-dog]]*VLOOKUP(temperatury5[[#Headers],[hot-dog]],$O$1:$Q$4,3,FALSE)</f>
        <v>819</v>
      </c>
      <c r="G88">
        <f>temperatury5[[#This Row],[lody]]*VLOOKUP(temperatury5[[#Headers],[lody]],$O$1:$Q$4,3,FALSE)</f>
        <v>765</v>
      </c>
      <c r="H88">
        <f>temperatury5[[#This Row],[kukurydza]]*VLOOKUP(temperatury5[[#Headers],[kukurydza]],$O$1:$Q$4,3,FALSE)</f>
        <v>588</v>
      </c>
      <c r="I88">
        <f>SUM(temperatury5[[#This Row],[utarg_za_hot_dogi]:[utarg_za_kukurydze]])</f>
        <v>2172</v>
      </c>
      <c r="J88">
        <f>SUM($I$2:I88)</f>
        <v>144444</v>
      </c>
    </row>
    <row r="89" spans="1:10" x14ac:dyDescent="0.25">
      <c r="A89" s="1">
        <v>44800</v>
      </c>
      <c r="B89">
        <v>26</v>
      </c>
      <c r="C89">
        <f>ROUNDDOWN($C$2*(1+VLOOKUP(temperatury5[[#Headers],[hot-dog]],$O$1:$P$4,2,FALSE)*(temperatury5[[#This Row],[temperatura]]-24)/2),0)</f>
        <v>96</v>
      </c>
      <c r="D89">
        <f>ROUNDDOWN($D$2*(1+VLOOKUP(temperatury5[[#Headers],[lody]],$O$1:$P$4,2,FALSE)*(temperatury5[[#This Row],[temperatura]]-24)/2),0)</f>
        <v>128</v>
      </c>
      <c r="E89">
        <f>ROUNDDOWN($E$2*(1+VLOOKUP(temperatury5[[#Headers],[kukurydza]],$O$1:$P$4,2,FALSE)*(temperatury5[[#This Row],[temperatura]]-24)/2),0)</f>
        <v>84</v>
      </c>
      <c r="F89">
        <f>temperatury5[[#This Row],[hot-dog]]*VLOOKUP(temperatury5[[#Headers],[hot-dog]],$O$1:$Q$4,3,FALSE)</f>
        <v>672</v>
      </c>
      <c r="G89">
        <f>temperatury5[[#This Row],[lody]]*VLOOKUP(temperatury5[[#Headers],[lody]],$O$1:$Q$4,3,FALSE)</f>
        <v>640</v>
      </c>
      <c r="H89">
        <f>temperatury5[[#This Row],[kukurydza]]*VLOOKUP(temperatury5[[#Headers],[kukurydza]],$O$1:$Q$4,3,FALSE)</f>
        <v>504</v>
      </c>
      <c r="I89">
        <f>SUM(temperatury5[[#This Row],[utarg_za_hot_dogi]:[utarg_za_kukurydze]])</f>
        <v>1816</v>
      </c>
      <c r="J89">
        <f>SUM($I$2:I89)</f>
        <v>146260</v>
      </c>
    </row>
    <row r="90" spans="1:10" x14ac:dyDescent="0.25">
      <c r="A90" s="1">
        <v>44801</v>
      </c>
      <c r="B90">
        <v>32</v>
      </c>
      <c r="C90">
        <f>ROUNDDOWN($C$2*(1+VLOOKUP(temperatury5[[#Headers],[hot-dog]],$O$1:$P$4,2,FALSE)*(temperatury5[[#This Row],[temperatura]]-24)/2),0)</f>
        <v>117</v>
      </c>
      <c r="D90">
        <f>ROUNDDOWN($D$2*(1+VLOOKUP(temperatury5[[#Headers],[lody]],$O$1:$P$4,2,FALSE)*(temperatury5[[#This Row],[temperatura]]-24)/2),0)</f>
        <v>153</v>
      </c>
      <c r="E90">
        <f>ROUNDDOWN($E$2*(1+VLOOKUP(temperatury5[[#Headers],[kukurydza]],$O$1:$P$4,2,FALSE)*(temperatury5[[#This Row],[temperatura]]-24)/2),0)</f>
        <v>98</v>
      </c>
      <c r="F90">
        <f>temperatury5[[#This Row],[hot-dog]]*VLOOKUP(temperatury5[[#Headers],[hot-dog]],$O$1:$Q$4,3,FALSE)</f>
        <v>819</v>
      </c>
      <c r="G90">
        <f>temperatury5[[#This Row],[lody]]*VLOOKUP(temperatury5[[#Headers],[lody]],$O$1:$Q$4,3,FALSE)</f>
        <v>765</v>
      </c>
      <c r="H90">
        <f>temperatury5[[#This Row],[kukurydza]]*VLOOKUP(temperatury5[[#Headers],[kukurydza]],$O$1:$Q$4,3,FALSE)</f>
        <v>588</v>
      </c>
      <c r="I90">
        <f>SUM(temperatury5[[#This Row],[utarg_za_hot_dogi]:[utarg_za_kukurydze]])</f>
        <v>2172</v>
      </c>
      <c r="J90">
        <f>SUM($I$2:I90)</f>
        <v>148432</v>
      </c>
    </row>
    <row r="91" spans="1:10" x14ac:dyDescent="0.25">
      <c r="A91" s="1">
        <v>44802</v>
      </c>
      <c r="B91">
        <v>23</v>
      </c>
      <c r="C91">
        <f>ROUNDDOWN($C$2*(1+VLOOKUP(temperatury5[[#Headers],[hot-dog]],$O$1:$P$4,2,FALSE)*(temperatury5[[#This Row],[temperatura]]-24)/2),0)</f>
        <v>86</v>
      </c>
      <c r="D91">
        <f>ROUNDDOWN($D$2*(1+VLOOKUP(temperatury5[[#Headers],[lody]],$O$1:$P$4,2,FALSE)*(temperatury5[[#This Row],[temperatura]]-24)/2),0)</f>
        <v>115</v>
      </c>
      <c r="E91">
        <f>ROUNDDOWN($E$2*(1+VLOOKUP(temperatury5[[#Headers],[kukurydza]],$O$1:$P$4,2,FALSE)*(temperatury5[[#This Row],[temperatura]]-24)/2),0)</f>
        <v>77</v>
      </c>
      <c r="F91">
        <f>temperatury5[[#This Row],[hot-dog]]*VLOOKUP(temperatury5[[#Headers],[hot-dog]],$O$1:$Q$4,3,FALSE)</f>
        <v>602</v>
      </c>
      <c r="G91">
        <f>temperatury5[[#This Row],[lody]]*VLOOKUP(temperatury5[[#Headers],[lody]],$O$1:$Q$4,3,FALSE)</f>
        <v>575</v>
      </c>
      <c r="H91">
        <f>temperatury5[[#This Row],[kukurydza]]*VLOOKUP(temperatury5[[#Headers],[kukurydza]],$O$1:$Q$4,3,FALSE)</f>
        <v>462</v>
      </c>
      <c r="I91">
        <f>SUM(temperatury5[[#This Row],[utarg_za_hot_dogi]:[utarg_za_kukurydze]])</f>
        <v>1639</v>
      </c>
      <c r="J91">
        <f>SUM($I$2:I91)</f>
        <v>150071</v>
      </c>
    </row>
    <row r="92" spans="1:10" x14ac:dyDescent="0.25">
      <c r="A92" s="1">
        <v>44803</v>
      </c>
      <c r="B92">
        <v>22</v>
      </c>
      <c r="C92">
        <f>ROUNDDOWN($C$2*(1+VLOOKUP(temperatury5[[#Headers],[hot-dog]],$O$1:$P$4,2,FALSE)*(temperatury5[[#This Row],[temperatura]]-24)/2),0)</f>
        <v>83</v>
      </c>
      <c r="D92">
        <f>ROUNDDOWN($D$2*(1+VLOOKUP(temperatury5[[#Headers],[lody]],$O$1:$P$4,2,FALSE)*(temperatury5[[#This Row],[temperatura]]-24)/2),0)</f>
        <v>111</v>
      </c>
      <c r="E92">
        <f>ROUNDDOWN($E$2*(1+VLOOKUP(temperatury5[[#Headers],[kukurydza]],$O$1:$P$4,2,FALSE)*(temperatury5[[#This Row],[temperatura]]-24)/2),0)</f>
        <v>75</v>
      </c>
      <c r="F92">
        <f>temperatury5[[#This Row],[hot-dog]]*VLOOKUP(temperatury5[[#Headers],[hot-dog]],$O$1:$Q$4,3,FALSE)</f>
        <v>581</v>
      </c>
      <c r="G92">
        <f>temperatury5[[#This Row],[lody]]*VLOOKUP(temperatury5[[#Headers],[lody]],$O$1:$Q$4,3,FALSE)</f>
        <v>555</v>
      </c>
      <c r="H92">
        <f>temperatury5[[#This Row],[kukurydza]]*VLOOKUP(temperatury5[[#Headers],[kukurydza]],$O$1:$Q$4,3,FALSE)</f>
        <v>450</v>
      </c>
      <c r="I92">
        <f>SUM(temperatury5[[#This Row],[utarg_za_hot_dogi]:[utarg_za_kukurydze]])</f>
        <v>1586</v>
      </c>
      <c r="J92">
        <f>SUM($I$2:I92)</f>
        <v>151657</v>
      </c>
    </row>
    <row r="93" spans="1:10" x14ac:dyDescent="0.25">
      <c r="A93" s="1">
        <v>44804</v>
      </c>
      <c r="B93">
        <v>25</v>
      </c>
      <c r="C93">
        <f>ROUNDDOWN($C$2*(1+VLOOKUP(temperatury5[[#Headers],[hot-dog]],$O$1:$P$4,2,FALSE)*(temperatury5[[#This Row],[temperatura]]-24)/2),0)</f>
        <v>93</v>
      </c>
      <c r="D93">
        <f>ROUNDDOWN($D$2*(1+VLOOKUP(temperatury5[[#Headers],[lody]],$O$1:$P$4,2,FALSE)*(temperatury5[[#This Row],[temperatura]]-24)/2),0)</f>
        <v>124</v>
      </c>
      <c r="E93">
        <f>ROUNDDOWN($E$2*(1+VLOOKUP(temperatury5[[#Headers],[kukurydza]],$O$1:$P$4,2,FALSE)*(temperatury5[[#This Row],[temperatura]]-24)/2),0)</f>
        <v>82</v>
      </c>
      <c r="F93">
        <f>temperatury5[[#This Row],[hot-dog]]*VLOOKUP(temperatury5[[#Headers],[hot-dog]],$O$1:$Q$4,3,FALSE)</f>
        <v>651</v>
      </c>
      <c r="G93">
        <f>temperatury5[[#This Row],[lody]]*VLOOKUP(temperatury5[[#Headers],[lody]],$O$1:$Q$4,3,FALSE)</f>
        <v>620</v>
      </c>
      <c r="H93">
        <f>temperatury5[[#This Row],[kukurydza]]*VLOOKUP(temperatury5[[#Headers],[kukurydza]],$O$1:$Q$4,3,FALSE)</f>
        <v>492</v>
      </c>
      <c r="I93">
        <f>SUM(temperatury5[[#This Row],[utarg_za_hot_dogi]:[utarg_za_kukurydze]])</f>
        <v>1763</v>
      </c>
      <c r="J93">
        <f>SUM($I$2:I93)</f>
        <v>153420</v>
      </c>
    </row>
  </sheetData>
  <conditionalFormatting sqref="J1:J1048576">
    <cfRule type="cellIs" dxfId="4" priority="1" operator="greaterThan">
      <formula>45000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3B73-8CF8-4C90-B397-21902EC9C624}">
  <dimension ref="A1:R93"/>
  <sheetViews>
    <sheetView workbookViewId="0">
      <selection activeCell="N7" sqref="N7"/>
    </sheetView>
  </sheetViews>
  <sheetFormatPr defaultRowHeight="15" x14ac:dyDescent="0.25"/>
  <cols>
    <col min="1" max="1" width="10.140625" bestFit="1" customWidth="1"/>
    <col min="2" max="2" width="14.42578125" bestFit="1" customWidth="1"/>
    <col min="3" max="3" width="10.140625" customWidth="1"/>
    <col min="4" max="4" width="7.140625" bestFit="1" customWidth="1"/>
    <col min="5" max="5" width="12.28515625" bestFit="1" customWidth="1"/>
    <col min="12" max="12" width="10.140625" bestFit="1" customWidth="1"/>
    <col min="15" max="15" width="15.28515625" bestFit="1" customWidth="1"/>
    <col min="16" max="16" width="28.42578125" bestFit="1" customWidth="1"/>
    <col min="17" max="17" width="15" bestFit="1" customWidth="1"/>
    <col min="18" max="18" width="14.140625" bestFit="1" customWidth="1"/>
  </cols>
  <sheetData>
    <row r="1" spans="1:18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20</v>
      </c>
      <c r="G1" t="s">
        <v>21</v>
      </c>
      <c r="H1" t="s">
        <v>22</v>
      </c>
      <c r="I1" t="s">
        <v>23</v>
      </c>
      <c r="K1" s="2" t="s">
        <v>27</v>
      </c>
      <c r="L1" s="7">
        <v>44827</v>
      </c>
      <c r="O1" t="s">
        <v>2</v>
      </c>
      <c r="P1" t="s">
        <v>3</v>
      </c>
      <c r="Q1" t="s">
        <v>7</v>
      </c>
      <c r="R1" t="s">
        <v>26</v>
      </c>
    </row>
    <row r="2" spans="1:18" x14ac:dyDescent="0.25">
      <c r="A2" s="1">
        <v>44805</v>
      </c>
      <c r="B2">
        <v>23</v>
      </c>
      <c r="C2">
        <f>ROUNDDOWN(VLOOKUP(temperatury6[[#Headers],[hot-dog]],$O$1:$R$4,4,FALSE)*(1+VLOOKUP(temperatury6[[#Headers],[hot-dog]],$O$1:$P$4,2,FALSE)*(temperatury6[[#This Row],[temperatura]]-24)/2),0)</f>
        <v>86</v>
      </c>
      <c r="D2">
        <f>ROUNDDOWN(VLOOKUP(temperatury6[[#Headers],[lody]],$O$1:$R$4,4,FALSE)*(1+VLOOKUP(temperatury6[[#Headers],[lody]],$O$1:$P$4,2,FALSE)*(temperatury6[[#This Row],[temperatura]]-24)/2),0)</f>
        <v>115</v>
      </c>
      <c r="E2">
        <f>ROUNDDOWN(VLOOKUP(temperatury6[[#Headers],[kukurydza]],$O$1:$R$4,4,FALSE)*(1+VLOOKUP(temperatury6[[#Headers],[kukurydza]],$O$1:$P$4,2,FALSE)*(temperatury6[[#This Row],[temperatura]]-24)/2),0)</f>
        <v>77</v>
      </c>
      <c r="F2">
        <f>temperatury6[[#This Row],[hot-dog]]*VLOOKUP(temperatury5[[#Headers],[hot-dog]],$O$1:$Q$4,3,FALSE)</f>
        <v>717.24</v>
      </c>
      <c r="G2">
        <f>temperatury6[[#This Row],[lody]]*VLOOKUP(temperatury5[[#Headers],[lody]],$O$1:$Q$4,3,FALSE)</f>
        <v>729.1</v>
      </c>
      <c r="H2">
        <f>temperatury6[[#This Row],[kukurydza]]*VLOOKUP(temperatury5[[#Headers],[kukurydza]],$O$1:$Q$4,3,FALSE)</f>
        <v>565.17999999999995</v>
      </c>
      <c r="I2">
        <f>SUM(temperatury6[[#This Row],[utarg_za_hot_dogi]:[utarg_za_kukurydze]])</f>
        <v>2011.52</v>
      </c>
      <c r="K2" s="2" t="s">
        <v>28</v>
      </c>
      <c r="L2" s="6">
        <v>1.34</v>
      </c>
      <c r="O2" t="s">
        <v>4</v>
      </c>
      <c r="P2">
        <f>1/13</f>
        <v>7.6923076923076927E-2</v>
      </c>
      <c r="Q2">
        <f>7+$L$2</f>
        <v>8.34</v>
      </c>
      <c r="R2">
        <v>90</v>
      </c>
    </row>
    <row r="3" spans="1:18" x14ac:dyDescent="0.25">
      <c r="A3" s="1">
        <v>44806</v>
      </c>
      <c r="B3">
        <v>23</v>
      </c>
      <c r="C3">
        <f>ROUNDDOWN(VLOOKUP(temperatury6[[#Headers],[hot-dog]],$O$1:$R$4,4,FALSE)*(1+VLOOKUP(temperatury6[[#Headers],[hot-dog]],$O$1:$P$4,2,FALSE)*(temperatury6[[#This Row],[temperatura]]-24)/2),0)</f>
        <v>86</v>
      </c>
      <c r="D3">
        <f>ROUNDDOWN(VLOOKUP(temperatury6[[#Headers],[lody]],$O$1:$R$4,4,FALSE)*(1+VLOOKUP(temperatury6[[#Headers],[lody]],$O$1:$P$4,2,FALSE)*(temperatury6[[#This Row],[temperatura]]-24)/2),0)</f>
        <v>115</v>
      </c>
      <c r="E3">
        <f>ROUNDDOWN(VLOOKUP(temperatury6[[#Headers],[kukurydza]],$O$1:$R$4,4,FALSE)*(1+VLOOKUP(temperatury6[[#Headers],[kukurydza]],$O$1:$P$4,2,FALSE)*(temperatury6[[#This Row],[temperatura]]-24)/2),0)</f>
        <v>77</v>
      </c>
      <c r="F3">
        <f>temperatury6[[#This Row],[hot-dog]]*VLOOKUP(temperatury5[[#Headers],[hot-dog]],$O$1:$Q$4,3,FALSE)</f>
        <v>717.24</v>
      </c>
      <c r="G3">
        <f>temperatury6[[#This Row],[lody]]*VLOOKUP(temperatury5[[#Headers],[lody]],$O$1:$Q$4,3,FALSE)</f>
        <v>729.1</v>
      </c>
      <c r="H3">
        <f>temperatury6[[#This Row],[kukurydza]]*VLOOKUP(temperatury5[[#Headers],[kukurydza]],$O$1:$Q$4,3,FALSE)</f>
        <v>565.17999999999995</v>
      </c>
      <c r="I3">
        <f>SUM(temperatury6[[#This Row],[utarg_za_hot_dogi]:[utarg_za_kukurydze]])</f>
        <v>2011.52</v>
      </c>
      <c r="O3" t="s">
        <v>5</v>
      </c>
      <c r="P3">
        <f>2/29</f>
        <v>6.8965517241379309E-2</v>
      </c>
      <c r="Q3">
        <f>5+$L$2</f>
        <v>6.34</v>
      </c>
      <c r="R3">
        <v>120</v>
      </c>
    </row>
    <row r="4" spans="1:18" x14ac:dyDescent="0.25">
      <c r="A4" s="1">
        <v>44807</v>
      </c>
      <c r="B4">
        <v>22</v>
      </c>
      <c r="C4">
        <f>ROUNDDOWN(VLOOKUP(temperatury6[[#Headers],[hot-dog]],$O$1:$R$4,4,FALSE)*(1+VLOOKUP(temperatury6[[#Headers],[hot-dog]],$O$1:$P$4,2,FALSE)*(temperatury6[[#This Row],[temperatura]]-24)/2),0)</f>
        <v>83</v>
      </c>
      <c r="D4">
        <f>ROUNDDOWN(VLOOKUP(temperatury6[[#Headers],[lody]],$O$1:$R$4,4,FALSE)*(1+VLOOKUP(temperatury6[[#Headers],[lody]],$O$1:$P$4,2,FALSE)*(temperatury6[[#This Row],[temperatura]]-24)/2),0)</f>
        <v>111</v>
      </c>
      <c r="E4">
        <f>ROUNDDOWN(VLOOKUP(temperatury6[[#Headers],[kukurydza]],$O$1:$R$4,4,FALSE)*(1+VLOOKUP(temperatury6[[#Headers],[kukurydza]],$O$1:$P$4,2,FALSE)*(temperatury6[[#This Row],[temperatura]]-24)/2),0)</f>
        <v>75</v>
      </c>
      <c r="F4">
        <f>temperatury6[[#This Row],[hot-dog]]*VLOOKUP(temperatury5[[#Headers],[hot-dog]],$O$1:$Q$4,3,FALSE)</f>
        <v>692.22</v>
      </c>
      <c r="G4">
        <f>temperatury6[[#This Row],[lody]]*VLOOKUP(temperatury5[[#Headers],[lody]],$O$1:$Q$4,3,FALSE)</f>
        <v>703.74</v>
      </c>
      <c r="H4">
        <f>temperatury6[[#This Row],[kukurydza]]*VLOOKUP(temperatury5[[#Headers],[kukurydza]],$O$1:$Q$4,3,FALSE)</f>
        <v>550.5</v>
      </c>
      <c r="I4">
        <f>SUM(temperatury6[[#This Row],[utarg_za_hot_dogi]:[utarg_za_kukurydze]])</f>
        <v>1946.46</v>
      </c>
      <c r="O4" t="s">
        <v>6</v>
      </c>
      <c r="P4">
        <f>1/17</f>
        <v>5.8823529411764705E-2</v>
      </c>
      <c r="Q4">
        <f>6+$L$2</f>
        <v>7.34</v>
      </c>
      <c r="R4">
        <v>80</v>
      </c>
    </row>
    <row r="5" spans="1:18" x14ac:dyDescent="0.25">
      <c r="A5" s="1">
        <v>44808</v>
      </c>
      <c r="B5">
        <v>22</v>
      </c>
      <c r="C5">
        <f>ROUNDDOWN(VLOOKUP(temperatury6[[#Headers],[hot-dog]],$O$1:$R$4,4,FALSE)*(1+VLOOKUP(temperatury6[[#Headers],[hot-dog]],$O$1:$P$4,2,FALSE)*(temperatury6[[#This Row],[temperatura]]-24)/2),0)</f>
        <v>83</v>
      </c>
      <c r="D5">
        <f>ROUNDDOWN(VLOOKUP(temperatury6[[#Headers],[lody]],$O$1:$R$4,4,FALSE)*(1+VLOOKUP(temperatury6[[#Headers],[lody]],$O$1:$P$4,2,FALSE)*(temperatury6[[#This Row],[temperatura]]-24)/2),0)</f>
        <v>111</v>
      </c>
      <c r="E5">
        <f>ROUNDDOWN(VLOOKUP(temperatury6[[#Headers],[kukurydza]],$O$1:$R$4,4,FALSE)*(1+VLOOKUP(temperatury6[[#Headers],[kukurydza]],$O$1:$P$4,2,FALSE)*(temperatury6[[#This Row],[temperatura]]-24)/2),0)</f>
        <v>75</v>
      </c>
      <c r="F5">
        <f>temperatury6[[#This Row],[hot-dog]]*VLOOKUP(temperatury5[[#Headers],[hot-dog]],$O$1:$Q$4,3,FALSE)</f>
        <v>692.22</v>
      </c>
      <c r="G5">
        <f>temperatury6[[#This Row],[lody]]*VLOOKUP(temperatury5[[#Headers],[lody]],$O$1:$Q$4,3,FALSE)</f>
        <v>703.74</v>
      </c>
      <c r="H5">
        <f>temperatury6[[#This Row],[kukurydza]]*VLOOKUP(temperatury5[[#Headers],[kukurydza]],$O$1:$Q$4,3,FALSE)</f>
        <v>550.5</v>
      </c>
      <c r="I5">
        <f>SUM(temperatury6[[#This Row],[utarg_za_hot_dogi]:[utarg_za_kukurydze]])</f>
        <v>1946.46</v>
      </c>
    </row>
    <row r="6" spans="1:18" x14ac:dyDescent="0.25">
      <c r="A6" s="1">
        <v>44809</v>
      </c>
      <c r="B6">
        <v>21</v>
      </c>
      <c r="C6">
        <f>ROUNDDOWN(VLOOKUP(temperatury6[[#Headers],[hot-dog]],$O$1:$R$4,4,FALSE)*(1+VLOOKUP(temperatury6[[#Headers],[hot-dog]],$O$1:$P$4,2,FALSE)*(temperatury6[[#This Row],[temperatura]]-24)/2),0)</f>
        <v>79</v>
      </c>
      <c r="D6">
        <f>ROUNDDOWN(VLOOKUP(temperatury6[[#Headers],[lody]],$O$1:$R$4,4,FALSE)*(1+VLOOKUP(temperatury6[[#Headers],[lody]],$O$1:$P$4,2,FALSE)*(temperatury6[[#This Row],[temperatura]]-24)/2),0)</f>
        <v>107</v>
      </c>
      <c r="E6">
        <f>ROUNDDOWN(VLOOKUP(temperatury6[[#Headers],[kukurydza]],$O$1:$R$4,4,FALSE)*(1+VLOOKUP(temperatury6[[#Headers],[kukurydza]],$O$1:$P$4,2,FALSE)*(temperatury6[[#This Row],[temperatura]]-24)/2),0)</f>
        <v>72</v>
      </c>
      <c r="F6">
        <f>temperatury6[[#This Row],[hot-dog]]*VLOOKUP(temperatury5[[#Headers],[hot-dog]],$O$1:$Q$4,3,FALSE)</f>
        <v>658.86</v>
      </c>
      <c r="G6">
        <f>temperatury6[[#This Row],[lody]]*VLOOKUP(temperatury5[[#Headers],[lody]],$O$1:$Q$4,3,FALSE)</f>
        <v>678.38</v>
      </c>
      <c r="H6">
        <f>temperatury6[[#This Row],[kukurydza]]*VLOOKUP(temperatury5[[#Headers],[kukurydza]],$O$1:$Q$4,3,FALSE)</f>
        <v>528.48</v>
      </c>
      <c r="I6">
        <f>SUM(temperatury6[[#This Row],[utarg_za_hot_dogi]:[utarg_za_kukurydze]])</f>
        <v>1865.72</v>
      </c>
    </row>
    <row r="7" spans="1:18" x14ac:dyDescent="0.25">
      <c r="A7" s="1">
        <v>44810</v>
      </c>
      <c r="B7">
        <v>21</v>
      </c>
      <c r="C7">
        <f>ROUNDDOWN(VLOOKUP(temperatury6[[#Headers],[hot-dog]],$O$1:$R$4,4,FALSE)*(1+VLOOKUP(temperatury6[[#Headers],[hot-dog]],$O$1:$P$4,2,FALSE)*(temperatury6[[#This Row],[temperatura]]-24)/2),0)</f>
        <v>79</v>
      </c>
      <c r="D7">
        <f>ROUNDDOWN(VLOOKUP(temperatury6[[#Headers],[lody]],$O$1:$R$4,4,FALSE)*(1+VLOOKUP(temperatury6[[#Headers],[lody]],$O$1:$P$4,2,FALSE)*(temperatury6[[#This Row],[temperatura]]-24)/2),0)</f>
        <v>107</v>
      </c>
      <c r="E7">
        <f>ROUNDDOWN(VLOOKUP(temperatury6[[#Headers],[kukurydza]],$O$1:$R$4,4,FALSE)*(1+VLOOKUP(temperatury6[[#Headers],[kukurydza]],$O$1:$P$4,2,FALSE)*(temperatury6[[#This Row],[temperatura]]-24)/2),0)</f>
        <v>72</v>
      </c>
      <c r="F7">
        <f>temperatury6[[#This Row],[hot-dog]]*VLOOKUP(temperatury5[[#Headers],[hot-dog]],$O$1:$Q$4,3,FALSE)</f>
        <v>658.86</v>
      </c>
      <c r="G7">
        <f>temperatury6[[#This Row],[lody]]*VLOOKUP(temperatury5[[#Headers],[lody]],$O$1:$Q$4,3,FALSE)</f>
        <v>678.38</v>
      </c>
      <c r="H7">
        <f>temperatury6[[#This Row],[kukurydza]]*VLOOKUP(temperatury5[[#Headers],[kukurydza]],$O$1:$Q$4,3,FALSE)</f>
        <v>528.48</v>
      </c>
      <c r="I7">
        <f>SUM(temperatury6[[#This Row],[utarg_za_hot_dogi]:[utarg_za_kukurydze]])</f>
        <v>1865.72</v>
      </c>
    </row>
    <row r="8" spans="1:18" x14ac:dyDescent="0.25">
      <c r="A8" s="1">
        <v>44811</v>
      </c>
      <c r="B8">
        <v>20</v>
      </c>
      <c r="C8">
        <f>ROUNDDOWN(VLOOKUP(temperatury6[[#Headers],[hot-dog]],$O$1:$R$4,4,FALSE)*(1+VLOOKUP(temperatury6[[#Headers],[hot-dog]],$O$1:$P$4,2,FALSE)*(temperatury6[[#This Row],[temperatura]]-24)/2),0)</f>
        <v>76</v>
      </c>
      <c r="D8">
        <f>ROUNDDOWN(VLOOKUP(temperatury6[[#Headers],[lody]],$O$1:$R$4,4,FALSE)*(1+VLOOKUP(temperatury6[[#Headers],[lody]],$O$1:$P$4,2,FALSE)*(temperatury6[[#This Row],[temperatura]]-24)/2),0)</f>
        <v>103</v>
      </c>
      <c r="E8">
        <f>ROUNDDOWN(VLOOKUP(temperatury6[[#Headers],[kukurydza]],$O$1:$R$4,4,FALSE)*(1+VLOOKUP(temperatury6[[#Headers],[kukurydza]],$O$1:$P$4,2,FALSE)*(temperatury6[[#This Row],[temperatura]]-24)/2),0)</f>
        <v>70</v>
      </c>
      <c r="F8">
        <f>temperatury6[[#This Row],[hot-dog]]*VLOOKUP(temperatury5[[#Headers],[hot-dog]],$O$1:$Q$4,3,FALSE)</f>
        <v>633.84</v>
      </c>
      <c r="G8">
        <f>temperatury6[[#This Row],[lody]]*VLOOKUP(temperatury5[[#Headers],[lody]],$O$1:$Q$4,3,FALSE)</f>
        <v>653.02</v>
      </c>
      <c r="H8">
        <f>temperatury6[[#This Row],[kukurydza]]*VLOOKUP(temperatury5[[#Headers],[kukurydza]],$O$1:$Q$4,3,FALSE)</f>
        <v>513.79999999999995</v>
      </c>
      <c r="I8">
        <f>SUM(temperatury6[[#This Row],[utarg_za_hot_dogi]:[utarg_za_kukurydze]])</f>
        <v>1800.66</v>
      </c>
    </row>
    <row r="9" spans="1:18" x14ac:dyDescent="0.25">
      <c r="A9" s="1">
        <v>44812</v>
      </c>
      <c r="B9">
        <v>20</v>
      </c>
      <c r="C9">
        <f>ROUNDDOWN(VLOOKUP(temperatury6[[#Headers],[hot-dog]],$O$1:$R$4,4,FALSE)*(1+VLOOKUP(temperatury6[[#Headers],[hot-dog]],$O$1:$P$4,2,FALSE)*(temperatury6[[#This Row],[temperatura]]-24)/2),0)</f>
        <v>76</v>
      </c>
      <c r="D9">
        <f>ROUNDDOWN(VLOOKUP(temperatury6[[#Headers],[lody]],$O$1:$R$4,4,FALSE)*(1+VLOOKUP(temperatury6[[#Headers],[lody]],$O$1:$P$4,2,FALSE)*(temperatury6[[#This Row],[temperatura]]-24)/2),0)</f>
        <v>103</v>
      </c>
      <c r="E9">
        <f>ROUNDDOWN(VLOOKUP(temperatury6[[#Headers],[kukurydza]],$O$1:$R$4,4,FALSE)*(1+VLOOKUP(temperatury6[[#Headers],[kukurydza]],$O$1:$P$4,2,FALSE)*(temperatury6[[#This Row],[temperatura]]-24)/2),0)</f>
        <v>70</v>
      </c>
      <c r="F9">
        <f>temperatury6[[#This Row],[hot-dog]]*VLOOKUP(temperatury5[[#Headers],[hot-dog]],$O$1:$Q$4,3,FALSE)</f>
        <v>633.84</v>
      </c>
      <c r="G9">
        <f>temperatury6[[#This Row],[lody]]*VLOOKUP(temperatury5[[#Headers],[lody]],$O$1:$Q$4,3,FALSE)</f>
        <v>653.02</v>
      </c>
      <c r="H9">
        <f>temperatury6[[#This Row],[kukurydza]]*VLOOKUP(temperatury5[[#Headers],[kukurydza]],$O$1:$Q$4,3,FALSE)</f>
        <v>513.79999999999995</v>
      </c>
      <c r="I9">
        <f>SUM(temperatury6[[#This Row],[utarg_za_hot_dogi]:[utarg_za_kukurydze]])</f>
        <v>1800.66</v>
      </c>
    </row>
    <row r="10" spans="1:18" x14ac:dyDescent="0.25">
      <c r="A10" s="1">
        <v>44813</v>
      </c>
      <c r="B10">
        <v>19</v>
      </c>
      <c r="C10">
        <f>ROUNDDOWN(VLOOKUP(temperatury6[[#Headers],[hot-dog]],$O$1:$R$4,4,FALSE)*(1+VLOOKUP(temperatury6[[#Headers],[hot-dog]],$O$1:$P$4,2,FALSE)*(temperatury6[[#This Row],[temperatura]]-24)/2),0)</f>
        <v>72</v>
      </c>
      <c r="D10">
        <f>ROUNDDOWN(VLOOKUP(temperatury6[[#Headers],[lody]],$O$1:$R$4,4,FALSE)*(1+VLOOKUP(temperatury6[[#Headers],[lody]],$O$1:$P$4,2,FALSE)*(temperatury6[[#This Row],[temperatura]]-24)/2),0)</f>
        <v>99</v>
      </c>
      <c r="E10">
        <f>ROUNDDOWN(VLOOKUP(temperatury6[[#Headers],[kukurydza]],$O$1:$R$4,4,FALSE)*(1+VLOOKUP(temperatury6[[#Headers],[kukurydza]],$O$1:$P$4,2,FALSE)*(temperatury6[[#This Row],[temperatura]]-24)/2),0)</f>
        <v>68</v>
      </c>
      <c r="F10">
        <f>temperatury6[[#This Row],[hot-dog]]*VLOOKUP(temperatury5[[#Headers],[hot-dog]],$O$1:$Q$4,3,FALSE)</f>
        <v>600.48</v>
      </c>
      <c r="G10">
        <f>temperatury6[[#This Row],[lody]]*VLOOKUP(temperatury5[[#Headers],[lody]],$O$1:$Q$4,3,FALSE)</f>
        <v>627.66</v>
      </c>
      <c r="H10">
        <f>temperatury6[[#This Row],[kukurydza]]*VLOOKUP(temperatury5[[#Headers],[kukurydza]],$O$1:$Q$4,3,FALSE)</f>
        <v>499.12</v>
      </c>
      <c r="I10">
        <f>SUM(temperatury6[[#This Row],[utarg_za_hot_dogi]:[utarg_za_kukurydze]])</f>
        <v>1727.2599999999998</v>
      </c>
    </row>
    <row r="11" spans="1:18" x14ac:dyDescent="0.25">
      <c r="A11" s="1">
        <v>44814</v>
      </c>
      <c r="B11">
        <v>19</v>
      </c>
      <c r="C11">
        <f>ROUNDDOWN(VLOOKUP(temperatury6[[#Headers],[hot-dog]],$O$1:$R$4,4,FALSE)*(1+VLOOKUP(temperatury6[[#Headers],[hot-dog]],$O$1:$P$4,2,FALSE)*(temperatury6[[#This Row],[temperatura]]-24)/2),0)</f>
        <v>72</v>
      </c>
      <c r="D11">
        <f>ROUNDDOWN(VLOOKUP(temperatury6[[#Headers],[lody]],$O$1:$R$4,4,FALSE)*(1+VLOOKUP(temperatury6[[#Headers],[lody]],$O$1:$P$4,2,FALSE)*(temperatury6[[#This Row],[temperatura]]-24)/2),0)</f>
        <v>99</v>
      </c>
      <c r="E11">
        <f>ROUNDDOWN(VLOOKUP(temperatury6[[#Headers],[kukurydza]],$O$1:$R$4,4,FALSE)*(1+VLOOKUP(temperatury6[[#Headers],[kukurydza]],$O$1:$P$4,2,FALSE)*(temperatury6[[#This Row],[temperatura]]-24)/2),0)</f>
        <v>68</v>
      </c>
      <c r="F11">
        <f>temperatury6[[#This Row],[hot-dog]]*VLOOKUP(temperatury5[[#Headers],[hot-dog]],$O$1:$Q$4,3,FALSE)</f>
        <v>600.48</v>
      </c>
      <c r="G11">
        <f>temperatury6[[#This Row],[lody]]*VLOOKUP(temperatury5[[#Headers],[lody]],$O$1:$Q$4,3,FALSE)</f>
        <v>627.66</v>
      </c>
      <c r="H11">
        <f>temperatury6[[#This Row],[kukurydza]]*VLOOKUP(temperatury5[[#Headers],[kukurydza]],$O$1:$Q$4,3,FALSE)</f>
        <v>499.12</v>
      </c>
      <c r="I11">
        <f>SUM(temperatury6[[#This Row],[utarg_za_hot_dogi]:[utarg_za_kukurydze]])</f>
        <v>1727.2599999999998</v>
      </c>
    </row>
    <row r="12" spans="1:18" x14ac:dyDescent="0.25">
      <c r="A12" s="1">
        <v>44815</v>
      </c>
      <c r="B12">
        <v>18</v>
      </c>
      <c r="C12">
        <f>ROUNDDOWN(VLOOKUP(temperatury6[[#Headers],[hot-dog]],$O$1:$R$4,4,FALSE)*(1+VLOOKUP(temperatury6[[#Headers],[hot-dog]],$O$1:$P$4,2,FALSE)*(temperatury6[[#This Row],[temperatura]]-24)/2),0)</f>
        <v>69</v>
      </c>
      <c r="D12">
        <f>ROUNDDOWN(VLOOKUP(temperatury6[[#Headers],[lody]],$O$1:$R$4,4,FALSE)*(1+VLOOKUP(temperatury6[[#Headers],[lody]],$O$1:$P$4,2,FALSE)*(temperatury6[[#This Row],[temperatura]]-24)/2),0)</f>
        <v>95</v>
      </c>
      <c r="E12">
        <f>ROUNDDOWN(VLOOKUP(temperatury6[[#Headers],[kukurydza]],$O$1:$R$4,4,FALSE)*(1+VLOOKUP(temperatury6[[#Headers],[kukurydza]],$O$1:$P$4,2,FALSE)*(temperatury6[[#This Row],[temperatura]]-24)/2),0)</f>
        <v>65</v>
      </c>
      <c r="F12">
        <f>temperatury6[[#This Row],[hot-dog]]*VLOOKUP(temperatury5[[#Headers],[hot-dog]],$O$1:$Q$4,3,FALSE)</f>
        <v>575.46</v>
      </c>
      <c r="G12">
        <f>temperatury6[[#This Row],[lody]]*VLOOKUP(temperatury5[[#Headers],[lody]],$O$1:$Q$4,3,FALSE)</f>
        <v>602.29999999999995</v>
      </c>
      <c r="H12">
        <f>temperatury6[[#This Row],[kukurydza]]*VLOOKUP(temperatury5[[#Headers],[kukurydza]],$O$1:$Q$4,3,FALSE)</f>
        <v>477.09999999999997</v>
      </c>
      <c r="I12">
        <f>SUM(temperatury6[[#This Row],[utarg_za_hot_dogi]:[utarg_za_kukurydze]])</f>
        <v>1654.86</v>
      </c>
    </row>
    <row r="13" spans="1:18" x14ac:dyDescent="0.25">
      <c r="A13" s="1">
        <v>44816</v>
      </c>
      <c r="B13">
        <v>18</v>
      </c>
      <c r="C13">
        <f>ROUNDDOWN(VLOOKUP(temperatury6[[#Headers],[hot-dog]],$O$1:$R$4,4,FALSE)*(1+VLOOKUP(temperatury6[[#Headers],[hot-dog]],$O$1:$P$4,2,FALSE)*(temperatury6[[#This Row],[temperatura]]-24)/2),0)</f>
        <v>69</v>
      </c>
      <c r="D13">
        <f>ROUNDDOWN(VLOOKUP(temperatury6[[#Headers],[lody]],$O$1:$R$4,4,FALSE)*(1+VLOOKUP(temperatury6[[#Headers],[lody]],$O$1:$P$4,2,FALSE)*(temperatury6[[#This Row],[temperatura]]-24)/2),0)</f>
        <v>95</v>
      </c>
      <c r="E13">
        <f>ROUNDDOWN(VLOOKUP(temperatury6[[#Headers],[kukurydza]],$O$1:$R$4,4,FALSE)*(1+VLOOKUP(temperatury6[[#Headers],[kukurydza]],$O$1:$P$4,2,FALSE)*(temperatury6[[#This Row],[temperatura]]-24)/2),0)</f>
        <v>65</v>
      </c>
      <c r="F13">
        <f>temperatury6[[#This Row],[hot-dog]]*VLOOKUP(temperatury5[[#Headers],[hot-dog]],$O$1:$Q$4,3,FALSE)</f>
        <v>575.46</v>
      </c>
      <c r="G13">
        <f>temperatury6[[#This Row],[lody]]*VLOOKUP(temperatury5[[#Headers],[lody]],$O$1:$Q$4,3,FALSE)</f>
        <v>602.29999999999995</v>
      </c>
      <c r="H13">
        <f>temperatury6[[#This Row],[kukurydza]]*VLOOKUP(temperatury5[[#Headers],[kukurydza]],$O$1:$Q$4,3,FALSE)</f>
        <v>477.09999999999997</v>
      </c>
      <c r="I13">
        <f>SUM(temperatury6[[#This Row],[utarg_za_hot_dogi]:[utarg_za_kukurydze]])</f>
        <v>1654.86</v>
      </c>
    </row>
    <row r="14" spans="1:18" x14ac:dyDescent="0.25">
      <c r="A14" s="1">
        <v>44817</v>
      </c>
      <c r="B14">
        <v>17</v>
      </c>
      <c r="C14">
        <f>ROUNDDOWN(VLOOKUP(temperatury6[[#Headers],[hot-dog]],$O$1:$R$4,4,FALSE)*(1+VLOOKUP(temperatury6[[#Headers],[hot-dog]],$O$1:$P$4,2,FALSE)*(temperatury6[[#This Row],[temperatura]]-24)/2),0)</f>
        <v>65</v>
      </c>
      <c r="D14">
        <f>ROUNDDOWN(VLOOKUP(temperatury6[[#Headers],[lody]],$O$1:$R$4,4,FALSE)*(1+VLOOKUP(temperatury6[[#Headers],[lody]],$O$1:$P$4,2,FALSE)*(temperatury6[[#This Row],[temperatura]]-24)/2),0)</f>
        <v>91</v>
      </c>
      <c r="E14">
        <f>ROUNDDOWN(VLOOKUP(temperatury6[[#Headers],[kukurydza]],$O$1:$R$4,4,FALSE)*(1+VLOOKUP(temperatury6[[#Headers],[kukurydza]],$O$1:$P$4,2,FALSE)*(temperatury6[[#This Row],[temperatura]]-24)/2),0)</f>
        <v>63</v>
      </c>
      <c r="F14">
        <f>temperatury6[[#This Row],[hot-dog]]*VLOOKUP(temperatury5[[#Headers],[hot-dog]],$O$1:$Q$4,3,FALSE)</f>
        <v>542.1</v>
      </c>
      <c r="G14">
        <f>temperatury6[[#This Row],[lody]]*VLOOKUP(temperatury5[[#Headers],[lody]],$O$1:$Q$4,3,FALSE)</f>
        <v>576.93999999999994</v>
      </c>
      <c r="H14">
        <f>temperatury6[[#This Row],[kukurydza]]*VLOOKUP(temperatury5[[#Headers],[kukurydza]],$O$1:$Q$4,3,FALSE)</f>
        <v>462.42</v>
      </c>
      <c r="I14">
        <f>SUM(temperatury6[[#This Row],[utarg_za_hot_dogi]:[utarg_za_kukurydze]])</f>
        <v>1581.46</v>
      </c>
    </row>
    <row r="15" spans="1:18" x14ac:dyDescent="0.25">
      <c r="A15" s="1">
        <v>44818</v>
      </c>
      <c r="B15">
        <v>17</v>
      </c>
      <c r="C15">
        <f>ROUNDDOWN(VLOOKUP(temperatury6[[#Headers],[hot-dog]],$O$1:$R$4,4,FALSE)*(1+VLOOKUP(temperatury6[[#Headers],[hot-dog]],$O$1:$P$4,2,FALSE)*(temperatury6[[#This Row],[temperatura]]-24)/2),0)</f>
        <v>65</v>
      </c>
      <c r="D15">
        <f>ROUNDDOWN(VLOOKUP(temperatury6[[#Headers],[lody]],$O$1:$R$4,4,FALSE)*(1+VLOOKUP(temperatury6[[#Headers],[lody]],$O$1:$P$4,2,FALSE)*(temperatury6[[#This Row],[temperatura]]-24)/2),0)</f>
        <v>91</v>
      </c>
      <c r="E15">
        <f>ROUNDDOWN(VLOOKUP(temperatury6[[#Headers],[kukurydza]],$O$1:$R$4,4,FALSE)*(1+VLOOKUP(temperatury6[[#Headers],[kukurydza]],$O$1:$P$4,2,FALSE)*(temperatury6[[#This Row],[temperatura]]-24)/2),0)</f>
        <v>63</v>
      </c>
      <c r="F15">
        <f>temperatury6[[#This Row],[hot-dog]]*VLOOKUP(temperatury5[[#Headers],[hot-dog]],$O$1:$Q$4,3,FALSE)</f>
        <v>542.1</v>
      </c>
      <c r="G15">
        <f>temperatury6[[#This Row],[lody]]*VLOOKUP(temperatury5[[#Headers],[lody]],$O$1:$Q$4,3,FALSE)</f>
        <v>576.93999999999994</v>
      </c>
      <c r="H15">
        <f>temperatury6[[#This Row],[kukurydza]]*VLOOKUP(temperatury5[[#Headers],[kukurydza]],$O$1:$Q$4,3,FALSE)</f>
        <v>462.42</v>
      </c>
      <c r="I15">
        <f>SUM(temperatury6[[#This Row],[utarg_za_hot_dogi]:[utarg_za_kukurydze]])</f>
        <v>1581.46</v>
      </c>
    </row>
    <row r="16" spans="1:18" x14ac:dyDescent="0.25">
      <c r="A16" s="1">
        <v>44819</v>
      </c>
      <c r="B16">
        <v>16</v>
      </c>
      <c r="C16">
        <f>ROUNDDOWN(VLOOKUP(temperatury6[[#Headers],[hot-dog]],$O$1:$R$4,4,FALSE)*(1+VLOOKUP(temperatury6[[#Headers],[hot-dog]],$O$1:$P$4,2,FALSE)*(temperatury6[[#This Row],[temperatura]]-24)/2),0)</f>
        <v>62</v>
      </c>
      <c r="D16">
        <f>ROUNDDOWN(VLOOKUP(temperatury6[[#Headers],[lody]],$O$1:$R$4,4,FALSE)*(1+VLOOKUP(temperatury6[[#Headers],[lody]],$O$1:$P$4,2,FALSE)*(temperatury6[[#This Row],[temperatura]]-24)/2),0)</f>
        <v>86</v>
      </c>
      <c r="E16">
        <f>ROUNDDOWN(VLOOKUP(temperatury6[[#Headers],[kukurydza]],$O$1:$R$4,4,FALSE)*(1+VLOOKUP(temperatury6[[#Headers],[kukurydza]],$O$1:$P$4,2,FALSE)*(temperatury6[[#This Row],[temperatura]]-24)/2),0)</f>
        <v>61</v>
      </c>
      <c r="F16">
        <f>temperatury6[[#This Row],[hot-dog]]*VLOOKUP(temperatury5[[#Headers],[hot-dog]],$O$1:$Q$4,3,FALSE)</f>
        <v>517.08000000000004</v>
      </c>
      <c r="G16">
        <f>temperatury6[[#This Row],[lody]]*VLOOKUP(temperatury5[[#Headers],[lody]],$O$1:$Q$4,3,FALSE)</f>
        <v>545.24</v>
      </c>
      <c r="H16">
        <f>temperatury6[[#This Row],[kukurydza]]*VLOOKUP(temperatury5[[#Headers],[kukurydza]],$O$1:$Q$4,3,FALSE)</f>
        <v>447.74</v>
      </c>
      <c r="I16">
        <f>SUM(temperatury6[[#This Row],[utarg_za_hot_dogi]:[utarg_za_kukurydze]])</f>
        <v>1510.0600000000002</v>
      </c>
    </row>
    <row r="17" spans="1:9" x14ac:dyDescent="0.25">
      <c r="A17" s="1">
        <v>44820</v>
      </c>
      <c r="B17">
        <v>16</v>
      </c>
      <c r="C17">
        <f>ROUNDDOWN(VLOOKUP(temperatury6[[#Headers],[hot-dog]],$O$1:$R$4,4,FALSE)*(1+VLOOKUP(temperatury6[[#Headers],[hot-dog]],$O$1:$P$4,2,FALSE)*(temperatury6[[#This Row],[temperatura]]-24)/2),0)</f>
        <v>62</v>
      </c>
      <c r="D17">
        <f>ROUNDDOWN(VLOOKUP(temperatury6[[#Headers],[lody]],$O$1:$R$4,4,FALSE)*(1+VLOOKUP(temperatury6[[#Headers],[lody]],$O$1:$P$4,2,FALSE)*(temperatury6[[#This Row],[temperatura]]-24)/2),0)</f>
        <v>86</v>
      </c>
      <c r="E17">
        <f>ROUNDDOWN(VLOOKUP(temperatury6[[#Headers],[kukurydza]],$O$1:$R$4,4,FALSE)*(1+VLOOKUP(temperatury6[[#Headers],[kukurydza]],$O$1:$P$4,2,FALSE)*(temperatury6[[#This Row],[temperatura]]-24)/2),0)</f>
        <v>61</v>
      </c>
      <c r="F17">
        <f>temperatury6[[#This Row],[hot-dog]]*VLOOKUP(temperatury5[[#Headers],[hot-dog]],$O$1:$Q$4,3,FALSE)</f>
        <v>517.08000000000004</v>
      </c>
      <c r="G17">
        <f>temperatury6[[#This Row],[lody]]*VLOOKUP(temperatury5[[#Headers],[lody]],$O$1:$Q$4,3,FALSE)</f>
        <v>545.24</v>
      </c>
      <c r="H17">
        <f>temperatury6[[#This Row],[kukurydza]]*VLOOKUP(temperatury5[[#Headers],[kukurydza]],$O$1:$Q$4,3,FALSE)</f>
        <v>447.74</v>
      </c>
      <c r="I17">
        <f>SUM(temperatury6[[#This Row],[utarg_za_hot_dogi]:[utarg_za_kukurydze]])</f>
        <v>1510.0600000000002</v>
      </c>
    </row>
    <row r="18" spans="1:9" x14ac:dyDescent="0.25">
      <c r="A18" s="1">
        <v>44821</v>
      </c>
      <c r="B18">
        <v>15</v>
      </c>
      <c r="C18">
        <f>ROUNDDOWN(VLOOKUP(temperatury6[[#Headers],[hot-dog]],$O$1:$R$4,4,FALSE)*(1+VLOOKUP(temperatury6[[#Headers],[hot-dog]],$O$1:$P$4,2,FALSE)*(temperatury6[[#This Row],[temperatura]]-24)/2),0)</f>
        <v>58</v>
      </c>
      <c r="D18">
        <f>ROUNDDOWN(VLOOKUP(temperatury6[[#Headers],[lody]],$O$1:$R$4,4,FALSE)*(1+VLOOKUP(temperatury6[[#Headers],[lody]],$O$1:$P$4,2,FALSE)*(temperatury6[[#This Row],[temperatura]]-24)/2),0)</f>
        <v>82</v>
      </c>
      <c r="E18">
        <f>ROUNDDOWN(VLOOKUP(temperatury6[[#Headers],[kukurydza]],$O$1:$R$4,4,FALSE)*(1+VLOOKUP(temperatury6[[#Headers],[kukurydza]],$O$1:$P$4,2,FALSE)*(temperatury6[[#This Row],[temperatura]]-24)/2),0)</f>
        <v>58</v>
      </c>
      <c r="F18">
        <f>temperatury6[[#This Row],[hot-dog]]*VLOOKUP(temperatury5[[#Headers],[hot-dog]],$O$1:$Q$4,3,FALSE)</f>
        <v>483.71999999999997</v>
      </c>
      <c r="G18">
        <f>temperatury6[[#This Row],[lody]]*VLOOKUP(temperatury5[[#Headers],[lody]],$O$1:$Q$4,3,FALSE)</f>
        <v>519.88</v>
      </c>
      <c r="H18">
        <f>temperatury6[[#This Row],[kukurydza]]*VLOOKUP(temperatury5[[#Headers],[kukurydza]],$O$1:$Q$4,3,FALSE)</f>
        <v>425.71999999999997</v>
      </c>
      <c r="I18">
        <f>SUM(temperatury6[[#This Row],[utarg_za_hot_dogi]:[utarg_za_kukurydze]])</f>
        <v>1429.32</v>
      </c>
    </row>
    <row r="19" spans="1:9" x14ac:dyDescent="0.25">
      <c r="A19" s="1">
        <v>44822</v>
      </c>
      <c r="B19">
        <v>15</v>
      </c>
      <c r="C19">
        <f>ROUNDDOWN(VLOOKUP(temperatury6[[#Headers],[hot-dog]],$O$1:$R$4,4,FALSE)*(1+VLOOKUP(temperatury6[[#Headers],[hot-dog]],$O$1:$P$4,2,FALSE)*(temperatury6[[#This Row],[temperatura]]-24)/2),0)</f>
        <v>58</v>
      </c>
      <c r="D19">
        <f>ROUNDDOWN(VLOOKUP(temperatury6[[#Headers],[lody]],$O$1:$R$4,4,FALSE)*(1+VLOOKUP(temperatury6[[#Headers],[lody]],$O$1:$P$4,2,FALSE)*(temperatury6[[#This Row],[temperatura]]-24)/2),0)</f>
        <v>82</v>
      </c>
      <c r="E19">
        <f>ROUNDDOWN(VLOOKUP(temperatury6[[#Headers],[kukurydza]],$O$1:$R$4,4,FALSE)*(1+VLOOKUP(temperatury6[[#Headers],[kukurydza]],$O$1:$P$4,2,FALSE)*(temperatury6[[#This Row],[temperatura]]-24)/2),0)</f>
        <v>58</v>
      </c>
      <c r="F19">
        <f>temperatury6[[#This Row],[hot-dog]]*VLOOKUP(temperatury5[[#Headers],[hot-dog]],$O$1:$Q$4,3,FALSE)</f>
        <v>483.71999999999997</v>
      </c>
      <c r="G19">
        <f>temperatury6[[#This Row],[lody]]*VLOOKUP(temperatury5[[#Headers],[lody]],$O$1:$Q$4,3,FALSE)</f>
        <v>519.88</v>
      </c>
      <c r="H19">
        <f>temperatury6[[#This Row],[kukurydza]]*VLOOKUP(temperatury5[[#Headers],[kukurydza]],$O$1:$Q$4,3,FALSE)</f>
        <v>425.71999999999997</v>
      </c>
      <c r="I19">
        <f>SUM(temperatury6[[#This Row],[utarg_za_hot_dogi]:[utarg_za_kukurydze]])</f>
        <v>1429.32</v>
      </c>
    </row>
    <row r="20" spans="1:9" x14ac:dyDescent="0.25">
      <c r="A20" s="1">
        <v>44823</v>
      </c>
      <c r="B20">
        <v>14</v>
      </c>
      <c r="C20">
        <f>ROUNDDOWN(VLOOKUP(temperatury6[[#Headers],[hot-dog]],$O$1:$R$4,4,FALSE)*(1+VLOOKUP(temperatury6[[#Headers],[hot-dog]],$O$1:$P$4,2,FALSE)*(temperatury6[[#This Row],[temperatura]]-24)/2),0)</f>
        <v>55</v>
      </c>
      <c r="D20">
        <f>ROUNDDOWN(VLOOKUP(temperatury6[[#Headers],[lody]],$O$1:$R$4,4,FALSE)*(1+VLOOKUP(temperatury6[[#Headers],[lody]],$O$1:$P$4,2,FALSE)*(temperatury6[[#This Row],[temperatura]]-24)/2),0)</f>
        <v>78</v>
      </c>
      <c r="E20">
        <f>ROUNDDOWN(VLOOKUP(temperatury6[[#Headers],[kukurydza]],$O$1:$R$4,4,FALSE)*(1+VLOOKUP(temperatury6[[#Headers],[kukurydza]],$O$1:$P$4,2,FALSE)*(temperatury6[[#This Row],[temperatura]]-24)/2),0)</f>
        <v>56</v>
      </c>
      <c r="F20">
        <f>temperatury6[[#This Row],[hot-dog]]*VLOOKUP(temperatury5[[#Headers],[hot-dog]],$O$1:$Q$4,3,FALSE)</f>
        <v>458.7</v>
      </c>
      <c r="G20">
        <f>temperatury6[[#This Row],[lody]]*VLOOKUP(temperatury5[[#Headers],[lody]],$O$1:$Q$4,3,FALSE)</f>
        <v>494.52</v>
      </c>
      <c r="H20">
        <f>temperatury6[[#This Row],[kukurydza]]*VLOOKUP(temperatury5[[#Headers],[kukurydza]],$O$1:$Q$4,3,FALSE)</f>
        <v>411.03999999999996</v>
      </c>
      <c r="I20">
        <f>SUM(temperatury6[[#This Row],[utarg_za_hot_dogi]:[utarg_za_kukurydze]])</f>
        <v>1364.26</v>
      </c>
    </row>
    <row r="21" spans="1:9" x14ac:dyDescent="0.25">
      <c r="A21" s="1">
        <v>44824</v>
      </c>
      <c r="B21">
        <v>14</v>
      </c>
      <c r="C21">
        <f>ROUNDDOWN(VLOOKUP(temperatury6[[#Headers],[hot-dog]],$O$1:$R$4,4,FALSE)*(1+VLOOKUP(temperatury6[[#Headers],[hot-dog]],$O$1:$P$4,2,FALSE)*(temperatury6[[#This Row],[temperatura]]-24)/2),0)</f>
        <v>55</v>
      </c>
      <c r="D21">
        <f>ROUNDDOWN(VLOOKUP(temperatury6[[#Headers],[lody]],$O$1:$R$4,4,FALSE)*(1+VLOOKUP(temperatury6[[#Headers],[lody]],$O$1:$P$4,2,FALSE)*(temperatury6[[#This Row],[temperatura]]-24)/2),0)</f>
        <v>78</v>
      </c>
      <c r="E21">
        <f>ROUNDDOWN(VLOOKUP(temperatury6[[#Headers],[kukurydza]],$O$1:$R$4,4,FALSE)*(1+VLOOKUP(temperatury6[[#Headers],[kukurydza]],$O$1:$P$4,2,FALSE)*(temperatury6[[#This Row],[temperatura]]-24)/2),0)</f>
        <v>56</v>
      </c>
      <c r="F21">
        <f>temperatury6[[#This Row],[hot-dog]]*VLOOKUP(temperatury5[[#Headers],[hot-dog]],$O$1:$Q$4,3,FALSE)</f>
        <v>458.7</v>
      </c>
      <c r="G21">
        <f>temperatury6[[#This Row],[lody]]*VLOOKUP(temperatury5[[#Headers],[lody]],$O$1:$Q$4,3,FALSE)</f>
        <v>494.52</v>
      </c>
      <c r="H21">
        <f>temperatury6[[#This Row],[kukurydza]]*VLOOKUP(temperatury5[[#Headers],[kukurydza]],$O$1:$Q$4,3,FALSE)</f>
        <v>411.03999999999996</v>
      </c>
      <c r="I21">
        <f>SUM(temperatury6[[#This Row],[utarg_za_hot_dogi]:[utarg_za_kukurydze]])</f>
        <v>1364.26</v>
      </c>
    </row>
    <row r="22" spans="1:9" x14ac:dyDescent="0.25">
      <c r="A22" s="1">
        <v>44825</v>
      </c>
      <c r="B22">
        <v>13</v>
      </c>
      <c r="C22">
        <f>ROUNDDOWN(VLOOKUP(temperatury6[[#Headers],[hot-dog]],$O$1:$R$4,4,FALSE)*(1+VLOOKUP(temperatury6[[#Headers],[hot-dog]],$O$1:$P$4,2,FALSE)*(temperatury6[[#This Row],[temperatura]]-24)/2),0)</f>
        <v>51</v>
      </c>
      <c r="D22">
        <f>ROUNDDOWN(VLOOKUP(temperatury6[[#Headers],[lody]],$O$1:$R$4,4,FALSE)*(1+VLOOKUP(temperatury6[[#Headers],[lody]],$O$1:$P$4,2,FALSE)*(temperatury6[[#This Row],[temperatura]]-24)/2),0)</f>
        <v>74</v>
      </c>
      <c r="E22">
        <f>ROUNDDOWN(VLOOKUP(temperatury6[[#Headers],[kukurydza]],$O$1:$R$4,4,FALSE)*(1+VLOOKUP(temperatury6[[#Headers],[kukurydza]],$O$1:$P$4,2,FALSE)*(temperatury6[[#This Row],[temperatura]]-24)/2),0)</f>
        <v>54</v>
      </c>
      <c r="F22">
        <f>temperatury6[[#This Row],[hot-dog]]*VLOOKUP(temperatury5[[#Headers],[hot-dog]],$O$1:$Q$4,3,FALSE)</f>
        <v>425.34</v>
      </c>
      <c r="G22">
        <f>temperatury6[[#This Row],[lody]]*VLOOKUP(temperatury5[[#Headers],[lody]],$O$1:$Q$4,3,FALSE)</f>
        <v>469.15999999999997</v>
      </c>
      <c r="H22">
        <f>temperatury6[[#This Row],[kukurydza]]*VLOOKUP(temperatury5[[#Headers],[kukurydza]],$O$1:$Q$4,3,FALSE)</f>
        <v>396.36</v>
      </c>
      <c r="I22">
        <f>SUM(temperatury6[[#This Row],[utarg_za_hot_dogi]:[utarg_za_kukurydze]])</f>
        <v>1290.8600000000001</v>
      </c>
    </row>
    <row r="23" spans="1:9" x14ac:dyDescent="0.25">
      <c r="A23" s="1">
        <v>44826</v>
      </c>
      <c r="B23">
        <v>13</v>
      </c>
      <c r="C23">
        <f>ROUNDDOWN(VLOOKUP(temperatury6[[#Headers],[hot-dog]],$O$1:$R$4,4,FALSE)*(1+VLOOKUP(temperatury6[[#Headers],[hot-dog]],$O$1:$P$4,2,FALSE)*(temperatury6[[#This Row],[temperatura]]-24)/2),0)</f>
        <v>51</v>
      </c>
      <c r="D23">
        <f>ROUNDDOWN(VLOOKUP(temperatury6[[#Headers],[lody]],$O$1:$R$4,4,FALSE)*(1+VLOOKUP(temperatury6[[#Headers],[lody]],$O$1:$P$4,2,FALSE)*(temperatury6[[#This Row],[temperatura]]-24)/2),0)</f>
        <v>74</v>
      </c>
      <c r="E23">
        <f>ROUNDDOWN(VLOOKUP(temperatury6[[#Headers],[kukurydza]],$O$1:$R$4,4,FALSE)*(1+VLOOKUP(temperatury6[[#Headers],[kukurydza]],$O$1:$P$4,2,FALSE)*(temperatury6[[#This Row],[temperatura]]-24)/2),0)</f>
        <v>54</v>
      </c>
      <c r="F23">
        <f>temperatury6[[#This Row],[hot-dog]]*VLOOKUP(temperatury5[[#Headers],[hot-dog]],$O$1:$Q$4,3,FALSE)</f>
        <v>425.34</v>
      </c>
      <c r="G23">
        <f>temperatury6[[#This Row],[lody]]*VLOOKUP(temperatury5[[#Headers],[lody]],$O$1:$Q$4,3,FALSE)</f>
        <v>469.15999999999997</v>
      </c>
      <c r="H23">
        <f>temperatury6[[#This Row],[kukurydza]]*VLOOKUP(temperatury5[[#Headers],[kukurydza]],$O$1:$Q$4,3,FALSE)</f>
        <v>396.36</v>
      </c>
      <c r="I23">
        <f>SUM(temperatury6[[#This Row],[utarg_za_hot_dogi]:[utarg_za_kukurydze]])</f>
        <v>1290.8600000000001</v>
      </c>
    </row>
    <row r="24" spans="1:9" x14ac:dyDescent="0.25">
      <c r="A24" s="1">
        <v>44827</v>
      </c>
      <c r="B24">
        <v>12</v>
      </c>
      <c r="C24">
        <f>ROUNDDOWN(VLOOKUP(temperatury6[[#Headers],[hot-dog]],$O$1:$R$4,4,FALSE)*(1+VLOOKUP(temperatury6[[#Headers],[hot-dog]],$O$1:$P$4,2,FALSE)*(temperatury6[[#This Row],[temperatura]]-24)/2),0)</f>
        <v>48</v>
      </c>
      <c r="D24">
        <f>ROUNDDOWN(VLOOKUP(temperatury6[[#Headers],[lody]],$O$1:$R$4,4,FALSE)*(1+VLOOKUP(temperatury6[[#Headers],[lody]],$O$1:$P$4,2,FALSE)*(temperatury6[[#This Row],[temperatura]]-24)/2),0)</f>
        <v>70</v>
      </c>
      <c r="E24">
        <f>ROUNDDOWN(VLOOKUP(temperatury6[[#Headers],[kukurydza]],$O$1:$R$4,4,FALSE)*(1+VLOOKUP(temperatury6[[#Headers],[kukurydza]],$O$1:$P$4,2,FALSE)*(temperatury6[[#This Row],[temperatura]]-24)/2),0)</f>
        <v>51</v>
      </c>
      <c r="F24">
        <f>temperatury6[[#This Row],[hot-dog]]*VLOOKUP(temperatury5[[#Headers],[hot-dog]],$O$1:$Q$4,3,FALSE)</f>
        <v>400.32</v>
      </c>
      <c r="G24">
        <f>temperatury6[[#This Row],[lody]]*VLOOKUP(temperatury5[[#Headers],[lody]],$O$1:$Q$4,3,FALSE)</f>
        <v>443.8</v>
      </c>
      <c r="H24">
        <f>temperatury6[[#This Row],[kukurydza]]*VLOOKUP(temperatury5[[#Headers],[kukurydza]],$O$1:$Q$4,3,FALSE)</f>
        <v>374.34</v>
      </c>
      <c r="I24">
        <f>SUM(temperatury6[[#This Row],[utarg_za_hot_dogi]:[utarg_za_kukurydze]])</f>
        <v>1218.46</v>
      </c>
    </row>
    <row r="25" spans="1:9" x14ac:dyDescent="0.25">
      <c r="A25" s="1">
        <v>44828</v>
      </c>
      <c r="B25">
        <v>12</v>
      </c>
      <c r="C25">
        <f>ROUNDDOWN(VLOOKUP(temperatury6[[#Headers],[hot-dog]],$O$1:$R$4,4,FALSE)*(1+VLOOKUP(temperatury6[[#Headers],[hot-dog]],$O$1:$P$4,2,FALSE)*(temperatury6[[#This Row],[temperatura]]-24)/2),0)</f>
        <v>48</v>
      </c>
      <c r="D25">
        <f>ROUNDDOWN(VLOOKUP(temperatury6[[#Headers],[lody]],$O$1:$R$4,4,FALSE)*(1+VLOOKUP(temperatury6[[#Headers],[lody]],$O$1:$P$4,2,FALSE)*(temperatury6[[#This Row],[temperatura]]-24)/2),0)</f>
        <v>70</v>
      </c>
      <c r="E25">
        <f>ROUNDDOWN(VLOOKUP(temperatury6[[#Headers],[kukurydza]],$O$1:$R$4,4,FALSE)*(1+VLOOKUP(temperatury6[[#Headers],[kukurydza]],$O$1:$P$4,2,FALSE)*(temperatury6[[#This Row],[temperatura]]-24)/2),0)</f>
        <v>51</v>
      </c>
      <c r="F25">
        <f>temperatury6[[#This Row],[hot-dog]]*VLOOKUP(temperatury5[[#Headers],[hot-dog]],$O$1:$Q$4,3,FALSE)</f>
        <v>400.32</v>
      </c>
      <c r="G25">
        <f>temperatury6[[#This Row],[lody]]*VLOOKUP(temperatury5[[#Headers],[lody]],$O$1:$Q$4,3,FALSE)</f>
        <v>443.8</v>
      </c>
      <c r="H25">
        <f>temperatury6[[#This Row],[kukurydza]]*VLOOKUP(temperatury5[[#Headers],[kukurydza]],$O$1:$Q$4,3,FALSE)</f>
        <v>374.34</v>
      </c>
      <c r="I25">
        <f>SUM(temperatury6[[#This Row],[utarg_za_hot_dogi]:[utarg_za_kukurydze]])</f>
        <v>1218.46</v>
      </c>
    </row>
    <row r="26" spans="1:9" x14ac:dyDescent="0.25">
      <c r="A26" s="1">
        <v>44829</v>
      </c>
      <c r="B26">
        <v>11</v>
      </c>
      <c r="C26">
        <f>ROUNDDOWN(VLOOKUP(temperatury6[[#Headers],[hot-dog]],$O$1:$R$4,4,FALSE)*(1+VLOOKUP(temperatury6[[#Headers],[hot-dog]],$O$1:$P$4,2,FALSE)*(temperatury6[[#This Row],[temperatura]]-24)/2),0)</f>
        <v>45</v>
      </c>
      <c r="D26">
        <f>ROUNDDOWN(VLOOKUP(temperatury6[[#Headers],[lody]],$O$1:$R$4,4,FALSE)*(1+VLOOKUP(temperatury6[[#Headers],[lody]],$O$1:$P$4,2,FALSE)*(temperatury6[[#This Row],[temperatura]]-24)/2),0)</f>
        <v>66</v>
      </c>
      <c r="E26">
        <f>ROUNDDOWN(VLOOKUP(temperatury6[[#Headers],[kukurydza]],$O$1:$R$4,4,FALSE)*(1+VLOOKUP(temperatury6[[#Headers],[kukurydza]],$O$1:$P$4,2,FALSE)*(temperatury6[[#This Row],[temperatura]]-24)/2),0)</f>
        <v>49</v>
      </c>
      <c r="F26">
        <f>temperatury6[[#This Row],[hot-dog]]*VLOOKUP(temperatury5[[#Headers],[hot-dog]],$O$1:$Q$4,3,FALSE)</f>
        <v>375.3</v>
      </c>
      <c r="G26">
        <f>temperatury6[[#This Row],[lody]]*VLOOKUP(temperatury5[[#Headers],[lody]],$O$1:$Q$4,3,FALSE)</f>
        <v>418.44</v>
      </c>
      <c r="H26">
        <f>temperatury6[[#This Row],[kukurydza]]*VLOOKUP(temperatury5[[#Headers],[kukurydza]],$O$1:$Q$4,3,FALSE)</f>
        <v>359.65999999999997</v>
      </c>
      <c r="I26">
        <f>SUM(temperatury6[[#This Row],[utarg_za_hot_dogi]:[utarg_za_kukurydze]])</f>
        <v>1153.4000000000001</v>
      </c>
    </row>
    <row r="27" spans="1:9" x14ac:dyDescent="0.25">
      <c r="A27" s="1">
        <v>44830</v>
      </c>
      <c r="B27">
        <v>11</v>
      </c>
      <c r="C27">
        <f>ROUNDDOWN(VLOOKUP(temperatury6[[#Headers],[hot-dog]],$O$1:$R$4,4,FALSE)*(1+VLOOKUP(temperatury6[[#Headers],[hot-dog]],$O$1:$P$4,2,FALSE)*(temperatury6[[#This Row],[temperatura]]-24)/2),0)</f>
        <v>45</v>
      </c>
      <c r="D27">
        <f>ROUNDDOWN(VLOOKUP(temperatury6[[#Headers],[lody]],$O$1:$R$4,4,FALSE)*(1+VLOOKUP(temperatury6[[#Headers],[lody]],$O$1:$P$4,2,FALSE)*(temperatury6[[#This Row],[temperatura]]-24)/2),0)</f>
        <v>66</v>
      </c>
      <c r="E27">
        <f>ROUNDDOWN(VLOOKUP(temperatury6[[#Headers],[kukurydza]],$O$1:$R$4,4,FALSE)*(1+VLOOKUP(temperatury6[[#Headers],[kukurydza]],$O$1:$P$4,2,FALSE)*(temperatury6[[#This Row],[temperatura]]-24)/2),0)</f>
        <v>49</v>
      </c>
      <c r="F27">
        <f>temperatury6[[#This Row],[hot-dog]]*VLOOKUP(temperatury5[[#Headers],[hot-dog]],$O$1:$Q$4,3,FALSE)</f>
        <v>375.3</v>
      </c>
      <c r="G27">
        <f>temperatury6[[#This Row],[lody]]*VLOOKUP(temperatury5[[#Headers],[lody]],$O$1:$Q$4,3,FALSE)</f>
        <v>418.44</v>
      </c>
      <c r="H27">
        <f>temperatury6[[#This Row],[kukurydza]]*VLOOKUP(temperatury5[[#Headers],[kukurydza]],$O$1:$Q$4,3,FALSE)</f>
        <v>359.65999999999997</v>
      </c>
      <c r="I27">
        <f>SUM(temperatury6[[#This Row],[utarg_za_hot_dogi]:[utarg_za_kukurydze]])</f>
        <v>1153.4000000000001</v>
      </c>
    </row>
    <row r="28" spans="1:9" x14ac:dyDescent="0.25">
      <c r="A28" s="1">
        <v>44831</v>
      </c>
      <c r="B28">
        <v>10</v>
      </c>
      <c r="C28">
        <f>ROUNDDOWN(VLOOKUP(temperatury6[[#Headers],[hot-dog]],$O$1:$R$4,4,FALSE)*(1+VLOOKUP(temperatury6[[#Headers],[hot-dog]],$O$1:$P$4,2,FALSE)*(temperatury6[[#This Row],[temperatura]]-24)/2),0)</f>
        <v>41</v>
      </c>
      <c r="D28">
        <f>ROUNDDOWN(VLOOKUP(temperatury6[[#Headers],[lody]],$O$1:$R$4,4,FALSE)*(1+VLOOKUP(temperatury6[[#Headers],[lody]],$O$1:$P$4,2,FALSE)*(temperatury6[[#This Row],[temperatura]]-24)/2),0)</f>
        <v>62</v>
      </c>
      <c r="E28">
        <f>ROUNDDOWN(VLOOKUP(temperatury6[[#Headers],[kukurydza]],$O$1:$R$4,4,FALSE)*(1+VLOOKUP(temperatury6[[#Headers],[kukurydza]],$O$1:$P$4,2,FALSE)*(temperatury6[[#This Row],[temperatura]]-24)/2),0)</f>
        <v>47</v>
      </c>
      <c r="F28">
        <f>temperatury6[[#This Row],[hot-dog]]*VLOOKUP(temperatury5[[#Headers],[hot-dog]],$O$1:$Q$4,3,FALSE)</f>
        <v>341.94</v>
      </c>
      <c r="G28">
        <f>temperatury6[[#This Row],[lody]]*VLOOKUP(temperatury5[[#Headers],[lody]],$O$1:$Q$4,3,FALSE)</f>
        <v>393.08</v>
      </c>
      <c r="H28">
        <f>temperatury6[[#This Row],[kukurydza]]*VLOOKUP(temperatury5[[#Headers],[kukurydza]],$O$1:$Q$4,3,FALSE)</f>
        <v>344.98</v>
      </c>
      <c r="I28">
        <f>SUM(temperatury6[[#This Row],[utarg_za_hot_dogi]:[utarg_za_kukurydze]])</f>
        <v>1080</v>
      </c>
    </row>
    <row r="29" spans="1:9" x14ac:dyDescent="0.25">
      <c r="A29" s="1">
        <v>44832</v>
      </c>
      <c r="B29">
        <v>10</v>
      </c>
      <c r="C29">
        <f>ROUNDDOWN(VLOOKUP(temperatury6[[#Headers],[hot-dog]],$O$1:$R$4,4,FALSE)*(1+VLOOKUP(temperatury6[[#Headers],[hot-dog]],$O$1:$P$4,2,FALSE)*(temperatury6[[#This Row],[temperatura]]-24)/2),0)</f>
        <v>41</v>
      </c>
      <c r="D29">
        <f>ROUNDDOWN(VLOOKUP(temperatury6[[#Headers],[lody]],$O$1:$R$4,4,FALSE)*(1+VLOOKUP(temperatury6[[#Headers],[lody]],$O$1:$P$4,2,FALSE)*(temperatury6[[#This Row],[temperatura]]-24)/2),0)</f>
        <v>62</v>
      </c>
      <c r="E29">
        <f>ROUNDDOWN(VLOOKUP(temperatury6[[#Headers],[kukurydza]],$O$1:$R$4,4,FALSE)*(1+VLOOKUP(temperatury6[[#Headers],[kukurydza]],$O$1:$P$4,2,FALSE)*(temperatury6[[#This Row],[temperatura]]-24)/2),0)</f>
        <v>47</v>
      </c>
      <c r="F29">
        <f>temperatury6[[#This Row],[hot-dog]]*VLOOKUP(temperatury5[[#Headers],[hot-dog]],$O$1:$Q$4,3,FALSE)</f>
        <v>341.94</v>
      </c>
      <c r="G29">
        <f>temperatury6[[#This Row],[lody]]*VLOOKUP(temperatury5[[#Headers],[lody]],$O$1:$Q$4,3,FALSE)</f>
        <v>393.08</v>
      </c>
      <c r="H29">
        <f>temperatury6[[#This Row],[kukurydza]]*VLOOKUP(temperatury5[[#Headers],[kukurydza]],$O$1:$Q$4,3,FALSE)</f>
        <v>344.98</v>
      </c>
      <c r="I29">
        <f>SUM(temperatury6[[#This Row],[utarg_za_hot_dogi]:[utarg_za_kukurydze]])</f>
        <v>1080</v>
      </c>
    </row>
    <row r="30" spans="1:9" x14ac:dyDescent="0.25">
      <c r="A30" s="1">
        <v>44833</v>
      </c>
      <c r="B30">
        <v>9</v>
      </c>
      <c r="C30">
        <f>ROUNDDOWN(VLOOKUP(temperatury6[[#Headers],[hot-dog]],$O$1:$R$4,4,FALSE)*(1+VLOOKUP(temperatury6[[#Headers],[hot-dog]],$O$1:$P$4,2,FALSE)*(temperatury6[[#This Row],[temperatura]]-24)/2),0)</f>
        <v>38</v>
      </c>
      <c r="D30">
        <f>ROUNDDOWN(VLOOKUP(temperatury6[[#Headers],[lody]],$O$1:$R$4,4,FALSE)*(1+VLOOKUP(temperatury6[[#Headers],[lody]],$O$1:$P$4,2,FALSE)*(temperatury6[[#This Row],[temperatura]]-24)/2),0)</f>
        <v>57</v>
      </c>
      <c r="E30">
        <f>ROUNDDOWN(VLOOKUP(temperatury6[[#Headers],[kukurydza]],$O$1:$R$4,4,FALSE)*(1+VLOOKUP(temperatury6[[#Headers],[kukurydza]],$O$1:$P$4,2,FALSE)*(temperatury6[[#This Row],[temperatura]]-24)/2),0)</f>
        <v>44</v>
      </c>
      <c r="F30">
        <f>temperatury6[[#This Row],[hot-dog]]*VLOOKUP(temperatury5[[#Headers],[hot-dog]],$O$1:$Q$4,3,FALSE)</f>
        <v>316.92</v>
      </c>
      <c r="G30">
        <f>temperatury6[[#This Row],[lody]]*VLOOKUP(temperatury5[[#Headers],[lody]],$O$1:$Q$4,3,FALSE)</f>
        <v>361.38</v>
      </c>
      <c r="H30">
        <f>temperatury6[[#This Row],[kukurydza]]*VLOOKUP(temperatury5[[#Headers],[kukurydza]],$O$1:$Q$4,3,FALSE)</f>
        <v>322.95999999999998</v>
      </c>
      <c r="I30">
        <f>SUM(temperatury6[[#This Row],[utarg_za_hot_dogi]:[utarg_za_kukurydze]])</f>
        <v>1001.26</v>
      </c>
    </row>
    <row r="31" spans="1:9" x14ac:dyDescent="0.25">
      <c r="A31" s="1">
        <v>44834</v>
      </c>
      <c r="B31">
        <v>9</v>
      </c>
      <c r="C31">
        <f>ROUNDDOWN(VLOOKUP(temperatury6[[#Headers],[hot-dog]],$O$1:$R$4,4,FALSE)*(1+VLOOKUP(temperatury6[[#Headers],[hot-dog]],$O$1:$P$4,2,FALSE)*(temperatury6[[#This Row],[temperatura]]-24)/2),0)</f>
        <v>38</v>
      </c>
      <c r="D31">
        <f>ROUNDDOWN(VLOOKUP(temperatury6[[#Headers],[lody]],$O$1:$R$4,4,FALSE)*(1+VLOOKUP(temperatury6[[#Headers],[lody]],$O$1:$P$4,2,FALSE)*(temperatury6[[#This Row],[temperatura]]-24)/2),0)</f>
        <v>57</v>
      </c>
      <c r="E31">
        <f>ROUNDDOWN(VLOOKUP(temperatury6[[#Headers],[kukurydza]],$O$1:$R$4,4,FALSE)*(1+VLOOKUP(temperatury6[[#Headers],[kukurydza]],$O$1:$P$4,2,FALSE)*(temperatury6[[#This Row],[temperatura]]-24)/2),0)</f>
        <v>44</v>
      </c>
      <c r="F31">
        <f>temperatury6[[#This Row],[hot-dog]]*VLOOKUP(temperatury5[[#Headers],[hot-dog]],$O$1:$Q$4,3,FALSE)</f>
        <v>316.92</v>
      </c>
      <c r="G31">
        <f>temperatury6[[#This Row],[lody]]*VLOOKUP(temperatury5[[#Headers],[lody]],$O$1:$Q$4,3,FALSE)</f>
        <v>361.38</v>
      </c>
      <c r="H31">
        <f>temperatury6[[#This Row],[kukurydza]]*VLOOKUP(temperatury5[[#Headers],[kukurydza]],$O$1:$Q$4,3,FALSE)</f>
        <v>322.95999999999998</v>
      </c>
      <c r="I31">
        <f>SUM(temperatury6[[#This Row],[utarg_za_hot_dogi]:[utarg_za_kukurydze]])</f>
        <v>1001.26</v>
      </c>
    </row>
    <row r="32" spans="1:9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</sheetData>
  <conditionalFormatting sqref="I1:I1048576">
    <cfRule type="cellIs" dxfId="3" priority="1" operator="lessThan">
      <formula>1000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C3F8-EC09-4354-AE86-97F5C2AEE186}">
  <dimension ref="A1:Q93"/>
  <sheetViews>
    <sheetView workbookViewId="0">
      <selection activeCell="J6" sqref="J6"/>
    </sheetView>
  </sheetViews>
  <sheetFormatPr defaultRowHeight="15" x14ac:dyDescent="0.25"/>
  <cols>
    <col min="1" max="1" width="10.140625" bestFit="1" customWidth="1"/>
    <col min="2" max="2" width="14.42578125" bestFit="1" customWidth="1"/>
    <col min="3" max="3" width="10.140625" customWidth="1"/>
    <col min="4" max="4" width="7.140625" bestFit="1" customWidth="1"/>
    <col min="5" max="5" width="12.28515625" bestFit="1" customWidth="1"/>
    <col min="15" max="15" width="15.28515625" bestFit="1" customWidth="1"/>
    <col min="16" max="16" width="28.42578125" bestFit="1" customWidth="1"/>
    <col min="17" max="17" width="15" bestFit="1" customWidth="1"/>
  </cols>
  <sheetData>
    <row r="1" spans="1:17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O1" t="s">
        <v>2</v>
      </c>
      <c r="P1" t="s">
        <v>3</v>
      </c>
      <c r="Q1" t="s">
        <v>7</v>
      </c>
    </row>
    <row r="2" spans="1:17" x14ac:dyDescent="0.25">
      <c r="A2" s="1">
        <v>44713</v>
      </c>
      <c r="B2">
        <v>24</v>
      </c>
      <c r="C2">
        <v>90</v>
      </c>
      <c r="D2">
        <v>120</v>
      </c>
      <c r="E2">
        <v>80</v>
      </c>
      <c r="O2" t="s">
        <v>4</v>
      </c>
      <c r="P2">
        <f>1/13</f>
        <v>7.6923076923076927E-2</v>
      </c>
      <c r="Q2">
        <v>7</v>
      </c>
    </row>
    <row r="3" spans="1:17" x14ac:dyDescent="0.25">
      <c r="A3" s="1">
        <v>44714</v>
      </c>
      <c r="B3">
        <v>25</v>
      </c>
      <c r="C3">
        <f>ROUNDDOWN($C$2*(1+VLOOKUP(temperatury[[#Headers],[hot-dog]],$O$1:$P$4,2,FALSE)*(temperatury[[#This Row],[temperatura]]-24)/2),0)</f>
        <v>93</v>
      </c>
      <c r="D3">
        <f>ROUNDDOWN($D$2*(1+VLOOKUP(temperatury[[#Headers],[lody]],$O$1:$P$4,2,FALSE)*(temperatury[[#This Row],[temperatura]]-24)/2),0)</f>
        <v>124</v>
      </c>
      <c r="E3">
        <f>ROUNDDOWN($E$2*(1+VLOOKUP(temperatury[[#Headers],[kukurydza]],$O$1:$P$4,2,FALSE)*(temperatury[[#This Row],[temperatura]]-24)/2),0)</f>
        <v>82</v>
      </c>
      <c r="O3" t="s">
        <v>5</v>
      </c>
      <c r="P3">
        <f>2/29</f>
        <v>6.8965517241379309E-2</v>
      </c>
      <c r="Q3">
        <v>5</v>
      </c>
    </row>
    <row r="4" spans="1:17" x14ac:dyDescent="0.25">
      <c r="A4" s="1">
        <v>44715</v>
      </c>
      <c r="B4">
        <v>27</v>
      </c>
      <c r="C4">
        <f>ROUNDDOWN($C$2*(1+VLOOKUP(temperatury[[#Headers],[hot-dog]],$O$1:$P$4,2,FALSE)*(temperatury[[#This Row],[temperatura]]-24)/2),0)</f>
        <v>100</v>
      </c>
      <c r="D4">
        <f>ROUNDDOWN($D$2*(1+VLOOKUP(temperatury[[#Headers],[lody]],$O$1:$P$4,2,FALSE)*(temperatury[[#This Row],[temperatura]]-24)/2),0)</f>
        <v>132</v>
      </c>
      <c r="E4">
        <f>ROUNDDOWN($E$2*(1+VLOOKUP(temperatury[[#Headers],[kukurydza]],$O$1:$P$4,2,FALSE)*(temperatury[[#This Row],[temperatura]]-24)/2),0)</f>
        <v>87</v>
      </c>
      <c r="O4" t="s">
        <v>6</v>
      </c>
      <c r="P4">
        <f>1/17</f>
        <v>5.8823529411764705E-2</v>
      </c>
      <c r="Q4">
        <v>6</v>
      </c>
    </row>
    <row r="5" spans="1:17" x14ac:dyDescent="0.25">
      <c r="A5" s="1">
        <v>44716</v>
      </c>
      <c r="B5">
        <v>27</v>
      </c>
      <c r="C5">
        <f>ROUNDDOWN($C$2*(1+VLOOKUP(temperatury[[#Headers],[hot-dog]],$O$1:$P$4,2,FALSE)*(temperatury[[#This Row],[temperatura]]-24)/2),0)</f>
        <v>100</v>
      </c>
      <c r="D5">
        <f>ROUNDDOWN($D$2*(1+VLOOKUP(temperatury[[#Headers],[lody]],$O$1:$P$4,2,FALSE)*(temperatury[[#This Row],[temperatura]]-24)/2),0)</f>
        <v>132</v>
      </c>
      <c r="E5">
        <f>ROUNDDOWN($E$2*(1+VLOOKUP(temperatury[[#Headers],[kukurydza]],$O$1:$P$4,2,FALSE)*(temperatury[[#This Row],[temperatura]]-24)/2),0)</f>
        <v>87</v>
      </c>
    </row>
    <row r="6" spans="1:17" x14ac:dyDescent="0.25">
      <c r="A6" s="1">
        <v>44717</v>
      </c>
      <c r="B6">
        <v>27</v>
      </c>
      <c r="C6">
        <f>ROUNDDOWN($C$2*(1+VLOOKUP(temperatury[[#Headers],[hot-dog]],$O$1:$P$4,2,FALSE)*(temperatury[[#This Row],[temperatura]]-24)/2),0)</f>
        <v>100</v>
      </c>
      <c r="D6">
        <f>ROUNDDOWN($D$2*(1+VLOOKUP(temperatury[[#Headers],[lody]],$O$1:$P$4,2,FALSE)*(temperatury[[#This Row],[temperatura]]-24)/2),0)</f>
        <v>132</v>
      </c>
      <c r="E6">
        <f>ROUNDDOWN($E$2*(1+VLOOKUP(temperatury[[#Headers],[kukurydza]],$O$1:$P$4,2,FALSE)*(temperatury[[#This Row],[temperatura]]-24)/2),0)</f>
        <v>87</v>
      </c>
    </row>
    <row r="7" spans="1:17" x14ac:dyDescent="0.25">
      <c r="A7" s="1">
        <v>44718</v>
      </c>
      <c r="B7">
        <v>22</v>
      </c>
      <c r="C7">
        <f>ROUNDDOWN($C$2*(1+VLOOKUP(temperatury[[#Headers],[hot-dog]],$O$1:$P$4,2,FALSE)*(temperatury[[#This Row],[temperatura]]-24)/2),0)</f>
        <v>83</v>
      </c>
      <c r="D7">
        <f>ROUNDDOWN($D$2*(1+VLOOKUP(temperatury[[#Headers],[lody]],$O$1:$P$4,2,FALSE)*(temperatury[[#This Row],[temperatura]]-24)/2),0)</f>
        <v>111</v>
      </c>
      <c r="E7">
        <f>ROUNDDOWN($E$2*(1+VLOOKUP(temperatury[[#Headers],[kukurydza]],$O$1:$P$4,2,FALSE)*(temperatury[[#This Row],[temperatura]]-24)/2),0)</f>
        <v>75</v>
      </c>
    </row>
    <row r="8" spans="1:17" x14ac:dyDescent="0.25">
      <c r="A8" s="1">
        <v>44719</v>
      </c>
      <c r="B8">
        <v>25</v>
      </c>
      <c r="C8">
        <f>ROUNDDOWN($C$2*(1+VLOOKUP(temperatury[[#Headers],[hot-dog]],$O$1:$P$4,2,FALSE)*(temperatury[[#This Row],[temperatura]]-24)/2),0)</f>
        <v>93</v>
      </c>
      <c r="D8">
        <f>ROUNDDOWN($D$2*(1+VLOOKUP(temperatury[[#Headers],[lody]],$O$1:$P$4,2,FALSE)*(temperatury[[#This Row],[temperatura]]-24)/2),0)</f>
        <v>124</v>
      </c>
      <c r="E8">
        <f>ROUNDDOWN($E$2*(1+VLOOKUP(temperatury[[#Headers],[kukurydza]],$O$1:$P$4,2,FALSE)*(temperatury[[#This Row],[temperatura]]-24)/2),0)</f>
        <v>82</v>
      </c>
    </row>
    <row r="9" spans="1:17" x14ac:dyDescent="0.25">
      <c r="A9" s="1">
        <v>44720</v>
      </c>
      <c r="B9">
        <v>25</v>
      </c>
      <c r="C9">
        <f>ROUNDDOWN($C$2*(1+VLOOKUP(temperatury[[#Headers],[hot-dog]],$O$1:$P$4,2,FALSE)*(temperatury[[#This Row],[temperatura]]-24)/2),0)</f>
        <v>93</v>
      </c>
      <c r="D9">
        <f>ROUNDDOWN($D$2*(1+VLOOKUP(temperatury[[#Headers],[lody]],$O$1:$P$4,2,FALSE)*(temperatury[[#This Row],[temperatura]]-24)/2),0)</f>
        <v>124</v>
      </c>
      <c r="E9">
        <f>ROUNDDOWN($E$2*(1+VLOOKUP(temperatury[[#Headers],[kukurydza]],$O$1:$P$4,2,FALSE)*(temperatury[[#This Row],[temperatura]]-24)/2),0)</f>
        <v>82</v>
      </c>
    </row>
    <row r="10" spans="1:17" x14ac:dyDescent="0.25">
      <c r="A10" s="1">
        <v>44721</v>
      </c>
      <c r="B10">
        <v>21</v>
      </c>
      <c r="C10">
        <f>ROUNDDOWN($C$2*(1+VLOOKUP(temperatury[[#Headers],[hot-dog]],$O$1:$P$4,2,FALSE)*(temperatury[[#This Row],[temperatura]]-24)/2),0)</f>
        <v>79</v>
      </c>
      <c r="D10">
        <f>ROUNDDOWN($D$2*(1+VLOOKUP(temperatury[[#Headers],[lody]],$O$1:$P$4,2,FALSE)*(temperatury[[#This Row],[temperatura]]-24)/2),0)</f>
        <v>107</v>
      </c>
      <c r="E10">
        <f>ROUNDDOWN($E$2*(1+VLOOKUP(temperatury[[#Headers],[kukurydza]],$O$1:$P$4,2,FALSE)*(temperatury[[#This Row],[temperatura]]-24)/2),0)</f>
        <v>72</v>
      </c>
    </row>
    <row r="11" spans="1:17" x14ac:dyDescent="0.25">
      <c r="A11" s="1">
        <v>44722</v>
      </c>
      <c r="B11">
        <v>21</v>
      </c>
      <c r="C11">
        <f>ROUNDDOWN($C$2*(1+VLOOKUP(temperatury[[#Headers],[hot-dog]],$O$1:$P$4,2,FALSE)*(temperatury[[#This Row],[temperatura]]-24)/2),0)</f>
        <v>79</v>
      </c>
      <c r="D11">
        <f>ROUNDDOWN($D$2*(1+VLOOKUP(temperatury[[#Headers],[lody]],$O$1:$P$4,2,FALSE)*(temperatury[[#This Row],[temperatura]]-24)/2),0)</f>
        <v>107</v>
      </c>
      <c r="E11">
        <f>ROUNDDOWN($E$2*(1+VLOOKUP(temperatury[[#Headers],[kukurydza]],$O$1:$P$4,2,FALSE)*(temperatury[[#This Row],[temperatura]]-24)/2),0)</f>
        <v>72</v>
      </c>
    </row>
    <row r="12" spans="1:17" x14ac:dyDescent="0.25">
      <c r="A12" s="1">
        <v>44723</v>
      </c>
      <c r="B12">
        <v>19</v>
      </c>
      <c r="C12">
        <f>ROUNDDOWN($C$2*(1+VLOOKUP(temperatury[[#Headers],[hot-dog]],$O$1:$P$4,2,FALSE)*(temperatury[[#This Row],[temperatura]]-24)/2),0)</f>
        <v>72</v>
      </c>
      <c r="D12">
        <f>ROUNDDOWN($D$2*(1+VLOOKUP(temperatury[[#Headers],[lody]],$O$1:$P$4,2,FALSE)*(temperatury[[#This Row],[temperatura]]-24)/2),0)</f>
        <v>99</v>
      </c>
      <c r="E12">
        <f>ROUNDDOWN($E$2*(1+VLOOKUP(temperatury[[#Headers],[kukurydza]],$O$1:$P$4,2,FALSE)*(temperatury[[#This Row],[temperatura]]-24)/2),0)</f>
        <v>68</v>
      </c>
    </row>
    <row r="13" spans="1:17" x14ac:dyDescent="0.25">
      <c r="A13" s="1">
        <v>44724</v>
      </c>
      <c r="B13">
        <v>19</v>
      </c>
      <c r="C13">
        <f>ROUNDDOWN($C$2*(1+VLOOKUP(temperatury[[#Headers],[hot-dog]],$O$1:$P$4,2,FALSE)*(temperatury[[#This Row],[temperatura]]-24)/2),0)</f>
        <v>72</v>
      </c>
      <c r="D13">
        <f>ROUNDDOWN($D$2*(1+VLOOKUP(temperatury[[#Headers],[lody]],$O$1:$P$4,2,FALSE)*(temperatury[[#This Row],[temperatura]]-24)/2),0)</f>
        <v>99</v>
      </c>
      <c r="E13">
        <f>ROUNDDOWN($E$2*(1+VLOOKUP(temperatury[[#Headers],[kukurydza]],$O$1:$P$4,2,FALSE)*(temperatury[[#This Row],[temperatura]]-24)/2),0)</f>
        <v>68</v>
      </c>
    </row>
    <row r="14" spans="1:17" x14ac:dyDescent="0.25">
      <c r="A14" s="1">
        <v>44725</v>
      </c>
      <c r="B14">
        <v>15</v>
      </c>
      <c r="C14">
        <f>ROUNDDOWN($C$2*(1+VLOOKUP(temperatury[[#Headers],[hot-dog]],$O$1:$P$4,2,FALSE)*(temperatury[[#This Row],[temperatura]]-24)/2),0)</f>
        <v>58</v>
      </c>
      <c r="D14">
        <f>ROUNDDOWN($D$2*(1+VLOOKUP(temperatury[[#Headers],[lody]],$O$1:$P$4,2,FALSE)*(temperatury[[#This Row],[temperatura]]-24)/2),0)</f>
        <v>82</v>
      </c>
      <c r="E14">
        <f>ROUNDDOWN($E$2*(1+VLOOKUP(temperatury[[#Headers],[kukurydza]],$O$1:$P$4,2,FALSE)*(temperatury[[#This Row],[temperatura]]-24)/2),0)</f>
        <v>58</v>
      </c>
    </row>
    <row r="15" spans="1:17" x14ac:dyDescent="0.25">
      <c r="A15" s="1">
        <v>44726</v>
      </c>
      <c r="B15">
        <v>21</v>
      </c>
      <c r="C15">
        <f>ROUNDDOWN($C$2*(1+VLOOKUP(temperatury[[#Headers],[hot-dog]],$O$1:$P$4,2,FALSE)*(temperatury[[#This Row],[temperatura]]-24)/2),0)</f>
        <v>79</v>
      </c>
      <c r="D15">
        <f>ROUNDDOWN($D$2*(1+VLOOKUP(temperatury[[#Headers],[lody]],$O$1:$P$4,2,FALSE)*(temperatury[[#This Row],[temperatura]]-24)/2),0)</f>
        <v>107</v>
      </c>
      <c r="E15">
        <f>ROUNDDOWN($E$2*(1+VLOOKUP(temperatury[[#Headers],[kukurydza]],$O$1:$P$4,2,FALSE)*(temperatury[[#This Row],[temperatura]]-24)/2),0)</f>
        <v>72</v>
      </c>
    </row>
    <row r="16" spans="1:17" x14ac:dyDescent="0.25">
      <c r="A16" s="1">
        <v>44727</v>
      </c>
      <c r="B16">
        <v>23</v>
      </c>
      <c r="C16">
        <f>ROUNDDOWN($C$2*(1+VLOOKUP(temperatury[[#Headers],[hot-dog]],$O$1:$P$4,2,FALSE)*(temperatury[[#This Row],[temperatura]]-24)/2),0)</f>
        <v>86</v>
      </c>
      <c r="D16">
        <f>ROUNDDOWN($D$2*(1+VLOOKUP(temperatury[[#Headers],[lody]],$O$1:$P$4,2,FALSE)*(temperatury[[#This Row],[temperatura]]-24)/2),0)</f>
        <v>115</v>
      </c>
      <c r="E16">
        <f>ROUNDDOWN($E$2*(1+VLOOKUP(temperatury[[#Headers],[kukurydza]],$O$1:$P$4,2,FALSE)*(temperatury[[#This Row],[temperatura]]-24)/2),0)</f>
        <v>77</v>
      </c>
    </row>
    <row r="17" spans="1:5" x14ac:dyDescent="0.25">
      <c r="A17" s="1">
        <v>44728</v>
      </c>
      <c r="B17">
        <v>23</v>
      </c>
      <c r="C17">
        <f>ROUNDDOWN($C$2*(1+VLOOKUP(temperatury[[#Headers],[hot-dog]],$O$1:$P$4,2,FALSE)*(temperatury[[#This Row],[temperatura]]-24)/2),0)</f>
        <v>86</v>
      </c>
      <c r="D17">
        <f>ROUNDDOWN($D$2*(1+VLOOKUP(temperatury[[#Headers],[lody]],$O$1:$P$4,2,FALSE)*(temperatury[[#This Row],[temperatura]]-24)/2),0)</f>
        <v>115</v>
      </c>
      <c r="E17">
        <f>ROUNDDOWN($E$2*(1+VLOOKUP(temperatury[[#Headers],[kukurydza]],$O$1:$P$4,2,FALSE)*(temperatury[[#This Row],[temperatura]]-24)/2),0)</f>
        <v>77</v>
      </c>
    </row>
    <row r="18" spans="1:5" x14ac:dyDescent="0.25">
      <c r="A18" s="1">
        <v>44729</v>
      </c>
      <c r="B18">
        <v>16</v>
      </c>
      <c r="C18">
        <f>ROUNDDOWN($C$2*(1+VLOOKUP(temperatury[[#Headers],[hot-dog]],$O$1:$P$4,2,FALSE)*(temperatury[[#This Row],[temperatura]]-24)/2),0)</f>
        <v>62</v>
      </c>
      <c r="D18">
        <f>ROUNDDOWN($D$2*(1+VLOOKUP(temperatury[[#Headers],[lody]],$O$1:$P$4,2,FALSE)*(temperatury[[#This Row],[temperatura]]-24)/2),0)</f>
        <v>86</v>
      </c>
      <c r="E18">
        <f>ROUNDDOWN($E$2*(1+VLOOKUP(temperatury[[#Headers],[kukurydza]],$O$1:$P$4,2,FALSE)*(temperatury[[#This Row],[temperatura]]-24)/2),0)</f>
        <v>61</v>
      </c>
    </row>
    <row r="19" spans="1:5" x14ac:dyDescent="0.25">
      <c r="A19" s="1">
        <v>44730</v>
      </c>
      <c r="B19">
        <v>21</v>
      </c>
      <c r="C19">
        <f>ROUNDDOWN($C$2*(1+VLOOKUP(temperatury[[#Headers],[hot-dog]],$O$1:$P$4,2,FALSE)*(temperatury[[#This Row],[temperatura]]-24)/2),0)</f>
        <v>79</v>
      </c>
      <c r="D19">
        <f>ROUNDDOWN($D$2*(1+VLOOKUP(temperatury[[#Headers],[lody]],$O$1:$P$4,2,FALSE)*(temperatury[[#This Row],[temperatura]]-24)/2),0)</f>
        <v>107</v>
      </c>
      <c r="E19">
        <f>ROUNDDOWN($E$2*(1+VLOOKUP(temperatury[[#Headers],[kukurydza]],$O$1:$P$4,2,FALSE)*(temperatury[[#This Row],[temperatura]]-24)/2),0)</f>
        <v>72</v>
      </c>
    </row>
    <row r="20" spans="1:5" x14ac:dyDescent="0.25">
      <c r="A20" s="1">
        <v>44731</v>
      </c>
      <c r="B20">
        <v>22</v>
      </c>
      <c r="C20">
        <f>ROUNDDOWN($C$2*(1+VLOOKUP(temperatury[[#Headers],[hot-dog]],$O$1:$P$4,2,FALSE)*(temperatury[[#This Row],[temperatura]]-24)/2),0)</f>
        <v>83</v>
      </c>
      <c r="D20">
        <f>ROUNDDOWN($D$2*(1+VLOOKUP(temperatury[[#Headers],[lody]],$O$1:$P$4,2,FALSE)*(temperatury[[#This Row],[temperatura]]-24)/2),0)</f>
        <v>111</v>
      </c>
      <c r="E20">
        <f>ROUNDDOWN($E$2*(1+VLOOKUP(temperatury[[#Headers],[kukurydza]],$O$1:$P$4,2,FALSE)*(temperatury[[#This Row],[temperatura]]-24)/2),0)</f>
        <v>75</v>
      </c>
    </row>
    <row r="21" spans="1:5" x14ac:dyDescent="0.25">
      <c r="A21" s="1">
        <v>44732</v>
      </c>
      <c r="B21">
        <v>22</v>
      </c>
      <c r="C21">
        <f>ROUNDDOWN($C$2*(1+VLOOKUP(temperatury[[#Headers],[hot-dog]],$O$1:$P$4,2,FALSE)*(temperatury[[#This Row],[temperatura]]-24)/2),0)</f>
        <v>83</v>
      </c>
      <c r="D21">
        <f>ROUNDDOWN($D$2*(1+VLOOKUP(temperatury[[#Headers],[lody]],$O$1:$P$4,2,FALSE)*(temperatury[[#This Row],[temperatura]]-24)/2),0)</f>
        <v>111</v>
      </c>
      <c r="E21">
        <f>ROUNDDOWN($E$2*(1+VLOOKUP(temperatury[[#Headers],[kukurydza]],$O$1:$P$4,2,FALSE)*(temperatury[[#This Row],[temperatura]]-24)/2),0)</f>
        <v>75</v>
      </c>
    </row>
    <row r="22" spans="1:5" x14ac:dyDescent="0.25">
      <c r="A22" s="1">
        <v>44733</v>
      </c>
      <c r="B22">
        <v>22</v>
      </c>
      <c r="C22">
        <f>ROUNDDOWN($C$2*(1+VLOOKUP(temperatury[[#Headers],[hot-dog]],$O$1:$P$4,2,FALSE)*(temperatury[[#This Row],[temperatura]]-24)/2),0)</f>
        <v>83</v>
      </c>
      <c r="D22">
        <f>ROUNDDOWN($D$2*(1+VLOOKUP(temperatury[[#Headers],[lody]],$O$1:$P$4,2,FALSE)*(temperatury[[#This Row],[temperatura]]-24)/2),0)</f>
        <v>111</v>
      </c>
      <c r="E22">
        <f>ROUNDDOWN($E$2*(1+VLOOKUP(temperatury[[#Headers],[kukurydza]],$O$1:$P$4,2,FALSE)*(temperatury[[#This Row],[temperatura]]-24)/2),0)</f>
        <v>75</v>
      </c>
    </row>
    <row r="23" spans="1:5" x14ac:dyDescent="0.25">
      <c r="A23" s="1">
        <v>44734</v>
      </c>
      <c r="B23">
        <v>28</v>
      </c>
      <c r="C23">
        <f>ROUNDDOWN($C$2*(1+VLOOKUP(temperatury[[#Headers],[hot-dog]],$O$1:$P$4,2,FALSE)*(temperatury[[#This Row],[temperatura]]-24)/2),0)</f>
        <v>103</v>
      </c>
      <c r="D23">
        <f>ROUNDDOWN($D$2*(1+VLOOKUP(temperatury[[#Headers],[lody]],$O$1:$P$4,2,FALSE)*(temperatury[[#This Row],[temperatura]]-24)/2),0)</f>
        <v>136</v>
      </c>
      <c r="E23">
        <f>ROUNDDOWN($E$2*(1+VLOOKUP(temperatury[[#Headers],[kukurydza]],$O$1:$P$4,2,FALSE)*(temperatury[[#This Row],[temperatura]]-24)/2),0)</f>
        <v>89</v>
      </c>
    </row>
    <row r="24" spans="1:5" x14ac:dyDescent="0.25">
      <c r="A24" s="1">
        <v>44735</v>
      </c>
      <c r="B24">
        <v>31</v>
      </c>
      <c r="C24">
        <f>ROUNDDOWN($C$2*(1+VLOOKUP(temperatury[[#Headers],[hot-dog]],$O$1:$P$4,2,FALSE)*(temperatury[[#This Row],[temperatura]]-24)/2),0)</f>
        <v>114</v>
      </c>
      <c r="D24">
        <f>ROUNDDOWN($D$2*(1+VLOOKUP(temperatury[[#Headers],[lody]],$O$1:$P$4,2,FALSE)*(temperatury[[#This Row],[temperatura]]-24)/2),0)</f>
        <v>148</v>
      </c>
      <c r="E24">
        <f>ROUNDDOWN($E$2*(1+VLOOKUP(temperatury[[#Headers],[kukurydza]],$O$1:$P$4,2,FALSE)*(temperatury[[#This Row],[temperatura]]-24)/2),0)</f>
        <v>96</v>
      </c>
    </row>
    <row r="25" spans="1:5" x14ac:dyDescent="0.25">
      <c r="A25" s="1">
        <v>44736</v>
      </c>
      <c r="B25">
        <v>33</v>
      </c>
      <c r="C25">
        <f>ROUNDDOWN($C$2*(1+VLOOKUP(temperatury[[#Headers],[hot-dog]],$O$1:$P$4,2,FALSE)*(temperatury[[#This Row],[temperatura]]-24)/2),0)</f>
        <v>121</v>
      </c>
      <c r="D25">
        <f>ROUNDDOWN($D$2*(1+VLOOKUP(temperatury[[#Headers],[lody]],$O$1:$P$4,2,FALSE)*(temperatury[[#This Row],[temperatura]]-24)/2),0)</f>
        <v>157</v>
      </c>
      <c r="E25">
        <f>ROUNDDOWN($E$2*(1+VLOOKUP(temperatury[[#Headers],[kukurydza]],$O$1:$P$4,2,FALSE)*(temperatury[[#This Row],[temperatura]]-24)/2),0)</f>
        <v>101</v>
      </c>
    </row>
    <row r="26" spans="1:5" x14ac:dyDescent="0.25">
      <c r="A26" s="1">
        <v>44737</v>
      </c>
      <c r="B26">
        <v>33</v>
      </c>
      <c r="C26">
        <f>ROUNDDOWN($C$2*(1+VLOOKUP(temperatury[[#Headers],[hot-dog]],$O$1:$P$4,2,FALSE)*(temperatury[[#This Row],[temperatura]]-24)/2),0)</f>
        <v>121</v>
      </c>
      <c r="D26">
        <f>ROUNDDOWN($D$2*(1+VLOOKUP(temperatury[[#Headers],[lody]],$O$1:$P$4,2,FALSE)*(temperatury[[#This Row],[temperatura]]-24)/2),0)</f>
        <v>157</v>
      </c>
      <c r="E26">
        <f>ROUNDDOWN($E$2*(1+VLOOKUP(temperatury[[#Headers],[kukurydza]],$O$1:$P$4,2,FALSE)*(temperatury[[#This Row],[temperatura]]-24)/2),0)</f>
        <v>101</v>
      </c>
    </row>
    <row r="27" spans="1:5" x14ac:dyDescent="0.25">
      <c r="A27" s="1">
        <v>44738</v>
      </c>
      <c r="B27">
        <v>23</v>
      </c>
      <c r="C27">
        <f>ROUNDDOWN($C$2*(1+VLOOKUP(temperatury[[#Headers],[hot-dog]],$O$1:$P$4,2,FALSE)*(temperatury[[#This Row],[temperatura]]-24)/2),0)</f>
        <v>86</v>
      </c>
      <c r="D27">
        <f>ROUNDDOWN($D$2*(1+VLOOKUP(temperatury[[#Headers],[lody]],$O$1:$P$4,2,FALSE)*(temperatury[[#This Row],[temperatura]]-24)/2),0)</f>
        <v>115</v>
      </c>
      <c r="E27">
        <f>ROUNDDOWN($E$2*(1+VLOOKUP(temperatury[[#Headers],[kukurydza]],$O$1:$P$4,2,FALSE)*(temperatury[[#This Row],[temperatura]]-24)/2),0)</f>
        <v>77</v>
      </c>
    </row>
    <row r="28" spans="1:5" x14ac:dyDescent="0.25">
      <c r="A28" s="1">
        <v>44739</v>
      </c>
      <c r="B28">
        <v>23</v>
      </c>
      <c r="C28">
        <f>ROUNDDOWN($C$2*(1+VLOOKUP(temperatury[[#Headers],[hot-dog]],$O$1:$P$4,2,FALSE)*(temperatury[[#This Row],[temperatura]]-24)/2),0)</f>
        <v>86</v>
      </c>
      <c r="D28">
        <f>ROUNDDOWN($D$2*(1+VLOOKUP(temperatury[[#Headers],[lody]],$O$1:$P$4,2,FALSE)*(temperatury[[#This Row],[temperatura]]-24)/2),0)</f>
        <v>115</v>
      </c>
      <c r="E28">
        <f>ROUNDDOWN($E$2*(1+VLOOKUP(temperatury[[#Headers],[kukurydza]],$O$1:$P$4,2,FALSE)*(temperatury[[#This Row],[temperatura]]-24)/2),0)</f>
        <v>77</v>
      </c>
    </row>
    <row r="29" spans="1:5" x14ac:dyDescent="0.25">
      <c r="A29" s="1">
        <v>44740</v>
      </c>
      <c r="B29">
        <v>19</v>
      </c>
      <c r="C29">
        <f>ROUNDDOWN($C$2*(1+VLOOKUP(temperatury[[#Headers],[hot-dog]],$O$1:$P$4,2,FALSE)*(temperatury[[#This Row],[temperatura]]-24)/2),0)</f>
        <v>72</v>
      </c>
      <c r="D29">
        <f>ROUNDDOWN($D$2*(1+VLOOKUP(temperatury[[#Headers],[lody]],$O$1:$P$4,2,FALSE)*(temperatury[[#This Row],[temperatura]]-24)/2),0)</f>
        <v>99</v>
      </c>
      <c r="E29">
        <f>ROUNDDOWN($E$2*(1+VLOOKUP(temperatury[[#Headers],[kukurydza]],$O$1:$P$4,2,FALSE)*(temperatury[[#This Row],[temperatura]]-24)/2),0)</f>
        <v>68</v>
      </c>
    </row>
    <row r="30" spans="1:5" x14ac:dyDescent="0.25">
      <c r="A30" s="1">
        <v>44741</v>
      </c>
      <c r="B30">
        <v>24</v>
      </c>
      <c r="C30">
        <f>ROUNDDOWN($C$2*(1+VLOOKUP(temperatury[[#Headers],[hot-dog]],$O$1:$P$4,2,FALSE)*(temperatury[[#This Row],[temperatura]]-24)/2),0)</f>
        <v>90</v>
      </c>
      <c r="D30">
        <f>ROUNDDOWN($D$2*(1+VLOOKUP(temperatury[[#Headers],[lody]],$O$1:$P$4,2,FALSE)*(temperatury[[#This Row],[temperatura]]-24)/2),0)</f>
        <v>120</v>
      </c>
      <c r="E30">
        <f>ROUNDDOWN($E$2*(1+VLOOKUP(temperatury[[#Headers],[kukurydza]],$O$1:$P$4,2,FALSE)*(temperatury[[#This Row],[temperatura]]-24)/2),0)</f>
        <v>80</v>
      </c>
    </row>
    <row r="31" spans="1:5" x14ac:dyDescent="0.25">
      <c r="A31" s="1">
        <v>44742</v>
      </c>
      <c r="B31">
        <v>25</v>
      </c>
      <c r="C31">
        <f>ROUNDDOWN($C$2*(1+VLOOKUP(temperatury[[#Headers],[hot-dog]],$O$1:$P$4,2,FALSE)*(temperatury[[#This Row],[temperatura]]-24)/2),0)</f>
        <v>93</v>
      </c>
      <c r="D31">
        <f>ROUNDDOWN($D$2*(1+VLOOKUP(temperatury[[#Headers],[lody]],$O$1:$P$4,2,FALSE)*(temperatury[[#This Row],[temperatura]]-24)/2),0)</f>
        <v>124</v>
      </c>
      <c r="E31">
        <f>ROUNDDOWN($E$2*(1+VLOOKUP(temperatury[[#Headers],[kukurydza]],$O$1:$P$4,2,FALSE)*(temperatury[[#This Row],[temperatura]]-24)/2),0)</f>
        <v>82</v>
      </c>
    </row>
    <row r="32" spans="1:5" x14ac:dyDescent="0.25">
      <c r="A32" s="1">
        <v>44743</v>
      </c>
      <c r="B32">
        <v>27</v>
      </c>
      <c r="C32">
        <f>ROUNDDOWN($C$2*(1+VLOOKUP(temperatury[[#Headers],[hot-dog]],$O$1:$P$4,2,FALSE)*(temperatury[[#This Row],[temperatura]]-24)/2),0)</f>
        <v>100</v>
      </c>
      <c r="D32">
        <f>ROUNDDOWN($D$2*(1+VLOOKUP(temperatury[[#Headers],[lody]],$O$1:$P$4,2,FALSE)*(temperatury[[#This Row],[temperatura]]-24)/2),0)</f>
        <v>132</v>
      </c>
      <c r="E32">
        <f>ROUNDDOWN($E$2*(1+VLOOKUP(temperatury[[#Headers],[kukurydza]],$O$1:$P$4,2,FALSE)*(temperatury[[#This Row],[temperatura]]-24)/2),0)</f>
        <v>87</v>
      </c>
    </row>
    <row r="33" spans="1:5" x14ac:dyDescent="0.25">
      <c r="A33" s="1">
        <v>44744</v>
      </c>
      <c r="B33">
        <v>27</v>
      </c>
      <c r="C33">
        <f>ROUNDDOWN($C$2*(1+VLOOKUP(temperatury[[#Headers],[hot-dog]],$O$1:$P$4,2,FALSE)*(temperatury[[#This Row],[temperatura]]-24)/2),0)</f>
        <v>100</v>
      </c>
      <c r="D33">
        <f>ROUNDDOWN($D$2*(1+VLOOKUP(temperatury[[#Headers],[lody]],$O$1:$P$4,2,FALSE)*(temperatury[[#This Row],[temperatura]]-24)/2),0)</f>
        <v>132</v>
      </c>
      <c r="E33">
        <f>ROUNDDOWN($E$2*(1+VLOOKUP(temperatury[[#Headers],[kukurydza]],$O$1:$P$4,2,FALSE)*(temperatury[[#This Row],[temperatura]]-24)/2),0)</f>
        <v>87</v>
      </c>
    </row>
    <row r="34" spans="1:5" x14ac:dyDescent="0.25">
      <c r="A34" s="1">
        <v>44745</v>
      </c>
      <c r="B34">
        <v>21</v>
      </c>
      <c r="C34">
        <f>ROUNDDOWN($C$2*(1+VLOOKUP(temperatury[[#Headers],[hot-dog]],$O$1:$P$4,2,FALSE)*(temperatury[[#This Row],[temperatura]]-24)/2),0)</f>
        <v>79</v>
      </c>
      <c r="D34">
        <f>ROUNDDOWN($D$2*(1+VLOOKUP(temperatury[[#Headers],[lody]],$O$1:$P$4,2,FALSE)*(temperatury[[#This Row],[temperatura]]-24)/2),0)</f>
        <v>107</v>
      </c>
      <c r="E34">
        <f>ROUNDDOWN($E$2*(1+VLOOKUP(temperatury[[#Headers],[kukurydza]],$O$1:$P$4,2,FALSE)*(temperatury[[#This Row],[temperatura]]-24)/2),0)</f>
        <v>72</v>
      </c>
    </row>
    <row r="35" spans="1:5" x14ac:dyDescent="0.25">
      <c r="A35" s="1">
        <v>44746</v>
      </c>
      <c r="B35">
        <v>21</v>
      </c>
      <c r="C35">
        <f>ROUNDDOWN($C$2*(1+VLOOKUP(temperatury[[#Headers],[hot-dog]],$O$1:$P$4,2,FALSE)*(temperatury[[#This Row],[temperatura]]-24)/2),0)</f>
        <v>79</v>
      </c>
      <c r="D35">
        <f>ROUNDDOWN($D$2*(1+VLOOKUP(temperatury[[#Headers],[lody]],$O$1:$P$4,2,FALSE)*(temperatury[[#This Row],[temperatura]]-24)/2),0)</f>
        <v>107</v>
      </c>
      <c r="E35">
        <f>ROUNDDOWN($E$2*(1+VLOOKUP(temperatury[[#Headers],[kukurydza]],$O$1:$P$4,2,FALSE)*(temperatury[[#This Row],[temperatura]]-24)/2),0)</f>
        <v>72</v>
      </c>
    </row>
    <row r="36" spans="1:5" x14ac:dyDescent="0.25">
      <c r="A36" s="1">
        <v>44747</v>
      </c>
      <c r="B36">
        <v>25</v>
      </c>
      <c r="C36">
        <f>ROUNDDOWN($C$2*(1+VLOOKUP(temperatury[[#Headers],[hot-dog]],$O$1:$P$4,2,FALSE)*(temperatury[[#This Row],[temperatura]]-24)/2),0)</f>
        <v>93</v>
      </c>
      <c r="D36">
        <f>ROUNDDOWN($D$2*(1+VLOOKUP(temperatury[[#Headers],[lody]],$O$1:$P$4,2,FALSE)*(temperatury[[#This Row],[temperatura]]-24)/2),0)</f>
        <v>124</v>
      </c>
      <c r="E36">
        <f>ROUNDDOWN($E$2*(1+VLOOKUP(temperatury[[#Headers],[kukurydza]],$O$1:$P$4,2,FALSE)*(temperatury[[#This Row],[temperatura]]-24)/2),0)</f>
        <v>82</v>
      </c>
    </row>
    <row r="37" spans="1:5" x14ac:dyDescent="0.25">
      <c r="A37" s="1">
        <v>44748</v>
      </c>
      <c r="B37">
        <v>19</v>
      </c>
      <c r="C37">
        <f>ROUNDDOWN($C$2*(1+VLOOKUP(temperatury[[#Headers],[hot-dog]],$O$1:$P$4,2,FALSE)*(temperatury[[#This Row],[temperatura]]-24)/2),0)</f>
        <v>72</v>
      </c>
      <c r="D37">
        <f>ROUNDDOWN($D$2*(1+VLOOKUP(temperatury[[#Headers],[lody]],$O$1:$P$4,2,FALSE)*(temperatury[[#This Row],[temperatura]]-24)/2),0)</f>
        <v>99</v>
      </c>
      <c r="E37">
        <f>ROUNDDOWN($E$2*(1+VLOOKUP(temperatury[[#Headers],[kukurydza]],$O$1:$P$4,2,FALSE)*(temperatury[[#This Row],[temperatura]]-24)/2),0)</f>
        <v>68</v>
      </c>
    </row>
    <row r="38" spans="1:5" x14ac:dyDescent="0.25">
      <c r="A38" s="1">
        <v>44749</v>
      </c>
      <c r="B38">
        <v>21</v>
      </c>
      <c r="C38">
        <f>ROUNDDOWN($C$2*(1+VLOOKUP(temperatury[[#Headers],[hot-dog]],$O$1:$P$4,2,FALSE)*(temperatury[[#This Row],[temperatura]]-24)/2),0)</f>
        <v>79</v>
      </c>
      <c r="D38">
        <f>ROUNDDOWN($D$2*(1+VLOOKUP(temperatury[[#Headers],[lody]],$O$1:$P$4,2,FALSE)*(temperatury[[#This Row],[temperatura]]-24)/2),0)</f>
        <v>107</v>
      </c>
      <c r="E38">
        <f>ROUNDDOWN($E$2*(1+VLOOKUP(temperatury[[#Headers],[kukurydza]],$O$1:$P$4,2,FALSE)*(temperatury[[#This Row],[temperatura]]-24)/2),0)</f>
        <v>72</v>
      </c>
    </row>
    <row r="39" spans="1:5" x14ac:dyDescent="0.25">
      <c r="A39" s="1">
        <v>44750</v>
      </c>
      <c r="B39">
        <v>24</v>
      </c>
      <c r="C39">
        <f>ROUNDDOWN($C$2*(1+VLOOKUP(temperatury[[#Headers],[hot-dog]],$O$1:$P$4,2,FALSE)*(temperatury[[#This Row],[temperatura]]-24)/2),0)</f>
        <v>90</v>
      </c>
      <c r="D39">
        <f>ROUNDDOWN($D$2*(1+VLOOKUP(temperatury[[#Headers],[lody]],$O$1:$P$4,2,FALSE)*(temperatury[[#This Row],[temperatura]]-24)/2),0)</f>
        <v>120</v>
      </c>
      <c r="E39">
        <f>ROUNDDOWN($E$2*(1+VLOOKUP(temperatury[[#Headers],[kukurydza]],$O$1:$P$4,2,FALSE)*(temperatury[[#This Row],[temperatura]]-24)/2),0)</f>
        <v>80</v>
      </c>
    </row>
    <row r="40" spans="1:5" x14ac:dyDescent="0.25">
      <c r="A40" s="1">
        <v>44751</v>
      </c>
      <c r="B40">
        <v>19</v>
      </c>
      <c r="C40">
        <f>ROUNDDOWN($C$2*(1+VLOOKUP(temperatury[[#Headers],[hot-dog]],$O$1:$P$4,2,FALSE)*(temperatury[[#This Row],[temperatura]]-24)/2),0)</f>
        <v>72</v>
      </c>
      <c r="D40">
        <f>ROUNDDOWN($D$2*(1+VLOOKUP(temperatury[[#Headers],[lody]],$O$1:$P$4,2,FALSE)*(temperatury[[#This Row],[temperatura]]-24)/2),0)</f>
        <v>99</v>
      </c>
      <c r="E40">
        <f>ROUNDDOWN($E$2*(1+VLOOKUP(temperatury[[#Headers],[kukurydza]],$O$1:$P$4,2,FALSE)*(temperatury[[#This Row],[temperatura]]-24)/2),0)</f>
        <v>68</v>
      </c>
    </row>
    <row r="41" spans="1:5" x14ac:dyDescent="0.25">
      <c r="A41" s="1">
        <v>44752</v>
      </c>
      <c r="B41">
        <v>28</v>
      </c>
      <c r="C41">
        <f>ROUNDDOWN($C$2*(1+VLOOKUP(temperatury[[#Headers],[hot-dog]],$O$1:$P$4,2,FALSE)*(temperatury[[#This Row],[temperatura]]-24)/2),0)</f>
        <v>103</v>
      </c>
      <c r="D41">
        <f>ROUNDDOWN($D$2*(1+VLOOKUP(temperatury[[#Headers],[lody]],$O$1:$P$4,2,FALSE)*(temperatury[[#This Row],[temperatura]]-24)/2),0)</f>
        <v>136</v>
      </c>
      <c r="E41">
        <f>ROUNDDOWN($E$2*(1+VLOOKUP(temperatury[[#Headers],[kukurydza]],$O$1:$P$4,2,FALSE)*(temperatury[[#This Row],[temperatura]]-24)/2),0)</f>
        <v>89</v>
      </c>
    </row>
    <row r="42" spans="1:5" x14ac:dyDescent="0.25">
      <c r="A42" s="1">
        <v>44753</v>
      </c>
      <c r="B42">
        <v>27</v>
      </c>
      <c r="C42">
        <f>ROUNDDOWN($C$2*(1+VLOOKUP(temperatury[[#Headers],[hot-dog]],$O$1:$P$4,2,FALSE)*(temperatury[[#This Row],[temperatura]]-24)/2),0)</f>
        <v>100</v>
      </c>
      <c r="D42">
        <f>ROUNDDOWN($D$2*(1+VLOOKUP(temperatury[[#Headers],[lody]],$O$1:$P$4,2,FALSE)*(temperatury[[#This Row],[temperatura]]-24)/2),0)</f>
        <v>132</v>
      </c>
      <c r="E42">
        <f>ROUNDDOWN($E$2*(1+VLOOKUP(temperatury[[#Headers],[kukurydza]],$O$1:$P$4,2,FALSE)*(temperatury[[#This Row],[temperatura]]-24)/2),0)</f>
        <v>87</v>
      </c>
    </row>
    <row r="43" spans="1:5" x14ac:dyDescent="0.25">
      <c r="A43" s="1">
        <v>44754</v>
      </c>
      <c r="B43">
        <v>24</v>
      </c>
      <c r="C43">
        <f>ROUNDDOWN($C$2*(1+VLOOKUP(temperatury[[#Headers],[hot-dog]],$O$1:$P$4,2,FALSE)*(temperatury[[#This Row],[temperatura]]-24)/2),0)</f>
        <v>90</v>
      </c>
      <c r="D43">
        <f>ROUNDDOWN($D$2*(1+VLOOKUP(temperatury[[#Headers],[lody]],$O$1:$P$4,2,FALSE)*(temperatury[[#This Row],[temperatura]]-24)/2),0)</f>
        <v>120</v>
      </c>
      <c r="E43">
        <f>ROUNDDOWN($E$2*(1+VLOOKUP(temperatury[[#Headers],[kukurydza]],$O$1:$P$4,2,FALSE)*(temperatury[[#This Row],[temperatura]]-24)/2),0)</f>
        <v>80</v>
      </c>
    </row>
    <row r="44" spans="1:5" x14ac:dyDescent="0.25">
      <c r="A44" s="1">
        <v>44755</v>
      </c>
      <c r="B44">
        <v>22</v>
      </c>
      <c r="C44">
        <f>ROUNDDOWN($C$2*(1+VLOOKUP(temperatury[[#Headers],[hot-dog]],$O$1:$P$4,2,FALSE)*(temperatury[[#This Row],[temperatura]]-24)/2),0)</f>
        <v>83</v>
      </c>
      <c r="D44">
        <f>ROUNDDOWN($D$2*(1+VLOOKUP(temperatury[[#Headers],[lody]],$O$1:$P$4,2,FALSE)*(temperatury[[#This Row],[temperatura]]-24)/2),0)</f>
        <v>111</v>
      </c>
      <c r="E44">
        <f>ROUNDDOWN($E$2*(1+VLOOKUP(temperatury[[#Headers],[kukurydza]],$O$1:$P$4,2,FALSE)*(temperatury[[#This Row],[temperatura]]-24)/2),0)</f>
        <v>75</v>
      </c>
    </row>
    <row r="45" spans="1:5" x14ac:dyDescent="0.25">
      <c r="A45" s="1">
        <v>44756</v>
      </c>
      <c r="B45">
        <v>17</v>
      </c>
      <c r="C45">
        <f>ROUNDDOWN($C$2*(1+VLOOKUP(temperatury[[#Headers],[hot-dog]],$O$1:$P$4,2,FALSE)*(temperatury[[#This Row],[temperatura]]-24)/2),0)</f>
        <v>65</v>
      </c>
      <c r="D45">
        <f>ROUNDDOWN($D$2*(1+VLOOKUP(temperatury[[#Headers],[lody]],$O$1:$P$4,2,FALSE)*(temperatury[[#This Row],[temperatura]]-24)/2),0)</f>
        <v>91</v>
      </c>
      <c r="E45">
        <f>ROUNDDOWN($E$2*(1+VLOOKUP(temperatury[[#Headers],[kukurydza]],$O$1:$P$4,2,FALSE)*(temperatury[[#This Row],[temperatura]]-24)/2),0)</f>
        <v>63</v>
      </c>
    </row>
    <row r="46" spans="1:5" x14ac:dyDescent="0.25">
      <c r="A46" s="1">
        <v>44757</v>
      </c>
      <c r="B46">
        <v>18</v>
      </c>
      <c r="C46">
        <f>ROUNDDOWN($C$2*(1+VLOOKUP(temperatury[[#Headers],[hot-dog]],$O$1:$P$4,2,FALSE)*(temperatury[[#This Row],[temperatura]]-24)/2),0)</f>
        <v>69</v>
      </c>
      <c r="D46">
        <f>ROUNDDOWN($D$2*(1+VLOOKUP(temperatury[[#Headers],[lody]],$O$1:$P$4,2,FALSE)*(temperatury[[#This Row],[temperatura]]-24)/2),0)</f>
        <v>95</v>
      </c>
      <c r="E46">
        <f>ROUNDDOWN($E$2*(1+VLOOKUP(temperatury[[#Headers],[kukurydza]],$O$1:$P$4,2,FALSE)*(temperatury[[#This Row],[temperatura]]-24)/2),0)</f>
        <v>65</v>
      </c>
    </row>
    <row r="47" spans="1:5" x14ac:dyDescent="0.25">
      <c r="A47" s="1">
        <v>44758</v>
      </c>
      <c r="B47">
        <v>23</v>
      </c>
      <c r="C47">
        <f>ROUNDDOWN($C$2*(1+VLOOKUP(temperatury[[#Headers],[hot-dog]],$O$1:$P$4,2,FALSE)*(temperatury[[#This Row],[temperatura]]-24)/2),0)</f>
        <v>86</v>
      </c>
      <c r="D47">
        <f>ROUNDDOWN($D$2*(1+VLOOKUP(temperatury[[#Headers],[lody]],$O$1:$P$4,2,FALSE)*(temperatury[[#This Row],[temperatura]]-24)/2),0)</f>
        <v>115</v>
      </c>
      <c r="E47">
        <f>ROUNDDOWN($E$2*(1+VLOOKUP(temperatury[[#Headers],[kukurydza]],$O$1:$P$4,2,FALSE)*(temperatury[[#This Row],[temperatura]]-24)/2),0)</f>
        <v>77</v>
      </c>
    </row>
    <row r="48" spans="1:5" x14ac:dyDescent="0.25">
      <c r="A48" s="1">
        <v>44759</v>
      </c>
      <c r="B48">
        <v>23</v>
      </c>
      <c r="C48">
        <f>ROUNDDOWN($C$2*(1+VLOOKUP(temperatury[[#Headers],[hot-dog]],$O$1:$P$4,2,FALSE)*(temperatury[[#This Row],[temperatura]]-24)/2),0)</f>
        <v>86</v>
      </c>
      <c r="D48">
        <f>ROUNDDOWN($D$2*(1+VLOOKUP(temperatury[[#Headers],[lody]],$O$1:$P$4,2,FALSE)*(temperatury[[#This Row],[temperatura]]-24)/2),0)</f>
        <v>115</v>
      </c>
      <c r="E48">
        <f>ROUNDDOWN($E$2*(1+VLOOKUP(temperatury[[#Headers],[kukurydza]],$O$1:$P$4,2,FALSE)*(temperatury[[#This Row],[temperatura]]-24)/2),0)</f>
        <v>77</v>
      </c>
    </row>
    <row r="49" spans="1:5" x14ac:dyDescent="0.25">
      <c r="A49" s="1">
        <v>44760</v>
      </c>
      <c r="B49">
        <v>19</v>
      </c>
      <c r="C49">
        <f>ROUNDDOWN($C$2*(1+VLOOKUP(temperatury[[#Headers],[hot-dog]],$O$1:$P$4,2,FALSE)*(temperatury[[#This Row],[temperatura]]-24)/2),0)</f>
        <v>72</v>
      </c>
      <c r="D49">
        <f>ROUNDDOWN($D$2*(1+VLOOKUP(temperatury[[#Headers],[lody]],$O$1:$P$4,2,FALSE)*(temperatury[[#This Row],[temperatura]]-24)/2),0)</f>
        <v>99</v>
      </c>
      <c r="E49">
        <f>ROUNDDOWN($E$2*(1+VLOOKUP(temperatury[[#Headers],[kukurydza]],$O$1:$P$4,2,FALSE)*(temperatury[[#This Row],[temperatura]]-24)/2),0)</f>
        <v>68</v>
      </c>
    </row>
    <row r="50" spans="1:5" x14ac:dyDescent="0.25">
      <c r="A50" s="1">
        <v>44761</v>
      </c>
      <c r="B50">
        <v>21</v>
      </c>
      <c r="C50">
        <f>ROUNDDOWN($C$2*(1+VLOOKUP(temperatury[[#Headers],[hot-dog]],$O$1:$P$4,2,FALSE)*(temperatury[[#This Row],[temperatura]]-24)/2),0)</f>
        <v>79</v>
      </c>
      <c r="D50">
        <f>ROUNDDOWN($D$2*(1+VLOOKUP(temperatury[[#Headers],[lody]],$O$1:$P$4,2,FALSE)*(temperatury[[#This Row],[temperatura]]-24)/2),0)</f>
        <v>107</v>
      </c>
      <c r="E50">
        <f>ROUNDDOWN($E$2*(1+VLOOKUP(temperatury[[#Headers],[kukurydza]],$O$1:$P$4,2,FALSE)*(temperatury[[#This Row],[temperatura]]-24)/2),0)</f>
        <v>72</v>
      </c>
    </row>
    <row r="51" spans="1:5" x14ac:dyDescent="0.25">
      <c r="A51" s="1">
        <v>44762</v>
      </c>
      <c r="B51">
        <v>25</v>
      </c>
      <c r="C51">
        <f>ROUNDDOWN($C$2*(1+VLOOKUP(temperatury[[#Headers],[hot-dog]],$O$1:$P$4,2,FALSE)*(temperatury[[#This Row],[temperatura]]-24)/2),0)</f>
        <v>93</v>
      </c>
      <c r="D51">
        <f>ROUNDDOWN($D$2*(1+VLOOKUP(temperatury[[#Headers],[lody]],$O$1:$P$4,2,FALSE)*(temperatury[[#This Row],[temperatura]]-24)/2),0)</f>
        <v>124</v>
      </c>
      <c r="E51">
        <f>ROUNDDOWN($E$2*(1+VLOOKUP(temperatury[[#Headers],[kukurydza]],$O$1:$P$4,2,FALSE)*(temperatury[[#This Row],[temperatura]]-24)/2),0)</f>
        <v>82</v>
      </c>
    </row>
    <row r="52" spans="1:5" x14ac:dyDescent="0.25">
      <c r="A52" s="1">
        <v>44763</v>
      </c>
      <c r="B52">
        <v>28</v>
      </c>
      <c r="C52">
        <f>ROUNDDOWN($C$2*(1+VLOOKUP(temperatury[[#Headers],[hot-dog]],$O$1:$P$4,2,FALSE)*(temperatury[[#This Row],[temperatura]]-24)/2),0)</f>
        <v>103</v>
      </c>
      <c r="D52">
        <f>ROUNDDOWN($D$2*(1+VLOOKUP(temperatury[[#Headers],[lody]],$O$1:$P$4,2,FALSE)*(temperatury[[#This Row],[temperatura]]-24)/2),0)</f>
        <v>136</v>
      </c>
      <c r="E52">
        <f>ROUNDDOWN($E$2*(1+VLOOKUP(temperatury[[#Headers],[kukurydza]],$O$1:$P$4,2,FALSE)*(temperatury[[#This Row],[temperatura]]-24)/2),0)</f>
        <v>89</v>
      </c>
    </row>
    <row r="53" spans="1:5" x14ac:dyDescent="0.25">
      <c r="A53" s="1">
        <v>44764</v>
      </c>
      <c r="B53">
        <v>27</v>
      </c>
      <c r="C53">
        <f>ROUNDDOWN($C$2*(1+VLOOKUP(temperatury[[#Headers],[hot-dog]],$O$1:$P$4,2,FALSE)*(temperatury[[#This Row],[temperatura]]-24)/2),0)</f>
        <v>100</v>
      </c>
      <c r="D53">
        <f>ROUNDDOWN($D$2*(1+VLOOKUP(temperatury[[#Headers],[lody]],$O$1:$P$4,2,FALSE)*(temperatury[[#This Row],[temperatura]]-24)/2),0)</f>
        <v>132</v>
      </c>
      <c r="E53">
        <f>ROUNDDOWN($E$2*(1+VLOOKUP(temperatury[[#Headers],[kukurydza]],$O$1:$P$4,2,FALSE)*(temperatury[[#This Row],[temperatura]]-24)/2),0)</f>
        <v>87</v>
      </c>
    </row>
    <row r="54" spans="1:5" x14ac:dyDescent="0.25">
      <c r="A54" s="1">
        <v>44765</v>
      </c>
      <c r="B54">
        <v>23</v>
      </c>
      <c r="C54">
        <f>ROUNDDOWN($C$2*(1+VLOOKUP(temperatury[[#Headers],[hot-dog]],$O$1:$P$4,2,FALSE)*(temperatury[[#This Row],[temperatura]]-24)/2),0)</f>
        <v>86</v>
      </c>
      <c r="D54">
        <f>ROUNDDOWN($D$2*(1+VLOOKUP(temperatury[[#Headers],[lody]],$O$1:$P$4,2,FALSE)*(temperatury[[#This Row],[temperatura]]-24)/2),0)</f>
        <v>115</v>
      </c>
      <c r="E54">
        <f>ROUNDDOWN($E$2*(1+VLOOKUP(temperatury[[#Headers],[kukurydza]],$O$1:$P$4,2,FALSE)*(temperatury[[#This Row],[temperatura]]-24)/2),0)</f>
        <v>77</v>
      </c>
    </row>
    <row r="55" spans="1:5" x14ac:dyDescent="0.25">
      <c r="A55" s="1">
        <v>44766</v>
      </c>
      <c r="B55">
        <v>26</v>
      </c>
      <c r="C55">
        <f>ROUNDDOWN($C$2*(1+VLOOKUP(temperatury[[#Headers],[hot-dog]],$O$1:$P$4,2,FALSE)*(temperatury[[#This Row],[temperatura]]-24)/2),0)</f>
        <v>96</v>
      </c>
      <c r="D55">
        <f>ROUNDDOWN($D$2*(1+VLOOKUP(temperatury[[#Headers],[lody]],$O$1:$P$4,2,FALSE)*(temperatury[[#This Row],[temperatura]]-24)/2),0)</f>
        <v>128</v>
      </c>
      <c r="E55">
        <f>ROUNDDOWN($E$2*(1+VLOOKUP(temperatury[[#Headers],[kukurydza]],$O$1:$P$4,2,FALSE)*(temperatury[[#This Row],[temperatura]]-24)/2),0)</f>
        <v>84</v>
      </c>
    </row>
    <row r="56" spans="1:5" x14ac:dyDescent="0.25">
      <c r="A56" s="1">
        <v>44767</v>
      </c>
      <c r="B56">
        <v>29</v>
      </c>
      <c r="C56">
        <f>ROUNDDOWN($C$2*(1+VLOOKUP(temperatury[[#Headers],[hot-dog]],$O$1:$P$4,2,FALSE)*(temperatury[[#This Row],[temperatura]]-24)/2),0)</f>
        <v>107</v>
      </c>
      <c r="D56">
        <f>ROUNDDOWN($D$2*(1+VLOOKUP(temperatury[[#Headers],[lody]],$O$1:$P$4,2,FALSE)*(temperatury[[#This Row],[temperatura]]-24)/2),0)</f>
        <v>140</v>
      </c>
      <c r="E56">
        <f>ROUNDDOWN($E$2*(1+VLOOKUP(temperatury[[#Headers],[kukurydza]],$O$1:$P$4,2,FALSE)*(temperatury[[#This Row],[temperatura]]-24)/2),0)</f>
        <v>91</v>
      </c>
    </row>
    <row r="57" spans="1:5" x14ac:dyDescent="0.25">
      <c r="A57" s="1">
        <v>44768</v>
      </c>
      <c r="B57">
        <v>26</v>
      </c>
      <c r="C57">
        <f>ROUNDDOWN($C$2*(1+VLOOKUP(temperatury[[#Headers],[hot-dog]],$O$1:$P$4,2,FALSE)*(temperatury[[#This Row],[temperatura]]-24)/2),0)</f>
        <v>96</v>
      </c>
      <c r="D57">
        <f>ROUNDDOWN($D$2*(1+VLOOKUP(temperatury[[#Headers],[lody]],$O$1:$P$4,2,FALSE)*(temperatury[[#This Row],[temperatura]]-24)/2),0)</f>
        <v>128</v>
      </c>
      <c r="E57">
        <f>ROUNDDOWN($E$2*(1+VLOOKUP(temperatury[[#Headers],[kukurydza]],$O$1:$P$4,2,FALSE)*(temperatury[[#This Row],[temperatura]]-24)/2),0)</f>
        <v>84</v>
      </c>
    </row>
    <row r="58" spans="1:5" x14ac:dyDescent="0.25">
      <c r="A58" s="1">
        <v>44769</v>
      </c>
      <c r="B58">
        <v>27</v>
      </c>
      <c r="C58">
        <f>ROUNDDOWN($C$2*(1+VLOOKUP(temperatury[[#Headers],[hot-dog]],$O$1:$P$4,2,FALSE)*(temperatury[[#This Row],[temperatura]]-24)/2),0)</f>
        <v>100</v>
      </c>
      <c r="D58">
        <f>ROUNDDOWN($D$2*(1+VLOOKUP(temperatury[[#Headers],[lody]],$O$1:$P$4,2,FALSE)*(temperatury[[#This Row],[temperatura]]-24)/2),0)</f>
        <v>132</v>
      </c>
      <c r="E58">
        <f>ROUNDDOWN($E$2*(1+VLOOKUP(temperatury[[#Headers],[kukurydza]],$O$1:$P$4,2,FALSE)*(temperatury[[#This Row],[temperatura]]-24)/2),0)</f>
        <v>87</v>
      </c>
    </row>
    <row r="59" spans="1:5" x14ac:dyDescent="0.25">
      <c r="A59" s="1">
        <v>44770</v>
      </c>
      <c r="B59">
        <v>24</v>
      </c>
      <c r="C59">
        <f>ROUNDDOWN($C$2*(1+VLOOKUP(temperatury[[#Headers],[hot-dog]],$O$1:$P$4,2,FALSE)*(temperatury[[#This Row],[temperatura]]-24)/2),0)</f>
        <v>90</v>
      </c>
      <c r="D59">
        <f>ROUNDDOWN($D$2*(1+VLOOKUP(temperatury[[#Headers],[lody]],$O$1:$P$4,2,FALSE)*(temperatury[[#This Row],[temperatura]]-24)/2),0)</f>
        <v>120</v>
      </c>
      <c r="E59">
        <f>ROUNDDOWN($E$2*(1+VLOOKUP(temperatury[[#Headers],[kukurydza]],$O$1:$P$4,2,FALSE)*(temperatury[[#This Row],[temperatura]]-24)/2),0)</f>
        <v>80</v>
      </c>
    </row>
    <row r="60" spans="1:5" x14ac:dyDescent="0.25">
      <c r="A60" s="1">
        <v>44771</v>
      </c>
      <c r="B60">
        <v>26</v>
      </c>
      <c r="C60">
        <f>ROUNDDOWN($C$2*(1+VLOOKUP(temperatury[[#Headers],[hot-dog]],$O$1:$P$4,2,FALSE)*(temperatury[[#This Row],[temperatura]]-24)/2),0)</f>
        <v>96</v>
      </c>
      <c r="D60">
        <f>ROUNDDOWN($D$2*(1+VLOOKUP(temperatury[[#Headers],[lody]],$O$1:$P$4,2,FALSE)*(temperatury[[#This Row],[temperatura]]-24)/2),0)</f>
        <v>128</v>
      </c>
      <c r="E60">
        <f>ROUNDDOWN($E$2*(1+VLOOKUP(temperatury[[#Headers],[kukurydza]],$O$1:$P$4,2,FALSE)*(temperatury[[#This Row],[temperatura]]-24)/2),0)</f>
        <v>84</v>
      </c>
    </row>
    <row r="61" spans="1:5" x14ac:dyDescent="0.25">
      <c r="A61" s="1">
        <v>44772</v>
      </c>
      <c r="B61">
        <v>25</v>
      </c>
      <c r="C61">
        <f>ROUNDDOWN($C$2*(1+VLOOKUP(temperatury[[#Headers],[hot-dog]],$O$1:$P$4,2,FALSE)*(temperatury[[#This Row],[temperatura]]-24)/2),0)</f>
        <v>93</v>
      </c>
      <c r="D61">
        <f>ROUNDDOWN($D$2*(1+VLOOKUP(temperatury[[#Headers],[lody]],$O$1:$P$4,2,FALSE)*(temperatury[[#This Row],[temperatura]]-24)/2),0)</f>
        <v>124</v>
      </c>
      <c r="E61">
        <f>ROUNDDOWN($E$2*(1+VLOOKUP(temperatury[[#Headers],[kukurydza]],$O$1:$P$4,2,FALSE)*(temperatury[[#This Row],[temperatura]]-24)/2),0)</f>
        <v>82</v>
      </c>
    </row>
    <row r="62" spans="1:5" x14ac:dyDescent="0.25">
      <c r="A62" s="1">
        <v>44773</v>
      </c>
      <c r="B62">
        <v>24</v>
      </c>
      <c r="C62">
        <f>ROUNDDOWN($C$2*(1+VLOOKUP(temperatury[[#Headers],[hot-dog]],$O$1:$P$4,2,FALSE)*(temperatury[[#This Row],[temperatura]]-24)/2),0)</f>
        <v>90</v>
      </c>
      <c r="D62">
        <f>ROUNDDOWN($D$2*(1+VLOOKUP(temperatury[[#Headers],[lody]],$O$1:$P$4,2,FALSE)*(temperatury[[#This Row],[temperatura]]-24)/2),0)</f>
        <v>120</v>
      </c>
      <c r="E62">
        <f>ROUNDDOWN($E$2*(1+VLOOKUP(temperatury[[#Headers],[kukurydza]],$O$1:$P$4,2,FALSE)*(temperatury[[#This Row],[temperatura]]-24)/2),0)</f>
        <v>80</v>
      </c>
    </row>
    <row r="63" spans="1:5" x14ac:dyDescent="0.25">
      <c r="A63" s="1">
        <v>44774</v>
      </c>
      <c r="B63">
        <v>22</v>
      </c>
      <c r="C63">
        <f>ROUNDDOWN($C$2*(1+VLOOKUP(temperatury[[#Headers],[hot-dog]],$O$1:$P$4,2,FALSE)*(temperatury[[#This Row],[temperatura]]-24)/2),0)</f>
        <v>83</v>
      </c>
      <c r="D63">
        <f>ROUNDDOWN($D$2*(1+VLOOKUP(temperatury[[#Headers],[lody]],$O$1:$P$4,2,FALSE)*(temperatury[[#This Row],[temperatura]]-24)/2),0)</f>
        <v>111</v>
      </c>
      <c r="E63">
        <f>ROUNDDOWN($E$2*(1+VLOOKUP(temperatury[[#Headers],[kukurydza]],$O$1:$P$4,2,FALSE)*(temperatury[[#This Row],[temperatura]]-24)/2),0)</f>
        <v>75</v>
      </c>
    </row>
    <row r="64" spans="1:5" x14ac:dyDescent="0.25">
      <c r="A64" s="1">
        <v>44775</v>
      </c>
      <c r="B64">
        <v>19</v>
      </c>
      <c r="C64">
        <f>ROUNDDOWN($C$2*(1+VLOOKUP(temperatury[[#Headers],[hot-dog]],$O$1:$P$4,2,FALSE)*(temperatury[[#This Row],[temperatura]]-24)/2),0)</f>
        <v>72</v>
      </c>
      <c r="D64">
        <f>ROUNDDOWN($D$2*(1+VLOOKUP(temperatury[[#Headers],[lody]],$O$1:$P$4,2,FALSE)*(temperatury[[#This Row],[temperatura]]-24)/2),0)</f>
        <v>99</v>
      </c>
      <c r="E64">
        <f>ROUNDDOWN($E$2*(1+VLOOKUP(temperatury[[#Headers],[kukurydza]],$O$1:$P$4,2,FALSE)*(temperatury[[#This Row],[temperatura]]-24)/2),0)</f>
        <v>68</v>
      </c>
    </row>
    <row r="65" spans="1:5" x14ac:dyDescent="0.25">
      <c r="A65" s="1">
        <v>44776</v>
      </c>
      <c r="B65">
        <v>21</v>
      </c>
      <c r="C65">
        <f>ROUNDDOWN($C$2*(1+VLOOKUP(temperatury[[#Headers],[hot-dog]],$O$1:$P$4,2,FALSE)*(temperatury[[#This Row],[temperatura]]-24)/2),0)</f>
        <v>79</v>
      </c>
      <c r="D65">
        <f>ROUNDDOWN($D$2*(1+VLOOKUP(temperatury[[#Headers],[lody]],$O$1:$P$4,2,FALSE)*(temperatury[[#This Row],[temperatura]]-24)/2),0)</f>
        <v>107</v>
      </c>
      <c r="E65">
        <f>ROUNDDOWN($E$2*(1+VLOOKUP(temperatury[[#Headers],[kukurydza]],$O$1:$P$4,2,FALSE)*(temperatury[[#This Row],[temperatura]]-24)/2),0)</f>
        <v>72</v>
      </c>
    </row>
    <row r="66" spans="1:5" x14ac:dyDescent="0.25">
      <c r="A66" s="1">
        <v>44777</v>
      </c>
      <c r="B66">
        <v>26</v>
      </c>
      <c r="C66">
        <f>ROUNDDOWN($C$2*(1+VLOOKUP(temperatury[[#Headers],[hot-dog]],$O$1:$P$4,2,FALSE)*(temperatury[[#This Row],[temperatura]]-24)/2),0)</f>
        <v>96</v>
      </c>
      <c r="D66">
        <f>ROUNDDOWN($D$2*(1+VLOOKUP(temperatury[[#Headers],[lody]],$O$1:$P$4,2,FALSE)*(temperatury[[#This Row],[temperatura]]-24)/2),0)</f>
        <v>128</v>
      </c>
      <c r="E66">
        <f>ROUNDDOWN($E$2*(1+VLOOKUP(temperatury[[#Headers],[kukurydza]],$O$1:$P$4,2,FALSE)*(temperatury[[#This Row],[temperatura]]-24)/2),0)</f>
        <v>84</v>
      </c>
    </row>
    <row r="67" spans="1:5" x14ac:dyDescent="0.25">
      <c r="A67" s="1">
        <v>44778</v>
      </c>
      <c r="B67">
        <v>19</v>
      </c>
      <c r="C67">
        <f>ROUNDDOWN($C$2*(1+VLOOKUP(temperatury[[#Headers],[hot-dog]],$O$1:$P$4,2,FALSE)*(temperatury[[#This Row],[temperatura]]-24)/2),0)</f>
        <v>72</v>
      </c>
      <c r="D67">
        <f>ROUNDDOWN($D$2*(1+VLOOKUP(temperatury[[#Headers],[lody]],$O$1:$P$4,2,FALSE)*(temperatury[[#This Row],[temperatura]]-24)/2),0)</f>
        <v>99</v>
      </c>
      <c r="E67">
        <f>ROUNDDOWN($E$2*(1+VLOOKUP(temperatury[[#Headers],[kukurydza]],$O$1:$P$4,2,FALSE)*(temperatury[[#This Row],[temperatura]]-24)/2),0)</f>
        <v>68</v>
      </c>
    </row>
    <row r="68" spans="1:5" x14ac:dyDescent="0.25">
      <c r="A68" s="1">
        <v>44779</v>
      </c>
      <c r="B68">
        <v>21</v>
      </c>
      <c r="C68">
        <f>ROUNDDOWN($C$2*(1+VLOOKUP(temperatury[[#Headers],[hot-dog]],$O$1:$P$4,2,FALSE)*(temperatury[[#This Row],[temperatura]]-24)/2),0)</f>
        <v>79</v>
      </c>
      <c r="D68">
        <f>ROUNDDOWN($D$2*(1+VLOOKUP(temperatury[[#Headers],[lody]],$O$1:$P$4,2,FALSE)*(temperatury[[#This Row],[temperatura]]-24)/2),0)</f>
        <v>107</v>
      </c>
      <c r="E68">
        <f>ROUNDDOWN($E$2*(1+VLOOKUP(temperatury[[#Headers],[kukurydza]],$O$1:$P$4,2,FALSE)*(temperatury[[#This Row],[temperatura]]-24)/2),0)</f>
        <v>72</v>
      </c>
    </row>
    <row r="69" spans="1:5" x14ac:dyDescent="0.25">
      <c r="A69" s="1">
        <v>44780</v>
      </c>
      <c r="B69">
        <v>23</v>
      </c>
      <c r="C69">
        <f>ROUNDDOWN($C$2*(1+VLOOKUP(temperatury[[#Headers],[hot-dog]],$O$1:$P$4,2,FALSE)*(temperatury[[#This Row],[temperatura]]-24)/2),0)</f>
        <v>86</v>
      </c>
      <c r="D69">
        <f>ROUNDDOWN($D$2*(1+VLOOKUP(temperatury[[#Headers],[lody]],$O$1:$P$4,2,FALSE)*(temperatury[[#This Row],[temperatura]]-24)/2),0)</f>
        <v>115</v>
      </c>
      <c r="E69">
        <f>ROUNDDOWN($E$2*(1+VLOOKUP(temperatury[[#Headers],[kukurydza]],$O$1:$P$4,2,FALSE)*(temperatury[[#This Row],[temperatura]]-24)/2),0)</f>
        <v>77</v>
      </c>
    </row>
    <row r="70" spans="1:5" x14ac:dyDescent="0.25">
      <c r="A70" s="1">
        <v>44781</v>
      </c>
      <c r="B70">
        <v>27</v>
      </c>
      <c r="C70">
        <f>ROUNDDOWN($C$2*(1+VLOOKUP(temperatury[[#Headers],[hot-dog]],$O$1:$P$4,2,FALSE)*(temperatury[[#This Row],[temperatura]]-24)/2),0)</f>
        <v>100</v>
      </c>
      <c r="D70">
        <f>ROUNDDOWN($D$2*(1+VLOOKUP(temperatury[[#Headers],[lody]],$O$1:$P$4,2,FALSE)*(temperatury[[#This Row],[temperatura]]-24)/2),0)</f>
        <v>132</v>
      </c>
      <c r="E70">
        <f>ROUNDDOWN($E$2*(1+VLOOKUP(temperatury[[#Headers],[kukurydza]],$O$1:$P$4,2,FALSE)*(temperatury[[#This Row],[temperatura]]-24)/2),0)</f>
        <v>87</v>
      </c>
    </row>
    <row r="71" spans="1:5" x14ac:dyDescent="0.25">
      <c r="A71" s="1">
        <v>44782</v>
      </c>
      <c r="B71">
        <v>20</v>
      </c>
      <c r="C71">
        <f>ROUNDDOWN($C$2*(1+VLOOKUP(temperatury[[#Headers],[hot-dog]],$O$1:$P$4,2,FALSE)*(temperatury[[#This Row],[temperatura]]-24)/2),0)</f>
        <v>76</v>
      </c>
      <c r="D71">
        <f>ROUNDDOWN($D$2*(1+VLOOKUP(temperatury[[#Headers],[lody]],$O$1:$P$4,2,FALSE)*(temperatury[[#This Row],[temperatura]]-24)/2),0)</f>
        <v>103</v>
      </c>
      <c r="E71">
        <f>ROUNDDOWN($E$2*(1+VLOOKUP(temperatury[[#Headers],[kukurydza]],$O$1:$P$4,2,FALSE)*(temperatury[[#This Row],[temperatura]]-24)/2),0)</f>
        <v>70</v>
      </c>
    </row>
    <row r="72" spans="1:5" x14ac:dyDescent="0.25">
      <c r="A72" s="1">
        <v>44783</v>
      </c>
      <c r="B72">
        <v>18</v>
      </c>
      <c r="C72">
        <f>ROUNDDOWN($C$2*(1+VLOOKUP(temperatury[[#Headers],[hot-dog]],$O$1:$P$4,2,FALSE)*(temperatury[[#This Row],[temperatura]]-24)/2),0)</f>
        <v>69</v>
      </c>
      <c r="D72">
        <f>ROUNDDOWN($D$2*(1+VLOOKUP(temperatury[[#Headers],[lody]],$O$1:$P$4,2,FALSE)*(temperatury[[#This Row],[temperatura]]-24)/2),0)</f>
        <v>95</v>
      </c>
      <c r="E72">
        <f>ROUNDDOWN($E$2*(1+VLOOKUP(temperatury[[#Headers],[kukurydza]],$O$1:$P$4,2,FALSE)*(temperatury[[#This Row],[temperatura]]-24)/2),0)</f>
        <v>65</v>
      </c>
    </row>
    <row r="73" spans="1:5" x14ac:dyDescent="0.25">
      <c r="A73" s="1">
        <v>44784</v>
      </c>
      <c r="B73">
        <v>17</v>
      </c>
      <c r="C73">
        <f>ROUNDDOWN($C$2*(1+VLOOKUP(temperatury[[#Headers],[hot-dog]],$O$1:$P$4,2,FALSE)*(temperatury[[#This Row],[temperatura]]-24)/2),0)</f>
        <v>65</v>
      </c>
      <c r="D73">
        <f>ROUNDDOWN($D$2*(1+VLOOKUP(temperatury[[#Headers],[lody]],$O$1:$P$4,2,FALSE)*(temperatury[[#This Row],[temperatura]]-24)/2),0)</f>
        <v>91</v>
      </c>
      <c r="E73">
        <f>ROUNDDOWN($E$2*(1+VLOOKUP(temperatury[[#Headers],[kukurydza]],$O$1:$P$4,2,FALSE)*(temperatury[[#This Row],[temperatura]]-24)/2),0)</f>
        <v>63</v>
      </c>
    </row>
    <row r="74" spans="1:5" x14ac:dyDescent="0.25">
      <c r="A74" s="1">
        <v>44785</v>
      </c>
      <c r="B74">
        <v>19</v>
      </c>
      <c r="C74">
        <f>ROUNDDOWN($C$2*(1+VLOOKUP(temperatury[[#Headers],[hot-dog]],$O$1:$P$4,2,FALSE)*(temperatury[[#This Row],[temperatura]]-24)/2),0)</f>
        <v>72</v>
      </c>
      <c r="D74">
        <f>ROUNDDOWN($D$2*(1+VLOOKUP(temperatury[[#Headers],[lody]],$O$1:$P$4,2,FALSE)*(temperatury[[#This Row],[temperatura]]-24)/2),0)</f>
        <v>99</v>
      </c>
      <c r="E74">
        <f>ROUNDDOWN($E$2*(1+VLOOKUP(temperatury[[#Headers],[kukurydza]],$O$1:$P$4,2,FALSE)*(temperatury[[#This Row],[temperatura]]-24)/2),0)</f>
        <v>68</v>
      </c>
    </row>
    <row r="75" spans="1:5" x14ac:dyDescent="0.25">
      <c r="A75" s="1">
        <v>44786</v>
      </c>
      <c r="B75">
        <v>26</v>
      </c>
      <c r="C75">
        <f>ROUNDDOWN($C$2*(1+VLOOKUP(temperatury[[#Headers],[hot-dog]],$O$1:$P$4,2,FALSE)*(temperatury[[#This Row],[temperatura]]-24)/2),0)</f>
        <v>96</v>
      </c>
      <c r="D75">
        <f>ROUNDDOWN($D$2*(1+VLOOKUP(temperatury[[#Headers],[lody]],$O$1:$P$4,2,FALSE)*(temperatury[[#This Row],[temperatura]]-24)/2),0)</f>
        <v>128</v>
      </c>
      <c r="E75">
        <f>ROUNDDOWN($E$2*(1+VLOOKUP(temperatury[[#Headers],[kukurydza]],$O$1:$P$4,2,FALSE)*(temperatury[[#This Row],[temperatura]]-24)/2),0)</f>
        <v>84</v>
      </c>
    </row>
    <row r="76" spans="1:5" x14ac:dyDescent="0.25">
      <c r="A76" s="1">
        <v>44787</v>
      </c>
      <c r="B76">
        <v>21</v>
      </c>
      <c r="C76">
        <f>ROUNDDOWN($C$2*(1+VLOOKUP(temperatury[[#Headers],[hot-dog]],$O$1:$P$4,2,FALSE)*(temperatury[[#This Row],[temperatura]]-24)/2),0)</f>
        <v>79</v>
      </c>
      <c r="D76">
        <f>ROUNDDOWN($D$2*(1+VLOOKUP(temperatury[[#Headers],[lody]],$O$1:$P$4,2,FALSE)*(temperatury[[#This Row],[temperatura]]-24)/2),0)</f>
        <v>107</v>
      </c>
      <c r="E76">
        <f>ROUNDDOWN($E$2*(1+VLOOKUP(temperatury[[#Headers],[kukurydza]],$O$1:$P$4,2,FALSE)*(temperatury[[#This Row],[temperatura]]-24)/2),0)</f>
        <v>72</v>
      </c>
    </row>
    <row r="77" spans="1:5" x14ac:dyDescent="0.25">
      <c r="A77" s="1">
        <v>44788</v>
      </c>
      <c r="B77">
        <v>19</v>
      </c>
      <c r="C77">
        <f>ROUNDDOWN($C$2*(1+VLOOKUP(temperatury[[#Headers],[hot-dog]],$O$1:$P$4,2,FALSE)*(temperatury[[#This Row],[temperatura]]-24)/2),0)</f>
        <v>72</v>
      </c>
      <c r="D77">
        <f>ROUNDDOWN($D$2*(1+VLOOKUP(temperatury[[#Headers],[lody]],$O$1:$P$4,2,FALSE)*(temperatury[[#This Row],[temperatura]]-24)/2),0)</f>
        <v>99</v>
      </c>
      <c r="E77">
        <f>ROUNDDOWN($E$2*(1+VLOOKUP(temperatury[[#Headers],[kukurydza]],$O$1:$P$4,2,FALSE)*(temperatury[[#This Row],[temperatura]]-24)/2),0)</f>
        <v>68</v>
      </c>
    </row>
    <row r="78" spans="1:5" x14ac:dyDescent="0.25">
      <c r="A78" s="1">
        <v>44789</v>
      </c>
      <c r="B78">
        <v>19</v>
      </c>
      <c r="C78">
        <f>ROUNDDOWN($C$2*(1+VLOOKUP(temperatury[[#Headers],[hot-dog]],$O$1:$P$4,2,FALSE)*(temperatury[[#This Row],[temperatura]]-24)/2),0)</f>
        <v>72</v>
      </c>
      <c r="D78">
        <f>ROUNDDOWN($D$2*(1+VLOOKUP(temperatury[[#Headers],[lody]],$O$1:$P$4,2,FALSE)*(temperatury[[#This Row],[temperatura]]-24)/2),0)</f>
        <v>99</v>
      </c>
      <c r="E78">
        <f>ROUNDDOWN($E$2*(1+VLOOKUP(temperatury[[#Headers],[kukurydza]],$O$1:$P$4,2,FALSE)*(temperatury[[#This Row],[temperatura]]-24)/2),0)</f>
        <v>68</v>
      </c>
    </row>
    <row r="79" spans="1:5" x14ac:dyDescent="0.25">
      <c r="A79" s="1">
        <v>44790</v>
      </c>
      <c r="B79">
        <v>21</v>
      </c>
      <c r="C79">
        <f>ROUNDDOWN($C$2*(1+VLOOKUP(temperatury[[#Headers],[hot-dog]],$O$1:$P$4,2,FALSE)*(temperatury[[#This Row],[temperatura]]-24)/2),0)</f>
        <v>79</v>
      </c>
      <c r="D79">
        <f>ROUNDDOWN($D$2*(1+VLOOKUP(temperatury[[#Headers],[lody]],$O$1:$P$4,2,FALSE)*(temperatury[[#This Row],[temperatura]]-24)/2),0)</f>
        <v>107</v>
      </c>
      <c r="E79">
        <f>ROUNDDOWN($E$2*(1+VLOOKUP(temperatury[[#Headers],[kukurydza]],$O$1:$P$4,2,FALSE)*(temperatury[[#This Row],[temperatura]]-24)/2),0)</f>
        <v>72</v>
      </c>
    </row>
    <row r="80" spans="1:5" x14ac:dyDescent="0.25">
      <c r="A80" s="1">
        <v>44791</v>
      </c>
      <c r="B80">
        <v>21</v>
      </c>
      <c r="C80">
        <f>ROUNDDOWN($C$2*(1+VLOOKUP(temperatury[[#Headers],[hot-dog]],$O$1:$P$4,2,FALSE)*(temperatury[[#This Row],[temperatura]]-24)/2),0)</f>
        <v>79</v>
      </c>
      <c r="D80">
        <f>ROUNDDOWN($D$2*(1+VLOOKUP(temperatury[[#Headers],[lody]],$O$1:$P$4,2,FALSE)*(temperatury[[#This Row],[temperatura]]-24)/2),0)</f>
        <v>107</v>
      </c>
      <c r="E80">
        <f>ROUNDDOWN($E$2*(1+VLOOKUP(temperatury[[#Headers],[kukurydza]],$O$1:$P$4,2,FALSE)*(temperatury[[#This Row],[temperatura]]-24)/2),0)</f>
        <v>72</v>
      </c>
    </row>
    <row r="81" spans="1:5" x14ac:dyDescent="0.25">
      <c r="A81" s="1">
        <v>44792</v>
      </c>
      <c r="B81">
        <v>24</v>
      </c>
      <c r="C81">
        <f>ROUNDDOWN($C$2*(1+VLOOKUP(temperatury[[#Headers],[hot-dog]],$O$1:$P$4,2,FALSE)*(temperatury[[#This Row],[temperatura]]-24)/2),0)</f>
        <v>90</v>
      </c>
      <c r="D81">
        <f>ROUNDDOWN($D$2*(1+VLOOKUP(temperatury[[#Headers],[lody]],$O$1:$P$4,2,FALSE)*(temperatury[[#This Row],[temperatura]]-24)/2),0)</f>
        <v>120</v>
      </c>
      <c r="E81">
        <f>ROUNDDOWN($E$2*(1+VLOOKUP(temperatury[[#Headers],[kukurydza]],$O$1:$P$4,2,FALSE)*(temperatury[[#This Row],[temperatura]]-24)/2),0)</f>
        <v>80</v>
      </c>
    </row>
    <row r="82" spans="1:5" x14ac:dyDescent="0.25">
      <c r="A82" s="1">
        <v>44793</v>
      </c>
      <c r="B82">
        <v>26</v>
      </c>
      <c r="C82">
        <f>ROUNDDOWN($C$2*(1+VLOOKUP(temperatury[[#Headers],[hot-dog]],$O$1:$P$4,2,FALSE)*(temperatury[[#This Row],[temperatura]]-24)/2),0)</f>
        <v>96</v>
      </c>
      <c r="D82">
        <f>ROUNDDOWN($D$2*(1+VLOOKUP(temperatury[[#Headers],[lody]],$O$1:$P$4,2,FALSE)*(temperatury[[#This Row],[temperatura]]-24)/2),0)</f>
        <v>128</v>
      </c>
      <c r="E82">
        <f>ROUNDDOWN($E$2*(1+VLOOKUP(temperatury[[#Headers],[kukurydza]],$O$1:$P$4,2,FALSE)*(temperatury[[#This Row],[temperatura]]-24)/2),0)</f>
        <v>84</v>
      </c>
    </row>
    <row r="83" spans="1:5" x14ac:dyDescent="0.25">
      <c r="A83" s="1">
        <v>44794</v>
      </c>
      <c r="B83">
        <v>23</v>
      </c>
      <c r="C83">
        <f>ROUNDDOWN($C$2*(1+VLOOKUP(temperatury[[#Headers],[hot-dog]],$O$1:$P$4,2,FALSE)*(temperatury[[#This Row],[temperatura]]-24)/2),0)</f>
        <v>86</v>
      </c>
      <c r="D83">
        <f>ROUNDDOWN($D$2*(1+VLOOKUP(temperatury[[#Headers],[lody]],$O$1:$P$4,2,FALSE)*(temperatury[[#This Row],[temperatura]]-24)/2),0)</f>
        <v>115</v>
      </c>
      <c r="E83">
        <f>ROUNDDOWN($E$2*(1+VLOOKUP(temperatury[[#Headers],[kukurydza]],$O$1:$P$4,2,FALSE)*(temperatury[[#This Row],[temperatura]]-24)/2),0)</f>
        <v>77</v>
      </c>
    </row>
    <row r="84" spans="1:5" x14ac:dyDescent="0.25">
      <c r="A84" s="1">
        <v>44795</v>
      </c>
      <c r="B84">
        <v>23</v>
      </c>
      <c r="C84">
        <f>ROUNDDOWN($C$2*(1+VLOOKUP(temperatury[[#Headers],[hot-dog]],$O$1:$P$4,2,FALSE)*(temperatury[[#This Row],[temperatura]]-24)/2),0)</f>
        <v>86</v>
      </c>
      <c r="D84">
        <f>ROUNDDOWN($D$2*(1+VLOOKUP(temperatury[[#Headers],[lody]],$O$1:$P$4,2,FALSE)*(temperatury[[#This Row],[temperatura]]-24)/2),0)</f>
        <v>115</v>
      </c>
      <c r="E84">
        <f>ROUNDDOWN($E$2*(1+VLOOKUP(temperatury[[#Headers],[kukurydza]],$O$1:$P$4,2,FALSE)*(temperatury[[#This Row],[temperatura]]-24)/2),0)</f>
        <v>77</v>
      </c>
    </row>
    <row r="85" spans="1:5" x14ac:dyDescent="0.25">
      <c r="A85" s="1">
        <v>44796</v>
      </c>
      <c r="B85">
        <v>24</v>
      </c>
      <c r="C85">
        <f>ROUNDDOWN($C$2*(1+VLOOKUP(temperatury[[#Headers],[hot-dog]],$O$1:$P$4,2,FALSE)*(temperatury[[#This Row],[temperatura]]-24)/2),0)</f>
        <v>90</v>
      </c>
      <c r="D85">
        <f>ROUNDDOWN($D$2*(1+VLOOKUP(temperatury[[#Headers],[lody]],$O$1:$P$4,2,FALSE)*(temperatury[[#This Row],[temperatura]]-24)/2),0)</f>
        <v>120</v>
      </c>
      <c r="E85">
        <f>ROUNDDOWN($E$2*(1+VLOOKUP(temperatury[[#Headers],[kukurydza]],$O$1:$P$4,2,FALSE)*(temperatury[[#This Row],[temperatura]]-24)/2),0)</f>
        <v>80</v>
      </c>
    </row>
    <row r="86" spans="1:5" x14ac:dyDescent="0.25">
      <c r="A86" s="1">
        <v>44797</v>
      </c>
      <c r="B86">
        <v>26</v>
      </c>
      <c r="C86">
        <f>ROUNDDOWN($C$2*(1+VLOOKUP(temperatury[[#Headers],[hot-dog]],$O$1:$P$4,2,FALSE)*(temperatury[[#This Row],[temperatura]]-24)/2),0)</f>
        <v>96</v>
      </c>
      <c r="D86">
        <f>ROUNDDOWN($D$2*(1+VLOOKUP(temperatury[[#Headers],[lody]],$O$1:$P$4,2,FALSE)*(temperatury[[#This Row],[temperatura]]-24)/2),0)</f>
        <v>128</v>
      </c>
      <c r="E86">
        <f>ROUNDDOWN($E$2*(1+VLOOKUP(temperatury[[#Headers],[kukurydza]],$O$1:$P$4,2,FALSE)*(temperatury[[#This Row],[temperatura]]-24)/2),0)</f>
        <v>84</v>
      </c>
    </row>
    <row r="87" spans="1:5" x14ac:dyDescent="0.25">
      <c r="A87" s="1">
        <v>44798</v>
      </c>
      <c r="B87">
        <v>28</v>
      </c>
      <c r="C87">
        <f>ROUNDDOWN($C$2*(1+VLOOKUP(temperatury[[#Headers],[hot-dog]],$O$1:$P$4,2,FALSE)*(temperatury[[#This Row],[temperatura]]-24)/2),0)</f>
        <v>103</v>
      </c>
      <c r="D87">
        <f>ROUNDDOWN($D$2*(1+VLOOKUP(temperatury[[#Headers],[lody]],$O$1:$P$4,2,FALSE)*(temperatury[[#This Row],[temperatura]]-24)/2),0)</f>
        <v>136</v>
      </c>
      <c r="E87">
        <f>ROUNDDOWN($E$2*(1+VLOOKUP(temperatury[[#Headers],[kukurydza]],$O$1:$P$4,2,FALSE)*(temperatury[[#This Row],[temperatura]]-24)/2),0)</f>
        <v>89</v>
      </c>
    </row>
    <row r="88" spans="1:5" x14ac:dyDescent="0.25">
      <c r="A88" s="1">
        <v>44799</v>
      </c>
      <c r="B88">
        <v>32</v>
      </c>
      <c r="C88">
        <f>ROUNDDOWN($C$2*(1+VLOOKUP(temperatury[[#Headers],[hot-dog]],$O$1:$P$4,2,FALSE)*(temperatury[[#This Row],[temperatura]]-24)/2),0)</f>
        <v>117</v>
      </c>
      <c r="D88">
        <f>ROUNDDOWN($D$2*(1+VLOOKUP(temperatury[[#Headers],[lody]],$O$1:$P$4,2,FALSE)*(temperatury[[#This Row],[temperatura]]-24)/2),0)</f>
        <v>153</v>
      </c>
      <c r="E88">
        <f>ROUNDDOWN($E$2*(1+VLOOKUP(temperatury[[#Headers],[kukurydza]],$O$1:$P$4,2,FALSE)*(temperatury[[#This Row],[temperatura]]-24)/2),0)</f>
        <v>98</v>
      </c>
    </row>
    <row r="89" spans="1:5" x14ac:dyDescent="0.25">
      <c r="A89" s="1">
        <v>44800</v>
      </c>
      <c r="B89">
        <v>26</v>
      </c>
      <c r="C89">
        <f>ROUNDDOWN($C$2*(1+VLOOKUP(temperatury[[#Headers],[hot-dog]],$O$1:$P$4,2,FALSE)*(temperatury[[#This Row],[temperatura]]-24)/2),0)</f>
        <v>96</v>
      </c>
      <c r="D89">
        <f>ROUNDDOWN($D$2*(1+VLOOKUP(temperatury[[#Headers],[lody]],$O$1:$P$4,2,FALSE)*(temperatury[[#This Row],[temperatura]]-24)/2),0)</f>
        <v>128</v>
      </c>
      <c r="E89">
        <f>ROUNDDOWN($E$2*(1+VLOOKUP(temperatury[[#Headers],[kukurydza]],$O$1:$P$4,2,FALSE)*(temperatury[[#This Row],[temperatura]]-24)/2),0)</f>
        <v>84</v>
      </c>
    </row>
    <row r="90" spans="1:5" x14ac:dyDescent="0.25">
      <c r="A90" s="1">
        <v>44801</v>
      </c>
      <c r="B90">
        <v>32</v>
      </c>
      <c r="C90">
        <f>ROUNDDOWN($C$2*(1+VLOOKUP(temperatury[[#Headers],[hot-dog]],$O$1:$P$4,2,FALSE)*(temperatury[[#This Row],[temperatura]]-24)/2),0)</f>
        <v>117</v>
      </c>
      <c r="D90">
        <f>ROUNDDOWN($D$2*(1+VLOOKUP(temperatury[[#Headers],[lody]],$O$1:$P$4,2,FALSE)*(temperatury[[#This Row],[temperatura]]-24)/2),0)</f>
        <v>153</v>
      </c>
      <c r="E90">
        <f>ROUNDDOWN($E$2*(1+VLOOKUP(temperatury[[#Headers],[kukurydza]],$O$1:$P$4,2,FALSE)*(temperatury[[#This Row],[temperatura]]-24)/2),0)</f>
        <v>98</v>
      </c>
    </row>
    <row r="91" spans="1:5" x14ac:dyDescent="0.25">
      <c r="A91" s="1">
        <v>44802</v>
      </c>
      <c r="B91">
        <v>23</v>
      </c>
      <c r="C91">
        <f>ROUNDDOWN($C$2*(1+VLOOKUP(temperatury[[#Headers],[hot-dog]],$O$1:$P$4,2,FALSE)*(temperatury[[#This Row],[temperatura]]-24)/2),0)</f>
        <v>86</v>
      </c>
      <c r="D91">
        <f>ROUNDDOWN($D$2*(1+VLOOKUP(temperatury[[#Headers],[lody]],$O$1:$P$4,2,FALSE)*(temperatury[[#This Row],[temperatura]]-24)/2),0)</f>
        <v>115</v>
      </c>
      <c r="E91">
        <f>ROUNDDOWN($E$2*(1+VLOOKUP(temperatury[[#Headers],[kukurydza]],$O$1:$P$4,2,FALSE)*(temperatury[[#This Row],[temperatura]]-24)/2),0)</f>
        <v>77</v>
      </c>
    </row>
    <row r="92" spans="1:5" x14ac:dyDescent="0.25">
      <c r="A92" s="1">
        <v>44803</v>
      </c>
      <c r="B92">
        <v>22</v>
      </c>
      <c r="C92">
        <f>ROUNDDOWN($C$2*(1+VLOOKUP(temperatury[[#Headers],[hot-dog]],$O$1:$P$4,2,FALSE)*(temperatury[[#This Row],[temperatura]]-24)/2),0)</f>
        <v>83</v>
      </c>
      <c r="D92">
        <f>ROUNDDOWN($D$2*(1+VLOOKUP(temperatury[[#Headers],[lody]],$O$1:$P$4,2,FALSE)*(temperatury[[#This Row],[temperatura]]-24)/2),0)</f>
        <v>111</v>
      </c>
      <c r="E92">
        <f>ROUNDDOWN($E$2*(1+VLOOKUP(temperatury[[#Headers],[kukurydza]],$O$1:$P$4,2,FALSE)*(temperatury[[#This Row],[temperatura]]-24)/2),0)</f>
        <v>75</v>
      </c>
    </row>
    <row r="93" spans="1:5" x14ac:dyDescent="0.25">
      <c r="A93" s="1">
        <v>44804</v>
      </c>
      <c r="B93">
        <v>25</v>
      </c>
      <c r="C93">
        <f>ROUNDDOWN($C$2*(1+VLOOKUP(temperatury[[#Headers],[hot-dog]],$O$1:$P$4,2,FALSE)*(temperatury[[#This Row],[temperatura]]-24)/2),0)</f>
        <v>93</v>
      </c>
      <c r="D93">
        <f>ROUNDDOWN($D$2*(1+VLOOKUP(temperatury[[#Headers],[lody]],$O$1:$P$4,2,FALSE)*(temperatury[[#This Row],[temperatura]]-24)/2),0)</f>
        <v>124</v>
      </c>
      <c r="E93">
        <f>ROUNDDOWN($E$2*(1+VLOOKUP(temperatury[[#Headers],[kukurydza]],$O$1:$P$4,2,FALSE)*(temperatury[[#This Row],[temperatura]]-24)/2),0)</f>
        <v>82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1AC1E-C058-442E-8DEC-ABFFDC399E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robiz</dc:creator>
  <cp:lastModifiedBy>Robert Zając</cp:lastModifiedBy>
  <dcterms:created xsi:type="dcterms:W3CDTF">2015-06-05T18:19:34Z</dcterms:created>
  <dcterms:modified xsi:type="dcterms:W3CDTF">2025-11-12T16:58:47Z</dcterms:modified>
</cp:coreProperties>
</file>